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 Details" sheetId="1" r:id="rId4"/>
    <sheet state="visible" name="Sheet20" sheetId="2" r:id="rId5"/>
    <sheet state="visible" name="Paid_Earnings" sheetId="3" r:id="rId6"/>
    <sheet state="visible" name="Past Standings" sheetId="4" r:id="rId7"/>
    <sheet state="visible" name="DougMath" sheetId="5" r:id="rId8"/>
    <sheet state="visible" name="2025_Payouts" sheetId="6" r:id="rId9"/>
    <sheet state="visible" name="2024_Payouts" sheetId="7" r:id="rId10"/>
    <sheet state="visible" name="2023_Payouts" sheetId="8" r:id="rId11"/>
    <sheet state="visible" name="2022_Payouts" sheetId="9" r:id="rId12"/>
    <sheet state="visible" name="2021_Payouts" sheetId="10" r:id="rId13"/>
    <sheet state="visible" name="2020_Payouts" sheetId="11" r:id="rId14"/>
    <sheet state="visible" name="2019_Payouts" sheetId="12" r:id="rId15"/>
    <sheet state="visible" name="2018_Payouts" sheetId="13" r:id="rId16"/>
    <sheet state="visible" name="2017_Payouts" sheetId="14" r:id="rId17"/>
    <sheet state="visible" name="2016_Payouts" sheetId="15" r:id="rId18"/>
    <sheet state="visible" name="2025_Regular_Season_Standings" sheetId="16" r:id="rId19"/>
    <sheet state="visible" name="2024_Regular_Season_Standings" sheetId="17" r:id="rId20"/>
    <sheet state="visible" name="2023_Regular_Season_Standings" sheetId="18" r:id="rId21"/>
    <sheet state="visible" name="2022_Regular_Season_Standings" sheetId="19" r:id="rId22"/>
    <sheet state="visible" name="2021_Regular_Season_Standings" sheetId="20" r:id="rId23"/>
    <sheet state="visible" name="2020_Regular_Season_Standings" sheetId="21" r:id="rId24"/>
    <sheet state="visible" name="2019_Regular_Season_Standings" sheetId="22" r:id="rId25"/>
    <sheet state="visible" name="2018_Regular_Season_Standings" sheetId="23" r:id="rId26"/>
    <sheet state="visible" name="2017_Regular_Season_Standings" sheetId="24" r:id="rId27"/>
    <sheet state="visible" name="2016_Regular_Season_Standings" sheetId="25" r:id="rId28"/>
    <sheet state="visible" name="2015_Regular_Season_Standings" sheetId="26" r:id="rId29"/>
    <sheet state="visible" name="Prior_Champs" sheetId="27" r:id="rId30"/>
    <sheet state="visible" name="League_Waiting_List" sheetId="28" r:id="rId31"/>
  </sheets>
  <definedNames/>
  <calcPr/>
</workbook>
</file>

<file path=xl/sharedStrings.xml><?xml version="1.0" encoding="utf-8"?>
<sst xmlns="http://schemas.openxmlformats.org/spreadsheetml/2006/main" count="2313" uniqueCount="348">
  <si>
    <t>Name</t>
  </si>
  <si>
    <t>Cell</t>
  </si>
  <si>
    <t>Ray Long</t>
  </si>
  <si>
    <t>(804) 647-1100</t>
  </si>
  <si>
    <t>Co-Owners</t>
  </si>
  <si>
    <t>Jeffrey Hudgins</t>
  </si>
  <si>
    <t>(404) 931-8499</t>
  </si>
  <si>
    <t>Doug Fordham</t>
  </si>
  <si>
    <t>(908) 303-8965</t>
  </si>
  <si>
    <t>Rashad Gresham</t>
  </si>
  <si>
    <t>(804) 647-5495</t>
  </si>
  <si>
    <t>Dave Besedich</t>
  </si>
  <si>
    <t>(615) 557-4118</t>
  </si>
  <si>
    <t>Jordan Maslyn</t>
  </si>
  <si>
    <t>(949) 235-2486</t>
  </si>
  <si>
    <t>Landon Elliott</t>
  </si>
  <si>
    <t>(252) 2020-5263</t>
  </si>
  <si>
    <t>Stan Schoppe</t>
  </si>
  <si>
    <t>(540) 413-6532</t>
  </si>
  <si>
    <t>Owner Name</t>
  </si>
  <si>
    <t>Aaron Hawkins</t>
  </si>
  <si>
    <t>(434) 282-3654</t>
  </si>
  <si>
    <t>Brian Stevens</t>
  </si>
  <si>
    <t>(614) 565-8100</t>
  </si>
  <si>
    <t>Travis Miller</t>
  </si>
  <si>
    <t>(804) 399-1599</t>
  </si>
  <si>
    <t>Year/Metric</t>
  </si>
  <si>
    <t>Wade Cameron</t>
  </si>
  <si>
    <t>(804) 698-0260</t>
  </si>
  <si>
    <t>JD Dowling</t>
  </si>
  <si>
    <t>(917) 482-1170</t>
  </si>
  <si>
    <t>Total Paid Out</t>
  </si>
  <si>
    <t>Tommy Moore</t>
  </si>
  <si>
    <t>(318) 464-0061</t>
  </si>
  <si>
    <t>Total Won</t>
  </si>
  <si>
    <t>Net (Won or Loss)</t>
  </si>
  <si>
    <t>Tommy</t>
  </si>
  <si>
    <t>David</t>
  </si>
  <si>
    <t>Jordan</t>
  </si>
  <si>
    <t>JD</t>
  </si>
  <si>
    <t>Aaron</t>
  </si>
  <si>
    <t>Rashad</t>
  </si>
  <si>
    <t>Brian</t>
  </si>
  <si>
    <t>Wade</t>
  </si>
  <si>
    <t>Travis</t>
  </si>
  <si>
    <t>Ray</t>
  </si>
  <si>
    <t>Doug</t>
  </si>
  <si>
    <t>Stan</t>
  </si>
  <si>
    <t>Billy</t>
  </si>
  <si>
    <t>Landon</t>
  </si>
  <si>
    <t>Adam</t>
  </si>
  <si>
    <t>Patrick</t>
  </si>
  <si>
    <t>Chris</t>
  </si>
  <si>
    <t>Ricky</t>
  </si>
  <si>
    <t>Garet</t>
  </si>
  <si>
    <t>Minnix</t>
  </si>
  <si>
    <t>Gordie</t>
  </si>
  <si>
    <t>Bryan</t>
  </si>
  <si>
    <t>2025 Paid</t>
  </si>
  <si>
    <t>2025 Won</t>
  </si>
  <si>
    <t>2024 Paid</t>
  </si>
  <si>
    <t>2024 Won</t>
  </si>
  <si>
    <t>2023 Paid</t>
  </si>
  <si>
    <t>2023 Won</t>
  </si>
  <si>
    <t>2022 Paid</t>
  </si>
  <si>
    <t>2022 Won</t>
  </si>
  <si>
    <t>Owner</t>
  </si>
  <si>
    <t>Avg</t>
  </si>
  <si>
    <t>Dave</t>
  </si>
  <si>
    <t>2021 Paid</t>
  </si>
  <si>
    <t>Ray/Jeffrey</t>
  </si>
  <si>
    <t>2021 Won</t>
  </si>
  <si>
    <t>James</t>
  </si>
  <si>
    <t>2020 Paid</t>
  </si>
  <si>
    <t>2020 Won</t>
  </si>
  <si>
    <t>Weekly Payout</t>
  </si>
  <si>
    <t>Division Winners</t>
  </si>
  <si>
    <t>Champ Ring</t>
  </si>
  <si>
    <t>3rd Place</t>
  </si>
  <si>
    <t>2nd Place</t>
  </si>
  <si>
    <t>1st Place</t>
  </si>
  <si>
    <t>Amount Won</t>
  </si>
  <si>
    <t>Entry Fee Paid</t>
  </si>
  <si>
    <t>Total Earned</t>
  </si>
  <si>
    <t>Names</t>
  </si>
  <si>
    <t>2019 Paid</t>
  </si>
  <si>
    <t>Paid</t>
  </si>
  <si>
    <t>Owes</t>
  </si>
  <si>
    <t>2019 Won</t>
  </si>
  <si>
    <t>2018 Paid</t>
  </si>
  <si>
    <t>4th Place</t>
  </si>
  <si>
    <t>Damon Food</t>
  </si>
  <si>
    <t>2018 Won</t>
  </si>
  <si>
    <t>Total</t>
  </si>
  <si>
    <t>Week</t>
  </si>
  <si>
    <t>Amount</t>
  </si>
  <si>
    <t>High Score</t>
  </si>
  <si>
    <t>Wk1</t>
  </si>
  <si>
    <t>Yes</t>
  </si>
  <si>
    <t>2017 Paid</t>
  </si>
  <si>
    <t>Wk2</t>
  </si>
  <si>
    <t>Wk3</t>
  </si>
  <si>
    <t>Seed#</t>
  </si>
  <si>
    <t>River City</t>
  </si>
  <si>
    <t>W</t>
  </si>
  <si>
    <t>L</t>
  </si>
  <si>
    <t>T</t>
  </si>
  <si>
    <t>GB</t>
  </si>
  <si>
    <t>PF</t>
  </si>
  <si>
    <t>PA</t>
  </si>
  <si>
    <t>Points Out of Playoffs</t>
  </si>
  <si>
    <t>Wk4</t>
  </si>
  <si>
    <t>The Mad "Panda"</t>
  </si>
  <si>
    <t>Wk5</t>
  </si>
  <si>
    <t>Nudas Priest</t>
  </si>
  <si>
    <t>2017 Won</t>
  </si>
  <si>
    <t>Wk6</t>
  </si>
  <si>
    <t>#FuckTSwift</t>
  </si>
  <si>
    <t>Wk7</t>
  </si>
  <si>
    <t>Trash Pandas</t>
  </si>
  <si>
    <t>Wk8</t>
  </si>
  <si>
    <t>Stanal Fissures</t>
  </si>
  <si>
    <t>Wk9</t>
  </si>
  <si>
    <t>The Schmendricks</t>
  </si>
  <si>
    <t>Wk10</t>
  </si>
  <si>
    <t>The Shake-n-Bakers</t>
  </si>
  <si>
    <t>Wk11</t>
  </si>
  <si>
    <t>ETN' Deez Nutz</t>
  </si>
  <si>
    <t>2016 Paid</t>
  </si>
  <si>
    <t>Wk12</t>
  </si>
  <si>
    <t>Broken Toe Joe</t>
  </si>
  <si>
    <t>Wk13</t>
  </si>
  <si>
    <t>Carolina Reapers</t>
  </si>
  <si>
    <t>Wk14</t>
  </si>
  <si>
    <t>It's a New Day</t>
  </si>
  <si>
    <t>2016 Won</t>
  </si>
  <si>
    <t>Ring</t>
  </si>
  <si>
    <t>Prestigio Mundial</t>
  </si>
  <si>
    <t>Division Winner</t>
  </si>
  <si>
    <t>s</t>
  </si>
  <si>
    <t>Champ</t>
  </si>
  <si>
    <t>Total Paid</t>
  </si>
  <si>
    <t>NowGiveMeMyThemeMusic</t>
  </si>
  <si>
    <t>Give Billy $50 FAAB when he's down to $150</t>
  </si>
  <si>
    <t>Fancy Ass Bitches</t>
  </si>
  <si>
    <t>Get.Your.Guy</t>
  </si>
  <si>
    <t>Stroud 2B an AmerAchane</t>
  </si>
  <si>
    <t xml:space="preserve">Doug </t>
  </si>
  <si>
    <t>The Righteous Gemstones</t>
  </si>
  <si>
    <t>Love'n Trash Pandas</t>
  </si>
  <si>
    <t>Earnings</t>
  </si>
  <si>
    <t>Brilly</t>
  </si>
  <si>
    <t>Special Brownies</t>
  </si>
  <si>
    <t>Snyder's Sloppy Seconds</t>
  </si>
  <si>
    <t>Name Plate</t>
  </si>
  <si>
    <t>Paid 1/2 to Jeffrey. Didn't pay myself</t>
  </si>
  <si>
    <t>No</t>
  </si>
  <si>
    <t>LB Winner</t>
  </si>
  <si>
    <t>Neaux Chance</t>
  </si>
  <si>
    <t>The Playoff Tush Pusher</t>
  </si>
  <si>
    <t xml:space="preserve">The Ship of Theseus </t>
  </si>
  <si>
    <t>KC Punch</t>
  </si>
  <si>
    <t>The Tush Pusher</t>
  </si>
  <si>
    <t>The Dollar Bins</t>
  </si>
  <si>
    <t>Sam Hinkie Reborn</t>
  </si>
  <si>
    <t>Getting Chiggy Wit It</t>
  </si>
  <si>
    <t>paid hudge full amt</t>
  </si>
  <si>
    <t>No Recap</t>
  </si>
  <si>
    <t>took away from what he owed</t>
  </si>
  <si>
    <t>Late Round Flyers</t>
  </si>
  <si>
    <t>Symbols</t>
  </si>
  <si>
    <t>Hot Tub Jellyfish</t>
  </si>
  <si>
    <t>Back to Jacksonville</t>
  </si>
  <si>
    <t>rolled into the pot</t>
  </si>
  <si>
    <t>The People's Champ</t>
  </si>
  <si>
    <t>Not Mad Just Disappointed</t>
  </si>
  <si>
    <t>Tommy/Dave</t>
  </si>
  <si>
    <t>Let Russ Cook(s)</t>
  </si>
  <si>
    <t>Beer is the Answer</t>
  </si>
  <si>
    <t xml:space="preserve">Dave </t>
  </si>
  <si>
    <t>paid what we owed</t>
  </si>
  <si>
    <t>ray paid $25 at start of season and we've won $40. Hudgins owes $5 and I can pull my $25 out.</t>
  </si>
  <si>
    <t>Infinity Chubb</t>
  </si>
  <si>
    <t>Saquon can have my ACL</t>
  </si>
  <si>
    <t>BeardSmellsLikeBalls</t>
  </si>
  <si>
    <t>F U Minshew</t>
  </si>
  <si>
    <t>Current</t>
  </si>
  <si>
    <t>no recap</t>
  </si>
  <si>
    <t>Aaron Jonestown Massacre</t>
  </si>
  <si>
    <t>Top 4</t>
  </si>
  <si>
    <t>Knights of Chadwick</t>
  </si>
  <si>
    <t>Advancing to Finals</t>
  </si>
  <si>
    <t>Win Finals</t>
  </si>
  <si>
    <t>Witch Doctors</t>
  </si>
  <si>
    <t>Advance to Playoffs</t>
  </si>
  <si>
    <t>Big Dick Nick Pics</t>
  </si>
  <si>
    <t>N/A</t>
  </si>
  <si>
    <t xml:space="preserve">Jordan </t>
  </si>
  <si>
    <t>Diamond Dogs</t>
  </si>
  <si>
    <t>Venmo</t>
  </si>
  <si>
    <t>Cash</t>
  </si>
  <si>
    <t>$50</t>
  </si>
  <si>
    <t>PayPal</t>
  </si>
  <si>
    <t>My Bank Acct</t>
  </si>
  <si>
    <t>paid Hudgins$7.50. didn't pay myself any winnings</t>
  </si>
  <si>
    <t>Doug wrote recap on Brian's behalf</t>
  </si>
  <si>
    <t>$15</t>
  </si>
  <si>
    <t>Didn't write so rolled into Championship Pot</t>
  </si>
  <si>
    <t>Zelle</t>
  </si>
  <si>
    <t>Witchdoctors</t>
  </si>
  <si>
    <t>no write up/no payout</t>
  </si>
  <si>
    <t>Stevens24/7</t>
  </si>
  <si>
    <t>1st Loser</t>
  </si>
  <si>
    <t>Trash Panda</t>
  </si>
  <si>
    <t>Deebo and Arrow</t>
  </si>
  <si>
    <t>In My Thielens</t>
  </si>
  <si>
    <t>Prestigo Mundial</t>
  </si>
  <si>
    <t>$100</t>
  </si>
  <si>
    <t>O' Saquon You See</t>
  </si>
  <si>
    <t>My Beard Smells Like Dicks</t>
  </si>
  <si>
    <t>$200</t>
  </si>
  <si>
    <t>Tender Zuerlein</t>
  </si>
  <si>
    <t>Thugs of Thanos</t>
  </si>
  <si>
    <t>Kerryon My Wayward Son</t>
  </si>
  <si>
    <t>Patrick Jr.</t>
  </si>
  <si>
    <t>Big Al's Dingers</t>
  </si>
  <si>
    <t>Moore's Monstars</t>
  </si>
  <si>
    <t>Notmillatime27</t>
  </si>
  <si>
    <t>Mad Panda</t>
  </si>
  <si>
    <t>Biddle Me this Batman</t>
  </si>
  <si>
    <t>Shake N Bakers</t>
  </si>
  <si>
    <t>Ricky Crickets</t>
  </si>
  <si>
    <t>Nuk If You Buck</t>
  </si>
  <si>
    <t>Went Upon A Time</t>
  </si>
  <si>
    <t>Landon paid Tommy</t>
  </si>
  <si>
    <t>$20 cash</t>
  </si>
  <si>
    <t>$50 venmo</t>
  </si>
  <si>
    <t>$60 cash</t>
  </si>
  <si>
    <t>owe $10</t>
  </si>
  <si>
    <t>JD said to give Chris his $10. Gave Chris a $20</t>
  </si>
  <si>
    <t>put his $10 towards pizza</t>
  </si>
  <si>
    <t>3rd &amp; 4th Place Payout</t>
  </si>
  <si>
    <t>2 Place Payout</t>
  </si>
  <si>
    <t>Champ Payout</t>
  </si>
  <si>
    <t>Area 10</t>
  </si>
  <si>
    <t>Reg Season Standings</t>
  </si>
  <si>
    <t>Final Standings After Playoff</t>
  </si>
  <si>
    <t>Hyde the Russel Sprouts</t>
  </si>
  <si>
    <t>Team Name</t>
  </si>
  <si>
    <t>#</t>
  </si>
  <si>
    <t>Deez Lutz</t>
  </si>
  <si>
    <t>Prestige Worldwide</t>
  </si>
  <si>
    <t>Tommy is owed $35 from Landon's entry</t>
  </si>
  <si>
    <t>Dog Will Hunt</t>
  </si>
  <si>
    <t>Hooked On A Thielen</t>
  </si>
  <si>
    <t>Wentz in Pain</t>
  </si>
  <si>
    <t>Shake-n-Bakers</t>
  </si>
  <si>
    <t>The Mad Panda</t>
  </si>
  <si>
    <t>Ertz So Good</t>
  </si>
  <si>
    <t>Winning is the Pryority</t>
  </si>
  <si>
    <t>*2025 Divisions will be based on Final Standings: (1,4,7,10 / 2,5,8,11 / 3,6,9,12)</t>
  </si>
  <si>
    <t>Lights! Kamara Action</t>
  </si>
  <si>
    <t>Bad JuJu</t>
  </si>
  <si>
    <t>The Land of Cleve</t>
  </si>
  <si>
    <t>Reg Season Standings of 1-6 for draft</t>
  </si>
  <si>
    <t>The Ship of Theseus</t>
  </si>
  <si>
    <t>Stroud 2B an Achane</t>
  </si>
  <si>
    <t>Clown Punchers</t>
  </si>
  <si>
    <t>*2024 Divisions will be based on Final Standings: (1,4,7,10 / 2,5,8,11 / 3,6,9,12)</t>
  </si>
  <si>
    <t>The Playoff Tush Push</t>
  </si>
  <si>
    <t>The Tush Pushers</t>
  </si>
  <si>
    <t>Closed for Rennovations</t>
  </si>
  <si>
    <t>Gettin Chiggy Wit It</t>
  </si>
  <si>
    <t>Neux Chance</t>
  </si>
  <si>
    <t>The Originals</t>
  </si>
  <si>
    <t>The Hellfire Club</t>
  </si>
  <si>
    <t>Asian Symbols</t>
  </si>
  <si>
    <t>Tua Many Injuries</t>
  </si>
  <si>
    <t>Hot Tub Jelly Fish</t>
  </si>
  <si>
    <t>*2023 Divisions will be based on Final Standings: (1,4,7,10 / 2,5,8,11 / 3,6,9,12)</t>
  </si>
  <si>
    <t>*2022 Divisions will be based on Final Standings: (1,4,7,10 / 2,5,8,11 / 3,6,9,12)</t>
  </si>
  <si>
    <t>BeeristheAnswer</t>
  </si>
  <si>
    <t>RVA Panthers</t>
  </si>
  <si>
    <t>Panda Loco</t>
  </si>
  <si>
    <t>John Cockslam &amp; 4Skins</t>
  </si>
  <si>
    <t>Dak Daddy</t>
  </si>
  <si>
    <t>Draft Order</t>
  </si>
  <si>
    <t>*2021 Divisions will be based on Final Standings: (1,4,7,10 / 2,5,8,11 / 3,6,9,12)</t>
  </si>
  <si>
    <t>Stevens247</t>
  </si>
  <si>
    <t>ThugsofThanos</t>
  </si>
  <si>
    <t>Deebow and Arrow</t>
  </si>
  <si>
    <t>Shake n Bakers</t>
  </si>
  <si>
    <t>*2020 Divisions will be based on Final Standings: (1,4,7,10 / 2,5,8,11 / 3,6,9,12)</t>
  </si>
  <si>
    <t>Thugsof Thanos</t>
  </si>
  <si>
    <t>Patrick Jr</t>
  </si>
  <si>
    <t>O Saquon You See</t>
  </si>
  <si>
    <t>kerryon my wayward son</t>
  </si>
  <si>
    <t>Wentz Upon a Time</t>
  </si>
  <si>
    <t>Hyde the Russell Sprouts</t>
  </si>
  <si>
    <t>Receding Zuerlein</t>
  </si>
  <si>
    <t>*2019 Divisions will be based on Final Standings: (1,4,7,10 / 2,5,8,11 / 3,6,9,12)</t>
  </si>
  <si>
    <t>Hooked on a Thielen</t>
  </si>
  <si>
    <t>*2018 Divisions will be based on Final Standings: (1,4,7,10 / 2,5,8,11 / 3,6,9,12)</t>
  </si>
  <si>
    <t>Nuk if You Buck</t>
  </si>
  <si>
    <t>Thanks a lot Evans!</t>
  </si>
  <si>
    <t>Wentz In Pain</t>
  </si>
  <si>
    <t>Breesus Take the Wheel</t>
  </si>
  <si>
    <t>RG Threveland</t>
  </si>
  <si>
    <t>Thank My Luck-y Johnson</t>
  </si>
  <si>
    <t>Fully Repaired Nelson</t>
  </si>
  <si>
    <t>Making America Great Again</t>
  </si>
  <si>
    <t>Weeping Snowflakes</t>
  </si>
  <si>
    <t>Freakshow Freaks</t>
  </si>
  <si>
    <t>*2017 Divisions will be based on Final Standings: (1,4,7,10 / 2,5,8,11 / 3,6,9,12)</t>
  </si>
  <si>
    <t>Brate and Switch</t>
  </si>
  <si>
    <t>Chickn Parm u Taste So Good</t>
  </si>
  <si>
    <t>Team Polarek</t>
  </si>
  <si>
    <t>Keith</t>
  </si>
  <si>
    <t>I'm Your Huckleberry</t>
  </si>
  <si>
    <t>The Not That Great CornJulio</t>
  </si>
  <si>
    <t>Drinkin' Irish</t>
  </si>
  <si>
    <t>Momma Said Gronk You Out</t>
  </si>
  <si>
    <t>McCown Town</t>
  </si>
  <si>
    <t>*2016 Divisions will be based on Final Standings: (1,4,7,10 / 2,5,8,11 / 3,6,9,12)</t>
  </si>
  <si>
    <t>Check My Balls</t>
  </si>
  <si>
    <t>Lil' Breezy Baby</t>
  </si>
  <si>
    <t>Fightin' Fitz-magics</t>
  </si>
  <si>
    <t>Mama Said Gronk You Out</t>
  </si>
  <si>
    <t>Specail Brownies</t>
  </si>
  <si>
    <t>Freakshow Freak</t>
  </si>
  <si>
    <t>Order</t>
  </si>
  <si>
    <t>Year</t>
  </si>
  <si>
    <t>Winner</t>
  </si>
  <si>
    <t>Bryan D</t>
  </si>
  <si>
    <t>Place</t>
  </si>
  <si>
    <t>Nicholas</t>
  </si>
  <si>
    <t>Zach</t>
  </si>
  <si>
    <t>Darren</t>
  </si>
  <si>
    <t>Rachel</t>
  </si>
  <si>
    <t>Years Involved</t>
  </si>
  <si>
    <t>Avg Finish</t>
  </si>
  <si>
    <t>Playoff Appearance</t>
  </si>
  <si>
    <t>Champs</t>
  </si>
  <si>
    <t>% to Win</t>
  </si>
  <si>
    <t>Avg. High Score</t>
  </si>
  <si>
    <t>Average</t>
  </si>
  <si>
    <t>?</t>
  </si>
  <si>
    <t>Daren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</si>
</sst>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&quot;$&quot;#,##0_);[Red]\(&quot;$&quot;#,##0\)"/>
    <numFmt numFmtId="166" formatCode="0.0"/>
  </numFmts>
  <fonts count="29">
    <font>
      <sz val="10.0"/>
      <color rgb="FF000000"/>
      <name val="Arial"/>
    </font>
    <font>
      <b/>
      <name val="Arial"/>
    </font>
    <font>
      <name val="Arial"/>
    </font>
    <font>
      <color rgb="FFFFFFFF"/>
      <name val="Arial"/>
    </font>
    <font/>
    <font>
      <color rgb="FFFFFFFF"/>
      <name val="Roboto"/>
    </font>
    <font>
      <color rgb="FF434343"/>
      <name val="Roboto"/>
    </font>
    <font>
      <color rgb="FF000000"/>
      <name val="Arial"/>
    </font>
    <font>
      <name val="&quot;Times New Roman&quot;"/>
    </font>
    <font>
      <b/>
      <sz val="10.0"/>
      <name val="Arial"/>
    </font>
    <font>
      <sz val="10.0"/>
      <name val="Arial"/>
    </font>
    <font>
      <b/>
      <sz val="10.0"/>
      <color rgb="FF000000"/>
      <name val="Arial"/>
    </font>
    <font>
      <sz val="10.0"/>
      <name val="Times New Roman"/>
    </font>
    <font>
      <b/>
      <sz val="10.0"/>
      <name val="Times New Roman"/>
    </font>
    <font>
      <sz val="8.0"/>
      <name val="Arial"/>
    </font>
    <font>
      <sz val="8.0"/>
      <color rgb="FFFFFFFF"/>
      <name val="Arial"/>
    </font>
    <font>
      <sz val="10.0"/>
      <color rgb="FFFFFFFF"/>
      <name val="Arial"/>
    </font>
    <font>
      <b/>
      <sz val="8.0"/>
      <name val="Arial"/>
    </font>
    <font>
      <sz val="8.0"/>
      <color rgb="FF000000"/>
      <name val="Arial"/>
    </font>
    <font>
      <i/>
      <sz val="8.0"/>
      <color rgb="FFFFFFFF"/>
      <name val="Arial"/>
    </font>
    <font>
      <b/>
    </font>
    <font>
      <color rgb="FFFFFFFF"/>
    </font>
    <font>
      <b/>
      <name val="Times New Roman"/>
    </font>
    <font>
      <name val="Times New Roman"/>
    </font>
    <font>
      <b/>
      <i/>
      <color rgb="FF000000"/>
      <name val="Arial"/>
    </font>
    <font>
      <b/>
      <i/>
      <sz val="10.0"/>
      <color rgb="FF000000"/>
      <name val="Arial"/>
    </font>
    <font>
      <b/>
      <sz val="8.0"/>
      <color rgb="FF000000"/>
      <name val="Arial"/>
    </font>
    <font>
      <b/>
      <color rgb="FF000000"/>
      <name val="Arial"/>
    </font>
    <font>
      <i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535FC1"/>
        <bgColor rgb="FF535FC1"/>
      </patternFill>
    </fill>
    <fill>
      <patternFill patternType="solid">
        <fgColor rgb="FFF6F8F9"/>
        <bgColor rgb="FFF6F8F9"/>
      </patternFill>
    </fill>
    <fill>
      <patternFill patternType="solid">
        <fgColor rgb="FF00FF00"/>
        <bgColor rgb="FF00FF00"/>
      </patternFill>
    </fill>
    <fill>
      <patternFill patternType="solid">
        <fgColor rgb="FFC0C0C0"/>
        <bgColor rgb="FFC0C0C0"/>
      </patternFill>
    </fill>
    <fill>
      <patternFill patternType="solid">
        <fgColor rgb="FF000000"/>
        <bgColor rgb="FF000000"/>
      </patternFill>
    </fill>
    <fill>
      <patternFill patternType="solid">
        <fgColor rgb="FFA5A5A5"/>
        <bgColor rgb="FFA5A5A5"/>
      </patternFill>
    </fill>
    <fill>
      <patternFill patternType="solid">
        <fgColor rgb="FFB7E1CD"/>
        <bgColor rgb="FFB7E1CD"/>
      </patternFill>
    </fill>
    <fill>
      <patternFill patternType="solid">
        <fgColor rgb="FF00B0F0"/>
        <bgColor rgb="FF00B0F0"/>
      </patternFill>
    </fill>
    <fill>
      <patternFill patternType="solid">
        <fgColor rgb="FFFF40FF"/>
        <bgColor rgb="FFFF40FF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FF9900"/>
        <bgColor rgb="FFFF9900"/>
      </patternFill>
    </fill>
  </fills>
  <borders count="86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bottom"/>
    </xf>
    <xf borderId="4" fillId="3" fontId="3" numFmtId="0" xfId="0" applyAlignment="1" applyBorder="1" applyFill="1" applyFont="1">
      <alignment vertical="center"/>
    </xf>
    <xf borderId="5" fillId="3" fontId="3" numFmtId="0" xfId="0" applyAlignment="1" applyBorder="1" applyFont="1">
      <alignment horizontal="center" vertical="center"/>
    </xf>
    <xf borderId="6" fillId="0" fontId="2" numFmtId="0" xfId="0" applyAlignment="1" applyBorder="1" applyFont="1">
      <alignment readingOrder="0" shrinkToFit="0" vertical="center" wrapText="1"/>
    </xf>
    <xf borderId="7" fillId="3" fontId="3" numFmtId="0" xfId="0" applyAlignment="1" applyBorder="1" applyFont="1">
      <alignment vertical="center"/>
    </xf>
    <xf borderId="8" fillId="3" fontId="3" numFmtId="0" xfId="0" applyAlignment="1" applyBorder="1" applyFont="1">
      <alignment horizontal="center" vertical="center"/>
    </xf>
    <xf borderId="8" fillId="0" fontId="4" numFmtId="0" xfId="0" applyBorder="1" applyFont="1"/>
    <xf borderId="9" fillId="4" fontId="2" numFmtId="0" xfId="0" applyAlignment="1" applyBorder="1" applyFill="1" applyFont="1">
      <alignment readingOrder="0" vertical="center"/>
    </xf>
    <xf borderId="10" fillId="4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shrinkToFit="0" vertical="bottom" wrapText="1"/>
    </xf>
    <xf borderId="11" fillId="4" fontId="2" numFmtId="0" xfId="0" applyAlignment="1" applyBorder="1" applyFont="1">
      <alignment readingOrder="0" vertical="center"/>
    </xf>
    <xf borderId="12" fillId="4" fontId="2" numFmtId="0" xfId="0" applyAlignment="1" applyBorder="1" applyFont="1">
      <alignment horizontal="center" readingOrder="0" vertical="center"/>
    </xf>
    <xf borderId="13" fillId="4" fontId="2" numFmtId="0" xfId="0" applyAlignment="1" applyBorder="1" applyFont="1">
      <alignment vertical="center"/>
    </xf>
    <xf borderId="14" fillId="4" fontId="2" numFmtId="0" xfId="0" applyAlignment="1" applyBorder="1" applyFont="1">
      <alignment horizontal="center" readingOrder="0" vertical="center"/>
    </xf>
    <xf borderId="4" fillId="5" fontId="2" numFmtId="0" xfId="0" applyAlignment="1" applyBorder="1" applyFill="1" applyFont="1">
      <alignment vertical="center"/>
    </xf>
    <xf borderId="5" fillId="5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readingOrder="0" shrinkToFit="0" vertical="center" wrapText="1"/>
    </xf>
    <xf borderId="16" fillId="5" fontId="2" numFmtId="0" xfId="0" applyAlignment="1" applyBorder="1" applyFont="1">
      <alignment vertical="center"/>
    </xf>
    <xf borderId="17" fillId="5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readingOrder="0" vertical="center"/>
    </xf>
    <xf borderId="10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bottom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horizontal="center" vertical="center"/>
    </xf>
    <xf borderId="0" fillId="0" fontId="5" numFmtId="0" xfId="0" applyAlignment="1" applyFont="1">
      <alignment horizontal="left" readingOrder="0" shrinkToFit="0" vertical="center" wrapText="0"/>
    </xf>
    <xf borderId="7" fillId="0" fontId="2" numFmtId="0" xfId="0" applyAlignment="1" applyBorder="1" applyFont="1">
      <alignment readingOrder="0" vertical="center"/>
    </xf>
    <xf borderId="8" fillId="0" fontId="2" numFmtId="0" xfId="0" applyAlignment="1" applyBorder="1" applyFont="1">
      <alignment readingOrder="0" vertical="center"/>
    </xf>
    <xf borderId="0" fillId="0" fontId="4" numFmtId="0" xfId="0" applyAlignment="1" applyFont="1">
      <alignment vertical="center"/>
    </xf>
    <xf borderId="0" fillId="0" fontId="6" numFmtId="0" xfId="0" applyAlignment="1" applyFont="1">
      <alignment shrinkToFit="0" vertical="center" wrapText="0"/>
    </xf>
    <xf borderId="18" fillId="6" fontId="5" numFmtId="0" xfId="0" applyAlignment="1" applyBorder="1" applyFill="1" applyFont="1">
      <alignment horizontal="left" readingOrder="0" shrinkToFit="0" vertical="center" wrapText="0"/>
    </xf>
    <xf borderId="0" fillId="0" fontId="6" numFmtId="0" xfId="0" applyAlignment="1" applyFont="1">
      <alignment shrinkToFit="0" vertical="center" wrapText="0"/>
    </xf>
    <xf borderId="18" fillId="4" fontId="6" numFmtId="0" xfId="0" applyAlignment="1" applyBorder="1" applyFont="1">
      <alignment readingOrder="0" shrinkToFit="0" vertical="center" wrapText="0"/>
    </xf>
    <xf borderId="18" fillId="4" fontId="6" numFmtId="0" xfId="0" applyAlignment="1" applyBorder="1" applyFont="1">
      <alignment horizontal="right" shrinkToFit="0" vertical="center" wrapText="0"/>
    </xf>
    <xf borderId="18" fillId="7" fontId="6" numFmtId="0" xfId="0" applyAlignment="1" applyBorder="1" applyFill="1" applyFont="1">
      <alignment readingOrder="0" shrinkToFit="0" vertical="center" wrapText="0"/>
    </xf>
    <xf borderId="18" fillId="7" fontId="6" numFmtId="0" xfId="0" applyAlignment="1" applyBorder="1" applyFont="1">
      <alignment horizontal="right" shrinkToFit="0" vertical="center" wrapText="0"/>
    </xf>
    <xf borderId="0" fillId="0" fontId="4" numFmtId="0" xfId="0" applyAlignment="1" applyFont="1">
      <alignment readingOrder="0"/>
    </xf>
    <xf borderId="19" fillId="4" fontId="7" numFmtId="0" xfId="0" applyAlignment="1" applyBorder="1" applyFont="1">
      <alignment readingOrder="0" shrinkToFit="0" vertical="bottom" wrapText="1"/>
    </xf>
    <xf borderId="0" fillId="0" fontId="2" numFmtId="2" xfId="0" applyAlignment="1" applyFont="1" applyNumberFormat="1">
      <alignment horizontal="center" shrinkToFit="0" vertical="bottom" wrapText="1"/>
    </xf>
    <xf borderId="20" fillId="0" fontId="7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vertical="bottom" wrapText="1"/>
    </xf>
    <xf borderId="21" fillId="4" fontId="7" numFmtId="0" xfId="0" applyAlignment="1" applyBorder="1" applyFont="1">
      <alignment readingOrder="0" shrinkToFit="0" vertical="bottom" wrapText="1"/>
    </xf>
    <xf borderId="0" fillId="0" fontId="7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wrapText="1"/>
    </xf>
    <xf borderId="22" fillId="0" fontId="7" numFmtId="0" xfId="0" applyAlignment="1" applyBorder="1" applyFont="1">
      <alignment readingOrder="0" vertical="bottom"/>
    </xf>
    <xf borderId="0" fillId="2" fontId="7" numFmtId="0" xfId="0" applyAlignment="1" applyFont="1">
      <alignment vertical="center"/>
    </xf>
    <xf borderId="0" fillId="2" fontId="4" numFmtId="0" xfId="0" applyAlignment="1" applyFont="1">
      <alignment horizontal="center" readingOrder="0"/>
    </xf>
    <xf borderId="23" fillId="4" fontId="7" numFmtId="0" xfId="0" applyAlignment="1" applyBorder="1" applyFont="1">
      <alignment readingOrder="0" shrinkToFit="0" vertical="bottom" wrapText="1"/>
    </xf>
    <xf borderId="21" fillId="4" fontId="2" numFmtId="0" xfId="0" applyAlignment="1" applyBorder="1" applyFont="1">
      <alignment shrinkToFit="0" vertical="bottom" wrapText="1"/>
    </xf>
    <xf borderId="21" fillId="4" fontId="8" numFmtId="0" xfId="0" applyAlignment="1" applyBorder="1" applyFont="1">
      <alignment shrinkToFit="0" wrapText="1"/>
    </xf>
    <xf borderId="0" fillId="0" fontId="2" numFmtId="2" xfId="0" applyAlignment="1" applyFont="1" applyNumberFormat="1">
      <alignment horizontal="center" readingOrder="0" shrinkToFit="0" wrapText="1"/>
    </xf>
    <xf borderId="21" fillId="4" fontId="8" numFmtId="0" xfId="0" applyAlignment="1" applyBorder="1" applyFont="1">
      <alignment readingOrder="0" shrinkToFit="0" wrapText="1"/>
    </xf>
    <xf borderId="21" fillId="8" fontId="8" numFmtId="0" xfId="0" applyAlignment="1" applyBorder="1" applyFill="1" applyFont="1">
      <alignment shrinkToFit="0" wrapText="1"/>
    </xf>
    <xf borderId="0" fillId="2" fontId="2" numFmtId="0" xfId="0" applyAlignment="1" applyFont="1">
      <alignment horizontal="center" readingOrder="0" shrinkToFit="0" vertical="center" wrapText="1"/>
    </xf>
    <xf borderId="24" fillId="9" fontId="9" numFmtId="0" xfId="0" applyAlignment="1" applyBorder="1" applyFill="1" applyFont="1">
      <alignment horizontal="center" shrinkToFit="0" vertical="center" wrapText="1"/>
    </xf>
    <xf borderId="25" fillId="9" fontId="9" numFmtId="0" xfId="0" applyAlignment="1" applyBorder="1" applyFont="1">
      <alignment horizontal="center" shrinkToFit="0" vertical="center" wrapText="1"/>
    </xf>
    <xf borderId="26" fillId="9" fontId="1" numFmtId="0" xfId="0" applyAlignment="1" applyBorder="1" applyFont="1">
      <alignment horizontal="center" shrinkToFit="0" wrapText="1"/>
    </xf>
    <xf borderId="25" fillId="9" fontId="1" numFmtId="0" xfId="0" applyAlignment="1" applyBorder="1" applyFont="1">
      <alignment horizontal="center" shrinkToFit="0" wrapText="1"/>
    </xf>
    <xf borderId="27" fillId="9" fontId="1" numFmtId="0" xfId="0" applyAlignment="1" applyBorder="1" applyFont="1">
      <alignment horizontal="center" shrinkToFit="0" wrapText="1"/>
    </xf>
    <xf borderId="28" fillId="9" fontId="1" numFmtId="0" xfId="0" applyAlignment="1" applyBorder="1" applyFont="1">
      <alignment horizontal="center" shrinkToFit="0" wrapText="1"/>
    </xf>
    <xf borderId="29" fillId="10" fontId="10" numFmtId="0" xfId="0" applyBorder="1" applyFill="1" applyFont="1"/>
    <xf borderId="0" fillId="10" fontId="4" numFmtId="0" xfId="0" applyFont="1"/>
    <xf borderId="1" fillId="11" fontId="11" numFmtId="0" xfId="0" applyAlignment="1" applyBorder="1" applyFill="1" applyFont="1">
      <alignment horizontal="center" vertical="center"/>
    </xf>
    <xf borderId="30" fillId="11" fontId="11" numFmtId="0" xfId="0" applyAlignment="1" applyBorder="1" applyFont="1">
      <alignment horizontal="center" vertical="center"/>
    </xf>
    <xf borderId="31" fillId="11" fontId="11" numFmtId="0" xfId="0" applyAlignment="1" applyBorder="1" applyFont="1">
      <alignment horizontal="center" vertical="center"/>
    </xf>
    <xf borderId="4" fillId="4" fontId="10" numFmtId="0" xfId="0" applyAlignment="1" applyBorder="1" applyFont="1">
      <alignment horizontal="left" shrinkToFit="0" vertical="center" wrapText="1"/>
    </xf>
    <xf borderId="32" fillId="0" fontId="2" numFmtId="0" xfId="0" applyAlignment="1" applyBorder="1" applyFont="1">
      <alignment horizontal="center" shrinkToFit="0" wrapText="1"/>
    </xf>
    <xf borderId="32" fillId="0" fontId="10" numFmtId="164" xfId="0" applyAlignment="1" applyBorder="1" applyFont="1" applyNumberFormat="1">
      <alignment horizontal="center" shrinkToFit="0" vertical="center" wrapText="1"/>
    </xf>
    <xf borderId="33" fillId="0" fontId="2" numFmtId="164" xfId="0" applyAlignment="1" applyBorder="1" applyFont="1" applyNumberFormat="1">
      <alignment horizontal="center" shrinkToFit="0" wrapText="1"/>
    </xf>
    <xf borderId="34" fillId="0" fontId="2" numFmtId="164" xfId="0" applyAlignment="1" applyBorder="1" applyFont="1" applyNumberFormat="1">
      <alignment horizontal="center" shrinkToFit="0" wrapText="1"/>
    </xf>
    <xf borderId="35" fillId="0" fontId="2" numFmtId="164" xfId="0" applyAlignment="1" applyBorder="1" applyFont="1" applyNumberFormat="1">
      <alignment horizontal="center" shrinkToFit="0" wrapText="1"/>
    </xf>
    <xf borderId="36" fillId="0" fontId="2" numFmtId="164" xfId="0" applyAlignment="1" applyBorder="1" applyFont="1" applyNumberFormat="1">
      <alignment horizontal="center" shrinkToFit="0" wrapText="1"/>
    </xf>
    <xf borderId="36" fillId="4" fontId="2" numFmtId="164" xfId="0" applyAlignment="1" applyBorder="1" applyFont="1" applyNumberFormat="1">
      <alignment horizontal="center" shrinkToFit="0" wrapText="1"/>
    </xf>
    <xf borderId="4" fillId="4" fontId="12" numFmtId="0" xfId="0" applyAlignment="1" applyBorder="1" applyFont="1">
      <alignment horizontal="left" shrinkToFit="0" vertical="center" wrapText="1"/>
    </xf>
    <xf borderId="37" fillId="4" fontId="0" numFmtId="165" xfId="0" applyAlignment="1" applyBorder="1" applyFont="1" applyNumberFormat="1">
      <alignment horizontal="center" readingOrder="0" vertical="center"/>
    </xf>
    <xf borderId="38" fillId="4" fontId="0" numFmtId="165" xfId="0" applyAlignment="1" applyBorder="1" applyFont="1" applyNumberFormat="1">
      <alignment horizontal="center" vertical="center"/>
    </xf>
    <xf borderId="11" fillId="4" fontId="10" numFmtId="0" xfId="0" applyAlignment="1" applyBorder="1" applyFont="1">
      <alignment horizontal="left" readingOrder="0" shrinkToFit="0" vertical="center" wrapText="1"/>
    </xf>
    <xf borderId="18" fillId="0" fontId="2" numFmtId="0" xfId="0" applyAlignment="1" applyBorder="1" applyFont="1">
      <alignment horizontal="center" shrinkToFit="0" wrapText="1"/>
    </xf>
    <xf borderId="39" fillId="0" fontId="10" numFmtId="164" xfId="0" applyAlignment="1" applyBorder="1" applyFont="1" applyNumberFormat="1">
      <alignment horizontal="center" shrinkToFit="0" vertical="center" wrapText="1"/>
    </xf>
    <xf borderId="18" fillId="0" fontId="2" numFmtId="164" xfId="0" applyAlignment="1" applyBorder="1" applyFont="1" applyNumberFormat="1">
      <alignment horizontal="center" shrinkToFit="0" wrapText="1"/>
    </xf>
    <xf borderId="40" fillId="0" fontId="2" numFmtId="164" xfId="0" applyAlignment="1" applyBorder="1" applyFont="1" applyNumberFormat="1">
      <alignment horizontal="center" shrinkToFit="0" wrapText="1"/>
    </xf>
    <xf borderId="41" fillId="4" fontId="2" numFmtId="164" xfId="0" applyAlignment="1" applyBorder="1" applyFont="1" applyNumberFormat="1">
      <alignment horizontal="center" shrinkToFit="0" wrapText="1"/>
    </xf>
    <xf borderId="11" fillId="4" fontId="12" numFmtId="0" xfId="0" applyAlignment="1" applyBorder="1" applyFont="1">
      <alignment horizontal="left" readingOrder="0" shrinkToFit="0" vertical="center" wrapText="1"/>
    </xf>
    <xf borderId="42" fillId="4" fontId="0" numFmtId="165" xfId="0" applyAlignment="1" applyBorder="1" applyFont="1" applyNumberFormat="1">
      <alignment horizontal="center" readingOrder="0" vertical="center"/>
    </xf>
    <xf borderId="43" fillId="4" fontId="0" numFmtId="165" xfId="0" applyAlignment="1" applyBorder="1" applyFont="1" applyNumberFormat="1">
      <alignment horizontal="center" vertical="center"/>
    </xf>
    <xf borderId="11" fillId="4" fontId="10" numFmtId="0" xfId="0" applyAlignment="1" applyBorder="1" applyFont="1">
      <alignment horizontal="left" shrinkToFit="0" vertical="center" wrapText="1"/>
    </xf>
    <xf borderId="11" fillId="4" fontId="12" numFmtId="0" xfId="0" applyAlignment="1" applyBorder="1" applyFont="1">
      <alignment horizontal="left" shrinkToFit="0" vertical="center" wrapText="1"/>
    </xf>
    <xf borderId="0" fillId="10" fontId="0" numFmtId="165" xfId="0" applyAlignment="1" applyFont="1" applyNumberFormat="1">
      <alignment readingOrder="0"/>
    </xf>
    <xf borderId="18" fillId="4" fontId="2" numFmtId="165" xfId="0" applyAlignment="1" applyBorder="1" applyFont="1" applyNumberFormat="1">
      <alignment horizontal="center" readingOrder="0" vertical="center"/>
    </xf>
    <xf borderId="12" fillId="4" fontId="0" numFmtId="165" xfId="0" applyAlignment="1" applyBorder="1" applyFont="1" applyNumberFormat="1">
      <alignment horizontal="center" vertical="center"/>
    </xf>
    <xf borderId="16" fillId="4" fontId="10" numFmtId="0" xfId="0" applyAlignment="1" applyBorder="1" applyFont="1">
      <alignment horizontal="left" readingOrder="0" shrinkToFit="0" vertical="center" wrapText="1"/>
    </xf>
    <xf borderId="44" fillId="0" fontId="2" numFmtId="0" xfId="0" applyAlignment="1" applyBorder="1" applyFont="1">
      <alignment horizontal="center" shrinkToFit="0" wrapText="1"/>
    </xf>
    <xf borderId="26" fillId="9" fontId="9" numFmtId="0" xfId="0" applyAlignment="1" applyBorder="1" applyFont="1">
      <alignment horizontal="center" readingOrder="0" shrinkToFit="0" vertical="center" wrapText="1"/>
    </xf>
    <xf borderId="45" fillId="0" fontId="10" numFmtId="164" xfId="0" applyAlignment="1" applyBorder="1" applyFont="1" applyNumberFormat="1">
      <alignment horizontal="center" shrinkToFit="0" vertical="center" wrapText="1"/>
    </xf>
    <xf borderId="45" fillId="0" fontId="2" numFmtId="164" xfId="0" applyAlignment="1" applyBorder="1" applyFont="1" applyNumberFormat="1">
      <alignment horizontal="center" shrinkToFit="0" wrapText="1"/>
    </xf>
    <xf borderId="25" fillId="9" fontId="9" numFmtId="0" xfId="0" applyAlignment="1" applyBorder="1" applyFont="1">
      <alignment horizontal="center" readingOrder="0" shrinkToFit="0" vertical="center" wrapText="1"/>
    </xf>
    <xf borderId="46" fillId="0" fontId="2" numFmtId="164" xfId="0" applyAlignment="1" applyBorder="1" applyFont="1" applyNumberFormat="1">
      <alignment horizontal="center" shrinkToFit="0" wrapText="1"/>
    </xf>
    <xf borderId="27" fillId="9" fontId="9" numFmtId="0" xfId="0" applyAlignment="1" applyBorder="1" applyFont="1">
      <alignment horizontal="center" readingOrder="0" shrinkToFit="0" vertical="center" wrapText="1"/>
    </xf>
    <xf borderId="46" fillId="4" fontId="2" numFmtId="164" xfId="0" applyAlignment="1" applyBorder="1" applyFont="1" applyNumberFormat="1">
      <alignment horizontal="center" shrinkToFit="0" wrapText="1"/>
    </xf>
    <xf borderId="28" fillId="9" fontId="9" numFmtId="0" xfId="0" applyAlignment="1" applyBorder="1" applyFont="1">
      <alignment horizontal="center" shrinkToFit="0" vertical="center" wrapText="1"/>
    </xf>
    <xf borderId="16" fillId="4" fontId="12" numFmtId="0" xfId="0" applyAlignment="1" applyBorder="1" applyFont="1">
      <alignment horizontal="left" readingOrder="0" shrinkToFit="0" vertical="center" wrapText="1"/>
    </xf>
    <xf borderId="47" fillId="4" fontId="0" numFmtId="165" xfId="0" applyAlignment="1" applyBorder="1" applyFont="1" applyNumberFormat="1">
      <alignment horizontal="center" readingOrder="0" vertical="center"/>
    </xf>
    <xf borderId="48" fillId="4" fontId="0" numFmtId="165" xfId="0" applyAlignment="1" applyBorder="1" applyFont="1" applyNumberFormat="1">
      <alignment horizontal="center" vertical="center"/>
    </xf>
    <xf borderId="29" fillId="10" fontId="10" numFmtId="0" xfId="0" applyAlignment="1" applyBorder="1" applyFont="1">
      <alignment vertical="center"/>
    </xf>
    <xf borderId="1" fillId="0" fontId="9" numFmtId="164" xfId="0" applyAlignment="1" applyBorder="1" applyFont="1" applyNumberFormat="1">
      <alignment horizontal="center" vertical="center"/>
    </xf>
    <xf borderId="30" fillId="11" fontId="11" numFmtId="0" xfId="0" applyAlignment="1" applyBorder="1" applyFont="1">
      <alignment horizontal="center" shrinkToFit="0" vertical="center" wrapText="1"/>
    </xf>
    <xf borderId="49" fillId="0" fontId="1" numFmtId="164" xfId="0" applyAlignment="1" applyBorder="1" applyFont="1" applyNumberFormat="1">
      <alignment horizontal="center"/>
    </xf>
    <xf borderId="32" fillId="0" fontId="10" numFmtId="0" xfId="0" applyAlignment="1" applyBorder="1" applyFont="1">
      <alignment horizontal="center" readingOrder="0" shrinkToFit="0" vertical="center" wrapText="1"/>
    </xf>
    <xf borderId="26" fillId="0" fontId="1" numFmtId="164" xfId="0" applyAlignment="1" applyBorder="1" applyFont="1" applyNumberFormat="1">
      <alignment horizontal="center"/>
    </xf>
    <xf borderId="31" fillId="0" fontId="1" numFmtId="164" xfId="0" applyAlignment="1" applyBorder="1" applyFont="1" applyNumberFormat="1">
      <alignment horizontal="center"/>
    </xf>
    <xf borderId="0" fillId="10" fontId="0" numFmtId="165" xfId="0" applyFont="1" applyNumberFormat="1"/>
    <xf borderId="1" fillId="0" fontId="11" numFmtId="0" xfId="0" applyAlignment="1" applyBorder="1" applyFont="1">
      <alignment vertical="center"/>
    </xf>
    <xf borderId="33" fillId="0" fontId="10" numFmtId="164" xfId="0" applyAlignment="1" applyBorder="1" applyFont="1" applyNumberFormat="1">
      <alignment horizontal="center" readingOrder="0" shrinkToFit="0" vertical="center" wrapText="1"/>
    </xf>
    <xf borderId="26" fillId="0" fontId="11" numFmtId="165" xfId="0" applyAlignment="1" applyBorder="1" applyFont="1" applyNumberFormat="1">
      <alignment horizontal="center" vertical="center"/>
    </xf>
    <xf borderId="31" fillId="0" fontId="11" numFmtId="165" xfId="0" applyAlignment="1" applyBorder="1" applyFont="1" applyNumberFormat="1">
      <alignment horizontal="center" vertical="center"/>
    </xf>
    <xf borderId="34" fillId="0" fontId="10" numFmtId="164" xfId="0" applyAlignment="1" applyBorder="1" applyFont="1" applyNumberFormat="1">
      <alignment horizontal="center" readingOrder="0" shrinkToFit="0" vertical="center" wrapText="1"/>
    </xf>
    <xf borderId="35" fillId="0" fontId="10" numFmtId="164" xfId="0" applyAlignment="1" applyBorder="1" applyFont="1" applyNumberFormat="1">
      <alignment horizontal="center" readingOrder="0" shrinkToFit="0" vertical="center" wrapText="1"/>
    </xf>
    <xf borderId="0" fillId="10" fontId="0" numFmtId="0" xfId="0" applyAlignment="1" applyFont="1">
      <alignment vertical="center"/>
    </xf>
    <xf borderId="0" fillId="10" fontId="0" numFmtId="0" xfId="0" applyAlignment="1" applyFont="1">
      <alignment horizontal="center" vertical="center"/>
    </xf>
    <xf borderId="1" fillId="11" fontId="13" numFmtId="0" xfId="0" applyAlignment="1" applyBorder="1" applyFont="1">
      <alignment horizontal="center" shrinkToFit="0" vertical="center" wrapText="1"/>
    </xf>
    <xf borderId="26" fillId="11" fontId="9" numFmtId="0" xfId="0" applyAlignment="1" applyBorder="1" applyFont="1">
      <alignment horizontal="center" vertical="center"/>
    </xf>
    <xf borderId="36" fillId="0" fontId="10" numFmtId="164" xfId="0" applyAlignment="1" applyBorder="1" applyFont="1" applyNumberFormat="1">
      <alignment horizontal="center" shrinkToFit="0" vertical="center" wrapText="1"/>
    </xf>
    <xf borderId="31" fillId="11" fontId="9" numFmtId="0" xfId="0" applyAlignment="1" applyBorder="1" applyFont="1">
      <alignment horizontal="center" vertical="center"/>
    </xf>
    <xf borderId="50" fillId="10" fontId="9" numFmtId="0" xfId="0" applyAlignment="1" applyBorder="1" applyFont="1">
      <alignment horizontal="center" vertical="center"/>
    </xf>
    <xf borderId="36" fillId="4" fontId="10" numFmtId="164" xfId="0" applyAlignment="1" applyBorder="1" applyFont="1" applyNumberFormat="1">
      <alignment horizontal="center" readingOrder="0" shrinkToFit="0" vertical="center" wrapText="1"/>
    </xf>
    <xf borderId="29" fillId="10" fontId="0" numFmtId="0" xfId="0" applyAlignment="1" applyBorder="1" applyFont="1">
      <alignment vertical="center"/>
    </xf>
    <xf borderId="29" fillId="10" fontId="0" numFmtId="0" xfId="0" applyBorder="1" applyFont="1"/>
    <xf borderId="4" fillId="0" fontId="14" numFmtId="0" xfId="0" applyAlignment="1" applyBorder="1" applyFont="1">
      <alignment vertical="center"/>
    </xf>
    <xf borderId="18" fillId="0" fontId="14" numFmtId="0" xfId="0" applyAlignment="1" applyBorder="1" applyFont="1">
      <alignment horizontal="center" vertical="center"/>
    </xf>
    <xf borderId="18" fillId="12" fontId="14" numFmtId="164" xfId="0" applyAlignment="1" applyBorder="1" applyFill="1" applyFont="1" applyNumberFormat="1">
      <alignment horizontal="center" vertical="center"/>
    </xf>
    <xf borderId="32" fillId="0" fontId="14" numFmtId="164" xfId="0" applyAlignment="1" applyBorder="1" applyFont="1" applyNumberFormat="1">
      <alignment horizontal="center" shrinkToFit="0" vertical="center" wrapText="1"/>
    </xf>
    <xf borderId="38" fillId="0" fontId="14" numFmtId="0" xfId="0" applyAlignment="1" applyBorder="1" applyFont="1">
      <alignment horizontal="center" shrinkToFit="0" vertical="center" wrapText="1"/>
    </xf>
    <xf borderId="51" fillId="10" fontId="15" numFmtId="0" xfId="0" applyAlignment="1" applyBorder="1" applyFont="1">
      <alignment horizontal="center" readingOrder="0" shrinkToFit="0" vertical="center" wrapText="1"/>
    </xf>
    <xf borderId="38" fillId="10" fontId="10" numFmtId="0" xfId="0" applyAlignment="1" applyBorder="1" applyFont="1">
      <alignment horizontal="center" readingOrder="0" shrinkToFit="0" vertical="center" wrapText="1"/>
    </xf>
    <xf borderId="29" fillId="10" fontId="16" numFmtId="0" xfId="0" applyAlignment="1" applyBorder="1" applyFont="1">
      <alignment readingOrder="0" vertical="center"/>
    </xf>
    <xf borderId="11" fillId="0" fontId="14" numFmtId="0" xfId="0" applyAlignment="1" applyBorder="1" applyFont="1">
      <alignment vertical="center"/>
    </xf>
    <xf borderId="18" fillId="0" fontId="14" numFmtId="164" xfId="0" applyAlignment="1" applyBorder="1" applyFont="1" applyNumberFormat="1">
      <alignment horizontal="center" shrinkToFit="0" vertical="center" wrapText="1"/>
    </xf>
    <xf borderId="12" fillId="0" fontId="14" numFmtId="0" xfId="0" applyAlignment="1" applyBorder="1" applyFont="1">
      <alignment horizontal="center" shrinkToFit="0" vertical="center" wrapText="1"/>
    </xf>
    <xf borderId="18" fillId="0" fontId="10" numFmtId="0" xfId="0" applyAlignment="1" applyBorder="1" applyFont="1">
      <alignment horizontal="center" readingOrder="0" shrinkToFit="0" vertical="center" wrapText="1"/>
    </xf>
    <xf borderId="52" fillId="10" fontId="10" numFmtId="0" xfId="0" applyAlignment="1" applyBorder="1" applyFont="1">
      <alignment horizontal="center" readingOrder="0" shrinkToFit="0" vertical="center" wrapText="1"/>
    </xf>
    <xf borderId="12" fillId="10" fontId="10" numFmtId="0" xfId="0" applyAlignment="1" applyBorder="1" applyFont="1">
      <alignment horizontal="center" readingOrder="0" shrinkToFit="0" vertical="center" wrapText="1"/>
    </xf>
    <xf borderId="18" fillId="0" fontId="10" numFmtId="164" xfId="0" applyAlignment="1" applyBorder="1" applyFont="1" applyNumberFormat="1">
      <alignment horizontal="center" readingOrder="0" shrinkToFit="0" vertical="center" wrapText="1"/>
    </xf>
    <xf borderId="53" fillId="9" fontId="17" numFmtId="0" xfId="0" applyAlignment="1" applyBorder="1" applyFont="1">
      <alignment horizontal="center" shrinkToFit="0" vertical="center" wrapText="1"/>
    </xf>
    <xf borderId="1" fillId="9" fontId="17" numFmtId="0" xfId="0" applyAlignment="1" applyBorder="1" applyFont="1">
      <alignment horizontal="center" readingOrder="0" shrinkToFit="0" vertical="center" wrapText="1"/>
    </xf>
    <xf borderId="40" fillId="0" fontId="10" numFmtId="164" xfId="0" applyAlignment="1" applyBorder="1" applyFont="1" applyNumberFormat="1">
      <alignment horizontal="center" shrinkToFit="0" vertical="center" wrapText="1"/>
    </xf>
    <xf borderId="26" fillId="9" fontId="17" numFmtId="0" xfId="0" applyAlignment="1" applyBorder="1" applyFont="1">
      <alignment horizontal="center" shrinkToFit="0" vertical="center" wrapText="1"/>
    </xf>
    <xf borderId="41" fillId="4" fontId="10" numFmtId="164" xfId="0" applyAlignment="1" applyBorder="1" applyFont="1" applyNumberFormat="1">
      <alignment horizontal="center" readingOrder="0" shrinkToFit="0" vertical="center" wrapText="1"/>
    </xf>
    <xf borderId="31" fillId="9" fontId="17" numFmtId="0" xfId="0" applyAlignment="1" applyBorder="1" applyFont="1">
      <alignment horizontal="center" shrinkToFit="0" vertical="bottom" wrapText="1"/>
    </xf>
    <xf borderId="0" fillId="10" fontId="3" numFmtId="0" xfId="0" applyAlignment="1" applyFont="1">
      <alignment readingOrder="0" vertical="center"/>
    </xf>
    <xf borderId="54" fillId="10" fontId="0" numFmtId="0" xfId="0" applyAlignment="1" applyBorder="1" applyFont="1">
      <alignment vertical="center"/>
    </xf>
    <xf borderId="36" fillId="8" fontId="14" numFmtId="0" xfId="0" applyAlignment="1" applyBorder="1" applyFont="1">
      <alignment horizontal="center" vertical="center"/>
    </xf>
    <xf borderId="11" fillId="8" fontId="14" numFmtId="0" xfId="0" applyAlignment="1" applyBorder="1" applyFont="1">
      <alignment vertical="center"/>
    </xf>
    <xf borderId="32" fillId="8" fontId="14" numFmtId="0" xfId="0" applyAlignment="1" applyBorder="1" applyFont="1">
      <alignment horizontal="center" vertical="center"/>
    </xf>
    <xf borderId="32" fillId="8" fontId="14" numFmtId="166" xfId="0" applyAlignment="1" applyBorder="1" applyFont="1" applyNumberFormat="1">
      <alignment horizontal="center" vertical="center"/>
    </xf>
    <xf borderId="18" fillId="8" fontId="14" numFmtId="0" xfId="0" applyAlignment="1" applyBorder="1" applyFont="1">
      <alignment horizontal="center" vertical="center"/>
    </xf>
    <xf borderId="38" fillId="8" fontId="14" numFmtId="0" xfId="0" applyAlignment="1" applyBorder="1" applyFont="1">
      <alignment horizontal="center" vertical="center"/>
    </xf>
    <xf borderId="55" fillId="8" fontId="14" numFmtId="0" xfId="0" applyAlignment="1" applyBorder="1" applyFont="1">
      <alignment horizontal="center" vertical="center"/>
    </xf>
    <xf borderId="18" fillId="8" fontId="14" numFmtId="166" xfId="0" applyAlignment="1" applyBorder="1" applyFont="1" applyNumberFormat="1">
      <alignment horizontal="center" vertical="center"/>
    </xf>
    <xf borderId="56" fillId="8" fontId="14" numFmtId="0" xfId="0" applyAlignment="1" applyBorder="1" applyFont="1">
      <alignment horizontal="center" vertical="center"/>
    </xf>
    <xf borderId="12" fillId="8" fontId="14" numFmtId="0" xfId="0" applyAlignment="1" applyBorder="1" applyFont="1">
      <alignment horizontal="center" vertical="center"/>
    </xf>
    <xf borderId="57" fillId="8" fontId="18" numFmtId="0" xfId="0" applyAlignment="1" applyBorder="1" applyFont="1">
      <alignment horizontal="center" vertical="center"/>
    </xf>
    <xf borderId="57" fillId="8" fontId="14" numFmtId="0" xfId="0" applyAlignment="1" applyBorder="1" applyFont="1">
      <alignment horizontal="center" vertical="center"/>
    </xf>
    <xf borderId="58" fillId="8" fontId="14" numFmtId="166" xfId="0" applyAlignment="1" applyBorder="1" applyFont="1" applyNumberFormat="1">
      <alignment horizontal="center" vertical="center"/>
    </xf>
    <xf borderId="52" fillId="10" fontId="19" numFmtId="0" xfId="0" applyAlignment="1" applyBorder="1" applyFont="1">
      <alignment horizontal="center" readingOrder="0" shrinkToFit="0" vertical="center" wrapText="1"/>
    </xf>
    <xf borderId="41" fillId="8" fontId="14" numFmtId="0" xfId="0" applyAlignment="1" applyBorder="1" applyFont="1">
      <alignment horizontal="center" vertical="center"/>
    </xf>
    <xf borderId="33" fillId="8" fontId="18" numFmtId="0" xfId="0" applyAlignment="1" applyBorder="1" applyFont="1">
      <alignment horizontal="center" vertical="center"/>
    </xf>
    <xf borderId="33" fillId="8" fontId="14" numFmtId="0" xfId="0" applyAlignment="1" applyBorder="1" applyFont="1">
      <alignment horizontal="center" vertical="center"/>
    </xf>
    <xf borderId="59" fillId="8" fontId="14" numFmtId="0" xfId="0" applyAlignment="1" applyBorder="1" applyFont="1">
      <alignment horizontal="center" vertical="center"/>
    </xf>
    <xf borderId="55" fillId="4" fontId="14" numFmtId="0" xfId="0" applyAlignment="1" applyBorder="1" applyFont="1">
      <alignment horizontal="center" vertical="center"/>
    </xf>
    <xf borderId="60" fillId="4" fontId="14" numFmtId="0" xfId="0" applyAlignment="1" applyBorder="1" applyFont="1">
      <alignment vertical="center"/>
    </xf>
    <xf borderId="18" fillId="4" fontId="18" numFmtId="0" xfId="0" applyAlignment="1" applyBorder="1" applyFont="1">
      <alignment horizontal="center" vertical="center"/>
    </xf>
    <xf borderId="18" fillId="4" fontId="18" numFmtId="166" xfId="0" applyAlignment="1" applyBorder="1" applyFont="1" applyNumberFormat="1">
      <alignment horizontal="center" vertical="center"/>
    </xf>
    <xf borderId="12" fillId="4" fontId="14" numFmtId="0" xfId="0" applyAlignment="1" applyBorder="1" applyFont="1">
      <alignment horizontal="center" vertical="center"/>
    </xf>
    <xf borderId="60" fillId="0" fontId="14" numFmtId="0" xfId="0" applyAlignment="1" applyBorder="1" applyFont="1">
      <alignment horizontal="center" vertical="center"/>
    </xf>
    <xf borderId="18" fillId="0" fontId="14" numFmtId="164" xfId="0" applyAlignment="1" applyBorder="1" applyFont="1" applyNumberFormat="1">
      <alignment horizontal="center" vertical="center"/>
    </xf>
    <xf borderId="16" fillId="4" fontId="10" numFmtId="0" xfId="0" applyAlignment="1" applyBorder="1" applyFont="1">
      <alignment horizontal="left" shrinkToFit="0" vertical="center" wrapText="1"/>
    </xf>
    <xf borderId="44" fillId="0" fontId="10" numFmtId="0" xfId="0" applyAlignment="1" applyBorder="1" applyFont="1">
      <alignment horizontal="center" readingOrder="0" shrinkToFit="0" vertical="center" wrapText="1"/>
    </xf>
    <xf borderId="11" fillId="0" fontId="14" numFmtId="0" xfId="0" applyAlignment="1" applyBorder="1" applyFont="1">
      <alignment vertical="center"/>
    </xf>
    <xf borderId="45" fillId="0" fontId="10" numFmtId="164" xfId="0" applyAlignment="1" applyBorder="1" applyFont="1" applyNumberFormat="1">
      <alignment horizontal="center" readingOrder="0" shrinkToFit="0" vertical="center" wrapText="1"/>
    </xf>
    <xf borderId="61" fillId="10" fontId="10" numFmtId="0" xfId="0" applyAlignment="1" applyBorder="1" applyFont="1">
      <alignment horizontal="center" readingOrder="0" shrinkToFit="0" vertical="center" wrapText="1"/>
    </xf>
    <xf borderId="17" fillId="10" fontId="10" numFmtId="0" xfId="0" applyAlignment="1" applyBorder="1" applyFont="1">
      <alignment horizontal="center" readingOrder="0" shrinkToFit="0" vertical="center" wrapText="1"/>
    </xf>
    <xf borderId="46" fillId="0" fontId="10" numFmtId="164" xfId="0" applyAlignment="1" applyBorder="1" applyFont="1" applyNumberFormat="1">
      <alignment horizontal="center" shrinkToFit="0" vertical="center" wrapText="1"/>
    </xf>
    <xf borderId="46" fillId="4" fontId="10" numFmtId="164" xfId="0" applyAlignment="1" applyBorder="1" applyFont="1" applyNumberFormat="1">
      <alignment horizontal="center" readingOrder="0" shrinkToFit="0" vertical="center" wrapText="1"/>
    </xf>
    <xf borderId="16" fillId="0" fontId="14" numFmtId="0" xfId="0" applyAlignment="1" applyBorder="1" applyFont="1">
      <alignment vertical="center"/>
    </xf>
    <xf borderId="16" fillId="4" fontId="12" numFmtId="0" xfId="0" applyAlignment="1" applyBorder="1" applyFont="1">
      <alignment horizontal="left" shrinkToFit="0" vertical="center" wrapText="1"/>
    </xf>
    <xf borderId="44" fillId="0" fontId="14" numFmtId="0" xfId="0" applyAlignment="1" applyBorder="1" applyFont="1">
      <alignment horizontal="center" vertical="center"/>
    </xf>
    <xf borderId="44" fillId="12" fontId="14" numFmtId="164" xfId="0" applyAlignment="1" applyBorder="1" applyFont="1" applyNumberFormat="1">
      <alignment horizontal="center" vertical="center"/>
    </xf>
    <xf borderId="44" fillId="0" fontId="14" numFmtId="164" xfId="0" applyAlignment="1" applyBorder="1" applyFont="1" applyNumberFormat="1">
      <alignment horizontal="center" shrinkToFit="0" vertical="center" wrapText="1"/>
    </xf>
    <xf borderId="17" fillId="0" fontId="14" numFmtId="0" xfId="0" applyAlignment="1" applyBorder="1" applyFont="1">
      <alignment horizontal="center" shrinkToFit="0" vertical="center" wrapText="1"/>
    </xf>
    <xf borderId="0" fillId="10" fontId="16" numFmtId="0" xfId="0" applyAlignment="1" applyFont="1">
      <alignment readingOrder="0" vertical="center"/>
    </xf>
    <xf borderId="49" fillId="0" fontId="9" numFmtId="164" xfId="0" applyAlignment="1" applyBorder="1" applyFont="1" applyNumberFormat="1">
      <alignment horizontal="center" vertical="center"/>
    </xf>
    <xf borderId="55" fillId="0" fontId="14" numFmtId="0" xfId="0" applyAlignment="1" applyBorder="1" applyFont="1">
      <alignment horizontal="center" vertical="center"/>
    </xf>
    <xf borderId="18" fillId="4" fontId="14" numFmtId="0" xfId="0" applyAlignment="1" applyBorder="1" applyFont="1">
      <alignment horizontal="center" vertical="center"/>
    </xf>
    <xf borderId="26" fillId="0" fontId="9" numFmtId="164" xfId="0" applyAlignment="1" applyBorder="1" applyFont="1" applyNumberFormat="1">
      <alignment horizontal="center" vertical="center"/>
    </xf>
    <xf borderId="18" fillId="4" fontId="14" numFmtId="166" xfId="0" applyAlignment="1" applyBorder="1" applyFont="1" applyNumberFormat="1">
      <alignment horizontal="center" vertical="center"/>
    </xf>
    <xf borderId="33" fillId="0" fontId="14" numFmtId="0" xfId="0" applyAlignment="1" applyBorder="1" applyFont="1">
      <alignment horizontal="center" vertical="center"/>
    </xf>
    <xf borderId="62" fillId="0" fontId="14" numFmtId="0" xfId="0" applyAlignment="1" applyBorder="1" applyFont="1">
      <alignment horizontal="center" vertical="center"/>
    </xf>
    <xf borderId="31" fillId="0" fontId="9" numFmtId="164" xfId="0" applyAlignment="1" applyBorder="1" applyFont="1" applyNumberFormat="1">
      <alignment horizontal="center" vertical="center"/>
    </xf>
    <xf borderId="18" fillId="0" fontId="14" numFmtId="0" xfId="0" applyAlignment="1" applyBorder="1" applyFont="1">
      <alignment shrinkToFit="0" vertical="center" wrapText="1"/>
    </xf>
    <xf borderId="18" fillId="10" fontId="2" numFmtId="0" xfId="0" applyAlignment="1" applyBorder="1" applyFont="1">
      <alignment vertical="center"/>
    </xf>
    <xf borderId="29" fillId="10" fontId="16" numFmtId="0" xfId="0" applyAlignment="1" applyBorder="1" applyFont="1">
      <alignment vertical="center"/>
    </xf>
    <xf borderId="46" fillId="0" fontId="14" numFmtId="0" xfId="0" applyAlignment="1" applyBorder="1" applyFont="1">
      <alignment horizontal="center" vertical="center"/>
    </xf>
    <xf borderId="63" fillId="4" fontId="14" numFmtId="0" xfId="0" applyAlignment="1" applyBorder="1" applyFont="1">
      <alignment vertical="center"/>
    </xf>
    <xf borderId="44" fillId="4" fontId="14" numFmtId="0" xfId="0" applyAlignment="1" applyBorder="1" applyFont="1">
      <alignment horizontal="center" vertical="center"/>
    </xf>
    <xf borderId="44" fillId="4" fontId="14" numFmtId="166" xfId="0" applyAlignment="1" applyBorder="1" applyFont="1" applyNumberFormat="1">
      <alignment horizontal="center" vertical="center"/>
    </xf>
    <xf borderId="49" fillId="0" fontId="14" numFmtId="0" xfId="0" applyAlignment="1" applyBorder="1" applyFont="1">
      <alignment horizontal="center" vertical="center"/>
    </xf>
    <xf borderId="64" fillId="0" fontId="14" numFmtId="0" xfId="0" applyAlignment="1" applyBorder="1" applyFont="1">
      <alignment horizontal="center" vertical="center"/>
    </xf>
    <xf borderId="17" fillId="4" fontId="14" numFmtId="0" xfId="0" applyAlignment="1" applyBorder="1" applyFont="1">
      <alignment horizontal="center" vertical="center"/>
    </xf>
    <xf borderId="18" fillId="0" fontId="14" numFmtId="0" xfId="0" applyAlignment="1" applyBorder="1" applyFont="1">
      <alignment vertical="center"/>
    </xf>
    <xf borderId="12" fillId="10" fontId="2" numFmtId="0" xfId="0" applyAlignment="1" applyBorder="1" applyFont="1">
      <alignment vertical="center"/>
    </xf>
    <xf borderId="29" fillId="10" fontId="10" numFmtId="165" xfId="0" applyAlignment="1" applyBorder="1" applyFont="1" applyNumberFormat="1">
      <alignment vertical="center"/>
    </xf>
    <xf borderId="9" fillId="10" fontId="10" numFmtId="0" xfId="0" applyAlignment="1" applyBorder="1" applyFont="1">
      <alignment horizontal="center"/>
    </xf>
    <xf borderId="0" fillId="10" fontId="4" numFmtId="0" xfId="0" applyAlignment="1" applyFont="1">
      <alignment readingOrder="0"/>
    </xf>
    <xf borderId="18" fillId="0" fontId="14" numFmtId="0" xfId="0" applyAlignment="1" applyBorder="1" applyFont="1">
      <alignment horizontal="center" readingOrder="0" vertical="center"/>
    </xf>
    <xf borderId="32" fillId="0" fontId="14" numFmtId="164" xfId="0" applyAlignment="1" applyBorder="1" applyFont="1" applyNumberFormat="1">
      <alignment horizontal="center" readingOrder="0" shrinkToFit="0" vertical="center" wrapText="1"/>
    </xf>
    <xf borderId="11" fillId="10" fontId="10" numFmtId="0" xfId="0" applyAlignment="1" applyBorder="1" applyFont="1">
      <alignment horizontal="center"/>
    </xf>
    <xf borderId="38" fillId="0" fontId="14" numFmtId="0" xfId="0" applyAlignment="1" applyBorder="1" applyFont="1">
      <alignment horizontal="center" readingOrder="0" shrinkToFit="0" vertical="center" wrapText="1"/>
    </xf>
    <xf borderId="18" fillId="0" fontId="14" numFmtId="0" xfId="0" applyAlignment="1" applyBorder="1" applyFont="1">
      <alignment vertical="center"/>
    </xf>
    <xf borderId="43" fillId="10" fontId="10" numFmtId="0" xfId="0" applyAlignment="1" applyBorder="1" applyFont="1">
      <alignment horizontal="center" shrinkToFit="0" vertical="center" wrapText="1"/>
    </xf>
    <xf borderId="12" fillId="10" fontId="10" numFmtId="0" xfId="0" applyAlignment="1" applyBorder="1" applyFont="1">
      <alignment horizontal="center" shrinkToFit="0" vertical="center" wrapText="1"/>
    </xf>
    <xf borderId="16" fillId="10" fontId="10" numFmtId="0" xfId="0" applyAlignment="1" applyBorder="1" applyFont="1">
      <alignment horizontal="center"/>
    </xf>
    <xf borderId="18" fillId="0" fontId="14" numFmtId="164" xfId="0" applyAlignment="1" applyBorder="1" applyFont="1" applyNumberFormat="1">
      <alignment horizontal="center" readingOrder="0" shrinkToFit="0" vertical="center" wrapText="1"/>
    </xf>
    <xf borderId="12" fillId="0" fontId="14" numFmtId="0" xfId="0" applyAlignment="1" applyBorder="1" applyFont="1">
      <alignment horizontal="center" readingOrder="0" shrinkToFit="0" vertical="center" wrapText="1"/>
    </xf>
    <xf borderId="18" fillId="0" fontId="14" numFmtId="0" xfId="0" applyAlignment="1" applyBorder="1" applyFont="1">
      <alignment horizontal="center" vertical="center"/>
    </xf>
    <xf borderId="12" fillId="0" fontId="14" numFmtId="0" xfId="0" applyAlignment="1" applyBorder="1" applyFont="1">
      <alignment horizontal="center" shrinkToFit="0" vertical="center" wrapText="1"/>
    </xf>
    <xf borderId="18" fillId="10" fontId="4" numFmtId="0" xfId="0" applyAlignment="1" applyBorder="1" applyFont="1">
      <alignment vertical="center"/>
    </xf>
    <xf borderId="29" fillId="10" fontId="10" numFmtId="165" xfId="0" applyBorder="1" applyFont="1" applyNumberFormat="1"/>
    <xf borderId="18" fillId="13" fontId="20" numFmtId="0" xfId="0" applyAlignment="1" applyBorder="1" applyFill="1" applyFont="1">
      <alignment horizontal="center" readingOrder="0" vertical="center"/>
    </xf>
    <xf borderId="43" fillId="10" fontId="10" numFmtId="0" xfId="0" applyAlignment="1" applyBorder="1" applyFont="1">
      <alignment horizontal="center" shrinkToFit="0" wrapText="1"/>
    </xf>
    <xf borderId="12" fillId="10" fontId="10" numFmtId="0" xfId="0" applyAlignment="1" applyBorder="1" applyFont="1">
      <alignment horizontal="center" shrinkToFit="0" wrapText="1"/>
    </xf>
    <xf borderId="11" fillId="10" fontId="2" numFmtId="0" xfId="0" applyBorder="1" applyFont="1"/>
    <xf borderId="18" fillId="10" fontId="2" numFmtId="0" xfId="0" applyBorder="1" applyFont="1"/>
    <xf borderId="0" fillId="0" fontId="2" numFmtId="165" xfId="0" applyAlignment="1" applyFont="1" applyNumberFormat="1">
      <alignment horizontal="center"/>
    </xf>
    <xf borderId="11" fillId="8" fontId="14" numFmtId="0" xfId="0" applyAlignment="1" applyBorder="1" applyFont="1">
      <alignment horizontal="left" readingOrder="0" vertical="center"/>
    </xf>
    <xf borderId="43" fillId="10" fontId="2" numFmtId="0" xfId="0" applyBorder="1" applyFont="1"/>
    <xf borderId="32" fillId="8" fontId="14" numFmtId="0" xfId="0" applyAlignment="1" applyBorder="1" applyFont="1">
      <alignment horizontal="center" readingOrder="0" vertical="center"/>
    </xf>
    <xf borderId="32" fillId="8" fontId="14" numFmtId="166" xfId="0" applyAlignment="1" applyBorder="1" applyFont="1" applyNumberFormat="1">
      <alignment horizontal="center" readingOrder="0" vertical="center"/>
    </xf>
    <xf borderId="11" fillId="10" fontId="10" numFmtId="0" xfId="0" applyBorder="1" applyFont="1"/>
    <xf borderId="18" fillId="0" fontId="20" numFmtId="0" xfId="0" applyAlignment="1" applyBorder="1" applyFont="1">
      <alignment readingOrder="0" vertical="center"/>
    </xf>
    <xf borderId="18" fillId="10" fontId="10" numFmtId="0" xfId="0" applyAlignment="1" applyBorder="1" applyFont="1">
      <alignment horizontal="center"/>
    </xf>
    <xf borderId="18" fillId="8" fontId="14" numFmtId="0" xfId="0" applyAlignment="1" applyBorder="1" applyFont="1">
      <alignment horizontal="center" readingOrder="0" vertical="center"/>
    </xf>
    <xf borderId="18" fillId="10" fontId="10" numFmtId="165" xfId="0" applyAlignment="1" applyBorder="1" applyFont="1" applyNumberFormat="1">
      <alignment horizontal="center"/>
    </xf>
    <xf borderId="16" fillId="10" fontId="10" numFmtId="0" xfId="0" applyBorder="1" applyFont="1"/>
    <xf borderId="44" fillId="10" fontId="10" numFmtId="0" xfId="0" applyAlignment="1" applyBorder="1" applyFont="1">
      <alignment horizontal="center"/>
    </xf>
    <xf borderId="44" fillId="10" fontId="10" numFmtId="165" xfId="0" applyAlignment="1" applyBorder="1" applyFont="1" applyNumberFormat="1">
      <alignment horizontal="center"/>
    </xf>
    <xf borderId="45" fillId="10" fontId="10" numFmtId="0" xfId="0" applyAlignment="1" applyBorder="1" applyFont="1">
      <alignment horizontal="center" shrinkToFit="0" wrapText="1"/>
    </xf>
    <xf borderId="17" fillId="10" fontId="10" numFmtId="0" xfId="0" applyAlignment="1" applyBorder="1" applyFont="1">
      <alignment horizontal="center" shrinkToFit="0" wrapText="1"/>
    </xf>
    <xf borderId="29" fillId="10" fontId="10" numFmtId="165" xfId="0" applyAlignment="1" applyBorder="1" applyFont="1" applyNumberFormat="1">
      <alignment horizontal="center"/>
    </xf>
    <xf borderId="18" fillId="0" fontId="4" numFmtId="0" xfId="0" applyAlignment="1" applyBorder="1" applyFont="1">
      <alignment horizontal="center" vertical="center"/>
    </xf>
    <xf borderId="18" fillId="8" fontId="14" numFmtId="166" xfId="0" applyAlignment="1" applyBorder="1" applyFont="1" applyNumberFormat="1">
      <alignment horizontal="center" readingOrder="0" vertical="center"/>
    </xf>
    <xf borderId="57" fillId="8" fontId="18" numFmtId="0" xfId="0" applyAlignment="1" applyBorder="1" applyFont="1">
      <alignment horizontal="center" readingOrder="0" vertical="center"/>
    </xf>
    <xf borderId="57" fillId="8" fontId="14" numFmtId="0" xfId="0" applyAlignment="1" applyBorder="1" applyFont="1">
      <alignment horizontal="center" readingOrder="0" vertical="center"/>
    </xf>
    <xf borderId="58" fillId="8" fontId="14" numFmtId="166" xfId="0" applyAlignment="1" applyBorder="1" applyFont="1" applyNumberFormat="1">
      <alignment horizontal="center" readingOrder="0" vertical="center"/>
    </xf>
    <xf borderId="33" fillId="8" fontId="18" numFmtId="0" xfId="0" applyAlignment="1" applyBorder="1" applyFont="1">
      <alignment horizontal="center" readingOrder="0" vertical="center"/>
    </xf>
    <xf borderId="33" fillId="8" fontId="14" numFmtId="0" xfId="0" applyAlignment="1" applyBorder="1" applyFont="1">
      <alignment horizontal="center" readingOrder="0" vertical="center"/>
    </xf>
    <xf borderId="59" fillId="8" fontId="14" numFmtId="0" xfId="0" applyAlignment="1" applyBorder="1" applyFont="1">
      <alignment horizontal="center" readingOrder="0" vertical="center"/>
    </xf>
    <xf borderId="60" fillId="4" fontId="14" numFmtId="0" xfId="0" applyAlignment="1" applyBorder="1" applyFont="1">
      <alignment horizontal="left" readingOrder="0" vertical="center"/>
    </xf>
    <xf borderId="18" fillId="4" fontId="18" numFmtId="0" xfId="0" applyAlignment="1" applyBorder="1" applyFont="1">
      <alignment horizontal="center" readingOrder="0" vertical="center"/>
    </xf>
    <xf borderId="18" fillId="4" fontId="18" numFmtId="166" xfId="0" applyAlignment="1" applyBorder="1" applyFont="1" applyNumberFormat="1">
      <alignment horizontal="center" readingOrder="0" vertical="center"/>
    </xf>
    <xf borderId="60" fillId="0" fontId="14" numFmtId="0" xfId="0" applyAlignment="1" applyBorder="1" applyFont="1">
      <alignment horizontal="center" readingOrder="0" vertical="center"/>
    </xf>
    <xf borderId="18" fillId="0" fontId="14" numFmtId="164" xfId="0" applyAlignment="1" applyBorder="1" applyFont="1" applyNumberFormat="1">
      <alignment horizontal="center" readingOrder="0" vertical="center"/>
    </xf>
    <xf borderId="11" fillId="0" fontId="14" numFmtId="0" xfId="0" applyAlignment="1" applyBorder="1" applyFont="1">
      <alignment readingOrder="0" vertical="center"/>
    </xf>
    <xf borderId="33" fillId="0" fontId="14" numFmtId="0" xfId="0" applyAlignment="1" applyBorder="1" applyFont="1">
      <alignment horizontal="center" readingOrder="0" vertical="center"/>
    </xf>
    <xf borderId="62" fillId="0" fontId="14" numFmtId="0" xfId="0" applyAlignment="1" applyBorder="1" applyFont="1">
      <alignment horizontal="center" readingOrder="0" vertical="center"/>
    </xf>
    <xf borderId="16" fillId="0" fontId="14" numFmtId="0" xfId="0" applyAlignment="1" applyBorder="1" applyFont="1">
      <alignment readingOrder="0" vertical="center"/>
    </xf>
    <xf borderId="44" fillId="0" fontId="14" numFmtId="0" xfId="0" applyAlignment="1" applyBorder="1" applyFont="1">
      <alignment horizontal="center" readingOrder="0" vertical="center"/>
    </xf>
    <xf borderId="44" fillId="0" fontId="14" numFmtId="164" xfId="0" applyAlignment="1" applyBorder="1" applyFont="1" applyNumberFormat="1">
      <alignment horizontal="center" readingOrder="0" shrinkToFit="0" vertical="center" wrapText="1"/>
    </xf>
    <xf borderId="17" fillId="0" fontId="14" numFmtId="0" xfId="0" applyAlignment="1" applyBorder="1" applyFont="1">
      <alignment horizontal="center" readingOrder="0" shrinkToFit="0" vertical="center" wrapText="1"/>
    </xf>
    <xf borderId="18" fillId="4" fontId="14" numFmtId="0" xfId="0" applyAlignment="1" applyBorder="1" applyFont="1">
      <alignment horizontal="center" readingOrder="0" vertical="center"/>
    </xf>
    <xf borderId="18" fillId="4" fontId="14" numFmtId="166" xfId="0" applyAlignment="1" applyBorder="1" applyFont="1" applyNumberFormat="1">
      <alignment horizontal="center" readingOrder="0" vertical="center"/>
    </xf>
    <xf borderId="18" fillId="10" fontId="14" numFmtId="0" xfId="0" applyAlignment="1" applyBorder="1" applyFont="1">
      <alignment horizontal="center" shrinkToFit="0" vertical="center" wrapText="1"/>
    </xf>
    <xf borderId="63" fillId="4" fontId="14" numFmtId="0" xfId="0" applyAlignment="1" applyBorder="1" applyFont="1">
      <alignment horizontal="left" readingOrder="0" vertical="center"/>
    </xf>
    <xf borderId="44" fillId="4" fontId="14" numFmtId="0" xfId="0" applyAlignment="1" applyBorder="1" applyFont="1">
      <alignment horizontal="center" readingOrder="0" vertical="center"/>
    </xf>
    <xf borderId="44" fillId="4" fontId="14" numFmtId="166" xfId="0" applyAlignment="1" applyBorder="1" applyFont="1" applyNumberFormat="1">
      <alignment horizontal="center" readingOrder="0" vertical="center"/>
    </xf>
    <xf borderId="49" fillId="0" fontId="14" numFmtId="0" xfId="0" applyAlignment="1" applyBorder="1" applyFont="1">
      <alignment horizontal="center" readingOrder="0" vertical="center"/>
    </xf>
    <xf borderId="64" fillId="0" fontId="14" numFmtId="0" xfId="0" applyAlignment="1" applyBorder="1" applyFont="1">
      <alignment horizontal="center" readingOrder="0" vertical="center"/>
    </xf>
    <xf borderId="18" fillId="12" fontId="14" numFmtId="164" xfId="0" applyAlignment="1" applyBorder="1" applyFont="1" applyNumberFormat="1">
      <alignment horizontal="center" readingOrder="0" vertical="center"/>
    </xf>
    <xf borderId="44" fillId="12" fontId="14" numFmtId="164" xfId="0" applyAlignment="1" applyBorder="1" applyFont="1" applyNumberFormat="1">
      <alignment horizontal="center" readingOrder="0" vertical="center"/>
    </xf>
    <xf borderId="11" fillId="10" fontId="10" numFmtId="0" xfId="0" applyAlignment="1" applyBorder="1" applyFont="1">
      <alignment vertical="center"/>
    </xf>
    <xf borderId="18" fillId="10" fontId="10" numFmtId="0" xfId="0" applyAlignment="1" applyBorder="1" applyFon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10" fontId="21" numFmtId="0" xfId="0" applyAlignment="1" applyFont="1">
      <alignment readingOrder="0"/>
    </xf>
    <xf borderId="4" fillId="8" fontId="14" numFmtId="0" xfId="0" applyAlignment="1" applyBorder="1" applyFont="1">
      <alignment horizontal="left" readingOrder="0" vertical="center"/>
    </xf>
    <xf borderId="32" fillId="0" fontId="14" numFmtId="0" xfId="0" applyAlignment="1" applyBorder="1" applyFont="1">
      <alignment horizontal="center" readingOrder="0" vertical="center"/>
    </xf>
    <xf borderId="51" fillId="10" fontId="10" numFmtId="0" xfId="0" applyAlignment="1" applyBorder="1" applyFont="1">
      <alignment horizontal="center" readingOrder="0" shrinkToFit="0" vertical="center" wrapText="1"/>
    </xf>
    <xf borderId="18" fillId="8" fontId="18" numFmtId="0" xfId="0" applyAlignment="1" applyBorder="1" applyFont="1">
      <alignment horizontal="center" readingOrder="0" vertical="center"/>
    </xf>
    <xf borderId="46" fillId="8" fontId="14" numFmtId="0" xfId="0" applyAlignment="1" applyBorder="1" applyFont="1">
      <alignment horizontal="center" vertical="center"/>
    </xf>
    <xf borderId="16" fillId="8" fontId="14" numFmtId="0" xfId="0" applyAlignment="1" applyBorder="1" applyFont="1">
      <alignment horizontal="left" readingOrder="0" vertical="center"/>
    </xf>
    <xf borderId="65" fillId="8" fontId="18" numFmtId="0" xfId="0" applyAlignment="1" applyBorder="1" applyFont="1">
      <alignment horizontal="center" readingOrder="0" vertical="center"/>
    </xf>
    <xf borderId="65" fillId="8" fontId="14" numFmtId="0" xfId="0" applyAlignment="1" applyBorder="1" applyFont="1">
      <alignment horizontal="center" readingOrder="0" vertical="center"/>
    </xf>
    <xf borderId="44" fillId="8" fontId="14" numFmtId="166" xfId="0" applyAlignment="1" applyBorder="1" applyFont="1" applyNumberFormat="1">
      <alignment horizontal="center" readingOrder="0" vertical="center"/>
    </xf>
    <xf borderId="44" fillId="8" fontId="18" numFmtId="0" xfId="0" applyAlignment="1" applyBorder="1" applyFont="1">
      <alignment horizontal="center" readingOrder="0" vertical="center"/>
    </xf>
    <xf borderId="66" fillId="8" fontId="14" numFmtId="0" xfId="0" applyAlignment="1" applyBorder="1" applyFont="1">
      <alignment horizontal="center" vertical="center"/>
    </xf>
    <xf borderId="36" fillId="4" fontId="14" numFmtId="0" xfId="0" applyAlignment="1" applyBorder="1" applyFont="1">
      <alignment horizontal="center" vertical="center"/>
    </xf>
    <xf borderId="9" fillId="4" fontId="14" numFmtId="0" xfId="0" applyAlignment="1" applyBorder="1" applyFont="1">
      <alignment horizontal="left" readingOrder="0" vertical="center"/>
    </xf>
    <xf borderId="33" fillId="4" fontId="18" numFmtId="0" xfId="0" applyAlignment="1" applyBorder="1" applyFont="1">
      <alignment horizontal="center" readingOrder="0" vertical="center"/>
    </xf>
    <xf borderId="33" fillId="4" fontId="18" numFmtId="166" xfId="0" applyAlignment="1" applyBorder="1" applyFont="1" applyNumberFormat="1">
      <alignment horizontal="center" readingOrder="0" vertical="center"/>
    </xf>
    <xf borderId="56" fillId="4" fontId="14" numFmtId="0" xfId="0" applyAlignment="1" applyBorder="1" applyFont="1">
      <alignment horizontal="center" vertical="center"/>
    </xf>
    <xf borderId="41" fillId="4" fontId="14" numFmtId="0" xfId="0" applyAlignment="1" applyBorder="1" applyFont="1">
      <alignment horizontal="center" vertical="center"/>
    </xf>
    <xf borderId="18" fillId="0" fontId="14" numFmtId="0" xfId="0" applyAlignment="1" applyBorder="1" applyFont="1">
      <alignment horizontal="center" shrinkToFit="0" vertical="center" wrapText="1"/>
    </xf>
    <xf borderId="11" fillId="4" fontId="14" numFmtId="0" xfId="0" applyAlignment="1" applyBorder="1" applyFont="1">
      <alignment horizontal="left" readingOrder="0" vertical="center"/>
    </xf>
    <xf borderId="60" fillId="12" fontId="14" numFmtId="164" xfId="0" applyAlignment="1" applyBorder="1" applyFont="1" applyNumberFormat="1">
      <alignment horizontal="center" vertical="center"/>
    </xf>
    <xf borderId="60" fillId="0" fontId="14" numFmtId="164" xfId="0" applyAlignment="1" applyBorder="1" applyFont="1" applyNumberFormat="1">
      <alignment horizontal="center" shrinkToFit="0" vertical="center" wrapText="1"/>
    </xf>
    <xf borderId="67" fillId="0" fontId="14" numFmtId="0" xfId="0" applyAlignment="1" applyBorder="1" applyFont="1">
      <alignment horizontal="center" shrinkToFit="0" vertical="center" wrapText="1"/>
    </xf>
    <xf borderId="16" fillId="4" fontId="14" numFmtId="0" xfId="0" applyAlignment="1" applyBorder="1" applyFont="1">
      <alignment horizontal="left" readingOrder="0" vertical="center"/>
    </xf>
    <xf borderId="62" fillId="12" fontId="14" numFmtId="164" xfId="0" applyAlignment="1" applyBorder="1" applyFont="1" applyNumberFormat="1">
      <alignment horizontal="center" vertical="center"/>
    </xf>
    <xf borderId="62" fillId="0" fontId="14" numFmtId="164" xfId="0" applyAlignment="1" applyBorder="1" applyFont="1" applyNumberFormat="1">
      <alignment horizontal="center" shrinkToFit="0" vertical="center" wrapText="1"/>
    </xf>
    <xf borderId="10" fillId="0" fontId="14" numFmtId="0" xfId="0" applyAlignment="1" applyBorder="1" applyFont="1">
      <alignment horizontal="center" shrinkToFit="0" vertical="center" wrapText="1"/>
    </xf>
    <xf borderId="68" fillId="10" fontId="10" numFmtId="0" xfId="0" applyAlignment="1" applyBorder="1" applyFont="1">
      <alignment horizontal="center"/>
    </xf>
    <xf borderId="64" fillId="12" fontId="14" numFmtId="164" xfId="0" applyAlignment="1" applyBorder="1" applyFont="1" applyNumberFormat="1">
      <alignment horizontal="center" vertical="center"/>
    </xf>
    <xf borderId="7" fillId="8" fontId="14" numFmtId="0" xfId="0" applyAlignment="1" applyBorder="1" applyFont="1">
      <alignment horizontal="left" readingOrder="0" vertical="center"/>
    </xf>
    <xf borderId="49" fillId="8" fontId="18" numFmtId="0" xfId="0" applyAlignment="1" applyBorder="1" applyFont="1">
      <alignment horizontal="center" readingOrder="0" vertical="center"/>
    </xf>
    <xf borderId="49" fillId="8" fontId="18" numFmtId="166" xfId="0" applyAlignment="1" applyBorder="1" applyFont="1" applyNumberFormat="1">
      <alignment horizontal="center" readingOrder="0" vertical="center"/>
    </xf>
    <xf borderId="29" fillId="10" fontId="10" numFmtId="0" xfId="0" applyAlignment="1" applyBorder="1" applyFont="1">
      <alignment horizontal="center" shrinkToFit="0" wrapText="1"/>
    </xf>
    <xf borderId="0" fillId="0" fontId="9" numFmtId="0" xfId="0" applyAlignment="1" applyFont="1">
      <alignment horizontal="center" shrinkToFit="0" wrapText="1"/>
    </xf>
    <xf borderId="52" fillId="10" fontId="16" numFmtId="0" xfId="0" applyAlignment="1" applyBorder="1" applyFont="1">
      <alignment horizontal="center" readingOrder="0" shrinkToFit="0" vertical="center" wrapText="0"/>
    </xf>
    <xf borderId="24" fillId="9" fontId="13" numFmtId="0" xfId="0" applyAlignment="1" applyBorder="1" applyFont="1">
      <alignment horizontal="center" shrinkToFit="0" vertical="center" wrapText="1"/>
    </xf>
    <xf borderId="25" fillId="9" fontId="13" numFmtId="0" xfId="0" applyAlignment="1" applyBorder="1" applyFont="1">
      <alignment horizontal="center" shrinkToFit="0" vertical="center" wrapText="1"/>
    </xf>
    <xf borderId="25" fillId="9" fontId="13" numFmtId="0" xfId="0" applyAlignment="1" applyBorder="1" applyFont="1">
      <alignment horizontal="center" readingOrder="0" shrinkToFit="0" vertical="center" wrapText="1"/>
    </xf>
    <xf borderId="27" fillId="9" fontId="13" numFmtId="0" xfId="0" applyAlignment="1" applyBorder="1" applyFont="1">
      <alignment horizontal="center" shrinkToFit="0" vertical="center" wrapText="1"/>
    </xf>
    <xf borderId="28" fillId="9" fontId="13" numFmtId="0" xfId="0" applyAlignment="1" applyBorder="1" applyFont="1">
      <alignment horizontal="center" shrinkToFit="0" vertical="center" wrapText="1"/>
    </xf>
    <xf borderId="62" fillId="4" fontId="14" numFmtId="0" xfId="0" applyAlignment="1" applyBorder="1" applyFont="1">
      <alignment horizontal="left" readingOrder="0" vertical="center"/>
    </xf>
    <xf borderId="24" fillId="9" fontId="13" numFmtId="0" xfId="0" applyAlignment="1" applyBorder="1" applyFont="1">
      <alignment horizontal="center" shrinkToFit="0" wrapText="1"/>
    </xf>
    <xf borderId="32" fillId="0" fontId="12" numFmtId="0" xfId="0" applyAlignment="1" applyBorder="1" applyFont="1">
      <alignment horizontal="center" readingOrder="0" shrinkToFit="0" vertical="center" wrapText="1"/>
    </xf>
    <xf borderId="25" fillId="9" fontId="13" numFmtId="0" xfId="0" applyAlignment="1" applyBorder="1" applyFont="1">
      <alignment horizontal="center" shrinkToFit="0" wrapText="1"/>
    </xf>
    <xf borderId="16" fillId="0" fontId="14" numFmtId="0" xfId="0" applyAlignment="1" applyBorder="1" applyFont="1">
      <alignment vertical="center"/>
    </xf>
    <xf borderId="27" fillId="9" fontId="13" numFmtId="0" xfId="0" applyAlignment="1" applyBorder="1" applyFont="1">
      <alignment horizontal="center" shrinkToFit="0" wrapText="1"/>
    </xf>
    <xf borderId="28" fillId="9" fontId="13" numFmtId="0" xfId="0" applyAlignment="1" applyBorder="1" applyFont="1">
      <alignment horizontal="center" shrinkToFit="0" wrapText="1"/>
    </xf>
    <xf borderId="32" fillId="0" fontId="12" numFmtId="164" xfId="0" applyAlignment="1" applyBorder="1" applyFont="1" applyNumberFormat="1">
      <alignment horizontal="center" shrinkToFit="0" vertical="center" wrapText="1"/>
    </xf>
    <xf borderId="34" fillId="0" fontId="12" numFmtId="164" xfId="0" applyAlignment="1" applyBorder="1" applyFont="1" applyNumberFormat="1">
      <alignment horizontal="center" readingOrder="0" shrinkToFit="0" vertical="center" wrapText="1"/>
    </xf>
    <xf borderId="35" fillId="0" fontId="12" numFmtId="164" xfId="0" applyAlignment="1" applyBorder="1" applyFont="1" applyNumberFormat="1">
      <alignment horizontal="center" readingOrder="0" shrinkToFit="0" vertical="center" wrapText="1"/>
    </xf>
    <xf borderId="32" fillId="0" fontId="12" numFmtId="0" xfId="0" applyAlignment="1" applyBorder="1" applyFont="1">
      <alignment horizontal="center" readingOrder="0" shrinkToFit="0" wrapText="1"/>
    </xf>
    <xf borderId="36" fillId="0" fontId="12" numFmtId="164" xfId="0" applyAlignment="1" applyBorder="1" applyFont="1" applyNumberFormat="1">
      <alignment horizontal="center" shrinkToFit="0" vertical="center" wrapText="1"/>
    </xf>
    <xf borderId="36" fillId="4" fontId="12" numFmtId="164" xfId="0" applyAlignment="1" applyBorder="1" applyFont="1" applyNumberFormat="1">
      <alignment horizontal="center" readingOrder="0" shrinkToFit="0" vertical="center" wrapText="1"/>
    </xf>
    <xf borderId="32" fillId="0" fontId="12" numFmtId="164" xfId="0" applyAlignment="1" applyBorder="1" applyFont="1" applyNumberFormat="1">
      <alignment horizontal="center" shrinkToFit="0" wrapText="1"/>
    </xf>
    <xf borderId="34" fillId="0" fontId="12" numFmtId="164" xfId="0" applyAlignment="1" applyBorder="1" applyFont="1" applyNumberFormat="1">
      <alignment horizontal="center" readingOrder="0" shrinkToFit="0" wrapText="1"/>
    </xf>
    <xf borderId="35" fillId="0" fontId="12" numFmtId="164" xfId="0" applyAlignment="1" applyBorder="1" applyFont="1" applyNumberFormat="1">
      <alignment horizontal="center" readingOrder="0" shrinkToFit="0" wrapText="1"/>
    </xf>
    <xf borderId="18" fillId="0" fontId="12" numFmtId="0" xfId="0" applyAlignment="1" applyBorder="1" applyFont="1">
      <alignment horizontal="center" readingOrder="0" shrinkToFit="0" vertical="center" wrapText="1"/>
    </xf>
    <xf borderId="36" fillId="0" fontId="12" numFmtId="164" xfId="0" applyAlignment="1" applyBorder="1" applyFont="1" applyNumberFormat="1">
      <alignment horizontal="center" shrinkToFit="0" wrapText="1"/>
    </xf>
    <xf borderId="39" fillId="0" fontId="12" numFmtId="164" xfId="0" applyAlignment="1" applyBorder="1" applyFont="1" applyNumberFormat="1">
      <alignment horizontal="center" shrinkToFit="0" vertical="center" wrapText="1"/>
    </xf>
    <xf borderId="36" fillId="4" fontId="12" numFmtId="164" xfId="0" applyAlignment="1" applyBorder="1" applyFont="1" applyNumberFormat="1">
      <alignment horizontal="center" readingOrder="0" shrinkToFit="0" wrapText="1"/>
    </xf>
    <xf borderId="18" fillId="0" fontId="12" numFmtId="164" xfId="0" applyAlignment="1" applyBorder="1" applyFont="1" applyNumberFormat="1">
      <alignment horizontal="center" readingOrder="0" shrinkToFit="0" vertical="center" wrapText="1"/>
    </xf>
    <xf borderId="40" fillId="0" fontId="12" numFmtId="164" xfId="0" applyAlignment="1" applyBorder="1" applyFont="1" applyNumberFormat="1">
      <alignment horizontal="center" shrinkToFit="0" vertical="center" wrapText="1"/>
    </xf>
    <xf borderId="41" fillId="4" fontId="12" numFmtId="164" xfId="0" applyAlignment="1" applyBorder="1" applyFont="1" applyNumberFormat="1">
      <alignment horizontal="center" readingOrder="0" shrinkToFit="0" vertical="center" wrapText="1"/>
    </xf>
    <xf borderId="18" fillId="0" fontId="12" numFmtId="0" xfId="0" applyAlignment="1" applyBorder="1" applyFont="1">
      <alignment horizontal="center" readingOrder="0" shrinkToFit="0" wrapText="1"/>
    </xf>
    <xf borderId="39" fillId="0" fontId="12" numFmtId="164" xfId="0" applyAlignment="1" applyBorder="1" applyFont="1" applyNumberFormat="1">
      <alignment horizontal="center" shrinkToFit="0" wrapText="1"/>
    </xf>
    <xf borderId="18" fillId="0" fontId="12" numFmtId="164" xfId="0" applyAlignment="1" applyBorder="1" applyFont="1" applyNumberFormat="1">
      <alignment horizontal="center" readingOrder="0" shrinkToFit="0" wrapText="1"/>
    </xf>
    <xf borderId="40" fillId="0" fontId="12" numFmtId="164" xfId="0" applyAlignment="1" applyBorder="1" applyFont="1" applyNumberFormat="1">
      <alignment horizontal="center" shrinkToFit="0" wrapText="1"/>
    </xf>
    <xf borderId="41" fillId="4" fontId="12" numFmtId="164" xfId="0" applyAlignment="1" applyBorder="1" applyFont="1" applyNumberFormat="1">
      <alignment horizontal="center" readingOrder="0" shrinkToFit="0" wrapText="1"/>
    </xf>
    <xf borderId="0" fillId="0" fontId="0" numFmtId="165" xfId="0" applyAlignment="1" applyFont="1" applyNumberFormat="1">
      <alignment readingOrder="0"/>
    </xf>
    <xf borderId="44" fillId="0" fontId="12" numFmtId="0" xfId="0" applyAlignment="1" applyBorder="1" applyFont="1">
      <alignment horizontal="center" readingOrder="0" shrinkToFit="0" vertical="center" wrapText="1"/>
    </xf>
    <xf borderId="45" fillId="0" fontId="12" numFmtId="164" xfId="0" applyAlignment="1" applyBorder="1" applyFont="1" applyNumberFormat="1">
      <alignment horizontal="center" shrinkToFit="0" vertical="center" wrapText="1"/>
    </xf>
    <xf borderId="45" fillId="0" fontId="12" numFmtId="164" xfId="0" applyAlignment="1" applyBorder="1" applyFont="1" applyNumberFormat="1">
      <alignment horizontal="center" readingOrder="0" shrinkToFit="0" vertical="center" wrapText="1"/>
    </xf>
    <xf borderId="46" fillId="0" fontId="12" numFmtId="164" xfId="0" applyAlignment="1" applyBorder="1" applyFont="1" applyNumberFormat="1">
      <alignment horizontal="center" shrinkToFit="0" vertical="center" wrapText="1"/>
    </xf>
    <xf borderId="46" fillId="4" fontId="12" numFmtId="164" xfId="0" applyAlignment="1" applyBorder="1" applyFont="1" applyNumberFormat="1">
      <alignment horizontal="center" readingOrder="0" shrinkToFit="0" vertical="center" wrapText="1"/>
    </xf>
    <xf borderId="0" fillId="0" fontId="0" numFmtId="165" xfId="0" applyFont="1" applyNumberFormat="1"/>
    <xf borderId="44" fillId="0" fontId="12" numFmtId="0" xfId="0" applyAlignment="1" applyBorder="1" applyFont="1">
      <alignment horizontal="center" readingOrder="0" shrinkToFit="0" wrapText="1"/>
    </xf>
    <xf borderId="45" fillId="0" fontId="12" numFmtId="164" xfId="0" applyAlignment="1" applyBorder="1" applyFont="1" applyNumberFormat="1">
      <alignment horizontal="center" shrinkToFit="0" wrapText="1"/>
    </xf>
    <xf borderId="46" fillId="0" fontId="12" numFmtId="164" xfId="0" applyAlignment="1" applyBorder="1" applyFont="1" applyNumberFormat="1">
      <alignment horizontal="center" shrinkToFit="0" wrapText="1"/>
    </xf>
    <xf borderId="46" fillId="4" fontId="12" numFmtId="164" xfId="0" applyAlignment="1" applyBorder="1" applyFont="1" applyNumberFormat="1">
      <alignment horizontal="center" readingOrder="0" shrinkToFit="0" wrapText="1"/>
    </xf>
    <xf borderId="0" fillId="0" fontId="0" numFmtId="0" xfId="0" applyAlignment="1" applyFont="1">
      <alignment vertical="center"/>
    </xf>
    <xf borderId="0" fillId="0" fontId="0" numFmtId="0" xfId="0" applyAlignment="1" applyFont="1">
      <alignment horizontal="center" vertical="center"/>
    </xf>
    <xf borderId="4" fillId="0" fontId="10" numFmtId="0" xfId="0" applyAlignment="1" applyBorder="1" applyFont="1">
      <alignment vertical="center"/>
    </xf>
    <xf borderId="32" fillId="0" fontId="10" numFmtId="0" xfId="0" applyAlignment="1" applyBorder="1" applyFont="1">
      <alignment horizontal="center" readingOrder="0" vertical="center"/>
    </xf>
    <xf borderId="32" fillId="0" fontId="10" numFmtId="165" xfId="0" applyAlignment="1" applyBorder="1" applyFont="1" applyNumberFormat="1">
      <alignment horizontal="center" vertical="center"/>
    </xf>
    <xf borderId="38" fillId="0" fontId="10" numFmtId="0" xfId="0" applyAlignment="1" applyBorder="1" applyFont="1">
      <alignment horizontal="center" readingOrder="0" shrinkToFit="0" vertical="center" wrapText="1"/>
    </xf>
    <xf borderId="11" fillId="0" fontId="10" numFmtId="0" xfId="0" applyAlignment="1" applyBorder="1" applyFont="1">
      <alignment vertical="center"/>
    </xf>
    <xf borderId="18" fillId="0" fontId="10" numFmtId="0" xfId="0" applyAlignment="1" applyBorder="1" applyFont="1">
      <alignment horizontal="center" readingOrder="0" vertical="center"/>
    </xf>
    <xf borderId="18" fillId="0" fontId="10" numFmtId="165" xfId="0" applyAlignment="1" applyBorder="1" applyFont="1" applyNumberFormat="1">
      <alignment horizontal="center" vertical="center"/>
    </xf>
    <xf borderId="1" fillId="11" fontId="13" numFmtId="0" xfId="0" applyAlignment="1" applyBorder="1" applyFont="1">
      <alignment horizontal="center" shrinkToFit="0" wrapText="1"/>
    </xf>
    <xf borderId="18" fillId="0" fontId="10" numFmtId="164" xfId="0" applyAlignment="1" applyBorder="1" applyFont="1" applyNumberFormat="1">
      <alignment horizontal="center" readingOrder="0" vertical="center"/>
    </xf>
    <xf borderId="26" fillId="11" fontId="9" numFmtId="0" xfId="0" applyAlignment="1" applyBorder="1" applyFont="1">
      <alignment horizontal="center"/>
    </xf>
    <xf borderId="12" fillId="0" fontId="10" numFmtId="0" xfId="0" applyAlignment="1" applyBorder="1" applyFont="1">
      <alignment horizontal="center" readingOrder="0" shrinkToFit="0" vertical="center" wrapText="1"/>
    </xf>
    <xf borderId="31" fillId="11" fontId="9" numFmtId="0" xfId="0" applyAlignment="1" applyBorder="1" applyFont="1">
      <alignment horizontal="center"/>
    </xf>
    <xf borderId="4" fillId="0" fontId="10" numFmtId="0" xfId="0" applyBorder="1" applyFont="1"/>
    <xf borderId="18" fillId="0" fontId="10" numFmtId="164" xfId="0" applyAlignment="1" applyBorder="1" applyFont="1" applyNumberFormat="1">
      <alignment horizontal="center" readingOrder="0" shrinkToFit="0" vertical="center" wrapText="1"/>
    </xf>
    <xf borderId="32" fillId="0" fontId="10" numFmtId="0" xfId="0" applyAlignment="1" applyBorder="1" applyFont="1">
      <alignment horizontal="center" readingOrder="0"/>
    </xf>
    <xf borderId="32" fillId="0" fontId="10" numFmtId="165" xfId="0" applyAlignment="1" applyBorder="1" applyFont="1" applyNumberFormat="1">
      <alignment horizontal="center"/>
    </xf>
    <xf borderId="33" fillId="0" fontId="10" numFmtId="0" xfId="0" applyAlignment="1" applyBorder="1" applyFont="1">
      <alignment horizontal="center" readingOrder="0" vertical="center"/>
    </xf>
    <xf borderId="38" fillId="0" fontId="10" numFmtId="0" xfId="0" applyAlignment="1" applyBorder="1" applyFont="1">
      <alignment horizontal="center" readingOrder="0" shrinkToFit="0" wrapText="1"/>
    </xf>
    <xf borderId="1" fillId="10" fontId="9" numFmtId="0" xfId="0" applyAlignment="1" applyBorder="1" applyFont="1">
      <alignment horizontal="center" shrinkToFit="0" vertical="center" wrapText="1"/>
    </xf>
    <xf borderId="29" fillId="10" fontId="16" numFmtId="0" xfId="0" applyAlignment="1" applyBorder="1" applyFont="1">
      <alignment readingOrder="0"/>
    </xf>
    <xf borderId="11" fillId="0" fontId="10" numFmtId="0" xfId="0" applyBorder="1" applyFont="1"/>
    <xf borderId="18" fillId="0" fontId="10" numFmtId="0" xfId="0" applyAlignment="1" applyBorder="1" applyFont="1">
      <alignment horizontal="center" readingOrder="0"/>
    </xf>
    <xf borderId="18" fillId="0" fontId="10" numFmtId="165" xfId="0" applyAlignment="1" applyBorder="1" applyFont="1" applyNumberFormat="1">
      <alignment horizontal="center"/>
    </xf>
    <xf borderId="18" fillId="0" fontId="10" numFmtId="164" xfId="0" applyAlignment="1" applyBorder="1" applyFont="1" applyNumberFormat="1">
      <alignment horizontal="center" readingOrder="0"/>
    </xf>
    <xf borderId="12" fillId="0" fontId="10" numFmtId="0" xfId="0" applyAlignment="1" applyBorder="1" applyFont="1">
      <alignment horizontal="center" readingOrder="0" shrinkToFit="0" wrapText="1"/>
    </xf>
    <xf borderId="16" fillId="0" fontId="10" numFmtId="0" xfId="0" applyAlignment="1" applyBorder="1" applyFont="1">
      <alignment vertical="center"/>
    </xf>
    <xf borderId="44" fillId="0" fontId="10" numFmtId="0" xfId="0" applyAlignment="1" applyBorder="1" applyFont="1">
      <alignment horizontal="center" readingOrder="0" vertical="center"/>
    </xf>
    <xf borderId="44" fillId="0" fontId="10" numFmtId="165" xfId="0" applyAlignment="1" applyBorder="1" applyFont="1" applyNumberFormat="1">
      <alignment horizontal="center" vertical="center"/>
    </xf>
    <xf borderId="18" fillId="0" fontId="10" numFmtId="164" xfId="0" applyAlignment="1" applyBorder="1" applyFont="1" applyNumberFormat="1">
      <alignment horizontal="center" readingOrder="0" shrinkToFit="0" wrapText="1"/>
    </xf>
    <xf borderId="17" fillId="0" fontId="10" numFmtId="0" xfId="0" applyAlignment="1" applyBorder="1" applyFont="1">
      <alignment horizontal="center" readingOrder="0" shrinkToFit="0" vertical="center" wrapText="1"/>
    </xf>
    <xf borderId="28" fillId="9" fontId="17" numFmtId="0" xfId="0" applyAlignment="1" applyBorder="1" applyFont="1">
      <alignment horizontal="center" shrinkToFit="0" vertical="center" wrapText="1"/>
    </xf>
    <xf borderId="69" fillId="9" fontId="17" numFmtId="0" xfId="0" applyAlignment="1" applyBorder="1" applyFont="1">
      <alignment horizontal="center" readingOrder="0" shrinkToFit="0" vertical="center" wrapText="1"/>
    </xf>
    <xf borderId="34" fillId="9" fontId="17" numFmtId="0" xfId="0" applyAlignment="1" applyBorder="1" applyFont="1">
      <alignment horizontal="center" shrinkToFit="0" vertical="center" wrapText="1"/>
    </xf>
    <xf borderId="56" fillId="8" fontId="14" numFmtId="0" xfId="0" applyAlignment="1" applyBorder="1" applyFont="1">
      <alignment horizontal="center"/>
    </xf>
    <xf borderId="18" fillId="0" fontId="10" numFmtId="165" xfId="0" applyAlignment="1" applyBorder="1" applyFont="1" applyNumberFormat="1">
      <alignment horizontal="center" readingOrder="0" vertical="center"/>
    </xf>
    <xf borderId="16" fillId="0" fontId="10" numFmtId="0" xfId="0" applyBorder="1" applyFont="1"/>
    <xf borderId="44" fillId="0" fontId="10" numFmtId="0" xfId="0" applyAlignment="1" applyBorder="1" applyFont="1">
      <alignment horizontal="center" readingOrder="0"/>
    </xf>
    <xf borderId="44" fillId="0" fontId="10" numFmtId="165" xfId="0" applyAlignment="1" applyBorder="1" applyFont="1" applyNumberFormat="1">
      <alignment horizontal="center" readingOrder="0" vertical="center"/>
    </xf>
    <xf borderId="44" fillId="0" fontId="10" numFmtId="165" xfId="0" applyAlignment="1" applyBorder="1" applyFont="1" applyNumberFormat="1">
      <alignment horizontal="center"/>
    </xf>
    <xf borderId="17" fillId="0" fontId="10" numFmtId="0" xfId="0" applyAlignment="1" applyBorder="1" applyFont="1">
      <alignment horizontal="center" readingOrder="0" shrinkToFit="0" wrapText="1"/>
    </xf>
    <xf borderId="28" fillId="9" fontId="17" numFmtId="0" xfId="0" applyAlignment="1" applyBorder="1" applyFont="1">
      <alignment horizontal="center" shrinkToFit="0" wrapText="1"/>
    </xf>
    <xf borderId="69" fillId="9" fontId="17" numFmtId="0" xfId="0" applyAlignment="1" applyBorder="1" applyFont="1">
      <alignment horizontal="center" readingOrder="0" shrinkToFit="0" wrapText="1"/>
    </xf>
    <xf borderId="34" fillId="9" fontId="17" numFmtId="0" xfId="0" applyAlignment="1" applyBorder="1" applyFont="1">
      <alignment horizontal="center" shrinkToFit="0" wrapText="1"/>
    </xf>
    <xf borderId="9" fillId="8" fontId="14" numFmtId="0" xfId="0" applyAlignment="1" applyBorder="1" applyFont="1">
      <alignment horizontal="left" readingOrder="0" vertical="center"/>
    </xf>
    <xf borderId="70" fillId="9" fontId="17" numFmtId="0" xfId="0" applyAlignment="1" applyBorder="1" applyFont="1">
      <alignment horizontal="center" shrinkToFit="0" wrapText="1"/>
    </xf>
    <xf borderId="29" fillId="10" fontId="16" numFmtId="0" xfId="0" applyBorder="1" applyFont="1"/>
    <xf borderId="36" fillId="8" fontId="14" numFmtId="0" xfId="0" applyAlignment="1" applyBorder="1" applyFont="1">
      <alignment horizontal="center"/>
    </xf>
    <xf borderId="4" fillId="8" fontId="14" numFmtId="0" xfId="0" applyAlignment="1" applyBorder="1" applyFont="1">
      <alignment horizontal="left" readingOrder="0"/>
    </xf>
    <xf borderId="32" fillId="8" fontId="14" numFmtId="0" xfId="0" applyAlignment="1" applyBorder="1" applyFont="1">
      <alignment horizontal="center" readingOrder="0"/>
    </xf>
    <xf borderId="32" fillId="8" fontId="14" numFmtId="166" xfId="0" applyAlignment="1" applyBorder="1" applyFont="1" applyNumberFormat="1">
      <alignment horizontal="center" readingOrder="0"/>
    </xf>
    <xf borderId="38" fillId="8" fontId="14" numFmtId="0" xfId="0" applyAlignment="1" applyBorder="1" applyFont="1">
      <alignment horizontal="center" readingOrder="0"/>
    </xf>
    <xf borderId="55" fillId="8" fontId="14" numFmtId="0" xfId="0" applyAlignment="1" applyBorder="1" applyFont="1">
      <alignment horizontal="center"/>
    </xf>
    <xf borderId="68" fillId="8" fontId="14" numFmtId="0" xfId="0" applyAlignment="1" applyBorder="1" applyFont="1">
      <alignment horizontal="left" readingOrder="0"/>
    </xf>
    <xf borderId="57" fillId="8" fontId="14" numFmtId="0" xfId="0" applyAlignment="1" applyBorder="1" applyFont="1">
      <alignment horizontal="center" readingOrder="0"/>
    </xf>
    <xf borderId="18" fillId="8" fontId="14" numFmtId="166" xfId="0" applyAlignment="1" applyBorder="1" applyFont="1" applyNumberFormat="1">
      <alignment horizontal="center" readingOrder="0"/>
    </xf>
    <xf borderId="33" fillId="8" fontId="14" numFmtId="0" xfId="0" applyAlignment="1" applyBorder="1" applyFont="1">
      <alignment horizontal="center" readingOrder="0" vertical="center"/>
    </xf>
    <xf borderId="18" fillId="8" fontId="14" numFmtId="0" xfId="0" applyAlignment="1" applyBorder="1" applyFont="1">
      <alignment horizontal="center" readingOrder="0"/>
    </xf>
    <xf borderId="12" fillId="8" fontId="14" numFmtId="0" xfId="0" applyAlignment="1" applyBorder="1" applyFont="1">
      <alignment horizontal="center" readingOrder="0"/>
    </xf>
    <xf borderId="33" fillId="8" fontId="14" numFmtId="166" xfId="0" applyAlignment="1" applyBorder="1" applyFont="1" applyNumberFormat="1">
      <alignment horizontal="center" readingOrder="0" vertical="center"/>
    </xf>
    <xf borderId="18" fillId="0" fontId="10" numFmtId="165" xfId="0" applyAlignment="1" applyBorder="1" applyFont="1" applyNumberFormat="1">
      <alignment horizontal="center" readingOrder="0"/>
    </xf>
    <xf borderId="18" fillId="10" fontId="10" numFmtId="165" xfId="0" applyAlignment="1" applyBorder="1" applyFont="1" applyNumberFormat="1">
      <alignment horizontal="center" vertical="center"/>
    </xf>
    <xf borderId="11" fillId="8" fontId="14" numFmtId="0" xfId="0" applyAlignment="1" applyBorder="1" applyFont="1">
      <alignment horizontal="left" readingOrder="0"/>
    </xf>
    <xf borderId="49" fillId="8" fontId="14" numFmtId="0" xfId="0" applyAlignment="1" applyBorder="1" applyFont="1">
      <alignment horizontal="center" readingOrder="0" vertical="center"/>
    </xf>
    <xf borderId="49" fillId="8" fontId="14" numFmtId="166" xfId="0" applyAlignment="1" applyBorder="1" applyFont="1" applyNumberFormat="1">
      <alignment horizontal="center" readingOrder="0" vertical="center"/>
    </xf>
    <xf borderId="44" fillId="0" fontId="10" numFmtId="165" xfId="0" applyAlignment="1" applyBorder="1" applyFont="1" applyNumberFormat="1">
      <alignment horizontal="center" readingOrder="0"/>
    </xf>
    <xf borderId="66" fillId="8" fontId="14" numFmtId="0" xfId="0" applyAlignment="1" applyBorder="1" applyFont="1">
      <alignment horizontal="center"/>
    </xf>
    <xf borderId="71" fillId="4" fontId="14" numFmtId="0" xfId="0" applyAlignment="1" applyBorder="1" applyFont="1">
      <alignment horizontal="left" readingOrder="0" vertical="center"/>
    </xf>
    <xf borderId="56" fillId="4" fontId="14" numFmtId="0" xfId="0" applyAlignment="1" applyBorder="1" applyFont="1">
      <alignment horizontal="center"/>
    </xf>
    <xf borderId="0" fillId="0" fontId="10" numFmtId="165" xfId="0" applyAlignment="1" applyFont="1" applyNumberFormat="1">
      <alignment horizontal="center"/>
    </xf>
    <xf borderId="33" fillId="4" fontId="14" numFmtId="0" xfId="0" applyAlignment="1" applyBorder="1" applyFont="1">
      <alignment horizontal="center" readingOrder="0" vertical="center"/>
    </xf>
    <xf borderId="33" fillId="4" fontId="14" numFmtId="166" xfId="0" applyAlignment="1" applyBorder="1" applyFont="1" applyNumberFormat="1">
      <alignment horizontal="center" readingOrder="0" vertical="center"/>
    </xf>
    <xf borderId="41" fillId="8" fontId="14" numFmtId="0" xfId="0" applyAlignment="1" applyBorder="1" applyFont="1">
      <alignment horizontal="center"/>
    </xf>
    <xf borderId="9" fillId="8" fontId="14" numFmtId="0" xfId="0" applyAlignment="1" applyBorder="1" applyFont="1">
      <alignment horizontal="left" readingOrder="0"/>
    </xf>
    <xf borderId="33" fillId="8" fontId="14" numFmtId="0" xfId="0" applyAlignment="1" applyBorder="1" applyFont="1">
      <alignment horizontal="center" readingOrder="0"/>
    </xf>
    <xf borderId="33" fillId="8" fontId="14" numFmtId="166" xfId="0" applyAlignment="1" applyBorder="1" applyFont="1" applyNumberFormat="1">
      <alignment horizontal="center" readingOrder="0"/>
    </xf>
    <xf borderId="72" fillId="4" fontId="14" numFmtId="0" xfId="0" applyAlignment="1" applyBorder="1" applyFont="1">
      <alignment horizontal="left" readingOrder="0" vertical="center"/>
    </xf>
    <xf borderId="56" fillId="8" fontId="14" numFmtId="0" xfId="0" applyAlignment="1" applyBorder="1" applyFont="1">
      <alignment horizontal="center" readingOrder="0"/>
    </xf>
    <xf borderId="57" fillId="4" fontId="14" numFmtId="0" xfId="0" applyAlignment="1" applyBorder="1" applyFont="1">
      <alignment horizontal="center" readingOrder="0" vertical="center"/>
    </xf>
    <xf borderId="46" fillId="8" fontId="14" numFmtId="0" xfId="0" applyAlignment="1" applyBorder="1" applyFont="1">
      <alignment horizontal="center"/>
    </xf>
    <xf borderId="7" fillId="8" fontId="14" numFmtId="0" xfId="0" applyAlignment="1" applyBorder="1" applyFont="1">
      <alignment horizontal="left" readingOrder="0"/>
    </xf>
    <xf borderId="49" fillId="8" fontId="14" numFmtId="0" xfId="0" applyAlignment="1" applyBorder="1" applyFont="1">
      <alignment horizontal="center" readingOrder="0"/>
    </xf>
    <xf borderId="49" fillId="8" fontId="14" numFmtId="166" xfId="0" applyAlignment="1" applyBorder="1" applyFont="1" applyNumberFormat="1">
      <alignment horizontal="center" readingOrder="0"/>
    </xf>
    <xf borderId="66" fillId="8" fontId="14" numFmtId="0" xfId="0" applyAlignment="1" applyBorder="1" applyFont="1">
      <alignment horizontal="center" readingOrder="0"/>
    </xf>
    <xf borderId="36" fillId="4" fontId="14" numFmtId="0" xfId="0" applyAlignment="1" applyBorder="1" applyFont="1">
      <alignment horizontal="center"/>
    </xf>
    <xf borderId="71" fillId="4" fontId="14" numFmtId="0" xfId="0" applyAlignment="1" applyBorder="1" applyFont="1">
      <alignment horizontal="left" readingOrder="0"/>
    </xf>
    <xf borderId="18" fillId="4" fontId="14" numFmtId="0" xfId="0" applyAlignment="1" applyBorder="1" applyFont="1">
      <alignment horizontal="center" readingOrder="0"/>
    </xf>
    <xf borderId="18" fillId="4" fontId="14" numFmtId="166" xfId="0" applyAlignment="1" applyBorder="1" applyFont="1" applyNumberFormat="1">
      <alignment horizontal="center" readingOrder="0"/>
    </xf>
    <xf borderId="12" fillId="4" fontId="14" numFmtId="0" xfId="0" applyAlignment="1" applyBorder="1" applyFont="1">
      <alignment horizontal="center" readingOrder="0"/>
    </xf>
    <xf borderId="4" fillId="8" fontId="0" numFmtId="0" xfId="0" applyAlignment="1" applyBorder="1" applyFont="1">
      <alignment vertical="center"/>
    </xf>
    <xf borderId="55" fillId="4" fontId="14" numFmtId="0" xfId="0" applyAlignment="1" applyBorder="1" applyFont="1">
      <alignment horizontal="center"/>
    </xf>
    <xf borderId="56" fillId="0" fontId="14" numFmtId="0" xfId="0" applyAlignment="1" applyBorder="1" applyFont="1">
      <alignment horizontal="center"/>
    </xf>
    <xf borderId="62" fillId="4" fontId="14" numFmtId="0" xfId="0" applyAlignment="1" applyBorder="1" applyFont="1">
      <alignment horizontal="left" readingOrder="0"/>
    </xf>
    <xf borderId="37" fillId="8" fontId="0" numFmtId="165" xfId="0" applyAlignment="1" applyBorder="1" applyFont="1" applyNumberFormat="1">
      <alignment horizontal="center" vertical="center"/>
    </xf>
    <xf borderId="33" fillId="4" fontId="14" numFmtId="0" xfId="0" applyAlignment="1" applyBorder="1" applyFont="1">
      <alignment horizontal="center" readingOrder="0"/>
    </xf>
    <xf borderId="38" fillId="8" fontId="0" numFmtId="165" xfId="0" applyAlignment="1" applyBorder="1" applyFont="1" applyNumberFormat="1">
      <alignment horizontal="center" vertical="center"/>
    </xf>
    <xf borderId="33" fillId="4" fontId="14" numFmtId="166" xfId="0" applyAlignment="1" applyBorder="1" applyFont="1" applyNumberFormat="1">
      <alignment horizontal="center" readingOrder="0"/>
    </xf>
    <xf borderId="32" fillId="0" fontId="12" numFmtId="0" xfId="0" applyAlignment="1" applyBorder="1" applyFont="1">
      <alignment horizontal="center" shrinkToFit="0" wrapText="1"/>
    </xf>
    <xf borderId="56" fillId="4" fontId="14" numFmtId="0" xfId="0" applyAlignment="1" applyBorder="1" applyFont="1">
      <alignment horizontal="center" readingOrder="0"/>
    </xf>
    <xf borderId="66" fillId="4" fontId="14" numFmtId="0" xfId="0" applyAlignment="1" applyBorder="1" applyFont="1">
      <alignment horizontal="center"/>
    </xf>
    <xf borderId="41" fillId="4" fontId="14" numFmtId="0" xfId="0" applyAlignment="1" applyBorder="1" applyFont="1">
      <alignment horizontal="center"/>
    </xf>
    <xf borderId="72" fillId="4" fontId="14" numFmtId="0" xfId="0" applyAlignment="1" applyBorder="1" applyFont="1">
      <alignment horizontal="left" readingOrder="0"/>
    </xf>
    <xf borderId="57" fillId="4" fontId="14" numFmtId="0" xfId="0" applyAlignment="1" applyBorder="1" applyFont="1">
      <alignment horizontal="center" readingOrder="0"/>
    </xf>
    <xf borderId="57" fillId="4" fontId="14" numFmtId="166" xfId="0" applyAlignment="1" applyBorder="1" applyFont="1" applyNumberFormat="1">
      <alignment horizontal="center" readingOrder="0"/>
    </xf>
    <xf borderId="73" fillId="4" fontId="14" numFmtId="0" xfId="0" applyAlignment="1" applyBorder="1" applyFont="1">
      <alignment horizontal="center" readingOrder="0"/>
    </xf>
    <xf borderId="36" fillId="8" fontId="12" numFmtId="164" xfId="0" applyAlignment="1" applyBorder="1" applyFont="1" applyNumberFormat="1">
      <alignment horizontal="center" shrinkToFit="0" wrapText="1"/>
    </xf>
    <xf borderId="60" fillId="4" fontId="14" numFmtId="0" xfId="0" applyAlignment="1" applyBorder="1" applyFont="1">
      <alignment horizontal="left" readingOrder="0"/>
    </xf>
    <xf borderId="11" fillId="8" fontId="0" numFmtId="0" xfId="0" applyAlignment="1" applyBorder="1" applyFont="1">
      <alignment vertical="center"/>
    </xf>
    <xf borderId="55" fillId="0" fontId="14" numFmtId="0" xfId="0" applyAlignment="1" applyBorder="1" applyFont="1">
      <alignment horizontal="center"/>
    </xf>
    <xf borderId="42" fillId="8" fontId="0" numFmtId="165" xfId="0" applyAlignment="1" applyBorder="1" applyFont="1" applyNumberFormat="1">
      <alignment horizontal="center" vertical="center"/>
    </xf>
    <xf borderId="12" fillId="8" fontId="0" numFmtId="165" xfId="0" applyAlignment="1" applyBorder="1" applyFont="1" applyNumberFormat="1">
      <alignment horizontal="center" vertical="center"/>
    </xf>
    <xf borderId="46" fillId="0" fontId="14" numFmtId="0" xfId="0" applyAlignment="1" applyBorder="1" applyFont="1">
      <alignment horizontal="center"/>
    </xf>
    <xf borderId="18" fillId="0" fontId="12" numFmtId="0" xfId="0" applyAlignment="1" applyBorder="1" applyFont="1">
      <alignment horizontal="center" shrinkToFit="0" wrapText="1"/>
    </xf>
    <xf borderId="63" fillId="4" fontId="14" numFmtId="0" xfId="0" applyAlignment="1" applyBorder="1" applyFont="1">
      <alignment horizontal="left" readingOrder="0"/>
    </xf>
    <xf borderId="44" fillId="4" fontId="14" numFmtId="0" xfId="0" applyAlignment="1" applyBorder="1" applyFont="1">
      <alignment horizontal="center" readingOrder="0"/>
    </xf>
    <xf borderId="33" fillId="0" fontId="12" numFmtId="164" xfId="0" applyAlignment="1" applyBorder="1" applyFont="1" applyNumberFormat="1">
      <alignment horizontal="center" shrinkToFit="0" wrapText="1"/>
    </xf>
    <xf borderId="44" fillId="4" fontId="14" numFmtId="166" xfId="0" applyAlignment="1" applyBorder="1" applyFont="1" applyNumberFormat="1">
      <alignment horizontal="center" readingOrder="0"/>
    </xf>
    <xf borderId="18" fillId="0" fontId="12" numFmtId="164" xfId="0" applyAlignment="1" applyBorder="1" applyFont="1" applyNumberFormat="1">
      <alignment horizontal="center" shrinkToFit="0" wrapText="1"/>
    </xf>
    <xf borderId="17" fillId="4" fontId="14" numFmtId="0" xfId="0" applyAlignment="1" applyBorder="1" applyFont="1">
      <alignment horizontal="center" readingOrder="0"/>
    </xf>
    <xf borderId="43" fillId="0" fontId="12" numFmtId="164" xfId="0" applyAlignment="1" applyBorder="1" applyFont="1" applyNumberFormat="1">
      <alignment horizontal="center" shrinkToFit="0" wrapText="1"/>
    </xf>
    <xf borderId="41" fillId="8" fontId="12" numFmtId="164" xfId="0" applyAlignment="1" applyBorder="1" applyFont="1" applyNumberFormat="1">
      <alignment horizontal="center" shrinkToFit="0" wrapText="1"/>
    </xf>
    <xf borderId="43" fillId="0" fontId="12" numFmtId="164" xfId="0" applyAlignment="1" applyBorder="1" applyFont="1" applyNumberFormat="1">
      <alignment horizontal="center" readingOrder="0" shrinkToFit="0" wrapText="1"/>
    </xf>
    <xf borderId="13" fillId="8" fontId="0" numFmtId="0" xfId="0" applyAlignment="1" applyBorder="1" applyFont="1">
      <alignment vertical="center"/>
    </xf>
    <xf borderId="74" fillId="8" fontId="0" numFmtId="165" xfId="0" applyAlignment="1" applyBorder="1" applyFont="1" applyNumberFormat="1">
      <alignment horizontal="center" readingOrder="0" vertical="center"/>
    </xf>
    <xf borderId="14" fillId="8" fontId="0" numFmtId="165" xfId="0" applyAlignment="1" applyBorder="1" applyFont="1" applyNumberFormat="1">
      <alignment horizontal="center" readingOrder="0" vertical="center"/>
    </xf>
    <xf borderId="44" fillId="0" fontId="12" numFmtId="0" xfId="0" applyAlignment="1" applyBorder="1" applyFont="1">
      <alignment horizontal="center" shrinkToFit="0" wrapText="1"/>
    </xf>
    <xf borderId="44" fillId="0" fontId="12" numFmtId="164" xfId="0" applyAlignment="1" applyBorder="1" applyFont="1" applyNumberFormat="1">
      <alignment horizontal="center" shrinkToFit="0" wrapText="1"/>
    </xf>
    <xf borderId="46" fillId="8" fontId="12" numFmtId="164" xfId="0" applyAlignment="1" applyBorder="1" applyFont="1" applyNumberFormat="1">
      <alignment horizontal="center" readingOrder="0" shrinkToFit="0" wrapText="1"/>
    </xf>
    <xf borderId="32" fillId="0" fontId="10" numFmtId="0" xfId="0" applyAlignment="1" applyBorder="1" applyFont="1">
      <alignment horizontal="center"/>
    </xf>
    <xf borderId="38" fillId="0" fontId="10" numFmtId="0" xfId="0" applyAlignment="1" applyBorder="1" applyFont="1">
      <alignment horizontal="center" shrinkToFit="0" wrapText="1"/>
    </xf>
    <xf borderId="18" fillId="0" fontId="10" numFmtId="0" xfId="0" applyAlignment="1" applyBorder="1" applyFont="1">
      <alignment horizontal="center"/>
    </xf>
    <xf borderId="12" fillId="0" fontId="10" numFmtId="0" xfId="0" applyAlignment="1" applyBorder="1" applyFont="1">
      <alignment horizontal="center" shrinkToFit="0" wrapText="1"/>
    </xf>
    <xf borderId="18" fillId="0" fontId="10" numFmtId="0" xfId="0" applyAlignment="1" applyBorder="1" applyFont="1">
      <alignment horizontal="center" shrinkToFit="0" wrapText="1"/>
    </xf>
    <xf borderId="1" fillId="9" fontId="13" numFmtId="0" xfId="0" applyAlignment="1" applyBorder="1" applyFont="1">
      <alignment horizontal="center" shrinkToFit="0" wrapText="1"/>
    </xf>
    <xf borderId="26" fillId="9" fontId="13" numFmtId="0" xfId="0" applyAlignment="1" applyBorder="1" applyFont="1">
      <alignment horizontal="center" shrinkToFit="0" wrapText="1"/>
    </xf>
    <xf borderId="44" fillId="0" fontId="10" numFmtId="0" xfId="0" applyAlignment="1" applyBorder="1" applyFont="1">
      <alignment horizontal="center"/>
    </xf>
    <xf borderId="17" fillId="0" fontId="10" numFmtId="0" xfId="0" applyAlignment="1" applyBorder="1" applyFont="1">
      <alignment horizontal="center" shrinkToFit="0" wrapText="1"/>
    </xf>
    <xf borderId="75" fillId="9" fontId="13" numFmtId="0" xfId="0" applyAlignment="1" applyBorder="1" applyFont="1">
      <alignment horizontal="center" shrinkToFit="0" wrapText="1"/>
    </xf>
    <xf borderId="53" fillId="9" fontId="13" numFmtId="0" xfId="0" applyAlignment="1" applyBorder="1" applyFont="1">
      <alignment horizontal="center" shrinkToFit="0" wrapText="1"/>
    </xf>
    <xf borderId="24" fillId="9" fontId="17" numFmtId="0" xfId="0" applyAlignment="1" applyBorder="1" applyFont="1">
      <alignment horizontal="center" shrinkToFit="0" wrapText="1"/>
    </xf>
    <xf borderId="24" fillId="9" fontId="17" numFmtId="0" xfId="0" applyAlignment="1" applyBorder="1" applyFont="1">
      <alignment shrinkToFit="0" wrapText="1"/>
    </xf>
    <xf borderId="4" fillId="8" fontId="12" numFmtId="0" xfId="0" applyAlignment="1" applyBorder="1" applyFont="1">
      <alignment horizontal="left" shrinkToFit="0" vertical="center" wrapText="1"/>
    </xf>
    <xf borderId="25" fillId="9" fontId="17" numFmtId="0" xfId="0" applyAlignment="1" applyBorder="1" applyFont="1">
      <alignment horizontal="center" shrinkToFit="0" wrapText="1"/>
    </xf>
    <xf borderId="0" fillId="0" fontId="1" numFmtId="0" xfId="0" applyAlignment="1" applyFont="1">
      <alignment vertical="center"/>
    </xf>
    <xf borderId="76" fillId="9" fontId="17" numFmtId="0" xfId="0" applyAlignment="1" applyBorder="1" applyFont="1">
      <alignment horizontal="center" shrinkToFit="0" wrapText="1"/>
    </xf>
    <xf borderId="0" fillId="0" fontId="2" numFmtId="0" xfId="0" applyAlignment="1" applyFont="1">
      <alignment vertical="center"/>
    </xf>
    <xf borderId="35" fillId="0" fontId="12" numFmtId="164" xfId="0" applyAlignment="1" applyBorder="1" applyFont="1" applyNumberFormat="1">
      <alignment horizontal="center" shrinkToFit="0" wrapText="1"/>
    </xf>
    <xf borderId="77" fillId="8" fontId="14" numFmtId="0" xfId="0" applyBorder="1" applyFont="1"/>
    <xf borderId="32" fillId="8" fontId="14" numFmtId="0" xfId="0" applyAlignment="1" applyBorder="1" applyFont="1">
      <alignment horizontal="center"/>
    </xf>
    <xf borderId="69" fillId="9" fontId="22" numFmtId="0" xfId="0" applyAlignment="1" applyBorder="1" applyFont="1">
      <alignment horizontal="center" shrinkToFit="0" vertical="center" wrapText="1"/>
    </xf>
    <xf borderId="32" fillId="8" fontId="14" numFmtId="166" xfId="0" applyAlignment="1" applyBorder="1" applyFont="1" applyNumberFormat="1">
      <alignment horizontal="center"/>
    </xf>
    <xf borderId="34" fillId="9" fontId="22" numFmtId="0" xfId="0" applyAlignment="1" applyBorder="1" applyFont="1">
      <alignment horizontal="center" shrinkToFit="0" vertical="center" wrapText="1"/>
    </xf>
    <xf borderId="38" fillId="8" fontId="14" numFmtId="0" xfId="0" applyAlignment="1" applyBorder="1" applyFont="1">
      <alignment horizontal="center"/>
    </xf>
    <xf borderId="11" fillId="8" fontId="12" numFmtId="0" xfId="0" applyAlignment="1" applyBorder="1" applyFont="1">
      <alignment horizontal="left" shrinkToFit="0" vertical="center" wrapText="1"/>
    </xf>
    <xf borderId="70" fillId="9" fontId="22" numFmtId="0" xfId="0" applyAlignment="1" applyBorder="1" applyFont="1">
      <alignment horizontal="center" shrinkToFit="0" vertical="center" wrapText="1"/>
    </xf>
    <xf borderId="1" fillId="9" fontId="22" numFmtId="0" xfId="0" applyAlignment="1" applyBorder="1" applyFont="1">
      <alignment horizontal="center" shrinkToFit="0" vertical="center" wrapText="1"/>
    </xf>
    <xf borderId="26" fillId="9" fontId="22" numFmtId="0" xfId="0" applyAlignment="1" applyBorder="1" applyFont="1">
      <alignment horizontal="center" shrinkToFit="0" vertical="center" wrapText="1"/>
    </xf>
    <xf borderId="71" fillId="8" fontId="14" numFmtId="0" xfId="0" applyBorder="1" applyFont="1"/>
    <xf borderId="31" fillId="9" fontId="22" numFmtId="0" xfId="0" applyAlignment="1" applyBorder="1" applyFont="1">
      <alignment horizontal="center" shrinkToFit="0" vertical="center" wrapText="1"/>
    </xf>
    <xf borderId="57" fillId="8" fontId="14" numFmtId="0" xfId="0" applyAlignment="1" applyBorder="1" applyFont="1">
      <alignment horizontal="center"/>
    </xf>
    <xf borderId="18" fillId="8" fontId="14" numFmtId="166" xfId="0" applyAlignment="1" applyBorder="1" applyFont="1" applyNumberFormat="1">
      <alignment horizontal="center"/>
    </xf>
    <xf borderId="18" fillId="8" fontId="14" numFmtId="0" xfId="0" applyAlignment="1" applyBorder="1" applyFont="1">
      <alignment horizontal="center"/>
    </xf>
    <xf borderId="12" fillId="8" fontId="14" numFmtId="0" xfId="0" applyAlignment="1" applyBorder="1" applyFont="1">
      <alignment horizontal="center"/>
    </xf>
    <xf borderId="4" fillId="4" fontId="14" numFmtId="0" xfId="0" applyAlignment="1" applyBorder="1" applyFont="1">
      <alignment vertical="center"/>
    </xf>
    <xf borderId="32" fillId="4" fontId="14" numFmtId="0" xfId="0" applyAlignment="1" applyBorder="1" applyFont="1">
      <alignment horizontal="center" vertical="center"/>
    </xf>
    <xf borderId="38" fillId="4" fontId="14" numFmtId="0" xfId="0" applyAlignment="1" applyBorder="1" applyFont="1">
      <alignment horizontal="center" vertical="center"/>
    </xf>
    <xf borderId="78" fillId="8" fontId="14" numFmtId="0" xfId="0" applyBorder="1" applyFont="1"/>
    <xf borderId="4" fillId="14" fontId="23" numFmtId="3" xfId="0" applyAlignment="1" applyBorder="1" applyFill="1" applyFont="1" applyNumberFormat="1">
      <alignment horizontal="center" shrinkToFit="0" vertical="center" wrapText="1"/>
    </xf>
    <xf borderId="4" fillId="14" fontId="23" numFmtId="164" xfId="0" applyAlignment="1" applyBorder="1" applyFont="1" applyNumberFormat="1">
      <alignment shrinkToFit="0" vertical="center" wrapText="1"/>
    </xf>
    <xf borderId="79" fillId="8" fontId="14" numFmtId="0" xfId="0" applyBorder="1" applyFont="1"/>
    <xf borderId="80" fillId="8" fontId="14" numFmtId="0" xfId="0" applyAlignment="1" applyBorder="1" applyFont="1">
      <alignment horizontal="center"/>
    </xf>
    <xf borderId="81" fillId="8" fontId="14" numFmtId="166" xfId="0" applyAlignment="1" applyBorder="1" applyFont="1" applyNumberFormat="1">
      <alignment horizontal="center"/>
    </xf>
    <xf borderId="81" fillId="8" fontId="14" numFmtId="0" xfId="0" applyAlignment="1" applyBorder="1" applyFont="1">
      <alignment horizontal="center"/>
    </xf>
    <xf borderId="48" fillId="8" fontId="14" numFmtId="0" xfId="0" applyAlignment="1" applyBorder="1" applyFont="1">
      <alignment horizontal="center"/>
    </xf>
    <xf borderId="38" fillId="14" fontId="23" numFmtId="164" xfId="0" applyAlignment="1" applyBorder="1" applyFont="1" applyNumberFormat="1">
      <alignment horizontal="center" shrinkToFit="0" vertical="center" wrapText="1"/>
    </xf>
    <xf borderId="11" fillId="4" fontId="14" numFmtId="0" xfId="0" applyAlignment="1" applyBorder="1" applyFont="1">
      <alignment vertical="center"/>
    </xf>
    <xf borderId="12" fillId="4" fontId="18" numFmtId="0" xfId="0" applyAlignment="1" applyBorder="1" applyFont="1">
      <alignment horizontal="center" vertical="center"/>
    </xf>
    <xf borderId="11" fillId="13" fontId="23" numFmtId="3" xfId="0" applyAlignment="1" applyBorder="1" applyFont="1" applyNumberFormat="1">
      <alignment horizontal="center" shrinkToFit="0" vertical="center" wrapText="1"/>
    </xf>
    <xf borderId="68" fillId="13" fontId="23" numFmtId="164" xfId="0" applyAlignment="1" applyBorder="1" applyFont="1" applyNumberFormat="1">
      <alignment shrinkToFit="0" vertical="center" wrapText="1"/>
    </xf>
    <xf borderId="73" fillId="13" fontId="23" numFmtId="164" xfId="0" applyAlignment="1" applyBorder="1" applyFont="1" applyNumberFormat="1">
      <alignment horizontal="center" shrinkToFit="0" vertical="center" wrapText="1"/>
    </xf>
    <xf borderId="82" fillId="8" fontId="14" numFmtId="0" xfId="0" applyBorder="1" applyFont="1"/>
    <xf borderId="44" fillId="8" fontId="14" numFmtId="0" xfId="0" applyAlignment="1" applyBorder="1" applyFont="1">
      <alignment horizontal="center"/>
    </xf>
    <xf borderId="44" fillId="8" fontId="14" numFmtId="166" xfId="0" applyAlignment="1" applyBorder="1" applyFont="1" applyNumberFormat="1">
      <alignment horizontal="center"/>
    </xf>
    <xf borderId="17" fillId="8" fontId="14" numFmtId="0" xfId="0" applyAlignment="1" applyBorder="1" applyFont="1">
      <alignment horizontal="center"/>
    </xf>
    <xf borderId="11" fillId="15" fontId="23" numFmtId="3" xfId="0" applyAlignment="1" applyBorder="1" applyFill="1" applyFont="1" applyNumberFormat="1">
      <alignment horizontal="center" shrinkToFit="0" vertical="center" wrapText="1"/>
    </xf>
    <xf borderId="11" fillId="15" fontId="23" numFmtId="164" xfId="0" applyAlignment="1" applyBorder="1" applyFont="1" applyNumberFormat="1">
      <alignment shrinkToFit="0" vertical="center" wrapText="1"/>
    </xf>
    <xf borderId="12" fillId="15" fontId="23" numFmtId="164" xfId="0" applyAlignment="1" applyBorder="1" applyFont="1" applyNumberFormat="1">
      <alignment horizontal="center" shrinkToFit="0" vertical="center" wrapText="1"/>
    </xf>
    <xf borderId="77" fillId="4" fontId="14" numFmtId="0" xfId="0" applyBorder="1" applyFont="1"/>
    <xf borderId="32" fillId="4" fontId="14" numFmtId="0" xfId="0" applyAlignment="1" applyBorder="1" applyFont="1">
      <alignment horizontal="center"/>
    </xf>
    <xf borderId="32" fillId="4" fontId="14" numFmtId="166" xfId="0" applyAlignment="1" applyBorder="1" applyFont="1" applyNumberFormat="1">
      <alignment horizontal="center"/>
    </xf>
    <xf borderId="38" fillId="4" fontId="14" numFmtId="0" xfId="0" applyAlignment="1" applyBorder="1" applyFont="1">
      <alignment horizontal="center"/>
    </xf>
    <xf borderId="16" fillId="4" fontId="14" numFmtId="0" xfId="0" applyAlignment="1" applyBorder="1" applyFont="1">
      <alignment vertical="center"/>
    </xf>
    <xf borderId="17" fillId="4" fontId="14" numFmtId="0" xfId="0" applyAlignment="1" applyBorder="1" applyFont="1">
      <alignment horizontal="center" vertical="center"/>
    </xf>
    <xf borderId="71" fillId="4" fontId="14" numFmtId="0" xfId="0" applyBorder="1" applyFont="1"/>
    <xf borderId="11" fillId="14" fontId="23" numFmtId="3" xfId="0" applyAlignment="1" applyBorder="1" applyFont="1" applyNumberFormat="1">
      <alignment horizontal="center" shrinkToFit="0" vertical="center" wrapText="1"/>
    </xf>
    <xf borderId="18" fillId="4" fontId="14" numFmtId="0" xfId="0" applyAlignment="1" applyBorder="1" applyFont="1">
      <alignment horizontal="center"/>
    </xf>
    <xf borderId="11" fillId="14" fontId="23" numFmtId="164" xfId="0" applyAlignment="1" applyBorder="1" applyFont="1" applyNumberFormat="1">
      <alignment shrinkToFit="0" vertical="center" wrapText="1"/>
    </xf>
    <xf borderId="18" fillId="4" fontId="14" numFmtId="166" xfId="0" applyAlignment="1" applyBorder="1" applyFont="1" applyNumberFormat="1">
      <alignment horizontal="center"/>
    </xf>
    <xf borderId="12" fillId="14" fontId="23" numFmtId="164" xfId="0" applyAlignment="1" applyBorder="1" applyFont="1" applyNumberFormat="1">
      <alignment horizontal="center" shrinkToFit="0" vertical="center" wrapText="1"/>
    </xf>
    <xf borderId="12" fillId="4" fontId="14" numFmtId="0" xfId="0" applyAlignment="1" applyBorder="1" applyFont="1">
      <alignment horizontal="center"/>
    </xf>
    <xf borderId="11" fillId="13" fontId="23" numFmtId="164" xfId="0" applyAlignment="1" applyBorder="1" applyFont="1" applyNumberFormat="1">
      <alignment shrinkToFit="0" vertical="center" wrapText="1"/>
    </xf>
    <xf borderId="16" fillId="8" fontId="12" numFmtId="0" xfId="0" applyAlignment="1" applyBorder="1" applyFont="1">
      <alignment horizontal="left" shrinkToFit="0" vertical="center" wrapText="1"/>
    </xf>
    <xf borderId="12" fillId="13" fontId="23" numFmtId="164" xfId="0" applyAlignment="1" applyBorder="1" applyFont="1" applyNumberFormat="1">
      <alignment horizontal="center" shrinkToFit="0" vertical="center" wrapText="1"/>
    </xf>
    <xf borderId="0" fillId="0" fontId="24" numFmtId="0" xfId="0" applyAlignment="1" applyFont="1">
      <alignment vertical="center"/>
    </xf>
    <xf borderId="78" fillId="4" fontId="14" numFmtId="0" xfId="0" applyBorder="1" applyFont="1"/>
    <xf borderId="57" fillId="4" fontId="14" numFmtId="0" xfId="0" applyAlignment="1" applyBorder="1" applyFont="1">
      <alignment horizontal="center"/>
    </xf>
    <xf borderId="24" fillId="9" fontId="22" numFmtId="0" xfId="0" applyAlignment="1" applyBorder="1" applyFont="1">
      <alignment horizontal="center" shrinkToFit="0" vertical="center" wrapText="1"/>
    </xf>
    <xf borderId="57" fillId="4" fontId="14" numFmtId="166" xfId="0" applyAlignment="1" applyBorder="1" applyFont="1" applyNumberFormat="1">
      <alignment horizontal="center"/>
    </xf>
    <xf borderId="25" fillId="9" fontId="22" numFmtId="0" xfId="0" applyAlignment="1" applyBorder="1" applyFont="1">
      <alignment horizontal="center" shrinkToFit="0" vertical="center" wrapText="1"/>
    </xf>
    <xf borderId="73" fillId="4" fontId="14" numFmtId="0" xfId="0" applyAlignment="1" applyBorder="1" applyFont="1">
      <alignment horizontal="center"/>
    </xf>
    <xf borderId="76" fillId="9" fontId="22" numFmtId="0" xfId="0" applyAlignment="1" applyBorder="1" applyFont="1">
      <alignment horizontal="center" shrinkToFit="0" vertical="center" wrapText="1"/>
    </xf>
    <xf borderId="29" fillId="10" fontId="10" numFmtId="164" xfId="0" applyAlignment="1" applyBorder="1" applyFont="1" applyNumberFormat="1">
      <alignment horizontal="center" vertical="center"/>
    </xf>
    <xf borderId="29" fillId="10" fontId="10" numFmtId="165" xfId="0" applyAlignment="1" applyBorder="1" applyFont="1" applyNumberFormat="1">
      <alignment horizontal="center" vertical="center"/>
    </xf>
    <xf borderId="68" fillId="14" fontId="23" numFmtId="3" xfId="0" applyAlignment="1" applyBorder="1" applyFont="1" applyNumberFormat="1">
      <alignment horizontal="center" shrinkToFit="0" vertical="center" wrapText="1"/>
    </xf>
    <xf borderId="29" fillId="10" fontId="0" numFmtId="165" xfId="0" applyAlignment="1" applyBorder="1" applyFont="1" applyNumberFormat="1">
      <alignment horizontal="center" vertical="center"/>
    </xf>
    <xf borderId="68" fillId="14" fontId="23" numFmtId="164" xfId="0" applyAlignment="1" applyBorder="1" applyFont="1" applyNumberFormat="1">
      <alignment shrinkToFit="0" vertical="center" wrapText="1"/>
    </xf>
    <xf borderId="73" fillId="14" fontId="23" numFmtId="164" xfId="0" applyAlignment="1" applyBorder="1" applyFont="1" applyNumberFormat="1">
      <alignment horizontal="center" shrinkToFit="0" vertical="center" wrapText="1"/>
    </xf>
    <xf borderId="82" fillId="4" fontId="14" numFmtId="0" xfId="0" applyBorder="1" applyFont="1"/>
    <xf borderId="44" fillId="4" fontId="14" numFmtId="0" xfId="0" applyAlignment="1" applyBorder="1" applyFont="1">
      <alignment horizontal="center"/>
    </xf>
    <xf borderId="44" fillId="4" fontId="14" numFmtId="166" xfId="0" applyAlignment="1" applyBorder="1" applyFont="1" applyNumberFormat="1">
      <alignment horizontal="center"/>
    </xf>
    <xf borderId="17" fillId="4" fontId="14" numFmtId="0" xfId="0" applyAlignment="1" applyBorder="1" applyFont="1">
      <alignment horizontal="center"/>
    </xf>
    <xf borderId="0" fillId="0" fontId="2" numFmtId="0" xfId="0" applyAlignment="1" applyFont="1">
      <alignment vertical="center"/>
    </xf>
    <xf borderId="0" fillId="0" fontId="10" numFmtId="0" xfId="0" applyFont="1"/>
    <xf borderId="12" fillId="4" fontId="14" numFmtId="0" xfId="0" applyAlignment="1" applyBorder="1" applyFont="1">
      <alignment horizontal="center" vertical="center"/>
    </xf>
    <xf borderId="16" fillId="15" fontId="23" numFmtId="3" xfId="0" applyAlignment="1" applyBorder="1" applyFont="1" applyNumberFormat="1">
      <alignment horizontal="center" shrinkToFit="0" vertical="center" wrapText="1"/>
    </xf>
    <xf borderId="16" fillId="15" fontId="23" numFmtId="164" xfId="0" applyAlignment="1" applyBorder="1" applyFont="1" applyNumberFormat="1">
      <alignment shrinkToFit="0" vertical="center" wrapText="1"/>
    </xf>
    <xf borderId="17" fillId="15" fontId="23" numFmtId="164" xfId="0" applyAlignment="1" applyBorder="1" applyFont="1" applyNumberFormat="1">
      <alignment horizontal="center" shrinkToFit="0" vertical="center" wrapText="1"/>
    </xf>
    <xf borderId="13" fillId="0" fontId="10" numFmtId="0" xfId="0" applyBorder="1" applyFont="1"/>
    <xf borderId="58" fillId="0" fontId="10" numFmtId="0" xfId="0" applyAlignment="1" applyBorder="1" applyFont="1">
      <alignment horizontal="center"/>
    </xf>
    <xf borderId="58" fillId="0" fontId="10" numFmtId="165" xfId="0" applyAlignment="1" applyBorder="1" applyFont="1" applyNumberFormat="1">
      <alignment horizontal="center"/>
    </xf>
    <xf borderId="14" fillId="0" fontId="10" numFmtId="0" xfId="0" applyAlignment="1" applyBorder="1" applyFont="1">
      <alignment horizontal="center" shrinkToFit="0" wrapText="1"/>
    </xf>
    <xf borderId="44" fillId="4" fontId="18" numFmtId="0" xfId="0" applyAlignment="1" applyBorder="1" applyFont="1">
      <alignment horizontal="center" vertical="center"/>
    </xf>
    <xf borderId="17" fillId="4" fontId="18" numFmtId="0" xfId="0" applyAlignment="1" applyBorder="1" applyFont="1">
      <alignment horizontal="center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69" fillId="9" fontId="13" numFmtId="0" xfId="0" applyAlignment="1" applyBorder="1" applyFont="1">
      <alignment horizontal="center" shrinkToFit="0" vertical="center" wrapText="1"/>
    </xf>
    <xf borderId="34" fillId="9" fontId="13" numFmtId="0" xfId="0" applyAlignment="1" applyBorder="1" applyFont="1">
      <alignment horizontal="center" shrinkToFit="0" vertical="center" wrapText="1"/>
    </xf>
    <xf borderId="70" fillId="9" fontId="13" numFmtId="0" xfId="0" applyAlignment="1" applyBorder="1" applyFont="1">
      <alignment horizontal="center" shrinkToFit="0" vertical="center" wrapText="1"/>
    </xf>
    <xf borderId="1" fillId="9" fontId="13" numFmtId="0" xfId="0" applyAlignment="1" applyBorder="1" applyFont="1">
      <alignment horizontal="center" shrinkToFit="0" vertical="center" wrapText="1"/>
    </xf>
    <xf borderId="26" fillId="9" fontId="13" numFmtId="0" xfId="0" applyAlignment="1" applyBorder="1" applyFont="1">
      <alignment horizontal="center" shrinkToFit="0" vertical="center" wrapText="1"/>
    </xf>
    <xf borderId="31" fillId="9" fontId="13" numFmtId="0" xfId="0" applyAlignment="1" applyBorder="1" applyFont="1">
      <alignment horizontal="center" shrinkToFit="0" vertical="center" wrapText="1"/>
    </xf>
    <xf borderId="4" fillId="4" fontId="14" numFmtId="0" xfId="0" applyAlignment="1" applyBorder="1" applyFont="1">
      <alignment horizontal="left" readingOrder="0" vertical="center"/>
    </xf>
    <xf borderId="32" fillId="4" fontId="14" numFmtId="0" xfId="0" applyAlignment="1" applyBorder="1" applyFont="1">
      <alignment horizontal="center" readingOrder="0" vertical="center"/>
    </xf>
    <xf borderId="38" fillId="4" fontId="14" numFmtId="0" xfId="0" applyAlignment="1" applyBorder="1" applyFont="1">
      <alignment horizontal="center" readingOrder="0" vertical="center"/>
    </xf>
    <xf borderId="4" fillId="14" fontId="12" numFmtId="3" xfId="0" applyAlignment="1" applyBorder="1" applyFont="1" applyNumberFormat="1">
      <alignment horizontal="center" shrinkToFit="0" vertical="center" wrapText="1"/>
    </xf>
    <xf borderId="4" fillId="14" fontId="12" numFmtId="164" xfId="0" applyAlignment="1" applyBorder="1" applyFont="1" applyNumberFormat="1">
      <alignment horizontal="left" readingOrder="0" shrinkToFit="0" vertical="center" wrapText="1"/>
    </xf>
    <xf borderId="38" fillId="14" fontId="12" numFmtId="164" xfId="0" applyAlignment="1" applyBorder="1" applyFont="1" applyNumberFormat="1">
      <alignment horizontal="center" readingOrder="0" shrinkToFit="0" vertical="center" wrapText="1"/>
    </xf>
    <xf borderId="12" fillId="4" fontId="18" numFmtId="0" xfId="0" applyAlignment="1" applyBorder="1" applyFont="1">
      <alignment horizontal="center" readingOrder="0" vertical="center"/>
    </xf>
    <xf borderId="11" fillId="13" fontId="12" numFmtId="3" xfId="0" applyAlignment="1" applyBorder="1" applyFont="1" applyNumberFormat="1">
      <alignment horizontal="center" shrinkToFit="0" vertical="center" wrapText="1"/>
    </xf>
    <xf borderId="68" fillId="13" fontId="12" numFmtId="164" xfId="0" applyAlignment="1" applyBorder="1" applyFont="1" applyNumberFormat="1">
      <alignment horizontal="left" readingOrder="0" shrinkToFit="0" vertical="center" wrapText="1"/>
    </xf>
    <xf borderId="73" fillId="13" fontId="12" numFmtId="164" xfId="0" applyAlignment="1" applyBorder="1" applyFont="1" applyNumberFormat="1">
      <alignment horizontal="center" readingOrder="0" shrinkToFit="0" vertical="center" wrapText="1"/>
    </xf>
    <xf borderId="11" fillId="15" fontId="12" numFmtId="3" xfId="0" applyAlignment="1" applyBorder="1" applyFont="1" applyNumberFormat="1">
      <alignment horizontal="center" shrinkToFit="0" vertical="center" wrapText="1"/>
    </xf>
    <xf borderId="11" fillId="15" fontId="12" numFmtId="164" xfId="0" applyAlignment="1" applyBorder="1" applyFont="1" applyNumberFormat="1">
      <alignment horizontal="left" readingOrder="0" shrinkToFit="0" vertical="center" wrapText="1"/>
    </xf>
    <xf borderId="12" fillId="15" fontId="12" numFmtId="164" xfId="0" applyAlignment="1" applyBorder="1" applyFont="1" applyNumberFormat="1">
      <alignment horizontal="center" readingOrder="0" shrinkToFit="0" vertical="center" wrapText="1"/>
    </xf>
    <xf borderId="17" fillId="4" fontId="14" numFmtId="0" xfId="0" applyAlignment="1" applyBorder="1" applyFont="1">
      <alignment horizontal="center" readingOrder="0" vertical="center"/>
    </xf>
    <xf borderId="11" fillId="14" fontId="12" numFmtId="3" xfId="0" applyAlignment="1" applyBorder="1" applyFont="1" applyNumberFormat="1">
      <alignment horizontal="center" shrinkToFit="0" vertical="center" wrapText="1"/>
    </xf>
    <xf borderId="11" fillId="14" fontId="12" numFmtId="164" xfId="0" applyAlignment="1" applyBorder="1" applyFont="1" applyNumberFormat="1">
      <alignment horizontal="left" readingOrder="0" shrinkToFit="0" vertical="center" wrapText="1"/>
    </xf>
    <xf borderId="12" fillId="14" fontId="12" numFmtId="164" xfId="0" applyAlignment="1" applyBorder="1" applyFont="1" applyNumberFormat="1">
      <alignment horizontal="center" readingOrder="0" shrinkToFit="0" vertical="center" wrapText="1"/>
    </xf>
    <xf borderId="11" fillId="13" fontId="12" numFmtId="164" xfId="0" applyAlignment="1" applyBorder="1" applyFont="1" applyNumberFormat="1">
      <alignment horizontal="left" readingOrder="0" shrinkToFit="0" vertical="center" wrapText="1"/>
    </xf>
    <xf borderId="12" fillId="13" fontId="12" numFmtId="164" xfId="0" applyAlignment="1" applyBorder="1" applyFont="1" applyNumberFormat="1">
      <alignment horizontal="center" readingOrder="0" shrinkToFit="0" vertical="center" wrapText="1"/>
    </xf>
    <xf borderId="0" fillId="0" fontId="25" numFmtId="0" xfId="0" applyAlignment="1" applyFont="1">
      <alignment readingOrder="0" vertical="center"/>
    </xf>
    <xf borderId="76" fillId="9" fontId="13" numFmtId="0" xfId="0" applyAlignment="1" applyBorder="1" applyFont="1">
      <alignment horizontal="center" shrinkToFit="0" vertical="center" wrapText="1"/>
    </xf>
    <xf borderId="68" fillId="14" fontId="12" numFmtId="3" xfId="0" applyAlignment="1" applyBorder="1" applyFont="1" applyNumberFormat="1">
      <alignment horizontal="center" shrinkToFit="0" vertical="center" wrapText="1"/>
    </xf>
    <xf borderId="68" fillId="14" fontId="12" numFmtId="164" xfId="0" applyAlignment="1" applyBorder="1" applyFont="1" applyNumberFormat="1">
      <alignment horizontal="left" readingOrder="0" shrinkToFit="0" vertical="center" wrapText="1"/>
    </xf>
    <xf borderId="73" fillId="14" fontId="12" numFmtId="164" xfId="0" applyAlignment="1" applyBorder="1" applyFont="1" applyNumberFormat="1">
      <alignment horizontal="center" readingOrder="0" shrinkToFit="0" vertical="center" wrapText="1"/>
    </xf>
    <xf borderId="12" fillId="4" fontId="14" numFmtId="0" xfId="0" applyAlignment="1" applyBorder="1" applyFont="1">
      <alignment horizontal="center" readingOrder="0" vertical="center"/>
    </xf>
    <xf borderId="16" fillId="15" fontId="12" numFmtId="3" xfId="0" applyAlignment="1" applyBorder="1" applyFont="1" applyNumberFormat="1">
      <alignment horizontal="center" shrinkToFit="0" vertical="center" wrapText="1"/>
    </xf>
    <xf borderId="16" fillId="15" fontId="12" numFmtId="164" xfId="0" applyAlignment="1" applyBorder="1" applyFont="1" applyNumberFormat="1">
      <alignment horizontal="left" readingOrder="0" shrinkToFit="0" vertical="center" wrapText="1"/>
    </xf>
    <xf borderId="17" fillId="15" fontId="12" numFmtId="164" xfId="0" applyAlignment="1" applyBorder="1" applyFont="1" applyNumberFormat="1">
      <alignment horizontal="center" readingOrder="0" shrinkToFit="0" vertical="center" wrapText="1"/>
    </xf>
    <xf borderId="44" fillId="4" fontId="18" numFmtId="0" xfId="0" applyAlignment="1" applyBorder="1" applyFont="1">
      <alignment horizontal="center" readingOrder="0" vertical="center"/>
    </xf>
    <xf borderId="17" fillId="4" fontId="18" numFmtId="0" xfId="0" applyAlignment="1" applyBorder="1" applyFont="1">
      <alignment horizontal="center" readingOrder="0" vertical="center"/>
    </xf>
    <xf borderId="0" fillId="0" fontId="11" numFmtId="0" xfId="0" applyAlignment="1" applyFont="1">
      <alignment readingOrder="0" vertical="center"/>
    </xf>
    <xf borderId="0" fillId="0" fontId="0" numFmtId="0" xfId="0" applyAlignment="1" applyFont="1">
      <alignment readingOrder="0" vertical="center"/>
    </xf>
    <xf borderId="4" fillId="4" fontId="12" numFmtId="3" xfId="0" applyAlignment="1" applyBorder="1" applyFont="1" applyNumberFormat="1">
      <alignment horizontal="center" shrinkToFit="0" vertical="center" wrapText="1"/>
    </xf>
    <xf borderId="4" fillId="4" fontId="12" numFmtId="164" xfId="0" applyAlignment="1" applyBorder="1" applyFont="1" applyNumberFormat="1">
      <alignment horizontal="left" readingOrder="0" shrinkToFit="0" vertical="center" wrapText="1"/>
    </xf>
    <xf borderId="38" fillId="4" fontId="12" numFmtId="164" xfId="0" applyAlignment="1" applyBorder="1" applyFont="1" applyNumberFormat="1">
      <alignment horizontal="center" readingOrder="0" shrinkToFit="0" vertical="center" wrapText="1"/>
    </xf>
    <xf borderId="11" fillId="4" fontId="12" numFmtId="3" xfId="0" applyAlignment="1" applyBorder="1" applyFont="1" applyNumberFormat="1">
      <alignment horizontal="center" shrinkToFit="0" vertical="center" wrapText="1"/>
    </xf>
    <xf borderId="68" fillId="4" fontId="12" numFmtId="164" xfId="0" applyAlignment="1" applyBorder="1" applyFont="1" applyNumberFormat="1">
      <alignment horizontal="left" readingOrder="0" shrinkToFit="0" vertical="center" wrapText="1"/>
    </xf>
    <xf borderId="73" fillId="4" fontId="12" numFmtId="164" xfId="0" applyAlignment="1" applyBorder="1" applyFont="1" applyNumberFormat="1">
      <alignment horizontal="center" readingOrder="0" shrinkToFit="0" vertical="center" wrapText="1"/>
    </xf>
    <xf borderId="11" fillId="4" fontId="12" numFmtId="164" xfId="0" applyAlignment="1" applyBorder="1" applyFont="1" applyNumberFormat="1">
      <alignment horizontal="left" readingOrder="0" shrinkToFit="0" vertical="center" wrapText="1"/>
    </xf>
    <xf borderId="12" fillId="4" fontId="12" numFmtId="164" xfId="0" applyAlignment="1" applyBorder="1" applyFont="1" applyNumberFormat="1">
      <alignment horizontal="center" readingOrder="0" shrinkToFit="0" vertical="center" wrapText="1"/>
    </xf>
    <xf borderId="9" fillId="4" fontId="12" numFmtId="164" xfId="0" applyAlignment="1" applyBorder="1" applyFont="1" applyNumberFormat="1">
      <alignment horizontal="left" readingOrder="0" shrinkToFit="0" vertical="center" wrapText="1"/>
    </xf>
    <xf borderId="56" fillId="4" fontId="12" numFmtId="164" xfId="0" applyAlignment="1" applyBorder="1" applyFont="1" applyNumberFormat="1">
      <alignment horizontal="center" readingOrder="0" shrinkToFit="0" vertical="center" wrapText="1"/>
    </xf>
    <xf borderId="68" fillId="4" fontId="12" numFmtId="3" xfId="0" applyAlignment="1" applyBorder="1" applyFont="1" applyNumberFormat="1">
      <alignment horizontal="center" shrinkToFit="0" vertical="center" wrapText="1"/>
    </xf>
    <xf borderId="16" fillId="4" fontId="12" numFmtId="3" xfId="0" applyAlignment="1" applyBorder="1" applyFont="1" applyNumberFormat="1">
      <alignment horizontal="center" shrinkToFit="0" vertical="center" wrapText="1"/>
    </xf>
    <xf borderId="16" fillId="4" fontId="12" numFmtId="164" xfId="0" applyAlignment="1" applyBorder="1" applyFont="1" applyNumberFormat="1">
      <alignment horizontal="left" readingOrder="0" shrinkToFit="0" vertical="center" wrapText="1"/>
    </xf>
    <xf borderId="17" fillId="4" fontId="12" numFmtId="164" xfId="0" applyAlignment="1" applyBorder="1" applyFont="1" applyNumberFormat="1">
      <alignment horizontal="center" readingOrder="0" shrinkToFit="0" vertical="center" wrapText="1"/>
    </xf>
    <xf borderId="4" fillId="13" fontId="14" numFmtId="0" xfId="0" applyAlignment="1" applyBorder="1" applyFont="1">
      <alignment horizontal="left" readingOrder="0" vertical="center"/>
    </xf>
    <xf borderId="32" fillId="13" fontId="14" numFmtId="0" xfId="0" applyAlignment="1" applyBorder="1" applyFont="1">
      <alignment horizontal="center" readingOrder="0" vertical="center"/>
    </xf>
    <xf borderId="38" fillId="13" fontId="14" numFmtId="0" xfId="0" applyAlignment="1" applyBorder="1" applyFont="1">
      <alignment horizontal="center" readingOrder="0" vertical="center"/>
    </xf>
    <xf borderId="4" fillId="14" fontId="12" numFmtId="164" xfId="0" applyAlignment="1" applyBorder="1" applyFont="1" applyNumberFormat="1">
      <alignment horizontal="center" readingOrder="0" shrinkToFit="0" vertical="center" wrapText="1"/>
    </xf>
    <xf borderId="11" fillId="14" fontId="14" numFmtId="0" xfId="0" applyAlignment="1" applyBorder="1" applyFont="1">
      <alignment horizontal="left" readingOrder="0" vertical="center"/>
    </xf>
    <xf borderId="18" fillId="14" fontId="18" numFmtId="0" xfId="0" applyAlignment="1" applyBorder="1" applyFont="1">
      <alignment horizontal="center" readingOrder="0" vertical="center"/>
    </xf>
    <xf borderId="12" fillId="14" fontId="18" numFmtId="0" xfId="0" applyAlignment="1" applyBorder="1" applyFont="1">
      <alignment horizontal="center" readingOrder="0" vertical="center"/>
    </xf>
    <xf borderId="68" fillId="13" fontId="12" numFmtId="164" xfId="0" applyAlignment="1" applyBorder="1" applyFont="1" applyNumberFormat="1">
      <alignment horizontal="center" readingOrder="0" shrinkToFit="0" vertical="center" wrapText="1"/>
    </xf>
    <xf borderId="11" fillId="13" fontId="14" numFmtId="0" xfId="0" applyAlignment="1" applyBorder="1" applyFont="1">
      <alignment horizontal="left" readingOrder="0" vertical="center"/>
    </xf>
    <xf borderId="18" fillId="13" fontId="18" numFmtId="0" xfId="0" applyAlignment="1" applyBorder="1" applyFont="1">
      <alignment horizontal="center" readingOrder="0" vertical="center"/>
    </xf>
    <xf borderId="12" fillId="13" fontId="18" numFmtId="0" xfId="0" applyAlignment="1" applyBorder="1" applyFont="1">
      <alignment horizontal="center" readingOrder="0" vertical="center"/>
    </xf>
    <xf borderId="11" fillId="15" fontId="12" numFmtId="164" xfId="0" applyAlignment="1" applyBorder="1" applyFont="1" applyNumberFormat="1">
      <alignment horizontal="center" readingOrder="0" shrinkToFit="0" vertical="center" wrapText="1"/>
    </xf>
    <xf borderId="16" fillId="15" fontId="14" numFmtId="0" xfId="0" applyAlignment="1" applyBorder="1" applyFont="1">
      <alignment horizontal="left" readingOrder="0" vertical="center"/>
    </xf>
    <xf borderId="44" fillId="15" fontId="14" numFmtId="0" xfId="0" applyAlignment="1" applyBorder="1" applyFont="1">
      <alignment horizontal="center" readingOrder="0" vertical="center"/>
    </xf>
    <xf borderId="17" fillId="15" fontId="14" numFmtId="0" xfId="0" applyAlignment="1" applyBorder="1" applyFont="1">
      <alignment horizontal="center" readingOrder="0" vertical="center"/>
    </xf>
    <xf borderId="11" fillId="14" fontId="12" numFmtId="164" xfId="0" applyAlignment="1" applyBorder="1" applyFont="1" applyNumberFormat="1">
      <alignment horizontal="center" readingOrder="0" shrinkToFit="0" vertical="center" wrapText="1"/>
    </xf>
    <xf borderId="11" fillId="13" fontId="12" numFmtId="164" xfId="0" applyAlignment="1" applyBorder="1" applyFont="1" applyNumberFormat="1">
      <alignment horizontal="center" readingOrder="0" shrinkToFit="0" vertical="center" wrapText="1"/>
    </xf>
    <xf borderId="4" fillId="15" fontId="14" numFmtId="0" xfId="0" applyAlignment="1" applyBorder="1" applyFont="1">
      <alignment horizontal="left" readingOrder="0" vertical="center"/>
    </xf>
    <xf borderId="32" fillId="15" fontId="14" numFmtId="0" xfId="0" applyAlignment="1" applyBorder="1" applyFont="1">
      <alignment horizontal="center" readingOrder="0" vertical="center"/>
    </xf>
    <xf borderId="38" fillId="15" fontId="14" numFmtId="0" xfId="0" applyAlignment="1" applyBorder="1" applyFont="1">
      <alignment horizontal="center" readingOrder="0" vertical="center"/>
    </xf>
    <xf borderId="68" fillId="14" fontId="12" numFmtId="164" xfId="0" applyAlignment="1" applyBorder="1" applyFont="1" applyNumberFormat="1">
      <alignment horizontal="center" readingOrder="0" shrinkToFit="0" vertical="center" wrapText="1"/>
    </xf>
    <xf borderId="16" fillId="13" fontId="14" numFmtId="0" xfId="0" applyAlignment="1" applyBorder="1" applyFont="1">
      <alignment horizontal="left" readingOrder="0" vertical="center"/>
    </xf>
    <xf borderId="44" fillId="13" fontId="14" numFmtId="0" xfId="0" applyAlignment="1" applyBorder="1" applyFont="1">
      <alignment horizontal="center" readingOrder="0" vertical="center"/>
    </xf>
    <xf borderId="17" fillId="13" fontId="14" numFmtId="0" xfId="0" applyAlignment="1" applyBorder="1" applyFont="1">
      <alignment horizontal="center" readingOrder="0" vertical="center"/>
    </xf>
    <xf borderId="16" fillId="15" fontId="12" numFmtId="164" xfId="0" applyAlignment="1" applyBorder="1" applyFont="1" applyNumberFormat="1">
      <alignment horizontal="center" readingOrder="0" shrinkToFit="0" vertical="center" wrapText="1"/>
    </xf>
    <xf borderId="4" fillId="14" fontId="14" numFmtId="0" xfId="0" applyAlignment="1" applyBorder="1" applyFont="1">
      <alignment horizontal="left" readingOrder="0" vertical="center"/>
    </xf>
    <xf borderId="32" fillId="14" fontId="14" numFmtId="0" xfId="0" applyAlignment="1" applyBorder="1" applyFont="1">
      <alignment horizontal="center" readingOrder="0" vertical="center"/>
    </xf>
    <xf borderId="38" fillId="14" fontId="14" numFmtId="0" xfId="0" applyAlignment="1" applyBorder="1" applyFont="1">
      <alignment horizontal="center" readingOrder="0" vertical="center"/>
    </xf>
    <xf borderId="11" fillId="15" fontId="14" numFmtId="0" xfId="0" applyAlignment="1" applyBorder="1" applyFont="1">
      <alignment horizontal="left" readingOrder="0" vertical="center"/>
    </xf>
    <xf borderId="18" fillId="15" fontId="18" numFmtId="0" xfId="0" applyAlignment="1" applyBorder="1" applyFont="1">
      <alignment horizontal="center" readingOrder="0" vertical="center"/>
    </xf>
    <xf borderId="12" fillId="15" fontId="18" numFmtId="0" xfId="0" applyAlignment="1" applyBorder="1" applyFont="1">
      <alignment horizontal="center" readingOrder="0" vertical="center"/>
    </xf>
    <xf borderId="32" fillId="14" fontId="12" numFmtId="3" xfId="0" applyAlignment="1" applyBorder="1" applyFont="1" applyNumberFormat="1">
      <alignment horizontal="center" readingOrder="0" shrinkToFit="0" vertical="center" wrapText="1"/>
    </xf>
    <xf borderId="38" fillId="14" fontId="12" numFmtId="3" xfId="0" applyAlignment="1" applyBorder="1" applyFont="1" applyNumberFormat="1">
      <alignment horizontal="center" readingOrder="0" shrinkToFit="0" vertical="center" wrapText="1"/>
    </xf>
    <xf borderId="18" fillId="14" fontId="12" numFmtId="3" xfId="0" applyAlignment="1" applyBorder="1" applyFont="1" applyNumberFormat="1">
      <alignment horizontal="center" readingOrder="0" shrinkToFit="0" vertical="center" wrapText="1"/>
    </xf>
    <xf borderId="12" fillId="14" fontId="12" numFmtId="3" xfId="0" applyAlignment="1" applyBorder="1" applyFont="1" applyNumberFormat="1">
      <alignment horizontal="center" readingOrder="0" shrinkToFit="0" vertical="center" wrapText="1"/>
    </xf>
    <xf borderId="9" fillId="14" fontId="12" numFmtId="164" xfId="0" applyAlignment="1" applyBorder="1" applyFont="1" applyNumberFormat="1">
      <alignment horizontal="left" readingOrder="0" shrinkToFit="0" vertical="center" wrapText="1"/>
    </xf>
    <xf borderId="33" fillId="14" fontId="12" numFmtId="3" xfId="0" applyAlignment="1" applyBorder="1" applyFont="1" applyNumberFormat="1">
      <alignment horizontal="center" readingOrder="0" shrinkToFit="0" vertical="center" wrapText="1"/>
    </xf>
    <xf borderId="16" fillId="14" fontId="12" numFmtId="164" xfId="0" applyAlignment="1" applyBorder="1" applyFont="1" applyNumberFormat="1">
      <alignment horizontal="left" readingOrder="0" shrinkToFit="0" vertical="center" wrapText="1"/>
    </xf>
    <xf borderId="44" fillId="14" fontId="12" numFmtId="3" xfId="0" applyAlignment="1" applyBorder="1" applyFont="1" applyNumberFormat="1">
      <alignment horizontal="center" readingOrder="0" shrinkToFit="0" vertical="center" wrapText="1"/>
    </xf>
    <xf borderId="17" fillId="14" fontId="12" numFmtId="3" xfId="0" applyAlignment="1" applyBorder="1" applyFont="1" applyNumberFormat="1">
      <alignment horizontal="center" readingOrder="0" shrinkToFit="0" vertical="center" wrapText="1"/>
    </xf>
    <xf borderId="4" fillId="13" fontId="12" numFmtId="164" xfId="0" applyAlignment="1" applyBorder="1" applyFont="1" applyNumberFormat="1">
      <alignment horizontal="left" readingOrder="0" shrinkToFit="0" vertical="center" wrapText="1"/>
    </xf>
    <xf borderId="32" fillId="13" fontId="12" numFmtId="3" xfId="0" applyAlignment="1" applyBorder="1" applyFont="1" applyNumberFormat="1">
      <alignment horizontal="center" readingOrder="0" shrinkToFit="0" vertical="center" wrapText="1"/>
    </xf>
    <xf borderId="38" fillId="13" fontId="12" numFmtId="3" xfId="0" applyAlignment="1" applyBorder="1" applyFont="1" applyNumberFormat="1">
      <alignment horizontal="center" readingOrder="0" shrinkToFit="0" vertical="center" wrapText="1"/>
    </xf>
    <xf borderId="18" fillId="13" fontId="12" numFmtId="3" xfId="0" applyAlignment="1" applyBorder="1" applyFont="1" applyNumberFormat="1">
      <alignment horizontal="center" readingOrder="0" shrinkToFit="0" vertical="center" wrapText="1"/>
    </xf>
    <xf borderId="12" fillId="13" fontId="12" numFmtId="3" xfId="0" applyAlignment="1" applyBorder="1" applyFont="1" applyNumberFormat="1">
      <alignment horizontal="center" readingOrder="0" shrinkToFit="0" vertical="center" wrapText="1"/>
    </xf>
    <xf borderId="16" fillId="13" fontId="12" numFmtId="164" xfId="0" applyAlignment="1" applyBorder="1" applyFont="1" applyNumberFormat="1">
      <alignment horizontal="left" readingOrder="0" shrinkToFit="0" vertical="center" wrapText="1"/>
    </xf>
    <xf borderId="44" fillId="13" fontId="12" numFmtId="3" xfId="0" applyAlignment="1" applyBorder="1" applyFont="1" applyNumberFormat="1">
      <alignment horizontal="center" readingOrder="0" shrinkToFit="0" vertical="center" wrapText="1"/>
    </xf>
    <xf borderId="17" fillId="13" fontId="12" numFmtId="3" xfId="0" applyAlignment="1" applyBorder="1" applyFont="1" applyNumberFormat="1">
      <alignment horizontal="center" readingOrder="0" shrinkToFit="0" vertical="center" wrapText="1"/>
    </xf>
    <xf borderId="4" fillId="15" fontId="12" numFmtId="164" xfId="0" applyAlignment="1" applyBorder="1" applyFont="1" applyNumberFormat="1">
      <alignment horizontal="left" readingOrder="0" shrinkToFit="0" vertical="center" wrapText="1"/>
    </xf>
    <xf borderId="32" fillId="15" fontId="12" numFmtId="3" xfId="0" applyAlignment="1" applyBorder="1" applyFont="1" applyNumberFormat="1">
      <alignment horizontal="center" readingOrder="0" shrinkToFit="0" vertical="center" wrapText="1"/>
    </xf>
    <xf borderId="38" fillId="15" fontId="12" numFmtId="3" xfId="0" applyAlignment="1" applyBorder="1" applyFont="1" applyNumberFormat="1">
      <alignment horizontal="center" readingOrder="0" shrinkToFit="0" vertical="center" wrapText="1"/>
    </xf>
    <xf borderId="68" fillId="15" fontId="12" numFmtId="164" xfId="0" applyAlignment="1" applyBorder="1" applyFont="1" applyNumberFormat="1">
      <alignment horizontal="left" readingOrder="0" shrinkToFit="0" vertical="center" wrapText="1"/>
    </xf>
    <xf borderId="18" fillId="15" fontId="12" numFmtId="3" xfId="0" applyAlignment="1" applyBorder="1" applyFont="1" applyNumberFormat="1">
      <alignment horizontal="center" readingOrder="0" shrinkToFit="0" vertical="center" wrapText="1"/>
    </xf>
    <xf borderId="12" fillId="15" fontId="12" numFmtId="3" xfId="0" applyAlignment="1" applyBorder="1" applyFont="1" applyNumberFormat="1">
      <alignment horizontal="center" readingOrder="0" shrinkToFit="0" vertical="center" wrapText="1"/>
    </xf>
    <xf borderId="44" fillId="15" fontId="12" numFmtId="3" xfId="0" applyAlignment="1" applyBorder="1" applyFont="1" applyNumberFormat="1">
      <alignment horizontal="center" readingOrder="0" shrinkToFit="0" vertical="center" wrapText="1"/>
    </xf>
    <xf borderId="17" fillId="15" fontId="12" numFmtId="3" xfId="0" applyAlignment="1" applyBorder="1" applyFont="1" applyNumberFormat="1">
      <alignment horizontal="center" readingOrder="0" shrinkToFit="0" vertical="center" wrapText="1"/>
    </xf>
    <xf borderId="4" fillId="14" fontId="12" numFmtId="164" xfId="0" applyAlignment="1" applyBorder="1" applyFont="1" applyNumberFormat="1">
      <alignment horizontal="left" shrinkToFit="0" vertical="center" wrapText="1"/>
    </xf>
    <xf borderId="32" fillId="14" fontId="12" numFmtId="3" xfId="0" applyAlignment="1" applyBorder="1" applyFont="1" applyNumberFormat="1">
      <alignment horizontal="center" shrinkToFit="0" vertical="center" wrapText="1"/>
    </xf>
    <xf borderId="38" fillId="14" fontId="12" numFmtId="3" xfId="0" applyAlignment="1" applyBorder="1" applyFont="1" applyNumberFormat="1">
      <alignment horizontal="center" shrinkToFit="0" vertical="center" wrapText="1"/>
    </xf>
    <xf borderId="4" fillId="14" fontId="12" numFmtId="164" xfId="0" applyAlignment="1" applyBorder="1" applyFont="1" applyNumberFormat="1">
      <alignment horizontal="center" shrinkToFit="0" vertical="center" wrapText="1"/>
    </xf>
    <xf borderId="38" fillId="14" fontId="12" numFmtId="164" xfId="0" applyAlignment="1" applyBorder="1" applyFont="1" applyNumberFormat="1">
      <alignment horizontal="center" shrinkToFit="0" vertical="center" wrapText="1"/>
    </xf>
    <xf borderId="68" fillId="14" fontId="12" numFmtId="164" xfId="0" applyAlignment="1" applyBorder="1" applyFont="1" applyNumberFormat="1">
      <alignment horizontal="left" shrinkToFit="0" vertical="center" wrapText="1"/>
    </xf>
    <xf borderId="12" fillId="14" fontId="12" numFmtId="3" xfId="0" applyAlignment="1" applyBorder="1" applyFont="1" applyNumberFormat="1">
      <alignment horizontal="center" shrinkToFit="0" vertical="center" wrapText="1"/>
    </xf>
    <xf borderId="18" fillId="14" fontId="12" numFmtId="3" xfId="0" applyAlignment="1" applyBorder="1" applyFont="1" applyNumberFormat="1">
      <alignment horizontal="center" shrinkToFit="0" vertical="center" wrapText="1"/>
    </xf>
    <xf borderId="68" fillId="13" fontId="12" numFmtId="164" xfId="0" applyAlignment="1" applyBorder="1" applyFont="1" applyNumberFormat="1">
      <alignment horizontal="center" shrinkToFit="0" vertical="center" wrapText="1"/>
    </xf>
    <xf borderId="73" fillId="13" fontId="12" numFmtId="164" xfId="0" applyAlignment="1" applyBorder="1" applyFont="1" applyNumberFormat="1">
      <alignment horizontal="center" shrinkToFit="0" vertical="center" wrapText="1"/>
    </xf>
    <xf borderId="11" fillId="14" fontId="12" numFmtId="164" xfId="0" applyAlignment="1" applyBorder="1" applyFont="1" applyNumberFormat="1">
      <alignment horizontal="left" shrinkToFit="0" vertical="center" wrapText="1"/>
    </xf>
    <xf borderId="11" fillId="15" fontId="12" numFmtId="164" xfId="0" applyAlignment="1" applyBorder="1" applyFont="1" applyNumberFormat="1">
      <alignment horizontal="center" shrinkToFit="0" vertical="center" wrapText="1"/>
    </xf>
    <xf borderId="17" fillId="14" fontId="12" numFmtId="3" xfId="0" applyAlignment="1" applyBorder="1" applyFont="1" applyNumberFormat="1">
      <alignment horizontal="center" shrinkToFit="0" vertical="center" wrapText="1"/>
    </xf>
    <xf borderId="12" fillId="15" fontId="12" numFmtId="164" xfId="0" applyAlignment="1" applyBorder="1" applyFont="1" applyNumberFormat="1">
      <alignment horizontal="center" shrinkToFit="0" vertical="center" wrapText="1"/>
    </xf>
    <xf borderId="16" fillId="14" fontId="12" numFmtId="164" xfId="0" applyAlignment="1" applyBorder="1" applyFont="1" applyNumberFormat="1">
      <alignment horizontal="left" shrinkToFit="0" vertical="center" wrapText="1"/>
    </xf>
    <xf borderId="44" fillId="14" fontId="12" numFmtId="3" xfId="0" applyAlignment="1" applyBorder="1" applyFont="1" applyNumberFormat="1">
      <alignment horizontal="center" shrinkToFit="0" vertical="center" wrapText="1"/>
    </xf>
    <xf borderId="11" fillId="14" fontId="12" numFmtId="164" xfId="0" applyAlignment="1" applyBorder="1" applyFont="1" applyNumberFormat="1">
      <alignment horizontal="center" shrinkToFit="0" vertical="center" wrapText="1"/>
    </xf>
    <xf borderId="0" fillId="0" fontId="25" numFmtId="0" xfId="0" applyAlignment="1" applyFont="1">
      <alignment vertical="center"/>
    </xf>
    <xf borderId="12" fillId="14" fontId="12" numFmtId="164" xfId="0" applyAlignment="1" applyBorder="1" applyFont="1" applyNumberFormat="1">
      <alignment horizontal="center" shrinkToFit="0" vertical="center" wrapText="1"/>
    </xf>
    <xf borderId="11" fillId="13" fontId="12" numFmtId="164" xfId="0" applyAlignment="1" applyBorder="1" applyFont="1" applyNumberFormat="1">
      <alignment horizontal="center" shrinkToFit="0" vertical="center" wrapText="1"/>
    </xf>
    <xf borderId="12" fillId="13" fontId="12" numFmtId="164" xfId="0" applyAlignment="1" applyBorder="1" applyFont="1" applyNumberFormat="1">
      <alignment horizontal="center" shrinkToFit="0" vertical="center" wrapText="1"/>
    </xf>
    <xf borderId="38" fillId="13" fontId="12" numFmtId="3" xfId="0" applyAlignment="1" applyBorder="1" applyFont="1" applyNumberFormat="1">
      <alignment horizontal="center" shrinkToFit="0" vertical="center" wrapText="1"/>
    </xf>
    <xf borderId="4" fillId="13" fontId="12" numFmtId="164" xfId="0" applyAlignment="1" applyBorder="1" applyFont="1" applyNumberFormat="1">
      <alignment horizontal="left" shrinkToFit="0" vertical="center" wrapText="1"/>
    </xf>
    <xf borderId="12" fillId="13" fontId="12" numFmtId="3" xfId="0" applyAlignment="1" applyBorder="1" applyFont="1" applyNumberFormat="1">
      <alignment horizontal="center" shrinkToFit="0" vertical="center" wrapText="1"/>
    </xf>
    <xf borderId="32" fillId="13" fontId="12" numFmtId="3" xfId="0" applyAlignment="1" applyBorder="1" applyFont="1" applyNumberFormat="1">
      <alignment horizontal="center" shrinkToFit="0" vertical="center" wrapText="1"/>
    </xf>
    <xf borderId="68" fillId="14" fontId="12" numFmtId="164" xfId="0" applyAlignment="1" applyBorder="1" applyFont="1" applyNumberFormat="1">
      <alignment horizontal="center" shrinkToFit="0" vertical="center" wrapText="1"/>
    </xf>
    <xf borderId="73" fillId="14" fontId="12" numFmtId="164" xfId="0" applyAlignment="1" applyBorder="1" applyFont="1" applyNumberFormat="1">
      <alignment horizontal="center" shrinkToFit="0" vertical="center" wrapText="1"/>
    </xf>
    <xf borderId="68" fillId="13" fontId="12" numFmtId="164" xfId="0" applyAlignment="1" applyBorder="1" applyFont="1" applyNumberFormat="1">
      <alignment horizontal="left" shrinkToFit="0" vertical="center" wrapText="1"/>
    </xf>
    <xf borderId="18" fillId="13" fontId="12" numFmtId="3" xfId="0" applyAlignment="1" applyBorder="1" applyFont="1" applyNumberFormat="1">
      <alignment horizontal="center" shrinkToFit="0" vertical="center" wrapText="1"/>
    </xf>
    <xf borderId="17" fillId="13" fontId="12" numFmtId="3" xfId="0" applyAlignment="1" applyBorder="1" applyFont="1" applyNumberFormat="1">
      <alignment horizontal="center" shrinkToFit="0" vertical="center" wrapText="1"/>
    </xf>
    <xf borderId="11" fillId="13" fontId="12" numFmtId="164" xfId="0" applyAlignment="1" applyBorder="1" applyFont="1" applyNumberFormat="1">
      <alignment horizontal="left" shrinkToFit="0" vertical="center" wrapText="1"/>
    </xf>
    <xf borderId="16" fillId="13" fontId="12" numFmtId="164" xfId="0" applyAlignment="1" applyBorder="1" applyFont="1" applyNumberFormat="1">
      <alignment horizontal="left" shrinkToFit="0" vertical="center" wrapText="1"/>
    </xf>
    <xf borderId="44" fillId="13" fontId="12" numFmtId="3" xfId="0" applyAlignment="1" applyBorder="1" applyFont="1" applyNumberFormat="1">
      <alignment horizontal="center" shrinkToFit="0" vertical="center" wrapText="1"/>
    </xf>
    <xf borderId="38" fillId="15" fontId="12" numFmtId="3" xfId="0" applyAlignment="1" applyBorder="1" applyFont="1" applyNumberFormat="1">
      <alignment horizontal="center" shrinkToFit="0" vertical="center" wrapText="1"/>
    </xf>
    <xf borderId="12" fillId="15" fontId="12" numFmtId="3" xfId="0" applyAlignment="1" applyBorder="1" applyFont="1" applyNumberFormat="1">
      <alignment horizontal="center" shrinkToFit="0" vertical="center" wrapText="1"/>
    </xf>
    <xf borderId="16" fillId="15" fontId="12" numFmtId="164" xfId="0" applyAlignment="1" applyBorder="1" applyFont="1" applyNumberFormat="1">
      <alignment horizontal="center" shrinkToFit="0" vertical="center" wrapText="1"/>
    </xf>
    <xf borderId="17" fillId="15" fontId="12" numFmtId="164" xfId="0" applyAlignment="1" applyBorder="1" applyFont="1" applyNumberFormat="1">
      <alignment horizontal="center" shrinkToFit="0" vertical="center" wrapText="1"/>
    </xf>
    <xf borderId="4" fillId="15" fontId="12" numFmtId="164" xfId="0" applyAlignment="1" applyBorder="1" applyFont="1" applyNumberFormat="1">
      <alignment horizontal="left" shrinkToFit="0" vertical="center" wrapText="1"/>
    </xf>
    <xf borderId="17" fillId="15" fontId="12" numFmtId="3" xfId="0" applyAlignment="1" applyBorder="1" applyFont="1" applyNumberFormat="1">
      <alignment horizontal="center" shrinkToFit="0" vertical="center" wrapText="1"/>
    </xf>
    <xf borderId="32" fillId="15" fontId="12" numFmtId="3" xfId="0" applyAlignment="1" applyBorder="1" applyFont="1" applyNumberFormat="1">
      <alignment horizontal="center" shrinkToFit="0" vertical="center" wrapText="1"/>
    </xf>
    <xf borderId="68" fillId="15" fontId="12" numFmtId="164" xfId="0" applyAlignment="1" applyBorder="1" applyFont="1" applyNumberFormat="1">
      <alignment horizontal="left" shrinkToFit="0" vertical="center" wrapText="1"/>
    </xf>
    <xf borderId="18" fillId="15" fontId="12" numFmtId="3" xfId="0" applyAlignment="1" applyBorder="1" applyFont="1" applyNumberFormat="1">
      <alignment horizontal="center" shrinkToFit="0" vertical="center" wrapText="1"/>
    </xf>
    <xf borderId="11" fillId="15" fontId="12" numFmtId="164" xfId="0" applyAlignment="1" applyBorder="1" applyFont="1" applyNumberFormat="1">
      <alignment horizontal="left" shrinkToFit="0" vertical="center" wrapText="1"/>
    </xf>
    <xf borderId="16" fillId="15" fontId="12" numFmtId="164" xfId="0" applyAlignment="1" applyBorder="1" applyFont="1" applyNumberFormat="1">
      <alignment horizontal="left" shrinkToFit="0" vertical="center" wrapText="1"/>
    </xf>
    <xf borderId="44" fillId="15" fontId="12" numFmtId="3" xfId="0" applyAlignment="1" applyBorder="1" applyFont="1" applyNumberFormat="1">
      <alignment horizontal="center" shrinkToFit="0" vertical="center" wrapText="1"/>
    </xf>
    <xf borderId="4" fillId="0" fontId="12" numFmtId="164" xfId="0" applyAlignment="1" applyBorder="1" applyFont="1" applyNumberFormat="1">
      <alignment horizontal="left" shrinkToFit="0" vertical="center" wrapText="1"/>
    </xf>
    <xf borderId="32" fillId="0" fontId="12" numFmtId="3" xfId="0" applyAlignment="1" applyBorder="1" applyFont="1" applyNumberFormat="1">
      <alignment horizontal="center" shrinkToFit="0" vertical="center" wrapText="1"/>
    </xf>
    <xf borderId="38" fillId="0" fontId="12" numFmtId="3" xfId="0" applyAlignment="1" applyBorder="1" applyFont="1" applyNumberFormat="1">
      <alignment horizontal="center" shrinkToFit="0" vertical="center" wrapText="1"/>
    </xf>
    <xf borderId="9" fillId="0" fontId="12" numFmtId="164" xfId="0" applyAlignment="1" applyBorder="1" applyFont="1" applyNumberFormat="1">
      <alignment horizontal="left" shrinkToFit="0" vertical="center" wrapText="1"/>
    </xf>
    <xf borderId="18" fillId="0" fontId="12" numFmtId="3" xfId="0" applyAlignment="1" applyBorder="1" applyFont="1" applyNumberFormat="1">
      <alignment horizontal="center" shrinkToFit="0" vertical="center" wrapText="1"/>
    </xf>
    <xf borderId="12" fillId="0" fontId="12" numFmtId="3" xfId="0" applyAlignment="1" applyBorder="1" applyFont="1" applyNumberFormat="1">
      <alignment horizontal="center" shrinkToFit="0" vertical="center" wrapText="1"/>
    </xf>
    <xf borderId="11" fillId="0" fontId="12" numFmtId="164" xfId="0" applyAlignment="1" applyBorder="1" applyFont="1" applyNumberFormat="1">
      <alignment horizontal="left" shrinkToFit="0" vertical="center" wrapText="1"/>
    </xf>
    <xf borderId="16" fillId="0" fontId="12" numFmtId="164" xfId="0" applyAlignment="1" applyBorder="1" applyFont="1" applyNumberFormat="1">
      <alignment horizontal="left" shrinkToFit="0" vertical="center" wrapText="1"/>
    </xf>
    <xf borderId="44" fillId="0" fontId="12" numFmtId="3" xfId="0" applyAlignment="1" applyBorder="1" applyFont="1" applyNumberFormat="1">
      <alignment horizontal="center" shrinkToFit="0" vertical="center" wrapText="1"/>
    </xf>
    <xf borderId="17" fillId="0" fontId="12" numFmtId="3" xfId="0" applyAlignment="1" applyBorder="1" applyFont="1" applyNumberFormat="1">
      <alignment horizontal="center" shrinkToFit="0" vertical="center" wrapText="1"/>
    </xf>
    <xf borderId="1" fillId="16" fontId="11" numFmtId="0" xfId="0" applyAlignment="1" applyBorder="1" applyFill="1" applyFont="1">
      <alignment horizontal="center" vertical="center"/>
    </xf>
    <xf borderId="31" fillId="16" fontId="11" numFmtId="0" xfId="0" applyAlignment="1" applyBorder="1" applyFont="1">
      <alignment horizontal="center" vertical="center"/>
    </xf>
    <xf borderId="33" fillId="0" fontId="0" numFmtId="0" xfId="0" applyAlignment="1" applyBorder="1" applyFont="1">
      <alignment horizontal="center" vertical="center"/>
    </xf>
    <xf borderId="33" fillId="0" fontId="0" numFmtId="0" xfId="0" applyAlignment="1" applyBorder="1" applyFont="1">
      <alignment readingOrder="0" vertical="center"/>
    </xf>
    <xf borderId="18" fillId="0" fontId="0" numFmtId="0" xfId="0" applyAlignment="1" applyBorder="1" applyFont="1">
      <alignment horizontal="center" vertical="center"/>
    </xf>
    <xf borderId="18" fillId="0" fontId="0" numFmtId="0" xfId="0" applyAlignment="1" applyBorder="1" applyFont="1">
      <alignment readingOrder="0" vertical="center"/>
    </xf>
    <xf borderId="18" fillId="0" fontId="0" numFmtId="0" xfId="0" applyAlignment="1" applyBorder="1" applyFont="1">
      <alignment vertical="center"/>
    </xf>
    <xf borderId="1" fillId="16" fontId="9" numFmtId="0" xfId="0" applyAlignment="1" applyBorder="1" applyFont="1">
      <alignment horizontal="center" shrinkToFit="0" wrapText="1"/>
    </xf>
    <xf borderId="26" fillId="16" fontId="9" numFmtId="0" xfId="0" applyAlignment="1" applyBorder="1" applyFont="1">
      <alignment horizontal="center" shrinkToFit="0" wrapText="1"/>
    </xf>
    <xf borderId="11" fillId="0" fontId="10" numFmtId="0" xfId="0" applyAlignment="1" applyBorder="1" applyFont="1">
      <alignment horizontal="center"/>
    </xf>
    <xf borderId="11" fillId="0" fontId="10" numFmtId="0" xfId="0" applyAlignment="1" applyBorder="1" applyFont="1">
      <alignment horizontal="center" readingOrder="0"/>
    </xf>
    <xf borderId="0" fillId="0" fontId="4" numFmtId="0" xfId="0" applyAlignment="1" applyFont="1">
      <alignment horizontal="left"/>
    </xf>
    <xf borderId="53" fillId="17" fontId="1" numFmtId="0" xfId="0" applyAlignment="1" applyBorder="1" applyFill="1" applyFont="1">
      <alignment horizontal="center" vertical="center"/>
    </xf>
    <xf borderId="83" fillId="11" fontId="1" numFmtId="0" xfId="0" applyAlignment="1" applyBorder="1" applyFont="1">
      <alignment horizontal="center" readingOrder="0" vertical="center"/>
    </xf>
    <xf borderId="83" fillId="11" fontId="1" numFmtId="0" xfId="0" applyAlignment="1" applyBorder="1" applyFont="1">
      <alignment horizontal="center" vertical="center"/>
    </xf>
    <xf borderId="2" fillId="11" fontId="1" numFmtId="0" xfId="0" applyAlignment="1" applyBorder="1" applyFont="1">
      <alignment horizontal="center" vertical="center"/>
    </xf>
    <xf borderId="40" fillId="11" fontId="1" numFmtId="0" xfId="0" applyAlignment="1" applyBorder="1" applyFont="1">
      <alignment horizontal="center" vertical="center"/>
    </xf>
    <xf borderId="4" fillId="8" fontId="2" numFmtId="0" xfId="0" applyAlignment="1" applyBorder="1" applyFont="1">
      <alignment horizontal="center" readingOrder="0" vertical="center"/>
    </xf>
    <xf borderId="84" fillId="8" fontId="2" numFmtId="0" xfId="0" applyAlignment="1" applyBorder="1" applyFont="1">
      <alignment horizontal="center" readingOrder="0" vertical="center"/>
    </xf>
    <xf borderId="84" fillId="8" fontId="2" numFmtId="0" xfId="0" applyAlignment="1" applyBorder="1" applyFont="1">
      <alignment horizontal="center" vertical="center"/>
    </xf>
    <xf borderId="32" fillId="8" fontId="2" numFmtId="0" xfId="0" applyAlignment="1" applyBorder="1" applyFont="1">
      <alignment horizontal="center" readingOrder="0" vertical="center"/>
    </xf>
    <xf borderId="5" fillId="8" fontId="2" numFmtId="0" xfId="0" applyAlignment="1" applyBorder="1" applyFont="1">
      <alignment horizontal="center" readingOrder="0" vertical="center"/>
    </xf>
    <xf borderId="9" fillId="8" fontId="2" numFmtId="0" xfId="0" applyAlignment="1" applyBorder="1" applyFont="1">
      <alignment horizontal="center" readingOrder="0" vertical="center"/>
    </xf>
    <xf borderId="62" fillId="8" fontId="2" numFmtId="0" xfId="0" applyAlignment="1" applyBorder="1" applyFont="1">
      <alignment horizontal="center" readingOrder="0" vertical="center"/>
    </xf>
    <xf borderId="62" fillId="8" fontId="2" numFmtId="0" xfId="0" applyAlignment="1" applyBorder="1" applyFont="1">
      <alignment horizontal="center" vertical="center"/>
    </xf>
    <xf borderId="33" fillId="8" fontId="2" numFmtId="0" xfId="0" applyAlignment="1" applyBorder="1" applyFont="1">
      <alignment horizontal="center" readingOrder="0" vertical="center"/>
    </xf>
    <xf borderId="62" fillId="8" fontId="2" numFmtId="0" xfId="0" applyAlignment="1" applyBorder="1" applyFont="1">
      <alignment horizontal="center" vertical="center"/>
    </xf>
    <xf borderId="10" fillId="8" fontId="2" numFmtId="0" xfId="0" applyAlignment="1" applyBorder="1" applyFont="1">
      <alignment horizontal="center" readingOrder="0" vertical="center"/>
    </xf>
    <xf borderId="8" fillId="8" fontId="2" numFmtId="0" xfId="0" applyAlignment="1" applyBorder="1" applyFont="1">
      <alignment horizontal="center" readingOrder="0" vertical="center"/>
    </xf>
    <xf borderId="10" fillId="4" fontId="2" numFmtId="0" xfId="0" applyAlignment="1" applyBorder="1" applyFill="1" applyFont="1">
      <alignment horizontal="center" readingOrder="0" vertical="center"/>
    </xf>
    <xf borderId="7" fillId="8" fontId="2" numFmtId="0" xfId="0" applyAlignment="1" applyBorder="1" applyFont="1">
      <alignment horizontal="center" readingOrder="0" vertical="center"/>
    </xf>
    <xf borderId="64" fillId="8" fontId="2" numFmtId="0" xfId="0" applyAlignment="1" applyBorder="1" applyFont="1">
      <alignment horizontal="center" readingOrder="0" vertical="center"/>
    </xf>
    <xf borderId="64" fillId="8" fontId="2" numFmtId="0" xfId="0" applyAlignment="1" applyBorder="1" applyFont="1">
      <alignment horizontal="center" vertical="center"/>
    </xf>
    <xf borderId="49" fillId="8" fontId="2" numFmtId="0" xfId="0" applyAlignment="1" applyBorder="1" applyFont="1">
      <alignment horizontal="center" readingOrder="0" vertical="center"/>
    </xf>
    <xf borderId="64" fillId="8" fontId="2" numFmtId="0" xfId="0" applyAlignment="1" applyBorder="1" applyFont="1">
      <alignment horizontal="center" vertical="center"/>
    </xf>
    <xf borderId="8" fillId="8" fontId="2" numFmtId="0" xfId="0" applyAlignment="1" applyBorder="1" applyFont="1">
      <alignment horizontal="center" readingOrder="0" vertical="center"/>
    </xf>
    <xf borderId="10" fillId="4" fontId="2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center" readingOrder="0" vertical="center"/>
    </xf>
    <xf borderId="62" fillId="0" fontId="2" numFmtId="0" xfId="0" applyAlignment="1" applyBorder="1" applyFont="1">
      <alignment horizontal="center" readingOrder="0" vertical="center"/>
    </xf>
    <xf borderId="62" fillId="0" fontId="2" numFmtId="0" xfId="0" applyAlignment="1" applyBorder="1" applyFont="1">
      <alignment horizontal="center" vertical="center"/>
    </xf>
    <xf borderId="33" fillId="0" fontId="2" numFmtId="0" xfId="0" applyAlignment="1" applyBorder="1" applyFont="1">
      <alignment horizontal="center" readingOrder="0" vertical="center"/>
    </xf>
    <xf borderId="62" fillId="0" fontId="2" numFmtId="0" xfId="0" applyAlignment="1" applyBorder="1" applyFont="1">
      <alignment horizontal="center" vertical="center"/>
    </xf>
    <xf borderId="10" fillId="10" fontId="2" numFmtId="0" xfId="0" applyAlignment="1" applyBorder="1" applyFont="1">
      <alignment horizontal="center" readingOrder="0" vertical="center"/>
    </xf>
    <xf borderId="85" fillId="11" fontId="1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readingOrder="0" vertical="center"/>
    </xf>
    <xf borderId="64" fillId="0" fontId="2" numFmtId="0" xfId="0" applyAlignment="1" applyBorder="1" applyFont="1">
      <alignment horizontal="center" readingOrder="0" vertical="center"/>
    </xf>
    <xf borderId="64" fillId="0" fontId="2" numFmtId="0" xfId="0" applyAlignment="1" applyBorder="1" applyFont="1">
      <alignment horizontal="center" vertical="center"/>
    </xf>
    <xf borderId="49" fillId="0" fontId="2" numFmtId="0" xfId="0" applyAlignment="1" applyBorder="1" applyFont="1">
      <alignment horizontal="center" readingOrder="0" vertical="center"/>
    </xf>
    <xf borderId="64" fillId="0" fontId="2" numFmtId="0" xfId="0" applyAlignment="1" applyBorder="1" applyFont="1">
      <alignment horizontal="center" vertical="center"/>
    </xf>
    <xf borderId="8" fillId="10" fontId="2" numFmtId="0" xfId="0" applyAlignment="1" applyBorder="1" applyFont="1">
      <alignment vertical="center"/>
    </xf>
    <xf borderId="1" fillId="16" fontId="26" numFmtId="0" xfId="0" applyAlignment="1" applyBorder="1" applyFont="1">
      <alignment horizontal="center" vertical="center"/>
    </xf>
    <xf borderId="83" fillId="16" fontId="26" numFmtId="0" xfId="0" applyAlignment="1" applyBorder="1" applyFont="1">
      <alignment horizontal="center" shrinkToFit="0" vertical="center" wrapText="1"/>
    </xf>
    <xf borderId="2" fillId="16" fontId="26" numFmtId="0" xfId="0" applyAlignment="1" applyBorder="1" applyFont="1">
      <alignment horizontal="center" shrinkToFit="0" vertical="center" wrapText="1"/>
    </xf>
    <xf borderId="1" fillId="16" fontId="27" numFmtId="0" xfId="0" applyAlignment="1" applyBorder="1" applyFont="1">
      <alignment horizontal="center" vertical="center"/>
    </xf>
    <xf borderId="83" fillId="16" fontId="27" numFmtId="0" xfId="0" applyAlignment="1" applyBorder="1" applyFont="1">
      <alignment horizontal="center" readingOrder="0" vertical="center"/>
    </xf>
    <xf borderId="83" fillId="16" fontId="27" numFmtId="0" xfId="0" applyAlignment="1" applyBorder="1" applyFont="1">
      <alignment horizontal="center" vertical="center"/>
    </xf>
    <xf borderId="2" fillId="16" fontId="27" numFmtId="0" xfId="0" applyAlignment="1" applyBorder="1" applyFont="1">
      <alignment horizontal="center" vertical="center"/>
    </xf>
    <xf borderId="9" fillId="0" fontId="18" numFmtId="0" xfId="0" applyAlignment="1" applyBorder="1" applyFont="1">
      <alignment vertical="center"/>
    </xf>
    <xf borderId="62" fillId="8" fontId="18" numFmtId="0" xfId="0" applyAlignment="1" applyBorder="1" applyFont="1">
      <alignment horizontal="center" vertical="center"/>
    </xf>
    <xf borderId="62" fillId="4" fontId="18" numFmtId="2" xfId="0" applyAlignment="1" applyBorder="1" applyFont="1" applyNumberFormat="1">
      <alignment horizontal="center" shrinkToFit="0" vertical="center" wrapText="1"/>
    </xf>
    <xf borderId="62" fillId="4" fontId="18" numFmtId="0" xfId="0" applyAlignment="1" applyBorder="1" applyFont="1">
      <alignment horizontal="center" vertical="center"/>
    </xf>
    <xf borderId="22" fillId="0" fontId="18" numFmtId="9" xfId="0" applyAlignment="1" applyBorder="1" applyFont="1" applyNumberFormat="1">
      <alignment horizontal="center" vertical="center"/>
    </xf>
    <xf borderId="38" fillId="0" fontId="4" numFmtId="2" xfId="0" applyAlignment="1" applyBorder="1" applyFont="1" applyNumberFormat="1">
      <alignment horizontal="center" vertical="center"/>
    </xf>
    <xf borderId="9" fillId="16" fontId="28" numFmtId="0" xfId="0" applyAlignment="1" applyBorder="1" applyFont="1">
      <alignment vertical="center"/>
    </xf>
    <xf borderId="62" fillId="4" fontId="7" numFmtId="0" xfId="0" applyAlignment="1" applyBorder="1" applyFont="1">
      <alignment horizontal="center" readingOrder="0" vertical="center"/>
    </xf>
    <xf borderId="62" fillId="4" fontId="7" numFmtId="0" xfId="0" applyAlignment="1" applyBorder="1" applyFont="1">
      <alignment horizontal="center" vertical="center"/>
    </xf>
    <xf borderId="10" fillId="0" fontId="24" numFmtId="2" xfId="0" applyAlignment="1" applyBorder="1" applyFont="1" applyNumberFormat="1">
      <alignment horizontal="center" vertical="center"/>
    </xf>
    <xf borderId="12" fillId="0" fontId="4" numFmtId="2" xfId="0" applyAlignment="1" applyBorder="1" applyFont="1" applyNumberFormat="1">
      <alignment horizontal="center" vertical="center"/>
    </xf>
    <xf borderId="62" fillId="4" fontId="2" numFmtId="0" xfId="0" applyAlignment="1" applyBorder="1" applyFont="1">
      <alignment horizontal="center" vertical="center"/>
    </xf>
    <xf borderId="62" fillId="10" fontId="2" numFmtId="0" xfId="0" applyAlignment="1" applyBorder="1" applyFill="1" applyFont="1">
      <alignment vertical="center"/>
    </xf>
    <xf borderId="62" fillId="10" fontId="24" numFmtId="2" xfId="0" applyAlignment="1" applyBorder="1" applyFont="1" applyNumberFormat="1">
      <alignment horizontal="center" vertical="center"/>
    </xf>
    <xf borderId="62" fillId="4" fontId="18" numFmtId="0" xfId="0" applyAlignment="1" applyBorder="1" applyFont="1">
      <alignment horizontal="center" readingOrder="0" vertical="center"/>
    </xf>
    <xf borderId="62" fillId="4" fontId="2" numFmtId="0" xfId="0" applyAlignment="1" applyBorder="1" applyFont="1">
      <alignment horizontal="center" readingOrder="0" vertical="center"/>
    </xf>
    <xf borderId="22" fillId="4" fontId="18" numFmtId="9" xfId="0" applyAlignment="1" applyBorder="1" applyFont="1" applyNumberFormat="1">
      <alignment horizontal="center" vertical="center"/>
    </xf>
    <xf borderId="62" fillId="10" fontId="2" numFmtId="0" xfId="0" applyAlignment="1" applyBorder="1" applyFont="1">
      <alignment vertical="center"/>
    </xf>
    <xf borderId="22" fillId="8" fontId="18" numFmtId="9" xfId="0" applyAlignment="1" applyBorder="1" applyFont="1" applyNumberFormat="1">
      <alignment horizontal="center" vertical="center"/>
    </xf>
    <xf borderId="62" fillId="4" fontId="7" numFmtId="0" xfId="0" applyAlignment="1" applyBorder="1" applyFont="1">
      <alignment horizontal="center" vertical="center"/>
    </xf>
    <xf borderId="62" fillId="10" fontId="2" numFmtId="0" xfId="0" applyAlignment="1" applyBorder="1" applyFont="1">
      <alignment vertical="center"/>
    </xf>
    <xf borderId="62" fillId="4" fontId="2" numFmtId="0" xfId="0" applyAlignment="1" applyBorder="1" applyFont="1">
      <alignment horizontal="center" vertical="center"/>
    </xf>
    <xf borderId="62" fillId="0" fontId="7" numFmtId="0" xfId="0" applyAlignment="1" applyBorder="1" applyFont="1">
      <alignment horizontal="center" readingOrder="0" vertical="center"/>
    </xf>
    <xf borderId="62" fillId="8" fontId="18" numFmtId="2" xfId="0" applyAlignment="1" applyBorder="1" applyFont="1" applyNumberFormat="1">
      <alignment horizontal="center" shrinkToFit="0" vertical="center" wrapText="1"/>
    </xf>
    <xf borderId="62" fillId="0" fontId="7" numFmtId="0" xfId="0" applyAlignment="1" applyBorder="1" applyFont="1">
      <alignment horizontal="center" vertical="center"/>
    </xf>
    <xf borderId="62" fillId="10" fontId="2" numFmtId="2" xfId="0" applyAlignment="1" applyBorder="1" applyFont="1" applyNumberFormat="1">
      <alignment vertical="center"/>
    </xf>
    <xf borderId="7" fillId="16" fontId="28" numFmtId="0" xfId="0" applyAlignment="1" applyBorder="1" applyFont="1">
      <alignment vertical="center"/>
    </xf>
    <xf borderId="64" fillId="4" fontId="7" numFmtId="0" xfId="0" applyAlignment="1" applyBorder="1" applyFont="1">
      <alignment horizontal="center" readingOrder="0" vertical="center"/>
    </xf>
    <xf borderId="64" fillId="4" fontId="7" numFmtId="0" xfId="0" applyAlignment="1" applyBorder="1" applyFont="1">
      <alignment horizontal="center" vertical="center"/>
    </xf>
    <xf borderId="64" fillId="10" fontId="2" numFmtId="0" xfId="0" applyAlignment="1" applyBorder="1" applyFont="1">
      <alignment vertical="center"/>
    </xf>
    <xf borderId="64" fillId="10" fontId="2" numFmtId="0" xfId="0" applyAlignment="1" applyBorder="1" applyFont="1">
      <alignment vertical="center"/>
    </xf>
    <xf borderId="8" fillId="0" fontId="24" numFmtId="2" xfId="0" applyAlignment="1" applyBorder="1" applyFont="1" applyNumberFormat="1">
      <alignment horizontal="center" vertical="center"/>
    </xf>
    <xf borderId="7" fillId="17" fontId="26" numFmtId="0" xfId="0" applyAlignment="1" applyBorder="1" applyFont="1">
      <alignment vertical="center"/>
    </xf>
    <xf borderId="64" fillId="17" fontId="26" numFmtId="166" xfId="0" applyAlignment="1" applyBorder="1" applyFont="1" applyNumberFormat="1">
      <alignment horizontal="center" vertical="center"/>
    </xf>
    <xf borderId="64" fillId="17" fontId="26" numFmtId="2" xfId="0" applyAlignment="1" applyBorder="1" applyFont="1" applyNumberFormat="1">
      <alignment horizontal="center" vertical="center"/>
    </xf>
    <xf borderId="64" fillId="17" fontId="26" numFmtId="1" xfId="0" applyAlignment="1" applyBorder="1" applyFont="1" applyNumberFormat="1">
      <alignment horizontal="center" vertical="center"/>
    </xf>
    <xf borderId="3" fillId="17" fontId="26" numFmtId="9" xfId="0" applyAlignment="1" applyBorder="1" applyFont="1" applyNumberFormat="1">
      <alignment horizontal="center" vertical="center"/>
    </xf>
    <xf borderId="17" fillId="17" fontId="4" numFmtId="0" xfId="0" applyAlignment="1" applyBorder="1" applyFont="1">
      <alignment horizontal="center" vertical="center"/>
    </xf>
    <xf borderId="0" fillId="4" fontId="28" numFmtId="0" xfId="0" applyAlignment="1" applyFont="1">
      <alignment readingOrder="0" vertical="center"/>
    </xf>
    <xf borderId="0" fillId="4" fontId="7" numFmtId="0" xfId="0" applyAlignment="1" applyFont="1">
      <alignment horizontal="center" readingOrder="0" vertical="center"/>
    </xf>
    <xf borderId="0" fillId="4" fontId="2" numFmtId="0" xfId="0" applyAlignment="1" applyFont="1">
      <alignment horizontal="center" vertical="center"/>
    </xf>
    <xf borderId="0" fillId="4" fontId="24" numFmtId="2" xfId="0" applyAlignment="1" applyFont="1" applyNumberFormat="1">
      <alignment horizontal="center" vertical="center"/>
    </xf>
    <xf borderId="9" fillId="0" fontId="18" numFmtId="0" xfId="0" applyAlignment="1" applyBorder="1" applyFont="1">
      <alignment readingOrder="0" vertical="center"/>
    </xf>
    <xf borderId="62" fillId="4" fontId="18" numFmtId="2" xfId="0" applyAlignment="1" applyBorder="1" applyFont="1" applyNumberFormat="1">
      <alignment horizontal="center" readingOrder="0" shrinkToFit="0" vertical="center" wrapText="1"/>
    </xf>
    <xf borderId="56" fillId="0" fontId="4" numFmtId="2" xfId="0" applyAlignment="1" applyBorder="1" applyFont="1" applyNumberFormat="1">
      <alignment horizontal="center" vertical="center"/>
    </xf>
    <xf borderId="12" fillId="0" fontId="4" numFmtId="0" xfId="0" applyAlignment="1" applyBorder="1" applyFont="1">
      <alignment horizontal="center" vertical="center"/>
    </xf>
    <xf borderId="7" fillId="0" fontId="18" numFmtId="0" xfId="0" applyAlignment="1" applyBorder="1" applyFont="1">
      <alignment readingOrder="0" vertical="center"/>
    </xf>
    <xf borderId="64" fillId="4" fontId="18" numFmtId="0" xfId="0" applyAlignment="1" applyBorder="1" applyFont="1">
      <alignment horizontal="center" readingOrder="0" vertical="center"/>
    </xf>
    <xf borderId="64" fillId="4" fontId="18" numFmtId="2" xfId="0" applyAlignment="1" applyBorder="1" applyFont="1" applyNumberFormat="1">
      <alignment horizontal="center" readingOrder="0" shrinkToFit="0" vertical="center" wrapText="1"/>
    </xf>
    <xf borderId="3" fillId="0" fontId="18" numFmtId="9" xfId="0" applyAlignment="1" applyBorder="1" applyFont="1" applyNumberFormat="1">
      <alignment horizontal="center" vertical="center"/>
    </xf>
    <xf borderId="17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Sheet2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id_Earning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Years Involved, Playoff Appearance and Champs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'Past Standings'!$B$16</c:f>
            </c:strRef>
          </c:tx>
          <c:spPr>
            <a:solidFill>
              <a:srgbClr val="4285F4"/>
            </a:solidFill>
            <a:ln cmpd="sng">
              <a:noFill/>
            </a:ln>
          </c:spPr>
          <c:cat>
            <c:strRef>
              <c:f>'Past Standings'!$A$17:$A$28</c:f>
            </c:strRef>
          </c:cat>
          <c:val>
            <c:numRef>
              <c:f>'Past Standings'!$B$17:$B$28</c:f>
              <c:numCache/>
            </c:numRef>
          </c:val>
        </c:ser>
        <c:ser>
          <c:idx val="1"/>
          <c:order val="1"/>
          <c:tx>
            <c:strRef>
              <c:f>'Past Standings'!$D$16</c:f>
            </c:strRef>
          </c:tx>
          <c:spPr>
            <a:solidFill>
              <a:srgbClr val="DB4437"/>
            </a:solidFill>
            <a:ln cmpd="sng">
              <a:noFill/>
            </a:ln>
          </c:spPr>
          <c:cat>
            <c:strRef>
              <c:f>'Past Standings'!$A$17:$A$28</c:f>
            </c:strRef>
          </c:cat>
          <c:val>
            <c:numRef>
              <c:f>'Past Standings'!$D$17:$D$28</c:f>
              <c:numCache/>
            </c:numRef>
          </c:val>
        </c:ser>
        <c:ser>
          <c:idx val="2"/>
          <c:order val="2"/>
          <c:tx>
            <c:strRef>
              <c:f>'Past Standings'!$E$16</c:f>
            </c:strRef>
          </c:tx>
          <c:spPr>
            <a:solidFill>
              <a:srgbClr val="F4B400"/>
            </a:solidFill>
            <a:ln cmpd="sng">
              <a:noFill/>
            </a:ln>
          </c:spPr>
          <c:cat>
            <c:strRef>
              <c:f>'Past Standings'!$A$17:$A$28</c:f>
            </c:strRef>
          </c:cat>
          <c:val>
            <c:numRef>
              <c:f>'Past Standings'!$E$17:$E$28</c:f>
              <c:numCache/>
            </c:numRef>
          </c:val>
        </c:ser>
        <c:axId val="1866897114"/>
        <c:axId val="1438801192"/>
      </c:barChart>
      <c:catAx>
        <c:axId val="18668971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38801192"/>
      </c:catAx>
      <c:valAx>
        <c:axId val="14388011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668971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3.png"/><Relationship Id="rId3" Type="http://schemas.openxmlformats.org/officeDocument/2006/relationships/image" Target="../media/Chart4.png"/><Relationship Id="rId4" Type="http://schemas.openxmlformats.org/officeDocument/2006/relationships/chart" Target="../charts/chart1.xml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9525</xdr:colOff>
      <xdr:row>45</xdr:row>
      <xdr:rowOff>114300</xdr:rowOff>
    </xdr:from>
    <xdr:ext cx="5715000" cy="3533775"/>
    <xdr:pic>
      <xdr:nvPicPr>
        <xdr:cNvPr id="99131166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95250</xdr:rowOff>
    </xdr:from>
    <xdr:ext cx="5715000" cy="3533775"/>
    <xdr:pic>
      <xdr:nvPicPr>
        <xdr:cNvPr id="674827460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70</xdr:row>
      <xdr:rowOff>171450</xdr:rowOff>
    </xdr:from>
    <xdr:ext cx="5715000" cy="3533775"/>
    <xdr:pic>
      <xdr:nvPicPr>
        <xdr:cNvPr id="270787660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9525</xdr:colOff>
      <xdr:row>66</xdr:row>
      <xdr:rowOff>9525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10</xdr:row>
      <xdr:rowOff>57150</xdr:rowOff>
    </xdr:from>
    <xdr:ext cx="2705100" cy="3533775"/>
    <xdr:pic>
      <xdr:nvPicPr>
        <xdr:cNvPr id="1391277250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G6:J28" displayName="Table2" name="Table2" id="1">
  <tableColumns count="4">
    <tableColumn name="Owner Name" id="1"/>
    <tableColumn name="Total Paid Out" id="2"/>
    <tableColumn name="Total Won" id="3"/>
    <tableColumn name="Net (Won or Loss)" id="4"/>
  </tableColumns>
  <tableStyleInfo name="Sheet20-style" showColumnStripes="0" showFirstColumn="1" showLastColumn="1" showRowStripes="1"/>
</table>
</file>

<file path=xl/tables/table2.xml><?xml version="1.0" encoding="utf-8"?>
<table xmlns="http://schemas.openxmlformats.org/spreadsheetml/2006/main" ref="A1:W21" displayName="Table1" name="Table1" id="2">
  <tableColumns count="23">
    <tableColumn name="Year/Metric" id="1"/>
    <tableColumn name="Tommy" id="2"/>
    <tableColumn name="David" id="3"/>
    <tableColumn name="Jordan" id="4"/>
    <tableColumn name="JD" id="5"/>
    <tableColumn name="Aaron" id="6"/>
    <tableColumn name="Rashad" id="7"/>
    <tableColumn name="Brian" id="8"/>
    <tableColumn name="Wade" id="9"/>
    <tableColumn name="Travis" id="10"/>
    <tableColumn name="Ray" id="11"/>
    <tableColumn name="Doug" id="12"/>
    <tableColumn name="Stan" id="13"/>
    <tableColumn name="Billy" id="14"/>
    <tableColumn name="Landon" id="15"/>
    <tableColumn name="Adam" id="16"/>
    <tableColumn name="Patrick" id="17"/>
    <tableColumn name="Chris" id="18"/>
    <tableColumn name="Ricky" id="19"/>
    <tableColumn name="Garet" id="20"/>
    <tableColumn name="Minnix" id="21"/>
    <tableColumn name="Gordie" id="22"/>
    <tableColumn name="Bryan" id="23"/>
  </tableColumns>
  <tableStyleInfo name="Paid_Earning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</cols>
  <sheetData>
    <row r="1">
      <c r="A1" s="1" t="s">
        <v>0</v>
      </c>
      <c r="B1" s="2" t="s">
        <v>1</v>
      </c>
      <c r="C1" s="3"/>
    </row>
    <row r="2" ht="18.75" customHeight="1">
      <c r="A2" s="4" t="s">
        <v>2</v>
      </c>
      <c r="B2" s="5" t="s">
        <v>3</v>
      </c>
      <c r="C2" s="6" t="s">
        <v>4</v>
      </c>
    </row>
    <row r="3" ht="21.75" customHeight="1">
      <c r="A3" s="7" t="s">
        <v>5</v>
      </c>
      <c r="B3" s="8" t="s">
        <v>6</v>
      </c>
      <c r="C3" s="9"/>
    </row>
    <row r="4">
      <c r="A4" s="10" t="s">
        <v>7</v>
      </c>
      <c r="B4" s="11" t="s">
        <v>8</v>
      </c>
      <c r="C4" s="12"/>
    </row>
    <row r="5">
      <c r="A5" s="13" t="s">
        <v>9</v>
      </c>
      <c r="B5" s="14" t="s">
        <v>10</v>
      </c>
      <c r="C5" s="12"/>
    </row>
    <row r="6">
      <c r="A6" s="15" t="s">
        <v>11</v>
      </c>
      <c r="B6" s="16" t="s">
        <v>12</v>
      </c>
      <c r="C6" s="12"/>
    </row>
    <row r="7">
      <c r="A7" s="17" t="s">
        <v>13</v>
      </c>
      <c r="B7" s="18" t="s">
        <v>14</v>
      </c>
      <c r="C7" s="19" t="s">
        <v>4</v>
      </c>
    </row>
    <row r="8">
      <c r="A8" s="20" t="s">
        <v>15</v>
      </c>
      <c r="B8" s="21" t="s">
        <v>16</v>
      </c>
      <c r="C8" s="9"/>
    </row>
    <row r="9">
      <c r="A9" s="22" t="s">
        <v>17</v>
      </c>
      <c r="B9" s="23" t="s">
        <v>18</v>
      </c>
      <c r="C9" s="24"/>
    </row>
    <row r="10">
      <c r="A10" s="22" t="s">
        <v>20</v>
      </c>
      <c r="B10" s="23" t="s">
        <v>21</v>
      </c>
      <c r="C10" s="24"/>
    </row>
    <row r="11">
      <c r="A11" s="25" t="s">
        <v>22</v>
      </c>
      <c r="B11" s="26" t="s">
        <v>23</v>
      </c>
      <c r="C11" s="24"/>
    </row>
    <row r="12">
      <c r="A12" s="25" t="s">
        <v>24</v>
      </c>
      <c r="B12" s="26" t="s">
        <v>25</v>
      </c>
      <c r="C12" s="24"/>
    </row>
    <row r="13">
      <c r="A13" s="25" t="s">
        <v>27</v>
      </c>
      <c r="B13" s="26" t="s">
        <v>28</v>
      </c>
      <c r="C13" s="24"/>
    </row>
    <row r="14">
      <c r="A14" s="22" t="s">
        <v>29</v>
      </c>
      <c r="B14" s="23" t="s">
        <v>30</v>
      </c>
      <c r="C14" s="24"/>
    </row>
    <row r="15">
      <c r="A15" s="28" t="s">
        <v>32</v>
      </c>
      <c r="B15" s="29" t="s">
        <v>33</v>
      </c>
      <c r="C15" s="24"/>
    </row>
    <row r="16">
      <c r="A16" s="30"/>
      <c r="B16" s="30"/>
    </row>
    <row r="17">
      <c r="A17" s="30"/>
      <c r="B17" s="30"/>
    </row>
    <row r="18">
      <c r="A18" s="30"/>
      <c r="B18" s="30"/>
    </row>
    <row r="19">
      <c r="A19" s="30"/>
      <c r="B19" s="30"/>
    </row>
    <row r="20">
      <c r="A20" s="30"/>
      <c r="B20" s="30"/>
    </row>
    <row r="21">
      <c r="A21" s="30"/>
      <c r="B21" s="30"/>
    </row>
    <row r="22">
      <c r="A22" s="30"/>
      <c r="B22" s="30"/>
    </row>
    <row r="23">
      <c r="A23" s="30"/>
      <c r="B23" s="30"/>
    </row>
    <row r="24">
      <c r="A24" s="30"/>
      <c r="B24" s="30"/>
    </row>
    <row r="25">
      <c r="A25" s="30"/>
      <c r="B25" s="30"/>
    </row>
    <row r="26">
      <c r="A26" s="30"/>
      <c r="B26" s="30"/>
    </row>
    <row r="27">
      <c r="A27" s="30"/>
      <c r="B27" s="30"/>
    </row>
    <row r="28">
      <c r="A28" s="30"/>
      <c r="B28" s="30"/>
    </row>
    <row r="29">
      <c r="A29" s="30"/>
      <c r="B29" s="30"/>
    </row>
    <row r="30">
      <c r="A30" s="30"/>
      <c r="B30" s="30"/>
    </row>
    <row r="31">
      <c r="A31" s="30"/>
      <c r="B31" s="30"/>
    </row>
    <row r="32">
      <c r="A32" s="30"/>
      <c r="B32" s="30"/>
    </row>
    <row r="33">
      <c r="A33" s="30"/>
      <c r="B33" s="30"/>
    </row>
    <row r="34">
      <c r="A34" s="30"/>
      <c r="B34" s="30"/>
    </row>
    <row r="35">
      <c r="A35" s="30"/>
      <c r="B35" s="30"/>
    </row>
    <row r="36">
      <c r="A36" s="30"/>
      <c r="B36" s="30"/>
    </row>
    <row r="37">
      <c r="A37" s="30"/>
      <c r="B37" s="30"/>
    </row>
    <row r="38">
      <c r="A38" s="30"/>
      <c r="B38" s="30"/>
    </row>
    <row r="39">
      <c r="A39" s="30"/>
      <c r="B39" s="30"/>
    </row>
    <row r="40">
      <c r="A40" s="30"/>
      <c r="B40" s="30"/>
    </row>
    <row r="41">
      <c r="A41" s="30"/>
      <c r="B41" s="30"/>
    </row>
    <row r="42">
      <c r="A42" s="30"/>
      <c r="B42" s="30"/>
    </row>
    <row r="43">
      <c r="A43" s="30"/>
      <c r="B43" s="30"/>
    </row>
    <row r="44">
      <c r="A44" s="30"/>
      <c r="B44" s="30"/>
    </row>
    <row r="45">
      <c r="A45" s="30"/>
      <c r="B45" s="30"/>
    </row>
    <row r="46">
      <c r="A46" s="30"/>
      <c r="B46" s="30"/>
    </row>
    <row r="47">
      <c r="A47" s="30"/>
      <c r="B47" s="30"/>
    </row>
    <row r="48">
      <c r="A48" s="30"/>
      <c r="B48" s="30"/>
    </row>
    <row r="49">
      <c r="A49" s="30"/>
      <c r="B49" s="30"/>
    </row>
    <row r="50">
      <c r="A50" s="30"/>
      <c r="B50" s="30"/>
    </row>
    <row r="51">
      <c r="A51" s="30"/>
      <c r="B51" s="30"/>
    </row>
    <row r="52">
      <c r="A52" s="30"/>
      <c r="B52" s="30"/>
    </row>
    <row r="53">
      <c r="A53" s="30"/>
      <c r="B53" s="30"/>
    </row>
    <row r="54">
      <c r="A54" s="30"/>
      <c r="B54" s="30"/>
    </row>
    <row r="55">
      <c r="A55" s="30"/>
      <c r="B55" s="30"/>
    </row>
    <row r="56">
      <c r="A56" s="30"/>
      <c r="B56" s="30"/>
    </row>
    <row r="57">
      <c r="A57" s="30"/>
      <c r="B57" s="30"/>
    </row>
    <row r="58">
      <c r="A58" s="30"/>
      <c r="B58" s="30"/>
    </row>
    <row r="59">
      <c r="A59" s="30"/>
      <c r="B59" s="30"/>
    </row>
    <row r="60">
      <c r="A60" s="30"/>
      <c r="B60" s="30"/>
    </row>
    <row r="61">
      <c r="A61" s="30"/>
      <c r="B61" s="30"/>
    </row>
    <row r="62">
      <c r="A62" s="30"/>
      <c r="B62" s="30"/>
    </row>
    <row r="63">
      <c r="A63" s="30"/>
      <c r="B63" s="30"/>
    </row>
    <row r="64">
      <c r="A64" s="30"/>
      <c r="B64" s="30"/>
    </row>
    <row r="65">
      <c r="A65" s="30"/>
      <c r="B65" s="30"/>
    </row>
    <row r="66">
      <c r="A66" s="30"/>
      <c r="B66" s="30"/>
    </row>
    <row r="67">
      <c r="A67" s="30"/>
      <c r="B67" s="30"/>
    </row>
    <row r="68">
      <c r="A68" s="30"/>
      <c r="B68" s="30"/>
    </row>
    <row r="69">
      <c r="A69" s="30"/>
      <c r="B69" s="30"/>
    </row>
    <row r="70">
      <c r="A70" s="30"/>
      <c r="B70" s="30"/>
    </row>
    <row r="71">
      <c r="A71" s="30"/>
      <c r="B71" s="30"/>
    </row>
    <row r="72">
      <c r="A72" s="30"/>
      <c r="B72" s="30"/>
    </row>
    <row r="73">
      <c r="A73" s="30"/>
      <c r="B73" s="30"/>
    </row>
    <row r="74">
      <c r="A74" s="30"/>
      <c r="B74" s="30"/>
    </row>
    <row r="75">
      <c r="A75" s="30"/>
      <c r="B75" s="30"/>
    </row>
    <row r="76">
      <c r="A76" s="30"/>
      <c r="B76" s="30"/>
    </row>
    <row r="77">
      <c r="A77" s="30"/>
      <c r="B77" s="30"/>
    </row>
    <row r="78">
      <c r="A78" s="30"/>
      <c r="B78" s="30"/>
    </row>
    <row r="79">
      <c r="A79" s="30"/>
      <c r="B79" s="30"/>
    </row>
    <row r="80">
      <c r="A80" s="30"/>
      <c r="B80" s="30"/>
    </row>
    <row r="81">
      <c r="A81" s="30"/>
      <c r="B81" s="30"/>
    </row>
    <row r="82">
      <c r="A82" s="30"/>
      <c r="B82" s="30"/>
    </row>
    <row r="83">
      <c r="A83" s="30"/>
      <c r="B83" s="30"/>
    </row>
    <row r="84">
      <c r="A84" s="30"/>
      <c r="B84" s="30"/>
    </row>
    <row r="85">
      <c r="A85" s="30"/>
      <c r="B85" s="30"/>
    </row>
    <row r="86">
      <c r="A86" s="30"/>
      <c r="B86" s="30"/>
    </row>
    <row r="87">
      <c r="A87" s="30"/>
      <c r="B87" s="30"/>
    </row>
    <row r="88">
      <c r="A88" s="30"/>
      <c r="B88" s="30"/>
    </row>
    <row r="89">
      <c r="A89" s="30"/>
      <c r="B89" s="30"/>
    </row>
    <row r="90">
      <c r="A90" s="30"/>
      <c r="B90" s="30"/>
    </row>
    <row r="91">
      <c r="A91" s="30"/>
      <c r="B91" s="30"/>
    </row>
    <row r="92">
      <c r="A92" s="30"/>
      <c r="B92" s="30"/>
    </row>
    <row r="93">
      <c r="A93" s="30"/>
      <c r="B93" s="30"/>
    </row>
    <row r="94">
      <c r="A94" s="30"/>
      <c r="B94" s="30"/>
    </row>
    <row r="95">
      <c r="A95" s="30"/>
      <c r="B95" s="30"/>
    </row>
    <row r="96">
      <c r="A96" s="30"/>
      <c r="B96" s="30"/>
    </row>
    <row r="97">
      <c r="A97" s="30"/>
      <c r="B97" s="30"/>
    </row>
    <row r="98">
      <c r="A98" s="30"/>
      <c r="B98" s="30"/>
    </row>
    <row r="99">
      <c r="A99" s="30"/>
      <c r="B99" s="30"/>
    </row>
    <row r="100">
      <c r="A100" s="30"/>
      <c r="B100" s="30"/>
    </row>
    <row r="101">
      <c r="A101" s="30"/>
      <c r="B101" s="30"/>
    </row>
    <row r="102">
      <c r="A102" s="30"/>
      <c r="B102" s="30"/>
    </row>
    <row r="103">
      <c r="A103" s="30"/>
      <c r="B103" s="30"/>
    </row>
    <row r="104">
      <c r="A104" s="30"/>
      <c r="B104" s="30"/>
    </row>
    <row r="105">
      <c r="A105" s="30"/>
      <c r="B105" s="30"/>
    </row>
    <row r="106">
      <c r="A106" s="30"/>
      <c r="B106" s="30"/>
    </row>
    <row r="107">
      <c r="A107" s="30"/>
      <c r="B107" s="30"/>
    </row>
    <row r="108">
      <c r="A108" s="30"/>
      <c r="B108" s="30"/>
    </row>
    <row r="109">
      <c r="A109" s="30"/>
      <c r="B109" s="30"/>
    </row>
    <row r="110">
      <c r="A110" s="30"/>
      <c r="B110" s="30"/>
    </row>
    <row r="111">
      <c r="A111" s="30"/>
      <c r="B111" s="30"/>
    </row>
    <row r="112">
      <c r="A112" s="30"/>
      <c r="B112" s="30"/>
    </row>
    <row r="113">
      <c r="A113" s="30"/>
      <c r="B113" s="30"/>
    </row>
    <row r="114">
      <c r="A114" s="30"/>
      <c r="B114" s="30"/>
    </row>
    <row r="115">
      <c r="A115" s="30"/>
      <c r="B115" s="30"/>
    </row>
    <row r="116">
      <c r="A116" s="30"/>
      <c r="B116" s="30"/>
    </row>
    <row r="117">
      <c r="A117" s="30"/>
      <c r="B117" s="30"/>
    </row>
    <row r="118">
      <c r="A118" s="30"/>
      <c r="B118" s="30"/>
    </row>
    <row r="119">
      <c r="A119" s="30"/>
      <c r="B119" s="30"/>
    </row>
    <row r="120">
      <c r="A120" s="30"/>
      <c r="B120" s="30"/>
    </row>
    <row r="121">
      <c r="A121" s="30"/>
      <c r="B121" s="30"/>
    </row>
    <row r="122">
      <c r="A122" s="30"/>
      <c r="B122" s="30"/>
    </row>
    <row r="123">
      <c r="A123" s="30"/>
      <c r="B123" s="30"/>
    </row>
    <row r="124">
      <c r="A124" s="30"/>
      <c r="B124" s="30"/>
    </row>
    <row r="125">
      <c r="A125" s="30"/>
      <c r="B125" s="30"/>
    </row>
    <row r="126">
      <c r="A126" s="30"/>
      <c r="B126" s="30"/>
    </row>
    <row r="127">
      <c r="A127" s="30"/>
      <c r="B127" s="30"/>
    </row>
    <row r="128">
      <c r="A128" s="30"/>
      <c r="B128" s="30"/>
    </row>
    <row r="129">
      <c r="A129" s="30"/>
      <c r="B129" s="30"/>
    </row>
    <row r="130">
      <c r="A130" s="30"/>
      <c r="B130" s="30"/>
    </row>
    <row r="131">
      <c r="A131" s="30"/>
      <c r="B131" s="30"/>
    </row>
    <row r="132">
      <c r="A132" s="30"/>
      <c r="B132" s="30"/>
    </row>
    <row r="133">
      <c r="A133" s="30"/>
      <c r="B133" s="30"/>
    </row>
    <row r="134">
      <c r="A134" s="30"/>
      <c r="B134" s="30"/>
    </row>
    <row r="135">
      <c r="A135" s="30"/>
      <c r="B135" s="30"/>
    </row>
    <row r="136">
      <c r="A136" s="30"/>
      <c r="B136" s="30"/>
    </row>
    <row r="137">
      <c r="A137" s="30"/>
      <c r="B137" s="30"/>
    </row>
    <row r="138">
      <c r="A138" s="30"/>
      <c r="B138" s="30"/>
    </row>
    <row r="139">
      <c r="A139" s="30"/>
      <c r="B139" s="30"/>
    </row>
    <row r="140">
      <c r="A140" s="30"/>
      <c r="B140" s="30"/>
    </row>
    <row r="141">
      <c r="A141" s="30"/>
      <c r="B141" s="30"/>
    </row>
    <row r="142">
      <c r="A142" s="30"/>
      <c r="B142" s="30"/>
    </row>
    <row r="143">
      <c r="A143" s="30"/>
      <c r="B143" s="30"/>
    </row>
    <row r="144">
      <c r="A144" s="30"/>
      <c r="B144" s="30"/>
    </row>
    <row r="145">
      <c r="A145" s="30"/>
      <c r="B145" s="30"/>
    </row>
    <row r="146">
      <c r="A146" s="30"/>
      <c r="B146" s="30"/>
    </row>
    <row r="147">
      <c r="A147" s="30"/>
      <c r="B147" s="30"/>
    </row>
    <row r="148">
      <c r="A148" s="30"/>
      <c r="B148" s="30"/>
    </row>
    <row r="149">
      <c r="A149" s="30"/>
      <c r="B149" s="30"/>
    </row>
    <row r="150">
      <c r="A150" s="30"/>
      <c r="B150" s="30"/>
    </row>
    <row r="151">
      <c r="A151" s="30"/>
      <c r="B151" s="30"/>
    </row>
    <row r="152">
      <c r="A152" s="30"/>
      <c r="B152" s="30"/>
    </row>
    <row r="153">
      <c r="A153" s="30"/>
      <c r="B153" s="30"/>
    </row>
    <row r="154">
      <c r="A154" s="30"/>
      <c r="B154" s="30"/>
    </row>
    <row r="155">
      <c r="A155" s="30"/>
      <c r="B155" s="30"/>
    </row>
    <row r="156">
      <c r="A156" s="30"/>
      <c r="B156" s="30"/>
    </row>
    <row r="157">
      <c r="A157" s="30"/>
      <c r="B157" s="30"/>
    </row>
    <row r="158">
      <c r="A158" s="30"/>
      <c r="B158" s="30"/>
    </row>
    <row r="159">
      <c r="A159" s="30"/>
      <c r="B159" s="30"/>
    </row>
    <row r="160">
      <c r="A160" s="30"/>
      <c r="B160" s="30"/>
    </row>
    <row r="161">
      <c r="A161" s="30"/>
      <c r="B161" s="30"/>
    </row>
    <row r="162">
      <c r="A162" s="30"/>
      <c r="B162" s="30"/>
    </row>
    <row r="163">
      <c r="A163" s="30"/>
      <c r="B163" s="30"/>
    </row>
    <row r="164">
      <c r="A164" s="30"/>
      <c r="B164" s="30"/>
    </row>
    <row r="165">
      <c r="A165" s="30"/>
      <c r="B165" s="30"/>
    </row>
    <row r="166">
      <c r="A166" s="30"/>
      <c r="B166" s="30"/>
    </row>
    <row r="167">
      <c r="A167" s="30"/>
      <c r="B167" s="30"/>
    </row>
    <row r="168">
      <c r="A168" s="30"/>
      <c r="B168" s="30"/>
    </row>
    <row r="169">
      <c r="A169" s="30"/>
      <c r="B169" s="30"/>
    </row>
    <row r="170">
      <c r="A170" s="30"/>
      <c r="B170" s="30"/>
    </row>
    <row r="171">
      <c r="A171" s="30"/>
      <c r="B171" s="30"/>
    </row>
    <row r="172">
      <c r="A172" s="30"/>
      <c r="B172" s="30"/>
    </row>
    <row r="173">
      <c r="A173" s="30"/>
      <c r="B173" s="30"/>
    </row>
    <row r="174">
      <c r="A174" s="30"/>
      <c r="B174" s="30"/>
    </row>
    <row r="175">
      <c r="A175" s="30"/>
      <c r="B175" s="30"/>
    </row>
    <row r="176">
      <c r="A176" s="30"/>
      <c r="B176" s="30"/>
    </row>
    <row r="177">
      <c r="A177" s="30"/>
      <c r="B177" s="30"/>
    </row>
    <row r="178">
      <c r="A178" s="30"/>
      <c r="B178" s="30"/>
    </row>
    <row r="179">
      <c r="A179" s="30"/>
      <c r="B179" s="30"/>
    </row>
    <row r="180">
      <c r="A180" s="30"/>
      <c r="B180" s="30"/>
    </row>
    <row r="181">
      <c r="A181" s="30"/>
      <c r="B181" s="30"/>
    </row>
    <row r="182">
      <c r="A182" s="30"/>
      <c r="B182" s="30"/>
    </row>
    <row r="183">
      <c r="A183" s="30"/>
      <c r="B183" s="30"/>
    </row>
    <row r="184">
      <c r="A184" s="30"/>
      <c r="B184" s="30"/>
    </row>
    <row r="185">
      <c r="A185" s="30"/>
      <c r="B185" s="30"/>
    </row>
    <row r="186">
      <c r="A186" s="30"/>
      <c r="B186" s="30"/>
    </row>
    <row r="187">
      <c r="A187" s="30"/>
      <c r="B187" s="30"/>
    </row>
    <row r="188">
      <c r="A188" s="30"/>
      <c r="B188" s="30"/>
    </row>
    <row r="189">
      <c r="A189" s="30"/>
      <c r="B189" s="30"/>
    </row>
    <row r="190">
      <c r="A190" s="30"/>
      <c r="B190" s="30"/>
    </row>
    <row r="191">
      <c r="A191" s="30"/>
      <c r="B191" s="30"/>
    </row>
    <row r="192">
      <c r="A192" s="30"/>
      <c r="B192" s="30"/>
    </row>
    <row r="193">
      <c r="A193" s="30"/>
      <c r="B193" s="30"/>
    </row>
    <row r="194">
      <c r="A194" s="30"/>
      <c r="B194" s="30"/>
    </row>
    <row r="195">
      <c r="A195" s="30"/>
      <c r="B195" s="30"/>
    </row>
    <row r="196">
      <c r="A196" s="30"/>
      <c r="B196" s="30"/>
    </row>
    <row r="197">
      <c r="A197" s="30"/>
      <c r="B197" s="30"/>
    </row>
    <row r="198">
      <c r="A198" s="30"/>
      <c r="B198" s="30"/>
    </row>
    <row r="199">
      <c r="A199" s="30"/>
      <c r="B199" s="30"/>
    </row>
    <row r="200">
      <c r="A200" s="30"/>
      <c r="B200" s="30"/>
    </row>
    <row r="201">
      <c r="A201" s="30"/>
      <c r="B201" s="30"/>
    </row>
    <row r="202">
      <c r="A202" s="30"/>
      <c r="B202" s="30"/>
    </row>
    <row r="203">
      <c r="A203" s="30"/>
      <c r="B203" s="30"/>
    </row>
    <row r="204">
      <c r="A204" s="30"/>
      <c r="B204" s="30"/>
    </row>
    <row r="205">
      <c r="A205" s="30"/>
      <c r="B205" s="30"/>
    </row>
    <row r="206">
      <c r="A206" s="30"/>
      <c r="B206" s="30"/>
    </row>
    <row r="207">
      <c r="A207" s="30"/>
      <c r="B207" s="30"/>
    </row>
    <row r="208">
      <c r="A208" s="30"/>
      <c r="B208" s="30"/>
    </row>
    <row r="209">
      <c r="A209" s="30"/>
      <c r="B209" s="30"/>
    </row>
    <row r="210">
      <c r="A210" s="30"/>
      <c r="B210" s="30"/>
    </row>
    <row r="211">
      <c r="A211" s="30"/>
      <c r="B211" s="30"/>
    </row>
    <row r="212">
      <c r="A212" s="30"/>
      <c r="B212" s="30"/>
    </row>
    <row r="213">
      <c r="A213" s="30"/>
      <c r="B213" s="30"/>
    </row>
    <row r="214">
      <c r="A214" s="30"/>
      <c r="B214" s="30"/>
    </row>
    <row r="215">
      <c r="A215" s="30"/>
      <c r="B215" s="30"/>
    </row>
    <row r="216">
      <c r="A216" s="30"/>
      <c r="B216" s="30"/>
    </row>
    <row r="217">
      <c r="A217" s="30"/>
      <c r="B217" s="30"/>
    </row>
    <row r="218">
      <c r="A218" s="30"/>
      <c r="B218" s="30"/>
    </row>
    <row r="219">
      <c r="A219" s="30"/>
      <c r="B219" s="30"/>
    </row>
    <row r="220">
      <c r="A220" s="30"/>
      <c r="B220" s="30"/>
    </row>
    <row r="221">
      <c r="A221" s="30"/>
      <c r="B221" s="30"/>
    </row>
    <row r="222">
      <c r="A222" s="30"/>
      <c r="B222" s="30"/>
    </row>
    <row r="223">
      <c r="A223" s="30"/>
      <c r="B223" s="30"/>
    </row>
    <row r="224">
      <c r="A224" s="30"/>
      <c r="B224" s="30"/>
    </row>
    <row r="225">
      <c r="A225" s="30"/>
      <c r="B225" s="30"/>
    </row>
    <row r="226">
      <c r="A226" s="30"/>
      <c r="B226" s="30"/>
    </row>
    <row r="227">
      <c r="A227" s="30"/>
      <c r="B227" s="30"/>
    </row>
    <row r="228">
      <c r="A228" s="30"/>
      <c r="B228" s="30"/>
    </row>
    <row r="229">
      <c r="A229" s="30"/>
      <c r="B229" s="30"/>
    </row>
    <row r="230">
      <c r="A230" s="30"/>
      <c r="B230" s="30"/>
    </row>
    <row r="231">
      <c r="A231" s="30"/>
      <c r="B231" s="30"/>
    </row>
    <row r="232">
      <c r="A232" s="30"/>
      <c r="B232" s="30"/>
    </row>
    <row r="233">
      <c r="A233" s="30"/>
      <c r="B233" s="30"/>
    </row>
    <row r="234">
      <c r="A234" s="30"/>
      <c r="B234" s="30"/>
    </row>
    <row r="235">
      <c r="A235" s="30"/>
      <c r="B235" s="30"/>
    </row>
    <row r="236">
      <c r="A236" s="30"/>
      <c r="B236" s="30"/>
    </row>
    <row r="237">
      <c r="A237" s="30"/>
      <c r="B237" s="30"/>
    </row>
    <row r="238">
      <c r="A238" s="30"/>
      <c r="B238" s="30"/>
    </row>
    <row r="239">
      <c r="A239" s="30"/>
      <c r="B239" s="30"/>
    </row>
    <row r="240">
      <c r="A240" s="30"/>
      <c r="B240" s="30"/>
    </row>
    <row r="241">
      <c r="A241" s="30"/>
      <c r="B241" s="30"/>
    </row>
    <row r="242">
      <c r="A242" s="30"/>
      <c r="B242" s="30"/>
    </row>
    <row r="243">
      <c r="A243" s="30"/>
      <c r="B243" s="30"/>
    </row>
    <row r="244">
      <c r="A244" s="30"/>
      <c r="B244" s="30"/>
    </row>
    <row r="245">
      <c r="A245" s="30"/>
      <c r="B245" s="30"/>
    </row>
    <row r="246">
      <c r="A246" s="30"/>
      <c r="B246" s="30"/>
    </row>
    <row r="247">
      <c r="A247" s="30"/>
      <c r="B247" s="30"/>
    </row>
    <row r="248">
      <c r="A248" s="30"/>
      <c r="B248" s="30"/>
    </row>
    <row r="249">
      <c r="A249" s="30"/>
      <c r="B249" s="30"/>
    </row>
    <row r="250">
      <c r="A250" s="30"/>
      <c r="B250" s="30"/>
    </row>
    <row r="251">
      <c r="A251" s="30"/>
      <c r="B251" s="30"/>
    </row>
    <row r="252">
      <c r="A252" s="30"/>
      <c r="B252" s="30"/>
    </row>
    <row r="253">
      <c r="A253" s="30"/>
      <c r="B253" s="30"/>
    </row>
    <row r="254">
      <c r="A254" s="30"/>
      <c r="B254" s="30"/>
    </row>
    <row r="255">
      <c r="A255" s="30"/>
      <c r="B255" s="30"/>
    </row>
    <row r="256">
      <c r="A256" s="30"/>
      <c r="B256" s="30"/>
    </row>
    <row r="257">
      <c r="A257" s="30"/>
      <c r="B257" s="30"/>
    </row>
    <row r="258">
      <c r="A258" s="30"/>
      <c r="B258" s="30"/>
    </row>
    <row r="259">
      <c r="A259" s="30"/>
      <c r="B259" s="30"/>
    </row>
    <row r="260">
      <c r="A260" s="30"/>
      <c r="B260" s="30"/>
    </row>
    <row r="261">
      <c r="A261" s="30"/>
      <c r="B261" s="30"/>
    </row>
    <row r="262">
      <c r="A262" s="30"/>
      <c r="B262" s="30"/>
    </row>
    <row r="263">
      <c r="A263" s="30"/>
      <c r="B263" s="30"/>
    </row>
    <row r="264">
      <c r="A264" s="30"/>
      <c r="B264" s="30"/>
    </row>
    <row r="265">
      <c r="A265" s="30"/>
      <c r="B265" s="30"/>
    </row>
    <row r="266">
      <c r="A266" s="30"/>
      <c r="B266" s="30"/>
    </row>
    <row r="267">
      <c r="A267" s="30"/>
      <c r="B267" s="30"/>
    </row>
    <row r="268">
      <c r="A268" s="30"/>
      <c r="B268" s="30"/>
    </row>
    <row r="269">
      <c r="A269" s="30"/>
      <c r="B269" s="30"/>
    </row>
    <row r="270">
      <c r="A270" s="30"/>
      <c r="B270" s="30"/>
    </row>
    <row r="271">
      <c r="A271" s="30"/>
      <c r="B271" s="30"/>
    </row>
    <row r="272">
      <c r="A272" s="30"/>
      <c r="B272" s="30"/>
    </row>
    <row r="273">
      <c r="A273" s="30"/>
      <c r="B273" s="30"/>
    </row>
    <row r="274">
      <c r="A274" s="30"/>
      <c r="B274" s="30"/>
    </row>
    <row r="275">
      <c r="A275" s="30"/>
      <c r="B275" s="30"/>
    </row>
    <row r="276">
      <c r="A276" s="30"/>
      <c r="B276" s="30"/>
    </row>
    <row r="277">
      <c r="A277" s="30"/>
      <c r="B277" s="30"/>
    </row>
    <row r="278">
      <c r="A278" s="30"/>
      <c r="B278" s="30"/>
    </row>
    <row r="279">
      <c r="A279" s="30"/>
      <c r="B279" s="30"/>
    </row>
    <row r="280">
      <c r="A280" s="30"/>
      <c r="B280" s="30"/>
    </row>
    <row r="281">
      <c r="A281" s="30"/>
      <c r="B281" s="30"/>
    </row>
    <row r="282">
      <c r="A282" s="30"/>
      <c r="B282" s="30"/>
    </row>
    <row r="283">
      <c r="A283" s="30"/>
      <c r="B283" s="30"/>
    </row>
    <row r="284">
      <c r="A284" s="30"/>
      <c r="B284" s="30"/>
    </row>
    <row r="285">
      <c r="A285" s="30"/>
      <c r="B285" s="30"/>
    </row>
    <row r="286">
      <c r="A286" s="30"/>
      <c r="B286" s="30"/>
    </row>
    <row r="287">
      <c r="A287" s="30"/>
      <c r="B287" s="30"/>
    </row>
    <row r="288">
      <c r="A288" s="30"/>
      <c r="B288" s="30"/>
    </row>
    <row r="289">
      <c r="A289" s="30"/>
      <c r="B289" s="30"/>
    </row>
    <row r="290">
      <c r="A290" s="30"/>
      <c r="B290" s="30"/>
    </row>
    <row r="291">
      <c r="A291" s="30"/>
      <c r="B291" s="30"/>
    </row>
    <row r="292">
      <c r="A292" s="30"/>
      <c r="B292" s="30"/>
    </row>
    <row r="293">
      <c r="A293" s="30"/>
      <c r="B293" s="30"/>
    </row>
    <row r="294">
      <c r="A294" s="30"/>
      <c r="B294" s="30"/>
    </row>
    <row r="295">
      <c r="A295" s="30"/>
      <c r="B295" s="30"/>
    </row>
    <row r="296">
      <c r="A296" s="30"/>
      <c r="B296" s="30"/>
    </row>
    <row r="297">
      <c r="A297" s="30"/>
      <c r="B297" s="30"/>
    </row>
    <row r="298">
      <c r="A298" s="30"/>
      <c r="B298" s="30"/>
    </row>
    <row r="299">
      <c r="A299" s="30"/>
      <c r="B299" s="30"/>
    </row>
    <row r="300">
      <c r="A300" s="30"/>
      <c r="B300" s="30"/>
    </row>
    <row r="301">
      <c r="A301" s="30"/>
      <c r="B301" s="30"/>
    </row>
    <row r="302">
      <c r="A302" s="30"/>
      <c r="B302" s="30"/>
    </row>
    <row r="303">
      <c r="A303" s="30"/>
      <c r="B303" s="30"/>
    </row>
    <row r="304">
      <c r="A304" s="30"/>
      <c r="B304" s="30"/>
    </row>
    <row r="305">
      <c r="A305" s="30"/>
      <c r="B305" s="30"/>
    </row>
    <row r="306">
      <c r="A306" s="30"/>
      <c r="B306" s="30"/>
    </row>
    <row r="307">
      <c r="A307" s="30"/>
      <c r="B307" s="30"/>
    </row>
    <row r="308">
      <c r="A308" s="30"/>
      <c r="B308" s="30"/>
    </row>
    <row r="309">
      <c r="A309" s="30"/>
      <c r="B309" s="30"/>
    </row>
    <row r="310">
      <c r="A310" s="30"/>
      <c r="B310" s="30"/>
    </row>
    <row r="311">
      <c r="A311" s="30"/>
      <c r="B311" s="30"/>
    </row>
    <row r="312">
      <c r="A312" s="30"/>
      <c r="B312" s="30"/>
    </row>
    <row r="313">
      <c r="A313" s="30"/>
      <c r="B313" s="30"/>
    </row>
    <row r="314">
      <c r="A314" s="30"/>
      <c r="B314" s="30"/>
    </row>
    <row r="315">
      <c r="A315" s="30"/>
      <c r="B315" s="30"/>
    </row>
    <row r="316">
      <c r="A316" s="30"/>
      <c r="B316" s="30"/>
    </row>
    <row r="317">
      <c r="A317" s="30"/>
      <c r="B317" s="30"/>
    </row>
    <row r="318">
      <c r="A318" s="30"/>
      <c r="B318" s="30"/>
    </row>
    <row r="319">
      <c r="A319" s="30"/>
      <c r="B319" s="30"/>
    </row>
    <row r="320">
      <c r="A320" s="30"/>
      <c r="B320" s="30"/>
    </row>
    <row r="321">
      <c r="A321" s="30"/>
      <c r="B321" s="30"/>
    </row>
    <row r="322">
      <c r="A322" s="30"/>
      <c r="B322" s="30"/>
    </row>
    <row r="323">
      <c r="A323" s="30"/>
      <c r="B323" s="30"/>
    </row>
    <row r="324">
      <c r="A324" s="30"/>
      <c r="B324" s="30"/>
    </row>
    <row r="325">
      <c r="A325" s="30"/>
      <c r="B325" s="30"/>
    </row>
    <row r="326">
      <c r="A326" s="30"/>
      <c r="B326" s="30"/>
    </row>
    <row r="327">
      <c r="A327" s="30"/>
      <c r="B327" s="30"/>
    </row>
    <row r="328">
      <c r="A328" s="30"/>
      <c r="B328" s="30"/>
    </row>
    <row r="329">
      <c r="A329" s="30"/>
      <c r="B329" s="30"/>
    </row>
    <row r="330">
      <c r="A330" s="30"/>
      <c r="B330" s="30"/>
    </row>
    <row r="331">
      <c r="A331" s="30"/>
      <c r="B331" s="30"/>
    </row>
    <row r="332">
      <c r="A332" s="30"/>
      <c r="B332" s="30"/>
    </row>
    <row r="333">
      <c r="A333" s="30"/>
      <c r="B333" s="30"/>
    </row>
    <row r="334">
      <c r="A334" s="30"/>
      <c r="B334" s="30"/>
    </row>
    <row r="335">
      <c r="A335" s="30"/>
      <c r="B335" s="30"/>
    </row>
    <row r="336">
      <c r="A336" s="30"/>
      <c r="B336" s="30"/>
    </row>
    <row r="337">
      <c r="A337" s="30"/>
      <c r="B337" s="30"/>
    </row>
    <row r="338">
      <c r="A338" s="30"/>
      <c r="B338" s="30"/>
    </row>
    <row r="339">
      <c r="A339" s="30"/>
      <c r="B339" s="30"/>
    </row>
    <row r="340">
      <c r="A340" s="30"/>
      <c r="B340" s="30"/>
    </row>
    <row r="341">
      <c r="A341" s="30"/>
      <c r="B341" s="30"/>
    </row>
    <row r="342">
      <c r="A342" s="30"/>
      <c r="B342" s="30"/>
    </row>
    <row r="343">
      <c r="A343" s="30"/>
      <c r="B343" s="30"/>
    </row>
    <row r="344">
      <c r="A344" s="30"/>
      <c r="B344" s="30"/>
    </row>
    <row r="345">
      <c r="A345" s="30"/>
      <c r="B345" s="30"/>
    </row>
    <row r="346">
      <c r="A346" s="30"/>
      <c r="B346" s="30"/>
    </row>
    <row r="347">
      <c r="A347" s="30"/>
      <c r="B347" s="30"/>
    </row>
    <row r="348">
      <c r="A348" s="30"/>
      <c r="B348" s="30"/>
    </row>
    <row r="349">
      <c r="A349" s="30"/>
      <c r="B349" s="30"/>
    </row>
    <row r="350">
      <c r="A350" s="30"/>
      <c r="B350" s="30"/>
    </row>
    <row r="351">
      <c r="A351" s="30"/>
      <c r="B351" s="30"/>
    </row>
    <row r="352">
      <c r="A352" s="30"/>
      <c r="B352" s="30"/>
    </row>
    <row r="353">
      <c r="A353" s="30"/>
      <c r="B353" s="30"/>
    </row>
    <row r="354">
      <c r="A354" s="30"/>
      <c r="B354" s="30"/>
    </row>
    <row r="355">
      <c r="A355" s="30"/>
      <c r="B355" s="30"/>
    </row>
    <row r="356">
      <c r="A356" s="30"/>
      <c r="B356" s="30"/>
    </row>
    <row r="357">
      <c r="A357" s="30"/>
      <c r="B357" s="30"/>
    </row>
    <row r="358">
      <c r="A358" s="30"/>
      <c r="B358" s="30"/>
    </row>
    <row r="359">
      <c r="A359" s="30"/>
      <c r="B359" s="30"/>
    </row>
    <row r="360">
      <c r="A360" s="30"/>
      <c r="B360" s="30"/>
    </row>
    <row r="361">
      <c r="A361" s="30"/>
      <c r="B361" s="30"/>
    </row>
    <row r="362">
      <c r="A362" s="30"/>
      <c r="B362" s="30"/>
    </row>
    <row r="363">
      <c r="A363" s="30"/>
      <c r="B363" s="30"/>
    </row>
    <row r="364">
      <c r="A364" s="30"/>
      <c r="B364" s="30"/>
    </row>
    <row r="365">
      <c r="A365" s="30"/>
      <c r="B365" s="30"/>
    </row>
    <row r="366">
      <c r="A366" s="30"/>
      <c r="B366" s="30"/>
    </row>
    <row r="367">
      <c r="A367" s="30"/>
      <c r="B367" s="30"/>
    </row>
    <row r="368">
      <c r="A368" s="30"/>
      <c r="B368" s="30"/>
    </row>
    <row r="369">
      <c r="A369" s="30"/>
      <c r="B369" s="30"/>
    </row>
    <row r="370">
      <c r="A370" s="30"/>
      <c r="B370" s="30"/>
    </row>
    <row r="371">
      <c r="A371" s="30"/>
      <c r="B371" s="30"/>
    </row>
    <row r="372">
      <c r="A372" s="30"/>
      <c r="B372" s="30"/>
    </row>
    <row r="373">
      <c r="A373" s="30"/>
      <c r="B373" s="30"/>
    </row>
    <row r="374">
      <c r="A374" s="30"/>
      <c r="B374" s="30"/>
    </row>
    <row r="375">
      <c r="A375" s="30"/>
      <c r="B375" s="30"/>
    </row>
    <row r="376">
      <c r="A376" s="30"/>
      <c r="B376" s="30"/>
    </row>
    <row r="377">
      <c r="A377" s="30"/>
      <c r="B377" s="30"/>
    </row>
    <row r="378">
      <c r="A378" s="30"/>
      <c r="B378" s="30"/>
    </row>
    <row r="379">
      <c r="A379" s="30"/>
      <c r="B379" s="30"/>
    </row>
    <row r="380">
      <c r="A380" s="30"/>
      <c r="B380" s="30"/>
    </row>
    <row r="381">
      <c r="A381" s="30"/>
      <c r="B381" s="30"/>
    </row>
    <row r="382">
      <c r="A382" s="30"/>
      <c r="B382" s="30"/>
    </row>
    <row r="383">
      <c r="A383" s="30"/>
      <c r="B383" s="30"/>
    </row>
    <row r="384">
      <c r="A384" s="30"/>
      <c r="B384" s="30"/>
    </row>
    <row r="385">
      <c r="A385" s="30"/>
      <c r="B385" s="30"/>
    </row>
    <row r="386">
      <c r="A386" s="30"/>
      <c r="B386" s="30"/>
    </row>
    <row r="387">
      <c r="A387" s="30"/>
      <c r="B387" s="30"/>
    </row>
    <row r="388">
      <c r="A388" s="30"/>
      <c r="B388" s="30"/>
    </row>
    <row r="389">
      <c r="A389" s="30"/>
      <c r="B389" s="30"/>
    </row>
    <row r="390">
      <c r="A390" s="30"/>
      <c r="B390" s="30"/>
    </row>
    <row r="391">
      <c r="A391" s="30"/>
      <c r="B391" s="30"/>
    </row>
    <row r="392">
      <c r="A392" s="30"/>
      <c r="B392" s="30"/>
    </row>
    <row r="393">
      <c r="A393" s="30"/>
      <c r="B393" s="30"/>
    </row>
    <row r="394">
      <c r="A394" s="30"/>
      <c r="B394" s="30"/>
    </row>
    <row r="395">
      <c r="A395" s="30"/>
      <c r="B395" s="30"/>
    </row>
    <row r="396">
      <c r="A396" s="30"/>
      <c r="B396" s="30"/>
    </row>
    <row r="397">
      <c r="A397" s="30"/>
      <c r="B397" s="30"/>
    </row>
    <row r="398">
      <c r="A398" s="30"/>
      <c r="B398" s="30"/>
    </row>
    <row r="399">
      <c r="A399" s="30"/>
      <c r="B399" s="30"/>
    </row>
    <row r="400">
      <c r="A400" s="30"/>
      <c r="B400" s="30"/>
    </row>
    <row r="401">
      <c r="A401" s="30"/>
      <c r="B401" s="30"/>
    </row>
    <row r="402">
      <c r="A402" s="30"/>
      <c r="B402" s="30"/>
    </row>
    <row r="403">
      <c r="A403" s="30"/>
      <c r="B403" s="30"/>
    </row>
    <row r="404">
      <c r="A404" s="30"/>
      <c r="B404" s="30"/>
    </row>
    <row r="405">
      <c r="A405" s="30"/>
      <c r="B405" s="30"/>
    </row>
    <row r="406">
      <c r="A406" s="30"/>
      <c r="B406" s="30"/>
    </row>
    <row r="407">
      <c r="A407" s="30"/>
      <c r="B407" s="30"/>
    </row>
    <row r="408">
      <c r="A408" s="30"/>
      <c r="B408" s="30"/>
    </row>
    <row r="409">
      <c r="A409" s="30"/>
      <c r="B409" s="30"/>
    </row>
    <row r="410">
      <c r="A410" s="30"/>
      <c r="B410" s="30"/>
    </row>
    <row r="411">
      <c r="A411" s="30"/>
      <c r="B411" s="30"/>
    </row>
    <row r="412">
      <c r="A412" s="30"/>
      <c r="B412" s="30"/>
    </row>
    <row r="413">
      <c r="A413" s="30"/>
      <c r="B413" s="30"/>
    </row>
    <row r="414">
      <c r="A414" s="30"/>
      <c r="B414" s="30"/>
    </row>
    <row r="415">
      <c r="A415" s="30"/>
      <c r="B415" s="30"/>
    </row>
    <row r="416">
      <c r="A416" s="30"/>
      <c r="B416" s="30"/>
    </row>
    <row r="417">
      <c r="A417" s="30"/>
      <c r="B417" s="30"/>
    </row>
    <row r="418">
      <c r="A418" s="30"/>
      <c r="B418" s="30"/>
    </row>
    <row r="419">
      <c r="A419" s="30"/>
      <c r="B419" s="30"/>
    </row>
    <row r="420">
      <c r="A420" s="30"/>
      <c r="B420" s="30"/>
    </row>
    <row r="421">
      <c r="A421" s="30"/>
      <c r="B421" s="30"/>
    </row>
    <row r="422">
      <c r="A422" s="30"/>
      <c r="B422" s="30"/>
    </row>
    <row r="423">
      <c r="A423" s="30"/>
      <c r="B423" s="30"/>
    </row>
    <row r="424">
      <c r="A424" s="30"/>
      <c r="B424" s="30"/>
    </row>
    <row r="425">
      <c r="A425" s="30"/>
      <c r="B425" s="30"/>
    </row>
    <row r="426">
      <c r="A426" s="30"/>
      <c r="B426" s="30"/>
    </row>
    <row r="427">
      <c r="A427" s="30"/>
      <c r="B427" s="30"/>
    </row>
    <row r="428">
      <c r="A428" s="30"/>
      <c r="B428" s="30"/>
    </row>
    <row r="429">
      <c r="A429" s="30"/>
      <c r="B429" s="30"/>
    </row>
    <row r="430">
      <c r="A430" s="30"/>
      <c r="B430" s="30"/>
    </row>
    <row r="431">
      <c r="A431" s="30"/>
      <c r="B431" s="30"/>
    </row>
    <row r="432">
      <c r="A432" s="30"/>
      <c r="B432" s="30"/>
    </row>
    <row r="433">
      <c r="A433" s="30"/>
      <c r="B433" s="30"/>
    </row>
    <row r="434">
      <c r="A434" s="30"/>
      <c r="B434" s="30"/>
    </row>
    <row r="435">
      <c r="A435" s="30"/>
      <c r="B435" s="30"/>
    </row>
    <row r="436">
      <c r="A436" s="30"/>
      <c r="B436" s="30"/>
    </row>
    <row r="437">
      <c r="A437" s="30"/>
      <c r="B437" s="30"/>
    </row>
    <row r="438">
      <c r="A438" s="30"/>
      <c r="B438" s="30"/>
    </row>
    <row r="439">
      <c r="A439" s="30"/>
      <c r="B439" s="30"/>
    </row>
    <row r="440">
      <c r="A440" s="30"/>
      <c r="B440" s="30"/>
    </row>
    <row r="441">
      <c r="A441" s="30"/>
      <c r="B441" s="30"/>
    </row>
    <row r="442">
      <c r="A442" s="30"/>
      <c r="B442" s="30"/>
    </row>
    <row r="443">
      <c r="A443" s="30"/>
      <c r="B443" s="30"/>
    </row>
    <row r="444">
      <c r="A444" s="30"/>
      <c r="B444" s="30"/>
    </row>
    <row r="445">
      <c r="A445" s="30"/>
      <c r="B445" s="30"/>
    </row>
    <row r="446">
      <c r="A446" s="30"/>
      <c r="B446" s="30"/>
    </row>
    <row r="447">
      <c r="A447" s="30"/>
      <c r="B447" s="30"/>
    </row>
    <row r="448">
      <c r="A448" s="30"/>
      <c r="B448" s="30"/>
    </row>
    <row r="449">
      <c r="A449" s="30"/>
      <c r="B449" s="30"/>
    </row>
    <row r="450">
      <c r="A450" s="30"/>
      <c r="B450" s="30"/>
    </row>
    <row r="451">
      <c r="A451" s="30"/>
      <c r="B451" s="30"/>
    </row>
    <row r="452">
      <c r="A452" s="30"/>
      <c r="B452" s="30"/>
    </row>
    <row r="453">
      <c r="A453" s="30"/>
      <c r="B453" s="30"/>
    </row>
    <row r="454">
      <c r="A454" s="30"/>
      <c r="B454" s="30"/>
    </row>
    <row r="455">
      <c r="A455" s="30"/>
      <c r="B455" s="30"/>
    </row>
    <row r="456">
      <c r="A456" s="30"/>
      <c r="B456" s="30"/>
    </row>
    <row r="457">
      <c r="A457" s="30"/>
      <c r="B457" s="30"/>
    </row>
    <row r="458">
      <c r="A458" s="30"/>
      <c r="B458" s="30"/>
    </row>
    <row r="459">
      <c r="A459" s="30"/>
      <c r="B459" s="30"/>
    </row>
    <row r="460">
      <c r="A460" s="30"/>
      <c r="B460" s="30"/>
    </row>
    <row r="461">
      <c r="A461" s="30"/>
      <c r="B461" s="30"/>
    </row>
    <row r="462">
      <c r="A462" s="30"/>
      <c r="B462" s="30"/>
    </row>
    <row r="463">
      <c r="A463" s="30"/>
      <c r="B463" s="30"/>
    </row>
    <row r="464">
      <c r="A464" s="30"/>
      <c r="B464" s="30"/>
    </row>
    <row r="465">
      <c r="A465" s="30"/>
      <c r="B465" s="30"/>
    </row>
    <row r="466">
      <c r="A466" s="30"/>
      <c r="B466" s="30"/>
    </row>
    <row r="467">
      <c r="A467" s="30"/>
      <c r="B467" s="30"/>
    </row>
    <row r="468">
      <c r="A468" s="30"/>
      <c r="B468" s="30"/>
    </row>
    <row r="469">
      <c r="A469" s="30"/>
      <c r="B469" s="30"/>
    </row>
    <row r="470">
      <c r="A470" s="30"/>
      <c r="B470" s="30"/>
    </row>
    <row r="471">
      <c r="A471" s="30"/>
      <c r="B471" s="30"/>
    </row>
    <row r="472">
      <c r="A472" s="30"/>
      <c r="B472" s="30"/>
    </row>
    <row r="473">
      <c r="A473" s="30"/>
      <c r="B473" s="30"/>
    </row>
    <row r="474">
      <c r="A474" s="30"/>
      <c r="B474" s="30"/>
    </row>
    <row r="475">
      <c r="A475" s="30"/>
      <c r="B475" s="30"/>
    </row>
    <row r="476">
      <c r="A476" s="30"/>
      <c r="B476" s="30"/>
    </row>
    <row r="477">
      <c r="A477" s="30"/>
      <c r="B477" s="30"/>
    </row>
    <row r="478">
      <c r="A478" s="30"/>
      <c r="B478" s="30"/>
    </row>
    <row r="479">
      <c r="A479" s="30"/>
      <c r="B479" s="30"/>
    </row>
    <row r="480">
      <c r="A480" s="30"/>
      <c r="B480" s="30"/>
    </row>
    <row r="481">
      <c r="A481" s="30"/>
      <c r="B481" s="30"/>
    </row>
    <row r="482">
      <c r="A482" s="30"/>
      <c r="B482" s="30"/>
    </row>
    <row r="483">
      <c r="A483" s="30"/>
      <c r="B483" s="30"/>
    </row>
    <row r="484">
      <c r="A484" s="30"/>
      <c r="B484" s="30"/>
    </row>
    <row r="485">
      <c r="A485" s="30"/>
      <c r="B485" s="30"/>
    </row>
    <row r="486">
      <c r="A486" s="30"/>
      <c r="B486" s="30"/>
    </row>
    <row r="487">
      <c r="A487" s="30"/>
      <c r="B487" s="30"/>
    </row>
    <row r="488">
      <c r="A488" s="30"/>
      <c r="B488" s="30"/>
    </row>
    <row r="489">
      <c r="A489" s="30"/>
      <c r="B489" s="30"/>
    </row>
    <row r="490">
      <c r="A490" s="30"/>
      <c r="B490" s="30"/>
    </row>
    <row r="491">
      <c r="A491" s="30"/>
      <c r="B491" s="30"/>
    </row>
    <row r="492">
      <c r="A492" s="30"/>
      <c r="B492" s="30"/>
    </row>
    <row r="493">
      <c r="A493" s="30"/>
      <c r="B493" s="30"/>
    </row>
    <row r="494">
      <c r="A494" s="30"/>
      <c r="B494" s="30"/>
    </row>
    <row r="495">
      <c r="A495" s="30"/>
      <c r="B495" s="30"/>
    </row>
    <row r="496">
      <c r="A496" s="30"/>
      <c r="B496" s="30"/>
    </row>
    <row r="497">
      <c r="A497" s="30"/>
      <c r="B497" s="30"/>
    </row>
    <row r="498">
      <c r="A498" s="30"/>
      <c r="B498" s="30"/>
    </row>
    <row r="499">
      <c r="A499" s="30"/>
      <c r="B499" s="30"/>
    </row>
    <row r="500">
      <c r="A500" s="30"/>
      <c r="B500" s="30"/>
    </row>
    <row r="501">
      <c r="A501" s="30"/>
      <c r="B501" s="30"/>
    </row>
    <row r="502">
      <c r="A502" s="30"/>
      <c r="B502" s="30"/>
    </row>
    <row r="503">
      <c r="A503" s="30"/>
      <c r="B503" s="30"/>
    </row>
    <row r="504">
      <c r="A504" s="30"/>
      <c r="B504" s="30"/>
    </row>
    <row r="505">
      <c r="A505" s="30"/>
      <c r="B505" s="30"/>
    </row>
    <row r="506">
      <c r="A506" s="30"/>
      <c r="B506" s="30"/>
    </row>
    <row r="507">
      <c r="A507" s="30"/>
      <c r="B507" s="30"/>
    </row>
    <row r="508">
      <c r="A508" s="30"/>
      <c r="B508" s="30"/>
    </row>
    <row r="509">
      <c r="A509" s="30"/>
      <c r="B509" s="30"/>
    </row>
    <row r="510">
      <c r="A510" s="30"/>
      <c r="B510" s="30"/>
    </row>
    <row r="511">
      <c r="A511" s="30"/>
      <c r="B511" s="30"/>
    </row>
    <row r="512">
      <c r="A512" s="30"/>
      <c r="B512" s="30"/>
    </row>
    <row r="513">
      <c r="A513" s="30"/>
      <c r="B513" s="30"/>
    </row>
    <row r="514">
      <c r="A514" s="30"/>
      <c r="B514" s="30"/>
    </row>
    <row r="515">
      <c r="A515" s="30"/>
      <c r="B515" s="30"/>
    </row>
    <row r="516">
      <c r="A516" s="30"/>
      <c r="B516" s="30"/>
    </row>
    <row r="517">
      <c r="A517" s="30"/>
      <c r="B517" s="30"/>
    </row>
    <row r="518">
      <c r="A518" s="30"/>
      <c r="B518" s="30"/>
    </row>
    <row r="519">
      <c r="A519" s="30"/>
      <c r="B519" s="30"/>
    </row>
    <row r="520">
      <c r="A520" s="30"/>
      <c r="B520" s="30"/>
    </row>
    <row r="521">
      <c r="A521" s="30"/>
      <c r="B521" s="30"/>
    </row>
    <row r="522">
      <c r="A522" s="30"/>
      <c r="B522" s="30"/>
    </row>
    <row r="523">
      <c r="A523" s="30"/>
      <c r="B523" s="30"/>
    </row>
    <row r="524">
      <c r="A524" s="30"/>
      <c r="B524" s="30"/>
    </row>
    <row r="525">
      <c r="A525" s="30"/>
      <c r="B525" s="30"/>
    </row>
    <row r="526">
      <c r="A526" s="30"/>
      <c r="B526" s="30"/>
    </row>
    <row r="527">
      <c r="A527" s="30"/>
      <c r="B527" s="30"/>
    </row>
    <row r="528">
      <c r="A528" s="30"/>
      <c r="B528" s="30"/>
    </row>
    <row r="529">
      <c r="A529" s="30"/>
      <c r="B529" s="30"/>
    </row>
    <row r="530">
      <c r="A530" s="30"/>
      <c r="B530" s="30"/>
    </row>
    <row r="531">
      <c r="A531" s="30"/>
      <c r="B531" s="30"/>
    </row>
    <row r="532">
      <c r="A532" s="30"/>
      <c r="B532" s="30"/>
    </row>
    <row r="533">
      <c r="A533" s="30"/>
      <c r="B533" s="30"/>
    </row>
    <row r="534">
      <c r="A534" s="30"/>
      <c r="B534" s="30"/>
    </row>
    <row r="535">
      <c r="A535" s="30"/>
      <c r="B535" s="30"/>
    </row>
    <row r="536">
      <c r="A536" s="30"/>
      <c r="B536" s="30"/>
    </row>
    <row r="537">
      <c r="A537" s="30"/>
      <c r="B537" s="30"/>
    </row>
    <row r="538">
      <c r="A538" s="30"/>
      <c r="B538" s="30"/>
    </row>
    <row r="539">
      <c r="A539" s="30"/>
      <c r="B539" s="30"/>
    </row>
    <row r="540">
      <c r="A540" s="30"/>
      <c r="B540" s="30"/>
    </row>
    <row r="541">
      <c r="A541" s="30"/>
      <c r="B541" s="30"/>
    </row>
    <row r="542">
      <c r="A542" s="30"/>
      <c r="B542" s="30"/>
    </row>
    <row r="543">
      <c r="A543" s="30"/>
      <c r="B543" s="30"/>
    </row>
    <row r="544">
      <c r="A544" s="30"/>
      <c r="B544" s="30"/>
    </row>
    <row r="545">
      <c r="A545" s="30"/>
      <c r="B545" s="30"/>
    </row>
    <row r="546">
      <c r="A546" s="30"/>
      <c r="B546" s="30"/>
    </row>
    <row r="547">
      <c r="A547" s="30"/>
      <c r="B547" s="30"/>
    </row>
    <row r="548">
      <c r="A548" s="30"/>
      <c r="B548" s="30"/>
    </row>
    <row r="549">
      <c r="A549" s="30"/>
      <c r="B549" s="30"/>
    </row>
    <row r="550">
      <c r="A550" s="30"/>
      <c r="B550" s="30"/>
    </row>
    <row r="551">
      <c r="A551" s="30"/>
      <c r="B551" s="30"/>
    </row>
    <row r="552">
      <c r="A552" s="30"/>
      <c r="B552" s="30"/>
    </row>
    <row r="553">
      <c r="A553" s="30"/>
      <c r="B553" s="30"/>
    </row>
    <row r="554">
      <c r="A554" s="30"/>
      <c r="B554" s="30"/>
    </row>
    <row r="555">
      <c r="A555" s="30"/>
      <c r="B555" s="30"/>
    </row>
    <row r="556">
      <c r="A556" s="30"/>
      <c r="B556" s="30"/>
    </row>
    <row r="557">
      <c r="A557" s="30"/>
      <c r="B557" s="30"/>
    </row>
    <row r="558">
      <c r="A558" s="30"/>
      <c r="B558" s="30"/>
    </row>
    <row r="559">
      <c r="A559" s="30"/>
      <c r="B559" s="30"/>
    </row>
    <row r="560">
      <c r="A560" s="30"/>
      <c r="B560" s="30"/>
    </row>
    <row r="561">
      <c r="A561" s="30"/>
      <c r="B561" s="30"/>
    </row>
    <row r="562">
      <c r="A562" s="30"/>
      <c r="B562" s="30"/>
    </row>
    <row r="563">
      <c r="A563" s="30"/>
      <c r="B563" s="30"/>
    </row>
    <row r="564">
      <c r="A564" s="30"/>
      <c r="B564" s="30"/>
    </row>
    <row r="565">
      <c r="A565" s="30"/>
      <c r="B565" s="30"/>
    </row>
    <row r="566">
      <c r="A566" s="30"/>
      <c r="B566" s="30"/>
    </row>
    <row r="567">
      <c r="A567" s="30"/>
      <c r="B567" s="30"/>
    </row>
    <row r="568">
      <c r="A568" s="30"/>
      <c r="B568" s="30"/>
    </row>
    <row r="569">
      <c r="A569" s="30"/>
      <c r="B569" s="30"/>
    </row>
    <row r="570">
      <c r="A570" s="30"/>
      <c r="B570" s="30"/>
    </row>
    <row r="571">
      <c r="A571" s="30"/>
      <c r="B571" s="30"/>
    </row>
    <row r="572">
      <c r="A572" s="30"/>
      <c r="B572" s="30"/>
    </row>
    <row r="573">
      <c r="A573" s="30"/>
      <c r="B573" s="30"/>
    </row>
    <row r="574">
      <c r="A574" s="30"/>
      <c r="B574" s="30"/>
    </row>
    <row r="575">
      <c r="A575" s="30"/>
      <c r="B575" s="30"/>
    </row>
    <row r="576">
      <c r="A576" s="30"/>
      <c r="B576" s="30"/>
    </row>
    <row r="577">
      <c r="A577" s="30"/>
      <c r="B577" s="30"/>
    </row>
    <row r="578">
      <c r="A578" s="30"/>
      <c r="B578" s="30"/>
    </row>
    <row r="579">
      <c r="A579" s="30"/>
      <c r="B579" s="30"/>
    </row>
    <row r="580">
      <c r="A580" s="30"/>
      <c r="B580" s="30"/>
    </row>
    <row r="581">
      <c r="A581" s="30"/>
      <c r="B581" s="30"/>
    </row>
    <row r="582">
      <c r="A582" s="30"/>
      <c r="B582" s="30"/>
    </row>
    <row r="583">
      <c r="A583" s="30"/>
      <c r="B583" s="30"/>
    </row>
    <row r="584">
      <c r="A584" s="30"/>
      <c r="B584" s="30"/>
    </row>
    <row r="585">
      <c r="A585" s="30"/>
      <c r="B585" s="30"/>
    </row>
    <row r="586">
      <c r="A586" s="30"/>
      <c r="B586" s="30"/>
    </row>
    <row r="587">
      <c r="A587" s="30"/>
      <c r="B587" s="30"/>
    </row>
    <row r="588">
      <c r="A588" s="30"/>
      <c r="B588" s="30"/>
    </row>
    <row r="589">
      <c r="A589" s="30"/>
      <c r="B589" s="30"/>
    </row>
    <row r="590">
      <c r="A590" s="30"/>
      <c r="B590" s="30"/>
    </row>
    <row r="591">
      <c r="A591" s="30"/>
      <c r="B591" s="30"/>
    </row>
    <row r="592">
      <c r="A592" s="30"/>
      <c r="B592" s="30"/>
    </row>
    <row r="593">
      <c r="A593" s="30"/>
      <c r="B593" s="30"/>
    </row>
    <row r="594">
      <c r="A594" s="30"/>
      <c r="B594" s="30"/>
    </row>
    <row r="595">
      <c r="A595" s="30"/>
      <c r="B595" s="30"/>
    </row>
    <row r="596">
      <c r="A596" s="30"/>
      <c r="B596" s="30"/>
    </row>
    <row r="597">
      <c r="A597" s="30"/>
      <c r="B597" s="30"/>
    </row>
    <row r="598">
      <c r="A598" s="30"/>
      <c r="B598" s="30"/>
    </row>
    <row r="599">
      <c r="A599" s="30"/>
      <c r="B599" s="30"/>
    </row>
    <row r="600">
      <c r="A600" s="30"/>
      <c r="B600" s="30"/>
    </row>
    <row r="601">
      <c r="A601" s="30"/>
      <c r="B601" s="30"/>
    </row>
    <row r="602">
      <c r="A602" s="30"/>
      <c r="B602" s="30"/>
    </row>
    <row r="603">
      <c r="A603" s="30"/>
      <c r="B603" s="30"/>
    </row>
    <row r="604">
      <c r="A604" s="30"/>
      <c r="B604" s="30"/>
    </row>
    <row r="605">
      <c r="A605" s="30"/>
      <c r="B605" s="30"/>
    </row>
    <row r="606">
      <c r="A606" s="30"/>
      <c r="B606" s="30"/>
    </row>
    <row r="607">
      <c r="A607" s="30"/>
      <c r="B607" s="30"/>
    </row>
    <row r="608">
      <c r="A608" s="30"/>
      <c r="B608" s="30"/>
    </row>
    <row r="609">
      <c r="A609" s="30"/>
      <c r="B609" s="30"/>
    </row>
    <row r="610">
      <c r="A610" s="30"/>
      <c r="B610" s="30"/>
    </row>
    <row r="611">
      <c r="A611" s="30"/>
      <c r="B611" s="30"/>
    </row>
    <row r="612">
      <c r="A612" s="30"/>
      <c r="B612" s="30"/>
    </row>
    <row r="613">
      <c r="A613" s="30"/>
      <c r="B613" s="30"/>
    </row>
    <row r="614">
      <c r="A614" s="30"/>
      <c r="B614" s="30"/>
    </row>
    <row r="615">
      <c r="A615" s="30"/>
      <c r="B615" s="30"/>
    </row>
    <row r="616">
      <c r="A616" s="30"/>
      <c r="B616" s="30"/>
    </row>
    <row r="617">
      <c r="A617" s="30"/>
      <c r="B617" s="30"/>
    </row>
    <row r="618">
      <c r="A618" s="30"/>
      <c r="B618" s="30"/>
    </row>
    <row r="619">
      <c r="A619" s="30"/>
      <c r="B619" s="30"/>
    </row>
    <row r="620">
      <c r="A620" s="30"/>
      <c r="B620" s="30"/>
    </row>
    <row r="621">
      <c r="A621" s="30"/>
      <c r="B621" s="30"/>
    </row>
    <row r="622">
      <c r="A622" s="30"/>
      <c r="B622" s="30"/>
    </row>
    <row r="623">
      <c r="A623" s="30"/>
      <c r="B623" s="30"/>
    </row>
    <row r="624">
      <c r="A624" s="30"/>
      <c r="B624" s="30"/>
    </row>
    <row r="625">
      <c r="A625" s="30"/>
      <c r="B625" s="30"/>
    </row>
    <row r="626">
      <c r="A626" s="30"/>
      <c r="B626" s="30"/>
    </row>
    <row r="627">
      <c r="A627" s="30"/>
      <c r="B627" s="30"/>
    </row>
    <row r="628">
      <c r="A628" s="30"/>
      <c r="B628" s="30"/>
    </row>
    <row r="629">
      <c r="A629" s="30"/>
      <c r="B629" s="30"/>
    </row>
    <row r="630">
      <c r="A630" s="30"/>
      <c r="B630" s="30"/>
    </row>
    <row r="631">
      <c r="A631" s="30"/>
      <c r="B631" s="30"/>
    </row>
    <row r="632">
      <c r="A632" s="30"/>
      <c r="B632" s="30"/>
    </row>
    <row r="633">
      <c r="A633" s="30"/>
      <c r="B633" s="30"/>
    </row>
    <row r="634">
      <c r="A634" s="30"/>
      <c r="B634" s="30"/>
    </row>
    <row r="635">
      <c r="A635" s="30"/>
      <c r="B635" s="30"/>
    </row>
    <row r="636">
      <c r="A636" s="30"/>
      <c r="B636" s="30"/>
    </row>
    <row r="637">
      <c r="A637" s="30"/>
      <c r="B637" s="30"/>
    </row>
    <row r="638">
      <c r="A638" s="30"/>
      <c r="B638" s="30"/>
    </row>
    <row r="639">
      <c r="A639" s="30"/>
      <c r="B639" s="30"/>
    </row>
    <row r="640">
      <c r="A640" s="30"/>
      <c r="B640" s="30"/>
    </row>
    <row r="641">
      <c r="A641" s="30"/>
      <c r="B641" s="30"/>
    </row>
    <row r="642">
      <c r="A642" s="30"/>
      <c r="B642" s="30"/>
    </row>
    <row r="643">
      <c r="A643" s="30"/>
      <c r="B643" s="30"/>
    </row>
    <row r="644">
      <c r="A644" s="30"/>
      <c r="B644" s="30"/>
    </row>
    <row r="645">
      <c r="A645" s="30"/>
      <c r="B645" s="30"/>
    </row>
    <row r="646">
      <c r="A646" s="30"/>
      <c r="B646" s="30"/>
    </row>
    <row r="647">
      <c r="A647" s="30"/>
      <c r="B647" s="30"/>
    </row>
    <row r="648">
      <c r="A648" s="30"/>
      <c r="B648" s="30"/>
    </row>
    <row r="649">
      <c r="A649" s="30"/>
      <c r="B649" s="30"/>
    </row>
    <row r="650">
      <c r="A650" s="30"/>
      <c r="B650" s="30"/>
    </row>
    <row r="651">
      <c r="A651" s="30"/>
      <c r="B651" s="30"/>
    </row>
    <row r="652">
      <c r="A652" s="30"/>
      <c r="B652" s="30"/>
    </row>
    <row r="653">
      <c r="A653" s="30"/>
      <c r="B653" s="30"/>
    </row>
    <row r="654">
      <c r="A654" s="30"/>
      <c r="B654" s="30"/>
    </row>
    <row r="655">
      <c r="A655" s="30"/>
      <c r="B655" s="30"/>
    </row>
    <row r="656">
      <c r="A656" s="30"/>
      <c r="B656" s="30"/>
    </row>
    <row r="657">
      <c r="A657" s="30"/>
      <c r="B657" s="30"/>
    </row>
    <row r="658">
      <c r="A658" s="30"/>
      <c r="B658" s="30"/>
    </row>
    <row r="659">
      <c r="A659" s="30"/>
      <c r="B659" s="30"/>
    </row>
    <row r="660">
      <c r="A660" s="30"/>
      <c r="B660" s="30"/>
    </row>
    <row r="661">
      <c r="A661" s="30"/>
      <c r="B661" s="30"/>
    </row>
    <row r="662">
      <c r="A662" s="30"/>
      <c r="B662" s="30"/>
    </row>
    <row r="663">
      <c r="A663" s="30"/>
      <c r="B663" s="30"/>
    </row>
    <row r="664">
      <c r="A664" s="30"/>
      <c r="B664" s="30"/>
    </row>
    <row r="665">
      <c r="A665" s="30"/>
      <c r="B665" s="30"/>
    </row>
    <row r="666">
      <c r="A666" s="30"/>
      <c r="B666" s="30"/>
    </row>
    <row r="667">
      <c r="A667" s="30"/>
      <c r="B667" s="30"/>
    </row>
    <row r="668">
      <c r="A668" s="30"/>
      <c r="B668" s="30"/>
    </row>
    <row r="669">
      <c r="A669" s="30"/>
      <c r="B669" s="30"/>
    </row>
    <row r="670">
      <c r="A670" s="30"/>
      <c r="B670" s="30"/>
    </row>
    <row r="671">
      <c r="A671" s="30"/>
      <c r="B671" s="30"/>
    </row>
    <row r="672">
      <c r="A672" s="30"/>
      <c r="B672" s="30"/>
    </row>
    <row r="673">
      <c r="A673" s="30"/>
      <c r="B673" s="30"/>
    </row>
    <row r="674">
      <c r="A674" s="30"/>
      <c r="B674" s="30"/>
    </row>
    <row r="675">
      <c r="A675" s="30"/>
      <c r="B675" s="30"/>
    </row>
    <row r="676">
      <c r="A676" s="30"/>
      <c r="B676" s="30"/>
    </row>
    <row r="677">
      <c r="A677" s="30"/>
      <c r="B677" s="30"/>
    </row>
    <row r="678">
      <c r="A678" s="30"/>
      <c r="B678" s="30"/>
    </row>
    <row r="679">
      <c r="A679" s="30"/>
      <c r="B679" s="30"/>
    </row>
    <row r="680">
      <c r="A680" s="30"/>
      <c r="B680" s="30"/>
    </row>
    <row r="681">
      <c r="A681" s="30"/>
      <c r="B681" s="30"/>
    </row>
    <row r="682">
      <c r="A682" s="30"/>
      <c r="B682" s="30"/>
    </row>
    <row r="683">
      <c r="A683" s="30"/>
      <c r="B683" s="30"/>
    </row>
    <row r="684">
      <c r="A684" s="30"/>
      <c r="B684" s="30"/>
    </row>
    <row r="685">
      <c r="A685" s="30"/>
      <c r="B685" s="30"/>
    </row>
    <row r="686">
      <c r="A686" s="30"/>
      <c r="B686" s="30"/>
    </row>
    <row r="687">
      <c r="A687" s="30"/>
      <c r="B687" s="30"/>
    </row>
    <row r="688">
      <c r="A688" s="30"/>
      <c r="B688" s="30"/>
    </row>
    <row r="689">
      <c r="A689" s="30"/>
      <c r="B689" s="30"/>
    </row>
    <row r="690">
      <c r="A690" s="30"/>
      <c r="B690" s="30"/>
    </row>
    <row r="691">
      <c r="A691" s="30"/>
      <c r="B691" s="30"/>
    </row>
    <row r="692">
      <c r="A692" s="30"/>
      <c r="B692" s="30"/>
    </row>
    <row r="693">
      <c r="A693" s="30"/>
      <c r="B693" s="30"/>
    </row>
    <row r="694">
      <c r="A694" s="30"/>
      <c r="B694" s="30"/>
    </row>
    <row r="695">
      <c r="A695" s="30"/>
      <c r="B695" s="30"/>
    </row>
    <row r="696">
      <c r="A696" s="30"/>
      <c r="B696" s="30"/>
    </row>
    <row r="697">
      <c r="A697" s="30"/>
      <c r="B697" s="30"/>
    </row>
    <row r="698">
      <c r="A698" s="30"/>
      <c r="B698" s="30"/>
    </row>
    <row r="699">
      <c r="A699" s="30"/>
      <c r="B699" s="30"/>
    </row>
    <row r="700">
      <c r="A700" s="30"/>
      <c r="B700" s="30"/>
    </row>
    <row r="701">
      <c r="A701" s="30"/>
      <c r="B701" s="30"/>
    </row>
    <row r="702">
      <c r="A702" s="30"/>
      <c r="B702" s="30"/>
    </row>
    <row r="703">
      <c r="A703" s="30"/>
      <c r="B703" s="30"/>
    </row>
    <row r="704">
      <c r="A704" s="30"/>
      <c r="B704" s="30"/>
    </row>
    <row r="705">
      <c r="A705" s="30"/>
      <c r="B705" s="30"/>
    </row>
    <row r="706">
      <c r="A706" s="30"/>
      <c r="B706" s="30"/>
    </row>
    <row r="707">
      <c r="A707" s="30"/>
      <c r="B707" s="30"/>
    </row>
    <row r="708">
      <c r="A708" s="30"/>
      <c r="B708" s="30"/>
    </row>
    <row r="709">
      <c r="A709" s="30"/>
      <c r="B709" s="30"/>
    </row>
    <row r="710">
      <c r="A710" s="30"/>
      <c r="B710" s="30"/>
    </row>
    <row r="711">
      <c r="A711" s="30"/>
      <c r="B711" s="30"/>
    </row>
    <row r="712">
      <c r="A712" s="30"/>
      <c r="B712" s="30"/>
    </row>
    <row r="713">
      <c r="A713" s="30"/>
      <c r="B713" s="30"/>
    </row>
    <row r="714">
      <c r="A714" s="30"/>
      <c r="B714" s="30"/>
    </row>
    <row r="715">
      <c r="A715" s="30"/>
      <c r="B715" s="30"/>
    </row>
    <row r="716">
      <c r="A716" s="30"/>
      <c r="B716" s="30"/>
    </row>
    <row r="717">
      <c r="A717" s="30"/>
      <c r="B717" s="30"/>
    </row>
    <row r="718">
      <c r="A718" s="30"/>
      <c r="B718" s="30"/>
    </row>
    <row r="719">
      <c r="A719" s="30"/>
      <c r="B719" s="30"/>
    </row>
    <row r="720">
      <c r="A720" s="30"/>
      <c r="B720" s="30"/>
    </row>
    <row r="721">
      <c r="A721" s="30"/>
      <c r="B721" s="30"/>
    </row>
    <row r="722">
      <c r="A722" s="30"/>
      <c r="B722" s="30"/>
    </row>
    <row r="723">
      <c r="A723" s="30"/>
      <c r="B723" s="30"/>
    </row>
    <row r="724">
      <c r="A724" s="30"/>
      <c r="B724" s="30"/>
    </row>
    <row r="725">
      <c r="A725" s="30"/>
      <c r="B725" s="30"/>
    </row>
    <row r="726">
      <c r="A726" s="30"/>
      <c r="B726" s="30"/>
    </row>
    <row r="727">
      <c r="A727" s="30"/>
      <c r="B727" s="30"/>
    </row>
    <row r="728">
      <c r="A728" s="30"/>
      <c r="B728" s="30"/>
    </row>
    <row r="729">
      <c r="A729" s="30"/>
      <c r="B729" s="30"/>
    </row>
    <row r="730">
      <c r="A730" s="30"/>
      <c r="B730" s="30"/>
    </row>
    <row r="731">
      <c r="A731" s="30"/>
      <c r="B731" s="30"/>
    </row>
    <row r="732">
      <c r="A732" s="30"/>
      <c r="B732" s="30"/>
    </row>
    <row r="733">
      <c r="A733" s="30"/>
      <c r="B733" s="30"/>
    </row>
    <row r="734">
      <c r="A734" s="30"/>
      <c r="B734" s="30"/>
    </row>
    <row r="735">
      <c r="A735" s="30"/>
      <c r="B735" s="30"/>
    </row>
    <row r="736">
      <c r="A736" s="30"/>
      <c r="B736" s="30"/>
    </row>
    <row r="737">
      <c r="A737" s="30"/>
      <c r="B737" s="30"/>
    </row>
    <row r="738">
      <c r="A738" s="30"/>
      <c r="B738" s="30"/>
    </row>
    <row r="739">
      <c r="A739" s="30"/>
      <c r="B739" s="30"/>
    </row>
    <row r="740">
      <c r="A740" s="30"/>
      <c r="B740" s="30"/>
    </row>
    <row r="741">
      <c r="A741" s="30"/>
      <c r="B741" s="30"/>
    </row>
    <row r="742">
      <c r="A742" s="30"/>
      <c r="B742" s="30"/>
    </row>
    <row r="743">
      <c r="A743" s="30"/>
      <c r="B743" s="30"/>
    </row>
    <row r="744">
      <c r="A744" s="30"/>
      <c r="B744" s="30"/>
    </row>
    <row r="745">
      <c r="A745" s="30"/>
      <c r="B745" s="30"/>
    </row>
    <row r="746">
      <c r="A746" s="30"/>
      <c r="B746" s="30"/>
    </row>
    <row r="747">
      <c r="A747" s="30"/>
      <c r="B747" s="30"/>
    </row>
    <row r="748">
      <c r="A748" s="30"/>
      <c r="B748" s="30"/>
    </row>
    <row r="749">
      <c r="A749" s="30"/>
      <c r="B749" s="30"/>
    </row>
    <row r="750">
      <c r="A750" s="30"/>
      <c r="B750" s="30"/>
    </row>
    <row r="751">
      <c r="A751" s="30"/>
      <c r="B751" s="30"/>
    </row>
    <row r="752">
      <c r="A752" s="30"/>
      <c r="B752" s="30"/>
    </row>
    <row r="753">
      <c r="A753" s="30"/>
      <c r="B753" s="30"/>
    </row>
    <row r="754">
      <c r="A754" s="30"/>
      <c r="B754" s="30"/>
    </row>
    <row r="755">
      <c r="A755" s="30"/>
      <c r="B755" s="30"/>
    </row>
    <row r="756">
      <c r="A756" s="30"/>
      <c r="B756" s="30"/>
    </row>
    <row r="757">
      <c r="A757" s="30"/>
      <c r="B757" s="30"/>
    </row>
    <row r="758">
      <c r="A758" s="30"/>
      <c r="B758" s="30"/>
    </row>
    <row r="759">
      <c r="A759" s="30"/>
      <c r="B759" s="30"/>
    </row>
    <row r="760">
      <c r="A760" s="30"/>
      <c r="B760" s="30"/>
    </row>
    <row r="761">
      <c r="A761" s="30"/>
      <c r="B761" s="30"/>
    </row>
    <row r="762">
      <c r="A762" s="30"/>
      <c r="B762" s="30"/>
    </row>
    <row r="763">
      <c r="A763" s="30"/>
      <c r="B763" s="30"/>
    </row>
    <row r="764">
      <c r="A764" s="30"/>
      <c r="B764" s="30"/>
    </row>
    <row r="765">
      <c r="A765" s="30"/>
      <c r="B765" s="30"/>
    </row>
    <row r="766">
      <c r="A766" s="30"/>
      <c r="B766" s="30"/>
    </row>
    <row r="767">
      <c r="A767" s="30"/>
      <c r="B767" s="30"/>
    </row>
    <row r="768">
      <c r="A768" s="30"/>
      <c r="B768" s="30"/>
    </row>
    <row r="769">
      <c r="A769" s="30"/>
      <c r="B769" s="30"/>
    </row>
    <row r="770">
      <c r="A770" s="30"/>
      <c r="B770" s="30"/>
    </row>
    <row r="771">
      <c r="A771" s="30"/>
      <c r="B771" s="30"/>
    </row>
    <row r="772">
      <c r="A772" s="30"/>
      <c r="B772" s="30"/>
    </row>
    <row r="773">
      <c r="A773" s="30"/>
      <c r="B773" s="30"/>
    </row>
    <row r="774">
      <c r="A774" s="30"/>
      <c r="B774" s="30"/>
    </row>
    <row r="775">
      <c r="A775" s="30"/>
      <c r="B775" s="30"/>
    </row>
    <row r="776">
      <c r="A776" s="30"/>
      <c r="B776" s="30"/>
    </row>
    <row r="777">
      <c r="A777" s="30"/>
      <c r="B777" s="30"/>
    </row>
    <row r="778">
      <c r="A778" s="30"/>
      <c r="B778" s="30"/>
    </row>
    <row r="779">
      <c r="A779" s="30"/>
      <c r="B779" s="30"/>
    </row>
    <row r="780">
      <c r="A780" s="30"/>
      <c r="B780" s="30"/>
    </row>
    <row r="781">
      <c r="A781" s="30"/>
      <c r="B781" s="30"/>
    </row>
    <row r="782">
      <c r="A782" s="30"/>
      <c r="B782" s="30"/>
    </row>
    <row r="783">
      <c r="A783" s="30"/>
      <c r="B783" s="30"/>
    </row>
    <row r="784">
      <c r="A784" s="30"/>
      <c r="B784" s="30"/>
    </row>
    <row r="785">
      <c r="A785" s="30"/>
      <c r="B785" s="30"/>
    </row>
    <row r="786">
      <c r="A786" s="30"/>
      <c r="B786" s="30"/>
    </row>
    <row r="787">
      <c r="A787" s="30"/>
      <c r="B787" s="30"/>
    </row>
    <row r="788">
      <c r="A788" s="30"/>
      <c r="B788" s="30"/>
    </row>
    <row r="789">
      <c r="A789" s="30"/>
      <c r="B789" s="30"/>
    </row>
    <row r="790">
      <c r="A790" s="30"/>
      <c r="B790" s="30"/>
    </row>
    <row r="791">
      <c r="A791" s="30"/>
      <c r="B791" s="30"/>
    </row>
    <row r="792">
      <c r="A792" s="30"/>
      <c r="B792" s="30"/>
    </row>
    <row r="793">
      <c r="A793" s="30"/>
      <c r="B793" s="30"/>
    </row>
    <row r="794">
      <c r="A794" s="30"/>
      <c r="B794" s="30"/>
    </row>
    <row r="795">
      <c r="A795" s="30"/>
      <c r="B795" s="30"/>
    </row>
    <row r="796">
      <c r="A796" s="30"/>
      <c r="B796" s="30"/>
    </row>
    <row r="797">
      <c r="A797" s="30"/>
      <c r="B797" s="30"/>
    </row>
    <row r="798">
      <c r="A798" s="30"/>
      <c r="B798" s="30"/>
    </row>
    <row r="799">
      <c r="A799" s="30"/>
      <c r="B799" s="30"/>
    </row>
    <row r="800">
      <c r="A800" s="30"/>
      <c r="B800" s="30"/>
    </row>
    <row r="801">
      <c r="A801" s="30"/>
      <c r="B801" s="30"/>
    </row>
    <row r="802">
      <c r="A802" s="30"/>
      <c r="B802" s="30"/>
    </row>
    <row r="803">
      <c r="A803" s="30"/>
      <c r="B803" s="30"/>
    </row>
    <row r="804">
      <c r="A804" s="30"/>
      <c r="B804" s="30"/>
    </row>
    <row r="805">
      <c r="A805" s="30"/>
      <c r="B805" s="30"/>
    </row>
    <row r="806">
      <c r="A806" s="30"/>
      <c r="B806" s="30"/>
    </row>
    <row r="807">
      <c r="A807" s="30"/>
      <c r="B807" s="30"/>
    </row>
    <row r="808">
      <c r="A808" s="30"/>
      <c r="B808" s="30"/>
    </row>
    <row r="809">
      <c r="A809" s="30"/>
      <c r="B809" s="30"/>
    </row>
    <row r="810">
      <c r="A810" s="30"/>
      <c r="B810" s="30"/>
    </row>
    <row r="811">
      <c r="A811" s="30"/>
      <c r="B811" s="30"/>
    </row>
    <row r="812">
      <c r="A812" s="30"/>
      <c r="B812" s="30"/>
    </row>
    <row r="813">
      <c r="A813" s="30"/>
      <c r="B813" s="30"/>
    </row>
    <row r="814">
      <c r="A814" s="30"/>
      <c r="B814" s="30"/>
    </row>
    <row r="815">
      <c r="A815" s="30"/>
      <c r="B815" s="30"/>
    </row>
    <row r="816">
      <c r="A816" s="30"/>
      <c r="B816" s="30"/>
    </row>
    <row r="817">
      <c r="A817" s="30"/>
      <c r="B817" s="30"/>
    </row>
    <row r="818">
      <c r="A818" s="30"/>
      <c r="B818" s="30"/>
    </row>
    <row r="819">
      <c r="A819" s="30"/>
      <c r="B819" s="30"/>
    </row>
    <row r="820">
      <c r="A820" s="30"/>
      <c r="B820" s="30"/>
    </row>
    <row r="821">
      <c r="A821" s="30"/>
      <c r="B821" s="30"/>
    </row>
    <row r="822">
      <c r="A822" s="30"/>
      <c r="B822" s="30"/>
    </row>
    <row r="823">
      <c r="A823" s="30"/>
      <c r="B823" s="30"/>
    </row>
    <row r="824">
      <c r="A824" s="30"/>
      <c r="B824" s="30"/>
    </row>
    <row r="825">
      <c r="A825" s="30"/>
      <c r="B825" s="30"/>
    </row>
    <row r="826">
      <c r="A826" s="30"/>
      <c r="B826" s="30"/>
    </row>
    <row r="827">
      <c r="A827" s="30"/>
      <c r="B827" s="30"/>
    </row>
    <row r="828">
      <c r="A828" s="30"/>
      <c r="B828" s="30"/>
    </row>
    <row r="829">
      <c r="A829" s="30"/>
      <c r="B829" s="30"/>
    </row>
    <row r="830">
      <c r="A830" s="30"/>
      <c r="B830" s="30"/>
    </row>
    <row r="831">
      <c r="A831" s="30"/>
      <c r="B831" s="30"/>
    </row>
    <row r="832">
      <c r="A832" s="30"/>
      <c r="B832" s="30"/>
    </row>
    <row r="833">
      <c r="A833" s="30"/>
      <c r="B833" s="30"/>
    </row>
    <row r="834">
      <c r="A834" s="30"/>
      <c r="B834" s="30"/>
    </row>
    <row r="835">
      <c r="A835" s="30"/>
      <c r="B835" s="30"/>
    </row>
    <row r="836">
      <c r="A836" s="30"/>
      <c r="B836" s="30"/>
    </row>
    <row r="837">
      <c r="A837" s="30"/>
      <c r="B837" s="30"/>
    </row>
    <row r="838">
      <c r="A838" s="30"/>
      <c r="B838" s="30"/>
    </row>
    <row r="839">
      <c r="A839" s="30"/>
      <c r="B839" s="30"/>
    </row>
    <row r="840">
      <c r="A840" s="30"/>
      <c r="B840" s="30"/>
    </row>
    <row r="841">
      <c r="A841" s="30"/>
      <c r="B841" s="30"/>
    </row>
    <row r="842">
      <c r="A842" s="30"/>
      <c r="B842" s="30"/>
    </row>
    <row r="843">
      <c r="A843" s="30"/>
      <c r="B843" s="30"/>
    </row>
    <row r="844">
      <c r="A844" s="30"/>
      <c r="B844" s="30"/>
    </row>
    <row r="845">
      <c r="A845" s="30"/>
      <c r="B845" s="30"/>
    </row>
    <row r="846">
      <c r="A846" s="30"/>
      <c r="B846" s="30"/>
    </row>
    <row r="847">
      <c r="A847" s="30"/>
      <c r="B847" s="30"/>
    </row>
    <row r="848">
      <c r="A848" s="30"/>
      <c r="B848" s="30"/>
    </row>
    <row r="849">
      <c r="A849" s="30"/>
      <c r="B849" s="30"/>
    </row>
    <row r="850">
      <c r="A850" s="30"/>
      <c r="B850" s="30"/>
    </row>
    <row r="851">
      <c r="A851" s="30"/>
      <c r="B851" s="30"/>
    </row>
    <row r="852">
      <c r="A852" s="30"/>
      <c r="B852" s="30"/>
    </row>
    <row r="853">
      <c r="A853" s="30"/>
      <c r="B853" s="30"/>
    </row>
    <row r="854">
      <c r="A854" s="30"/>
      <c r="B854" s="30"/>
    </row>
    <row r="855">
      <c r="A855" s="30"/>
      <c r="B855" s="30"/>
    </row>
    <row r="856">
      <c r="A856" s="30"/>
      <c r="B856" s="30"/>
    </row>
    <row r="857">
      <c r="A857" s="30"/>
      <c r="B857" s="30"/>
    </row>
    <row r="858">
      <c r="A858" s="30"/>
      <c r="B858" s="30"/>
    </row>
    <row r="859">
      <c r="A859" s="30"/>
      <c r="B859" s="30"/>
    </row>
    <row r="860">
      <c r="A860" s="30"/>
      <c r="B860" s="30"/>
    </row>
    <row r="861">
      <c r="A861" s="30"/>
      <c r="B861" s="30"/>
    </row>
    <row r="862">
      <c r="A862" s="30"/>
      <c r="B862" s="30"/>
    </row>
    <row r="863">
      <c r="A863" s="30"/>
      <c r="B863" s="30"/>
    </row>
    <row r="864">
      <c r="A864" s="30"/>
      <c r="B864" s="30"/>
    </row>
    <row r="865">
      <c r="A865" s="30"/>
      <c r="B865" s="30"/>
    </row>
    <row r="866">
      <c r="A866" s="30"/>
      <c r="B866" s="30"/>
    </row>
    <row r="867">
      <c r="A867" s="30"/>
      <c r="B867" s="30"/>
    </row>
    <row r="868">
      <c r="A868" s="30"/>
      <c r="B868" s="30"/>
    </row>
    <row r="869">
      <c r="A869" s="30"/>
      <c r="B869" s="30"/>
    </row>
    <row r="870">
      <c r="A870" s="30"/>
      <c r="B870" s="30"/>
    </row>
    <row r="871">
      <c r="A871" s="30"/>
      <c r="B871" s="30"/>
    </row>
    <row r="872">
      <c r="A872" s="30"/>
      <c r="B872" s="30"/>
    </row>
    <row r="873">
      <c r="A873" s="30"/>
      <c r="B873" s="30"/>
    </row>
    <row r="874">
      <c r="A874" s="30"/>
      <c r="B874" s="30"/>
    </row>
    <row r="875">
      <c r="A875" s="30"/>
      <c r="B875" s="30"/>
    </row>
    <row r="876">
      <c r="A876" s="30"/>
      <c r="B876" s="30"/>
    </row>
    <row r="877">
      <c r="A877" s="30"/>
      <c r="B877" s="30"/>
    </row>
    <row r="878">
      <c r="A878" s="30"/>
      <c r="B878" s="30"/>
    </row>
    <row r="879">
      <c r="A879" s="30"/>
      <c r="B879" s="30"/>
    </row>
    <row r="880">
      <c r="A880" s="30"/>
      <c r="B880" s="30"/>
    </row>
    <row r="881">
      <c r="A881" s="30"/>
      <c r="B881" s="30"/>
    </row>
    <row r="882">
      <c r="A882" s="30"/>
      <c r="B882" s="30"/>
    </row>
    <row r="883">
      <c r="A883" s="30"/>
      <c r="B883" s="30"/>
    </row>
    <row r="884">
      <c r="A884" s="30"/>
      <c r="B884" s="30"/>
    </row>
    <row r="885">
      <c r="A885" s="30"/>
      <c r="B885" s="30"/>
    </row>
    <row r="886">
      <c r="A886" s="30"/>
      <c r="B886" s="30"/>
    </row>
    <row r="887">
      <c r="A887" s="30"/>
      <c r="B887" s="30"/>
    </row>
    <row r="888">
      <c r="A888" s="30"/>
      <c r="B888" s="30"/>
    </row>
    <row r="889">
      <c r="A889" s="30"/>
      <c r="B889" s="30"/>
    </row>
    <row r="890">
      <c r="A890" s="30"/>
      <c r="B890" s="30"/>
    </row>
    <row r="891">
      <c r="A891" s="30"/>
      <c r="B891" s="30"/>
    </row>
    <row r="892">
      <c r="A892" s="30"/>
      <c r="B892" s="30"/>
    </row>
    <row r="893">
      <c r="A893" s="30"/>
      <c r="B893" s="30"/>
    </row>
    <row r="894">
      <c r="A894" s="30"/>
      <c r="B894" s="30"/>
    </row>
    <row r="895">
      <c r="A895" s="30"/>
      <c r="B895" s="30"/>
    </row>
    <row r="896">
      <c r="A896" s="30"/>
      <c r="B896" s="30"/>
    </row>
    <row r="897">
      <c r="A897" s="30"/>
      <c r="B897" s="30"/>
    </row>
    <row r="898">
      <c r="A898" s="30"/>
      <c r="B898" s="30"/>
    </row>
    <row r="899">
      <c r="A899" s="30"/>
      <c r="B899" s="30"/>
    </row>
    <row r="900">
      <c r="A900" s="30"/>
      <c r="B900" s="30"/>
    </row>
    <row r="901">
      <c r="A901" s="30"/>
      <c r="B901" s="30"/>
    </row>
    <row r="902">
      <c r="A902" s="30"/>
      <c r="B902" s="30"/>
    </row>
    <row r="903">
      <c r="A903" s="30"/>
      <c r="B903" s="30"/>
    </row>
    <row r="904">
      <c r="A904" s="30"/>
      <c r="B904" s="30"/>
    </row>
    <row r="905">
      <c r="A905" s="30"/>
      <c r="B905" s="30"/>
    </row>
    <row r="906">
      <c r="A906" s="30"/>
      <c r="B906" s="30"/>
    </row>
    <row r="907">
      <c r="A907" s="30"/>
      <c r="B907" s="30"/>
    </row>
    <row r="908">
      <c r="A908" s="30"/>
      <c r="B908" s="30"/>
    </row>
    <row r="909">
      <c r="A909" s="30"/>
      <c r="B909" s="30"/>
    </row>
    <row r="910">
      <c r="A910" s="30"/>
      <c r="B910" s="30"/>
    </row>
    <row r="911">
      <c r="A911" s="30"/>
      <c r="B911" s="30"/>
    </row>
    <row r="912">
      <c r="A912" s="30"/>
      <c r="B912" s="30"/>
    </row>
    <row r="913">
      <c r="A913" s="30"/>
      <c r="B913" s="30"/>
    </row>
    <row r="914">
      <c r="A914" s="30"/>
      <c r="B914" s="30"/>
    </row>
    <row r="915">
      <c r="A915" s="30"/>
      <c r="B915" s="30"/>
    </row>
    <row r="916">
      <c r="A916" s="30"/>
      <c r="B916" s="30"/>
    </row>
    <row r="917">
      <c r="A917" s="30"/>
      <c r="B917" s="30"/>
    </row>
    <row r="918">
      <c r="A918" s="30"/>
      <c r="B918" s="30"/>
    </row>
    <row r="919">
      <c r="A919" s="30"/>
      <c r="B919" s="30"/>
    </row>
    <row r="920">
      <c r="A920" s="30"/>
      <c r="B920" s="30"/>
    </row>
    <row r="921">
      <c r="A921" s="30"/>
      <c r="B921" s="30"/>
    </row>
    <row r="922">
      <c r="A922" s="30"/>
      <c r="B922" s="30"/>
    </row>
    <row r="923">
      <c r="A923" s="30"/>
      <c r="B923" s="30"/>
    </row>
    <row r="924">
      <c r="A924" s="30"/>
      <c r="B924" s="30"/>
    </row>
    <row r="925">
      <c r="A925" s="30"/>
      <c r="B925" s="30"/>
    </row>
    <row r="926">
      <c r="A926" s="30"/>
      <c r="B926" s="30"/>
    </row>
    <row r="927">
      <c r="A927" s="30"/>
      <c r="B927" s="30"/>
    </row>
    <row r="928">
      <c r="A928" s="30"/>
      <c r="B928" s="30"/>
    </row>
    <row r="929">
      <c r="A929" s="30"/>
      <c r="B929" s="30"/>
    </row>
    <row r="930">
      <c r="A930" s="30"/>
      <c r="B930" s="30"/>
    </row>
    <row r="931">
      <c r="A931" s="30"/>
      <c r="B931" s="30"/>
    </row>
    <row r="932">
      <c r="A932" s="30"/>
      <c r="B932" s="30"/>
    </row>
    <row r="933">
      <c r="A933" s="30"/>
      <c r="B933" s="30"/>
    </row>
    <row r="934">
      <c r="A934" s="30"/>
      <c r="B934" s="30"/>
    </row>
    <row r="935">
      <c r="A935" s="30"/>
      <c r="B935" s="30"/>
    </row>
    <row r="936">
      <c r="A936" s="30"/>
      <c r="B936" s="30"/>
    </row>
    <row r="937">
      <c r="A937" s="30"/>
      <c r="B937" s="30"/>
    </row>
    <row r="938">
      <c r="A938" s="30"/>
      <c r="B938" s="30"/>
    </row>
    <row r="939">
      <c r="A939" s="30"/>
      <c r="B939" s="30"/>
    </row>
    <row r="940">
      <c r="A940" s="30"/>
      <c r="B940" s="30"/>
    </row>
    <row r="941">
      <c r="A941" s="30"/>
      <c r="B941" s="30"/>
    </row>
    <row r="942">
      <c r="A942" s="30"/>
      <c r="B942" s="30"/>
    </row>
    <row r="943">
      <c r="A943" s="30"/>
      <c r="B943" s="30"/>
    </row>
    <row r="944">
      <c r="A944" s="30"/>
      <c r="B944" s="30"/>
    </row>
    <row r="945">
      <c r="A945" s="30"/>
      <c r="B945" s="30"/>
    </row>
    <row r="946">
      <c r="A946" s="30"/>
      <c r="B946" s="30"/>
    </row>
    <row r="947">
      <c r="A947" s="30"/>
      <c r="B947" s="30"/>
    </row>
    <row r="948">
      <c r="A948" s="30"/>
      <c r="B948" s="30"/>
    </row>
    <row r="949">
      <c r="A949" s="30"/>
      <c r="B949" s="30"/>
    </row>
    <row r="950">
      <c r="A950" s="30"/>
      <c r="B950" s="30"/>
    </row>
    <row r="951">
      <c r="A951" s="30"/>
      <c r="B951" s="30"/>
    </row>
    <row r="952">
      <c r="A952" s="30"/>
      <c r="B952" s="30"/>
    </row>
    <row r="953">
      <c r="A953" s="30"/>
      <c r="B953" s="30"/>
    </row>
    <row r="954">
      <c r="A954" s="30"/>
      <c r="B954" s="30"/>
    </row>
    <row r="955">
      <c r="A955" s="30"/>
      <c r="B955" s="30"/>
    </row>
    <row r="956">
      <c r="A956" s="30"/>
      <c r="B956" s="30"/>
    </row>
    <row r="957">
      <c r="A957" s="30"/>
      <c r="B957" s="30"/>
    </row>
    <row r="958">
      <c r="A958" s="30"/>
      <c r="B958" s="30"/>
    </row>
    <row r="959">
      <c r="A959" s="30"/>
      <c r="B959" s="30"/>
    </row>
    <row r="960">
      <c r="A960" s="30"/>
      <c r="B960" s="30"/>
    </row>
    <row r="961">
      <c r="A961" s="30"/>
      <c r="B961" s="30"/>
    </row>
    <row r="962">
      <c r="A962" s="30"/>
      <c r="B962" s="30"/>
    </row>
    <row r="963">
      <c r="A963" s="30"/>
      <c r="B963" s="30"/>
    </row>
    <row r="964">
      <c r="A964" s="30"/>
      <c r="B964" s="30"/>
    </row>
    <row r="965">
      <c r="A965" s="30"/>
      <c r="B965" s="30"/>
    </row>
    <row r="966">
      <c r="A966" s="30"/>
      <c r="B966" s="30"/>
    </row>
    <row r="967">
      <c r="A967" s="30"/>
      <c r="B967" s="30"/>
    </row>
    <row r="968">
      <c r="A968" s="30"/>
      <c r="B968" s="30"/>
    </row>
    <row r="969">
      <c r="A969" s="30"/>
      <c r="B969" s="30"/>
    </row>
    <row r="970">
      <c r="A970" s="30"/>
      <c r="B970" s="30"/>
    </row>
    <row r="971">
      <c r="A971" s="30"/>
      <c r="B971" s="30"/>
    </row>
    <row r="972">
      <c r="A972" s="30"/>
      <c r="B972" s="30"/>
    </row>
    <row r="973">
      <c r="A973" s="30"/>
      <c r="B973" s="30"/>
    </row>
    <row r="974">
      <c r="A974" s="30"/>
      <c r="B974" s="30"/>
    </row>
    <row r="975">
      <c r="A975" s="30"/>
      <c r="B975" s="30"/>
    </row>
    <row r="976">
      <c r="A976" s="30"/>
      <c r="B976" s="30"/>
    </row>
    <row r="977">
      <c r="A977" s="30"/>
      <c r="B977" s="30"/>
    </row>
    <row r="978">
      <c r="A978" s="30"/>
      <c r="B978" s="30"/>
    </row>
    <row r="979">
      <c r="A979" s="30"/>
      <c r="B979" s="30"/>
    </row>
    <row r="980">
      <c r="A980" s="30"/>
      <c r="B980" s="30"/>
    </row>
    <row r="981">
      <c r="A981" s="30"/>
      <c r="B981" s="30"/>
    </row>
    <row r="982">
      <c r="A982" s="30"/>
      <c r="B982" s="30"/>
    </row>
    <row r="983">
      <c r="A983" s="30"/>
      <c r="B983" s="30"/>
    </row>
    <row r="984">
      <c r="A984" s="30"/>
      <c r="B984" s="30"/>
    </row>
    <row r="985">
      <c r="A985" s="30"/>
      <c r="B985" s="30"/>
    </row>
    <row r="986">
      <c r="A986" s="30"/>
      <c r="B986" s="30"/>
    </row>
    <row r="987">
      <c r="A987" s="30"/>
      <c r="B987" s="30"/>
    </row>
    <row r="988">
      <c r="A988" s="30"/>
      <c r="B988" s="30"/>
    </row>
    <row r="989">
      <c r="A989" s="30"/>
      <c r="B989" s="30"/>
    </row>
    <row r="990">
      <c r="A990" s="30"/>
      <c r="B990" s="30"/>
    </row>
    <row r="991">
      <c r="A991" s="30"/>
      <c r="B991" s="30"/>
    </row>
    <row r="992">
      <c r="A992" s="30"/>
      <c r="B992" s="30"/>
    </row>
    <row r="993">
      <c r="A993" s="30"/>
      <c r="B993" s="30"/>
    </row>
    <row r="994">
      <c r="A994" s="30"/>
      <c r="B994" s="30"/>
    </row>
    <row r="995">
      <c r="A995" s="30"/>
      <c r="B995" s="30"/>
    </row>
    <row r="996">
      <c r="A996" s="30"/>
      <c r="B996" s="30"/>
    </row>
    <row r="997">
      <c r="A997" s="30"/>
      <c r="B997" s="30"/>
    </row>
    <row r="998">
      <c r="A998" s="30"/>
      <c r="B998" s="30"/>
    </row>
    <row r="999">
      <c r="A999" s="30"/>
      <c r="B999" s="30"/>
    </row>
  </sheetData>
  <mergeCells count="2">
    <mergeCell ref="C2:C3"/>
    <mergeCell ref="C7:C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17.5"/>
    <col customWidth="1" min="8" max="8" width="21.5"/>
    <col customWidth="1" min="9" max="9" width="16.5"/>
    <col customWidth="1" min="10" max="10" width="24.5"/>
  </cols>
  <sheetData>
    <row r="6" ht="22.5" customHeight="1">
      <c r="G6" s="27" t="s">
        <v>19</v>
      </c>
      <c r="H6" s="27" t="s">
        <v>31</v>
      </c>
      <c r="I6" s="27" t="s">
        <v>34</v>
      </c>
      <c r="J6" s="27" t="s">
        <v>35</v>
      </c>
    </row>
    <row r="7" ht="22.5" customHeight="1">
      <c r="G7" s="31" t="s">
        <v>36</v>
      </c>
      <c r="H7" s="33">
        <v>500.0</v>
      </c>
      <c r="I7" s="33">
        <v>1060.0</v>
      </c>
      <c r="J7" s="33">
        <v>560.0</v>
      </c>
    </row>
    <row r="8" ht="22.5" customHeight="1">
      <c r="G8" s="31" t="s">
        <v>37</v>
      </c>
      <c r="H8" s="33">
        <v>350.0</v>
      </c>
      <c r="I8" s="33">
        <v>670.0</v>
      </c>
      <c r="J8" s="33">
        <v>320.0</v>
      </c>
    </row>
    <row r="9" ht="22.5" customHeight="1">
      <c r="G9" s="31" t="s">
        <v>55</v>
      </c>
      <c r="H9" s="33">
        <v>100.0</v>
      </c>
      <c r="I9" s="33">
        <v>245.0</v>
      </c>
      <c r="J9" s="33">
        <v>145.0</v>
      </c>
    </row>
    <row r="10" ht="22.5" customHeight="1">
      <c r="G10" s="31" t="s">
        <v>39</v>
      </c>
      <c r="H10" s="33">
        <v>500.0</v>
      </c>
      <c r="I10" s="33">
        <v>635.0</v>
      </c>
      <c r="J10" s="33">
        <v>135.0</v>
      </c>
    </row>
    <row r="11" ht="22.5" customHeight="1">
      <c r="G11" s="31" t="s">
        <v>50</v>
      </c>
      <c r="H11" s="33">
        <v>100.0</v>
      </c>
      <c r="I11" s="33">
        <v>105.0</v>
      </c>
      <c r="J11" s="33">
        <v>5.0</v>
      </c>
    </row>
    <row r="12" ht="22.5" customHeight="1">
      <c r="G12" s="31" t="s">
        <v>56</v>
      </c>
      <c r="H12" s="33">
        <v>50.0</v>
      </c>
      <c r="I12" s="33">
        <v>50.0</v>
      </c>
      <c r="J12" s="33">
        <v>0.0</v>
      </c>
    </row>
    <row r="13" ht="22.5" customHeight="1">
      <c r="G13" s="31" t="s">
        <v>42</v>
      </c>
      <c r="H13" s="33">
        <v>500.0</v>
      </c>
      <c r="I13" s="33">
        <v>490.0</v>
      </c>
      <c r="J13" s="33">
        <v>-10.0</v>
      </c>
    </row>
    <row r="14" ht="22.5" customHeight="1">
      <c r="G14" s="31" t="s">
        <v>51</v>
      </c>
      <c r="H14" s="33">
        <v>100.0</v>
      </c>
      <c r="I14" s="33">
        <v>80.0</v>
      </c>
      <c r="J14" s="33">
        <v>-20.0</v>
      </c>
    </row>
    <row r="15" ht="22.5" customHeight="1">
      <c r="G15" s="31" t="s">
        <v>38</v>
      </c>
      <c r="H15" s="33">
        <v>450.0</v>
      </c>
      <c r="I15" s="33">
        <v>425.0</v>
      </c>
      <c r="J15" s="33">
        <v>-25.0</v>
      </c>
    </row>
    <row r="16" ht="22.5" customHeight="1">
      <c r="G16" s="31" t="s">
        <v>53</v>
      </c>
      <c r="H16" s="33">
        <v>50.0</v>
      </c>
      <c r="I16" s="33">
        <v>0.0</v>
      </c>
      <c r="J16" s="33">
        <v>-50.0</v>
      </c>
    </row>
    <row r="17" ht="22.5" customHeight="1">
      <c r="G17" s="31" t="s">
        <v>47</v>
      </c>
      <c r="H17" s="33">
        <v>50.0</v>
      </c>
      <c r="I17" s="33">
        <v>0.0</v>
      </c>
      <c r="J17" s="33">
        <v>-50.0</v>
      </c>
    </row>
    <row r="18" ht="22.5" customHeight="1">
      <c r="G18" s="31" t="s">
        <v>40</v>
      </c>
      <c r="H18" s="33">
        <v>50.0</v>
      </c>
      <c r="I18" s="33">
        <v>0.0</v>
      </c>
      <c r="J18" s="33">
        <v>-50.0</v>
      </c>
    </row>
    <row r="19" ht="22.5" customHeight="1">
      <c r="G19" s="31" t="s">
        <v>57</v>
      </c>
      <c r="H19" s="33">
        <v>50.0</v>
      </c>
      <c r="I19" s="33">
        <v>0.0</v>
      </c>
      <c r="J19" s="33">
        <v>-50.0</v>
      </c>
    </row>
    <row r="20" ht="22.5" customHeight="1">
      <c r="G20" s="31" t="s">
        <v>54</v>
      </c>
      <c r="H20" s="33">
        <v>100.0</v>
      </c>
      <c r="I20" s="33">
        <v>15.0</v>
      </c>
      <c r="J20" s="33">
        <v>-85.0</v>
      </c>
    </row>
    <row r="21" ht="22.5" customHeight="1">
      <c r="G21" s="31" t="s">
        <v>52</v>
      </c>
      <c r="H21" s="33">
        <v>150.0</v>
      </c>
      <c r="I21" s="33">
        <v>30.0</v>
      </c>
      <c r="J21" s="33">
        <v>-120.0</v>
      </c>
    </row>
    <row r="22" ht="22.5" customHeight="1">
      <c r="G22" s="31" t="s">
        <v>43</v>
      </c>
      <c r="H22" s="33">
        <v>500.0</v>
      </c>
      <c r="I22" s="33">
        <v>380.0</v>
      </c>
      <c r="J22" s="33">
        <v>-120.0</v>
      </c>
    </row>
    <row r="23" ht="22.5" customHeight="1">
      <c r="G23" s="31" t="s">
        <v>45</v>
      </c>
      <c r="H23" s="33">
        <v>500.0</v>
      </c>
      <c r="I23" s="33">
        <v>360.0</v>
      </c>
      <c r="J23" s="33">
        <v>-140.0</v>
      </c>
    </row>
    <row r="24" ht="22.5" customHeight="1">
      <c r="G24" s="31" t="s">
        <v>41</v>
      </c>
      <c r="H24" s="33">
        <v>200.0</v>
      </c>
      <c r="I24" s="33">
        <v>10.0</v>
      </c>
      <c r="J24" s="33">
        <v>-190.0</v>
      </c>
    </row>
    <row r="25" ht="22.5" customHeight="1">
      <c r="G25" s="31" t="s">
        <v>49</v>
      </c>
      <c r="H25" s="33">
        <v>450.0</v>
      </c>
      <c r="I25" s="33">
        <v>245.0</v>
      </c>
      <c r="J25" s="33">
        <v>-205.0</v>
      </c>
    </row>
    <row r="26" ht="22.5" customHeight="1">
      <c r="G26" s="31" t="s">
        <v>48</v>
      </c>
      <c r="H26" s="33">
        <v>350.0</v>
      </c>
      <c r="I26" s="33">
        <v>120.0</v>
      </c>
      <c r="J26" s="33">
        <v>-230.0</v>
      </c>
    </row>
    <row r="27" ht="22.5" customHeight="1">
      <c r="G27" s="31" t="s">
        <v>46</v>
      </c>
      <c r="H27" s="33">
        <v>400.0</v>
      </c>
      <c r="I27" s="33">
        <v>155.0</v>
      </c>
      <c r="J27" s="33">
        <v>-245.0</v>
      </c>
    </row>
    <row r="28" ht="22.5" customHeight="1">
      <c r="G28" s="31" t="s">
        <v>44</v>
      </c>
      <c r="H28" s="33">
        <v>500.0</v>
      </c>
      <c r="I28" s="33">
        <v>195.0</v>
      </c>
      <c r="J28" s="33">
        <v>-305.0</v>
      </c>
    </row>
  </sheetData>
  <dataValidations>
    <dataValidation type="custom" allowBlank="1" showDropDown="1" sqref="H7:J28">
      <formula1>AND(ISNUMBER(H7),(NOT(OR(NOT(ISERROR(DATEVALUE(H7))), AND(ISNUMBER(H7), LEFT(CELL("format", H7))="D")))))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 ht="22.5" customHeight="1">
      <c r="A1" s="32" t="s">
        <v>26</v>
      </c>
      <c r="B1" s="32" t="s">
        <v>36</v>
      </c>
      <c r="C1" s="32" t="s">
        <v>37</v>
      </c>
      <c r="D1" s="32" t="s">
        <v>38</v>
      </c>
      <c r="E1" s="32" t="s">
        <v>39</v>
      </c>
      <c r="F1" s="32" t="s">
        <v>40</v>
      </c>
      <c r="G1" s="32" t="s">
        <v>41</v>
      </c>
      <c r="H1" s="32" t="s">
        <v>42</v>
      </c>
      <c r="I1" s="32" t="s">
        <v>43</v>
      </c>
      <c r="J1" s="32" t="s">
        <v>44</v>
      </c>
      <c r="K1" s="32" t="s">
        <v>45</v>
      </c>
      <c r="L1" s="32" t="s">
        <v>46</v>
      </c>
      <c r="M1" s="32" t="s">
        <v>47</v>
      </c>
      <c r="N1" s="32" t="s">
        <v>48</v>
      </c>
      <c r="O1" s="32" t="s">
        <v>49</v>
      </c>
      <c r="P1" s="32" t="s">
        <v>50</v>
      </c>
      <c r="Q1" s="32" t="s">
        <v>51</v>
      </c>
      <c r="R1" s="32" t="s">
        <v>52</v>
      </c>
      <c r="S1" s="32" t="s">
        <v>53</v>
      </c>
      <c r="T1" s="32" t="s">
        <v>54</v>
      </c>
      <c r="U1" s="32" t="s">
        <v>55</v>
      </c>
      <c r="V1" s="32" t="s">
        <v>56</v>
      </c>
      <c r="W1" s="32" t="s">
        <v>57</v>
      </c>
    </row>
    <row r="2" ht="22.5" customHeight="1">
      <c r="A2" s="34" t="s">
        <v>58</v>
      </c>
      <c r="B2" s="35">
        <v>50.0</v>
      </c>
      <c r="C2" s="35">
        <v>50.0</v>
      </c>
      <c r="D2" s="35">
        <v>50.0</v>
      </c>
      <c r="E2" s="35">
        <v>50.0</v>
      </c>
      <c r="F2" s="35">
        <v>50.0</v>
      </c>
      <c r="G2" s="35">
        <v>50.0</v>
      </c>
      <c r="H2" s="35">
        <v>50.0</v>
      </c>
      <c r="I2" s="35">
        <v>50.0</v>
      </c>
      <c r="J2" s="35">
        <v>50.0</v>
      </c>
      <c r="K2" s="35">
        <v>50.0</v>
      </c>
      <c r="L2" s="35">
        <v>50.0</v>
      </c>
      <c r="M2" s="35">
        <v>50.0</v>
      </c>
      <c r="N2" s="35">
        <v>0.0</v>
      </c>
      <c r="O2" s="35">
        <v>0.0</v>
      </c>
      <c r="P2" s="35">
        <v>0.0</v>
      </c>
      <c r="Q2" s="35">
        <v>0.0</v>
      </c>
      <c r="R2" s="35">
        <v>0.0</v>
      </c>
      <c r="S2" s="35">
        <v>0.0</v>
      </c>
      <c r="T2" s="35">
        <v>0.0</v>
      </c>
      <c r="U2" s="35">
        <v>0.0</v>
      </c>
      <c r="V2" s="35">
        <v>0.0</v>
      </c>
      <c r="W2" s="35">
        <v>0.0</v>
      </c>
    </row>
    <row r="3" ht="22.5" customHeight="1">
      <c r="A3" s="36" t="s">
        <v>59</v>
      </c>
      <c r="B3" s="37">
        <v>10.0</v>
      </c>
      <c r="C3" s="37">
        <v>30.0</v>
      </c>
      <c r="D3" s="37">
        <v>10.0</v>
      </c>
      <c r="E3" s="37">
        <v>30.0</v>
      </c>
      <c r="F3" s="37">
        <v>0.0</v>
      </c>
      <c r="G3" s="37">
        <v>10.0</v>
      </c>
      <c r="H3" s="37">
        <v>10.0</v>
      </c>
      <c r="I3" s="37">
        <v>0.0</v>
      </c>
      <c r="J3" s="37">
        <v>10.0</v>
      </c>
      <c r="K3" s="37">
        <v>0.0</v>
      </c>
      <c r="L3" s="37">
        <v>0.0</v>
      </c>
      <c r="M3" s="37">
        <v>0.0</v>
      </c>
      <c r="N3" s="37">
        <v>0.0</v>
      </c>
      <c r="O3" s="37">
        <v>0.0</v>
      </c>
      <c r="P3" s="37">
        <v>0.0</v>
      </c>
      <c r="Q3" s="37">
        <v>0.0</v>
      </c>
      <c r="R3" s="37">
        <v>0.0</v>
      </c>
      <c r="S3" s="37">
        <v>0.0</v>
      </c>
      <c r="T3" s="37">
        <v>0.0</v>
      </c>
      <c r="U3" s="37">
        <v>0.0</v>
      </c>
      <c r="V3" s="37">
        <v>0.0</v>
      </c>
      <c r="W3" s="37">
        <v>0.0</v>
      </c>
    </row>
    <row r="4" ht="22.5" customHeight="1">
      <c r="A4" s="34" t="s">
        <v>60</v>
      </c>
      <c r="B4" s="35">
        <v>50.0</v>
      </c>
      <c r="C4" s="35">
        <v>50.0</v>
      </c>
      <c r="D4" s="35">
        <v>50.0</v>
      </c>
      <c r="E4" s="35">
        <v>50.0</v>
      </c>
      <c r="F4" s="35">
        <v>0.0</v>
      </c>
      <c r="G4" s="35">
        <v>50.0</v>
      </c>
      <c r="H4" s="35">
        <v>50.0</v>
      </c>
      <c r="I4" s="35">
        <v>50.0</v>
      </c>
      <c r="J4" s="35">
        <v>50.0</v>
      </c>
      <c r="K4" s="35">
        <v>50.0</v>
      </c>
      <c r="L4" s="35">
        <v>50.0</v>
      </c>
      <c r="M4" s="35">
        <v>0.0</v>
      </c>
      <c r="N4" s="35">
        <v>50.0</v>
      </c>
      <c r="O4" s="35">
        <v>50.0</v>
      </c>
      <c r="P4" s="35">
        <v>0.0</v>
      </c>
      <c r="Q4" s="35">
        <v>0.0</v>
      </c>
      <c r="R4" s="35">
        <v>0.0</v>
      </c>
      <c r="S4" s="35">
        <v>0.0</v>
      </c>
      <c r="T4" s="35">
        <v>0.0</v>
      </c>
      <c r="U4" s="35">
        <v>0.0</v>
      </c>
      <c r="V4" s="35">
        <v>0.0</v>
      </c>
      <c r="W4" s="35">
        <v>0.0</v>
      </c>
    </row>
    <row r="5" ht="22.5" customHeight="1">
      <c r="A5" s="36" t="s">
        <v>61</v>
      </c>
      <c r="B5" s="37">
        <v>20.0</v>
      </c>
      <c r="C5" s="37">
        <v>80.0</v>
      </c>
      <c r="D5" s="37">
        <v>250.0</v>
      </c>
      <c r="E5" s="37">
        <v>10.0</v>
      </c>
      <c r="F5" s="37">
        <v>0.0</v>
      </c>
      <c r="G5" s="37">
        <v>0.0</v>
      </c>
      <c r="H5" s="37">
        <v>0.0</v>
      </c>
      <c r="I5" s="37">
        <v>110.0</v>
      </c>
      <c r="J5" s="37">
        <v>0.0</v>
      </c>
      <c r="K5" s="37">
        <v>0.0</v>
      </c>
      <c r="L5" s="37">
        <v>125.0</v>
      </c>
      <c r="M5" s="37">
        <v>0.0</v>
      </c>
      <c r="N5" s="37">
        <v>0.0</v>
      </c>
      <c r="O5" s="37">
        <v>0.0</v>
      </c>
      <c r="P5" s="37">
        <v>0.0</v>
      </c>
      <c r="Q5" s="37">
        <v>0.0</v>
      </c>
      <c r="R5" s="37">
        <v>0.0</v>
      </c>
      <c r="S5" s="37">
        <v>0.0</v>
      </c>
      <c r="T5" s="37">
        <v>0.0</v>
      </c>
      <c r="U5" s="37">
        <v>0.0</v>
      </c>
      <c r="V5" s="37">
        <v>0.0</v>
      </c>
      <c r="W5" s="37">
        <v>0.0</v>
      </c>
    </row>
    <row r="6" ht="22.5" customHeight="1">
      <c r="A6" s="34" t="s">
        <v>62</v>
      </c>
      <c r="B6" s="35">
        <v>50.0</v>
      </c>
      <c r="C6" s="35">
        <v>50.0</v>
      </c>
      <c r="D6" s="35">
        <v>50.0</v>
      </c>
      <c r="E6" s="35">
        <v>50.0</v>
      </c>
      <c r="F6" s="35">
        <v>0.0</v>
      </c>
      <c r="G6" s="35">
        <v>50.0</v>
      </c>
      <c r="H6" s="35">
        <v>50.0</v>
      </c>
      <c r="I6" s="35">
        <v>50.0</v>
      </c>
      <c r="J6" s="35">
        <v>50.0</v>
      </c>
      <c r="K6" s="35">
        <v>50.0</v>
      </c>
      <c r="L6" s="35">
        <v>50.0</v>
      </c>
      <c r="M6" s="35">
        <v>0.0</v>
      </c>
      <c r="N6" s="35">
        <v>50.0</v>
      </c>
      <c r="O6" s="35">
        <v>50.0</v>
      </c>
      <c r="P6" s="35">
        <v>0.0</v>
      </c>
      <c r="Q6" s="35">
        <v>0.0</v>
      </c>
      <c r="R6" s="35">
        <v>0.0</v>
      </c>
      <c r="S6" s="35">
        <v>0.0</v>
      </c>
      <c r="T6" s="35">
        <v>0.0</v>
      </c>
      <c r="U6" s="35">
        <v>0.0</v>
      </c>
      <c r="V6" s="35">
        <v>0.0</v>
      </c>
      <c r="W6" s="35">
        <v>0.0</v>
      </c>
    </row>
    <row r="7" ht="22.5" customHeight="1">
      <c r="A7" s="36" t="s">
        <v>63</v>
      </c>
      <c r="B7" s="37">
        <v>240.0</v>
      </c>
      <c r="C7" s="37">
        <v>10.0</v>
      </c>
      <c r="D7" s="37">
        <v>0.0</v>
      </c>
      <c r="E7" s="37">
        <v>80.0</v>
      </c>
      <c r="F7" s="37">
        <v>0.0</v>
      </c>
      <c r="G7" s="37">
        <v>0.0</v>
      </c>
      <c r="H7" s="37">
        <v>110.0</v>
      </c>
      <c r="I7" s="37">
        <v>0.0</v>
      </c>
      <c r="J7" s="37">
        <v>40.0</v>
      </c>
      <c r="K7" s="37">
        <v>105.0</v>
      </c>
      <c r="L7" s="37">
        <v>0.0</v>
      </c>
      <c r="M7" s="37">
        <v>0.0</v>
      </c>
      <c r="N7" s="37">
        <v>10.0</v>
      </c>
      <c r="O7" s="37">
        <v>0.0</v>
      </c>
      <c r="P7" s="37">
        <v>0.0</v>
      </c>
      <c r="Q7" s="37">
        <v>0.0</v>
      </c>
      <c r="R7" s="37">
        <v>0.0</v>
      </c>
      <c r="S7" s="37">
        <v>0.0</v>
      </c>
      <c r="T7" s="37">
        <v>0.0</v>
      </c>
      <c r="U7" s="37">
        <v>0.0</v>
      </c>
      <c r="V7" s="37">
        <v>0.0</v>
      </c>
      <c r="W7" s="37">
        <v>0.0</v>
      </c>
    </row>
    <row r="8" ht="22.5" customHeight="1">
      <c r="A8" s="34" t="s">
        <v>64</v>
      </c>
      <c r="B8" s="35">
        <v>50.0</v>
      </c>
      <c r="C8" s="35">
        <v>50.0</v>
      </c>
      <c r="D8" s="35">
        <v>50.0</v>
      </c>
      <c r="E8" s="35">
        <v>50.0</v>
      </c>
      <c r="F8" s="35">
        <v>0.0</v>
      </c>
      <c r="G8" s="35">
        <v>50.0</v>
      </c>
      <c r="H8" s="35">
        <v>50.0</v>
      </c>
      <c r="I8" s="35">
        <v>50.0</v>
      </c>
      <c r="J8" s="35">
        <v>50.0</v>
      </c>
      <c r="K8" s="35">
        <v>50.0</v>
      </c>
      <c r="L8" s="35">
        <v>50.0</v>
      </c>
      <c r="M8" s="35">
        <v>0.0</v>
      </c>
      <c r="N8" s="35">
        <v>50.0</v>
      </c>
      <c r="O8" s="35">
        <v>50.0</v>
      </c>
      <c r="P8" s="35">
        <v>0.0</v>
      </c>
      <c r="Q8" s="35">
        <v>0.0</v>
      </c>
      <c r="R8" s="35">
        <v>0.0</v>
      </c>
      <c r="S8" s="35">
        <v>0.0</v>
      </c>
      <c r="T8" s="35">
        <v>0.0</v>
      </c>
      <c r="U8" s="35">
        <v>0.0</v>
      </c>
      <c r="V8" s="35">
        <v>0.0</v>
      </c>
      <c r="W8" s="35">
        <v>0.0</v>
      </c>
    </row>
    <row r="9" ht="22.5" customHeight="1">
      <c r="A9" s="36" t="s">
        <v>65</v>
      </c>
      <c r="B9" s="37">
        <v>195.0</v>
      </c>
      <c r="C9" s="37">
        <v>215.0</v>
      </c>
      <c r="D9" s="37">
        <v>0.0</v>
      </c>
      <c r="E9" s="37">
        <v>0.0</v>
      </c>
      <c r="F9" s="37">
        <v>0.0</v>
      </c>
      <c r="G9" s="37">
        <v>0.0</v>
      </c>
      <c r="H9" s="37">
        <v>50.0</v>
      </c>
      <c r="I9" s="37">
        <v>0.0</v>
      </c>
      <c r="J9" s="37">
        <v>0.0</v>
      </c>
      <c r="K9" s="37">
        <v>35.0</v>
      </c>
      <c r="L9" s="37">
        <v>20.0</v>
      </c>
      <c r="M9" s="37">
        <v>0.0</v>
      </c>
      <c r="N9" s="37">
        <v>45.0</v>
      </c>
      <c r="O9" s="37">
        <v>10.0</v>
      </c>
      <c r="P9" s="37">
        <v>0.0</v>
      </c>
      <c r="Q9" s="37">
        <v>0.0</v>
      </c>
      <c r="R9" s="37">
        <v>0.0</v>
      </c>
      <c r="S9" s="37">
        <v>0.0</v>
      </c>
      <c r="T9" s="37">
        <v>0.0</v>
      </c>
      <c r="U9" s="37">
        <v>0.0</v>
      </c>
      <c r="V9" s="37">
        <v>0.0</v>
      </c>
      <c r="W9" s="37">
        <v>0.0</v>
      </c>
    </row>
    <row r="10" ht="22.5" customHeight="1">
      <c r="A10" s="34" t="s">
        <v>69</v>
      </c>
      <c r="B10" s="35">
        <v>50.0</v>
      </c>
      <c r="C10" s="35">
        <v>50.0</v>
      </c>
      <c r="D10" s="35">
        <v>50.0</v>
      </c>
      <c r="E10" s="35">
        <v>50.0</v>
      </c>
      <c r="F10" s="35">
        <v>0.0</v>
      </c>
      <c r="G10" s="35">
        <v>0.0</v>
      </c>
      <c r="H10" s="35">
        <v>50.0</v>
      </c>
      <c r="I10" s="35">
        <v>50.0</v>
      </c>
      <c r="J10" s="35">
        <v>50.0</v>
      </c>
      <c r="K10" s="35">
        <v>50.0</v>
      </c>
      <c r="L10" s="35">
        <v>50.0</v>
      </c>
      <c r="M10" s="35">
        <v>0.0</v>
      </c>
      <c r="N10" s="35">
        <v>50.0</v>
      </c>
      <c r="O10" s="35">
        <v>50.0</v>
      </c>
      <c r="P10" s="35">
        <v>50.0</v>
      </c>
      <c r="Q10" s="35">
        <v>0.0</v>
      </c>
      <c r="R10" s="35">
        <v>0.0</v>
      </c>
      <c r="S10" s="35">
        <v>0.0</v>
      </c>
      <c r="T10" s="35">
        <v>0.0</v>
      </c>
      <c r="U10" s="35">
        <v>0.0</v>
      </c>
      <c r="V10" s="35">
        <v>0.0</v>
      </c>
      <c r="W10" s="35">
        <v>0.0</v>
      </c>
    </row>
    <row r="11" ht="22.5" customHeight="1">
      <c r="A11" s="36" t="s">
        <v>71</v>
      </c>
      <c r="B11" s="37">
        <v>10.0</v>
      </c>
      <c r="C11" s="37">
        <v>230.0</v>
      </c>
      <c r="D11" s="37">
        <v>10.0</v>
      </c>
      <c r="E11" s="37">
        <v>110.0</v>
      </c>
      <c r="F11" s="37">
        <v>0.0</v>
      </c>
      <c r="G11" s="37">
        <v>0.0</v>
      </c>
      <c r="H11" s="37">
        <v>20.0</v>
      </c>
      <c r="I11" s="37">
        <v>25.0</v>
      </c>
      <c r="J11" s="37">
        <v>0.0</v>
      </c>
      <c r="K11" s="37">
        <v>20.0</v>
      </c>
      <c r="L11" s="37">
        <v>10.0</v>
      </c>
      <c r="M11" s="37">
        <v>0.0</v>
      </c>
      <c r="N11" s="37">
        <v>35.0</v>
      </c>
      <c r="O11" s="37">
        <v>20.0</v>
      </c>
      <c r="P11" s="37">
        <v>105.0</v>
      </c>
      <c r="Q11" s="37">
        <v>0.0</v>
      </c>
      <c r="R11" s="37">
        <v>0.0</v>
      </c>
      <c r="S11" s="37">
        <v>0.0</v>
      </c>
      <c r="T11" s="37">
        <v>0.0</v>
      </c>
      <c r="U11" s="37">
        <v>0.0</v>
      </c>
      <c r="V11" s="37">
        <v>0.0</v>
      </c>
      <c r="W11" s="37">
        <v>0.0</v>
      </c>
    </row>
    <row r="12" ht="22.5" customHeight="1">
      <c r="A12" s="34" t="s">
        <v>73</v>
      </c>
      <c r="B12" s="35">
        <v>50.0</v>
      </c>
      <c r="C12" s="35">
        <v>50.0</v>
      </c>
      <c r="D12" s="35">
        <v>50.0</v>
      </c>
      <c r="E12" s="35">
        <v>50.0</v>
      </c>
      <c r="F12" s="35">
        <v>0.0</v>
      </c>
      <c r="G12" s="35">
        <v>0.0</v>
      </c>
      <c r="H12" s="35">
        <v>50.0</v>
      </c>
      <c r="I12" s="35">
        <v>50.0</v>
      </c>
      <c r="J12" s="35">
        <v>50.0</v>
      </c>
      <c r="K12" s="35">
        <v>50.0</v>
      </c>
      <c r="L12" s="35">
        <v>50.0</v>
      </c>
      <c r="M12" s="35">
        <v>0.0</v>
      </c>
      <c r="N12" s="35">
        <v>50.0</v>
      </c>
      <c r="O12" s="35">
        <v>50.0</v>
      </c>
      <c r="P12" s="35">
        <v>50.0</v>
      </c>
      <c r="Q12" s="35">
        <v>0.0</v>
      </c>
      <c r="R12" s="35">
        <v>0.0</v>
      </c>
      <c r="S12" s="35">
        <v>0.0</v>
      </c>
      <c r="T12" s="35">
        <v>0.0</v>
      </c>
      <c r="U12" s="35">
        <v>0.0</v>
      </c>
      <c r="V12" s="35">
        <v>0.0</v>
      </c>
      <c r="W12" s="35">
        <v>0.0</v>
      </c>
    </row>
    <row r="13" ht="22.5" customHeight="1">
      <c r="A13" s="36" t="s">
        <v>74</v>
      </c>
      <c r="B13" s="37">
        <v>0.0</v>
      </c>
      <c r="C13" s="37">
        <v>105.0</v>
      </c>
      <c r="D13" s="37">
        <v>45.0</v>
      </c>
      <c r="E13" s="37">
        <v>240.0</v>
      </c>
      <c r="F13" s="37">
        <v>0.0</v>
      </c>
      <c r="G13" s="37">
        <v>0.0</v>
      </c>
      <c r="H13" s="37">
        <v>45.0</v>
      </c>
      <c r="I13" s="37">
        <v>10.0</v>
      </c>
      <c r="J13" s="37">
        <v>0.0</v>
      </c>
      <c r="K13" s="37">
        <v>40.0</v>
      </c>
      <c r="L13" s="37">
        <v>0.0</v>
      </c>
      <c r="M13" s="37">
        <v>0.0</v>
      </c>
      <c r="N13" s="37">
        <v>0.0</v>
      </c>
      <c r="O13" s="37">
        <v>100.0</v>
      </c>
      <c r="P13" s="37">
        <v>0.0</v>
      </c>
      <c r="Q13" s="37">
        <v>0.0</v>
      </c>
      <c r="R13" s="37">
        <v>0.0</v>
      </c>
      <c r="S13" s="37">
        <v>0.0</v>
      </c>
      <c r="T13" s="37">
        <v>0.0</v>
      </c>
      <c r="U13" s="37">
        <v>0.0</v>
      </c>
      <c r="V13" s="37">
        <v>0.0</v>
      </c>
      <c r="W13" s="37">
        <v>0.0</v>
      </c>
    </row>
    <row r="14" ht="22.5" customHeight="1">
      <c r="A14" s="34" t="s">
        <v>85</v>
      </c>
      <c r="B14" s="35">
        <v>50.0</v>
      </c>
      <c r="C14" s="35">
        <v>50.0</v>
      </c>
      <c r="D14" s="35">
        <v>50.0</v>
      </c>
      <c r="E14" s="35">
        <v>50.0</v>
      </c>
      <c r="F14" s="35">
        <v>0.0</v>
      </c>
      <c r="G14" s="35">
        <v>0.0</v>
      </c>
      <c r="H14" s="35">
        <v>50.0</v>
      </c>
      <c r="I14" s="35">
        <v>50.0</v>
      </c>
      <c r="J14" s="35">
        <v>50.0</v>
      </c>
      <c r="K14" s="35">
        <v>50.0</v>
      </c>
      <c r="L14" s="35">
        <v>50.0</v>
      </c>
      <c r="M14" s="35">
        <v>0.0</v>
      </c>
      <c r="N14" s="35">
        <v>50.0</v>
      </c>
      <c r="O14" s="35">
        <v>50.0</v>
      </c>
      <c r="P14" s="35">
        <v>0.0</v>
      </c>
      <c r="Q14" s="35">
        <v>50.0</v>
      </c>
      <c r="R14" s="35">
        <v>0.0</v>
      </c>
      <c r="S14" s="35">
        <v>0.0</v>
      </c>
      <c r="T14" s="35">
        <v>0.0</v>
      </c>
      <c r="U14" s="35">
        <v>0.0</v>
      </c>
      <c r="V14" s="35">
        <v>0.0</v>
      </c>
      <c r="W14" s="35">
        <v>0.0</v>
      </c>
    </row>
    <row r="15" ht="22.5" customHeight="1">
      <c r="A15" s="36" t="s">
        <v>88</v>
      </c>
      <c r="B15" s="37">
        <v>15.0</v>
      </c>
      <c r="C15" s="37">
        <v>0.0</v>
      </c>
      <c r="D15" s="37">
        <v>0.0</v>
      </c>
      <c r="E15" s="37">
        <v>0.0</v>
      </c>
      <c r="F15" s="37">
        <v>0.0</v>
      </c>
      <c r="G15" s="37">
        <v>0.0</v>
      </c>
      <c r="H15" s="37">
        <v>110.0</v>
      </c>
      <c r="I15" s="37">
        <v>145.0</v>
      </c>
      <c r="J15" s="37">
        <v>65.0</v>
      </c>
      <c r="K15" s="37">
        <v>30.0</v>
      </c>
      <c r="L15" s="37">
        <v>0.0</v>
      </c>
      <c r="M15" s="37">
        <v>0.0</v>
      </c>
      <c r="N15" s="37">
        <v>15.0</v>
      </c>
      <c r="O15" s="37">
        <v>0.0</v>
      </c>
      <c r="P15" s="37">
        <v>0.0</v>
      </c>
      <c r="Q15" s="37">
        <v>65.0</v>
      </c>
      <c r="R15" s="37">
        <v>0.0</v>
      </c>
      <c r="S15" s="37">
        <v>0.0</v>
      </c>
      <c r="T15" s="37">
        <v>0.0</v>
      </c>
      <c r="U15" s="37">
        <v>0.0</v>
      </c>
      <c r="V15" s="37">
        <v>0.0</v>
      </c>
      <c r="W15" s="37">
        <v>0.0</v>
      </c>
    </row>
    <row r="16" ht="22.5" customHeight="1">
      <c r="A16" s="34" t="s">
        <v>89</v>
      </c>
      <c r="B16" s="35">
        <v>50.0</v>
      </c>
      <c r="C16" s="35">
        <v>0.0</v>
      </c>
      <c r="D16" s="35">
        <v>50.0</v>
      </c>
      <c r="E16" s="35">
        <v>50.0</v>
      </c>
      <c r="F16" s="35">
        <v>0.0</v>
      </c>
      <c r="G16" s="35">
        <v>0.0</v>
      </c>
      <c r="H16" s="35">
        <v>50.0</v>
      </c>
      <c r="I16" s="35">
        <v>50.0</v>
      </c>
      <c r="J16" s="35">
        <v>50.0</v>
      </c>
      <c r="K16" s="35">
        <v>50.0</v>
      </c>
      <c r="L16" s="35">
        <v>0.0</v>
      </c>
      <c r="M16" s="35">
        <v>0.0</v>
      </c>
      <c r="N16" s="35">
        <v>50.0</v>
      </c>
      <c r="O16" s="35">
        <v>50.0</v>
      </c>
      <c r="P16" s="35">
        <v>0.0</v>
      </c>
      <c r="Q16" s="35">
        <v>50.0</v>
      </c>
      <c r="R16" s="35">
        <v>50.0</v>
      </c>
      <c r="S16" s="35">
        <v>50.0</v>
      </c>
      <c r="T16" s="35">
        <v>0.0</v>
      </c>
      <c r="U16" s="35">
        <v>0.0</v>
      </c>
      <c r="V16" s="35">
        <v>0.0</v>
      </c>
      <c r="W16" s="35">
        <v>0.0</v>
      </c>
    </row>
    <row r="17" ht="22.5" customHeight="1">
      <c r="A17" s="36" t="s">
        <v>92</v>
      </c>
      <c r="B17" s="37">
        <v>115.0</v>
      </c>
      <c r="C17" s="37">
        <v>0.0</v>
      </c>
      <c r="D17" s="37">
        <v>95.0</v>
      </c>
      <c r="E17" s="37">
        <v>15.0</v>
      </c>
      <c r="F17" s="37">
        <v>0.0</v>
      </c>
      <c r="G17" s="37">
        <v>0.0</v>
      </c>
      <c r="H17" s="37">
        <v>130.0</v>
      </c>
      <c r="I17" s="37">
        <v>45.0</v>
      </c>
      <c r="J17" s="37">
        <v>0.0</v>
      </c>
      <c r="K17" s="37">
        <v>50.0</v>
      </c>
      <c r="L17" s="37">
        <v>0.0</v>
      </c>
      <c r="M17" s="37">
        <v>0.0</v>
      </c>
      <c r="N17" s="37">
        <v>15.0</v>
      </c>
      <c r="O17" s="37">
        <v>100.0</v>
      </c>
      <c r="P17" s="37">
        <v>0.0</v>
      </c>
      <c r="Q17" s="37">
        <v>15.0</v>
      </c>
      <c r="R17" s="37">
        <v>15.0</v>
      </c>
      <c r="S17" s="37">
        <v>0.0</v>
      </c>
      <c r="T17" s="37">
        <v>0.0</v>
      </c>
      <c r="U17" s="37">
        <v>0.0</v>
      </c>
      <c r="V17" s="37">
        <v>0.0</v>
      </c>
      <c r="W17" s="37">
        <v>0.0</v>
      </c>
    </row>
    <row r="18" ht="22.5" customHeight="1">
      <c r="A18" s="34" t="s">
        <v>99</v>
      </c>
      <c r="B18" s="35">
        <v>50.0</v>
      </c>
      <c r="C18" s="35">
        <v>0.0</v>
      </c>
      <c r="D18" s="35">
        <v>50.0</v>
      </c>
      <c r="E18" s="35">
        <v>50.0</v>
      </c>
      <c r="F18" s="35">
        <v>0.0</v>
      </c>
      <c r="G18" s="35">
        <v>0.0</v>
      </c>
      <c r="H18" s="35">
        <v>50.0</v>
      </c>
      <c r="I18" s="35">
        <v>50.0</v>
      </c>
      <c r="J18" s="35">
        <v>50.0</v>
      </c>
      <c r="K18" s="35">
        <v>50.0</v>
      </c>
      <c r="L18" s="35">
        <v>0.0</v>
      </c>
      <c r="M18" s="35">
        <v>0.0</v>
      </c>
      <c r="N18" s="35">
        <v>0.0</v>
      </c>
      <c r="O18" s="35">
        <v>50.0</v>
      </c>
      <c r="P18" s="35">
        <v>0.0</v>
      </c>
      <c r="Q18" s="35">
        <v>0.0</v>
      </c>
      <c r="R18" s="35">
        <v>50.0</v>
      </c>
      <c r="S18" s="35">
        <v>0.0</v>
      </c>
      <c r="T18" s="35">
        <v>50.0</v>
      </c>
      <c r="U18" s="35">
        <v>50.0</v>
      </c>
      <c r="V18" s="35">
        <v>0.0</v>
      </c>
      <c r="W18" s="35">
        <v>0.0</v>
      </c>
    </row>
    <row r="19" ht="22.5" customHeight="1">
      <c r="A19" s="36" t="s">
        <v>115</v>
      </c>
      <c r="B19" s="37">
        <v>210.0</v>
      </c>
      <c r="C19" s="37">
        <v>0.0</v>
      </c>
      <c r="D19" s="37">
        <v>15.0</v>
      </c>
      <c r="E19" s="37">
        <v>150.0</v>
      </c>
      <c r="F19" s="37">
        <v>0.0</v>
      </c>
      <c r="G19" s="37">
        <v>0.0</v>
      </c>
      <c r="H19" s="37">
        <v>15.0</v>
      </c>
      <c r="I19" s="37">
        <v>15.0</v>
      </c>
      <c r="J19" s="37">
        <v>65.0</v>
      </c>
      <c r="K19" s="37">
        <v>15.0</v>
      </c>
      <c r="L19" s="37">
        <v>0.0</v>
      </c>
      <c r="M19" s="37">
        <v>0.0</v>
      </c>
      <c r="N19" s="37">
        <v>0.0</v>
      </c>
      <c r="O19" s="37">
        <v>0.0</v>
      </c>
      <c r="P19" s="37">
        <v>0.0</v>
      </c>
      <c r="Q19" s="37">
        <v>0.0</v>
      </c>
      <c r="R19" s="37">
        <v>15.0</v>
      </c>
      <c r="S19" s="37">
        <v>0.0</v>
      </c>
      <c r="T19" s="37">
        <v>15.0</v>
      </c>
      <c r="U19" s="37">
        <v>65.0</v>
      </c>
      <c r="V19" s="37">
        <v>0.0</v>
      </c>
      <c r="W19" s="37">
        <v>0.0</v>
      </c>
    </row>
    <row r="20" ht="22.5" customHeight="1">
      <c r="A20" s="34" t="s">
        <v>128</v>
      </c>
      <c r="B20" s="35">
        <v>50.0</v>
      </c>
      <c r="C20" s="35">
        <v>0.0</v>
      </c>
      <c r="D20" s="35">
        <v>0.0</v>
      </c>
      <c r="E20" s="35">
        <v>50.0</v>
      </c>
      <c r="F20" s="35">
        <v>0.0</v>
      </c>
      <c r="G20" s="35">
        <v>0.0</v>
      </c>
      <c r="H20" s="35">
        <v>50.0</v>
      </c>
      <c r="I20" s="35">
        <v>50.0</v>
      </c>
      <c r="J20" s="35">
        <v>50.0</v>
      </c>
      <c r="K20" s="35">
        <v>50.0</v>
      </c>
      <c r="L20" s="35">
        <v>50.0</v>
      </c>
      <c r="M20" s="35">
        <v>0.0</v>
      </c>
      <c r="N20" s="35">
        <v>0.0</v>
      </c>
      <c r="O20" s="35">
        <v>50.0</v>
      </c>
      <c r="P20" s="35">
        <v>0.0</v>
      </c>
      <c r="Q20" s="35">
        <v>0.0</v>
      </c>
      <c r="R20" s="35">
        <v>50.0</v>
      </c>
      <c r="S20" s="35">
        <v>0.0</v>
      </c>
      <c r="T20" s="35">
        <v>50.0</v>
      </c>
      <c r="U20" s="35">
        <v>50.0</v>
      </c>
      <c r="V20" s="35">
        <v>50.0</v>
      </c>
      <c r="W20" s="35">
        <v>50.0</v>
      </c>
    </row>
    <row r="21" ht="22.5" customHeight="1">
      <c r="A21" s="36" t="s">
        <v>135</v>
      </c>
      <c r="B21" s="37">
        <v>245.0</v>
      </c>
      <c r="C21" s="37">
        <v>0.0</v>
      </c>
      <c r="D21" s="37">
        <v>0.0</v>
      </c>
      <c r="E21" s="37">
        <v>0.0</v>
      </c>
      <c r="F21" s="37">
        <v>0.0</v>
      </c>
      <c r="G21" s="37">
        <v>0.0</v>
      </c>
      <c r="H21" s="37">
        <v>0.0</v>
      </c>
      <c r="I21" s="37">
        <v>30.0</v>
      </c>
      <c r="J21" s="37">
        <v>15.0</v>
      </c>
      <c r="K21" s="37">
        <v>65.0</v>
      </c>
      <c r="L21" s="37">
        <v>0.0</v>
      </c>
      <c r="M21" s="37">
        <v>0.0</v>
      </c>
      <c r="N21" s="37">
        <v>0.0</v>
      </c>
      <c r="O21" s="37">
        <v>15.0</v>
      </c>
      <c r="P21" s="37">
        <v>0.0</v>
      </c>
      <c r="Q21" s="37">
        <v>0.0</v>
      </c>
      <c r="R21" s="37">
        <v>0.0</v>
      </c>
      <c r="S21" s="37">
        <v>0.0</v>
      </c>
      <c r="T21" s="37">
        <v>0.0</v>
      </c>
      <c r="U21" s="37">
        <v>180.0</v>
      </c>
      <c r="V21" s="37">
        <v>50.0</v>
      </c>
      <c r="W21" s="37">
        <v>0.0</v>
      </c>
    </row>
    <row r="24">
      <c r="A24" s="230"/>
      <c r="B24" s="232" t="s">
        <v>36</v>
      </c>
      <c r="C24" s="232" t="s">
        <v>37</v>
      </c>
      <c r="D24" s="232" t="s">
        <v>38</v>
      </c>
      <c r="E24" s="232" t="s">
        <v>39</v>
      </c>
      <c r="F24" s="232" t="s">
        <v>40</v>
      </c>
      <c r="G24" s="232" t="s">
        <v>41</v>
      </c>
      <c r="H24" s="232" t="s">
        <v>42</v>
      </c>
      <c r="I24" s="232" t="s">
        <v>43</v>
      </c>
      <c r="J24" s="232" t="s">
        <v>44</v>
      </c>
      <c r="K24" s="232" t="s">
        <v>45</v>
      </c>
      <c r="L24" s="232" t="s">
        <v>46</v>
      </c>
      <c r="M24" s="232" t="s">
        <v>47</v>
      </c>
      <c r="N24" s="232" t="s">
        <v>48</v>
      </c>
      <c r="O24" s="232" t="s">
        <v>49</v>
      </c>
      <c r="P24" s="232" t="s">
        <v>50</v>
      </c>
      <c r="Q24" s="232" t="s">
        <v>51</v>
      </c>
      <c r="R24" s="232" t="s">
        <v>52</v>
      </c>
      <c r="S24" s="232" t="s">
        <v>53</v>
      </c>
      <c r="T24" s="232" t="s">
        <v>54</v>
      </c>
      <c r="U24" s="232" t="s">
        <v>55</v>
      </c>
      <c r="V24" s="232" t="s">
        <v>56</v>
      </c>
      <c r="W24" s="232" t="s">
        <v>57</v>
      </c>
    </row>
    <row r="25">
      <c r="A25" s="243" t="s">
        <v>141</v>
      </c>
      <c r="B25" s="253">
        <f t="shared" ref="B25:W25" si="1">sum(B2,B4,B6,B8,B10,B12,B14,B16,B18,B20)</f>
        <v>500</v>
      </c>
      <c r="C25" s="253">
        <f t="shared" si="1"/>
        <v>350</v>
      </c>
      <c r="D25" s="253">
        <f t="shared" si="1"/>
        <v>450</v>
      </c>
      <c r="E25" s="253">
        <f t="shared" si="1"/>
        <v>500</v>
      </c>
      <c r="F25" s="253">
        <f t="shared" si="1"/>
        <v>50</v>
      </c>
      <c r="G25" s="253">
        <f t="shared" si="1"/>
        <v>200</v>
      </c>
      <c r="H25" s="253">
        <f t="shared" si="1"/>
        <v>500</v>
      </c>
      <c r="I25" s="253">
        <f t="shared" si="1"/>
        <v>500</v>
      </c>
      <c r="J25" s="253">
        <f t="shared" si="1"/>
        <v>500</v>
      </c>
      <c r="K25" s="253">
        <f t="shared" si="1"/>
        <v>500</v>
      </c>
      <c r="L25" s="253">
        <f t="shared" si="1"/>
        <v>400</v>
      </c>
      <c r="M25" s="253">
        <f t="shared" si="1"/>
        <v>50</v>
      </c>
      <c r="N25" s="253">
        <f t="shared" si="1"/>
        <v>350</v>
      </c>
      <c r="O25" s="253">
        <f t="shared" si="1"/>
        <v>450</v>
      </c>
      <c r="P25" s="253">
        <f t="shared" si="1"/>
        <v>100</v>
      </c>
      <c r="Q25" s="253">
        <f t="shared" si="1"/>
        <v>100</v>
      </c>
      <c r="R25" s="253">
        <f t="shared" si="1"/>
        <v>150</v>
      </c>
      <c r="S25" s="253">
        <f t="shared" si="1"/>
        <v>50</v>
      </c>
      <c r="T25" s="253">
        <f t="shared" si="1"/>
        <v>100</v>
      </c>
      <c r="U25" s="253">
        <f t="shared" si="1"/>
        <v>100</v>
      </c>
      <c r="V25" s="253">
        <f t="shared" si="1"/>
        <v>50</v>
      </c>
      <c r="W25" s="253">
        <f t="shared" si="1"/>
        <v>50</v>
      </c>
    </row>
    <row r="26">
      <c r="A26" s="243" t="s">
        <v>34</v>
      </c>
      <c r="B26" s="253">
        <f t="shared" ref="B26:W26" si="2">sum(B3,B5,B7,B9,B11,B13,B15,B17,B19,B21)</f>
        <v>1060</v>
      </c>
      <c r="C26" s="253">
        <f t="shared" si="2"/>
        <v>670</v>
      </c>
      <c r="D26" s="253">
        <f t="shared" si="2"/>
        <v>425</v>
      </c>
      <c r="E26" s="253">
        <f t="shared" si="2"/>
        <v>635</v>
      </c>
      <c r="F26" s="253">
        <f t="shared" si="2"/>
        <v>0</v>
      </c>
      <c r="G26" s="253">
        <f t="shared" si="2"/>
        <v>10</v>
      </c>
      <c r="H26" s="253">
        <f t="shared" si="2"/>
        <v>490</v>
      </c>
      <c r="I26" s="253">
        <f t="shared" si="2"/>
        <v>380</v>
      </c>
      <c r="J26" s="253">
        <f t="shared" si="2"/>
        <v>195</v>
      </c>
      <c r="K26" s="253">
        <f t="shared" si="2"/>
        <v>360</v>
      </c>
      <c r="L26" s="253">
        <f t="shared" si="2"/>
        <v>155</v>
      </c>
      <c r="M26" s="253">
        <f t="shared" si="2"/>
        <v>0</v>
      </c>
      <c r="N26" s="253">
        <f t="shared" si="2"/>
        <v>120</v>
      </c>
      <c r="O26" s="253">
        <f t="shared" si="2"/>
        <v>245</v>
      </c>
      <c r="P26" s="253">
        <f t="shared" si="2"/>
        <v>105</v>
      </c>
      <c r="Q26" s="253">
        <f t="shared" si="2"/>
        <v>80</v>
      </c>
      <c r="R26" s="253">
        <f t="shared" si="2"/>
        <v>30</v>
      </c>
      <c r="S26" s="253">
        <f t="shared" si="2"/>
        <v>0</v>
      </c>
      <c r="T26" s="253">
        <f t="shared" si="2"/>
        <v>15</v>
      </c>
      <c r="U26" s="253">
        <f t="shared" si="2"/>
        <v>245</v>
      </c>
      <c r="V26" s="253">
        <f t="shared" si="2"/>
        <v>50</v>
      </c>
      <c r="W26" s="253">
        <f t="shared" si="2"/>
        <v>0</v>
      </c>
    </row>
    <row r="27">
      <c r="A27" s="243" t="s">
        <v>150</v>
      </c>
      <c r="B27" s="253">
        <f t="shared" ref="B27:W27" si="3">B26-B25</f>
        <v>560</v>
      </c>
      <c r="C27" s="253">
        <f t="shared" si="3"/>
        <v>320</v>
      </c>
      <c r="D27" s="253">
        <f t="shared" si="3"/>
        <v>-25</v>
      </c>
      <c r="E27" s="253">
        <f t="shared" si="3"/>
        <v>135</v>
      </c>
      <c r="F27" s="253">
        <f t="shared" si="3"/>
        <v>-50</v>
      </c>
      <c r="G27" s="253">
        <f t="shared" si="3"/>
        <v>-190</v>
      </c>
      <c r="H27" s="253">
        <f t="shared" si="3"/>
        <v>-10</v>
      </c>
      <c r="I27" s="253">
        <f t="shared" si="3"/>
        <v>-120</v>
      </c>
      <c r="J27" s="253">
        <f t="shared" si="3"/>
        <v>-305</v>
      </c>
      <c r="K27" s="253">
        <f t="shared" si="3"/>
        <v>-140</v>
      </c>
      <c r="L27" s="253">
        <f t="shared" si="3"/>
        <v>-245</v>
      </c>
      <c r="M27" s="253">
        <f t="shared" si="3"/>
        <v>-50</v>
      </c>
      <c r="N27" s="253">
        <f t="shared" si="3"/>
        <v>-230</v>
      </c>
      <c r="O27" s="253">
        <f t="shared" si="3"/>
        <v>-205</v>
      </c>
      <c r="P27" s="253">
        <f t="shared" si="3"/>
        <v>5</v>
      </c>
      <c r="Q27" s="253">
        <f t="shared" si="3"/>
        <v>-20</v>
      </c>
      <c r="R27" s="253">
        <f t="shared" si="3"/>
        <v>-120</v>
      </c>
      <c r="S27" s="253">
        <f t="shared" si="3"/>
        <v>-50</v>
      </c>
      <c r="T27" s="253">
        <f t="shared" si="3"/>
        <v>-85</v>
      </c>
      <c r="U27" s="253">
        <f t="shared" si="3"/>
        <v>145</v>
      </c>
      <c r="V27" s="253">
        <f t="shared" si="3"/>
        <v>0</v>
      </c>
      <c r="W27" s="253">
        <f t="shared" si="3"/>
        <v>-50</v>
      </c>
    </row>
  </sheetData>
  <dataValidations>
    <dataValidation type="custom" allowBlank="1" showDropDown="1" sqref="B2:I2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25"/>
    <col customWidth="1" min="2" max="3" width="7.75"/>
    <col customWidth="1" min="4" max="4" width="8.63"/>
    <col customWidth="1" min="5" max="5" width="6.5"/>
    <col customWidth="1" min="6" max="6" width="6.75"/>
    <col customWidth="1" min="7" max="10" width="6.5"/>
    <col customWidth="1" min="11" max="11" width="9.5"/>
    <col customWidth="1" min="12" max="12" width="7.38"/>
    <col customWidth="1" min="13" max="13" width="6.13"/>
    <col customWidth="1" min="14" max="14" width="9.38"/>
    <col customWidth="1" min="15" max="16" width="8.88"/>
    <col customWidth="1" min="17" max="19" width="6.5"/>
    <col customWidth="1" min="20" max="20" width="7.38"/>
    <col customWidth="1" min="21" max="21" width="8.13"/>
    <col customWidth="1" min="22" max="22" width="4.63"/>
    <col customWidth="1" min="23" max="23" width="4.5"/>
    <col customWidth="1" min="24" max="24" width="4.63"/>
    <col customWidth="1" min="25" max="25" width="6.5"/>
    <col customWidth="1" min="26" max="26" width="4.63"/>
    <col customWidth="1" min="27" max="27" width="4.75"/>
    <col customWidth="1" min="28" max="28" width="4.63"/>
    <col customWidth="1" min="29" max="32" width="7.63"/>
  </cols>
  <sheetData>
    <row r="1">
      <c r="A1" s="776" t="s">
        <v>334</v>
      </c>
      <c r="B1" s="777">
        <v>2030.0</v>
      </c>
      <c r="C1" s="777">
        <v>2029.0</v>
      </c>
      <c r="D1" s="777">
        <v>2028.0</v>
      </c>
      <c r="E1" s="777">
        <v>2027.0</v>
      </c>
      <c r="F1" s="777">
        <v>2026.0</v>
      </c>
      <c r="G1" s="777">
        <v>2025.0</v>
      </c>
      <c r="H1" s="777">
        <v>2024.0</v>
      </c>
      <c r="I1" s="777">
        <v>2023.0</v>
      </c>
      <c r="J1" s="777">
        <v>2022.0</v>
      </c>
      <c r="K1" s="777">
        <v>2021.0</v>
      </c>
      <c r="L1" s="777">
        <v>2020.0</v>
      </c>
      <c r="M1" s="777">
        <v>2019.0</v>
      </c>
      <c r="N1" s="778">
        <v>2018.0</v>
      </c>
      <c r="O1" s="778">
        <v>2017.0</v>
      </c>
      <c r="P1" s="778">
        <v>2016.0</v>
      </c>
      <c r="Q1" s="778">
        <v>2015.0</v>
      </c>
      <c r="R1" s="778">
        <v>2014.0</v>
      </c>
      <c r="S1" s="778">
        <v>2013.0</v>
      </c>
      <c r="T1" s="778">
        <v>2012.0</v>
      </c>
      <c r="U1" s="779">
        <v>2011.0</v>
      </c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</row>
    <row r="2">
      <c r="A2" s="780">
        <v>1.0</v>
      </c>
      <c r="B2" s="781"/>
      <c r="C2" s="782"/>
      <c r="D2" s="782"/>
      <c r="E2" s="782"/>
      <c r="F2" s="782"/>
      <c r="G2" s="783" t="s">
        <v>40</v>
      </c>
      <c r="H2" s="782" t="s">
        <v>38</v>
      </c>
      <c r="I2" s="782" t="s">
        <v>36</v>
      </c>
      <c r="J2" s="784" t="s">
        <v>36</v>
      </c>
      <c r="K2" s="782" t="s">
        <v>68</v>
      </c>
      <c r="L2" s="782" t="s">
        <v>39</v>
      </c>
      <c r="M2" s="782" t="s">
        <v>43</v>
      </c>
      <c r="N2" s="782" t="s">
        <v>42</v>
      </c>
      <c r="O2" s="782" t="s">
        <v>36</v>
      </c>
      <c r="P2" s="782" t="s">
        <v>36</v>
      </c>
      <c r="Q2" s="782" t="s">
        <v>317</v>
      </c>
      <c r="R2" s="782" t="s">
        <v>54</v>
      </c>
      <c r="S2" s="782" t="s">
        <v>36</v>
      </c>
      <c r="T2" s="782" t="s">
        <v>57</v>
      </c>
      <c r="U2" s="785" t="s">
        <v>56</v>
      </c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</row>
    <row r="3">
      <c r="A3" s="780">
        <v>2.0</v>
      </c>
      <c r="B3" s="786"/>
      <c r="C3" s="787"/>
      <c r="D3" s="787"/>
      <c r="E3" s="787"/>
      <c r="F3" s="787"/>
      <c r="G3" s="788" t="s">
        <v>44</v>
      </c>
      <c r="H3" s="787" t="s">
        <v>43</v>
      </c>
      <c r="I3" s="787" t="s">
        <v>42</v>
      </c>
      <c r="J3" s="789" t="s">
        <v>68</v>
      </c>
      <c r="K3" s="787" t="s">
        <v>39</v>
      </c>
      <c r="L3" s="787" t="s">
        <v>49</v>
      </c>
      <c r="M3" s="787" t="s">
        <v>44</v>
      </c>
      <c r="N3" s="790" t="s">
        <v>36</v>
      </c>
      <c r="O3" s="790" t="s">
        <v>39</v>
      </c>
      <c r="P3" s="787" t="s">
        <v>72</v>
      </c>
      <c r="Q3" s="790" t="s">
        <v>39</v>
      </c>
      <c r="R3" s="787" t="s">
        <v>56</v>
      </c>
      <c r="S3" s="787" t="s">
        <v>72</v>
      </c>
      <c r="T3" s="787" t="s">
        <v>52</v>
      </c>
      <c r="U3" s="791" t="s">
        <v>43</v>
      </c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>
      <c r="A4" s="780">
        <v>3.0</v>
      </c>
      <c r="B4" s="786"/>
      <c r="C4" s="787"/>
      <c r="D4" s="787"/>
      <c r="E4" s="787"/>
      <c r="F4" s="787"/>
      <c r="G4" s="788" t="s">
        <v>39</v>
      </c>
      <c r="H4" s="787" t="s">
        <v>46</v>
      </c>
      <c r="I4" s="787" t="s">
        <v>45</v>
      </c>
      <c r="J4" s="789" t="s">
        <v>42</v>
      </c>
      <c r="K4" s="787" t="s">
        <v>50</v>
      </c>
      <c r="L4" s="787" t="s">
        <v>68</v>
      </c>
      <c r="M4" s="787" t="s">
        <v>42</v>
      </c>
      <c r="N4" s="787" t="s">
        <v>45</v>
      </c>
      <c r="O4" s="787" t="s">
        <v>72</v>
      </c>
      <c r="P4" s="790" t="s">
        <v>45</v>
      </c>
      <c r="Q4" s="790" t="s">
        <v>36</v>
      </c>
      <c r="R4" s="787" t="s">
        <v>317</v>
      </c>
      <c r="S4" s="787" t="s">
        <v>57</v>
      </c>
      <c r="T4" s="787" t="s">
        <v>335</v>
      </c>
      <c r="U4" s="791" t="s">
        <v>336</v>
      </c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</row>
    <row r="5">
      <c r="A5" s="780">
        <v>4.0</v>
      </c>
      <c r="B5" s="786"/>
      <c r="C5" s="787"/>
      <c r="D5" s="787"/>
      <c r="E5" s="787"/>
      <c r="F5" s="787"/>
      <c r="G5" s="788" t="s">
        <v>68</v>
      </c>
      <c r="H5" s="787" t="s">
        <v>68</v>
      </c>
      <c r="I5" s="787" t="s">
        <v>39</v>
      </c>
      <c r="J5" s="789" t="s">
        <v>48</v>
      </c>
      <c r="K5" s="787" t="s">
        <v>43</v>
      </c>
      <c r="L5" s="787" t="s">
        <v>42</v>
      </c>
      <c r="M5" s="787" t="s">
        <v>51</v>
      </c>
      <c r="N5" s="790" t="s">
        <v>38</v>
      </c>
      <c r="O5" s="790" t="s">
        <v>44</v>
      </c>
      <c r="P5" s="790" t="s">
        <v>56</v>
      </c>
      <c r="Q5" s="790" t="s">
        <v>52</v>
      </c>
      <c r="R5" s="787" t="s">
        <v>52</v>
      </c>
      <c r="S5" s="787" t="s">
        <v>49</v>
      </c>
      <c r="T5" s="787" t="s">
        <v>72</v>
      </c>
      <c r="U5" s="792" t="s">
        <v>317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</row>
    <row r="6">
      <c r="A6" s="780">
        <v>5.0</v>
      </c>
      <c r="B6" s="786"/>
      <c r="C6" s="787"/>
      <c r="D6" s="787"/>
      <c r="E6" s="787"/>
      <c r="F6" s="787"/>
      <c r="G6" s="788" t="s">
        <v>41</v>
      </c>
      <c r="H6" s="787" t="s">
        <v>39</v>
      </c>
      <c r="I6" s="787" t="s">
        <v>48</v>
      </c>
      <c r="J6" s="789" t="s">
        <v>49</v>
      </c>
      <c r="K6" s="787" t="s">
        <v>49</v>
      </c>
      <c r="L6" s="787" t="s">
        <v>45</v>
      </c>
      <c r="M6" s="787" t="s">
        <v>45</v>
      </c>
      <c r="N6" s="790" t="s">
        <v>52</v>
      </c>
      <c r="O6" s="790" t="s">
        <v>38</v>
      </c>
      <c r="P6" s="790" t="s">
        <v>49</v>
      </c>
      <c r="Q6" s="790" t="s">
        <v>54</v>
      </c>
      <c r="R6" s="787" t="s">
        <v>57</v>
      </c>
      <c r="S6" s="787" t="s">
        <v>52</v>
      </c>
      <c r="T6" s="791" t="s">
        <v>36</v>
      </c>
      <c r="U6" s="793" t="s">
        <v>39</v>
      </c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</row>
    <row r="7">
      <c r="A7" s="780">
        <v>6.0</v>
      </c>
      <c r="B7" s="794"/>
      <c r="C7" s="795"/>
      <c r="D7" s="795"/>
      <c r="E7" s="795"/>
      <c r="F7" s="795"/>
      <c r="G7" s="796" t="s">
        <v>47</v>
      </c>
      <c r="H7" s="795" t="s">
        <v>36</v>
      </c>
      <c r="I7" s="795" t="s">
        <v>44</v>
      </c>
      <c r="J7" s="797" t="s">
        <v>46</v>
      </c>
      <c r="K7" s="795" t="s">
        <v>46</v>
      </c>
      <c r="L7" s="795" t="s">
        <v>46</v>
      </c>
      <c r="M7" s="795" t="s">
        <v>68</v>
      </c>
      <c r="N7" s="798" t="s">
        <v>43</v>
      </c>
      <c r="O7" s="798" t="s">
        <v>45</v>
      </c>
      <c r="P7" s="798" t="s">
        <v>52</v>
      </c>
      <c r="Q7" s="798" t="s">
        <v>45</v>
      </c>
      <c r="R7" s="795" t="s">
        <v>44</v>
      </c>
      <c r="S7" s="795" t="s">
        <v>317</v>
      </c>
      <c r="T7" s="799" t="s">
        <v>49</v>
      </c>
      <c r="U7" s="800" t="s">
        <v>57</v>
      </c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</row>
    <row r="8">
      <c r="A8" s="780">
        <v>7.0</v>
      </c>
      <c r="B8" s="801"/>
      <c r="C8" s="802"/>
      <c r="D8" s="802"/>
      <c r="E8" s="802"/>
      <c r="F8" s="802"/>
      <c r="G8" s="803" t="s">
        <v>36</v>
      </c>
      <c r="H8" s="802" t="s">
        <v>44</v>
      </c>
      <c r="I8" s="802" t="s">
        <v>43</v>
      </c>
      <c r="J8" s="804" t="s">
        <v>45</v>
      </c>
      <c r="K8" s="802" t="s">
        <v>48</v>
      </c>
      <c r="L8" s="802" t="s">
        <v>197</v>
      </c>
      <c r="M8" s="802" t="s">
        <v>49</v>
      </c>
      <c r="N8" s="805" t="s">
        <v>51</v>
      </c>
      <c r="O8" s="805" t="s">
        <v>54</v>
      </c>
      <c r="P8" s="805" t="s">
        <v>57</v>
      </c>
      <c r="Q8" s="802" t="s">
        <v>72</v>
      </c>
      <c r="R8" s="802" t="s">
        <v>72</v>
      </c>
      <c r="S8" s="802" t="s">
        <v>39</v>
      </c>
      <c r="T8" s="802" t="s">
        <v>56</v>
      </c>
      <c r="U8" s="23" t="s">
        <v>52</v>
      </c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</row>
    <row r="9">
      <c r="A9" s="780">
        <v>8.0</v>
      </c>
      <c r="B9" s="801"/>
      <c r="C9" s="802"/>
      <c r="D9" s="802"/>
      <c r="E9" s="802"/>
      <c r="F9" s="802"/>
      <c r="G9" s="803" t="s">
        <v>38</v>
      </c>
      <c r="H9" s="802" t="s">
        <v>45</v>
      </c>
      <c r="I9" s="802" t="s">
        <v>68</v>
      </c>
      <c r="J9" s="804" t="s">
        <v>44</v>
      </c>
      <c r="K9" s="802" t="s">
        <v>36</v>
      </c>
      <c r="L9" s="802" t="s">
        <v>43</v>
      </c>
      <c r="M9" s="802" t="s">
        <v>48</v>
      </c>
      <c r="N9" s="805" t="s">
        <v>39</v>
      </c>
      <c r="O9" s="805" t="s">
        <v>49</v>
      </c>
      <c r="P9" s="805" t="s">
        <v>39</v>
      </c>
      <c r="Q9" s="805" t="s">
        <v>43</v>
      </c>
      <c r="R9" s="802" t="s">
        <v>43</v>
      </c>
      <c r="S9" s="802" t="s">
        <v>54</v>
      </c>
      <c r="T9" s="802" t="s">
        <v>43</v>
      </c>
      <c r="U9" s="23" t="s">
        <v>45</v>
      </c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</row>
    <row r="10">
      <c r="A10" s="780">
        <v>9.0</v>
      </c>
      <c r="B10" s="801"/>
      <c r="C10" s="802"/>
      <c r="D10" s="802"/>
      <c r="E10" s="802"/>
      <c r="F10" s="802"/>
      <c r="G10" s="803" t="s">
        <v>42</v>
      </c>
      <c r="H10" s="802" t="s">
        <v>49</v>
      </c>
      <c r="I10" s="802" t="s">
        <v>46</v>
      </c>
      <c r="J10" s="804" t="s">
        <v>43</v>
      </c>
      <c r="K10" s="802" t="s">
        <v>44</v>
      </c>
      <c r="L10" s="802" t="s">
        <v>50</v>
      </c>
      <c r="M10" s="802" t="s">
        <v>38</v>
      </c>
      <c r="N10" s="805" t="s">
        <v>53</v>
      </c>
      <c r="O10" s="805" t="s">
        <v>51</v>
      </c>
      <c r="P10" s="805" t="s">
        <v>44</v>
      </c>
      <c r="Q10" s="805" t="s">
        <v>49</v>
      </c>
      <c r="R10" s="802" t="s">
        <v>39</v>
      </c>
      <c r="S10" s="802" t="s">
        <v>56</v>
      </c>
      <c r="T10" s="802" t="s">
        <v>44</v>
      </c>
      <c r="U10" s="23" t="s">
        <v>337</v>
      </c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</row>
    <row r="11">
      <c r="A11" s="780">
        <v>10.0</v>
      </c>
      <c r="B11" s="801"/>
      <c r="C11" s="802"/>
      <c r="D11" s="802"/>
      <c r="E11" s="802"/>
      <c r="F11" s="802"/>
      <c r="G11" s="803" t="s">
        <v>46</v>
      </c>
      <c r="H11" s="802" t="s">
        <v>48</v>
      </c>
      <c r="I11" s="802" t="s">
        <v>41</v>
      </c>
      <c r="J11" s="804" t="s">
        <v>41</v>
      </c>
      <c r="K11" s="802" t="s">
        <v>45</v>
      </c>
      <c r="L11" s="802" t="s">
        <v>48</v>
      </c>
      <c r="M11" s="802" t="s">
        <v>39</v>
      </c>
      <c r="N11" s="805" t="s">
        <v>48</v>
      </c>
      <c r="O11" s="805" t="s">
        <v>43</v>
      </c>
      <c r="P11" s="805" t="s">
        <v>42</v>
      </c>
      <c r="Q11" s="805" t="s">
        <v>56</v>
      </c>
      <c r="R11" s="802" t="s">
        <v>45</v>
      </c>
      <c r="S11" s="802" t="s">
        <v>45</v>
      </c>
      <c r="T11" s="802" t="s">
        <v>337</v>
      </c>
      <c r="U11" s="11" t="s">
        <v>338</v>
      </c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</row>
    <row r="12">
      <c r="A12" s="780">
        <v>11.0</v>
      </c>
      <c r="B12" s="801"/>
      <c r="C12" s="802"/>
      <c r="D12" s="802"/>
      <c r="E12" s="802"/>
      <c r="F12" s="802"/>
      <c r="G12" s="803" t="s">
        <v>43</v>
      </c>
      <c r="H12" s="802" t="s">
        <v>42</v>
      </c>
      <c r="I12" s="802" t="s">
        <v>38</v>
      </c>
      <c r="J12" s="804" t="s">
        <v>38</v>
      </c>
      <c r="K12" s="802" t="s">
        <v>42</v>
      </c>
      <c r="L12" s="802" t="s">
        <v>44</v>
      </c>
      <c r="M12" s="802" t="s">
        <v>46</v>
      </c>
      <c r="N12" s="805" t="s">
        <v>44</v>
      </c>
      <c r="O12" s="805" t="s">
        <v>52</v>
      </c>
      <c r="P12" s="805" t="s">
        <v>54</v>
      </c>
      <c r="Q12" s="805" t="s">
        <v>57</v>
      </c>
      <c r="R12" s="802" t="s">
        <v>36</v>
      </c>
      <c r="S12" s="802" t="s">
        <v>43</v>
      </c>
      <c r="T12" s="802" t="s">
        <v>39</v>
      </c>
      <c r="U12" s="806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</row>
    <row r="13">
      <c r="A13" s="807">
        <v>12.0</v>
      </c>
      <c r="B13" s="808"/>
      <c r="C13" s="809"/>
      <c r="D13" s="809"/>
      <c r="E13" s="809"/>
      <c r="F13" s="809"/>
      <c r="G13" s="810" t="s">
        <v>45</v>
      </c>
      <c r="H13" s="809" t="s">
        <v>41</v>
      </c>
      <c r="I13" s="809" t="s">
        <v>49</v>
      </c>
      <c r="J13" s="811" t="s">
        <v>39</v>
      </c>
      <c r="K13" s="809" t="s">
        <v>38</v>
      </c>
      <c r="L13" s="809" t="s">
        <v>36</v>
      </c>
      <c r="M13" s="809" t="s">
        <v>36</v>
      </c>
      <c r="N13" s="812" t="s">
        <v>49</v>
      </c>
      <c r="O13" s="812" t="s">
        <v>42</v>
      </c>
      <c r="P13" s="812" t="s">
        <v>43</v>
      </c>
      <c r="Q13" s="812" t="s">
        <v>44</v>
      </c>
      <c r="R13" s="809" t="s">
        <v>49</v>
      </c>
      <c r="S13" s="809" t="s">
        <v>44</v>
      </c>
      <c r="T13" s="809" t="s">
        <v>336</v>
      </c>
      <c r="U13" s="813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</row>
    <row r="16">
      <c r="A16" s="814" t="s">
        <v>0</v>
      </c>
      <c r="B16" s="815" t="s">
        <v>339</v>
      </c>
      <c r="C16" s="815" t="s">
        <v>340</v>
      </c>
      <c r="D16" s="815" t="s">
        <v>341</v>
      </c>
      <c r="E16" s="815" t="s">
        <v>342</v>
      </c>
      <c r="F16" s="815" t="s">
        <v>343</v>
      </c>
      <c r="G16" s="816" t="s">
        <v>344</v>
      </c>
      <c r="H16" s="30"/>
      <c r="I16" s="30"/>
      <c r="J16" s="30"/>
      <c r="K16" s="817" t="s">
        <v>84</v>
      </c>
      <c r="L16" s="818">
        <v>2030.0</v>
      </c>
      <c r="M16" s="818">
        <v>2029.0</v>
      </c>
      <c r="N16" s="818">
        <v>2028.0</v>
      </c>
      <c r="O16" s="818">
        <v>2027.0</v>
      </c>
      <c r="P16" s="818">
        <v>2026.0</v>
      </c>
      <c r="Q16" s="818">
        <v>2025.0</v>
      </c>
      <c r="R16" s="818">
        <v>2024.0</v>
      </c>
      <c r="S16" s="818">
        <v>2023.0</v>
      </c>
      <c r="T16" s="818">
        <v>2022.0</v>
      </c>
      <c r="U16" s="818">
        <v>2021.0</v>
      </c>
      <c r="V16" s="818">
        <v>2020.0</v>
      </c>
      <c r="W16" s="818">
        <v>2019.0</v>
      </c>
      <c r="X16" s="819">
        <v>2018.0</v>
      </c>
      <c r="Y16" s="819">
        <v>2017.0</v>
      </c>
      <c r="Z16" s="819">
        <v>2016.0</v>
      </c>
      <c r="AA16" s="819">
        <v>2015.0</v>
      </c>
      <c r="AB16" s="819">
        <v>2014.0</v>
      </c>
      <c r="AC16" s="819">
        <v>2013.0</v>
      </c>
      <c r="AD16" s="819">
        <v>2012.0</v>
      </c>
      <c r="AE16" s="819">
        <v>2011.0</v>
      </c>
      <c r="AF16" s="820" t="s">
        <v>345</v>
      </c>
    </row>
    <row r="17">
      <c r="A17" s="821" t="s">
        <v>43</v>
      </c>
      <c r="B17" s="822">
        <v>15.0</v>
      </c>
      <c r="C17" s="823">
        <f>AF17</f>
        <v>7.133333333</v>
      </c>
      <c r="D17" s="824">
        <v>5.0</v>
      </c>
      <c r="E17" s="824">
        <v>1.0</v>
      </c>
      <c r="F17" s="825">
        <f t="shared" ref="F17:F28" si="1">E17/B17</f>
        <v>0.06666666667</v>
      </c>
      <c r="G17" s="826">
        <f>vlookup(A17,DougMath!$A$2:$B$23,2,FALSE)</f>
        <v>1.1</v>
      </c>
      <c r="H17" s="30"/>
      <c r="I17" s="30"/>
      <c r="J17" s="30"/>
      <c r="K17" s="827" t="s">
        <v>43</v>
      </c>
      <c r="L17" s="828"/>
      <c r="M17" s="828"/>
      <c r="N17" s="828"/>
      <c r="O17" s="828"/>
      <c r="P17" s="828"/>
      <c r="Q17" s="829">
        <v>11.0</v>
      </c>
      <c r="R17" s="829">
        <v>2.0</v>
      </c>
      <c r="S17" s="829">
        <v>7.0</v>
      </c>
      <c r="T17" s="829">
        <v>9.0</v>
      </c>
      <c r="U17" s="829">
        <v>4.0</v>
      </c>
      <c r="V17" s="829">
        <v>8.0</v>
      </c>
      <c r="W17" s="829">
        <v>1.0</v>
      </c>
      <c r="X17" s="829">
        <v>6.0</v>
      </c>
      <c r="Y17" s="829">
        <v>10.0</v>
      </c>
      <c r="Z17" s="829">
        <v>12.0</v>
      </c>
      <c r="AA17" s="829">
        <v>8.0</v>
      </c>
      <c r="AB17" s="829">
        <v>8.0</v>
      </c>
      <c r="AC17" s="829">
        <v>11.0</v>
      </c>
      <c r="AD17" s="829">
        <v>8.0</v>
      </c>
      <c r="AE17" s="829">
        <v>2.0</v>
      </c>
      <c r="AF17" s="830">
        <f t="shared" ref="AF17:AF28" si="2">AVERAGE(Q17:AE17)</f>
        <v>7.133333333</v>
      </c>
    </row>
    <row r="18">
      <c r="A18" s="821" t="s">
        <v>44</v>
      </c>
      <c r="B18" s="824">
        <v>14.0</v>
      </c>
      <c r="C18" s="823">
        <f>AF22</f>
        <v>7.714285714</v>
      </c>
      <c r="D18" s="824">
        <v>5.0</v>
      </c>
      <c r="E18" s="824">
        <v>0.0</v>
      </c>
      <c r="F18" s="825">
        <f t="shared" si="1"/>
        <v>0</v>
      </c>
      <c r="G18" s="831">
        <f>vlookup(A18,DougMath!$A$2:$B$23,2,FALSE)</f>
        <v>0.8</v>
      </c>
      <c r="H18" s="30"/>
      <c r="I18" s="30"/>
      <c r="J18" s="30"/>
      <c r="K18" s="827" t="s">
        <v>70</v>
      </c>
      <c r="L18" s="828"/>
      <c r="M18" s="828"/>
      <c r="N18" s="828"/>
      <c r="O18" s="828"/>
      <c r="P18" s="828"/>
      <c r="Q18" s="829">
        <v>12.0</v>
      </c>
      <c r="R18" s="829">
        <v>8.0</v>
      </c>
      <c r="S18" s="829">
        <v>3.0</v>
      </c>
      <c r="T18" s="829">
        <v>7.0</v>
      </c>
      <c r="U18" s="829">
        <v>10.0</v>
      </c>
      <c r="V18" s="829">
        <v>5.0</v>
      </c>
      <c r="W18" s="829">
        <v>5.0</v>
      </c>
      <c r="X18" s="829">
        <v>3.0</v>
      </c>
      <c r="Y18" s="832">
        <v>6.0</v>
      </c>
      <c r="Z18" s="832">
        <v>3.0</v>
      </c>
      <c r="AA18" s="832">
        <v>6.0</v>
      </c>
      <c r="AB18" s="832">
        <v>10.0</v>
      </c>
      <c r="AC18" s="832">
        <v>10.0</v>
      </c>
      <c r="AD18" s="833"/>
      <c r="AE18" s="829">
        <v>8.0</v>
      </c>
      <c r="AF18" s="830">
        <f t="shared" si="2"/>
        <v>6.857142857</v>
      </c>
    </row>
    <row r="19">
      <c r="A19" s="821" t="s">
        <v>47</v>
      </c>
      <c r="B19" s="824">
        <v>1.0</v>
      </c>
      <c r="C19" s="823">
        <f>AF21</f>
        <v>6</v>
      </c>
      <c r="D19" s="824">
        <v>1.0</v>
      </c>
      <c r="E19" s="824">
        <v>0.0</v>
      </c>
      <c r="F19" s="825">
        <f t="shared" si="1"/>
        <v>0</v>
      </c>
      <c r="G19" s="831">
        <f>vlookup(A19,DougMath!$A$2:$B$23,2,FALSE)</f>
        <v>0.1111111111</v>
      </c>
      <c r="H19" s="30"/>
      <c r="I19" s="30"/>
      <c r="J19" s="30"/>
      <c r="K19" s="827" t="s">
        <v>36</v>
      </c>
      <c r="L19" s="828"/>
      <c r="M19" s="828"/>
      <c r="N19" s="828"/>
      <c r="O19" s="828"/>
      <c r="P19" s="828"/>
      <c r="Q19" s="829">
        <v>7.0</v>
      </c>
      <c r="R19" s="829">
        <v>6.0</v>
      </c>
      <c r="S19" s="829">
        <v>1.0</v>
      </c>
      <c r="T19" s="829">
        <v>1.0</v>
      </c>
      <c r="U19" s="829">
        <v>8.0</v>
      </c>
      <c r="V19" s="829">
        <v>12.0</v>
      </c>
      <c r="W19" s="829">
        <v>12.0</v>
      </c>
      <c r="X19" s="829">
        <v>2.0</v>
      </c>
      <c r="Y19" s="829">
        <v>1.0</v>
      </c>
      <c r="Z19" s="829">
        <v>1.0</v>
      </c>
      <c r="AA19" s="829">
        <v>3.0</v>
      </c>
      <c r="AB19" s="829">
        <v>11.0</v>
      </c>
      <c r="AC19" s="832">
        <v>1.0</v>
      </c>
      <c r="AD19" s="832">
        <v>5.0</v>
      </c>
      <c r="AE19" s="834" t="s">
        <v>346</v>
      </c>
      <c r="AF19" s="830">
        <f t="shared" si="2"/>
        <v>5.071428571</v>
      </c>
    </row>
    <row r="20">
      <c r="A20" s="821" t="s">
        <v>39</v>
      </c>
      <c r="B20" s="835">
        <v>15.0</v>
      </c>
      <c r="C20" s="823">
        <f>AF20</f>
        <v>5.933333333</v>
      </c>
      <c r="D20" s="824">
        <v>7.0</v>
      </c>
      <c r="E20" s="824">
        <v>1.0</v>
      </c>
      <c r="F20" s="825">
        <f t="shared" si="1"/>
        <v>0.06666666667</v>
      </c>
      <c r="G20" s="831">
        <f>vlookup(A20,DougMath!$A$2:$B$23,2,FALSE)</f>
        <v>1.2</v>
      </c>
      <c r="H20" s="30"/>
      <c r="I20" s="30"/>
      <c r="J20" s="30"/>
      <c r="K20" s="827" t="s">
        <v>39</v>
      </c>
      <c r="L20" s="828"/>
      <c r="M20" s="828"/>
      <c r="N20" s="828"/>
      <c r="O20" s="828"/>
      <c r="P20" s="828"/>
      <c r="Q20" s="829">
        <v>3.0</v>
      </c>
      <c r="R20" s="829">
        <v>5.0</v>
      </c>
      <c r="S20" s="829">
        <v>4.0</v>
      </c>
      <c r="T20" s="829">
        <v>12.0</v>
      </c>
      <c r="U20" s="829">
        <v>2.0</v>
      </c>
      <c r="V20" s="829">
        <v>1.0</v>
      </c>
      <c r="W20" s="829">
        <v>10.0</v>
      </c>
      <c r="X20" s="829">
        <v>8.0</v>
      </c>
      <c r="Y20" s="829">
        <v>2.0</v>
      </c>
      <c r="Z20" s="829">
        <v>8.0</v>
      </c>
      <c r="AA20" s="829">
        <v>2.0</v>
      </c>
      <c r="AB20" s="832">
        <v>9.0</v>
      </c>
      <c r="AC20" s="832">
        <v>7.0</v>
      </c>
      <c r="AD20" s="832">
        <v>11.0</v>
      </c>
      <c r="AE20" s="836">
        <v>5.0</v>
      </c>
      <c r="AF20" s="830">
        <f t="shared" si="2"/>
        <v>5.933333333</v>
      </c>
    </row>
    <row r="21">
      <c r="A21" s="821" t="s">
        <v>70</v>
      </c>
      <c r="B21" s="824">
        <v>14.0</v>
      </c>
      <c r="C21" s="823">
        <f t="shared" ref="C21:C22" si="3">AF18</f>
        <v>6.857142857</v>
      </c>
      <c r="D21" s="824">
        <v>7.0</v>
      </c>
      <c r="E21" s="824">
        <v>0.0</v>
      </c>
      <c r="F21" s="837">
        <f t="shared" si="1"/>
        <v>0</v>
      </c>
      <c r="G21" s="831">
        <f>vlookup(A21,DougMath!$A$2:$B$23,2,FALSE)</f>
        <v>1.4</v>
      </c>
      <c r="H21" s="30"/>
      <c r="I21" s="30"/>
      <c r="J21" s="30"/>
      <c r="K21" s="827" t="s">
        <v>47</v>
      </c>
      <c r="L21" s="828"/>
      <c r="M21" s="828"/>
      <c r="N21" s="828"/>
      <c r="O21" s="828"/>
      <c r="P21" s="828"/>
      <c r="Q21" s="829">
        <v>6.0</v>
      </c>
      <c r="R21" s="838"/>
      <c r="S21" s="838"/>
      <c r="T21" s="838"/>
      <c r="U21" s="838"/>
      <c r="V21" s="838"/>
      <c r="W21" s="838"/>
      <c r="X21" s="838"/>
      <c r="Y21" s="838"/>
      <c r="Z21" s="838"/>
      <c r="AA21" s="838"/>
      <c r="AB21" s="838"/>
      <c r="AC21" s="838"/>
      <c r="AD21" s="838"/>
      <c r="AE21" s="834" t="s">
        <v>346</v>
      </c>
      <c r="AF21" s="830">
        <f t="shared" si="2"/>
        <v>6</v>
      </c>
    </row>
    <row r="22">
      <c r="A22" s="821" t="s">
        <v>36</v>
      </c>
      <c r="B22" s="824">
        <v>14.0</v>
      </c>
      <c r="C22" s="823">
        <f t="shared" si="3"/>
        <v>5.071428571</v>
      </c>
      <c r="D22" s="822">
        <v>9.0</v>
      </c>
      <c r="E22" s="822">
        <v>5.0</v>
      </c>
      <c r="F22" s="839">
        <f t="shared" si="1"/>
        <v>0.3571428571</v>
      </c>
      <c r="G22" s="831">
        <f>vlookup(A22,DougMath!$A$2:$B$23,2,FALSE)</f>
        <v>1.3</v>
      </c>
      <c r="H22" s="30"/>
      <c r="I22" s="30"/>
      <c r="J22" s="30"/>
      <c r="K22" s="827" t="s">
        <v>44</v>
      </c>
      <c r="L22" s="828"/>
      <c r="M22" s="828"/>
      <c r="N22" s="828"/>
      <c r="O22" s="828"/>
      <c r="P22" s="828"/>
      <c r="Q22" s="829">
        <v>2.0</v>
      </c>
      <c r="R22" s="829">
        <v>7.0</v>
      </c>
      <c r="S22" s="829">
        <v>6.0</v>
      </c>
      <c r="T22" s="829">
        <v>8.0</v>
      </c>
      <c r="U22" s="829">
        <v>9.0</v>
      </c>
      <c r="V22" s="829">
        <v>11.0</v>
      </c>
      <c r="W22" s="829">
        <v>2.0</v>
      </c>
      <c r="X22" s="829">
        <v>11.0</v>
      </c>
      <c r="Y22" s="829">
        <v>4.0</v>
      </c>
      <c r="Z22" s="829">
        <v>9.0</v>
      </c>
      <c r="AA22" s="840">
        <v>12.0</v>
      </c>
      <c r="AB22" s="840">
        <v>6.0</v>
      </c>
      <c r="AC22" s="840">
        <v>12.0</v>
      </c>
      <c r="AD22" s="840">
        <v>9.0</v>
      </c>
      <c r="AE22" s="841"/>
      <c r="AF22" s="830">
        <f t="shared" si="2"/>
        <v>7.714285714</v>
      </c>
    </row>
    <row r="23">
      <c r="A23" s="821" t="s">
        <v>42</v>
      </c>
      <c r="B23" s="824">
        <v>10.0</v>
      </c>
      <c r="C23" s="823">
        <f t="shared" ref="C23:C28" si="4">AF23</f>
        <v>6.6</v>
      </c>
      <c r="D23" s="824">
        <v>5.0</v>
      </c>
      <c r="E23" s="824">
        <v>1.0</v>
      </c>
      <c r="F23" s="825">
        <f t="shared" si="1"/>
        <v>0.1</v>
      </c>
      <c r="G23" s="831">
        <f>vlookup(A23,DougMath!$A$2:$B$23,2,FALSE)</f>
        <v>1.444444444</v>
      </c>
      <c r="H23" s="30"/>
      <c r="I23" s="30"/>
      <c r="J23" s="30"/>
      <c r="K23" s="827" t="s">
        <v>42</v>
      </c>
      <c r="L23" s="828"/>
      <c r="M23" s="828"/>
      <c r="N23" s="828"/>
      <c r="O23" s="828"/>
      <c r="P23" s="828"/>
      <c r="Q23" s="829">
        <v>9.0</v>
      </c>
      <c r="R23" s="829">
        <v>11.0</v>
      </c>
      <c r="S23" s="829">
        <v>2.0</v>
      </c>
      <c r="T23" s="829">
        <v>3.0</v>
      </c>
      <c r="U23" s="829">
        <v>11.0</v>
      </c>
      <c r="V23" s="829">
        <v>4.0</v>
      </c>
      <c r="W23" s="829">
        <v>3.0</v>
      </c>
      <c r="X23" s="829">
        <v>1.0</v>
      </c>
      <c r="Y23" s="832">
        <v>12.0</v>
      </c>
      <c r="Z23" s="842">
        <v>10.0</v>
      </c>
      <c r="AA23" s="841"/>
      <c r="AB23" s="841"/>
      <c r="AC23" s="841"/>
      <c r="AD23" s="841"/>
      <c r="AE23" s="841"/>
      <c r="AF23" s="830">
        <f t="shared" si="2"/>
        <v>6.6</v>
      </c>
    </row>
    <row r="24">
      <c r="A24" s="821" t="s">
        <v>38</v>
      </c>
      <c r="B24" s="824">
        <v>9.0</v>
      </c>
      <c r="C24" s="823">
        <f t="shared" si="4"/>
        <v>7.555555556</v>
      </c>
      <c r="D24" s="824">
        <v>3.0</v>
      </c>
      <c r="E24" s="824">
        <v>1.0</v>
      </c>
      <c r="F24" s="825">
        <f t="shared" si="1"/>
        <v>0.1111111111</v>
      </c>
      <c r="G24" s="831">
        <f>vlookup(A24,DougMath!$A$2:$B$23,2,FALSE)</f>
        <v>1.1</v>
      </c>
      <c r="H24" s="30"/>
      <c r="I24" s="30"/>
      <c r="J24" s="30"/>
      <c r="K24" s="827" t="s">
        <v>38</v>
      </c>
      <c r="L24" s="843"/>
      <c r="M24" s="843"/>
      <c r="N24" s="843"/>
      <c r="O24" s="843"/>
      <c r="P24" s="843"/>
      <c r="Q24" s="829">
        <v>8.0</v>
      </c>
      <c r="R24" s="829">
        <v>1.0</v>
      </c>
      <c r="S24" s="829">
        <v>11.0</v>
      </c>
      <c r="T24" s="829">
        <v>11.0</v>
      </c>
      <c r="U24" s="829">
        <v>12.0</v>
      </c>
      <c r="V24" s="829">
        <v>7.0</v>
      </c>
      <c r="W24" s="829">
        <v>9.0</v>
      </c>
      <c r="X24" s="829">
        <v>4.0</v>
      </c>
      <c r="Y24" s="842">
        <v>5.0</v>
      </c>
      <c r="Z24" s="841"/>
      <c r="AA24" s="841"/>
      <c r="AB24" s="841"/>
      <c r="AC24" s="841"/>
      <c r="AD24" s="841"/>
      <c r="AE24" s="841"/>
      <c r="AF24" s="830">
        <f t="shared" si="2"/>
        <v>7.555555556</v>
      </c>
    </row>
    <row r="25">
      <c r="A25" s="821" t="s">
        <v>68</v>
      </c>
      <c r="B25" s="824">
        <v>7.0</v>
      </c>
      <c r="C25" s="844">
        <f t="shared" si="4"/>
        <v>3.857142857</v>
      </c>
      <c r="D25" s="824">
        <v>6.0</v>
      </c>
      <c r="E25" s="824">
        <v>2.0</v>
      </c>
      <c r="F25" s="825">
        <f t="shared" si="1"/>
        <v>0.2857142857</v>
      </c>
      <c r="G25" s="831">
        <f>vlookup(A25,DougMath!$A$2:$B$23,2,FALSE)</f>
        <v>1.4</v>
      </c>
      <c r="H25" s="30"/>
      <c r="I25" s="30"/>
      <c r="J25" s="30"/>
      <c r="K25" s="827" t="s">
        <v>68</v>
      </c>
      <c r="L25" s="828"/>
      <c r="M25" s="828"/>
      <c r="N25" s="828"/>
      <c r="O25" s="828"/>
      <c r="P25" s="828"/>
      <c r="Q25" s="845">
        <v>4.0</v>
      </c>
      <c r="R25" s="845">
        <v>4.0</v>
      </c>
      <c r="S25" s="845">
        <v>8.0</v>
      </c>
      <c r="T25" s="845">
        <v>1.0</v>
      </c>
      <c r="U25" s="845">
        <v>1.0</v>
      </c>
      <c r="V25" s="845">
        <v>3.0</v>
      </c>
      <c r="W25" s="845">
        <v>6.0</v>
      </c>
      <c r="X25" s="838"/>
      <c r="Y25" s="841"/>
      <c r="Z25" s="841"/>
      <c r="AA25" s="841"/>
      <c r="AB25" s="841"/>
      <c r="AC25" s="841"/>
      <c r="AD25" s="841"/>
      <c r="AE25" s="841"/>
      <c r="AF25" s="830">
        <f t="shared" si="2"/>
        <v>3.857142857</v>
      </c>
    </row>
    <row r="26">
      <c r="A26" s="821" t="s">
        <v>46</v>
      </c>
      <c r="B26" s="824">
        <v>7.0</v>
      </c>
      <c r="C26" s="823">
        <f t="shared" si="4"/>
        <v>7.285714286</v>
      </c>
      <c r="D26" s="824">
        <v>4.0</v>
      </c>
      <c r="E26" s="824">
        <v>0.0</v>
      </c>
      <c r="F26" s="825">
        <f t="shared" si="1"/>
        <v>0</v>
      </c>
      <c r="G26" s="831">
        <f>vlookup(A26,DougMath!$A$2:$B$23,2,FALSE)</f>
        <v>0.8</v>
      </c>
      <c r="H26" s="30"/>
      <c r="I26" s="30"/>
      <c r="J26" s="30"/>
      <c r="K26" s="827" t="s">
        <v>46</v>
      </c>
      <c r="L26" s="828"/>
      <c r="M26" s="828"/>
      <c r="N26" s="828"/>
      <c r="O26" s="828"/>
      <c r="P26" s="828"/>
      <c r="Q26" s="829">
        <v>10.0</v>
      </c>
      <c r="R26" s="829">
        <v>3.0</v>
      </c>
      <c r="S26" s="829">
        <v>9.0</v>
      </c>
      <c r="T26" s="829">
        <v>6.0</v>
      </c>
      <c r="U26" s="829">
        <v>6.0</v>
      </c>
      <c r="V26" s="829">
        <v>6.0</v>
      </c>
      <c r="W26" s="845">
        <v>11.0</v>
      </c>
      <c r="X26" s="838"/>
      <c r="Y26" s="841"/>
      <c r="Z26" s="841"/>
      <c r="AA26" s="841"/>
      <c r="AB26" s="841"/>
      <c r="AC26" s="841"/>
      <c r="AD26" s="841"/>
      <c r="AE26" s="841"/>
      <c r="AF26" s="830">
        <f t="shared" si="2"/>
        <v>7.285714286</v>
      </c>
    </row>
    <row r="27">
      <c r="A27" s="821" t="s">
        <v>41</v>
      </c>
      <c r="B27" s="835">
        <v>4.0</v>
      </c>
      <c r="C27" s="823">
        <f t="shared" si="4"/>
        <v>9.25</v>
      </c>
      <c r="D27" s="824">
        <v>1.0</v>
      </c>
      <c r="E27" s="824">
        <v>0.0</v>
      </c>
      <c r="F27" s="837">
        <f t="shared" si="1"/>
        <v>0</v>
      </c>
      <c r="G27" s="831">
        <f>vlookup(A27,DougMath!$A$2:$B$23,2,FALSE)</f>
        <v>0.2</v>
      </c>
      <c r="H27" s="30"/>
      <c r="I27" s="30"/>
      <c r="J27" s="30"/>
      <c r="K27" s="827" t="s">
        <v>41</v>
      </c>
      <c r="L27" s="828"/>
      <c r="M27" s="828"/>
      <c r="N27" s="828"/>
      <c r="O27" s="828"/>
      <c r="P27" s="828"/>
      <c r="Q27" s="829">
        <v>5.0</v>
      </c>
      <c r="R27" s="829">
        <v>12.0</v>
      </c>
      <c r="S27" s="829">
        <v>10.0</v>
      </c>
      <c r="T27" s="829">
        <v>10.0</v>
      </c>
      <c r="U27" s="838"/>
      <c r="V27" s="838"/>
      <c r="W27" s="838"/>
      <c r="X27" s="838"/>
      <c r="Y27" s="838"/>
      <c r="Z27" s="838"/>
      <c r="AA27" s="838"/>
      <c r="AB27" s="838"/>
      <c r="AC27" s="838"/>
      <c r="AD27" s="838"/>
      <c r="AE27" s="846"/>
      <c r="AF27" s="830">
        <f t="shared" si="2"/>
        <v>9.25</v>
      </c>
    </row>
    <row r="28">
      <c r="A28" s="821" t="s">
        <v>40</v>
      </c>
      <c r="B28" s="824">
        <v>1.0</v>
      </c>
      <c r="C28" s="823">
        <f t="shared" si="4"/>
        <v>1</v>
      </c>
      <c r="D28" s="824">
        <v>1.0</v>
      </c>
      <c r="E28" s="824">
        <v>1.0</v>
      </c>
      <c r="F28" s="837">
        <f t="shared" si="1"/>
        <v>1</v>
      </c>
      <c r="G28" s="831">
        <f>vlookup(A28,DougMath!$A$2:$B$23,2,FALSE)</f>
        <v>0</v>
      </c>
      <c r="H28" s="30"/>
      <c r="I28" s="30"/>
      <c r="J28" s="30"/>
      <c r="K28" s="847" t="s">
        <v>40</v>
      </c>
      <c r="L28" s="848"/>
      <c r="M28" s="848"/>
      <c r="N28" s="848"/>
      <c r="O28" s="848"/>
      <c r="P28" s="848"/>
      <c r="Q28" s="849">
        <v>1.0</v>
      </c>
      <c r="R28" s="850"/>
      <c r="S28" s="850"/>
      <c r="T28" s="850"/>
      <c r="U28" s="850"/>
      <c r="V28" s="850"/>
      <c r="W28" s="850"/>
      <c r="X28" s="850"/>
      <c r="Y28" s="850"/>
      <c r="Z28" s="850"/>
      <c r="AA28" s="851"/>
      <c r="AB28" s="851"/>
      <c r="AC28" s="851"/>
      <c r="AD28" s="851"/>
      <c r="AE28" s="851"/>
      <c r="AF28" s="852">
        <f t="shared" si="2"/>
        <v>1</v>
      </c>
    </row>
    <row r="29">
      <c r="A29" s="853" t="s">
        <v>93</v>
      </c>
      <c r="B29" s="854">
        <f t="shared" ref="B29:D29" si="5">AVERAGE(B17:B28)</f>
        <v>9.25</v>
      </c>
      <c r="C29" s="855">
        <f t="shared" si="5"/>
        <v>6.188161376</v>
      </c>
      <c r="D29" s="855">
        <f t="shared" si="5"/>
        <v>4.5</v>
      </c>
      <c r="E29" s="856">
        <f>SUM(E17:E28)</f>
        <v>12</v>
      </c>
      <c r="F29" s="857">
        <f>AVERAGE(F17:F28)</f>
        <v>0.1656084656</v>
      </c>
      <c r="G29" s="858"/>
      <c r="H29" s="30"/>
      <c r="I29" s="30"/>
      <c r="J29" s="30"/>
      <c r="K29" s="30"/>
      <c r="L29" s="30"/>
      <c r="M29" s="30"/>
      <c r="N29" s="859"/>
      <c r="O29" s="860"/>
      <c r="P29" s="860"/>
      <c r="Q29" s="860"/>
      <c r="R29" s="860"/>
      <c r="S29" s="860"/>
      <c r="T29" s="860"/>
      <c r="U29" s="860"/>
      <c r="V29" s="861"/>
      <c r="W29" s="861"/>
      <c r="X29" s="861"/>
      <c r="Y29" s="861"/>
      <c r="Z29" s="861"/>
      <c r="AA29" s="861"/>
      <c r="AB29" s="861"/>
      <c r="AC29" s="862"/>
      <c r="AD29" s="862"/>
      <c r="AE29" s="862"/>
      <c r="AF29" s="862"/>
    </row>
    <row r="30">
      <c r="A30" s="863" t="s">
        <v>48</v>
      </c>
      <c r="B30" s="835">
        <v>7.0</v>
      </c>
      <c r="C30" s="864">
        <v>7.71</v>
      </c>
      <c r="D30" s="835">
        <v>2.0</v>
      </c>
      <c r="E30" s="835">
        <v>0.0</v>
      </c>
      <c r="F30" s="825">
        <f t="shared" ref="F30:F44" si="6">E30/B30</f>
        <v>0</v>
      </c>
      <c r="G30" s="865">
        <f>vlookup(A30,DougMath!$A$2:$B$23,2,FALSE)</f>
        <v>0.7777777778</v>
      </c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</row>
    <row r="31">
      <c r="A31" s="863" t="s">
        <v>52</v>
      </c>
      <c r="B31" s="835">
        <v>8.0</v>
      </c>
      <c r="C31" s="864">
        <v>5.5</v>
      </c>
      <c r="D31" s="835">
        <v>6.0</v>
      </c>
      <c r="E31" s="835">
        <v>0.0</v>
      </c>
      <c r="F31" s="825">
        <f t="shared" si="6"/>
        <v>0</v>
      </c>
      <c r="G31" s="865">
        <f>vlookup(A31,DougMath!$A$2:$B$23,2,FALSE)</f>
        <v>0.25</v>
      </c>
      <c r="H31" s="30"/>
      <c r="I31" s="30"/>
      <c r="J31" s="30"/>
    </row>
    <row r="32">
      <c r="A32" s="863" t="s">
        <v>50</v>
      </c>
      <c r="B32" s="835">
        <v>2.0</v>
      </c>
      <c r="C32" s="864">
        <v>6.0</v>
      </c>
      <c r="D32" s="835">
        <v>1.0</v>
      </c>
      <c r="E32" s="835">
        <v>0.0</v>
      </c>
      <c r="F32" s="825">
        <f t="shared" si="6"/>
        <v>0</v>
      </c>
      <c r="G32" s="831">
        <f>vlookup(A32,DougMath!$A$2:$B$23,2,FALSE)</f>
        <v>0.5</v>
      </c>
      <c r="H32" s="30"/>
      <c r="I32" s="30"/>
      <c r="J32" s="30"/>
    </row>
    <row r="33">
      <c r="A33" s="863" t="s">
        <v>57</v>
      </c>
      <c r="B33" s="835">
        <v>6.0</v>
      </c>
      <c r="C33" s="864">
        <v>5.5</v>
      </c>
      <c r="D33" s="835">
        <v>3.0</v>
      </c>
      <c r="E33" s="835">
        <v>1.0</v>
      </c>
      <c r="F33" s="825">
        <f t="shared" si="6"/>
        <v>0.1666666667</v>
      </c>
      <c r="G33" s="831">
        <f>vlookup(A33,DougMath!$A$2:$B$23,2,FALSE)</f>
        <v>0</v>
      </c>
      <c r="H33" s="30"/>
      <c r="I33" s="30"/>
      <c r="J33" s="30"/>
    </row>
    <row r="34">
      <c r="A34" s="863" t="s">
        <v>56</v>
      </c>
      <c r="B34" s="835">
        <v>6.0</v>
      </c>
      <c r="C34" s="864">
        <v>5.5</v>
      </c>
      <c r="D34" s="835">
        <v>3.0</v>
      </c>
      <c r="E34" s="835">
        <v>1.0</v>
      </c>
      <c r="F34" s="825">
        <f t="shared" si="6"/>
        <v>0.1666666667</v>
      </c>
      <c r="G34" s="831">
        <f>vlookup(A34,DougMath!$A$2:$B$23,2,FALSE)</f>
        <v>0</v>
      </c>
      <c r="H34" s="30"/>
      <c r="I34" s="30"/>
      <c r="J34" s="30"/>
    </row>
    <row r="35">
      <c r="A35" s="863" t="s">
        <v>72</v>
      </c>
      <c r="B35" s="835">
        <v>6.0</v>
      </c>
      <c r="C35" s="864">
        <v>4.33</v>
      </c>
      <c r="D35" s="835">
        <v>4.0</v>
      </c>
      <c r="E35" s="835">
        <v>0.0</v>
      </c>
      <c r="F35" s="825">
        <f t="shared" si="6"/>
        <v>0</v>
      </c>
      <c r="G35" s="831">
        <f>vlookup(A35,DougMath!$A$2:$B$23,2,FALSE)</f>
        <v>0.75</v>
      </c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</row>
    <row r="36">
      <c r="A36" s="863" t="s">
        <v>54</v>
      </c>
      <c r="B36" s="835">
        <v>5.0</v>
      </c>
      <c r="C36" s="864">
        <v>6.4</v>
      </c>
      <c r="D36" s="835">
        <v>2.0</v>
      </c>
      <c r="E36" s="835">
        <v>1.0</v>
      </c>
      <c r="F36" s="825">
        <f t="shared" si="6"/>
        <v>0.2</v>
      </c>
      <c r="G36" s="831">
        <f>vlookup(A36,DougMath!$A$2:$B$23,2,FALSE)</f>
        <v>0.125</v>
      </c>
      <c r="H36" s="30"/>
      <c r="I36" s="30"/>
      <c r="J36" s="30"/>
    </row>
    <row r="37">
      <c r="A37" s="863" t="s">
        <v>49</v>
      </c>
      <c r="B37" s="835">
        <v>13.0</v>
      </c>
      <c r="C37" s="864">
        <v>6.84</v>
      </c>
      <c r="D37" s="835">
        <v>6.0</v>
      </c>
      <c r="E37" s="835">
        <v>0.0</v>
      </c>
      <c r="F37" s="825">
        <f t="shared" si="6"/>
        <v>0</v>
      </c>
      <c r="G37" s="831">
        <f>vlookup(A37,DougMath!$A$2:$B$23,2,FALSE)</f>
        <v>0.375</v>
      </c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</row>
    <row r="38">
      <c r="A38" s="863" t="s">
        <v>317</v>
      </c>
      <c r="B38" s="835">
        <v>4.0</v>
      </c>
      <c r="C38" s="864">
        <v>3.5</v>
      </c>
      <c r="D38" s="835">
        <v>3.0</v>
      </c>
      <c r="E38" s="835">
        <v>1.0</v>
      </c>
      <c r="F38" s="825">
        <f t="shared" si="6"/>
        <v>0.25</v>
      </c>
      <c r="G38" s="866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</row>
    <row r="39">
      <c r="A39" s="863" t="s">
        <v>51</v>
      </c>
      <c r="B39" s="835">
        <v>3.0</v>
      </c>
      <c r="C39" s="864">
        <v>6.67</v>
      </c>
      <c r="D39" s="835">
        <v>1.0</v>
      </c>
      <c r="E39" s="835">
        <v>0.0</v>
      </c>
      <c r="F39" s="837">
        <f t="shared" si="6"/>
        <v>0</v>
      </c>
      <c r="G39" s="831">
        <f>vlookup(A39,DougMath!$A$2:$B$23,2,FALSE)</f>
        <v>0.375</v>
      </c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>
      <c r="A40" s="863" t="s">
        <v>336</v>
      </c>
      <c r="B40" s="835">
        <v>2.0</v>
      </c>
      <c r="C40" s="864">
        <v>7.5</v>
      </c>
      <c r="D40" s="835">
        <v>1.0</v>
      </c>
      <c r="E40" s="835">
        <v>0.0</v>
      </c>
      <c r="F40" s="837">
        <f t="shared" si="6"/>
        <v>0</v>
      </c>
      <c r="G40" s="866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>
      <c r="A41" s="863" t="s">
        <v>347</v>
      </c>
      <c r="B41" s="835">
        <v>2.0</v>
      </c>
      <c r="C41" s="864">
        <v>10.0</v>
      </c>
      <c r="D41" s="835">
        <v>0.0</v>
      </c>
      <c r="E41" s="835">
        <v>0.0</v>
      </c>
      <c r="F41" s="825">
        <f t="shared" si="6"/>
        <v>0</v>
      </c>
      <c r="G41" s="866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>
      <c r="A42" s="863" t="s">
        <v>335</v>
      </c>
      <c r="B42" s="835">
        <v>1.0</v>
      </c>
      <c r="C42" s="864">
        <v>3.0</v>
      </c>
      <c r="D42" s="835">
        <v>1.0</v>
      </c>
      <c r="E42" s="835">
        <v>0.0</v>
      </c>
      <c r="F42" s="825">
        <f t="shared" si="6"/>
        <v>0</v>
      </c>
      <c r="G42" s="866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>
      <c r="A43" s="863" t="s">
        <v>53</v>
      </c>
      <c r="B43" s="835">
        <v>1.0</v>
      </c>
      <c r="C43" s="864">
        <v>9.0</v>
      </c>
      <c r="D43" s="835">
        <v>0.0</v>
      </c>
      <c r="E43" s="835">
        <v>0.0</v>
      </c>
      <c r="F43" s="825">
        <f t="shared" si="6"/>
        <v>0</v>
      </c>
      <c r="G43" s="831">
        <f>vlookup(A43,DougMath!$A$2:$B$23,2,FALSE)</f>
        <v>0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>
      <c r="A44" s="867" t="s">
        <v>338</v>
      </c>
      <c r="B44" s="868">
        <v>1.0</v>
      </c>
      <c r="C44" s="869">
        <v>11.0</v>
      </c>
      <c r="D44" s="868">
        <v>0.0</v>
      </c>
      <c r="E44" s="868">
        <v>0.0</v>
      </c>
      <c r="F44" s="870">
        <f t="shared" si="6"/>
        <v>0</v>
      </c>
      <c r="G44" s="871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</row>
    <row r="100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</row>
    <row r="1002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</row>
    <row r="1003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30"/>
      <c r="AE1003" s="30"/>
      <c r="AF1003" s="30"/>
    </row>
    <row r="1004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  <c r="AD1004" s="30"/>
      <c r="AE1004" s="30"/>
      <c r="AF1004" s="3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8" t="s">
        <v>66</v>
      </c>
      <c r="B1" s="38" t="s">
        <v>67</v>
      </c>
      <c r="C1" s="38">
        <v>2025.0</v>
      </c>
      <c r="D1" s="38">
        <v>2024.0</v>
      </c>
      <c r="E1" s="38">
        <v>2023.0</v>
      </c>
      <c r="F1" s="38">
        <v>2022.0</v>
      </c>
      <c r="G1" s="38">
        <v>2021.0</v>
      </c>
      <c r="H1" s="38">
        <v>2020.0</v>
      </c>
      <c r="I1" s="38">
        <v>2019.0</v>
      </c>
      <c r="J1" s="38">
        <v>2018.0</v>
      </c>
      <c r="K1" s="38">
        <v>2017.0</v>
      </c>
      <c r="L1" s="38">
        <v>2016.0</v>
      </c>
    </row>
    <row r="2">
      <c r="A2" s="39" t="s">
        <v>36</v>
      </c>
      <c r="B2" s="40">
        <f t="shared" ref="B2:B13" si="1">average(C2:L2)</f>
        <v>1.3</v>
      </c>
      <c r="C2" s="41">
        <v>1.0</v>
      </c>
      <c r="D2" s="41">
        <v>2.0</v>
      </c>
      <c r="E2" s="42">
        <v>1.0</v>
      </c>
      <c r="F2" s="43">
        <v>2.0</v>
      </c>
      <c r="G2" s="43">
        <v>1.0</v>
      </c>
      <c r="H2" s="43">
        <v>0.0</v>
      </c>
      <c r="I2" s="44">
        <v>1.0</v>
      </c>
      <c r="J2" s="45">
        <v>1.0</v>
      </c>
      <c r="K2" s="45">
        <v>1.0</v>
      </c>
      <c r="L2" s="45">
        <v>3.0</v>
      </c>
    </row>
    <row r="3">
      <c r="A3" s="46" t="s">
        <v>68</v>
      </c>
      <c r="B3" s="40">
        <f t="shared" si="1"/>
        <v>1.4</v>
      </c>
      <c r="C3" s="47">
        <v>3.0</v>
      </c>
      <c r="D3" s="47">
        <v>3.0</v>
      </c>
      <c r="E3" s="42">
        <v>1.0</v>
      </c>
      <c r="F3" s="43">
        <v>4.0</v>
      </c>
      <c r="G3" s="43">
        <v>0.0</v>
      </c>
      <c r="H3" s="43">
        <v>3.0</v>
      </c>
      <c r="I3" s="44">
        <v>0.0</v>
      </c>
      <c r="J3" s="48">
        <v>0.0</v>
      </c>
      <c r="K3" s="48">
        <v>0.0</v>
      </c>
      <c r="L3" s="48">
        <v>0.0</v>
      </c>
    </row>
    <row r="4">
      <c r="A4" s="46" t="s">
        <v>38</v>
      </c>
      <c r="B4" s="40">
        <f t="shared" si="1"/>
        <v>1.1</v>
      </c>
      <c r="C4" s="47">
        <v>2.0</v>
      </c>
      <c r="D4" s="47">
        <v>2.0</v>
      </c>
      <c r="E4" s="42">
        <v>0.0</v>
      </c>
      <c r="F4" s="43">
        <v>0.0</v>
      </c>
      <c r="G4" s="43">
        <v>1.0</v>
      </c>
      <c r="H4" s="43">
        <v>2.0</v>
      </c>
      <c r="I4" s="44">
        <v>0.0</v>
      </c>
      <c r="J4" s="45">
        <v>3.0</v>
      </c>
      <c r="K4" s="45">
        <v>1.0</v>
      </c>
      <c r="L4" s="48">
        <v>0.0</v>
      </c>
    </row>
    <row r="5">
      <c r="A5" s="46" t="s">
        <v>39</v>
      </c>
      <c r="B5" s="40">
        <f t="shared" si="1"/>
        <v>1.2</v>
      </c>
      <c r="C5" s="47">
        <v>3.0</v>
      </c>
      <c r="D5" s="47">
        <v>1.0</v>
      </c>
      <c r="E5" s="42">
        <v>3.0</v>
      </c>
      <c r="F5" s="43">
        <v>0.0</v>
      </c>
      <c r="G5" s="43">
        <v>1.0</v>
      </c>
      <c r="H5" s="43">
        <v>0.0</v>
      </c>
      <c r="I5" s="44">
        <v>0.0</v>
      </c>
      <c r="J5" s="45">
        <v>1.0</v>
      </c>
      <c r="K5" s="45">
        <v>3.0</v>
      </c>
      <c r="L5" s="45">
        <v>0.0</v>
      </c>
    </row>
    <row r="6">
      <c r="A6" s="49" t="s">
        <v>47</v>
      </c>
      <c r="B6" s="40">
        <f t="shared" si="1"/>
        <v>0.1111111111</v>
      </c>
      <c r="C6" s="47">
        <v>1.0</v>
      </c>
      <c r="D6" s="50"/>
      <c r="E6" s="48">
        <v>0.0</v>
      </c>
      <c r="F6" s="48">
        <v>0.0</v>
      </c>
      <c r="G6" s="48">
        <v>0.0</v>
      </c>
      <c r="H6" s="48">
        <v>0.0</v>
      </c>
      <c r="I6" s="48">
        <v>0.0</v>
      </c>
      <c r="J6" s="48">
        <v>0.0</v>
      </c>
      <c r="K6" s="48">
        <v>0.0</v>
      </c>
      <c r="L6" s="48">
        <v>0.0</v>
      </c>
    </row>
    <row r="7">
      <c r="A7" s="46" t="s">
        <v>41</v>
      </c>
      <c r="B7" s="40">
        <f t="shared" si="1"/>
        <v>0.2</v>
      </c>
      <c r="C7" s="47">
        <v>2.0</v>
      </c>
      <c r="D7" s="47">
        <v>0.0</v>
      </c>
      <c r="E7" s="42">
        <v>0.0</v>
      </c>
      <c r="F7" s="43">
        <v>0.0</v>
      </c>
      <c r="G7" s="51">
        <v>0.0</v>
      </c>
      <c r="H7" s="51">
        <v>0.0</v>
      </c>
      <c r="I7" s="51">
        <v>0.0</v>
      </c>
      <c r="J7" s="51">
        <v>0.0</v>
      </c>
      <c r="K7" s="51">
        <v>0.0</v>
      </c>
      <c r="L7" s="51">
        <v>0.0</v>
      </c>
    </row>
    <row r="8">
      <c r="A8" s="46" t="s">
        <v>42</v>
      </c>
      <c r="B8" s="40">
        <f t="shared" si="1"/>
        <v>1.444444444</v>
      </c>
      <c r="C8" s="47">
        <v>1.0</v>
      </c>
      <c r="D8" s="47">
        <v>0.0</v>
      </c>
      <c r="E8" s="42">
        <v>1.0</v>
      </c>
      <c r="F8" s="43">
        <v>0.0</v>
      </c>
      <c r="G8" s="43">
        <v>2.0</v>
      </c>
      <c r="H8" s="43">
        <v>2.0</v>
      </c>
      <c r="I8" s="44">
        <v>4.0</v>
      </c>
      <c r="J8" s="45">
        <v>2.0</v>
      </c>
      <c r="K8" s="45">
        <v>1.0</v>
      </c>
    </row>
    <row r="9">
      <c r="A9" s="46" t="s">
        <v>43</v>
      </c>
      <c r="B9" s="40">
        <f t="shared" si="1"/>
        <v>1.1</v>
      </c>
      <c r="C9" s="47">
        <v>0.0</v>
      </c>
      <c r="D9" s="47">
        <v>1.0</v>
      </c>
      <c r="E9" s="42">
        <v>0.0</v>
      </c>
      <c r="F9" s="43">
        <v>0.0</v>
      </c>
      <c r="G9" s="43">
        <v>0.0</v>
      </c>
      <c r="H9" s="43">
        <v>1.0</v>
      </c>
      <c r="I9" s="44">
        <v>3.0</v>
      </c>
      <c r="J9" s="45">
        <v>3.0</v>
      </c>
      <c r="K9" s="45">
        <v>1.0</v>
      </c>
      <c r="L9" s="45">
        <v>2.0</v>
      </c>
    </row>
    <row r="10">
      <c r="A10" s="46" t="s">
        <v>44</v>
      </c>
      <c r="B10" s="40">
        <f t="shared" si="1"/>
        <v>0.8</v>
      </c>
      <c r="C10" s="47">
        <v>1.0</v>
      </c>
      <c r="D10" s="47">
        <v>0.0</v>
      </c>
      <c r="E10" s="42">
        <v>4.0</v>
      </c>
      <c r="F10" s="43">
        <v>0.0</v>
      </c>
      <c r="G10" s="43">
        <v>0.0</v>
      </c>
      <c r="H10" s="43">
        <v>0.0</v>
      </c>
      <c r="I10" s="44">
        <v>1.0</v>
      </c>
      <c r="J10" s="45">
        <v>0.0</v>
      </c>
      <c r="K10" s="45">
        <v>1.0</v>
      </c>
      <c r="L10" s="45">
        <v>1.0</v>
      </c>
    </row>
    <row r="11">
      <c r="A11" s="46" t="s">
        <v>70</v>
      </c>
      <c r="B11" s="40">
        <f t="shared" si="1"/>
        <v>1.4</v>
      </c>
      <c r="C11" s="47">
        <v>0.0</v>
      </c>
      <c r="D11" s="47">
        <v>0.0</v>
      </c>
      <c r="E11" s="42">
        <v>3.0</v>
      </c>
      <c r="F11" s="43">
        <v>1.0</v>
      </c>
      <c r="G11" s="43">
        <v>2.0</v>
      </c>
      <c r="H11" s="43">
        <v>4.0</v>
      </c>
      <c r="I11" s="44">
        <v>2.0</v>
      </c>
      <c r="J11" s="48">
        <v>0.0</v>
      </c>
      <c r="K11" s="45">
        <v>1.0</v>
      </c>
      <c r="L11" s="45">
        <v>1.0</v>
      </c>
    </row>
    <row r="12">
      <c r="A12" s="46" t="s">
        <v>46</v>
      </c>
      <c r="B12" s="40">
        <f t="shared" si="1"/>
        <v>0.8</v>
      </c>
      <c r="C12" s="47">
        <v>0.0</v>
      </c>
      <c r="D12" s="47">
        <v>5.0</v>
      </c>
      <c r="E12" s="42">
        <v>0.0</v>
      </c>
      <c r="F12" s="42">
        <v>2.0</v>
      </c>
      <c r="G12" s="42">
        <v>1.0</v>
      </c>
      <c r="H12" s="48">
        <v>0.0</v>
      </c>
      <c r="I12" s="48">
        <v>0.0</v>
      </c>
      <c r="J12" s="48">
        <v>0.0</v>
      </c>
      <c r="K12" s="48">
        <v>0.0</v>
      </c>
      <c r="L12" s="48">
        <v>0.0</v>
      </c>
    </row>
    <row r="13">
      <c r="A13" s="52" t="s">
        <v>40</v>
      </c>
      <c r="B13" s="40">
        <f t="shared" si="1"/>
        <v>0</v>
      </c>
      <c r="C13" s="47">
        <v>0.0</v>
      </c>
      <c r="D13" s="50"/>
      <c r="E13" s="48">
        <v>0.0</v>
      </c>
      <c r="F13" s="48">
        <v>0.0</v>
      </c>
      <c r="G13" s="48">
        <v>0.0</v>
      </c>
      <c r="H13" s="48">
        <v>0.0</v>
      </c>
      <c r="I13" s="48">
        <v>0.0</v>
      </c>
      <c r="J13" s="48">
        <v>0.0</v>
      </c>
      <c r="K13" s="48">
        <v>0.0</v>
      </c>
      <c r="L13" s="48">
        <v>0.0</v>
      </c>
    </row>
    <row r="14">
      <c r="A14" s="53" t="s">
        <v>49</v>
      </c>
      <c r="B14" s="40">
        <f>average(D14:L14)</f>
        <v>0.375</v>
      </c>
      <c r="C14" s="50"/>
      <c r="D14" s="50"/>
      <c r="E14" s="48">
        <v>0.0</v>
      </c>
      <c r="F14" s="48">
        <v>0.0</v>
      </c>
      <c r="G14" s="43">
        <v>3.0</v>
      </c>
      <c r="H14" s="48">
        <v>0.0</v>
      </c>
      <c r="I14" s="48">
        <v>0.0</v>
      </c>
      <c r="J14" s="48">
        <v>0.0</v>
      </c>
      <c r="K14" s="48">
        <v>0.0</v>
      </c>
      <c r="L14" s="48">
        <v>0.0</v>
      </c>
    </row>
    <row r="15">
      <c r="A15" s="53" t="s">
        <v>50</v>
      </c>
      <c r="B15" s="40">
        <f>average(E15:L15)</f>
        <v>0.5</v>
      </c>
      <c r="C15" s="50"/>
      <c r="D15" s="47">
        <v>0.0</v>
      </c>
      <c r="E15" s="48">
        <v>0.0</v>
      </c>
      <c r="F15" s="43">
        <v>1.0</v>
      </c>
      <c r="G15" s="43">
        <v>2.0</v>
      </c>
      <c r="H15" s="48">
        <v>0.0</v>
      </c>
      <c r="I15" s="48">
        <v>0.0</v>
      </c>
      <c r="J15" s="48">
        <v>0.0</v>
      </c>
      <c r="K15" s="48">
        <v>0.0</v>
      </c>
      <c r="L15" s="45">
        <v>1.0</v>
      </c>
    </row>
    <row r="16">
      <c r="A16" s="53" t="s">
        <v>48</v>
      </c>
      <c r="B16" s="40">
        <f>average(D16:L16)</f>
        <v>0.7777777778</v>
      </c>
      <c r="C16" s="50"/>
      <c r="D16" s="47">
        <v>0.0</v>
      </c>
      <c r="E16" s="42">
        <v>1.0</v>
      </c>
      <c r="F16" s="43">
        <v>2.0</v>
      </c>
      <c r="G16" s="43">
        <v>1.0</v>
      </c>
      <c r="H16" s="43">
        <v>1.0</v>
      </c>
      <c r="I16" s="44">
        <v>1.0</v>
      </c>
      <c r="J16" s="45">
        <v>1.0</v>
      </c>
      <c r="K16" s="48">
        <v>0.0</v>
      </c>
      <c r="L16" s="48">
        <v>0.0</v>
      </c>
    </row>
    <row r="17">
      <c r="A17" s="54" t="s">
        <v>51</v>
      </c>
      <c r="B17" s="55">
        <f t="shared" ref="B17:B23" si="2">average(E17:L17)</f>
        <v>0.375</v>
      </c>
      <c r="C17" s="50"/>
      <c r="D17" s="50"/>
      <c r="E17" s="48">
        <v>0.0</v>
      </c>
      <c r="F17" s="48">
        <v>0.0</v>
      </c>
      <c r="G17" s="48">
        <v>0.0</v>
      </c>
      <c r="H17" s="48">
        <v>0.0</v>
      </c>
      <c r="I17" s="44">
        <v>1.0</v>
      </c>
      <c r="J17" s="45">
        <v>1.0</v>
      </c>
      <c r="K17" s="45">
        <v>1.0</v>
      </c>
      <c r="L17" s="48">
        <v>0.0</v>
      </c>
    </row>
    <row r="18">
      <c r="A18" s="54" t="s">
        <v>52</v>
      </c>
      <c r="B18" s="55">
        <f t="shared" si="2"/>
        <v>0.25</v>
      </c>
      <c r="C18" s="50"/>
      <c r="D18" s="50"/>
      <c r="E18" s="48">
        <v>0.0</v>
      </c>
      <c r="F18" s="48">
        <v>0.0</v>
      </c>
      <c r="G18" s="48">
        <v>0.0</v>
      </c>
      <c r="H18" s="48">
        <v>0.0</v>
      </c>
      <c r="I18" s="48">
        <v>0.0</v>
      </c>
      <c r="J18" s="45">
        <v>1.0</v>
      </c>
      <c r="K18" s="45">
        <v>1.0</v>
      </c>
      <c r="L18" s="48">
        <v>0.0</v>
      </c>
    </row>
    <row r="19">
      <c r="A19" s="54" t="s">
        <v>53</v>
      </c>
      <c r="B19" s="55">
        <f t="shared" si="2"/>
        <v>0</v>
      </c>
      <c r="C19" s="50"/>
      <c r="D19" s="50"/>
      <c r="E19" s="48">
        <v>0.0</v>
      </c>
      <c r="F19" s="48">
        <v>0.0</v>
      </c>
      <c r="G19" s="48">
        <v>0.0</v>
      </c>
      <c r="H19" s="48">
        <v>0.0</v>
      </c>
      <c r="I19" s="48">
        <v>0.0</v>
      </c>
      <c r="J19" s="48">
        <v>0.0</v>
      </c>
      <c r="K19" s="48">
        <v>0.0</v>
      </c>
      <c r="L19" s="48">
        <v>0.0</v>
      </c>
    </row>
    <row r="20">
      <c r="A20" s="54" t="s">
        <v>54</v>
      </c>
      <c r="B20" s="55">
        <f t="shared" si="2"/>
        <v>0.125</v>
      </c>
      <c r="C20" s="50"/>
      <c r="D20" s="50"/>
      <c r="E20" s="48">
        <v>0.0</v>
      </c>
      <c r="F20" s="48">
        <v>0.0</v>
      </c>
      <c r="G20" s="48">
        <v>0.0</v>
      </c>
      <c r="H20" s="48">
        <v>0.0</v>
      </c>
      <c r="I20" s="48">
        <v>0.0</v>
      </c>
      <c r="J20" s="48">
        <v>0.0</v>
      </c>
      <c r="K20" s="45">
        <v>1.0</v>
      </c>
      <c r="L20" s="48">
        <v>0.0</v>
      </c>
    </row>
    <row r="21">
      <c r="A21" s="56" t="s">
        <v>72</v>
      </c>
      <c r="B21" s="55">
        <f t="shared" si="2"/>
        <v>0.75</v>
      </c>
      <c r="C21" s="50"/>
      <c r="D21" s="50"/>
      <c r="E21" s="48">
        <v>0.0</v>
      </c>
      <c r="F21" s="48">
        <v>0.0</v>
      </c>
      <c r="G21" s="48">
        <v>0.0</v>
      </c>
      <c r="H21" s="48">
        <v>0.0</v>
      </c>
      <c r="I21" s="48">
        <v>0.0</v>
      </c>
      <c r="J21" s="48">
        <v>0.0</v>
      </c>
      <c r="K21" s="45">
        <v>1.0</v>
      </c>
      <c r="L21" s="45">
        <v>5.0</v>
      </c>
    </row>
    <row r="22">
      <c r="A22" s="57" t="s">
        <v>56</v>
      </c>
      <c r="B22" s="55">
        <f t="shared" si="2"/>
        <v>0</v>
      </c>
      <c r="C22" s="50"/>
      <c r="D22" s="50"/>
      <c r="E22" s="48">
        <v>0.0</v>
      </c>
      <c r="F22" s="48">
        <v>0.0</v>
      </c>
      <c r="G22" s="48">
        <v>0.0</v>
      </c>
      <c r="H22" s="48">
        <v>0.0</v>
      </c>
      <c r="I22" s="48">
        <v>0.0</v>
      </c>
      <c r="J22" s="48">
        <v>0.0</v>
      </c>
      <c r="K22" s="48">
        <v>0.0</v>
      </c>
      <c r="L22" s="48">
        <v>0.0</v>
      </c>
    </row>
    <row r="23">
      <c r="A23" s="57" t="s">
        <v>57</v>
      </c>
      <c r="B23" s="55">
        <f t="shared" si="2"/>
        <v>0</v>
      </c>
      <c r="C23" s="50"/>
      <c r="D23" s="58">
        <v>0.0</v>
      </c>
      <c r="E23" s="48">
        <v>0.0</v>
      </c>
      <c r="F23" s="48">
        <v>0.0</v>
      </c>
      <c r="G23" s="48">
        <v>0.0</v>
      </c>
      <c r="H23" s="48">
        <v>0.0</v>
      </c>
      <c r="I23" s="48">
        <v>0.0</v>
      </c>
      <c r="J23" s="48">
        <v>0.0</v>
      </c>
      <c r="K23" s="48">
        <v>0.0</v>
      </c>
      <c r="L23" s="48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9.88"/>
    <col customWidth="1" min="3" max="3" width="10.88"/>
    <col customWidth="1" min="4" max="4" width="10.63"/>
    <col customWidth="1" min="5" max="5" width="9.38"/>
    <col customWidth="1" min="6" max="6" width="8.75"/>
    <col customWidth="1" min="7" max="7" width="6.75"/>
    <col customWidth="1" min="8" max="8" width="8.38"/>
    <col customWidth="1" min="9" max="9" width="7.38"/>
    <col customWidth="1" min="10" max="10" width="8.63"/>
    <col customWidth="1" min="11" max="11" width="7.0"/>
    <col customWidth="1" min="12" max="12" width="5.13"/>
    <col customWidth="1" min="13" max="13" width="18.0"/>
    <col customWidth="1" min="14" max="14" width="5.0"/>
    <col customWidth="1" min="15" max="15" width="4.5"/>
    <col customWidth="1" min="16" max="16" width="4.88"/>
    <col customWidth="1" min="17" max="17" width="5.38"/>
    <col customWidth="1" min="18" max="19" width="7.0"/>
    <col customWidth="1" min="20" max="20" width="9.25"/>
    <col customWidth="1" min="21" max="21" width="7.25"/>
    <col customWidth="1" min="22" max="22" width="7.38"/>
  </cols>
  <sheetData>
    <row r="1">
      <c r="A1" s="59" t="s">
        <v>0</v>
      </c>
      <c r="B1" s="60" t="s">
        <v>75</v>
      </c>
      <c r="C1" s="60" t="s">
        <v>75</v>
      </c>
      <c r="D1" s="61" t="s">
        <v>76</v>
      </c>
      <c r="E1" s="61" t="s">
        <v>77</v>
      </c>
      <c r="F1" s="61" t="s">
        <v>78</v>
      </c>
      <c r="G1" s="62" t="s">
        <v>79</v>
      </c>
      <c r="H1" s="63" t="s">
        <v>80</v>
      </c>
      <c r="I1" s="64" t="s">
        <v>81</v>
      </c>
      <c r="J1" s="64" t="s">
        <v>82</v>
      </c>
      <c r="K1" s="64" t="s">
        <v>83</v>
      </c>
      <c r="L1" s="65"/>
      <c r="M1" s="66"/>
      <c r="N1" s="66"/>
      <c r="O1" s="66"/>
      <c r="P1" s="66"/>
      <c r="Q1" s="66"/>
      <c r="R1" s="66"/>
      <c r="S1" s="66"/>
      <c r="T1" s="67" t="s">
        <v>84</v>
      </c>
      <c r="U1" s="68" t="s">
        <v>86</v>
      </c>
      <c r="V1" s="69" t="s">
        <v>87</v>
      </c>
      <c r="W1" s="66"/>
    </row>
    <row r="2">
      <c r="A2" s="70" t="s">
        <v>36</v>
      </c>
      <c r="B2" s="71">
        <v>1.0</v>
      </c>
      <c r="C2" s="72">
        <f t="shared" ref="C2:C13" si="1">10*B2</f>
        <v>10</v>
      </c>
      <c r="D2" s="73">
        <v>0.0</v>
      </c>
      <c r="E2" s="73">
        <v>0.0</v>
      </c>
      <c r="F2" s="73">
        <v>0.0</v>
      </c>
      <c r="G2" s="74">
        <v>0.0</v>
      </c>
      <c r="H2" s="75">
        <v>0.0</v>
      </c>
      <c r="I2" s="76">
        <f t="shared" ref="I2:I13" si="2">sum(C2:H2)</f>
        <v>10</v>
      </c>
      <c r="J2" s="77">
        <f t="shared" ref="J2:J13" si="3">V2</f>
        <v>0</v>
      </c>
      <c r="K2" s="76">
        <f t="shared" ref="K2:K13" si="4">I2-J2</f>
        <v>10</v>
      </c>
      <c r="L2" s="65"/>
      <c r="M2" s="66"/>
      <c r="N2" s="66"/>
      <c r="O2" s="66"/>
      <c r="P2" s="66"/>
      <c r="Q2" s="66"/>
      <c r="R2" s="66"/>
      <c r="S2" s="66"/>
      <c r="T2" s="78" t="s">
        <v>36</v>
      </c>
      <c r="U2" s="79">
        <v>50.0</v>
      </c>
      <c r="V2" s="80">
        <f t="shared" ref="V2:V13" si="5">U2-50</f>
        <v>0</v>
      </c>
      <c r="W2" s="66"/>
    </row>
    <row r="3">
      <c r="A3" s="81" t="s">
        <v>37</v>
      </c>
      <c r="B3" s="82">
        <v>3.0</v>
      </c>
      <c r="C3" s="83">
        <f t="shared" si="1"/>
        <v>30</v>
      </c>
      <c r="D3" s="84">
        <v>0.0</v>
      </c>
      <c r="E3" s="84">
        <v>0.0</v>
      </c>
      <c r="F3" s="84">
        <v>0.0</v>
      </c>
      <c r="G3" s="84">
        <v>0.0</v>
      </c>
      <c r="H3" s="84">
        <v>0.0</v>
      </c>
      <c r="I3" s="85">
        <f t="shared" si="2"/>
        <v>30</v>
      </c>
      <c r="J3" s="86">
        <f t="shared" si="3"/>
        <v>0</v>
      </c>
      <c r="K3" s="85">
        <f t="shared" si="4"/>
        <v>30</v>
      </c>
      <c r="L3" s="65"/>
      <c r="M3" s="66"/>
      <c r="N3" s="66"/>
      <c r="O3" s="66"/>
      <c r="P3" s="66"/>
      <c r="Q3" s="66"/>
      <c r="R3" s="66"/>
      <c r="S3" s="66"/>
      <c r="T3" s="87" t="s">
        <v>37</v>
      </c>
      <c r="U3" s="88">
        <v>50.0</v>
      </c>
      <c r="V3" s="89">
        <f t="shared" si="5"/>
        <v>0</v>
      </c>
      <c r="W3" s="66"/>
    </row>
    <row r="4">
      <c r="A4" s="90" t="s">
        <v>38</v>
      </c>
      <c r="B4" s="82">
        <v>2.0</v>
      </c>
      <c r="C4" s="83">
        <f t="shared" si="1"/>
        <v>20</v>
      </c>
      <c r="D4" s="84">
        <v>0.0</v>
      </c>
      <c r="E4" s="84">
        <v>0.0</v>
      </c>
      <c r="F4" s="84">
        <v>0.0</v>
      </c>
      <c r="G4" s="84">
        <v>0.0</v>
      </c>
      <c r="H4" s="84">
        <v>0.0</v>
      </c>
      <c r="I4" s="85">
        <f t="shared" si="2"/>
        <v>20</v>
      </c>
      <c r="J4" s="86">
        <f t="shared" si="3"/>
        <v>0</v>
      </c>
      <c r="K4" s="85">
        <f t="shared" si="4"/>
        <v>20</v>
      </c>
      <c r="L4" s="65"/>
      <c r="M4" s="66"/>
      <c r="N4" s="66"/>
      <c r="O4" s="66"/>
      <c r="P4" s="66"/>
      <c r="Q4" s="66"/>
      <c r="R4" s="66"/>
      <c r="S4" s="66"/>
      <c r="T4" s="91" t="s">
        <v>38</v>
      </c>
      <c r="U4" s="88">
        <v>50.0</v>
      </c>
      <c r="V4" s="89">
        <f t="shared" si="5"/>
        <v>0</v>
      </c>
      <c r="W4" s="66"/>
    </row>
    <row r="5">
      <c r="A5" s="90" t="s">
        <v>39</v>
      </c>
      <c r="B5" s="82">
        <v>3.0</v>
      </c>
      <c r="C5" s="83">
        <f t="shared" si="1"/>
        <v>30</v>
      </c>
      <c r="D5" s="84">
        <v>25.0</v>
      </c>
      <c r="E5" s="84">
        <v>0.0</v>
      </c>
      <c r="F5" s="84">
        <v>50.0</v>
      </c>
      <c r="G5" s="84">
        <v>0.0</v>
      </c>
      <c r="H5" s="84">
        <v>0.0</v>
      </c>
      <c r="I5" s="85">
        <f t="shared" si="2"/>
        <v>105</v>
      </c>
      <c r="J5" s="86">
        <f t="shared" si="3"/>
        <v>0</v>
      </c>
      <c r="K5" s="85">
        <f t="shared" si="4"/>
        <v>105</v>
      </c>
      <c r="L5" s="65"/>
      <c r="M5" s="66"/>
      <c r="N5" s="66"/>
      <c r="O5" s="66"/>
      <c r="P5" s="66"/>
      <c r="Q5" s="66"/>
      <c r="R5" s="66"/>
      <c r="S5" s="66"/>
      <c r="T5" s="91" t="s">
        <v>39</v>
      </c>
      <c r="U5" s="88">
        <v>50.0</v>
      </c>
      <c r="V5" s="89">
        <f t="shared" si="5"/>
        <v>0</v>
      </c>
      <c r="W5" s="66"/>
    </row>
    <row r="6">
      <c r="A6" s="81" t="s">
        <v>40</v>
      </c>
      <c r="B6" s="82">
        <v>0.0</v>
      </c>
      <c r="C6" s="83">
        <f t="shared" si="1"/>
        <v>0</v>
      </c>
      <c r="D6" s="84">
        <v>25.0</v>
      </c>
      <c r="E6" s="84">
        <v>16.0</v>
      </c>
      <c r="F6" s="84">
        <v>0.0</v>
      </c>
      <c r="G6" s="84">
        <v>0.0</v>
      </c>
      <c r="H6" s="84">
        <v>219.0</v>
      </c>
      <c r="I6" s="85">
        <f t="shared" si="2"/>
        <v>260</v>
      </c>
      <c r="J6" s="86">
        <f t="shared" si="3"/>
        <v>0</v>
      </c>
      <c r="K6" s="85">
        <f t="shared" si="4"/>
        <v>260</v>
      </c>
      <c r="L6" s="65"/>
      <c r="M6" s="66"/>
      <c r="N6" s="66"/>
      <c r="O6" s="66"/>
      <c r="P6" s="66"/>
      <c r="Q6" s="66"/>
      <c r="R6" s="66"/>
      <c r="S6" s="66"/>
      <c r="T6" s="87" t="s">
        <v>40</v>
      </c>
      <c r="U6" s="88">
        <v>50.0</v>
      </c>
      <c r="V6" s="89">
        <f t="shared" si="5"/>
        <v>0</v>
      </c>
      <c r="W6" s="66"/>
    </row>
    <row r="7">
      <c r="A7" s="81" t="s">
        <v>41</v>
      </c>
      <c r="B7" s="82">
        <v>2.0</v>
      </c>
      <c r="C7" s="83">
        <f t="shared" si="1"/>
        <v>20</v>
      </c>
      <c r="D7" s="84">
        <v>25.0</v>
      </c>
      <c r="E7" s="84">
        <v>0.0</v>
      </c>
      <c r="F7" s="84">
        <v>0.0</v>
      </c>
      <c r="G7" s="84">
        <v>0.0</v>
      </c>
      <c r="H7" s="84">
        <v>0.0</v>
      </c>
      <c r="I7" s="85">
        <f t="shared" si="2"/>
        <v>45</v>
      </c>
      <c r="J7" s="86">
        <f t="shared" si="3"/>
        <v>0</v>
      </c>
      <c r="K7" s="85">
        <f t="shared" si="4"/>
        <v>45</v>
      </c>
      <c r="L7" s="65"/>
      <c r="M7" s="66"/>
      <c r="N7" s="66"/>
      <c r="O7" s="66"/>
      <c r="P7" s="66"/>
      <c r="Q7" s="66"/>
      <c r="R7" s="66"/>
      <c r="S7" s="66"/>
      <c r="T7" s="87" t="s">
        <v>41</v>
      </c>
      <c r="U7" s="88">
        <v>50.0</v>
      </c>
      <c r="V7" s="89">
        <f t="shared" si="5"/>
        <v>0</v>
      </c>
      <c r="W7" s="66"/>
    </row>
    <row r="8">
      <c r="A8" s="90" t="s">
        <v>42</v>
      </c>
      <c r="B8" s="82">
        <v>1.0</v>
      </c>
      <c r="C8" s="83">
        <f t="shared" si="1"/>
        <v>10</v>
      </c>
      <c r="D8" s="84">
        <v>0.0</v>
      </c>
      <c r="E8" s="84">
        <v>0.0</v>
      </c>
      <c r="F8" s="84">
        <v>0.0</v>
      </c>
      <c r="G8" s="84">
        <v>0.0</v>
      </c>
      <c r="H8" s="84">
        <v>0.0</v>
      </c>
      <c r="I8" s="85">
        <f t="shared" si="2"/>
        <v>10</v>
      </c>
      <c r="J8" s="86">
        <f t="shared" si="3"/>
        <v>0</v>
      </c>
      <c r="K8" s="85">
        <f t="shared" si="4"/>
        <v>10</v>
      </c>
      <c r="L8" s="65"/>
      <c r="M8" s="66"/>
      <c r="N8" s="66"/>
      <c r="O8" s="66"/>
      <c r="P8" s="66"/>
      <c r="Q8" s="66"/>
      <c r="R8" s="66"/>
      <c r="S8" s="66"/>
      <c r="T8" s="91" t="s">
        <v>42</v>
      </c>
      <c r="U8" s="88">
        <v>50.0</v>
      </c>
      <c r="V8" s="89">
        <f t="shared" si="5"/>
        <v>0</v>
      </c>
      <c r="W8" s="66"/>
    </row>
    <row r="9">
      <c r="A9" s="90" t="s">
        <v>43</v>
      </c>
      <c r="B9" s="82">
        <v>0.0</v>
      </c>
      <c r="C9" s="83">
        <f t="shared" si="1"/>
        <v>0</v>
      </c>
      <c r="D9" s="84">
        <v>0.0</v>
      </c>
      <c r="E9" s="84">
        <v>0.0</v>
      </c>
      <c r="F9" s="84">
        <v>0.0</v>
      </c>
      <c r="G9" s="84">
        <v>0.0</v>
      </c>
      <c r="H9" s="84">
        <v>0.0</v>
      </c>
      <c r="I9" s="85">
        <f t="shared" si="2"/>
        <v>0</v>
      </c>
      <c r="J9" s="86">
        <f t="shared" si="3"/>
        <v>0</v>
      </c>
      <c r="K9" s="85">
        <f t="shared" si="4"/>
        <v>0</v>
      </c>
      <c r="L9" s="65"/>
      <c r="M9" s="66"/>
      <c r="N9" s="66"/>
      <c r="O9" s="66"/>
      <c r="P9" s="66"/>
      <c r="Q9" s="66"/>
      <c r="R9" s="66"/>
      <c r="S9" s="66"/>
      <c r="T9" s="91" t="s">
        <v>43</v>
      </c>
      <c r="U9" s="88">
        <v>50.0</v>
      </c>
      <c r="V9" s="89">
        <f t="shared" si="5"/>
        <v>0</v>
      </c>
      <c r="W9" s="66"/>
    </row>
    <row r="10">
      <c r="A10" s="90" t="s">
        <v>44</v>
      </c>
      <c r="B10" s="82">
        <v>1.0</v>
      </c>
      <c r="C10" s="83">
        <f t="shared" si="1"/>
        <v>10</v>
      </c>
      <c r="D10" s="84">
        <v>0.0</v>
      </c>
      <c r="E10" s="84">
        <v>0.0</v>
      </c>
      <c r="F10" s="84">
        <v>0.0</v>
      </c>
      <c r="G10" s="84">
        <v>100.0</v>
      </c>
      <c r="H10" s="84">
        <v>0.0</v>
      </c>
      <c r="I10" s="85">
        <f t="shared" si="2"/>
        <v>110</v>
      </c>
      <c r="J10" s="86">
        <f t="shared" si="3"/>
        <v>0</v>
      </c>
      <c r="K10" s="85">
        <f t="shared" si="4"/>
        <v>110</v>
      </c>
      <c r="L10" s="65"/>
      <c r="M10" s="66"/>
      <c r="N10" s="66"/>
      <c r="O10" s="92"/>
      <c r="P10" s="66"/>
      <c r="Q10" s="66"/>
      <c r="R10" s="66"/>
      <c r="S10" s="66"/>
      <c r="T10" s="91" t="s">
        <v>44</v>
      </c>
      <c r="U10" s="88">
        <v>50.0</v>
      </c>
      <c r="V10" s="89">
        <f t="shared" si="5"/>
        <v>0</v>
      </c>
      <c r="W10" s="66"/>
    </row>
    <row r="11">
      <c r="A11" s="90" t="s">
        <v>70</v>
      </c>
      <c r="B11" s="82">
        <v>0.0</v>
      </c>
      <c r="C11" s="83">
        <f t="shared" si="1"/>
        <v>0</v>
      </c>
      <c r="D11" s="84">
        <v>0.0</v>
      </c>
      <c r="E11" s="84">
        <v>0.0</v>
      </c>
      <c r="F11" s="84">
        <v>0.0</v>
      </c>
      <c r="G11" s="84">
        <v>0.0</v>
      </c>
      <c r="H11" s="84">
        <v>0.0</v>
      </c>
      <c r="I11" s="85">
        <f t="shared" si="2"/>
        <v>0</v>
      </c>
      <c r="J11" s="86">
        <f t="shared" si="3"/>
        <v>0</v>
      </c>
      <c r="K11" s="85">
        <f t="shared" si="4"/>
        <v>0</v>
      </c>
      <c r="L11" s="65"/>
      <c r="M11" s="66"/>
      <c r="N11" s="66"/>
      <c r="O11" s="92"/>
      <c r="P11" s="66"/>
      <c r="Q11" s="66"/>
      <c r="R11" s="66"/>
      <c r="S11" s="66"/>
      <c r="T11" s="91" t="s">
        <v>70</v>
      </c>
      <c r="U11" s="93">
        <v>50.0</v>
      </c>
      <c r="V11" s="89">
        <f t="shared" si="5"/>
        <v>0</v>
      </c>
      <c r="W11" s="66"/>
    </row>
    <row r="12">
      <c r="A12" s="81" t="s">
        <v>46</v>
      </c>
      <c r="B12" s="82">
        <v>0.0</v>
      </c>
      <c r="C12" s="83">
        <f t="shared" si="1"/>
        <v>0</v>
      </c>
      <c r="D12" s="84">
        <v>0.0</v>
      </c>
      <c r="E12" s="84">
        <v>0.0</v>
      </c>
      <c r="F12" s="84">
        <v>0.0</v>
      </c>
      <c r="G12" s="84">
        <v>0.0</v>
      </c>
      <c r="H12" s="84">
        <v>0.0</v>
      </c>
      <c r="I12" s="85">
        <f t="shared" si="2"/>
        <v>0</v>
      </c>
      <c r="J12" s="86">
        <f t="shared" si="3"/>
        <v>0</v>
      </c>
      <c r="K12" s="85">
        <f t="shared" si="4"/>
        <v>0</v>
      </c>
      <c r="L12" s="65"/>
      <c r="M12" s="66"/>
      <c r="N12" s="66"/>
      <c r="O12" s="92"/>
      <c r="P12" s="66"/>
      <c r="Q12" s="66"/>
      <c r="R12" s="66"/>
      <c r="S12" s="66"/>
      <c r="T12" s="87" t="s">
        <v>46</v>
      </c>
      <c r="U12" s="88">
        <v>50.0</v>
      </c>
      <c r="V12" s="94">
        <f t="shared" si="5"/>
        <v>0</v>
      </c>
      <c r="W12" s="66"/>
    </row>
    <row r="13">
      <c r="A13" s="95" t="s">
        <v>47</v>
      </c>
      <c r="B13" s="96">
        <v>1.0</v>
      </c>
      <c r="C13" s="98">
        <f t="shared" si="1"/>
        <v>10</v>
      </c>
      <c r="D13" s="99">
        <v>0.0</v>
      </c>
      <c r="E13" s="99">
        <v>0.0</v>
      </c>
      <c r="F13" s="99">
        <v>0.0</v>
      </c>
      <c r="G13" s="99">
        <v>0.0</v>
      </c>
      <c r="H13" s="99">
        <v>0.0</v>
      </c>
      <c r="I13" s="101">
        <f t="shared" si="2"/>
        <v>10</v>
      </c>
      <c r="J13" s="103">
        <f t="shared" si="3"/>
        <v>0</v>
      </c>
      <c r="K13" s="101">
        <f t="shared" si="4"/>
        <v>10</v>
      </c>
      <c r="L13" s="65"/>
      <c r="M13" s="66"/>
      <c r="N13" s="66"/>
      <c r="O13" s="92"/>
      <c r="P13" s="66"/>
      <c r="Q13" s="66"/>
      <c r="R13" s="66"/>
      <c r="S13" s="66"/>
      <c r="T13" s="105" t="s">
        <v>47</v>
      </c>
      <c r="U13" s="106">
        <v>50.0</v>
      </c>
      <c r="V13" s="107">
        <f t="shared" si="5"/>
        <v>0</v>
      </c>
      <c r="W13" s="66"/>
    </row>
    <row r="14">
      <c r="A14" s="108"/>
      <c r="B14" s="108"/>
      <c r="C14" s="109">
        <f t="shared" ref="C14:K14" si="6">SUM(C2:C13)</f>
        <v>140</v>
      </c>
      <c r="D14" s="111">
        <f t="shared" si="6"/>
        <v>75</v>
      </c>
      <c r="E14" s="111">
        <f t="shared" si="6"/>
        <v>16</v>
      </c>
      <c r="F14" s="111">
        <f t="shared" si="6"/>
        <v>50</v>
      </c>
      <c r="G14" s="113">
        <f t="shared" si="6"/>
        <v>100</v>
      </c>
      <c r="H14" s="113">
        <f t="shared" si="6"/>
        <v>219</v>
      </c>
      <c r="I14" s="113">
        <f t="shared" si="6"/>
        <v>600</v>
      </c>
      <c r="J14" s="113">
        <f t="shared" si="6"/>
        <v>0</v>
      </c>
      <c r="K14" s="114">
        <f t="shared" si="6"/>
        <v>600</v>
      </c>
      <c r="L14" s="65"/>
      <c r="M14" s="66"/>
      <c r="N14" s="66"/>
      <c r="O14" s="115"/>
      <c r="P14" s="66"/>
      <c r="Q14" s="66"/>
      <c r="R14" s="66"/>
      <c r="S14" s="66"/>
      <c r="T14" s="116" t="s">
        <v>93</v>
      </c>
      <c r="U14" s="118">
        <f t="shared" ref="U14:V14" si="7">SUM(U2:U13)</f>
        <v>600</v>
      </c>
      <c r="V14" s="119">
        <f t="shared" si="7"/>
        <v>0</v>
      </c>
      <c r="W14" s="66"/>
    </row>
    <row r="15">
      <c r="A15" s="108"/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65"/>
      <c r="M15" s="66"/>
      <c r="N15" s="66"/>
      <c r="O15" s="115"/>
      <c r="P15" s="66"/>
      <c r="Q15" s="66"/>
      <c r="R15" s="66"/>
      <c r="S15" s="66"/>
      <c r="T15" s="122"/>
      <c r="U15" s="123"/>
      <c r="V15" s="123"/>
      <c r="W15" s="66"/>
    </row>
    <row r="16">
      <c r="A16" s="124" t="s">
        <v>94</v>
      </c>
      <c r="B16" s="125" t="s">
        <v>0</v>
      </c>
      <c r="C16" s="125" t="s">
        <v>95</v>
      </c>
      <c r="D16" s="125" t="s">
        <v>86</v>
      </c>
      <c r="E16" s="127" t="s">
        <v>96</v>
      </c>
      <c r="F16" s="128"/>
      <c r="G16" s="66"/>
      <c r="H16" s="108"/>
      <c r="I16" s="108"/>
      <c r="J16" s="108"/>
      <c r="K16" s="130"/>
      <c r="L16" s="131"/>
      <c r="M16" s="66"/>
      <c r="N16" s="66"/>
      <c r="O16" s="92"/>
      <c r="P16" s="66"/>
      <c r="Q16" s="66"/>
      <c r="R16" s="66"/>
      <c r="S16" s="66"/>
      <c r="T16" s="122"/>
      <c r="U16" s="123"/>
      <c r="V16" s="123"/>
      <c r="W16" s="66"/>
    </row>
    <row r="17">
      <c r="A17" s="132" t="s">
        <v>97</v>
      </c>
      <c r="B17" s="133" t="s">
        <v>41</v>
      </c>
      <c r="C17" s="134">
        <v>10.0</v>
      </c>
      <c r="D17" s="135" t="s">
        <v>98</v>
      </c>
      <c r="E17" s="136">
        <v>112.36</v>
      </c>
      <c r="F17" s="137"/>
      <c r="G17" s="138"/>
      <c r="H17" s="139"/>
      <c r="I17" s="108"/>
      <c r="J17" s="108"/>
      <c r="K17" s="130"/>
      <c r="L17" s="131"/>
      <c r="M17" s="66"/>
      <c r="N17" s="66"/>
      <c r="O17" s="92"/>
      <c r="P17" s="66"/>
      <c r="Q17" s="66"/>
      <c r="R17" s="66"/>
      <c r="S17" s="66"/>
      <c r="T17" s="122"/>
      <c r="U17" s="123"/>
      <c r="V17" s="123"/>
      <c r="W17" s="66"/>
    </row>
    <row r="18">
      <c r="A18" s="140" t="s">
        <v>100</v>
      </c>
      <c r="B18" s="133" t="s">
        <v>42</v>
      </c>
      <c r="C18" s="134">
        <v>10.0</v>
      </c>
      <c r="D18" s="141" t="s">
        <v>98</v>
      </c>
      <c r="E18" s="142">
        <v>131.9</v>
      </c>
      <c r="F18" s="144"/>
      <c r="G18" s="145"/>
      <c r="H18" s="139"/>
      <c r="I18" s="108"/>
      <c r="J18" s="108"/>
      <c r="K18" s="130"/>
      <c r="L18" s="131"/>
      <c r="M18" s="66"/>
      <c r="N18" s="66"/>
      <c r="O18" s="66"/>
      <c r="P18" s="66"/>
      <c r="Q18" s="66"/>
      <c r="R18" s="66"/>
      <c r="S18" s="66"/>
      <c r="T18" s="122"/>
      <c r="U18" s="123"/>
      <c r="V18" s="123"/>
      <c r="W18" s="66"/>
    </row>
    <row r="19">
      <c r="A19" s="140" t="s">
        <v>101</v>
      </c>
      <c r="B19" s="133" t="s">
        <v>37</v>
      </c>
      <c r="C19" s="134">
        <v>10.0</v>
      </c>
      <c r="D19" s="141" t="s">
        <v>98</v>
      </c>
      <c r="E19" s="142">
        <v>115.14</v>
      </c>
      <c r="F19" s="144"/>
      <c r="G19" s="145"/>
      <c r="H19" s="139"/>
      <c r="I19" s="108"/>
      <c r="J19" s="108"/>
      <c r="K19" s="130"/>
      <c r="L19" s="147" t="s">
        <v>102</v>
      </c>
      <c r="M19" s="148" t="s">
        <v>103</v>
      </c>
      <c r="N19" s="150" t="s">
        <v>104</v>
      </c>
      <c r="O19" s="150" t="s">
        <v>105</v>
      </c>
      <c r="P19" s="150" t="s">
        <v>106</v>
      </c>
      <c r="Q19" s="150" t="s">
        <v>107</v>
      </c>
      <c r="R19" s="150" t="s">
        <v>108</v>
      </c>
      <c r="S19" s="150" t="s">
        <v>109</v>
      </c>
      <c r="T19" s="152" t="s">
        <v>110</v>
      </c>
      <c r="U19" s="123"/>
      <c r="V19" s="123"/>
      <c r="W19" s="66"/>
    </row>
    <row r="20">
      <c r="A20" s="140" t="s">
        <v>111</v>
      </c>
      <c r="B20" s="133" t="s">
        <v>44</v>
      </c>
      <c r="C20" s="134">
        <v>10.0</v>
      </c>
      <c r="D20" s="141" t="s">
        <v>98</v>
      </c>
      <c r="E20" s="142">
        <v>130.82</v>
      </c>
      <c r="F20" s="153"/>
      <c r="G20" s="145"/>
      <c r="H20" s="139"/>
      <c r="I20" s="108"/>
      <c r="J20" s="108"/>
      <c r="K20" s="154"/>
      <c r="L20" s="155">
        <v>1.0</v>
      </c>
      <c r="M20" s="156" t="s">
        <v>112</v>
      </c>
      <c r="N20" s="157">
        <v>10.0</v>
      </c>
      <c r="O20" s="157">
        <v>4.0</v>
      </c>
      <c r="P20" s="157">
        <v>0.0</v>
      </c>
      <c r="Q20" s="158">
        <v>0.0</v>
      </c>
      <c r="R20" s="159">
        <v>1424.14</v>
      </c>
      <c r="S20" s="159">
        <v>1214.04</v>
      </c>
      <c r="T20" s="160">
        <f>R20-R25</f>
        <v>35.48</v>
      </c>
      <c r="U20" s="123"/>
      <c r="V20" s="123"/>
      <c r="W20" s="66"/>
    </row>
    <row r="21">
      <c r="A21" s="140" t="s">
        <v>113</v>
      </c>
      <c r="B21" s="133" t="s">
        <v>39</v>
      </c>
      <c r="C21" s="134">
        <v>10.0</v>
      </c>
      <c r="D21" s="141" t="s">
        <v>98</v>
      </c>
      <c r="E21" s="142">
        <v>124.22</v>
      </c>
      <c r="F21" s="137"/>
      <c r="G21" s="145"/>
      <c r="H21" s="139"/>
      <c r="I21" s="108"/>
      <c r="J21" s="108"/>
      <c r="K21" s="154"/>
      <c r="L21" s="161">
        <v>2.0</v>
      </c>
      <c r="M21" s="156" t="s">
        <v>114</v>
      </c>
      <c r="N21" s="159">
        <v>8.0</v>
      </c>
      <c r="O21" s="159">
        <v>6.0</v>
      </c>
      <c r="P21" s="159">
        <v>0.0</v>
      </c>
      <c r="Q21" s="162">
        <v>2.0</v>
      </c>
      <c r="R21" s="159">
        <v>1422.34</v>
      </c>
      <c r="S21" s="159">
        <v>1226.36</v>
      </c>
      <c r="T21" s="163">
        <f>R21-R25</f>
        <v>33.68</v>
      </c>
      <c r="U21" s="123"/>
      <c r="V21" s="123"/>
      <c r="W21" s="66"/>
    </row>
    <row r="22">
      <c r="A22" s="140" t="s">
        <v>116</v>
      </c>
      <c r="B22" s="133" t="s">
        <v>37</v>
      </c>
      <c r="C22" s="134">
        <v>10.0</v>
      </c>
      <c r="D22" s="141" t="s">
        <v>98</v>
      </c>
      <c r="E22" s="142">
        <v>122.04</v>
      </c>
      <c r="F22" s="144"/>
      <c r="G22" s="145"/>
      <c r="H22" s="139"/>
      <c r="I22" s="108"/>
      <c r="J22" s="108"/>
      <c r="K22" s="154"/>
      <c r="L22" s="161">
        <v>3.0</v>
      </c>
      <c r="M22" s="156" t="s">
        <v>117</v>
      </c>
      <c r="N22" s="159">
        <v>8.0</v>
      </c>
      <c r="O22" s="159">
        <v>6.0</v>
      </c>
      <c r="P22" s="159">
        <v>0.0</v>
      </c>
      <c r="Q22" s="162">
        <v>2.0</v>
      </c>
      <c r="R22" s="159">
        <v>1359.46</v>
      </c>
      <c r="S22" s="159">
        <v>1298.12</v>
      </c>
      <c r="T22" s="164">
        <f>R22-R25</f>
        <v>-29.2</v>
      </c>
      <c r="U22" s="123"/>
      <c r="V22" s="123"/>
      <c r="W22" s="66"/>
    </row>
    <row r="23">
      <c r="A23" s="140" t="s">
        <v>118</v>
      </c>
      <c r="B23" s="133" t="s">
        <v>39</v>
      </c>
      <c r="C23" s="134">
        <v>10.0</v>
      </c>
      <c r="D23" s="141" t="s">
        <v>98</v>
      </c>
      <c r="E23" s="142">
        <v>133.14</v>
      </c>
      <c r="F23" s="153"/>
      <c r="G23" s="145"/>
      <c r="H23" s="139"/>
      <c r="I23" s="108"/>
      <c r="J23" s="108"/>
      <c r="K23" s="154"/>
      <c r="L23" s="161">
        <v>4.0</v>
      </c>
      <c r="M23" s="156" t="s">
        <v>119</v>
      </c>
      <c r="N23" s="165">
        <v>8.0</v>
      </c>
      <c r="O23" s="165">
        <v>6.0</v>
      </c>
      <c r="P23" s="166">
        <v>0.0</v>
      </c>
      <c r="Q23" s="167">
        <v>2.0</v>
      </c>
      <c r="R23" s="159">
        <v>1314.6</v>
      </c>
      <c r="S23" s="159">
        <v>1258.3</v>
      </c>
      <c r="T23" s="164">
        <v>732.64</v>
      </c>
      <c r="U23" s="123"/>
      <c r="V23" s="123"/>
      <c r="W23" s="66"/>
    </row>
    <row r="24">
      <c r="A24" s="140" t="s">
        <v>120</v>
      </c>
      <c r="B24" s="133" t="s">
        <v>39</v>
      </c>
      <c r="C24" s="134">
        <v>10.0</v>
      </c>
      <c r="D24" s="141" t="s">
        <v>98</v>
      </c>
      <c r="E24" s="142">
        <v>135.76</v>
      </c>
      <c r="F24" s="168"/>
      <c r="G24" s="145"/>
      <c r="H24" s="139"/>
      <c r="I24" s="108"/>
      <c r="J24" s="108"/>
      <c r="K24" s="154"/>
      <c r="L24" s="169">
        <v>5.0</v>
      </c>
      <c r="M24" s="156" t="s">
        <v>121</v>
      </c>
      <c r="N24" s="170">
        <v>7.0</v>
      </c>
      <c r="O24" s="170">
        <v>7.0</v>
      </c>
      <c r="P24" s="171">
        <v>0.0</v>
      </c>
      <c r="Q24" s="162">
        <v>3.0</v>
      </c>
      <c r="R24" s="159">
        <v>1391.6</v>
      </c>
      <c r="S24" s="159">
        <v>1292.16</v>
      </c>
      <c r="T24" s="163">
        <f>R24-R25</f>
        <v>2.94</v>
      </c>
      <c r="U24" s="123"/>
      <c r="V24" s="123"/>
      <c r="W24" s="66"/>
    </row>
    <row r="25">
      <c r="A25" s="140" t="s">
        <v>122</v>
      </c>
      <c r="B25" s="133" t="s">
        <v>38</v>
      </c>
      <c r="C25" s="134">
        <v>10.0</v>
      </c>
      <c r="D25" s="141" t="s">
        <v>98</v>
      </c>
      <c r="E25" s="142">
        <v>116.74</v>
      </c>
      <c r="F25" s="168"/>
      <c r="G25" s="145"/>
      <c r="H25" s="139"/>
      <c r="I25" s="108"/>
      <c r="J25" s="108"/>
      <c r="K25" s="154"/>
      <c r="L25" s="161">
        <v>6.0</v>
      </c>
      <c r="M25" s="156" t="s">
        <v>123</v>
      </c>
      <c r="N25" s="165">
        <v>7.0</v>
      </c>
      <c r="O25" s="165">
        <v>7.0</v>
      </c>
      <c r="P25" s="166">
        <v>0.0</v>
      </c>
      <c r="Q25" s="162">
        <v>3.0</v>
      </c>
      <c r="R25" s="159">
        <v>1388.66</v>
      </c>
      <c r="S25" s="159">
        <v>1425.68</v>
      </c>
      <c r="T25" s="172">
        <v>0.0</v>
      </c>
      <c r="U25" s="123"/>
      <c r="V25" s="123"/>
      <c r="W25" s="66"/>
    </row>
    <row r="26">
      <c r="A26" s="140" t="s">
        <v>124</v>
      </c>
      <c r="B26" s="133" t="s">
        <v>37</v>
      </c>
      <c r="C26" s="134">
        <v>10.0</v>
      </c>
      <c r="D26" s="141" t="s">
        <v>98</v>
      </c>
      <c r="E26" s="142">
        <v>135.58</v>
      </c>
      <c r="F26" s="168"/>
      <c r="G26" s="145"/>
      <c r="H26" s="139"/>
      <c r="I26" s="108"/>
      <c r="J26" s="108"/>
      <c r="K26" s="154"/>
      <c r="L26" s="173">
        <v>7.0</v>
      </c>
      <c r="M26" s="174" t="s">
        <v>125</v>
      </c>
      <c r="N26" s="175">
        <v>7.0</v>
      </c>
      <c r="O26" s="175">
        <v>7.0</v>
      </c>
      <c r="P26" s="175">
        <v>0.0</v>
      </c>
      <c r="Q26" s="176">
        <v>3.0</v>
      </c>
      <c r="R26" s="175">
        <v>1260.96</v>
      </c>
      <c r="S26" s="175">
        <v>1300.72</v>
      </c>
      <c r="T26" s="177">
        <f>R25-R26</f>
        <v>127.7</v>
      </c>
      <c r="U26" s="123"/>
      <c r="V26" s="123"/>
      <c r="W26" s="66"/>
    </row>
    <row r="27">
      <c r="A27" s="140" t="s">
        <v>126</v>
      </c>
      <c r="B27" s="133" t="s">
        <v>36</v>
      </c>
      <c r="C27" s="134">
        <v>10.0</v>
      </c>
      <c r="D27" s="141" t="s">
        <v>98</v>
      </c>
      <c r="E27" s="142">
        <v>117.6</v>
      </c>
      <c r="F27" s="137"/>
      <c r="G27" s="145"/>
      <c r="H27" s="139"/>
      <c r="I27" s="108"/>
      <c r="J27" s="108"/>
      <c r="K27" s="154"/>
      <c r="L27" s="173">
        <v>8.0</v>
      </c>
      <c r="M27" s="174" t="s">
        <v>127</v>
      </c>
      <c r="N27" s="175">
        <v>7.0</v>
      </c>
      <c r="O27" s="175">
        <v>7.0</v>
      </c>
      <c r="P27" s="175">
        <v>0.0</v>
      </c>
      <c r="Q27" s="176">
        <v>3.0</v>
      </c>
      <c r="R27" s="133">
        <v>1280.36</v>
      </c>
      <c r="S27" s="178">
        <v>1208.06</v>
      </c>
      <c r="T27" s="177">
        <f>R25-R27</f>
        <v>108.3</v>
      </c>
      <c r="U27" s="123"/>
      <c r="V27" s="123"/>
      <c r="W27" s="66"/>
    </row>
    <row r="28">
      <c r="A28" s="140" t="s">
        <v>129</v>
      </c>
      <c r="B28" s="133" t="s">
        <v>47</v>
      </c>
      <c r="C28" s="134">
        <v>10.0</v>
      </c>
      <c r="D28" s="179" t="s">
        <v>98</v>
      </c>
      <c r="E28" s="142">
        <v>142.86</v>
      </c>
      <c r="F28" s="153"/>
      <c r="G28" s="145"/>
      <c r="H28" s="139"/>
      <c r="I28" s="108"/>
      <c r="J28" s="108"/>
      <c r="K28" s="154"/>
      <c r="L28" s="173">
        <v>9.0</v>
      </c>
      <c r="M28" s="174" t="s">
        <v>130</v>
      </c>
      <c r="N28" s="175">
        <v>7.0</v>
      </c>
      <c r="O28" s="175">
        <v>7.0</v>
      </c>
      <c r="P28" s="175">
        <v>0.0</v>
      </c>
      <c r="Q28" s="176">
        <v>3.0</v>
      </c>
      <c r="R28" s="133">
        <v>1249.34</v>
      </c>
      <c r="S28" s="178">
        <v>1358.64</v>
      </c>
      <c r="T28" s="177">
        <f>R25-R28</f>
        <v>139.32</v>
      </c>
      <c r="U28" s="123"/>
      <c r="V28" s="123"/>
      <c r="W28" s="66"/>
    </row>
    <row r="29">
      <c r="A29" s="182" t="s">
        <v>131</v>
      </c>
      <c r="B29" s="133" t="s">
        <v>38</v>
      </c>
      <c r="C29" s="134">
        <v>10.0</v>
      </c>
      <c r="D29" s="141" t="s">
        <v>98</v>
      </c>
      <c r="E29" s="142">
        <v>124.46</v>
      </c>
      <c r="F29" s="184"/>
      <c r="G29" s="185"/>
      <c r="H29" s="139"/>
      <c r="I29" s="108"/>
      <c r="J29" s="108"/>
      <c r="K29" s="154"/>
      <c r="L29" s="173">
        <v>10.0</v>
      </c>
      <c r="M29" s="174" t="s">
        <v>132</v>
      </c>
      <c r="N29" s="175">
        <v>6.0</v>
      </c>
      <c r="O29" s="175">
        <v>8.0</v>
      </c>
      <c r="P29" s="175">
        <v>0.0</v>
      </c>
      <c r="Q29" s="176">
        <v>4.0</v>
      </c>
      <c r="R29" s="133">
        <v>1229.16</v>
      </c>
      <c r="S29" s="178">
        <v>1321.32</v>
      </c>
      <c r="T29" s="177">
        <f>R25-R29</f>
        <v>159.5</v>
      </c>
      <c r="U29" s="66"/>
      <c r="V29" s="66"/>
      <c r="W29" s="66"/>
    </row>
    <row r="30">
      <c r="A30" s="188" t="s">
        <v>133</v>
      </c>
      <c r="B30" s="190" t="s">
        <v>41</v>
      </c>
      <c r="C30" s="191">
        <v>10.0</v>
      </c>
      <c r="D30" s="192" t="s">
        <v>98</v>
      </c>
      <c r="E30" s="193">
        <v>126.34</v>
      </c>
      <c r="F30" s="194"/>
      <c r="G30" s="139"/>
      <c r="H30" s="139"/>
      <c r="I30" s="108"/>
      <c r="J30" s="108"/>
      <c r="K30" s="154"/>
      <c r="L30" s="196">
        <v>11.0</v>
      </c>
      <c r="M30" s="174" t="s">
        <v>134</v>
      </c>
      <c r="N30" s="197">
        <v>5.0</v>
      </c>
      <c r="O30" s="197">
        <v>9.0</v>
      </c>
      <c r="P30" s="175">
        <v>0.0</v>
      </c>
      <c r="Q30" s="199">
        <v>5.0</v>
      </c>
      <c r="R30" s="200">
        <v>1215.36</v>
      </c>
      <c r="S30" s="201">
        <v>1342.52</v>
      </c>
      <c r="T30" s="177">
        <f>R25-R30</f>
        <v>173.3</v>
      </c>
      <c r="U30" s="66"/>
      <c r="V30" s="66"/>
      <c r="W30" s="66"/>
    </row>
    <row r="31">
      <c r="A31" s="203" t="s">
        <v>136</v>
      </c>
      <c r="B31" s="133" t="s">
        <v>40</v>
      </c>
      <c r="C31" s="134">
        <v>16.0</v>
      </c>
      <c r="D31" s="179" t="s">
        <v>98</v>
      </c>
      <c r="E31" s="204"/>
      <c r="F31" s="194"/>
      <c r="G31" s="139"/>
      <c r="H31" s="205"/>
      <c r="I31" s="108"/>
      <c r="J31" s="108"/>
      <c r="K31" s="154"/>
      <c r="L31" s="206">
        <v>12.0</v>
      </c>
      <c r="M31" s="207" t="s">
        <v>137</v>
      </c>
      <c r="N31" s="208">
        <v>2.0</v>
      </c>
      <c r="O31" s="208">
        <v>12.0</v>
      </c>
      <c r="P31" s="208">
        <v>0.0</v>
      </c>
      <c r="Q31" s="209">
        <v>8.0</v>
      </c>
      <c r="R31" s="210">
        <v>1036.82</v>
      </c>
      <c r="S31" s="211">
        <v>1326.88</v>
      </c>
      <c r="T31" s="212">
        <f>R25-R31</f>
        <v>351.84</v>
      </c>
      <c r="U31" s="66"/>
      <c r="V31" s="66"/>
      <c r="W31" s="66"/>
    </row>
    <row r="32">
      <c r="A32" s="213" t="s">
        <v>138</v>
      </c>
      <c r="B32" s="133" t="s">
        <v>39</v>
      </c>
      <c r="C32" s="134">
        <v>25.0</v>
      </c>
      <c r="D32" s="141" t="s">
        <v>98</v>
      </c>
      <c r="E32" s="214"/>
      <c r="F32" s="194"/>
      <c r="G32" s="139"/>
      <c r="H32" s="205"/>
      <c r="I32" s="108"/>
      <c r="J32" s="215"/>
      <c r="K32" s="130"/>
      <c r="L32" s="216"/>
      <c r="M32" s="217" t="s">
        <v>139</v>
      </c>
      <c r="N32" s="66"/>
      <c r="O32" s="66"/>
      <c r="P32" s="66"/>
      <c r="Q32" s="66"/>
      <c r="R32" s="66"/>
      <c r="S32" s="66"/>
      <c r="T32" s="66"/>
      <c r="U32" s="66"/>
      <c r="V32" s="66"/>
      <c r="W32" s="66"/>
    </row>
    <row r="33">
      <c r="A33" s="213" t="s">
        <v>138</v>
      </c>
      <c r="B33" s="133" t="s">
        <v>40</v>
      </c>
      <c r="C33" s="134">
        <v>25.0</v>
      </c>
      <c r="D33" s="141" t="s">
        <v>98</v>
      </c>
      <c r="E33" s="214"/>
      <c r="F33" s="194"/>
      <c r="G33" s="139"/>
      <c r="H33" s="205"/>
      <c r="I33" s="108"/>
      <c r="J33" s="215"/>
      <c r="K33" s="215"/>
      <c r="L33" s="220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</row>
    <row r="34">
      <c r="A34" s="222" t="s">
        <v>138</v>
      </c>
      <c r="B34" s="133" t="s">
        <v>41</v>
      </c>
      <c r="C34" s="134">
        <v>25.0</v>
      </c>
      <c r="D34" s="141" t="s">
        <v>98</v>
      </c>
      <c r="E34" s="214"/>
      <c r="F34" s="194"/>
      <c r="G34" s="139"/>
      <c r="H34" s="108"/>
      <c r="I34" s="108"/>
      <c r="J34" s="108"/>
      <c r="K34" s="215"/>
      <c r="L34" s="220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</row>
    <row r="35">
      <c r="A35" s="213" t="s">
        <v>78</v>
      </c>
      <c r="B35" s="133" t="s">
        <v>39</v>
      </c>
      <c r="C35" s="134">
        <v>50.0</v>
      </c>
      <c r="D35" s="141" t="s">
        <v>98</v>
      </c>
      <c r="E35" s="142">
        <v>95.58</v>
      </c>
      <c r="F35" s="223"/>
      <c r="G35" s="224"/>
      <c r="H35" s="108"/>
      <c r="I35" s="108"/>
      <c r="J35" s="108"/>
      <c r="K35" s="215"/>
      <c r="L35" s="225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</row>
    <row r="36">
      <c r="A36" s="213" t="s">
        <v>79</v>
      </c>
      <c r="B36" s="228" t="s">
        <v>44</v>
      </c>
      <c r="C36" s="134">
        <v>100.0</v>
      </c>
      <c r="D36" s="141" t="s">
        <v>98</v>
      </c>
      <c r="E36" s="229">
        <v>71.24</v>
      </c>
      <c r="F36" s="223"/>
      <c r="G36" s="224"/>
      <c r="H36" s="65"/>
      <c r="I36" s="65"/>
      <c r="J36" s="231"/>
      <c r="K36" s="131"/>
      <c r="L36" s="65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</row>
    <row r="37">
      <c r="A37" s="213" t="s">
        <v>140</v>
      </c>
      <c r="B37" s="228" t="s">
        <v>40</v>
      </c>
      <c r="C37" s="191">
        <v>219.0</v>
      </c>
      <c r="D37" s="141" t="s">
        <v>98</v>
      </c>
      <c r="E37" s="228">
        <v>75.98</v>
      </c>
      <c r="F37" s="233"/>
      <c r="G37" s="234"/>
      <c r="H37" s="65"/>
      <c r="I37" s="65"/>
      <c r="J37" s="65"/>
      <c r="K37" s="131"/>
      <c r="L37" s="65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</row>
    <row r="38">
      <c r="A38" s="235"/>
      <c r="B38" s="236"/>
      <c r="C38" s="237">
        <f>SUM(C17:C37)</f>
        <v>600</v>
      </c>
      <c r="D38" s="236"/>
      <c r="E38" s="239"/>
      <c r="F38" s="233"/>
      <c r="G38" s="234"/>
      <c r="H38" s="65"/>
      <c r="I38" s="65"/>
      <c r="J38" s="65"/>
      <c r="K38" s="131"/>
      <c r="L38" s="65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</row>
    <row r="39">
      <c r="A39" s="242"/>
      <c r="B39" s="244"/>
      <c r="C39" s="246"/>
      <c r="D39" s="244"/>
      <c r="E39" s="233"/>
      <c r="F39" s="233"/>
      <c r="G39" s="234"/>
      <c r="H39" s="65"/>
      <c r="I39" s="65"/>
      <c r="J39" s="65"/>
      <c r="K39" s="131"/>
      <c r="L39" s="65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</row>
    <row r="40">
      <c r="A40" s="242"/>
      <c r="B40" s="244"/>
      <c r="C40" s="246"/>
      <c r="D40" s="244"/>
      <c r="E40" s="233"/>
      <c r="F40" s="233"/>
      <c r="G40" s="234"/>
      <c r="H40" s="65"/>
      <c r="I40" s="65"/>
      <c r="J40" s="65"/>
      <c r="K40" s="131"/>
      <c r="L40" s="65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</row>
    <row r="41">
      <c r="A41" s="247"/>
      <c r="B41" s="248"/>
      <c r="C41" s="249"/>
      <c r="D41" s="248"/>
      <c r="E41" s="250"/>
      <c r="F41" s="250"/>
      <c r="G41" s="251"/>
      <c r="H41" s="65"/>
      <c r="I41" s="65"/>
      <c r="J41" s="65"/>
      <c r="K41" s="131"/>
      <c r="L41" s="65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</row>
    <row r="42">
      <c r="A42" s="131"/>
      <c r="B42" s="131"/>
      <c r="C42" s="252"/>
      <c r="D42" s="131"/>
      <c r="E42" s="65"/>
      <c r="F42" s="65"/>
      <c r="G42" s="65"/>
      <c r="H42" s="65"/>
      <c r="I42" s="65"/>
      <c r="J42" s="65"/>
      <c r="K42" s="131"/>
      <c r="L42" s="65"/>
      <c r="M42" s="66"/>
      <c r="N42" s="66"/>
      <c r="O42" s="66"/>
      <c r="P42" s="66"/>
      <c r="Q42" s="66"/>
      <c r="R42" s="66"/>
      <c r="S42" s="66"/>
      <c r="T42" s="122"/>
      <c r="U42" s="123"/>
      <c r="V42" s="123"/>
      <c r="W42" s="66"/>
    </row>
    <row r="44">
      <c r="A44" s="38" t="s">
        <v>143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9.88"/>
    <col customWidth="1" min="3" max="3" width="10.88"/>
    <col customWidth="1" min="4" max="4" width="10.63"/>
    <col customWidth="1" min="5" max="5" width="9.38"/>
    <col customWidth="1" min="6" max="6" width="8.75"/>
    <col customWidth="1" min="7" max="7" width="6.75"/>
    <col customWidth="1" min="8" max="8" width="8.38"/>
    <col customWidth="1" min="9" max="9" width="7.38"/>
    <col customWidth="1" min="10" max="10" width="8.63"/>
    <col customWidth="1" min="11" max="11" width="7.0"/>
    <col customWidth="1" min="12" max="12" width="5.13"/>
    <col customWidth="1" min="13" max="13" width="18.0"/>
    <col customWidth="1" min="14" max="14" width="5.0"/>
    <col customWidth="1" min="15" max="15" width="4.5"/>
    <col customWidth="1" min="16" max="16" width="4.88"/>
    <col customWidth="1" min="17" max="17" width="5.38"/>
    <col customWidth="1" min="18" max="19" width="7.0"/>
    <col customWidth="1" min="20" max="20" width="9.25"/>
    <col customWidth="1" min="21" max="21" width="7.25"/>
    <col customWidth="1" min="22" max="22" width="7.38"/>
    <col customWidth="1" min="23" max="23" width="7.0"/>
    <col customWidth="1" min="24" max="24" width="9.0"/>
  </cols>
  <sheetData>
    <row r="1">
      <c r="A1" s="59" t="s">
        <v>0</v>
      </c>
      <c r="B1" s="60" t="s">
        <v>75</v>
      </c>
      <c r="C1" s="60" t="s">
        <v>75</v>
      </c>
      <c r="D1" s="97" t="s">
        <v>90</v>
      </c>
      <c r="E1" s="97" t="s">
        <v>78</v>
      </c>
      <c r="F1" s="100" t="s">
        <v>79</v>
      </c>
      <c r="G1" s="102" t="s">
        <v>80</v>
      </c>
      <c r="H1" s="104" t="s">
        <v>81</v>
      </c>
      <c r="I1" s="104" t="s">
        <v>82</v>
      </c>
      <c r="J1" s="104" t="s">
        <v>83</v>
      </c>
      <c r="K1" s="66"/>
      <c r="L1" s="65"/>
      <c r="M1" s="66"/>
      <c r="N1" s="66"/>
      <c r="O1" s="66"/>
      <c r="P1" s="66"/>
      <c r="Q1" s="66"/>
      <c r="R1" s="66"/>
      <c r="S1" s="66"/>
      <c r="T1" s="67" t="s">
        <v>84</v>
      </c>
      <c r="U1" s="68" t="s">
        <v>86</v>
      </c>
      <c r="V1" s="69" t="s">
        <v>87</v>
      </c>
      <c r="W1" s="110" t="s">
        <v>91</v>
      </c>
      <c r="X1" s="69" t="s">
        <v>87</v>
      </c>
      <c r="Y1" s="66"/>
    </row>
    <row r="2">
      <c r="A2" s="70" t="s">
        <v>36</v>
      </c>
      <c r="B2" s="112">
        <v>2.0</v>
      </c>
      <c r="C2" s="72">
        <f t="shared" ref="C2:C13" si="1">10*B2</f>
        <v>20</v>
      </c>
      <c r="D2" s="117">
        <v>0.0</v>
      </c>
      <c r="E2" s="117">
        <v>0.0</v>
      </c>
      <c r="F2" s="120">
        <v>0.0</v>
      </c>
      <c r="G2" s="121">
        <v>0.0</v>
      </c>
      <c r="H2" s="126">
        <f t="shared" ref="H2:H13" si="2">sum(C2:G2)</f>
        <v>20</v>
      </c>
      <c r="I2" s="129">
        <f t="shared" ref="I2:I13" si="3">U2</f>
        <v>50</v>
      </c>
      <c r="J2" s="126">
        <f t="shared" ref="J2:J13" si="4">H2-I2</f>
        <v>-30</v>
      </c>
      <c r="K2" s="66"/>
      <c r="L2" s="65"/>
      <c r="M2" s="66"/>
      <c r="N2" s="66"/>
      <c r="O2" s="66"/>
      <c r="P2" s="66"/>
      <c r="Q2" s="66"/>
      <c r="R2" s="66"/>
      <c r="S2" s="66"/>
      <c r="T2" s="78" t="s">
        <v>36</v>
      </c>
      <c r="U2" s="79">
        <v>50.0</v>
      </c>
      <c r="V2" s="80">
        <f t="shared" ref="V2:V13" si="5">U2-50</f>
        <v>0</v>
      </c>
      <c r="W2" s="79">
        <v>5.0</v>
      </c>
      <c r="X2" s="80">
        <f t="shared" ref="X2:X13" si="6">W2-5</f>
        <v>0</v>
      </c>
      <c r="Y2" s="66"/>
    </row>
    <row r="3">
      <c r="A3" s="81" t="s">
        <v>37</v>
      </c>
      <c r="B3" s="143">
        <v>3.0</v>
      </c>
      <c r="C3" s="83">
        <f t="shared" si="1"/>
        <v>30</v>
      </c>
      <c r="D3" s="146">
        <v>50.0</v>
      </c>
      <c r="E3" s="146">
        <v>0.0</v>
      </c>
      <c r="F3" s="146">
        <v>0.0</v>
      </c>
      <c r="G3" s="146">
        <v>0.0</v>
      </c>
      <c r="H3" s="149">
        <f t="shared" si="2"/>
        <v>80</v>
      </c>
      <c r="I3" s="151">
        <f t="shared" si="3"/>
        <v>50</v>
      </c>
      <c r="J3" s="149">
        <f t="shared" si="4"/>
        <v>30</v>
      </c>
      <c r="K3" s="66"/>
      <c r="L3" s="65"/>
      <c r="M3" s="66"/>
      <c r="N3" s="66"/>
      <c r="O3" s="66"/>
      <c r="P3" s="66"/>
      <c r="Q3" s="66"/>
      <c r="R3" s="66"/>
      <c r="S3" s="66"/>
      <c r="T3" s="87" t="s">
        <v>37</v>
      </c>
      <c r="U3" s="88">
        <v>50.0</v>
      </c>
      <c r="V3" s="94">
        <f t="shared" si="5"/>
        <v>0</v>
      </c>
      <c r="W3" s="88">
        <v>5.0</v>
      </c>
      <c r="X3" s="94">
        <f t="shared" si="6"/>
        <v>0</v>
      </c>
      <c r="Y3" s="66"/>
    </row>
    <row r="4">
      <c r="A4" s="90" t="s">
        <v>38</v>
      </c>
      <c r="B4" s="143">
        <v>2.0</v>
      </c>
      <c r="C4" s="83">
        <f t="shared" si="1"/>
        <v>20</v>
      </c>
      <c r="D4" s="146">
        <v>0.0</v>
      </c>
      <c r="E4" s="146">
        <v>0.0</v>
      </c>
      <c r="F4" s="146">
        <v>0.0</v>
      </c>
      <c r="G4" s="146">
        <v>230.0</v>
      </c>
      <c r="H4" s="149">
        <f t="shared" si="2"/>
        <v>250</v>
      </c>
      <c r="I4" s="151">
        <f t="shared" si="3"/>
        <v>50</v>
      </c>
      <c r="J4" s="149">
        <f t="shared" si="4"/>
        <v>200</v>
      </c>
      <c r="K4" s="66"/>
      <c r="L4" s="65"/>
      <c r="M4" s="66"/>
      <c r="N4" s="66"/>
      <c r="O4" s="66"/>
      <c r="P4" s="66"/>
      <c r="Q4" s="66"/>
      <c r="R4" s="66"/>
      <c r="S4" s="66"/>
      <c r="T4" s="91" t="s">
        <v>38</v>
      </c>
      <c r="U4" s="88">
        <v>50.0</v>
      </c>
      <c r="V4" s="94">
        <f t="shared" si="5"/>
        <v>0</v>
      </c>
      <c r="W4" s="88">
        <v>5.0</v>
      </c>
      <c r="X4" s="94">
        <f t="shared" si="6"/>
        <v>0</v>
      </c>
      <c r="Y4" s="66"/>
    </row>
    <row r="5">
      <c r="A5" s="90" t="s">
        <v>39</v>
      </c>
      <c r="B5" s="143">
        <v>1.0</v>
      </c>
      <c r="C5" s="83">
        <f t="shared" si="1"/>
        <v>10</v>
      </c>
      <c r="D5" s="146">
        <v>0.0</v>
      </c>
      <c r="E5" s="146">
        <v>0.0</v>
      </c>
      <c r="F5" s="146">
        <v>0.0</v>
      </c>
      <c r="G5" s="146">
        <v>0.0</v>
      </c>
      <c r="H5" s="149">
        <f t="shared" si="2"/>
        <v>10</v>
      </c>
      <c r="I5" s="151">
        <f t="shared" si="3"/>
        <v>50</v>
      </c>
      <c r="J5" s="149">
        <f t="shared" si="4"/>
        <v>-40</v>
      </c>
      <c r="K5" s="66"/>
      <c r="L5" s="65"/>
      <c r="M5" s="66"/>
      <c r="N5" s="66"/>
      <c r="O5" s="66"/>
      <c r="P5" s="66"/>
      <c r="Q5" s="66"/>
      <c r="R5" s="66"/>
      <c r="S5" s="66"/>
      <c r="T5" s="91" t="s">
        <v>39</v>
      </c>
      <c r="U5" s="88">
        <v>50.0</v>
      </c>
      <c r="V5" s="94">
        <f t="shared" si="5"/>
        <v>0</v>
      </c>
      <c r="W5" s="88">
        <v>5.0</v>
      </c>
      <c r="X5" s="94">
        <f t="shared" si="6"/>
        <v>0</v>
      </c>
      <c r="Y5" s="66"/>
    </row>
    <row r="6">
      <c r="A6" s="90" t="s">
        <v>48</v>
      </c>
      <c r="B6" s="143">
        <v>0.0</v>
      </c>
      <c r="C6" s="83">
        <f t="shared" si="1"/>
        <v>0</v>
      </c>
      <c r="D6" s="146">
        <v>0.0</v>
      </c>
      <c r="E6" s="146">
        <v>0.0</v>
      </c>
      <c r="F6" s="146">
        <v>0.0</v>
      </c>
      <c r="G6" s="146">
        <v>0.0</v>
      </c>
      <c r="H6" s="149">
        <f t="shared" si="2"/>
        <v>0</v>
      </c>
      <c r="I6" s="151">
        <f t="shared" si="3"/>
        <v>50</v>
      </c>
      <c r="J6" s="149">
        <f t="shared" si="4"/>
        <v>-50</v>
      </c>
      <c r="K6" s="66"/>
      <c r="L6" s="65"/>
      <c r="M6" s="66"/>
      <c r="N6" s="66"/>
      <c r="O6" s="66"/>
      <c r="P6" s="66"/>
      <c r="Q6" s="66"/>
      <c r="R6" s="66"/>
      <c r="S6" s="66"/>
      <c r="T6" s="91" t="s">
        <v>48</v>
      </c>
      <c r="U6" s="88">
        <v>50.0</v>
      </c>
      <c r="V6" s="94">
        <f t="shared" si="5"/>
        <v>0</v>
      </c>
      <c r="W6" s="88">
        <v>5.0</v>
      </c>
      <c r="X6" s="94">
        <f t="shared" si="6"/>
        <v>0</v>
      </c>
      <c r="Y6" s="66"/>
    </row>
    <row r="7">
      <c r="A7" s="81" t="s">
        <v>41</v>
      </c>
      <c r="B7" s="143">
        <v>0.0</v>
      </c>
      <c r="C7" s="83">
        <f t="shared" si="1"/>
        <v>0</v>
      </c>
      <c r="D7" s="146">
        <v>0.0</v>
      </c>
      <c r="E7" s="146">
        <v>0.0</v>
      </c>
      <c r="F7" s="146">
        <v>0.0</v>
      </c>
      <c r="G7" s="146">
        <v>0.0</v>
      </c>
      <c r="H7" s="149">
        <f t="shared" si="2"/>
        <v>0</v>
      </c>
      <c r="I7" s="151">
        <f t="shared" si="3"/>
        <v>50</v>
      </c>
      <c r="J7" s="149">
        <f t="shared" si="4"/>
        <v>-50</v>
      </c>
      <c r="K7" s="66"/>
      <c r="L7" s="65"/>
      <c r="M7" s="66"/>
      <c r="N7" s="66"/>
      <c r="O7" s="66"/>
      <c r="P7" s="66"/>
      <c r="Q7" s="66"/>
      <c r="R7" s="66"/>
      <c r="S7" s="66"/>
      <c r="T7" s="87" t="s">
        <v>41</v>
      </c>
      <c r="U7" s="88">
        <v>50.0</v>
      </c>
      <c r="V7" s="94">
        <f t="shared" si="5"/>
        <v>0</v>
      </c>
      <c r="W7" s="88">
        <v>5.0</v>
      </c>
      <c r="X7" s="94">
        <f t="shared" si="6"/>
        <v>0</v>
      </c>
      <c r="Y7" s="66"/>
    </row>
    <row r="8">
      <c r="A8" s="90" t="s">
        <v>42</v>
      </c>
      <c r="B8" s="143">
        <v>0.0</v>
      </c>
      <c r="C8" s="83">
        <f t="shared" si="1"/>
        <v>0</v>
      </c>
      <c r="D8" s="146">
        <v>0.0</v>
      </c>
      <c r="E8" s="146">
        <v>0.0</v>
      </c>
      <c r="F8" s="146">
        <v>0.0</v>
      </c>
      <c r="G8" s="146">
        <v>0.0</v>
      </c>
      <c r="H8" s="149">
        <f t="shared" si="2"/>
        <v>0</v>
      </c>
      <c r="I8" s="151">
        <f t="shared" si="3"/>
        <v>50</v>
      </c>
      <c r="J8" s="149">
        <f t="shared" si="4"/>
        <v>-50</v>
      </c>
      <c r="K8" s="66"/>
      <c r="L8" s="65"/>
      <c r="M8" s="66"/>
      <c r="N8" s="66"/>
      <c r="O8" s="66"/>
      <c r="P8" s="66"/>
      <c r="Q8" s="66"/>
      <c r="R8" s="66"/>
      <c r="S8" s="66"/>
      <c r="T8" s="91" t="s">
        <v>42</v>
      </c>
      <c r="U8" s="88">
        <v>50.0</v>
      </c>
      <c r="V8" s="94">
        <f t="shared" si="5"/>
        <v>0</v>
      </c>
      <c r="W8" s="88">
        <v>5.0</v>
      </c>
      <c r="X8" s="94">
        <f t="shared" si="6"/>
        <v>0</v>
      </c>
      <c r="Y8" s="66"/>
    </row>
    <row r="9">
      <c r="A9" s="90" t="s">
        <v>43</v>
      </c>
      <c r="B9" s="143">
        <v>1.0</v>
      </c>
      <c r="C9" s="83">
        <f t="shared" si="1"/>
        <v>10</v>
      </c>
      <c r="D9" s="146">
        <v>0.0</v>
      </c>
      <c r="E9" s="146">
        <v>0.0</v>
      </c>
      <c r="F9" s="146">
        <v>100.0</v>
      </c>
      <c r="G9" s="146">
        <v>0.0</v>
      </c>
      <c r="H9" s="149">
        <f t="shared" si="2"/>
        <v>110</v>
      </c>
      <c r="I9" s="151">
        <f t="shared" si="3"/>
        <v>50</v>
      </c>
      <c r="J9" s="149">
        <f t="shared" si="4"/>
        <v>60</v>
      </c>
      <c r="K9" s="66"/>
      <c r="L9" s="65"/>
      <c r="M9" s="66"/>
      <c r="N9" s="66"/>
      <c r="O9" s="66"/>
      <c r="P9" s="66"/>
      <c r="Q9" s="66"/>
      <c r="R9" s="66"/>
      <c r="S9" s="66"/>
      <c r="T9" s="91" t="s">
        <v>43</v>
      </c>
      <c r="U9" s="88">
        <v>50.0</v>
      </c>
      <c r="V9" s="94">
        <f t="shared" si="5"/>
        <v>0</v>
      </c>
      <c r="W9" s="88">
        <v>5.0</v>
      </c>
      <c r="X9" s="94">
        <f t="shared" si="6"/>
        <v>0</v>
      </c>
      <c r="Y9" s="66"/>
    </row>
    <row r="10">
      <c r="A10" s="90" t="s">
        <v>44</v>
      </c>
      <c r="B10" s="143">
        <v>0.0</v>
      </c>
      <c r="C10" s="83">
        <f t="shared" si="1"/>
        <v>0</v>
      </c>
      <c r="D10" s="146">
        <v>0.0</v>
      </c>
      <c r="E10" s="146">
        <v>0.0</v>
      </c>
      <c r="F10" s="146">
        <v>0.0</v>
      </c>
      <c r="G10" s="146">
        <v>0.0</v>
      </c>
      <c r="H10" s="149">
        <f t="shared" si="2"/>
        <v>0</v>
      </c>
      <c r="I10" s="151">
        <f t="shared" si="3"/>
        <v>50</v>
      </c>
      <c r="J10" s="149">
        <f t="shared" si="4"/>
        <v>-50</v>
      </c>
      <c r="K10" s="66"/>
      <c r="L10" s="65"/>
      <c r="M10" s="66"/>
      <c r="N10" s="66"/>
      <c r="O10" s="92"/>
      <c r="P10" s="66"/>
      <c r="Q10" s="66"/>
      <c r="R10" s="66"/>
      <c r="S10" s="66"/>
      <c r="T10" s="91" t="s">
        <v>44</v>
      </c>
      <c r="U10" s="88">
        <v>50.0</v>
      </c>
      <c r="V10" s="94">
        <f t="shared" si="5"/>
        <v>0</v>
      </c>
      <c r="W10" s="88">
        <v>5.0</v>
      </c>
      <c r="X10" s="94">
        <f t="shared" si="6"/>
        <v>0</v>
      </c>
      <c r="Y10" s="66"/>
    </row>
    <row r="11">
      <c r="A11" s="90" t="s">
        <v>70</v>
      </c>
      <c r="B11" s="143">
        <v>0.0</v>
      </c>
      <c r="C11" s="83">
        <f t="shared" si="1"/>
        <v>0</v>
      </c>
      <c r="D11" s="146">
        <v>0.0</v>
      </c>
      <c r="E11" s="146">
        <v>0.0</v>
      </c>
      <c r="F11" s="146">
        <v>0.0</v>
      </c>
      <c r="G11" s="146">
        <v>0.0</v>
      </c>
      <c r="H11" s="149">
        <f t="shared" si="2"/>
        <v>0</v>
      </c>
      <c r="I11" s="151">
        <f t="shared" si="3"/>
        <v>50</v>
      </c>
      <c r="J11" s="149">
        <f t="shared" si="4"/>
        <v>-50</v>
      </c>
      <c r="K11" s="66"/>
      <c r="L11" s="65"/>
      <c r="M11" s="66"/>
      <c r="N11" s="66"/>
      <c r="O11" s="92"/>
      <c r="P11" s="66"/>
      <c r="Q11" s="66"/>
      <c r="R11" s="66"/>
      <c r="S11" s="66"/>
      <c r="T11" s="91" t="s">
        <v>70</v>
      </c>
      <c r="U11" s="93">
        <v>50.0</v>
      </c>
      <c r="V11" s="94">
        <f t="shared" si="5"/>
        <v>0</v>
      </c>
      <c r="W11" s="88">
        <v>5.0</v>
      </c>
      <c r="X11" s="94">
        <f t="shared" si="6"/>
        <v>0</v>
      </c>
      <c r="Y11" s="66"/>
    </row>
    <row r="12">
      <c r="A12" s="81" t="s">
        <v>46</v>
      </c>
      <c r="B12" s="143">
        <v>5.0</v>
      </c>
      <c r="C12" s="83">
        <f t="shared" si="1"/>
        <v>50</v>
      </c>
      <c r="D12" s="146">
        <v>0.0</v>
      </c>
      <c r="E12" s="146">
        <v>75.0</v>
      </c>
      <c r="F12" s="146">
        <v>0.0</v>
      </c>
      <c r="G12" s="146">
        <v>0.0</v>
      </c>
      <c r="H12" s="149">
        <f t="shared" si="2"/>
        <v>125</v>
      </c>
      <c r="I12" s="151">
        <f t="shared" si="3"/>
        <v>50</v>
      </c>
      <c r="J12" s="149">
        <f t="shared" si="4"/>
        <v>75</v>
      </c>
      <c r="K12" s="66"/>
      <c r="L12" s="65"/>
      <c r="M12" s="66"/>
      <c r="N12" s="66"/>
      <c r="O12" s="92"/>
      <c r="P12" s="66"/>
      <c r="Q12" s="66"/>
      <c r="R12" s="66"/>
      <c r="S12" s="66"/>
      <c r="T12" s="87" t="s">
        <v>46</v>
      </c>
      <c r="U12" s="88">
        <v>50.0</v>
      </c>
      <c r="V12" s="94">
        <f t="shared" si="5"/>
        <v>0</v>
      </c>
      <c r="W12" s="88">
        <v>5.0</v>
      </c>
      <c r="X12" s="94">
        <f t="shared" si="6"/>
        <v>0</v>
      </c>
      <c r="Y12" s="66"/>
    </row>
    <row r="13">
      <c r="A13" s="180" t="s">
        <v>49</v>
      </c>
      <c r="B13" s="181">
        <v>0.0</v>
      </c>
      <c r="C13" s="98">
        <f t="shared" si="1"/>
        <v>0</v>
      </c>
      <c r="D13" s="183">
        <v>0.0</v>
      </c>
      <c r="E13" s="183">
        <v>0.0</v>
      </c>
      <c r="F13" s="183">
        <v>0.0</v>
      </c>
      <c r="G13" s="183">
        <v>0.0</v>
      </c>
      <c r="H13" s="186">
        <f t="shared" si="2"/>
        <v>0</v>
      </c>
      <c r="I13" s="187">
        <f t="shared" si="3"/>
        <v>50</v>
      </c>
      <c r="J13" s="186">
        <f t="shared" si="4"/>
        <v>-50</v>
      </c>
      <c r="K13" s="66"/>
      <c r="L13" s="65"/>
      <c r="M13" s="66"/>
      <c r="N13" s="66"/>
      <c r="O13" s="92"/>
      <c r="P13" s="66"/>
      <c r="Q13" s="66"/>
      <c r="R13" s="66"/>
      <c r="S13" s="66"/>
      <c r="T13" s="189" t="s">
        <v>49</v>
      </c>
      <c r="U13" s="106">
        <v>50.0</v>
      </c>
      <c r="V13" s="107">
        <f t="shared" si="5"/>
        <v>0</v>
      </c>
      <c r="W13" s="106">
        <v>5.0</v>
      </c>
      <c r="X13" s="107">
        <f t="shared" si="6"/>
        <v>0</v>
      </c>
      <c r="Y13" s="66"/>
    </row>
    <row r="14">
      <c r="A14" s="108"/>
      <c r="B14" s="108"/>
      <c r="C14" s="109">
        <f t="shared" ref="C14:J14" si="7">SUM(C2:C13)</f>
        <v>140</v>
      </c>
      <c r="D14" s="195">
        <f t="shared" si="7"/>
        <v>50</v>
      </c>
      <c r="E14" s="195">
        <f t="shared" si="7"/>
        <v>75</v>
      </c>
      <c r="F14" s="198">
        <f t="shared" si="7"/>
        <v>100</v>
      </c>
      <c r="G14" s="198">
        <f t="shared" si="7"/>
        <v>230</v>
      </c>
      <c r="H14" s="198">
        <f t="shared" si="7"/>
        <v>595</v>
      </c>
      <c r="I14" s="198">
        <f t="shared" si="7"/>
        <v>600</v>
      </c>
      <c r="J14" s="202">
        <f t="shared" si="7"/>
        <v>-5</v>
      </c>
      <c r="K14" s="66"/>
      <c r="L14" s="65"/>
      <c r="M14" s="66"/>
      <c r="N14" s="66"/>
      <c r="O14" s="115"/>
      <c r="P14" s="66"/>
      <c r="Q14" s="66"/>
      <c r="R14" s="66"/>
      <c r="S14" s="66"/>
      <c r="T14" s="116" t="s">
        <v>93</v>
      </c>
      <c r="U14" s="118">
        <f t="shared" ref="U14:X14" si="8">SUM(U2:U13)</f>
        <v>600</v>
      </c>
      <c r="V14" s="119">
        <f t="shared" si="8"/>
        <v>0</v>
      </c>
      <c r="W14" s="118">
        <f t="shared" si="8"/>
        <v>60</v>
      </c>
      <c r="X14" s="119">
        <f t="shared" si="8"/>
        <v>0</v>
      </c>
      <c r="Y14" s="66"/>
    </row>
    <row r="15">
      <c r="A15" s="108"/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65"/>
      <c r="M15" s="66"/>
      <c r="N15" s="66"/>
      <c r="O15" s="115"/>
      <c r="P15" s="66"/>
      <c r="Q15" s="66"/>
      <c r="R15" s="66"/>
      <c r="S15" s="66"/>
      <c r="T15" s="122"/>
      <c r="U15" s="123"/>
      <c r="V15" s="123"/>
      <c r="W15" s="66"/>
      <c r="X15" s="66"/>
      <c r="Y15" s="66"/>
    </row>
    <row r="16">
      <c r="A16" s="124" t="s">
        <v>94</v>
      </c>
      <c r="B16" s="125" t="s">
        <v>0</v>
      </c>
      <c r="C16" s="125" t="s">
        <v>95</v>
      </c>
      <c r="D16" s="125" t="s">
        <v>86</v>
      </c>
      <c r="E16" s="127" t="s">
        <v>96</v>
      </c>
      <c r="F16" s="128"/>
      <c r="G16" s="66"/>
      <c r="H16" s="108"/>
      <c r="I16" s="108"/>
      <c r="J16" s="108"/>
      <c r="K16" s="130"/>
      <c r="L16" s="131"/>
      <c r="M16" s="66"/>
      <c r="N16" s="66"/>
      <c r="O16" s="92"/>
      <c r="P16" s="66"/>
      <c r="Q16" s="66"/>
      <c r="R16" s="66"/>
      <c r="S16" s="66"/>
      <c r="T16" s="122"/>
      <c r="U16" s="123"/>
      <c r="V16" s="123"/>
      <c r="W16" s="66"/>
      <c r="X16" s="66"/>
      <c r="Y16" s="66"/>
    </row>
    <row r="17">
      <c r="A17" s="132" t="s">
        <v>97</v>
      </c>
      <c r="B17" s="218" t="s">
        <v>36</v>
      </c>
      <c r="C17" s="134">
        <v>10.0</v>
      </c>
      <c r="D17" s="219" t="s">
        <v>98</v>
      </c>
      <c r="E17" s="221">
        <v>137.88</v>
      </c>
      <c r="F17" s="137"/>
      <c r="G17" s="138"/>
      <c r="H17" s="139"/>
      <c r="I17" s="108"/>
      <c r="J17" s="108"/>
      <c r="K17" s="130"/>
      <c r="L17" s="131"/>
      <c r="M17" s="66"/>
      <c r="N17" s="66"/>
      <c r="O17" s="92"/>
      <c r="P17" s="66"/>
      <c r="Q17" s="66"/>
      <c r="R17" s="66"/>
      <c r="S17" s="66"/>
      <c r="T17" s="122"/>
      <c r="U17" s="123"/>
      <c r="V17" s="123"/>
      <c r="W17" s="66"/>
      <c r="X17" s="66"/>
      <c r="Y17" s="66"/>
    </row>
    <row r="18">
      <c r="A18" s="140" t="s">
        <v>100</v>
      </c>
      <c r="B18" s="218" t="s">
        <v>37</v>
      </c>
      <c r="C18" s="134">
        <v>10.0</v>
      </c>
      <c r="D18" s="226" t="s">
        <v>98</v>
      </c>
      <c r="E18" s="227">
        <v>141.44</v>
      </c>
      <c r="F18" s="144"/>
      <c r="G18" s="145"/>
      <c r="H18" s="139"/>
      <c r="I18" s="108"/>
      <c r="J18" s="108"/>
      <c r="K18" s="130"/>
      <c r="L18" s="131"/>
      <c r="M18" s="66"/>
      <c r="N18" s="66"/>
      <c r="O18" s="66"/>
      <c r="P18" s="66"/>
      <c r="Q18" s="66"/>
      <c r="R18" s="66"/>
      <c r="S18" s="66"/>
      <c r="T18" s="122"/>
      <c r="U18" s="123"/>
      <c r="V18" s="123"/>
      <c r="W18" s="66"/>
      <c r="X18" s="66"/>
      <c r="Y18" s="66"/>
    </row>
    <row r="19">
      <c r="A19" s="140" t="s">
        <v>101</v>
      </c>
      <c r="B19" s="218" t="s">
        <v>46</v>
      </c>
      <c r="C19" s="134">
        <v>10.0</v>
      </c>
      <c r="D19" s="226" t="s">
        <v>98</v>
      </c>
      <c r="E19" s="227">
        <v>121.04</v>
      </c>
      <c r="F19" s="144"/>
      <c r="G19" s="145"/>
      <c r="H19" s="139"/>
      <c r="I19" s="108"/>
      <c r="J19" s="108"/>
      <c r="K19" s="130"/>
      <c r="L19" s="147" t="s">
        <v>102</v>
      </c>
      <c r="M19" s="148" t="s">
        <v>103</v>
      </c>
      <c r="N19" s="150" t="s">
        <v>104</v>
      </c>
      <c r="O19" s="150" t="s">
        <v>105</v>
      </c>
      <c r="P19" s="150" t="s">
        <v>106</v>
      </c>
      <c r="Q19" s="150" t="s">
        <v>107</v>
      </c>
      <c r="R19" s="150" t="s">
        <v>108</v>
      </c>
      <c r="S19" s="150" t="s">
        <v>109</v>
      </c>
      <c r="T19" s="152" t="s">
        <v>110</v>
      </c>
      <c r="U19" s="123"/>
      <c r="V19" s="123"/>
      <c r="W19" s="66"/>
      <c r="X19" s="66"/>
      <c r="Y19" s="66"/>
    </row>
    <row r="20">
      <c r="A20" s="140" t="s">
        <v>111</v>
      </c>
      <c r="B20" s="218" t="s">
        <v>37</v>
      </c>
      <c r="C20" s="134">
        <v>10.0</v>
      </c>
      <c r="D20" s="226" t="s">
        <v>98</v>
      </c>
      <c r="E20" s="227">
        <v>108.48</v>
      </c>
      <c r="F20" s="153"/>
      <c r="G20" s="145"/>
      <c r="H20" s="139"/>
      <c r="I20" s="108"/>
      <c r="J20" s="108"/>
      <c r="K20" s="154"/>
      <c r="L20" s="155">
        <v>1.0</v>
      </c>
      <c r="M20" s="238" t="s">
        <v>123</v>
      </c>
      <c r="N20" s="240">
        <v>10.0</v>
      </c>
      <c r="O20" s="240">
        <v>4.0</v>
      </c>
      <c r="P20" s="240">
        <v>0.0</v>
      </c>
      <c r="Q20" s="241">
        <v>0.0</v>
      </c>
      <c r="R20" s="245">
        <v>1478.34</v>
      </c>
      <c r="S20" s="245">
        <v>1242.48</v>
      </c>
      <c r="T20" s="160">
        <f>R20-R25</f>
        <v>172.09</v>
      </c>
      <c r="U20" s="123"/>
      <c r="V20" s="123"/>
      <c r="W20" s="66"/>
      <c r="X20" s="66"/>
      <c r="Y20" s="66"/>
    </row>
    <row r="21">
      <c r="A21" s="140" t="s">
        <v>113</v>
      </c>
      <c r="B21" s="218" t="s">
        <v>38</v>
      </c>
      <c r="C21" s="134">
        <v>10.0</v>
      </c>
      <c r="D21" s="226" t="s">
        <v>98</v>
      </c>
      <c r="E21" s="227">
        <v>117.56</v>
      </c>
      <c r="F21" s="137"/>
      <c r="G21" s="145"/>
      <c r="H21" s="139"/>
      <c r="I21" s="108"/>
      <c r="J21" s="108"/>
      <c r="K21" s="154"/>
      <c r="L21" s="161">
        <v>2.0</v>
      </c>
      <c r="M21" s="238" t="s">
        <v>142</v>
      </c>
      <c r="N21" s="245">
        <v>9.0</v>
      </c>
      <c r="O21" s="245">
        <v>5.0</v>
      </c>
      <c r="P21" s="245">
        <v>0.0</v>
      </c>
      <c r="Q21" s="254">
        <v>1.0</v>
      </c>
      <c r="R21" s="245">
        <v>1485.5</v>
      </c>
      <c r="S21" s="245">
        <v>1234.42</v>
      </c>
      <c r="T21" s="163">
        <f>R21-R25</f>
        <v>179.25</v>
      </c>
      <c r="U21" s="123"/>
      <c r="V21" s="123"/>
      <c r="W21" s="66"/>
      <c r="X21" s="66"/>
      <c r="Y21" s="66"/>
    </row>
    <row r="22">
      <c r="A22" s="140" t="s">
        <v>116</v>
      </c>
      <c r="B22" s="218" t="s">
        <v>38</v>
      </c>
      <c r="C22" s="134">
        <v>10.0</v>
      </c>
      <c r="D22" s="226" t="s">
        <v>98</v>
      </c>
      <c r="E22" s="227">
        <v>132.66</v>
      </c>
      <c r="F22" s="144"/>
      <c r="G22" s="145"/>
      <c r="H22" s="139"/>
      <c r="I22" s="108"/>
      <c r="J22" s="108"/>
      <c r="K22" s="154"/>
      <c r="L22" s="161">
        <v>3.0</v>
      </c>
      <c r="M22" s="238" t="s">
        <v>144</v>
      </c>
      <c r="N22" s="245">
        <v>9.0</v>
      </c>
      <c r="O22" s="245">
        <v>5.0</v>
      </c>
      <c r="P22" s="245">
        <v>0.0</v>
      </c>
      <c r="Q22" s="254">
        <v>1.0</v>
      </c>
      <c r="R22" s="245">
        <v>1349.54</v>
      </c>
      <c r="S22" s="245">
        <v>1275.4</v>
      </c>
      <c r="T22" s="164">
        <f>R22-R25</f>
        <v>43.29</v>
      </c>
      <c r="U22" s="123"/>
      <c r="V22" s="123"/>
      <c r="W22" s="66"/>
      <c r="X22" s="66"/>
      <c r="Y22" s="66"/>
    </row>
    <row r="23">
      <c r="A23" s="140" t="s">
        <v>118</v>
      </c>
      <c r="B23" s="218" t="s">
        <v>46</v>
      </c>
      <c r="C23" s="134">
        <v>10.0</v>
      </c>
      <c r="D23" s="226" t="s">
        <v>98</v>
      </c>
      <c r="E23" s="227">
        <v>124.36</v>
      </c>
      <c r="F23" s="153"/>
      <c r="G23" s="145"/>
      <c r="H23" s="139"/>
      <c r="I23" s="108"/>
      <c r="J23" s="108"/>
      <c r="K23" s="154"/>
      <c r="L23" s="161">
        <v>4.0</v>
      </c>
      <c r="M23" s="238" t="s">
        <v>145</v>
      </c>
      <c r="N23" s="255">
        <v>10.0</v>
      </c>
      <c r="O23" s="255">
        <v>4.0</v>
      </c>
      <c r="P23" s="256">
        <v>0.0</v>
      </c>
      <c r="Q23" s="257">
        <v>0.0</v>
      </c>
      <c r="R23" s="245">
        <v>1472.14</v>
      </c>
      <c r="S23" s="245">
        <v>1264.04</v>
      </c>
      <c r="T23" s="164">
        <f>R23-R25</f>
        <v>165.89</v>
      </c>
      <c r="U23" s="123"/>
      <c r="V23" s="123"/>
      <c r="W23" s="66"/>
      <c r="X23" s="66"/>
      <c r="Y23" s="66"/>
    </row>
    <row r="24">
      <c r="A24" s="140" t="s">
        <v>120</v>
      </c>
      <c r="B24" s="218" t="s">
        <v>43</v>
      </c>
      <c r="C24" s="134">
        <v>10.0</v>
      </c>
      <c r="D24" s="226" t="s">
        <v>98</v>
      </c>
      <c r="E24" s="227">
        <v>122.6</v>
      </c>
      <c r="F24" s="168"/>
      <c r="G24" s="145"/>
      <c r="H24" s="139"/>
      <c r="I24" s="108"/>
      <c r="J24" s="108"/>
      <c r="K24" s="154"/>
      <c r="L24" s="169">
        <v>5.0</v>
      </c>
      <c r="M24" s="238" t="s">
        <v>112</v>
      </c>
      <c r="N24" s="258">
        <v>7.0</v>
      </c>
      <c r="O24" s="258">
        <v>7.0</v>
      </c>
      <c r="P24" s="259">
        <v>0.0</v>
      </c>
      <c r="Q24" s="254">
        <v>3.0</v>
      </c>
      <c r="R24" s="245">
        <v>1343.74</v>
      </c>
      <c r="S24" s="245">
        <v>1226.3</v>
      </c>
      <c r="T24" s="163">
        <f>R24-R25</f>
        <v>37.49</v>
      </c>
      <c r="U24" s="123"/>
      <c r="V24" s="123"/>
      <c r="W24" s="66"/>
      <c r="X24" s="66"/>
      <c r="Y24" s="66"/>
    </row>
    <row r="25">
      <c r="A25" s="140" t="s">
        <v>122</v>
      </c>
      <c r="B25" s="218" t="s">
        <v>36</v>
      </c>
      <c r="C25" s="134">
        <v>10.0</v>
      </c>
      <c r="D25" s="226" t="s">
        <v>98</v>
      </c>
      <c r="E25" s="227">
        <v>123.72</v>
      </c>
      <c r="F25" s="168"/>
      <c r="G25" s="145"/>
      <c r="H25" s="139"/>
      <c r="I25" s="108"/>
      <c r="J25" s="108"/>
      <c r="K25" s="154"/>
      <c r="L25" s="161">
        <v>6.0</v>
      </c>
      <c r="M25" s="238" t="s">
        <v>146</v>
      </c>
      <c r="N25" s="255">
        <v>6.0</v>
      </c>
      <c r="O25" s="255">
        <v>8.0</v>
      </c>
      <c r="P25" s="256">
        <v>0.0</v>
      </c>
      <c r="Q25" s="254">
        <v>4.0</v>
      </c>
      <c r="R25" s="245">
        <v>1306.25</v>
      </c>
      <c r="S25" s="245">
        <v>1331.6</v>
      </c>
      <c r="T25" s="260">
        <v>0.0</v>
      </c>
      <c r="U25" s="123"/>
      <c r="V25" s="123"/>
      <c r="W25" s="66"/>
      <c r="X25" s="66"/>
      <c r="Y25" s="66"/>
    </row>
    <row r="26">
      <c r="A26" s="140" t="s">
        <v>124</v>
      </c>
      <c r="B26" s="218" t="s">
        <v>147</v>
      </c>
      <c r="C26" s="134">
        <v>10.0</v>
      </c>
      <c r="D26" s="226" t="s">
        <v>98</v>
      </c>
      <c r="E26" s="227">
        <v>115.36</v>
      </c>
      <c r="F26" s="168"/>
      <c r="G26" s="145"/>
      <c r="H26" s="139"/>
      <c r="I26" s="108"/>
      <c r="J26" s="108"/>
      <c r="K26" s="154"/>
      <c r="L26" s="173">
        <v>7.0</v>
      </c>
      <c r="M26" s="261" t="s">
        <v>148</v>
      </c>
      <c r="N26" s="262">
        <v>6.0</v>
      </c>
      <c r="O26" s="262">
        <v>8.0</v>
      </c>
      <c r="P26" s="262">
        <v>0.0</v>
      </c>
      <c r="Q26" s="263">
        <v>4.0</v>
      </c>
      <c r="R26" s="262">
        <v>1293.99</v>
      </c>
      <c r="S26" s="262">
        <v>1437.04</v>
      </c>
      <c r="T26" s="177">
        <f>R25-R26</f>
        <v>12.26</v>
      </c>
      <c r="U26" s="123"/>
      <c r="V26" s="123"/>
      <c r="W26" s="66"/>
      <c r="X26" s="66"/>
      <c r="Y26" s="66"/>
    </row>
    <row r="27">
      <c r="A27" s="140" t="s">
        <v>126</v>
      </c>
      <c r="B27" s="218" t="s">
        <v>46</v>
      </c>
      <c r="C27" s="134">
        <v>10.0</v>
      </c>
      <c r="D27" s="226" t="s">
        <v>98</v>
      </c>
      <c r="E27" s="227">
        <v>148.08</v>
      </c>
      <c r="F27" s="137"/>
      <c r="G27" s="145"/>
      <c r="H27" s="139"/>
      <c r="I27" s="108"/>
      <c r="J27" s="108"/>
      <c r="K27" s="154"/>
      <c r="L27" s="173">
        <v>8.0</v>
      </c>
      <c r="M27" s="261" t="s">
        <v>149</v>
      </c>
      <c r="N27" s="262">
        <v>6.0</v>
      </c>
      <c r="O27" s="262">
        <v>8.0</v>
      </c>
      <c r="P27" s="262">
        <v>0.0</v>
      </c>
      <c r="Q27" s="263">
        <v>4.0</v>
      </c>
      <c r="R27" s="218">
        <v>1230.04</v>
      </c>
      <c r="S27" s="264">
        <v>1206.6</v>
      </c>
      <c r="T27" s="177">
        <f>R25-R27</f>
        <v>76.21</v>
      </c>
      <c r="U27" s="123"/>
      <c r="V27" s="123"/>
      <c r="W27" s="66"/>
      <c r="X27" s="66"/>
      <c r="Y27" s="66"/>
    </row>
    <row r="28">
      <c r="A28" s="140" t="s">
        <v>129</v>
      </c>
      <c r="B28" s="218" t="s">
        <v>46</v>
      </c>
      <c r="C28" s="134">
        <v>10.0</v>
      </c>
      <c r="D28" s="265"/>
      <c r="E28" s="227">
        <v>131.12</v>
      </c>
      <c r="F28" s="153"/>
      <c r="G28" s="145"/>
      <c r="H28" s="139"/>
      <c r="I28" s="108"/>
      <c r="J28" s="108"/>
      <c r="K28" s="154"/>
      <c r="L28" s="173">
        <v>9.0</v>
      </c>
      <c r="M28" s="261" t="s">
        <v>151</v>
      </c>
      <c r="N28" s="262">
        <v>7.0</v>
      </c>
      <c r="O28" s="262">
        <v>7.0</v>
      </c>
      <c r="P28" s="262">
        <v>0.0</v>
      </c>
      <c r="Q28" s="263">
        <v>3.0</v>
      </c>
      <c r="R28" s="218">
        <v>1226.76</v>
      </c>
      <c r="S28" s="264">
        <v>1318.6</v>
      </c>
      <c r="T28" s="177">
        <f>R25-R28</f>
        <v>79.49</v>
      </c>
      <c r="U28" s="123"/>
      <c r="V28" s="123"/>
      <c r="W28" s="66"/>
      <c r="X28" s="66"/>
      <c r="Y28" s="66"/>
    </row>
    <row r="29">
      <c r="A29" s="266" t="s">
        <v>131</v>
      </c>
      <c r="B29" s="218" t="s">
        <v>37</v>
      </c>
      <c r="C29" s="134">
        <v>10.0</v>
      </c>
      <c r="D29" s="226" t="s">
        <v>98</v>
      </c>
      <c r="E29" s="227">
        <v>125.86</v>
      </c>
      <c r="F29" s="184"/>
      <c r="G29" s="185"/>
      <c r="H29" s="139"/>
      <c r="I29" s="108"/>
      <c r="J29" s="108"/>
      <c r="K29" s="154"/>
      <c r="L29" s="173">
        <v>10.0</v>
      </c>
      <c r="M29" s="261" t="s">
        <v>152</v>
      </c>
      <c r="N29" s="262">
        <v>7.0</v>
      </c>
      <c r="O29" s="262">
        <v>7.0</v>
      </c>
      <c r="P29" s="262">
        <v>0.0</v>
      </c>
      <c r="Q29" s="263">
        <v>3.0</v>
      </c>
      <c r="R29" s="267">
        <v>1208.88</v>
      </c>
      <c r="S29" s="268">
        <v>1226.94</v>
      </c>
      <c r="T29" s="177">
        <f>R25-R29</f>
        <v>97.37</v>
      </c>
      <c r="U29" s="66"/>
      <c r="V29" s="66"/>
      <c r="W29" s="66"/>
      <c r="X29" s="66"/>
      <c r="Y29" s="66"/>
    </row>
    <row r="30">
      <c r="A30" s="269" t="s">
        <v>133</v>
      </c>
      <c r="B30" s="270" t="s">
        <v>39</v>
      </c>
      <c r="C30" s="191">
        <v>10.0</v>
      </c>
      <c r="D30" s="271" t="s">
        <v>98</v>
      </c>
      <c r="E30" s="272">
        <v>151.42</v>
      </c>
      <c r="F30" s="194"/>
      <c r="G30" s="139"/>
      <c r="H30" s="139"/>
      <c r="I30" s="108"/>
      <c r="J30" s="108"/>
      <c r="K30" s="154"/>
      <c r="L30" s="196">
        <v>11.0</v>
      </c>
      <c r="M30" s="261" t="s">
        <v>153</v>
      </c>
      <c r="N30" s="273">
        <v>5.0</v>
      </c>
      <c r="O30" s="273">
        <v>9.0</v>
      </c>
      <c r="P30" s="262">
        <v>0.0</v>
      </c>
      <c r="Q30" s="274">
        <v>5.0</v>
      </c>
      <c r="R30" s="267">
        <v>1171.7</v>
      </c>
      <c r="S30" s="268">
        <v>1391.08</v>
      </c>
      <c r="T30" s="177">
        <f>R25-R30</f>
        <v>134.55</v>
      </c>
      <c r="U30" s="66"/>
      <c r="V30" s="66"/>
      <c r="W30" s="66"/>
      <c r="X30" s="66"/>
      <c r="Y30" s="66"/>
    </row>
    <row r="31">
      <c r="A31" s="203" t="s">
        <v>154</v>
      </c>
      <c r="B31" s="218" t="s">
        <v>38</v>
      </c>
      <c r="C31" s="134">
        <v>5.0</v>
      </c>
      <c r="D31" s="265"/>
      <c r="E31" s="275"/>
      <c r="F31" s="194"/>
      <c r="G31" s="139"/>
      <c r="H31" s="205"/>
      <c r="I31" s="108"/>
      <c r="J31" s="108"/>
      <c r="K31" s="154"/>
      <c r="L31" s="206">
        <v>12.0</v>
      </c>
      <c r="M31" s="276" t="s">
        <v>134</v>
      </c>
      <c r="N31" s="277">
        <v>2.0</v>
      </c>
      <c r="O31" s="277">
        <v>12.0</v>
      </c>
      <c r="P31" s="277">
        <v>0.0</v>
      </c>
      <c r="Q31" s="278">
        <v>8.0</v>
      </c>
      <c r="R31" s="279">
        <v>1075.82</v>
      </c>
      <c r="S31" s="280">
        <v>1488.24</v>
      </c>
      <c r="T31" s="212">
        <f>R25-R31</f>
        <v>230.43</v>
      </c>
      <c r="U31" s="66"/>
      <c r="V31" s="66"/>
      <c r="W31" s="66"/>
      <c r="X31" s="66"/>
      <c r="Y31" s="66"/>
    </row>
    <row r="32">
      <c r="A32" s="213" t="s">
        <v>90</v>
      </c>
      <c r="B32" s="218" t="s">
        <v>68</v>
      </c>
      <c r="C32" s="281">
        <v>50.0</v>
      </c>
      <c r="D32" s="226" t="s">
        <v>98</v>
      </c>
      <c r="E32" s="227">
        <v>106.34</v>
      </c>
      <c r="F32" s="194"/>
      <c r="G32" s="139"/>
      <c r="H32" s="205"/>
      <c r="I32" s="108"/>
      <c r="J32" s="215"/>
      <c r="K32" s="130"/>
      <c r="L32" s="216"/>
      <c r="M32" s="217" t="s">
        <v>139</v>
      </c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</row>
    <row r="33">
      <c r="A33" s="213" t="s">
        <v>78</v>
      </c>
      <c r="B33" s="218" t="s">
        <v>46</v>
      </c>
      <c r="C33" s="134">
        <v>75.0</v>
      </c>
      <c r="D33" s="226" t="s">
        <v>98</v>
      </c>
      <c r="E33" s="227">
        <v>107.64</v>
      </c>
      <c r="F33" s="194"/>
      <c r="G33" s="139"/>
      <c r="H33" s="205"/>
      <c r="I33" s="108"/>
      <c r="J33" s="215"/>
      <c r="K33" s="215"/>
      <c r="L33" s="220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</row>
    <row r="34">
      <c r="A34" s="222" t="s">
        <v>79</v>
      </c>
      <c r="B34" s="218" t="s">
        <v>43</v>
      </c>
      <c r="C34" s="134">
        <v>100.0</v>
      </c>
      <c r="D34" s="226" t="s">
        <v>98</v>
      </c>
      <c r="E34" s="227">
        <v>105.26</v>
      </c>
      <c r="F34" s="194"/>
      <c r="G34" s="139"/>
      <c r="H34" s="108"/>
      <c r="I34" s="108"/>
      <c r="J34" s="108"/>
      <c r="K34" s="215"/>
      <c r="L34" s="220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</row>
    <row r="35">
      <c r="A35" s="213" t="s">
        <v>140</v>
      </c>
      <c r="B35" s="218" t="s">
        <v>38</v>
      </c>
      <c r="C35" s="282">
        <v>230.0</v>
      </c>
      <c r="D35" s="226" t="s">
        <v>98</v>
      </c>
      <c r="E35" s="218">
        <v>110.02</v>
      </c>
      <c r="F35" s="223"/>
      <c r="G35" s="224"/>
      <c r="H35" s="108"/>
      <c r="I35" s="108"/>
      <c r="J35" s="108"/>
      <c r="K35" s="215"/>
      <c r="L35" s="225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</row>
    <row r="36">
      <c r="A36" s="283"/>
      <c r="B36" s="284"/>
      <c r="C36" s="285">
        <f>SUM(C17:C35)</f>
        <v>600</v>
      </c>
      <c r="D36" s="284"/>
      <c r="E36" s="223"/>
      <c r="F36" s="223"/>
      <c r="G36" s="224"/>
      <c r="H36" s="65"/>
      <c r="I36" s="65"/>
      <c r="J36" s="231"/>
      <c r="K36" s="131"/>
      <c r="L36" s="65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</row>
    <row r="37">
      <c r="A37" s="66"/>
      <c r="B37" s="66"/>
      <c r="C37" s="66"/>
      <c r="D37" s="66"/>
      <c r="E37" s="66"/>
      <c r="F37" s="233"/>
      <c r="G37" s="234"/>
      <c r="H37" s="65"/>
      <c r="I37" s="65"/>
      <c r="J37" s="65"/>
      <c r="K37" s="131"/>
      <c r="L37" s="65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</row>
    <row r="38">
      <c r="A38" s="242"/>
      <c r="B38" s="244"/>
      <c r="C38" s="246"/>
      <c r="D38" s="244"/>
      <c r="E38" s="233"/>
      <c r="F38" s="233"/>
      <c r="G38" s="234"/>
      <c r="H38" s="65"/>
      <c r="I38" s="65"/>
      <c r="J38" s="65"/>
      <c r="K38" s="131"/>
      <c r="L38" s="65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</row>
    <row r="39">
      <c r="A39" s="242"/>
      <c r="B39" s="244"/>
      <c r="C39" s="246"/>
      <c r="D39" s="244"/>
      <c r="E39" s="233"/>
      <c r="F39" s="233"/>
      <c r="G39" s="234"/>
      <c r="H39" s="65"/>
      <c r="I39" s="65"/>
      <c r="J39" s="65"/>
      <c r="K39" s="131"/>
      <c r="L39" s="65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</row>
    <row r="40">
      <c r="A40" s="242"/>
      <c r="B40" s="244"/>
      <c r="C40" s="246"/>
      <c r="D40" s="244"/>
      <c r="E40" s="233"/>
      <c r="F40" s="233"/>
      <c r="G40" s="234"/>
      <c r="H40" s="65"/>
      <c r="I40" s="65"/>
      <c r="J40" s="65"/>
      <c r="K40" s="131"/>
      <c r="L40" s="65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</row>
    <row r="41">
      <c r="A41" s="247"/>
      <c r="B41" s="248"/>
      <c r="C41" s="249"/>
      <c r="D41" s="248"/>
      <c r="E41" s="250"/>
      <c r="F41" s="250"/>
      <c r="G41" s="251"/>
      <c r="H41" s="65"/>
      <c r="I41" s="65"/>
      <c r="J41" s="65"/>
      <c r="K41" s="131"/>
      <c r="L41" s="65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</row>
    <row r="42">
      <c r="A42" s="131"/>
      <c r="B42" s="131"/>
      <c r="C42" s="252"/>
      <c r="D42" s="131"/>
      <c r="E42" s="65"/>
      <c r="F42" s="65"/>
      <c r="G42" s="65"/>
      <c r="H42" s="65"/>
      <c r="I42" s="65"/>
      <c r="J42" s="65"/>
      <c r="K42" s="131"/>
      <c r="L42" s="65"/>
      <c r="M42" s="66"/>
      <c r="N42" s="66"/>
      <c r="O42" s="66"/>
      <c r="P42" s="66"/>
      <c r="Q42" s="66"/>
      <c r="R42" s="66"/>
      <c r="S42" s="66"/>
      <c r="T42" s="122"/>
      <c r="U42" s="123"/>
      <c r="V42" s="123"/>
      <c r="W42" s="66"/>
      <c r="X42" s="66"/>
      <c r="Y42" s="66"/>
    </row>
    <row r="44">
      <c r="A44" s="38" t="s">
        <v>143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9.88"/>
    <col customWidth="1" min="3" max="3" width="10.88"/>
    <col customWidth="1" min="4" max="4" width="7.75"/>
    <col customWidth="1" min="5" max="5" width="9.38"/>
    <col customWidth="1" min="6" max="6" width="8.75"/>
    <col customWidth="1" min="7" max="7" width="6.75"/>
    <col customWidth="1" min="8" max="8" width="8.38"/>
    <col customWidth="1" min="9" max="9" width="7.38"/>
    <col customWidth="1" min="10" max="10" width="8.63"/>
    <col customWidth="1" min="11" max="11" width="7.0"/>
    <col customWidth="1" min="12" max="12" width="5.13"/>
    <col customWidth="1" min="13" max="13" width="18.0"/>
    <col customWidth="1" min="14" max="14" width="5.0"/>
    <col customWidth="1" min="15" max="15" width="4.5"/>
    <col customWidth="1" min="16" max="16" width="4.88"/>
    <col customWidth="1" min="17" max="17" width="5.38"/>
    <col customWidth="1" min="18" max="19" width="7.0"/>
    <col customWidth="1" min="20" max="20" width="9.25"/>
    <col customWidth="1" min="21" max="21" width="7.25"/>
    <col customWidth="1" min="22" max="22" width="7.38"/>
    <col customWidth="1" min="23" max="23" width="7.0"/>
    <col customWidth="1" min="24" max="24" width="9.0"/>
  </cols>
  <sheetData>
    <row r="1">
      <c r="A1" s="59" t="s">
        <v>0</v>
      </c>
      <c r="B1" s="60" t="s">
        <v>75</v>
      </c>
      <c r="C1" s="60" t="s">
        <v>75</v>
      </c>
      <c r="D1" s="97" t="s">
        <v>90</v>
      </c>
      <c r="E1" s="97" t="s">
        <v>78</v>
      </c>
      <c r="F1" s="100" t="s">
        <v>79</v>
      </c>
      <c r="G1" s="102" t="s">
        <v>80</v>
      </c>
      <c r="H1" s="104" t="s">
        <v>81</v>
      </c>
      <c r="I1" s="104" t="s">
        <v>82</v>
      </c>
      <c r="J1" s="104" t="s">
        <v>83</v>
      </c>
      <c r="K1" s="66"/>
      <c r="L1" s="65"/>
      <c r="M1" s="66"/>
      <c r="N1" s="66"/>
      <c r="O1" s="66"/>
      <c r="P1" s="66"/>
      <c r="Q1" s="66"/>
      <c r="R1" s="66"/>
      <c r="S1" s="66"/>
      <c r="T1" s="67" t="s">
        <v>84</v>
      </c>
      <c r="U1" s="68" t="s">
        <v>86</v>
      </c>
      <c r="V1" s="69" t="s">
        <v>87</v>
      </c>
      <c r="W1" s="66"/>
      <c r="X1" s="66"/>
      <c r="Y1" s="66"/>
    </row>
    <row r="2">
      <c r="A2" s="70" t="s">
        <v>36</v>
      </c>
      <c r="B2" s="112">
        <v>1.0</v>
      </c>
      <c r="C2" s="72">
        <f t="shared" ref="C2:C13" si="1">10*B2</f>
        <v>10</v>
      </c>
      <c r="D2" s="117">
        <v>0.0</v>
      </c>
      <c r="E2" s="117">
        <v>0.0</v>
      </c>
      <c r="F2" s="120">
        <v>0.0</v>
      </c>
      <c r="G2" s="121">
        <v>230.0</v>
      </c>
      <c r="H2" s="126">
        <f t="shared" ref="H2:H13" si="2">sum(C2:G2)</f>
        <v>240</v>
      </c>
      <c r="I2" s="129">
        <f t="shared" ref="I2:I13" si="3">U2</f>
        <v>50</v>
      </c>
      <c r="J2" s="126">
        <f t="shared" ref="J2:J13" si="4">H2-I2</f>
        <v>190</v>
      </c>
      <c r="K2" s="66"/>
      <c r="L2" s="65"/>
      <c r="M2" s="66"/>
      <c r="N2" s="66"/>
      <c r="O2" s="66"/>
      <c r="P2" s="66"/>
      <c r="Q2" s="66"/>
      <c r="R2" s="66"/>
      <c r="S2" s="66"/>
      <c r="T2" s="78" t="s">
        <v>36</v>
      </c>
      <c r="U2" s="79">
        <v>50.0</v>
      </c>
      <c r="V2" s="80">
        <f t="shared" ref="V2:V13" si="5">U2-50</f>
        <v>0</v>
      </c>
      <c r="W2" s="66"/>
      <c r="X2" s="66"/>
      <c r="Y2" s="66"/>
    </row>
    <row r="3">
      <c r="A3" s="81" t="s">
        <v>37</v>
      </c>
      <c r="B3" s="143">
        <v>1.0</v>
      </c>
      <c r="C3" s="83">
        <f t="shared" si="1"/>
        <v>10</v>
      </c>
      <c r="D3" s="146">
        <v>0.0</v>
      </c>
      <c r="E3" s="146">
        <v>0.0</v>
      </c>
      <c r="F3" s="146">
        <v>0.0</v>
      </c>
      <c r="G3" s="146">
        <v>0.0</v>
      </c>
      <c r="H3" s="149">
        <f t="shared" si="2"/>
        <v>10</v>
      </c>
      <c r="I3" s="151">
        <f t="shared" si="3"/>
        <v>50</v>
      </c>
      <c r="J3" s="149">
        <f t="shared" si="4"/>
        <v>-40</v>
      </c>
      <c r="K3" s="66"/>
      <c r="L3" s="65"/>
      <c r="M3" s="66"/>
      <c r="N3" s="66"/>
      <c r="O3" s="66"/>
      <c r="P3" s="66"/>
      <c r="Q3" s="66"/>
      <c r="R3" s="66"/>
      <c r="S3" s="66"/>
      <c r="T3" s="87" t="s">
        <v>37</v>
      </c>
      <c r="U3" s="88">
        <v>50.0</v>
      </c>
      <c r="V3" s="94">
        <f t="shared" si="5"/>
        <v>0</v>
      </c>
      <c r="W3" s="66"/>
      <c r="X3" s="66"/>
      <c r="Y3" s="66"/>
    </row>
    <row r="4">
      <c r="A4" s="90" t="s">
        <v>38</v>
      </c>
      <c r="B4" s="143">
        <v>0.0</v>
      </c>
      <c r="C4" s="83">
        <f t="shared" si="1"/>
        <v>0</v>
      </c>
      <c r="D4" s="146">
        <v>0.0</v>
      </c>
      <c r="E4" s="146">
        <v>0.0</v>
      </c>
      <c r="F4" s="146">
        <v>0.0</v>
      </c>
      <c r="G4" s="146">
        <v>0.0</v>
      </c>
      <c r="H4" s="149">
        <f t="shared" si="2"/>
        <v>0</v>
      </c>
      <c r="I4" s="151">
        <f t="shared" si="3"/>
        <v>50</v>
      </c>
      <c r="J4" s="149">
        <f t="shared" si="4"/>
        <v>-50</v>
      </c>
      <c r="K4" s="66"/>
      <c r="L4" s="65"/>
      <c r="M4" s="66"/>
      <c r="N4" s="66"/>
      <c r="O4" s="66"/>
      <c r="P4" s="66"/>
      <c r="Q4" s="66"/>
      <c r="R4" s="66"/>
      <c r="S4" s="66"/>
      <c r="T4" s="91" t="s">
        <v>38</v>
      </c>
      <c r="U4" s="88">
        <v>50.0</v>
      </c>
      <c r="V4" s="94">
        <f t="shared" si="5"/>
        <v>0</v>
      </c>
      <c r="W4" s="286"/>
      <c r="X4" s="66"/>
      <c r="Y4" s="66"/>
    </row>
    <row r="5">
      <c r="A5" s="90" t="s">
        <v>39</v>
      </c>
      <c r="B5" s="143">
        <v>3.0</v>
      </c>
      <c r="C5" s="83">
        <f t="shared" si="1"/>
        <v>30</v>
      </c>
      <c r="D5" s="146">
        <v>50.0</v>
      </c>
      <c r="E5" s="146">
        <v>0.0</v>
      </c>
      <c r="F5" s="146">
        <v>0.0</v>
      </c>
      <c r="G5" s="146">
        <v>0.0</v>
      </c>
      <c r="H5" s="149">
        <f t="shared" si="2"/>
        <v>80</v>
      </c>
      <c r="I5" s="151">
        <f t="shared" si="3"/>
        <v>50</v>
      </c>
      <c r="J5" s="149">
        <f t="shared" si="4"/>
        <v>30</v>
      </c>
      <c r="K5" s="66"/>
      <c r="L5" s="65"/>
      <c r="M5" s="66"/>
      <c r="N5" s="66"/>
      <c r="O5" s="66"/>
      <c r="P5" s="66"/>
      <c r="Q5" s="66"/>
      <c r="R5" s="66"/>
      <c r="S5" s="66"/>
      <c r="T5" s="91" t="s">
        <v>39</v>
      </c>
      <c r="U5" s="88">
        <v>50.0</v>
      </c>
      <c r="V5" s="94">
        <f t="shared" si="5"/>
        <v>0</v>
      </c>
      <c r="W5" s="66"/>
      <c r="X5" s="66"/>
      <c r="Y5" s="66"/>
    </row>
    <row r="6">
      <c r="A6" s="90" t="s">
        <v>48</v>
      </c>
      <c r="B6" s="143">
        <v>1.0</v>
      </c>
      <c r="C6" s="83">
        <f t="shared" si="1"/>
        <v>10</v>
      </c>
      <c r="D6" s="146">
        <v>0.0</v>
      </c>
      <c r="E6" s="146">
        <v>0.0</v>
      </c>
      <c r="F6" s="146">
        <v>0.0</v>
      </c>
      <c r="G6" s="146">
        <v>0.0</v>
      </c>
      <c r="H6" s="149">
        <f t="shared" si="2"/>
        <v>10</v>
      </c>
      <c r="I6" s="151">
        <f t="shared" si="3"/>
        <v>50</v>
      </c>
      <c r="J6" s="149">
        <f t="shared" si="4"/>
        <v>-40</v>
      </c>
      <c r="K6" s="66"/>
      <c r="L6" s="65"/>
      <c r="M6" s="66"/>
      <c r="N6" s="66"/>
      <c r="O6" s="66"/>
      <c r="P6" s="66"/>
      <c r="Q6" s="66"/>
      <c r="R6" s="66"/>
      <c r="S6" s="66"/>
      <c r="T6" s="91" t="s">
        <v>48</v>
      </c>
      <c r="U6" s="88">
        <v>50.0</v>
      </c>
      <c r="V6" s="94">
        <f t="shared" si="5"/>
        <v>0</v>
      </c>
      <c r="W6" s="66"/>
      <c r="X6" s="66"/>
      <c r="Y6" s="66"/>
    </row>
    <row r="7">
      <c r="A7" s="81" t="s">
        <v>41</v>
      </c>
      <c r="B7" s="143">
        <v>0.0</v>
      </c>
      <c r="C7" s="83">
        <f t="shared" si="1"/>
        <v>0</v>
      </c>
      <c r="D7" s="146">
        <v>0.0</v>
      </c>
      <c r="E7" s="146">
        <v>0.0</v>
      </c>
      <c r="F7" s="146">
        <v>0.0</v>
      </c>
      <c r="G7" s="146">
        <v>0.0</v>
      </c>
      <c r="H7" s="149">
        <f t="shared" si="2"/>
        <v>0</v>
      </c>
      <c r="I7" s="151">
        <f t="shared" si="3"/>
        <v>50</v>
      </c>
      <c r="J7" s="149">
        <f t="shared" si="4"/>
        <v>-50</v>
      </c>
      <c r="K7" s="66"/>
      <c r="L7" s="65"/>
      <c r="M7" s="66"/>
      <c r="N7" s="66"/>
      <c r="O7" s="66"/>
      <c r="P7" s="66"/>
      <c r="Q7" s="66"/>
      <c r="R7" s="66"/>
      <c r="S7" s="66"/>
      <c r="T7" s="87" t="s">
        <v>41</v>
      </c>
      <c r="U7" s="88">
        <v>50.0</v>
      </c>
      <c r="V7" s="94">
        <f t="shared" si="5"/>
        <v>0</v>
      </c>
      <c r="W7" s="66"/>
      <c r="X7" s="66"/>
      <c r="Y7" s="66"/>
    </row>
    <row r="8">
      <c r="A8" s="90" t="s">
        <v>42</v>
      </c>
      <c r="B8" s="143">
        <v>1.0</v>
      </c>
      <c r="C8" s="83">
        <f t="shared" si="1"/>
        <v>10</v>
      </c>
      <c r="D8" s="146">
        <v>0.0</v>
      </c>
      <c r="E8" s="146">
        <v>0.0</v>
      </c>
      <c r="F8" s="146">
        <v>100.0</v>
      </c>
      <c r="G8" s="146">
        <v>0.0</v>
      </c>
      <c r="H8" s="149">
        <f t="shared" si="2"/>
        <v>110</v>
      </c>
      <c r="I8" s="151">
        <f t="shared" si="3"/>
        <v>50</v>
      </c>
      <c r="J8" s="149">
        <f t="shared" si="4"/>
        <v>60</v>
      </c>
      <c r="K8" s="66"/>
      <c r="L8" s="65"/>
      <c r="M8" s="66"/>
      <c r="N8" s="66"/>
      <c r="O8" s="66"/>
      <c r="P8" s="66"/>
      <c r="Q8" s="66"/>
      <c r="R8" s="66"/>
      <c r="S8" s="66"/>
      <c r="T8" s="91" t="s">
        <v>42</v>
      </c>
      <c r="U8" s="88">
        <v>50.0</v>
      </c>
      <c r="V8" s="94">
        <f t="shared" si="5"/>
        <v>0</v>
      </c>
      <c r="W8" s="66"/>
      <c r="X8" s="66"/>
      <c r="Y8" s="66"/>
    </row>
    <row r="9">
      <c r="A9" s="90" t="s">
        <v>43</v>
      </c>
      <c r="B9" s="143">
        <v>0.0</v>
      </c>
      <c r="C9" s="83">
        <f t="shared" si="1"/>
        <v>0</v>
      </c>
      <c r="D9" s="146">
        <v>0.0</v>
      </c>
      <c r="E9" s="146">
        <v>0.0</v>
      </c>
      <c r="F9" s="146">
        <v>0.0</v>
      </c>
      <c r="G9" s="146">
        <v>0.0</v>
      </c>
      <c r="H9" s="149">
        <f t="shared" si="2"/>
        <v>0</v>
      </c>
      <c r="I9" s="151">
        <f t="shared" si="3"/>
        <v>50</v>
      </c>
      <c r="J9" s="149">
        <f t="shared" si="4"/>
        <v>-50</v>
      </c>
      <c r="K9" s="66"/>
      <c r="L9" s="65"/>
      <c r="M9" s="66"/>
      <c r="N9" s="66"/>
      <c r="O9" s="66"/>
      <c r="P9" s="66"/>
      <c r="Q9" s="66"/>
      <c r="R9" s="66"/>
      <c r="S9" s="66"/>
      <c r="T9" s="91" t="s">
        <v>43</v>
      </c>
      <c r="U9" s="88">
        <v>50.0</v>
      </c>
      <c r="V9" s="94">
        <f t="shared" si="5"/>
        <v>0</v>
      </c>
      <c r="W9" s="66"/>
      <c r="X9" s="66"/>
      <c r="Y9" s="66"/>
    </row>
    <row r="10">
      <c r="A10" s="90" t="s">
        <v>44</v>
      </c>
      <c r="B10" s="143">
        <v>4.0</v>
      </c>
      <c r="C10" s="83">
        <f t="shared" si="1"/>
        <v>40</v>
      </c>
      <c r="D10" s="146">
        <v>0.0</v>
      </c>
      <c r="E10" s="146">
        <v>0.0</v>
      </c>
      <c r="F10" s="146">
        <v>0.0</v>
      </c>
      <c r="G10" s="146">
        <v>0.0</v>
      </c>
      <c r="H10" s="149">
        <f t="shared" si="2"/>
        <v>40</v>
      </c>
      <c r="I10" s="151">
        <f t="shared" si="3"/>
        <v>50</v>
      </c>
      <c r="J10" s="149">
        <f t="shared" si="4"/>
        <v>-10</v>
      </c>
      <c r="K10" s="66"/>
      <c r="L10" s="65"/>
      <c r="M10" s="66"/>
      <c r="N10" s="66"/>
      <c r="O10" s="92"/>
      <c r="P10" s="66"/>
      <c r="Q10" s="66"/>
      <c r="R10" s="66"/>
      <c r="S10" s="66"/>
      <c r="T10" s="91" t="s">
        <v>44</v>
      </c>
      <c r="U10" s="88">
        <v>50.0</v>
      </c>
      <c r="V10" s="94">
        <f t="shared" si="5"/>
        <v>0</v>
      </c>
      <c r="W10" s="66"/>
      <c r="X10" s="66"/>
      <c r="Y10" s="66"/>
    </row>
    <row r="11">
      <c r="A11" s="90" t="s">
        <v>70</v>
      </c>
      <c r="B11" s="143">
        <v>3.0</v>
      </c>
      <c r="C11" s="83">
        <f t="shared" si="1"/>
        <v>30</v>
      </c>
      <c r="D11" s="146">
        <v>0.0</v>
      </c>
      <c r="E11" s="146">
        <v>75.0</v>
      </c>
      <c r="F11" s="146">
        <v>0.0</v>
      </c>
      <c r="G11" s="146">
        <v>0.0</v>
      </c>
      <c r="H11" s="149">
        <f t="shared" si="2"/>
        <v>105</v>
      </c>
      <c r="I11" s="151">
        <f t="shared" si="3"/>
        <v>50</v>
      </c>
      <c r="J11" s="149">
        <f t="shared" si="4"/>
        <v>55</v>
      </c>
      <c r="K11" s="66"/>
      <c r="L11" s="65"/>
      <c r="M11" s="66"/>
      <c r="N11" s="66"/>
      <c r="O11" s="92"/>
      <c r="P11" s="66"/>
      <c r="Q11" s="66"/>
      <c r="R11" s="66"/>
      <c r="S11" s="66"/>
      <c r="T11" s="91" t="s">
        <v>70</v>
      </c>
      <c r="U11" s="88">
        <v>50.0</v>
      </c>
      <c r="V11" s="94">
        <f t="shared" si="5"/>
        <v>0</v>
      </c>
      <c r="W11" s="286"/>
      <c r="X11" s="66"/>
      <c r="Y11" s="66"/>
    </row>
    <row r="12">
      <c r="A12" s="81" t="s">
        <v>46</v>
      </c>
      <c r="B12" s="143">
        <v>0.0</v>
      </c>
      <c r="C12" s="83">
        <f t="shared" si="1"/>
        <v>0</v>
      </c>
      <c r="D12" s="146">
        <v>0.0</v>
      </c>
      <c r="E12" s="146">
        <v>0.0</v>
      </c>
      <c r="F12" s="146">
        <v>0.0</v>
      </c>
      <c r="G12" s="146">
        <v>0.0</v>
      </c>
      <c r="H12" s="149">
        <f t="shared" si="2"/>
        <v>0</v>
      </c>
      <c r="I12" s="151">
        <f t="shared" si="3"/>
        <v>50</v>
      </c>
      <c r="J12" s="149">
        <f t="shared" si="4"/>
        <v>-50</v>
      </c>
      <c r="K12" s="66"/>
      <c r="L12" s="65"/>
      <c r="M12" s="66"/>
      <c r="N12" s="66"/>
      <c r="O12" s="92"/>
      <c r="P12" s="66"/>
      <c r="Q12" s="66"/>
      <c r="R12" s="66"/>
      <c r="S12" s="66"/>
      <c r="T12" s="87" t="s">
        <v>46</v>
      </c>
      <c r="U12" s="88">
        <v>50.0</v>
      </c>
      <c r="V12" s="94">
        <f t="shared" si="5"/>
        <v>0</v>
      </c>
      <c r="W12" s="66"/>
      <c r="X12" s="66"/>
      <c r="Y12" s="66"/>
    </row>
    <row r="13">
      <c r="A13" s="180" t="s">
        <v>49</v>
      </c>
      <c r="B13" s="181">
        <v>0.0</v>
      </c>
      <c r="C13" s="98">
        <f t="shared" si="1"/>
        <v>0</v>
      </c>
      <c r="D13" s="183">
        <v>0.0</v>
      </c>
      <c r="E13" s="183">
        <v>0.0</v>
      </c>
      <c r="F13" s="183">
        <v>0.0</v>
      </c>
      <c r="G13" s="183">
        <v>0.0</v>
      </c>
      <c r="H13" s="186">
        <f t="shared" si="2"/>
        <v>0</v>
      </c>
      <c r="I13" s="187">
        <f t="shared" si="3"/>
        <v>50</v>
      </c>
      <c r="J13" s="186">
        <f t="shared" si="4"/>
        <v>-50</v>
      </c>
      <c r="K13" s="66"/>
      <c r="L13" s="65"/>
      <c r="M13" s="66"/>
      <c r="N13" s="66"/>
      <c r="O13" s="92"/>
      <c r="P13" s="66"/>
      <c r="Q13" s="66"/>
      <c r="R13" s="66"/>
      <c r="S13" s="66"/>
      <c r="T13" s="189" t="s">
        <v>49</v>
      </c>
      <c r="U13" s="106">
        <v>50.0</v>
      </c>
      <c r="V13" s="107">
        <f t="shared" si="5"/>
        <v>0</v>
      </c>
      <c r="W13" s="66"/>
      <c r="X13" s="66"/>
      <c r="Y13" s="66"/>
    </row>
    <row r="14">
      <c r="A14" s="108"/>
      <c r="B14" s="108"/>
      <c r="C14" s="109">
        <f t="shared" ref="C14:J14" si="6">SUM(C2:C13)</f>
        <v>140</v>
      </c>
      <c r="D14" s="195">
        <f t="shared" si="6"/>
        <v>50</v>
      </c>
      <c r="E14" s="195">
        <f t="shared" si="6"/>
        <v>75</v>
      </c>
      <c r="F14" s="198">
        <f t="shared" si="6"/>
        <v>100</v>
      </c>
      <c r="G14" s="198">
        <f t="shared" si="6"/>
        <v>230</v>
      </c>
      <c r="H14" s="198">
        <f t="shared" si="6"/>
        <v>595</v>
      </c>
      <c r="I14" s="198">
        <f t="shared" si="6"/>
        <v>600</v>
      </c>
      <c r="J14" s="202">
        <f t="shared" si="6"/>
        <v>-5</v>
      </c>
      <c r="K14" s="66"/>
      <c r="L14" s="65"/>
      <c r="M14" s="66"/>
      <c r="N14" s="66"/>
      <c r="O14" s="115"/>
      <c r="P14" s="66"/>
      <c r="Q14" s="66"/>
      <c r="R14" s="66"/>
      <c r="S14" s="66"/>
      <c r="T14" s="116" t="s">
        <v>93</v>
      </c>
      <c r="U14" s="118">
        <f t="shared" ref="U14:V14" si="7">SUM(U2:U13)</f>
        <v>600</v>
      </c>
      <c r="V14" s="119">
        <f t="shared" si="7"/>
        <v>0</v>
      </c>
      <c r="W14" s="66"/>
      <c r="X14" s="66"/>
      <c r="Y14" s="66"/>
    </row>
    <row r="15">
      <c r="A15" s="108"/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65"/>
      <c r="M15" s="66"/>
      <c r="N15" s="66"/>
      <c r="O15" s="115"/>
      <c r="P15" s="66"/>
      <c r="Q15" s="66"/>
      <c r="R15" s="66"/>
      <c r="S15" s="66"/>
      <c r="T15" s="122"/>
      <c r="U15" s="123"/>
      <c r="V15" s="123"/>
      <c r="W15" s="66"/>
      <c r="X15" s="66"/>
      <c r="Y15" s="66"/>
    </row>
    <row r="16">
      <c r="A16" s="124" t="s">
        <v>94</v>
      </c>
      <c r="B16" s="125" t="s">
        <v>0</v>
      </c>
      <c r="C16" s="125" t="s">
        <v>95</v>
      </c>
      <c r="D16" s="125" t="s">
        <v>86</v>
      </c>
      <c r="E16" s="127" t="s">
        <v>96</v>
      </c>
      <c r="F16" s="128"/>
      <c r="G16" s="66"/>
      <c r="H16" s="108"/>
      <c r="I16" s="108"/>
      <c r="J16" s="108"/>
      <c r="K16" s="130"/>
      <c r="L16" s="131"/>
      <c r="M16" s="66"/>
      <c r="N16" s="66"/>
      <c r="O16" s="92"/>
      <c r="P16" s="66"/>
      <c r="Q16" s="66"/>
      <c r="R16" s="66"/>
      <c r="S16" s="66"/>
      <c r="T16" s="122"/>
      <c r="U16" s="123"/>
      <c r="V16" s="123"/>
      <c r="W16" s="66"/>
      <c r="X16" s="66"/>
      <c r="Y16" s="66"/>
    </row>
    <row r="17">
      <c r="A17" s="132" t="s">
        <v>97</v>
      </c>
      <c r="B17" s="218" t="s">
        <v>70</v>
      </c>
      <c r="C17" s="134">
        <v>10.0</v>
      </c>
      <c r="D17" s="219" t="s">
        <v>98</v>
      </c>
      <c r="E17" s="221">
        <v>121.44</v>
      </c>
      <c r="F17" s="137" t="s">
        <v>155</v>
      </c>
      <c r="G17" s="138"/>
      <c r="H17" s="139"/>
      <c r="I17" s="108"/>
      <c r="J17" s="108"/>
      <c r="K17" s="130"/>
      <c r="L17" s="131"/>
      <c r="M17" s="66"/>
      <c r="N17" s="66"/>
      <c r="O17" s="92"/>
      <c r="P17" s="66"/>
      <c r="Q17" s="66"/>
      <c r="R17" s="66"/>
      <c r="S17" s="66"/>
      <c r="T17" s="122"/>
      <c r="U17" s="123"/>
      <c r="V17" s="123"/>
      <c r="W17" s="66"/>
      <c r="X17" s="66"/>
      <c r="Y17" s="66"/>
    </row>
    <row r="18">
      <c r="A18" s="140" t="s">
        <v>100</v>
      </c>
      <c r="B18" s="218" t="s">
        <v>44</v>
      </c>
      <c r="C18" s="134">
        <v>10.0</v>
      </c>
      <c r="D18" s="226" t="s">
        <v>98</v>
      </c>
      <c r="E18" s="227">
        <v>122.54</v>
      </c>
      <c r="F18" s="144"/>
      <c r="G18" s="145"/>
      <c r="H18" s="139"/>
      <c r="I18" s="108"/>
      <c r="J18" s="108"/>
      <c r="K18" s="130"/>
      <c r="L18" s="131"/>
      <c r="M18" s="66"/>
      <c r="N18" s="66"/>
      <c r="O18" s="66"/>
      <c r="P18" s="66"/>
      <c r="Q18" s="66"/>
      <c r="R18" s="66"/>
      <c r="S18" s="66"/>
      <c r="T18" s="122"/>
      <c r="U18" s="123"/>
      <c r="V18" s="123"/>
      <c r="W18" s="66"/>
      <c r="X18" s="66"/>
      <c r="Y18" s="66"/>
    </row>
    <row r="19">
      <c r="A19" s="140" t="s">
        <v>101</v>
      </c>
      <c r="B19" s="218" t="s">
        <v>44</v>
      </c>
      <c r="C19" s="134">
        <v>10.0</v>
      </c>
      <c r="D19" s="226" t="s">
        <v>98</v>
      </c>
      <c r="E19" s="227">
        <v>140.96</v>
      </c>
      <c r="F19" s="144"/>
      <c r="G19" s="145"/>
      <c r="H19" s="139"/>
      <c r="I19" s="108"/>
      <c r="J19" s="108"/>
      <c r="K19" s="130"/>
      <c r="L19" s="147" t="s">
        <v>102</v>
      </c>
      <c r="M19" s="148" t="s">
        <v>103</v>
      </c>
      <c r="N19" s="150" t="s">
        <v>104</v>
      </c>
      <c r="O19" s="150" t="s">
        <v>105</v>
      </c>
      <c r="P19" s="150" t="s">
        <v>106</v>
      </c>
      <c r="Q19" s="150" t="s">
        <v>107</v>
      </c>
      <c r="R19" s="150" t="s">
        <v>108</v>
      </c>
      <c r="S19" s="150" t="s">
        <v>109</v>
      </c>
      <c r="T19" s="152" t="s">
        <v>110</v>
      </c>
      <c r="U19" s="123"/>
      <c r="V19" s="123"/>
      <c r="W19" s="66"/>
      <c r="X19" s="66"/>
      <c r="Y19" s="66"/>
    </row>
    <row r="20">
      <c r="A20" s="140" t="s">
        <v>111</v>
      </c>
      <c r="B20" s="218" t="s">
        <v>39</v>
      </c>
      <c r="C20" s="134">
        <v>10.0</v>
      </c>
      <c r="D20" s="226" t="s">
        <v>156</v>
      </c>
      <c r="E20" s="227">
        <v>143.8</v>
      </c>
      <c r="F20" s="153"/>
      <c r="G20" s="145"/>
      <c r="H20" s="139"/>
      <c r="I20" s="108"/>
      <c r="J20" s="108"/>
      <c r="K20" s="154"/>
      <c r="L20" s="155">
        <v>1.0</v>
      </c>
      <c r="M20" s="287" t="s">
        <v>148</v>
      </c>
      <c r="N20" s="240">
        <v>12.0</v>
      </c>
      <c r="O20" s="240">
        <v>2.0</v>
      </c>
      <c r="P20" s="240">
        <v>0.0</v>
      </c>
      <c r="Q20" s="241">
        <v>0.0</v>
      </c>
      <c r="R20" s="245">
        <v>1487.84</v>
      </c>
      <c r="S20" s="245">
        <v>1164.78</v>
      </c>
      <c r="T20" s="160">
        <f>R20-R25</f>
        <v>137.74</v>
      </c>
      <c r="U20" s="123"/>
      <c r="V20" s="123"/>
      <c r="W20" s="66"/>
      <c r="X20" s="66"/>
      <c r="Y20" s="66"/>
    </row>
    <row r="21">
      <c r="A21" s="140" t="s">
        <v>113</v>
      </c>
      <c r="B21" s="218" t="s">
        <v>70</v>
      </c>
      <c r="C21" s="134">
        <v>10.0</v>
      </c>
      <c r="D21" s="226" t="s">
        <v>98</v>
      </c>
      <c r="E21" s="227">
        <v>143.08</v>
      </c>
      <c r="F21" s="137" t="s">
        <v>155</v>
      </c>
      <c r="G21" s="145"/>
      <c r="H21" s="139"/>
      <c r="I21" s="108"/>
      <c r="J21" s="108"/>
      <c r="K21" s="154"/>
      <c r="L21" s="161">
        <v>2.0</v>
      </c>
      <c r="M21" s="238" t="s">
        <v>158</v>
      </c>
      <c r="N21" s="245">
        <v>10.0</v>
      </c>
      <c r="O21" s="245">
        <v>4.0</v>
      </c>
      <c r="P21" s="245">
        <v>0.0</v>
      </c>
      <c r="Q21" s="254">
        <v>2.0</v>
      </c>
      <c r="R21" s="245">
        <v>1404.54</v>
      </c>
      <c r="S21" s="245">
        <v>1214.8</v>
      </c>
      <c r="T21" s="163">
        <f>R21-R25</f>
        <v>54.44</v>
      </c>
      <c r="U21" s="123"/>
      <c r="V21" s="123"/>
      <c r="W21" s="66"/>
      <c r="X21" s="66"/>
      <c r="Y21" s="66"/>
    </row>
    <row r="22">
      <c r="A22" s="140" t="s">
        <v>116</v>
      </c>
      <c r="B22" s="218" t="s">
        <v>39</v>
      </c>
      <c r="C22" s="134">
        <v>10.0</v>
      </c>
      <c r="D22" s="226" t="s">
        <v>156</v>
      </c>
      <c r="E22" s="227">
        <v>113.06</v>
      </c>
      <c r="F22" s="144"/>
      <c r="G22" s="145"/>
      <c r="H22" s="139"/>
      <c r="I22" s="108"/>
      <c r="J22" s="108"/>
      <c r="K22" s="154"/>
      <c r="L22" s="161">
        <v>3.0</v>
      </c>
      <c r="M22" s="238" t="s">
        <v>159</v>
      </c>
      <c r="N22" s="245">
        <v>8.0</v>
      </c>
      <c r="O22" s="245">
        <v>6.0</v>
      </c>
      <c r="P22" s="245">
        <v>0.0</v>
      </c>
      <c r="Q22" s="254">
        <v>4.0</v>
      </c>
      <c r="R22" s="245">
        <v>1311.8</v>
      </c>
      <c r="S22" s="245">
        <v>1358.84</v>
      </c>
      <c r="T22" s="164">
        <f>R22-R25</f>
        <v>-38.3</v>
      </c>
      <c r="U22" s="123"/>
      <c r="V22" s="123"/>
      <c r="W22" s="66"/>
      <c r="X22" s="66"/>
      <c r="Y22" s="66"/>
    </row>
    <row r="23">
      <c r="A23" s="140" t="s">
        <v>118</v>
      </c>
      <c r="B23" s="218" t="s">
        <v>48</v>
      </c>
      <c r="C23" s="134">
        <v>10.0</v>
      </c>
      <c r="D23" s="226" t="s">
        <v>156</v>
      </c>
      <c r="E23" s="227">
        <v>140.56</v>
      </c>
      <c r="F23" s="153"/>
      <c r="G23" s="145"/>
      <c r="H23" s="139"/>
      <c r="I23" s="108"/>
      <c r="J23" s="108"/>
      <c r="K23" s="154"/>
      <c r="L23" s="161">
        <v>4.0</v>
      </c>
      <c r="M23" s="238" t="s">
        <v>160</v>
      </c>
      <c r="N23" s="255">
        <v>9.0</v>
      </c>
      <c r="O23" s="255">
        <v>5.0</v>
      </c>
      <c r="P23" s="256">
        <v>0.0</v>
      </c>
      <c r="Q23" s="257">
        <v>3.0</v>
      </c>
      <c r="R23" s="245">
        <v>1486.64</v>
      </c>
      <c r="S23" s="245">
        <v>1334.92</v>
      </c>
      <c r="T23" s="164">
        <f>R23-R25</f>
        <v>136.54</v>
      </c>
      <c r="U23" s="123"/>
      <c r="V23" s="123"/>
      <c r="W23" s="66"/>
      <c r="X23" s="66"/>
      <c r="Y23" s="66"/>
    </row>
    <row r="24">
      <c r="A24" s="140" t="s">
        <v>120</v>
      </c>
      <c r="B24" s="218" t="s">
        <v>42</v>
      </c>
      <c r="C24" s="134">
        <v>10.0</v>
      </c>
      <c r="D24" s="226" t="s">
        <v>98</v>
      </c>
      <c r="E24" s="227">
        <v>135.76</v>
      </c>
      <c r="F24" s="168"/>
      <c r="G24" s="145"/>
      <c r="H24" s="139"/>
      <c r="I24" s="108"/>
      <c r="J24" s="108"/>
      <c r="K24" s="154"/>
      <c r="L24" s="169">
        <v>5.0</v>
      </c>
      <c r="M24" s="238" t="s">
        <v>161</v>
      </c>
      <c r="N24" s="258">
        <v>9.0</v>
      </c>
      <c r="O24" s="258">
        <v>5.0</v>
      </c>
      <c r="P24" s="259">
        <v>0.0</v>
      </c>
      <c r="Q24" s="254">
        <v>3.0</v>
      </c>
      <c r="R24" s="245">
        <v>1369.7</v>
      </c>
      <c r="S24" s="245">
        <v>1359.0</v>
      </c>
      <c r="T24" s="163">
        <f>R24-R25</f>
        <v>19.6</v>
      </c>
      <c r="U24" s="123"/>
      <c r="V24" s="123"/>
      <c r="W24" s="66"/>
      <c r="X24" s="66"/>
      <c r="Y24" s="66"/>
    </row>
    <row r="25">
      <c r="A25" s="140" t="s">
        <v>122</v>
      </c>
      <c r="B25" s="218" t="s">
        <v>37</v>
      </c>
      <c r="C25" s="134">
        <v>10.0</v>
      </c>
      <c r="D25" s="226" t="s">
        <v>98</v>
      </c>
      <c r="E25" s="227">
        <v>135.88</v>
      </c>
      <c r="F25" s="168"/>
      <c r="G25" s="145"/>
      <c r="H25" s="139"/>
      <c r="I25" s="108"/>
      <c r="J25" s="108"/>
      <c r="K25" s="154"/>
      <c r="L25" s="161">
        <v>6.0</v>
      </c>
      <c r="M25" s="238" t="s">
        <v>134</v>
      </c>
      <c r="N25" s="255">
        <v>9.0</v>
      </c>
      <c r="O25" s="255">
        <v>5.0</v>
      </c>
      <c r="P25" s="256">
        <v>0.0</v>
      </c>
      <c r="Q25" s="254">
        <v>3.0</v>
      </c>
      <c r="R25" s="245">
        <v>1350.1</v>
      </c>
      <c r="S25" s="245">
        <v>1216.86</v>
      </c>
      <c r="T25" s="260">
        <v>0.0</v>
      </c>
      <c r="U25" s="123"/>
      <c r="V25" s="123"/>
      <c r="W25" s="66"/>
      <c r="X25" s="66"/>
      <c r="Y25" s="66"/>
    </row>
    <row r="26">
      <c r="A26" s="140" t="s">
        <v>124</v>
      </c>
      <c r="B26" s="218" t="s">
        <v>36</v>
      </c>
      <c r="C26" s="134">
        <v>10.0</v>
      </c>
      <c r="D26" s="226" t="s">
        <v>98</v>
      </c>
      <c r="E26" s="227">
        <v>127.38</v>
      </c>
      <c r="F26" s="168"/>
      <c r="G26" s="145"/>
      <c r="H26" s="139"/>
      <c r="I26" s="108"/>
      <c r="J26" s="108"/>
      <c r="K26" s="154"/>
      <c r="L26" s="173">
        <v>7.0</v>
      </c>
      <c r="M26" s="261" t="s">
        <v>162</v>
      </c>
      <c r="N26" s="262">
        <v>7.0</v>
      </c>
      <c r="O26" s="262">
        <v>6.0</v>
      </c>
      <c r="P26" s="262">
        <v>0.0</v>
      </c>
      <c r="Q26" s="263">
        <v>5.0</v>
      </c>
      <c r="R26" s="262">
        <v>1333.8</v>
      </c>
      <c r="S26" s="262">
        <v>1358.84</v>
      </c>
      <c r="T26" s="177">
        <f>R25-R26</f>
        <v>16.3</v>
      </c>
      <c r="U26" s="123"/>
      <c r="V26" s="123"/>
      <c r="W26" s="66"/>
      <c r="X26" s="66"/>
      <c r="Y26" s="66"/>
    </row>
    <row r="27">
      <c r="A27" s="140" t="s">
        <v>126</v>
      </c>
      <c r="B27" s="218" t="s">
        <v>70</v>
      </c>
      <c r="C27" s="134">
        <v>10.0</v>
      </c>
      <c r="D27" s="226" t="s">
        <v>98</v>
      </c>
      <c r="E27" s="227">
        <v>121.52</v>
      </c>
      <c r="F27" s="137" t="s">
        <v>155</v>
      </c>
      <c r="G27" s="145"/>
      <c r="H27" s="139"/>
      <c r="I27" s="108"/>
      <c r="J27" s="108"/>
      <c r="K27" s="154"/>
      <c r="L27" s="173">
        <v>8.0</v>
      </c>
      <c r="M27" s="261" t="s">
        <v>163</v>
      </c>
      <c r="N27" s="262">
        <v>4.0</v>
      </c>
      <c r="O27" s="262">
        <v>10.0</v>
      </c>
      <c r="P27" s="262">
        <v>0.0</v>
      </c>
      <c r="Q27" s="263">
        <v>8.0</v>
      </c>
      <c r="R27" s="218">
        <v>1217.16</v>
      </c>
      <c r="S27" s="264">
        <v>1211.12</v>
      </c>
      <c r="T27" s="177">
        <f>R25-R27</f>
        <v>132.94</v>
      </c>
      <c r="U27" s="123"/>
      <c r="V27" s="123"/>
      <c r="W27" s="66"/>
      <c r="X27" s="66"/>
      <c r="Y27" s="66"/>
    </row>
    <row r="28">
      <c r="A28" s="140" t="s">
        <v>129</v>
      </c>
      <c r="B28" s="218" t="s">
        <v>39</v>
      </c>
      <c r="C28" s="134">
        <v>10.0</v>
      </c>
      <c r="D28" s="226" t="s">
        <v>156</v>
      </c>
      <c r="E28" s="227">
        <v>123.66</v>
      </c>
      <c r="F28" s="153"/>
      <c r="G28" s="145"/>
      <c r="H28" s="139"/>
      <c r="I28" s="108"/>
      <c r="J28" s="108"/>
      <c r="K28" s="154"/>
      <c r="L28" s="173">
        <v>9.0</v>
      </c>
      <c r="M28" s="261" t="s">
        <v>164</v>
      </c>
      <c r="N28" s="262">
        <v>6.0</v>
      </c>
      <c r="O28" s="262">
        <v>8.0</v>
      </c>
      <c r="P28" s="262">
        <v>0.0</v>
      </c>
      <c r="Q28" s="263">
        <v>6.0</v>
      </c>
      <c r="R28" s="218">
        <v>1176.94</v>
      </c>
      <c r="S28" s="264">
        <v>1256.02</v>
      </c>
      <c r="T28" s="177">
        <f>R25-R28</f>
        <v>173.16</v>
      </c>
      <c r="U28" s="123"/>
      <c r="V28" s="123"/>
      <c r="W28" s="66"/>
      <c r="X28" s="66"/>
      <c r="Y28" s="66"/>
    </row>
    <row r="29">
      <c r="A29" s="266" t="s">
        <v>131</v>
      </c>
      <c r="B29" s="218" t="s">
        <v>44</v>
      </c>
      <c r="C29" s="134">
        <v>10.0</v>
      </c>
      <c r="D29" s="226" t="s">
        <v>98</v>
      </c>
      <c r="E29" s="227">
        <v>132.28</v>
      </c>
      <c r="F29" s="184"/>
      <c r="G29" s="185"/>
      <c r="H29" s="139"/>
      <c r="I29" s="108"/>
      <c r="J29" s="108"/>
      <c r="K29" s="154"/>
      <c r="L29" s="173">
        <v>10.0</v>
      </c>
      <c r="M29" s="261" t="s">
        <v>152</v>
      </c>
      <c r="N29" s="262">
        <v>5.0</v>
      </c>
      <c r="O29" s="262">
        <v>9.0</v>
      </c>
      <c r="P29" s="262">
        <v>0.0</v>
      </c>
      <c r="Q29" s="263">
        <v>7.0</v>
      </c>
      <c r="R29" s="267">
        <v>1141.22</v>
      </c>
      <c r="S29" s="268">
        <v>1328.9</v>
      </c>
      <c r="T29" s="177">
        <f>R25-R29</f>
        <v>208.88</v>
      </c>
      <c r="U29" s="66"/>
      <c r="V29" s="66"/>
      <c r="W29" s="66"/>
      <c r="X29" s="66"/>
      <c r="Y29" s="66"/>
    </row>
    <row r="30">
      <c r="A30" s="269" t="s">
        <v>133</v>
      </c>
      <c r="B30" s="270" t="s">
        <v>44</v>
      </c>
      <c r="C30" s="191">
        <v>10.0</v>
      </c>
      <c r="D30" s="271" t="s">
        <v>98</v>
      </c>
      <c r="E30" s="272">
        <v>109.42</v>
      </c>
      <c r="F30" s="194"/>
      <c r="G30" s="139"/>
      <c r="H30" s="139"/>
      <c r="I30" s="108"/>
      <c r="J30" s="108"/>
      <c r="K30" s="154"/>
      <c r="L30" s="196">
        <v>11.0</v>
      </c>
      <c r="M30" s="261" t="s">
        <v>153</v>
      </c>
      <c r="N30" s="273">
        <v>2.0</v>
      </c>
      <c r="O30" s="273">
        <v>12.0</v>
      </c>
      <c r="P30" s="262">
        <v>0.0</v>
      </c>
      <c r="Q30" s="274">
        <v>10.0</v>
      </c>
      <c r="R30" s="267">
        <v>1113.92</v>
      </c>
      <c r="S30" s="268">
        <v>1421.84</v>
      </c>
      <c r="T30" s="177">
        <f>R25-R30</f>
        <v>236.18</v>
      </c>
      <c r="U30" s="66"/>
      <c r="V30" s="66"/>
      <c r="W30" s="66"/>
      <c r="X30" s="66"/>
      <c r="Y30" s="66"/>
    </row>
    <row r="31">
      <c r="A31" s="203" t="s">
        <v>154</v>
      </c>
      <c r="B31" s="218" t="s">
        <v>36</v>
      </c>
      <c r="C31" s="134">
        <v>5.0</v>
      </c>
      <c r="D31" s="265"/>
      <c r="E31" s="275"/>
      <c r="F31" s="194"/>
      <c r="G31" s="139"/>
      <c r="H31" s="205"/>
      <c r="I31" s="108"/>
      <c r="J31" s="108"/>
      <c r="K31" s="154"/>
      <c r="L31" s="206">
        <v>12.0</v>
      </c>
      <c r="M31" s="276" t="s">
        <v>165</v>
      </c>
      <c r="N31" s="277">
        <v>3.0</v>
      </c>
      <c r="O31" s="277">
        <v>11.0</v>
      </c>
      <c r="P31" s="277">
        <v>0.0</v>
      </c>
      <c r="Q31" s="278">
        <v>9.0</v>
      </c>
      <c r="R31" s="279">
        <v>1094.36</v>
      </c>
      <c r="S31" s="280">
        <v>1282.84</v>
      </c>
      <c r="T31" s="212">
        <f>R25-R31</f>
        <v>255.74</v>
      </c>
      <c r="U31" s="66"/>
      <c r="V31" s="66"/>
      <c r="W31" s="66"/>
      <c r="X31" s="66"/>
      <c r="Y31" s="66"/>
    </row>
    <row r="32">
      <c r="A32" s="213" t="s">
        <v>90</v>
      </c>
      <c r="B32" s="218" t="s">
        <v>39</v>
      </c>
      <c r="C32" s="281">
        <v>50.0</v>
      </c>
      <c r="D32" s="226" t="s">
        <v>98</v>
      </c>
      <c r="E32" s="227">
        <v>90.06</v>
      </c>
      <c r="F32" s="194"/>
      <c r="G32" s="139"/>
      <c r="H32" s="205"/>
      <c r="I32" s="108"/>
      <c r="J32" s="215"/>
      <c r="K32" s="130"/>
      <c r="L32" s="216"/>
      <c r="M32" s="217" t="s">
        <v>139</v>
      </c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</row>
    <row r="33">
      <c r="A33" s="213" t="s">
        <v>78</v>
      </c>
      <c r="B33" s="218" t="s">
        <v>70</v>
      </c>
      <c r="C33" s="134">
        <v>75.0</v>
      </c>
      <c r="D33" s="226" t="s">
        <v>98</v>
      </c>
      <c r="E33" s="227">
        <v>90.2</v>
      </c>
      <c r="F33" s="194"/>
      <c r="G33" s="139"/>
      <c r="H33" s="205"/>
      <c r="I33" s="108"/>
      <c r="J33" s="215"/>
      <c r="K33" s="215"/>
      <c r="L33" s="220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</row>
    <row r="34">
      <c r="A34" s="222" t="s">
        <v>79</v>
      </c>
      <c r="B34" s="218" t="s">
        <v>42</v>
      </c>
      <c r="C34" s="134">
        <v>100.0</v>
      </c>
      <c r="D34" s="226" t="s">
        <v>98</v>
      </c>
      <c r="E34" s="227">
        <v>117.0</v>
      </c>
      <c r="F34" s="194"/>
      <c r="G34" s="139"/>
      <c r="H34" s="108"/>
      <c r="I34" s="108"/>
      <c r="J34" s="108"/>
      <c r="K34" s="215"/>
      <c r="L34" s="220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</row>
    <row r="35">
      <c r="A35" s="213" t="s">
        <v>140</v>
      </c>
      <c r="B35" s="218" t="s">
        <v>36</v>
      </c>
      <c r="C35" s="282">
        <v>230.0</v>
      </c>
      <c r="D35" s="226" t="s">
        <v>98</v>
      </c>
      <c r="E35" s="218">
        <v>152.94</v>
      </c>
      <c r="F35" s="223"/>
      <c r="G35" s="224"/>
      <c r="H35" s="108"/>
      <c r="I35" s="108"/>
      <c r="J35" s="108"/>
      <c r="K35" s="215"/>
      <c r="L35" s="225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</row>
    <row r="36">
      <c r="A36" s="283"/>
      <c r="B36" s="284"/>
      <c r="C36" s="285">
        <f>SUM(C17:C35)</f>
        <v>600</v>
      </c>
      <c r="D36" s="284"/>
      <c r="E36" s="223"/>
      <c r="F36" s="223"/>
      <c r="G36" s="224"/>
      <c r="H36" s="65"/>
      <c r="I36" s="65"/>
      <c r="J36" s="231"/>
      <c r="K36" s="131"/>
      <c r="L36" s="65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</row>
    <row r="37">
      <c r="A37" s="66"/>
      <c r="B37" s="66"/>
      <c r="C37" s="66"/>
      <c r="D37" s="66"/>
      <c r="E37" s="66"/>
      <c r="F37" s="233"/>
      <c r="G37" s="234"/>
      <c r="H37" s="65"/>
      <c r="I37" s="65"/>
      <c r="J37" s="65"/>
      <c r="K37" s="131"/>
      <c r="L37" s="65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</row>
    <row r="38">
      <c r="A38" s="242"/>
      <c r="B38" s="244"/>
      <c r="C38" s="246"/>
      <c r="D38" s="244"/>
      <c r="E38" s="233"/>
      <c r="F38" s="233"/>
      <c r="G38" s="234"/>
      <c r="H38" s="65"/>
      <c r="I38" s="65"/>
      <c r="J38" s="65"/>
      <c r="K38" s="131"/>
      <c r="L38" s="65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</row>
    <row r="39">
      <c r="A39" s="242"/>
      <c r="B39" s="244"/>
      <c r="C39" s="246"/>
      <c r="D39" s="244"/>
      <c r="E39" s="233"/>
      <c r="F39" s="233"/>
      <c r="G39" s="234"/>
      <c r="H39" s="65"/>
      <c r="I39" s="65"/>
      <c r="J39" s="65"/>
      <c r="K39" s="131"/>
      <c r="L39" s="65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</row>
    <row r="40">
      <c r="A40" s="242"/>
      <c r="B40" s="244"/>
      <c r="C40" s="246"/>
      <c r="D40" s="244"/>
      <c r="E40" s="233"/>
      <c r="F40" s="233"/>
      <c r="G40" s="234"/>
      <c r="H40" s="65"/>
      <c r="I40" s="65"/>
      <c r="J40" s="65"/>
      <c r="K40" s="131"/>
      <c r="L40" s="65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</row>
    <row r="41">
      <c r="A41" s="247"/>
      <c r="B41" s="248"/>
      <c r="C41" s="249"/>
      <c r="D41" s="248"/>
      <c r="E41" s="250"/>
      <c r="F41" s="250"/>
      <c r="G41" s="251"/>
      <c r="H41" s="65"/>
      <c r="I41" s="65"/>
      <c r="J41" s="65"/>
      <c r="K41" s="131"/>
      <c r="L41" s="65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</row>
    <row r="42">
      <c r="A42" s="131"/>
      <c r="B42" s="131"/>
      <c r="C42" s="252"/>
      <c r="D42" s="131"/>
      <c r="E42" s="65"/>
      <c r="F42" s="65"/>
      <c r="G42" s="65"/>
      <c r="H42" s="65"/>
      <c r="I42" s="65"/>
      <c r="J42" s="65"/>
      <c r="K42" s="131"/>
      <c r="L42" s="65"/>
      <c r="M42" s="66"/>
      <c r="N42" s="66"/>
      <c r="O42" s="66"/>
      <c r="P42" s="66"/>
      <c r="Q42" s="66"/>
      <c r="R42" s="66"/>
      <c r="S42" s="66"/>
      <c r="T42" s="122"/>
      <c r="U42" s="123"/>
      <c r="V42" s="123"/>
      <c r="W42" s="66"/>
      <c r="X42" s="66"/>
      <c r="Y42" s="66"/>
    </row>
    <row r="44">
      <c r="A44" s="38" t="s">
        <v>143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9.88"/>
    <col customWidth="1" min="3" max="3" width="10.88"/>
    <col customWidth="1" min="4" max="4" width="7.75"/>
    <col customWidth="1" min="5" max="5" width="9.38"/>
    <col customWidth="1" min="6" max="6" width="8.75"/>
    <col customWidth="1" min="7" max="7" width="6.75"/>
    <col customWidth="1" min="8" max="8" width="6.63"/>
    <col customWidth="1" min="9" max="9" width="7.38"/>
    <col customWidth="1" min="10" max="10" width="8.63"/>
    <col customWidth="1" min="11" max="11" width="7.0"/>
    <col customWidth="1" min="12" max="12" width="5.13"/>
    <col customWidth="1" min="13" max="13" width="18.0"/>
    <col customWidth="1" min="14" max="14" width="5.0"/>
    <col customWidth="1" min="15" max="15" width="4.5"/>
    <col customWidth="1" min="16" max="16" width="4.88"/>
    <col customWidth="1" min="17" max="17" width="5.38"/>
    <col customWidth="1" min="18" max="19" width="7.0"/>
    <col customWidth="1" min="20" max="20" width="9.25"/>
    <col customWidth="1" min="21" max="21" width="7.25"/>
    <col customWidth="1" min="22" max="22" width="7.38"/>
    <col customWidth="1" min="23" max="23" width="7.0"/>
    <col customWidth="1" min="24" max="24" width="9.0"/>
  </cols>
  <sheetData>
    <row r="1">
      <c r="A1" s="59" t="s">
        <v>0</v>
      </c>
      <c r="B1" s="60" t="s">
        <v>75</v>
      </c>
      <c r="C1" s="60" t="s">
        <v>75</v>
      </c>
      <c r="D1" s="100" t="s">
        <v>157</v>
      </c>
      <c r="E1" s="97" t="s">
        <v>90</v>
      </c>
      <c r="F1" s="97" t="s">
        <v>78</v>
      </c>
      <c r="G1" s="100" t="s">
        <v>79</v>
      </c>
      <c r="H1" s="102" t="s">
        <v>80</v>
      </c>
      <c r="I1" s="104" t="s">
        <v>81</v>
      </c>
      <c r="J1" s="104" t="s">
        <v>82</v>
      </c>
      <c r="K1" s="104" t="s">
        <v>83</v>
      </c>
      <c r="L1" s="65"/>
      <c r="M1" s="66"/>
      <c r="N1" s="66"/>
      <c r="O1" s="66"/>
      <c r="P1" s="66"/>
      <c r="Q1" s="66"/>
      <c r="R1" s="66"/>
      <c r="S1" s="66"/>
      <c r="T1" s="67" t="s">
        <v>84</v>
      </c>
      <c r="U1" s="68" t="s">
        <v>86</v>
      </c>
      <c r="V1" s="69" t="s">
        <v>87</v>
      </c>
      <c r="W1" s="66"/>
      <c r="X1" s="66"/>
      <c r="Y1" s="66"/>
    </row>
    <row r="2">
      <c r="A2" s="70" t="s">
        <v>36</v>
      </c>
      <c r="B2" s="112">
        <v>2.0</v>
      </c>
      <c r="C2" s="72">
        <f t="shared" ref="C2:C13" si="1">10*B2</f>
        <v>20</v>
      </c>
      <c r="D2" s="120">
        <v>0.0</v>
      </c>
      <c r="E2" s="117">
        <v>0.0</v>
      </c>
      <c r="F2" s="117">
        <v>0.0</v>
      </c>
      <c r="G2" s="120">
        <v>100.0</v>
      </c>
      <c r="H2" s="121">
        <v>75.0</v>
      </c>
      <c r="I2" s="126">
        <f t="shared" ref="I2:I13" si="2">sum(C2:H2)</f>
        <v>195</v>
      </c>
      <c r="J2" s="129">
        <f t="shared" ref="J2:J13" si="3">U2</f>
        <v>50</v>
      </c>
      <c r="K2" s="126">
        <f t="shared" ref="K2:K13" si="4">I2-J2</f>
        <v>145</v>
      </c>
      <c r="L2" s="65"/>
      <c r="M2" s="66"/>
      <c r="N2" s="66"/>
      <c r="O2" s="66"/>
      <c r="P2" s="66"/>
      <c r="Q2" s="66"/>
      <c r="R2" s="66"/>
      <c r="S2" s="66"/>
      <c r="T2" s="78" t="s">
        <v>36</v>
      </c>
      <c r="U2" s="79">
        <v>50.0</v>
      </c>
      <c r="V2" s="80">
        <f t="shared" ref="V2:V13" si="5">U2-50</f>
        <v>0</v>
      </c>
      <c r="W2" s="66"/>
      <c r="X2" s="66"/>
      <c r="Y2" s="66"/>
    </row>
    <row r="3">
      <c r="A3" s="81" t="s">
        <v>37</v>
      </c>
      <c r="B3" s="143">
        <v>4.0</v>
      </c>
      <c r="C3" s="83">
        <f t="shared" si="1"/>
        <v>40</v>
      </c>
      <c r="D3" s="146">
        <v>0.0</v>
      </c>
      <c r="E3" s="146">
        <v>0.0</v>
      </c>
      <c r="F3" s="146">
        <v>0.0</v>
      </c>
      <c r="G3" s="146">
        <v>100.0</v>
      </c>
      <c r="H3" s="146">
        <v>75.0</v>
      </c>
      <c r="I3" s="149">
        <f t="shared" si="2"/>
        <v>215</v>
      </c>
      <c r="J3" s="151">
        <f t="shared" si="3"/>
        <v>50</v>
      </c>
      <c r="K3" s="149">
        <f t="shared" si="4"/>
        <v>165</v>
      </c>
      <c r="L3" s="65"/>
      <c r="M3" s="66"/>
      <c r="N3" s="66"/>
      <c r="O3" s="66"/>
      <c r="P3" s="66"/>
      <c r="Q3" s="66"/>
      <c r="R3" s="66"/>
      <c r="S3" s="66"/>
      <c r="T3" s="87" t="s">
        <v>37</v>
      </c>
      <c r="U3" s="88">
        <v>50.0</v>
      </c>
      <c r="V3" s="94">
        <f t="shared" si="5"/>
        <v>0</v>
      </c>
      <c r="W3" s="66"/>
      <c r="X3" s="66"/>
      <c r="Y3" s="66"/>
    </row>
    <row r="4">
      <c r="A4" s="90" t="s">
        <v>38</v>
      </c>
      <c r="B4" s="143">
        <v>0.0</v>
      </c>
      <c r="C4" s="83">
        <f t="shared" si="1"/>
        <v>0</v>
      </c>
      <c r="D4" s="146">
        <v>0.0</v>
      </c>
      <c r="E4" s="146">
        <v>0.0</v>
      </c>
      <c r="F4" s="146">
        <v>0.0</v>
      </c>
      <c r="G4" s="146">
        <v>0.0</v>
      </c>
      <c r="H4" s="146">
        <v>0.0</v>
      </c>
      <c r="I4" s="149">
        <f t="shared" si="2"/>
        <v>0</v>
      </c>
      <c r="J4" s="151">
        <f t="shared" si="3"/>
        <v>50</v>
      </c>
      <c r="K4" s="149">
        <f t="shared" si="4"/>
        <v>-50</v>
      </c>
      <c r="L4" s="65"/>
      <c r="M4" s="66"/>
      <c r="N4" s="66"/>
      <c r="O4" s="66"/>
      <c r="P4" s="66"/>
      <c r="Q4" s="66"/>
      <c r="R4" s="66"/>
      <c r="S4" s="66"/>
      <c r="T4" s="91" t="s">
        <v>38</v>
      </c>
      <c r="U4" s="88">
        <v>50.0</v>
      </c>
      <c r="V4" s="94">
        <f t="shared" si="5"/>
        <v>0</v>
      </c>
      <c r="W4" s="286"/>
      <c r="X4" s="66"/>
      <c r="Y4" s="66"/>
    </row>
    <row r="5">
      <c r="A5" s="90" t="s">
        <v>39</v>
      </c>
      <c r="B5" s="143">
        <v>0.0</v>
      </c>
      <c r="C5" s="83">
        <f t="shared" si="1"/>
        <v>0</v>
      </c>
      <c r="D5" s="146">
        <v>0.0</v>
      </c>
      <c r="E5" s="146">
        <v>0.0</v>
      </c>
      <c r="F5" s="146">
        <v>0.0</v>
      </c>
      <c r="G5" s="146">
        <v>0.0</v>
      </c>
      <c r="H5" s="146">
        <v>0.0</v>
      </c>
      <c r="I5" s="149">
        <f t="shared" si="2"/>
        <v>0</v>
      </c>
      <c r="J5" s="151">
        <f t="shared" si="3"/>
        <v>50</v>
      </c>
      <c r="K5" s="149">
        <f t="shared" si="4"/>
        <v>-50</v>
      </c>
      <c r="L5" s="65"/>
      <c r="M5" s="66"/>
      <c r="N5" s="66"/>
      <c r="O5" s="66"/>
      <c r="P5" s="66"/>
      <c r="Q5" s="66"/>
      <c r="R5" s="66"/>
      <c r="S5" s="66"/>
      <c r="T5" s="91" t="s">
        <v>39</v>
      </c>
      <c r="U5" s="88">
        <v>50.0</v>
      </c>
      <c r="V5" s="94">
        <f t="shared" si="5"/>
        <v>0</v>
      </c>
      <c r="W5" s="66"/>
      <c r="X5" s="66"/>
      <c r="Y5" s="66"/>
    </row>
    <row r="6">
      <c r="A6" s="90" t="s">
        <v>48</v>
      </c>
      <c r="B6" s="143">
        <v>2.0</v>
      </c>
      <c r="C6" s="83">
        <f t="shared" si="1"/>
        <v>20</v>
      </c>
      <c r="D6" s="146">
        <v>0.0</v>
      </c>
      <c r="E6" s="146">
        <v>25.0</v>
      </c>
      <c r="F6" s="146">
        <v>0.0</v>
      </c>
      <c r="G6" s="146">
        <v>0.0</v>
      </c>
      <c r="H6" s="146">
        <v>0.0</v>
      </c>
      <c r="I6" s="149">
        <f t="shared" si="2"/>
        <v>45</v>
      </c>
      <c r="J6" s="151">
        <f t="shared" si="3"/>
        <v>50</v>
      </c>
      <c r="K6" s="149">
        <f t="shared" si="4"/>
        <v>-5</v>
      </c>
      <c r="L6" s="65"/>
      <c r="M6" s="66"/>
      <c r="N6" s="66"/>
      <c r="O6" s="66"/>
      <c r="P6" s="66"/>
      <c r="Q6" s="66"/>
      <c r="R6" s="66"/>
      <c r="S6" s="66"/>
      <c r="T6" s="91" t="s">
        <v>48</v>
      </c>
      <c r="U6" s="88">
        <v>50.0</v>
      </c>
      <c r="V6" s="94">
        <f t="shared" si="5"/>
        <v>0</v>
      </c>
      <c r="W6" s="66"/>
      <c r="X6" s="66"/>
      <c r="Y6" s="66"/>
    </row>
    <row r="7">
      <c r="A7" s="81" t="s">
        <v>41</v>
      </c>
      <c r="B7" s="143">
        <v>0.0</v>
      </c>
      <c r="C7" s="83">
        <f t="shared" si="1"/>
        <v>0</v>
      </c>
      <c r="D7" s="146">
        <v>0.0</v>
      </c>
      <c r="E7" s="146">
        <v>0.0</v>
      </c>
      <c r="F7" s="146">
        <v>0.0</v>
      </c>
      <c r="G7" s="146">
        <v>0.0</v>
      </c>
      <c r="H7" s="146">
        <v>0.0</v>
      </c>
      <c r="I7" s="149">
        <f t="shared" si="2"/>
        <v>0</v>
      </c>
      <c r="J7" s="151">
        <f t="shared" si="3"/>
        <v>50</v>
      </c>
      <c r="K7" s="149">
        <f t="shared" si="4"/>
        <v>-50</v>
      </c>
      <c r="L7" s="65"/>
      <c r="M7" s="66"/>
      <c r="N7" s="66"/>
      <c r="O7" s="66"/>
      <c r="P7" s="66"/>
      <c r="Q7" s="66"/>
      <c r="R7" s="66"/>
      <c r="S7" s="66"/>
      <c r="T7" s="87" t="s">
        <v>41</v>
      </c>
      <c r="U7" s="88">
        <v>50.0</v>
      </c>
      <c r="V7" s="94">
        <f t="shared" si="5"/>
        <v>0</v>
      </c>
      <c r="W7" s="66"/>
      <c r="X7" s="66"/>
      <c r="Y7" s="66"/>
    </row>
    <row r="8">
      <c r="A8" s="90" t="s">
        <v>42</v>
      </c>
      <c r="B8" s="143">
        <v>0.0</v>
      </c>
      <c r="C8" s="83">
        <f t="shared" si="1"/>
        <v>0</v>
      </c>
      <c r="D8" s="146">
        <v>0.0</v>
      </c>
      <c r="E8" s="146">
        <v>0.0</v>
      </c>
      <c r="F8" s="146">
        <v>50.0</v>
      </c>
      <c r="G8" s="146">
        <v>0.0</v>
      </c>
      <c r="H8" s="146">
        <v>0.0</v>
      </c>
      <c r="I8" s="149">
        <f t="shared" si="2"/>
        <v>50</v>
      </c>
      <c r="J8" s="151">
        <f t="shared" si="3"/>
        <v>50</v>
      </c>
      <c r="K8" s="149">
        <f t="shared" si="4"/>
        <v>0</v>
      </c>
      <c r="L8" s="65"/>
      <c r="M8" s="66"/>
      <c r="N8" s="66"/>
      <c r="O8" s="66"/>
      <c r="P8" s="66"/>
      <c r="Q8" s="66"/>
      <c r="R8" s="66"/>
      <c r="S8" s="66"/>
      <c r="T8" s="91" t="s">
        <v>42</v>
      </c>
      <c r="U8" s="88">
        <v>50.0</v>
      </c>
      <c r="V8" s="94">
        <f t="shared" si="5"/>
        <v>0</v>
      </c>
      <c r="W8" s="66"/>
      <c r="X8" s="66"/>
      <c r="Y8" s="66"/>
    </row>
    <row r="9">
      <c r="A9" s="90" t="s">
        <v>43</v>
      </c>
      <c r="B9" s="143">
        <v>0.0</v>
      </c>
      <c r="C9" s="83">
        <f t="shared" si="1"/>
        <v>0</v>
      </c>
      <c r="D9" s="146">
        <v>0.0</v>
      </c>
      <c r="E9" s="146">
        <v>0.0</v>
      </c>
      <c r="F9" s="146">
        <v>0.0</v>
      </c>
      <c r="G9" s="146">
        <v>0.0</v>
      </c>
      <c r="H9" s="146">
        <v>0.0</v>
      </c>
      <c r="I9" s="149">
        <f t="shared" si="2"/>
        <v>0</v>
      </c>
      <c r="J9" s="151">
        <f t="shared" si="3"/>
        <v>50</v>
      </c>
      <c r="K9" s="149">
        <f t="shared" si="4"/>
        <v>-50</v>
      </c>
      <c r="L9" s="65"/>
      <c r="M9" s="66"/>
      <c r="N9" s="66"/>
      <c r="O9" s="66"/>
      <c r="P9" s="66"/>
      <c r="Q9" s="66"/>
      <c r="R9" s="66"/>
      <c r="S9" s="66"/>
      <c r="T9" s="91" t="s">
        <v>43</v>
      </c>
      <c r="U9" s="88">
        <v>50.0</v>
      </c>
      <c r="V9" s="94">
        <f t="shared" si="5"/>
        <v>0</v>
      </c>
      <c r="W9" s="66"/>
      <c r="X9" s="66"/>
      <c r="Y9" s="66"/>
    </row>
    <row r="10">
      <c r="A10" s="90" t="s">
        <v>44</v>
      </c>
      <c r="B10" s="143">
        <v>0.0</v>
      </c>
      <c r="C10" s="83">
        <f t="shared" si="1"/>
        <v>0</v>
      </c>
      <c r="D10" s="146">
        <v>0.0</v>
      </c>
      <c r="E10" s="146">
        <v>0.0</v>
      </c>
      <c r="F10" s="146">
        <v>0.0</v>
      </c>
      <c r="G10" s="146">
        <v>0.0</v>
      </c>
      <c r="H10" s="146">
        <v>0.0</v>
      </c>
      <c r="I10" s="149">
        <f t="shared" si="2"/>
        <v>0</v>
      </c>
      <c r="J10" s="151">
        <f t="shared" si="3"/>
        <v>50</v>
      </c>
      <c r="K10" s="149">
        <f t="shared" si="4"/>
        <v>-50</v>
      </c>
      <c r="L10" s="65"/>
      <c r="M10" s="66"/>
      <c r="N10" s="66"/>
      <c r="O10" s="92"/>
      <c r="P10" s="66"/>
      <c r="Q10" s="66"/>
      <c r="R10" s="66"/>
      <c r="S10" s="66"/>
      <c r="T10" s="91" t="s">
        <v>44</v>
      </c>
      <c r="U10" s="88">
        <v>50.0</v>
      </c>
      <c r="V10" s="94">
        <f t="shared" si="5"/>
        <v>0</v>
      </c>
      <c r="W10" s="66"/>
      <c r="X10" s="66"/>
      <c r="Y10" s="66"/>
    </row>
    <row r="11">
      <c r="A11" s="90" t="s">
        <v>70</v>
      </c>
      <c r="B11" s="143">
        <v>1.0</v>
      </c>
      <c r="C11" s="83">
        <f t="shared" si="1"/>
        <v>10</v>
      </c>
      <c r="D11" s="146">
        <v>25.0</v>
      </c>
      <c r="E11" s="146">
        <v>0.0</v>
      </c>
      <c r="F11" s="146">
        <v>0.0</v>
      </c>
      <c r="G11" s="146">
        <v>0.0</v>
      </c>
      <c r="H11" s="146">
        <v>0.0</v>
      </c>
      <c r="I11" s="149">
        <f t="shared" si="2"/>
        <v>35</v>
      </c>
      <c r="J11" s="151">
        <f t="shared" si="3"/>
        <v>50</v>
      </c>
      <c r="K11" s="149">
        <f t="shared" si="4"/>
        <v>-15</v>
      </c>
      <c r="L11" s="65"/>
      <c r="M11" s="66"/>
      <c r="N11" s="66"/>
      <c r="O11" s="92"/>
      <c r="P11" s="66"/>
      <c r="Q11" s="66"/>
      <c r="R11" s="66"/>
      <c r="S11" s="66"/>
      <c r="T11" s="91" t="s">
        <v>70</v>
      </c>
      <c r="U11" s="88">
        <v>50.0</v>
      </c>
      <c r="V11" s="94">
        <f t="shared" si="5"/>
        <v>0</v>
      </c>
      <c r="W11" s="286"/>
      <c r="X11" s="66"/>
      <c r="Y11" s="66"/>
    </row>
    <row r="12">
      <c r="A12" s="81" t="s">
        <v>46</v>
      </c>
      <c r="B12" s="143">
        <v>2.0</v>
      </c>
      <c r="C12" s="83">
        <f t="shared" si="1"/>
        <v>20</v>
      </c>
      <c r="D12" s="146">
        <v>0.0</v>
      </c>
      <c r="E12" s="146">
        <v>0.0</v>
      </c>
      <c r="F12" s="146">
        <v>0.0</v>
      </c>
      <c r="G12" s="146">
        <v>0.0</v>
      </c>
      <c r="H12" s="146">
        <v>0.0</v>
      </c>
      <c r="I12" s="149">
        <f t="shared" si="2"/>
        <v>20</v>
      </c>
      <c r="J12" s="151">
        <f t="shared" si="3"/>
        <v>50</v>
      </c>
      <c r="K12" s="149">
        <f t="shared" si="4"/>
        <v>-30</v>
      </c>
      <c r="L12" s="65"/>
      <c r="M12" s="66"/>
      <c r="N12" s="66"/>
      <c r="O12" s="92"/>
      <c r="P12" s="66"/>
      <c r="Q12" s="66"/>
      <c r="R12" s="66"/>
      <c r="S12" s="66"/>
      <c r="T12" s="87" t="s">
        <v>46</v>
      </c>
      <c r="U12" s="88">
        <v>50.0</v>
      </c>
      <c r="V12" s="94">
        <f t="shared" si="5"/>
        <v>0</v>
      </c>
      <c r="W12" s="66"/>
      <c r="X12" s="66"/>
      <c r="Y12" s="66"/>
    </row>
    <row r="13">
      <c r="A13" s="180" t="s">
        <v>49</v>
      </c>
      <c r="B13" s="181">
        <v>1.0</v>
      </c>
      <c r="C13" s="98">
        <f t="shared" si="1"/>
        <v>10</v>
      </c>
      <c r="D13" s="183">
        <v>0.0</v>
      </c>
      <c r="E13" s="183">
        <v>0.0</v>
      </c>
      <c r="F13" s="183">
        <v>0.0</v>
      </c>
      <c r="G13" s="183">
        <v>0.0</v>
      </c>
      <c r="H13" s="183">
        <v>0.0</v>
      </c>
      <c r="I13" s="186">
        <f t="shared" si="2"/>
        <v>10</v>
      </c>
      <c r="J13" s="187">
        <f t="shared" si="3"/>
        <v>50</v>
      </c>
      <c r="K13" s="186">
        <f t="shared" si="4"/>
        <v>-40</v>
      </c>
      <c r="L13" s="65"/>
      <c r="M13" s="66"/>
      <c r="N13" s="66"/>
      <c r="O13" s="92"/>
      <c r="P13" s="66"/>
      <c r="Q13" s="66"/>
      <c r="R13" s="66"/>
      <c r="S13" s="66"/>
      <c r="T13" s="189" t="s">
        <v>49</v>
      </c>
      <c r="U13" s="106">
        <v>50.0</v>
      </c>
      <c r="V13" s="107">
        <f t="shared" si="5"/>
        <v>0</v>
      </c>
      <c r="W13" s="66"/>
      <c r="X13" s="66"/>
      <c r="Y13" s="66"/>
    </row>
    <row r="14">
      <c r="A14" s="108"/>
      <c r="B14" s="108"/>
      <c r="C14" s="109">
        <f t="shared" ref="C14:K14" si="6">SUM(C2:C13)</f>
        <v>120</v>
      </c>
      <c r="D14" s="195">
        <f t="shared" si="6"/>
        <v>25</v>
      </c>
      <c r="E14" s="195">
        <f t="shared" si="6"/>
        <v>25</v>
      </c>
      <c r="F14" s="195">
        <f t="shared" si="6"/>
        <v>50</v>
      </c>
      <c r="G14" s="198">
        <f t="shared" si="6"/>
        <v>200</v>
      </c>
      <c r="H14" s="198">
        <f t="shared" si="6"/>
        <v>150</v>
      </c>
      <c r="I14" s="198">
        <f t="shared" si="6"/>
        <v>570</v>
      </c>
      <c r="J14" s="198">
        <f t="shared" si="6"/>
        <v>600</v>
      </c>
      <c r="K14" s="202">
        <f t="shared" si="6"/>
        <v>-30</v>
      </c>
      <c r="L14" s="65"/>
      <c r="M14" s="66"/>
      <c r="N14" s="66"/>
      <c r="O14" s="115"/>
      <c r="P14" s="66"/>
      <c r="Q14" s="66"/>
      <c r="R14" s="66"/>
      <c r="S14" s="66"/>
      <c r="T14" s="116" t="s">
        <v>93</v>
      </c>
      <c r="U14" s="118">
        <f t="shared" ref="U14:V14" si="7">SUM(U2:U13)</f>
        <v>600</v>
      </c>
      <c r="V14" s="119">
        <f t="shared" si="7"/>
        <v>0</v>
      </c>
      <c r="W14" s="66"/>
      <c r="X14" s="66"/>
      <c r="Y14" s="66"/>
    </row>
    <row r="15">
      <c r="A15" s="108"/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65"/>
      <c r="M15" s="66"/>
      <c r="N15" s="66"/>
      <c r="O15" s="115"/>
      <c r="P15" s="66"/>
      <c r="Q15" s="66"/>
      <c r="R15" s="66"/>
      <c r="S15" s="66"/>
      <c r="T15" s="122"/>
      <c r="U15" s="123"/>
      <c r="V15" s="123"/>
      <c r="W15" s="66"/>
      <c r="X15" s="66"/>
      <c r="Y15" s="66"/>
    </row>
    <row r="16">
      <c r="A16" s="124" t="s">
        <v>94</v>
      </c>
      <c r="B16" s="125" t="s">
        <v>0</v>
      </c>
      <c r="C16" s="125" t="s">
        <v>95</v>
      </c>
      <c r="D16" s="125" t="s">
        <v>86</v>
      </c>
      <c r="E16" s="127" t="s">
        <v>96</v>
      </c>
      <c r="F16" s="128"/>
      <c r="G16" s="66"/>
      <c r="H16" s="108"/>
      <c r="I16" s="108"/>
      <c r="J16" s="108"/>
      <c r="K16" s="130"/>
      <c r="L16" s="131"/>
      <c r="M16" s="66"/>
      <c r="N16" s="66"/>
      <c r="O16" s="92"/>
      <c r="P16" s="66"/>
      <c r="Q16" s="66"/>
      <c r="R16" s="66"/>
      <c r="S16" s="66"/>
      <c r="T16" s="122"/>
      <c r="U16" s="123"/>
      <c r="V16" s="123"/>
      <c r="W16" s="66"/>
      <c r="X16" s="66"/>
      <c r="Y16" s="66"/>
    </row>
    <row r="17">
      <c r="A17" s="132" t="s">
        <v>97</v>
      </c>
      <c r="B17" s="288" t="s">
        <v>37</v>
      </c>
      <c r="C17" s="134">
        <v>10.0</v>
      </c>
      <c r="D17" s="219" t="s">
        <v>98</v>
      </c>
      <c r="E17" s="221">
        <v>131.42</v>
      </c>
      <c r="F17" s="289"/>
      <c r="G17" s="138"/>
      <c r="H17" s="139"/>
      <c r="I17" s="108"/>
      <c r="J17" s="108"/>
      <c r="K17" s="130"/>
      <c r="L17" s="131"/>
      <c r="M17" s="66"/>
      <c r="N17" s="66"/>
      <c r="O17" s="92"/>
      <c r="P17" s="66"/>
      <c r="Q17" s="66"/>
      <c r="R17" s="66"/>
      <c r="S17" s="66"/>
      <c r="T17" s="122"/>
      <c r="U17" s="123"/>
      <c r="V17" s="123"/>
      <c r="W17" s="66"/>
      <c r="X17" s="66"/>
      <c r="Y17" s="66"/>
    </row>
    <row r="18">
      <c r="A18" s="140" t="s">
        <v>100</v>
      </c>
      <c r="B18" s="218" t="s">
        <v>48</v>
      </c>
      <c r="C18" s="134">
        <v>10.0</v>
      </c>
      <c r="D18" s="226" t="s">
        <v>98</v>
      </c>
      <c r="E18" s="227">
        <v>148.0</v>
      </c>
      <c r="F18" s="144"/>
      <c r="G18" s="145"/>
      <c r="H18" s="139"/>
      <c r="I18" s="108"/>
      <c r="J18" s="108"/>
      <c r="K18" s="130"/>
      <c r="L18" s="131"/>
      <c r="M18" s="66"/>
      <c r="N18" s="66"/>
      <c r="O18" s="66"/>
      <c r="P18" s="66"/>
      <c r="Q18" s="66"/>
      <c r="R18" s="66"/>
      <c r="S18" s="66"/>
      <c r="T18" s="122"/>
      <c r="U18" s="123"/>
      <c r="V18" s="123"/>
      <c r="W18" s="66"/>
      <c r="X18" s="66"/>
      <c r="Y18" s="66"/>
    </row>
    <row r="19">
      <c r="A19" s="140" t="s">
        <v>101</v>
      </c>
      <c r="B19" s="218" t="s">
        <v>36</v>
      </c>
      <c r="C19" s="134">
        <v>10.0</v>
      </c>
      <c r="D19" s="226" t="s">
        <v>98</v>
      </c>
      <c r="E19" s="227">
        <v>112.92</v>
      </c>
      <c r="F19" s="144"/>
      <c r="G19" s="145"/>
      <c r="H19" s="139"/>
      <c r="I19" s="108"/>
      <c r="J19" s="108"/>
      <c r="K19" s="130"/>
      <c r="L19" s="147" t="s">
        <v>102</v>
      </c>
      <c r="M19" s="148" t="s">
        <v>103</v>
      </c>
      <c r="N19" s="150" t="s">
        <v>104</v>
      </c>
      <c r="O19" s="150" t="s">
        <v>105</v>
      </c>
      <c r="P19" s="150" t="s">
        <v>106</v>
      </c>
      <c r="Q19" s="150" t="s">
        <v>107</v>
      </c>
      <c r="R19" s="150" t="s">
        <v>108</v>
      </c>
      <c r="S19" s="150" t="s">
        <v>109</v>
      </c>
      <c r="T19" s="152" t="s">
        <v>110</v>
      </c>
      <c r="U19" s="123"/>
      <c r="V19" s="123"/>
      <c r="W19" s="66"/>
      <c r="X19" s="66"/>
      <c r="Y19" s="66"/>
    </row>
    <row r="20">
      <c r="A20" s="140" t="s">
        <v>111</v>
      </c>
      <c r="B20" s="218" t="s">
        <v>70</v>
      </c>
      <c r="C20" s="134">
        <v>10.0</v>
      </c>
      <c r="D20" s="226" t="s">
        <v>98</v>
      </c>
      <c r="E20" s="227">
        <v>125.02</v>
      </c>
      <c r="F20" s="153" t="s">
        <v>166</v>
      </c>
      <c r="G20" s="145"/>
      <c r="H20" s="139"/>
      <c r="I20" s="108"/>
      <c r="J20" s="108"/>
      <c r="K20" s="154"/>
      <c r="L20" s="155">
        <v>1.0</v>
      </c>
      <c r="M20" s="287" t="s">
        <v>48</v>
      </c>
      <c r="N20" s="240">
        <v>12.0</v>
      </c>
      <c r="O20" s="240">
        <v>2.0</v>
      </c>
      <c r="P20" s="240">
        <v>0.0</v>
      </c>
      <c r="Q20" s="241">
        <v>0.0</v>
      </c>
      <c r="R20" s="245">
        <v>1545.02</v>
      </c>
      <c r="S20" s="245">
        <v>1251.88</v>
      </c>
      <c r="T20" s="160">
        <f>R20-R25</f>
        <v>179.14</v>
      </c>
      <c r="U20" s="123"/>
      <c r="V20" s="123"/>
      <c r="W20" s="66"/>
      <c r="X20" s="66"/>
      <c r="Y20" s="66"/>
    </row>
    <row r="21">
      <c r="A21" s="140" t="s">
        <v>113</v>
      </c>
      <c r="B21" s="218" t="s">
        <v>36</v>
      </c>
      <c r="C21" s="134">
        <v>10.0</v>
      </c>
      <c r="D21" s="226" t="s">
        <v>98</v>
      </c>
      <c r="E21" s="227">
        <v>146.26</v>
      </c>
      <c r="F21" s="168"/>
      <c r="G21" s="145"/>
      <c r="H21" s="139"/>
      <c r="I21" s="108"/>
      <c r="J21" s="108"/>
      <c r="K21" s="154"/>
      <c r="L21" s="161">
        <v>2.0</v>
      </c>
      <c r="M21" s="238" t="s">
        <v>42</v>
      </c>
      <c r="N21" s="245">
        <v>11.0</v>
      </c>
      <c r="O21" s="245">
        <v>3.0</v>
      </c>
      <c r="P21" s="245">
        <v>0.0</v>
      </c>
      <c r="Q21" s="254">
        <v>1.0</v>
      </c>
      <c r="R21" s="245">
        <v>1334.08</v>
      </c>
      <c r="S21" s="245">
        <v>1169.8</v>
      </c>
      <c r="T21" s="163">
        <f>R21-R25</f>
        <v>-31.8</v>
      </c>
      <c r="U21" s="123"/>
      <c r="V21" s="123"/>
      <c r="W21" s="66"/>
      <c r="X21" s="66"/>
      <c r="Y21" s="66"/>
    </row>
    <row r="22">
      <c r="A22" s="140" t="s">
        <v>116</v>
      </c>
      <c r="B22" s="218" t="s">
        <v>37</v>
      </c>
      <c r="C22" s="134">
        <v>10.0</v>
      </c>
      <c r="D22" s="226" t="s">
        <v>98</v>
      </c>
      <c r="E22" s="227">
        <v>102.6</v>
      </c>
      <c r="F22" s="144"/>
      <c r="G22" s="145"/>
      <c r="H22" s="139"/>
      <c r="I22" s="108"/>
      <c r="J22" s="108"/>
      <c r="K22" s="154"/>
      <c r="L22" s="161">
        <v>3.0</v>
      </c>
      <c r="M22" s="238" t="s">
        <v>46</v>
      </c>
      <c r="N22" s="245">
        <v>8.0</v>
      </c>
      <c r="O22" s="245">
        <v>6.0</v>
      </c>
      <c r="P22" s="245">
        <v>0.0</v>
      </c>
      <c r="Q22" s="254">
        <v>4.0</v>
      </c>
      <c r="R22" s="245">
        <v>1376.08</v>
      </c>
      <c r="S22" s="245">
        <v>1281.16</v>
      </c>
      <c r="T22" s="164">
        <f>R22-R25</f>
        <v>10.2</v>
      </c>
      <c r="U22" s="123"/>
      <c r="V22" s="123"/>
      <c r="W22" s="66"/>
      <c r="X22" s="66"/>
      <c r="Y22" s="66"/>
    </row>
    <row r="23">
      <c r="A23" s="140" t="s">
        <v>118</v>
      </c>
      <c r="B23" s="218" t="s">
        <v>49</v>
      </c>
      <c r="C23" s="134">
        <v>10.0</v>
      </c>
      <c r="D23" s="226" t="s">
        <v>98</v>
      </c>
      <c r="E23" s="227">
        <v>116.24</v>
      </c>
      <c r="F23" s="153" t="s">
        <v>168</v>
      </c>
      <c r="G23" s="145"/>
      <c r="H23" s="139"/>
      <c r="I23" s="108"/>
      <c r="J23" s="108"/>
      <c r="K23" s="154"/>
      <c r="L23" s="161">
        <v>4.0</v>
      </c>
      <c r="M23" s="238" t="s">
        <v>68</v>
      </c>
      <c r="N23" s="255">
        <v>9.0</v>
      </c>
      <c r="O23" s="255">
        <v>5.0</v>
      </c>
      <c r="P23" s="256">
        <v>0.0</v>
      </c>
      <c r="Q23" s="257">
        <v>3.0</v>
      </c>
      <c r="R23" s="245">
        <v>1567.56</v>
      </c>
      <c r="S23" s="245">
        <v>1393.16</v>
      </c>
      <c r="T23" s="164">
        <f>R23-R25</f>
        <v>201.68</v>
      </c>
      <c r="U23" s="123"/>
      <c r="V23" s="123"/>
      <c r="W23" s="66"/>
      <c r="X23" s="66"/>
      <c r="Y23" s="66"/>
    </row>
    <row r="24">
      <c r="A24" s="140" t="s">
        <v>120</v>
      </c>
      <c r="B24" s="218" t="s">
        <v>37</v>
      </c>
      <c r="C24" s="134">
        <v>10.0</v>
      </c>
      <c r="D24" s="226" t="s">
        <v>98</v>
      </c>
      <c r="E24" s="227">
        <v>155.56</v>
      </c>
      <c r="F24" s="168"/>
      <c r="G24" s="145"/>
      <c r="H24" s="139"/>
      <c r="I24" s="108"/>
      <c r="J24" s="108"/>
      <c r="K24" s="154"/>
      <c r="L24" s="169">
        <v>5.0</v>
      </c>
      <c r="M24" s="238" t="s">
        <v>49</v>
      </c>
      <c r="N24" s="258">
        <v>7.0</v>
      </c>
      <c r="O24" s="258">
        <v>7.0</v>
      </c>
      <c r="P24" s="259">
        <v>0.0</v>
      </c>
      <c r="Q24" s="254">
        <v>5.0</v>
      </c>
      <c r="R24" s="245">
        <v>1391.2</v>
      </c>
      <c r="S24" s="245">
        <v>1196.76</v>
      </c>
      <c r="T24" s="163">
        <f>R24-R25</f>
        <v>25.32</v>
      </c>
      <c r="U24" s="123"/>
      <c r="V24" s="123"/>
      <c r="W24" s="66"/>
      <c r="X24" s="66"/>
      <c r="Y24" s="66"/>
    </row>
    <row r="25">
      <c r="A25" s="140" t="s">
        <v>122</v>
      </c>
      <c r="B25" s="218" t="s">
        <v>46</v>
      </c>
      <c r="C25" s="134">
        <v>10.0</v>
      </c>
      <c r="D25" s="226" t="s">
        <v>98</v>
      </c>
      <c r="E25" s="227">
        <v>144.0</v>
      </c>
      <c r="F25" s="168"/>
      <c r="G25" s="145"/>
      <c r="H25" s="139"/>
      <c r="I25" s="108"/>
      <c r="J25" s="108"/>
      <c r="K25" s="154"/>
      <c r="L25" s="161">
        <v>6.0</v>
      </c>
      <c r="M25" s="238" t="s">
        <v>36</v>
      </c>
      <c r="N25" s="255">
        <v>8.0</v>
      </c>
      <c r="O25" s="255">
        <v>6.0</v>
      </c>
      <c r="P25" s="256">
        <v>0.0</v>
      </c>
      <c r="Q25" s="254">
        <v>4.0</v>
      </c>
      <c r="R25" s="245">
        <v>1365.88</v>
      </c>
      <c r="S25" s="245">
        <v>1297.32</v>
      </c>
      <c r="T25" s="260">
        <v>752.18</v>
      </c>
      <c r="U25" s="123"/>
      <c r="V25" s="123"/>
      <c r="W25" s="66"/>
      <c r="X25" s="66"/>
      <c r="Y25" s="66"/>
    </row>
    <row r="26">
      <c r="A26" s="140" t="s">
        <v>124</v>
      </c>
      <c r="B26" s="218" t="s">
        <v>48</v>
      </c>
      <c r="C26" s="134">
        <v>10.0</v>
      </c>
      <c r="D26" s="226" t="s">
        <v>98</v>
      </c>
      <c r="E26" s="227">
        <v>133.04</v>
      </c>
      <c r="F26" s="168"/>
      <c r="G26" s="145"/>
      <c r="H26" s="139"/>
      <c r="I26" s="108"/>
      <c r="J26" s="108"/>
      <c r="K26" s="154"/>
      <c r="L26" s="173">
        <v>7.0</v>
      </c>
      <c r="M26" s="261" t="s">
        <v>45</v>
      </c>
      <c r="N26" s="262">
        <v>4.0</v>
      </c>
      <c r="O26" s="262">
        <v>10.0</v>
      </c>
      <c r="P26" s="262">
        <v>0.0</v>
      </c>
      <c r="Q26" s="263">
        <v>8.0</v>
      </c>
      <c r="R26" s="262">
        <v>1307.92</v>
      </c>
      <c r="S26" s="262">
        <v>1355.88</v>
      </c>
      <c r="T26" s="177">
        <f>R25-R26</f>
        <v>57.96</v>
      </c>
      <c r="U26" s="123"/>
      <c r="V26" s="123"/>
      <c r="W26" s="66"/>
      <c r="X26" s="66"/>
      <c r="Y26" s="66"/>
    </row>
    <row r="27">
      <c r="A27" s="140" t="s">
        <v>126</v>
      </c>
      <c r="B27" s="218" t="s">
        <v>48</v>
      </c>
      <c r="C27" s="134">
        <v>10.0</v>
      </c>
      <c r="D27" s="226" t="s">
        <v>156</v>
      </c>
      <c r="E27" s="227">
        <v>141.66</v>
      </c>
      <c r="F27" s="153" t="s">
        <v>173</v>
      </c>
      <c r="G27" s="145"/>
      <c r="H27" s="139"/>
      <c r="I27" s="108"/>
      <c r="J27" s="108"/>
      <c r="K27" s="154"/>
      <c r="L27" s="173">
        <v>8.0</v>
      </c>
      <c r="M27" s="261" t="s">
        <v>43</v>
      </c>
      <c r="N27" s="262">
        <v>8.0</v>
      </c>
      <c r="O27" s="262">
        <v>6.0</v>
      </c>
      <c r="P27" s="262">
        <v>0.0</v>
      </c>
      <c r="Q27" s="263">
        <v>4.0</v>
      </c>
      <c r="R27" s="218">
        <v>1223.62</v>
      </c>
      <c r="S27" s="264">
        <v>1282.52</v>
      </c>
      <c r="T27" s="177">
        <f>R25-R27</f>
        <v>142.26</v>
      </c>
      <c r="U27" s="123"/>
      <c r="V27" s="123"/>
      <c r="W27" s="66"/>
      <c r="X27" s="66"/>
      <c r="Y27" s="66"/>
    </row>
    <row r="28">
      <c r="A28" s="140" t="s">
        <v>129</v>
      </c>
      <c r="B28" s="218" t="s">
        <v>48</v>
      </c>
      <c r="C28" s="134">
        <v>10.0</v>
      </c>
      <c r="D28" s="226" t="s">
        <v>156</v>
      </c>
      <c r="E28" s="227">
        <v>124.2</v>
      </c>
      <c r="F28" s="153" t="s">
        <v>173</v>
      </c>
      <c r="G28" s="145"/>
      <c r="H28" s="139"/>
      <c r="I28" s="108"/>
      <c r="J28" s="108"/>
      <c r="K28" s="154"/>
      <c r="L28" s="173">
        <v>9.0</v>
      </c>
      <c r="M28" s="261" t="s">
        <v>44</v>
      </c>
      <c r="N28" s="262">
        <v>5.0</v>
      </c>
      <c r="O28" s="262">
        <v>9.0</v>
      </c>
      <c r="P28" s="262">
        <v>0.0</v>
      </c>
      <c r="Q28" s="263">
        <v>7.0</v>
      </c>
      <c r="R28" s="267">
        <v>1210.3</v>
      </c>
      <c r="S28" s="268">
        <v>1341.58</v>
      </c>
      <c r="T28" s="177">
        <f>R25-R28</f>
        <v>155.58</v>
      </c>
      <c r="U28" s="123"/>
      <c r="V28" s="123"/>
      <c r="W28" s="66"/>
      <c r="X28" s="66"/>
      <c r="Y28" s="66"/>
    </row>
    <row r="29">
      <c r="A29" s="266" t="s">
        <v>131</v>
      </c>
      <c r="B29" s="218" t="s">
        <v>46</v>
      </c>
      <c r="C29" s="134">
        <v>10.0</v>
      </c>
      <c r="D29" s="226" t="s">
        <v>98</v>
      </c>
      <c r="E29" s="227">
        <v>123.4</v>
      </c>
      <c r="F29" s="184"/>
      <c r="G29" s="185"/>
      <c r="H29" s="139"/>
      <c r="I29" s="108"/>
      <c r="J29" s="108"/>
      <c r="K29" s="154"/>
      <c r="L29" s="173">
        <v>10.0</v>
      </c>
      <c r="M29" s="261" t="s">
        <v>41</v>
      </c>
      <c r="N29" s="262">
        <v>5.0</v>
      </c>
      <c r="O29" s="262">
        <v>9.0</v>
      </c>
      <c r="P29" s="262">
        <v>0.0</v>
      </c>
      <c r="Q29" s="263">
        <v>7.0</v>
      </c>
      <c r="R29" s="267">
        <v>1190.88</v>
      </c>
      <c r="S29" s="268">
        <v>1327.74</v>
      </c>
      <c r="T29" s="177">
        <f>R25-R29</f>
        <v>175</v>
      </c>
      <c r="U29" s="66"/>
      <c r="V29" s="66"/>
      <c r="W29" s="66"/>
      <c r="X29" s="66"/>
      <c r="Y29" s="66"/>
    </row>
    <row r="30">
      <c r="A30" s="269" t="s">
        <v>133</v>
      </c>
      <c r="B30" s="270" t="s">
        <v>37</v>
      </c>
      <c r="C30" s="191">
        <v>10.0</v>
      </c>
      <c r="D30" s="271" t="s">
        <v>98</v>
      </c>
      <c r="E30" s="272">
        <v>128.88</v>
      </c>
      <c r="F30" s="194"/>
      <c r="G30" s="139"/>
      <c r="H30" s="139"/>
      <c r="I30" s="108"/>
      <c r="J30" s="108"/>
      <c r="K30" s="154"/>
      <c r="L30" s="196">
        <v>11.0</v>
      </c>
      <c r="M30" s="261" t="s">
        <v>39</v>
      </c>
      <c r="N30" s="273">
        <v>3.0</v>
      </c>
      <c r="O30" s="273">
        <v>11.0</v>
      </c>
      <c r="P30" s="273">
        <v>0.0</v>
      </c>
      <c r="Q30" s="274">
        <v>9.0</v>
      </c>
      <c r="R30" s="267">
        <v>1090.86</v>
      </c>
      <c r="S30" s="268">
        <v>1415.92</v>
      </c>
      <c r="T30" s="177">
        <f>R25-R30</f>
        <v>275.02</v>
      </c>
      <c r="U30" s="66"/>
      <c r="V30" s="66"/>
      <c r="W30" s="66"/>
      <c r="X30" s="66"/>
      <c r="Y30" s="66"/>
    </row>
    <row r="31">
      <c r="A31" s="203" t="s">
        <v>154</v>
      </c>
      <c r="B31" s="218" t="s">
        <v>176</v>
      </c>
      <c r="C31" s="134">
        <v>5.0</v>
      </c>
      <c r="D31" s="265"/>
      <c r="E31" s="304"/>
      <c r="F31" s="194"/>
      <c r="G31" s="139"/>
      <c r="H31" s="205"/>
      <c r="I31" s="108"/>
      <c r="J31" s="108"/>
      <c r="K31" s="154"/>
      <c r="L31" s="206">
        <v>12.0</v>
      </c>
      <c r="M31" s="276" t="s">
        <v>38</v>
      </c>
      <c r="N31" s="277">
        <v>4.0</v>
      </c>
      <c r="O31" s="277">
        <v>10.0</v>
      </c>
      <c r="P31" s="277">
        <v>0.0</v>
      </c>
      <c r="Q31" s="278">
        <v>8.0</v>
      </c>
      <c r="R31" s="279">
        <v>1081.9</v>
      </c>
      <c r="S31" s="280">
        <v>1371.58</v>
      </c>
      <c r="T31" s="212">
        <f>R25-R31</f>
        <v>283.98</v>
      </c>
      <c r="U31" s="66"/>
      <c r="V31" s="66"/>
      <c r="W31" s="66"/>
      <c r="X31" s="66"/>
      <c r="Y31" s="66"/>
    </row>
    <row r="32">
      <c r="A32" s="213" t="s">
        <v>157</v>
      </c>
      <c r="B32" s="133" t="s">
        <v>70</v>
      </c>
      <c r="C32" s="306">
        <v>25.0</v>
      </c>
      <c r="D32" s="307" t="s">
        <v>98</v>
      </c>
      <c r="E32" s="308">
        <v>112.98</v>
      </c>
      <c r="F32" s="194" t="s">
        <v>180</v>
      </c>
      <c r="G32" s="139"/>
      <c r="H32" s="205"/>
      <c r="I32" s="108"/>
      <c r="J32" s="215"/>
      <c r="K32" s="130"/>
      <c r="L32" s="21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</row>
    <row r="33">
      <c r="A33" s="213" t="s">
        <v>90</v>
      </c>
      <c r="B33" s="200" t="s">
        <v>48</v>
      </c>
      <c r="C33" s="310">
        <v>25.0</v>
      </c>
      <c r="D33" s="311" t="s">
        <v>98</v>
      </c>
      <c r="E33" s="312">
        <v>80.92</v>
      </c>
      <c r="F33" s="194"/>
      <c r="G33" s="139"/>
      <c r="H33" s="205"/>
      <c r="I33" s="108"/>
      <c r="J33" s="215"/>
      <c r="K33" s="215"/>
      <c r="L33" s="220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</row>
    <row r="34">
      <c r="A34" s="213" t="s">
        <v>78</v>
      </c>
      <c r="B34" s="200" t="s">
        <v>42</v>
      </c>
      <c r="C34" s="310">
        <v>75.0</v>
      </c>
      <c r="D34" s="311" t="s">
        <v>98</v>
      </c>
      <c r="E34" s="312">
        <v>121.9</v>
      </c>
      <c r="F34" s="194"/>
      <c r="G34" s="139"/>
      <c r="H34" s="108"/>
      <c r="I34" s="108"/>
      <c r="J34" s="108"/>
      <c r="K34" s="215"/>
      <c r="L34" s="220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</row>
    <row r="35">
      <c r="A35" s="222" t="s">
        <v>79</v>
      </c>
      <c r="B35" s="200" t="s">
        <v>68</v>
      </c>
      <c r="C35" s="310">
        <v>175.0</v>
      </c>
      <c r="D35" s="311" t="s">
        <v>98</v>
      </c>
      <c r="E35" s="312">
        <v>93.36</v>
      </c>
      <c r="F35" s="223"/>
      <c r="G35" s="224"/>
      <c r="H35" s="108"/>
      <c r="I35" s="108"/>
      <c r="J35" s="108"/>
      <c r="K35" s="215"/>
      <c r="L35" s="225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</row>
    <row r="36">
      <c r="A36" s="213" t="s">
        <v>140</v>
      </c>
      <c r="B36" s="200" t="s">
        <v>36</v>
      </c>
      <c r="C36" s="314">
        <v>175.0</v>
      </c>
      <c r="D36" s="311" t="s">
        <v>98</v>
      </c>
      <c r="E36" s="201">
        <v>105.48</v>
      </c>
      <c r="F36" s="223"/>
      <c r="G36" s="224"/>
      <c r="H36" s="65"/>
      <c r="I36" s="65"/>
      <c r="J36" s="231"/>
      <c r="K36" s="131"/>
      <c r="L36" s="65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</row>
    <row r="37">
      <c r="A37" s="283"/>
      <c r="B37" s="284"/>
      <c r="C37" s="285">
        <f>SUM(C17:C36)</f>
        <v>620</v>
      </c>
      <c r="D37" s="284"/>
      <c r="E37" s="223"/>
      <c r="F37" s="233"/>
      <c r="G37" s="234"/>
      <c r="H37" s="65"/>
      <c r="I37" s="65"/>
      <c r="J37" s="65"/>
      <c r="K37" s="131"/>
      <c r="L37" s="65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</row>
    <row r="38">
      <c r="A38" s="242"/>
      <c r="B38" s="244"/>
      <c r="C38" s="246"/>
      <c r="D38" s="244"/>
      <c r="E38" s="233"/>
      <c r="F38" s="233"/>
      <c r="G38" s="234"/>
      <c r="H38" s="65"/>
      <c r="I38" s="65"/>
      <c r="J38" s="65"/>
      <c r="K38" s="131"/>
      <c r="L38" s="65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</row>
    <row r="39">
      <c r="A39" s="242"/>
      <c r="B39" s="244"/>
      <c r="C39" s="246"/>
      <c r="D39" s="244"/>
      <c r="E39" s="233"/>
      <c r="F39" s="233"/>
      <c r="G39" s="234"/>
      <c r="H39" s="65"/>
      <c r="I39" s="65"/>
      <c r="J39" s="65"/>
      <c r="K39" s="131"/>
      <c r="L39" s="65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</row>
    <row r="40">
      <c r="A40" s="242"/>
      <c r="B40" s="244"/>
      <c r="C40" s="246"/>
      <c r="D40" s="244"/>
      <c r="E40" s="233"/>
      <c r="F40" s="233"/>
      <c r="G40" s="234"/>
      <c r="H40" s="65"/>
      <c r="I40" s="65"/>
      <c r="J40" s="65"/>
      <c r="K40" s="131"/>
      <c r="L40" s="65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</row>
    <row r="41">
      <c r="A41" s="247"/>
      <c r="B41" s="248"/>
      <c r="C41" s="249"/>
      <c r="D41" s="248"/>
      <c r="E41" s="250"/>
      <c r="F41" s="250"/>
      <c r="G41" s="251"/>
      <c r="H41" s="65"/>
      <c r="I41" s="65"/>
      <c r="J41" s="65"/>
      <c r="K41" s="131"/>
      <c r="L41" s="65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</row>
    <row r="42">
      <c r="A42" s="131"/>
      <c r="B42" s="131"/>
      <c r="C42" s="252"/>
      <c r="D42" s="131"/>
      <c r="E42" s="65"/>
      <c r="F42" s="65"/>
      <c r="G42" s="65"/>
      <c r="H42" s="65"/>
      <c r="I42" s="65"/>
      <c r="J42" s="65"/>
      <c r="K42" s="131"/>
      <c r="L42" s="65"/>
      <c r="M42" s="66"/>
      <c r="N42" s="66"/>
      <c r="O42" s="66"/>
      <c r="P42" s="66"/>
      <c r="Q42" s="66"/>
      <c r="R42" s="66"/>
      <c r="S42" s="66"/>
      <c r="T42" s="122"/>
      <c r="U42" s="123"/>
      <c r="V42" s="123"/>
      <c r="W42" s="66"/>
      <c r="X42" s="66"/>
      <c r="Y42" s="6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9.88"/>
    <col customWidth="1" min="3" max="3" width="10.88"/>
    <col customWidth="1" min="4" max="4" width="7.75"/>
    <col customWidth="1" min="5" max="5" width="9.38"/>
    <col customWidth="1" min="6" max="6" width="8.75"/>
    <col customWidth="1" min="7" max="7" width="6.75"/>
    <col customWidth="1" min="8" max="8" width="6.63"/>
    <col customWidth="1" min="9" max="9" width="7.38"/>
    <col customWidth="1" min="10" max="10" width="8.63"/>
    <col customWidth="1" min="11" max="11" width="7.0"/>
    <col customWidth="1" min="12" max="12" width="5.13"/>
    <col customWidth="1" min="13" max="13" width="18.0"/>
    <col customWidth="1" min="14" max="14" width="5.0"/>
    <col customWidth="1" min="15" max="15" width="4.5"/>
    <col customWidth="1" min="16" max="16" width="4.88"/>
    <col customWidth="1" min="17" max="17" width="5.38"/>
    <col customWidth="1" min="18" max="19" width="7.0"/>
    <col customWidth="1" min="20" max="20" width="9.25"/>
    <col customWidth="1" min="21" max="21" width="7.25"/>
    <col customWidth="1" min="22" max="22" width="7.38"/>
    <col customWidth="1" min="23" max="23" width="7.0"/>
    <col customWidth="1" min="24" max="24" width="9.0"/>
  </cols>
  <sheetData>
    <row r="1">
      <c r="A1" s="59" t="s">
        <v>0</v>
      </c>
      <c r="B1" s="60" t="s">
        <v>75</v>
      </c>
      <c r="C1" s="60" t="s">
        <v>75</v>
      </c>
      <c r="D1" s="100" t="s">
        <v>157</v>
      </c>
      <c r="E1" s="97" t="s">
        <v>90</v>
      </c>
      <c r="F1" s="97" t="s">
        <v>78</v>
      </c>
      <c r="G1" s="100" t="s">
        <v>79</v>
      </c>
      <c r="H1" s="102" t="s">
        <v>80</v>
      </c>
      <c r="I1" s="104" t="s">
        <v>81</v>
      </c>
      <c r="J1" s="104" t="s">
        <v>82</v>
      </c>
      <c r="K1" s="104" t="s">
        <v>83</v>
      </c>
      <c r="L1" s="65"/>
      <c r="M1" s="66"/>
      <c r="N1" s="66"/>
      <c r="O1" s="66"/>
      <c r="P1" s="66"/>
      <c r="Q1" s="66"/>
      <c r="R1" s="66"/>
      <c r="S1" s="66"/>
      <c r="T1" s="67" t="s">
        <v>84</v>
      </c>
      <c r="U1" s="68" t="s">
        <v>86</v>
      </c>
      <c r="V1" s="69" t="s">
        <v>87</v>
      </c>
      <c r="W1" s="66"/>
      <c r="X1" s="66"/>
      <c r="Y1" s="66"/>
    </row>
    <row r="2">
      <c r="A2" s="70" t="s">
        <v>36</v>
      </c>
      <c r="B2" s="112">
        <v>1.0</v>
      </c>
      <c r="C2" s="72">
        <f t="shared" ref="C2:C13" si="1">10*B2</f>
        <v>10</v>
      </c>
      <c r="D2" s="120">
        <v>0.0</v>
      </c>
      <c r="E2" s="117">
        <v>0.0</v>
      </c>
      <c r="F2" s="117">
        <v>0.0</v>
      </c>
      <c r="G2" s="120">
        <v>0.0</v>
      </c>
      <c r="H2" s="121">
        <v>0.0</v>
      </c>
      <c r="I2" s="126">
        <f t="shared" ref="I2:I13" si="2">sum(C2:H2)</f>
        <v>10</v>
      </c>
      <c r="J2" s="129">
        <f t="shared" ref="J2:J13" si="3">U2</f>
        <v>50</v>
      </c>
      <c r="K2" s="126">
        <f t="shared" ref="K2:K13" si="4">I2-J2</f>
        <v>-40</v>
      </c>
      <c r="L2" s="65"/>
      <c r="M2" s="66"/>
      <c r="N2" s="66"/>
      <c r="O2" s="66"/>
      <c r="P2" s="66"/>
      <c r="Q2" s="66"/>
      <c r="R2" s="66"/>
      <c r="S2" s="66"/>
      <c r="T2" s="78" t="s">
        <v>36</v>
      </c>
      <c r="U2" s="79">
        <v>50.0</v>
      </c>
      <c r="V2" s="80">
        <f t="shared" ref="V2:V13" si="5">U2-50</f>
        <v>0</v>
      </c>
      <c r="W2" s="66"/>
      <c r="X2" s="66"/>
      <c r="Y2" s="66"/>
    </row>
    <row r="3">
      <c r="A3" s="81" t="s">
        <v>37</v>
      </c>
      <c r="B3" s="143">
        <v>0.0</v>
      </c>
      <c r="C3" s="83">
        <f t="shared" si="1"/>
        <v>0</v>
      </c>
      <c r="D3" s="146">
        <v>0.0</v>
      </c>
      <c r="E3" s="146">
        <v>0.0</v>
      </c>
      <c r="F3" s="146">
        <v>0.0</v>
      </c>
      <c r="G3" s="146">
        <v>0.0</v>
      </c>
      <c r="H3" s="146">
        <v>230.0</v>
      </c>
      <c r="I3" s="149">
        <f t="shared" si="2"/>
        <v>230</v>
      </c>
      <c r="J3" s="151">
        <f t="shared" si="3"/>
        <v>50</v>
      </c>
      <c r="K3" s="149">
        <f t="shared" si="4"/>
        <v>180</v>
      </c>
      <c r="L3" s="65"/>
      <c r="M3" s="66"/>
      <c r="N3" s="66"/>
      <c r="O3" s="66"/>
      <c r="P3" s="66"/>
      <c r="Q3" s="66"/>
      <c r="R3" s="66"/>
      <c r="S3" s="66"/>
      <c r="T3" s="87" t="s">
        <v>37</v>
      </c>
      <c r="U3" s="88">
        <v>50.0</v>
      </c>
      <c r="V3" s="94">
        <f t="shared" si="5"/>
        <v>0</v>
      </c>
      <c r="W3" s="66"/>
      <c r="X3" s="66"/>
      <c r="Y3" s="66"/>
    </row>
    <row r="4">
      <c r="A4" s="90" t="s">
        <v>38</v>
      </c>
      <c r="B4" s="143">
        <v>1.0</v>
      </c>
      <c r="C4" s="83">
        <f t="shared" si="1"/>
        <v>10</v>
      </c>
      <c r="D4" s="146">
        <v>0.0</v>
      </c>
      <c r="E4" s="146">
        <v>0.0</v>
      </c>
      <c r="F4" s="146">
        <v>0.0</v>
      </c>
      <c r="G4" s="146">
        <v>0.0</v>
      </c>
      <c r="H4" s="146">
        <v>0.0</v>
      </c>
      <c r="I4" s="149">
        <f t="shared" si="2"/>
        <v>10</v>
      </c>
      <c r="J4" s="151">
        <f t="shared" si="3"/>
        <v>50</v>
      </c>
      <c r="K4" s="149">
        <f t="shared" si="4"/>
        <v>-40</v>
      </c>
      <c r="L4" s="65"/>
      <c r="M4" s="66"/>
      <c r="N4" s="66"/>
      <c r="O4" s="66"/>
      <c r="P4" s="66"/>
      <c r="Q4" s="66"/>
      <c r="R4" s="66"/>
      <c r="S4" s="66"/>
      <c r="T4" s="91" t="s">
        <v>38</v>
      </c>
      <c r="U4" s="88">
        <v>50.0</v>
      </c>
      <c r="V4" s="94">
        <f t="shared" si="5"/>
        <v>0</v>
      </c>
      <c r="W4" s="286"/>
      <c r="X4" s="66"/>
      <c r="Y4" s="66"/>
    </row>
    <row r="5">
      <c r="A5" s="90" t="s">
        <v>39</v>
      </c>
      <c r="B5" s="143">
        <v>1.0</v>
      </c>
      <c r="C5" s="83">
        <f t="shared" si="1"/>
        <v>10</v>
      </c>
      <c r="D5" s="146">
        <v>0.0</v>
      </c>
      <c r="E5" s="146">
        <v>0.0</v>
      </c>
      <c r="F5" s="146">
        <v>0.0</v>
      </c>
      <c r="G5" s="146">
        <v>100.0</v>
      </c>
      <c r="H5" s="146">
        <v>0.0</v>
      </c>
      <c r="I5" s="149">
        <f t="shared" si="2"/>
        <v>110</v>
      </c>
      <c r="J5" s="151">
        <f t="shared" si="3"/>
        <v>50</v>
      </c>
      <c r="K5" s="149">
        <f t="shared" si="4"/>
        <v>60</v>
      </c>
      <c r="L5" s="65"/>
      <c r="M5" s="66"/>
      <c r="N5" s="66"/>
      <c r="O5" s="66"/>
      <c r="P5" s="66"/>
      <c r="Q5" s="66"/>
      <c r="R5" s="66"/>
      <c r="S5" s="66"/>
      <c r="T5" s="91" t="s">
        <v>39</v>
      </c>
      <c r="U5" s="88">
        <v>50.0</v>
      </c>
      <c r="V5" s="94">
        <f t="shared" si="5"/>
        <v>0</v>
      </c>
      <c r="W5" s="66"/>
      <c r="X5" s="66"/>
      <c r="Y5" s="66"/>
    </row>
    <row r="6">
      <c r="A6" s="90" t="s">
        <v>48</v>
      </c>
      <c r="B6" s="143">
        <v>1.0</v>
      </c>
      <c r="C6" s="83">
        <f t="shared" si="1"/>
        <v>10</v>
      </c>
      <c r="D6" s="146">
        <v>25.0</v>
      </c>
      <c r="E6" s="146">
        <v>0.0</v>
      </c>
      <c r="F6" s="146">
        <v>0.0</v>
      </c>
      <c r="G6" s="146">
        <v>0.0</v>
      </c>
      <c r="H6" s="146">
        <v>0.0</v>
      </c>
      <c r="I6" s="149">
        <f t="shared" si="2"/>
        <v>35</v>
      </c>
      <c r="J6" s="151">
        <f t="shared" si="3"/>
        <v>50</v>
      </c>
      <c r="K6" s="149">
        <f t="shared" si="4"/>
        <v>-15</v>
      </c>
      <c r="L6" s="65"/>
      <c r="M6" s="66"/>
      <c r="N6" s="66"/>
      <c r="O6" s="66"/>
      <c r="P6" s="66"/>
      <c r="Q6" s="66"/>
      <c r="R6" s="66"/>
      <c r="S6" s="66"/>
      <c r="T6" s="91" t="s">
        <v>48</v>
      </c>
      <c r="U6" s="88">
        <v>50.0</v>
      </c>
      <c r="V6" s="94">
        <f t="shared" si="5"/>
        <v>0</v>
      </c>
      <c r="W6" s="66"/>
      <c r="X6" s="66"/>
      <c r="Y6" s="66"/>
    </row>
    <row r="7">
      <c r="A7" s="81" t="s">
        <v>50</v>
      </c>
      <c r="B7" s="143">
        <v>3.0</v>
      </c>
      <c r="C7" s="83">
        <f t="shared" si="1"/>
        <v>30</v>
      </c>
      <c r="D7" s="146">
        <v>0.0</v>
      </c>
      <c r="E7" s="146">
        <v>0.0</v>
      </c>
      <c r="F7" s="146">
        <v>75.0</v>
      </c>
      <c r="G7" s="146">
        <v>0.0</v>
      </c>
      <c r="H7" s="146">
        <v>0.0</v>
      </c>
      <c r="I7" s="149">
        <f t="shared" si="2"/>
        <v>105</v>
      </c>
      <c r="J7" s="151">
        <f t="shared" si="3"/>
        <v>50</v>
      </c>
      <c r="K7" s="149">
        <f t="shared" si="4"/>
        <v>55</v>
      </c>
      <c r="L7" s="65"/>
      <c r="M7" s="66"/>
      <c r="N7" s="66"/>
      <c r="O7" s="66"/>
      <c r="P7" s="66"/>
      <c r="Q7" s="66"/>
      <c r="R7" s="66"/>
      <c r="S7" s="66"/>
      <c r="T7" s="87" t="s">
        <v>50</v>
      </c>
      <c r="U7" s="88">
        <v>50.0</v>
      </c>
      <c r="V7" s="94">
        <f t="shared" si="5"/>
        <v>0</v>
      </c>
      <c r="W7" s="66"/>
      <c r="X7" s="66"/>
      <c r="Y7" s="66"/>
    </row>
    <row r="8">
      <c r="A8" s="90" t="s">
        <v>42</v>
      </c>
      <c r="B8" s="143">
        <v>2.0</v>
      </c>
      <c r="C8" s="83">
        <f t="shared" si="1"/>
        <v>20</v>
      </c>
      <c r="D8" s="146">
        <v>0.0</v>
      </c>
      <c r="E8" s="146">
        <v>0.0</v>
      </c>
      <c r="F8" s="146">
        <v>0.0</v>
      </c>
      <c r="G8" s="146">
        <v>0.0</v>
      </c>
      <c r="H8" s="146">
        <v>0.0</v>
      </c>
      <c r="I8" s="149">
        <f t="shared" si="2"/>
        <v>20</v>
      </c>
      <c r="J8" s="151">
        <f t="shared" si="3"/>
        <v>50</v>
      </c>
      <c r="K8" s="149">
        <f t="shared" si="4"/>
        <v>-30</v>
      </c>
      <c r="L8" s="65"/>
      <c r="M8" s="66"/>
      <c r="N8" s="66"/>
      <c r="O8" s="66"/>
      <c r="P8" s="66"/>
      <c r="Q8" s="66"/>
      <c r="R8" s="66"/>
      <c r="S8" s="66"/>
      <c r="T8" s="91" t="s">
        <v>42</v>
      </c>
      <c r="U8" s="88">
        <v>50.0</v>
      </c>
      <c r="V8" s="94">
        <f t="shared" si="5"/>
        <v>0</v>
      </c>
      <c r="W8" s="66"/>
      <c r="X8" s="66"/>
      <c r="Y8" s="66"/>
    </row>
    <row r="9">
      <c r="A9" s="90" t="s">
        <v>43</v>
      </c>
      <c r="B9" s="143">
        <v>0.0</v>
      </c>
      <c r="C9" s="83">
        <f t="shared" si="1"/>
        <v>0</v>
      </c>
      <c r="D9" s="146">
        <v>0.0</v>
      </c>
      <c r="E9" s="146">
        <v>25.0</v>
      </c>
      <c r="F9" s="146">
        <v>0.0</v>
      </c>
      <c r="G9" s="146">
        <v>0.0</v>
      </c>
      <c r="H9" s="146">
        <v>0.0</v>
      </c>
      <c r="I9" s="149">
        <f t="shared" si="2"/>
        <v>25</v>
      </c>
      <c r="J9" s="151">
        <f t="shared" si="3"/>
        <v>50</v>
      </c>
      <c r="K9" s="149">
        <f t="shared" si="4"/>
        <v>-25</v>
      </c>
      <c r="L9" s="65"/>
      <c r="M9" s="66"/>
      <c r="N9" s="66"/>
      <c r="O9" s="66"/>
      <c r="P9" s="66"/>
      <c r="Q9" s="66"/>
      <c r="R9" s="66"/>
      <c r="S9" s="66"/>
      <c r="T9" s="91" t="s">
        <v>43</v>
      </c>
      <c r="U9" s="88">
        <v>50.0</v>
      </c>
      <c r="V9" s="94">
        <f t="shared" si="5"/>
        <v>0</v>
      </c>
      <c r="W9" s="66"/>
      <c r="X9" s="66"/>
      <c r="Y9" s="66"/>
    </row>
    <row r="10">
      <c r="A10" s="90" t="s">
        <v>44</v>
      </c>
      <c r="B10" s="143">
        <v>0.0</v>
      </c>
      <c r="C10" s="83">
        <f t="shared" si="1"/>
        <v>0</v>
      </c>
      <c r="D10" s="146">
        <v>0.0</v>
      </c>
      <c r="E10" s="146">
        <v>0.0</v>
      </c>
      <c r="F10" s="146">
        <v>0.0</v>
      </c>
      <c r="G10" s="146">
        <v>0.0</v>
      </c>
      <c r="H10" s="146">
        <v>0.0</v>
      </c>
      <c r="I10" s="149">
        <f t="shared" si="2"/>
        <v>0</v>
      </c>
      <c r="J10" s="151">
        <f t="shared" si="3"/>
        <v>50</v>
      </c>
      <c r="K10" s="149">
        <f t="shared" si="4"/>
        <v>-50</v>
      </c>
      <c r="L10" s="65"/>
      <c r="M10" s="66"/>
      <c r="N10" s="66"/>
      <c r="O10" s="92"/>
      <c r="P10" s="66"/>
      <c r="Q10" s="66"/>
      <c r="R10" s="66"/>
      <c r="S10" s="66"/>
      <c r="T10" s="91" t="s">
        <v>44</v>
      </c>
      <c r="U10" s="88">
        <v>50.0</v>
      </c>
      <c r="V10" s="94">
        <f t="shared" si="5"/>
        <v>0</v>
      </c>
      <c r="W10" s="66"/>
      <c r="X10" s="66"/>
      <c r="Y10" s="66"/>
    </row>
    <row r="11">
      <c r="A11" s="90" t="s">
        <v>70</v>
      </c>
      <c r="B11" s="143">
        <v>2.0</v>
      </c>
      <c r="C11" s="83">
        <f t="shared" si="1"/>
        <v>20</v>
      </c>
      <c r="D11" s="146">
        <v>0.0</v>
      </c>
      <c r="E11" s="146">
        <v>0.0</v>
      </c>
      <c r="F11" s="146">
        <v>0.0</v>
      </c>
      <c r="G11" s="146">
        <v>0.0</v>
      </c>
      <c r="H11" s="146">
        <v>0.0</v>
      </c>
      <c r="I11" s="149">
        <f t="shared" si="2"/>
        <v>20</v>
      </c>
      <c r="J11" s="151">
        <f t="shared" si="3"/>
        <v>50</v>
      </c>
      <c r="K11" s="149">
        <f t="shared" si="4"/>
        <v>-30</v>
      </c>
      <c r="L11" s="65"/>
      <c r="M11" s="66"/>
      <c r="N11" s="66"/>
      <c r="O11" s="92"/>
      <c r="P11" s="66"/>
      <c r="Q11" s="66"/>
      <c r="R11" s="66"/>
      <c r="S11" s="66"/>
      <c r="T11" s="91" t="s">
        <v>70</v>
      </c>
      <c r="U11" s="88">
        <v>50.0</v>
      </c>
      <c r="V11" s="94">
        <f t="shared" si="5"/>
        <v>0</v>
      </c>
      <c r="W11" s="286"/>
      <c r="X11" s="66"/>
      <c r="Y11" s="66"/>
    </row>
    <row r="12">
      <c r="A12" s="81" t="s">
        <v>46</v>
      </c>
      <c r="B12" s="143">
        <v>1.0</v>
      </c>
      <c r="C12" s="83">
        <f t="shared" si="1"/>
        <v>10</v>
      </c>
      <c r="D12" s="146">
        <v>0.0</v>
      </c>
      <c r="E12" s="146">
        <v>0.0</v>
      </c>
      <c r="F12" s="146">
        <v>0.0</v>
      </c>
      <c r="G12" s="146">
        <v>0.0</v>
      </c>
      <c r="H12" s="146">
        <v>0.0</v>
      </c>
      <c r="I12" s="149">
        <f t="shared" si="2"/>
        <v>10</v>
      </c>
      <c r="J12" s="151">
        <f t="shared" si="3"/>
        <v>50</v>
      </c>
      <c r="K12" s="149">
        <f t="shared" si="4"/>
        <v>-40</v>
      </c>
      <c r="L12" s="65"/>
      <c r="M12" s="66"/>
      <c r="N12" s="66"/>
      <c r="O12" s="92"/>
      <c r="P12" s="66"/>
      <c r="Q12" s="66"/>
      <c r="R12" s="66"/>
      <c r="S12" s="66"/>
      <c r="T12" s="87" t="s">
        <v>46</v>
      </c>
      <c r="U12" s="88">
        <v>50.0</v>
      </c>
      <c r="V12" s="94">
        <f t="shared" si="5"/>
        <v>0</v>
      </c>
      <c r="W12" s="66"/>
      <c r="X12" s="66"/>
      <c r="Y12" s="66"/>
    </row>
    <row r="13">
      <c r="A13" s="180" t="s">
        <v>49</v>
      </c>
      <c r="B13" s="181">
        <v>2.0</v>
      </c>
      <c r="C13" s="98">
        <f t="shared" si="1"/>
        <v>20</v>
      </c>
      <c r="D13" s="183">
        <v>0.0</v>
      </c>
      <c r="E13" s="183">
        <v>0.0</v>
      </c>
      <c r="F13" s="183">
        <v>0.0</v>
      </c>
      <c r="G13" s="183">
        <v>0.0</v>
      </c>
      <c r="H13" s="183">
        <v>0.0</v>
      </c>
      <c r="I13" s="186">
        <f t="shared" si="2"/>
        <v>20</v>
      </c>
      <c r="J13" s="187">
        <f t="shared" si="3"/>
        <v>50</v>
      </c>
      <c r="K13" s="186">
        <f t="shared" si="4"/>
        <v>-30</v>
      </c>
      <c r="L13" s="65"/>
      <c r="M13" s="66"/>
      <c r="N13" s="66"/>
      <c r="O13" s="92"/>
      <c r="P13" s="66"/>
      <c r="Q13" s="66"/>
      <c r="R13" s="66"/>
      <c r="S13" s="66"/>
      <c r="T13" s="189" t="s">
        <v>49</v>
      </c>
      <c r="U13" s="106">
        <v>50.0</v>
      </c>
      <c r="V13" s="107">
        <f t="shared" si="5"/>
        <v>0</v>
      </c>
      <c r="W13" s="66"/>
      <c r="X13" s="66"/>
      <c r="Y13" s="66"/>
    </row>
    <row r="14">
      <c r="A14" s="108"/>
      <c r="B14" s="108"/>
      <c r="C14" s="109">
        <f t="shared" ref="C14:K14" si="6">SUM(C2:C13)</f>
        <v>140</v>
      </c>
      <c r="D14" s="195">
        <f t="shared" si="6"/>
        <v>25</v>
      </c>
      <c r="E14" s="195">
        <f t="shared" si="6"/>
        <v>25</v>
      </c>
      <c r="F14" s="195">
        <f t="shared" si="6"/>
        <v>75</v>
      </c>
      <c r="G14" s="198">
        <f t="shared" si="6"/>
        <v>100</v>
      </c>
      <c r="H14" s="198">
        <f t="shared" si="6"/>
        <v>230</v>
      </c>
      <c r="I14" s="198">
        <f t="shared" si="6"/>
        <v>595</v>
      </c>
      <c r="J14" s="198">
        <f t="shared" si="6"/>
        <v>600</v>
      </c>
      <c r="K14" s="202">
        <f t="shared" si="6"/>
        <v>-5</v>
      </c>
      <c r="L14" s="65"/>
      <c r="M14" s="66"/>
      <c r="N14" s="66"/>
      <c r="O14" s="115"/>
      <c r="P14" s="66"/>
      <c r="Q14" s="66"/>
      <c r="R14" s="66"/>
      <c r="S14" s="66"/>
      <c r="T14" s="116" t="s">
        <v>93</v>
      </c>
      <c r="U14" s="118">
        <f t="shared" ref="U14:V14" si="7">SUM(U2:U13)</f>
        <v>600</v>
      </c>
      <c r="V14" s="119">
        <f t="shared" si="7"/>
        <v>0</v>
      </c>
      <c r="W14" s="66"/>
      <c r="X14" s="66"/>
      <c r="Y14" s="66"/>
    </row>
    <row r="15">
      <c r="A15" s="108"/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65"/>
      <c r="M15" s="66"/>
      <c r="N15" s="66"/>
      <c r="O15" s="115"/>
      <c r="P15" s="66"/>
      <c r="Q15" s="66"/>
      <c r="R15" s="66"/>
      <c r="S15" s="66"/>
      <c r="T15" s="122"/>
      <c r="U15" s="123"/>
      <c r="V15" s="123"/>
      <c r="W15" s="66"/>
      <c r="X15" s="66"/>
      <c r="Y15" s="66"/>
    </row>
    <row r="16">
      <c r="A16" s="124" t="s">
        <v>94</v>
      </c>
      <c r="B16" s="125" t="s">
        <v>0</v>
      </c>
      <c r="C16" s="125" t="s">
        <v>95</v>
      </c>
      <c r="D16" s="125" t="s">
        <v>86</v>
      </c>
      <c r="E16" s="127" t="s">
        <v>96</v>
      </c>
      <c r="F16" s="128"/>
      <c r="G16" s="66"/>
      <c r="H16" s="108"/>
      <c r="I16" s="108"/>
      <c r="J16" s="108"/>
      <c r="K16" s="130"/>
      <c r="L16" s="131"/>
      <c r="M16" s="66"/>
      <c r="N16" s="66"/>
      <c r="O16" s="92"/>
      <c r="P16" s="66"/>
      <c r="Q16" s="66"/>
      <c r="R16" s="66"/>
      <c r="S16" s="66"/>
      <c r="T16" s="122"/>
      <c r="U16" s="123"/>
      <c r="V16" s="123"/>
      <c r="W16" s="66"/>
      <c r="X16" s="66"/>
      <c r="Y16" s="66"/>
    </row>
    <row r="17">
      <c r="A17" s="132" t="s">
        <v>97</v>
      </c>
      <c r="B17" s="288" t="s">
        <v>50</v>
      </c>
      <c r="C17" s="134">
        <v>10.0</v>
      </c>
      <c r="D17" s="219" t="s">
        <v>98</v>
      </c>
      <c r="E17" s="221">
        <v>128.44</v>
      </c>
      <c r="F17" s="289"/>
      <c r="G17" s="138"/>
      <c r="H17" s="139"/>
      <c r="I17" s="108"/>
      <c r="J17" s="108"/>
      <c r="K17" s="130"/>
      <c r="L17" s="131"/>
      <c r="M17" s="66"/>
      <c r="N17" s="66"/>
      <c r="O17" s="92"/>
      <c r="P17" s="66"/>
      <c r="Q17" s="66"/>
      <c r="R17" s="66"/>
      <c r="S17" s="66"/>
      <c r="T17" s="122"/>
      <c r="U17" s="123"/>
      <c r="V17" s="123"/>
      <c r="W17" s="66"/>
      <c r="X17" s="66"/>
      <c r="Y17" s="66"/>
    </row>
    <row r="18">
      <c r="A18" s="140" t="s">
        <v>100</v>
      </c>
      <c r="B18" s="218" t="s">
        <v>49</v>
      </c>
      <c r="C18" s="134">
        <v>10.0</v>
      </c>
      <c r="D18" s="226" t="s">
        <v>98</v>
      </c>
      <c r="E18" s="227">
        <v>152.3</v>
      </c>
      <c r="F18" s="144"/>
      <c r="G18" s="145"/>
      <c r="H18" s="139"/>
      <c r="I18" s="108"/>
      <c r="J18" s="108"/>
      <c r="K18" s="130"/>
      <c r="L18" s="131"/>
      <c r="M18" s="66"/>
      <c r="N18" s="66"/>
      <c r="O18" s="66"/>
      <c r="P18" s="66"/>
      <c r="Q18" s="66"/>
      <c r="R18" s="66"/>
      <c r="S18" s="66"/>
      <c r="T18" s="122"/>
      <c r="U18" s="123"/>
      <c r="V18" s="123"/>
      <c r="W18" s="66"/>
      <c r="X18" s="66"/>
      <c r="Y18" s="66"/>
    </row>
    <row r="19">
      <c r="A19" s="140" t="s">
        <v>101</v>
      </c>
      <c r="B19" s="218" t="s">
        <v>36</v>
      </c>
      <c r="C19" s="134">
        <v>10.0</v>
      </c>
      <c r="D19" s="226" t="s">
        <v>98</v>
      </c>
      <c r="E19" s="227">
        <v>129.72</v>
      </c>
      <c r="F19" s="144"/>
      <c r="G19" s="145"/>
      <c r="H19" s="139"/>
      <c r="I19" s="108"/>
      <c r="J19" s="108"/>
      <c r="K19" s="130"/>
      <c r="L19" s="147" t="s">
        <v>102</v>
      </c>
      <c r="M19" s="148" t="s">
        <v>103</v>
      </c>
      <c r="N19" s="150" t="s">
        <v>104</v>
      </c>
      <c r="O19" s="150" t="s">
        <v>105</v>
      </c>
      <c r="P19" s="150" t="s">
        <v>106</v>
      </c>
      <c r="Q19" s="150" t="s">
        <v>107</v>
      </c>
      <c r="R19" s="150" t="s">
        <v>108</v>
      </c>
      <c r="S19" s="150" t="s">
        <v>109</v>
      </c>
      <c r="T19" s="152" t="s">
        <v>110</v>
      </c>
      <c r="U19" s="123"/>
      <c r="V19" s="123"/>
      <c r="W19" s="66"/>
      <c r="X19" s="66"/>
      <c r="Y19" s="66"/>
    </row>
    <row r="20">
      <c r="A20" s="140" t="s">
        <v>111</v>
      </c>
      <c r="B20" s="218" t="s">
        <v>49</v>
      </c>
      <c r="C20" s="134">
        <v>10.0</v>
      </c>
      <c r="D20" s="226" t="s">
        <v>156</v>
      </c>
      <c r="E20" s="227">
        <v>130.92</v>
      </c>
      <c r="F20" s="168" t="s">
        <v>167</v>
      </c>
      <c r="G20" s="145"/>
      <c r="H20" s="139"/>
      <c r="I20" s="108"/>
      <c r="J20" s="108"/>
      <c r="K20" s="130"/>
      <c r="L20" s="155">
        <v>1.0</v>
      </c>
      <c r="M20" s="238" t="s">
        <v>123</v>
      </c>
      <c r="N20" s="245">
        <v>12.0</v>
      </c>
      <c r="O20" s="245">
        <v>2.0</v>
      </c>
      <c r="P20" s="245">
        <v>0.0</v>
      </c>
      <c r="Q20" s="254">
        <v>0.0</v>
      </c>
      <c r="R20" s="245">
        <v>1484.26</v>
      </c>
      <c r="S20" s="245">
        <v>1159.52</v>
      </c>
      <c r="T20" s="164">
        <f>R20-R25</f>
        <v>139.22</v>
      </c>
      <c r="U20" s="123"/>
      <c r="V20" s="123"/>
      <c r="W20" s="66"/>
      <c r="X20" s="66"/>
      <c r="Y20" s="66"/>
    </row>
    <row r="21">
      <c r="A21" s="140" t="s">
        <v>113</v>
      </c>
      <c r="B21" s="218" t="s">
        <v>42</v>
      </c>
      <c r="C21" s="134">
        <v>10.0</v>
      </c>
      <c r="D21" s="226" t="s">
        <v>156</v>
      </c>
      <c r="E21" s="227">
        <v>150.28</v>
      </c>
      <c r="F21" s="168" t="s">
        <v>167</v>
      </c>
      <c r="G21" s="145"/>
      <c r="H21" s="139"/>
      <c r="I21" s="108"/>
      <c r="J21" s="108"/>
      <c r="K21" s="130"/>
      <c r="L21" s="161">
        <v>2.0</v>
      </c>
      <c r="M21" s="238" t="s">
        <v>169</v>
      </c>
      <c r="N21" s="245">
        <v>9.0</v>
      </c>
      <c r="O21" s="245">
        <v>5.0</v>
      </c>
      <c r="P21" s="245">
        <v>0.0</v>
      </c>
      <c r="Q21" s="254">
        <v>3.0</v>
      </c>
      <c r="R21" s="245">
        <v>1281.84</v>
      </c>
      <c r="S21" s="290">
        <v>1236.6</v>
      </c>
      <c r="T21" s="163">
        <f>R21-R25</f>
        <v>-63.2</v>
      </c>
      <c r="U21" s="123"/>
      <c r="V21" s="123"/>
      <c r="W21" s="66"/>
      <c r="X21" s="66"/>
      <c r="Y21" s="66"/>
    </row>
    <row r="22">
      <c r="A22" s="140" t="s">
        <v>116</v>
      </c>
      <c r="B22" s="218" t="s">
        <v>70</v>
      </c>
      <c r="C22" s="134">
        <v>10.0</v>
      </c>
      <c r="D22" s="226" t="s">
        <v>98</v>
      </c>
      <c r="E22" s="227">
        <v>135.32</v>
      </c>
      <c r="F22" s="144"/>
      <c r="G22" s="145"/>
      <c r="H22" s="139"/>
      <c r="I22" s="108"/>
      <c r="J22" s="108"/>
      <c r="K22" s="130"/>
      <c r="L22" s="161">
        <v>3.0</v>
      </c>
      <c r="M22" s="238" t="s">
        <v>170</v>
      </c>
      <c r="N22" s="245">
        <v>7.0</v>
      </c>
      <c r="O22" s="245">
        <v>7.0</v>
      </c>
      <c r="P22" s="245">
        <v>0.0</v>
      </c>
      <c r="Q22" s="254">
        <v>5.0</v>
      </c>
      <c r="R22" s="245">
        <v>1248.68</v>
      </c>
      <c r="S22" s="245">
        <v>1297.64</v>
      </c>
      <c r="T22" s="164">
        <f>R22-R25</f>
        <v>-96.36</v>
      </c>
      <c r="U22" s="123"/>
      <c r="V22" s="123"/>
      <c r="W22" s="66"/>
      <c r="X22" s="66"/>
      <c r="Y22" s="66"/>
    </row>
    <row r="23">
      <c r="A23" s="140" t="s">
        <v>118</v>
      </c>
      <c r="B23" s="218" t="s">
        <v>39</v>
      </c>
      <c r="C23" s="134">
        <v>10.0</v>
      </c>
      <c r="D23" s="226" t="s">
        <v>98</v>
      </c>
      <c r="E23" s="227">
        <v>134.84</v>
      </c>
      <c r="F23" s="144"/>
      <c r="G23" s="145"/>
      <c r="H23" s="139"/>
      <c r="I23" s="108"/>
      <c r="J23" s="108"/>
      <c r="K23" s="130"/>
      <c r="L23" s="161">
        <v>4.0</v>
      </c>
      <c r="M23" s="238" t="s">
        <v>171</v>
      </c>
      <c r="N23" s="245">
        <v>9.0</v>
      </c>
      <c r="O23" s="245">
        <v>5.0</v>
      </c>
      <c r="P23" s="245">
        <v>0.0</v>
      </c>
      <c r="Q23" s="254">
        <v>3.0</v>
      </c>
      <c r="R23" s="245">
        <v>1520.56</v>
      </c>
      <c r="S23" s="245">
        <v>1467.82</v>
      </c>
      <c r="T23" s="164">
        <f>R23-R25</f>
        <v>175.52</v>
      </c>
      <c r="U23" s="123"/>
      <c r="V23" s="123"/>
      <c r="W23" s="66"/>
      <c r="X23" s="66"/>
      <c r="Y23" s="66"/>
    </row>
    <row r="24">
      <c r="A24" s="140" t="s">
        <v>120</v>
      </c>
      <c r="B24" s="218" t="s">
        <v>38</v>
      </c>
      <c r="C24" s="134">
        <v>10.0</v>
      </c>
      <c r="D24" s="226" t="s">
        <v>156</v>
      </c>
      <c r="E24" s="227">
        <v>130.44</v>
      </c>
      <c r="F24" s="168" t="s">
        <v>167</v>
      </c>
      <c r="G24" s="145"/>
      <c r="H24" s="139"/>
      <c r="I24" s="108"/>
      <c r="J24" s="108"/>
      <c r="K24" s="130"/>
      <c r="L24" s="169">
        <v>5.0</v>
      </c>
      <c r="M24" s="238" t="s">
        <v>152</v>
      </c>
      <c r="N24" s="255">
        <v>7.0</v>
      </c>
      <c r="O24" s="255">
        <v>7.0</v>
      </c>
      <c r="P24" s="256">
        <v>0.0</v>
      </c>
      <c r="Q24" s="254">
        <v>5.0</v>
      </c>
      <c r="R24" s="290">
        <v>1381.46</v>
      </c>
      <c r="S24" s="290">
        <v>1250.08</v>
      </c>
      <c r="T24" s="163">
        <f>R24-R25</f>
        <v>36.42</v>
      </c>
      <c r="U24" s="123"/>
      <c r="V24" s="123"/>
      <c r="W24" s="66"/>
      <c r="X24" s="66"/>
      <c r="Y24" s="66"/>
    </row>
    <row r="25">
      <c r="A25" s="140" t="s">
        <v>122</v>
      </c>
      <c r="B25" s="218" t="s">
        <v>42</v>
      </c>
      <c r="C25" s="134">
        <v>10.0</v>
      </c>
      <c r="D25" s="226" t="s">
        <v>156</v>
      </c>
      <c r="E25" s="227">
        <v>102.84</v>
      </c>
      <c r="F25" s="168" t="s">
        <v>167</v>
      </c>
      <c r="G25" s="145"/>
      <c r="H25" s="139"/>
      <c r="I25" s="108"/>
      <c r="J25" s="108"/>
      <c r="K25" s="130"/>
      <c r="L25" s="291">
        <v>6.0</v>
      </c>
      <c r="M25" s="292" t="s">
        <v>172</v>
      </c>
      <c r="N25" s="293">
        <v>5.0</v>
      </c>
      <c r="O25" s="293">
        <v>9.0</v>
      </c>
      <c r="P25" s="294">
        <v>0.0</v>
      </c>
      <c r="Q25" s="295">
        <v>7.0</v>
      </c>
      <c r="R25" s="296">
        <v>1345.04</v>
      </c>
      <c r="S25" s="296">
        <v>1386.48</v>
      </c>
      <c r="T25" s="297">
        <f>R25-R25</f>
        <v>0</v>
      </c>
      <c r="U25" s="123"/>
      <c r="V25" s="123"/>
      <c r="W25" s="66"/>
      <c r="X25" s="66"/>
      <c r="Y25" s="66"/>
    </row>
    <row r="26">
      <c r="A26" s="140" t="s">
        <v>124</v>
      </c>
      <c r="B26" s="218" t="s">
        <v>50</v>
      </c>
      <c r="C26" s="134">
        <v>10.0</v>
      </c>
      <c r="D26" s="226" t="s">
        <v>156</v>
      </c>
      <c r="E26" s="227">
        <v>118.02</v>
      </c>
      <c r="F26" s="168" t="s">
        <v>167</v>
      </c>
      <c r="G26" s="145"/>
      <c r="H26" s="139"/>
      <c r="I26" s="108"/>
      <c r="J26" s="108"/>
      <c r="K26" s="130"/>
      <c r="L26" s="298">
        <v>7.0</v>
      </c>
      <c r="M26" s="299" t="s">
        <v>119</v>
      </c>
      <c r="N26" s="300">
        <v>6.0</v>
      </c>
      <c r="O26" s="300">
        <v>8.0</v>
      </c>
      <c r="P26" s="300">
        <v>0.0</v>
      </c>
      <c r="Q26" s="301">
        <v>6.0</v>
      </c>
      <c r="R26" s="300">
        <v>1325.52</v>
      </c>
      <c r="S26" s="300">
        <v>1399.4</v>
      </c>
      <c r="T26" s="302">
        <f>R25-R26</f>
        <v>19.52</v>
      </c>
      <c r="U26" s="123"/>
      <c r="V26" s="123"/>
      <c r="W26" s="66"/>
      <c r="X26" s="66"/>
      <c r="Y26" s="66"/>
    </row>
    <row r="27">
      <c r="A27" s="140" t="s">
        <v>126</v>
      </c>
      <c r="B27" s="218" t="s">
        <v>50</v>
      </c>
      <c r="C27" s="134">
        <v>10.0</v>
      </c>
      <c r="D27" s="226" t="s">
        <v>98</v>
      </c>
      <c r="E27" s="227">
        <v>152.34</v>
      </c>
      <c r="F27" s="168"/>
      <c r="G27" s="145"/>
      <c r="H27" s="139"/>
      <c r="I27" s="108"/>
      <c r="J27" s="108"/>
      <c r="K27" s="130"/>
      <c r="L27" s="173">
        <v>8.0</v>
      </c>
      <c r="M27" s="299" t="s">
        <v>174</v>
      </c>
      <c r="N27" s="300">
        <v>6.0</v>
      </c>
      <c r="O27" s="300">
        <v>8.0</v>
      </c>
      <c r="P27" s="300">
        <v>0.0</v>
      </c>
      <c r="Q27" s="301">
        <v>6.0</v>
      </c>
      <c r="R27" s="300">
        <v>1303.04</v>
      </c>
      <c r="S27" s="300">
        <v>1424.2</v>
      </c>
      <c r="T27" s="302">
        <f>R25-R27</f>
        <v>42</v>
      </c>
      <c r="U27" s="123"/>
      <c r="V27" s="123"/>
      <c r="W27" s="66"/>
      <c r="X27" s="66"/>
      <c r="Y27" s="66"/>
    </row>
    <row r="28">
      <c r="A28" s="140" t="s">
        <v>129</v>
      </c>
      <c r="B28" s="218" t="s">
        <v>48</v>
      </c>
      <c r="C28" s="134">
        <v>10.0</v>
      </c>
      <c r="D28" s="226" t="s">
        <v>156</v>
      </c>
      <c r="E28" s="227">
        <v>130.28</v>
      </c>
      <c r="F28" s="168" t="s">
        <v>167</v>
      </c>
      <c r="G28" s="145"/>
      <c r="H28" s="139"/>
      <c r="I28" s="108"/>
      <c r="J28" s="108"/>
      <c r="K28" s="130"/>
      <c r="L28" s="303">
        <v>9.0</v>
      </c>
      <c r="M28" s="299" t="s">
        <v>175</v>
      </c>
      <c r="N28" s="300">
        <v>5.0</v>
      </c>
      <c r="O28" s="300">
        <v>9.0</v>
      </c>
      <c r="P28" s="300">
        <v>0.0</v>
      </c>
      <c r="Q28" s="301">
        <v>7.0</v>
      </c>
      <c r="R28" s="300">
        <v>1295.22</v>
      </c>
      <c r="S28" s="300">
        <v>1429.98</v>
      </c>
      <c r="T28" s="302">
        <f>R25-R28</f>
        <v>49.82</v>
      </c>
      <c r="U28" s="123"/>
      <c r="V28" s="123"/>
      <c r="W28" s="66"/>
      <c r="X28" s="66"/>
      <c r="Y28" s="66"/>
    </row>
    <row r="29">
      <c r="A29" s="266" t="s">
        <v>131</v>
      </c>
      <c r="B29" s="218" t="s">
        <v>46</v>
      </c>
      <c r="C29" s="134">
        <v>10.0</v>
      </c>
      <c r="D29" s="226" t="s">
        <v>98</v>
      </c>
      <c r="E29" s="227">
        <v>126.98</v>
      </c>
      <c r="F29" s="184"/>
      <c r="G29" s="185"/>
      <c r="H29" s="139"/>
      <c r="I29" s="108"/>
      <c r="J29" s="108"/>
      <c r="K29" s="130"/>
      <c r="L29" s="173">
        <v>10.0</v>
      </c>
      <c r="M29" s="299" t="s">
        <v>177</v>
      </c>
      <c r="N29" s="300">
        <v>6.0</v>
      </c>
      <c r="O29" s="300">
        <v>8.0</v>
      </c>
      <c r="P29" s="300">
        <v>0.0</v>
      </c>
      <c r="Q29" s="301">
        <v>6.0</v>
      </c>
      <c r="R29" s="300">
        <v>1293.2</v>
      </c>
      <c r="S29" s="300">
        <v>1319.99</v>
      </c>
      <c r="T29" s="302">
        <f>R25-R29</f>
        <v>51.84</v>
      </c>
      <c r="U29" s="66"/>
      <c r="V29" s="66"/>
      <c r="W29" s="66"/>
      <c r="X29" s="66"/>
      <c r="Y29" s="66"/>
    </row>
    <row r="30">
      <c r="A30" s="269" t="s">
        <v>133</v>
      </c>
      <c r="B30" s="270" t="s">
        <v>70</v>
      </c>
      <c r="C30" s="191">
        <v>10.0</v>
      </c>
      <c r="D30" s="271" t="s">
        <v>98</v>
      </c>
      <c r="E30" s="272">
        <v>132.82</v>
      </c>
      <c r="F30" s="194"/>
      <c r="G30" s="139"/>
      <c r="H30" s="139"/>
      <c r="I30" s="108"/>
      <c r="J30" s="108"/>
      <c r="K30" s="130"/>
      <c r="L30" s="196">
        <v>11.0</v>
      </c>
      <c r="M30" s="305" t="s">
        <v>178</v>
      </c>
      <c r="N30" s="273">
        <v>7.0</v>
      </c>
      <c r="O30" s="273">
        <v>7.0</v>
      </c>
      <c r="P30" s="273">
        <v>0.0</v>
      </c>
      <c r="Q30" s="274">
        <v>5.0</v>
      </c>
      <c r="R30" s="273">
        <v>1269.24</v>
      </c>
      <c r="S30" s="273">
        <v>1315.14</v>
      </c>
      <c r="T30" s="302">
        <f>R25-R30</f>
        <v>75.8</v>
      </c>
      <c r="U30" s="66"/>
      <c r="V30" s="66"/>
      <c r="W30" s="66"/>
      <c r="X30" s="66"/>
      <c r="Y30" s="66"/>
    </row>
    <row r="31">
      <c r="A31" s="203" t="s">
        <v>154</v>
      </c>
      <c r="B31" s="218" t="s">
        <v>179</v>
      </c>
      <c r="C31" s="134">
        <v>5.0</v>
      </c>
      <c r="D31" s="265"/>
      <c r="E31" s="304"/>
      <c r="F31" s="194"/>
      <c r="G31" s="139"/>
      <c r="H31" s="205"/>
      <c r="I31" s="108"/>
      <c r="J31" s="108"/>
      <c r="K31" s="130"/>
      <c r="L31" s="206">
        <v>12.0</v>
      </c>
      <c r="M31" s="309" t="s">
        <v>137</v>
      </c>
      <c r="N31" s="277">
        <v>5.0</v>
      </c>
      <c r="O31" s="277">
        <v>9.0</v>
      </c>
      <c r="P31" s="277">
        <v>0.0</v>
      </c>
      <c r="Q31" s="278">
        <v>7.0</v>
      </c>
      <c r="R31" s="277">
        <v>1206.64</v>
      </c>
      <c r="S31" s="277">
        <v>1328.5</v>
      </c>
      <c r="T31" s="302">
        <f>R25-R31</f>
        <v>138.4</v>
      </c>
      <c r="U31" s="66"/>
      <c r="V31" s="66"/>
      <c r="W31" s="66"/>
      <c r="X31" s="66"/>
      <c r="Y31" s="66"/>
    </row>
    <row r="32">
      <c r="A32" s="213" t="s">
        <v>157</v>
      </c>
      <c r="B32" s="218" t="s">
        <v>48</v>
      </c>
      <c r="C32" s="134">
        <v>25.0</v>
      </c>
      <c r="D32" s="226" t="s">
        <v>98</v>
      </c>
      <c r="E32" s="227">
        <v>100.72</v>
      </c>
      <c r="F32" s="194"/>
      <c r="G32" s="139"/>
      <c r="H32" s="205"/>
      <c r="I32" s="108"/>
      <c r="J32" s="215"/>
      <c r="K32" s="130"/>
      <c r="L32" s="313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</row>
    <row r="33">
      <c r="A33" s="213" t="s">
        <v>90</v>
      </c>
      <c r="B33" s="218" t="s">
        <v>43</v>
      </c>
      <c r="C33" s="134">
        <v>25.0</v>
      </c>
      <c r="D33" s="226" t="s">
        <v>98</v>
      </c>
      <c r="E33" s="227">
        <v>101.06</v>
      </c>
      <c r="F33" s="194"/>
      <c r="G33" s="139"/>
      <c r="H33" s="205"/>
      <c r="I33" s="108"/>
      <c r="J33" s="215"/>
      <c r="K33" s="215"/>
      <c r="L33" s="220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</row>
    <row r="34">
      <c r="A34" s="213" t="s">
        <v>78</v>
      </c>
      <c r="B34" s="218" t="s">
        <v>50</v>
      </c>
      <c r="C34" s="134">
        <v>75.0</v>
      </c>
      <c r="D34" s="226" t="s">
        <v>98</v>
      </c>
      <c r="E34" s="227">
        <v>113.56</v>
      </c>
      <c r="F34" s="194"/>
      <c r="G34" s="139"/>
      <c r="H34" s="108"/>
      <c r="I34" s="108"/>
      <c r="J34" s="108"/>
      <c r="K34" s="215"/>
      <c r="L34" s="220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</row>
    <row r="35">
      <c r="A35" s="222" t="s">
        <v>79</v>
      </c>
      <c r="B35" s="218" t="s">
        <v>39</v>
      </c>
      <c r="C35" s="134">
        <v>100.0</v>
      </c>
      <c r="D35" s="226" t="s">
        <v>98</v>
      </c>
      <c r="E35" s="227">
        <v>93.66</v>
      </c>
      <c r="F35" s="223"/>
      <c r="G35" s="224"/>
      <c r="H35" s="108"/>
      <c r="I35" s="108"/>
      <c r="J35" s="108"/>
      <c r="K35" s="215"/>
      <c r="L35" s="225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</row>
    <row r="36">
      <c r="A36" s="213" t="s">
        <v>140</v>
      </c>
      <c r="B36" s="218" t="s">
        <v>68</v>
      </c>
      <c r="C36" s="282">
        <v>230.0</v>
      </c>
      <c r="D36" s="226" t="s">
        <v>98</v>
      </c>
      <c r="E36" s="218">
        <v>140.9</v>
      </c>
      <c r="F36" s="223"/>
      <c r="G36" s="224"/>
      <c r="H36" s="65"/>
      <c r="I36" s="65"/>
      <c r="J36" s="231"/>
      <c r="K36" s="131"/>
      <c r="L36" s="65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</row>
    <row r="37">
      <c r="A37" s="283"/>
      <c r="B37" s="284"/>
      <c r="C37" s="285">
        <f>SUM(C17:C36)</f>
        <v>600</v>
      </c>
      <c r="D37" s="284"/>
      <c r="E37" s="223"/>
      <c r="F37" s="233"/>
      <c r="G37" s="234"/>
      <c r="H37" s="65"/>
      <c r="I37" s="65"/>
      <c r="J37" s="65"/>
      <c r="K37" s="131"/>
      <c r="L37" s="65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</row>
    <row r="38">
      <c r="A38" s="242"/>
      <c r="B38" s="244"/>
      <c r="C38" s="246"/>
      <c r="D38" s="244"/>
      <c r="E38" s="233"/>
      <c r="F38" s="233"/>
      <c r="G38" s="234"/>
      <c r="H38" s="65"/>
      <c r="I38" s="65"/>
      <c r="J38" s="65"/>
      <c r="K38" s="131"/>
      <c r="L38" s="65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</row>
    <row r="39">
      <c r="A39" s="242"/>
      <c r="B39" s="244"/>
      <c r="C39" s="246"/>
      <c r="D39" s="244"/>
      <c r="E39" s="233"/>
      <c r="F39" s="233"/>
      <c r="G39" s="234"/>
      <c r="H39" s="65"/>
      <c r="I39" s="65"/>
      <c r="J39" s="65"/>
      <c r="K39" s="131"/>
      <c r="L39" s="65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</row>
    <row r="40">
      <c r="A40" s="242"/>
      <c r="B40" s="244"/>
      <c r="C40" s="246"/>
      <c r="D40" s="244"/>
      <c r="E40" s="233"/>
      <c r="F40" s="233"/>
      <c r="G40" s="234"/>
      <c r="H40" s="65"/>
      <c r="I40" s="65"/>
      <c r="J40" s="65"/>
      <c r="K40" s="131"/>
      <c r="L40" s="65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</row>
    <row r="41">
      <c r="A41" s="247"/>
      <c r="B41" s="248"/>
      <c r="C41" s="249"/>
      <c r="D41" s="248"/>
      <c r="E41" s="250"/>
      <c r="F41" s="250"/>
      <c r="G41" s="251"/>
      <c r="H41" s="65"/>
      <c r="I41" s="65"/>
      <c r="J41" s="65"/>
      <c r="K41" s="131"/>
      <c r="L41" s="65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</row>
    <row r="42">
      <c r="A42" s="131"/>
      <c r="B42" s="131"/>
      <c r="C42" s="252"/>
      <c r="D42" s="131"/>
      <c r="E42" s="65"/>
      <c r="F42" s="65"/>
      <c r="G42" s="65"/>
      <c r="H42" s="65"/>
      <c r="I42" s="65"/>
      <c r="J42" s="65"/>
      <c r="K42" s="131"/>
      <c r="L42" s="65"/>
      <c r="M42" s="66"/>
      <c r="N42" s="66"/>
      <c r="O42" s="66"/>
      <c r="P42" s="66"/>
      <c r="Q42" s="66"/>
      <c r="R42" s="66"/>
      <c r="S42" s="66"/>
      <c r="T42" s="122"/>
      <c r="U42" s="123"/>
      <c r="V42" s="123"/>
      <c r="W42" s="66"/>
      <c r="X42" s="66"/>
      <c r="Y42" s="6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9.88"/>
    <col customWidth="1" min="3" max="3" width="10.88"/>
    <col customWidth="1" min="4" max="4" width="7.75"/>
    <col customWidth="1" min="5" max="5" width="9.38"/>
    <col customWidth="1" min="6" max="6" width="7.25"/>
    <col customWidth="1" min="7" max="7" width="6.75"/>
    <col customWidth="1" min="8" max="8" width="6.63"/>
    <col customWidth="1" min="9" max="9" width="7.38"/>
    <col customWidth="1" min="10" max="10" width="8.63"/>
    <col customWidth="1" min="11" max="11" width="7.0"/>
    <col customWidth="1" min="12" max="12" width="5.13"/>
    <col customWidth="1" min="13" max="13" width="18.0"/>
    <col customWidth="1" min="14" max="14" width="5.0"/>
    <col customWidth="1" min="15" max="15" width="4.5"/>
    <col customWidth="1" min="16" max="16" width="4.88"/>
    <col customWidth="1" min="17" max="17" width="5.38"/>
    <col customWidth="1" min="18" max="19" width="7.0"/>
    <col customWidth="1" min="20" max="20" width="9.25"/>
    <col customWidth="1" min="21" max="21" width="7.25"/>
    <col customWidth="1" min="22" max="22" width="7.38"/>
    <col customWidth="1" min="23" max="23" width="7.0"/>
    <col customWidth="1" min="24" max="24" width="9.0"/>
  </cols>
  <sheetData>
    <row r="1">
      <c r="A1" s="59" t="s">
        <v>0</v>
      </c>
      <c r="B1" s="60" t="s">
        <v>75</v>
      </c>
      <c r="C1" s="60" t="s">
        <v>75</v>
      </c>
      <c r="D1" s="100" t="s">
        <v>157</v>
      </c>
      <c r="E1" s="100" t="s">
        <v>90</v>
      </c>
      <c r="F1" s="100" t="s">
        <v>78</v>
      </c>
      <c r="G1" s="100" t="s">
        <v>79</v>
      </c>
      <c r="H1" s="102" t="s">
        <v>80</v>
      </c>
      <c r="I1" s="104" t="s">
        <v>81</v>
      </c>
      <c r="J1" s="104" t="s">
        <v>82</v>
      </c>
      <c r="K1" s="104" t="s">
        <v>83</v>
      </c>
      <c r="L1" s="65"/>
      <c r="M1" s="66"/>
      <c r="N1" s="66"/>
      <c r="O1" s="66"/>
      <c r="P1" s="66"/>
      <c r="Q1" s="66"/>
      <c r="R1" s="66"/>
      <c r="S1" s="66"/>
      <c r="T1" s="67" t="s">
        <v>84</v>
      </c>
      <c r="U1" s="68" t="s">
        <v>86</v>
      </c>
      <c r="V1" s="69" t="s">
        <v>87</v>
      </c>
      <c r="W1" s="66"/>
      <c r="X1" s="66"/>
      <c r="Y1" s="66"/>
    </row>
    <row r="2">
      <c r="A2" s="70" t="s">
        <v>36</v>
      </c>
      <c r="B2" s="112">
        <v>0.0</v>
      </c>
      <c r="C2" s="72">
        <f t="shared" ref="C2:C13" si="1">10*B2</f>
        <v>0</v>
      </c>
      <c r="D2" s="120">
        <v>0.0</v>
      </c>
      <c r="E2" s="120">
        <v>0.0</v>
      </c>
      <c r="F2" s="120">
        <v>0.0</v>
      </c>
      <c r="G2" s="120">
        <v>0.0</v>
      </c>
      <c r="H2" s="121">
        <v>0.0</v>
      </c>
      <c r="I2" s="126">
        <f t="shared" ref="I2:I13" si="2">sum(C2:H2)</f>
        <v>0</v>
      </c>
      <c r="J2" s="129">
        <f t="shared" ref="J2:J13" si="3">U2</f>
        <v>50</v>
      </c>
      <c r="K2" s="126">
        <f t="shared" ref="K2:K13" si="4">I2-J2</f>
        <v>-50</v>
      </c>
      <c r="L2" s="65"/>
      <c r="M2" s="66"/>
      <c r="N2" s="66"/>
      <c r="O2" s="66"/>
      <c r="P2" s="66"/>
      <c r="Q2" s="66"/>
      <c r="R2" s="66"/>
      <c r="S2" s="66"/>
      <c r="T2" s="78" t="s">
        <v>36</v>
      </c>
      <c r="U2" s="79">
        <v>50.0</v>
      </c>
      <c r="V2" s="80">
        <f t="shared" ref="V2:V13" si="5">U2-50</f>
        <v>0</v>
      </c>
      <c r="W2" s="66"/>
      <c r="X2" s="66"/>
      <c r="Y2" s="66"/>
    </row>
    <row r="3">
      <c r="A3" s="81" t="s">
        <v>37</v>
      </c>
      <c r="B3" s="143">
        <v>3.0</v>
      </c>
      <c r="C3" s="83">
        <f t="shared" si="1"/>
        <v>30</v>
      </c>
      <c r="D3" s="146">
        <v>0.0</v>
      </c>
      <c r="E3" s="146">
        <v>0.0</v>
      </c>
      <c r="F3" s="146">
        <v>75.0</v>
      </c>
      <c r="G3" s="146">
        <v>0.0</v>
      </c>
      <c r="H3" s="146">
        <v>0.0</v>
      </c>
      <c r="I3" s="149">
        <f t="shared" si="2"/>
        <v>105</v>
      </c>
      <c r="J3" s="151">
        <f t="shared" si="3"/>
        <v>50</v>
      </c>
      <c r="K3" s="149">
        <f t="shared" si="4"/>
        <v>55</v>
      </c>
      <c r="L3" s="65"/>
      <c r="M3" s="66"/>
      <c r="N3" s="66"/>
      <c r="O3" s="66"/>
      <c r="P3" s="66"/>
      <c r="Q3" s="66"/>
      <c r="R3" s="66"/>
      <c r="S3" s="66"/>
      <c r="T3" s="87" t="s">
        <v>37</v>
      </c>
      <c r="U3" s="88">
        <v>50.0</v>
      </c>
      <c r="V3" s="94">
        <f t="shared" si="5"/>
        <v>0</v>
      </c>
      <c r="W3" s="66"/>
      <c r="X3" s="66"/>
      <c r="Y3" s="66"/>
    </row>
    <row r="4">
      <c r="A4" s="90" t="s">
        <v>38</v>
      </c>
      <c r="B4" s="143">
        <v>2.0</v>
      </c>
      <c r="C4" s="83">
        <f t="shared" si="1"/>
        <v>20</v>
      </c>
      <c r="D4" s="146">
        <v>25.0</v>
      </c>
      <c r="E4" s="146">
        <v>0.0</v>
      </c>
      <c r="F4" s="146">
        <v>0.0</v>
      </c>
      <c r="G4" s="146">
        <v>0.0</v>
      </c>
      <c r="H4" s="146">
        <v>0.0</v>
      </c>
      <c r="I4" s="149">
        <f t="shared" si="2"/>
        <v>45</v>
      </c>
      <c r="J4" s="151">
        <f t="shared" si="3"/>
        <v>50</v>
      </c>
      <c r="K4" s="149">
        <f t="shared" si="4"/>
        <v>-5</v>
      </c>
      <c r="L4" s="65"/>
      <c r="M4" s="66"/>
      <c r="N4" s="66"/>
      <c r="O4" s="66"/>
      <c r="P4" s="66"/>
      <c r="Q4" s="66"/>
      <c r="R4" s="66"/>
      <c r="S4" s="66"/>
      <c r="T4" s="91" t="s">
        <v>38</v>
      </c>
      <c r="U4" s="88">
        <v>50.0</v>
      </c>
      <c r="V4" s="94">
        <f t="shared" si="5"/>
        <v>0</v>
      </c>
      <c r="W4" s="286"/>
      <c r="X4" s="66"/>
      <c r="Y4" s="66"/>
    </row>
    <row r="5">
      <c r="A5" s="90" t="s">
        <v>39</v>
      </c>
      <c r="B5" s="143">
        <v>0.0</v>
      </c>
      <c r="C5" s="83">
        <f t="shared" si="1"/>
        <v>0</v>
      </c>
      <c r="D5" s="146">
        <v>0.0</v>
      </c>
      <c r="E5" s="146">
        <v>0.0</v>
      </c>
      <c r="F5" s="146">
        <v>0.0</v>
      </c>
      <c r="G5" s="146">
        <v>0.0</v>
      </c>
      <c r="H5" s="146">
        <v>240.0</v>
      </c>
      <c r="I5" s="149">
        <f t="shared" si="2"/>
        <v>240</v>
      </c>
      <c r="J5" s="151">
        <f t="shared" si="3"/>
        <v>50</v>
      </c>
      <c r="K5" s="149">
        <f t="shared" si="4"/>
        <v>190</v>
      </c>
      <c r="L5" s="65"/>
      <c r="M5" s="66"/>
      <c r="N5" s="66"/>
      <c r="O5" s="66"/>
      <c r="P5" s="66"/>
      <c r="Q5" s="66"/>
      <c r="R5" s="66"/>
      <c r="S5" s="66"/>
      <c r="T5" s="91" t="s">
        <v>39</v>
      </c>
      <c r="U5" s="88">
        <v>50.0</v>
      </c>
      <c r="V5" s="94">
        <f t="shared" si="5"/>
        <v>0</v>
      </c>
      <c r="W5" s="66"/>
      <c r="X5" s="66"/>
      <c r="Y5" s="66"/>
    </row>
    <row r="6">
      <c r="A6" s="90" t="s">
        <v>48</v>
      </c>
      <c r="B6" s="143">
        <v>1.0</v>
      </c>
      <c r="C6" s="83">
        <f t="shared" si="1"/>
        <v>10</v>
      </c>
      <c r="D6" s="146">
        <v>0.0</v>
      </c>
      <c r="E6" s="146">
        <v>0.0</v>
      </c>
      <c r="F6" s="146">
        <v>0.0</v>
      </c>
      <c r="G6" s="146">
        <v>0.0</v>
      </c>
      <c r="H6" s="146">
        <v>0.0</v>
      </c>
      <c r="I6" s="149">
        <f t="shared" si="2"/>
        <v>10</v>
      </c>
      <c r="J6" s="151">
        <f t="shared" si="3"/>
        <v>50</v>
      </c>
      <c r="K6" s="149">
        <f t="shared" si="4"/>
        <v>-40</v>
      </c>
      <c r="L6" s="65"/>
      <c r="M6" s="66"/>
      <c r="N6" s="66"/>
      <c r="O6" s="66"/>
      <c r="P6" s="66"/>
      <c r="Q6" s="66"/>
      <c r="R6" s="66"/>
      <c r="S6" s="66"/>
      <c r="T6" s="91" t="s">
        <v>48</v>
      </c>
      <c r="U6" s="88">
        <v>50.0</v>
      </c>
      <c r="V6" s="94">
        <f t="shared" si="5"/>
        <v>0</v>
      </c>
      <c r="W6" s="66"/>
      <c r="X6" s="66"/>
      <c r="Y6" s="66"/>
    </row>
    <row r="7">
      <c r="A7" s="81" t="s">
        <v>50</v>
      </c>
      <c r="B7" s="143">
        <v>0.0</v>
      </c>
      <c r="C7" s="83">
        <f t="shared" si="1"/>
        <v>0</v>
      </c>
      <c r="D7" s="146">
        <v>0.0</v>
      </c>
      <c r="E7" s="146">
        <v>0.0</v>
      </c>
      <c r="F7" s="146">
        <v>0.0</v>
      </c>
      <c r="G7" s="146">
        <v>0.0</v>
      </c>
      <c r="H7" s="146">
        <v>0.0</v>
      </c>
      <c r="I7" s="149">
        <f t="shared" si="2"/>
        <v>0</v>
      </c>
      <c r="J7" s="151">
        <f t="shared" si="3"/>
        <v>50</v>
      </c>
      <c r="K7" s="149">
        <f t="shared" si="4"/>
        <v>-50</v>
      </c>
      <c r="L7" s="65"/>
      <c r="M7" s="66"/>
      <c r="N7" s="66"/>
      <c r="O7" s="66"/>
      <c r="P7" s="66"/>
      <c r="Q7" s="66"/>
      <c r="R7" s="66"/>
      <c r="S7" s="66"/>
      <c r="T7" s="87" t="s">
        <v>50</v>
      </c>
      <c r="U7" s="88">
        <v>50.0</v>
      </c>
      <c r="V7" s="94">
        <f t="shared" si="5"/>
        <v>0</v>
      </c>
      <c r="W7" s="66"/>
      <c r="X7" s="66"/>
      <c r="Y7" s="66"/>
    </row>
    <row r="8">
      <c r="A8" s="90" t="s">
        <v>42</v>
      </c>
      <c r="B8" s="143">
        <v>2.0</v>
      </c>
      <c r="C8" s="83">
        <f t="shared" si="1"/>
        <v>20</v>
      </c>
      <c r="D8" s="146">
        <v>0.0</v>
      </c>
      <c r="E8" s="146">
        <v>25.0</v>
      </c>
      <c r="F8" s="146">
        <v>0.0</v>
      </c>
      <c r="G8" s="146">
        <v>0.0</v>
      </c>
      <c r="H8" s="146">
        <v>0.0</v>
      </c>
      <c r="I8" s="149">
        <f t="shared" si="2"/>
        <v>45</v>
      </c>
      <c r="J8" s="151">
        <f t="shared" si="3"/>
        <v>50</v>
      </c>
      <c r="K8" s="149">
        <f t="shared" si="4"/>
        <v>-5</v>
      </c>
      <c r="L8" s="65"/>
      <c r="M8" s="66"/>
      <c r="N8" s="66"/>
      <c r="O8" s="66"/>
      <c r="P8" s="66"/>
      <c r="Q8" s="66"/>
      <c r="R8" s="66"/>
      <c r="S8" s="66"/>
      <c r="T8" s="91" t="s">
        <v>42</v>
      </c>
      <c r="U8" s="88">
        <v>50.0</v>
      </c>
      <c r="V8" s="94">
        <f t="shared" si="5"/>
        <v>0</v>
      </c>
      <c r="W8" s="66"/>
      <c r="X8" s="66"/>
      <c r="Y8" s="66"/>
    </row>
    <row r="9">
      <c r="A9" s="90" t="s">
        <v>43</v>
      </c>
      <c r="B9" s="143">
        <v>1.0</v>
      </c>
      <c r="C9" s="83">
        <f t="shared" si="1"/>
        <v>10</v>
      </c>
      <c r="D9" s="146">
        <v>0.0</v>
      </c>
      <c r="E9" s="146">
        <v>0.0</v>
      </c>
      <c r="F9" s="146">
        <v>0.0</v>
      </c>
      <c r="G9" s="146">
        <v>0.0</v>
      </c>
      <c r="H9" s="146">
        <v>0.0</v>
      </c>
      <c r="I9" s="149">
        <f t="shared" si="2"/>
        <v>10</v>
      </c>
      <c r="J9" s="151">
        <f t="shared" si="3"/>
        <v>50</v>
      </c>
      <c r="K9" s="149">
        <f t="shared" si="4"/>
        <v>-40</v>
      </c>
      <c r="L9" s="65"/>
      <c r="M9" s="66"/>
      <c r="N9" s="66"/>
      <c r="O9" s="66"/>
      <c r="P9" s="66"/>
      <c r="Q9" s="66"/>
      <c r="R9" s="66"/>
      <c r="S9" s="66"/>
      <c r="T9" s="91" t="s">
        <v>43</v>
      </c>
      <c r="U9" s="88">
        <v>50.0</v>
      </c>
      <c r="V9" s="94">
        <f t="shared" si="5"/>
        <v>0</v>
      </c>
      <c r="W9" s="66"/>
      <c r="X9" s="66"/>
      <c r="Y9" s="66"/>
    </row>
    <row r="10">
      <c r="A10" s="90" t="s">
        <v>44</v>
      </c>
      <c r="B10" s="143">
        <v>0.0</v>
      </c>
      <c r="C10" s="83">
        <f t="shared" si="1"/>
        <v>0</v>
      </c>
      <c r="D10" s="146">
        <v>0.0</v>
      </c>
      <c r="E10" s="146">
        <v>0.0</v>
      </c>
      <c r="F10" s="146">
        <v>0.0</v>
      </c>
      <c r="G10" s="146">
        <v>0.0</v>
      </c>
      <c r="H10" s="146">
        <v>0.0</v>
      </c>
      <c r="I10" s="149">
        <f t="shared" si="2"/>
        <v>0</v>
      </c>
      <c r="J10" s="151">
        <f t="shared" si="3"/>
        <v>50</v>
      </c>
      <c r="K10" s="149">
        <f t="shared" si="4"/>
        <v>-50</v>
      </c>
      <c r="L10" s="65"/>
      <c r="M10" s="66"/>
      <c r="N10" s="66"/>
      <c r="O10" s="92"/>
      <c r="P10" s="66"/>
      <c r="Q10" s="66"/>
      <c r="R10" s="66"/>
      <c r="S10" s="66"/>
      <c r="T10" s="91" t="s">
        <v>44</v>
      </c>
      <c r="U10" s="88">
        <v>50.0</v>
      </c>
      <c r="V10" s="94">
        <f t="shared" si="5"/>
        <v>0</v>
      </c>
      <c r="W10" s="66"/>
      <c r="X10" s="66"/>
      <c r="Y10" s="66"/>
    </row>
    <row r="11">
      <c r="A11" s="90" t="s">
        <v>70</v>
      </c>
      <c r="B11" s="143">
        <v>4.0</v>
      </c>
      <c r="C11" s="83">
        <f t="shared" si="1"/>
        <v>40</v>
      </c>
      <c r="D11" s="146">
        <v>0.0</v>
      </c>
      <c r="E11" s="146">
        <v>0.0</v>
      </c>
      <c r="F11" s="146">
        <v>0.0</v>
      </c>
      <c r="G11" s="146">
        <v>0.0</v>
      </c>
      <c r="H11" s="146">
        <v>0.0</v>
      </c>
      <c r="I11" s="149">
        <f t="shared" si="2"/>
        <v>40</v>
      </c>
      <c r="J11" s="151">
        <f t="shared" si="3"/>
        <v>50</v>
      </c>
      <c r="K11" s="149">
        <f t="shared" si="4"/>
        <v>-10</v>
      </c>
      <c r="L11" s="65"/>
      <c r="M11" s="66"/>
      <c r="N11" s="66"/>
      <c r="O11" s="92"/>
      <c r="P11" s="66"/>
      <c r="Q11" s="66"/>
      <c r="R11" s="66"/>
      <c r="S11" s="66"/>
      <c r="T11" s="91" t="s">
        <v>70</v>
      </c>
      <c r="U11" s="88">
        <v>50.0</v>
      </c>
      <c r="V11" s="94">
        <f t="shared" si="5"/>
        <v>0</v>
      </c>
      <c r="W11" s="286"/>
      <c r="X11" s="66"/>
      <c r="Y11" s="66"/>
      <c r="Z11" s="38" t="s">
        <v>181</v>
      </c>
    </row>
    <row r="12">
      <c r="A12" s="81" t="s">
        <v>46</v>
      </c>
      <c r="B12" s="143">
        <v>0.0</v>
      </c>
      <c r="C12" s="83">
        <f t="shared" si="1"/>
        <v>0</v>
      </c>
      <c r="D12" s="146">
        <v>0.0</v>
      </c>
      <c r="E12" s="146">
        <v>0.0</v>
      </c>
      <c r="F12" s="146">
        <v>0.0</v>
      </c>
      <c r="G12" s="146">
        <v>0.0</v>
      </c>
      <c r="H12" s="146">
        <v>0.0</v>
      </c>
      <c r="I12" s="149">
        <f t="shared" si="2"/>
        <v>0</v>
      </c>
      <c r="J12" s="151">
        <f t="shared" si="3"/>
        <v>50</v>
      </c>
      <c r="K12" s="149">
        <f t="shared" si="4"/>
        <v>-50</v>
      </c>
      <c r="L12" s="65"/>
      <c r="M12" s="66"/>
      <c r="N12" s="66"/>
      <c r="O12" s="92"/>
      <c r="P12" s="66"/>
      <c r="Q12" s="66"/>
      <c r="R12" s="66"/>
      <c r="S12" s="66"/>
      <c r="T12" s="87" t="s">
        <v>46</v>
      </c>
      <c r="U12" s="88">
        <v>50.0</v>
      </c>
      <c r="V12" s="94">
        <f t="shared" si="5"/>
        <v>0</v>
      </c>
      <c r="W12" s="66"/>
      <c r="X12" s="66"/>
      <c r="Y12" s="66"/>
    </row>
    <row r="13">
      <c r="A13" s="180" t="s">
        <v>49</v>
      </c>
      <c r="B13" s="181">
        <v>0.0</v>
      </c>
      <c r="C13" s="98">
        <f t="shared" si="1"/>
        <v>0</v>
      </c>
      <c r="D13" s="183">
        <v>0.0</v>
      </c>
      <c r="E13" s="183">
        <v>0.0</v>
      </c>
      <c r="F13" s="183">
        <v>0.0</v>
      </c>
      <c r="G13" s="183">
        <v>100.0</v>
      </c>
      <c r="H13" s="183">
        <v>0.0</v>
      </c>
      <c r="I13" s="186">
        <f t="shared" si="2"/>
        <v>100</v>
      </c>
      <c r="J13" s="187">
        <f t="shared" si="3"/>
        <v>50</v>
      </c>
      <c r="K13" s="186">
        <f t="shared" si="4"/>
        <v>50</v>
      </c>
      <c r="L13" s="65"/>
      <c r="M13" s="66"/>
      <c r="N13" s="66"/>
      <c r="O13" s="92"/>
      <c r="P13" s="66"/>
      <c r="Q13" s="66"/>
      <c r="R13" s="66"/>
      <c r="S13" s="66"/>
      <c r="T13" s="189" t="s">
        <v>49</v>
      </c>
      <c r="U13" s="106">
        <v>50.0</v>
      </c>
      <c r="V13" s="107">
        <f t="shared" si="5"/>
        <v>0</v>
      </c>
      <c r="W13" s="66"/>
      <c r="X13" s="66"/>
      <c r="Y13" s="66"/>
    </row>
    <row r="14">
      <c r="A14" s="108"/>
      <c r="B14" s="108"/>
      <c r="C14" s="109">
        <f t="shared" ref="C14:K14" si="6">SUM(C2:C13)</f>
        <v>130</v>
      </c>
      <c r="D14" s="195">
        <f t="shared" si="6"/>
        <v>25</v>
      </c>
      <c r="E14" s="195">
        <f t="shared" si="6"/>
        <v>25</v>
      </c>
      <c r="F14" s="195">
        <f t="shared" si="6"/>
        <v>75</v>
      </c>
      <c r="G14" s="198">
        <f t="shared" si="6"/>
        <v>100</v>
      </c>
      <c r="H14" s="198">
        <f t="shared" si="6"/>
        <v>240</v>
      </c>
      <c r="I14" s="198">
        <f t="shared" si="6"/>
        <v>595</v>
      </c>
      <c r="J14" s="198">
        <f t="shared" si="6"/>
        <v>600</v>
      </c>
      <c r="K14" s="202">
        <f t="shared" si="6"/>
        <v>-5</v>
      </c>
      <c r="L14" s="65"/>
      <c r="M14" s="66"/>
      <c r="N14" s="66"/>
      <c r="O14" s="115"/>
      <c r="P14" s="66"/>
      <c r="Q14" s="66"/>
      <c r="R14" s="66"/>
      <c r="S14" s="66"/>
      <c r="T14" s="116" t="s">
        <v>93</v>
      </c>
      <c r="U14" s="118">
        <f t="shared" ref="U14:V14" si="7">SUM(U2:U13)</f>
        <v>600</v>
      </c>
      <c r="V14" s="119">
        <f t="shared" si="7"/>
        <v>0</v>
      </c>
      <c r="W14" s="66"/>
      <c r="X14" s="66"/>
      <c r="Y14" s="66"/>
    </row>
    <row r="15">
      <c r="A15" s="108"/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65"/>
      <c r="M15" s="66"/>
      <c r="N15" s="66"/>
      <c r="O15" s="115"/>
      <c r="P15" s="66"/>
      <c r="Q15" s="66"/>
      <c r="R15" s="66"/>
      <c r="S15" s="66"/>
      <c r="T15" s="122"/>
      <c r="U15" s="123"/>
      <c r="V15" s="123"/>
      <c r="W15" s="66"/>
      <c r="X15" s="66"/>
      <c r="Y15" s="66"/>
    </row>
    <row r="16">
      <c r="A16" s="124" t="s">
        <v>94</v>
      </c>
      <c r="B16" s="125" t="s">
        <v>0</v>
      </c>
      <c r="C16" s="125" t="s">
        <v>95</v>
      </c>
      <c r="D16" s="125" t="s">
        <v>86</v>
      </c>
      <c r="E16" s="127" t="s">
        <v>96</v>
      </c>
      <c r="F16" s="128"/>
      <c r="G16" s="66"/>
      <c r="H16" s="108"/>
      <c r="I16" s="108"/>
      <c r="J16" s="108"/>
      <c r="K16" s="130"/>
      <c r="L16" s="131"/>
      <c r="M16" s="66"/>
      <c r="N16" s="66"/>
      <c r="O16" s="92"/>
      <c r="P16" s="66"/>
      <c r="Q16" s="66"/>
      <c r="R16" s="66"/>
      <c r="S16" s="66"/>
      <c r="T16" s="122"/>
      <c r="U16" s="123"/>
      <c r="V16" s="123"/>
      <c r="W16" s="66"/>
      <c r="X16" s="66"/>
      <c r="Y16" s="66"/>
    </row>
    <row r="17">
      <c r="A17" s="132" t="s">
        <v>97</v>
      </c>
      <c r="B17" s="288" t="s">
        <v>70</v>
      </c>
      <c r="C17" s="134">
        <v>10.0</v>
      </c>
      <c r="D17" s="219" t="s">
        <v>98</v>
      </c>
      <c r="E17" s="221">
        <v>152.02</v>
      </c>
      <c r="F17" s="289"/>
      <c r="G17" s="138"/>
      <c r="H17" s="139"/>
      <c r="I17" s="108"/>
      <c r="J17" s="108"/>
      <c r="K17" s="130"/>
      <c r="L17" s="131"/>
      <c r="M17" s="66"/>
      <c r="N17" s="66"/>
      <c r="O17" s="92"/>
      <c r="P17" s="66"/>
      <c r="Q17" s="66"/>
      <c r="R17" s="66"/>
      <c r="S17" s="66"/>
      <c r="T17" s="122"/>
      <c r="U17" s="123"/>
      <c r="V17" s="123"/>
      <c r="W17" s="66"/>
      <c r="X17" s="66"/>
      <c r="Y17" s="66"/>
    </row>
    <row r="18">
      <c r="A18" s="140" t="s">
        <v>100</v>
      </c>
      <c r="B18" s="218" t="s">
        <v>42</v>
      </c>
      <c r="C18" s="134">
        <v>10.0</v>
      </c>
      <c r="D18" s="226" t="s">
        <v>98</v>
      </c>
      <c r="E18" s="227">
        <v>131.28</v>
      </c>
      <c r="F18" s="144"/>
      <c r="G18" s="145"/>
      <c r="H18" s="139"/>
      <c r="I18" s="108"/>
      <c r="J18" s="108"/>
      <c r="K18" s="130"/>
      <c r="L18" s="131"/>
      <c r="M18" s="66"/>
      <c r="N18" s="66"/>
      <c r="O18" s="66"/>
      <c r="P18" s="66"/>
      <c r="Q18" s="66"/>
      <c r="R18" s="66"/>
      <c r="S18" s="66"/>
      <c r="T18" s="122"/>
      <c r="U18" s="123"/>
      <c r="V18" s="123"/>
      <c r="W18" s="66"/>
      <c r="X18" s="66"/>
      <c r="Y18" s="66"/>
    </row>
    <row r="19">
      <c r="A19" s="140" t="s">
        <v>101</v>
      </c>
      <c r="B19" s="218" t="s">
        <v>68</v>
      </c>
      <c r="C19" s="134">
        <v>10.0</v>
      </c>
      <c r="D19" s="226" t="s">
        <v>98</v>
      </c>
      <c r="E19" s="227">
        <v>136.28</v>
      </c>
      <c r="F19" s="144"/>
      <c r="G19" s="145"/>
      <c r="H19" s="139"/>
      <c r="I19" s="108"/>
      <c r="J19" s="108"/>
      <c r="K19" s="130"/>
      <c r="L19" s="147" t="s">
        <v>102</v>
      </c>
      <c r="M19" s="148" t="s">
        <v>103</v>
      </c>
      <c r="N19" s="150" t="s">
        <v>104</v>
      </c>
      <c r="O19" s="150" t="s">
        <v>105</v>
      </c>
      <c r="P19" s="150" t="s">
        <v>106</v>
      </c>
      <c r="Q19" s="150" t="s">
        <v>107</v>
      </c>
      <c r="R19" s="150" t="s">
        <v>108</v>
      </c>
      <c r="S19" s="150" t="s">
        <v>109</v>
      </c>
      <c r="T19" s="152" t="s">
        <v>110</v>
      </c>
      <c r="U19" s="123"/>
      <c r="V19" s="123"/>
      <c r="W19" s="66"/>
      <c r="X19" s="66"/>
      <c r="Y19" s="66"/>
    </row>
    <row r="20">
      <c r="A20" s="140" t="s">
        <v>111</v>
      </c>
      <c r="B20" s="218" t="s">
        <v>38</v>
      </c>
      <c r="C20" s="134">
        <v>10.0</v>
      </c>
      <c r="D20" s="226" t="s">
        <v>98</v>
      </c>
      <c r="E20" s="227">
        <v>135.38</v>
      </c>
      <c r="F20" s="144"/>
      <c r="G20" s="145"/>
      <c r="H20" s="139"/>
      <c r="I20" s="108"/>
      <c r="J20" s="108"/>
      <c r="K20" s="130"/>
      <c r="L20" s="155">
        <v>1.0</v>
      </c>
      <c r="M20" s="238" t="s">
        <v>152</v>
      </c>
      <c r="N20" s="245">
        <v>11.0</v>
      </c>
      <c r="O20" s="245">
        <v>2.0</v>
      </c>
      <c r="P20" s="245">
        <v>0.0</v>
      </c>
      <c r="Q20" s="254">
        <v>0.0</v>
      </c>
      <c r="R20" s="245">
        <v>1315.46</v>
      </c>
      <c r="S20" s="245">
        <v>1050.42</v>
      </c>
      <c r="T20" s="164">
        <f>R20-R25</f>
        <v>-10.04</v>
      </c>
      <c r="U20" s="123"/>
      <c r="V20" s="123"/>
      <c r="W20" s="66"/>
      <c r="X20" s="66"/>
      <c r="Y20" s="66"/>
    </row>
    <row r="21">
      <c r="A21" s="140" t="s">
        <v>113</v>
      </c>
      <c r="B21" s="218" t="s">
        <v>70</v>
      </c>
      <c r="C21" s="134">
        <v>10.0</v>
      </c>
      <c r="D21" s="226" t="s">
        <v>98</v>
      </c>
      <c r="E21" s="227">
        <v>148.96</v>
      </c>
      <c r="F21" s="144"/>
      <c r="G21" s="145"/>
      <c r="H21" s="139"/>
      <c r="I21" s="108"/>
      <c r="J21" s="108"/>
      <c r="K21" s="130"/>
      <c r="L21" s="161">
        <v>2.0</v>
      </c>
      <c r="M21" s="238" t="s">
        <v>182</v>
      </c>
      <c r="N21" s="245">
        <v>9.0</v>
      </c>
      <c r="O21" s="245">
        <v>4.0</v>
      </c>
      <c r="P21" s="245">
        <v>0.0</v>
      </c>
      <c r="Q21" s="254">
        <v>2.0</v>
      </c>
      <c r="R21" s="245">
        <v>1304.04</v>
      </c>
      <c r="S21" s="245">
        <v>1259.48</v>
      </c>
      <c r="T21" s="164">
        <f>R21-R25</f>
        <v>-21.46</v>
      </c>
      <c r="U21" s="123"/>
      <c r="V21" s="123"/>
      <c r="W21" s="66"/>
      <c r="X21" s="66"/>
      <c r="Y21" s="66"/>
    </row>
    <row r="22">
      <c r="A22" s="140" t="s">
        <v>116</v>
      </c>
      <c r="B22" s="218" t="s">
        <v>70</v>
      </c>
      <c r="C22" s="134">
        <v>10.0</v>
      </c>
      <c r="D22" s="226" t="s">
        <v>98</v>
      </c>
      <c r="E22" s="227">
        <v>120.7</v>
      </c>
      <c r="F22" s="144"/>
      <c r="G22" s="145"/>
      <c r="H22" s="139"/>
      <c r="I22" s="108"/>
      <c r="J22" s="108"/>
      <c r="K22" s="130"/>
      <c r="L22" s="161">
        <v>3.0</v>
      </c>
      <c r="M22" s="238" t="s">
        <v>183</v>
      </c>
      <c r="N22" s="245">
        <v>8.0</v>
      </c>
      <c r="O22" s="245">
        <v>5.0</v>
      </c>
      <c r="P22" s="245">
        <v>0.0</v>
      </c>
      <c r="Q22" s="254">
        <v>3.0</v>
      </c>
      <c r="R22" s="245">
        <v>1172.34</v>
      </c>
      <c r="S22" s="290">
        <v>1167.18</v>
      </c>
      <c r="T22" s="163">
        <f>R22-R25</f>
        <v>-153.16</v>
      </c>
      <c r="U22" s="123"/>
      <c r="V22" s="123"/>
      <c r="W22" s="66"/>
      <c r="X22" s="66"/>
      <c r="Y22" s="66"/>
    </row>
    <row r="23">
      <c r="A23" s="140" t="s">
        <v>118</v>
      </c>
      <c r="B23" s="218" t="s">
        <v>68</v>
      </c>
      <c r="C23" s="134">
        <v>10.0</v>
      </c>
      <c r="D23" s="226" t="s">
        <v>98</v>
      </c>
      <c r="E23" s="227">
        <v>156.44</v>
      </c>
      <c r="F23" s="144"/>
      <c r="G23" s="145"/>
      <c r="H23" s="139"/>
      <c r="I23" s="108"/>
      <c r="J23" s="108"/>
      <c r="K23" s="130"/>
      <c r="L23" s="161">
        <v>4.0</v>
      </c>
      <c r="M23" s="238" t="s">
        <v>184</v>
      </c>
      <c r="N23" s="245">
        <v>8.0</v>
      </c>
      <c r="O23" s="245">
        <v>5.0</v>
      </c>
      <c r="P23" s="245">
        <v>0.0</v>
      </c>
      <c r="Q23" s="254">
        <v>3.0</v>
      </c>
      <c r="R23" s="245">
        <v>1415.34</v>
      </c>
      <c r="S23" s="245">
        <v>1254.38</v>
      </c>
      <c r="T23" s="164">
        <f>R23-R25</f>
        <v>89.84</v>
      </c>
      <c r="U23" s="123"/>
      <c r="V23" s="123"/>
      <c r="W23" s="66"/>
      <c r="X23" s="66"/>
      <c r="Y23" s="66"/>
    </row>
    <row r="24">
      <c r="A24" s="140" t="s">
        <v>120</v>
      </c>
      <c r="B24" s="218" t="s">
        <v>43</v>
      </c>
      <c r="C24" s="134">
        <v>10.0</v>
      </c>
      <c r="D24" s="226" t="s">
        <v>98</v>
      </c>
      <c r="E24" s="227">
        <v>116.82</v>
      </c>
      <c r="F24" s="168"/>
      <c r="G24" s="145"/>
      <c r="H24" s="139"/>
      <c r="I24" s="108"/>
      <c r="J24" s="108"/>
      <c r="K24" s="130"/>
      <c r="L24" s="169">
        <v>5.0</v>
      </c>
      <c r="M24" s="238" t="s">
        <v>137</v>
      </c>
      <c r="N24" s="255">
        <v>7.0</v>
      </c>
      <c r="O24" s="255">
        <v>6.0</v>
      </c>
      <c r="P24" s="256">
        <v>0.0</v>
      </c>
      <c r="Q24" s="254">
        <v>4.0</v>
      </c>
      <c r="R24" s="290">
        <v>1384.14</v>
      </c>
      <c r="S24" s="290">
        <v>1325.82</v>
      </c>
      <c r="T24" s="163">
        <f>R24-R25</f>
        <v>58.64</v>
      </c>
      <c r="U24" s="123"/>
      <c r="V24" s="123"/>
      <c r="W24" s="66"/>
      <c r="X24" s="66"/>
      <c r="Y24" s="66"/>
    </row>
    <row r="25">
      <c r="A25" s="140" t="s">
        <v>122</v>
      </c>
      <c r="B25" s="218" t="s">
        <v>70</v>
      </c>
      <c r="C25" s="134">
        <v>10.0</v>
      </c>
      <c r="D25" s="226" t="s">
        <v>98</v>
      </c>
      <c r="E25" s="227">
        <v>135.04</v>
      </c>
      <c r="F25" s="144"/>
      <c r="G25" s="145"/>
      <c r="H25" s="139"/>
      <c r="I25" s="108"/>
      <c r="J25" s="108"/>
      <c r="K25" s="130"/>
      <c r="L25" s="291">
        <v>6.0</v>
      </c>
      <c r="M25" s="315" t="s">
        <v>185</v>
      </c>
      <c r="N25" s="316">
        <v>7.0</v>
      </c>
      <c r="O25" s="316">
        <v>6.0</v>
      </c>
      <c r="P25" s="316">
        <v>0.0</v>
      </c>
      <c r="Q25" s="317">
        <v>4.0</v>
      </c>
      <c r="R25" s="316">
        <v>1325.5</v>
      </c>
      <c r="S25" s="316">
        <v>1260.5</v>
      </c>
      <c r="T25" s="297">
        <f>R25-R25</f>
        <v>0</v>
      </c>
      <c r="U25" s="123"/>
      <c r="V25" s="123"/>
      <c r="W25" s="66"/>
      <c r="X25" s="66"/>
      <c r="Y25" s="66"/>
    </row>
    <row r="26">
      <c r="A26" s="140" t="s">
        <v>124</v>
      </c>
      <c r="B26" s="218" t="s">
        <v>38</v>
      </c>
      <c r="C26" s="134">
        <v>10.0</v>
      </c>
      <c r="D26" s="226" t="s">
        <v>156</v>
      </c>
      <c r="E26" s="227">
        <v>124.0</v>
      </c>
      <c r="F26" s="320" t="s">
        <v>187</v>
      </c>
      <c r="G26" s="145"/>
      <c r="H26" s="139"/>
      <c r="I26" s="108"/>
      <c r="J26" s="108"/>
      <c r="K26" s="130"/>
      <c r="L26" s="298">
        <v>7.0</v>
      </c>
      <c r="M26" s="305" t="s">
        <v>188</v>
      </c>
      <c r="N26" s="262">
        <v>6.0</v>
      </c>
      <c r="O26" s="262">
        <v>7.0</v>
      </c>
      <c r="P26" s="262">
        <v>0.0</v>
      </c>
      <c r="Q26" s="263">
        <v>5.0</v>
      </c>
      <c r="R26" s="262">
        <v>1310.52</v>
      </c>
      <c r="S26" s="262">
        <v>1212.44</v>
      </c>
      <c r="T26" s="177">
        <f>R25-R26</f>
        <v>14.98</v>
      </c>
      <c r="U26" s="123"/>
      <c r="V26" s="123"/>
      <c r="W26" s="66"/>
      <c r="X26" s="66"/>
      <c r="Y26" s="66"/>
    </row>
    <row r="27">
      <c r="A27" s="140" t="s">
        <v>126</v>
      </c>
      <c r="B27" s="218" t="s">
        <v>42</v>
      </c>
      <c r="C27" s="134">
        <v>10.0</v>
      </c>
      <c r="D27" s="226" t="s">
        <v>98</v>
      </c>
      <c r="E27" s="227">
        <v>122.82</v>
      </c>
      <c r="F27" s="144"/>
      <c r="G27" s="145"/>
      <c r="H27" s="139"/>
      <c r="I27" s="108"/>
      <c r="J27" s="108"/>
      <c r="K27" s="130"/>
      <c r="L27" s="173">
        <v>8.0</v>
      </c>
      <c r="M27" s="299" t="s">
        <v>190</v>
      </c>
      <c r="N27" s="300">
        <v>6.0</v>
      </c>
      <c r="O27" s="300">
        <v>7.0</v>
      </c>
      <c r="P27" s="300">
        <v>0.0</v>
      </c>
      <c r="Q27" s="301">
        <v>5.0</v>
      </c>
      <c r="R27" s="262">
        <v>1256.82</v>
      </c>
      <c r="S27" s="262">
        <v>1322.28</v>
      </c>
      <c r="T27" s="302">
        <f>R25-R27</f>
        <v>68.68</v>
      </c>
      <c r="U27" s="123"/>
      <c r="V27" s="123"/>
      <c r="W27" s="66"/>
      <c r="X27" s="66"/>
      <c r="Y27" s="66"/>
    </row>
    <row r="28">
      <c r="A28" s="140" t="s">
        <v>129</v>
      </c>
      <c r="B28" s="218" t="s">
        <v>48</v>
      </c>
      <c r="C28" s="134">
        <v>10.0</v>
      </c>
      <c r="D28" s="226" t="s">
        <v>98</v>
      </c>
      <c r="E28" s="227">
        <v>140.04</v>
      </c>
      <c r="F28" s="144"/>
      <c r="G28" s="145"/>
      <c r="H28" s="139"/>
      <c r="I28" s="108"/>
      <c r="J28" s="108"/>
      <c r="K28" s="130"/>
      <c r="L28" s="303">
        <v>9.0</v>
      </c>
      <c r="M28" s="326" t="s">
        <v>193</v>
      </c>
      <c r="N28" s="300">
        <v>6.0</v>
      </c>
      <c r="O28" s="300">
        <v>7.0</v>
      </c>
      <c r="P28" s="300">
        <v>0.0</v>
      </c>
      <c r="Q28" s="301">
        <v>5.0</v>
      </c>
      <c r="R28" s="300">
        <v>1189.84</v>
      </c>
      <c r="S28" s="300">
        <v>1204.12</v>
      </c>
      <c r="T28" s="302">
        <f>R25-R28</f>
        <v>135.66</v>
      </c>
      <c r="U28" s="123"/>
      <c r="V28" s="123"/>
      <c r="W28" s="66"/>
      <c r="X28" s="66"/>
      <c r="Y28" s="66"/>
    </row>
    <row r="29">
      <c r="A29" s="330" t="s">
        <v>131</v>
      </c>
      <c r="B29" s="270" t="s">
        <v>68</v>
      </c>
      <c r="C29" s="191">
        <v>10.0</v>
      </c>
      <c r="D29" s="271" t="s">
        <v>98</v>
      </c>
      <c r="E29" s="272">
        <v>127.5</v>
      </c>
      <c r="F29" s="184"/>
      <c r="G29" s="185"/>
      <c r="H29" s="139"/>
      <c r="I29" s="108"/>
      <c r="J29" s="108"/>
      <c r="K29" s="130"/>
      <c r="L29" s="173">
        <v>10.0</v>
      </c>
      <c r="M29" s="305" t="s">
        <v>195</v>
      </c>
      <c r="N29" s="273">
        <v>4.0</v>
      </c>
      <c r="O29" s="273">
        <v>9.0</v>
      </c>
      <c r="P29" s="273">
        <v>0.0</v>
      </c>
      <c r="Q29" s="274">
        <v>7.0</v>
      </c>
      <c r="R29" s="273">
        <v>1151.58</v>
      </c>
      <c r="S29" s="273">
        <v>1278.64</v>
      </c>
      <c r="T29" s="302">
        <f>R25-R29</f>
        <v>173.92</v>
      </c>
      <c r="U29" s="66"/>
      <c r="V29" s="66"/>
      <c r="W29" s="66"/>
      <c r="X29" s="66"/>
      <c r="Y29" s="66"/>
    </row>
    <row r="30">
      <c r="A30" s="203" t="s">
        <v>154</v>
      </c>
      <c r="B30" s="133" t="s">
        <v>196</v>
      </c>
      <c r="C30" s="134">
        <v>5.0</v>
      </c>
      <c r="D30" s="179" t="s">
        <v>196</v>
      </c>
      <c r="E30" s="304" t="s">
        <v>196</v>
      </c>
      <c r="F30" s="194"/>
      <c r="G30" s="139"/>
      <c r="H30" s="139"/>
      <c r="I30" s="108"/>
      <c r="J30" s="108"/>
      <c r="K30" s="130"/>
      <c r="L30" s="196">
        <v>11.0</v>
      </c>
      <c r="M30" s="261" t="s">
        <v>119</v>
      </c>
      <c r="N30" s="262">
        <v>5.0</v>
      </c>
      <c r="O30" s="262">
        <v>8.0</v>
      </c>
      <c r="P30" s="262">
        <v>0.0</v>
      </c>
      <c r="Q30" s="263">
        <v>6.0</v>
      </c>
      <c r="R30" s="262">
        <v>1071.8</v>
      </c>
      <c r="S30" s="262">
        <v>1207.14</v>
      </c>
      <c r="T30" s="302">
        <f>R25-R30</f>
        <v>253.7</v>
      </c>
      <c r="U30" s="66"/>
      <c r="V30" s="66"/>
      <c r="W30" s="66"/>
      <c r="X30" s="66"/>
      <c r="Y30" s="66"/>
    </row>
    <row r="31">
      <c r="A31" s="213" t="s">
        <v>157</v>
      </c>
      <c r="B31" s="218" t="s">
        <v>197</v>
      </c>
      <c r="C31" s="134">
        <v>25.0</v>
      </c>
      <c r="D31" s="226" t="s">
        <v>98</v>
      </c>
      <c r="E31" s="227" t="s">
        <v>196</v>
      </c>
      <c r="F31" s="194"/>
      <c r="G31" s="139"/>
      <c r="H31" s="205"/>
      <c r="I31" s="108"/>
      <c r="J31" s="108"/>
      <c r="K31" s="130"/>
      <c r="L31" s="206">
        <v>12.0</v>
      </c>
      <c r="M31" s="309" t="s">
        <v>198</v>
      </c>
      <c r="N31" s="277">
        <v>1.0</v>
      </c>
      <c r="O31" s="277">
        <v>12.0</v>
      </c>
      <c r="P31" s="277">
        <v>0.0</v>
      </c>
      <c r="Q31" s="278">
        <v>11.0</v>
      </c>
      <c r="R31" s="277">
        <v>1042.98</v>
      </c>
      <c r="S31" s="277">
        <v>1401.96</v>
      </c>
      <c r="T31" s="302">
        <f>R25-R31</f>
        <v>282.52</v>
      </c>
      <c r="U31" s="66"/>
      <c r="V31" s="66"/>
      <c r="W31" s="66"/>
      <c r="X31" s="66"/>
      <c r="Y31" s="66"/>
    </row>
    <row r="32">
      <c r="A32" s="213" t="s">
        <v>90</v>
      </c>
      <c r="B32" s="218" t="s">
        <v>42</v>
      </c>
      <c r="C32" s="134">
        <v>25.0</v>
      </c>
      <c r="D32" s="226" t="s">
        <v>98</v>
      </c>
      <c r="E32" s="227" t="s">
        <v>196</v>
      </c>
      <c r="F32" s="194"/>
      <c r="G32" s="139"/>
      <c r="H32" s="205"/>
      <c r="I32" s="108"/>
      <c r="J32" s="215"/>
      <c r="K32" s="130"/>
      <c r="L32" s="313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</row>
    <row r="33">
      <c r="A33" s="213" t="s">
        <v>78</v>
      </c>
      <c r="B33" s="218" t="s">
        <v>68</v>
      </c>
      <c r="C33" s="134">
        <v>75.0</v>
      </c>
      <c r="D33" s="226" t="s">
        <v>98</v>
      </c>
      <c r="E33" s="227" t="s">
        <v>196</v>
      </c>
      <c r="F33" s="194"/>
      <c r="G33" s="139"/>
      <c r="H33" s="205"/>
      <c r="I33" s="108"/>
      <c r="J33" s="215"/>
      <c r="K33" s="215"/>
      <c r="L33" s="220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</row>
    <row r="34">
      <c r="A34" s="222" t="s">
        <v>79</v>
      </c>
      <c r="B34" s="218" t="s">
        <v>49</v>
      </c>
      <c r="C34" s="134">
        <v>100.0</v>
      </c>
      <c r="D34" s="226" t="s">
        <v>98</v>
      </c>
      <c r="E34" s="227" t="s">
        <v>196</v>
      </c>
      <c r="F34" s="194"/>
      <c r="G34" s="139"/>
      <c r="H34" s="108"/>
      <c r="I34" s="108"/>
      <c r="J34" s="108"/>
      <c r="K34" s="215"/>
      <c r="L34" s="220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</row>
    <row r="35">
      <c r="A35" s="213" t="s">
        <v>140</v>
      </c>
      <c r="B35" s="218" t="s">
        <v>39</v>
      </c>
      <c r="C35" s="191">
        <v>240.0</v>
      </c>
      <c r="D35" s="226" t="s">
        <v>98</v>
      </c>
      <c r="E35" s="218" t="s">
        <v>196</v>
      </c>
      <c r="F35" s="223"/>
      <c r="G35" s="224"/>
      <c r="H35" s="108"/>
      <c r="I35" s="108"/>
      <c r="J35" s="108"/>
      <c r="K35" s="215"/>
      <c r="L35" s="225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</row>
    <row r="36">
      <c r="A36" s="283"/>
      <c r="B36" s="284"/>
      <c r="C36" s="285">
        <f>SUM(C17:C35)</f>
        <v>600</v>
      </c>
      <c r="D36" s="284"/>
      <c r="E36" s="223"/>
      <c r="F36" s="223"/>
      <c r="G36" s="224"/>
      <c r="H36" s="65"/>
      <c r="I36" s="65"/>
      <c r="J36" s="231"/>
      <c r="K36" s="131"/>
      <c r="L36" s="65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</row>
    <row r="37">
      <c r="A37" s="242"/>
      <c r="B37" s="244"/>
      <c r="C37" s="246"/>
      <c r="D37" s="244"/>
      <c r="E37" s="233"/>
      <c r="F37" s="233"/>
      <c r="G37" s="234"/>
      <c r="H37" s="65"/>
      <c r="I37" s="65"/>
      <c r="J37" s="65"/>
      <c r="K37" s="131"/>
      <c r="L37" s="65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</row>
    <row r="38">
      <c r="A38" s="242"/>
      <c r="B38" s="244"/>
      <c r="C38" s="246"/>
      <c r="D38" s="244"/>
      <c r="E38" s="233"/>
      <c r="F38" s="233"/>
      <c r="G38" s="234"/>
      <c r="H38" s="65"/>
      <c r="I38" s="65"/>
      <c r="J38" s="65"/>
      <c r="K38" s="131"/>
      <c r="L38" s="65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</row>
    <row r="39">
      <c r="A39" s="242"/>
      <c r="B39" s="244"/>
      <c r="C39" s="246"/>
      <c r="D39" s="244"/>
      <c r="E39" s="233"/>
      <c r="F39" s="233"/>
      <c r="G39" s="234"/>
      <c r="H39" s="65"/>
      <c r="I39" s="65"/>
      <c r="J39" s="65"/>
      <c r="K39" s="131"/>
      <c r="L39" s="65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</row>
    <row r="40">
      <c r="A40" s="242"/>
      <c r="B40" s="244"/>
      <c r="C40" s="246"/>
      <c r="D40" s="244"/>
      <c r="E40" s="233"/>
      <c r="F40" s="233"/>
      <c r="G40" s="234"/>
      <c r="H40" s="65"/>
      <c r="I40" s="65"/>
      <c r="J40" s="65"/>
      <c r="K40" s="131"/>
      <c r="L40" s="65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</row>
    <row r="41">
      <c r="A41" s="247"/>
      <c r="B41" s="248"/>
      <c r="C41" s="249"/>
      <c r="D41" s="248"/>
      <c r="E41" s="250"/>
      <c r="F41" s="250"/>
      <c r="G41" s="251"/>
      <c r="H41" s="65"/>
      <c r="I41" s="65"/>
      <c r="J41" s="65"/>
      <c r="K41" s="131"/>
      <c r="L41" s="65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</row>
    <row r="42">
      <c r="A42" s="131"/>
      <c r="B42" s="131"/>
      <c r="C42" s="252"/>
      <c r="D42" s="131"/>
      <c r="E42" s="65"/>
      <c r="F42" s="65"/>
      <c r="G42" s="65"/>
      <c r="H42" s="65"/>
      <c r="I42" s="65"/>
      <c r="J42" s="65"/>
      <c r="K42" s="131"/>
      <c r="L42" s="65"/>
      <c r="M42" s="66"/>
      <c r="N42" s="66"/>
      <c r="O42" s="66"/>
      <c r="P42" s="66"/>
      <c r="Q42" s="66"/>
      <c r="R42" s="66"/>
      <c r="S42" s="66"/>
      <c r="T42" s="122"/>
      <c r="U42" s="123"/>
      <c r="V42" s="123"/>
      <c r="W42" s="66"/>
      <c r="X42" s="66"/>
      <c r="Y42" s="6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8.25"/>
    <col customWidth="1" min="3" max="3" width="10.88"/>
    <col customWidth="1" min="4" max="4" width="7.75"/>
    <col customWidth="1" min="5" max="5" width="9.25"/>
    <col customWidth="1" min="6" max="6" width="6.0"/>
    <col customWidth="1" min="7" max="7" width="7.38"/>
    <col customWidth="1" min="8" max="8" width="8.63"/>
    <col customWidth="1" min="9" max="9" width="7.0"/>
    <col customWidth="1" min="10" max="10" width="5.13"/>
    <col customWidth="1" min="11" max="14" width="7.0"/>
    <col customWidth="1" min="15" max="15" width="17.63"/>
    <col customWidth="1" min="16" max="17" width="7.0"/>
    <col customWidth="1" min="18" max="18" width="10.5"/>
    <col customWidth="1" min="19" max="19" width="8.38"/>
    <col customWidth="1" min="20" max="20" width="7.38"/>
    <col customWidth="1" min="21" max="21" width="7.0"/>
    <col customWidth="1" min="22" max="22" width="9.0"/>
  </cols>
  <sheetData>
    <row r="1">
      <c r="A1" s="318"/>
      <c r="B1" s="318"/>
      <c r="C1" s="319" t="s">
        <v>186</v>
      </c>
      <c r="D1" s="318"/>
      <c r="E1" s="318"/>
      <c r="F1" s="318"/>
      <c r="G1" s="318"/>
      <c r="H1" s="318"/>
      <c r="I1" s="318"/>
      <c r="J1" s="65"/>
    </row>
    <row r="2">
      <c r="A2" s="321" t="s">
        <v>0</v>
      </c>
      <c r="B2" s="322" t="s">
        <v>75</v>
      </c>
      <c r="C2" s="322" t="s">
        <v>75</v>
      </c>
      <c r="D2" s="323" t="s">
        <v>189</v>
      </c>
      <c r="E2" s="322" t="s">
        <v>191</v>
      </c>
      <c r="F2" s="324" t="s">
        <v>192</v>
      </c>
      <c r="G2" s="325" t="s">
        <v>81</v>
      </c>
      <c r="H2" s="325" t="s">
        <v>82</v>
      </c>
      <c r="I2" s="325" t="s">
        <v>83</v>
      </c>
      <c r="J2" s="65"/>
      <c r="R2" s="67" t="s">
        <v>84</v>
      </c>
      <c r="S2" s="68" t="s">
        <v>86</v>
      </c>
      <c r="T2" s="69" t="s">
        <v>87</v>
      </c>
    </row>
    <row r="3">
      <c r="A3" s="78" t="s">
        <v>36</v>
      </c>
      <c r="B3" s="328">
        <v>1.0</v>
      </c>
      <c r="C3" s="333">
        <f t="shared" ref="C3:C14" si="1">15*B3</f>
        <v>15</v>
      </c>
      <c r="D3" s="334">
        <v>0.0</v>
      </c>
      <c r="E3" s="334">
        <v>0.0</v>
      </c>
      <c r="F3" s="335">
        <v>0.0</v>
      </c>
      <c r="G3" s="337">
        <f t="shared" ref="G3:G14" si="2">sum(C3:F3)</f>
        <v>15</v>
      </c>
      <c r="H3" s="338">
        <f t="shared" ref="H3:H14" si="3">S3</f>
        <v>50</v>
      </c>
      <c r="I3" s="337">
        <f t="shared" ref="I3:I14" si="4">G3-H3</f>
        <v>-35</v>
      </c>
      <c r="J3" s="65"/>
      <c r="R3" s="78" t="s">
        <v>36</v>
      </c>
      <c r="S3" s="79">
        <v>50.0</v>
      </c>
      <c r="T3" s="80">
        <f t="shared" ref="T3:T14" si="5">S3-50</f>
        <v>0</v>
      </c>
    </row>
    <row r="4">
      <c r="A4" s="87" t="s">
        <v>37</v>
      </c>
      <c r="B4" s="342">
        <v>0.0</v>
      </c>
      <c r="C4" s="344">
        <f t="shared" si="1"/>
        <v>0</v>
      </c>
      <c r="D4" s="346">
        <v>0.0</v>
      </c>
      <c r="E4" s="346">
        <v>0.0</v>
      </c>
      <c r="F4" s="346">
        <v>0.0</v>
      </c>
      <c r="G4" s="347">
        <f t="shared" si="2"/>
        <v>0</v>
      </c>
      <c r="H4" s="348">
        <f t="shared" si="3"/>
        <v>50</v>
      </c>
      <c r="I4" s="347">
        <f t="shared" si="4"/>
        <v>-50</v>
      </c>
      <c r="J4" s="65"/>
      <c r="R4" s="87" t="s">
        <v>37</v>
      </c>
      <c r="S4" s="88">
        <v>50.0</v>
      </c>
      <c r="T4" s="94">
        <f t="shared" si="5"/>
        <v>0</v>
      </c>
    </row>
    <row r="5">
      <c r="A5" s="91" t="s">
        <v>38</v>
      </c>
      <c r="B5" s="342">
        <v>0.0</v>
      </c>
      <c r="C5" s="344">
        <f t="shared" si="1"/>
        <v>0</v>
      </c>
      <c r="D5" s="346">
        <v>0.0</v>
      </c>
      <c r="E5" s="346">
        <v>0.0</v>
      </c>
      <c r="F5" s="346">
        <v>0.0</v>
      </c>
      <c r="G5" s="347">
        <f t="shared" si="2"/>
        <v>0</v>
      </c>
      <c r="H5" s="348">
        <f t="shared" si="3"/>
        <v>50</v>
      </c>
      <c r="I5" s="347">
        <f t="shared" si="4"/>
        <v>-50</v>
      </c>
      <c r="J5" s="65"/>
      <c r="R5" s="91" t="s">
        <v>38</v>
      </c>
      <c r="S5" s="88">
        <v>50.0</v>
      </c>
      <c r="T5" s="94">
        <f t="shared" si="5"/>
        <v>0</v>
      </c>
    </row>
    <row r="6">
      <c r="A6" s="91" t="s">
        <v>39</v>
      </c>
      <c r="B6" s="342">
        <v>0.0</v>
      </c>
      <c r="C6" s="344">
        <f t="shared" si="1"/>
        <v>0</v>
      </c>
      <c r="D6" s="346">
        <v>0.0</v>
      </c>
      <c r="E6" s="346">
        <v>0.0</v>
      </c>
      <c r="F6" s="346">
        <v>0.0</v>
      </c>
      <c r="G6" s="347">
        <f t="shared" si="2"/>
        <v>0</v>
      </c>
      <c r="H6" s="348">
        <f t="shared" si="3"/>
        <v>50</v>
      </c>
      <c r="I6" s="347">
        <f t="shared" si="4"/>
        <v>-50</v>
      </c>
      <c r="J6" s="65"/>
      <c r="R6" s="91" t="s">
        <v>39</v>
      </c>
      <c r="S6" s="88">
        <v>50.0</v>
      </c>
      <c r="T6" s="94">
        <f t="shared" si="5"/>
        <v>0</v>
      </c>
    </row>
    <row r="7">
      <c r="A7" s="91" t="s">
        <v>48</v>
      </c>
      <c r="B7" s="342">
        <v>1.0</v>
      </c>
      <c r="C7" s="344">
        <f t="shared" si="1"/>
        <v>15</v>
      </c>
      <c r="D7" s="346">
        <v>0.0</v>
      </c>
      <c r="E7" s="346">
        <v>0.0</v>
      </c>
      <c r="F7" s="346">
        <v>0.0</v>
      </c>
      <c r="G7" s="347">
        <f t="shared" si="2"/>
        <v>15</v>
      </c>
      <c r="H7" s="348">
        <f t="shared" si="3"/>
        <v>50</v>
      </c>
      <c r="I7" s="347">
        <f t="shared" si="4"/>
        <v>-35</v>
      </c>
      <c r="J7" s="65"/>
      <c r="R7" s="91" t="s">
        <v>48</v>
      </c>
      <c r="S7" s="88">
        <v>50.0</v>
      </c>
      <c r="T7" s="94">
        <f t="shared" si="5"/>
        <v>0</v>
      </c>
    </row>
    <row r="8">
      <c r="A8" s="91" t="s">
        <v>51</v>
      </c>
      <c r="B8" s="342">
        <v>1.0</v>
      </c>
      <c r="C8" s="344">
        <f t="shared" si="1"/>
        <v>15</v>
      </c>
      <c r="D8" s="346">
        <v>50.0</v>
      </c>
      <c r="E8" s="346">
        <v>0.0</v>
      </c>
      <c r="F8" s="346">
        <v>0.0</v>
      </c>
      <c r="G8" s="347">
        <f t="shared" si="2"/>
        <v>65</v>
      </c>
      <c r="H8" s="348">
        <f t="shared" si="3"/>
        <v>50</v>
      </c>
      <c r="I8" s="347">
        <f t="shared" si="4"/>
        <v>15</v>
      </c>
      <c r="J8" s="65"/>
      <c r="R8" s="91" t="s">
        <v>51</v>
      </c>
      <c r="S8" s="88">
        <v>50.0</v>
      </c>
      <c r="T8" s="94">
        <f t="shared" si="5"/>
        <v>0</v>
      </c>
    </row>
    <row r="9">
      <c r="A9" s="91" t="s">
        <v>42</v>
      </c>
      <c r="B9" s="342">
        <v>4.0</v>
      </c>
      <c r="C9" s="344">
        <f t="shared" si="1"/>
        <v>60</v>
      </c>
      <c r="D9" s="346">
        <v>50.0</v>
      </c>
      <c r="E9" s="346">
        <v>0.0</v>
      </c>
      <c r="F9" s="346">
        <v>0.0</v>
      </c>
      <c r="G9" s="347">
        <f t="shared" si="2"/>
        <v>110</v>
      </c>
      <c r="H9" s="348">
        <f t="shared" si="3"/>
        <v>50</v>
      </c>
      <c r="I9" s="347">
        <f t="shared" si="4"/>
        <v>60</v>
      </c>
      <c r="J9" s="65"/>
      <c r="R9" s="91" t="s">
        <v>42</v>
      </c>
      <c r="S9" s="88">
        <v>50.0</v>
      </c>
      <c r="T9" s="94">
        <f t="shared" si="5"/>
        <v>0</v>
      </c>
    </row>
    <row r="10">
      <c r="A10" s="91" t="s">
        <v>43</v>
      </c>
      <c r="B10" s="342">
        <v>3.0</v>
      </c>
      <c r="C10" s="344">
        <f t="shared" si="1"/>
        <v>45</v>
      </c>
      <c r="D10" s="346">
        <v>50.0</v>
      </c>
      <c r="E10" s="346">
        <v>50.0</v>
      </c>
      <c r="F10" s="346"/>
      <c r="G10" s="347">
        <f t="shared" si="2"/>
        <v>145</v>
      </c>
      <c r="H10" s="348">
        <f t="shared" si="3"/>
        <v>50</v>
      </c>
      <c r="I10" s="347">
        <f t="shared" si="4"/>
        <v>95</v>
      </c>
      <c r="J10" s="65"/>
      <c r="R10" s="91" t="s">
        <v>43</v>
      </c>
      <c r="S10" s="88">
        <v>50.0</v>
      </c>
      <c r="T10" s="94">
        <f t="shared" si="5"/>
        <v>0</v>
      </c>
    </row>
    <row r="11">
      <c r="A11" s="91" t="s">
        <v>44</v>
      </c>
      <c r="B11" s="342">
        <v>1.0</v>
      </c>
      <c r="C11" s="344">
        <f t="shared" si="1"/>
        <v>15</v>
      </c>
      <c r="D11" s="346">
        <v>50.0</v>
      </c>
      <c r="E11" s="346" t="s">
        <v>201</v>
      </c>
      <c r="F11" s="346">
        <v>0.0</v>
      </c>
      <c r="G11" s="347">
        <f t="shared" si="2"/>
        <v>65</v>
      </c>
      <c r="H11" s="348">
        <f t="shared" si="3"/>
        <v>50</v>
      </c>
      <c r="I11" s="347">
        <f t="shared" si="4"/>
        <v>15</v>
      </c>
      <c r="J11" s="65"/>
      <c r="M11" s="354"/>
      <c r="R11" s="91" t="s">
        <v>44</v>
      </c>
      <c r="S11" s="88">
        <v>50.0</v>
      </c>
      <c r="T11" s="94">
        <f t="shared" si="5"/>
        <v>0</v>
      </c>
    </row>
    <row r="12">
      <c r="A12" s="91" t="s">
        <v>70</v>
      </c>
      <c r="B12" s="342">
        <v>2.0</v>
      </c>
      <c r="C12" s="344">
        <f t="shared" si="1"/>
        <v>30</v>
      </c>
      <c r="D12" s="346">
        <v>0.0</v>
      </c>
      <c r="E12" s="346">
        <v>0.0</v>
      </c>
      <c r="F12" s="346">
        <v>0.0</v>
      </c>
      <c r="G12" s="347">
        <f t="shared" si="2"/>
        <v>30</v>
      </c>
      <c r="H12" s="348">
        <f t="shared" si="3"/>
        <v>50</v>
      </c>
      <c r="I12" s="347">
        <f t="shared" si="4"/>
        <v>-20</v>
      </c>
      <c r="J12" s="65"/>
      <c r="M12" s="354"/>
      <c r="R12" s="91" t="s">
        <v>70</v>
      </c>
      <c r="S12" s="88">
        <v>50.0</v>
      </c>
      <c r="T12" s="94">
        <f t="shared" si="5"/>
        <v>0</v>
      </c>
    </row>
    <row r="13">
      <c r="A13" s="87" t="s">
        <v>46</v>
      </c>
      <c r="B13" s="342">
        <v>0.0</v>
      </c>
      <c r="C13" s="344">
        <f t="shared" si="1"/>
        <v>0</v>
      </c>
      <c r="D13" s="346">
        <v>0.0</v>
      </c>
      <c r="E13" s="346">
        <v>0.0</v>
      </c>
      <c r="F13" s="346">
        <v>0.0</v>
      </c>
      <c r="G13" s="347">
        <f t="shared" si="2"/>
        <v>0</v>
      </c>
      <c r="H13" s="348">
        <f t="shared" si="3"/>
        <v>50</v>
      </c>
      <c r="I13" s="347">
        <f t="shared" si="4"/>
        <v>-50</v>
      </c>
      <c r="J13" s="65"/>
      <c r="M13" s="354"/>
      <c r="R13" s="87" t="s">
        <v>46</v>
      </c>
      <c r="S13" s="88">
        <v>50.0</v>
      </c>
      <c r="T13" s="94">
        <f t="shared" si="5"/>
        <v>0</v>
      </c>
    </row>
    <row r="14">
      <c r="A14" s="189" t="s">
        <v>49</v>
      </c>
      <c r="B14" s="355">
        <v>0.0</v>
      </c>
      <c r="C14" s="356">
        <f t="shared" si="1"/>
        <v>0</v>
      </c>
      <c r="D14" s="356">
        <f>15*C14</f>
        <v>0</v>
      </c>
      <c r="E14" s="357">
        <v>0.0</v>
      </c>
      <c r="F14" s="357">
        <v>0.0</v>
      </c>
      <c r="G14" s="358">
        <f t="shared" si="2"/>
        <v>0</v>
      </c>
      <c r="H14" s="359">
        <f t="shared" si="3"/>
        <v>50</v>
      </c>
      <c r="I14" s="358">
        <f t="shared" si="4"/>
        <v>-50</v>
      </c>
      <c r="J14" s="65"/>
      <c r="M14" s="354"/>
      <c r="R14" s="189" t="s">
        <v>49</v>
      </c>
      <c r="S14" s="106">
        <v>50.0</v>
      </c>
      <c r="T14" s="107">
        <f t="shared" si="5"/>
        <v>0</v>
      </c>
    </row>
    <row r="15">
      <c r="A15" s="108"/>
      <c r="B15" s="108"/>
      <c r="C15" s="109">
        <f t="shared" ref="C15:I15" si="6">SUM(C3:C14)</f>
        <v>195</v>
      </c>
      <c r="D15" s="195">
        <f t="shared" si="6"/>
        <v>200</v>
      </c>
      <c r="E15" s="198">
        <f t="shared" si="6"/>
        <v>50</v>
      </c>
      <c r="F15" s="198">
        <f t="shared" si="6"/>
        <v>0</v>
      </c>
      <c r="G15" s="198">
        <f t="shared" si="6"/>
        <v>445</v>
      </c>
      <c r="H15" s="198">
        <f t="shared" si="6"/>
        <v>600</v>
      </c>
      <c r="I15" s="202">
        <f t="shared" si="6"/>
        <v>-155</v>
      </c>
      <c r="J15" s="65"/>
      <c r="M15" s="360"/>
      <c r="R15" s="116" t="s">
        <v>93</v>
      </c>
      <c r="S15" s="118">
        <f t="shared" ref="S15:T15" si="7">SUM(S3:S14)</f>
        <v>600</v>
      </c>
      <c r="T15" s="119">
        <f t="shared" si="7"/>
        <v>0</v>
      </c>
    </row>
    <row r="16">
      <c r="A16" s="108"/>
      <c r="B16" s="108"/>
      <c r="C16" s="108"/>
      <c r="D16" s="108"/>
      <c r="E16" s="108"/>
      <c r="F16" s="108"/>
      <c r="G16" s="108"/>
      <c r="H16" s="108"/>
      <c r="I16" s="108"/>
      <c r="J16" s="65"/>
      <c r="M16" s="360"/>
      <c r="R16" s="365"/>
      <c r="S16" s="366"/>
      <c r="T16" s="366"/>
    </row>
    <row r="17">
      <c r="A17" s="124" t="s">
        <v>94</v>
      </c>
      <c r="B17" s="125" t="s">
        <v>0</v>
      </c>
      <c r="C17" s="125" t="s">
        <v>95</v>
      </c>
      <c r="D17" s="125" t="s">
        <v>86</v>
      </c>
      <c r="E17" s="127" t="s">
        <v>96</v>
      </c>
      <c r="F17" s="108"/>
      <c r="G17" s="108"/>
      <c r="H17" s="108"/>
      <c r="I17" s="130"/>
      <c r="J17" s="131"/>
      <c r="M17" s="354"/>
      <c r="R17" s="365"/>
      <c r="S17" s="366"/>
      <c r="T17" s="366"/>
    </row>
    <row r="18">
      <c r="A18" s="367" t="s">
        <v>97</v>
      </c>
      <c r="B18" s="368" t="s">
        <v>70</v>
      </c>
      <c r="C18" s="369">
        <v>15.0</v>
      </c>
      <c r="D18" s="368" t="s">
        <v>98</v>
      </c>
      <c r="E18" s="370">
        <v>140.1</v>
      </c>
      <c r="F18" s="139" t="s">
        <v>204</v>
      </c>
      <c r="G18" s="108"/>
      <c r="H18" s="108"/>
      <c r="I18" s="130"/>
      <c r="J18" s="131"/>
      <c r="M18" s="354"/>
      <c r="R18" s="365"/>
      <c r="S18" s="366"/>
      <c r="T18" s="366"/>
    </row>
    <row r="19">
      <c r="A19" s="371" t="s">
        <v>100</v>
      </c>
      <c r="B19" s="372" t="s">
        <v>42</v>
      </c>
      <c r="C19" s="373">
        <v>15.0</v>
      </c>
      <c r="D19" s="375" t="s">
        <v>98</v>
      </c>
      <c r="E19" s="377">
        <v>119.02</v>
      </c>
      <c r="F19" s="139" t="s">
        <v>205</v>
      </c>
      <c r="G19" s="108"/>
      <c r="H19" s="108"/>
      <c r="I19" s="130"/>
      <c r="J19" s="131"/>
      <c r="R19" s="365"/>
      <c r="S19" s="366"/>
      <c r="T19" s="366"/>
    </row>
    <row r="20">
      <c r="A20" s="371" t="s">
        <v>101</v>
      </c>
      <c r="B20" s="372" t="s">
        <v>51</v>
      </c>
      <c r="C20" s="373">
        <v>15.0</v>
      </c>
      <c r="D20" s="375" t="s">
        <v>98</v>
      </c>
      <c r="E20" s="377">
        <v>137.2</v>
      </c>
      <c r="F20" s="139"/>
      <c r="G20" s="108"/>
      <c r="H20" s="108"/>
      <c r="I20" s="130"/>
      <c r="J20" s="131"/>
      <c r="R20" s="365"/>
      <c r="S20" s="366"/>
      <c r="T20" s="366"/>
    </row>
    <row r="21">
      <c r="A21" s="371" t="s">
        <v>111</v>
      </c>
      <c r="B21" s="372" t="s">
        <v>44</v>
      </c>
      <c r="C21" s="373">
        <v>15.0</v>
      </c>
      <c r="D21" s="380" t="s">
        <v>98</v>
      </c>
      <c r="E21" s="377">
        <v>109.18</v>
      </c>
      <c r="F21" s="139"/>
      <c r="G21" s="108"/>
      <c r="H21" s="108"/>
      <c r="I21" s="130"/>
      <c r="J21" s="131"/>
      <c r="R21" s="365"/>
      <c r="S21" s="366"/>
      <c r="T21" s="366"/>
    </row>
    <row r="22">
      <c r="A22" s="371" t="s">
        <v>113</v>
      </c>
      <c r="B22" s="383" t="s">
        <v>70</v>
      </c>
      <c r="C22" s="373">
        <v>15.0</v>
      </c>
      <c r="D22" s="372" t="s">
        <v>98</v>
      </c>
      <c r="E22" s="377">
        <v>147.7</v>
      </c>
      <c r="F22" s="139" t="s">
        <v>204</v>
      </c>
      <c r="G22" s="108"/>
      <c r="H22" s="108"/>
      <c r="I22" s="130"/>
      <c r="J22" s="131"/>
      <c r="R22" s="365"/>
      <c r="S22" s="366"/>
      <c r="T22" s="366"/>
    </row>
    <row r="23">
      <c r="A23" s="371" t="s">
        <v>116</v>
      </c>
      <c r="B23" s="372" t="s">
        <v>48</v>
      </c>
      <c r="C23" s="373">
        <v>15.0</v>
      </c>
      <c r="D23" s="372" t="s">
        <v>98</v>
      </c>
      <c r="E23" s="377">
        <v>139.5</v>
      </c>
      <c r="F23" s="139"/>
      <c r="G23" s="108"/>
      <c r="H23" s="108"/>
      <c r="I23" s="130"/>
      <c r="J23" s="131"/>
      <c r="R23" s="365"/>
      <c r="S23" s="366"/>
      <c r="T23" s="366"/>
    </row>
    <row r="24">
      <c r="A24" s="371" t="s">
        <v>118</v>
      </c>
      <c r="B24" s="372" t="s">
        <v>43</v>
      </c>
      <c r="C24" s="373">
        <v>15.0</v>
      </c>
      <c r="D24" s="375" t="s">
        <v>98</v>
      </c>
      <c r="E24" s="377">
        <v>140.58</v>
      </c>
      <c r="F24" s="139"/>
      <c r="G24" s="108"/>
      <c r="H24" s="108"/>
      <c r="I24" s="130"/>
      <c r="J24" s="385"/>
      <c r="R24" s="365"/>
      <c r="S24" s="366"/>
      <c r="T24" s="366"/>
    </row>
    <row r="25">
      <c r="A25" s="371" t="s">
        <v>120</v>
      </c>
      <c r="B25" s="372" t="s">
        <v>42</v>
      </c>
      <c r="C25" s="373">
        <v>15.0</v>
      </c>
      <c r="D25" s="375" t="s">
        <v>156</v>
      </c>
      <c r="E25" s="377">
        <v>135.2</v>
      </c>
      <c r="F25" s="139" t="s">
        <v>207</v>
      </c>
      <c r="G25" s="108"/>
      <c r="H25" s="108"/>
      <c r="I25" s="130"/>
      <c r="J25" s="313"/>
      <c r="R25" s="365"/>
      <c r="S25" s="366"/>
      <c r="T25" s="366"/>
    </row>
    <row r="26">
      <c r="A26" s="371" t="s">
        <v>122</v>
      </c>
      <c r="B26" s="372" t="s">
        <v>36</v>
      </c>
      <c r="C26" s="373">
        <v>15.0</v>
      </c>
      <c r="D26" s="375" t="s">
        <v>98</v>
      </c>
      <c r="E26" s="377">
        <v>130.42</v>
      </c>
      <c r="F26" s="139"/>
      <c r="G26" s="108"/>
      <c r="H26" s="108"/>
      <c r="I26" s="130"/>
      <c r="J26" s="220"/>
      <c r="R26" s="365"/>
      <c r="S26" s="366"/>
      <c r="T26" s="366"/>
    </row>
    <row r="27">
      <c r="A27" s="371" t="s">
        <v>124</v>
      </c>
      <c r="B27" s="372" t="s">
        <v>43</v>
      </c>
      <c r="C27" s="373">
        <v>15.0</v>
      </c>
      <c r="D27" s="372" t="s">
        <v>98</v>
      </c>
      <c r="E27" s="377">
        <v>117.14</v>
      </c>
      <c r="F27" s="139"/>
      <c r="G27" s="108"/>
      <c r="H27" s="108"/>
      <c r="I27" s="130"/>
      <c r="J27" s="220"/>
      <c r="R27" s="365"/>
      <c r="S27" s="366"/>
      <c r="T27" s="366"/>
    </row>
    <row r="28">
      <c r="A28" s="371" t="s">
        <v>126</v>
      </c>
      <c r="B28" s="372" t="s">
        <v>42</v>
      </c>
      <c r="C28" s="373">
        <v>15.0</v>
      </c>
      <c r="D28" s="372" t="s">
        <v>98</v>
      </c>
      <c r="E28" s="377">
        <v>113.48</v>
      </c>
      <c r="F28" s="139"/>
      <c r="G28" s="108"/>
      <c r="H28" s="108"/>
      <c r="I28" s="130"/>
      <c r="J28" s="220"/>
      <c r="R28" s="365"/>
      <c r="S28" s="366"/>
      <c r="T28" s="366"/>
    </row>
    <row r="29">
      <c r="A29" s="371" t="s">
        <v>129</v>
      </c>
      <c r="B29" s="372" t="s">
        <v>42</v>
      </c>
      <c r="C29" s="373">
        <v>15.0</v>
      </c>
      <c r="D29" s="372" t="s">
        <v>156</v>
      </c>
      <c r="E29" s="377">
        <v>117.5</v>
      </c>
      <c r="F29" s="139" t="s">
        <v>207</v>
      </c>
      <c r="G29" s="108"/>
      <c r="H29" s="108"/>
      <c r="I29" s="130"/>
      <c r="J29" s="313"/>
      <c r="R29" s="365"/>
      <c r="S29" s="366"/>
      <c r="T29" s="366"/>
    </row>
    <row r="30">
      <c r="A30" s="392" t="s">
        <v>131</v>
      </c>
      <c r="B30" s="393" t="s">
        <v>43</v>
      </c>
      <c r="C30" s="394">
        <v>15.0</v>
      </c>
      <c r="D30" s="393" t="s">
        <v>98</v>
      </c>
      <c r="E30" s="396">
        <v>117.84</v>
      </c>
      <c r="F30" s="139"/>
      <c r="G30" s="108"/>
      <c r="H30" s="108"/>
      <c r="I30" s="130"/>
      <c r="J30" s="225"/>
      <c r="N30" s="397" t="s">
        <v>102</v>
      </c>
      <c r="O30" s="398" t="s">
        <v>103</v>
      </c>
      <c r="P30" s="399" t="s">
        <v>104</v>
      </c>
      <c r="Q30" s="399" t="s">
        <v>105</v>
      </c>
      <c r="R30" s="399" t="s">
        <v>106</v>
      </c>
      <c r="S30" s="399" t="s">
        <v>107</v>
      </c>
      <c r="T30" s="399" t="s">
        <v>108</v>
      </c>
      <c r="U30" s="399" t="s">
        <v>109</v>
      </c>
      <c r="V30" s="152" t="s">
        <v>110</v>
      </c>
    </row>
    <row r="31">
      <c r="A31" s="367" t="s">
        <v>90</v>
      </c>
      <c r="B31" s="368" t="s">
        <v>51</v>
      </c>
      <c r="C31" s="369">
        <v>50.0</v>
      </c>
      <c r="D31" s="368" t="s">
        <v>98</v>
      </c>
      <c r="E31" s="139"/>
      <c r="F31" s="205"/>
      <c r="G31" s="108"/>
      <c r="H31" s="108"/>
      <c r="I31" s="130"/>
      <c r="J31" s="313"/>
      <c r="N31" s="155">
        <v>1.0</v>
      </c>
      <c r="O31" s="287" t="s">
        <v>209</v>
      </c>
      <c r="P31" s="240">
        <v>11.0</v>
      </c>
      <c r="Q31" s="240">
        <v>2.0</v>
      </c>
      <c r="R31" s="240">
        <v>0.0</v>
      </c>
      <c r="S31" s="241">
        <v>0.0</v>
      </c>
      <c r="T31" s="240">
        <v>1389.0</v>
      </c>
      <c r="U31" s="240">
        <v>1120.0</v>
      </c>
      <c r="V31" s="400" t="s">
        <v>196</v>
      </c>
    </row>
    <row r="32">
      <c r="A32" s="371" t="s">
        <v>78</v>
      </c>
      <c r="B32" s="372" t="s">
        <v>42</v>
      </c>
      <c r="C32" s="373">
        <v>50.0</v>
      </c>
      <c r="D32" s="372" t="s">
        <v>98</v>
      </c>
      <c r="E32" s="139"/>
      <c r="F32" s="205"/>
      <c r="G32" s="108"/>
      <c r="H32" s="108"/>
      <c r="I32" s="130"/>
      <c r="J32" s="220"/>
      <c r="N32" s="161">
        <v>2.0</v>
      </c>
      <c r="O32" s="238" t="s">
        <v>211</v>
      </c>
      <c r="P32" s="256">
        <v>10.0</v>
      </c>
      <c r="Q32" s="256">
        <v>3.0</v>
      </c>
      <c r="R32" s="256">
        <v>0.0</v>
      </c>
      <c r="S32" s="254">
        <v>1.0</v>
      </c>
      <c r="T32" s="245">
        <v>1382.0</v>
      </c>
      <c r="U32" s="245">
        <v>1197.0</v>
      </c>
      <c r="V32" s="400" t="s">
        <v>196</v>
      </c>
    </row>
    <row r="33">
      <c r="A33" s="371" t="s">
        <v>212</v>
      </c>
      <c r="B33" s="372" t="s">
        <v>44</v>
      </c>
      <c r="C33" s="401">
        <v>100.0</v>
      </c>
      <c r="D33" s="372" t="s">
        <v>98</v>
      </c>
      <c r="E33" s="139"/>
      <c r="F33" s="205"/>
      <c r="G33" s="108"/>
      <c r="H33" s="215"/>
      <c r="I33" s="130"/>
      <c r="J33" s="313"/>
      <c r="N33" s="161">
        <v>3.0</v>
      </c>
      <c r="O33" s="238" t="s">
        <v>213</v>
      </c>
      <c r="P33" s="256">
        <v>7.0</v>
      </c>
      <c r="Q33" s="256">
        <v>6.0</v>
      </c>
      <c r="R33" s="256">
        <v>0.0</v>
      </c>
      <c r="S33" s="254">
        <v>4.0</v>
      </c>
      <c r="T33" s="245">
        <v>1267.0</v>
      </c>
      <c r="U33" s="245">
        <v>1220.0</v>
      </c>
      <c r="V33" s="400" t="s">
        <v>196</v>
      </c>
    </row>
    <row r="34">
      <c r="A34" s="392" t="s">
        <v>140</v>
      </c>
      <c r="B34" s="393" t="s">
        <v>43</v>
      </c>
      <c r="C34" s="404">
        <v>200.0</v>
      </c>
      <c r="D34" s="393" t="s">
        <v>98</v>
      </c>
      <c r="E34" s="139"/>
      <c r="F34" s="205"/>
      <c r="G34" s="108"/>
      <c r="H34" s="215"/>
      <c r="I34" s="215"/>
      <c r="J34" s="220"/>
      <c r="N34" s="161">
        <v>4.0</v>
      </c>
      <c r="O34" s="238" t="s">
        <v>137</v>
      </c>
      <c r="P34" s="256">
        <v>8.0</v>
      </c>
      <c r="Q34" s="256">
        <v>5.0</v>
      </c>
      <c r="R34" s="256">
        <v>0.0</v>
      </c>
      <c r="S34" s="254">
        <v>3.0</v>
      </c>
      <c r="T34" s="245">
        <v>1378.0</v>
      </c>
      <c r="U34" s="245">
        <v>1300.0</v>
      </c>
      <c r="V34" s="400" t="s">
        <v>196</v>
      </c>
    </row>
    <row r="35">
      <c r="A35" s="283"/>
      <c r="B35" s="284"/>
      <c r="C35" s="285">
        <f>SUM(C18:C34)</f>
        <v>595</v>
      </c>
      <c r="D35" s="284"/>
      <c r="E35" s="224"/>
      <c r="F35" s="108"/>
      <c r="G35" s="108"/>
      <c r="H35" s="108"/>
      <c r="I35" s="215"/>
      <c r="J35" s="220"/>
      <c r="N35" s="169">
        <v>5.0</v>
      </c>
      <c r="O35" s="410" t="s">
        <v>214</v>
      </c>
      <c r="P35" s="422">
        <v>6.0</v>
      </c>
      <c r="Q35" s="422">
        <v>7.0</v>
      </c>
      <c r="R35" s="422">
        <v>0.0</v>
      </c>
      <c r="S35" s="425">
        <v>5.0</v>
      </c>
      <c r="T35" s="422">
        <v>1209.0</v>
      </c>
      <c r="U35" s="422">
        <v>1323.0</v>
      </c>
      <c r="V35" s="400" t="s">
        <v>196</v>
      </c>
    </row>
    <row r="36">
      <c r="A36" s="283"/>
      <c r="B36" s="284"/>
      <c r="C36" s="427"/>
      <c r="D36" s="284"/>
      <c r="E36" s="224"/>
      <c r="F36" s="108"/>
      <c r="G36" s="108"/>
      <c r="H36" s="108"/>
      <c r="I36" s="215"/>
      <c r="J36" s="225"/>
      <c r="N36" s="291">
        <v>6.0</v>
      </c>
      <c r="O36" s="315" t="s">
        <v>219</v>
      </c>
      <c r="P36" s="429">
        <v>6.0</v>
      </c>
      <c r="Q36" s="429">
        <v>7.0</v>
      </c>
      <c r="R36" s="429">
        <v>0.0</v>
      </c>
      <c r="S36" s="430">
        <v>5.0</v>
      </c>
      <c r="T36" s="429">
        <v>1204.0</v>
      </c>
      <c r="U36" s="429">
        <v>1190.0</v>
      </c>
      <c r="V36" s="432" t="s">
        <v>196</v>
      </c>
    </row>
    <row r="37">
      <c r="A37" s="242"/>
      <c r="B37" s="244"/>
      <c r="C37" s="246"/>
      <c r="D37" s="244"/>
      <c r="E37" s="234"/>
      <c r="F37" s="65"/>
      <c r="G37" s="65"/>
      <c r="H37" s="231"/>
      <c r="I37" s="131"/>
      <c r="J37" s="65"/>
      <c r="N37" s="298">
        <v>7.0</v>
      </c>
      <c r="O37" s="433" t="s">
        <v>222</v>
      </c>
      <c r="P37" s="273">
        <v>8.0</v>
      </c>
      <c r="Q37" s="273">
        <v>5.0</v>
      </c>
      <c r="R37" s="273">
        <v>0.0</v>
      </c>
      <c r="S37" s="274">
        <v>3.0</v>
      </c>
      <c r="T37" s="273">
        <v>1203.0</v>
      </c>
      <c r="U37" s="273">
        <v>1151.0</v>
      </c>
      <c r="V37" s="434">
        <f>T36-T37</f>
        <v>1</v>
      </c>
    </row>
    <row r="38">
      <c r="A38" s="242"/>
      <c r="B38" s="244"/>
      <c r="C38" s="246"/>
      <c r="D38" s="244"/>
      <c r="E38" s="234"/>
      <c r="F38" s="65"/>
      <c r="G38" s="65"/>
      <c r="H38" s="65"/>
      <c r="I38" s="131"/>
      <c r="J38" s="65"/>
      <c r="N38" s="173">
        <v>8.0</v>
      </c>
      <c r="O38" s="326" t="s">
        <v>152</v>
      </c>
      <c r="P38" s="436">
        <v>5.0</v>
      </c>
      <c r="Q38" s="436">
        <v>8.0</v>
      </c>
      <c r="R38" s="436">
        <v>0.0</v>
      </c>
      <c r="S38" s="437">
        <v>6.0</v>
      </c>
      <c r="T38" s="436">
        <v>1192.0</v>
      </c>
      <c r="U38" s="436">
        <v>1212.0</v>
      </c>
      <c r="V38" s="434">
        <f>T36-T38</f>
        <v>12</v>
      </c>
    </row>
    <row r="39">
      <c r="A39" s="242"/>
      <c r="B39" s="244"/>
      <c r="C39" s="246"/>
      <c r="D39" s="244"/>
      <c r="E39" s="234"/>
      <c r="F39" s="65"/>
      <c r="G39" s="65"/>
      <c r="H39" s="65"/>
      <c r="I39" s="131"/>
      <c r="J39" s="65"/>
      <c r="N39" s="303">
        <v>9.0</v>
      </c>
      <c r="O39" s="442" t="s">
        <v>224</v>
      </c>
      <c r="P39" s="444">
        <v>6.0</v>
      </c>
      <c r="Q39" s="444">
        <v>7.0</v>
      </c>
      <c r="R39" s="273">
        <v>0.0</v>
      </c>
      <c r="S39" s="274">
        <v>5.0</v>
      </c>
      <c r="T39" s="273">
        <v>1152.0</v>
      </c>
      <c r="U39" s="273">
        <v>1293.0</v>
      </c>
      <c r="V39" s="434">
        <f>T36-T39</f>
        <v>52</v>
      </c>
    </row>
    <row r="40">
      <c r="A40" s="242"/>
      <c r="B40" s="244"/>
      <c r="C40" s="246"/>
      <c r="D40" s="244"/>
      <c r="E40" s="234"/>
      <c r="F40" s="65"/>
      <c r="G40" s="65"/>
      <c r="H40" s="65"/>
      <c r="I40" s="131"/>
      <c r="J40" s="65"/>
      <c r="N40" s="173">
        <v>10.0</v>
      </c>
      <c r="O40" s="261" t="s">
        <v>226</v>
      </c>
      <c r="P40" s="273">
        <v>6.0</v>
      </c>
      <c r="Q40" s="273">
        <v>7.0</v>
      </c>
      <c r="R40" s="273">
        <v>0.0</v>
      </c>
      <c r="S40" s="274">
        <v>5.0</v>
      </c>
      <c r="T40" s="273">
        <v>1130.0</v>
      </c>
      <c r="U40" s="273">
        <v>1225.0</v>
      </c>
      <c r="V40" s="434">
        <f>T36-T40</f>
        <v>74</v>
      </c>
    </row>
    <row r="41">
      <c r="A41" s="242"/>
      <c r="B41" s="244"/>
      <c r="C41" s="246"/>
      <c r="D41" s="244"/>
      <c r="E41" s="234"/>
      <c r="F41" s="65"/>
      <c r="G41" s="65"/>
      <c r="H41" s="65"/>
      <c r="I41" s="131"/>
      <c r="J41" s="65"/>
      <c r="N41" s="196">
        <v>11.0</v>
      </c>
      <c r="O41" s="261" t="s">
        <v>227</v>
      </c>
      <c r="P41" s="273">
        <v>2.0</v>
      </c>
      <c r="Q41" s="273">
        <v>11.0</v>
      </c>
      <c r="R41" s="273">
        <v>0.0</v>
      </c>
      <c r="S41" s="274">
        <v>9.0</v>
      </c>
      <c r="T41" s="273">
        <v>1123.0</v>
      </c>
      <c r="U41" s="273">
        <v>1249.0</v>
      </c>
      <c r="V41" s="457">
        <f>T36-T41</f>
        <v>81</v>
      </c>
    </row>
    <row r="42">
      <c r="A42" s="247"/>
      <c r="B42" s="248"/>
      <c r="C42" s="249"/>
      <c r="D42" s="248"/>
      <c r="E42" s="251"/>
      <c r="F42" s="65"/>
      <c r="G42" s="65"/>
      <c r="H42" s="65"/>
      <c r="I42" s="131"/>
      <c r="J42" s="65"/>
      <c r="N42" s="206">
        <v>12.0</v>
      </c>
      <c r="O42" s="276" t="s">
        <v>230</v>
      </c>
      <c r="P42" s="277">
        <v>3.0</v>
      </c>
      <c r="Q42" s="277">
        <v>10.0</v>
      </c>
      <c r="R42" s="277">
        <v>0.0</v>
      </c>
      <c r="S42" s="278">
        <v>8.0</v>
      </c>
      <c r="T42" s="277">
        <v>1084.0</v>
      </c>
      <c r="U42" s="277">
        <v>1236.0</v>
      </c>
      <c r="V42" s="465">
        <f>T36-T42</f>
        <v>120</v>
      </c>
    </row>
    <row r="43">
      <c r="A43" s="131"/>
      <c r="B43" s="131"/>
      <c r="C43" s="252"/>
      <c r="D43" s="131"/>
      <c r="E43" s="65"/>
      <c r="F43" s="65"/>
      <c r="G43" s="65"/>
      <c r="H43" s="65"/>
      <c r="I43" s="131"/>
      <c r="J43" s="65"/>
      <c r="R43" s="365"/>
      <c r="S43" s="366"/>
      <c r="T43" s="366"/>
    </row>
    <row r="44">
      <c r="A44" s="131"/>
      <c r="B44" s="131"/>
      <c r="C44" s="65"/>
      <c r="D44" s="131"/>
      <c r="E44" s="65"/>
      <c r="F44" s="65"/>
      <c r="G44" s="65"/>
      <c r="H44" s="65"/>
      <c r="I44" s="131"/>
      <c r="J44" s="6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8.25"/>
    <col customWidth="1" min="3" max="3" width="10.88"/>
    <col customWidth="1" min="4" max="4" width="7.75"/>
    <col customWidth="1" min="5" max="5" width="9.25"/>
    <col customWidth="1" min="6" max="6" width="6.0"/>
    <col customWidth="1" min="7" max="7" width="7.38"/>
    <col customWidth="1" min="8" max="8" width="8.63"/>
    <col customWidth="1" min="9" max="9" width="7.0"/>
    <col customWidth="1" min="10" max="10" width="5.13"/>
    <col customWidth="1" min="11" max="14" width="7.0"/>
    <col customWidth="1" min="15" max="15" width="16.13"/>
    <col customWidth="1" min="16" max="17" width="7.0"/>
    <col customWidth="1" min="18" max="18" width="10.5"/>
    <col customWidth="1" min="19" max="19" width="8.38"/>
    <col customWidth="1" min="20" max="20" width="7.38"/>
    <col customWidth="1" min="21" max="21" width="7.0"/>
    <col customWidth="1" min="22" max="26" width="11.0"/>
  </cols>
  <sheetData>
    <row r="1" ht="12.75" customHeight="1">
      <c r="A1" s="318"/>
      <c r="B1" s="318"/>
      <c r="C1" s="319" t="s">
        <v>186</v>
      </c>
      <c r="D1" s="318"/>
      <c r="E1" s="318"/>
      <c r="F1" s="318"/>
      <c r="G1" s="318"/>
      <c r="H1" s="318"/>
      <c r="I1" s="318"/>
      <c r="J1" s="65"/>
    </row>
    <row r="2" ht="12.75" customHeight="1">
      <c r="A2" s="327" t="s">
        <v>0</v>
      </c>
      <c r="B2" s="329" t="s">
        <v>75</v>
      </c>
      <c r="C2" s="329" t="s">
        <v>75</v>
      </c>
      <c r="D2" s="329" t="s">
        <v>194</v>
      </c>
      <c r="E2" s="329" t="s">
        <v>191</v>
      </c>
      <c r="F2" s="331" t="s">
        <v>192</v>
      </c>
      <c r="G2" s="332" t="s">
        <v>81</v>
      </c>
      <c r="H2" s="332" t="s">
        <v>82</v>
      </c>
      <c r="I2" s="332" t="s">
        <v>83</v>
      </c>
      <c r="J2" s="65"/>
      <c r="R2" s="67" t="s">
        <v>84</v>
      </c>
      <c r="S2" s="68" t="s">
        <v>86</v>
      </c>
      <c r="T2" s="69" t="s">
        <v>87</v>
      </c>
    </row>
    <row r="3" ht="12.75" customHeight="1">
      <c r="A3" s="78" t="s">
        <v>36</v>
      </c>
      <c r="B3" s="336">
        <v>1.0</v>
      </c>
      <c r="C3" s="339">
        <f t="shared" ref="C3:C14" si="1">15*B3</f>
        <v>15</v>
      </c>
      <c r="D3" s="340">
        <v>0.0</v>
      </c>
      <c r="E3" s="340">
        <v>100.0</v>
      </c>
      <c r="F3" s="341"/>
      <c r="G3" s="343">
        <f t="shared" ref="G3:G14" si="2">SUM(C3:F3)</f>
        <v>115</v>
      </c>
      <c r="H3" s="345">
        <v>50.0</v>
      </c>
      <c r="I3" s="343">
        <f t="shared" ref="I3:I14" si="3">G3-H3</f>
        <v>65</v>
      </c>
      <c r="J3" s="65"/>
      <c r="R3" s="78" t="s">
        <v>36</v>
      </c>
      <c r="S3" s="79">
        <v>50.0</v>
      </c>
      <c r="T3" s="80">
        <f t="shared" ref="T3:T14" si="4">S3-50</f>
        <v>0</v>
      </c>
      <c r="U3" s="38" t="s">
        <v>199</v>
      </c>
    </row>
    <row r="4" ht="12.75" customHeight="1">
      <c r="A4" s="91" t="s">
        <v>52</v>
      </c>
      <c r="B4" s="349">
        <v>1.0</v>
      </c>
      <c r="C4" s="350">
        <f t="shared" si="1"/>
        <v>15</v>
      </c>
      <c r="D4" s="351">
        <v>0.0</v>
      </c>
      <c r="E4" s="351">
        <v>0.0</v>
      </c>
      <c r="F4" s="351">
        <v>0.0</v>
      </c>
      <c r="G4" s="352">
        <f t="shared" si="2"/>
        <v>15</v>
      </c>
      <c r="H4" s="353">
        <v>50.0</v>
      </c>
      <c r="I4" s="352">
        <f t="shared" si="3"/>
        <v>-35</v>
      </c>
      <c r="J4" s="65"/>
      <c r="R4" s="91" t="s">
        <v>52</v>
      </c>
      <c r="S4" s="88">
        <v>50.0</v>
      </c>
      <c r="T4" s="94">
        <f t="shared" si="4"/>
        <v>0</v>
      </c>
      <c r="U4" s="38" t="s">
        <v>200</v>
      </c>
    </row>
    <row r="5" ht="12.75" customHeight="1">
      <c r="A5" s="91" t="s">
        <v>38</v>
      </c>
      <c r="B5" s="349">
        <v>3.0</v>
      </c>
      <c r="C5" s="350">
        <f t="shared" si="1"/>
        <v>45</v>
      </c>
      <c r="D5" s="351">
        <v>0.0</v>
      </c>
      <c r="E5" s="351">
        <v>50.0</v>
      </c>
      <c r="F5" s="351">
        <v>0.0</v>
      </c>
      <c r="G5" s="352">
        <f t="shared" si="2"/>
        <v>95</v>
      </c>
      <c r="H5" s="353">
        <v>50.0</v>
      </c>
      <c r="I5" s="352">
        <f t="shared" si="3"/>
        <v>45</v>
      </c>
      <c r="J5" s="65"/>
      <c r="R5" s="91" t="s">
        <v>38</v>
      </c>
      <c r="S5" s="88">
        <v>50.0</v>
      </c>
      <c r="T5" s="94">
        <f t="shared" si="4"/>
        <v>0</v>
      </c>
      <c r="U5" s="38" t="s">
        <v>199</v>
      </c>
    </row>
    <row r="6" ht="12.75" customHeight="1">
      <c r="A6" s="91" t="s">
        <v>39</v>
      </c>
      <c r="B6" s="349">
        <v>1.0</v>
      </c>
      <c r="C6" s="350">
        <f t="shared" si="1"/>
        <v>15</v>
      </c>
      <c r="D6" s="351">
        <v>0.0</v>
      </c>
      <c r="E6" s="351">
        <v>0.0</v>
      </c>
      <c r="F6" s="351">
        <v>0.0</v>
      </c>
      <c r="G6" s="352">
        <f t="shared" si="2"/>
        <v>15</v>
      </c>
      <c r="H6" s="353">
        <v>50.0</v>
      </c>
      <c r="I6" s="352">
        <f t="shared" si="3"/>
        <v>-35</v>
      </c>
      <c r="J6" s="65"/>
      <c r="R6" s="91" t="s">
        <v>39</v>
      </c>
      <c r="S6" s="88">
        <v>50.0</v>
      </c>
      <c r="T6" s="94">
        <f t="shared" si="4"/>
        <v>0</v>
      </c>
      <c r="U6" s="38" t="s">
        <v>199</v>
      </c>
    </row>
    <row r="7" ht="12.75" customHeight="1">
      <c r="A7" s="91" t="s">
        <v>48</v>
      </c>
      <c r="B7" s="349">
        <v>1.0</v>
      </c>
      <c r="C7" s="350">
        <f t="shared" si="1"/>
        <v>15</v>
      </c>
      <c r="D7" s="351">
        <v>0.0</v>
      </c>
      <c r="E7" s="351">
        <v>0.0</v>
      </c>
      <c r="F7" s="351">
        <v>0.0</v>
      </c>
      <c r="G7" s="352">
        <f t="shared" si="2"/>
        <v>15</v>
      </c>
      <c r="H7" s="353">
        <v>50.0</v>
      </c>
      <c r="I7" s="352">
        <f t="shared" si="3"/>
        <v>-35</v>
      </c>
      <c r="J7" s="65"/>
      <c r="R7" s="91" t="s">
        <v>48</v>
      </c>
      <c r="S7" s="88">
        <v>50.0</v>
      </c>
      <c r="T7" s="94">
        <f t="shared" si="4"/>
        <v>0</v>
      </c>
      <c r="U7" s="38" t="s">
        <v>199</v>
      </c>
    </row>
    <row r="8" ht="12.75" customHeight="1">
      <c r="A8" s="91" t="s">
        <v>51</v>
      </c>
      <c r="B8" s="349">
        <v>1.0</v>
      </c>
      <c r="C8" s="350">
        <f t="shared" si="1"/>
        <v>15</v>
      </c>
      <c r="D8" s="351">
        <v>0.0</v>
      </c>
      <c r="E8" s="351">
        <v>0.0</v>
      </c>
      <c r="F8" s="351">
        <v>0.0</v>
      </c>
      <c r="G8" s="352">
        <f t="shared" si="2"/>
        <v>15</v>
      </c>
      <c r="H8" s="353">
        <v>50.0</v>
      </c>
      <c r="I8" s="352">
        <f t="shared" si="3"/>
        <v>-35</v>
      </c>
      <c r="J8" s="65"/>
      <c r="R8" s="91" t="s">
        <v>51</v>
      </c>
      <c r="S8" s="88">
        <v>50.0</v>
      </c>
      <c r="T8" s="94">
        <f t="shared" si="4"/>
        <v>0</v>
      </c>
      <c r="U8" s="38" t="s">
        <v>199</v>
      </c>
    </row>
    <row r="9" ht="12.75" customHeight="1">
      <c r="A9" s="91" t="s">
        <v>42</v>
      </c>
      <c r="B9" s="349">
        <v>2.0</v>
      </c>
      <c r="C9" s="350">
        <f t="shared" si="1"/>
        <v>30</v>
      </c>
      <c r="D9" s="351">
        <v>0.0</v>
      </c>
      <c r="E9" s="351">
        <v>100.0</v>
      </c>
      <c r="F9" s="351"/>
      <c r="G9" s="352">
        <f t="shared" si="2"/>
        <v>130</v>
      </c>
      <c r="H9" s="353">
        <v>50.0</v>
      </c>
      <c r="I9" s="352">
        <f t="shared" si="3"/>
        <v>80</v>
      </c>
      <c r="J9" s="65"/>
      <c r="R9" s="91" t="s">
        <v>42</v>
      </c>
      <c r="S9" s="88">
        <v>50.0</v>
      </c>
      <c r="T9" s="94">
        <f t="shared" si="4"/>
        <v>0</v>
      </c>
      <c r="U9" s="38" t="s">
        <v>199</v>
      </c>
    </row>
    <row r="10" ht="12.75" customHeight="1">
      <c r="A10" s="91" t="s">
        <v>43</v>
      </c>
      <c r="B10" s="349">
        <v>3.0</v>
      </c>
      <c r="C10" s="350">
        <f t="shared" si="1"/>
        <v>45</v>
      </c>
      <c r="D10" s="351">
        <v>0.0</v>
      </c>
      <c r="E10" s="351">
        <v>0.0</v>
      </c>
      <c r="F10" s="351">
        <v>0.0</v>
      </c>
      <c r="G10" s="352">
        <f t="shared" si="2"/>
        <v>45</v>
      </c>
      <c r="H10" s="353">
        <v>50.0</v>
      </c>
      <c r="I10" s="352">
        <f t="shared" si="3"/>
        <v>-5</v>
      </c>
      <c r="J10" s="65"/>
      <c r="R10" s="91" t="s">
        <v>43</v>
      </c>
      <c r="S10" s="88">
        <v>50.0</v>
      </c>
      <c r="T10" s="94">
        <f t="shared" si="4"/>
        <v>0</v>
      </c>
      <c r="U10" s="38" t="s">
        <v>199</v>
      </c>
    </row>
    <row r="11" ht="12.75" customHeight="1">
      <c r="A11" s="91" t="s">
        <v>44</v>
      </c>
      <c r="B11" s="349">
        <v>0.0</v>
      </c>
      <c r="C11" s="350">
        <f t="shared" si="1"/>
        <v>0</v>
      </c>
      <c r="D11" s="351">
        <v>0.0</v>
      </c>
      <c r="E11" s="351">
        <v>0.0</v>
      </c>
      <c r="F11" s="351">
        <v>0.0</v>
      </c>
      <c r="G11" s="352">
        <f t="shared" si="2"/>
        <v>0</v>
      </c>
      <c r="H11" s="353">
        <v>50.0</v>
      </c>
      <c r="I11" s="352">
        <f t="shared" si="3"/>
        <v>-50</v>
      </c>
      <c r="J11" s="65"/>
      <c r="R11" s="91" t="s">
        <v>44</v>
      </c>
      <c r="S11" s="88">
        <v>50.0</v>
      </c>
      <c r="T11" s="94">
        <f t="shared" si="4"/>
        <v>0</v>
      </c>
      <c r="U11" s="38" t="s">
        <v>202</v>
      </c>
    </row>
    <row r="12" ht="12.75" customHeight="1">
      <c r="A12" s="91" t="s">
        <v>70</v>
      </c>
      <c r="B12" s="349">
        <v>0.0</v>
      </c>
      <c r="C12" s="350">
        <f t="shared" si="1"/>
        <v>0</v>
      </c>
      <c r="D12" s="351">
        <v>0.0</v>
      </c>
      <c r="E12" s="351">
        <v>50.0</v>
      </c>
      <c r="F12" s="351">
        <v>0.0</v>
      </c>
      <c r="G12" s="352">
        <f t="shared" si="2"/>
        <v>50</v>
      </c>
      <c r="H12" s="353">
        <v>50.0</v>
      </c>
      <c r="I12" s="352">
        <f t="shared" si="3"/>
        <v>0</v>
      </c>
      <c r="J12" s="65"/>
      <c r="R12" s="91" t="s">
        <v>70</v>
      </c>
      <c r="S12" s="88">
        <v>50.0</v>
      </c>
      <c r="T12" s="94">
        <f t="shared" si="4"/>
        <v>0</v>
      </c>
      <c r="U12" s="38" t="s">
        <v>203</v>
      </c>
    </row>
    <row r="13" ht="12.75" customHeight="1">
      <c r="A13" s="91" t="s">
        <v>53</v>
      </c>
      <c r="B13" s="349">
        <v>0.0</v>
      </c>
      <c r="C13" s="350">
        <f t="shared" si="1"/>
        <v>0</v>
      </c>
      <c r="D13" s="351">
        <v>0.0</v>
      </c>
      <c r="E13" s="351">
        <v>0.0</v>
      </c>
      <c r="F13" s="351">
        <v>0.0</v>
      </c>
      <c r="G13" s="352">
        <f t="shared" si="2"/>
        <v>0</v>
      </c>
      <c r="H13" s="353">
        <v>50.0</v>
      </c>
      <c r="I13" s="352">
        <f t="shared" si="3"/>
        <v>-50</v>
      </c>
      <c r="J13" s="65"/>
      <c r="M13" s="360"/>
      <c r="R13" s="91" t="s">
        <v>53</v>
      </c>
      <c r="S13" s="88">
        <v>50.0</v>
      </c>
      <c r="T13" s="94">
        <f t="shared" si="4"/>
        <v>0</v>
      </c>
      <c r="U13" s="38" t="s">
        <v>199</v>
      </c>
    </row>
    <row r="14" ht="12.75" customHeight="1">
      <c r="A14" s="189" t="s">
        <v>49</v>
      </c>
      <c r="B14" s="361">
        <v>0.0</v>
      </c>
      <c r="C14" s="362">
        <f t="shared" si="1"/>
        <v>0</v>
      </c>
      <c r="D14" s="362">
        <f t="shared" ref="D14:F14" si="5">15*C14</f>
        <v>0</v>
      </c>
      <c r="E14" s="362">
        <f t="shared" si="5"/>
        <v>0</v>
      </c>
      <c r="F14" s="362">
        <f t="shared" si="5"/>
        <v>0</v>
      </c>
      <c r="G14" s="363">
        <f t="shared" si="2"/>
        <v>0</v>
      </c>
      <c r="H14" s="364">
        <v>50.0</v>
      </c>
      <c r="I14" s="363">
        <f t="shared" si="3"/>
        <v>-50</v>
      </c>
      <c r="J14" s="65"/>
      <c r="M14" s="360"/>
      <c r="R14" s="189" t="s">
        <v>49</v>
      </c>
      <c r="S14" s="106">
        <v>50.0</v>
      </c>
      <c r="T14" s="107">
        <f t="shared" si="4"/>
        <v>0</v>
      </c>
      <c r="U14" s="38" t="s">
        <v>199</v>
      </c>
    </row>
    <row r="15" ht="12.75" customHeight="1">
      <c r="A15" s="65"/>
      <c r="B15" s="65"/>
      <c r="C15" s="109">
        <f t="shared" ref="C15:I15" si="6">SUM(C3:C14)</f>
        <v>195</v>
      </c>
      <c r="D15" s="195">
        <f t="shared" si="6"/>
        <v>0</v>
      </c>
      <c r="E15" s="198">
        <f t="shared" si="6"/>
        <v>300</v>
      </c>
      <c r="F15" s="198">
        <f t="shared" si="6"/>
        <v>0</v>
      </c>
      <c r="G15" s="198">
        <f t="shared" si="6"/>
        <v>495</v>
      </c>
      <c r="H15" s="198">
        <f t="shared" si="6"/>
        <v>600</v>
      </c>
      <c r="I15" s="202">
        <f t="shared" si="6"/>
        <v>-105</v>
      </c>
      <c r="J15" s="65"/>
      <c r="M15" s="360"/>
      <c r="R15" s="116" t="s">
        <v>93</v>
      </c>
      <c r="S15" s="118">
        <f t="shared" ref="S15:T15" si="7">SUM(S3:S14)</f>
        <v>600</v>
      </c>
      <c r="T15" s="119">
        <f t="shared" si="7"/>
        <v>0</v>
      </c>
    </row>
    <row r="16" ht="12.75" customHeight="1">
      <c r="A16" s="65"/>
      <c r="B16" s="65"/>
      <c r="C16" s="65"/>
      <c r="D16" s="65"/>
      <c r="E16" s="65"/>
      <c r="F16" s="65"/>
      <c r="G16" s="65"/>
      <c r="H16" s="65"/>
      <c r="I16" s="65"/>
      <c r="J16" s="65"/>
      <c r="M16" s="360"/>
      <c r="R16" s="365"/>
      <c r="S16" s="366"/>
      <c r="T16" s="366"/>
    </row>
    <row r="17" ht="12.75" customHeight="1">
      <c r="A17" s="374" t="s">
        <v>94</v>
      </c>
      <c r="B17" s="376" t="s">
        <v>0</v>
      </c>
      <c r="C17" s="376" t="s">
        <v>95</v>
      </c>
      <c r="D17" s="376" t="s">
        <v>86</v>
      </c>
      <c r="E17" s="378" t="s">
        <v>96</v>
      </c>
      <c r="F17" s="65"/>
      <c r="G17" s="65"/>
      <c r="H17" s="65"/>
      <c r="I17" s="131"/>
      <c r="J17" s="131"/>
      <c r="R17" s="365"/>
      <c r="S17" s="366"/>
      <c r="T17" s="366"/>
    </row>
    <row r="18" ht="12.75" customHeight="1">
      <c r="A18" s="379" t="s">
        <v>97</v>
      </c>
      <c r="B18" s="381" t="s">
        <v>39</v>
      </c>
      <c r="C18" s="382">
        <v>15.0</v>
      </c>
      <c r="D18" s="381" t="s">
        <v>206</v>
      </c>
      <c r="E18" s="384">
        <v>132.2</v>
      </c>
      <c r="F18" s="386" t="s">
        <v>199</v>
      </c>
      <c r="G18" s="65"/>
      <c r="H18" s="65"/>
      <c r="I18" s="131"/>
      <c r="J18" s="131"/>
      <c r="R18" s="365"/>
      <c r="S18" s="366"/>
      <c r="T18" s="366"/>
    </row>
    <row r="19" ht="12.75" customHeight="1">
      <c r="A19" s="387" t="s">
        <v>100</v>
      </c>
      <c r="B19" s="388" t="s">
        <v>48</v>
      </c>
      <c r="C19" s="389">
        <v>15.0</v>
      </c>
      <c r="D19" s="390">
        <v>15.0</v>
      </c>
      <c r="E19" s="391">
        <v>129.5</v>
      </c>
      <c r="F19" s="386" t="s">
        <v>199</v>
      </c>
      <c r="G19" s="65"/>
      <c r="H19" s="65"/>
      <c r="I19" s="131"/>
      <c r="J19" s="131"/>
      <c r="R19" s="365"/>
      <c r="S19" s="366"/>
      <c r="T19" s="366"/>
    </row>
    <row r="20" ht="12.75" customHeight="1">
      <c r="A20" s="387" t="s">
        <v>101</v>
      </c>
      <c r="B20" s="388" t="s">
        <v>52</v>
      </c>
      <c r="C20" s="389">
        <v>15.0</v>
      </c>
      <c r="D20" s="390">
        <v>15.0</v>
      </c>
      <c r="E20" s="391">
        <v>97.4</v>
      </c>
      <c r="F20" s="386" t="s">
        <v>208</v>
      </c>
      <c r="G20" s="65"/>
      <c r="H20" s="65"/>
      <c r="I20" s="131"/>
      <c r="J20" s="131"/>
      <c r="R20" s="365"/>
      <c r="S20" s="366"/>
      <c r="T20" s="366"/>
    </row>
    <row r="21" ht="12.75" customHeight="1">
      <c r="A21" s="387" t="s">
        <v>111</v>
      </c>
      <c r="B21" s="388" t="s">
        <v>43</v>
      </c>
      <c r="C21" s="389">
        <v>15.0</v>
      </c>
      <c r="D21" s="395">
        <v>15.0</v>
      </c>
      <c r="E21" s="391">
        <v>127.7</v>
      </c>
      <c r="F21" s="386" t="s">
        <v>199</v>
      </c>
      <c r="G21" s="65"/>
      <c r="H21" s="65"/>
      <c r="I21" s="131"/>
      <c r="J21" s="131"/>
      <c r="R21" s="365"/>
      <c r="S21" s="366"/>
      <c r="T21" s="366"/>
    </row>
    <row r="22" ht="12.75" customHeight="1">
      <c r="A22" s="387" t="s">
        <v>113</v>
      </c>
      <c r="B22" s="388" t="s">
        <v>38</v>
      </c>
      <c r="C22" s="389">
        <v>15.0</v>
      </c>
      <c r="D22" s="388" t="s">
        <v>206</v>
      </c>
      <c r="E22" s="391">
        <v>135.2</v>
      </c>
      <c r="F22" s="386" t="s">
        <v>199</v>
      </c>
      <c r="G22" s="65"/>
      <c r="H22" s="65"/>
      <c r="I22" s="131"/>
      <c r="J22" s="131"/>
      <c r="R22" s="365"/>
      <c r="S22" s="366"/>
      <c r="T22" s="366"/>
    </row>
    <row r="23" ht="12.75" customHeight="1">
      <c r="A23" s="387" t="s">
        <v>116</v>
      </c>
      <c r="B23" s="388" t="s">
        <v>38</v>
      </c>
      <c r="C23" s="389">
        <v>15.0</v>
      </c>
      <c r="D23" s="388" t="s">
        <v>206</v>
      </c>
      <c r="E23" s="391">
        <v>142.0</v>
      </c>
      <c r="F23" s="386" t="s">
        <v>199</v>
      </c>
      <c r="G23" s="65"/>
      <c r="H23" s="65"/>
      <c r="I23" s="131"/>
      <c r="J23" s="131"/>
      <c r="R23" s="365"/>
      <c r="S23" s="366"/>
      <c r="T23" s="366"/>
    </row>
    <row r="24" ht="12.75" customHeight="1">
      <c r="A24" s="387" t="s">
        <v>118</v>
      </c>
      <c r="B24" s="388" t="s">
        <v>38</v>
      </c>
      <c r="C24" s="389">
        <v>15.0</v>
      </c>
      <c r="D24" s="390">
        <v>15.0</v>
      </c>
      <c r="E24" s="391">
        <v>134.1</v>
      </c>
      <c r="F24" s="386" t="s">
        <v>199</v>
      </c>
      <c r="G24" s="65"/>
      <c r="H24" s="65"/>
      <c r="I24" s="131"/>
      <c r="J24" s="385"/>
      <c r="R24" s="365"/>
      <c r="S24" s="366"/>
      <c r="T24" s="366"/>
    </row>
    <row r="25" ht="12.75" customHeight="1">
      <c r="A25" s="387" t="s">
        <v>120</v>
      </c>
      <c r="B25" s="388" t="s">
        <v>51</v>
      </c>
      <c r="C25" s="389">
        <v>15.0</v>
      </c>
      <c r="D25" s="390">
        <v>15.0</v>
      </c>
      <c r="E25" s="391">
        <v>109.0</v>
      </c>
      <c r="F25" s="386" t="s">
        <v>199</v>
      </c>
      <c r="G25" s="65"/>
      <c r="H25" s="65"/>
      <c r="I25" s="131"/>
      <c r="J25" s="313"/>
      <c r="R25" s="365"/>
      <c r="S25" s="366"/>
      <c r="T25" s="366"/>
    </row>
    <row r="26" ht="12.75" customHeight="1">
      <c r="A26" s="387" t="s">
        <v>122</v>
      </c>
      <c r="B26" s="388" t="s">
        <v>36</v>
      </c>
      <c r="C26" s="389">
        <v>15.0</v>
      </c>
      <c r="D26" s="390">
        <v>15.0</v>
      </c>
      <c r="E26" s="391">
        <v>138.3</v>
      </c>
      <c r="F26" s="386" t="s">
        <v>199</v>
      </c>
      <c r="G26" s="65"/>
      <c r="H26" s="65"/>
      <c r="I26" s="131"/>
      <c r="J26" s="220"/>
      <c r="R26" s="365"/>
      <c r="S26" s="366"/>
      <c r="T26" s="366"/>
    </row>
    <row r="27" ht="12.75" customHeight="1">
      <c r="A27" s="387" t="s">
        <v>124</v>
      </c>
      <c r="B27" s="388" t="s">
        <v>42</v>
      </c>
      <c r="C27" s="389">
        <v>15.0</v>
      </c>
      <c r="D27" s="388">
        <v>15.0</v>
      </c>
      <c r="E27" s="391">
        <v>146.4</v>
      </c>
      <c r="F27" s="386" t="s">
        <v>210</v>
      </c>
      <c r="G27" s="65"/>
      <c r="H27" s="65"/>
      <c r="I27" s="131"/>
      <c r="J27" s="220"/>
      <c r="R27" s="365"/>
      <c r="S27" s="366"/>
      <c r="T27" s="366"/>
    </row>
    <row r="28" ht="12.75" customHeight="1">
      <c r="A28" s="387" t="s">
        <v>126</v>
      </c>
      <c r="B28" s="388" t="s">
        <v>43</v>
      </c>
      <c r="C28" s="389">
        <v>15.0</v>
      </c>
      <c r="D28" s="388" t="s">
        <v>206</v>
      </c>
      <c r="E28" s="391">
        <v>143.6</v>
      </c>
      <c r="F28" s="386" t="s">
        <v>199</v>
      </c>
      <c r="G28" s="65"/>
      <c r="H28" s="65"/>
      <c r="I28" s="131"/>
      <c r="J28" s="220"/>
      <c r="R28" s="365"/>
      <c r="S28" s="366"/>
      <c r="T28" s="366"/>
    </row>
    <row r="29" ht="12.75" customHeight="1">
      <c r="A29" s="387" t="s">
        <v>129</v>
      </c>
      <c r="B29" s="388" t="s">
        <v>42</v>
      </c>
      <c r="C29" s="389">
        <v>15.0</v>
      </c>
      <c r="D29" s="388">
        <v>15.0</v>
      </c>
      <c r="E29" s="391">
        <v>126.7</v>
      </c>
      <c r="F29" s="386" t="s">
        <v>210</v>
      </c>
      <c r="G29" s="65"/>
      <c r="H29" s="65"/>
      <c r="I29" s="131"/>
      <c r="J29" s="313"/>
      <c r="R29" s="365"/>
      <c r="S29" s="366"/>
      <c r="T29" s="366"/>
    </row>
    <row r="30" ht="12.75" customHeight="1">
      <c r="A30" s="402" t="s">
        <v>131</v>
      </c>
      <c r="B30" s="403" t="s">
        <v>43</v>
      </c>
      <c r="C30" s="405">
        <v>15.0</v>
      </c>
      <c r="D30" s="403" t="s">
        <v>206</v>
      </c>
      <c r="E30" s="406">
        <v>111.3</v>
      </c>
      <c r="F30" s="386" t="s">
        <v>199</v>
      </c>
      <c r="G30" s="65"/>
      <c r="H30" s="65"/>
      <c r="I30" s="131"/>
      <c r="J30" s="225"/>
      <c r="N30" s="407" t="s">
        <v>102</v>
      </c>
      <c r="O30" s="408" t="s">
        <v>103</v>
      </c>
      <c r="P30" s="409" t="s">
        <v>104</v>
      </c>
      <c r="Q30" s="409" t="s">
        <v>105</v>
      </c>
      <c r="R30" s="409" t="s">
        <v>106</v>
      </c>
      <c r="S30" s="409" t="s">
        <v>107</v>
      </c>
      <c r="T30" s="409" t="s">
        <v>108</v>
      </c>
      <c r="U30" s="411" t="s">
        <v>109</v>
      </c>
    </row>
    <row r="31" ht="12.75" customHeight="1">
      <c r="A31" s="379" t="s">
        <v>90</v>
      </c>
      <c r="B31" s="381" t="s">
        <v>38</v>
      </c>
      <c r="C31" s="382">
        <v>50.0</v>
      </c>
      <c r="D31" s="381" t="s">
        <v>201</v>
      </c>
      <c r="E31" s="386" t="s">
        <v>199</v>
      </c>
      <c r="F31" s="412"/>
      <c r="G31" s="65"/>
      <c r="H31" s="65"/>
      <c r="I31" s="131"/>
      <c r="J31" s="313"/>
      <c r="N31" s="413">
        <v>1.0</v>
      </c>
      <c r="O31" s="414" t="s">
        <v>215</v>
      </c>
      <c r="P31" s="415">
        <v>11.0</v>
      </c>
      <c r="Q31" s="415">
        <v>2.0</v>
      </c>
      <c r="R31" s="415">
        <v>0.0</v>
      </c>
      <c r="S31" s="416">
        <v>0.0</v>
      </c>
      <c r="T31" s="415">
        <v>1330.9</v>
      </c>
      <c r="U31" s="417">
        <v>1137.1</v>
      </c>
    </row>
    <row r="32" ht="12.75" customHeight="1">
      <c r="A32" s="387" t="s">
        <v>78</v>
      </c>
      <c r="B32" s="388" t="s">
        <v>45</v>
      </c>
      <c r="C32" s="389">
        <v>50.0</v>
      </c>
      <c r="D32" s="388" t="s">
        <v>201</v>
      </c>
      <c r="E32" s="386" t="s">
        <v>199</v>
      </c>
      <c r="F32" s="412"/>
      <c r="G32" s="65"/>
      <c r="H32" s="65"/>
      <c r="I32" s="131"/>
      <c r="J32" s="220"/>
      <c r="N32" s="418">
        <v>2.0</v>
      </c>
      <c r="O32" s="419" t="s">
        <v>216</v>
      </c>
      <c r="P32" s="420">
        <v>11.0</v>
      </c>
      <c r="Q32" s="420">
        <v>2.0</v>
      </c>
      <c r="R32" s="420">
        <v>0.0</v>
      </c>
      <c r="S32" s="421">
        <v>0.0</v>
      </c>
      <c r="T32" s="423">
        <v>1235.1</v>
      </c>
      <c r="U32" s="424">
        <v>1019.0</v>
      </c>
    </row>
    <row r="33" ht="12.75" customHeight="1">
      <c r="A33" s="387" t="s">
        <v>212</v>
      </c>
      <c r="B33" s="388" t="s">
        <v>36</v>
      </c>
      <c r="C33" s="426">
        <v>100.0</v>
      </c>
      <c r="D33" s="388" t="s">
        <v>217</v>
      </c>
      <c r="E33" s="386" t="s">
        <v>199</v>
      </c>
      <c r="F33" s="412"/>
      <c r="G33" s="65"/>
      <c r="H33" s="231"/>
      <c r="I33" s="131"/>
      <c r="J33" s="313"/>
      <c r="N33" s="418">
        <v>3.0</v>
      </c>
      <c r="O33" s="428" t="s">
        <v>218</v>
      </c>
      <c r="P33" s="420">
        <v>9.0</v>
      </c>
      <c r="Q33" s="420">
        <v>4.0</v>
      </c>
      <c r="R33" s="420">
        <v>0.0</v>
      </c>
      <c r="S33" s="421">
        <v>2.0</v>
      </c>
      <c r="T33" s="423">
        <v>1245.9</v>
      </c>
      <c r="U33" s="424">
        <v>1077.1</v>
      </c>
    </row>
    <row r="34" ht="12.75" customHeight="1">
      <c r="A34" s="402" t="s">
        <v>140</v>
      </c>
      <c r="B34" s="403" t="s">
        <v>42</v>
      </c>
      <c r="C34" s="431">
        <v>200.0</v>
      </c>
      <c r="D34" s="403" t="s">
        <v>220</v>
      </c>
      <c r="E34" s="386" t="s">
        <v>199</v>
      </c>
      <c r="F34" s="412"/>
      <c r="G34" s="65"/>
      <c r="H34" s="231"/>
      <c r="I34" s="231"/>
      <c r="J34" s="220"/>
      <c r="N34" s="418">
        <v>4.0</v>
      </c>
      <c r="O34" s="428" t="s">
        <v>221</v>
      </c>
      <c r="P34" s="423">
        <v>10.0</v>
      </c>
      <c r="Q34" s="423">
        <v>3.0</v>
      </c>
      <c r="R34" s="423">
        <v>0.0</v>
      </c>
      <c r="S34" s="421">
        <v>1.0</v>
      </c>
      <c r="T34" s="423">
        <v>1163.8</v>
      </c>
      <c r="U34" s="424">
        <v>979.0</v>
      </c>
    </row>
    <row r="35" ht="12.75" customHeight="1">
      <c r="A35" s="242"/>
      <c r="B35" s="244"/>
      <c r="C35" s="435">
        <f>SUM(C18:C34)</f>
        <v>595</v>
      </c>
      <c r="D35" s="244"/>
      <c r="E35" s="234"/>
      <c r="F35" s="65"/>
      <c r="G35" s="65"/>
      <c r="H35" s="65"/>
      <c r="I35" s="231"/>
      <c r="J35" s="220"/>
      <c r="N35" s="438">
        <v>5.0</v>
      </c>
      <c r="O35" s="439" t="s">
        <v>223</v>
      </c>
      <c r="P35" s="440">
        <v>7.0</v>
      </c>
      <c r="Q35" s="440">
        <v>6.0</v>
      </c>
      <c r="R35" s="440">
        <v>0.0</v>
      </c>
      <c r="S35" s="441">
        <v>4.0</v>
      </c>
      <c r="T35" s="440">
        <v>1278.5</v>
      </c>
      <c r="U35" s="443">
        <v>1172.9</v>
      </c>
    </row>
    <row r="36" ht="12.75" customHeight="1">
      <c r="A36" s="242"/>
      <c r="B36" s="244"/>
      <c r="C36" s="246"/>
      <c r="D36" s="244"/>
      <c r="E36" s="234"/>
      <c r="F36" s="65"/>
      <c r="G36" s="65"/>
      <c r="H36" s="65"/>
      <c r="I36" s="231"/>
      <c r="J36" s="225"/>
      <c r="N36" s="445">
        <v>6.0</v>
      </c>
      <c r="O36" s="446" t="s">
        <v>225</v>
      </c>
      <c r="P36" s="447">
        <v>5.0</v>
      </c>
      <c r="Q36" s="447">
        <v>8.0</v>
      </c>
      <c r="R36" s="447">
        <v>0.0</v>
      </c>
      <c r="S36" s="448">
        <v>6.0</v>
      </c>
      <c r="T36" s="447">
        <v>1231.2</v>
      </c>
      <c r="U36" s="449">
        <v>1209.4</v>
      </c>
    </row>
    <row r="37" ht="12.75" customHeight="1">
      <c r="A37" s="242"/>
      <c r="B37" s="244"/>
      <c r="C37" s="246"/>
      <c r="D37" s="244"/>
      <c r="E37" s="234"/>
      <c r="F37" s="65"/>
      <c r="G37" s="65"/>
      <c r="H37" s="231"/>
      <c r="I37" s="131"/>
      <c r="J37" s="65"/>
      <c r="N37" s="450">
        <v>7.0</v>
      </c>
      <c r="O37" s="451" t="s">
        <v>228</v>
      </c>
      <c r="P37" s="452">
        <v>4.0</v>
      </c>
      <c r="Q37" s="452">
        <v>9.0</v>
      </c>
      <c r="R37" s="452">
        <v>0.0</v>
      </c>
      <c r="S37" s="453">
        <v>7.0</v>
      </c>
      <c r="T37" s="452">
        <v>1077.3</v>
      </c>
      <c r="U37" s="454">
        <v>1152.3</v>
      </c>
    </row>
    <row r="38" ht="12.75" customHeight="1">
      <c r="A38" s="242"/>
      <c r="B38" s="244"/>
      <c r="C38" s="246"/>
      <c r="D38" s="244"/>
      <c r="E38" s="234"/>
      <c r="F38" s="65"/>
      <c r="G38" s="65"/>
      <c r="H38" s="65"/>
      <c r="I38" s="131"/>
      <c r="J38" s="65"/>
      <c r="N38" s="456">
        <v>8.0</v>
      </c>
      <c r="O38" s="458" t="s">
        <v>229</v>
      </c>
      <c r="P38" s="460">
        <v>3.0</v>
      </c>
      <c r="Q38" s="460">
        <v>10.0</v>
      </c>
      <c r="R38" s="460">
        <v>0.0</v>
      </c>
      <c r="S38" s="462">
        <v>8.0</v>
      </c>
      <c r="T38" s="460">
        <v>1053.1</v>
      </c>
      <c r="U38" s="464">
        <v>1222.5</v>
      </c>
    </row>
    <row r="39" ht="12.75" customHeight="1">
      <c r="A39" s="242"/>
      <c r="B39" s="244"/>
      <c r="C39" s="246"/>
      <c r="D39" s="244"/>
      <c r="E39" s="234"/>
      <c r="F39" s="65"/>
      <c r="G39" s="65"/>
      <c r="H39" s="65"/>
      <c r="I39" s="131"/>
      <c r="J39" s="65"/>
      <c r="N39" s="466">
        <v>9.0</v>
      </c>
      <c r="O39" s="467" t="s">
        <v>231</v>
      </c>
      <c r="P39" s="468">
        <v>5.0</v>
      </c>
      <c r="Q39" s="468">
        <v>8.0</v>
      </c>
      <c r="R39" s="468">
        <v>0.0</v>
      </c>
      <c r="S39" s="469">
        <v>6.0</v>
      </c>
      <c r="T39" s="468">
        <v>1035.3</v>
      </c>
      <c r="U39" s="470">
        <v>1236.6</v>
      </c>
    </row>
    <row r="40" ht="12.75" customHeight="1">
      <c r="A40" s="242"/>
      <c r="B40" s="244"/>
      <c r="C40" s="246"/>
      <c r="D40" s="244"/>
      <c r="E40" s="234"/>
      <c r="F40" s="65"/>
      <c r="G40" s="65"/>
      <c r="H40" s="65"/>
      <c r="I40" s="131"/>
      <c r="J40" s="65"/>
      <c r="N40" s="456">
        <v>10.0</v>
      </c>
      <c r="O40" s="472" t="s">
        <v>232</v>
      </c>
      <c r="P40" s="452">
        <v>4.0</v>
      </c>
      <c r="Q40" s="452">
        <v>9.0</v>
      </c>
      <c r="R40" s="452">
        <v>0.0</v>
      </c>
      <c r="S40" s="453">
        <v>7.0</v>
      </c>
      <c r="T40" s="452">
        <v>1033.1</v>
      </c>
      <c r="U40" s="454">
        <v>1168.1</v>
      </c>
    </row>
    <row r="41" ht="12.75" customHeight="1">
      <c r="A41" s="242"/>
      <c r="B41" s="244"/>
      <c r="C41" s="246"/>
      <c r="D41" s="244"/>
      <c r="E41" s="234"/>
      <c r="F41" s="65"/>
      <c r="G41" s="65"/>
      <c r="H41" s="65"/>
      <c r="I41" s="131"/>
      <c r="J41" s="65"/>
      <c r="N41" s="474">
        <v>11.0</v>
      </c>
      <c r="O41" s="472" t="s">
        <v>233</v>
      </c>
      <c r="P41" s="468">
        <v>6.0</v>
      </c>
      <c r="Q41" s="468">
        <v>7.0</v>
      </c>
      <c r="R41" s="452">
        <v>0.0</v>
      </c>
      <c r="S41" s="453">
        <v>5.0</v>
      </c>
      <c r="T41" s="452">
        <v>1032.2</v>
      </c>
      <c r="U41" s="454">
        <v>1160.4</v>
      </c>
    </row>
    <row r="42" ht="12.75" customHeight="1">
      <c r="A42" s="247"/>
      <c r="B42" s="248"/>
      <c r="C42" s="249"/>
      <c r="D42" s="248"/>
      <c r="E42" s="251"/>
      <c r="F42" s="65"/>
      <c r="G42" s="65"/>
      <c r="H42" s="65"/>
      <c r="I42" s="131"/>
      <c r="J42" s="65"/>
      <c r="N42" s="477">
        <v>12.0</v>
      </c>
      <c r="O42" s="479" t="s">
        <v>152</v>
      </c>
      <c r="P42" s="480">
        <v>3.0</v>
      </c>
      <c r="Q42" s="480">
        <v>10.0</v>
      </c>
      <c r="R42" s="480">
        <v>0.0</v>
      </c>
      <c r="S42" s="482">
        <v>8.0</v>
      </c>
      <c r="T42" s="480">
        <v>893.1</v>
      </c>
      <c r="U42" s="484">
        <v>1074.4</v>
      </c>
    </row>
    <row r="43" ht="12.75" customHeight="1">
      <c r="A43" s="131"/>
      <c r="B43" s="131"/>
      <c r="C43" s="252"/>
      <c r="D43" s="131"/>
      <c r="E43" s="65"/>
      <c r="F43" s="65"/>
      <c r="G43" s="65"/>
      <c r="H43" s="65"/>
      <c r="I43" s="131"/>
      <c r="J43" s="65"/>
      <c r="R43" s="365"/>
      <c r="S43" s="366"/>
      <c r="T43" s="366"/>
    </row>
    <row r="44" ht="12.75" customHeight="1">
      <c r="A44" s="131"/>
      <c r="B44" s="131"/>
      <c r="C44" s="65"/>
      <c r="D44" s="131"/>
      <c r="E44" s="65"/>
      <c r="F44" s="65"/>
      <c r="G44" s="65"/>
      <c r="H44" s="65"/>
      <c r="I44" s="131"/>
      <c r="J44" s="65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8.25"/>
    <col customWidth="1" min="3" max="3" width="10.88"/>
    <col customWidth="1" min="4" max="4" width="7.75"/>
    <col customWidth="1" min="5" max="5" width="9.25"/>
    <col customWidth="1" min="6" max="6" width="6.0"/>
    <col customWidth="1" min="7" max="7" width="7.38"/>
    <col customWidth="1" min="8" max="8" width="8.63"/>
    <col customWidth="1" min="9" max="9" width="7.0"/>
    <col customWidth="1" min="10" max="10" width="5.13"/>
    <col customWidth="1" min="11" max="14" width="7.0"/>
    <col customWidth="1" min="15" max="15" width="15.38"/>
    <col customWidth="1" min="16" max="17" width="7.0"/>
    <col customWidth="1" min="18" max="19" width="8.38"/>
    <col customWidth="1" min="20" max="20" width="7.38"/>
    <col customWidth="1" min="21" max="21" width="7.0"/>
    <col customWidth="1" min="22" max="26" width="11.0"/>
  </cols>
  <sheetData>
    <row r="1" ht="13.5" customHeight="1">
      <c r="A1" s="318"/>
      <c r="B1" s="318"/>
      <c r="C1" s="319" t="s">
        <v>186</v>
      </c>
      <c r="D1" s="318"/>
      <c r="E1" s="318"/>
      <c r="F1" s="318"/>
      <c r="G1" s="318"/>
      <c r="H1" s="318"/>
      <c r="I1" s="318"/>
      <c r="J1" s="65"/>
      <c r="R1" s="67" t="s">
        <v>84</v>
      </c>
      <c r="S1" s="68" t="s">
        <v>86</v>
      </c>
      <c r="T1" s="69" t="s">
        <v>87</v>
      </c>
    </row>
    <row r="2" ht="26.25" customHeight="1">
      <c r="A2" s="327" t="s">
        <v>0</v>
      </c>
      <c r="B2" s="329" t="s">
        <v>75</v>
      </c>
      <c r="C2" s="329" t="s">
        <v>75</v>
      </c>
      <c r="D2" s="329" t="s">
        <v>194</v>
      </c>
      <c r="E2" s="329" t="s">
        <v>191</v>
      </c>
      <c r="F2" s="331" t="s">
        <v>192</v>
      </c>
      <c r="G2" s="332" t="s">
        <v>81</v>
      </c>
      <c r="H2" s="332" t="s">
        <v>82</v>
      </c>
      <c r="I2" s="332" t="s">
        <v>83</v>
      </c>
      <c r="J2" s="65"/>
      <c r="R2" s="455" t="s">
        <v>36</v>
      </c>
      <c r="S2" s="459">
        <v>50.0</v>
      </c>
      <c r="T2" s="461">
        <v>0.0</v>
      </c>
    </row>
    <row r="3" ht="12.75" customHeight="1">
      <c r="A3" s="78" t="s">
        <v>36</v>
      </c>
      <c r="B3" s="463">
        <v>1.0</v>
      </c>
      <c r="C3" s="339">
        <f t="shared" ref="C3:C14" si="1">15*B3</f>
        <v>15</v>
      </c>
      <c r="D3" s="339">
        <v>0.0</v>
      </c>
      <c r="E3" s="339">
        <v>105.0</v>
      </c>
      <c r="F3" s="341">
        <v>90.0</v>
      </c>
      <c r="G3" s="343">
        <f t="shared" ref="G3:G14" si="2">SUM(C3:F3)</f>
        <v>210</v>
      </c>
      <c r="H3" s="471">
        <v>50.0</v>
      </c>
      <c r="I3" s="343">
        <f t="shared" ref="I3:I14" si="3">G3-H3</f>
        <v>160</v>
      </c>
      <c r="J3" s="65"/>
      <c r="R3" s="473" t="s">
        <v>52</v>
      </c>
      <c r="S3" s="475">
        <v>50.0</v>
      </c>
      <c r="T3" s="476">
        <v>0.0</v>
      </c>
    </row>
    <row r="4" ht="13.5" customHeight="1">
      <c r="A4" s="91" t="s">
        <v>52</v>
      </c>
      <c r="B4" s="478">
        <v>1.0</v>
      </c>
      <c r="C4" s="481">
        <f t="shared" si="1"/>
        <v>15</v>
      </c>
      <c r="D4" s="483">
        <v>0.0</v>
      </c>
      <c r="E4" s="483">
        <v>0.0</v>
      </c>
      <c r="F4" s="485">
        <v>0.0</v>
      </c>
      <c r="G4" s="352">
        <f t="shared" si="2"/>
        <v>15</v>
      </c>
      <c r="H4" s="486">
        <v>50.0</v>
      </c>
      <c r="I4" s="352">
        <f t="shared" si="3"/>
        <v>-35</v>
      </c>
      <c r="J4" s="65"/>
      <c r="R4" s="473" t="s">
        <v>38</v>
      </c>
      <c r="S4" s="475">
        <v>50.0</v>
      </c>
      <c r="T4" s="476">
        <v>0.0</v>
      </c>
    </row>
    <row r="5" ht="13.5" customHeight="1">
      <c r="A5" s="91" t="s">
        <v>38</v>
      </c>
      <c r="B5" s="478">
        <v>1.0</v>
      </c>
      <c r="C5" s="481">
        <f t="shared" si="1"/>
        <v>15</v>
      </c>
      <c r="D5" s="483">
        <v>0.0</v>
      </c>
      <c r="E5" s="483">
        <v>0.0</v>
      </c>
      <c r="F5" s="485">
        <v>0.0</v>
      </c>
      <c r="G5" s="352">
        <f t="shared" si="2"/>
        <v>15</v>
      </c>
      <c r="H5" s="486">
        <v>50.0</v>
      </c>
      <c r="I5" s="352">
        <f t="shared" si="3"/>
        <v>-35</v>
      </c>
      <c r="J5" s="65"/>
      <c r="R5" s="473" t="s">
        <v>39</v>
      </c>
      <c r="S5" s="475">
        <v>50.0</v>
      </c>
      <c r="T5" s="476">
        <v>0.0</v>
      </c>
    </row>
    <row r="6" ht="12.75" customHeight="1">
      <c r="A6" s="91" t="s">
        <v>39</v>
      </c>
      <c r="B6" s="478">
        <v>3.0</v>
      </c>
      <c r="C6" s="481">
        <f t="shared" si="1"/>
        <v>45</v>
      </c>
      <c r="D6" s="483">
        <v>0.0</v>
      </c>
      <c r="E6" s="483">
        <v>105.0</v>
      </c>
      <c r="F6" s="487">
        <v>0.0</v>
      </c>
      <c r="G6" s="352">
        <f t="shared" si="2"/>
        <v>150</v>
      </c>
      <c r="H6" s="486">
        <v>50.0</v>
      </c>
      <c r="I6" s="352">
        <f t="shared" si="3"/>
        <v>100</v>
      </c>
      <c r="J6" s="65"/>
      <c r="R6" s="473" t="s">
        <v>54</v>
      </c>
      <c r="S6" s="475">
        <v>50.0</v>
      </c>
      <c r="T6" s="476">
        <v>0.0</v>
      </c>
    </row>
    <row r="7" ht="12.75" customHeight="1">
      <c r="A7" s="91" t="s">
        <v>54</v>
      </c>
      <c r="B7" s="478">
        <v>1.0</v>
      </c>
      <c r="C7" s="481">
        <f t="shared" si="1"/>
        <v>15</v>
      </c>
      <c r="D7" s="483">
        <v>0.0</v>
      </c>
      <c r="E7" s="483">
        <v>0.0</v>
      </c>
      <c r="F7" s="485">
        <v>0.0</v>
      </c>
      <c r="G7" s="352">
        <f t="shared" si="2"/>
        <v>15</v>
      </c>
      <c r="H7" s="486">
        <v>50.0</v>
      </c>
      <c r="I7" s="352">
        <f t="shared" si="3"/>
        <v>-35</v>
      </c>
      <c r="J7" s="65"/>
      <c r="R7" s="473" t="s">
        <v>51</v>
      </c>
      <c r="S7" s="475">
        <v>50.0</v>
      </c>
      <c r="T7" s="476">
        <v>0.0</v>
      </c>
    </row>
    <row r="8" ht="12.75" customHeight="1">
      <c r="A8" s="91" t="s">
        <v>51</v>
      </c>
      <c r="B8" s="478">
        <v>1.0</v>
      </c>
      <c r="C8" s="481">
        <f t="shared" si="1"/>
        <v>15</v>
      </c>
      <c r="D8" s="483">
        <v>0.0</v>
      </c>
      <c r="E8" s="483">
        <v>0.0</v>
      </c>
      <c r="F8" s="485">
        <v>0.0</v>
      </c>
      <c r="G8" s="352">
        <f t="shared" si="2"/>
        <v>15</v>
      </c>
      <c r="H8" s="486">
        <v>50.0</v>
      </c>
      <c r="I8" s="352">
        <f t="shared" si="3"/>
        <v>-35</v>
      </c>
      <c r="J8" s="65"/>
      <c r="R8" s="473" t="s">
        <v>42</v>
      </c>
      <c r="S8" s="475">
        <v>50.0</v>
      </c>
      <c r="T8" s="476">
        <v>0.0</v>
      </c>
    </row>
    <row r="9" ht="12.75" customHeight="1">
      <c r="A9" s="91" t="s">
        <v>42</v>
      </c>
      <c r="B9" s="478">
        <v>1.0</v>
      </c>
      <c r="C9" s="481">
        <f t="shared" si="1"/>
        <v>15</v>
      </c>
      <c r="D9" s="483">
        <v>0.0</v>
      </c>
      <c r="E9" s="483">
        <v>0.0</v>
      </c>
      <c r="F9" s="485">
        <v>0.0</v>
      </c>
      <c r="G9" s="352">
        <f t="shared" si="2"/>
        <v>15</v>
      </c>
      <c r="H9" s="486">
        <v>50.0</v>
      </c>
      <c r="I9" s="352">
        <f t="shared" si="3"/>
        <v>-35</v>
      </c>
      <c r="J9" s="65"/>
      <c r="R9" s="473" t="s">
        <v>43</v>
      </c>
      <c r="S9" s="475">
        <v>50.0</v>
      </c>
      <c r="T9" s="476">
        <v>0.0</v>
      </c>
    </row>
    <row r="10" ht="12.75" customHeight="1">
      <c r="A10" s="91" t="s">
        <v>43</v>
      </c>
      <c r="B10" s="478">
        <v>1.0</v>
      </c>
      <c r="C10" s="481">
        <f t="shared" si="1"/>
        <v>15</v>
      </c>
      <c r="D10" s="483">
        <v>0.0</v>
      </c>
      <c r="E10" s="483">
        <v>0.0</v>
      </c>
      <c r="F10" s="485">
        <v>0.0</v>
      </c>
      <c r="G10" s="352">
        <f t="shared" si="2"/>
        <v>15</v>
      </c>
      <c r="H10" s="486">
        <v>50.0</v>
      </c>
      <c r="I10" s="352">
        <f t="shared" si="3"/>
        <v>-35</v>
      </c>
      <c r="J10" s="65"/>
      <c r="R10" s="473" t="s">
        <v>44</v>
      </c>
      <c r="S10" s="475">
        <v>50.0</v>
      </c>
      <c r="T10" s="476">
        <v>0.0</v>
      </c>
    </row>
    <row r="11" ht="12.75" customHeight="1">
      <c r="A11" s="91" t="s">
        <v>44</v>
      </c>
      <c r="B11" s="478">
        <v>1.0</v>
      </c>
      <c r="C11" s="481">
        <f t="shared" si="1"/>
        <v>15</v>
      </c>
      <c r="D11" s="483">
        <v>0.0</v>
      </c>
      <c r="E11" s="483">
        <v>50.0</v>
      </c>
      <c r="F11" s="485">
        <v>0.0</v>
      </c>
      <c r="G11" s="352">
        <f t="shared" si="2"/>
        <v>65</v>
      </c>
      <c r="H11" s="486">
        <v>50.0</v>
      </c>
      <c r="I11" s="352">
        <f t="shared" si="3"/>
        <v>15</v>
      </c>
      <c r="J11" s="65"/>
      <c r="R11" s="473" t="s">
        <v>45</v>
      </c>
      <c r="S11" s="475">
        <v>50.0</v>
      </c>
      <c r="T11" s="476">
        <v>0.0</v>
      </c>
    </row>
    <row r="12" ht="13.5" customHeight="1">
      <c r="A12" s="91" t="s">
        <v>70</v>
      </c>
      <c r="B12" s="478">
        <v>1.0</v>
      </c>
      <c r="C12" s="481">
        <f t="shared" si="1"/>
        <v>15</v>
      </c>
      <c r="D12" s="483">
        <v>0.0</v>
      </c>
      <c r="E12" s="483">
        <v>0.0</v>
      </c>
      <c r="F12" s="485">
        <v>0.0</v>
      </c>
      <c r="G12" s="352">
        <f t="shared" si="2"/>
        <v>15</v>
      </c>
      <c r="H12" s="486">
        <v>50.0</v>
      </c>
      <c r="I12" s="352">
        <f t="shared" si="3"/>
        <v>-35</v>
      </c>
      <c r="J12" s="65"/>
      <c r="L12" t="s">
        <v>86</v>
      </c>
      <c r="M12" t="s">
        <v>189</v>
      </c>
      <c r="R12" s="473" t="s">
        <v>55</v>
      </c>
      <c r="S12" s="475">
        <v>50.0</v>
      </c>
      <c r="T12" s="476">
        <v>0.0</v>
      </c>
    </row>
    <row r="13" ht="13.5" customHeight="1">
      <c r="A13" s="91" t="s">
        <v>55</v>
      </c>
      <c r="B13" s="478">
        <v>1.0</v>
      </c>
      <c r="C13" s="481">
        <f t="shared" si="1"/>
        <v>15</v>
      </c>
      <c r="D13" s="483">
        <v>0.0</v>
      </c>
      <c r="E13" s="483">
        <v>50.0</v>
      </c>
      <c r="F13" s="485">
        <v>0.0</v>
      </c>
      <c r="G13" s="352">
        <f t="shared" si="2"/>
        <v>65</v>
      </c>
      <c r="H13" s="486">
        <v>50.0</v>
      </c>
      <c r="I13" s="352">
        <f t="shared" si="3"/>
        <v>15</v>
      </c>
      <c r="J13" s="65"/>
      <c r="L13" t="s">
        <v>36</v>
      </c>
      <c r="M13" s="360">
        <v>50.0</v>
      </c>
      <c r="R13" s="488" t="s">
        <v>49</v>
      </c>
      <c r="S13" s="489">
        <v>50.0</v>
      </c>
      <c r="T13" s="490">
        <v>0.0</v>
      </c>
      <c r="U13" s="38" t="s">
        <v>234</v>
      </c>
    </row>
    <row r="14" ht="13.5" customHeight="1">
      <c r="A14" s="189" t="s">
        <v>49</v>
      </c>
      <c r="B14" s="491">
        <v>0.0</v>
      </c>
      <c r="C14" s="492">
        <f t="shared" si="1"/>
        <v>0</v>
      </c>
      <c r="D14" s="492">
        <v>0.0</v>
      </c>
      <c r="E14" s="492">
        <v>0.0</v>
      </c>
      <c r="F14" s="362">
        <v>0.0</v>
      </c>
      <c r="G14" s="363">
        <f t="shared" si="2"/>
        <v>0</v>
      </c>
      <c r="H14" s="493">
        <v>50.0</v>
      </c>
      <c r="I14" s="363">
        <f t="shared" si="3"/>
        <v>-50</v>
      </c>
      <c r="J14" s="65"/>
      <c r="L14" t="s">
        <v>55</v>
      </c>
      <c r="M14" s="360">
        <v>50.0</v>
      </c>
      <c r="R14" s="116" t="s">
        <v>93</v>
      </c>
      <c r="S14" s="118">
        <f t="shared" ref="S14:T14" si="4">SUM(S2:S13)</f>
        <v>600</v>
      </c>
      <c r="T14" s="119">
        <f t="shared" si="4"/>
        <v>0</v>
      </c>
    </row>
    <row r="15" ht="13.5" customHeight="1">
      <c r="A15" s="65"/>
      <c r="B15" s="65"/>
      <c r="C15" s="109">
        <f t="shared" ref="C15:I15" si="5">SUM(C3:C14)</f>
        <v>195</v>
      </c>
      <c r="D15" s="198">
        <f t="shared" si="5"/>
        <v>0</v>
      </c>
      <c r="E15" s="198">
        <f t="shared" si="5"/>
        <v>310</v>
      </c>
      <c r="F15" s="198">
        <f t="shared" si="5"/>
        <v>90</v>
      </c>
      <c r="G15" s="198">
        <f t="shared" si="5"/>
        <v>595</v>
      </c>
      <c r="H15" s="198">
        <f t="shared" si="5"/>
        <v>600</v>
      </c>
      <c r="I15" s="202">
        <f t="shared" si="5"/>
        <v>-5</v>
      </c>
      <c r="J15" s="65"/>
      <c r="L15" t="s">
        <v>44</v>
      </c>
      <c r="M15" s="360">
        <v>50.0</v>
      </c>
      <c r="R15" s="365"/>
      <c r="S15" s="366"/>
      <c r="T15" s="366"/>
    </row>
    <row r="16" ht="13.5" customHeight="1">
      <c r="A16" s="65"/>
      <c r="B16" s="65"/>
      <c r="C16" s="65"/>
      <c r="D16" s="65"/>
      <c r="E16" s="65"/>
      <c r="F16" s="65"/>
      <c r="G16" s="65"/>
      <c r="H16" s="65"/>
      <c r="I16" s="65"/>
      <c r="J16" s="65"/>
      <c r="L16" t="s">
        <v>39</v>
      </c>
      <c r="M16" s="360">
        <v>50.0</v>
      </c>
      <c r="R16" s="365"/>
      <c r="S16" s="366"/>
      <c r="T16" s="366"/>
    </row>
    <row r="17" ht="13.5" customHeight="1">
      <c r="A17" s="374" t="s">
        <v>94</v>
      </c>
      <c r="B17" s="376" t="s">
        <v>0</v>
      </c>
      <c r="C17" s="376" t="s">
        <v>95</v>
      </c>
      <c r="D17" s="376" t="s">
        <v>86</v>
      </c>
      <c r="E17" s="378" t="s">
        <v>96</v>
      </c>
      <c r="F17" s="65"/>
      <c r="G17" s="65"/>
      <c r="H17" s="65"/>
      <c r="I17" s="131"/>
      <c r="J17" s="131"/>
      <c r="R17" s="365"/>
      <c r="S17" s="366"/>
      <c r="T17" s="366"/>
    </row>
    <row r="18" ht="12.75" customHeight="1">
      <c r="A18" s="379" t="s">
        <v>97</v>
      </c>
      <c r="B18" s="494" t="s">
        <v>36</v>
      </c>
      <c r="C18" s="382">
        <v>15.0</v>
      </c>
      <c r="D18" s="494" t="s">
        <v>98</v>
      </c>
      <c r="E18" s="495">
        <v>100.2</v>
      </c>
      <c r="F18" s="65"/>
      <c r="G18" s="65"/>
      <c r="H18" s="65"/>
      <c r="I18" s="131"/>
      <c r="J18" s="131"/>
      <c r="R18" s="365"/>
      <c r="S18" s="366"/>
      <c r="T18" s="366"/>
    </row>
    <row r="19" ht="12.75" customHeight="1">
      <c r="A19" s="387" t="s">
        <v>100</v>
      </c>
      <c r="B19" s="496" t="s">
        <v>52</v>
      </c>
      <c r="C19" s="389">
        <v>15.0</v>
      </c>
      <c r="D19" s="496" t="s">
        <v>98</v>
      </c>
      <c r="E19" s="497">
        <v>111.9</v>
      </c>
      <c r="F19" s="65"/>
      <c r="G19" s="65"/>
      <c r="H19" s="65"/>
      <c r="I19" s="131"/>
      <c r="J19" s="131"/>
      <c r="Q19" t="s">
        <v>43</v>
      </c>
      <c r="R19" s="365" t="s">
        <v>235</v>
      </c>
      <c r="S19" s="366"/>
      <c r="T19" s="366"/>
    </row>
    <row r="20" ht="12.75" customHeight="1">
      <c r="A20" s="387" t="s">
        <v>101</v>
      </c>
      <c r="B20" s="496" t="s">
        <v>39</v>
      </c>
      <c r="C20" s="389">
        <v>15.0</v>
      </c>
      <c r="D20" s="496" t="s">
        <v>98</v>
      </c>
      <c r="E20" s="497">
        <v>116.3</v>
      </c>
      <c r="F20" s="65"/>
      <c r="G20" s="65"/>
      <c r="H20" s="65"/>
      <c r="I20" s="131"/>
      <c r="J20" s="131"/>
      <c r="Q20" t="s">
        <v>54</v>
      </c>
      <c r="R20" s="365" t="s">
        <v>236</v>
      </c>
      <c r="S20" s="366"/>
      <c r="T20" s="366"/>
    </row>
    <row r="21" ht="12.75" customHeight="1">
      <c r="A21" s="387" t="s">
        <v>111</v>
      </c>
      <c r="B21" s="496" t="s">
        <v>70</v>
      </c>
      <c r="C21" s="389">
        <v>15.0</v>
      </c>
      <c r="D21" s="498" t="s">
        <v>98</v>
      </c>
      <c r="E21" s="497">
        <v>115.8</v>
      </c>
      <c r="F21" s="65"/>
      <c r="G21" s="65"/>
      <c r="H21" s="65"/>
      <c r="I21" s="131"/>
      <c r="J21" s="131"/>
      <c r="Q21" t="s">
        <v>39</v>
      </c>
      <c r="R21" s="365" t="s">
        <v>237</v>
      </c>
      <c r="S21" s="366" t="s">
        <v>238</v>
      </c>
      <c r="T21" s="366" t="s">
        <v>239</v>
      </c>
    </row>
    <row r="22" ht="12.75" customHeight="1">
      <c r="A22" s="387" t="s">
        <v>113</v>
      </c>
      <c r="B22" s="496" t="s">
        <v>42</v>
      </c>
      <c r="C22" s="389">
        <v>15.0</v>
      </c>
      <c r="D22" s="496" t="s">
        <v>98</v>
      </c>
      <c r="E22" s="497">
        <v>107.3</v>
      </c>
      <c r="F22" s="65"/>
      <c r="G22" s="65"/>
      <c r="H22" s="65"/>
      <c r="I22" s="131"/>
      <c r="J22" s="131"/>
      <c r="Q22" t="s">
        <v>52</v>
      </c>
      <c r="R22" s="365" t="s">
        <v>237</v>
      </c>
      <c r="S22" s="366" t="s">
        <v>238</v>
      </c>
      <c r="T22" s="366" t="s">
        <v>239</v>
      </c>
    </row>
    <row r="23" ht="13.5" customHeight="1">
      <c r="A23" s="387" t="s">
        <v>116</v>
      </c>
      <c r="B23" s="496" t="s">
        <v>39</v>
      </c>
      <c r="C23" s="389">
        <v>15.0</v>
      </c>
      <c r="D23" s="496" t="s">
        <v>98</v>
      </c>
      <c r="E23" s="497">
        <v>96.4</v>
      </c>
      <c r="F23" s="65"/>
      <c r="G23" s="65"/>
      <c r="H23" s="65"/>
      <c r="I23" s="131"/>
      <c r="J23" s="131"/>
      <c r="Q23" t="s">
        <v>42</v>
      </c>
      <c r="R23" s="365" t="s">
        <v>237</v>
      </c>
      <c r="S23" s="366" t="s">
        <v>238</v>
      </c>
      <c r="T23" s="366" t="s">
        <v>240</v>
      </c>
    </row>
    <row r="24" ht="15.75" customHeight="1">
      <c r="A24" s="387" t="s">
        <v>118</v>
      </c>
      <c r="B24" s="496" t="s">
        <v>43</v>
      </c>
      <c r="C24" s="389">
        <v>15.0</v>
      </c>
      <c r="D24" s="496" t="s">
        <v>98</v>
      </c>
      <c r="E24" s="497">
        <v>107.6</v>
      </c>
      <c r="F24" s="65"/>
      <c r="G24" s="65"/>
      <c r="H24" s="65"/>
      <c r="I24" s="131"/>
      <c r="J24" s="385"/>
      <c r="R24" s="365"/>
      <c r="S24" s="366"/>
      <c r="T24" s="366"/>
    </row>
    <row r="25" ht="12.75" customHeight="1">
      <c r="A25" s="387" t="s">
        <v>120</v>
      </c>
      <c r="B25" s="496" t="s">
        <v>51</v>
      </c>
      <c r="C25" s="389">
        <v>15.0</v>
      </c>
      <c r="D25" s="496" t="s">
        <v>98</v>
      </c>
      <c r="E25" s="497">
        <v>106.0</v>
      </c>
      <c r="F25" s="65"/>
      <c r="G25" s="65"/>
      <c r="H25" s="65"/>
      <c r="I25" s="131"/>
      <c r="J25" s="313"/>
      <c r="R25" s="365"/>
      <c r="S25" s="366"/>
      <c r="T25" s="366"/>
    </row>
    <row r="26" ht="12.75" customHeight="1">
      <c r="A26" s="387" t="s">
        <v>122</v>
      </c>
      <c r="B26" s="496" t="s">
        <v>55</v>
      </c>
      <c r="C26" s="389">
        <v>15.0</v>
      </c>
      <c r="D26" s="496" t="s">
        <v>98</v>
      </c>
      <c r="E26" s="497">
        <v>98.7</v>
      </c>
      <c r="F26" s="65"/>
      <c r="G26" s="65"/>
      <c r="H26" s="65"/>
      <c r="I26" s="131"/>
      <c r="J26" s="220"/>
      <c r="R26" s="365"/>
      <c r="S26" s="366"/>
      <c r="T26" s="366"/>
    </row>
    <row r="27" ht="12.75" customHeight="1">
      <c r="A27" s="387" t="s">
        <v>124</v>
      </c>
      <c r="B27" s="496" t="s">
        <v>39</v>
      </c>
      <c r="C27" s="389">
        <v>15.0</v>
      </c>
      <c r="D27" s="496" t="s">
        <v>98</v>
      </c>
      <c r="E27" s="497">
        <v>100.5</v>
      </c>
      <c r="F27" s="65"/>
      <c r="G27" s="65"/>
      <c r="H27" s="65"/>
      <c r="I27" s="131"/>
      <c r="J27" s="220"/>
      <c r="R27" s="365"/>
      <c r="S27" s="366"/>
      <c r="T27" s="366"/>
    </row>
    <row r="28" ht="12.75" customHeight="1">
      <c r="A28" s="387" t="s">
        <v>126</v>
      </c>
      <c r="B28" s="496" t="s">
        <v>44</v>
      </c>
      <c r="C28" s="389">
        <v>15.0</v>
      </c>
      <c r="D28" s="496" t="s">
        <v>98</v>
      </c>
      <c r="E28" s="497">
        <v>127.2</v>
      </c>
      <c r="F28" s="65"/>
      <c r="G28" s="65"/>
      <c r="H28" s="65"/>
      <c r="I28" s="131"/>
      <c r="J28" s="220"/>
      <c r="R28" s="365"/>
      <c r="S28" s="366"/>
      <c r="T28" s="366"/>
    </row>
    <row r="29" ht="13.5" customHeight="1">
      <c r="A29" s="387" t="s">
        <v>129</v>
      </c>
      <c r="B29" s="496" t="s">
        <v>54</v>
      </c>
      <c r="C29" s="389">
        <v>15.0</v>
      </c>
      <c r="D29" s="496" t="s">
        <v>98</v>
      </c>
      <c r="E29" s="497">
        <v>120.0</v>
      </c>
      <c r="F29" s="65"/>
      <c r="G29" s="65"/>
      <c r="H29" s="65"/>
      <c r="I29" s="131"/>
      <c r="J29" s="313"/>
      <c r="R29" s="365"/>
      <c r="S29" s="366"/>
      <c r="T29" s="366"/>
    </row>
    <row r="30" ht="13.5" customHeight="1">
      <c r="A30" s="402" t="s">
        <v>131</v>
      </c>
      <c r="B30" s="501" t="s">
        <v>38</v>
      </c>
      <c r="C30" s="405">
        <v>15.0</v>
      </c>
      <c r="D30" s="501" t="s">
        <v>98</v>
      </c>
      <c r="E30" s="502">
        <v>135.7</v>
      </c>
      <c r="F30" s="65"/>
      <c r="G30" s="65"/>
      <c r="H30" s="65"/>
      <c r="I30" s="131"/>
      <c r="J30" s="225"/>
      <c r="N30" s="505" t="s">
        <v>102</v>
      </c>
      <c r="O30" s="506" t="s">
        <v>244</v>
      </c>
      <c r="P30" s="508" t="s">
        <v>104</v>
      </c>
      <c r="Q30" s="508" t="s">
        <v>105</v>
      </c>
      <c r="R30" s="508" t="s">
        <v>106</v>
      </c>
      <c r="S30" s="508" t="s">
        <v>107</v>
      </c>
      <c r="T30" s="508" t="s">
        <v>108</v>
      </c>
      <c r="U30" s="510" t="s">
        <v>109</v>
      </c>
    </row>
    <row r="31" ht="12.75" customHeight="1">
      <c r="A31" s="379" t="s">
        <v>90</v>
      </c>
      <c r="B31" s="494" t="s">
        <v>44</v>
      </c>
      <c r="C31" s="382">
        <v>50.0</v>
      </c>
      <c r="D31" s="494" t="s">
        <v>98</v>
      </c>
      <c r="E31" s="495" t="s">
        <v>196</v>
      </c>
      <c r="F31" s="65"/>
      <c r="G31" s="65"/>
      <c r="H31" s="65"/>
      <c r="I31" s="131"/>
      <c r="J31" s="313"/>
      <c r="N31" s="413">
        <v>1.0</v>
      </c>
      <c r="O31" s="513" t="s">
        <v>247</v>
      </c>
      <c r="P31" s="514">
        <v>9.0</v>
      </c>
      <c r="Q31" s="514">
        <v>4.0</v>
      </c>
      <c r="R31" s="514">
        <v>0.0</v>
      </c>
      <c r="S31" s="516">
        <v>0.0</v>
      </c>
      <c r="T31" s="514">
        <v>1122.0</v>
      </c>
      <c r="U31" s="518">
        <v>1025.0</v>
      </c>
    </row>
    <row r="32" ht="12.75" customHeight="1">
      <c r="A32" s="387" t="s">
        <v>78</v>
      </c>
      <c r="B32" s="496" t="s">
        <v>55</v>
      </c>
      <c r="C32" s="389">
        <v>50.0</v>
      </c>
      <c r="D32" s="496" t="s">
        <v>98</v>
      </c>
      <c r="E32" s="497" t="s">
        <v>196</v>
      </c>
      <c r="F32" s="65"/>
      <c r="G32" s="65"/>
      <c r="H32" s="65"/>
      <c r="I32" s="131"/>
      <c r="J32" s="220"/>
      <c r="N32" s="418">
        <v>2.0</v>
      </c>
      <c r="O32" s="523" t="s">
        <v>250</v>
      </c>
      <c r="P32" s="525">
        <v>9.0</v>
      </c>
      <c r="Q32" s="525">
        <v>4.0</v>
      </c>
      <c r="R32" s="525">
        <v>0.0</v>
      </c>
      <c r="S32" s="526">
        <v>0.0</v>
      </c>
      <c r="T32" s="527">
        <v>1068.6</v>
      </c>
      <c r="U32" s="528">
        <v>1041.3</v>
      </c>
    </row>
    <row r="33" ht="12.75" customHeight="1">
      <c r="A33" s="387" t="s">
        <v>212</v>
      </c>
      <c r="B33" s="496" t="s">
        <v>39</v>
      </c>
      <c r="C33" s="389">
        <v>105.0</v>
      </c>
      <c r="D33" s="496" t="s">
        <v>98</v>
      </c>
      <c r="E33" s="497" t="s">
        <v>196</v>
      </c>
      <c r="F33" s="65"/>
      <c r="G33" s="65"/>
      <c r="H33" s="231"/>
      <c r="I33" s="131"/>
      <c r="J33" s="313"/>
      <c r="N33" s="418">
        <v>3.0</v>
      </c>
      <c r="O33" s="532" t="s">
        <v>251</v>
      </c>
      <c r="P33" s="525">
        <v>7.0</v>
      </c>
      <c r="Q33" s="525">
        <v>6.0</v>
      </c>
      <c r="R33" s="525">
        <v>0.0</v>
      </c>
      <c r="S33" s="526">
        <v>2.0</v>
      </c>
      <c r="T33" s="527">
        <v>1067.3</v>
      </c>
      <c r="U33" s="528">
        <v>1052.0</v>
      </c>
    </row>
    <row r="34" ht="12.75" customHeight="1">
      <c r="A34" s="402" t="s">
        <v>140</v>
      </c>
      <c r="B34" s="501" t="s">
        <v>36</v>
      </c>
      <c r="C34" s="431">
        <v>195.0</v>
      </c>
      <c r="D34" s="501" t="s">
        <v>98</v>
      </c>
      <c r="E34" s="502" t="s">
        <v>196</v>
      </c>
      <c r="F34" s="412" t="s">
        <v>252</v>
      </c>
      <c r="G34" s="65"/>
      <c r="H34" s="231"/>
      <c r="I34" s="231"/>
      <c r="J34" s="220"/>
      <c r="N34" s="418">
        <v>4.0</v>
      </c>
      <c r="O34" s="535" t="s">
        <v>253</v>
      </c>
      <c r="P34" s="536">
        <v>9.0</v>
      </c>
      <c r="Q34" s="536">
        <v>4.0</v>
      </c>
      <c r="R34" s="536">
        <v>0.0</v>
      </c>
      <c r="S34" s="537">
        <v>0.0</v>
      </c>
      <c r="T34" s="538">
        <v>1001.7</v>
      </c>
      <c r="U34" s="539">
        <v>956.3</v>
      </c>
    </row>
    <row r="35" ht="12.75" customHeight="1">
      <c r="A35" s="242"/>
      <c r="B35" s="244"/>
      <c r="C35" s="435">
        <f>SUM(C18:C34)</f>
        <v>595</v>
      </c>
      <c r="D35" s="244"/>
      <c r="E35" s="234"/>
      <c r="F35" s="65"/>
      <c r="G35" s="65"/>
      <c r="H35" s="65"/>
      <c r="I35" s="231"/>
      <c r="J35" s="220"/>
      <c r="N35" s="438">
        <v>5.0</v>
      </c>
      <c r="O35" s="523" t="s">
        <v>254</v>
      </c>
      <c r="P35" s="527">
        <v>7.0</v>
      </c>
      <c r="Q35" s="527">
        <v>6.0</v>
      </c>
      <c r="R35" s="527">
        <v>0.0</v>
      </c>
      <c r="S35" s="526">
        <v>2.0</v>
      </c>
      <c r="T35" s="527">
        <v>1124.6</v>
      </c>
      <c r="U35" s="528">
        <v>1010.4</v>
      </c>
    </row>
    <row r="36" ht="12.75" customHeight="1">
      <c r="A36" s="242"/>
      <c r="B36" s="244"/>
      <c r="C36" s="246"/>
      <c r="D36" s="244"/>
      <c r="E36" s="234"/>
      <c r="F36" s="65"/>
      <c r="G36" s="65"/>
      <c r="H36" s="65"/>
      <c r="I36" s="231"/>
      <c r="J36" s="225"/>
      <c r="N36" s="445">
        <v>6.0</v>
      </c>
      <c r="O36" s="546" t="s">
        <v>255</v>
      </c>
      <c r="P36" s="547">
        <v>3.0</v>
      </c>
      <c r="Q36" s="547">
        <v>10.0</v>
      </c>
      <c r="R36" s="547">
        <v>0.0</v>
      </c>
      <c r="S36" s="548">
        <v>6.0</v>
      </c>
      <c r="T36" s="547">
        <v>1109.0</v>
      </c>
      <c r="U36" s="549">
        <v>1162.8</v>
      </c>
    </row>
    <row r="37" ht="12.75" customHeight="1">
      <c r="A37" s="242"/>
      <c r="B37" s="244"/>
      <c r="C37" s="246"/>
      <c r="D37" s="244"/>
      <c r="E37" s="234"/>
      <c r="F37" s="65"/>
      <c r="G37" s="65"/>
      <c r="H37" s="231"/>
      <c r="I37" s="131"/>
      <c r="J37" s="65"/>
      <c r="N37" s="450">
        <v>7.0</v>
      </c>
      <c r="O37" s="553" t="s">
        <v>258</v>
      </c>
      <c r="P37" s="554">
        <v>6.0</v>
      </c>
      <c r="Q37" s="554">
        <v>7.0</v>
      </c>
      <c r="R37" s="554">
        <v>0.0</v>
      </c>
      <c r="S37" s="555">
        <v>3.0</v>
      </c>
      <c r="T37" s="554">
        <v>1070.6</v>
      </c>
      <c r="U37" s="556">
        <v>1053.2</v>
      </c>
    </row>
    <row r="38" ht="12.75" customHeight="1">
      <c r="A38" s="242"/>
      <c r="B38" s="244"/>
      <c r="C38" s="246"/>
      <c r="D38" s="244"/>
      <c r="E38" s="234"/>
      <c r="F38" s="65"/>
      <c r="G38" s="65"/>
      <c r="H38" s="65"/>
      <c r="I38" s="131"/>
      <c r="J38" s="65"/>
      <c r="N38" s="456">
        <v>8.0</v>
      </c>
      <c r="O38" s="559" t="s">
        <v>259</v>
      </c>
      <c r="P38" s="561">
        <v>5.0</v>
      </c>
      <c r="Q38" s="561">
        <v>8.0</v>
      </c>
      <c r="R38" s="561">
        <v>0.0</v>
      </c>
      <c r="S38" s="563">
        <v>4.0</v>
      </c>
      <c r="T38" s="561">
        <v>1048.5</v>
      </c>
      <c r="U38" s="565">
        <v>1113.7</v>
      </c>
    </row>
    <row r="39" ht="12.75" customHeight="1">
      <c r="A39" s="242"/>
      <c r="B39" s="244"/>
      <c r="C39" s="246"/>
      <c r="D39" s="244"/>
      <c r="E39" s="234"/>
      <c r="F39" s="65"/>
      <c r="G39" s="65"/>
      <c r="H39" s="65"/>
      <c r="I39" s="131"/>
      <c r="J39" s="65"/>
      <c r="N39" s="466">
        <v>9.0</v>
      </c>
      <c r="O39" s="559" t="s">
        <v>152</v>
      </c>
      <c r="P39" s="561">
        <v>7.0</v>
      </c>
      <c r="Q39" s="561">
        <v>6.0</v>
      </c>
      <c r="R39" s="561">
        <v>0.0</v>
      </c>
      <c r="S39" s="563">
        <v>2.0</v>
      </c>
      <c r="T39" s="561">
        <v>1026.3</v>
      </c>
      <c r="U39" s="565">
        <v>1050.4</v>
      </c>
    </row>
    <row r="40" ht="12.75" customHeight="1">
      <c r="A40" s="242"/>
      <c r="B40" s="244"/>
      <c r="C40" s="246"/>
      <c r="D40" s="244"/>
      <c r="E40" s="234"/>
      <c r="F40" s="65"/>
      <c r="G40" s="65"/>
      <c r="H40" s="65"/>
      <c r="I40" s="131"/>
      <c r="J40" s="65"/>
      <c r="N40" s="456">
        <v>10.0</v>
      </c>
      <c r="O40" s="570" t="s">
        <v>261</v>
      </c>
      <c r="P40" s="571">
        <v>5.0</v>
      </c>
      <c r="Q40" s="571">
        <v>8.0</v>
      </c>
      <c r="R40" s="571">
        <v>0.0</v>
      </c>
      <c r="S40" s="573">
        <v>4.0</v>
      </c>
      <c r="T40" s="571">
        <v>1026.1</v>
      </c>
      <c r="U40" s="575">
        <v>1056.4</v>
      </c>
    </row>
    <row r="41" ht="12.75" customHeight="1">
      <c r="A41" s="242"/>
      <c r="B41" s="244"/>
      <c r="C41" s="246"/>
      <c r="D41" s="244"/>
      <c r="E41" s="234"/>
      <c r="F41" s="65"/>
      <c r="G41" s="65"/>
      <c r="H41" s="65"/>
      <c r="I41" s="131"/>
      <c r="J41" s="65"/>
      <c r="N41" s="474">
        <v>11.0</v>
      </c>
      <c r="O41" s="559" t="s">
        <v>262</v>
      </c>
      <c r="P41" s="571">
        <v>6.0</v>
      </c>
      <c r="Q41" s="571">
        <v>7.0</v>
      </c>
      <c r="R41" s="561">
        <v>0.0</v>
      </c>
      <c r="S41" s="563">
        <v>3.0</v>
      </c>
      <c r="T41" s="561">
        <v>992.2</v>
      </c>
      <c r="U41" s="565">
        <v>1042.7</v>
      </c>
    </row>
    <row r="42" ht="13.5" customHeight="1">
      <c r="A42" s="247"/>
      <c r="B42" s="248"/>
      <c r="C42" s="249"/>
      <c r="D42" s="248"/>
      <c r="E42" s="251"/>
      <c r="F42" s="65"/>
      <c r="G42" s="65"/>
      <c r="H42" s="65"/>
      <c r="I42" s="131"/>
      <c r="J42" s="65"/>
      <c r="N42" s="477">
        <v>12.0</v>
      </c>
      <c r="O42" s="583" t="s">
        <v>263</v>
      </c>
      <c r="P42" s="584">
        <v>5.0</v>
      </c>
      <c r="Q42" s="584">
        <v>8.0</v>
      </c>
      <c r="R42" s="584">
        <v>0.0</v>
      </c>
      <c r="S42" s="585">
        <v>4.0</v>
      </c>
      <c r="T42" s="584">
        <v>976.7</v>
      </c>
      <c r="U42" s="586">
        <v>1069.3</v>
      </c>
    </row>
    <row r="43" ht="12.75" customHeight="1">
      <c r="A43" s="131"/>
      <c r="B43" s="131"/>
      <c r="C43" s="252"/>
      <c r="D43" s="131"/>
      <c r="E43" s="65"/>
      <c r="F43" s="65"/>
      <c r="G43" s="65"/>
      <c r="H43" s="65"/>
      <c r="I43" s="131"/>
      <c r="J43" s="65"/>
      <c r="R43" s="365"/>
      <c r="S43" s="366"/>
      <c r="T43" s="366"/>
    </row>
    <row r="44" ht="12.75" customHeight="1">
      <c r="A44" s="131"/>
      <c r="B44" s="131"/>
      <c r="C44" s="65"/>
      <c r="D44" s="131"/>
      <c r="E44" s="65"/>
      <c r="F44" s="65"/>
      <c r="G44" s="65"/>
      <c r="H44" s="65"/>
      <c r="I44" s="131"/>
      <c r="J44" s="65"/>
      <c r="R44" s="365"/>
      <c r="S44" s="366"/>
      <c r="T44" s="366"/>
    </row>
    <row r="45" ht="12.75" customHeight="1">
      <c r="C45" s="588"/>
      <c r="E45" s="588"/>
      <c r="F45" s="588"/>
      <c r="G45" s="588"/>
      <c r="H45" s="588"/>
      <c r="J45" s="588"/>
      <c r="R45" s="365"/>
      <c r="S45" s="366"/>
      <c r="T45" s="366"/>
    </row>
    <row r="46" ht="12.75" customHeight="1">
      <c r="C46" s="588"/>
      <c r="E46" s="588"/>
      <c r="F46" s="588"/>
      <c r="G46" s="588"/>
      <c r="H46" s="588"/>
      <c r="J46" s="588"/>
      <c r="R46" s="365"/>
      <c r="S46" s="366"/>
      <c r="T46" s="366"/>
    </row>
    <row r="47" ht="12.75" customHeight="1">
      <c r="C47" s="588"/>
      <c r="E47" s="588"/>
      <c r="F47" s="588"/>
      <c r="G47" s="588"/>
      <c r="H47" s="588"/>
      <c r="J47" s="588"/>
      <c r="R47" s="365"/>
      <c r="S47" s="366"/>
      <c r="T47" s="366"/>
    </row>
    <row r="48" ht="12.75" customHeight="1">
      <c r="C48" s="588"/>
      <c r="E48" s="588"/>
      <c r="F48" s="588"/>
      <c r="G48" s="588"/>
      <c r="H48" s="588"/>
      <c r="J48" s="588"/>
      <c r="R48" s="365"/>
      <c r="S48" s="366"/>
      <c r="T48" s="366"/>
    </row>
    <row r="49" ht="12.75" customHeight="1">
      <c r="C49" s="588"/>
      <c r="E49" s="588"/>
      <c r="F49" s="588"/>
      <c r="G49" s="588"/>
      <c r="H49" s="588"/>
      <c r="J49" s="588"/>
      <c r="R49" s="365"/>
      <c r="S49" s="366"/>
      <c r="T49" s="366"/>
    </row>
    <row r="50" ht="12.75" customHeight="1">
      <c r="C50" s="588"/>
      <c r="E50" s="588"/>
      <c r="F50" s="588"/>
      <c r="G50" s="588"/>
      <c r="H50" s="588"/>
      <c r="J50" s="588"/>
      <c r="R50" s="365"/>
      <c r="S50" s="366"/>
      <c r="T50" s="366"/>
    </row>
    <row r="51" ht="12.75" customHeight="1">
      <c r="C51" s="588"/>
      <c r="E51" s="588"/>
      <c r="F51" s="588"/>
      <c r="G51" s="588"/>
      <c r="H51" s="588"/>
      <c r="J51" s="588"/>
      <c r="R51" s="365"/>
      <c r="S51" s="366"/>
      <c r="T51" s="366"/>
    </row>
    <row r="52" ht="12.75" customHeight="1">
      <c r="C52" s="588"/>
      <c r="E52" s="588"/>
      <c r="F52" s="588"/>
      <c r="G52" s="588"/>
      <c r="H52" s="588"/>
      <c r="J52" s="588"/>
      <c r="R52" s="365"/>
      <c r="S52" s="366"/>
      <c r="T52" s="366"/>
    </row>
    <row r="53" ht="12.75" customHeight="1">
      <c r="C53" s="588"/>
      <c r="E53" s="588"/>
      <c r="F53" s="588"/>
      <c r="G53" s="588"/>
      <c r="H53" s="588"/>
      <c r="J53" s="588"/>
      <c r="R53" s="365"/>
      <c r="S53" s="366"/>
      <c r="T53" s="366"/>
    </row>
    <row r="54" ht="12.75" customHeight="1">
      <c r="C54" s="588"/>
      <c r="E54" s="588"/>
      <c r="F54" s="588"/>
      <c r="G54" s="588"/>
      <c r="H54" s="588"/>
      <c r="J54" s="588"/>
      <c r="R54" s="365"/>
      <c r="S54" s="366"/>
      <c r="T54" s="366"/>
    </row>
    <row r="55" ht="12.75" customHeight="1">
      <c r="C55" s="588"/>
      <c r="E55" s="588"/>
      <c r="F55" s="588"/>
      <c r="G55" s="588"/>
      <c r="H55" s="588"/>
      <c r="J55" s="588"/>
      <c r="R55" s="365"/>
      <c r="S55" s="366"/>
      <c r="T55" s="366"/>
    </row>
    <row r="56" ht="12.75" customHeight="1">
      <c r="C56" s="588"/>
      <c r="E56" s="588"/>
      <c r="F56" s="588"/>
      <c r="G56" s="588"/>
      <c r="H56" s="588"/>
      <c r="J56" s="588"/>
      <c r="R56" s="365"/>
      <c r="S56" s="366"/>
      <c r="T56" s="366"/>
    </row>
    <row r="57" ht="12.75" customHeight="1">
      <c r="C57" s="588"/>
      <c r="E57" s="588"/>
      <c r="F57" s="588"/>
      <c r="G57" s="588"/>
      <c r="H57" s="588"/>
      <c r="J57" s="588"/>
      <c r="R57" s="365"/>
      <c r="S57" s="366"/>
      <c r="T57" s="366"/>
    </row>
    <row r="58" ht="12.75" customHeight="1">
      <c r="C58" s="588"/>
      <c r="E58" s="588"/>
      <c r="F58" s="588"/>
      <c r="G58" s="588"/>
      <c r="H58" s="588"/>
      <c r="J58" s="588"/>
      <c r="R58" s="365"/>
      <c r="S58" s="366"/>
      <c r="T58" s="366"/>
    </row>
    <row r="59" ht="12.75" customHeight="1">
      <c r="C59" s="588"/>
      <c r="E59" s="588"/>
      <c r="F59" s="588"/>
      <c r="G59" s="588"/>
      <c r="H59" s="588"/>
      <c r="J59" s="588"/>
      <c r="R59" s="365"/>
      <c r="S59" s="366"/>
      <c r="T59" s="366"/>
    </row>
    <row r="60" ht="12.75" customHeight="1">
      <c r="C60" s="588"/>
      <c r="E60" s="588"/>
      <c r="F60" s="588"/>
      <c r="G60" s="588"/>
      <c r="H60" s="588"/>
      <c r="J60" s="588"/>
      <c r="R60" s="365"/>
      <c r="S60" s="366"/>
      <c r="T60" s="366"/>
    </row>
    <row r="61" ht="12.75" customHeight="1">
      <c r="C61" s="588"/>
      <c r="E61" s="588"/>
      <c r="F61" s="588"/>
      <c r="G61" s="588"/>
      <c r="H61" s="588"/>
      <c r="J61" s="588"/>
      <c r="R61" s="365"/>
      <c r="S61" s="366"/>
      <c r="T61" s="366"/>
    </row>
    <row r="62" ht="12.75" customHeight="1">
      <c r="C62" s="588"/>
      <c r="E62" s="588"/>
      <c r="F62" s="588"/>
      <c r="G62" s="588"/>
      <c r="H62" s="588"/>
      <c r="J62" s="588"/>
      <c r="R62" s="365"/>
      <c r="S62" s="366"/>
      <c r="T62" s="366"/>
    </row>
    <row r="63" ht="12.75" customHeight="1">
      <c r="C63" s="588"/>
      <c r="E63" s="588"/>
      <c r="F63" s="588"/>
      <c r="G63" s="588"/>
      <c r="H63" s="588"/>
      <c r="J63" s="588"/>
      <c r="R63" s="365"/>
      <c r="S63" s="366"/>
      <c r="T63" s="366"/>
    </row>
    <row r="64" ht="12.75" customHeight="1">
      <c r="C64" s="588"/>
      <c r="E64" s="588"/>
      <c r="F64" s="588"/>
      <c r="G64" s="588"/>
      <c r="H64" s="588"/>
      <c r="J64" s="588"/>
      <c r="R64" s="365"/>
      <c r="S64" s="366"/>
      <c r="T64" s="366"/>
    </row>
    <row r="65" ht="12.75" customHeight="1">
      <c r="C65" s="588"/>
      <c r="E65" s="588"/>
      <c r="F65" s="588"/>
      <c r="G65" s="588"/>
      <c r="H65" s="588"/>
      <c r="J65" s="588"/>
      <c r="R65" s="365"/>
      <c r="S65" s="366"/>
      <c r="T65" s="366"/>
    </row>
    <row r="66" ht="12.75" customHeight="1">
      <c r="C66" s="588"/>
      <c r="E66" s="588"/>
      <c r="F66" s="588"/>
      <c r="G66" s="588"/>
      <c r="H66" s="588"/>
      <c r="J66" s="588"/>
      <c r="R66" s="365"/>
      <c r="S66" s="366"/>
      <c r="T66" s="366"/>
    </row>
    <row r="67" ht="12.75" customHeight="1">
      <c r="C67" s="588"/>
      <c r="E67" s="588"/>
      <c r="F67" s="588"/>
      <c r="G67" s="588"/>
      <c r="H67" s="588"/>
      <c r="J67" s="588"/>
      <c r="R67" s="365"/>
      <c r="S67" s="366"/>
      <c r="T67" s="366"/>
    </row>
    <row r="68" ht="12.75" customHeight="1">
      <c r="C68" s="588"/>
      <c r="E68" s="588"/>
      <c r="F68" s="588"/>
      <c r="G68" s="588"/>
      <c r="H68" s="588"/>
      <c r="J68" s="588"/>
      <c r="R68" s="365"/>
      <c r="S68" s="366"/>
      <c r="T68" s="366"/>
    </row>
    <row r="69" ht="12.75" customHeight="1">
      <c r="C69" s="588"/>
      <c r="E69" s="588"/>
      <c r="F69" s="588"/>
      <c r="G69" s="588"/>
      <c r="H69" s="588"/>
      <c r="J69" s="588"/>
      <c r="R69" s="365"/>
      <c r="S69" s="366"/>
      <c r="T69" s="366"/>
    </row>
    <row r="70" ht="12.75" customHeight="1">
      <c r="C70" s="588"/>
      <c r="E70" s="588"/>
      <c r="F70" s="588"/>
      <c r="G70" s="588"/>
      <c r="H70" s="588"/>
      <c r="J70" s="588"/>
      <c r="R70" s="365"/>
      <c r="S70" s="366"/>
      <c r="T70" s="366"/>
    </row>
    <row r="71" ht="12.75" customHeight="1">
      <c r="C71" s="588"/>
      <c r="E71" s="588"/>
      <c r="F71" s="588"/>
      <c r="G71" s="588"/>
      <c r="H71" s="588"/>
      <c r="J71" s="588"/>
      <c r="R71" s="365"/>
      <c r="S71" s="366"/>
      <c r="T71" s="366"/>
    </row>
    <row r="72" ht="12.75" customHeight="1">
      <c r="C72" s="588"/>
      <c r="E72" s="588"/>
      <c r="F72" s="588"/>
      <c r="G72" s="588"/>
      <c r="H72" s="588"/>
      <c r="J72" s="588"/>
      <c r="R72" s="365"/>
      <c r="S72" s="366"/>
      <c r="T72" s="366"/>
    </row>
    <row r="73" ht="12.75" customHeight="1">
      <c r="C73" s="588"/>
      <c r="E73" s="588"/>
      <c r="F73" s="588"/>
      <c r="G73" s="588"/>
      <c r="H73" s="588"/>
      <c r="J73" s="588"/>
      <c r="R73" s="365"/>
      <c r="S73" s="366"/>
      <c r="T73" s="366"/>
    </row>
    <row r="74" ht="12.75" customHeight="1">
      <c r="C74" s="588"/>
      <c r="E74" s="588"/>
      <c r="F74" s="588"/>
      <c r="G74" s="588"/>
      <c r="H74" s="588"/>
      <c r="J74" s="588"/>
      <c r="R74" s="365"/>
      <c r="S74" s="366"/>
      <c r="T74" s="366"/>
    </row>
    <row r="75" ht="12.75" customHeight="1">
      <c r="C75" s="588"/>
      <c r="E75" s="588"/>
      <c r="F75" s="588"/>
      <c r="G75" s="588"/>
      <c r="H75" s="588"/>
      <c r="J75" s="588"/>
      <c r="R75" s="365"/>
      <c r="S75" s="366"/>
      <c r="T75" s="366"/>
    </row>
    <row r="76" ht="12.75" customHeight="1">
      <c r="C76" s="588"/>
      <c r="E76" s="588"/>
      <c r="F76" s="588"/>
      <c r="G76" s="588"/>
      <c r="H76" s="588"/>
      <c r="J76" s="588"/>
      <c r="R76" s="365"/>
      <c r="S76" s="366"/>
      <c r="T76" s="366"/>
    </row>
    <row r="77" ht="12.75" customHeight="1">
      <c r="C77" s="588"/>
      <c r="E77" s="588"/>
      <c r="F77" s="588"/>
      <c r="G77" s="588"/>
      <c r="H77" s="588"/>
      <c r="J77" s="588"/>
      <c r="R77" s="365"/>
      <c r="S77" s="366"/>
      <c r="T77" s="366"/>
    </row>
    <row r="78" ht="12.75" customHeight="1">
      <c r="C78" s="588"/>
      <c r="E78" s="588"/>
      <c r="F78" s="588"/>
      <c r="G78" s="588"/>
      <c r="H78" s="588"/>
      <c r="J78" s="588"/>
      <c r="R78" s="365"/>
      <c r="S78" s="366"/>
      <c r="T78" s="366"/>
    </row>
    <row r="79" ht="12.75" customHeight="1">
      <c r="C79" s="588"/>
      <c r="E79" s="588"/>
      <c r="F79" s="588"/>
      <c r="G79" s="588"/>
      <c r="H79" s="588"/>
      <c r="J79" s="588"/>
      <c r="R79" s="365"/>
      <c r="S79" s="366"/>
      <c r="T79" s="366"/>
    </row>
    <row r="80" ht="12.75" customHeight="1">
      <c r="C80" s="588"/>
      <c r="E80" s="588"/>
      <c r="F80" s="588"/>
      <c r="G80" s="588"/>
      <c r="H80" s="588"/>
      <c r="J80" s="588"/>
      <c r="R80" s="365"/>
      <c r="S80" s="366"/>
      <c r="T80" s="366"/>
    </row>
    <row r="81" ht="12.75" customHeight="1">
      <c r="C81" s="588"/>
      <c r="E81" s="588"/>
      <c r="F81" s="588"/>
      <c r="G81" s="588"/>
      <c r="H81" s="588"/>
      <c r="J81" s="588"/>
      <c r="R81" s="365"/>
      <c r="S81" s="366"/>
      <c r="T81" s="366"/>
    </row>
    <row r="82" ht="12.75" customHeight="1">
      <c r="C82" s="588"/>
      <c r="E82" s="588"/>
      <c r="F82" s="588"/>
      <c r="G82" s="588"/>
      <c r="H82" s="588"/>
      <c r="J82" s="588"/>
      <c r="R82" s="365"/>
      <c r="S82" s="366"/>
      <c r="T82" s="366"/>
    </row>
    <row r="83" ht="12.75" customHeight="1">
      <c r="C83" s="588"/>
      <c r="E83" s="588"/>
      <c r="F83" s="588"/>
      <c r="G83" s="588"/>
      <c r="H83" s="588"/>
      <c r="J83" s="588"/>
      <c r="R83" s="365"/>
      <c r="S83" s="366"/>
      <c r="T83" s="366"/>
    </row>
    <row r="84" ht="12.75" customHeight="1">
      <c r="C84" s="588"/>
      <c r="E84" s="588"/>
      <c r="F84" s="588"/>
      <c r="G84" s="588"/>
      <c r="H84" s="588"/>
      <c r="J84" s="588"/>
      <c r="R84" s="365"/>
      <c r="S84" s="366"/>
      <c r="T84" s="366"/>
    </row>
    <row r="85" ht="12.75" customHeight="1">
      <c r="C85" s="588"/>
      <c r="E85" s="588"/>
      <c r="F85" s="588"/>
      <c r="G85" s="588"/>
      <c r="H85" s="588"/>
      <c r="J85" s="588"/>
      <c r="R85" s="365"/>
      <c r="S85" s="366"/>
      <c r="T85" s="366"/>
    </row>
    <row r="86" ht="12.75" customHeight="1">
      <c r="C86" s="588"/>
      <c r="E86" s="588"/>
      <c r="F86" s="588"/>
      <c r="G86" s="588"/>
      <c r="H86" s="588"/>
      <c r="J86" s="588"/>
      <c r="R86" s="365"/>
      <c r="S86" s="366"/>
      <c r="T86" s="366"/>
    </row>
    <row r="87" ht="12.75" customHeight="1">
      <c r="C87" s="588"/>
      <c r="E87" s="588"/>
      <c r="F87" s="588"/>
      <c r="G87" s="588"/>
      <c r="H87" s="588"/>
      <c r="J87" s="588"/>
      <c r="R87" s="365"/>
      <c r="S87" s="366"/>
      <c r="T87" s="366"/>
    </row>
    <row r="88" ht="12.75" customHeight="1">
      <c r="C88" s="588"/>
      <c r="E88" s="588"/>
      <c r="F88" s="588"/>
      <c r="G88" s="588"/>
      <c r="H88" s="588"/>
      <c r="J88" s="588"/>
      <c r="R88" s="365"/>
      <c r="S88" s="366"/>
      <c r="T88" s="366"/>
    </row>
    <row r="89" ht="12.75" customHeight="1">
      <c r="C89" s="588"/>
      <c r="E89" s="588"/>
      <c r="F89" s="588"/>
      <c r="G89" s="588"/>
      <c r="H89" s="588"/>
      <c r="J89" s="588"/>
      <c r="R89" s="365"/>
      <c r="S89" s="366"/>
      <c r="T89" s="366"/>
    </row>
    <row r="90" ht="12.75" customHeight="1">
      <c r="C90" s="588"/>
      <c r="E90" s="588"/>
      <c r="F90" s="588"/>
      <c r="G90" s="588"/>
      <c r="H90" s="588"/>
      <c r="J90" s="588"/>
      <c r="R90" s="365"/>
      <c r="S90" s="366"/>
      <c r="T90" s="366"/>
    </row>
    <row r="91" ht="12.75" customHeight="1">
      <c r="C91" s="588"/>
      <c r="E91" s="588"/>
      <c r="F91" s="588"/>
      <c r="G91" s="588"/>
      <c r="H91" s="588"/>
      <c r="J91" s="588"/>
      <c r="R91" s="365"/>
      <c r="S91" s="366"/>
      <c r="T91" s="366"/>
    </row>
    <row r="92" ht="12.75" customHeight="1">
      <c r="C92" s="588"/>
      <c r="E92" s="588"/>
      <c r="F92" s="588"/>
      <c r="G92" s="588"/>
      <c r="H92" s="588"/>
      <c r="J92" s="588"/>
      <c r="R92" s="365"/>
      <c r="S92" s="366"/>
      <c r="T92" s="366"/>
    </row>
    <row r="93" ht="12.75" customHeight="1">
      <c r="C93" s="588"/>
      <c r="E93" s="588"/>
      <c r="F93" s="588"/>
      <c r="G93" s="588"/>
      <c r="H93" s="588"/>
      <c r="J93" s="588"/>
      <c r="R93" s="365"/>
      <c r="S93" s="366"/>
      <c r="T93" s="366"/>
    </row>
    <row r="94" ht="12.75" customHeight="1">
      <c r="C94" s="588"/>
      <c r="E94" s="588"/>
      <c r="F94" s="588"/>
      <c r="G94" s="588"/>
      <c r="H94" s="588"/>
      <c r="J94" s="588"/>
      <c r="R94" s="365"/>
      <c r="S94" s="366"/>
      <c r="T94" s="366"/>
    </row>
    <row r="95" ht="12.75" customHeight="1">
      <c r="C95" s="588"/>
      <c r="E95" s="588"/>
      <c r="F95" s="588"/>
      <c r="G95" s="588"/>
      <c r="H95" s="588"/>
      <c r="J95" s="588"/>
      <c r="R95" s="365"/>
      <c r="S95" s="366"/>
      <c r="T95" s="366"/>
    </row>
    <row r="96" ht="12.75" customHeight="1">
      <c r="C96" s="588"/>
      <c r="E96" s="588"/>
      <c r="F96" s="588"/>
      <c r="G96" s="588"/>
      <c r="H96" s="588"/>
      <c r="J96" s="588"/>
      <c r="R96" s="365"/>
      <c r="S96" s="366"/>
      <c r="T96" s="366"/>
    </row>
    <row r="97" ht="12.75" customHeight="1">
      <c r="C97" s="588"/>
      <c r="E97" s="588"/>
      <c r="F97" s="588"/>
      <c r="G97" s="588"/>
      <c r="H97" s="588"/>
      <c r="J97" s="588"/>
      <c r="R97" s="365"/>
      <c r="S97" s="366"/>
      <c r="T97" s="366"/>
    </row>
    <row r="98" ht="12.75" customHeight="1">
      <c r="C98" s="588"/>
      <c r="E98" s="588"/>
      <c r="F98" s="588"/>
      <c r="G98" s="588"/>
      <c r="H98" s="588"/>
      <c r="J98" s="588"/>
      <c r="R98" s="365"/>
      <c r="S98" s="366"/>
      <c r="T98" s="366"/>
    </row>
    <row r="99" ht="12.75" customHeight="1">
      <c r="C99" s="588"/>
      <c r="E99" s="588"/>
      <c r="F99" s="588"/>
      <c r="G99" s="588"/>
      <c r="H99" s="588"/>
      <c r="J99" s="588"/>
      <c r="R99" s="365"/>
      <c r="S99" s="366"/>
      <c r="T99" s="366"/>
    </row>
    <row r="100" ht="12.75" customHeight="1">
      <c r="C100" s="588"/>
      <c r="E100" s="588"/>
      <c r="F100" s="588"/>
      <c r="G100" s="588"/>
      <c r="H100" s="588"/>
      <c r="J100" s="588"/>
      <c r="R100" s="365"/>
      <c r="S100" s="366"/>
      <c r="T100" s="366"/>
    </row>
    <row r="101" ht="12.75" customHeight="1">
      <c r="C101" s="588"/>
      <c r="E101" s="588"/>
      <c r="F101" s="588"/>
      <c r="G101" s="588"/>
      <c r="H101" s="588"/>
      <c r="J101" s="588"/>
      <c r="R101" s="365"/>
      <c r="S101" s="366"/>
      <c r="T101" s="366"/>
    </row>
    <row r="102" ht="12.75" customHeight="1">
      <c r="C102" s="588"/>
      <c r="E102" s="588"/>
      <c r="F102" s="588"/>
      <c r="G102" s="588"/>
      <c r="H102" s="588"/>
      <c r="J102" s="588"/>
      <c r="R102" s="365"/>
      <c r="S102" s="366"/>
      <c r="T102" s="366"/>
    </row>
    <row r="103" ht="12.75" customHeight="1">
      <c r="C103" s="588"/>
      <c r="E103" s="588"/>
      <c r="F103" s="588"/>
      <c r="G103" s="588"/>
      <c r="H103" s="588"/>
      <c r="J103" s="588"/>
      <c r="R103" s="365"/>
      <c r="S103" s="366"/>
      <c r="T103" s="366"/>
    </row>
    <row r="104" ht="12.75" customHeight="1">
      <c r="C104" s="588"/>
      <c r="E104" s="588"/>
      <c r="F104" s="588"/>
      <c r="G104" s="588"/>
      <c r="H104" s="588"/>
      <c r="J104" s="588"/>
      <c r="R104" s="365"/>
      <c r="S104" s="366"/>
      <c r="T104" s="366"/>
    </row>
    <row r="105" ht="12.75" customHeight="1">
      <c r="C105" s="588"/>
      <c r="E105" s="588"/>
      <c r="F105" s="588"/>
      <c r="G105" s="588"/>
      <c r="H105" s="588"/>
      <c r="J105" s="588"/>
      <c r="R105" s="365"/>
      <c r="S105" s="366"/>
      <c r="T105" s="366"/>
    </row>
    <row r="106" ht="12.75" customHeight="1">
      <c r="C106" s="588"/>
      <c r="E106" s="588"/>
      <c r="F106" s="588"/>
      <c r="G106" s="588"/>
      <c r="H106" s="588"/>
      <c r="J106" s="588"/>
      <c r="R106" s="365"/>
      <c r="S106" s="366"/>
      <c r="T106" s="366"/>
    </row>
    <row r="107" ht="12.75" customHeight="1">
      <c r="C107" s="588"/>
      <c r="E107" s="588"/>
      <c r="F107" s="588"/>
      <c r="G107" s="588"/>
      <c r="H107" s="588"/>
      <c r="J107" s="588"/>
      <c r="R107" s="365"/>
      <c r="S107" s="366"/>
      <c r="T107" s="366"/>
    </row>
    <row r="108" ht="12.75" customHeight="1">
      <c r="C108" s="588"/>
      <c r="E108" s="588"/>
      <c r="F108" s="588"/>
      <c r="G108" s="588"/>
      <c r="H108" s="588"/>
      <c r="J108" s="588"/>
      <c r="R108" s="365"/>
      <c r="S108" s="366"/>
      <c r="T108" s="366"/>
    </row>
    <row r="109" ht="12.75" customHeight="1">
      <c r="C109" s="588"/>
      <c r="E109" s="588"/>
      <c r="F109" s="588"/>
      <c r="G109" s="588"/>
      <c r="H109" s="588"/>
      <c r="J109" s="588"/>
      <c r="R109" s="365"/>
      <c r="S109" s="366"/>
      <c r="T109" s="366"/>
    </row>
    <row r="110" ht="12.75" customHeight="1">
      <c r="C110" s="588"/>
      <c r="E110" s="588"/>
      <c r="F110" s="588"/>
      <c r="G110" s="588"/>
      <c r="H110" s="588"/>
      <c r="J110" s="588"/>
      <c r="R110" s="365"/>
      <c r="S110" s="366"/>
      <c r="T110" s="366"/>
    </row>
    <row r="111" ht="12.75" customHeight="1">
      <c r="C111" s="588"/>
      <c r="E111" s="588"/>
      <c r="F111" s="588"/>
      <c r="G111" s="588"/>
      <c r="H111" s="588"/>
      <c r="J111" s="588"/>
      <c r="R111" s="365"/>
      <c r="S111" s="366"/>
      <c r="T111" s="366"/>
    </row>
    <row r="112" ht="12.75" customHeight="1">
      <c r="C112" s="588"/>
      <c r="E112" s="588"/>
      <c r="F112" s="588"/>
      <c r="G112" s="588"/>
      <c r="H112" s="588"/>
      <c r="J112" s="588"/>
      <c r="R112" s="365"/>
      <c r="S112" s="366"/>
      <c r="T112" s="366"/>
    </row>
    <row r="113" ht="12.75" customHeight="1">
      <c r="C113" s="588"/>
      <c r="E113" s="588"/>
      <c r="F113" s="588"/>
      <c r="G113" s="588"/>
      <c r="H113" s="588"/>
      <c r="J113" s="588"/>
      <c r="R113" s="365"/>
      <c r="S113" s="366"/>
      <c r="T113" s="366"/>
    </row>
    <row r="114" ht="12.75" customHeight="1">
      <c r="C114" s="588"/>
      <c r="E114" s="588"/>
      <c r="F114" s="588"/>
      <c r="G114" s="588"/>
      <c r="H114" s="588"/>
      <c r="J114" s="588"/>
      <c r="R114" s="365"/>
      <c r="S114" s="366"/>
      <c r="T114" s="366"/>
    </row>
    <row r="115" ht="12.75" customHeight="1">
      <c r="C115" s="588"/>
      <c r="E115" s="588"/>
      <c r="F115" s="588"/>
      <c r="G115" s="588"/>
      <c r="H115" s="588"/>
      <c r="J115" s="588"/>
      <c r="R115" s="365"/>
      <c r="S115" s="366"/>
      <c r="T115" s="366"/>
    </row>
    <row r="116" ht="12.75" customHeight="1">
      <c r="C116" s="588"/>
      <c r="E116" s="588"/>
      <c r="F116" s="588"/>
      <c r="G116" s="588"/>
      <c r="H116" s="588"/>
      <c r="J116" s="588"/>
      <c r="R116" s="365"/>
      <c r="S116" s="366"/>
      <c r="T116" s="366"/>
    </row>
    <row r="117" ht="12.75" customHeight="1">
      <c r="C117" s="588"/>
      <c r="E117" s="588"/>
      <c r="F117" s="588"/>
      <c r="G117" s="588"/>
      <c r="H117" s="588"/>
      <c r="J117" s="588"/>
      <c r="R117" s="365"/>
      <c r="S117" s="366"/>
      <c r="T117" s="366"/>
    </row>
    <row r="118" ht="12.75" customHeight="1">
      <c r="C118" s="588"/>
      <c r="E118" s="588"/>
      <c r="F118" s="588"/>
      <c r="G118" s="588"/>
      <c r="H118" s="588"/>
      <c r="J118" s="588"/>
      <c r="R118" s="365"/>
      <c r="S118" s="366"/>
      <c r="T118" s="366"/>
    </row>
    <row r="119" ht="12.75" customHeight="1">
      <c r="C119" s="588"/>
      <c r="E119" s="588"/>
      <c r="F119" s="588"/>
      <c r="G119" s="588"/>
      <c r="H119" s="588"/>
      <c r="J119" s="588"/>
      <c r="R119" s="365"/>
      <c r="S119" s="366"/>
      <c r="T119" s="366"/>
    </row>
    <row r="120" ht="12.75" customHeight="1">
      <c r="C120" s="588"/>
      <c r="E120" s="588"/>
      <c r="F120" s="588"/>
      <c r="G120" s="588"/>
      <c r="H120" s="588"/>
      <c r="J120" s="588"/>
      <c r="R120" s="365"/>
      <c r="S120" s="366"/>
      <c r="T120" s="366"/>
    </row>
    <row r="121" ht="12.75" customHeight="1">
      <c r="C121" s="588"/>
      <c r="E121" s="588"/>
      <c r="F121" s="588"/>
      <c r="G121" s="588"/>
      <c r="H121" s="588"/>
      <c r="J121" s="588"/>
      <c r="R121" s="365"/>
      <c r="S121" s="366"/>
      <c r="T121" s="366"/>
    </row>
    <row r="122" ht="12.75" customHeight="1">
      <c r="C122" s="588"/>
      <c r="E122" s="588"/>
      <c r="F122" s="588"/>
      <c r="G122" s="588"/>
      <c r="H122" s="588"/>
      <c r="J122" s="588"/>
      <c r="R122" s="365"/>
      <c r="S122" s="366"/>
      <c r="T122" s="366"/>
    </row>
    <row r="123" ht="12.75" customHeight="1">
      <c r="C123" s="588"/>
      <c r="E123" s="588"/>
      <c r="F123" s="588"/>
      <c r="G123" s="588"/>
      <c r="H123" s="588"/>
      <c r="J123" s="588"/>
      <c r="R123" s="365"/>
      <c r="S123" s="366"/>
      <c r="T123" s="366"/>
    </row>
    <row r="124" ht="12.75" customHeight="1">
      <c r="C124" s="588"/>
      <c r="E124" s="588"/>
      <c r="F124" s="588"/>
      <c r="G124" s="588"/>
      <c r="H124" s="588"/>
      <c r="J124" s="588"/>
      <c r="R124" s="365"/>
      <c r="S124" s="366"/>
      <c r="T124" s="366"/>
    </row>
    <row r="125" ht="12.75" customHeight="1">
      <c r="C125" s="588"/>
      <c r="E125" s="588"/>
      <c r="F125" s="588"/>
      <c r="G125" s="588"/>
      <c r="H125" s="588"/>
      <c r="J125" s="588"/>
      <c r="R125" s="365"/>
      <c r="S125" s="366"/>
      <c r="T125" s="366"/>
    </row>
    <row r="126" ht="12.75" customHeight="1">
      <c r="C126" s="588"/>
      <c r="E126" s="588"/>
      <c r="F126" s="588"/>
      <c r="G126" s="588"/>
      <c r="H126" s="588"/>
      <c r="J126" s="588"/>
      <c r="R126" s="365"/>
      <c r="S126" s="366"/>
      <c r="T126" s="366"/>
    </row>
    <row r="127" ht="12.75" customHeight="1">
      <c r="C127" s="588"/>
      <c r="E127" s="588"/>
      <c r="F127" s="588"/>
      <c r="G127" s="588"/>
      <c r="H127" s="588"/>
      <c r="J127" s="588"/>
      <c r="R127" s="365"/>
      <c r="S127" s="366"/>
      <c r="T127" s="366"/>
    </row>
    <row r="128" ht="12.75" customHeight="1">
      <c r="C128" s="588"/>
      <c r="E128" s="588"/>
      <c r="F128" s="588"/>
      <c r="G128" s="588"/>
      <c r="H128" s="588"/>
      <c r="J128" s="588"/>
      <c r="R128" s="365"/>
      <c r="S128" s="366"/>
      <c r="T128" s="366"/>
    </row>
    <row r="129" ht="12.75" customHeight="1">
      <c r="C129" s="588"/>
      <c r="E129" s="588"/>
      <c r="F129" s="588"/>
      <c r="G129" s="588"/>
      <c r="H129" s="588"/>
      <c r="J129" s="588"/>
      <c r="R129" s="365"/>
      <c r="S129" s="366"/>
      <c r="T129" s="366"/>
    </row>
    <row r="130" ht="12.75" customHeight="1">
      <c r="C130" s="588"/>
      <c r="E130" s="588"/>
      <c r="F130" s="588"/>
      <c r="G130" s="588"/>
      <c r="H130" s="588"/>
      <c r="J130" s="588"/>
      <c r="R130" s="365"/>
      <c r="S130" s="366"/>
      <c r="T130" s="366"/>
    </row>
    <row r="131" ht="12.75" customHeight="1">
      <c r="C131" s="588"/>
      <c r="E131" s="588"/>
      <c r="F131" s="588"/>
      <c r="G131" s="588"/>
      <c r="H131" s="588"/>
      <c r="J131" s="588"/>
      <c r="R131" s="365"/>
      <c r="S131" s="366"/>
      <c r="T131" s="366"/>
    </row>
    <row r="132" ht="12.75" customHeight="1">
      <c r="C132" s="588"/>
      <c r="E132" s="588"/>
      <c r="F132" s="588"/>
      <c r="G132" s="588"/>
      <c r="H132" s="588"/>
      <c r="J132" s="588"/>
      <c r="R132" s="365"/>
      <c r="S132" s="366"/>
      <c r="T132" s="366"/>
    </row>
    <row r="133" ht="12.75" customHeight="1">
      <c r="C133" s="588"/>
      <c r="E133" s="588"/>
      <c r="F133" s="588"/>
      <c r="G133" s="588"/>
      <c r="H133" s="588"/>
      <c r="J133" s="588"/>
      <c r="R133" s="365"/>
      <c r="S133" s="366"/>
      <c r="T133" s="366"/>
    </row>
    <row r="134" ht="12.75" customHeight="1">
      <c r="C134" s="588"/>
      <c r="E134" s="588"/>
      <c r="F134" s="588"/>
      <c r="G134" s="588"/>
      <c r="H134" s="588"/>
      <c r="J134" s="588"/>
      <c r="R134" s="365"/>
      <c r="S134" s="366"/>
      <c r="T134" s="366"/>
    </row>
    <row r="135" ht="12.75" customHeight="1">
      <c r="C135" s="588"/>
      <c r="E135" s="588"/>
      <c r="F135" s="588"/>
      <c r="G135" s="588"/>
      <c r="H135" s="588"/>
      <c r="J135" s="588"/>
      <c r="R135" s="365"/>
      <c r="S135" s="366"/>
      <c r="T135" s="366"/>
    </row>
    <row r="136" ht="12.75" customHeight="1">
      <c r="C136" s="588"/>
      <c r="E136" s="588"/>
      <c r="F136" s="588"/>
      <c r="G136" s="588"/>
      <c r="H136" s="588"/>
      <c r="J136" s="588"/>
      <c r="R136" s="365"/>
      <c r="S136" s="366"/>
      <c r="T136" s="366"/>
    </row>
    <row r="137" ht="12.75" customHeight="1">
      <c r="C137" s="588"/>
      <c r="E137" s="588"/>
      <c r="F137" s="588"/>
      <c r="G137" s="588"/>
      <c r="H137" s="588"/>
      <c r="J137" s="588"/>
      <c r="R137" s="365"/>
      <c r="S137" s="366"/>
      <c r="T137" s="366"/>
    </row>
    <row r="138" ht="12.75" customHeight="1">
      <c r="C138" s="588"/>
      <c r="E138" s="588"/>
      <c r="F138" s="588"/>
      <c r="G138" s="588"/>
      <c r="H138" s="588"/>
      <c r="J138" s="588"/>
      <c r="R138" s="365"/>
      <c r="S138" s="366"/>
      <c r="T138" s="366"/>
    </row>
    <row r="139" ht="12.75" customHeight="1">
      <c r="C139" s="588"/>
      <c r="E139" s="588"/>
      <c r="F139" s="588"/>
      <c r="G139" s="588"/>
      <c r="H139" s="588"/>
      <c r="J139" s="588"/>
      <c r="R139" s="365"/>
      <c r="S139" s="366"/>
      <c r="T139" s="366"/>
    </row>
    <row r="140" ht="12.75" customHeight="1">
      <c r="C140" s="588"/>
      <c r="E140" s="588"/>
      <c r="F140" s="588"/>
      <c r="G140" s="588"/>
      <c r="H140" s="588"/>
      <c r="J140" s="588"/>
      <c r="R140" s="365"/>
      <c r="S140" s="366"/>
      <c r="T140" s="366"/>
    </row>
    <row r="141" ht="12.75" customHeight="1">
      <c r="C141" s="588"/>
      <c r="E141" s="588"/>
      <c r="F141" s="588"/>
      <c r="G141" s="588"/>
      <c r="H141" s="588"/>
      <c r="J141" s="588"/>
      <c r="R141" s="365"/>
      <c r="S141" s="366"/>
      <c r="T141" s="366"/>
    </row>
    <row r="142" ht="12.75" customHeight="1">
      <c r="C142" s="588"/>
      <c r="E142" s="588"/>
      <c r="F142" s="588"/>
      <c r="G142" s="588"/>
      <c r="H142" s="588"/>
      <c r="J142" s="588"/>
      <c r="R142" s="365"/>
      <c r="S142" s="366"/>
      <c r="T142" s="366"/>
    </row>
    <row r="143" ht="12.75" customHeight="1">
      <c r="C143" s="588"/>
      <c r="E143" s="588"/>
      <c r="F143" s="588"/>
      <c r="G143" s="588"/>
      <c r="H143" s="588"/>
      <c r="J143" s="588"/>
      <c r="R143" s="365"/>
      <c r="S143" s="366"/>
      <c r="T143" s="366"/>
    </row>
    <row r="144" ht="12.75" customHeight="1">
      <c r="C144" s="588"/>
      <c r="E144" s="588"/>
      <c r="F144" s="588"/>
      <c r="G144" s="588"/>
      <c r="H144" s="588"/>
      <c r="J144" s="588"/>
      <c r="R144" s="365"/>
      <c r="S144" s="366"/>
      <c r="T144" s="366"/>
    </row>
    <row r="145" ht="12.75" customHeight="1">
      <c r="C145" s="588"/>
      <c r="E145" s="588"/>
      <c r="F145" s="588"/>
      <c r="G145" s="588"/>
      <c r="H145" s="588"/>
      <c r="J145" s="588"/>
      <c r="R145" s="365"/>
      <c r="S145" s="366"/>
      <c r="T145" s="366"/>
    </row>
    <row r="146" ht="12.75" customHeight="1">
      <c r="C146" s="588"/>
      <c r="E146" s="588"/>
      <c r="F146" s="588"/>
      <c r="G146" s="588"/>
      <c r="H146" s="588"/>
      <c r="J146" s="588"/>
      <c r="R146" s="365"/>
      <c r="S146" s="366"/>
      <c r="T146" s="366"/>
    </row>
    <row r="147" ht="12.75" customHeight="1">
      <c r="C147" s="588"/>
      <c r="E147" s="588"/>
      <c r="F147" s="588"/>
      <c r="G147" s="588"/>
      <c r="H147" s="588"/>
      <c r="J147" s="588"/>
      <c r="R147" s="365"/>
      <c r="S147" s="366"/>
      <c r="T147" s="366"/>
    </row>
    <row r="148" ht="12.75" customHeight="1">
      <c r="C148" s="588"/>
      <c r="E148" s="588"/>
      <c r="F148" s="588"/>
      <c r="G148" s="588"/>
      <c r="H148" s="588"/>
      <c r="J148" s="588"/>
      <c r="R148" s="365"/>
      <c r="S148" s="366"/>
      <c r="T148" s="366"/>
    </row>
    <row r="149" ht="12.75" customHeight="1">
      <c r="C149" s="588"/>
      <c r="E149" s="588"/>
      <c r="F149" s="588"/>
      <c r="G149" s="588"/>
      <c r="H149" s="588"/>
      <c r="J149" s="588"/>
      <c r="R149" s="365"/>
      <c r="S149" s="366"/>
      <c r="T149" s="366"/>
    </row>
    <row r="150" ht="12.75" customHeight="1">
      <c r="C150" s="588"/>
      <c r="E150" s="588"/>
      <c r="F150" s="588"/>
      <c r="G150" s="588"/>
      <c r="H150" s="588"/>
      <c r="J150" s="588"/>
      <c r="R150" s="365"/>
      <c r="S150" s="366"/>
      <c r="T150" s="366"/>
    </row>
    <row r="151" ht="12.75" customHeight="1">
      <c r="C151" s="588"/>
      <c r="E151" s="588"/>
      <c r="F151" s="588"/>
      <c r="G151" s="588"/>
      <c r="H151" s="588"/>
      <c r="J151" s="588"/>
      <c r="R151" s="365"/>
      <c r="S151" s="366"/>
      <c r="T151" s="366"/>
    </row>
    <row r="152" ht="12.75" customHeight="1">
      <c r="C152" s="588"/>
      <c r="E152" s="588"/>
      <c r="F152" s="588"/>
      <c r="G152" s="588"/>
      <c r="H152" s="588"/>
      <c r="J152" s="588"/>
      <c r="R152" s="365"/>
      <c r="S152" s="366"/>
      <c r="T152" s="366"/>
    </row>
    <row r="153" ht="12.75" customHeight="1">
      <c r="C153" s="588"/>
      <c r="E153" s="588"/>
      <c r="F153" s="588"/>
      <c r="G153" s="588"/>
      <c r="H153" s="588"/>
      <c r="J153" s="588"/>
      <c r="R153" s="365"/>
      <c r="S153" s="366"/>
      <c r="T153" s="366"/>
    </row>
    <row r="154" ht="12.75" customHeight="1">
      <c r="C154" s="588"/>
      <c r="E154" s="588"/>
      <c r="F154" s="588"/>
      <c r="G154" s="588"/>
      <c r="H154" s="588"/>
      <c r="J154" s="588"/>
      <c r="R154" s="365"/>
      <c r="S154" s="366"/>
      <c r="T154" s="366"/>
    </row>
    <row r="155" ht="12.75" customHeight="1">
      <c r="C155" s="588"/>
      <c r="E155" s="588"/>
      <c r="F155" s="588"/>
      <c r="G155" s="588"/>
      <c r="H155" s="588"/>
      <c r="J155" s="588"/>
      <c r="R155" s="365"/>
      <c r="S155" s="366"/>
      <c r="T155" s="366"/>
    </row>
    <row r="156" ht="12.75" customHeight="1">
      <c r="C156" s="588"/>
      <c r="E156" s="588"/>
      <c r="F156" s="588"/>
      <c r="G156" s="588"/>
      <c r="H156" s="588"/>
      <c r="J156" s="588"/>
      <c r="R156" s="365"/>
      <c r="S156" s="366"/>
      <c r="T156" s="366"/>
    </row>
    <row r="157" ht="12.75" customHeight="1">
      <c r="C157" s="588"/>
      <c r="E157" s="588"/>
      <c r="F157" s="588"/>
      <c r="G157" s="588"/>
      <c r="H157" s="588"/>
      <c r="J157" s="588"/>
      <c r="R157" s="365"/>
      <c r="S157" s="366"/>
      <c r="T157" s="366"/>
    </row>
    <row r="158" ht="12.75" customHeight="1">
      <c r="C158" s="588"/>
      <c r="E158" s="588"/>
      <c r="F158" s="588"/>
      <c r="G158" s="588"/>
      <c r="H158" s="588"/>
      <c r="J158" s="588"/>
      <c r="R158" s="365"/>
      <c r="S158" s="366"/>
      <c r="T158" s="366"/>
    </row>
    <row r="159" ht="12.75" customHeight="1">
      <c r="C159" s="588"/>
      <c r="E159" s="588"/>
      <c r="F159" s="588"/>
      <c r="G159" s="588"/>
      <c r="H159" s="588"/>
      <c r="J159" s="588"/>
      <c r="R159" s="365"/>
      <c r="S159" s="366"/>
      <c r="T159" s="366"/>
    </row>
    <row r="160" ht="12.75" customHeight="1">
      <c r="C160" s="588"/>
      <c r="E160" s="588"/>
      <c r="F160" s="588"/>
      <c r="G160" s="588"/>
      <c r="H160" s="588"/>
      <c r="J160" s="588"/>
      <c r="R160" s="365"/>
      <c r="S160" s="366"/>
      <c r="T160" s="366"/>
    </row>
    <row r="161" ht="12.75" customHeight="1">
      <c r="C161" s="588"/>
      <c r="E161" s="588"/>
      <c r="F161" s="588"/>
      <c r="G161" s="588"/>
      <c r="H161" s="588"/>
      <c r="J161" s="588"/>
      <c r="R161" s="365"/>
      <c r="S161" s="366"/>
      <c r="T161" s="366"/>
    </row>
    <row r="162" ht="12.75" customHeight="1">
      <c r="C162" s="588"/>
      <c r="E162" s="588"/>
      <c r="F162" s="588"/>
      <c r="G162" s="588"/>
      <c r="H162" s="588"/>
      <c r="J162" s="588"/>
      <c r="R162" s="365"/>
      <c r="S162" s="366"/>
      <c r="T162" s="366"/>
    </row>
    <row r="163" ht="12.75" customHeight="1">
      <c r="C163" s="588"/>
      <c r="E163" s="588"/>
      <c r="F163" s="588"/>
      <c r="G163" s="588"/>
      <c r="H163" s="588"/>
      <c r="J163" s="588"/>
      <c r="R163" s="365"/>
      <c r="S163" s="366"/>
      <c r="T163" s="366"/>
    </row>
    <row r="164" ht="12.75" customHeight="1">
      <c r="C164" s="588"/>
      <c r="E164" s="588"/>
      <c r="F164" s="588"/>
      <c r="G164" s="588"/>
      <c r="H164" s="588"/>
      <c r="J164" s="588"/>
      <c r="R164" s="365"/>
      <c r="S164" s="366"/>
      <c r="T164" s="366"/>
    </row>
    <row r="165" ht="12.75" customHeight="1">
      <c r="C165" s="588"/>
      <c r="E165" s="588"/>
      <c r="F165" s="588"/>
      <c r="G165" s="588"/>
      <c r="H165" s="588"/>
      <c r="J165" s="588"/>
      <c r="R165" s="365"/>
      <c r="S165" s="366"/>
      <c r="T165" s="366"/>
    </row>
    <row r="166" ht="12.75" customHeight="1">
      <c r="C166" s="588"/>
      <c r="E166" s="588"/>
      <c r="F166" s="588"/>
      <c r="G166" s="588"/>
      <c r="H166" s="588"/>
      <c r="J166" s="588"/>
      <c r="R166" s="365"/>
      <c r="S166" s="366"/>
      <c r="T166" s="366"/>
    </row>
    <row r="167" ht="12.75" customHeight="1">
      <c r="C167" s="588"/>
      <c r="E167" s="588"/>
      <c r="F167" s="588"/>
      <c r="G167" s="588"/>
      <c r="H167" s="588"/>
      <c r="J167" s="588"/>
      <c r="R167" s="365"/>
      <c r="S167" s="366"/>
      <c r="T167" s="366"/>
    </row>
    <row r="168" ht="12.75" customHeight="1">
      <c r="C168" s="588"/>
      <c r="E168" s="588"/>
      <c r="F168" s="588"/>
      <c r="G168" s="588"/>
      <c r="H168" s="588"/>
      <c r="J168" s="588"/>
      <c r="R168" s="365"/>
      <c r="S168" s="366"/>
      <c r="T168" s="366"/>
    </row>
    <row r="169" ht="12.75" customHeight="1">
      <c r="C169" s="588"/>
      <c r="E169" s="588"/>
      <c r="F169" s="588"/>
      <c r="G169" s="588"/>
      <c r="H169" s="588"/>
      <c r="J169" s="588"/>
      <c r="R169" s="365"/>
      <c r="S169" s="366"/>
      <c r="T169" s="366"/>
    </row>
    <row r="170" ht="12.75" customHeight="1">
      <c r="C170" s="588"/>
      <c r="E170" s="588"/>
      <c r="F170" s="588"/>
      <c r="G170" s="588"/>
      <c r="H170" s="588"/>
      <c r="J170" s="588"/>
      <c r="R170" s="365"/>
      <c r="S170" s="366"/>
      <c r="T170" s="366"/>
    </row>
    <row r="171" ht="12.75" customHeight="1">
      <c r="C171" s="588"/>
      <c r="E171" s="588"/>
      <c r="F171" s="588"/>
      <c r="G171" s="588"/>
      <c r="H171" s="588"/>
      <c r="J171" s="588"/>
      <c r="R171" s="365"/>
      <c r="S171" s="366"/>
      <c r="T171" s="366"/>
    </row>
    <row r="172" ht="12.75" customHeight="1">
      <c r="C172" s="588"/>
      <c r="E172" s="588"/>
      <c r="F172" s="588"/>
      <c r="G172" s="588"/>
      <c r="H172" s="588"/>
      <c r="J172" s="588"/>
      <c r="R172" s="365"/>
      <c r="S172" s="366"/>
      <c r="T172" s="366"/>
    </row>
    <row r="173" ht="12.75" customHeight="1">
      <c r="C173" s="588"/>
      <c r="E173" s="588"/>
      <c r="F173" s="588"/>
      <c r="G173" s="588"/>
      <c r="H173" s="588"/>
      <c r="J173" s="588"/>
      <c r="R173" s="365"/>
      <c r="S173" s="366"/>
      <c r="T173" s="366"/>
    </row>
    <row r="174" ht="12.75" customHeight="1">
      <c r="C174" s="588"/>
      <c r="E174" s="588"/>
      <c r="F174" s="588"/>
      <c r="G174" s="588"/>
      <c r="H174" s="588"/>
      <c r="J174" s="588"/>
      <c r="R174" s="365"/>
      <c r="S174" s="366"/>
      <c r="T174" s="366"/>
    </row>
    <row r="175" ht="12.75" customHeight="1">
      <c r="C175" s="588"/>
      <c r="E175" s="588"/>
      <c r="F175" s="588"/>
      <c r="G175" s="588"/>
      <c r="H175" s="588"/>
      <c r="J175" s="588"/>
      <c r="R175" s="365"/>
      <c r="S175" s="366"/>
      <c r="T175" s="366"/>
    </row>
    <row r="176" ht="12.75" customHeight="1">
      <c r="C176" s="588"/>
      <c r="E176" s="588"/>
      <c r="F176" s="588"/>
      <c r="G176" s="588"/>
      <c r="H176" s="588"/>
      <c r="J176" s="588"/>
      <c r="R176" s="365"/>
      <c r="S176" s="366"/>
      <c r="T176" s="366"/>
    </row>
    <row r="177" ht="12.75" customHeight="1">
      <c r="C177" s="588"/>
      <c r="E177" s="588"/>
      <c r="F177" s="588"/>
      <c r="G177" s="588"/>
      <c r="H177" s="588"/>
      <c r="J177" s="588"/>
      <c r="R177" s="365"/>
      <c r="S177" s="366"/>
      <c r="T177" s="366"/>
    </row>
    <row r="178" ht="12.75" customHeight="1">
      <c r="C178" s="588"/>
      <c r="E178" s="588"/>
      <c r="F178" s="588"/>
      <c r="G178" s="588"/>
      <c r="H178" s="588"/>
      <c r="J178" s="588"/>
      <c r="R178" s="365"/>
      <c r="S178" s="366"/>
      <c r="T178" s="366"/>
    </row>
    <row r="179" ht="12.75" customHeight="1">
      <c r="C179" s="588"/>
      <c r="E179" s="588"/>
      <c r="F179" s="588"/>
      <c r="G179" s="588"/>
      <c r="H179" s="588"/>
      <c r="J179" s="588"/>
      <c r="R179" s="365"/>
      <c r="S179" s="366"/>
      <c r="T179" s="366"/>
    </row>
    <row r="180" ht="12.75" customHeight="1">
      <c r="C180" s="588"/>
      <c r="E180" s="588"/>
      <c r="F180" s="588"/>
      <c r="G180" s="588"/>
      <c r="H180" s="588"/>
      <c r="J180" s="588"/>
      <c r="R180" s="365"/>
      <c r="S180" s="366"/>
      <c r="T180" s="366"/>
    </row>
    <row r="181" ht="12.75" customHeight="1">
      <c r="C181" s="588"/>
      <c r="E181" s="588"/>
      <c r="F181" s="588"/>
      <c r="G181" s="588"/>
      <c r="H181" s="588"/>
      <c r="J181" s="588"/>
      <c r="R181" s="365"/>
      <c r="S181" s="366"/>
      <c r="T181" s="366"/>
    </row>
    <row r="182" ht="12.75" customHeight="1">
      <c r="C182" s="588"/>
      <c r="E182" s="588"/>
      <c r="F182" s="588"/>
      <c r="G182" s="588"/>
      <c r="H182" s="588"/>
      <c r="J182" s="588"/>
      <c r="R182" s="365"/>
      <c r="S182" s="366"/>
      <c r="T182" s="366"/>
    </row>
    <row r="183" ht="12.75" customHeight="1">
      <c r="C183" s="588"/>
      <c r="E183" s="588"/>
      <c r="F183" s="588"/>
      <c r="G183" s="588"/>
      <c r="H183" s="588"/>
      <c r="J183" s="588"/>
      <c r="R183" s="365"/>
      <c r="S183" s="366"/>
      <c r="T183" s="366"/>
    </row>
    <row r="184" ht="12.75" customHeight="1">
      <c r="C184" s="588"/>
      <c r="E184" s="588"/>
      <c r="F184" s="588"/>
      <c r="G184" s="588"/>
      <c r="H184" s="588"/>
      <c r="J184" s="588"/>
      <c r="R184" s="365"/>
      <c r="S184" s="366"/>
      <c r="T184" s="366"/>
    </row>
    <row r="185" ht="12.75" customHeight="1">
      <c r="C185" s="588"/>
      <c r="E185" s="588"/>
      <c r="F185" s="588"/>
      <c r="G185" s="588"/>
      <c r="H185" s="588"/>
      <c r="J185" s="588"/>
      <c r="R185" s="365"/>
      <c r="S185" s="366"/>
      <c r="T185" s="366"/>
    </row>
    <row r="186" ht="12.75" customHeight="1">
      <c r="C186" s="588"/>
      <c r="E186" s="588"/>
      <c r="F186" s="588"/>
      <c r="G186" s="588"/>
      <c r="H186" s="588"/>
      <c r="J186" s="588"/>
      <c r="R186" s="365"/>
      <c r="S186" s="366"/>
      <c r="T186" s="366"/>
    </row>
    <row r="187" ht="12.75" customHeight="1">
      <c r="C187" s="588"/>
      <c r="E187" s="588"/>
      <c r="F187" s="588"/>
      <c r="G187" s="588"/>
      <c r="H187" s="588"/>
      <c r="J187" s="588"/>
      <c r="R187" s="365"/>
      <c r="S187" s="366"/>
      <c r="T187" s="366"/>
    </row>
    <row r="188" ht="12.75" customHeight="1">
      <c r="C188" s="588"/>
      <c r="E188" s="588"/>
      <c r="F188" s="588"/>
      <c r="G188" s="588"/>
      <c r="H188" s="588"/>
      <c r="J188" s="588"/>
      <c r="R188" s="365"/>
      <c r="S188" s="366"/>
      <c r="T188" s="366"/>
    </row>
    <row r="189" ht="12.75" customHeight="1">
      <c r="C189" s="588"/>
      <c r="E189" s="588"/>
      <c r="F189" s="588"/>
      <c r="G189" s="588"/>
      <c r="H189" s="588"/>
      <c r="J189" s="588"/>
      <c r="R189" s="365"/>
      <c r="S189" s="366"/>
      <c r="T189" s="366"/>
    </row>
    <row r="190" ht="12.75" customHeight="1">
      <c r="C190" s="588"/>
      <c r="E190" s="588"/>
      <c r="F190" s="588"/>
      <c r="G190" s="588"/>
      <c r="H190" s="588"/>
      <c r="J190" s="588"/>
      <c r="R190" s="365"/>
      <c r="S190" s="366"/>
      <c r="T190" s="366"/>
    </row>
    <row r="191" ht="12.75" customHeight="1">
      <c r="C191" s="588"/>
      <c r="E191" s="588"/>
      <c r="F191" s="588"/>
      <c r="G191" s="588"/>
      <c r="H191" s="588"/>
      <c r="J191" s="588"/>
      <c r="R191" s="365"/>
      <c r="S191" s="366"/>
      <c r="T191" s="366"/>
    </row>
    <row r="192" ht="12.75" customHeight="1">
      <c r="C192" s="588"/>
      <c r="E192" s="588"/>
      <c r="F192" s="588"/>
      <c r="G192" s="588"/>
      <c r="H192" s="588"/>
      <c r="J192" s="588"/>
      <c r="R192" s="365"/>
      <c r="S192" s="366"/>
      <c r="T192" s="366"/>
    </row>
    <row r="193" ht="12.75" customHeight="1">
      <c r="C193" s="588"/>
      <c r="E193" s="588"/>
      <c r="F193" s="588"/>
      <c r="G193" s="588"/>
      <c r="H193" s="588"/>
      <c r="J193" s="588"/>
      <c r="R193" s="365"/>
      <c r="S193" s="366"/>
      <c r="T193" s="366"/>
    </row>
    <row r="194" ht="12.75" customHeight="1">
      <c r="C194" s="588"/>
      <c r="E194" s="588"/>
      <c r="F194" s="588"/>
      <c r="G194" s="588"/>
      <c r="H194" s="588"/>
      <c r="J194" s="588"/>
      <c r="R194" s="365"/>
      <c r="S194" s="366"/>
      <c r="T194" s="366"/>
    </row>
    <row r="195" ht="12.75" customHeight="1">
      <c r="C195" s="588"/>
      <c r="E195" s="588"/>
      <c r="F195" s="588"/>
      <c r="G195" s="588"/>
      <c r="H195" s="588"/>
      <c r="J195" s="588"/>
      <c r="R195" s="365"/>
      <c r="S195" s="366"/>
      <c r="T195" s="366"/>
    </row>
    <row r="196" ht="12.75" customHeight="1">
      <c r="C196" s="588"/>
      <c r="E196" s="588"/>
      <c r="F196" s="588"/>
      <c r="G196" s="588"/>
      <c r="H196" s="588"/>
      <c r="J196" s="588"/>
      <c r="R196" s="365"/>
      <c r="S196" s="366"/>
      <c r="T196" s="366"/>
    </row>
    <row r="197" ht="12.75" customHeight="1">
      <c r="C197" s="588"/>
      <c r="E197" s="588"/>
      <c r="F197" s="588"/>
      <c r="G197" s="588"/>
      <c r="H197" s="588"/>
      <c r="J197" s="588"/>
      <c r="R197" s="365"/>
      <c r="S197" s="366"/>
      <c r="T197" s="366"/>
    </row>
    <row r="198" ht="12.75" customHeight="1">
      <c r="C198" s="588"/>
      <c r="E198" s="588"/>
      <c r="F198" s="588"/>
      <c r="G198" s="588"/>
      <c r="H198" s="588"/>
      <c r="J198" s="588"/>
      <c r="R198" s="365"/>
      <c r="S198" s="366"/>
      <c r="T198" s="366"/>
    </row>
    <row r="199" ht="12.75" customHeight="1">
      <c r="C199" s="588"/>
      <c r="E199" s="588"/>
      <c r="F199" s="588"/>
      <c r="G199" s="588"/>
      <c r="H199" s="588"/>
      <c r="J199" s="588"/>
      <c r="R199" s="365"/>
      <c r="S199" s="366"/>
      <c r="T199" s="366"/>
    </row>
    <row r="200" ht="12.75" customHeight="1">
      <c r="C200" s="588"/>
      <c r="E200" s="588"/>
      <c r="F200" s="588"/>
      <c r="G200" s="588"/>
      <c r="H200" s="588"/>
      <c r="J200" s="588"/>
      <c r="R200" s="365"/>
      <c r="S200" s="366"/>
      <c r="T200" s="366"/>
    </row>
    <row r="201" ht="12.75" customHeight="1">
      <c r="C201" s="588"/>
      <c r="E201" s="588"/>
      <c r="F201" s="588"/>
      <c r="G201" s="588"/>
      <c r="H201" s="588"/>
      <c r="J201" s="588"/>
      <c r="R201" s="365"/>
      <c r="S201" s="366"/>
      <c r="T201" s="366"/>
    </row>
    <row r="202" ht="12.75" customHeight="1">
      <c r="C202" s="588"/>
      <c r="E202" s="588"/>
      <c r="F202" s="588"/>
      <c r="G202" s="588"/>
      <c r="H202" s="588"/>
      <c r="J202" s="588"/>
      <c r="R202" s="365"/>
      <c r="S202" s="366"/>
      <c r="T202" s="366"/>
    </row>
    <row r="203" ht="12.75" customHeight="1">
      <c r="C203" s="588"/>
      <c r="E203" s="588"/>
      <c r="F203" s="588"/>
      <c r="G203" s="588"/>
      <c r="H203" s="588"/>
      <c r="J203" s="588"/>
      <c r="R203" s="365"/>
      <c r="S203" s="366"/>
      <c r="T203" s="366"/>
    </row>
    <row r="204" ht="12.75" customHeight="1">
      <c r="C204" s="588"/>
      <c r="E204" s="588"/>
      <c r="F204" s="588"/>
      <c r="G204" s="588"/>
      <c r="H204" s="588"/>
      <c r="J204" s="588"/>
      <c r="R204" s="365"/>
      <c r="S204" s="366"/>
      <c r="T204" s="366"/>
    </row>
    <row r="205" ht="12.75" customHeight="1">
      <c r="C205" s="588"/>
      <c r="E205" s="588"/>
      <c r="F205" s="588"/>
      <c r="G205" s="588"/>
      <c r="H205" s="588"/>
      <c r="J205" s="588"/>
      <c r="R205" s="365"/>
      <c r="S205" s="366"/>
      <c r="T205" s="366"/>
    </row>
    <row r="206" ht="12.75" customHeight="1">
      <c r="C206" s="588"/>
      <c r="E206" s="588"/>
      <c r="F206" s="588"/>
      <c r="G206" s="588"/>
      <c r="H206" s="588"/>
      <c r="J206" s="588"/>
      <c r="R206" s="365"/>
      <c r="S206" s="366"/>
      <c r="T206" s="366"/>
    </row>
    <row r="207" ht="12.75" customHeight="1">
      <c r="C207" s="588"/>
      <c r="E207" s="588"/>
      <c r="F207" s="588"/>
      <c r="G207" s="588"/>
      <c r="H207" s="588"/>
      <c r="J207" s="588"/>
      <c r="R207" s="365"/>
      <c r="S207" s="366"/>
      <c r="T207" s="366"/>
    </row>
    <row r="208" ht="12.75" customHeight="1">
      <c r="C208" s="588"/>
      <c r="E208" s="588"/>
      <c r="F208" s="588"/>
      <c r="G208" s="588"/>
      <c r="H208" s="588"/>
      <c r="J208" s="588"/>
      <c r="R208" s="365"/>
      <c r="S208" s="366"/>
      <c r="T208" s="366"/>
    </row>
    <row r="209" ht="12.75" customHeight="1">
      <c r="C209" s="588"/>
      <c r="E209" s="588"/>
      <c r="F209" s="588"/>
      <c r="G209" s="588"/>
      <c r="H209" s="588"/>
      <c r="J209" s="588"/>
      <c r="R209" s="365"/>
      <c r="S209" s="366"/>
      <c r="T209" s="366"/>
    </row>
    <row r="210" ht="12.75" customHeight="1">
      <c r="C210" s="588"/>
      <c r="E210" s="588"/>
      <c r="F210" s="588"/>
      <c r="G210" s="588"/>
      <c r="H210" s="588"/>
      <c r="J210" s="588"/>
      <c r="R210" s="365"/>
      <c r="S210" s="366"/>
      <c r="T210" s="366"/>
    </row>
    <row r="211" ht="12.75" customHeight="1">
      <c r="C211" s="588"/>
      <c r="E211" s="588"/>
      <c r="F211" s="588"/>
      <c r="G211" s="588"/>
      <c r="H211" s="588"/>
      <c r="J211" s="588"/>
      <c r="R211" s="365"/>
      <c r="S211" s="366"/>
      <c r="T211" s="366"/>
    </row>
    <row r="212" ht="12.75" customHeight="1">
      <c r="C212" s="588"/>
      <c r="E212" s="588"/>
      <c r="F212" s="588"/>
      <c r="G212" s="588"/>
      <c r="H212" s="588"/>
      <c r="J212" s="588"/>
      <c r="R212" s="365"/>
      <c r="S212" s="366"/>
      <c r="T212" s="366"/>
    </row>
    <row r="213" ht="12.75" customHeight="1">
      <c r="C213" s="588"/>
      <c r="E213" s="588"/>
      <c r="F213" s="588"/>
      <c r="G213" s="588"/>
      <c r="H213" s="588"/>
      <c r="J213" s="588"/>
      <c r="R213" s="365"/>
      <c r="S213" s="366"/>
      <c r="T213" s="366"/>
    </row>
    <row r="214" ht="12.75" customHeight="1">
      <c r="C214" s="588"/>
      <c r="E214" s="588"/>
      <c r="F214" s="588"/>
      <c r="G214" s="588"/>
      <c r="H214" s="588"/>
      <c r="J214" s="588"/>
      <c r="R214" s="365"/>
      <c r="S214" s="366"/>
      <c r="T214" s="366"/>
    </row>
    <row r="215" ht="12.75" customHeight="1">
      <c r="C215" s="588"/>
      <c r="E215" s="588"/>
      <c r="F215" s="588"/>
      <c r="G215" s="588"/>
      <c r="H215" s="588"/>
      <c r="J215" s="588"/>
      <c r="R215" s="365"/>
      <c r="S215" s="366"/>
      <c r="T215" s="366"/>
    </row>
    <row r="216" ht="12.75" customHeight="1">
      <c r="C216" s="588"/>
      <c r="E216" s="588"/>
      <c r="F216" s="588"/>
      <c r="G216" s="588"/>
      <c r="H216" s="588"/>
      <c r="J216" s="588"/>
      <c r="R216" s="365"/>
      <c r="S216" s="366"/>
      <c r="T216" s="366"/>
    </row>
    <row r="217" ht="12.75" customHeight="1">
      <c r="C217" s="588"/>
      <c r="E217" s="588"/>
      <c r="F217" s="588"/>
      <c r="G217" s="588"/>
      <c r="H217" s="588"/>
      <c r="J217" s="588"/>
      <c r="R217" s="365"/>
      <c r="S217" s="366"/>
      <c r="T217" s="366"/>
    </row>
    <row r="218" ht="12.75" customHeight="1">
      <c r="C218" s="588"/>
      <c r="E218" s="588"/>
      <c r="F218" s="588"/>
      <c r="G218" s="588"/>
      <c r="H218" s="588"/>
      <c r="J218" s="588"/>
      <c r="R218" s="365"/>
      <c r="S218" s="366"/>
      <c r="T218" s="366"/>
    </row>
    <row r="219" ht="12.75" customHeight="1">
      <c r="C219" s="588"/>
      <c r="E219" s="588"/>
      <c r="F219" s="588"/>
      <c r="G219" s="588"/>
      <c r="H219" s="588"/>
      <c r="J219" s="588"/>
      <c r="R219" s="365"/>
      <c r="S219" s="366"/>
      <c r="T219" s="366"/>
    </row>
    <row r="220" ht="12.75" customHeight="1">
      <c r="C220" s="588"/>
      <c r="E220" s="588"/>
      <c r="F220" s="588"/>
      <c r="G220" s="588"/>
      <c r="H220" s="588"/>
      <c r="J220" s="588"/>
      <c r="R220" s="365"/>
      <c r="S220" s="366"/>
      <c r="T220" s="366"/>
    </row>
    <row r="221" ht="12.75" customHeight="1">
      <c r="C221" s="588"/>
      <c r="E221" s="588"/>
      <c r="F221" s="588"/>
      <c r="G221" s="588"/>
      <c r="H221" s="588"/>
      <c r="J221" s="588"/>
      <c r="R221" s="365"/>
      <c r="S221" s="366"/>
      <c r="T221" s="366"/>
    </row>
    <row r="222" ht="12.75" customHeight="1">
      <c r="C222" s="588"/>
      <c r="E222" s="588"/>
      <c r="F222" s="588"/>
      <c r="G222" s="588"/>
      <c r="H222" s="588"/>
      <c r="J222" s="588"/>
      <c r="R222" s="365"/>
      <c r="S222" s="366"/>
      <c r="T222" s="366"/>
    </row>
    <row r="223" ht="12.75" customHeight="1">
      <c r="C223" s="588"/>
      <c r="E223" s="588"/>
      <c r="F223" s="588"/>
      <c r="G223" s="588"/>
      <c r="H223" s="588"/>
      <c r="J223" s="588"/>
      <c r="R223" s="365"/>
      <c r="S223" s="366"/>
      <c r="T223" s="366"/>
    </row>
    <row r="224" ht="12.75" customHeight="1">
      <c r="C224" s="588"/>
      <c r="E224" s="588"/>
      <c r="F224" s="588"/>
      <c r="G224" s="588"/>
      <c r="H224" s="588"/>
      <c r="J224" s="588"/>
      <c r="R224" s="365"/>
      <c r="S224" s="366"/>
      <c r="T224" s="366"/>
    </row>
    <row r="225" ht="12.75" customHeight="1">
      <c r="C225" s="588"/>
      <c r="E225" s="588"/>
      <c r="F225" s="588"/>
      <c r="G225" s="588"/>
      <c r="H225" s="588"/>
      <c r="J225" s="588"/>
      <c r="R225" s="365"/>
      <c r="S225" s="366"/>
      <c r="T225" s="366"/>
    </row>
    <row r="226" ht="12.75" customHeight="1">
      <c r="C226" s="588"/>
      <c r="E226" s="588"/>
      <c r="F226" s="588"/>
      <c r="G226" s="588"/>
      <c r="H226" s="588"/>
      <c r="J226" s="588"/>
      <c r="R226" s="365"/>
      <c r="S226" s="366"/>
      <c r="T226" s="366"/>
    </row>
    <row r="227" ht="12.75" customHeight="1">
      <c r="C227" s="588"/>
      <c r="E227" s="588"/>
      <c r="F227" s="588"/>
      <c r="G227" s="588"/>
      <c r="H227" s="588"/>
      <c r="J227" s="588"/>
      <c r="R227" s="365"/>
      <c r="S227" s="366"/>
      <c r="T227" s="366"/>
    </row>
    <row r="228" ht="12.75" customHeight="1">
      <c r="C228" s="588"/>
      <c r="E228" s="588"/>
      <c r="F228" s="588"/>
      <c r="G228" s="588"/>
      <c r="H228" s="588"/>
      <c r="J228" s="588"/>
      <c r="R228" s="365"/>
      <c r="S228" s="366"/>
      <c r="T228" s="366"/>
    </row>
    <row r="229" ht="12.75" customHeight="1">
      <c r="C229" s="588"/>
      <c r="E229" s="588"/>
      <c r="F229" s="588"/>
      <c r="G229" s="588"/>
      <c r="H229" s="588"/>
      <c r="J229" s="588"/>
      <c r="R229" s="365"/>
      <c r="S229" s="366"/>
      <c r="T229" s="366"/>
    </row>
    <row r="230" ht="12.75" customHeight="1">
      <c r="C230" s="588"/>
      <c r="E230" s="588"/>
      <c r="F230" s="588"/>
      <c r="G230" s="588"/>
      <c r="H230" s="588"/>
      <c r="J230" s="588"/>
      <c r="R230" s="365"/>
      <c r="S230" s="366"/>
      <c r="T230" s="366"/>
    </row>
    <row r="231" ht="12.75" customHeight="1">
      <c r="C231" s="588"/>
      <c r="E231" s="588"/>
      <c r="F231" s="588"/>
      <c r="G231" s="588"/>
      <c r="H231" s="588"/>
      <c r="J231" s="588"/>
      <c r="R231" s="365"/>
      <c r="S231" s="366"/>
      <c r="T231" s="366"/>
    </row>
    <row r="232" ht="12.75" customHeight="1">
      <c r="C232" s="588"/>
      <c r="E232" s="588"/>
      <c r="F232" s="588"/>
      <c r="G232" s="588"/>
      <c r="H232" s="588"/>
      <c r="J232" s="588"/>
      <c r="R232" s="365"/>
      <c r="S232" s="366"/>
      <c r="T232" s="366"/>
    </row>
    <row r="233" ht="12.75" customHeight="1">
      <c r="C233" s="588"/>
      <c r="E233" s="588"/>
      <c r="F233" s="588"/>
      <c r="G233" s="588"/>
      <c r="H233" s="588"/>
      <c r="J233" s="588"/>
      <c r="R233" s="365"/>
      <c r="S233" s="366"/>
      <c r="T233" s="366"/>
    </row>
    <row r="234" ht="12.75" customHeight="1">
      <c r="C234" s="588"/>
      <c r="E234" s="588"/>
      <c r="F234" s="588"/>
      <c r="G234" s="588"/>
      <c r="H234" s="588"/>
      <c r="J234" s="588"/>
      <c r="R234" s="365"/>
      <c r="S234" s="366"/>
      <c r="T234" s="366"/>
    </row>
    <row r="235" ht="12.75" customHeight="1">
      <c r="C235" s="588"/>
      <c r="E235" s="588"/>
      <c r="F235" s="588"/>
      <c r="G235" s="588"/>
      <c r="H235" s="588"/>
      <c r="J235" s="588"/>
      <c r="R235" s="365"/>
      <c r="S235" s="366"/>
      <c r="T235" s="366"/>
    </row>
    <row r="236" ht="12.75" customHeight="1">
      <c r="C236" s="588"/>
      <c r="E236" s="588"/>
      <c r="F236" s="588"/>
      <c r="G236" s="588"/>
      <c r="H236" s="588"/>
      <c r="J236" s="588"/>
      <c r="R236" s="365"/>
      <c r="S236" s="366"/>
      <c r="T236" s="366"/>
    </row>
    <row r="237" ht="12.75" customHeight="1">
      <c r="C237" s="588"/>
      <c r="E237" s="588"/>
      <c r="F237" s="588"/>
      <c r="G237" s="588"/>
      <c r="H237" s="588"/>
      <c r="J237" s="588"/>
      <c r="R237" s="365"/>
      <c r="S237" s="366"/>
      <c r="T237" s="366"/>
    </row>
    <row r="238" ht="12.75" customHeight="1">
      <c r="C238" s="588"/>
      <c r="E238" s="588"/>
      <c r="F238" s="588"/>
      <c r="G238" s="588"/>
      <c r="H238" s="588"/>
      <c r="J238" s="588"/>
      <c r="R238" s="365"/>
      <c r="S238" s="366"/>
      <c r="T238" s="366"/>
    </row>
    <row r="239" ht="12.75" customHeight="1">
      <c r="C239" s="588"/>
      <c r="E239" s="588"/>
      <c r="F239" s="588"/>
      <c r="G239" s="588"/>
      <c r="H239" s="588"/>
      <c r="J239" s="588"/>
      <c r="R239" s="365"/>
      <c r="S239" s="366"/>
      <c r="T239" s="366"/>
    </row>
    <row r="240" ht="12.75" customHeight="1">
      <c r="C240" s="588"/>
      <c r="E240" s="588"/>
      <c r="F240" s="588"/>
      <c r="G240" s="588"/>
      <c r="H240" s="588"/>
      <c r="J240" s="588"/>
      <c r="R240" s="365"/>
      <c r="S240" s="366"/>
      <c r="T240" s="366"/>
    </row>
    <row r="241" ht="12.75" customHeight="1">
      <c r="C241" s="588"/>
      <c r="E241" s="588"/>
      <c r="F241" s="588"/>
      <c r="G241" s="588"/>
      <c r="H241" s="588"/>
      <c r="J241" s="588"/>
      <c r="R241" s="365"/>
      <c r="S241" s="366"/>
      <c r="T241" s="366"/>
    </row>
    <row r="242" ht="12.75" customHeight="1">
      <c r="C242" s="588"/>
      <c r="E242" s="588"/>
      <c r="F242" s="588"/>
      <c r="G242" s="588"/>
      <c r="H242" s="588"/>
      <c r="J242" s="588"/>
      <c r="R242" s="365"/>
      <c r="S242" s="366"/>
      <c r="T242" s="36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0"/>
    <col customWidth="1" min="3" max="3" width="10.88"/>
    <col customWidth="1" min="4" max="4" width="9.13"/>
    <col customWidth="1" min="5" max="5" width="9.25"/>
    <col customWidth="1" min="6" max="6" width="6.0"/>
    <col customWidth="1" min="7" max="7" width="7.38"/>
    <col customWidth="1" min="8" max="8" width="8.63"/>
    <col customWidth="1" min="9" max="9" width="7.0"/>
    <col customWidth="1" min="10" max="10" width="5.13"/>
    <col customWidth="1" min="11" max="26" width="11.0"/>
  </cols>
  <sheetData>
    <row r="1" ht="12.75" customHeight="1">
      <c r="A1" s="318"/>
      <c r="B1" s="318"/>
      <c r="C1" s="319" t="s">
        <v>186</v>
      </c>
      <c r="D1" s="318"/>
      <c r="E1" s="318"/>
      <c r="F1" s="318"/>
      <c r="G1" s="318"/>
      <c r="H1" s="318"/>
      <c r="I1" s="318"/>
      <c r="J1" s="65"/>
    </row>
    <row r="2" ht="12.75" customHeight="1">
      <c r="A2" s="499" t="s">
        <v>0</v>
      </c>
      <c r="B2" s="500" t="s">
        <v>75</v>
      </c>
      <c r="C2" s="500" t="s">
        <v>75</v>
      </c>
      <c r="D2" s="500" t="s">
        <v>241</v>
      </c>
      <c r="E2" s="500" t="s">
        <v>242</v>
      </c>
      <c r="F2" s="503" t="s">
        <v>243</v>
      </c>
      <c r="G2" s="504" t="s">
        <v>81</v>
      </c>
      <c r="H2" s="504" t="s">
        <v>82</v>
      </c>
      <c r="I2" s="504" t="s">
        <v>83</v>
      </c>
      <c r="J2" s="65"/>
    </row>
    <row r="3" ht="12.75" customHeight="1">
      <c r="A3" s="507" t="s">
        <v>36</v>
      </c>
      <c r="B3" s="463">
        <v>3.0</v>
      </c>
      <c r="C3" s="339">
        <f t="shared" ref="C3:C14" si="1">15*B3</f>
        <v>45</v>
      </c>
      <c r="D3" s="483">
        <v>0.0</v>
      </c>
      <c r="E3" s="339">
        <v>0.0</v>
      </c>
      <c r="F3" s="512">
        <v>200.0</v>
      </c>
      <c r="G3" s="343">
        <f t="shared" ref="G3:G14" si="2">SUM(C3:F3)</f>
        <v>245</v>
      </c>
      <c r="H3" s="343">
        <v>50.0</v>
      </c>
      <c r="I3" s="343">
        <f t="shared" ref="I3:I14" si="3">G3-H3</f>
        <v>195</v>
      </c>
      <c r="J3" s="65"/>
    </row>
    <row r="4" ht="12.75" customHeight="1">
      <c r="A4" s="519" t="s">
        <v>52</v>
      </c>
      <c r="B4" s="478">
        <v>0.0</v>
      </c>
      <c r="C4" s="481">
        <f t="shared" si="1"/>
        <v>0</v>
      </c>
      <c r="D4" s="483">
        <v>0.0</v>
      </c>
      <c r="E4" s="483">
        <v>0.0</v>
      </c>
      <c r="F4" s="485">
        <v>0.0</v>
      </c>
      <c r="G4" s="352">
        <f t="shared" si="2"/>
        <v>0</v>
      </c>
      <c r="H4" s="352">
        <v>50.0</v>
      </c>
      <c r="I4" s="352">
        <f t="shared" si="3"/>
        <v>-50</v>
      </c>
      <c r="J4" s="65"/>
    </row>
    <row r="5" ht="12.75" customHeight="1">
      <c r="A5" s="519" t="s">
        <v>56</v>
      </c>
      <c r="B5" s="478">
        <v>0.0</v>
      </c>
      <c r="C5" s="481">
        <f t="shared" si="1"/>
        <v>0</v>
      </c>
      <c r="D5" s="483">
        <v>50.0</v>
      </c>
      <c r="E5" s="483">
        <v>0.0</v>
      </c>
      <c r="F5" s="485">
        <v>0.0</v>
      </c>
      <c r="G5" s="352">
        <f t="shared" si="2"/>
        <v>50</v>
      </c>
      <c r="H5" s="352">
        <v>50.0</v>
      </c>
      <c r="I5" s="352">
        <f t="shared" si="3"/>
        <v>0</v>
      </c>
      <c r="J5" s="65"/>
    </row>
    <row r="6" ht="12.75" customHeight="1">
      <c r="A6" s="519" t="s">
        <v>39</v>
      </c>
      <c r="B6" s="478">
        <v>0.0</v>
      </c>
      <c r="C6" s="481">
        <f t="shared" si="1"/>
        <v>0</v>
      </c>
      <c r="D6" s="483">
        <v>0.0</v>
      </c>
      <c r="E6" s="483">
        <v>0.0</v>
      </c>
      <c r="F6" s="485">
        <v>0.0</v>
      </c>
      <c r="G6" s="352">
        <f t="shared" si="2"/>
        <v>0</v>
      </c>
      <c r="H6" s="352">
        <v>50.0</v>
      </c>
      <c r="I6" s="352">
        <f t="shared" si="3"/>
        <v>-50</v>
      </c>
      <c r="J6" s="65"/>
    </row>
    <row r="7" ht="12.75" customHeight="1">
      <c r="A7" s="519" t="s">
        <v>54</v>
      </c>
      <c r="B7" s="478">
        <v>0.0</v>
      </c>
      <c r="C7" s="481">
        <f t="shared" si="1"/>
        <v>0</v>
      </c>
      <c r="D7" s="483">
        <v>0.0</v>
      </c>
      <c r="E7" s="483">
        <v>0.0</v>
      </c>
      <c r="F7" s="485">
        <v>0.0</v>
      </c>
      <c r="G7" s="352">
        <f t="shared" si="2"/>
        <v>0</v>
      </c>
      <c r="H7" s="352">
        <v>50.0</v>
      </c>
      <c r="I7" s="352">
        <f t="shared" si="3"/>
        <v>-50</v>
      </c>
      <c r="J7" s="65"/>
    </row>
    <row r="8" ht="12.75" customHeight="1">
      <c r="A8" s="519" t="s">
        <v>57</v>
      </c>
      <c r="B8" s="478">
        <v>0.0</v>
      </c>
      <c r="C8" s="481">
        <f t="shared" si="1"/>
        <v>0</v>
      </c>
      <c r="D8" s="483">
        <v>0.0</v>
      </c>
      <c r="E8" s="483">
        <v>0.0</v>
      </c>
      <c r="F8" s="485">
        <v>0.0</v>
      </c>
      <c r="G8" s="352">
        <f t="shared" si="2"/>
        <v>0</v>
      </c>
      <c r="H8" s="352">
        <v>50.0</v>
      </c>
      <c r="I8" s="352">
        <f t="shared" si="3"/>
        <v>-50</v>
      </c>
      <c r="J8" s="65"/>
    </row>
    <row r="9" ht="12.75" customHeight="1">
      <c r="A9" s="519" t="s">
        <v>42</v>
      </c>
      <c r="B9" s="478">
        <v>0.0</v>
      </c>
      <c r="C9" s="481">
        <f t="shared" si="1"/>
        <v>0</v>
      </c>
      <c r="D9" s="483">
        <v>0.0</v>
      </c>
      <c r="E9" s="483">
        <v>0.0</v>
      </c>
      <c r="F9" s="485">
        <v>0.0</v>
      </c>
      <c r="G9" s="352">
        <f t="shared" si="2"/>
        <v>0</v>
      </c>
      <c r="H9" s="352">
        <v>50.0</v>
      </c>
      <c r="I9" s="352">
        <f t="shared" si="3"/>
        <v>-50</v>
      </c>
      <c r="J9" s="65"/>
    </row>
    <row r="10" ht="12.75" customHeight="1">
      <c r="A10" s="519" t="s">
        <v>43</v>
      </c>
      <c r="B10" s="478">
        <v>2.0</v>
      </c>
      <c r="C10" s="481">
        <f t="shared" si="1"/>
        <v>30</v>
      </c>
      <c r="D10" s="483">
        <v>0.0</v>
      </c>
      <c r="E10" s="483">
        <v>0.0</v>
      </c>
      <c r="F10" s="485">
        <v>0.0</v>
      </c>
      <c r="G10" s="352">
        <f t="shared" si="2"/>
        <v>30</v>
      </c>
      <c r="H10" s="352">
        <v>50.0</v>
      </c>
      <c r="I10" s="352">
        <f t="shared" si="3"/>
        <v>-20</v>
      </c>
      <c r="J10" s="65"/>
    </row>
    <row r="11" ht="12.75" customHeight="1">
      <c r="A11" s="519" t="s">
        <v>44</v>
      </c>
      <c r="B11" s="478">
        <v>1.0</v>
      </c>
      <c r="C11" s="481">
        <f t="shared" si="1"/>
        <v>15</v>
      </c>
      <c r="D11" s="483">
        <v>0.0</v>
      </c>
      <c r="E11" s="483">
        <v>0.0</v>
      </c>
      <c r="F11" s="485">
        <v>0.0</v>
      </c>
      <c r="G11" s="352">
        <f t="shared" si="2"/>
        <v>15</v>
      </c>
      <c r="H11" s="352">
        <v>50.0</v>
      </c>
      <c r="I11" s="352">
        <f t="shared" si="3"/>
        <v>-35</v>
      </c>
      <c r="J11" s="65"/>
    </row>
    <row r="12" ht="12.75" customHeight="1">
      <c r="A12" s="519" t="s">
        <v>45</v>
      </c>
      <c r="B12" s="478">
        <v>1.0</v>
      </c>
      <c r="C12" s="481">
        <f t="shared" si="1"/>
        <v>15</v>
      </c>
      <c r="D12" s="483">
        <v>50.0</v>
      </c>
      <c r="E12" s="483">
        <v>0.0</v>
      </c>
      <c r="F12" s="485">
        <v>0.0</v>
      </c>
      <c r="G12" s="352">
        <f t="shared" si="2"/>
        <v>65</v>
      </c>
      <c r="H12" s="352">
        <v>50.0</v>
      </c>
      <c r="I12" s="352">
        <f t="shared" si="3"/>
        <v>15</v>
      </c>
      <c r="J12" s="65"/>
    </row>
    <row r="13" ht="12.75" customHeight="1">
      <c r="A13" s="519" t="s">
        <v>55</v>
      </c>
      <c r="B13" s="478">
        <v>5.0</v>
      </c>
      <c r="C13" s="481">
        <f t="shared" si="1"/>
        <v>75</v>
      </c>
      <c r="D13" s="483">
        <v>0.0</v>
      </c>
      <c r="E13" s="483">
        <v>105.0</v>
      </c>
      <c r="F13" s="485">
        <v>0.0</v>
      </c>
      <c r="G13" s="352">
        <f t="shared" si="2"/>
        <v>180</v>
      </c>
      <c r="H13" s="352">
        <v>50.0</v>
      </c>
      <c r="I13" s="352">
        <f t="shared" si="3"/>
        <v>130</v>
      </c>
      <c r="J13" s="65"/>
    </row>
    <row r="14" ht="12.75" customHeight="1">
      <c r="A14" s="567" t="s">
        <v>49</v>
      </c>
      <c r="B14" s="491">
        <v>1.0</v>
      </c>
      <c r="C14" s="492">
        <f t="shared" si="1"/>
        <v>15</v>
      </c>
      <c r="D14" s="492">
        <v>0.0</v>
      </c>
      <c r="E14" s="492">
        <v>0.0</v>
      </c>
      <c r="F14" s="362">
        <v>0.0</v>
      </c>
      <c r="G14" s="363">
        <f t="shared" si="2"/>
        <v>15</v>
      </c>
      <c r="H14" s="363">
        <v>50.0</v>
      </c>
      <c r="I14" s="363">
        <f t="shared" si="3"/>
        <v>-35</v>
      </c>
      <c r="J14" s="65"/>
    </row>
    <row r="15" ht="12.75" customHeight="1">
      <c r="A15" s="65"/>
      <c r="B15" s="65"/>
      <c r="C15" s="109">
        <f t="shared" ref="C15:I15" si="4">SUM(C3:C14)</f>
        <v>195</v>
      </c>
      <c r="D15" s="198">
        <f t="shared" si="4"/>
        <v>100</v>
      </c>
      <c r="E15" s="198">
        <f t="shared" si="4"/>
        <v>105</v>
      </c>
      <c r="F15" s="198">
        <f t="shared" si="4"/>
        <v>200</v>
      </c>
      <c r="G15" s="198">
        <f t="shared" si="4"/>
        <v>600</v>
      </c>
      <c r="H15" s="198">
        <f t="shared" si="4"/>
        <v>600</v>
      </c>
      <c r="I15" s="202">
        <f t="shared" si="4"/>
        <v>0</v>
      </c>
      <c r="J15" s="65"/>
    </row>
    <row r="16" ht="12.75" customHeight="1">
      <c r="A16" s="131"/>
      <c r="B16" s="131"/>
      <c r="C16" s="577"/>
      <c r="D16" s="577"/>
      <c r="E16" s="577"/>
      <c r="F16" s="577"/>
      <c r="G16" s="577"/>
      <c r="H16" s="578"/>
      <c r="I16" s="580"/>
      <c r="J16" s="131"/>
    </row>
    <row r="17" ht="12.75" customHeight="1">
      <c r="A17" s="374" t="s">
        <v>94</v>
      </c>
      <c r="B17" s="376" t="s">
        <v>0</v>
      </c>
      <c r="C17" s="376" t="s">
        <v>95</v>
      </c>
      <c r="D17" s="376" t="s">
        <v>86</v>
      </c>
      <c r="E17" s="378" t="s">
        <v>96</v>
      </c>
      <c r="F17" s="65"/>
      <c r="G17" s="65"/>
      <c r="H17" s="65"/>
      <c r="I17" s="131"/>
      <c r="J17" s="131"/>
    </row>
    <row r="18" ht="12.75" customHeight="1">
      <c r="A18" s="379" t="s">
        <v>97</v>
      </c>
      <c r="B18" s="494" t="s">
        <v>36</v>
      </c>
      <c r="C18" s="382">
        <v>15.0</v>
      </c>
      <c r="D18" s="494" t="s">
        <v>98</v>
      </c>
      <c r="E18" s="495">
        <v>134.7</v>
      </c>
      <c r="F18" s="65"/>
      <c r="G18" s="65"/>
      <c r="H18" s="65"/>
      <c r="I18" s="131"/>
      <c r="J18" s="131"/>
    </row>
    <row r="19" ht="12.75" customHeight="1">
      <c r="A19" s="387" t="s">
        <v>100</v>
      </c>
      <c r="B19" s="496" t="s">
        <v>49</v>
      </c>
      <c r="C19" s="389">
        <v>15.0</v>
      </c>
      <c r="D19" s="496" t="s">
        <v>98</v>
      </c>
      <c r="E19" s="497">
        <v>131.2</v>
      </c>
      <c r="F19" s="65"/>
      <c r="G19" s="65"/>
      <c r="H19" s="65"/>
      <c r="I19" s="131"/>
      <c r="J19" s="131"/>
    </row>
    <row r="20" ht="12.75" customHeight="1">
      <c r="A20" s="387" t="s">
        <v>101</v>
      </c>
      <c r="B20" s="496" t="s">
        <v>43</v>
      </c>
      <c r="C20" s="389">
        <v>15.0</v>
      </c>
      <c r="D20" s="496" t="s">
        <v>98</v>
      </c>
      <c r="E20" s="497">
        <v>122.7</v>
      </c>
      <c r="F20" s="65"/>
      <c r="G20" s="65"/>
      <c r="H20" s="65"/>
      <c r="I20" s="131"/>
      <c r="J20" s="131"/>
    </row>
    <row r="21" ht="12.75" customHeight="1">
      <c r="A21" s="387" t="s">
        <v>111</v>
      </c>
      <c r="B21" s="496" t="s">
        <v>55</v>
      </c>
      <c r="C21" s="389">
        <v>15.0</v>
      </c>
      <c r="D21" s="496" t="s">
        <v>98</v>
      </c>
      <c r="E21" s="497">
        <v>126.6</v>
      </c>
      <c r="F21" s="65"/>
      <c r="G21" s="65"/>
      <c r="H21" s="65"/>
      <c r="I21" s="131"/>
      <c r="J21" s="131"/>
    </row>
    <row r="22" ht="12.75" customHeight="1">
      <c r="A22" s="387" t="s">
        <v>113</v>
      </c>
      <c r="B22" s="496" t="s">
        <v>43</v>
      </c>
      <c r="C22" s="389">
        <v>15.0</v>
      </c>
      <c r="D22" s="496" t="s">
        <v>98</v>
      </c>
      <c r="E22" s="497">
        <v>119.5</v>
      </c>
      <c r="F22" s="65"/>
      <c r="G22" s="65"/>
      <c r="H22" s="65"/>
      <c r="I22" s="131"/>
      <c r="J22" s="131"/>
    </row>
    <row r="23" ht="12.75" customHeight="1">
      <c r="A23" s="387" t="s">
        <v>116</v>
      </c>
      <c r="B23" s="496" t="s">
        <v>55</v>
      </c>
      <c r="C23" s="389">
        <v>15.0</v>
      </c>
      <c r="D23" s="496" t="s">
        <v>98</v>
      </c>
      <c r="E23" s="497">
        <v>118.3</v>
      </c>
      <c r="F23" s="65"/>
      <c r="G23" s="65"/>
      <c r="H23" s="65"/>
      <c r="I23" s="131"/>
      <c r="J23" s="131"/>
    </row>
    <row r="24" ht="12.75" customHeight="1">
      <c r="A24" s="387" t="s">
        <v>118</v>
      </c>
      <c r="B24" s="496" t="s">
        <v>55</v>
      </c>
      <c r="C24" s="389">
        <v>15.0</v>
      </c>
      <c r="D24" s="496" t="s">
        <v>98</v>
      </c>
      <c r="E24" s="497">
        <v>125.7</v>
      </c>
      <c r="F24" s="65"/>
      <c r="G24" s="65"/>
      <c r="H24" s="65"/>
      <c r="I24" s="131"/>
      <c r="J24" s="131"/>
    </row>
    <row r="25" ht="12.75" customHeight="1">
      <c r="A25" s="387" t="s">
        <v>120</v>
      </c>
      <c r="B25" s="496" t="s">
        <v>55</v>
      </c>
      <c r="C25" s="389">
        <v>15.0</v>
      </c>
      <c r="D25" s="496" t="s">
        <v>98</v>
      </c>
      <c r="E25" s="497">
        <v>108.2</v>
      </c>
      <c r="F25" s="65"/>
      <c r="G25" s="65"/>
      <c r="H25" s="65"/>
      <c r="I25" s="131"/>
      <c r="J25" s="131"/>
    </row>
    <row r="26" ht="12.75" customHeight="1">
      <c r="A26" s="387" t="s">
        <v>122</v>
      </c>
      <c r="B26" s="496" t="s">
        <v>44</v>
      </c>
      <c r="C26" s="389">
        <v>15.0</v>
      </c>
      <c r="D26" s="496" t="s">
        <v>98</v>
      </c>
      <c r="E26" s="497">
        <v>123.0</v>
      </c>
      <c r="F26" s="65"/>
      <c r="G26" s="65"/>
      <c r="H26" s="65"/>
      <c r="I26" s="131"/>
      <c r="J26" s="131"/>
    </row>
    <row r="27" ht="12.75" customHeight="1">
      <c r="A27" s="387" t="s">
        <v>124</v>
      </c>
      <c r="B27" s="496" t="s">
        <v>36</v>
      </c>
      <c r="C27" s="389">
        <v>15.0</v>
      </c>
      <c r="D27" s="496" t="s">
        <v>98</v>
      </c>
      <c r="E27" s="497">
        <v>117.0</v>
      </c>
      <c r="F27" s="65"/>
      <c r="G27" s="65"/>
      <c r="H27" s="65"/>
      <c r="I27" s="131"/>
      <c r="J27" s="131"/>
    </row>
    <row r="28" ht="12.75" customHeight="1">
      <c r="A28" s="387" t="s">
        <v>126</v>
      </c>
      <c r="B28" s="496" t="s">
        <v>45</v>
      </c>
      <c r="C28" s="389">
        <v>15.0</v>
      </c>
      <c r="D28" s="496" t="s">
        <v>98</v>
      </c>
      <c r="E28" s="497">
        <v>111.8</v>
      </c>
      <c r="F28" s="65"/>
      <c r="G28" s="65"/>
      <c r="H28" s="65"/>
      <c r="I28" s="131"/>
      <c r="J28" s="131"/>
    </row>
    <row r="29" ht="12.75" customHeight="1">
      <c r="A29" s="387" t="s">
        <v>129</v>
      </c>
      <c r="B29" s="496" t="s">
        <v>36</v>
      </c>
      <c r="C29" s="389">
        <v>15.0</v>
      </c>
      <c r="D29" s="496" t="s">
        <v>98</v>
      </c>
      <c r="E29" s="497">
        <v>127.2</v>
      </c>
      <c r="F29" s="65"/>
      <c r="G29" s="65"/>
      <c r="H29" s="65"/>
      <c r="I29" s="131"/>
      <c r="J29" s="131"/>
    </row>
    <row r="30" ht="12.75" customHeight="1">
      <c r="A30" s="593" t="s">
        <v>131</v>
      </c>
      <c r="B30" s="594" t="s">
        <v>55</v>
      </c>
      <c r="C30" s="595">
        <v>15.0</v>
      </c>
      <c r="D30" s="594" t="s">
        <v>98</v>
      </c>
      <c r="E30" s="596">
        <v>125.5</v>
      </c>
      <c r="F30" s="65"/>
      <c r="G30" s="65"/>
      <c r="H30" s="65"/>
      <c r="I30" s="131"/>
      <c r="J30" s="131"/>
    </row>
    <row r="31" ht="12.75" customHeight="1">
      <c r="A31" s="379" t="s">
        <v>90</v>
      </c>
      <c r="B31" s="494" t="s">
        <v>56</v>
      </c>
      <c r="C31" s="382">
        <v>50.0</v>
      </c>
      <c r="D31" s="494" t="s">
        <v>98</v>
      </c>
      <c r="E31" s="495" t="s">
        <v>196</v>
      </c>
      <c r="F31" s="65"/>
      <c r="G31" s="65"/>
      <c r="H31" s="65"/>
      <c r="I31" s="131"/>
      <c r="J31" s="131"/>
    </row>
    <row r="32" ht="12.75" customHeight="1">
      <c r="A32" s="387" t="s">
        <v>78</v>
      </c>
      <c r="B32" s="496" t="s">
        <v>45</v>
      </c>
      <c r="C32" s="389">
        <v>50.0</v>
      </c>
      <c r="D32" s="496" t="s">
        <v>98</v>
      </c>
      <c r="E32" s="497" t="s">
        <v>196</v>
      </c>
      <c r="F32" s="65"/>
      <c r="G32" s="65"/>
      <c r="H32" s="65"/>
      <c r="I32" s="131"/>
      <c r="J32" s="131"/>
    </row>
    <row r="33" ht="12.75" customHeight="1">
      <c r="A33" s="387" t="s">
        <v>212</v>
      </c>
      <c r="B33" s="496" t="s">
        <v>55</v>
      </c>
      <c r="C33" s="389">
        <v>105.0</v>
      </c>
      <c r="D33" s="496" t="s">
        <v>98</v>
      </c>
      <c r="E33" s="497" t="s">
        <v>196</v>
      </c>
      <c r="F33" s="65"/>
      <c r="G33" s="65"/>
      <c r="H33" s="231"/>
      <c r="I33" s="131"/>
      <c r="J33" s="131"/>
    </row>
    <row r="34" ht="12.75" customHeight="1">
      <c r="A34" s="402" t="s">
        <v>140</v>
      </c>
      <c r="B34" s="501" t="s">
        <v>36</v>
      </c>
      <c r="C34" s="405">
        <v>200.0</v>
      </c>
      <c r="D34" s="501" t="s">
        <v>98</v>
      </c>
      <c r="E34" s="502" t="s">
        <v>196</v>
      </c>
      <c r="F34" s="65"/>
      <c r="G34" s="65"/>
      <c r="H34" s="231"/>
      <c r="I34" s="231"/>
      <c r="J34" s="131"/>
    </row>
    <row r="35" ht="12.75" customHeight="1">
      <c r="A35" s="131"/>
      <c r="B35" s="131"/>
      <c r="C35" s="435">
        <f>SUM(C18:C34)</f>
        <v>600</v>
      </c>
      <c r="D35" s="131"/>
      <c r="E35" s="65"/>
      <c r="F35" s="65"/>
      <c r="G35" s="65"/>
      <c r="H35" s="65"/>
      <c r="I35" s="131"/>
      <c r="J35" s="131"/>
    </row>
    <row r="36" ht="12.75" customHeight="1">
      <c r="A36" s="131"/>
      <c r="B36" s="131"/>
      <c r="C36" s="131"/>
      <c r="D36" s="131"/>
      <c r="E36" s="131"/>
      <c r="F36" s="131"/>
      <c r="G36" s="131"/>
      <c r="H36" s="131"/>
      <c r="I36" s="131"/>
      <c r="J36" s="65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6.0"/>
    <col customWidth="1" min="3" max="3" width="5.75"/>
    <col customWidth="1" min="4" max="4" width="6.0"/>
    <col customWidth="1" min="5" max="6" width="7.0"/>
    <col customWidth="1" min="7" max="7" width="22.63"/>
    <col customWidth="1" min="8" max="8" width="8.75"/>
    <col customWidth="1" min="9" max="10" width="9.25"/>
    <col customWidth="1" min="11" max="11" width="18.0"/>
    <col customWidth="1" min="12" max="15" width="11.0"/>
  </cols>
  <sheetData>
    <row r="1">
      <c r="A1" s="509" t="s">
        <v>245</v>
      </c>
      <c r="B1" s="511"/>
      <c r="C1" s="511"/>
      <c r="D1" s="511"/>
      <c r="E1" s="511"/>
      <c r="F1" s="509" t="s">
        <v>246</v>
      </c>
      <c r="G1" s="511"/>
      <c r="H1" s="511"/>
      <c r="I1" s="511"/>
      <c r="J1" s="511"/>
      <c r="K1" s="511"/>
      <c r="L1" s="511"/>
      <c r="M1" s="511"/>
      <c r="N1" s="511"/>
      <c r="O1" s="511"/>
    </row>
    <row r="2">
      <c r="A2" s="515" t="s">
        <v>248</v>
      </c>
      <c r="B2" s="517" t="s">
        <v>104</v>
      </c>
      <c r="C2" s="517" t="s">
        <v>105</v>
      </c>
      <c r="D2" s="520" t="s">
        <v>106</v>
      </c>
      <c r="E2" s="511"/>
      <c r="F2" s="521" t="s">
        <v>249</v>
      </c>
      <c r="G2" s="522" t="s">
        <v>248</v>
      </c>
      <c r="H2" s="524" t="s">
        <v>66</v>
      </c>
      <c r="I2" s="511"/>
      <c r="J2" s="511"/>
      <c r="K2" s="511"/>
      <c r="L2" s="511"/>
      <c r="M2" s="511"/>
      <c r="N2" s="511"/>
      <c r="O2" s="511"/>
    </row>
    <row r="3">
      <c r="A3" s="529" t="s">
        <v>114</v>
      </c>
      <c r="B3" s="530">
        <v>8.0</v>
      </c>
      <c r="C3" s="530">
        <v>6.0</v>
      </c>
      <c r="D3" s="531">
        <v>0.0</v>
      </c>
      <c r="E3" s="511"/>
      <c r="F3" s="533">
        <v>1.0</v>
      </c>
      <c r="G3" s="534" t="s">
        <v>114</v>
      </c>
      <c r="H3" s="540" t="s">
        <v>40</v>
      </c>
      <c r="I3" s="511"/>
      <c r="J3" s="511"/>
      <c r="K3" s="511"/>
      <c r="L3" s="511"/>
      <c r="M3" s="511"/>
      <c r="N3" s="511"/>
      <c r="O3" s="511"/>
    </row>
    <row r="4">
      <c r="A4" s="541" t="s">
        <v>119</v>
      </c>
      <c r="B4" s="175">
        <v>8.0</v>
      </c>
      <c r="C4" s="175">
        <v>6.0</v>
      </c>
      <c r="D4" s="542">
        <v>0.0</v>
      </c>
      <c r="E4" s="511"/>
      <c r="F4" s="543">
        <v>2.0</v>
      </c>
      <c r="G4" s="544" t="s">
        <v>119</v>
      </c>
      <c r="H4" s="545" t="s">
        <v>44</v>
      </c>
      <c r="I4" s="511"/>
      <c r="J4" s="511"/>
      <c r="K4" s="511"/>
      <c r="L4" s="511"/>
      <c r="M4" s="511"/>
      <c r="N4" s="511"/>
      <c r="O4" s="511"/>
    </row>
    <row r="5">
      <c r="A5" s="541" t="s">
        <v>256</v>
      </c>
      <c r="B5" s="175">
        <v>8.0</v>
      </c>
      <c r="C5" s="175">
        <v>6.0</v>
      </c>
      <c r="D5" s="542">
        <v>0.0</v>
      </c>
      <c r="E5" s="511"/>
      <c r="F5" s="550">
        <v>3.0</v>
      </c>
      <c r="G5" s="551" t="s">
        <v>257</v>
      </c>
      <c r="H5" s="552" t="s">
        <v>39</v>
      </c>
      <c r="I5" s="511"/>
      <c r="J5" s="511"/>
      <c r="K5" s="511"/>
      <c r="L5" s="511"/>
      <c r="M5" s="511"/>
      <c r="N5" s="511"/>
      <c r="O5" s="511"/>
    </row>
    <row r="6">
      <c r="A6" s="557" t="s">
        <v>123</v>
      </c>
      <c r="B6" s="208">
        <v>7.0</v>
      </c>
      <c r="C6" s="208">
        <v>7.0</v>
      </c>
      <c r="D6" s="558">
        <v>0.0</v>
      </c>
      <c r="E6" s="511"/>
      <c r="F6" s="560">
        <v>4.0</v>
      </c>
      <c r="G6" s="562" t="s">
        <v>123</v>
      </c>
      <c r="H6" s="564" t="s">
        <v>68</v>
      </c>
      <c r="I6" s="511"/>
      <c r="J6" s="511"/>
      <c r="K6" s="511"/>
      <c r="L6" s="511"/>
      <c r="M6" s="511"/>
      <c r="N6" s="511"/>
      <c r="O6" s="511"/>
    </row>
    <row r="7">
      <c r="A7" s="511"/>
      <c r="B7" s="511"/>
      <c r="C7" s="511"/>
      <c r="D7" s="511"/>
      <c r="E7" s="511"/>
      <c r="F7" s="543">
        <v>5.0</v>
      </c>
      <c r="G7" s="566" t="s">
        <v>117</v>
      </c>
      <c r="H7" s="568" t="s">
        <v>41</v>
      </c>
      <c r="I7" s="511"/>
      <c r="J7" s="569" t="s">
        <v>260</v>
      </c>
      <c r="K7" s="511"/>
      <c r="L7" s="511"/>
      <c r="M7" s="511"/>
      <c r="N7" s="511"/>
      <c r="O7" s="511"/>
    </row>
    <row r="8">
      <c r="A8" s="572" t="s">
        <v>248</v>
      </c>
      <c r="B8" s="574" t="s">
        <v>104</v>
      </c>
      <c r="C8" s="574" t="s">
        <v>105</v>
      </c>
      <c r="D8" s="576" t="s">
        <v>106</v>
      </c>
      <c r="E8" s="511"/>
      <c r="F8" s="550">
        <v>6.0</v>
      </c>
      <c r="G8" s="551" t="s">
        <v>121</v>
      </c>
      <c r="H8" s="552" t="s">
        <v>47</v>
      </c>
      <c r="I8" s="511"/>
      <c r="J8" s="511"/>
      <c r="K8" s="511"/>
      <c r="L8" s="511"/>
      <c r="M8" s="511"/>
      <c r="N8" s="511"/>
      <c r="O8" s="511"/>
    </row>
    <row r="9">
      <c r="A9" s="529" t="s">
        <v>257</v>
      </c>
      <c r="B9" s="530">
        <v>10.0</v>
      </c>
      <c r="C9" s="530">
        <v>4.0</v>
      </c>
      <c r="D9" s="531">
        <v>0.0</v>
      </c>
      <c r="E9" s="511"/>
      <c r="F9" s="579">
        <v>7.0</v>
      </c>
      <c r="G9" s="581" t="s">
        <v>127</v>
      </c>
      <c r="H9" s="582" t="s">
        <v>36</v>
      </c>
      <c r="I9" s="511"/>
      <c r="J9" s="511"/>
      <c r="K9" s="511"/>
      <c r="L9" s="511"/>
      <c r="M9" s="511"/>
      <c r="N9" s="511"/>
      <c r="O9" s="511"/>
    </row>
    <row r="10">
      <c r="A10" s="541" t="s">
        <v>132</v>
      </c>
      <c r="B10" s="175">
        <v>6.0</v>
      </c>
      <c r="C10" s="175">
        <v>8.0</v>
      </c>
      <c r="D10" s="542">
        <v>0.0</v>
      </c>
      <c r="E10" s="511"/>
      <c r="F10" s="543">
        <v>8.0</v>
      </c>
      <c r="G10" s="566" t="s">
        <v>256</v>
      </c>
      <c r="H10" s="568" t="s">
        <v>38</v>
      </c>
      <c r="I10" s="511"/>
      <c r="J10" s="511"/>
      <c r="K10" s="587" t="s">
        <v>264</v>
      </c>
      <c r="L10" s="511"/>
      <c r="M10" s="511"/>
      <c r="N10" s="511"/>
      <c r="O10" s="511"/>
    </row>
    <row r="11">
      <c r="A11" s="541" t="s">
        <v>134</v>
      </c>
      <c r="B11" s="175">
        <v>5.0</v>
      </c>
      <c r="C11" s="175">
        <v>9.0</v>
      </c>
      <c r="D11" s="542">
        <v>0.0</v>
      </c>
      <c r="E11" s="511"/>
      <c r="F11" s="550">
        <v>9.0</v>
      </c>
      <c r="G11" s="551" t="s">
        <v>134</v>
      </c>
      <c r="H11" s="552" t="s">
        <v>42</v>
      </c>
      <c r="I11" s="511"/>
      <c r="J11" s="511"/>
      <c r="K11" s="515" t="s">
        <v>248</v>
      </c>
      <c r="L11" s="517" t="s">
        <v>104</v>
      </c>
      <c r="M11" s="517" t="s">
        <v>105</v>
      </c>
      <c r="N11" s="520" t="s">
        <v>106</v>
      </c>
      <c r="O11" s="511"/>
    </row>
    <row r="12">
      <c r="A12" s="557" t="s">
        <v>137</v>
      </c>
      <c r="B12" s="208">
        <v>2.0</v>
      </c>
      <c r="C12" s="208">
        <v>12.0</v>
      </c>
      <c r="D12" s="558">
        <v>0.0</v>
      </c>
      <c r="E12" s="511"/>
      <c r="F12" s="560">
        <v>10.0</v>
      </c>
      <c r="G12" s="562" t="s">
        <v>130</v>
      </c>
      <c r="H12" s="564" t="s">
        <v>46</v>
      </c>
      <c r="I12" s="511"/>
      <c r="J12" s="511"/>
      <c r="K12" s="529" t="s">
        <v>137</v>
      </c>
      <c r="L12" s="530">
        <v>2.0</v>
      </c>
      <c r="M12" s="530">
        <v>12.0</v>
      </c>
      <c r="N12" s="531">
        <v>0.0</v>
      </c>
      <c r="O12" s="511"/>
    </row>
    <row r="13">
      <c r="A13" s="511"/>
      <c r="B13" s="511"/>
      <c r="C13" s="511"/>
      <c r="D13" s="511"/>
      <c r="E13" s="511"/>
      <c r="F13" s="543">
        <v>11.0</v>
      </c>
      <c r="G13" s="566" t="s">
        <v>132</v>
      </c>
      <c r="H13" s="568" t="s">
        <v>43</v>
      </c>
      <c r="I13" s="511"/>
      <c r="J13" s="511"/>
      <c r="K13" s="541" t="s">
        <v>134</v>
      </c>
      <c r="L13" s="197">
        <v>5.0</v>
      </c>
      <c r="M13" s="197">
        <v>9.0</v>
      </c>
      <c r="N13" s="589">
        <v>0.0</v>
      </c>
      <c r="O13" s="511"/>
    </row>
    <row r="14">
      <c r="A14" s="572" t="s">
        <v>248</v>
      </c>
      <c r="B14" s="574" t="s">
        <v>104</v>
      </c>
      <c r="C14" s="574" t="s">
        <v>105</v>
      </c>
      <c r="D14" s="576" t="s">
        <v>106</v>
      </c>
      <c r="E14" s="511"/>
      <c r="F14" s="590">
        <v>12.0</v>
      </c>
      <c r="G14" s="591" t="s">
        <v>137</v>
      </c>
      <c r="H14" s="592" t="s">
        <v>70</v>
      </c>
      <c r="I14" s="511"/>
      <c r="J14" s="511"/>
      <c r="K14" s="541" t="s">
        <v>132</v>
      </c>
      <c r="L14" s="197">
        <v>6.0</v>
      </c>
      <c r="M14" s="197">
        <v>8.0</v>
      </c>
      <c r="N14" s="589">
        <v>0.0</v>
      </c>
      <c r="O14" s="511"/>
    </row>
    <row r="15">
      <c r="A15" s="529" t="s">
        <v>117</v>
      </c>
      <c r="B15" s="530">
        <v>8.0</v>
      </c>
      <c r="C15" s="530">
        <v>6.0</v>
      </c>
      <c r="D15" s="531">
        <v>0.0</v>
      </c>
      <c r="E15" s="511"/>
      <c r="F15" s="511"/>
      <c r="G15" s="511"/>
      <c r="H15" s="511"/>
      <c r="I15" s="511"/>
      <c r="J15" s="511"/>
      <c r="K15" s="541" t="s">
        <v>130</v>
      </c>
      <c r="L15" s="175">
        <v>7.0</v>
      </c>
      <c r="M15" s="175">
        <v>7.0</v>
      </c>
      <c r="N15" s="542">
        <v>0.0</v>
      </c>
      <c r="O15" s="511"/>
    </row>
    <row r="16">
      <c r="A16" s="541" t="s">
        <v>121</v>
      </c>
      <c r="B16" s="175">
        <v>7.0</v>
      </c>
      <c r="C16" s="175">
        <v>7.0</v>
      </c>
      <c r="D16" s="542">
        <v>0.0</v>
      </c>
      <c r="E16" s="511"/>
      <c r="F16" s="511"/>
      <c r="G16" s="511"/>
      <c r="H16" s="511"/>
      <c r="I16" s="511"/>
      <c r="J16" s="511"/>
      <c r="K16" s="541" t="s">
        <v>127</v>
      </c>
      <c r="L16" s="175">
        <v>7.0</v>
      </c>
      <c r="M16" s="175">
        <v>7.0</v>
      </c>
      <c r="N16" s="542">
        <v>0.0</v>
      </c>
      <c r="O16" s="511"/>
    </row>
    <row r="17">
      <c r="A17" s="541" t="s">
        <v>127</v>
      </c>
      <c r="B17" s="175">
        <v>7.0</v>
      </c>
      <c r="C17" s="175">
        <v>7.0</v>
      </c>
      <c r="D17" s="542">
        <v>0.0</v>
      </c>
      <c r="E17" s="511"/>
      <c r="F17" s="511"/>
      <c r="G17" s="511"/>
      <c r="H17" s="511"/>
      <c r="I17" s="511"/>
      <c r="J17" s="511"/>
      <c r="K17" s="557" t="s">
        <v>256</v>
      </c>
      <c r="L17" s="597">
        <v>8.0</v>
      </c>
      <c r="M17" s="597">
        <v>6.0</v>
      </c>
      <c r="N17" s="598">
        <v>0.0</v>
      </c>
      <c r="O17" s="511"/>
    </row>
    <row r="18">
      <c r="A18" s="557" t="s">
        <v>130</v>
      </c>
      <c r="B18" s="208">
        <v>7.0</v>
      </c>
      <c r="C18" s="208">
        <v>7.0</v>
      </c>
      <c r="D18" s="558">
        <v>0.0</v>
      </c>
      <c r="E18" s="511"/>
      <c r="F18" s="511"/>
      <c r="G18" s="511"/>
      <c r="H18" s="511"/>
      <c r="I18" s="511"/>
      <c r="J18" s="511"/>
      <c r="K18" s="511"/>
      <c r="L18" s="511"/>
      <c r="M18" s="511"/>
      <c r="N18" s="511"/>
      <c r="O18" s="511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6.0"/>
    <col customWidth="1" min="3" max="3" width="5.75"/>
    <col customWidth="1" min="4" max="4" width="6.0"/>
    <col customWidth="1" min="5" max="6" width="7.0"/>
    <col customWidth="1" min="7" max="7" width="22.63"/>
    <col customWidth="1" min="8" max="8" width="8.75"/>
    <col customWidth="1" min="9" max="10" width="9.25"/>
    <col customWidth="1" min="11" max="11" width="18.0"/>
    <col customWidth="1" min="12" max="15" width="11.0"/>
  </cols>
  <sheetData>
    <row r="1">
      <c r="A1" s="599" t="s">
        <v>245</v>
      </c>
      <c r="B1" s="365"/>
      <c r="C1" s="600"/>
      <c r="D1" s="600"/>
      <c r="E1" s="365"/>
      <c r="F1" s="599" t="s">
        <v>246</v>
      </c>
      <c r="G1" s="600"/>
      <c r="H1" s="365"/>
    </row>
    <row r="2">
      <c r="A2" s="601" t="s">
        <v>248</v>
      </c>
      <c r="B2" s="602" t="s">
        <v>104</v>
      </c>
      <c r="C2" s="602" t="s">
        <v>105</v>
      </c>
      <c r="D2" s="603" t="s">
        <v>106</v>
      </c>
      <c r="E2" s="365"/>
      <c r="F2" s="604" t="s">
        <v>249</v>
      </c>
      <c r="G2" s="605" t="s">
        <v>248</v>
      </c>
      <c r="H2" s="606" t="s">
        <v>66</v>
      </c>
    </row>
    <row r="3">
      <c r="A3" s="607" t="s">
        <v>142</v>
      </c>
      <c r="B3" s="608">
        <v>9.0</v>
      </c>
      <c r="C3" s="608">
        <v>5.0</v>
      </c>
      <c r="D3" s="609">
        <v>0.0</v>
      </c>
      <c r="E3" s="365"/>
      <c r="F3" s="610">
        <v>1.0</v>
      </c>
      <c r="G3" s="611" t="s">
        <v>145</v>
      </c>
      <c r="H3" s="612" t="s">
        <v>38</v>
      </c>
    </row>
    <row r="4">
      <c r="A4" s="305" t="s">
        <v>152</v>
      </c>
      <c r="B4" s="262">
        <v>7.0</v>
      </c>
      <c r="C4" s="262">
        <v>7.0</v>
      </c>
      <c r="D4" s="613">
        <v>0.0</v>
      </c>
      <c r="E4" s="365"/>
      <c r="F4" s="614">
        <v>2.0</v>
      </c>
      <c r="G4" s="615" t="s">
        <v>266</v>
      </c>
      <c r="H4" s="616" t="s">
        <v>43</v>
      </c>
    </row>
    <row r="5">
      <c r="A5" s="305" t="s">
        <v>148</v>
      </c>
      <c r="B5" s="262">
        <v>6.0</v>
      </c>
      <c r="C5" s="262">
        <v>8.0</v>
      </c>
      <c r="D5" s="613">
        <v>0.0</v>
      </c>
      <c r="E5" s="365"/>
      <c r="F5" s="617">
        <v>3.0</v>
      </c>
      <c r="G5" s="618" t="s">
        <v>142</v>
      </c>
      <c r="H5" s="619" t="s">
        <v>46</v>
      </c>
    </row>
    <row r="6">
      <c r="A6" s="309" t="s">
        <v>149</v>
      </c>
      <c r="B6" s="277">
        <v>6.0</v>
      </c>
      <c r="C6" s="277">
        <v>8.0</v>
      </c>
      <c r="D6" s="620">
        <v>0.0</v>
      </c>
      <c r="E6" s="365"/>
      <c r="F6" s="621">
        <v>4.0</v>
      </c>
      <c r="G6" s="622" t="s">
        <v>123</v>
      </c>
      <c r="H6" s="623" t="s">
        <v>68</v>
      </c>
    </row>
    <row r="7">
      <c r="A7" s="365"/>
      <c r="B7" s="365"/>
      <c r="C7" s="365"/>
      <c r="D7" s="365"/>
      <c r="E7" s="365"/>
      <c r="F7" s="614">
        <v>5.0</v>
      </c>
      <c r="G7" s="624" t="s">
        <v>112</v>
      </c>
      <c r="H7" s="625" t="s">
        <v>39</v>
      </c>
      <c r="J7" s="626" t="s">
        <v>268</v>
      </c>
    </row>
    <row r="8">
      <c r="A8" s="321" t="s">
        <v>248</v>
      </c>
      <c r="B8" s="322" t="s">
        <v>104</v>
      </c>
      <c r="C8" s="322" t="s">
        <v>105</v>
      </c>
      <c r="D8" s="627" t="s">
        <v>106</v>
      </c>
      <c r="E8" s="365"/>
      <c r="F8" s="617">
        <v>6.0</v>
      </c>
      <c r="G8" s="618" t="s">
        <v>144</v>
      </c>
      <c r="H8" s="619" t="s">
        <v>36</v>
      </c>
    </row>
    <row r="9">
      <c r="A9" s="607" t="s">
        <v>123</v>
      </c>
      <c r="B9" s="608">
        <v>10.0</v>
      </c>
      <c r="C9" s="608">
        <v>4.0</v>
      </c>
      <c r="D9" s="609">
        <v>0.0</v>
      </c>
      <c r="E9" s="365"/>
      <c r="F9" s="628">
        <v>7.0</v>
      </c>
      <c r="G9" s="629" t="s">
        <v>149</v>
      </c>
      <c r="H9" s="630" t="s">
        <v>44</v>
      </c>
    </row>
    <row r="10">
      <c r="A10" s="305" t="s">
        <v>145</v>
      </c>
      <c r="B10" s="262">
        <v>10.0</v>
      </c>
      <c r="C10" s="262">
        <v>4.0</v>
      </c>
      <c r="D10" s="613">
        <v>0.0</v>
      </c>
      <c r="E10" s="365"/>
      <c r="F10" s="614">
        <v>8.0</v>
      </c>
      <c r="G10" s="624" t="s">
        <v>148</v>
      </c>
      <c r="H10" s="625" t="s">
        <v>45</v>
      </c>
      <c r="K10" s="38" t="s">
        <v>264</v>
      </c>
    </row>
    <row r="11">
      <c r="A11" s="305" t="s">
        <v>151</v>
      </c>
      <c r="B11" s="262">
        <v>7.0</v>
      </c>
      <c r="C11" s="262">
        <v>7.0</v>
      </c>
      <c r="D11" s="613">
        <v>0.0</v>
      </c>
      <c r="E11" s="365"/>
      <c r="F11" s="617">
        <v>9.0</v>
      </c>
      <c r="G11" s="618" t="s">
        <v>152</v>
      </c>
      <c r="H11" s="619" t="s">
        <v>49</v>
      </c>
      <c r="K11" s="601" t="s">
        <v>248</v>
      </c>
      <c r="L11" s="602" t="s">
        <v>104</v>
      </c>
      <c r="M11" s="602" t="s">
        <v>105</v>
      </c>
      <c r="N11" s="603" t="s">
        <v>106</v>
      </c>
    </row>
    <row r="12">
      <c r="A12" s="309" t="s">
        <v>134</v>
      </c>
      <c r="B12" s="277">
        <v>2.0</v>
      </c>
      <c r="C12" s="277">
        <v>12.0</v>
      </c>
      <c r="D12" s="620">
        <v>0.0</v>
      </c>
      <c r="E12" s="365"/>
      <c r="F12" s="621">
        <v>10.0</v>
      </c>
      <c r="G12" s="622" t="s">
        <v>151</v>
      </c>
      <c r="H12" s="623" t="s">
        <v>48</v>
      </c>
      <c r="K12" s="607" t="s">
        <v>134</v>
      </c>
      <c r="L12" s="608">
        <v>2.0</v>
      </c>
      <c r="M12" s="608">
        <v>12.0</v>
      </c>
      <c r="N12" s="609">
        <v>0.0</v>
      </c>
    </row>
    <row r="13">
      <c r="A13" s="365"/>
      <c r="B13" s="365"/>
      <c r="C13" s="365"/>
      <c r="D13" s="365"/>
      <c r="E13" s="365"/>
      <c r="F13" s="614">
        <v>11.0</v>
      </c>
      <c r="G13" s="624" t="s">
        <v>134</v>
      </c>
      <c r="H13" s="625" t="s">
        <v>42</v>
      </c>
      <c r="K13" s="305" t="s">
        <v>153</v>
      </c>
      <c r="L13" s="273">
        <v>5.0</v>
      </c>
      <c r="M13" s="273">
        <v>9.0</v>
      </c>
      <c r="N13" s="631">
        <v>0.0</v>
      </c>
    </row>
    <row r="14">
      <c r="A14" s="321" t="s">
        <v>248</v>
      </c>
      <c r="B14" s="322" t="s">
        <v>104</v>
      </c>
      <c r="C14" s="322" t="s">
        <v>105</v>
      </c>
      <c r="D14" s="627" t="s">
        <v>106</v>
      </c>
      <c r="E14" s="365"/>
      <c r="F14" s="632">
        <v>12.0</v>
      </c>
      <c r="G14" s="633" t="s">
        <v>153</v>
      </c>
      <c r="H14" s="634" t="s">
        <v>41</v>
      </c>
      <c r="K14" s="305" t="s">
        <v>152</v>
      </c>
      <c r="L14" s="273">
        <v>7.0</v>
      </c>
      <c r="M14" s="273">
        <v>7.0</v>
      </c>
      <c r="N14" s="631">
        <v>0.0</v>
      </c>
    </row>
    <row r="15">
      <c r="A15" s="607" t="s">
        <v>144</v>
      </c>
      <c r="B15" s="608">
        <v>9.0</v>
      </c>
      <c r="C15" s="608">
        <v>5.0</v>
      </c>
      <c r="D15" s="609">
        <v>0.0</v>
      </c>
      <c r="E15" s="365"/>
      <c r="F15" s="365"/>
      <c r="G15" s="365"/>
      <c r="H15" s="365"/>
      <c r="K15" s="305" t="s">
        <v>151</v>
      </c>
      <c r="L15" s="262">
        <v>7.0</v>
      </c>
      <c r="M15" s="262">
        <v>7.0</v>
      </c>
      <c r="N15" s="613">
        <v>0.0</v>
      </c>
    </row>
    <row r="16">
      <c r="A16" s="305" t="s">
        <v>112</v>
      </c>
      <c r="B16" s="262">
        <v>7.0</v>
      </c>
      <c r="C16" s="262">
        <v>7.0</v>
      </c>
      <c r="D16" s="613">
        <v>0.0</v>
      </c>
      <c r="E16" s="365"/>
      <c r="F16" s="365"/>
      <c r="G16" s="365"/>
      <c r="H16" s="365"/>
      <c r="K16" s="305" t="s">
        <v>149</v>
      </c>
      <c r="L16" s="262">
        <v>6.0</v>
      </c>
      <c r="M16" s="262">
        <v>8.0</v>
      </c>
      <c r="N16" s="613">
        <v>0.0</v>
      </c>
    </row>
    <row r="17">
      <c r="A17" s="305" t="s">
        <v>266</v>
      </c>
      <c r="B17" s="262">
        <v>8.0</v>
      </c>
      <c r="C17" s="262">
        <v>8.0</v>
      </c>
      <c r="D17" s="613">
        <v>0.0</v>
      </c>
      <c r="E17" s="365"/>
      <c r="F17" s="365"/>
      <c r="G17" s="365"/>
      <c r="H17" s="365"/>
      <c r="K17" s="309" t="s">
        <v>148</v>
      </c>
      <c r="L17" s="635">
        <v>6.0</v>
      </c>
      <c r="M17" s="635">
        <v>8.0</v>
      </c>
      <c r="N17" s="636">
        <v>0.0</v>
      </c>
    </row>
    <row r="18">
      <c r="A18" s="309" t="s">
        <v>153</v>
      </c>
      <c r="B18" s="277">
        <v>5.0</v>
      </c>
      <c r="C18" s="277">
        <v>9.0</v>
      </c>
      <c r="D18" s="620">
        <v>0.0</v>
      </c>
      <c r="E18" s="365"/>
      <c r="F18" s="365"/>
      <c r="G18" s="365"/>
      <c r="H18" s="365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6.0"/>
    <col customWidth="1" min="3" max="3" width="5.75"/>
    <col customWidth="1" min="4" max="4" width="6.0"/>
    <col customWidth="1" min="5" max="6" width="7.0"/>
    <col customWidth="1" min="7" max="7" width="19.88"/>
    <col customWidth="1" min="8" max="8" width="8.75"/>
    <col customWidth="1" min="9" max="10" width="9.25"/>
    <col customWidth="1" min="11" max="11" width="18.0"/>
    <col customWidth="1" min="12" max="15" width="11.0"/>
  </cols>
  <sheetData>
    <row r="1">
      <c r="A1" s="599" t="s">
        <v>245</v>
      </c>
      <c r="B1" s="365"/>
      <c r="C1" s="600"/>
      <c r="D1" s="600"/>
      <c r="E1" s="365"/>
      <c r="F1" s="599" t="s">
        <v>246</v>
      </c>
      <c r="G1" s="600"/>
      <c r="H1" s="365"/>
    </row>
    <row r="2">
      <c r="A2" s="601" t="s">
        <v>248</v>
      </c>
      <c r="B2" s="602" t="s">
        <v>104</v>
      </c>
      <c r="C2" s="602" t="s">
        <v>105</v>
      </c>
      <c r="D2" s="603" t="s">
        <v>106</v>
      </c>
      <c r="E2" s="365"/>
      <c r="F2" s="604" t="s">
        <v>249</v>
      </c>
      <c r="G2" s="605" t="s">
        <v>248</v>
      </c>
      <c r="H2" s="606" t="s">
        <v>66</v>
      </c>
    </row>
    <row r="3">
      <c r="A3" s="607" t="s">
        <v>148</v>
      </c>
      <c r="B3" s="608">
        <v>12.0</v>
      </c>
      <c r="C3" s="608">
        <v>2.0</v>
      </c>
      <c r="D3" s="609">
        <v>0.0</v>
      </c>
      <c r="E3" s="365"/>
      <c r="F3" s="610">
        <v>1.0</v>
      </c>
      <c r="G3" s="611" t="s">
        <v>265</v>
      </c>
      <c r="H3" s="612" t="s">
        <v>36</v>
      </c>
    </row>
    <row r="4">
      <c r="A4" s="305" t="s">
        <v>265</v>
      </c>
      <c r="B4" s="262">
        <v>9.0</v>
      </c>
      <c r="C4" s="262">
        <v>5.0</v>
      </c>
      <c r="D4" s="613">
        <v>0.0</v>
      </c>
      <c r="E4" s="365"/>
      <c r="F4" s="614">
        <v>2.0</v>
      </c>
      <c r="G4" s="615" t="s">
        <v>134</v>
      </c>
      <c r="H4" s="616" t="s">
        <v>42</v>
      </c>
    </row>
    <row r="5">
      <c r="A5" s="305" t="s">
        <v>161</v>
      </c>
      <c r="B5" s="262">
        <v>9.0</v>
      </c>
      <c r="C5" s="262">
        <v>5.0</v>
      </c>
      <c r="D5" s="613">
        <v>0.0</v>
      </c>
      <c r="E5" s="365"/>
      <c r="F5" s="617">
        <v>3.0</v>
      </c>
      <c r="G5" s="618" t="s">
        <v>148</v>
      </c>
      <c r="H5" s="619" t="s">
        <v>70</v>
      </c>
    </row>
    <row r="6">
      <c r="A6" s="309" t="s">
        <v>153</v>
      </c>
      <c r="B6" s="277">
        <v>2.0</v>
      </c>
      <c r="C6" s="277">
        <v>12.0</v>
      </c>
      <c r="D6" s="620">
        <v>0.0</v>
      </c>
      <c r="E6" s="365"/>
      <c r="F6" s="621">
        <v>4.0</v>
      </c>
      <c r="G6" s="622" t="s">
        <v>267</v>
      </c>
      <c r="H6" s="623" t="s">
        <v>39</v>
      </c>
    </row>
    <row r="7">
      <c r="A7" s="365"/>
      <c r="B7" s="365"/>
      <c r="C7" s="365"/>
      <c r="D7" s="365"/>
      <c r="E7" s="365"/>
      <c r="F7" s="614">
        <v>5.0</v>
      </c>
      <c r="G7" s="624" t="s">
        <v>151</v>
      </c>
      <c r="H7" s="625" t="s">
        <v>48</v>
      </c>
      <c r="J7" s="626" t="s">
        <v>268</v>
      </c>
    </row>
    <row r="8">
      <c r="A8" s="321" t="s">
        <v>248</v>
      </c>
      <c r="B8" s="322" t="s">
        <v>104</v>
      </c>
      <c r="C8" s="322" t="s">
        <v>105</v>
      </c>
      <c r="D8" s="627" t="s">
        <v>106</v>
      </c>
      <c r="E8" s="365"/>
      <c r="F8" s="617">
        <v>6.0</v>
      </c>
      <c r="G8" s="618" t="s">
        <v>119</v>
      </c>
      <c r="H8" s="619" t="s">
        <v>44</v>
      </c>
    </row>
    <row r="9">
      <c r="A9" s="607" t="s">
        <v>269</v>
      </c>
      <c r="B9" s="608">
        <v>8.0</v>
      </c>
      <c r="C9" s="608">
        <v>6.0</v>
      </c>
      <c r="D9" s="609">
        <v>0.0</v>
      </c>
      <c r="E9" s="365"/>
      <c r="F9" s="628">
        <v>7.0</v>
      </c>
      <c r="G9" s="629" t="s">
        <v>163</v>
      </c>
      <c r="H9" s="630" t="s">
        <v>43</v>
      </c>
    </row>
    <row r="10">
      <c r="A10" s="305" t="s">
        <v>270</v>
      </c>
      <c r="B10" s="262">
        <v>7.0</v>
      </c>
      <c r="C10" s="262">
        <v>7.0</v>
      </c>
      <c r="D10" s="613">
        <v>0.0</v>
      </c>
      <c r="E10" s="365"/>
      <c r="F10" s="614">
        <v>8.0</v>
      </c>
      <c r="G10" s="624" t="s">
        <v>270</v>
      </c>
      <c r="H10" s="625" t="s">
        <v>68</v>
      </c>
      <c r="K10" s="38" t="s">
        <v>264</v>
      </c>
    </row>
    <row r="11">
      <c r="A11" s="305" t="s">
        <v>152</v>
      </c>
      <c r="B11" s="262">
        <v>5.0</v>
      </c>
      <c r="C11" s="262">
        <v>9.0</v>
      </c>
      <c r="D11" s="613">
        <v>0.0</v>
      </c>
      <c r="E11" s="365"/>
      <c r="F11" s="617">
        <v>9.0</v>
      </c>
      <c r="G11" s="618" t="s">
        <v>271</v>
      </c>
      <c r="H11" s="619" t="s">
        <v>46</v>
      </c>
      <c r="K11" s="601" t="s">
        <v>248</v>
      </c>
      <c r="L11" s="602" t="s">
        <v>104</v>
      </c>
      <c r="M11" s="602" t="s">
        <v>105</v>
      </c>
      <c r="N11" s="603" t="s">
        <v>106</v>
      </c>
    </row>
    <row r="12">
      <c r="A12" s="309" t="s">
        <v>272</v>
      </c>
      <c r="B12" s="277">
        <v>3.0</v>
      </c>
      <c r="C12" s="277">
        <v>11.0</v>
      </c>
      <c r="D12" s="620">
        <v>0.0</v>
      </c>
      <c r="E12" s="365"/>
      <c r="F12" s="621">
        <v>10.0</v>
      </c>
      <c r="G12" s="622" t="s">
        <v>153</v>
      </c>
      <c r="H12" s="623" t="s">
        <v>41</v>
      </c>
      <c r="K12" s="607" t="s">
        <v>153</v>
      </c>
      <c r="L12" s="608">
        <v>2.0</v>
      </c>
      <c r="M12" s="608">
        <v>12.0</v>
      </c>
      <c r="N12" s="609">
        <v>0.0</v>
      </c>
    </row>
    <row r="13">
      <c r="A13" s="365"/>
      <c r="B13" s="365"/>
      <c r="C13" s="365"/>
      <c r="D13" s="365"/>
      <c r="E13" s="365"/>
      <c r="F13" s="614">
        <v>11.0</v>
      </c>
      <c r="G13" s="624" t="s">
        <v>165</v>
      </c>
      <c r="H13" s="625" t="s">
        <v>38</v>
      </c>
      <c r="K13" s="305" t="s">
        <v>272</v>
      </c>
      <c r="L13" s="273">
        <v>3.0</v>
      </c>
      <c r="M13" s="273">
        <v>11.0</v>
      </c>
      <c r="N13" s="631">
        <v>0.0</v>
      </c>
    </row>
    <row r="14">
      <c r="A14" s="321" t="s">
        <v>248</v>
      </c>
      <c r="B14" s="322" t="s">
        <v>104</v>
      </c>
      <c r="C14" s="322" t="s">
        <v>105</v>
      </c>
      <c r="D14" s="627" t="s">
        <v>106</v>
      </c>
      <c r="E14" s="365"/>
      <c r="F14" s="632">
        <v>12.0</v>
      </c>
      <c r="G14" s="633" t="s">
        <v>152</v>
      </c>
      <c r="H14" s="634" t="s">
        <v>49</v>
      </c>
      <c r="K14" s="305" t="s">
        <v>163</v>
      </c>
      <c r="L14" s="273">
        <v>4.0</v>
      </c>
      <c r="M14" s="273">
        <v>10.0</v>
      </c>
      <c r="N14" s="631">
        <v>0.0</v>
      </c>
    </row>
    <row r="15">
      <c r="A15" s="607" t="s">
        <v>273</v>
      </c>
      <c r="B15" s="608">
        <v>10.0</v>
      </c>
      <c r="C15" s="608">
        <v>4.0</v>
      </c>
      <c r="D15" s="609">
        <v>0.0</v>
      </c>
      <c r="E15" s="365"/>
      <c r="F15" s="365"/>
      <c r="G15" s="365"/>
      <c r="H15" s="365"/>
      <c r="K15" s="305" t="s">
        <v>152</v>
      </c>
      <c r="L15" s="262">
        <v>5.0</v>
      </c>
      <c r="M15" s="262">
        <v>9.0</v>
      </c>
      <c r="N15" s="613">
        <v>0.0</v>
      </c>
    </row>
    <row r="16">
      <c r="A16" s="305" t="s">
        <v>134</v>
      </c>
      <c r="B16" s="262">
        <v>9.0</v>
      </c>
      <c r="C16" s="262">
        <v>5.0</v>
      </c>
      <c r="D16" s="613">
        <v>0.0</v>
      </c>
      <c r="E16" s="365"/>
      <c r="F16" s="365"/>
      <c r="G16" s="365"/>
      <c r="H16" s="365"/>
      <c r="K16" s="305" t="s">
        <v>164</v>
      </c>
      <c r="L16" s="262">
        <v>6.0</v>
      </c>
      <c r="M16" s="262">
        <v>8.0</v>
      </c>
      <c r="N16" s="613">
        <v>0.0</v>
      </c>
    </row>
    <row r="17">
      <c r="A17" s="305" t="s">
        <v>164</v>
      </c>
      <c r="B17" s="262">
        <v>6.0</v>
      </c>
      <c r="C17" s="262">
        <v>8.0</v>
      </c>
      <c r="D17" s="613">
        <v>0.0</v>
      </c>
      <c r="E17" s="365"/>
      <c r="F17" s="365"/>
      <c r="G17" s="365"/>
      <c r="H17" s="365"/>
      <c r="K17" s="309" t="s">
        <v>270</v>
      </c>
      <c r="L17" s="635">
        <v>7.0</v>
      </c>
      <c r="M17" s="635">
        <v>7.0</v>
      </c>
      <c r="N17" s="636">
        <v>0.0</v>
      </c>
    </row>
    <row r="18">
      <c r="A18" s="309" t="s">
        <v>163</v>
      </c>
      <c r="B18" s="277">
        <v>4.0</v>
      </c>
      <c r="C18" s="277">
        <v>10.0</v>
      </c>
      <c r="D18" s="620">
        <v>0.0</v>
      </c>
      <c r="E18" s="365"/>
      <c r="F18" s="365"/>
      <c r="G18" s="365"/>
      <c r="H18" s="36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6.0"/>
    <col customWidth="1" min="3" max="3" width="5.75"/>
    <col customWidth="1" min="4" max="4" width="6.0"/>
    <col customWidth="1" min="5" max="6" width="7.0"/>
    <col customWidth="1" min="7" max="7" width="19.88"/>
    <col customWidth="1" min="8" max="8" width="8.75"/>
    <col customWidth="1" min="9" max="10" width="9.25"/>
    <col customWidth="1" min="11" max="15" width="11.0"/>
  </cols>
  <sheetData>
    <row r="1">
      <c r="A1" s="599" t="s">
        <v>245</v>
      </c>
      <c r="B1" s="365"/>
      <c r="C1" s="600"/>
      <c r="D1" s="600"/>
      <c r="E1" s="365"/>
      <c r="F1" s="599" t="s">
        <v>246</v>
      </c>
      <c r="G1" s="600"/>
      <c r="H1" s="365"/>
    </row>
    <row r="2">
      <c r="A2" s="601" t="s">
        <v>248</v>
      </c>
      <c r="B2" s="602" t="s">
        <v>104</v>
      </c>
      <c r="C2" s="602" t="s">
        <v>105</v>
      </c>
      <c r="D2" s="603" t="s">
        <v>106</v>
      </c>
      <c r="E2" s="365"/>
      <c r="F2" s="604" t="s">
        <v>249</v>
      </c>
      <c r="G2" s="605" t="s">
        <v>248</v>
      </c>
      <c r="H2" s="606" t="s">
        <v>66</v>
      </c>
    </row>
    <row r="3">
      <c r="A3" s="607" t="s">
        <v>274</v>
      </c>
      <c r="B3" s="608">
        <v>12.0</v>
      </c>
      <c r="C3" s="608">
        <v>2.0</v>
      </c>
      <c r="D3" s="609">
        <v>0.0</v>
      </c>
      <c r="E3" s="365"/>
      <c r="F3" s="610">
        <v>1.0</v>
      </c>
      <c r="G3" s="611" t="s">
        <v>275</v>
      </c>
      <c r="H3" s="612" t="s">
        <v>36</v>
      </c>
    </row>
    <row r="4">
      <c r="A4" s="305" t="s">
        <v>123</v>
      </c>
      <c r="B4" s="262">
        <v>9.0</v>
      </c>
      <c r="C4" s="262">
        <v>5.0</v>
      </c>
      <c r="D4" s="613">
        <v>0.0</v>
      </c>
      <c r="E4" s="365"/>
      <c r="F4" s="614">
        <v>2.0</v>
      </c>
      <c r="G4" s="615" t="s">
        <v>123</v>
      </c>
      <c r="H4" s="616" t="s">
        <v>68</v>
      </c>
    </row>
    <row r="5">
      <c r="A5" s="305" t="s">
        <v>277</v>
      </c>
      <c r="B5" s="262">
        <v>8.0</v>
      </c>
      <c r="C5" s="262">
        <v>6.0</v>
      </c>
      <c r="D5" s="613">
        <v>0.0</v>
      </c>
      <c r="E5" s="365"/>
      <c r="F5" s="617">
        <v>3.0</v>
      </c>
      <c r="G5" s="618" t="s">
        <v>134</v>
      </c>
      <c r="H5" s="619" t="s">
        <v>42</v>
      </c>
    </row>
    <row r="6">
      <c r="A6" s="309" t="s">
        <v>137</v>
      </c>
      <c r="B6" s="277">
        <v>4.0</v>
      </c>
      <c r="C6" s="277">
        <v>10.0</v>
      </c>
      <c r="D6" s="620">
        <v>0.0</v>
      </c>
      <c r="E6" s="365"/>
      <c r="F6" s="621">
        <v>4.0</v>
      </c>
      <c r="G6" s="622" t="s">
        <v>274</v>
      </c>
      <c r="H6" s="623" t="s">
        <v>48</v>
      </c>
    </row>
    <row r="7">
      <c r="A7" s="365"/>
      <c r="B7" s="365"/>
      <c r="C7" s="365"/>
      <c r="D7" s="365"/>
      <c r="E7" s="365"/>
      <c r="F7" s="614">
        <v>5.0</v>
      </c>
      <c r="G7" s="624" t="s">
        <v>152</v>
      </c>
      <c r="H7" s="625" t="s">
        <v>49</v>
      </c>
      <c r="J7" s="626" t="s">
        <v>279</v>
      </c>
    </row>
    <row r="8">
      <c r="A8" s="321" t="s">
        <v>248</v>
      </c>
      <c r="B8" s="322" t="s">
        <v>104</v>
      </c>
      <c r="C8" s="322" t="s">
        <v>105</v>
      </c>
      <c r="D8" s="627" t="s">
        <v>106</v>
      </c>
      <c r="E8" s="365"/>
      <c r="F8" s="617">
        <v>6.0</v>
      </c>
      <c r="G8" s="618" t="s">
        <v>271</v>
      </c>
      <c r="H8" s="619" t="s">
        <v>46</v>
      </c>
    </row>
    <row r="9">
      <c r="A9" s="607" t="s">
        <v>134</v>
      </c>
      <c r="B9" s="608">
        <v>11.0</v>
      </c>
      <c r="C9" s="608">
        <v>3.0</v>
      </c>
      <c r="D9" s="609">
        <v>0.0</v>
      </c>
      <c r="E9" s="365"/>
      <c r="F9" s="628">
        <v>7.0</v>
      </c>
      <c r="G9" s="629" t="s">
        <v>137</v>
      </c>
      <c r="H9" s="630" t="s">
        <v>70</v>
      </c>
    </row>
    <row r="10">
      <c r="A10" s="305" t="s">
        <v>275</v>
      </c>
      <c r="B10" s="262">
        <v>8.0</v>
      </c>
      <c r="C10" s="262">
        <v>6.0</v>
      </c>
      <c r="D10" s="613">
        <v>0.0</v>
      </c>
      <c r="E10" s="365"/>
      <c r="F10" s="614">
        <v>8.0</v>
      </c>
      <c r="G10" s="624" t="s">
        <v>119</v>
      </c>
      <c r="H10" s="625" t="s">
        <v>44</v>
      </c>
    </row>
    <row r="11">
      <c r="A11" s="305" t="s">
        <v>152</v>
      </c>
      <c r="B11" s="262">
        <v>7.0</v>
      </c>
      <c r="C11" s="262">
        <v>7.0</v>
      </c>
      <c r="D11" s="613">
        <v>0.0</v>
      </c>
      <c r="E11" s="365"/>
      <c r="F11" s="617">
        <v>9.0</v>
      </c>
      <c r="G11" s="618" t="s">
        <v>282</v>
      </c>
      <c r="H11" s="619" t="s">
        <v>43</v>
      </c>
    </row>
    <row r="12">
      <c r="A12" s="309" t="s">
        <v>283</v>
      </c>
      <c r="B12" s="277">
        <v>3.0</v>
      </c>
      <c r="C12" s="277">
        <v>11.0</v>
      </c>
      <c r="D12" s="620">
        <v>0.0</v>
      </c>
      <c r="E12" s="365"/>
      <c r="F12" s="621">
        <v>10.0</v>
      </c>
      <c r="G12" s="622" t="s">
        <v>284</v>
      </c>
      <c r="H12" s="623" t="s">
        <v>41</v>
      </c>
    </row>
    <row r="13">
      <c r="A13" s="365"/>
      <c r="B13" s="365"/>
      <c r="C13" s="365"/>
      <c r="D13" s="365"/>
      <c r="E13" s="365"/>
      <c r="F13" s="614">
        <v>11.0</v>
      </c>
      <c r="G13" s="624" t="s">
        <v>285</v>
      </c>
      <c r="H13" s="625" t="s">
        <v>38</v>
      </c>
    </row>
    <row r="14">
      <c r="A14" s="321" t="s">
        <v>248</v>
      </c>
      <c r="B14" s="322" t="s">
        <v>104</v>
      </c>
      <c r="C14" s="322" t="s">
        <v>105</v>
      </c>
      <c r="D14" s="627" t="s">
        <v>106</v>
      </c>
      <c r="E14" s="365"/>
      <c r="F14" s="632">
        <v>12.0</v>
      </c>
      <c r="G14" s="633" t="s">
        <v>283</v>
      </c>
      <c r="H14" s="634" t="s">
        <v>39</v>
      </c>
    </row>
    <row r="15">
      <c r="A15" s="607" t="s">
        <v>271</v>
      </c>
      <c r="B15" s="608">
        <v>8.0</v>
      </c>
      <c r="C15" s="608">
        <v>6.0</v>
      </c>
      <c r="D15" s="609">
        <v>0.0</v>
      </c>
      <c r="E15" s="365"/>
      <c r="F15" s="365"/>
      <c r="G15" s="365"/>
      <c r="H15" s="365"/>
    </row>
    <row r="16">
      <c r="A16" s="305" t="s">
        <v>119</v>
      </c>
      <c r="B16" s="262">
        <v>5.0</v>
      </c>
      <c r="C16" s="262">
        <v>9.0</v>
      </c>
      <c r="D16" s="613">
        <v>0.0</v>
      </c>
      <c r="E16" s="365"/>
      <c r="F16" s="365"/>
      <c r="G16" s="365"/>
      <c r="H16" s="365"/>
    </row>
    <row r="17">
      <c r="A17" s="305" t="s">
        <v>284</v>
      </c>
      <c r="B17" s="262">
        <v>5.0</v>
      </c>
      <c r="C17" s="262">
        <v>9.0</v>
      </c>
      <c r="D17" s="613">
        <v>0.0</v>
      </c>
      <c r="E17" s="365"/>
      <c r="F17" s="365"/>
      <c r="G17" s="365"/>
      <c r="H17" s="365"/>
    </row>
    <row r="18">
      <c r="A18" s="309" t="s">
        <v>285</v>
      </c>
      <c r="B18" s="277">
        <v>4.0</v>
      </c>
      <c r="C18" s="277">
        <v>10.0</v>
      </c>
      <c r="D18" s="620">
        <v>0.0</v>
      </c>
      <c r="E18" s="365"/>
      <c r="F18" s="365"/>
      <c r="G18" s="365"/>
      <c r="H18" s="36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6.0"/>
    <col customWidth="1" min="3" max="3" width="5.75"/>
    <col customWidth="1" min="4" max="4" width="6.0"/>
    <col customWidth="1" min="5" max="8" width="7.0"/>
    <col customWidth="1" min="9" max="9" width="19.88"/>
    <col customWidth="1" min="10" max="10" width="8.75"/>
    <col customWidth="1" min="11" max="12" width="9.25"/>
    <col customWidth="1" min="13" max="17" width="11.0"/>
  </cols>
  <sheetData>
    <row r="1">
      <c r="A1" s="599" t="s">
        <v>245</v>
      </c>
      <c r="B1" s="365"/>
      <c r="C1" s="600"/>
      <c r="D1" s="600"/>
      <c r="E1" s="365"/>
      <c r="F1" s="365"/>
      <c r="G1" s="365"/>
      <c r="H1" s="599" t="s">
        <v>246</v>
      </c>
      <c r="I1" s="600"/>
      <c r="J1" s="365"/>
    </row>
    <row r="2">
      <c r="A2" s="601" t="s">
        <v>248</v>
      </c>
      <c r="B2" s="602" t="s">
        <v>104</v>
      </c>
      <c r="C2" s="602" t="s">
        <v>105</v>
      </c>
      <c r="D2" s="602" t="s">
        <v>106</v>
      </c>
      <c r="E2" s="602" t="s">
        <v>108</v>
      </c>
      <c r="F2" s="603" t="s">
        <v>109</v>
      </c>
      <c r="G2" s="365"/>
      <c r="H2" s="604" t="s">
        <v>249</v>
      </c>
      <c r="I2" s="605" t="s">
        <v>248</v>
      </c>
      <c r="J2" s="606" t="s">
        <v>66</v>
      </c>
    </row>
    <row r="3">
      <c r="A3" s="607" t="s">
        <v>276</v>
      </c>
      <c r="B3" s="608">
        <v>7.0</v>
      </c>
      <c r="C3" s="608">
        <v>7.0</v>
      </c>
      <c r="D3" s="608">
        <v>0.0</v>
      </c>
      <c r="E3" s="608">
        <v>1338.24</v>
      </c>
      <c r="F3" s="609">
        <v>1370.72</v>
      </c>
      <c r="G3" s="365"/>
      <c r="H3" s="610">
        <v>1.0</v>
      </c>
      <c r="I3" s="611" t="s">
        <v>123</v>
      </c>
      <c r="J3" s="612" t="s">
        <v>68</v>
      </c>
    </row>
    <row r="4">
      <c r="A4" s="305" t="s">
        <v>178</v>
      </c>
      <c r="B4" s="262">
        <v>7.0</v>
      </c>
      <c r="C4" s="262">
        <v>7.0</v>
      </c>
      <c r="D4" s="262">
        <v>0.0</v>
      </c>
      <c r="E4" s="262">
        <v>1269.24</v>
      </c>
      <c r="F4" s="613">
        <v>1315.14</v>
      </c>
      <c r="G4" s="365"/>
      <c r="H4" s="614">
        <v>2.0</v>
      </c>
      <c r="I4" s="615" t="s">
        <v>276</v>
      </c>
      <c r="J4" s="616" t="s">
        <v>39</v>
      </c>
    </row>
    <row r="5">
      <c r="A5" s="305" t="s">
        <v>177</v>
      </c>
      <c r="B5" s="262">
        <v>6.0</v>
      </c>
      <c r="C5" s="262">
        <v>8.0</v>
      </c>
      <c r="D5" s="262">
        <v>0.0</v>
      </c>
      <c r="E5" s="262">
        <v>1293.2</v>
      </c>
      <c r="F5" s="613">
        <v>1319.99</v>
      </c>
      <c r="G5" s="365"/>
      <c r="H5" s="617">
        <v>3.0</v>
      </c>
      <c r="I5" s="618" t="s">
        <v>278</v>
      </c>
      <c r="J5" s="619" t="s">
        <v>50</v>
      </c>
    </row>
    <row r="6">
      <c r="A6" s="309" t="s">
        <v>175</v>
      </c>
      <c r="B6" s="277">
        <v>5.0</v>
      </c>
      <c r="C6" s="277">
        <v>9.0</v>
      </c>
      <c r="D6" s="277">
        <v>0.0</v>
      </c>
      <c r="E6" s="277">
        <v>1295.22</v>
      </c>
      <c r="F6" s="620">
        <v>1429.88</v>
      </c>
      <c r="G6" s="365"/>
      <c r="H6" s="621">
        <v>4.0</v>
      </c>
      <c r="I6" s="622" t="s">
        <v>169</v>
      </c>
      <c r="J6" s="623" t="s">
        <v>43</v>
      </c>
    </row>
    <row r="7">
      <c r="A7" s="365"/>
      <c r="B7" s="365"/>
      <c r="C7" s="365"/>
      <c r="D7" s="365"/>
      <c r="E7" s="365"/>
      <c r="F7" s="365"/>
      <c r="G7" s="365"/>
      <c r="H7" s="614">
        <v>5.0</v>
      </c>
      <c r="I7" s="624" t="s">
        <v>152</v>
      </c>
      <c r="J7" s="625" t="s">
        <v>49</v>
      </c>
      <c r="L7" s="626" t="s">
        <v>280</v>
      </c>
    </row>
    <row r="8">
      <c r="A8" s="321" t="s">
        <v>248</v>
      </c>
      <c r="B8" s="322" t="s">
        <v>104</v>
      </c>
      <c r="C8" s="322" t="s">
        <v>105</v>
      </c>
      <c r="D8" s="322" t="s">
        <v>106</v>
      </c>
      <c r="E8" s="602" t="s">
        <v>108</v>
      </c>
      <c r="F8" s="603" t="s">
        <v>109</v>
      </c>
      <c r="G8" s="365"/>
      <c r="H8" s="617">
        <v>6.0</v>
      </c>
      <c r="I8" s="618" t="s">
        <v>172</v>
      </c>
      <c r="J8" s="619" t="s">
        <v>46</v>
      </c>
    </row>
    <row r="9">
      <c r="A9" s="607" t="s">
        <v>169</v>
      </c>
      <c r="B9" s="608">
        <v>9.0</v>
      </c>
      <c r="C9" s="608">
        <v>5.0</v>
      </c>
      <c r="D9" s="608">
        <v>0.0</v>
      </c>
      <c r="E9" s="608">
        <v>1393.36</v>
      </c>
      <c r="F9" s="609">
        <v>1303.94</v>
      </c>
      <c r="G9" s="365"/>
      <c r="H9" s="628">
        <v>7.0</v>
      </c>
      <c r="I9" s="629" t="s">
        <v>281</v>
      </c>
      <c r="J9" s="630" t="s">
        <v>48</v>
      </c>
    </row>
    <row r="10">
      <c r="A10" s="305" t="s">
        <v>152</v>
      </c>
      <c r="B10" s="262">
        <v>7.0</v>
      </c>
      <c r="C10" s="262">
        <v>7.0</v>
      </c>
      <c r="D10" s="262">
        <v>0.0</v>
      </c>
      <c r="E10" s="262">
        <v>1381.46</v>
      </c>
      <c r="F10" s="613">
        <v>1252.08</v>
      </c>
      <c r="G10" s="365"/>
      <c r="H10" s="614">
        <v>8.0</v>
      </c>
      <c r="I10" s="624" t="s">
        <v>174</v>
      </c>
      <c r="J10" s="625" t="s">
        <v>36</v>
      </c>
    </row>
    <row r="11">
      <c r="A11" s="305" t="s">
        <v>119</v>
      </c>
      <c r="B11" s="262">
        <v>6.0</v>
      </c>
      <c r="C11" s="262">
        <v>8.0</v>
      </c>
      <c r="D11" s="262">
        <v>0.0</v>
      </c>
      <c r="E11" s="262">
        <v>1325.52</v>
      </c>
      <c r="F11" s="613">
        <v>1399.4</v>
      </c>
      <c r="G11" s="365"/>
      <c r="H11" s="617">
        <v>9.0</v>
      </c>
      <c r="I11" s="618" t="s">
        <v>119</v>
      </c>
      <c r="J11" s="619" t="s">
        <v>44</v>
      </c>
    </row>
    <row r="12">
      <c r="A12" s="309" t="s">
        <v>137</v>
      </c>
      <c r="B12" s="277">
        <v>5.0</v>
      </c>
      <c r="C12" s="277">
        <v>9.0</v>
      </c>
      <c r="D12" s="277">
        <v>0.0</v>
      </c>
      <c r="E12" s="277">
        <v>1208.64</v>
      </c>
      <c r="F12" s="620">
        <v>1328.5</v>
      </c>
      <c r="G12" s="365"/>
      <c r="H12" s="621">
        <v>10.0</v>
      </c>
      <c r="I12" s="622" t="s">
        <v>137</v>
      </c>
      <c r="J12" s="623" t="s">
        <v>45</v>
      </c>
    </row>
    <row r="13">
      <c r="A13" s="365"/>
      <c r="B13" s="365"/>
      <c r="C13" s="365"/>
      <c r="D13" s="365"/>
      <c r="E13" s="365"/>
      <c r="F13" s="365"/>
      <c r="G13" s="365"/>
      <c r="H13" s="614">
        <v>11.0</v>
      </c>
      <c r="I13" s="624" t="s">
        <v>175</v>
      </c>
      <c r="J13" s="625" t="s">
        <v>42</v>
      </c>
    </row>
    <row r="14">
      <c r="A14" s="321" t="s">
        <v>248</v>
      </c>
      <c r="B14" s="322" t="s">
        <v>104</v>
      </c>
      <c r="C14" s="322" t="s">
        <v>105</v>
      </c>
      <c r="D14" s="322" t="s">
        <v>106</v>
      </c>
      <c r="E14" s="602" t="s">
        <v>108</v>
      </c>
      <c r="F14" s="603" t="s">
        <v>109</v>
      </c>
      <c r="G14" s="365"/>
      <c r="H14" s="632">
        <v>12.0</v>
      </c>
      <c r="I14" s="633" t="s">
        <v>177</v>
      </c>
      <c r="J14" s="634" t="s">
        <v>38</v>
      </c>
    </row>
    <row r="15">
      <c r="A15" s="607" t="s">
        <v>123</v>
      </c>
      <c r="B15" s="608">
        <v>12.0</v>
      </c>
      <c r="C15" s="608">
        <v>2.0</v>
      </c>
      <c r="D15" s="608">
        <v>0.0</v>
      </c>
      <c r="E15" s="608">
        <v>1484.26</v>
      </c>
      <c r="F15" s="609">
        <v>1159.52</v>
      </c>
      <c r="G15" s="365"/>
      <c r="H15" s="365"/>
      <c r="I15" s="365"/>
      <c r="J15" s="365"/>
    </row>
    <row r="16">
      <c r="A16" s="305" t="s">
        <v>171</v>
      </c>
      <c r="B16" s="262">
        <v>9.0</v>
      </c>
      <c r="C16" s="262">
        <v>5.0</v>
      </c>
      <c r="D16" s="262">
        <v>0.0</v>
      </c>
      <c r="E16" s="262">
        <v>1520.56</v>
      </c>
      <c r="F16" s="613">
        <v>1467.82</v>
      </c>
      <c r="G16" s="365"/>
      <c r="H16" s="365"/>
      <c r="I16" s="365"/>
      <c r="J16" s="365"/>
    </row>
    <row r="17">
      <c r="A17" s="305" t="s">
        <v>32</v>
      </c>
      <c r="B17" s="262">
        <v>6.0</v>
      </c>
      <c r="C17" s="262">
        <v>8.0</v>
      </c>
      <c r="D17" s="262">
        <v>0.0</v>
      </c>
      <c r="E17" s="262">
        <v>1303.04</v>
      </c>
      <c r="F17" s="613">
        <v>1424.2</v>
      </c>
      <c r="G17" s="365"/>
      <c r="H17" s="365"/>
      <c r="I17" s="365"/>
      <c r="J17" s="365"/>
    </row>
    <row r="18">
      <c r="A18" s="309" t="s">
        <v>172</v>
      </c>
      <c r="B18" s="277">
        <v>5.0</v>
      </c>
      <c r="C18" s="277">
        <v>9.0</v>
      </c>
      <c r="D18" s="277">
        <v>0.0</v>
      </c>
      <c r="E18" s="277">
        <v>1345.04</v>
      </c>
      <c r="F18" s="620">
        <v>1386.48</v>
      </c>
      <c r="G18" s="365"/>
      <c r="H18" s="637" t="s">
        <v>286</v>
      </c>
      <c r="I18" s="638"/>
      <c r="J18" s="365"/>
    </row>
    <row r="19">
      <c r="H19" s="604" t="s">
        <v>249</v>
      </c>
      <c r="I19" s="605" t="s">
        <v>248</v>
      </c>
      <c r="J19" s="606" t="s">
        <v>66</v>
      </c>
    </row>
    <row r="20">
      <c r="H20" s="639">
        <v>1.0</v>
      </c>
      <c r="I20" s="640" t="s">
        <v>137</v>
      </c>
      <c r="J20" s="641" t="s">
        <v>45</v>
      </c>
    </row>
    <row r="21">
      <c r="H21" s="642">
        <v>2.0</v>
      </c>
      <c r="I21" s="643" t="s">
        <v>281</v>
      </c>
      <c r="J21" s="644" t="s">
        <v>48</v>
      </c>
    </row>
    <row r="22">
      <c r="H22" s="642">
        <v>3.0</v>
      </c>
      <c r="I22" s="645" t="s">
        <v>177</v>
      </c>
      <c r="J22" s="646" t="s">
        <v>38</v>
      </c>
    </row>
    <row r="23">
      <c r="H23" s="642">
        <v>4.0</v>
      </c>
      <c r="I23" s="647" t="s">
        <v>175</v>
      </c>
      <c r="J23" s="648" t="s">
        <v>42</v>
      </c>
    </row>
    <row r="24">
      <c r="H24" s="642">
        <v>5.0</v>
      </c>
      <c r="I24" s="645" t="s">
        <v>174</v>
      </c>
      <c r="J24" s="646" t="s">
        <v>36</v>
      </c>
    </row>
    <row r="25">
      <c r="H25" s="642">
        <v>6.0</v>
      </c>
      <c r="I25" s="645" t="s">
        <v>119</v>
      </c>
      <c r="J25" s="646" t="s">
        <v>44</v>
      </c>
    </row>
    <row r="26">
      <c r="H26" s="649">
        <v>7.0</v>
      </c>
      <c r="I26" s="645" t="s">
        <v>172</v>
      </c>
      <c r="J26" s="646" t="s">
        <v>46</v>
      </c>
    </row>
    <row r="27">
      <c r="H27" s="642">
        <v>8.0</v>
      </c>
      <c r="I27" s="645" t="s">
        <v>152</v>
      </c>
      <c r="J27" s="646" t="s">
        <v>49</v>
      </c>
    </row>
    <row r="28">
      <c r="H28" s="642">
        <v>9.0</v>
      </c>
      <c r="I28" s="645" t="s">
        <v>169</v>
      </c>
      <c r="J28" s="646" t="s">
        <v>43</v>
      </c>
    </row>
    <row r="29">
      <c r="H29" s="642">
        <v>10.0</v>
      </c>
      <c r="I29" s="645" t="s">
        <v>278</v>
      </c>
      <c r="J29" s="646" t="s">
        <v>50</v>
      </c>
    </row>
    <row r="30">
      <c r="H30" s="642">
        <v>11.0</v>
      </c>
      <c r="I30" s="643" t="s">
        <v>276</v>
      </c>
      <c r="J30" s="644" t="s">
        <v>39</v>
      </c>
    </row>
    <row r="31">
      <c r="H31" s="650">
        <v>12.0</v>
      </c>
      <c r="I31" s="651" t="s">
        <v>123</v>
      </c>
      <c r="J31" s="652" t="s">
        <v>68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6.0"/>
    <col customWidth="1" min="3" max="3" width="5.75"/>
    <col customWidth="1" min="4" max="4" width="6.0"/>
    <col customWidth="1" min="5" max="6" width="7.0"/>
    <col customWidth="1" min="7" max="7" width="17.25"/>
    <col customWidth="1" min="8" max="8" width="8.75"/>
    <col customWidth="1" min="9" max="10" width="9.25"/>
    <col customWidth="1" min="11" max="15" width="11.0"/>
  </cols>
  <sheetData>
    <row r="1">
      <c r="A1" s="599" t="s">
        <v>245</v>
      </c>
      <c r="B1" s="365"/>
      <c r="C1" s="600"/>
      <c r="D1" s="600"/>
      <c r="E1" s="365"/>
      <c r="F1" s="599" t="s">
        <v>246</v>
      </c>
      <c r="G1" s="600"/>
      <c r="H1" s="365"/>
    </row>
    <row r="2">
      <c r="A2" s="601" t="s">
        <v>248</v>
      </c>
      <c r="B2" s="602" t="s">
        <v>104</v>
      </c>
      <c r="C2" s="602" t="s">
        <v>105</v>
      </c>
      <c r="D2" s="603" t="s">
        <v>106</v>
      </c>
      <c r="E2" s="365"/>
      <c r="F2" s="604" t="s">
        <v>249</v>
      </c>
      <c r="G2" s="605" t="s">
        <v>248</v>
      </c>
      <c r="H2" s="606" t="s">
        <v>66</v>
      </c>
    </row>
    <row r="3">
      <c r="A3" s="653" t="s">
        <v>152</v>
      </c>
      <c r="B3" s="654">
        <v>11.0</v>
      </c>
      <c r="C3" s="654">
        <v>2.0</v>
      </c>
      <c r="D3" s="655">
        <v>0.0</v>
      </c>
      <c r="E3" s="365"/>
      <c r="F3" s="610">
        <v>1.0</v>
      </c>
      <c r="G3" s="656" t="s">
        <v>185</v>
      </c>
      <c r="H3" s="612" t="s">
        <v>39</v>
      </c>
    </row>
    <row r="4">
      <c r="A4" s="657" t="s">
        <v>185</v>
      </c>
      <c r="B4" s="658">
        <v>7.0</v>
      </c>
      <c r="C4" s="658">
        <v>6.0</v>
      </c>
      <c r="D4" s="659">
        <v>0.0</v>
      </c>
      <c r="E4" s="365"/>
      <c r="F4" s="614">
        <v>2.0</v>
      </c>
      <c r="G4" s="660" t="s">
        <v>152</v>
      </c>
      <c r="H4" s="616" t="s">
        <v>49</v>
      </c>
    </row>
    <row r="5">
      <c r="A5" s="661" t="s">
        <v>193</v>
      </c>
      <c r="B5" s="662">
        <v>6.0</v>
      </c>
      <c r="C5" s="662">
        <v>7.0</v>
      </c>
      <c r="D5" s="663">
        <v>0.0</v>
      </c>
      <c r="E5" s="365"/>
      <c r="F5" s="617">
        <v>3.0</v>
      </c>
      <c r="G5" s="664" t="s">
        <v>184</v>
      </c>
      <c r="H5" s="619" t="s">
        <v>68</v>
      </c>
    </row>
    <row r="6">
      <c r="A6" s="665" t="s">
        <v>195</v>
      </c>
      <c r="B6" s="666">
        <v>4.0</v>
      </c>
      <c r="C6" s="666">
        <v>9.0</v>
      </c>
      <c r="D6" s="667">
        <v>0.0</v>
      </c>
      <c r="E6" s="365"/>
      <c r="F6" s="621">
        <v>4.0</v>
      </c>
      <c r="G6" s="668" t="s">
        <v>182</v>
      </c>
      <c r="H6" s="623" t="s">
        <v>42</v>
      </c>
    </row>
    <row r="7">
      <c r="A7" s="365"/>
      <c r="B7" s="365"/>
      <c r="C7" s="365"/>
      <c r="D7" s="365"/>
      <c r="E7" s="365"/>
      <c r="F7" s="614">
        <v>5.0</v>
      </c>
      <c r="G7" s="669" t="s">
        <v>137</v>
      </c>
      <c r="H7" s="625" t="s">
        <v>70</v>
      </c>
      <c r="J7" s="626" t="s">
        <v>287</v>
      </c>
    </row>
    <row r="8">
      <c r="A8" s="321" t="s">
        <v>248</v>
      </c>
      <c r="B8" s="322" t="s">
        <v>104</v>
      </c>
      <c r="C8" s="322" t="s">
        <v>105</v>
      </c>
      <c r="D8" s="627" t="s">
        <v>106</v>
      </c>
      <c r="E8" s="365"/>
      <c r="F8" s="617">
        <v>6.0</v>
      </c>
      <c r="G8" s="664" t="s">
        <v>183</v>
      </c>
      <c r="H8" s="619" t="s">
        <v>46</v>
      </c>
    </row>
    <row r="9">
      <c r="A9" s="670" t="s">
        <v>183</v>
      </c>
      <c r="B9" s="671">
        <v>8.0</v>
      </c>
      <c r="C9" s="671">
        <v>5.0</v>
      </c>
      <c r="D9" s="672">
        <v>0.0</v>
      </c>
      <c r="E9" s="365"/>
      <c r="F9" s="628">
        <v>7.0</v>
      </c>
      <c r="G9" s="673" t="s">
        <v>188</v>
      </c>
      <c r="H9" s="630" t="s">
        <v>38</v>
      </c>
    </row>
    <row r="10">
      <c r="A10" s="661" t="s">
        <v>137</v>
      </c>
      <c r="B10" s="662">
        <v>7.0</v>
      </c>
      <c r="C10" s="662">
        <v>6.0</v>
      </c>
      <c r="D10" s="663">
        <v>0.0</v>
      </c>
      <c r="E10" s="365"/>
      <c r="F10" s="614">
        <v>8.0</v>
      </c>
      <c r="G10" s="669" t="s">
        <v>193</v>
      </c>
      <c r="H10" s="625" t="s">
        <v>43</v>
      </c>
    </row>
    <row r="11">
      <c r="A11" s="657" t="s">
        <v>190</v>
      </c>
      <c r="B11" s="658">
        <v>6.0</v>
      </c>
      <c r="C11" s="658">
        <v>7.0</v>
      </c>
      <c r="D11" s="659">
        <v>0.0</v>
      </c>
      <c r="E11" s="365"/>
      <c r="F11" s="617">
        <v>9.0</v>
      </c>
      <c r="G11" s="664" t="s">
        <v>195</v>
      </c>
      <c r="H11" s="619" t="s">
        <v>50</v>
      </c>
    </row>
    <row r="12">
      <c r="A12" s="674" t="s">
        <v>119</v>
      </c>
      <c r="B12" s="675">
        <v>5.0</v>
      </c>
      <c r="C12" s="675">
        <v>8.0</v>
      </c>
      <c r="D12" s="676">
        <v>0.0</v>
      </c>
      <c r="E12" s="365"/>
      <c r="F12" s="621">
        <v>10.0</v>
      </c>
      <c r="G12" s="668" t="s">
        <v>190</v>
      </c>
      <c r="H12" s="623" t="s">
        <v>48</v>
      </c>
    </row>
    <row r="13">
      <c r="A13" s="365"/>
      <c r="B13" s="365"/>
      <c r="C13" s="365"/>
      <c r="D13" s="365"/>
      <c r="E13" s="365"/>
      <c r="F13" s="614">
        <v>11.0</v>
      </c>
      <c r="G13" s="669" t="s">
        <v>119</v>
      </c>
      <c r="H13" s="625" t="s">
        <v>44</v>
      </c>
    </row>
    <row r="14">
      <c r="A14" s="321" t="s">
        <v>248</v>
      </c>
      <c r="B14" s="322" t="s">
        <v>104</v>
      </c>
      <c r="C14" s="322" t="s">
        <v>105</v>
      </c>
      <c r="D14" s="627" t="s">
        <v>106</v>
      </c>
      <c r="E14" s="365"/>
      <c r="F14" s="632">
        <v>12.0</v>
      </c>
      <c r="G14" s="677" t="s">
        <v>198</v>
      </c>
      <c r="H14" s="634" t="s">
        <v>36</v>
      </c>
    </row>
    <row r="15">
      <c r="A15" s="678" t="s">
        <v>182</v>
      </c>
      <c r="B15" s="679">
        <v>9.0</v>
      </c>
      <c r="C15" s="679">
        <v>4.0</v>
      </c>
      <c r="D15" s="680">
        <v>0.0</v>
      </c>
      <c r="E15" s="365"/>
      <c r="F15" s="365"/>
      <c r="G15" s="365"/>
      <c r="H15" s="365"/>
    </row>
    <row r="16">
      <c r="A16" s="681" t="s">
        <v>184</v>
      </c>
      <c r="B16" s="682">
        <v>8.0</v>
      </c>
      <c r="C16" s="682">
        <v>5.0</v>
      </c>
      <c r="D16" s="683">
        <v>0.0</v>
      </c>
      <c r="E16" s="365"/>
      <c r="F16" s="365"/>
      <c r="G16" s="365"/>
      <c r="H16" s="365"/>
    </row>
    <row r="17">
      <c r="A17" s="657" t="s">
        <v>188</v>
      </c>
      <c r="B17" s="658">
        <v>6.0</v>
      </c>
      <c r="C17" s="658">
        <v>7.0</v>
      </c>
      <c r="D17" s="659">
        <v>0.0</v>
      </c>
      <c r="E17" s="365"/>
      <c r="F17" s="365"/>
      <c r="G17" s="365"/>
      <c r="H17" s="365"/>
    </row>
    <row r="18">
      <c r="A18" s="665" t="s">
        <v>198</v>
      </c>
      <c r="B18" s="666">
        <v>1.0</v>
      </c>
      <c r="C18" s="666">
        <v>12.0</v>
      </c>
      <c r="D18" s="667">
        <v>0.0</v>
      </c>
      <c r="E18" s="365"/>
      <c r="F18" s="365"/>
      <c r="G18" s="365"/>
      <c r="H18" s="365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6.0"/>
    <col customWidth="1" min="3" max="3" width="5.75"/>
    <col customWidth="1" min="4" max="4" width="6.0"/>
    <col customWidth="1" min="5" max="6" width="7.0"/>
    <col customWidth="1" min="7" max="7" width="12.63"/>
    <col customWidth="1" min="8" max="8" width="8.75"/>
    <col customWidth="1" min="9" max="10" width="9.25"/>
    <col customWidth="1" min="11" max="15" width="11.0"/>
  </cols>
  <sheetData>
    <row r="1">
      <c r="A1" s="599" t="s">
        <v>245</v>
      </c>
      <c r="B1" s="365"/>
      <c r="C1" s="600"/>
      <c r="D1" s="600"/>
      <c r="E1" s="365"/>
      <c r="F1" s="599" t="s">
        <v>246</v>
      </c>
      <c r="G1" s="600"/>
      <c r="H1" s="365"/>
    </row>
    <row r="2">
      <c r="A2" s="321" t="s">
        <v>248</v>
      </c>
      <c r="B2" s="322" t="s">
        <v>104</v>
      </c>
      <c r="C2" s="322" t="s">
        <v>105</v>
      </c>
      <c r="D2" s="627" t="s">
        <v>106</v>
      </c>
      <c r="E2" s="365"/>
      <c r="F2" s="604" t="s">
        <v>249</v>
      </c>
      <c r="G2" s="605" t="s">
        <v>248</v>
      </c>
      <c r="H2" s="606" t="s">
        <v>66</v>
      </c>
    </row>
    <row r="3">
      <c r="A3" s="611" t="s">
        <v>288</v>
      </c>
      <c r="B3" s="684">
        <v>10.0</v>
      </c>
      <c r="C3" s="684">
        <v>3.0</v>
      </c>
      <c r="D3" s="685">
        <v>0.0</v>
      </c>
      <c r="E3" s="365"/>
      <c r="F3" s="610">
        <v>1.0</v>
      </c>
      <c r="G3" s="656" t="s">
        <v>209</v>
      </c>
      <c r="H3" s="612" t="s">
        <v>43</v>
      </c>
    </row>
    <row r="4">
      <c r="A4" s="629" t="s">
        <v>289</v>
      </c>
      <c r="B4" s="686">
        <v>8.0</v>
      </c>
      <c r="C4" s="686">
        <v>5.0</v>
      </c>
      <c r="D4" s="687">
        <v>0.0</v>
      </c>
      <c r="E4" s="365"/>
      <c r="F4" s="614">
        <v>2.0</v>
      </c>
      <c r="G4" s="660" t="s">
        <v>213</v>
      </c>
      <c r="H4" s="616" t="s">
        <v>44</v>
      </c>
    </row>
    <row r="5">
      <c r="A5" s="688" t="s">
        <v>290</v>
      </c>
      <c r="B5" s="689">
        <v>6.0</v>
      </c>
      <c r="C5" s="689">
        <v>7.0</v>
      </c>
      <c r="D5" s="687">
        <v>0.0</v>
      </c>
      <c r="E5" s="365"/>
      <c r="F5" s="617">
        <v>3.0</v>
      </c>
      <c r="G5" s="664" t="s">
        <v>288</v>
      </c>
      <c r="H5" s="619" t="s">
        <v>42</v>
      </c>
    </row>
    <row r="6">
      <c r="A6" s="690" t="s">
        <v>291</v>
      </c>
      <c r="B6" s="691">
        <v>3.0</v>
      </c>
      <c r="C6" s="691">
        <v>10.0</v>
      </c>
      <c r="D6" s="692">
        <v>0.0</v>
      </c>
      <c r="E6" s="365"/>
      <c r="F6" s="621">
        <v>4.0</v>
      </c>
      <c r="G6" s="668" t="s">
        <v>290</v>
      </c>
      <c r="H6" s="623" t="s">
        <v>51</v>
      </c>
    </row>
    <row r="7">
      <c r="A7" s="365"/>
      <c r="B7" s="365"/>
      <c r="C7" s="365"/>
      <c r="D7" s="365"/>
      <c r="E7" s="365"/>
      <c r="F7" s="614">
        <v>5.0</v>
      </c>
      <c r="G7" s="669" t="s">
        <v>137</v>
      </c>
      <c r="H7" s="625" t="s">
        <v>70</v>
      </c>
      <c r="J7" s="626" t="s">
        <v>292</v>
      </c>
    </row>
    <row r="8">
      <c r="A8" s="321" t="s">
        <v>248</v>
      </c>
      <c r="B8" s="322" t="s">
        <v>104</v>
      </c>
      <c r="C8" s="322" t="s">
        <v>105</v>
      </c>
      <c r="D8" s="627" t="s">
        <v>106</v>
      </c>
      <c r="E8" s="365"/>
      <c r="F8" s="617">
        <v>6.0</v>
      </c>
      <c r="G8" s="664" t="s">
        <v>219</v>
      </c>
      <c r="H8" s="619" t="s">
        <v>68</v>
      </c>
    </row>
    <row r="9">
      <c r="A9" s="693" t="s">
        <v>213</v>
      </c>
      <c r="B9" s="694">
        <v>7.0</v>
      </c>
      <c r="C9" s="694">
        <v>6.0</v>
      </c>
      <c r="D9" s="695">
        <v>0.0</v>
      </c>
      <c r="E9" s="365"/>
      <c r="F9" s="628">
        <v>7.0</v>
      </c>
      <c r="G9" s="673" t="s">
        <v>152</v>
      </c>
      <c r="H9" s="630" t="s">
        <v>49</v>
      </c>
    </row>
    <row r="10">
      <c r="A10" s="615" t="s">
        <v>219</v>
      </c>
      <c r="B10" s="696">
        <v>6.0</v>
      </c>
      <c r="C10" s="696">
        <v>7.0</v>
      </c>
      <c r="D10" s="697">
        <v>0.0</v>
      </c>
      <c r="E10" s="365"/>
      <c r="F10" s="614">
        <v>8.0</v>
      </c>
      <c r="G10" s="669" t="s">
        <v>293</v>
      </c>
      <c r="H10" s="625" t="s">
        <v>48</v>
      </c>
    </row>
    <row r="11">
      <c r="A11" s="624" t="s">
        <v>226</v>
      </c>
      <c r="B11" s="696">
        <v>6.0</v>
      </c>
      <c r="C11" s="696">
        <v>7.0</v>
      </c>
      <c r="D11" s="697">
        <v>0.0</v>
      </c>
      <c r="E11" s="365"/>
      <c r="F11" s="617">
        <v>9.0</v>
      </c>
      <c r="G11" s="664" t="s">
        <v>291</v>
      </c>
      <c r="H11" s="619" t="s">
        <v>38</v>
      </c>
    </row>
    <row r="12">
      <c r="A12" s="698" t="s">
        <v>152</v>
      </c>
      <c r="B12" s="699">
        <v>5.0</v>
      </c>
      <c r="C12" s="699">
        <v>8.0</v>
      </c>
      <c r="D12" s="700">
        <v>0.0</v>
      </c>
      <c r="E12" s="365"/>
      <c r="F12" s="621">
        <v>10.0</v>
      </c>
      <c r="G12" s="668" t="s">
        <v>227</v>
      </c>
      <c r="H12" s="623" t="s">
        <v>39</v>
      </c>
    </row>
    <row r="13">
      <c r="A13" s="365"/>
      <c r="B13" s="365"/>
      <c r="C13" s="365"/>
      <c r="D13" s="365"/>
      <c r="E13" s="365"/>
      <c r="F13" s="614">
        <v>11.0</v>
      </c>
      <c r="G13" s="669" t="s">
        <v>294</v>
      </c>
      <c r="H13" s="625" t="s">
        <v>46</v>
      </c>
    </row>
    <row r="14">
      <c r="A14" s="321" t="s">
        <v>248</v>
      </c>
      <c r="B14" s="322" t="s">
        <v>104</v>
      </c>
      <c r="C14" s="322" t="s">
        <v>105</v>
      </c>
      <c r="D14" s="627" t="s">
        <v>106</v>
      </c>
      <c r="E14" s="365"/>
      <c r="F14" s="632">
        <v>12.0</v>
      </c>
      <c r="G14" s="677" t="s">
        <v>226</v>
      </c>
      <c r="H14" s="634" t="s">
        <v>36</v>
      </c>
    </row>
    <row r="15">
      <c r="A15" s="701" t="s">
        <v>209</v>
      </c>
      <c r="B15" s="702">
        <v>11.0</v>
      </c>
      <c r="C15" s="702">
        <v>2.0</v>
      </c>
      <c r="D15" s="703">
        <v>0.0</v>
      </c>
      <c r="E15" s="365"/>
      <c r="F15" s="365"/>
      <c r="G15" s="365"/>
      <c r="H15" s="365"/>
    </row>
    <row r="16">
      <c r="A16" s="704" t="s">
        <v>137</v>
      </c>
      <c r="B16" s="705">
        <v>8.0</v>
      </c>
      <c r="C16" s="705">
        <v>5.0</v>
      </c>
      <c r="D16" s="706">
        <v>0.0</v>
      </c>
      <c r="E16" s="365"/>
      <c r="F16" s="365"/>
      <c r="G16" s="365"/>
      <c r="H16" s="365"/>
    </row>
    <row r="17">
      <c r="A17" s="618" t="s">
        <v>294</v>
      </c>
      <c r="B17" s="705">
        <v>6.0</v>
      </c>
      <c r="C17" s="705">
        <v>7.0</v>
      </c>
      <c r="D17" s="706">
        <v>0.0</v>
      </c>
      <c r="E17" s="365"/>
      <c r="F17" s="365"/>
      <c r="G17" s="365"/>
      <c r="H17" s="365"/>
    </row>
    <row r="18">
      <c r="A18" s="633" t="s">
        <v>227</v>
      </c>
      <c r="B18" s="707">
        <v>2.0</v>
      </c>
      <c r="C18" s="707">
        <v>11.0</v>
      </c>
      <c r="D18" s="708">
        <v>0.0</v>
      </c>
      <c r="E18" s="365"/>
      <c r="F18" s="365"/>
      <c r="G18" s="365"/>
      <c r="H18" s="365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6.0"/>
    <col customWidth="1" min="3" max="3" width="5.75"/>
    <col customWidth="1" min="4" max="4" width="6.0"/>
    <col customWidth="1" min="5" max="6" width="7.0"/>
    <col customWidth="1" min="7" max="7" width="10.88"/>
    <col customWidth="1" min="8" max="8" width="8.75"/>
    <col customWidth="1" min="9" max="10" width="9.25"/>
    <col customWidth="1" min="11" max="26" width="11.0"/>
  </cols>
  <sheetData>
    <row r="1" ht="12.75" customHeight="1">
      <c r="A1" s="599" t="s">
        <v>245</v>
      </c>
      <c r="B1" s="365"/>
      <c r="C1" s="600"/>
      <c r="D1" s="600"/>
      <c r="E1" s="365"/>
      <c r="F1" s="599" t="s">
        <v>246</v>
      </c>
      <c r="G1" s="600"/>
      <c r="H1" s="365"/>
    </row>
    <row r="2" ht="12.75" customHeight="1">
      <c r="A2" s="321" t="s">
        <v>248</v>
      </c>
      <c r="B2" s="322" t="s">
        <v>104</v>
      </c>
      <c r="C2" s="322" t="s">
        <v>105</v>
      </c>
      <c r="D2" s="627" t="s">
        <v>106</v>
      </c>
      <c r="E2" s="365"/>
      <c r="F2" s="604" t="s">
        <v>249</v>
      </c>
      <c r="G2" s="605" t="s">
        <v>248</v>
      </c>
      <c r="H2" s="606" t="s">
        <v>66</v>
      </c>
    </row>
    <row r="3" ht="12.75" customHeight="1">
      <c r="A3" s="611" t="s">
        <v>295</v>
      </c>
      <c r="B3" s="684">
        <v>5.0</v>
      </c>
      <c r="C3" s="684">
        <v>8.0</v>
      </c>
      <c r="D3" s="711">
        <v>0.0</v>
      </c>
      <c r="E3" s="365"/>
      <c r="F3" s="610">
        <v>1.0</v>
      </c>
      <c r="G3" s="656" t="s">
        <v>296</v>
      </c>
      <c r="H3" s="612" t="s">
        <v>42</v>
      </c>
    </row>
    <row r="4" ht="12.75" customHeight="1">
      <c r="A4" s="629" t="s">
        <v>297</v>
      </c>
      <c r="B4" s="686">
        <v>6.0</v>
      </c>
      <c r="C4" s="686">
        <v>7.0</v>
      </c>
      <c r="D4" s="715">
        <v>0.0</v>
      </c>
      <c r="E4" s="365"/>
      <c r="F4" s="614">
        <v>2.0</v>
      </c>
      <c r="G4" s="660" t="s">
        <v>225</v>
      </c>
      <c r="H4" s="616" t="s">
        <v>36</v>
      </c>
    </row>
    <row r="5" ht="12.75" customHeight="1">
      <c r="A5" s="688" t="s">
        <v>225</v>
      </c>
      <c r="B5" s="689">
        <v>5.0</v>
      </c>
      <c r="C5" s="689">
        <v>8.0</v>
      </c>
      <c r="D5" s="715">
        <v>0.0</v>
      </c>
      <c r="E5" s="365"/>
      <c r="F5" s="617">
        <v>3.0</v>
      </c>
      <c r="G5" s="664" t="s">
        <v>137</v>
      </c>
      <c r="H5" s="619" t="s">
        <v>45</v>
      </c>
    </row>
    <row r="6" ht="12.75" customHeight="1">
      <c r="A6" s="690" t="s">
        <v>229</v>
      </c>
      <c r="B6" s="691">
        <v>3.0</v>
      </c>
      <c r="C6" s="691">
        <v>10.0</v>
      </c>
      <c r="D6" s="721">
        <v>0.0</v>
      </c>
      <c r="E6" s="365"/>
      <c r="F6" s="621">
        <v>4.0</v>
      </c>
      <c r="G6" s="668" t="s">
        <v>215</v>
      </c>
      <c r="H6" s="623" t="s">
        <v>38</v>
      </c>
    </row>
    <row r="7" ht="12.75" customHeight="1">
      <c r="A7" s="365"/>
      <c r="B7" s="365"/>
      <c r="C7" s="365"/>
      <c r="D7" s="365"/>
      <c r="E7" s="365"/>
      <c r="F7" s="614">
        <v>5.0</v>
      </c>
      <c r="G7" s="669" t="s">
        <v>299</v>
      </c>
      <c r="H7" s="625" t="s">
        <v>52</v>
      </c>
      <c r="J7" s="726" t="s">
        <v>300</v>
      </c>
    </row>
    <row r="8" ht="12.75" customHeight="1">
      <c r="A8" s="321" t="s">
        <v>248</v>
      </c>
      <c r="B8" s="322" t="s">
        <v>104</v>
      </c>
      <c r="C8" s="322" t="s">
        <v>105</v>
      </c>
      <c r="D8" s="627" t="s">
        <v>106</v>
      </c>
      <c r="E8" s="365"/>
      <c r="F8" s="617">
        <v>6.0</v>
      </c>
      <c r="G8" s="664" t="s">
        <v>295</v>
      </c>
      <c r="H8" s="619" t="s">
        <v>43</v>
      </c>
    </row>
    <row r="9" ht="12.75" customHeight="1">
      <c r="A9" s="693" t="s">
        <v>215</v>
      </c>
      <c r="B9" s="694">
        <v>11.0</v>
      </c>
      <c r="C9" s="694">
        <v>2.0</v>
      </c>
      <c r="D9" s="730">
        <v>0.0</v>
      </c>
      <c r="E9" s="365"/>
      <c r="F9" s="628">
        <v>7.0</v>
      </c>
      <c r="G9" s="673" t="s">
        <v>303</v>
      </c>
      <c r="H9" s="630" t="s">
        <v>51</v>
      </c>
    </row>
    <row r="10" ht="12.75" customHeight="1">
      <c r="A10" s="615" t="s">
        <v>299</v>
      </c>
      <c r="B10" s="696">
        <v>10.0</v>
      </c>
      <c r="C10" s="696">
        <v>3.0</v>
      </c>
      <c r="D10" s="732">
        <v>0.0</v>
      </c>
      <c r="E10" s="365"/>
      <c r="F10" s="614">
        <v>8.0</v>
      </c>
      <c r="G10" s="669" t="s">
        <v>152</v>
      </c>
      <c r="H10" s="625" t="s">
        <v>49</v>
      </c>
    </row>
    <row r="11" ht="12.75" customHeight="1">
      <c r="A11" s="624" t="s">
        <v>228</v>
      </c>
      <c r="B11" s="696">
        <v>4.0</v>
      </c>
      <c r="C11" s="696">
        <v>9.0</v>
      </c>
      <c r="D11" s="732">
        <v>0.0</v>
      </c>
      <c r="E11" s="365"/>
      <c r="F11" s="617">
        <v>9.0</v>
      </c>
      <c r="G11" s="664" t="s">
        <v>231</v>
      </c>
      <c r="H11" s="619" t="s">
        <v>53</v>
      </c>
    </row>
    <row r="12" ht="12.75" customHeight="1">
      <c r="A12" s="698" t="s">
        <v>152</v>
      </c>
      <c r="B12" s="699">
        <v>3.0</v>
      </c>
      <c r="C12" s="699">
        <v>10.0</v>
      </c>
      <c r="D12" s="738">
        <v>0.0</v>
      </c>
      <c r="E12" s="365"/>
      <c r="F12" s="621">
        <v>10.0</v>
      </c>
      <c r="G12" s="668" t="s">
        <v>229</v>
      </c>
      <c r="H12" s="623" t="s">
        <v>48</v>
      </c>
    </row>
    <row r="13" ht="12.75" customHeight="1">
      <c r="A13" s="365"/>
      <c r="B13" s="365"/>
      <c r="C13" s="365"/>
      <c r="D13" s="365"/>
      <c r="E13" s="365"/>
      <c r="F13" s="614">
        <v>11.0</v>
      </c>
      <c r="G13" s="669" t="s">
        <v>297</v>
      </c>
      <c r="H13" s="625" t="s">
        <v>44</v>
      </c>
    </row>
    <row r="14" ht="12.75" customHeight="1">
      <c r="A14" s="321" t="s">
        <v>248</v>
      </c>
      <c r="B14" s="322" t="s">
        <v>104</v>
      </c>
      <c r="C14" s="322" t="s">
        <v>105</v>
      </c>
      <c r="D14" s="627" t="s">
        <v>106</v>
      </c>
      <c r="E14" s="365"/>
      <c r="F14" s="632">
        <v>12.0</v>
      </c>
      <c r="G14" s="677" t="s">
        <v>228</v>
      </c>
      <c r="H14" s="634" t="s">
        <v>39</v>
      </c>
    </row>
    <row r="15" ht="12.75" customHeight="1">
      <c r="A15" s="701" t="s">
        <v>137</v>
      </c>
      <c r="B15" s="702">
        <v>11.0</v>
      </c>
      <c r="C15" s="702">
        <v>2.0</v>
      </c>
      <c r="D15" s="742">
        <v>0.0</v>
      </c>
      <c r="E15" s="365"/>
      <c r="F15" s="365"/>
      <c r="G15" s="365"/>
      <c r="H15" s="365"/>
    </row>
    <row r="16" ht="12.75" customHeight="1">
      <c r="A16" s="704" t="s">
        <v>296</v>
      </c>
      <c r="B16" s="705">
        <v>7.0</v>
      </c>
      <c r="C16" s="705">
        <v>6.0</v>
      </c>
      <c r="D16" s="743">
        <v>0.0</v>
      </c>
      <c r="E16" s="365"/>
      <c r="F16" s="365"/>
      <c r="G16" s="365"/>
      <c r="H16" s="365"/>
    </row>
    <row r="17" ht="12.75" customHeight="1">
      <c r="A17" s="618" t="s">
        <v>231</v>
      </c>
      <c r="B17" s="705">
        <v>5.0</v>
      </c>
      <c r="C17" s="705">
        <v>8.0</v>
      </c>
      <c r="D17" s="743">
        <v>0.0</v>
      </c>
      <c r="E17" s="365"/>
      <c r="F17" s="365"/>
      <c r="G17" s="365"/>
      <c r="H17" s="365"/>
    </row>
    <row r="18" ht="12.75" customHeight="1">
      <c r="A18" s="633" t="s">
        <v>232</v>
      </c>
      <c r="B18" s="707">
        <v>4.0</v>
      </c>
      <c r="C18" s="707">
        <v>9.0</v>
      </c>
      <c r="D18" s="747">
        <v>0.0</v>
      </c>
      <c r="E18" s="365"/>
      <c r="F18" s="365"/>
      <c r="G18" s="365"/>
      <c r="H18" s="365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6.0"/>
    <col customWidth="1" min="3" max="3" width="5.75"/>
    <col customWidth="1" min="4" max="4" width="6.0"/>
    <col customWidth="1" min="5" max="6" width="7.0"/>
    <col customWidth="1" min="7" max="7" width="10.88"/>
    <col customWidth="1" min="8" max="8" width="7.0"/>
    <col customWidth="1" min="9" max="10" width="9.25"/>
    <col customWidth="1" min="11" max="26" width="11.0"/>
  </cols>
  <sheetData>
    <row r="1" ht="12.75" customHeight="1">
      <c r="A1" s="599" t="s">
        <v>245</v>
      </c>
      <c r="B1" s="365"/>
      <c r="C1" s="600"/>
      <c r="D1" s="600"/>
      <c r="E1" s="365"/>
      <c r="F1" s="599" t="s">
        <v>246</v>
      </c>
      <c r="G1" s="600"/>
      <c r="H1" s="365"/>
    </row>
    <row r="2" ht="12.75" customHeight="1">
      <c r="A2" s="321" t="s">
        <v>248</v>
      </c>
      <c r="B2" s="322" t="s">
        <v>104</v>
      </c>
      <c r="C2" s="322" t="s">
        <v>105</v>
      </c>
      <c r="D2" s="627" t="s">
        <v>106</v>
      </c>
      <c r="E2" s="365"/>
      <c r="F2" s="604" t="s">
        <v>249</v>
      </c>
      <c r="G2" s="605" t="s">
        <v>248</v>
      </c>
      <c r="H2" s="606" t="s">
        <v>66</v>
      </c>
    </row>
    <row r="3" ht="12.75" customHeight="1">
      <c r="A3" s="709" t="s">
        <v>250</v>
      </c>
      <c r="B3" s="710">
        <v>9.0</v>
      </c>
      <c r="C3" s="710">
        <v>4.0</v>
      </c>
      <c r="D3" s="711">
        <v>0.0</v>
      </c>
      <c r="E3" s="365"/>
      <c r="F3" s="610">
        <v>1.0</v>
      </c>
      <c r="G3" s="712" t="s">
        <v>250</v>
      </c>
      <c r="H3" s="713" t="s">
        <v>36</v>
      </c>
    </row>
    <row r="4" ht="12.75" customHeight="1">
      <c r="A4" s="714" t="s">
        <v>254</v>
      </c>
      <c r="B4" s="716">
        <v>7.0</v>
      </c>
      <c r="C4" s="716">
        <v>6.0</v>
      </c>
      <c r="D4" s="715">
        <v>0.0</v>
      </c>
      <c r="E4" s="365"/>
      <c r="F4" s="614">
        <v>2.0</v>
      </c>
      <c r="G4" s="717" t="s">
        <v>253</v>
      </c>
      <c r="H4" s="718" t="s">
        <v>39</v>
      </c>
    </row>
    <row r="5" ht="12.75" customHeight="1">
      <c r="A5" s="719" t="s">
        <v>258</v>
      </c>
      <c r="B5" s="716">
        <v>6.0</v>
      </c>
      <c r="C5" s="716">
        <v>7.0</v>
      </c>
      <c r="D5" s="715">
        <v>0.0</v>
      </c>
      <c r="E5" s="365"/>
      <c r="F5" s="617">
        <v>3.0</v>
      </c>
      <c r="G5" s="720" t="s">
        <v>298</v>
      </c>
      <c r="H5" s="722" t="s">
        <v>55</v>
      </c>
    </row>
    <row r="6" ht="12.75" customHeight="1">
      <c r="A6" s="723" t="s">
        <v>259</v>
      </c>
      <c r="B6" s="724">
        <v>5.0</v>
      </c>
      <c r="C6" s="724">
        <v>8.0</v>
      </c>
      <c r="D6" s="721">
        <v>0.0</v>
      </c>
      <c r="E6" s="365"/>
      <c r="F6" s="621">
        <v>4.0</v>
      </c>
      <c r="G6" s="725" t="s">
        <v>255</v>
      </c>
      <c r="H6" s="727" t="s">
        <v>44</v>
      </c>
    </row>
    <row r="7" ht="12.75" customHeight="1">
      <c r="A7" s="365"/>
      <c r="B7" s="365"/>
      <c r="C7" s="365"/>
      <c r="D7" s="365"/>
      <c r="E7" s="365"/>
      <c r="F7" s="614">
        <v>5.0</v>
      </c>
      <c r="G7" s="728" t="s">
        <v>301</v>
      </c>
      <c r="H7" s="729" t="s">
        <v>38</v>
      </c>
      <c r="J7" s="726" t="s">
        <v>302</v>
      </c>
    </row>
    <row r="8" ht="12.75" customHeight="1">
      <c r="A8" s="321" t="s">
        <v>248</v>
      </c>
      <c r="B8" s="322" t="s">
        <v>104</v>
      </c>
      <c r="C8" s="322" t="s">
        <v>105</v>
      </c>
      <c r="D8" s="627" t="s">
        <v>106</v>
      </c>
      <c r="E8" s="365"/>
      <c r="F8" s="617">
        <v>6.0</v>
      </c>
      <c r="G8" s="720" t="s">
        <v>251</v>
      </c>
      <c r="H8" s="722" t="s">
        <v>45</v>
      </c>
    </row>
    <row r="9" ht="12.75" customHeight="1">
      <c r="A9" s="731" t="s">
        <v>298</v>
      </c>
      <c r="B9" s="733">
        <v>9.0</v>
      </c>
      <c r="C9" s="733">
        <v>4.0</v>
      </c>
      <c r="D9" s="730">
        <v>0.0</v>
      </c>
      <c r="E9" s="365"/>
      <c r="F9" s="628">
        <v>7.0</v>
      </c>
      <c r="G9" s="734" t="s">
        <v>263</v>
      </c>
      <c r="H9" s="735" t="s">
        <v>54</v>
      </c>
    </row>
    <row r="10" ht="12.75" customHeight="1">
      <c r="A10" s="736" t="s">
        <v>253</v>
      </c>
      <c r="B10" s="737">
        <v>9.0</v>
      </c>
      <c r="C10" s="737">
        <v>4.0</v>
      </c>
      <c r="D10" s="732">
        <v>0.0</v>
      </c>
      <c r="E10" s="365"/>
      <c r="F10" s="614">
        <v>8.0</v>
      </c>
      <c r="G10" s="728" t="s">
        <v>152</v>
      </c>
      <c r="H10" s="729" t="s">
        <v>49</v>
      </c>
    </row>
    <row r="11" ht="12.75" customHeight="1">
      <c r="A11" s="739" t="s">
        <v>152</v>
      </c>
      <c r="B11" s="737">
        <v>7.0</v>
      </c>
      <c r="C11" s="737">
        <v>6.0</v>
      </c>
      <c r="D11" s="732">
        <v>0.0</v>
      </c>
      <c r="E11" s="365"/>
      <c r="F11" s="617">
        <v>9.0</v>
      </c>
      <c r="G11" s="720" t="s">
        <v>259</v>
      </c>
      <c r="H11" s="722" t="s">
        <v>51</v>
      </c>
    </row>
    <row r="12" ht="12.75" customHeight="1">
      <c r="A12" s="740" t="s">
        <v>263</v>
      </c>
      <c r="B12" s="741">
        <v>5.0</v>
      </c>
      <c r="C12" s="741">
        <v>8.0</v>
      </c>
      <c r="D12" s="738">
        <v>0.0</v>
      </c>
      <c r="E12" s="365"/>
      <c r="F12" s="621">
        <v>10.0</v>
      </c>
      <c r="G12" s="725" t="s">
        <v>262</v>
      </c>
      <c r="H12" s="727" t="s">
        <v>43</v>
      </c>
    </row>
    <row r="13" ht="12.75" customHeight="1">
      <c r="A13" s="365"/>
      <c r="B13" s="365"/>
      <c r="C13" s="365"/>
      <c r="D13" s="365"/>
      <c r="E13" s="365"/>
      <c r="F13" s="614">
        <v>11.0</v>
      </c>
      <c r="G13" s="728" t="s">
        <v>304</v>
      </c>
      <c r="H13" s="729" t="s">
        <v>52</v>
      </c>
    </row>
    <row r="14" ht="12.75" customHeight="1">
      <c r="A14" s="321" t="s">
        <v>248</v>
      </c>
      <c r="B14" s="322" t="s">
        <v>104</v>
      </c>
      <c r="C14" s="322" t="s">
        <v>105</v>
      </c>
      <c r="D14" s="627" t="s">
        <v>106</v>
      </c>
      <c r="E14" s="365"/>
      <c r="F14" s="632">
        <v>12.0</v>
      </c>
      <c r="G14" s="744" t="s">
        <v>258</v>
      </c>
      <c r="H14" s="745" t="s">
        <v>42</v>
      </c>
    </row>
    <row r="15" ht="12.75" customHeight="1">
      <c r="A15" s="746" t="s">
        <v>251</v>
      </c>
      <c r="B15" s="748">
        <v>7.0</v>
      </c>
      <c r="C15" s="748">
        <v>6.0</v>
      </c>
      <c r="D15" s="742">
        <v>0.0</v>
      </c>
      <c r="E15" s="365"/>
      <c r="F15" s="365"/>
      <c r="G15" s="365"/>
      <c r="H15" s="365"/>
    </row>
    <row r="16" ht="12.75" customHeight="1">
      <c r="A16" s="749" t="s">
        <v>262</v>
      </c>
      <c r="B16" s="750">
        <v>6.0</v>
      </c>
      <c r="C16" s="750">
        <v>7.0</v>
      </c>
      <c r="D16" s="743">
        <v>0.0</v>
      </c>
      <c r="E16" s="365"/>
      <c r="F16" s="365"/>
      <c r="G16" s="365"/>
      <c r="H16" s="365"/>
    </row>
    <row r="17" ht="12.75" customHeight="1">
      <c r="A17" s="751" t="s">
        <v>304</v>
      </c>
      <c r="B17" s="750">
        <v>5.0</v>
      </c>
      <c r="C17" s="750">
        <v>8.0</v>
      </c>
      <c r="D17" s="743">
        <v>0.0</v>
      </c>
      <c r="E17" s="365"/>
      <c r="F17" s="365"/>
      <c r="G17" s="365"/>
      <c r="H17" s="365"/>
    </row>
    <row r="18" ht="12.75" customHeight="1">
      <c r="A18" s="752" t="s">
        <v>305</v>
      </c>
      <c r="B18" s="753">
        <v>3.0</v>
      </c>
      <c r="C18" s="753">
        <v>10.0</v>
      </c>
      <c r="D18" s="747">
        <v>0.0</v>
      </c>
      <c r="E18" s="365"/>
      <c r="F18" s="365"/>
      <c r="G18" s="365"/>
      <c r="H18" s="365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6.0"/>
    <col customWidth="1" min="3" max="3" width="5.75"/>
    <col customWidth="1" min="4" max="4" width="6.0"/>
    <col customWidth="1" min="5" max="5" width="7.0"/>
    <col customWidth="1" min="6" max="6" width="7.88"/>
    <col customWidth="1" min="7" max="7" width="12.63"/>
    <col customWidth="1" min="8" max="8" width="8.25"/>
    <col customWidth="1" min="9" max="10" width="7.0"/>
    <col customWidth="1" min="11" max="11" width="9.25"/>
    <col customWidth="1" min="12" max="26" width="11.0"/>
  </cols>
  <sheetData>
    <row r="1" ht="12.75" customHeight="1">
      <c r="A1" s="599" t="s">
        <v>245</v>
      </c>
      <c r="B1" s="365"/>
      <c r="C1" s="600"/>
      <c r="D1" s="600"/>
      <c r="E1" s="365"/>
      <c r="F1" s="599" t="s">
        <v>246</v>
      </c>
      <c r="G1" s="600"/>
      <c r="H1" s="365"/>
      <c r="I1" s="365"/>
      <c r="J1" s="365"/>
      <c r="K1" s="365"/>
    </row>
    <row r="2" ht="12.75" customHeight="1">
      <c r="A2" s="321" t="s">
        <v>248</v>
      </c>
      <c r="B2" s="322" t="s">
        <v>104</v>
      </c>
      <c r="C2" s="322" t="s">
        <v>105</v>
      </c>
      <c r="D2" s="627" t="s">
        <v>106</v>
      </c>
      <c r="E2" s="365"/>
      <c r="F2" s="604" t="s">
        <v>249</v>
      </c>
      <c r="G2" s="605" t="s">
        <v>248</v>
      </c>
      <c r="H2" s="606" t="s">
        <v>66</v>
      </c>
      <c r="I2" s="365"/>
      <c r="J2" s="365"/>
      <c r="K2" s="365"/>
    </row>
    <row r="3" ht="12.75" customHeight="1">
      <c r="A3" s="709" t="s">
        <v>306</v>
      </c>
      <c r="B3" s="710">
        <v>10.0</v>
      </c>
      <c r="C3" s="710">
        <v>3.0</v>
      </c>
      <c r="D3" s="711">
        <v>0.0</v>
      </c>
      <c r="E3" s="365"/>
      <c r="F3" s="610">
        <v>1.0</v>
      </c>
      <c r="G3" s="712" t="s">
        <v>306</v>
      </c>
      <c r="H3" s="713" t="s">
        <v>36</v>
      </c>
      <c r="I3" s="365"/>
      <c r="J3" s="365"/>
      <c r="K3" s="365"/>
    </row>
    <row r="4" ht="12.75" customHeight="1">
      <c r="A4" s="714" t="s">
        <v>307</v>
      </c>
      <c r="B4" s="716">
        <v>7.0</v>
      </c>
      <c r="C4" s="716">
        <v>6.0</v>
      </c>
      <c r="D4" s="715">
        <v>0.0</v>
      </c>
      <c r="E4" s="365"/>
      <c r="F4" s="614">
        <v>2.0</v>
      </c>
      <c r="G4" s="717" t="s">
        <v>308</v>
      </c>
      <c r="H4" s="718" t="s">
        <v>55</v>
      </c>
      <c r="I4" s="365"/>
      <c r="J4" s="365"/>
      <c r="K4" s="365"/>
    </row>
    <row r="5" ht="12.75" customHeight="1">
      <c r="A5" s="719" t="s">
        <v>309</v>
      </c>
      <c r="B5" s="716">
        <v>5.0</v>
      </c>
      <c r="C5" s="716">
        <v>8.0</v>
      </c>
      <c r="D5" s="715">
        <v>0.0</v>
      </c>
      <c r="E5" s="365"/>
      <c r="F5" s="617">
        <v>3.0</v>
      </c>
      <c r="G5" s="720" t="s">
        <v>310</v>
      </c>
      <c r="H5" s="722" t="s">
        <v>45</v>
      </c>
      <c r="I5" s="365"/>
      <c r="J5" s="365"/>
      <c r="K5" s="365"/>
    </row>
    <row r="6" ht="12.75" customHeight="1">
      <c r="A6" s="723" t="s">
        <v>311</v>
      </c>
      <c r="B6" s="724">
        <v>2.0</v>
      </c>
      <c r="C6" s="724">
        <v>11.0</v>
      </c>
      <c r="D6" s="721">
        <v>0.0</v>
      </c>
      <c r="E6" s="365"/>
      <c r="F6" s="621">
        <v>4.0</v>
      </c>
      <c r="G6" s="725" t="s">
        <v>312</v>
      </c>
      <c r="H6" s="727" t="s">
        <v>56</v>
      </c>
      <c r="I6" s="365"/>
      <c r="J6" s="365"/>
      <c r="K6" s="365"/>
    </row>
    <row r="7" ht="12.75" customHeight="1">
      <c r="A7" s="365"/>
      <c r="B7" s="365"/>
      <c r="C7" s="365"/>
      <c r="D7" s="365"/>
      <c r="E7" s="365"/>
      <c r="F7" s="614">
        <v>5.0</v>
      </c>
      <c r="G7" s="728" t="s">
        <v>152</v>
      </c>
      <c r="H7" s="729" t="s">
        <v>49</v>
      </c>
      <c r="I7" s="365"/>
      <c r="J7" s="726" t="s">
        <v>313</v>
      </c>
      <c r="K7" s="365"/>
    </row>
    <row r="8" ht="12.75" customHeight="1">
      <c r="A8" s="321" t="s">
        <v>248</v>
      </c>
      <c r="B8" s="322" t="s">
        <v>104</v>
      </c>
      <c r="C8" s="322" t="s">
        <v>105</v>
      </c>
      <c r="D8" s="627" t="s">
        <v>106</v>
      </c>
      <c r="E8" s="365"/>
      <c r="F8" s="617">
        <v>6.0</v>
      </c>
      <c r="G8" s="720" t="s">
        <v>314</v>
      </c>
      <c r="H8" s="722" t="s">
        <v>52</v>
      </c>
      <c r="I8" s="365"/>
      <c r="J8" s="365"/>
      <c r="K8" s="365"/>
    </row>
    <row r="9" ht="12.75" customHeight="1">
      <c r="A9" s="731" t="s">
        <v>312</v>
      </c>
      <c r="B9" s="733">
        <v>9.0</v>
      </c>
      <c r="C9" s="733">
        <v>4.0</v>
      </c>
      <c r="D9" s="730">
        <v>0.0</v>
      </c>
      <c r="E9" s="365"/>
      <c r="F9" s="628">
        <v>7.0</v>
      </c>
      <c r="G9" s="734" t="s">
        <v>311</v>
      </c>
      <c r="H9" s="735" t="s">
        <v>57</v>
      </c>
      <c r="I9" s="365"/>
      <c r="J9" s="365"/>
      <c r="K9" s="365"/>
    </row>
    <row r="10" ht="12.75" customHeight="1">
      <c r="A10" s="736" t="s">
        <v>228</v>
      </c>
      <c r="B10" s="737">
        <v>7.0</v>
      </c>
      <c r="C10" s="737">
        <v>6.0</v>
      </c>
      <c r="D10" s="732">
        <v>0.0</v>
      </c>
      <c r="E10" s="365"/>
      <c r="F10" s="614">
        <v>8.0</v>
      </c>
      <c r="G10" s="728" t="s">
        <v>228</v>
      </c>
      <c r="H10" s="729" t="s">
        <v>39</v>
      </c>
      <c r="I10" s="365"/>
      <c r="J10" s="365"/>
      <c r="K10" s="365"/>
    </row>
    <row r="11" ht="12.75" customHeight="1">
      <c r="A11" s="739" t="s">
        <v>314</v>
      </c>
      <c r="B11" s="737">
        <v>5.0</v>
      </c>
      <c r="C11" s="737">
        <v>8.0</v>
      </c>
      <c r="D11" s="732">
        <v>0.0</v>
      </c>
      <c r="E11" s="365"/>
      <c r="F11" s="617">
        <v>9.0</v>
      </c>
      <c r="G11" s="720" t="s">
        <v>309</v>
      </c>
      <c r="H11" s="722" t="s">
        <v>44</v>
      </c>
      <c r="I11" s="365"/>
      <c r="J11" s="365"/>
      <c r="K11" s="365"/>
    </row>
    <row r="12" ht="12.75" customHeight="1">
      <c r="A12" s="740" t="s">
        <v>315</v>
      </c>
      <c r="B12" s="741">
        <v>5.0</v>
      </c>
      <c r="C12" s="741">
        <v>8.0</v>
      </c>
      <c r="D12" s="738">
        <v>0.0</v>
      </c>
      <c r="E12" s="365"/>
      <c r="F12" s="621">
        <v>10.0</v>
      </c>
      <c r="G12" s="725" t="s">
        <v>315</v>
      </c>
      <c r="H12" s="727" t="s">
        <v>42</v>
      </c>
      <c r="I12" s="365"/>
      <c r="J12" s="365"/>
      <c r="K12" s="365"/>
    </row>
    <row r="13" ht="12.75" customHeight="1">
      <c r="A13" s="365"/>
      <c r="B13" s="365"/>
      <c r="C13" s="365"/>
      <c r="D13" s="365"/>
      <c r="E13" s="365"/>
      <c r="F13" s="614">
        <v>11.0</v>
      </c>
      <c r="G13" s="728" t="s">
        <v>307</v>
      </c>
      <c r="H13" s="729" t="s">
        <v>54</v>
      </c>
      <c r="I13" s="365"/>
      <c r="J13" s="365"/>
      <c r="K13" s="365"/>
    </row>
    <row r="14" ht="12.75" customHeight="1">
      <c r="A14" s="321" t="s">
        <v>248</v>
      </c>
      <c r="B14" s="322" t="s">
        <v>104</v>
      </c>
      <c r="C14" s="322" t="s">
        <v>105</v>
      </c>
      <c r="D14" s="627" t="s">
        <v>106</v>
      </c>
      <c r="E14" s="365"/>
      <c r="F14" s="632">
        <v>12.0</v>
      </c>
      <c r="G14" s="744" t="s">
        <v>169</v>
      </c>
      <c r="H14" s="745" t="s">
        <v>43</v>
      </c>
      <c r="I14" s="365"/>
      <c r="J14" s="365"/>
      <c r="K14" s="365"/>
    </row>
    <row r="15" ht="12.75" customHeight="1">
      <c r="A15" s="746" t="s">
        <v>308</v>
      </c>
      <c r="B15" s="748">
        <v>10.0</v>
      </c>
      <c r="C15" s="748">
        <v>3.0</v>
      </c>
      <c r="D15" s="742">
        <v>0.0</v>
      </c>
      <c r="E15" s="365"/>
      <c r="F15" s="365"/>
      <c r="G15" s="365"/>
      <c r="H15" s="365"/>
      <c r="I15" s="365"/>
      <c r="J15" s="365"/>
      <c r="K15" s="365"/>
    </row>
    <row r="16" ht="12.75" customHeight="1">
      <c r="A16" s="749" t="s">
        <v>310</v>
      </c>
      <c r="B16" s="750">
        <v>7.0</v>
      </c>
      <c r="C16" s="750">
        <v>6.0</v>
      </c>
      <c r="D16" s="743">
        <v>0.0</v>
      </c>
      <c r="E16" s="365"/>
      <c r="F16" s="365"/>
      <c r="G16" s="365"/>
      <c r="H16" s="365"/>
      <c r="I16" s="365"/>
      <c r="J16" s="365"/>
      <c r="K16" s="365"/>
    </row>
    <row r="17" ht="12.75" customHeight="1">
      <c r="A17" s="751" t="s">
        <v>152</v>
      </c>
      <c r="B17" s="750">
        <v>6.0</v>
      </c>
      <c r="C17" s="750">
        <v>7.0</v>
      </c>
      <c r="D17" s="743">
        <v>0.0</v>
      </c>
      <c r="E17" s="365"/>
      <c r="F17" s="365"/>
      <c r="G17" s="365"/>
      <c r="H17" s="365"/>
      <c r="I17" s="365"/>
      <c r="J17" s="365"/>
      <c r="K17" s="365"/>
    </row>
    <row r="18" ht="12.75" customHeight="1">
      <c r="A18" s="752" t="s">
        <v>169</v>
      </c>
      <c r="B18" s="753">
        <v>5.0</v>
      </c>
      <c r="C18" s="753">
        <v>8.0</v>
      </c>
      <c r="D18" s="747">
        <v>0.0</v>
      </c>
      <c r="E18" s="365"/>
      <c r="F18" s="365"/>
      <c r="G18" s="365"/>
      <c r="H18" s="365"/>
      <c r="I18" s="365"/>
      <c r="J18" s="365"/>
      <c r="K18" s="365"/>
    </row>
    <row r="19" ht="12.75" customHeight="1">
      <c r="A19" s="365"/>
      <c r="B19" s="365"/>
      <c r="C19" s="365"/>
      <c r="D19" s="365"/>
      <c r="E19" s="365"/>
      <c r="F19" s="365"/>
      <c r="G19" s="365"/>
      <c r="H19" s="365"/>
      <c r="I19" s="365"/>
      <c r="J19" s="365"/>
      <c r="K19" s="365"/>
    </row>
    <row r="20" ht="12.75" customHeight="1">
      <c r="A20" s="365"/>
      <c r="B20" s="365"/>
      <c r="C20" s="365"/>
      <c r="D20" s="365"/>
      <c r="E20" s="365"/>
      <c r="F20" s="365"/>
      <c r="G20" s="365"/>
      <c r="H20" s="365"/>
      <c r="I20" s="365"/>
      <c r="J20" s="365"/>
      <c r="K20" s="365"/>
    </row>
    <row r="21" ht="12.75" customHeight="1">
      <c r="A21" s="365"/>
      <c r="B21" s="365"/>
      <c r="C21" s="365"/>
      <c r="D21" s="365"/>
      <c r="E21" s="365"/>
      <c r="F21" s="365"/>
      <c r="G21" s="365"/>
      <c r="H21" s="365"/>
      <c r="I21" s="365"/>
      <c r="J21" s="365"/>
      <c r="K21" s="365"/>
    </row>
    <row r="22" ht="12.75" customHeight="1">
      <c r="A22" s="365"/>
      <c r="B22" s="365"/>
      <c r="C22" s="365"/>
      <c r="D22" s="365"/>
      <c r="E22" s="365"/>
      <c r="F22" s="365"/>
      <c r="G22" s="365"/>
      <c r="H22" s="365"/>
      <c r="I22" s="365"/>
      <c r="J22" s="365"/>
      <c r="K22" s="365"/>
    </row>
    <row r="23" ht="12.75" customHeight="1">
      <c r="A23" s="365"/>
      <c r="B23" s="365"/>
      <c r="C23" s="365"/>
      <c r="D23" s="365"/>
      <c r="E23" s="365"/>
      <c r="F23" s="365"/>
      <c r="G23" s="365"/>
      <c r="H23" s="365"/>
      <c r="I23" s="365"/>
      <c r="J23" s="365"/>
      <c r="K23" s="365"/>
    </row>
    <row r="24" ht="12.75" customHeight="1">
      <c r="A24" s="365"/>
      <c r="B24" s="365"/>
      <c r="C24" s="365"/>
      <c r="D24" s="365"/>
      <c r="E24" s="365"/>
      <c r="F24" s="365"/>
      <c r="G24" s="365"/>
      <c r="H24" s="365"/>
      <c r="I24" s="365"/>
      <c r="J24" s="365"/>
      <c r="K24" s="365"/>
    </row>
    <row r="25" ht="12.75" customHeight="1">
      <c r="A25" s="365"/>
      <c r="B25" s="365"/>
      <c r="C25" s="365"/>
      <c r="D25" s="365"/>
      <c r="E25" s="365"/>
      <c r="F25" s="365"/>
      <c r="G25" s="365"/>
      <c r="H25" s="365"/>
      <c r="I25" s="365"/>
      <c r="J25" s="365"/>
      <c r="K25" s="365"/>
    </row>
    <row r="26" ht="12.75" customHeight="1">
      <c r="A26" s="365"/>
      <c r="B26" s="365"/>
      <c r="C26" s="365"/>
      <c r="D26" s="365"/>
      <c r="E26" s="365"/>
      <c r="F26" s="365"/>
      <c r="G26" s="365"/>
      <c r="H26" s="365"/>
      <c r="I26" s="365"/>
      <c r="J26" s="365"/>
      <c r="K26" s="365"/>
    </row>
    <row r="27" ht="12.75" customHeight="1">
      <c r="A27" s="365"/>
      <c r="B27" s="365"/>
      <c r="C27" s="365"/>
      <c r="D27" s="365"/>
      <c r="E27" s="365"/>
      <c r="F27" s="365"/>
      <c r="G27" s="365"/>
      <c r="H27" s="365"/>
      <c r="I27" s="365"/>
      <c r="J27" s="365"/>
      <c r="K27" s="365"/>
    </row>
    <row r="28" ht="12.75" customHeight="1">
      <c r="A28" s="365"/>
      <c r="B28" s="365"/>
      <c r="C28" s="365"/>
      <c r="D28" s="365"/>
      <c r="E28" s="365"/>
      <c r="F28" s="365"/>
      <c r="G28" s="365"/>
      <c r="H28" s="365"/>
      <c r="I28" s="365"/>
      <c r="J28" s="365"/>
      <c r="K28" s="365"/>
    </row>
    <row r="29" ht="12.75" customHeight="1">
      <c r="A29" s="365"/>
      <c r="B29" s="365"/>
      <c r="C29" s="365"/>
      <c r="D29" s="365"/>
      <c r="E29" s="365"/>
      <c r="F29" s="365"/>
      <c r="G29" s="365"/>
      <c r="H29" s="365"/>
      <c r="I29" s="365"/>
      <c r="J29" s="365"/>
      <c r="K29" s="365"/>
    </row>
    <row r="30" ht="12.75" customHeight="1">
      <c r="A30" s="365"/>
      <c r="B30" s="365"/>
      <c r="C30" s="365"/>
      <c r="D30" s="365"/>
      <c r="E30" s="365"/>
      <c r="F30" s="365"/>
      <c r="G30" s="365"/>
      <c r="H30" s="365"/>
      <c r="I30" s="365"/>
      <c r="J30" s="365"/>
      <c r="K30" s="365"/>
    </row>
    <row r="31" ht="12.75" customHeight="1">
      <c r="A31" s="365"/>
      <c r="B31" s="365"/>
      <c r="C31" s="365"/>
      <c r="D31" s="365"/>
      <c r="E31" s="365"/>
      <c r="F31" s="365"/>
      <c r="G31" s="365"/>
      <c r="H31" s="365"/>
      <c r="I31" s="365"/>
      <c r="J31" s="365"/>
      <c r="K31" s="365"/>
    </row>
    <row r="32" ht="12.75" customHeight="1">
      <c r="A32" s="365"/>
      <c r="B32" s="365"/>
      <c r="C32" s="365"/>
      <c r="D32" s="365"/>
      <c r="E32" s="365"/>
      <c r="F32" s="365"/>
      <c r="G32" s="365"/>
      <c r="H32" s="365"/>
      <c r="I32" s="365"/>
      <c r="J32" s="365"/>
      <c r="K32" s="365"/>
    </row>
    <row r="33" ht="12.75" customHeight="1">
      <c r="A33" s="365"/>
      <c r="B33" s="365"/>
      <c r="C33" s="365"/>
      <c r="D33" s="365"/>
      <c r="E33" s="365"/>
      <c r="F33" s="365"/>
      <c r="G33" s="365"/>
      <c r="H33" s="365"/>
      <c r="I33" s="365"/>
      <c r="J33" s="365"/>
      <c r="K33" s="365"/>
    </row>
    <row r="34" ht="12.75" customHeight="1">
      <c r="A34" s="365"/>
      <c r="B34" s="365"/>
      <c r="C34" s="365"/>
      <c r="D34" s="365"/>
      <c r="E34" s="365"/>
      <c r="F34" s="365"/>
      <c r="G34" s="365"/>
      <c r="H34" s="365"/>
      <c r="I34" s="365"/>
      <c r="J34" s="365"/>
      <c r="K34" s="365"/>
    </row>
    <row r="35" ht="12.75" customHeight="1">
      <c r="A35" s="365"/>
      <c r="B35" s="365"/>
      <c r="C35" s="365"/>
      <c r="D35" s="365"/>
      <c r="E35" s="365"/>
      <c r="F35" s="365"/>
      <c r="G35" s="365"/>
      <c r="H35" s="365"/>
      <c r="I35" s="365"/>
      <c r="J35" s="365"/>
      <c r="K35" s="365"/>
    </row>
    <row r="36" ht="12.75" customHeight="1">
      <c r="A36" s="365"/>
      <c r="B36" s="365"/>
      <c r="C36" s="365"/>
      <c r="D36" s="365"/>
      <c r="E36" s="365"/>
      <c r="F36" s="365"/>
      <c r="G36" s="365"/>
      <c r="H36" s="365"/>
      <c r="I36" s="365"/>
      <c r="J36" s="365"/>
      <c r="K36" s="365"/>
    </row>
    <row r="37" ht="12.75" customHeight="1">
      <c r="A37" s="365"/>
      <c r="B37" s="365"/>
      <c r="C37" s="365"/>
      <c r="D37" s="365"/>
      <c r="E37" s="365"/>
      <c r="F37" s="365"/>
      <c r="G37" s="365"/>
      <c r="H37" s="365"/>
      <c r="I37" s="365"/>
      <c r="J37" s="365"/>
      <c r="K37" s="365"/>
    </row>
    <row r="38" ht="12.75" customHeight="1">
      <c r="A38" s="365"/>
      <c r="B38" s="365"/>
      <c r="C38" s="365"/>
      <c r="D38" s="365"/>
      <c r="E38" s="365"/>
      <c r="F38" s="365"/>
      <c r="G38" s="365"/>
      <c r="H38" s="365"/>
      <c r="I38" s="365"/>
      <c r="J38" s="365"/>
      <c r="K38" s="365"/>
    </row>
    <row r="39" ht="12.75" customHeight="1">
      <c r="A39" s="365"/>
      <c r="B39" s="365"/>
      <c r="C39" s="365"/>
      <c r="D39" s="365"/>
      <c r="E39" s="365"/>
      <c r="F39" s="365"/>
      <c r="G39" s="365"/>
      <c r="H39" s="365"/>
      <c r="I39" s="365"/>
      <c r="J39" s="365"/>
      <c r="K39" s="365"/>
    </row>
    <row r="40" ht="12.75" customHeight="1">
      <c r="A40" s="365"/>
      <c r="B40" s="365"/>
      <c r="C40" s="365"/>
      <c r="D40" s="365"/>
      <c r="E40" s="365"/>
      <c r="F40" s="365"/>
      <c r="G40" s="365"/>
      <c r="H40" s="365"/>
      <c r="I40" s="365"/>
      <c r="J40" s="365"/>
      <c r="K40" s="365"/>
    </row>
    <row r="41" ht="12.75" customHeight="1">
      <c r="A41" s="365"/>
      <c r="B41" s="365"/>
      <c r="C41" s="365"/>
      <c r="D41" s="365"/>
      <c r="E41" s="365"/>
      <c r="F41" s="365"/>
      <c r="G41" s="365"/>
      <c r="H41" s="365"/>
      <c r="I41" s="365"/>
      <c r="J41" s="365"/>
      <c r="K41" s="365"/>
    </row>
    <row r="42" ht="12.75" customHeight="1">
      <c r="A42" s="365"/>
      <c r="B42" s="365"/>
      <c r="C42" s="365"/>
      <c r="D42" s="365"/>
      <c r="E42" s="365"/>
      <c r="F42" s="365"/>
      <c r="G42" s="365"/>
      <c r="H42" s="365"/>
      <c r="I42" s="365"/>
      <c r="J42" s="365"/>
      <c r="K42" s="365"/>
    </row>
    <row r="43" ht="12.75" customHeight="1">
      <c r="A43" s="365"/>
      <c r="B43" s="365"/>
      <c r="C43" s="365"/>
      <c r="D43" s="365"/>
      <c r="E43" s="365"/>
      <c r="F43" s="365"/>
      <c r="G43" s="365"/>
      <c r="H43" s="365"/>
      <c r="I43" s="365"/>
      <c r="J43" s="365"/>
      <c r="K43" s="365"/>
    </row>
    <row r="44" ht="12.75" customHeight="1">
      <c r="A44" s="365"/>
      <c r="B44" s="365"/>
      <c r="C44" s="365"/>
      <c r="D44" s="365"/>
      <c r="E44" s="365"/>
      <c r="F44" s="365"/>
      <c r="G44" s="365"/>
      <c r="H44" s="365"/>
      <c r="I44" s="365"/>
      <c r="J44" s="365"/>
      <c r="K44" s="365"/>
    </row>
    <row r="45" ht="12.75" customHeight="1">
      <c r="A45" s="365"/>
      <c r="B45" s="365"/>
      <c r="C45" s="365"/>
      <c r="D45" s="365"/>
      <c r="E45" s="365"/>
      <c r="F45" s="365"/>
      <c r="G45" s="365"/>
      <c r="H45" s="365"/>
      <c r="I45" s="365"/>
      <c r="J45" s="365"/>
      <c r="K45" s="365"/>
    </row>
    <row r="46" ht="12.75" customHeight="1">
      <c r="A46" s="365"/>
      <c r="B46" s="365"/>
      <c r="C46" s="365"/>
      <c r="D46" s="365"/>
      <c r="E46" s="365"/>
      <c r="F46" s="365"/>
      <c r="G46" s="365"/>
      <c r="H46" s="365"/>
      <c r="I46" s="365"/>
      <c r="J46" s="365"/>
      <c r="K46" s="365"/>
    </row>
    <row r="47" ht="12.75" customHeight="1">
      <c r="A47" s="365"/>
      <c r="B47" s="365"/>
      <c r="C47" s="365"/>
      <c r="D47" s="365"/>
      <c r="E47" s="365"/>
      <c r="F47" s="365"/>
      <c r="G47" s="365"/>
      <c r="H47" s="365"/>
      <c r="I47" s="365"/>
      <c r="J47" s="365"/>
      <c r="K47" s="365"/>
    </row>
    <row r="48" ht="12.75" customHeight="1">
      <c r="A48" s="365"/>
      <c r="B48" s="365"/>
      <c r="C48" s="365"/>
      <c r="D48" s="365"/>
      <c r="E48" s="365"/>
      <c r="F48" s="365"/>
      <c r="G48" s="365"/>
      <c r="H48" s="365"/>
      <c r="I48" s="365"/>
      <c r="J48" s="365"/>
      <c r="K48" s="365"/>
    </row>
    <row r="49" ht="12.75" customHeight="1">
      <c r="A49" s="365"/>
      <c r="B49" s="365"/>
      <c r="C49" s="365"/>
      <c r="D49" s="365"/>
      <c r="E49" s="365"/>
      <c r="F49" s="365"/>
      <c r="G49" s="365"/>
      <c r="H49" s="365"/>
      <c r="I49" s="365"/>
      <c r="J49" s="365"/>
      <c r="K49" s="365"/>
    </row>
    <row r="50" ht="12.75" customHeight="1">
      <c r="A50" s="365"/>
      <c r="B50" s="365"/>
      <c r="C50" s="365"/>
      <c r="D50" s="365"/>
      <c r="E50" s="365"/>
      <c r="F50" s="365"/>
      <c r="G50" s="365"/>
      <c r="H50" s="365"/>
      <c r="I50" s="365"/>
      <c r="J50" s="365"/>
      <c r="K50" s="365"/>
    </row>
    <row r="51" ht="12.75" customHeight="1">
      <c r="A51" s="365"/>
      <c r="B51" s="365"/>
      <c r="C51" s="365"/>
      <c r="D51" s="365"/>
      <c r="E51" s="365"/>
      <c r="F51" s="365"/>
      <c r="G51" s="365"/>
      <c r="H51" s="365"/>
      <c r="I51" s="365"/>
      <c r="J51" s="365"/>
      <c r="K51" s="365"/>
    </row>
    <row r="52" ht="12.75" customHeight="1">
      <c r="A52" s="365"/>
      <c r="B52" s="365"/>
      <c r="C52" s="365"/>
      <c r="D52" s="365"/>
      <c r="E52" s="365"/>
      <c r="F52" s="365"/>
      <c r="G52" s="365"/>
      <c r="H52" s="365"/>
      <c r="I52" s="365"/>
      <c r="J52" s="365"/>
      <c r="K52" s="365"/>
    </row>
    <row r="53" ht="12.75" customHeight="1">
      <c r="A53" s="365"/>
      <c r="B53" s="365"/>
      <c r="C53" s="365"/>
      <c r="D53" s="365"/>
      <c r="E53" s="365"/>
      <c r="F53" s="365"/>
      <c r="G53" s="365"/>
      <c r="H53" s="365"/>
      <c r="I53" s="365"/>
      <c r="J53" s="365"/>
      <c r="K53" s="365"/>
    </row>
    <row r="54" ht="12.75" customHeight="1">
      <c r="A54" s="365"/>
      <c r="B54" s="365"/>
      <c r="C54" s="365"/>
      <c r="D54" s="365"/>
      <c r="E54" s="365"/>
      <c r="F54" s="365"/>
      <c r="G54" s="365"/>
      <c r="H54" s="365"/>
      <c r="I54" s="365"/>
      <c r="J54" s="365"/>
      <c r="K54" s="365"/>
    </row>
    <row r="55" ht="12.75" customHeight="1">
      <c r="A55" s="365"/>
      <c r="B55" s="365"/>
      <c r="C55" s="365"/>
      <c r="D55" s="365"/>
      <c r="E55" s="365"/>
      <c r="F55" s="365"/>
      <c r="G55" s="365"/>
      <c r="H55" s="365"/>
      <c r="I55" s="365"/>
      <c r="J55" s="365"/>
      <c r="K55" s="365"/>
    </row>
    <row r="56" ht="12.75" customHeight="1">
      <c r="A56" s="365"/>
      <c r="B56" s="365"/>
      <c r="C56" s="365"/>
      <c r="D56" s="365"/>
      <c r="E56" s="365"/>
      <c r="F56" s="365"/>
      <c r="G56" s="365"/>
      <c r="H56" s="365"/>
      <c r="I56" s="365"/>
      <c r="J56" s="365"/>
      <c r="K56" s="365"/>
    </row>
    <row r="57" ht="12.75" customHeight="1">
      <c r="A57" s="365"/>
      <c r="B57" s="365"/>
      <c r="C57" s="365"/>
      <c r="D57" s="365"/>
      <c r="E57" s="365"/>
      <c r="F57" s="365"/>
      <c r="G57" s="365"/>
      <c r="H57" s="365"/>
      <c r="I57" s="365"/>
      <c r="J57" s="365"/>
      <c r="K57" s="365"/>
    </row>
    <row r="58" ht="12.75" customHeight="1">
      <c r="A58" s="365"/>
      <c r="B58" s="365"/>
      <c r="C58" s="365"/>
      <c r="D58" s="365"/>
      <c r="E58" s="365"/>
      <c r="F58" s="365"/>
      <c r="G58" s="365"/>
      <c r="H58" s="365"/>
      <c r="I58" s="365"/>
      <c r="J58" s="365"/>
      <c r="K58" s="365"/>
    </row>
    <row r="59" ht="12.75" customHeight="1">
      <c r="A59" s="365"/>
      <c r="B59" s="365"/>
      <c r="C59" s="365"/>
      <c r="D59" s="365"/>
      <c r="E59" s="365"/>
      <c r="F59" s="365"/>
      <c r="G59" s="365"/>
      <c r="H59" s="365"/>
      <c r="I59" s="365"/>
      <c r="J59" s="365"/>
      <c r="K59" s="365"/>
    </row>
    <row r="60" ht="12.75" customHeight="1">
      <c r="A60" s="365"/>
      <c r="B60" s="365"/>
      <c r="C60" s="365"/>
      <c r="D60" s="365"/>
      <c r="E60" s="365"/>
      <c r="F60" s="365"/>
      <c r="G60" s="365"/>
      <c r="H60" s="365"/>
      <c r="I60" s="365"/>
      <c r="J60" s="365"/>
      <c r="K60" s="365"/>
    </row>
    <row r="61" ht="12.75" customHeight="1">
      <c r="A61" s="365"/>
      <c r="B61" s="365"/>
      <c r="C61" s="365"/>
      <c r="D61" s="365"/>
      <c r="E61" s="365"/>
      <c r="F61" s="365"/>
      <c r="G61" s="365"/>
      <c r="H61" s="365"/>
      <c r="I61" s="365"/>
      <c r="J61" s="365"/>
      <c r="K61" s="365"/>
    </row>
    <row r="62" ht="12.75" customHeight="1">
      <c r="A62" s="365"/>
      <c r="B62" s="365"/>
      <c r="C62" s="365"/>
      <c r="D62" s="365"/>
      <c r="E62" s="365"/>
      <c r="F62" s="365"/>
      <c r="G62" s="365"/>
      <c r="H62" s="365"/>
      <c r="I62" s="365"/>
      <c r="J62" s="365"/>
      <c r="K62" s="365"/>
    </row>
    <row r="63" ht="12.75" customHeight="1">
      <c r="A63" s="365"/>
      <c r="B63" s="365"/>
      <c r="C63" s="365"/>
      <c r="D63" s="365"/>
      <c r="E63" s="365"/>
      <c r="F63" s="365"/>
      <c r="G63" s="365"/>
      <c r="H63" s="365"/>
      <c r="I63" s="365"/>
      <c r="J63" s="365"/>
      <c r="K63" s="365"/>
    </row>
    <row r="64" ht="12.75" customHeight="1">
      <c r="A64" s="365"/>
      <c r="B64" s="365"/>
      <c r="C64" s="365"/>
      <c r="D64" s="365"/>
      <c r="E64" s="365"/>
      <c r="F64" s="365"/>
      <c r="G64" s="365"/>
      <c r="H64" s="365"/>
      <c r="I64" s="365"/>
      <c r="J64" s="365"/>
      <c r="K64" s="365"/>
    </row>
    <row r="65" ht="12.75" customHeight="1">
      <c r="A65" s="365"/>
      <c r="B65" s="365"/>
      <c r="C65" s="365"/>
      <c r="D65" s="365"/>
      <c r="E65" s="365"/>
      <c r="F65" s="365"/>
      <c r="G65" s="365"/>
      <c r="H65" s="365"/>
      <c r="I65" s="365"/>
      <c r="J65" s="365"/>
      <c r="K65" s="365"/>
    </row>
    <row r="66" ht="12.75" customHeight="1">
      <c r="A66" s="365"/>
      <c r="B66" s="365"/>
      <c r="C66" s="365"/>
      <c r="D66" s="365"/>
      <c r="E66" s="365"/>
      <c r="F66" s="365"/>
      <c r="G66" s="365"/>
      <c r="H66" s="365"/>
      <c r="I66" s="365"/>
      <c r="J66" s="365"/>
      <c r="K66" s="365"/>
    </row>
    <row r="67" ht="12.75" customHeight="1">
      <c r="A67" s="365"/>
      <c r="B67" s="365"/>
      <c r="C67" s="365"/>
      <c r="D67" s="365"/>
      <c r="E67" s="365"/>
      <c r="F67" s="365"/>
      <c r="G67" s="365"/>
      <c r="H67" s="365"/>
      <c r="I67" s="365"/>
      <c r="J67" s="365"/>
      <c r="K67" s="365"/>
    </row>
    <row r="68" ht="12.75" customHeight="1">
      <c r="A68" s="365"/>
      <c r="B68" s="365"/>
      <c r="C68" s="365"/>
      <c r="D68" s="365"/>
      <c r="E68" s="365"/>
      <c r="F68" s="365"/>
      <c r="G68" s="365"/>
      <c r="H68" s="365"/>
      <c r="I68" s="365"/>
      <c r="J68" s="365"/>
      <c r="K68" s="365"/>
    </row>
    <row r="69" ht="12.75" customHeight="1">
      <c r="A69" s="365"/>
      <c r="B69" s="365"/>
      <c r="C69" s="365"/>
      <c r="D69" s="365"/>
      <c r="E69" s="365"/>
      <c r="F69" s="365"/>
      <c r="G69" s="365"/>
      <c r="H69" s="365"/>
      <c r="I69" s="365"/>
      <c r="J69" s="365"/>
      <c r="K69" s="365"/>
    </row>
    <row r="70" ht="12.75" customHeight="1">
      <c r="A70" s="365"/>
      <c r="B70" s="365"/>
      <c r="C70" s="365"/>
      <c r="D70" s="365"/>
      <c r="E70" s="365"/>
      <c r="F70" s="365"/>
      <c r="G70" s="365"/>
      <c r="H70" s="365"/>
      <c r="I70" s="365"/>
      <c r="J70" s="365"/>
      <c r="K70" s="365"/>
    </row>
    <row r="71" ht="12.75" customHeight="1">
      <c r="A71" s="365"/>
      <c r="B71" s="365"/>
      <c r="C71" s="365"/>
      <c r="D71" s="365"/>
      <c r="E71" s="365"/>
      <c r="F71" s="365"/>
      <c r="G71" s="365"/>
      <c r="H71" s="365"/>
      <c r="I71" s="365"/>
      <c r="J71" s="365"/>
      <c r="K71" s="365"/>
    </row>
    <row r="72" ht="12.75" customHeight="1">
      <c r="A72" s="365"/>
      <c r="B72" s="365"/>
      <c r="C72" s="365"/>
      <c r="D72" s="365"/>
      <c r="E72" s="365"/>
      <c r="F72" s="365"/>
      <c r="G72" s="365"/>
      <c r="H72" s="365"/>
      <c r="I72" s="365"/>
      <c r="J72" s="365"/>
      <c r="K72" s="365"/>
    </row>
    <row r="73" ht="12.75" customHeight="1">
      <c r="A73" s="365"/>
      <c r="B73" s="365"/>
      <c r="C73" s="365"/>
      <c r="D73" s="365"/>
      <c r="E73" s="365"/>
      <c r="F73" s="365"/>
      <c r="G73" s="365"/>
      <c r="H73" s="365"/>
      <c r="I73" s="365"/>
      <c r="J73" s="365"/>
      <c r="K73" s="365"/>
    </row>
    <row r="74" ht="12.75" customHeight="1">
      <c r="A74" s="365"/>
      <c r="B74" s="365"/>
      <c r="C74" s="365"/>
      <c r="D74" s="365"/>
      <c r="E74" s="365"/>
      <c r="F74" s="365"/>
      <c r="G74" s="365"/>
      <c r="H74" s="365"/>
      <c r="I74" s="365"/>
      <c r="J74" s="365"/>
      <c r="K74" s="365"/>
    </row>
    <row r="75" ht="12.75" customHeight="1">
      <c r="A75" s="365"/>
      <c r="B75" s="365"/>
      <c r="C75" s="365"/>
      <c r="D75" s="365"/>
      <c r="E75" s="365"/>
      <c r="F75" s="365"/>
      <c r="G75" s="365"/>
      <c r="H75" s="365"/>
      <c r="I75" s="365"/>
      <c r="J75" s="365"/>
      <c r="K75" s="365"/>
    </row>
    <row r="76" ht="12.75" customHeight="1">
      <c r="A76" s="365"/>
      <c r="B76" s="365"/>
      <c r="C76" s="365"/>
      <c r="D76" s="365"/>
      <c r="E76" s="365"/>
      <c r="F76" s="365"/>
      <c r="G76" s="365"/>
      <c r="H76" s="365"/>
      <c r="I76" s="365"/>
      <c r="J76" s="365"/>
      <c r="K76" s="365"/>
    </row>
    <row r="77" ht="12.75" customHeight="1">
      <c r="A77" s="365"/>
      <c r="B77" s="365"/>
      <c r="C77" s="365"/>
      <c r="D77" s="365"/>
      <c r="E77" s="365"/>
      <c r="F77" s="365"/>
      <c r="G77" s="365"/>
      <c r="H77" s="365"/>
      <c r="I77" s="365"/>
      <c r="J77" s="365"/>
      <c r="K77" s="365"/>
    </row>
    <row r="78" ht="12.75" customHeight="1">
      <c r="A78" s="365"/>
      <c r="B78" s="365"/>
      <c r="C78" s="365"/>
      <c r="D78" s="365"/>
      <c r="E78" s="365"/>
      <c r="F78" s="365"/>
      <c r="G78" s="365"/>
      <c r="H78" s="365"/>
      <c r="I78" s="365"/>
      <c r="J78" s="365"/>
      <c r="K78" s="365"/>
    </row>
    <row r="79" ht="12.75" customHeight="1">
      <c r="A79" s="365"/>
      <c r="B79" s="365"/>
      <c r="C79" s="365"/>
      <c r="D79" s="365"/>
      <c r="E79" s="365"/>
      <c r="F79" s="365"/>
      <c r="G79" s="365"/>
      <c r="H79" s="365"/>
      <c r="I79" s="365"/>
      <c r="J79" s="365"/>
      <c r="K79" s="365"/>
    </row>
    <row r="80" ht="12.75" customHeight="1">
      <c r="A80" s="365"/>
      <c r="B80" s="365"/>
      <c r="C80" s="365"/>
      <c r="D80" s="365"/>
      <c r="E80" s="365"/>
      <c r="F80" s="365"/>
      <c r="G80" s="365"/>
      <c r="H80" s="365"/>
      <c r="I80" s="365"/>
      <c r="J80" s="365"/>
      <c r="K80" s="365"/>
    </row>
    <row r="81" ht="12.75" customHeight="1">
      <c r="A81" s="365"/>
      <c r="B81" s="365"/>
      <c r="C81" s="365"/>
      <c r="D81" s="365"/>
      <c r="E81" s="365"/>
      <c r="F81" s="365"/>
      <c r="G81" s="365"/>
      <c r="H81" s="365"/>
      <c r="I81" s="365"/>
      <c r="J81" s="365"/>
      <c r="K81" s="365"/>
    </row>
    <row r="82" ht="12.75" customHeight="1">
      <c r="A82" s="365"/>
      <c r="B82" s="365"/>
      <c r="C82" s="365"/>
      <c r="D82" s="365"/>
      <c r="E82" s="365"/>
      <c r="F82" s="365"/>
      <c r="G82" s="365"/>
      <c r="H82" s="365"/>
      <c r="I82" s="365"/>
      <c r="J82" s="365"/>
      <c r="K82" s="365"/>
    </row>
    <row r="83" ht="12.75" customHeight="1">
      <c r="A83" s="365"/>
      <c r="B83" s="365"/>
      <c r="C83" s="365"/>
      <c r="D83" s="365"/>
      <c r="E83" s="365"/>
      <c r="F83" s="365"/>
      <c r="G83" s="365"/>
      <c r="H83" s="365"/>
      <c r="I83" s="365"/>
      <c r="J83" s="365"/>
      <c r="K83" s="365"/>
    </row>
    <row r="84" ht="12.75" customHeight="1">
      <c r="A84" s="365"/>
      <c r="B84" s="365"/>
      <c r="C84" s="365"/>
      <c r="D84" s="365"/>
      <c r="E84" s="365"/>
      <c r="F84" s="365"/>
      <c r="G84" s="365"/>
      <c r="H84" s="365"/>
      <c r="I84" s="365"/>
      <c r="J84" s="365"/>
      <c r="K84" s="365"/>
    </row>
    <row r="85" ht="12.75" customHeight="1">
      <c r="A85" s="365"/>
      <c r="B85" s="365"/>
      <c r="C85" s="365"/>
      <c r="D85" s="365"/>
      <c r="E85" s="365"/>
      <c r="F85" s="365"/>
      <c r="G85" s="365"/>
      <c r="H85" s="365"/>
      <c r="I85" s="365"/>
      <c r="J85" s="365"/>
      <c r="K85" s="365"/>
    </row>
    <row r="86" ht="12.75" customHeight="1">
      <c r="A86" s="365"/>
      <c r="B86" s="365"/>
      <c r="C86" s="365"/>
      <c r="D86" s="365"/>
      <c r="E86" s="365"/>
      <c r="F86" s="365"/>
      <c r="G86" s="365"/>
      <c r="H86" s="365"/>
      <c r="I86" s="365"/>
      <c r="J86" s="365"/>
      <c r="K86" s="365"/>
    </row>
    <row r="87" ht="12.75" customHeight="1">
      <c r="A87" s="365"/>
      <c r="B87" s="365"/>
      <c r="C87" s="365"/>
      <c r="D87" s="365"/>
      <c r="E87" s="365"/>
      <c r="F87" s="365"/>
      <c r="G87" s="365"/>
      <c r="H87" s="365"/>
      <c r="I87" s="365"/>
      <c r="J87" s="365"/>
      <c r="K87" s="365"/>
    </row>
    <row r="88" ht="12.75" customHeight="1">
      <c r="A88" s="365"/>
      <c r="B88" s="365"/>
      <c r="C88" s="365"/>
      <c r="D88" s="365"/>
      <c r="E88" s="365"/>
      <c r="F88" s="365"/>
      <c r="G88" s="365"/>
      <c r="H88" s="365"/>
      <c r="I88" s="365"/>
      <c r="J88" s="365"/>
      <c r="K88" s="365"/>
    </row>
    <row r="89" ht="12.75" customHeight="1">
      <c r="A89" s="365"/>
      <c r="B89" s="365"/>
      <c r="C89" s="365"/>
      <c r="D89" s="365"/>
      <c r="E89" s="365"/>
      <c r="F89" s="365"/>
      <c r="G89" s="365"/>
      <c r="H89" s="365"/>
      <c r="I89" s="365"/>
      <c r="J89" s="365"/>
      <c r="K89" s="365"/>
    </row>
    <row r="90" ht="12.75" customHeight="1">
      <c r="A90" s="365"/>
      <c r="B90" s="365"/>
      <c r="C90" s="365"/>
      <c r="D90" s="365"/>
      <c r="E90" s="365"/>
      <c r="F90" s="365"/>
      <c r="G90" s="365"/>
      <c r="H90" s="365"/>
      <c r="I90" s="365"/>
      <c r="J90" s="365"/>
      <c r="K90" s="365"/>
    </row>
    <row r="91" ht="12.75" customHeight="1">
      <c r="A91" s="365"/>
      <c r="B91" s="365"/>
      <c r="C91" s="365"/>
      <c r="D91" s="365"/>
      <c r="E91" s="365"/>
      <c r="F91" s="365"/>
      <c r="G91" s="365"/>
      <c r="H91" s="365"/>
      <c r="I91" s="365"/>
      <c r="J91" s="365"/>
      <c r="K91" s="365"/>
    </row>
    <row r="92" ht="12.75" customHeight="1">
      <c r="A92" s="365"/>
      <c r="B92" s="365"/>
      <c r="C92" s="365"/>
      <c r="D92" s="365"/>
      <c r="E92" s="365"/>
      <c r="F92" s="365"/>
      <c r="G92" s="365"/>
      <c r="H92" s="365"/>
      <c r="I92" s="365"/>
      <c r="J92" s="365"/>
      <c r="K92" s="365"/>
    </row>
    <row r="93" ht="12.75" customHeight="1">
      <c r="A93" s="365"/>
      <c r="B93" s="365"/>
      <c r="C93" s="365"/>
      <c r="D93" s="365"/>
      <c r="E93" s="365"/>
      <c r="F93" s="365"/>
      <c r="G93" s="365"/>
      <c r="H93" s="365"/>
      <c r="I93" s="365"/>
      <c r="J93" s="365"/>
      <c r="K93" s="365"/>
    </row>
    <row r="94" ht="12.75" customHeight="1">
      <c r="A94" s="365"/>
      <c r="B94" s="365"/>
      <c r="C94" s="365"/>
      <c r="D94" s="365"/>
      <c r="E94" s="365"/>
      <c r="F94" s="365"/>
      <c r="G94" s="365"/>
      <c r="H94" s="365"/>
      <c r="I94" s="365"/>
      <c r="J94" s="365"/>
      <c r="K94" s="365"/>
    </row>
    <row r="95" ht="12.75" customHeight="1">
      <c r="A95" s="365"/>
      <c r="B95" s="365"/>
      <c r="C95" s="365"/>
      <c r="D95" s="365"/>
      <c r="E95" s="365"/>
      <c r="F95" s="365"/>
      <c r="G95" s="365"/>
      <c r="H95" s="365"/>
      <c r="I95" s="365"/>
      <c r="J95" s="365"/>
      <c r="K95" s="365"/>
    </row>
    <row r="96" ht="12.75" customHeight="1">
      <c r="A96" s="365"/>
      <c r="B96" s="365"/>
      <c r="C96" s="365"/>
      <c r="D96" s="365"/>
      <c r="E96" s="365"/>
      <c r="F96" s="365"/>
      <c r="G96" s="365"/>
      <c r="H96" s="365"/>
      <c r="I96" s="365"/>
      <c r="J96" s="365"/>
      <c r="K96" s="365"/>
    </row>
    <row r="97" ht="12.75" customHeight="1">
      <c r="A97" s="365"/>
      <c r="B97" s="365"/>
      <c r="C97" s="365"/>
      <c r="D97" s="365"/>
      <c r="E97" s="365"/>
      <c r="F97" s="365"/>
      <c r="G97" s="365"/>
      <c r="H97" s="365"/>
      <c r="I97" s="365"/>
      <c r="J97" s="365"/>
      <c r="K97" s="365"/>
    </row>
    <row r="98" ht="12.75" customHeight="1">
      <c r="A98" s="365"/>
      <c r="B98" s="365"/>
      <c r="C98" s="365"/>
      <c r="D98" s="365"/>
      <c r="E98" s="365"/>
      <c r="F98" s="365"/>
      <c r="G98" s="365"/>
      <c r="H98" s="365"/>
      <c r="I98" s="365"/>
      <c r="J98" s="365"/>
      <c r="K98" s="365"/>
    </row>
    <row r="99" ht="12.75" customHeight="1">
      <c r="A99" s="365"/>
      <c r="B99" s="365"/>
      <c r="C99" s="365"/>
      <c r="D99" s="365"/>
      <c r="E99" s="365"/>
      <c r="F99" s="365"/>
      <c r="G99" s="365"/>
      <c r="H99" s="365"/>
      <c r="I99" s="365"/>
      <c r="J99" s="365"/>
      <c r="K99" s="365"/>
    </row>
    <row r="100" ht="12.75" customHeight="1">
      <c r="A100" s="365"/>
      <c r="B100" s="365"/>
      <c r="C100" s="365"/>
      <c r="D100" s="365"/>
      <c r="E100" s="365"/>
      <c r="F100" s="365"/>
      <c r="G100" s="365"/>
      <c r="H100" s="365"/>
      <c r="I100" s="365"/>
      <c r="J100" s="365"/>
      <c r="K100" s="36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6.0"/>
    <col customWidth="1" min="3" max="3" width="5.75"/>
    <col customWidth="1" min="4" max="4" width="6.0"/>
    <col customWidth="1" min="5" max="6" width="7.0"/>
    <col customWidth="1" min="7" max="7" width="10.88"/>
    <col customWidth="1" min="8" max="10" width="7.0"/>
    <col customWidth="1" min="11" max="11" width="7.75"/>
    <col customWidth="1" min="12" max="26" width="11.0"/>
  </cols>
  <sheetData>
    <row r="1" ht="12.75" customHeight="1">
      <c r="A1" s="599" t="s">
        <v>245</v>
      </c>
      <c r="B1" s="365"/>
      <c r="C1" s="600"/>
      <c r="D1" s="600"/>
      <c r="E1" s="365"/>
      <c r="F1" s="599" t="s">
        <v>246</v>
      </c>
      <c r="G1" s="600"/>
      <c r="H1" s="365"/>
      <c r="I1" s="365"/>
      <c r="J1" s="365"/>
      <c r="K1" s="365"/>
    </row>
    <row r="2" ht="12.75" customHeight="1">
      <c r="A2" s="321" t="s">
        <v>248</v>
      </c>
      <c r="B2" s="322" t="s">
        <v>104</v>
      </c>
      <c r="C2" s="322" t="s">
        <v>105</v>
      </c>
      <c r="D2" s="627" t="s">
        <v>106</v>
      </c>
      <c r="E2" s="365"/>
      <c r="F2" s="604" t="s">
        <v>249</v>
      </c>
      <c r="G2" s="605" t="s">
        <v>248</v>
      </c>
      <c r="H2" s="606" t="s">
        <v>66</v>
      </c>
      <c r="I2" s="365"/>
      <c r="J2" s="365"/>
      <c r="K2" s="365"/>
    </row>
    <row r="3" ht="12.75" customHeight="1">
      <c r="A3" s="754" t="s">
        <v>316</v>
      </c>
      <c r="B3" s="755">
        <v>8.0</v>
      </c>
      <c r="C3" s="755">
        <v>5.0</v>
      </c>
      <c r="D3" s="756">
        <v>0.0</v>
      </c>
      <c r="E3" s="365"/>
      <c r="F3" s="610">
        <v>1.0</v>
      </c>
      <c r="G3" s="712" t="s">
        <v>316</v>
      </c>
      <c r="H3" s="713" t="s">
        <v>317</v>
      </c>
      <c r="I3" s="365"/>
      <c r="J3" s="365"/>
      <c r="K3" s="365"/>
    </row>
    <row r="4" ht="12.75" customHeight="1">
      <c r="A4" s="757" t="s">
        <v>228</v>
      </c>
      <c r="B4" s="758">
        <v>6.0</v>
      </c>
      <c r="C4" s="758">
        <v>7.0</v>
      </c>
      <c r="D4" s="759">
        <v>0.0</v>
      </c>
      <c r="E4" s="365"/>
      <c r="F4" s="614">
        <v>2.0</v>
      </c>
      <c r="G4" s="717" t="s">
        <v>228</v>
      </c>
      <c r="H4" s="718" t="s">
        <v>39</v>
      </c>
      <c r="I4" s="365"/>
      <c r="J4" s="365"/>
      <c r="K4" s="365"/>
    </row>
    <row r="5" ht="12.75" customHeight="1">
      <c r="A5" s="760" t="s">
        <v>318</v>
      </c>
      <c r="B5" s="758">
        <v>5.0</v>
      </c>
      <c r="C5" s="758">
        <v>8.0</v>
      </c>
      <c r="D5" s="759">
        <v>0.0</v>
      </c>
      <c r="E5" s="365"/>
      <c r="F5" s="617">
        <v>3.0</v>
      </c>
      <c r="G5" s="720" t="s">
        <v>319</v>
      </c>
      <c r="H5" s="722" t="s">
        <v>36</v>
      </c>
      <c r="I5" s="365"/>
      <c r="J5" s="365"/>
      <c r="K5" s="365"/>
    </row>
    <row r="6" ht="12.75" customHeight="1">
      <c r="A6" s="761" t="s">
        <v>320</v>
      </c>
      <c r="B6" s="762">
        <v>5.0</v>
      </c>
      <c r="C6" s="762">
        <v>8.0</v>
      </c>
      <c r="D6" s="763">
        <v>0.0</v>
      </c>
      <c r="E6" s="365"/>
      <c r="F6" s="621">
        <v>4.0</v>
      </c>
      <c r="G6" s="725" t="s">
        <v>321</v>
      </c>
      <c r="H6" s="727" t="s">
        <v>52</v>
      </c>
      <c r="I6" s="365"/>
      <c r="J6" s="365"/>
      <c r="K6" s="365"/>
    </row>
    <row r="7" ht="12.75" customHeight="1">
      <c r="A7" s="365"/>
      <c r="B7" s="365"/>
      <c r="C7" s="365"/>
      <c r="D7" s="365"/>
      <c r="E7" s="365"/>
      <c r="F7" s="614">
        <v>5.0</v>
      </c>
      <c r="G7" s="728" t="s">
        <v>322</v>
      </c>
      <c r="H7" s="729" t="s">
        <v>54</v>
      </c>
      <c r="I7" s="365"/>
      <c r="J7" s="726" t="s">
        <v>323</v>
      </c>
      <c r="K7" s="365"/>
    </row>
    <row r="8" ht="12.75" customHeight="1">
      <c r="A8" s="321" t="s">
        <v>248</v>
      </c>
      <c r="B8" s="322" t="s">
        <v>104</v>
      </c>
      <c r="C8" s="322" t="s">
        <v>105</v>
      </c>
      <c r="D8" s="627" t="s">
        <v>106</v>
      </c>
      <c r="E8" s="365"/>
      <c r="F8" s="617">
        <v>6.0</v>
      </c>
      <c r="G8" s="720" t="s">
        <v>324</v>
      </c>
      <c r="H8" s="722" t="s">
        <v>45</v>
      </c>
      <c r="I8" s="365"/>
      <c r="J8" s="365"/>
      <c r="K8" s="365"/>
    </row>
    <row r="9" ht="12.75" customHeight="1">
      <c r="A9" s="754" t="s">
        <v>319</v>
      </c>
      <c r="B9" s="755">
        <v>8.0</v>
      </c>
      <c r="C9" s="755">
        <v>5.0</v>
      </c>
      <c r="D9" s="756">
        <v>0.0</v>
      </c>
      <c r="E9" s="365"/>
      <c r="F9" s="628">
        <v>7.0</v>
      </c>
      <c r="G9" s="734" t="s">
        <v>325</v>
      </c>
      <c r="H9" s="735" t="s">
        <v>55</v>
      </c>
      <c r="I9" s="365"/>
      <c r="J9" s="365"/>
      <c r="K9" s="365"/>
    </row>
    <row r="10" ht="12.75" customHeight="1">
      <c r="A10" s="757" t="s">
        <v>324</v>
      </c>
      <c r="B10" s="758">
        <v>8.0</v>
      </c>
      <c r="C10" s="758">
        <v>5.0</v>
      </c>
      <c r="D10" s="759">
        <v>0.0</v>
      </c>
      <c r="E10" s="365"/>
      <c r="F10" s="614">
        <v>8.0</v>
      </c>
      <c r="G10" s="728" t="s">
        <v>326</v>
      </c>
      <c r="H10" s="729" t="s">
        <v>43</v>
      </c>
      <c r="I10" s="365"/>
      <c r="J10" s="365"/>
      <c r="K10" s="365"/>
    </row>
    <row r="11" ht="12.75" customHeight="1">
      <c r="A11" s="760" t="s">
        <v>327</v>
      </c>
      <c r="B11" s="758">
        <v>7.0</v>
      </c>
      <c r="C11" s="758">
        <v>6.0</v>
      </c>
      <c r="D11" s="759">
        <v>0.0</v>
      </c>
      <c r="E11" s="365"/>
      <c r="F11" s="617">
        <v>9.0</v>
      </c>
      <c r="G11" s="720" t="s">
        <v>328</v>
      </c>
      <c r="H11" s="722" t="s">
        <v>49</v>
      </c>
      <c r="I11" s="365"/>
      <c r="J11" s="365"/>
      <c r="K11" s="365"/>
    </row>
    <row r="12" ht="12.75" customHeight="1">
      <c r="A12" s="761" t="s">
        <v>325</v>
      </c>
      <c r="B12" s="762">
        <v>7.0</v>
      </c>
      <c r="C12" s="762">
        <v>6.0</v>
      </c>
      <c r="D12" s="763">
        <v>0.0</v>
      </c>
      <c r="E12" s="365"/>
      <c r="F12" s="621">
        <v>10.0</v>
      </c>
      <c r="G12" s="725" t="s">
        <v>329</v>
      </c>
      <c r="H12" s="727" t="s">
        <v>56</v>
      </c>
      <c r="I12" s="365"/>
      <c r="J12" s="365"/>
      <c r="K12" s="365"/>
    </row>
    <row r="13" ht="12.75" customHeight="1">
      <c r="A13" s="365"/>
      <c r="B13" s="365"/>
      <c r="C13" s="365"/>
      <c r="D13" s="365"/>
      <c r="E13" s="365"/>
      <c r="F13" s="614">
        <v>11.0</v>
      </c>
      <c r="G13" s="728" t="s">
        <v>320</v>
      </c>
      <c r="H13" s="729" t="s">
        <v>57</v>
      </c>
      <c r="I13" s="365"/>
      <c r="J13" s="365"/>
      <c r="K13" s="365"/>
    </row>
    <row r="14" ht="12.75" customHeight="1">
      <c r="A14" s="321" t="s">
        <v>248</v>
      </c>
      <c r="B14" s="322" t="s">
        <v>104</v>
      </c>
      <c r="C14" s="322" t="s">
        <v>105</v>
      </c>
      <c r="D14" s="627" t="s">
        <v>106</v>
      </c>
      <c r="E14" s="365"/>
      <c r="F14" s="632">
        <v>12.0</v>
      </c>
      <c r="G14" s="744" t="s">
        <v>318</v>
      </c>
      <c r="H14" s="745" t="s">
        <v>44</v>
      </c>
      <c r="I14" s="365"/>
      <c r="J14" s="365"/>
      <c r="K14" s="365"/>
    </row>
    <row r="15" ht="12.75" customHeight="1">
      <c r="A15" s="754" t="s">
        <v>326</v>
      </c>
      <c r="B15" s="755">
        <v>6.0</v>
      </c>
      <c r="C15" s="755">
        <v>7.0</v>
      </c>
      <c r="D15" s="756">
        <v>0.0</v>
      </c>
      <c r="E15" s="365"/>
      <c r="F15" s="365"/>
      <c r="G15" s="365"/>
      <c r="H15" s="365"/>
      <c r="I15" s="365"/>
      <c r="J15" s="365"/>
      <c r="K15" s="365"/>
    </row>
    <row r="16" ht="12.75" customHeight="1">
      <c r="A16" s="757" t="s">
        <v>322</v>
      </c>
      <c r="B16" s="758">
        <v>6.0</v>
      </c>
      <c r="C16" s="758">
        <v>7.0</v>
      </c>
      <c r="D16" s="759">
        <v>0.0</v>
      </c>
      <c r="E16" s="365"/>
      <c r="F16" s="365"/>
      <c r="G16" s="365"/>
      <c r="H16" s="365"/>
      <c r="I16" s="365"/>
      <c r="J16" s="365"/>
      <c r="K16" s="365"/>
    </row>
    <row r="17" ht="12.75" customHeight="1">
      <c r="A17" s="760" t="s">
        <v>152</v>
      </c>
      <c r="B17" s="758">
        <v>6.0</v>
      </c>
      <c r="C17" s="758">
        <v>7.0</v>
      </c>
      <c r="D17" s="759">
        <v>0.0</v>
      </c>
      <c r="E17" s="365"/>
      <c r="F17" s="365"/>
      <c r="G17" s="365"/>
      <c r="H17" s="365"/>
      <c r="I17" s="365"/>
      <c r="J17" s="365"/>
      <c r="K17" s="365"/>
    </row>
    <row r="18" ht="12.75" customHeight="1">
      <c r="A18" s="761" t="s">
        <v>329</v>
      </c>
      <c r="B18" s="762">
        <v>6.0</v>
      </c>
      <c r="C18" s="762">
        <v>7.0</v>
      </c>
      <c r="D18" s="763">
        <v>0.0</v>
      </c>
      <c r="E18" s="365"/>
      <c r="F18" s="365"/>
      <c r="G18" s="365"/>
      <c r="H18" s="365"/>
      <c r="I18" s="365"/>
      <c r="J18" s="365"/>
      <c r="K18" s="365"/>
    </row>
    <row r="19" ht="12.75" customHeight="1">
      <c r="A19" s="365"/>
      <c r="B19" s="365"/>
      <c r="C19" s="365"/>
      <c r="D19" s="365"/>
      <c r="E19" s="365"/>
      <c r="F19" s="365"/>
      <c r="G19" s="365"/>
      <c r="H19" s="365"/>
      <c r="I19" s="365"/>
      <c r="J19" s="365"/>
      <c r="K19" s="365"/>
    </row>
    <row r="20" ht="12.75" customHeight="1">
      <c r="A20" s="365"/>
      <c r="B20" s="365"/>
      <c r="C20" s="365"/>
      <c r="D20" s="365"/>
      <c r="E20" s="365"/>
      <c r="F20" s="365"/>
      <c r="G20" s="365"/>
      <c r="H20" s="365"/>
      <c r="I20" s="365"/>
      <c r="J20" s="365"/>
      <c r="K20" s="365"/>
    </row>
    <row r="21" ht="12.75" customHeight="1">
      <c r="A21" s="365"/>
      <c r="B21" s="365"/>
      <c r="C21" s="365"/>
      <c r="D21" s="365"/>
      <c r="E21" s="365"/>
      <c r="F21" s="365"/>
      <c r="G21" s="365"/>
      <c r="H21" s="365"/>
      <c r="I21" s="365"/>
      <c r="J21" s="365"/>
      <c r="K21" s="365"/>
    </row>
    <row r="22" ht="12.75" customHeight="1">
      <c r="A22" s="365"/>
      <c r="B22" s="365"/>
      <c r="C22" s="365"/>
      <c r="D22" s="365"/>
      <c r="E22" s="365"/>
      <c r="F22" s="365"/>
      <c r="G22" s="365"/>
      <c r="H22" s="365"/>
      <c r="I22" s="365"/>
      <c r="J22" s="365"/>
      <c r="K22" s="365"/>
    </row>
    <row r="23" ht="12.75" customHeight="1">
      <c r="A23" s="365"/>
      <c r="B23" s="365"/>
      <c r="C23" s="365"/>
      <c r="D23" s="365"/>
      <c r="E23" s="365"/>
      <c r="F23" s="365"/>
      <c r="G23" s="365"/>
      <c r="H23" s="365"/>
      <c r="I23" s="365"/>
      <c r="J23" s="365"/>
      <c r="K23" s="365"/>
    </row>
    <row r="24" ht="12.75" customHeight="1">
      <c r="A24" s="365"/>
      <c r="B24" s="365"/>
      <c r="C24" s="365"/>
      <c r="D24" s="365"/>
      <c r="E24" s="365"/>
      <c r="F24" s="365"/>
      <c r="G24" s="365"/>
      <c r="H24" s="365"/>
      <c r="I24" s="365"/>
      <c r="J24" s="365"/>
      <c r="K24" s="365"/>
    </row>
    <row r="25" ht="12.75" customHeight="1">
      <c r="A25" s="365"/>
      <c r="B25" s="365"/>
      <c r="C25" s="365"/>
      <c r="D25" s="365"/>
      <c r="E25" s="365"/>
      <c r="F25" s="365"/>
      <c r="G25" s="365"/>
      <c r="H25" s="365"/>
      <c r="I25" s="365"/>
      <c r="J25" s="365"/>
      <c r="K25" s="365"/>
    </row>
    <row r="26" ht="12.75" customHeight="1">
      <c r="A26" s="365"/>
      <c r="B26" s="365"/>
      <c r="C26" s="365"/>
      <c r="D26" s="365"/>
      <c r="E26" s="365"/>
      <c r="F26" s="365"/>
      <c r="G26" s="365"/>
      <c r="H26" s="365"/>
      <c r="I26" s="365"/>
      <c r="J26" s="365"/>
      <c r="K26" s="365"/>
    </row>
    <row r="27" ht="12.75" customHeight="1">
      <c r="A27" s="365"/>
      <c r="B27" s="365"/>
      <c r="C27" s="365"/>
      <c r="D27" s="365"/>
      <c r="E27" s="365"/>
      <c r="F27" s="365"/>
      <c r="G27" s="365"/>
      <c r="H27" s="365"/>
      <c r="I27" s="365"/>
      <c r="J27" s="365"/>
      <c r="K27" s="365"/>
    </row>
    <row r="28" ht="12.75" customHeight="1">
      <c r="A28" s="365"/>
      <c r="B28" s="365"/>
      <c r="C28" s="365"/>
      <c r="D28" s="365"/>
      <c r="E28" s="365"/>
      <c r="F28" s="365"/>
      <c r="G28" s="365"/>
      <c r="H28" s="365"/>
      <c r="I28" s="365"/>
      <c r="J28" s="365"/>
      <c r="K28" s="365"/>
    </row>
    <row r="29" ht="12.75" customHeight="1">
      <c r="A29" s="365"/>
      <c r="B29" s="365"/>
      <c r="C29" s="365"/>
      <c r="D29" s="365"/>
      <c r="E29" s="365"/>
      <c r="F29" s="365"/>
      <c r="G29" s="365"/>
      <c r="H29" s="365"/>
      <c r="I29" s="365"/>
      <c r="J29" s="365"/>
      <c r="K29" s="365"/>
    </row>
    <row r="30" ht="12.75" customHeight="1">
      <c r="A30" s="365"/>
      <c r="B30" s="365"/>
      <c r="C30" s="365"/>
      <c r="D30" s="365"/>
      <c r="E30" s="365"/>
      <c r="F30" s="365"/>
      <c r="G30" s="365"/>
      <c r="H30" s="365"/>
      <c r="I30" s="365"/>
      <c r="J30" s="365"/>
      <c r="K30" s="365"/>
    </row>
    <row r="31" ht="12.75" customHeight="1">
      <c r="A31" s="365"/>
      <c r="B31" s="365"/>
      <c r="C31" s="365"/>
      <c r="D31" s="365"/>
      <c r="E31" s="365"/>
      <c r="F31" s="365"/>
      <c r="G31" s="365"/>
      <c r="H31" s="365"/>
      <c r="I31" s="365"/>
      <c r="J31" s="365"/>
      <c r="K31" s="365"/>
    </row>
    <row r="32" ht="12.75" customHeight="1">
      <c r="A32" s="365"/>
      <c r="B32" s="365"/>
      <c r="C32" s="365"/>
      <c r="D32" s="365"/>
      <c r="E32" s="365"/>
      <c r="F32" s="365"/>
      <c r="G32" s="365"/>
      <c r="H32" s="365"/>
      <c r="I32" s="365"/>
      <c r="J32" s="365"/>
      <c r="K32" s="365"/>
    </row>
    <row r="33" ht="12.75" customHeight="1">
      <c r="A33" s="365"/>
      <c r="B33" s="365"/>
      <c r="C33" s="365"/>
      <c r="D33" s="365"/>
      <c r="E33" s="365"/>
      <c r="F33" s="365"/>
      <c r="G33" s="365"/>
      <c r="H33" s="365"/>
      <c r="I33" s="365"/>
      <c r="J33" s="365"/>
      <c r="K33" s="365"/>
    </row>
    <row r="34" ht="12.75" customHeight="1">
      <c r="A34" s="365"/>
      <c r="B34" s="365"/>
      <c r="C34" s="365"/>
      <c r="D34" s="365"/>
      <c r="E34" s="365"/>
      <c r="F34" s="365"/>
      <c r="G34" s="365"/>
      <c r="H34" s="365"/>
      <c r="I34" s="365"/>
      <c r="J34" s="365"/>
      <c r="K34" s="365"/>
    </row>
    <row r="35" ht="12.75" customHeight="1">
      <c r="A35" s="365"/>
      <c r="B35" s="365"/>
      <c r="C35" s="365"/>
      <c r="D35" s="365"/>
      <c r="E35" s="365"/>
      <c r="F35" s="365"/>
      <c r="G35" s="365"/>
      <c r="H35" s="365"/>
      <c r="I35" s="365"/>
      <c r="J35" s="365"/>
      <c r="K35" s="365"/>
    </row>
    <row r="36" ht="12.75" customHeight="1">
      <c r="A36" s="365"/>
      <c r="B36" s="365"/>
      <c r="C36" s="365"/>
      <c r="D36" s="365"/>
      <c r="E36" s="365"/>
      <c r="F36" s="365"/>
      <c r="G36" s="365"/>
      <c r="H36" s="365"/>
      <c r="I36" s="365"/>
      <c r="J36" s="365"/>
      <c r="K36" s="365"/>
    </row>
    <row r="37" ht="12.75" customHeight="1">
      <c r="A37" s="365"/>
      <c r="B37" s="365"/>
      <c r="C37" s="365"/>
      <c r="D37" s="365"/>
      <c r="E37" s="365"/>
      <c r="F37" s="365"/>
      <c r="G37" s="365"/>
      <c r="H37" s="365"/>
      <c r="I37" s="365"/>
      <c r="J37" s="365"/>
      <c r="K37" s="365"/>
    </row>
    <row r="38" ht="12.75" customHeight="1">
      <c r="A38" s="365"/>
      <c r="B38" s="365"/>
      <c r="C38" s="365"/>
      <c r="D38" s="365"/>
      <c r="E38" s="365"/>
      <c r="F38" s="365"/>
      <c r="G38" s="365"/>
      <c r="H38" s="365"/>
      <c r="I38" s="365"/>
      <c r="J38" s="365"/>
      <c r="K38" s="365"/>
    </row>
    <row r="39" ht="12.75" customHeight="1">
      <c r="A39" s="365"/>
      <c r="B39" s="365"/>
      <c r="C39" s="365"/>
      <c r="D39" s="365"/>
      <c r="E39" s="365"/>
      <c r="F39" s="365"/>
      <c r="G39" s="365"/>
      <c r="H39" s="365"/>
      <c r="I39" s="365"/>
      <c r="J39" s="365"/>
      <c r="K39" s="365"/>
    </row>
    <row r="40" ht="12.75" customHeight="1">
      <c r="A40" s="365"/>
      <c r="B40" s="365"/>
      <c r="C40" s="365"/>
      <c r="D40" s="365"/>
      <c r="E40" s="365"/>
      <c r="F40" s="365"/>
      <c r="G40" s="365"/>
      <c r="H40" s="365"/>
      <c r="I40" s="365"/>
      <c r="J40" s="365"/>
      <c r="K40" s="365"/>
    </row>
    <row r="41" ht="12.75" customHeight="1">
      <c r="A41" s="365"/>
      <c r="B41" s="365"/>
      <c r="C41" s="365"/>
      <c r="D41" s="365"/>
      <c r="E41" s="365"/>
      <c r="F41" s="365"/>
      <c r="G41" s="365"/>
      <c r="H41" s="365"/>
      <c r="I41" s="365"/>
      <c r="J41" s="365"/>
      <c r="K41" s="365"/>
    </row>
    <row r="42" ht="12.75" customHeight="1">
      <c r="A42" s="365"/>
      <c r="B42" s="365"/>
      <c r="C42" s="365"/>
      <c r="D42" s="365"/>
      <c r="E42" s="365"/>
      <c r="F42" s="365"/>
      <c r="G42" s="365"/>
      <c r="H42" s="365"/>
      <c r="I42" s="365"/>
      <c r="J42" s="365"/>
      <c r="K42" s="365"/>
    </row>
    <row r="43" ht="12.75" customHeight="1">
      <c r="A43" s="365"/>
      <c r="B43" s="365"/>
      <c r="C43" s="365"/>
      <c r="D43" s="365"/>
      <c r="E43" s="365"/>
      <c r="F43" s="365"/>
      <c r="G43" s="365"/>
      <c r="H43" s="365"/>
      <c r="I43" s="365"/>
      <c r="J43" s="365"/>
      <c r="K43" s="365"/>
    </row>
    <row r="44" ht="12.75" customHeight="1">
      <c r="A44" s="365"/>
      <c r="B44" s="365"/>
      <c r="C44" s="365"/>
      <c r="D44" s="365"/>
      <c r="E44" s="365"/>
      <c r="F44" s="365"/>
      <c r="G44" s="365"/>
      <c r="H44" s="365"/>
      <c r="I44" s="365"/>
      <c r="J44" s="365"/>
      <c r="K44" s="365"/>
    </row>
    <row r="45" ht="12.75" customHeight="1">
      <c r="A45" s="365"/>
      <c r="B45" s="365"/>
      <c r="C45" s="365"/>
      <c r="D45" s="365"/>
      <c r="E45" s="365"/>
      <c r="F45" s="365"/>
      <c r="G45" s="365"/>
      <c r="H45" s="365"/>
      <c r="I45" s="365"/>
      <c r="J45" s="365"/>
      <c r="K45" s="365"/>
    </row>
    <row r="46" ht="12.75" customHeight="1">
      <c r="A46" s="365"/>
      <c r="B46" s="365"/>
      <c r="C46" s="365"/>
      <c r="D46" s="365"/>
      <c r="E46" s="365"/>
      <c r="F46" s="365"/>
      <c r="G46" s="365"/>
      <c r="H46" s="365"/>
      <c r="I46" s="365"/>
      <c r="J46" s="365"/>
      <c r="K46" s="365"/>
    </row>
    <row r="47" ht="12.75" customHeight="1">
      <c r="A47" s="365"/>
      <c r="B47" s="365"/>
      <c r="C47" s="365"/>
      <c r="D47" s="365"/>
      <c r="E47" s="365"/>
      <c r="F47" s="365"/>
      <c r="G47" s="365"/>
      <c r="H47" s="365"/>
      <c r="I47" s="365"/>
      <c r="J47" s="365"/>
      <c r="K47" s="365"/>
    </row>
    <row r="48" ht="12.75" customHeight="1">
      <c r="A48" s="365"/>
      <c r="B48" s="365"/>
      <c r="C48" s="365"/>
      <c r="D48" s="365"/>
      <c r="E48" s="365"/>
      <c r="F48" s="365"/>
      <c r="G48" s="365"/>
      <c r="H48" s="365"/>
      <c r="I48" s="365"/>
      <c r="J48" s="365"/>
      <c r="K48" s="365"/>
    </row>
    <row r="49" ht="12.75" customHeight="1">
      <c r="A49" s="365"/>
      <c r="B49" s="365"/>
      <c r="C49" s="365"/>
      <c r="D49" s="365"/>
      <c r="E49" s="365"/>
      <c r="F49" s="365"/>
      <c r="G49" s="365"/>
      <c r="H49" s="365"/>
      <c r="I49" s="365"/>
      <c r="J49" s="365"/>
      <c r="K49" s="365"/>
    </row>
    <row r="50" ht="12.75" customHeight="1">
      <c r="A50" s="365"/>
      <c r="B50" s="365"/>
      <c r="C50" s="365"/>
      <c r="D50" s="365"/>
      <c r="E50" s="365"/>
      <c r="F50" s="365"/>
      <c r="G50" s="365"/>
      <c r="H50" s="365"/>
      <c r="I50" s="365"/>
      <c r="J50" s="365"/>
      <c r="K50" s="365"/>
    </row>
    <row r="51" ht="12.75" customHeight="1">
      <c r="A51" s="365"/>
      <c r="B51" s="365"/>
      <c r="C51" s="365"/>
      <c r="D51" s="365"/>
      <c r="E51" s="365"/>
      <c r="F51" s="365"/>
      <c r="G51" s="365"/>
      <c r="H51" s="365"/>
      <c r="I51" s="365"/>
      <c r="J51" s="365"/>
      <c r="K51" s="365"/>
    </row>
    <row r="52" ht="12.75" customHeight="1">
      <c r="A52" s="365"/>
      <c r="B52" s="365"/>
      <c r="C52" s="365"/>
      <c r="D52" s="365"/>
      <c r="E52" s="365"/>
      <c r="F52" s="365"/>
      <c r="G52" s="365"/>
      <c r="H52" s="365"/>
      <c r="I52" s="365"/>
      <c r="J52" s="365"/>
      <c r="K52" s="365"/>
    </row>
    <row r="53" ht="12.75" customHeight="1">
      <c r="A53" s="365"/>
      <c r="B53" s="365"/>
      <c r="C53" s="365"/>
      <c r="D53" s="365"/>
      <c r="E53" s="365"/>
      <c r="F53" s="365"/>
      <c r="G53" s="365"/>
      <c r="H53" s="365"/>
      <c r="I53" s="365"/>
      <c r="J53" s="365"/>
      <c r="K53" s="365"/>
    </row>
    <row r="54" ht="12.75" customHeight="1">
      <c r="A54" s="365"/>
      <c r="B54" s="365"/>
      <c r="C54" s="365"/>
      <c r="D54" s="365"/>
      <c r="E54" s="365"/>
      <c r="F54" s="365"/>
      <c r="G54" s="365"/>
      <c r="H54" s="365"/>
      <c r="I54" s="365"/>
      <c r="J54" s="365"/>
      <c r="K54" s="365"/>
    </row>
    <row r="55" ht="12.75" customHeight="1">
      <c r="A55" s="365"/>
      <c r="B55" s="365"/>
      <c r="C55" s="365"/>
      <c r="D55" s="365"/>
      <c r="E55" s="365"/>
      <c r="F55" s="365"/>
      <c r="G55" s="365"/>
      <c r="H55" s="365"/>
      <c r="I55" s="365"/>
      <c r="J55" s="365"/>
      <c r="K55" s="365"/>
    </row>
    <row r="56" ht="12.75" customHeight="1">
      <c r="A56" s="365"/>
      <c r="B56" s="365"/>
      <c r="C56" s="365"/>
      <c r="D56" s="365"/>
      <c r="E56" s="365"/>
      <c r="F56" s="365"/>
      <c r="G56" s="365"/>
      <c r="H56" s="365"/>
      <c r="I56" s="365"/>
      <c r="J56" s="365"/>
      <c r="K56" s="365"/>
    </row>
    <row r="57" ht="12.75" customHeight="1">
      <c r="A57" s="365"/>
      <c r="B57" s="365"/>
      <c r="C57" s="365"/>
      <c r="D57" s="365"/>
      <c r="E57" s="365"/>
      <c r="F57" s="365"/>
      <c r="G57" s="365"/>
      <c r="H57" s="365"/>
      <c r="I57" s="365"/>
      <c r="J57" s="365"/>
      <c r="K57" s="365"/>
    </row>
    <row r="58" ht="12.75" customHeight="1">
      <c r="A58" s="365"/>
      <c r="B58" s="365"/>
      <c r="C58" s="365"/>
      <c r="D58" s="365"/>
      <c r="E58" s="365"/>
      <c r="F58" s="365"/>
      <c r="G58" s="365"/>
      <c r="H58" s="365"/>
      <c r="I58" s="365"/>
      <c r="J58" s="365"/>
      <c r="K58" s="365"/>
    </row>
    <row r="59" ht="12.75" customHeight="1">
      <c r="A59" s="365"/>
      <c r="B59" s="365"/>
      <c r="C59" s="365"/>
      <c r="D59" s="365"/>
      <c r="E59" s="365"/>
      <c r="F59" s="365"/>
      <c r="G59" s="365"/>
      <c r="H59" s="365"/>
      <c r="I59" s="365"/>
      <c r="J59" s="365"/>
      <c r="K59" s="365"/>
    </row>
    <row r="60" ht="12.75" customHeight="1">
      <c r="A60" s="365"/>
      <c r="B60" s="365"/>
      <c r="C60" s="365"/>
      <c r="D60" s="365"/>
      <c r="E60" s="365"/>
      <c r="F60" s="365"/>
      <c r="G60" s="365"/>
      <c r="H60" s="365"/>
      <c r="I60" s="365"/>
      <c r="J60" s="365"/>
      <c r="K60" s="365"/>
    </row>
    <row r="61" ht="12.75" customHeight="1">
      <c r="A61" s="365"/>
      <c r="B61" s="365"/>
      <c r="C61" s="365"/>
      <c r="D61" s="365"/>
      <c r="E61" s="365"/>
      <c r="F61" s="365"/>
      <c r="G61" s="365"/>
      <c r="H61" s="365"/>
      <c r="I61" s="365"/>
      <c r="J61" s="365"/>
      <c r="K61" s="365"/>
    </row>
    <row r="62" ht="12.75" customHeight="1">
      <c r="A62" s="365"/>
      <c r="B62" s="365"/>
      <c r="C62" s="365"/>
      <c r="D62" s="365"/>
      <c r="E62" s="365"/>
      <c r="F62" s="365"/>
      <c r="G62" s="365"/>
      <c r="H62" s="365"/>
      <c r="I62" s="365"/>
      <c r="J62" s="365"/>
      <c r="K62" s="365"/>
    </row>
    <row r="63" ht="12.75" customHeight="1">
      <c r="A63" s="365"/>
      <c r="B63" s="365"/>
      <c r="C63" s="365"/>
      <c r="D63" s="365"/>
      <c r="E63" s="365"/>
      <c r="F63" s="365"/>
      <c r="G63" s="365"/>
      <c r="H63" s="365"/>
      <c r="I63" s="365"/>
      <c r="J63" s="365"/>
      <c r="K63" s="365"/>
    </row>
    <row r="64" ht="12.75" customHeight="1">
      <c r="A64" s="365"/>
      <c r="B64" s="365"/>
      <c r="C64" s="365"/>
      <c r="D64" s="365"/>
      <c r="E64" s="365"/>
      <c r="F64" s="365"/>
      <c r="G64" s="365"/>
      <c r="H64" s="365"/>
      <c r="I64" s="365"/>
      <c r="J64" s="365"/>
      <c r="K64" s="365"/>
    </row>
    <row r="65" ht="12.75" customHeight="1">
      <c r="A65" s="365"/>
      <c r="B65" s="365"/>
      <c r="C65" s="365"/>
      <c r="D65" s="365"/>
      <c r="E65" s="365"/>
      <c r="F65" s="365"/>
      <c r="G65" s="365"/>
      <c r="H65" s="365"/>
      <c r="I65" s="365"/>
      <c r="J65" s="365"/>
      <c r="K65" s="365"/>
    </row>
    <row r="66" ht="12.75" customHeight="1">
      <c r="A66" s="365"/>
      <c r="B66" s="365"/>
      <c r="C66" s="365"/>
      <c r="D66" s="365"/>
      <c r="E66" s="365"/>
      <c r="F66" s="365"/>
      <c r="G66" s="365"/>
      <c r="H66" s="365"/>
      <c r="I66" s="365"/>
      <c r="J66" s="365"/>
      <c r="K66" s="365"/>
    </row>
    <row r="67" ht="12.75" customHeight="1">
      <c r="A67" s="365"/>
      <c r="B67" s="365"/>
      <c r="C67" s="365"/>
      <c r="D67" s="365"/>
      <c r="E67" s="365"/>
      <c r="F67" s="365"/>
      <c r="G67" s="365"/>
      <c r="H67" s="365"/>
      <c r="I67" s="365"/>
      <c r="J67" s="365"/>
      <c r="K67" s="365"/>
    </row>
    <row r="68" ht="12.75" customHeight="1">
      <c r="A68" s="365"/>
      <c r="B68" s="365"/>
      <c r="C68" s="365"/>
      <c r="D68" s="365"/>
      <c r="E68" s="365"/>
      <c r="F68" s="365"/>
      <c r="G68" s="365"/>
      <c r="H68" s="365"/>
      <c r="I68" s="365"/>
      <c r="J68" s="365"/>
      <c r="K68" s="365"/>
    </row>
    <row r="69" ht="12.75" customHeight="1">
      <c r="A69" s="365"/>
      <c r="B69" s="365"/>
      <c r="C69" s="365"/>
      <c r="D69" s="365"/>
      <c r="E69" s="365"/>
      <c r="F69" s="365"/>
      <c r="G69" s="365"/>
      <c r="H69" s="365"/>
      <c r="I69" s="365"/>
      <c r="J69" s="365"/>
      <c r="K69" s="365"/>
    </row>
    <row r="70" ht="12.75" customHeight="1">
      <c r="A70" s="365"/>
      <c r="B70" s="365"/>
      <c r="C70" s="365"/>
      <c r="D70" s="365"/>
      <c r="E70" s="365"/>
      <c r="F70" s="365"/>
      <c r="G70" s="365"/>
      <c r="H70" s="365"/>
      <c r="I70" s="365"/>
      <c r="J70" s="365"/>
      <c r="K70" s="365"/>
    </row>
    <row r="71" ht="12.75" customHeight="1">
      <c r="A71" s="365"/>
      <c r="B71" s="365"/>
      <c r="C71" s="365"/>
      <c r="D71" s="365"/>
      <c r="E71" s="365"/>
      <c r="F71" s="365"/>
      <c r="G71" s="365"/>
      <c r="H71" s="365"/>
      <c r="I71" s="365"/>
      <c r="J71" s="365"/>
      <c r="K71" s="365"/>
    </row>
    <row r="72" ht="12.75" customHeight="1">
      <c r="A72" s="365"/>
      <c r="B72" s="365"/>
      <c r="C72" s="365"/>
      <c r="D72" s="365"/>
      <c r="E72" s="365"/>
      <c r="F72" s="365"/>
      <c r="G72" s="365"/>
      <c r="H72" s="365"/>
      <c r="I72" s="365"/>
      <c r="J72" s="365"/>
      <c r="K72" s="365"/>
    </row>
    <row r="73" ht="12.75" customHeight="1">
      <c r="A73" s="365"/>
      <c r="B73" s="365"/>
      <c r="C73" s="365"/>
      <c r="D73" s="365"/>
      <c r="E73" s="365"/>
      <c r="F73" s="365"/>
      <c r="G73" s="365"/>
      <c r="H73" s="365"/>
      <c r="I73" s="365"/>
      <c r="J73" s="365"/>
      <c r="K73" s="365"/>
    </row>
    <row r="74" ht="12.75" customHeight="1">
      <c r="A74" s="365"/>
      <c r="B74" s="365"/>
      <c r="C74" s="365"/>
      <c r="D74" s="365"/>
      <c r="E74" s="365"/>
      <c r="F74" s="365"/>
      <c r="G74" s="365"/>
      <c r="H74" s="365"/>
      <c r="I74" s="365"/>
      <c r="J74" s="365"/>
      <c r="K74" s="365"/>
    </row>
    <row r="75" ht="12.75" customHeight="1">
      <c r="A75" s="365"/>
      <c r="B75" s="365"/>
      <c r="C75" s="365"/>
      <c r="D75" s="365"/>
      <c r="E75" s="365"/>
      <c r="F75" s="365"/>
      <c r="G75" s="365"/>
      <c r="H75" s="365"/>
      <c r="I75" s="365"/>
      <c r="J75" s="365"/>
      <c r="K75" s="365"/>
    </row>
    <row r="76" ht="12.75" customHeight="1">
      <c r="A76" s="365"/>
      <c r="B76" s="365"/>
      <c r="C76" s="365"/>
      <c r="D76" s="365"/>
      <c r="E76" s="365"/>
      <c r="F76" s="365"/>
      <c r="G76" s="365"/>
      <c r="H76" s="365"/>
      <c r="I76" s="365"/>
      <c r="J76" s="365"/>
      <c r="K76" s="365"/>
    </row>
    <row r="77" ht="12.75" customHeight="1">
      <c r="A77" s="365"/>
      <c r="B77" s="365"/>
      <c r="C77" s="365"/>
      <c r="D77" s="365"/>
      <c r="E77" s="365"/>
      <c r="F77" s="365"/>
      <c r="G77" s="365"/>
      <c r="H77" s="365"/>
      <c r="I77" s="365"/>
      <c r="J77" s="365"/>
      <c r="K77" s="365"/>
    </row>
    <row r="78" ht="12.75" customHeight="1">
      <c r="A78" s="365"/>
      <c r="B78" s="365"/>
      <c r="C78" s="365"/>
      <c r="D78" s="365"/>
      <c r="E78" s="365"/>
      <c r="F78" s="365"/>
      <c r="G78" s="365"/>
      <c r="H78" s="365"/>
      <c r="I78" s="365"/>
      <c r="J78" s="365"/>
      <c r="K78" s="365"/>
    </row>
    <row r="79" ht="12.75" customHeight="1">
      <c r="A79" s="365"/>
      <c r="B79" s="365"/>
      <c r="C79" s="365"/>
      <c r="D79" s="365"/>
      <c r="E79" s="365"/>
      <c r="F79" s="365"/>
      <c r="G79" s="365"/>
      <c r="H79" s="365"/>
      <c r="I79" s="365"/>
      <c r="J79" s="365"/>
      <c r="K79" s="365"/>
    </row>
    <row r="80" ht="12.75" customHeight="1">
      <c r="A80" s="365"/>
      <c r="B80" s="365"/>
      <c r="C80" s="365"/>
      <c r="D80" s="365"/>
      <c r="E80" s="365"/>
      <c r="F80" s="365"/>
      <c r="G80" s="365"/>
      <c r="H80" s="365"/>
      <c r="I80" s="365"/>
      <c r="J80" s="365"/>
      <c r="K80" s="365"/>
    </row>
    <row r="81" ht="12.75" customHeight="1">
      <c r="A81" s="365"/>
      <c r="B81" s="365"/>
      <c r="C81" s="365"/>
      <c r="D81" s="365"/>
      <c r="E81" s="365"/>
      <c r="F81" s="365"/>
      <c r="G81" s="365"/>
      <c r="H81" s="365"/>
      <c r="I81" s="365"/>
      <c r="J81" s="365"/>
      <c r="K81" s="365"/>
    </row>
    <row r="82" ht="12.75" customHeight="1">
      <c r="A82" s="365"/>
      <c r="B82" s="365"/>
      <c r="C82" s="365"/>
      <c r="D82" s="365"/>
      <c r="E82" s="365"/>
      <c r="F82" s="365"/>
      <c r="G82" s="365"/>
      <c r="H82" s="365"/>
      <c r="I82" s="365"/>
      <c r="J82" s="365"/>
      <c r="K82" s="365"/>
    </row>
    <row r="83" ht="12.75" customHeight="1">
      <c r="A83" s="365"/>
      <c r="B83" s="365"/>
      <c r="C83" s="365"/>
      <c r="D83" s="365"/>
      <c r="E83" s="365"/>
      <c r="F83" s="365"/>
      <c r="G83" s="365"/>
      <c r="H83" s="365"/>
      <c r="I83" s="365"/>
      <c r="J83" s="365"/>
      <c r="K83" s="365"/>
    </row>
    <row r="84" ht="12.75" customHeight="1">
      <c r="A84" s="365"/>
      <c r="B84" s="365"/>
      <c r="C84" s="365"/>
      <c r="D84" s="365"/>
      <c r="E84" s="365"/>
      <c r="F84" s="365"/>
      <c r="G84" s="365"/>
      <c r="H84" s="365"/>
      <c r="I84" s="365"/>
      <c r="J84" s="365"/>
      <c r="K84" s="365"/>
    </row>
    <row r="85" ht="12.75" customHeight="1">
      <c r="A85" s="365"/>
      <c r="B85" s="365"/>
      <c r="C85" s="365"/>
      <c r="D85" s="365"/>
      <c r="E85" s="365"/>
      <c r="F85" s="365"/>
      <c r="G85" s="365"/>
      <c r="H85" s="365"/>
      <c r="I85" s="365"/>
      <c r="J85" s="365"/>
      <c r="K85" s="365"/>
    </row>
    <row r="86" ht="12.75" customHeight="1">
      <c r="A86" s="365"/>
      <c r="B86" s="365"/>
      <c r="C86" s="365"/>
      <c r="D86" s="365"/>
      <c r="E86" s="365"/>
      <c r="F86" s="365"/>
      <c r="G86" s="365"/>
      <c r="H86" s="365"/>
      <c r="I86" s="365"/>
      <c r="J86" s="365"/>
      <c r="K86" s="365"/>
    </row>
    <row r="87" ht="12.75" customHeight="1">
      <c r="A87" s="365"/>
      <c r="B87" s="365"/>
      <c r="C87" s="365"/>
      <c r="D87" s="365"/>
      <c r="E87" s="365"/>
      <c r="F87" s="365"/>
      <c r="G87" s="365"/>
      <c r="H87" s="365"/>
      <c r="I87" s="365"/>
      <c r="J87" s="365"/>
      <c r="K87" s="365"/>
    </row>
    <row r="88" ht="12.75" customHeight="1">
      <c r="A88" s="365"/>
      <c r="B88" s="365"/>
      <c r="C88" s="365"/>
      <c r="D88" s="365"/>
      <c r="E88" s="365"/>
      <c r="F88" s="365"/>
      <c r="G88" s="365"/>
      <c r="H88" s="365"/>
      <c r="I88" s="365"/>
      <c r="J88" s="365"/>
      <c r="K88" s="365"/>
    </row>
    <row r="89" ht="12.75" customHeight="1">
      <c r="A89" s="365"/>
      <c r="B89" s="365"/>
      <c r="C89" s="365"/>
      <c r="D89" s="365"/>
      <c r="E89" s="365"/>
      <c r="F89" s="365"/>
      <c r="G89" s="365"/>
      <c r="H89" s="365"/>
      <c r="I89" s="365"/>
      <c r="J89" s="365"/>
      <c r="K89" s="365"/>
    </row>
    <row r="90" ht="12.75" customHeight="1">
      <c r="A90" s="365"/>
      <c r="B90" s="365"/>
      <c r="C90" s="365"/>
      <c r="D90" s="365"/>
      <c r="E90" s="365"/>
      <c r="F90" s="365"/>
      <c r="G90" s="365"/>
      <c r="H90" s="365"/>
      <c r="I90" s="365"/>
      <c r="J90" s="365"/>
      <c r="K90" s="365"/>
    </row>
    <row r="91" ht="12.75" customHeight="1">
      <c r="A91" s="365"/>
      <c r="B91" s="365"/>
      <c r="C91" s="365"/>
      <c r="D91" s="365"/>
      <c r="E91" s="365"/>
      <c r="F91" s="365"/>
      <c r="G91" s="365"/>
      <c r="H91" s="365"/>
      <c r="I91" s="365"/>
      <c r="J91" s="365"/>
      <c r="K91" s="365"/>
    </row>
    <row r="92" ht="12.75" customHeight="1">
      <c r="A92" s="365"/>
      <c r="B92" s="365"/>
      <c r="C92" s="365"/>
      <c r="D92" s="365"/>
      <c r="E92" s="365"/>
      <c r="F92" s="365"/>
      <c r="G92" s="365"/>
      <c r="H92" s="365"/>
      <c r="I92" s="365"/>
      <c r="J92" s="365"/>
      <c r="K92" s="365"/>
    </row>
    <row r="93" ht="12.75" customHeight="1">
      <c r="A93" s="365"/>
      <c r="B93" s="365"/>
      <c r="C93" s="365"/>
      <c r="D93" s="365"/>
      <c r="E93" s="365"/>
      <c r="F93" s="365"/>
      <c r="G93" s="365"/>
      <c r="H93" s="365"/>
      <c r="I93" s="365"/>
      <c r="J93" s="365"/>
      <c r="K93" s="365"/>
    </row>
    <row r="94" ht="12.75" customHeight="1">
      <c r="A94" s="365"/>
      <c r="B94" s="365"/>
      <c r="C94" s="365"/>
      <c r="D94" s="365"/>
      <c r="E94" s="365"/>
      <c r="F94" s="365"/>
      <c r="G94" s="365"/>
      <c r="H94" s="365"/>
      <c r="I94" s="365"/>
      <c r="J94" s="365"/>
      <c r="K94" s="365"/>
    </row>
    <row r="95" ht="12.75" customHeight="1">
      <c r="A95" s="365"/>
      <c r="B95" s="365"/>
      <c r="C95" s="365"/>
      <c r="D95" s="365"/>
      <c r="E95" s="365"/>
      <c r="F95" s="365"/>
      <c r="G95" s="365"/>
      <c r="H95" s="365"/>
      <c r="I95" s="365"/>
      <c r="J95" s="365"/>
      <c r="K95" s="365"/>
    </row>
    <row r="96" ht="12.75" customHeight="1">
      <c r="A96" s="365"/>
      <c r="B96" s="365"/>
      <c r="C96" s="365"/>
      <c r="D96" s="365"/>
      <c r="E96" s="365"/>
      <c r="F96" s="365"/>
      <c r="G96" s="365"/>
      <c r="H96" s="365"/>
      <c r="I96" s="365"/>
      <c r="J96" s="365"/>
      <c r="K96" s="365"/>
    </row>
    <row r="97" ht="12.75" customHeight="1">
      <c r="A97" s="365"/>
      <c r="B97" s="365"/>
      <c r="C97" s="365"/>
      <c r="D97" s="365"/>
      <c r="E97" s="365"/>
      <c r="F97" s="365"/>
      <c r="G97" s="365"/>
      <c r="H97" s="365"/>
      <c r="I97" s="365"/>
      <c r="J97" s="365"/>
      <c r="K97" s="365"/>
    </row>
    <row r="98" ht="12.75" customHeight="1">
      <c r="A98" s="365"/>
      <c r="B98" s="365"/>
      <c r="C98" s="365"/>
      <c r="D98" s="365"/>
      <c r="E98" s="365"/>
      <c r="F98" s="365"/>
      <c r="G98" s="365"/>
      <c r="H98" s="365"/>
      <c r="I98" s="365"/>
      <c r="J98" s="365"/>
      <c r="K98" s="365"/>
    </row>
    <row r="99" ht="12.75" customHeight="1">
      <c r="A99" s="365"/>
      <c r="B99" s="365"/>
      <c r="C99" s="365"/>
      <c r="D99" s="365"/>
      <c r="E99" s="365"/>
      <c r="F99" s="365"/>
      <c r="G99" s="365"/>
      <c r="H99" s="365"/>
      <c r="I99" s="365"/>
      <c r="J99" s="365"/>
      <c r="K99" s="365"/>
    </row>
    <row r="100" ht="12.75" customHeight="1">
      <c r="A100" s="365"/>
      <c r="B100" s="365"/>
      <c r="C100" s="365"/>
      <c r="D100" s="365"/>
      <c r="E100" s="365"/>
      <c r="F100" s="365"/>
      <c r="G100" s="365"/>
      <c r="H100" s="365"/>
      <c r="I100" s="365"/>
      <c r="J100" s="365"/>
      <c r="K100" s="36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10.75"/>
    <col customWidth="1" min="3" max="6" width="7.0"/>
    <col customWidth="1" min="7" max="26" width="11.0"/>
  </cols>
  <sheetData>
    <row r="1" ht="26.25" customHeight="1">
      <c r="A1" s="771" t="s">
        <v>331</v>
      </c>
      <c r="B1" s="772" t="s">
        <v>332</v>
      </c>
    </row>
    <row r="2" ht="12.75" customHeight="1">
      <c r="A2" s="773">
        <v>2011.0</v>
      </c>
      <c r="B2" s="496" t="s">
        <v>56</v>
      </c>
    </row>
    <row r="3" ht="12.75" customHeight="1">
      <c r="A3" s="773">
        <v>2012.0</v>
      </c>
      <c r="B3" s="496" t="s">
        <v>333</v>
      </c>
    </row>
    <row r="4" ht="12.75" customHeight="1">
      <c r="A4" s="773">
        <v>2013.0</v>
      </c>
      <c r="B4" s="496" t="s">
        <v>36</v>
      </c>
    </row>
    <row r="5" ht="12.75" customHeight="1">
      <c r="A5" s="773">
        <v>2014.0</v>
      </c>
      <c r="B5" s="496" t="s">
        <v>54</v>
      </c>
    </row>
    <row r="6" ht="12.75" customHeight="1">
      <c r="A6" s="773">
        <v>2015.0</v>
      </c>
      <c r="B6" s="496" t="s">
        <v>317</v>
      </c>
    </row>
    <row r="7" ht="12.75" customHeight="1">
      <c r="A7" s="773">
        <v>2016.0</v>
      </c>
      <c r="B7" s="496" t="s">
        <v>36</v>
      </c>
    </row>
    <row r="8" ht="12.75" customHeight="1">
      <c r="A8" s="773">
        <v>2017.0</v>
      </c>
      <c r="B8" s="496" t="s">
        <v>36</v>
      </c>
    </row>
    <row r="9" ht="12.75" customHeight="1">
      <c r="A9" s="773">
        <v>2018.0</v>
      </c>
      <c r="B9" s="388" t="s">
        <v>42</v>
      </c>
    </row>
    <row r="10" ht="12.75" customHeight="1">
      <c r="A10" s="773">
        <v>2019.0</v>
      </c>
      <c r="B10" s="388" t="s">
        <v>43</v>
      </c>
    </row>
    <row r="11" ht="12.75" customHeight="1">
      <c r="A11" s="773">
        <v>2020.0</v>
      </c>
      <c r="B11" s="388" t="s">
        <v>39</v>
      </c>
    </row>
    <row r="12" ht="12.75" customHeight="1">
      <c r="A12" s="774">
        <v>2021.0</v>
      </c>
      <c r="B12" s="388" t="s">
        <v>68</v>
      </c>
      <c r="G12" s="775"/>
    </row>
    <row r="13" ht="12.75" customHeight="1">
      <c r="A13" s="774">
        <v>2022.0</v>
      </c>
      <c r="B13" s="388" t="s">
        <v>176</v>
      </c>
    </row>
    <row r="14" ht="12.75" customHeight="1">
      <c r="A14" s="774">
        <v>2023.0</v>
      </c>
      <c r="B14" s="388" t="s">
        <v>36</v>
      </c>
    </row>
    <row r="15" ht="12.75" customHeight="1">
      <c r="A15" s="773">
        <v>2024.0</v>
      </c>
      <c r="B15" s="388" t="s">
        <v>38</v>
      </c>
    </row>
    <row r="16" ht="12.75" customHeight="1">
      <c r="A16" s="773">
        <v>2025.0</v>
      </c>
      <c r="B16" s="388" t="s">
        <v>40</v>
      </c>
    </row>
    <row r="17" ht="12.75" customHeight="1">
      <c r="A17" s="774">
        <v>2026.0</v>
      </c>
      <c r="B17" s="496"/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1.0" footer="0.0" header="0.0" left="0.75" right="0.75" top="1.0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4.0"/>
    <col customWidth="1" min="3" max="6" width="9.25"/>
    <col customWidth="1" min="7" max="26" width="11.0"/>
  </cols>
  <sheetData>
    <row r="1" ht="12.75" customHeight="1">
      <c r="A1" s="764" t="s">
        <v>330</v>
      </c>
      <c r="B1" s="765" t="s">
        <v>0</v>
      </c>
    </row>
    <row r="2" ht="12.75" customHeight="1">
      <c r="A2" s="766">
        <v>1.0</v>
      </c>
      <c r="B2" s="767"/>
    </row>
    <row r="3" ht="12.75" customHeight="1">
      <c r="A3" s="768">
        <v>2.0</v>
      </c>
      <c r="B3" s="769"/>
    </row>
    <row r="4" ht="12.75" customHeight="1">
      <c r="A4" s="768">
        <v>3.0</v>
      </c>
      <c r="B4" s="769"/>
    </row>
    <row r="5" ht="12.75" customHeight="1">
      <c r="A5" s="768">
        <v>4.0</v>
      </c>
      <c r="B5" s="769"/>
    </row>
    <row r="6" ht="12.75" customHeight="1">
      <c r="A6" s="768">
        <v>5.0</v>
      </c>
      <c r="B6" s="770"/>
    </row>
    <row r="7" ht="12.75" customHeight="1">
      <c r="A7" s="768">
        <v>6.0</v>
      </c>
      <c r="B7" s="770"/>
    </row>
    <row r="8" ht="12.75" customHeight="1">
      <c r="A8" s="768">
        <v>7.0</v>
      </c>
      <c r="B8" s="770"/>
    </row>
    <row r="9" ht="12.75" customHeight="1">
      <c r="A9" s="768">
        <v>8.0</v>
      </c>
      <c r="B9" s="770"/>
    </row>
    <row r="10" ht="12.75" customHeight="1">
      <c r="A10" s="768">
        <v>9.0</v>
      </c>
      <c r="B10" s="770"/>
    </row>
    <row r="11" ht="12.75" customHeight="1">
      <c r="A11" s="768">
        <v>10.0</v>
      </c>
      <c r="B11" s="770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