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N" sheetId="1" r:id="rId4"/>
    <sheet state="visible" name="FantasyPro" sheetId="2" r:id="rId5"/>
    <sheet state="visible" name="FFToolbox" sheetId="3" r:id="rId6"/>
    <sheet state="visible" name="Rotowire" sheetId="4" r:id="rId7"/>
    <sheet state="visible" name="Ultimate Draft Kit" sheetId="5" r:id="rId8"/>
    <sheet state="visible" name="Sleeper" sheetId="6" r:id="rId9"/>
    <sheet state="visible" name="Masterview" sheetId="7" r:id="rId10"/>
    <sheet state="visible" name="Players We Want" sheetId="8" r:id="rId11"/>
    <sheet state="visible" name="Team Bye List" sheetId="9" r:id="rId12"/>
    <sheet state="visible" name="Keepers" sheetId="10" r:id="rId13"/>
    <sheet state="visible" name="Player Name" sheetId="11" r:id="rId14"/>
  </sheets>
  <definedNames>
    <definedName hidden="1" localSheetId="0" name="_xlnm._FilterDatabase">ESPN!$A$1:$E$297</definedName>
    <definedName hidden="1" localSheetId="1" name="_xlnm._FilterDatabase">FantasyPro!$A$1:$E$773</definedName>
    <definedName hidden="1" localSheetId="2" name="_xlnm._FilterDatabase">FFToolbox!$A$1:$E$414</definedName>
    <definedName hidden="1" localSheetId="3" name="_xlnm._FilterDatabase">Rotowire!$A$1:$E$1076</definedName>
    <definedName hidden="1" localSheetId="4" name="_xlnm._FilterDatabase">'Ultimate Draft Kit'!$A$1:$E$325</definedName>
    <definedName hidden="1" localSheetId="6" name="_xlnm._FilterDatabase">Masterview!$A$1:$N$1076</definedName>
    <definedName hidden="1" localSheetId="8" name="_xlnm._FilterDatabase">'Team Bye List'!$A$1:$B$33</definedName>
    <definedName hidden="1" localSheetId="10" name="_xlnm._FilterDatabase">'Player Name'!$A$1:$C$1076</definedName>
    <definedName hidden="1" localSheetId="10" name="Z_FB80A6A1_DAEA_42AE_92AD_E07A460E5CB5_.wvu.FilterData">'Player Name'!$A$1:$C$554</definedName>
  </definedNames>
  <calcPr/>
  <customWorkbookViews>
    <customWorkbookView activeSheetId="0" maximized="1" windowHeight="0" windowWidth="0" guid="{FB80A6A1-DAEA-42AE-92AD-E07A460E5CB5}" name="Filter 1"/>
  </customWorkbookViews>
</workbook>
</file>

<file path=xl/sharedStrings.xml><?xml version="1.0" encoding="utf-8"?>
<sst xmlns="http://schemas.openxmlformats.org/spreadsheetml/2006/main" count="17891" uniqueCount="1286">
  <si>
    <t>Rank</t>
  </si>
  <si>
    <t>Name</t>
  </si>
  <si>
    <t>Team</t>
  </si>
  <si>
    <t>Position</t>
  </si>
  <si>
    <t>Value</t>
  </si>
  <si>
    <t>Last Updated: 8/18/22</t>
  </si>
  <si>
    <t>Jonathan Taylor</t>
  </si>
  <si>
    <t>IND</t>
  </si>
  <si>
    <t>RB</t>
  </si>
  <si>
    <t>Christian McCaffrey</t>
  </si>
  <si>
    <t>CAR</t>
  </si>
  <si>
    <t>Cooper Kupp</t>
  </si>
  <si>
    <t>LAR</t>
  </si>
  <si>
    <t>WR</t>
  </si>
  <si>
    <t>Austin Ekeler</t>
  </si>
  <si>
    <t>LAC</t>
  </si>
  <si>
    <t>Justin Jefferson</t>
  </si>
  <si>
    <t>MIN</t>
  </si>
  <si>
    <t>Ja'Marr Chase</t>
  </si>
  <si>
    <t>CIN</t>
  </si>
  <si>
    <t>Derrick Henry</t>
  </si>
  <si>
    <t>TEN</t>
  </si>
  <si>
    <t>Najee Harris</t>
  </si>
  <si>
    <t>PIT</t>
  </si>
  <si>
    <t>Davante Adams</t>
  </si>
  <si>
    <t>LV</t>
  </si>
  <si>
    <t>Dalvin Cook</t>
  </si>
  <si>
    <t>Deebo Samuel</t>
  </si>
  <si>
    <t>SF</t>
  </si>
  <si>
    <t>Stefon Diggs</t>
  </si>
  <si>
    <t>BUF</t>
  </si>
  <si>
    <t>CeeDee Lamb</t>
  </si>
  <si>
    <t>DAL</t>
  </si>
  <si>
    <t>Joe Mixon</t>
  </si>
  <si>
    <t>D'Andre Swift</t>
  </si>
  <si>
    <t>DET</t>
  </si>
  <si>
    <t>Leonard Fournette</t>
  </si>
  <si>
    <t>TB</t>
  </si>
  <si>
    <t>Tyreek Hill</t>
  </si>
  <si>
    <t>MIA</t>
  </si>
  <si>
    <t>Alvin Kamara</t>
  </si>
  <si>
    <t>NO</t>
  </si>
  <si>
    <t>Javonte Williams</t>
  </si>
  <si>
    <t>DEN</t>
  </si>
  <si>
    <t>James Conner</t>
  </si>
  <si>
    <t>ARI</t>
  </si>
  <si>
    <t>Aaron Jones</t>
  </si>
  <si>
    <t>GB</t>
  </si>
  <si>
    <t>Cam Akers</t>
  </si>
  <si>
    <t>Keenan Allen</t>
  </si>
  <si>
    <t>Tee Higgins</t>
  </si>
  <si>
    <t>DJ Moore</t>
  </si>
  <si>
    <t>Saquon Barkley</t>
  </si>
  <si>
    <t>NYG</t>
  </si>
  <si>
    <t>David Montgomery</t>
  </si>
  <si>
    <t>CHI</t>
  </si>
  <si>
    <t>Mike Evans</t>
  </si>
  <si>
    <t>Mark Andrews</t>
  </si>
  <si>
    <t>BAL</t>
  </si>
  <si>
    <t>TE</t>
  </si>
  <si>
    <t>Jaylen Waddle</t>
  </si>
  <si>
    <t>Travis Kelce</t>
  </si>
  <si>
    <t>KC</t>
  </si>
  <si>
    <t>A.J. Brown</t>
  </si>
  <si>
    <t>PHI</t>
  </si>
  <si>
    <t>Nick Chubb</t>
  </si>
  <si>
    <t>CLE</t>
  </si>
  <si>
    <t>J.K. Dobbins</t>
  </si>
  <si>
    <t>Breece Hall</t>
  </si>
  <si>
    <t>NYJ</t>
  </si>
  <si>
    <t>Ezekiel Elliott</t>
  </si>
  <si>
    <t>Michael Pittman Jr.</t>
  </si>
  <si>
    <t>Terry McLaurin</t>
  </si>
  <si>
    <t>WAS</t>
  </si>
  <si>
    <t>Diontae Johnson</t>
  </si>
  <si>
    <t>Josh Jacobs</t>
  </si>
  <si>
    <t>Josh Allen</t>
  </si>
  <si>
    <t>QB</t>
  </si>
  <si>
    <t>Antonio Gibson</t>
  </si>
  <si>
    <t>Mike Williams</t>
  </si>
  <si>
    <t>Brandin Cooks</t>
  </si>
  <si>
    <t>HOU</t>
  </si>
  <si>
    <t>Marquise Brown</t>
  </si>
  <si>
    <t>Chris Godwin</t>
  </si>
  <si>
    <t>DK Metcalf</t>
  </si>
  <si>
    <t>SEA</t>
  </si>
  <si>
    <t>Patrick Mahomes</t>
  </si>
  <si>
    <t>Amon-Ra St. Brown</t>
  </si>
  <si>
    <t>Kyle Pitts</t>
  </si>
  <si>
    <t>ATL</t>
  </si>
  <si>
    <t>Elijah Mitchell</t>
  </si>
  <si>
    <t>Darnell Mooney</t>
  </si>
  <si>
    <t>Jerry Jeudy</t>
  </si>
  <si>
    <t>Courtland Sutton</t>
  </si>
  <si>
    <t>Amari Cooper</t>
  </si>
  <si>
    <t>Gabriel Davis</t>
  </si>
  <si>
    <t>Justin Herbert</t>
  </si>
  <si>
    <t>Miles Sanders</t>
  </si>
  <si>
    <t>Travis Etienne Jr.</t>
  </si>
  <si>
    <t>JAC</t>
  </si>
  <si>
    <t>Tyler Lockett</t>
  </si>
  <si>
    <t>Cordarrelle Patterson</t>
  </si>
  <si>
    <t>Devin Singletary</t>
  </si>
  <si>
    <t>Darren Waller</t>
  </si>
  <si>
    <t>Michael Thomas</t>
  </si>
  <si>
    <t>Hunter Renfrow</t>
  </si>
  <si>
    <t>Allen Robinson II</t>
  </si>
  <si>
    <t>George Kittle</t>
  </si>
  <si>
    <t>Adam Thielen</t>
  </si>
  <si>
    <t>Drake London</t>
  </si>
  <si>
    <t>JuJu Smith-Schuster</t>
  </si>
  <si>
    <t>DeVonta Smith</t>
  </si>
  <si>
    <t>Lamar Jackson</t>
  </si>
  <si>
    <t>Dalton Schultz</t>
  </si>
  <si>
    <t>Kareem Hunt</t>
  </si>
  <si>
    <t>Clyde Edwards-Helaire</t>
  </si>
  <si>
    <t>Rashod Bateman</t>
  </si>
  <si>
    <t>Christian Kirk</t>
  </si>
  <si>
    <t>Damien Harris</t>
  </si>
  <si>
    <t>NE</t>
  </si>
  <si>
    <t>Kyler Murray</t>
  </si>
  <si>
    <t>Dak Prescott</t>
  </si>
  <si>
    <t>Jalen Hurts</t>
  </si>
  <si>
    <t>Tom Brady</t>
  </si>
  <si>
    <t>Aaron Rodgers</t>
  </si>
  <si>
    <t>Joe Burrow</t>
  </si>
  <si>
    <t>Russell Wilson</t>
  </si>
  <si>
    <t>T.J. Hockenson</t>
  </si>
  <si>
    <t>Tony Pollard</t>
  </si>
  <si>
    <t>Garrett Wilson</t>
  </si>
  <si>
    <t>Elijah Moore</t>
  </si>
  <si>
    <t>DeAndre Hopkins</t>
  </si>
  <si>
    <t>Treylon Burks</t>
  </si>
  <si>
    <t>Kadarius Toney</t>
  </si>
  <si>
    <t>Allen Lazard</t>
  </si>
  <si>
    <t>Chase Claypool</t>
  </si>
  <si>
    <t>Chris Olave</t>
  </si>
  <si>
    <t>AJ Dillon</t>
  </si>
  <si>
    <t>Rhamondre Stevenson</t>
  </si>
  <si>
    <t>James Robinson</t>
  </si>
  <si>
    <t>Chase Edmonds</t>
  </si>
  <si>
    <t>Rashaad Penny</t>
  </si>
  <si>
    <t>Ken Walker III</t>
  </si>
  <si>
    <t>Michael Carter</t>
  </si>
  <si>
    <t>James Cook</t>
  </si>
  <si>
    <t>Melvin Gordon III</t>
  </si>
  <si>
    <t>Nyheim Hines</t>
  </si>
  <si>
    <t>Brandon Aiyuk</t>
  </si>
  <si>
    <t>Robert Woods</t>
  </si>
  <si>
    <t>Skyy Moore</t>
  </si>
  <si>
    <t>Jarvis Landry</t>
  </si>
  <si>
    <t>Jakobi Meyers</t>
  </si>
  <si>
    <t>Kenny Golladay</t>
  </si>
  <si>
    <t>Russell Gage</t>
  </si>
  <si>
    <t>Matthew Stafford</t>
  </si>
  <si>
    <t>Trey Lance</t>
  </si>
  <si>
    <t>Dallas Goedert</t>
  </si>
  <si>
    <t>Zach Ertz</t>
  </si>
  <si>
    <t>Mike Gesicki</t>
  </si>
  <si>
    <t>Pat Freiermuth</t>
  </si>
  <si>
    <t>Hunter Henry</t>
  </si>
  <si>
    <t>Dawson Knox</t>
  </si>
  <si>
    <t>J.D. McKissic</t>
  </si>
  <si>
    <t>Raheem Mostert</t>
  </si>
  <si>
    <t>Marlon Mack</t>
  </si>
  <si>
    <t>Tyler Boyd</t>
  </si>
  <si>
    <t>Christian Watson</t>
  </si>
  <si>
    <t>Jameson Williams</t>
  </si>
  <si>
    <t>Jahan Dotson</t>
  </si>
  <si>
    <t>Mecole Hardman</t>
  </si>
  <si>
    <t>Marquez Valdes-Scantling</t>
  </si>
  <si>
    <t>Robbie Anderson</t>
  </si>
  <si>
    <t>Marvin Jones Jr.</t>
  </si>
  <si>
    <t>Derek Carr</t>
  </si>
  <si>
    <t>Kirk Cousins</t>
  </si>
  <si>
    <t>Trevor Lawrence</t>
  </si>
  <si>
    <t>Tua Tagovailoa</t>
  </si>
  <si>
    <t>Noah Fant</t>
  </si>
  <si>
    <t>Cole Kmet</t>
  </si>
  <si>
    <t>Irv Smith Jr.</t>
  </si>
  <si>
    <t>David Njoku</t>
  </si>
  <si>
    <t>Tyler Higbee</t>
  </si>
  <si>
    <t>Evan McPherson</t>
  </si>
  <si>
    <t>K</t>
  </si>
  <si>
    <t>Matt Gay</t>
  </si>
  <si>
    <t>Harrison Butker</t>
  </si>
  <si>
    <t>Daniel Carlson</t>
  </si>
  <si>
    <t>Brandon McManus</t>
  </si>
  <si>
    <t>Nick Folk</t>
  </si>
  <si>
    <t>Tyler Bass</t>
  </si>
  <si>
    <t>Matt Prater</t>
  </si>
  <si>
    <t>Graham Gano</t>
  </si>
  <si>
    <t>Buffalo Bills</t>
  </si>
  <si>
    <t>DST</t>
  </si>
  <si>
    <t>New Orleans Saints</t>
  </si>
  <si>
    <t>Green Bay Packers</t>
  </si>
  <si>
    <t>Baltimore Ravens</t>
  </si>
  <si>
    <t>Tampa Bay Buccaneers</t>
  </si>
  <si>
    <t>San Francisco 49ers</t>
  </si>
  <si>
    <t>Dallas Cowboys</t>
  </si>
  <si>
    <t>Indianapolis Colts</t>
  </si>
  <si>
    <t>Washington Commanders</t>
  </si>
  <si>
    <t>Pittsburgh Steelers</t>
  </si>
  <si>
    <t>Dameon Pierce</t>
  </si>
  <si>
    <t>Ronald Jones II</t>
  </si>
  <si>
    <t>Isaiah Spiller</t>
  </si>
  <si>
    <t>Alexander Mattison</t>
  </si>
  <si>
    <t>Gus Edwards</t>
  </si>
  <si>
    <t>Darrell Henderson Jr.</t>
  </si>
  <si>
    <t>Jerick McKinnon</t>
  </si>
  <si>
    <t>Tyler Allgeier</t>
  </si>
  <si>
    <t>Sony Michel</t>
  </si>
  <si>
    <t>Jamaal Williams</t>
  </si>
  <si>
    <t>Kenyan Drake</t>
  </si>
  <si>
    <t>Mark Ingram II</t>
  </si>
  <si>
    <t>Rachaad White</t>
  </si>
  <si>
    <t>Rex Burkhead</t>
  </si>
  <si>
    <t>Darrel Williams</t>
  </si>
  <si>
    <t>Kenneth Gainwell</t>
  </si>
  <si>
    <t>James White</t>
  </si>
  <si>
    <t>Damien Williams</t>
  </si>
  <si>
    <t>Brian Robinson Jr.</t>
  </si>
  <si>
    <t>Khalil Herbert</t>
  </si>
  <si>
    <t>Samaje Perine</t>
  </si>
  <si>
    <t>Dontrell Hilliard</t>
  </si>
  <si>
    <t>Zamir White</t>
  </si>
  <si>
    <t>Matt Breida</t>
  </si>
  <si>
    <t>Boston Scott</t>
  </si>
  <si>
    <t>Chuba Hubbard</t>
  </si>
  <si>
    <t>D'Onta Foreman</t>
  </si>
  <si>
    <t>Chris Evans</t>
  </si>
  <si>
    <t>Hassan Haskins</t>
  </si>
  <si>
    <t>Ke'Shawn Vaughn</t>
  </si>
  <si>
    <t>Tyrion Davis-Price</t>
  </si>
  <si>
    <t>DeeJay Dallas</t>
  </si>
  <si>
    <t>Eno Benjamin</t>
  </si>
  <si>
    <t>Benny Snell Jr.</t>
  </si>
  <si>
    <t>Justin Jackson</t>
  </si>
  <si>
    <t>Jeff Wilson Jr.</t>
  </si>
  <si>
    <t>Pierre Strong Jr.</t>
  </si>
  <si>
    <t>Giovani Bernard</t>
  </si>
  <si>
    <t>Malcolm Brown</t>
  </si>
  <si>
    <t>Dare Ogunbowale</t>
  </si>
  <si>
    <t>Mike Davis</t>
  </si>
  <si>
    <t>DeVante Parker</t>
  </si>
  <si>
    <t>Josh Palmer</t>
  </si>
  <si>
    <t>Michael Gallup</t>
  </si>
  <si>
    <t>Jalen Tolbert</t>
  </si>
  <si>
    <t>Van Jefferson</t>
  </si>
  <si>
    <t>Rondale Moore</t>
  </si>
  <si>
    <t>Nico Collins</t>
  </si>
  <si>
    <t>DJ Chark Jr.</t>
  </si>
  <si>
    <t>Julio Jones</t>
  </si>
  <si>
    <t>Jamison Crowder</t>
  </si>
  <si>
    <t>Alec Pierce</t>
  </si>
  <si>
    <t>KJ Hamler</t>
  </si>
  <si>
    <t>Curtis Samuel</t>
  </si>
  <si>
    <t>Nick Westbrook-Ikhine</t>
  </si>
  <si>
    <t>George Pickens</t>
  </si>
  <si>
    <t>Velus Jones Jr.</t>
  </si>
  <si>
    <t>Cedrick Wilson</t>
  </si>
  <si>
    <t>Odell Beckham Jr.</t>
  </si>
  <si>
    <t>FA</t>
  </si>
  <si>
    <t>Wan'Dale Robinson</t>
  </si>
  <si>
    <t>Sterling Shepard</t>
  </si>
  <si>
    <t>Corey Davis</t>
  </si>
  <si>
    <t>Randall Cobb</t>
  </si>
  <si>
    <t>K.J. Osborn</t>
  </si>
  <si>
    <t>A.J. Green</t>
  </si>
  <si>
    <t>Kendrick Bourne</t>
  </si>
  <si>
    <t>Chris Conley</t>
  </si>
  <si>
    <t>Devin Duvernay</t>
  </si>
  <si>
    <t>Parris Campbell</t>
  </si>
  <si>
    <t>D'Wayne Eskridge</t>
  </si>
  <si>
    <t>Deshaun Watson</t>
  </si>
  <si>
    <t>Justin Fields</t>
  </si>
  <si>
    <t>Daniel Jones</t>
  </si>
  <si>
    <t>Carson Wentz</t>
  </si>
  <si>
    <t>Zach Wilson</t>
  </si>
  <si>
    <t>Ryan Tannehill</t>
  </si>
  <si>
    <t>Jameis Winston</t>
  </si>
  <si>
    <t>Mac Jones</t>
  </si>
  <si>
    <t>Matt Ryan</t>
  </si>
  <si>
    <t>Jared Goff</t>
  </si>
  <si>
    <t>Baker Mayfield</t>
  </si>
  <si>
    <t>Davis Mills</t>
  </si>
  <si>
    <t>Marcus Mariota</t>
  </si>
  <si>
    <t>Kenny Pickett</t>
  </si>
  <si>
    <t>Drew Lock</t>
  </si>
  <si>
    <t>Mitchell Trubisky</t>
  </si>
  <si>
    <t>Jacoby Brissett</t>
  </si>
  <si>
    <t>Desmond Ridder</t>
  </si>
  <si>
    <t>Jimmy Garoppolo</t>
  </si>
  <si>
    <t>Geno Smith</t>
  </si>
  <si>
    <t>Sam Darnold</t>
  </si>
  <si>
    <t>Teddy Bridgewater</t>
  </si>
  <si>
    <t>Gardner Minshew II</t>
  </si>
  <si>
    <t>Evan Engram</t>
  </si>
  <si>
    <t>Austin Hooper</t>
  </si>
  <si>
    <t>Logan Thomas</t>
  </si>
  <si>
    <t>Hayden Hurst</t>
  </si>
  <si>
    <t>Albert Okwuegbunam</t>
  </si>
  <si>
    <t>Gerald Everett</t>
  </si>
  <si>
    <t>Robert Tonyan</t>
  </si>
  <si>
    <t>Brevin Jordan</t>
  </si>
  <si>
    <t>C.J. Uzomah</t>
  </si>
  <si>
    <t>Mo Alie-Cox</t>
  </si>
  <si>
    <t>Adam Trautman</t>
  </si>
  <si>
    <t>Dan Arnold</t>
  </si>
  <si>
    <t>Tommy Tremble</t>
  </si>
  <si>
    <t>Jonnu Smith</t>
  </si>
  <si>
    <t>Kyle Rudolph</t>
  </si>
  <si>
    <t>Cameron Brate</t>
  </si>
  <si>
    <t>Harrison Bryant</t>
  </si>
  <si>
    <t>Jake Elliott</t>
  </si>
  <si>
    <t>Cade York</t>
  </si>
  <si>
    <t>Ryan Succop</t>
  </si>
  <si>
    <t>Robbie Gould</t>
  </si>
  <si>
    <t>Greg Joseph</t>
  </si>
  <si>
    <t>Cleveland Browns</t>
  </si>
  <si>
    <t>Los Angeles Chargers</t>
  </si>
  <si>
    <t>Miami Dolphins</t>
  </si>
  <si>
    <t>New England Patriots</t>
  </si>
  <si>
    <t>Cincinnati Bengals</t>
  </si>
  <si>
    <t>Philadelphia Eagles</t>
  </si>
  <si>
    <t>Los Angeles Rams</t>
  </si>
  <si>
    <t>Minnesota Vikings</t>
  </si>
  <si>
    <t>Arizona Cardinals</t>
  </si>
  <si>
    <t>Denver Broncos</t>
  </si>
  <si>
    <t>Tennessee Titans</t>
  </si>
  <si>
    <t>Kansas City Chiefs</t>
  </si>
  <si>
    <t>New York Giants</t>
  </si>
  <si>
    <t>Las Vegas Raiders</t>
  </si>
  <si>
    <t>New York Jets</t>
  </si>
  <si>
    <t>Jacksonville Jacguars</t>
  </si>
  <si>
    <t>Carolina Panthers</t>
  </si>
  <si>
    <t>Atlanta Falcons</t>
  </si>
  <si>
    <t>Chicago Bears</t>
  </si>
  <si>
    <t>Seattle Seahawks</t>
  </si>
  <si>
    <t>Detroit Lions</t>
  </si>
  <si>
    <t>Houston Texans</t>
  </si>
  <si>
    <t>Patrick Mahomes II</t>
  </si>
  <si>
    <t>Joshua Palmer</t>
  </si>
  <si>
    <t>Justin Tucker</t>
  </si>
  <si>
    <t>LA</t>
  </si>
  <si>
    <t>Trey Sermon</t>
  </si>
  <si>
    <t>D'Ernest Johnson</t>
  </si>
  <si>
    <t>Myles Gaskin</t>
  </si>
  <si>
    <t>Isiah Pacheco</t>
  </si>
  <si>
    <t>Zack Moss</t>
  </si>
  <si>
    <t>Phillip Lindsay</t>
  </si>
  <si>
    <t>Ty Johnson</t>
  </si>
  <si>
    <t>Joshua Kelley</t>
  </si>
  <si>
    <t>Darrynton Evans</t>
  </si>
  <si>
    <t>Kyren Williams</t>
  </si>
  <si>
    <t>Salvon Ahmed</t>
  </si>
  <si>
    <t>Duke Johnson Jr.</t>
  </si>
  <si>
    <t>Tyler Badie</t>
  </si>
  <si>
    <t>Tevin Coleman</t>
  </si>
  <si>
    <t>Jerome Ford</t>
  </si>
  <si>
    <t>Jaret Patterson</t>
  </si>
  <si>
    <t>Snoop Conner</t>
  </si>
  <si>
    <t>David Johnson</t>
  </si>
  <si>
    <t>Devontae Booker</t>
  </si>
  <si>
    <t>Latavius Murray</t>
  </si>
  <si>
    <t>Ameer Abdullah</t>
  </si>
  <si>
    <t>Devonta Freeman</t>
  </si>
  <si>
    <t>Keaontay Ingram</t>
  </si>
  <si>
    <t>Wayne Gallman Jr.</t>
  </si>
  <si>
    <t>Kene Nwangwu</t>
  </si>
  <si>
    <t>Ty Montgomery</t>
  </si>
  <si>
    <t>Derrick Gore</t>
  </si>
  <si>
    <t>Anthony McFarland Jr.</t>
  </si>
  <si>
    <t>Trestan Ebner</t>
  </si>
  <si>
    <t>Abram Smith</t>
  </si>
  <si>
    <t>Tony Jones Jr.</t>
  </si>
  <si>
    <t>Craig Reynolds</t>
  </si>
  <si>
    <t>Jaylen Warren</t>
  </si>
  <si>
    <t>JaMycal Hasty</t>
  </si>
  <si>
    <t>Tarik Cohen</t>
  </si>
  <si>
    <t>Justice Hill</t>
  </si>
  <si>
    <t>Kyle Juszczyk</t>
  </si>
  <si>
    <t>Travis Homer</t>
  </si>
  <si>
    <t>Carlos Hyde</t>
  </si>
  <si>
    <t>Jordan Howard</t>
  </si>
  <si>
    <t>Mike Boone</t>
  </si>
  <si>
    <t>Le'Veon Bell</t>
  </si>
  <si>
    <t>Patrick Ricard</t>
  </si>
  <si>
    <t>Qadree Ollison</t>
  </si>
  <si>
    <t>Jermar Jefferson</t>
  </si>
  <si>
    <t>Kevin Harris</t>
  </si>
  <si>
    <t>J.J. Taylor</t>
  </si>
  <si>
    <t>Ty Chandler</t>
  </si>
  <si>
    <t>Demetric Felton Jr.</t>
  </si>
  <si>
    <t>Ryquell Armstead</t>
  </si>
  <si>
    <t>Trayveon Williams</t>
  </si>
  <si>
    <t>Brandon Bolden</t>
  </si>
  <si>
    <t>Kylin Hill</t>
  </si>
  <si>
    <t>Kennedy Brooks</t>
  </si>
  <si>
    <t>Zonovan Knight</t>
  </si>
  <si>
    <t>Alec Ingold</t>
  </si>
  <si>
    <t>Jeremy McNichols</t>
  </si>
  <si>
    <t>Larry Rountree III</t>
  </si>
  <si>
    <t>C.J. Ham</t>
  </si>
  <si>
    <t>Devine Ozigbo</t>
  </si>
  <si>
    <t>Jakob Johnson</t>
  </si>
  <si>
    <t>Jerrion Ealy</t>
  </si>
  <si>
    <t>Keith Smith</t>
  </si>
  <si>
    <t>Julius Chestnut</t>
  </si>
  <si>
    <t>La'Mical Perine</t>
  </si>
  <si>
    <t>Jashaun Corbin</t>
  </si>
  <si>
    <t>Sincere McCormick</t>
  </si>
  <si>
    <t>Godwin Igwebuike</t>
  </si>
  <si>
    <t>Rico Dowdle</t>
  </si>
  <si>
    <t>Jake Funk</t>
  </si>
  <si>
    <t>Royce Freeman</t>
  </si>
  <si>
    <t>Ty'Son Williams</t>
  </si>
  <si>
    <t>Patrick Taylor Jr.</t>
  </si>
  <si>
    <t>Deon Jackson</t>
  </si>
  <si>
    <t>Kalen Ballage</t>
  </si>
  <si>
    <t>Gabe Nabers</t>
  </si>
  <si>
    <t>Tyler Goodson</t>
  </si>
  <si>
    <t>Antonio Williams</t>
  </si>
  <si>
    <t>Mataeo Durant</t>
  </si>
  <si>
    <t>Reggie Gilliam</t>
  </si>
  <si>
    <t>Michael Burton</t>
  </si>
  <si>
    <t>D'Vonte Price</t>
  </si>
  <si>
    <t>Jason Huntley</t>
  </si>
  <si>
    <t>John Kelly Jr.</t>
  </si>
  <si>
    <t>Javian Hawkins</t>
  </si>
  <si>
    <t>Tory Carter</t>
  </si>
  <si>
    <t>Khari Blasingame</t>
  </si>
  <si>
    <t>Nick Bawden</t>
  </si>
  <si>
    <t>Gary Brightwell</t>
  </si>
  <si>
    <t>Jordan Mason</t>
  </si>
  <si>
    <t>Jalen Richard</t>
  </si>
  <si>
    <t>Derek Watt</t>
  </si>
  <si>
    <t>Jordan Wilkins</t>
  </si>
  <si>
    <t>Aaron Shampklin</t>
  </si>
  <si>
    <t>Ben Mason</t>
  </si>
  <si>
    <t>Caleb Huntley</t>
  </si>
  <si>
    <t>Adam Prentice</t>
  </si>
  <si>
    <t>Jonathan Williams</t>
  </si>
  <si>
    <t>CJ Verdell</t>
  </si>
  <si>
    <t>Kerryon Johnson</t>
  </si>
  <si>
    <t>Alex Armah Jr.</t>
  </si>
  <si>
    <t>Pooka Williams Jr.</t>
  </si>
  <si>
    <t>Andy Janovich</t>
  </si>
  <si>
    <t>Kenjon Barner</t>
  </si>
  <si>
    <t>Max Borghi</t>
  </si>
  <si>
    <t>Brian Hill</t>
  </si>
  <si>
    <t>Darwin Thompson</t>
  </si>
  <si>
    <t>Jacques Patrick</t>
  </si>
  <si>
    <t>Malik Davis</t>
  </si>
  <si>
    <t>Jonathan Ward</t>
  </si>
  <si>
    <t>Trenton Cannon</t>
  </si>
  <si>
    <t>Dwayne Washington</t>
  </si>
  <si>
    <t>De'Montre Tuggle</t>
  </si>
  <si>
    <t>Bryant Koback</t>
  </si>
  <si>
    <t>Zander Horvath</t>
  </si>
  <si>
    <t>Greg Bell</t>
  </si>
  <si>
    <t>Ricky Person Jr.</t>
  </si>
  <si>
    <t>Leddie Brown</t>
  </si>
  <si>
    <t>Sandro Platzgummer</t>
  </si>
  <si>
    <t>Gerrid Doaks</t>
  </si>
  <si>
    <t>Nate McCrary</t>
  </si>
  <si>
    <t>Raheem Blackshear</t>
  </si>
  <si>
    <t>Tayon Fleet-Davis</t>
  </si>
  <si>
    <t>Raymond Calais</t>
  </si>
  <si>
    <t>Brittain Brown</t>
  </si>
  <si>
    <t>Elijah Holyfield</t>
  </si>
  <si>
    <t>ZaQuandre White</t>
  </si>
  <si>
    <t>Mitch Trubisky</t>
  </si>
  <si>
    <t>Taysom Hill</t>
  </si>
  <si>
    <t>Malik Willis</t>
  </si>
  <si>
    <t>Matt Corral</t>
  </si>
  <si>
    <t>Tyler Huntley</t>
  </si>
  <si>
    <t>Joe Flacco</t>
  </si>
  <si>
    <t>Tyrod Taylor</t>
  </si>
  <si>
    <t>Sam Howell</t>
  </si>
  <si>
    <t>Jordan Love</t>
  </si>
  <si>
    <t>Taylor Heinicke</t>
  </si>
  <si>
    <t>Andy Dalton</t>
  </si>
  <si>
    <t>Case Keenum</t>
  </si>
  <si>
    <t>Mason Rudolph</t>
  </si>
  <si>
    <t>Kyle Trask</t>
  </si>
  <si>
    <t>Colt McCoy</t>
  </si>
  <si>
    <t>Brandon Allen</t>
  </si>
  <si>
    <t>Mike White</t>
  </si>
  <si>
    <t>Chad Henne</t>
  </si>
  <si>
    <t>Kellen Mond</t>
  </si>
  <si>
    <t>Nick Foles</t>
  </si>
  <si>
    <t>John Wolford</t>
  </si>
  <si>
    <t>C.J. Beathard</t>
  </si>
  <si>
    <t>Cam Newton</t>
  </si>
  <si>
    <t>Tim Boyle</t>
  </si>
  <si>
    <t>Cooper Rush</t>
  </si>
  <si>
    <t>Carson Strong</t>
  </si>
  <si>
    <t>Trevor Siemian</t>
  </si>
  <si>
    <t>Blaine Gabbert</t>
  </si>
  <si>
    <t>Nick Mullens</t>
  </si>
  <si>
    <t>Kyle Allen</t>
  </si>
  <si>
    <t>Chase Daniel</t>
  </si>
  <si>
    <t>Brian Hoyer</t>
  </si>
  <si>
    <t>PJ Walker</t>
  </si>
  <si>
    <t>Sean Mannion</t>
  </si>
  <si>
    <t>Brett Rypien</t>
  </si>
  <si>
    <t>Bailey Zappe</t>
  </si>
  <si>
    <t>Josh Johnson</t>
  </si>
  <si>
    <t>Sam Ehlinger</t>
  </si>
  <si>
    <t>Josh Rosen</t>
  </si>
  <si>
    <t>Jarrett Stidham</t>
  </si>
  <si>
    <t>Logan Woodside</t>
  </si>
  <si>
    <t>Joshua Dobbs</t>
  </si>
  <si>
    <t>Nate Sudfeld</t>
  </si>
  <si>
    <t>Ian Book</t>
  </si>
  <si>
    <t>Jack Coan</t>
  </si>
  <si>
    <t>Jake Browning</t>
  </si>
  <si>
    <t>Will Grier</t>
  </si>
  <si>
    <t>Bryce Perkins</t>
  </si>
  <si>
    <t>Feleipe Franks</t>
  </si>
  <si>
    <t>Matt Barkley</t>
  </si>
  <si>
    <t>Trace McSorley</t>
  </si>
  <si>
    <t>Skylar Thompson</t>
  </si>
  <si>
    <t>Shane Buechele</t>
  </si>
  <si>
    <t>Danny Etling</t>
  </si>
  <si>
    <t>David Blough</t>
  </si>
  <si>
    <t>Jacob Eason</t>
  </si>
  <si>
    <t>Easton Stick</t>
  </si>
  <si>
    <t>Nathan Peterman</t>
  </si>
  <si>
    <t>Davis Webb</t>
  </si>
  <si>
    <t>Donovan Peoples-Jones</t>
  </si>
  <si>
    <t>David Bell</t>
  </si>
  <si>
    <t>Isaiah McKenzie</t>
  </si>
  <si>
    <t>Laviska Shenault Jr.</t>
  </si>
  <si>
    <t>Terrace Marshall Jr.</t>
  </si>
  <si>
    <t>Byron Pringle</t>
  </si>
  <si>
    <t>Zay Jones</t>
  </si>
  <si>
    <t>Romeo Doubs</t>
  </si>
  <si>
    <t>Braxton Berrios</t>
  </si>
  <si>
    <t>William Fuller V</t>
  </si>
  <si>
    <t>Bryan Edwards</t>
  </si>
  <si>
    <t>Marquez Callaway</t>
  </si>
  <si>
    <t>Sammy Watkins</t>
  </si>
  <si>
    <t>Cedrick Wilson Jr.</t>
  </si>
  <si>
    <t>Nelson Agholor</t>
  </si>
  <si>
    <t>Tre'Quan Smith</t>
  </si>
  <si>
    <t>Josh Reynolds</t>
  </si>
  <si>
    <t>Darius Slayton</t>
  </si>
  <si>
    <t>Dyami Brown</t>
  </si>
  <si>
    <t>Jalen Reagor</t>
  </si>
  <si>
    <t>Quez Watkins</t>
  </si>
  <si>
    <t>Quintez Cephus</t>
  </si>
  <si>
    <t>Emmanuel Sanders</t>
  </si>
  <si>
    <t>Cole Beasley</t>
  </si>
  <si>
    <t>Tyquan Thornton</t>
  </si>
  <si>
    <t>T.Y. Hilton</t>
  </si>
  <si>
    <t>Jalen Guyton</t>
  </si>
  <si>
    <t>Kyle Philips</t>
  </si>
  <si>
    <t>James Proche II</t>
  </si>
  <si>
    <t>Demarcus Robinson</t>
  </si>
  <si>
    <t>John Metchie III</t>
  </si>
  <si>
    <t>James Washington</t>
  </si>
  <si>
    <t>Calvin Austin III</t>
  </si>
  <si>
    <t>Amari Rodgers</t>
  </si>
  <si>
    <t>Khalil Shakir</t>
  </si>
  <si>
    <t>Olamide Zaccheaus</t>
  </si>
  <si>
    <t>Danny Gray</t>
  </si>
  <si>
    <t>Tyler Johnson</t>
  </si>
  <si>
    <t>Noah Brown</t>
  </si>
  <si>
    <t>Anthony Schwartz</t>
  </si>
  <si>
    <t>Dee Eskridge</t>
  </si>
  <si>
    <t>Laquon Treadwell</t>
  </si>
  <si>
    <t>Jauan Jennings</t>
  </si>
  <si>
    <t>Equanimeous St. Brown</t>
  </si>
  <si>
    <t>Tutu Atwell</t>
  </si>
  <si>
    <t>Rashard Higgins</t>
  </si>
  <si>
    <t>Tylan Wallace</t>
  </si>
  <si>
    <t>Deonte Harty</t>
  </si>
  <si>
    <t>Antonio Brown</t>
  </si>
  <si>
    <t>Juwan Johnson</t>
  </si>
  <si>
    <t>Ashton Dulin</t>
  </si>
  <si>
    <t>Zach Pascal</t>
  </si>
  <si>
    <t>Keelan Cole Sr.</t>
  </si>
  <si>
    <t>Antoine Wesley</t>
  </si>
  <si>
    <t>N'Keal Harry</t>
  </si>
  <si>
    <t>Auden Tate</t>
  </si>
  <si>
    <t>Tyrell Williams</t>
  </si>
  <si>
    <t>Kalif Raymond</t>
  </si>
  <si>
    <t>Jamal Agnew</t>
  </si>
  <si>
    <t>Ben Skowronek</t>
  </si>
  <si>
    <t>Mack Hollins</t>
  </si>
  <si>
    <t>Freddie Swain</t>
  </si>
  <si>
    <t>Scotty Miller</t>
  </si>
  <si>
    <t>Ihmir Smith-Marsette</t>
  </si>
  <si>
    <t>Denzel Mims</t>
  </si>
  <si>
    <t>Justyn Ross</t>
  </si>
  <si>
    <t>Tajae Sharpe</t>
  </si>
  <si>
    <t>Damiere Byrd</t>
  </si>
  <si>
    <t>Dez Fitzpatrick</t>
  </si>
  <si>
    <t>Phillip Dorsett II</t>
  </si>
  <si>
    <t>Breshad Perriman</t>
  </si>
  <si>
    <t>Miles Boykin</t>
  </si>
  <si>
    <t>Justin Watson</t>
  </si>
  <si>
    <t>Jaelon Darden</t>
  </si>
  <si>
    <t>Jacob Harris</t>
  </si>
  <si>
    <t>Cyril Grayson Jr.</t>
  </si>
  <si>
    <t>Preston Williams</t>
  </si>
  <si>
    <t>Trent Sherfield</t>
  </si>
  <si>
    <t>Dezmon Patmon</t>
  </si>
  <si>
    <t>Albert Wilson</t>
  </si>
  <si>
    <t>Devin Funchess</t>
  </si>
  <si>
    <t>Marcus Johnson</t>
  </si>
  <si>
    <t>Keke Coutee</t>
  </si>
  <si>
    <t>Dante Pettis</t>
  </si>
  <si>
    <t>Simi Fehoko</t>
  </si>
  <si>
    <t>Bisi Johnson</t>
  </si>
  <si>
    <t>David Moore</t>
  </si>
  <si>
    <t>Collin Johnson</t>
  </si>
  <si>
    <t>Chris Moore</t>
  </si>
  <si>
    <t>Cam Sims</t>
  </si>
  <si>
    <t>Jalen Nailor</t>
  </si>
  <si>
    <t>Chester Rogers</t>
  </si>
  <si>
    <t>Marquise Goodwin</t>
  </si>
  <si>
    <t>Travis Fulgham</t>
  </si>
  <si>
    <t>Josh Gordon</t>
  </si>
  <si>
    <t>DeSean Jackson</t>
  </si>
  <si>
    <t>Ray-Ray McCloud</t>
  </si>
  <si>
    <t>Erik Ezukanma</t>
  </si>
  <si>
    <t>Bo Melton</t>
  </si>
  <si>
    <t>Mike Thomas</t>
  </si>
  <si>
    <t>DeAndre Carter</t>
  </si>
  <si>
    <t>KhaDarel Hodge</t>
  </si>
  <si>
    <t>Brandon Zylstra</t>
  </si>
  <si>
    <t>Dazz Newsome</t>
  </si>
  <si>
    <t>Tyron Johnson</t>
  </si>
  <si>
    <t>Stanley Morgan Jr.</t>
  </si>
  <si>
    <t>Greg Ward</t>
  </si>
  <si>
    <t>Lil'Jordan Humphrey</t>
  </si>
  <si>
    <t>Cornell Powell</t>
  </si>
  <si>
    <t>Trent Taylor</t>
  </si>
  <si>
    <t>Seth Williams</t>
  </si>
  <si>
    <t>Lynn Bowden Jr.</t>
  </si>
  <si>
    <t>Greg Dortch</t>
  </si>
  <si>
    <t>Mike Strachan</t>
  </si>
  <si>
    <t>Montrell Washington</t>
  </si>
  <si>
    <t>Samori Toure</t>
  </si>
  <si>
    <t>Richie James Jr.</t>
  </si>
  <si>
    <t>Shi Smith</t>
  </si>
  <si>
    <t>Malik Turner</t>
  </si>
  <si>
    <t>Andy Isabella</t>
  </si>
  <si>
    <t>Dennis Houston</t>
  </si>
  <si>
    <t>Kendall Hinton</t>
  </si>
  <si>
    <t>Penny Hart</t>
  </si>
  <si>
    <t>Juwann Winfree</t>
  </si>
  <si>
    <t>Dax Milne</t>
  </si>
  <si>
    <t>Christian Blake</t>
  </si>
  <si>
    <t>Jeff Smith</t>
  </si>
  <si>
    <t>Javon Wims</t>
  </si>
  <si>
    <t>Charleston Rambo</t>
  </si>
  <si>
    <t>Kristian Wilkerson</t>
  </si>
  <si>
    <t>Ja'Marcus Bradley</t>
  </si>
  <si>
    <t>Cody Hollister</t>
  </si>
  <si>
    <t>Nsimba Webster</t>
  </si>
  <si>
    <t>Makai Polk</t>
  </si>
  <si>
    <t>Tay Martin</t>
  </si>
  <si>
    <t>Lawrence Cager</t>
  </si>
  <si>
    <t>Binjimen Victor</t>
  </si>
  <si>
    <t>Cameron Batson</t>
  </si>
  <si>
    <t>Slade Bolden</t>
  </si>
  <si>
    <t>Dontario Drummond</t>
  </si>
  <si>
    <t>Alex Erickson</t>
  </si>
  <si>
    <t>T.J. Vasher</t>
  </si>
  <si>
    <t>Tom Kennedy</t>
  </si>
  <si>
    <t>Jason Moore Jr.</t>
  </si>
  <si>
    <t>Isaiah Coulter</t>
  </si>
  <si>
    <t>C.J. Board</t>
  </si>
  <si>
    <t>Geronimo Allison</t>
  </si>
  <si>
    <t>Andre Roberts</t>
  </si>
  <si>
    <t>Gunner Olszewski</t>
  </si>
  <si>
    <t>Trinity Benson</t>
  </si>
  <si>
    <t>Marquez Stevenson</t>
  </si>
  <si>
    <t>Michael Woods II</t>
  </si>
  <si>
    <t>Isaiah Hodgins</t>
  </si>
  <si>
    <t>Dareke Young</t>
  </si>
  <si>
    <t>Steven Sims Jr.</t>
  </si>
  <si>
    <t>D.J. Montgomery</t>
  </si>
  <si>
    <t>Brandon Powell</t>
  </si>
  <si>
    <t>Joe Reed</t>
  </si>
  <si>
    <t>Jalen Camp</t>
  </si>
  <si>
    <t>KeeSean Johnson</t>
  </si>
  <si>
    <t>Jake Kumerow</t>
  </si>
  <si>
    <t>J.J. Arcega-Whiteside</t>
  </si>
  <si>
    <t>Kelvin Harmon</t>
  </si>
  <si>
    <t>David Sills V</t>
  </si>
  <si>
    <t>Marcus Kemp</t>
  </si>
  <si>
    <t>Cody Thompson</t>
  </si>
  <si>
    <t>Tarik Black</t>
  </si>
  <si>
    <t>Trey McBride</t>
  </si>
  <si>
    <t>O.J. Howard</t>
  </si>
  <si>
    <t>Greg Dulcich</t>
  </si>
  <si>
    <t>Tyler Conklin</t>
  </si>
  <si>
    <t>Daniel Bellinger</t>
  </si>
  <si>
    <t>Jared Cook</t>
  </si>
  <si>
    <t>Ricky Seals-Jones</t>
  </si>
  <si>
    <t>Anthony Firkser</t>
  </si>
  <si>
    <t>Donald Parham Jr.</t>
  </si>
  <si>
    <t>Cade Otton</t>
  </si>
  <si>
    <t>Foster Moreau</t>
  </si>
  <si>
    <t>Jelani Woods</t>
  </si>
  <si>
    <t>John Bates</t>
  </si>
  <si>
    <t>Kylen Granson</t>
  </si>
  <si>
    <t>Josiah Deguara</t>
  </si>
  <si>
    <t>Isaiah Likely</t>
  </si>
  <si>
    <t>Eric Ebron</t>
  </si>
  <si>
    <t>Pharaoh Brown</t>
  </si>
  <si>
    <t>Jeremy Ruckert</t>
  </si>
  <si>
    <t>Blake Jarwin</t>
  </si>
  <si>
    <t>Chris Herndon IV</t>
  </si>
  <si>
    <t>Geoff Swaim</t>
  </si>
  <si>
    <t>Jordan Akins</t>
  </si>
  <si>
    <t>Will Dissly</t>
  </si>
  <si>
    <t>Jake Ferguson</t>
  </si>
  <si>
    <t>Ian Thomas</t>
  </si>
  <si>
    <t>Jimmy Graham</t>
  </si>
  <si>
    <t>Maxx Williams</t>
  </si>
  <si>
    <t>Jalen Wydermyer</t>
  </si>
  <si>
    <t>Drew Sample</t>
  </si>
  <si>
    <t>Charlie Kolar</t>
  </si>
  <si>
    <t>Durham Smythe</t>
  </si>
  <si>
    <t>Tre' McKitty</t>
  </si>
  <si>
    <t>Nick Vannett</t>
  </si>
  <si>
    <t>Tyler Kroft</t>
  </si>
  <si>
    <t>Blake Bell</t>
  </si>
  <si>
    <t>James O'Shaughnessy</t>
  </si>
  <si>
    <t>Zach Gentry</t>
  </si>
  <si>
    <t>Kendall Blanton</t>
  </si>
  <si>
    <t>Ryan Griffin</t>
  </si>
  <si>
    <t>Marcedes Lewis</t>
  </si>
  <si>
    <t>Chigoziem Okonkwo</t>
  </si>
  <si>
    <t>Cole Turner</t>
  </si>
  <si>
    <t>Nick Boyle</t>
  </si>
  <si>
    <t>Jacob Hollister</t>
  </si>
  <si>
    <t>Chris Manhertz</t>
  </si>
  <si>
    <t>Noah Gray</t>
  </si>
  <si>
    <t>Hunter Long</t>
  </si>
  <si>
    <t>Ross Dwelley</t>
  </si>
  <si>
    <t>Johnny Mundt</t>
  </si>
  <si>
    <t>Brock Wright</t>
  </si>
  <si>
    <t>Tyler Davis</t>
  </si>
  <si>
    <t>Josh Oliver</t>
  </si>
  <si>
    <t>Miller Forristall</t>
  </si>
  <si>
    <t>Jeremy Sprinkle</t>
  </si>
  <si>
    <t>Grant Calcaterra</t>
  </si>
  <si>
    <t>James Mitchell</t>
  </si>
  <si>
    <t>Jack Stoll</t>
  </si>
  <si>
    <t>Brycen Hopkins</t>
  </si>
  <si>
    <t>Ben Ellefson</t>
  </si>
  <si>
    <t>Parker Hesse</t>
  </si>
  <si>
    <t>Mitchell Wilcox</t>
  </si>
  <si>
    <t>Shane Zylstra</t>
  </si>
  <si>
    <t>Devin Asiasi</t>
  </si>
  <si>
    <t>Antony Auclair</t>
  </si>
  <si>
    <t>Tyree Jackson</t>
  </si>
  <si>
    <t>Stephen Anderson</t>
  </si>
  <si>
    <t>Dalton Keene</t>
  </si>
  <si>
    <t>Teagan Quitoriano</t>
  </si>
  <si>
    <t>Charlie Woerner</t>
  </si>
  <si>
    <t>Luke Farrell</t>
  </si>
  <si>
    <t>Tommy Hudson</t>
  </si>
  <si>
    <t>Dominique Dafney</t>
  </si>
  <si>
    <t>Derrick Deese Jr.</t>
  </si>
  <si>
    <t>Kenny Yeboah</t>
  </si>
  <si>
    <t>Eric Tomlinson</t>
  </si>
  <si>
    <t>Trevon Wesco</t>
  </si>
  <si>
    <t>Kevin Rader</t>
  </si>
  <si>
    <t>Jordan Franks</t>
  </si>
  <si>
    <t>Chris Myarick</t>
  </si>
  <si>
    <t>Sean McKeon</t>
  </si>
  <si>
    <t>Colby Parkinson</t>
  </si>
  <si>
    <t>Tommy Sweeney</t>
  </si>
  <si>
    <t>Mason Schreck</t>
  </si>
  <si>
    <t>Zach Davidson</t>
  </si>
  <si>
    <t>Connor Heyward</t>
  </si>
  <si>
    <t>John FitzPatrick</t>
  </si>
  <si>
    <t>Richard Rodgers</t>
  </si>
  <si>
    <t>J.P. Holtz</t>
  </si>
  <si>
    <t>Tanner Hudson</t>
  </si>
  <si>
    <t>Ko Kieft</t>
  </si>
  <si>
    <t>Eric Saubert</t>
  </si>
  <si>
    <t>Younghoe Koo</t>
  </si>
  <si>
    <t>Rodrigo Blankenship</t>
  </si>
  <si>
    <t>Jason Sanders</t>
  </si>
  <si>
    <t>Dustin Hopkins</t>
  </si>
  <si>
    <t>Greg Zuerlein</t>
  </si>
  <si>
    <t>Chris Boswell</t>
  </si>
  <si>
    <t>Wil Lutz</t>
  </si>
  <si>
    <t>Mason Crosby</t>
  </si>
  <si>
    <t>Jason Myers</t>
  </si>
  <si>
    <t>Randy Bullock</t>
  </si>
  <si>
    <t>Cairo Santos</t>
  </si>
  <si>
    <t>Ka'imi Fairbairn</t>
  </si>
  <si>
    <t>Chase McLaughlin</t>
  </si>
  <si>
    <t>Josh Lambo</t>
  </si>
  <si>
    <t>Jonathan Garibay</t>
  </si>
  <si>
    <t>Joey Slye</t>
  </si>
  <si>
    <t>Zane Gonzalez</t>
  </si>
  <si>
    <t>Tristan Vizcaino</t>
  </si>
  <si>
    <t>Austin Seibert</t>
  </si>
  <si>
    <t>Brett Maher</t>
  </si>
  <si>
    <t>Ryan Santoso</t>
  </si>
  <si>
    <t>Riley Patterson</t>
  </si>
  <si>
    <t>Quinn Nordin</t>
  </si>
  <si>
    <t>Lirim Hajrullahu</t>
  </si>
  <si>
    <t>Andrew Jacas</t>
  </si>
  <si>
    <t>Eddy Pineiro</t>
  </si>
  <si>
    <t>Carlos Martinez</t>
  </si>
  <si>
    <t>Andrew Wellock</t>
  </si>
  <si>
    <t>Chris Naggar</t>
  </si>
  <si>
    <t>NY</t>
  </si>
  <si>
    <t>Jacksonville Jaguars</t>
  </si>
  <si>
    <t>LVR</t>
  </si>
  <si>
    <t>Michael Pittman</t>
  </si>
  <si>
    <t>Travis Etienne</t>
  </si>
  <si>
    <t>JAX</t>
  </si>
  <si>
    <t>D.J. Moore</t>
  </si>
  <si>
    <t>Allen Robinson</t>
  </si>
  <si>
    <t>Kenneth Walker III</t>
  </si>
  <si>
    <t>Melvin Gordon</t>
  </si>
  <si>
    <t>Marvin Jones</t>
  </si>
  <si>
    <t>Darrell Henderson</t>
  </si>
  <si>
    <t>Mark Ingram</t>
  </si>
  <si>
    <t>Brian Robinson</t>
  </si>
  <si>
    <t>Ronald Jones</t>
  </si>
  <si>
    <t>Jeffery Wilson</t>
  </si>
  <si>
    <t>Duke Johnson</t>
  </si>
  <si>
    <t>Anthony McFarland</t>
  </si>
  <si>
    <t>Benny Snell</t>
  </si>
  <si>
    <t>Ryan Nall</t>
  </si>
  <si>
    <t>D.J. Chark</t>
  </si>
  <si>
    <t>Laviska Shenault</t>
  </si>
  <si>
    <t>Keelan Cole</t>
  </si>
  <si>
    <t>James Proche</t>
  </si>
  <si>
    <t>Velus Jones</t>
  </si>
  <si>
    <t>Terrace Marshall</t>
  </si>
  <si>
    <t>Anthony Miller</t>
  </si>
  <si>
    <t>Phillip Dorsett</t>
  </si>
  <si>
    <t>Cyril Grayson</t>
  </si>
  <si>
    <t>Daurice Fountain</t>
  </si>
  <si>
    <t>Donald Parham</t>
  </si>
  <si>
    <t>Adam Shaheen</t>
  </si>
  <si>
    <t>Austin Allen</t>
  </si>
  <si>
    <t>Paul Quessenberry</t>
  </si>
  <si>
    <t>Buffalo</t>
  </si>
  <si>
    <t>Los Angeles</t>
  </si>
  <si>
    <t>Tampa Bay</t>
  </si>
  <si>
    <t>New England</t>
  </si>
  <si>
    <t>Arizona</t>
  </si>
  <si>
    <t>San Francisco</t>
  </si>
  <si>
    <t>Indianapolis</t>
  </si>
  <si>
    <t>New Orleans</t>
  </si>
  <si>
    <t>Dallas</t>
  </si>
  <si>
    <t>Green Bay</t>
  </si>
  <si>
    <t>Denver</t>
  </si>
  <si>
    <t>Minnesota</t>
  </si>
  <si>
    <t>Cincinnati</t>
  </si>
  <si>
    <t>Kansas City</t>
  </si>
  <si>
    <t>Miami</t>
  </si>
  <si>
    <t>Tennessee</t>
  </si>
  <si>
    <t>Cleveland</t>
  </si>
  <si>
    <t>Baltimore</t>
  </si>
  <si>
    <t>Chicago</t>
  </si>
  <si>
    <t>Pittsburgh</t>
  </si>
  <si>
    <t>New York</t>
  </si>
  <si>
    <t>Philadelphia</t>
  </si>
  <si>
    <t>Houston</t>
  </si>
  <si>
    <t>Jacksonville</t>
  </si>
  <si>
    <t>Washington</t>
  </si>
  <si>
    <t>Carolina</t>
  </si>
  <si>
    <t>Detroit</t>
  </si>
  <si>
    <t>Seattle</t>
  </si>
  <si>
    <t>Atlanta</t>
  </si>
  <si>
    <t>Las Vegas</t>
  </si>
  <si>
    <t>Irv Smith</t>
  </si>
  <si>
    <t>Last Updated: 8/14/22</t>
  </si>
  <si>
    <t>Tim Patrick</t>
  </si>
  <si>
    <t>Sam Ficken</t>
  </si>
  <si>
    <t>Sergio Castillo</t>
  </si>
  <si>
    <t>Cody Parkey</t>
  </si>
  <si>
    <t>Stephen Hauschka</t>
  </si>
  <si>
    <t>Mike Nugent</t>
  </si>
  <si>
    <t>Stephen Gostkowski</t>
  </si>
  <si>
    <t>Kai Forbath</t>
  </si>
  <si>
    <t>Dan Bailey</t>
  </si>
  <si>
    <t>Elliott Fry</t>
  </si>
  <si>
    <t>Chris Blewitt</t>
  </si>
  <si>
    <t>Aldrick Rosas</t>
  </si>
  <si>
    <t>Michael Badgley</t>
  </si>
  <si>
    <t>Matt Ammendola</t>
  </si>
  <si>
    <t>Brandon Wright</t>
  </si>
  <si>
    <t>Dominik Eberle</t>
  </si>
  <si>
    <t>Tucker McCann</t>
  </si>
  <si>
    <t>Jon Brown</t>
  </si>
  <si>
    <t>Matthew Wright</t>
  </si>
  <si>
    <t>Justin Rohrwasser</t>
  </si>
  <si>
    <t>Sam Sloman</t>
  </si>
  <si>
    <t>Alex Kessman</t>
  </si>
  <si>
    <t>Brian Johnson</t>
  </si>
  <si>
    <t>Taylor Russolino</t>
  </si>
  <si>
    <t>Jody Fortson</t>
  </si>
  <si>
    <t>Sammis Reyes</t>
  </si>
  <si>
    <t>Codey McElroy</t>
  </si>
  <si>
    <t>Hunter Kampmoyer</t>
  </si>
  <si>
    <t>Tyler Mabry</t>
  </si>
  <si>
    <t>Stephen Sullivan</t>
  </si>
  <si>
    <t>Nakia Griffin-Stewart</t>
  </si>
  <si>
    <t>Jesper Horsted</t>
  </si>
  <si>
    <t>Andrew Ogletree</t>
  </si>
  <si>
    <t>Jesse James</t>
  </si>
  <si>
    <t>Colin Thompson</t>
  </si>
  <si>
    <t>Garrett Griffin</t>
  </si>
  <si>
    <t>Sean Culkin</t>
  </si>
  <si>
    <t>Evan Baylis</t>
  </si>
  <si>
    <t>Jason Croom</t>
  </si>
  <si>
    <t>Cethan Carter</t>
  </si>
  <si>
    <t>Tyrone Swoopes</t>
  </si>
  <si>
    <t>David Wells</t>
  </si>
  <si>
    <t>Troy Fumagalli</t>
  </si>
  <si>
    <t>Jake Butt</t>
  </si>
  <si>
    <t>Jaeden Graham</t>
  </si>
  <si>
    <t>Ian Bunting</t>
  </si>
  <si>
    <t>Carson Meier</t>
  </si>
  <si>
    <t>Ryan Izzo</t>
  </si>
  <si>
    <t>Chris Herndon</t>
  </si>
  <si>
    <t>Matt Sokol</t>
  </si>
  <si>
    <t>Darrell Daniels</t>
  </si>
  <si>
    <t>Dylan Cantrell</t>
  </si>
  <si>
    <t>Marcus Baugh</t>
  </si>
  <si>
    <t>Deon Yelder</t>
  </si>
  <si>
    <t>Daniel Helm</t>
  </si>
  <si>
    <t>Ethan Wolf</t>
  </si>
  <si>
    <t>MyCole Pruitt</t>
  </si>
  <si>
    <t>Trey Burton</t>
  </si>
  <si>
    <t>Jack Doyle</t>
  </si>
  <si>
    <t>Josh Hill</t>
  </si>
  <si>
    <t>Demetrius Harris</t>
  </si>
  <si>
    <t>Jordan Matthews</t>
  </si>
  <si>
    <t>Seth DeValve</t>
  </si>
  <si>
    <t>Daniel Brown</t>
  </si>
  <si>
    <t>Jeff Driskel</t>
  </si>
  <si>
    <t>Matt LaCosse</t>
  </si>
  <si>
    <t>Temarrick Hemingway</t>
  </si>
  <si>
    <t>Alex Ellis</t>
  </si>
  <si>
    <t>Luke Willson</t>
  </si>
  <si>
    <t>Levine Toilolo</t>
  </si>
  <si>
    <t>Darren Fells</t>
  </si>
  <si>
    <t>Tyler Eifert</t>
  </si>
  <si>
    <t>Jordan Reed</t>
  </si>
  <si>
    <t>Vance McDonald</t>
  </si>
  <si>
    <t>Lee Smith</t>
  </si>
  <si>
    <t>Derek Carrier</t>
  </si>
  <si>
    <t>Jason Witten</t>
  </si>
  <si>
    <t>Greg Olsen</t>
  </si>
  <si>
    <t>Luke Stocker</t>
  </si>
  <si>
    <t>Virgil Green</t>
  </si>
  <si>
    <t>Rob Gronkowski</t>
  </si>
  <si>
    <t>Hakeem Butler</t>
  </si>
  <si>
    <t>Jace Sternberger</t>
  </si>
  <si>
    <t>Hale Hentges</t>
  </si>
  <si>
    <t>Jared Pinkney</t>
  </si>
  <si>
    <t>C.J. Conrad</t>
  </si>
  <si>
    <t>Nick Bowers</t>
  </si>
  <si>
    <t>Farrod Green</t>
  </si>
  <si>
    <t>Noah Togiai</t>
  </si>
  <si>
    <t>Caleb Wilson</t>
  </si>
  <si>
    <t>Kahale Warring</t>
  </si>
  <si>
    <t>Alize Mack</t>
  </si>
  <si>
    <t>Stephen Carlson</t>
  </si>
  <si>
    <t>Ross Travis</t>
  </si>
  <si>
    <t>Antonio Gandy-Golden</t>
  </si>
  <si>
    <t>Isaac Nauta</t>
  </si>
  <si>
    <t>Jordan Thomas</t>
  </si>
  <si>
    <t>Nate Becker</t>
  </si>
  <si>
    <t>Charles Jones</t>
  </si>
  <si>
    <t>Tommy Stevens</t>
  </si>
  <si>
    <t>Tony Poljan</t>
  </si>
  <si>
    <t>Thaddeus Moss</t>
  </si>
  <si>
    <t>Matt Bushman</t>
  </si>
  <si>
    <t>Hunter Bryant</t>
  </si>
  <si>
    <t>Kaden Smith</t>
  </si>
  <si>
    <t>Brandon Dillon</t>
  </si>
  <si>
    <t>Nick Keizer</t>
  </si>
  <si>
    <t>Nick Muse</t>
  </si>
  <si>
    <t>Racey McMath</t>
  </si>
  <si>
    <t>Jakeem Grant Sr.</t>
  </si>
  <si>
    <t>Jason Moore</t>
  </si>
  <si>
    <t>Stanley Morgan</t>
  </si>
  <si>
    <t>Cody White</t>
  </si>
  <si>
    <t>Richie James</t>
  </si>
  <si>
    <t>Jaydon Mickens</t>
  </si>
  <si>
    <t>Gehrig Dieter</t>
  </si>
  <si>
    <t>Cody Core</t>
  </si>
  <si>
    <t>JoJo Natson</t>
  </si>
  <si>
    <t>Fred Brown</t>
  </si>
  <si>
    <t>Reggie Begelton</t>
  </si>
  <si>
    <t>Austin Carr</t>
  </si>
  <si>
    <t>Ishmael Hyman</t>
  </si>
  <si>
    <t>Ryan Switzer</t>
  </si>
  <si>
    <t>Derrick Willies</t>
  </si>
  <si>
    <t>Kevin White</t>
  </si>
  <si>
    <t>Steven Mitchell Jr.</t>
  </si>
  <si>
    <t>Pharoh Cooper</t>
  </si>
  <si>
    <t>Chad Beebe</t>
  </si>
  <si>
    <t>Keith Kirkwood</t>
  </si>
  <si>
    <t>Tyre Brady</t>
  </si>
  <si>
    <t>Keelan Doss</t>
  </si>
  <si>
    <t>Darrius Shepherd</t>
  </si>
  <si>
    <t>Emmanuel Butler</t>
  </si>
  <si>
    <t>Austin Proehl</t>
  </si>
  <si>
    <t>Trey Quinn</t>
  </si>
  <si>
    <t>Duke Williams</t>
  </si>
  <si>
    <t>Jalen Hurd</t>
  </si>
  <si>
    <t>Josh Malone</t>
  </si>
  <si>
    <t>Chad Hansen</t>
  </si>
  <si>
    <t>Rodney Adams</t>
  </si>
  <si>
    <t>Taywan Taylor</t>
  </si>
  <si>
    <t>DaeSean Hamilton</t>
  </si>
  <si>
    <t>Robert Foster</t>
  </si>
  <si>
    <t>River Cracraft</t>
  </si>
  <si>
    <t>John Ross</t>
  </si>
  <si>
    <t>Jeff Badet</t>
  </si>
  <si>
    <t>Dez Bryant</t>
  </si>
  <si>
    <t>Golden Tate</t>
  </si>
  <si>
    <t>Julian Edelman</t>
  </si>
  <si>
    <t>Matthew Slater</t>
  </si>
  <si>
    <t>Danny Amendola</t>
  </si>
  <si>
    <t>Ted Ginn Jr.</t>
  </si>
  <si>
    <t>Larry Fitzgerald</t>
  </si>
  <si>
    <t>Tavon Austin</t>
  </si>
  <si>
    <t>Travis Benjamin</t>
  </si>
  <si>
    <t>Dontrelle Inman</t>
  </si>
  <si>
    <t>Chris Hogan</t>
  </si>
  <si>
    <t>Alshon Jeffery</t>
  </si>
  <si>
    <t>Mohamed Sanu Sr.</t>
  </si>
  <si>
    <t>Marvin Hall</t>
  </si>
  <si>
    <t>Marken Michel</t>
  </si>
  <si>
    <t>Devin Smith</t>
  </si>
  <si>
    <t>Adam Humphries</t>
  </si>
  <si>
    <t>Tommylee Lewis</t>
  </si>
  <si>
    <t>Donte Moncrief</t>
  </si>
  <si>
    <t>John Brown</t>
  </si>
  <si>
    <t>Kenny Stills</t>
  </si>
  <si>
    <t>Bennie Fowler</t>
  </si>
  <si>
    <t>Allen Hurns</t>
  </si>
  <si>
    <t>Willie Snead IV</t>
  </si>
  <si>
    <t>Seth Roberts</t>
  </si>
  <si>
    <t>Diontae Spencer</t>
  </si>
  <si>
    <t>Spencer Schnell</t>
  </si>
  <si>
    <t>Marcus Green</t>
  </si>
  <si>
    <t>Isaiah Ford</t>
  </si>
  <si>
    <t>Ventell Bryant</t>
  </si>
  <si>
    <t>Deon Cain</t>
  </si>
  <si>
    <t>Vyncint Smith</t>
  </si>
  <si>
    <t>Jazz Ferguson</t>
  </si>
  <si>
    <t>Kirk Merritt</t>
  </si>
  <si>
    <t>Antonio Callaway</t>
  </si>
  <si>
    <t>Dede Westbrook</t>
  </si>
  <si>
    <t>Damion Ratley</t>
  </si>
  <si>
    <t>J.J. Koski</t>
  </si>
  <si>
    <t>Josh Hammond</t>
  </si>
  <si>
    <t>Riley Ridley</t>
  </si>
  <si>
    <t>Tyrie Cleveland</t>
  </si>
  <si>
    <t>Cade Johnson</t>
  </si>
  <si>
    <t>Michael Bandy</t>
  </si>
  <si>
    <t>Davion Davis</t>
  </si>
  <si>
    <t>Dan Chisena</t>
  </si>
  <si>
    <t>Calvin Ridley</t>
  </si>
  <si>
    <t>John Ursua</t>
  </si>
  <si>
    <t>Deontay Burnett</t>
  </si>
  <si>
    <t>Trenton Irwin</t>
  </si>
  <si>
    <t>KJ Hill Jr.</t>
  </si>
  <si>
    <t>Kelvin McKnight</t>
  </si>
  <si>
    <t>Terry Godwin</t>
  </si>
  <si>
    <t>Michael Walker</t>
  </si>
  <si>
    <t>Tony Brown</t>
  </si>
  <si>
    <t>Gary Jennings</t>
  </si>
  <si>
    <t>Isaiah Zuber</t>
  </si>
  <si>
    <t>Will Hastings</t>
  </si>
  <si>
    <t>Alex Bachman</t>
  </si>
  <si>
    <t>Emanuel Hall</t>
  </si>
  <si>
    <t>Steven Sims</t>
  </si>
  <si>
    <t>Omar Bayless</t>
  </si>
  <si>
    <t>Malcolm Perry</t>
  </si>
  <si>
    <t>Austin Mack</t>
  </si>
  <si>
    <t>C.J. Saunders</t>
  </si>
  <si>
    <t>Landen Akers</t>
  </si>
  <si>
    <t>Maurice Ffrench</t>
  </si>
  <si>
    <t>Jordan Veasy</t>
  </si>
  <si>
    <t>Aaron Fuller</t>
  </si>
  <si>
    <t>Dillon Mitchell</t>
  </si>
  <si>
    <t>Dillon Stoner</t>
  </si>
  <si>
    <t>Rico Gafford</t>
  </si>
  <si>
    <t>Frank Darby</t>
  </si>
  <si>
    <t>Chris Rowland</t>
  </si>
  <si>
    <t>Anthony Johnson</t>
  </si>
  <si>
    <t>Kawaan Baker</t>
  </si>
  <si>
    <t>Mason Kinsey</t>
  </si>
  <si>
    <t>Sage Surratt</t>
  </si>
  <si>
    <t>Isaiah Wright</t>
  </si>
  <si>
    <t>Matt Cole</t>
  </si>
  <si>
    <t>Jaleel Scott</t>
  </si>
  <si>
    <t>Tre Nixon</t>
  </si>
  <si>
    <t>Trishton Jackson</t>
  </si>
  <si>
    <t>Jeff Thomas</t>
  </si>
  <si>
    <t>Brandon Smith</t>
  </si>
  <si>
    <t>Damion Willis</t>
  </si>
  <si>
    <t>DeMichael Harris</t>
  </si>
  <si>
    <t>Malik Taylor</t>
  </si>
  <si>
    <t>John Hightower</t>
  </si>
  <si>
    <t>Jeff Cotton</t>
  </si>
  <si>
    <t>Easop Winston Jr.</t>
  </si>
  <si>
    <t>Alexander Hollins</t>
  </si>
  <si>
    <t>Myron Mitchell</t>
  </si>
  <si>
    <t>Xavier Jones</t>
  </si>
  <si>
    <t>JaQuan Hardy</t>
  </si>
  <si>
    <t>Demetric Felton</t>
  </si>
  <si>
    <t>Trey Edmunds</t>
  </si>
  <si>
    <t>Jason Cabinda</t>
  </si>
  <si>
    <t>Johnny Stanton</t>
  </si>
  <si>
    <t>Giovanni Ricci</t>
  </si>
  <si>
    <t>Patrick Taylor</t>
  </si>
  <si>
    <t>Isaih Pacheco</t>
  </si>
  <si>
    <t>Avery Williams</t>
  </si>
  <si>
    <t>Darius Anderson</t>
  </si>
  <si>
    <t>Sewo Olonilua</t>
  </si>
  <si>
    <t>Darius Bradwell</t>
  </si>
  <si>
    <t>Trey Ragas</t>
  </si>
  <si>
    <t>Damarea Crockett</t>
  </si>
  <si>
    <t>Karan Higdon</t>
  </si>
  <si>
    <t>Bryce Love</t>
  </si>
  <si>
    <t>Bruce Anderson</t>
  </si>
  <si>
    <t>Josh Adams</t>
  </si>
  <si>
    <t>Dexter Williams</t>
  </si>
  <si>
    <t>Sutton Smith</t>
  </si>
  <si>
    <t>Chris Carson</t>
  </si>
  <si>
    <t>Kerrith Whyte</t>
  </si>
  <si>
    <t>Nathan Cottrell</t>
  </si>
  <si>
    <t>Mike Weber</t>
  </si>
  <si>
    <t>John Kelly</t>
  </si>
  <si>
    <t>LeVante Bellamy</t>
  </si>
  <si>
    <t>Alex Barnes</t>
  </si>
  <si>
    <t>Tony Brooks-James</t>
  </si>
  <si>
    <t>James Williams</t>
  </si>
  <si>
    <t>Chandler Cox</t>
  </si>
  <si>
    <t>Rodney Anderson</t>
  </si>
  <si>
    <t>Jake Bargas</t>
  </si>
  <si>
    <t>Nick Ralston</t>
  </si>
  <si>
    <t>Jordan Scarlett</t>
  </si>
  <si>
    <t>Jeremy Cox</t>
  </si>
  <si>
    <t>Andrew Beck</t>
  </si>
  <si>
    <t>Ito Smith</t>
  </si>
  <si>
    <t>Patrick Laird</t>
  </si>
  <si>
    <t>Bo Scarbrough</t>
  </si>
  <si>
    <t>Elijhaa Penny</t>
  </si>
  <si>
    <t>Tyler Ervin</t>
  </si>
  <si>
    <t>DeAndre Washington</t>
  </si>
  <si>
    <t>Senorise Perry</t>
  </si>
  <si>
    <t>Chris Thompson</t>
  </si>
  <si>
    <t>Theo Riddick</t>
  </si>
  <si>
    <t>Lamar Miller</t>
  </si>
  <si>
    <t>Nick Bellore</t>
  </si>
  <si>
    <t>Dion Lewis</t>
  </si>
  <si>
    <t>Alfred Morris</t>
  </si>
  <si>
    <t>Frank Gore</t>
  </si>
  <si>
    <t>Adrian Peterson</t>
  </si>
  <si>
    <t>Taiwan Jones</t>
  </si>
  <si>
    <t>Anthony Sherman</t>
  </si>
  <si>
    <t>Bruce Miller</t>
  </si>
  <si>
    <t>LeSean McCoy</t>
  </si>
  <si>
    <t>Cullen Gillaspia</t>
  </si>
  <si>
    <t>Austin Walter</t>
  </si>
  <si>
    <t>Jonathan Hilliman</t>
  </si>
  <si>
    <t>Buddy Howell</t>
  </si>
  <si>
    <t>Rodney Smith</t>
  </si>
  <si>
    <t>Jaylen Samuels</t>
  </si>
  <si>
    <t>Reggie Bonnafon</t>
  </si>
  <si>
    <t>John Lovett</t>
  </si>
  <si>
    <t>Wes Hills</t>
  </si>
  <si>
    <t>Peyton Barber</t>
  </si>
  <si>
    <t>Wendell Smallwood</t>
  </si>
  <si>
    <t>Wayne Gallman</t>
  </si>
  <si>
    <t>Elijah McGuire</t>
  </si>
  <si>
    <t>Corey Clement</t>
  </si>
  <si>
    <t>Alex Collins</t>
  </si>
  <si>
    <t>Todd Gurley II</t>
  </si>
  <si>
    <t>T.J. Yeldon</t>
  </si>
  <si>
    <t>D.J. Foster</t>
  </si>
  <si>
    <t>Troymaine Pope</t>
  </si>
  <si>
    <t>C.J. Prosise</t>
  </si>
  <si>
    <t>Alex Armah</t>
  </si>
  <si>
    <t>Michael Warren II</t>
  </si>
  <si>
    <t>Adrian Killins</t>
  </si>
  <si>
    <t>Artavis Pierce</t>
  </si>
  <si>
    <t>Javon Leake</t>
  </si>
  <si>
    <t>Scottie Phillips</t>
  </si>
  <si>
    <t>Christian Wade</t>
  </si>
  <si>
    <t>Mekhi Sargent</t>
  </si>
  <si>
    <t>Gardner Minshew</t>
  </si>
  <si>
    <t>Ryan Finley</t>
  </si>
  <si>
    <t>Kurt Benkert</t>
  </si>
  <si>
    <t>Chris Streveler</t>
  </si>
  <si>
    <t>Nick Fitzgerald</t>
  </si>
  <si>
    <t>P.J. Walker</t>
  </si>
  <si>
    <t>Clayton Thorson</t>
  </si>
  <si>
    <t>Kevin Hogan</t>
  </si>
  <si>
    <t>Blake Bortles</t>
  </si>
  <si>
    <t>Garrett Gilbert</t>
  </si>
  <si>
    <t>AJ McCarron</t>
  </si>
  <si>
    <t>Ryan Fitzpatrick</t>
  </si>
  <si>
    <t>Philip Rivers</t>
  </si>
  <si>
    <t>Ben Roethlisberger</t>
  </si>
  <si>
    <t>Matt Schaub</t>
  </si>
  <si>
    <t>Alex Smith</t>
  </si>
  <si>
    <t>Drew Brees</t>
  </si>
  <si>
    <t>Colin Kaepernick</t>
  </si>
  <si>
    <t>Robert Griffin III</t>
  </si>
  <si>
    <t>Mike Glennon</t>
  </si>
  <si>
    <t>Tyler Bray</t>
  </si>
  <si>
    <t>James Morgan</t>
  </si>
  <si>
    <t>Ben DiNucci</t>
  </si>
  <si>
    <t>Jake Luton</t>
  </si>
  <si>
    <t>Devlin Hodges</t>
  </si>
  <si>
    <t>Kyle Shurmur</t>
  </si>
  <si>
    <t>Reid Sinnett</t>
  </si>
  <si>
    <t>Nate Stanley</t>
  </si>
  <si>
    <t>Cole McDonald</t>
  </si>
  <si>
    <t>Brock Purdy</t>
  </si>
  <si>
    <t>Jordan Ta'amu</t>
  </si>
  <si>
    <t>Jake Fromm</t>
  </si>
  <si>
    <t>Chris Oladokun</t>
  </si>
  <si>
    <t>Anthony Gordon</t>
  </si>
  <si>
    <t>Gabe Davis</t>
  </si>
  <si>
    <t>DJ Chark</t>
  </si>
  <si>
    <t>Devin Singletarty</t>
  </si>
  <si>
    <t>BYF</t>
  </si>
  <si>
    <t>Rhamandre Stevenson</t>
  </si>
  <si>
    <t>JAK</t>
  </si>
  <si>
    <t>Tier</t>
  </si>
  <si>
    <t>Pos</t>
  </si>
  <si>
    <t>Bye Week</t>
  </si>
  <si>
    <t>Sleeper</t>
  </si>
  <si>
    <t>ESPN</t>
  </si>
  <si>
    <t>UDK</t>
  </si>
  <si>
    <t>Rotowire</t>
  </si>
  <si>
    <t>FantasyPro</t>
  </si>
  <si>
    <t>FFToolbox</t>
  </si>
  <si>
    <t>Avg Going Rate</t>
  </si>
  <si>
    <t>Variation</t>
  </si>
  <si>
    <t>Yes</t>
  </si>
  <si>
    <t>No</t>
  </si>
  <si>
    <t>NR</t>
  </si>
  <si>
    <t>Veterans</t>
  </si>
  <si>
    <t>Keeper Price</t>
  </si>
  <si>
    <t>Avg Price</t>
  </si>
  <si>
    <t>Max Bid</t>
  </si>
  <si>
    <t>Amount</t>
  </si>
  <si>
    <t>Bye</t>
  </si>
  <si>
    <t>QB1</t>
  </si>
  <si>
    <t>RB1</t>
  </si>
  <si>
    <t>WR1</t>
  </si>
  <si>
    <t>WR2</t>
  </si>
  <si>
    <t>Get big WR (Tier 1-2)</t>
  </si>
  <si>
    <t>$20-$30 range</t>
  </si>
  <si>
    <t>TJ Hockenson</t>
  </si>
  <si>
    <t>RB2</t>
  </si>
  <si>
    <t>JK Dobbins</t>
  </si>
  <si>
    <t>D/ST</t>
  </si>
  <si>
    <t>RB3</t>
  </si>
  <si>
    <t>RB4</t>
  </si>
  <si>
    <t>RB5</t>
  </si>
  <si>
    <t>IND DST</t>
  </si>
  <si>
    <t>WR3</t>
  </si>
  <si>
    <t>WR4</t>
  </si>
  <si>
    <t>Go D/ST 1st</t>
  </si>
  <si>
    <t>RB6</t>
  </si>
  <si>
    <t>ARZ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</si>
</sst>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###0;###0"/>
  </numFmts>
  <fonts count="19">
    <font>
      <sz val="10.0"/>
      <color rgb="FF000000"/>
      <name val="Arial"/>
    </font>
    <font>
      <b/>
      <sz val="11.0"/>
      <color rgb="FF000000"/>
      <name val="Calibri"/>
    </font>
    <font>
      <b/>
      <sz val="11.0"/>
      <name val="Calibri"/>
    </font>
    <font>
      <sz val="7.0"/>
    </font>
    <font>
      <sz val="10.0"/>
      <name val="Calibri"/>
    </font>
    <font>
      <sz val="11.0"/>
      <name val="Calibri"/>
    </font>
    <font>
      <sz val="11.0"/>
      <color rgb="FF000000"/>
      <name val="Calibri"/>
    </font>
    <font>
      <name val="Calibri"/>
    </font>
    <font>
      <sz val="10.0"/>
      <color rgb="FF454545"/>
      <name val="Calibri"/>
    </font>
    <font>
      <color rgb="FF454545"/>
      <name val="Proxima_regular"/>
    </font>
    <font/>
    <font>
      <sz val="10.0"/>
      <color rgb="FF000000"/>
      <name val="Calibri"/>
    </font>
    <font>
      <sz val="11.0"/>
      <color rgb="FF000000"/>
      <name val="Inconsolata"/>
    </font>
    <font>
      <b/>
      <color rgb="FFFFFFFF"/>
    </font>
    <font>
      <b/>
    </font>
    <font>
      <b/>
      <color rgb="FF000000"/>
      <name val="Calibri"/>
    </font>
    <font>
      <b/>
      <name val="Calibri"/>
    </font>
    <font>
      <color rgb="FF222222"/>
      <name val="Calibri"/>
    </font>
    <font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readingOrder="0" vertical="bottom"/>
    </xf>
    <xf borderId="1" fillId="3" fontId="2" numFmtId="0" xfId="0" applyAlignment="1" applyBorder="1" applyFill="1" applyFont="1">
      <alignment horizontal="center" readingOrder="0"/>
    </xf>
    <xf borderId="0" fillId="0" fontId="3" numFmtId="0" xfId="0" applyAlignment="1" applyFont="1">
      <alignment horizontal="left" readingOrder="0" vertical="center"/>
    </xf>
    <xf borderId="1" fillId="4" fontId="4" numFmtId="1" xfId="0" applyAlignment="1" applyBorder="1" applyFill="1" applyFont="1" applyNumberFormat="1">
      <alignment horizontal="center" readingOrder="0" shrinkToFit="0" wrapText="0"/>
    </xf>
    <xf borderId="2" fillId="0" fontId="5" numFmtId="0" xfId="0" applyAlignment="1" applyBorder="1" applyFont="1">
      <alignment horizontal="left" readingOrder="0" vertical="center"/>
    </xf>
    <xf borderId="3" fillId="0" fontId="5" numFmtId="0" xfId="0" applyAlignment="1" applyBorder="1" applyFont="1">
      <alignment horizontal="center" readingOrder="0" vertical="center"/>
    </xf>
    <xf borderId="3" fillId="0" fontId="6" numFmtId="164" xfId="0" applyAlignment="1" applyBorder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vertical="bottom"/>
    </xf>
    <xf borderId="1" fillId="2" fontId="1" numFmtId="164" xfId="0" applyAlignment="1" applyBorder="1" applyFont="1" applyNumberFormat="1">
      <alignment horizontal="center" readingOrder="0"/>
    </xf>
    <xf borderId="1" fillId="2" fontId="1" numFmtId="164" xfId="0" applyAlignment="1" applyBorder="1" applyFont="1" applyNumberFormat="1">
      <alignment horizontal="center" readingOrder="0" vertical="bottom"/>
    </xf>
    <xf borderId="1" fillId="4" fontId="7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left" readingOrder="0" shrinkToFit="0" vertical="center" wrapText="0"/>
    </xf>
    <xf borderId="4" fillId="0" fontId="6" numFmtId="0" xfId="0" applyAlignment="1" applyBorder="1" applyFont="1">
      <alignment horizontal="center" readingOrder="0" shrinkToFit="0" vertical="center" wrapText="0"/>
    </xf>
    <xf borderId="4" fillId="0" fontId="6" numFmtId="164" xfId="0" applyAlignment="1" applyBorder="1" applyFont="1" applyNumberFormat="1">
      <alignment horizontal="center" readingOrder="0" shrinkToFit="0" vertical="center" wrapText="0"/>
    </xf>
    <xf borderId="2" fillId="0" fontId="6" numFmtId="0" xfId="0" applyAlignment="1" applyBorder="1" applyFont="1">
      <alignment horizontal="left" readingOrder="0" shrinkToFit="0" vertical="center" wrapText="0"/>
    </xf>
    <xf borderId="3" fillId="0" fontId="6" numFmtId="0" xfId="0" applyAlignment="1" applyBorder="1" applyFont="1">
      <alignment horizontal="center" readingOrder="0" shrinkToFit="0" vertical="center" wrapText="0"/>
    </xf>
    <xf borderId="1" fillId="4" fontId="8" numFmtId="1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readingOrder="0" shrinkToFit="0" vertical="center" wrapText="0"/>
    </xf>
    <xf borderId="3" fillId="4" fontId="9" numFmtId="0" xfId="0" applyAlignment="1" applyBorder="1" applyFont="1">
      <alignment horizontal="center" readingOrder="0" vertical="center"/>
    </xf>
    <xf borderId="3" fillId="4" fontId="9" numFmtId="164" xfId="0" applyAlignment="1" applyBorder="1" applyFont="1" applyNumberFormat="1">
      <alignment horizontal="center" readingOrder="0" vertical="center"/>
    </xf>
    <xf borderId="3" fillId="0" fontId="6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horizontal="center" readingOrder="0" vertical="center"/>
    </xf>
    <xf borderId="1" fillId="0" fontId="7" numFmtId="1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center" readingOrder="0" shrinkToFit="0" vertical="center" wrapText="0"/>
    </xf>
    <xf borderId="2" fillId="0" fontId="6" numFmtId="0" xfId="0" applyAlignment="1" applyBorder="1" applyFont="1">
      <alignment readingOrder="0" shrinkToFit="0" vertical="center" wrapText="0"/>
    </xf>
    <xf borderId="3" fillId="0" fontId="6" numFmtId="0" xfId="0" applyAlignment="1" applyBorder="1" applyFont="1">
      <alignment horizontal="center" shrinkToFit="0" vertical="center" wrapText="0"/>
    </xf>
    <xf borderId="0" fillId="0" fontId="10" numFmtId="0" xfId="0" applyAlignment="1" applyFont="1">
      <alignment horizontal="center" vertical="center"/>
    </xf>
    <xf borderId="1" fillId="3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ont="1">
      <alignment horizontal="center" readingOrder="0"/>
    </xf>
    <xf borderId="0" fillId="0" fontId="5" numFmtId="0" xfId="0" applyFont="1"/>
    <xf borderId="1" fillId="4" fontId="5" numFmtId="0" xfId="0" applyAlignment="1" applyBorder="1" applyFont="1">
      <alignment horizontal="center" readingOrder="0" vertical="bottom"/>
    </xf>
    <xf borderId="1" fillId="4" fontId="5" numFmtId="0" xfId="0" applyAlignment="1" applyBorder="1" applyFont="1">
      <alignment horizontal="center" vertical="bottom"/>
    </xf>
    <xf borderId="1" fillId="4" fontId="11" numFmtId="164" xfId="0" applyAlignment="1" applyBorder="1" applyFont="1" applyNumberFormat="1">
      <alignment horizontal="center"/>
    </xf>
    <xf borderId="1" fillId="4" fontId="12" numFmtId="164" xfId="0" applyAlignment="1" applyBorder="1" applyFont="1" applyNumberFormat="1">
      <alignment horizontal="center" vertical="center"/>
    </xf>
    <xf borderId="1" fillId="4" fontId="7" numFmtId="164" xfId="0" applyAlignment="1" applyBorder="1" applyFont="1" applyNumberFormat="1">
      <alignment horizontal="center"/>
    </xf>
    <xf borderId="0" fillId="0" fontId="7" numFmtId="0" xfId="0" applyFont="1"/>
    <xf borderId="5" fillId="5" fontId="13" numFmtId="0" xfId="0" applyAlignment="1" applyBorder="1" applyFill="1" applyFont="1">
      <alignment horizontal="center" readingOrder="0" vertical="center"/>
    </xf>
    <xf borderId="6" fillId="0" fontId="10" numFmtId="0" xfId="0" applyBorder="1" applyFont="1"/>
    <xf borderId="7" fillId="0" fontId="10" numFmtId="0" xfId="0" applyBorder="1" applyFont="1"/>
    <xf borderId="0" fillId="6" fontId="10" numFmtId="0" xfId="0" applyFill="1" applyFont="1"/>
    <xf borderId="8" fillId="7" fontId="14" numFmtId="164" xfId="0" applyAlignment="1" applyBorder="1" applyFill="1" applyFont="1" applyNumberFormat="1">
      <alignment horizontal="center"/>
    </xf>
    <xf borderId="0" fillId="6" fontId="10" numFmtId="0" xfId="0" applyAlignment="1" applyFont="1">
      <alignment horizontal="center" vertical="center"/>
    </xf>
    <xf borderId="2" fillId="3" fontId="15" numFmtId="0" xfId="0" applyAlignment="1" applyBorder="1" applyFont="1">
      <alignment horizontal="center" readingOrder="0" shrinkToFit="0" vertical="center" wrapText="0"/>
    </xf>
    <xf borderId="8" fillId="8" fontId="16" numFmtId="0" xfId="0" applyAlignment="1" applyBorder="1" applyFill="1" applyFont="1">
      <alignment horizontal="center" readingOrder="0"/>
    </xf>
    <xf borderId="9" fillId="8" fontId="16" numFmtId="0" xfId="0" applyAlignment="1" applyBorder="1" applyFont="1">
      <alignment horizontal="center" readingOrder="0"/>
    </xf>
    <xf borderId="10" fillId="8" fontId="16" numFmtId="0" xfId="0" applyAlignment="1" applyBorder="1" applyFont="1">
      <alignment horizontal="center" readingOrder="0"/>
    </xf>
    <xf borderId="11" fillId="8" fontId="16" numFmtId="0" xfId="0" applyAlignment="1" applyBorder="1" applyFont="1">
      <alignment horizontal="center" readingOrder="0"/>
    </xf>
    <xf borderId="0" fillId="6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2" fillId="4" fontId="17" numFmtId="0" xfId="0" applyAlignment="1" applyBorder="1" applyFont="1">
      <alignment readingOrder="0"/>
    </xf>
    <xf borderId="1" fillId="4" fontId="17" numFmtId="0" xfId="0" applyAlignment="1" applyBorder="1" applyFont="1">
      <alignment horizontal="center" readingOrder="0" vertical="center"/>
    </xf>
    <xf borderId="1" fillId="4" fontId="17" numFmtId="164" xfId="0" applyAlignment="1" applyBorder="1" applyFont="1" applyNumberFormat="1">
      <alignment horizontal="center" readingOrder="0" vertical="center"/>
    </xf>
    <xf borderId="1" fillId="4" fontId="6" numFmtId="164" xfId="0" applyAlignment="1" applyBorder="1" applyFont="1" applyNumberFormat="1">
      <alignment horizontal="center" readingOrder="0" vertical="center"/>
    </xf>
    <xf borderId="12" fillId="0" fontId="7" numFmtId="0" xfId="0" applyAlignment="1" applyBorder="1" applyFont="1">
      <alignment readingOrder="0"/>
    </xf>
    <xf borderId="13" fillId="0" fontId="7" numFmtId="0" xfId="0" applyAlignment="1" applyBorder="1" applyFont="1">
      <alignment readingOrder="0"/>
    </xf>
    <xf borderId="13" fillId="0" fontId="7" numFmtId="164" xfId="0" applyAlignment="1" applyBorder="1" applyFont="1" applyNumberFormat="1">
      <alignment horizontal="center" readingOrder="0"/>
    </xf>
    <xf borderId="1" fillId="0" fontId="10" numFmtId="0" xfId="0" applyAlignment="1" applyBorder="1" applyFont="1">
      <alignment horizontal="center" readingOrder="0" vertical="center"/>
    </xf>
    <xf borderId="14" fillId="0" fontId="7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1" fillId="0" fontId="7" numFmtId="164" xfId="0" applyAlignment="1" applyBorder="1" applyFont="1" applyNumberFormat="1">
      <alignment horizontal="center" readingOrder="0"/>
    </xf>
    <xf borderId="0" fillId="0" fontId="10" numFmtId="0" xfId="0" applyAlignment="1" applyFont="1">
      <alignment horizontal="left" readingOrder="0" vertical="center"/>
    </xf>
    <xf borderId="3" fillId="4" fontId="18" numFmtId="0" xfId="0" applyAlignment="1" applyBorder="1" applyFont="1">
      <alignment readingOrder="0" shrinkToFit="0" vertical="bottom" wrapText="0"/>
    </xf>
    <xf borderId="4" fillId="4" fontId="18" numFmtId="0" xfId="0" applyAlignment="1" applyBorder="1" applyFont="1">
      <alignment readingOrder="0" vertical="bottom"/>
    </xf>
    <xf borderId="1" fillId="0" fontId="10" numFmtId="0" xfId="0" applyBorder="1" applyFont="1"/>
    <xf borderId="1" fillId="0" fontId="7" numFmtId="164" xfId="0" applyAlignment="1" applyBorder="1" applyFont="1" applyNumberFormat="1">
      <alignment horizontal="center" readingOrder="0" vertical="center"/>
    </xf>
    <xf borderId="1" fillId="4" fontId="17" numFmtId="0" xfId="0" applyAlignment="1" applyBorder="1" applyFont="1">
      <alignment readingOrder="0"/>
    </xf>
    <xf borderId="1" fillId="4" fontId="6" numFmtId="164" xfId="0" applyAlignment="1" applyBorder="1" applyFont="1" applyNumberFormat="1">
      <alignment horizontal="center" vertical="center"/>
    </xf>
    <xf borderId="15" fillId="0" fontId="7" numFmtId="0" xfId="0" applyAlignment="1" applyBorder="1" applyFont="1">
      <alignment readingOrder="0"/>
    </xf>
    <xf borderId="16" fillId="0" fontId="7" numFmtId="0" xfId="0" applyAlignment="1" applyBorder="1" applyFont="1">
      <alignment readingOrder="0"/>
    </xf>
    <xf borderId="16" fillId="0" fontId="7" numFmtId="164" xfId="0" applyAlignment="1" applyBorder="1" applyFont="1" applyNumberFormat="1">
      <alignment horizontal="center" readingOrder="0"/>
    </xf>
    <xf borderId="0" fillId="6" fontId="7" numFmtId="0" xfId="0" applyAlignment="1" applyFont="1">
      <alignment readingOrder="0"/>
    </xf>
    <xf borderId="0" fillId="6" fontId="7" numFmtId="0" xfId="0" applyFont="1"/>
    <xf borderId="17" fillId="6" fontId="16" numFmtId="164" xfId="0" applyAlignment="1" applyBorder="1" applyFont="1" applyNumberFormat="1">
      <alignment horizontal="center"/>
    </xf>
    <xf borderId="18" fillId="6" fontId="10" numFmtId="2" xfId="0" applyAlignment="1" applyBorder="1" applyFont="1" applyNumberFormat="1">
      <alignment horizontal="center" vertical="center"/>
    </xf>
    <xf borderId="19" fillId="6" fontId="10" numFmtId="2" xfId="0" applyAlignment="1" applyBorder="1" applyFont="1" applyNumberFormat="1">
      <alignment horizontal="center" vertical="center"/>
    </xf>
    <xf borderId="8" fillId="0" fontId="16" numFmtId="164" xfId="0" applyAlignment="1" applyBorder="1" applyFont="1" applyNumberFormat="1">
      <alignment horizontal="center"/>
    </xf>
    <xf borderId="20" fillId="6" fontId="10" numFmtId="2" xfId="0" applyAlignment="1" applyBorder="1" applyFont="1" applyNumberFormat="1">
      <alignment horizontal="center" vertical="center"/>
    </xf>
    <xf borderId="7" fillId="0" fontId="10" numFmtId="2" xfId="0" applyAlignment="1" applyBorder="1" applyFont="1" applyNumberFormat="1">
      <alignment horizontal="center" vertical="center"/>
    </xf>
    <xf borderId="3" fillId="6" fontId="18" numFmtId="0" xfId="0" applyAlignment="1" applyBorder="1" applyFont="1">
      <alignment readingOrder="0" shrinkToFit="0" vertical="bottom" wrapText="0"/>
    </xf>
    <xf borderId="1" fillId="6" fontId="17" numFmtId="0" xfId="0" applyAlignment="1" applyBorder="1" applyFont="1">
      <alignment horizontal="center" readingOrder="0" vertical="center"/>
    </xf>
    <xf borderId="1" fillId="6" fontId="17" numFmtId="164" xfId="0" applyAlignment="1" applyBorder="1" applyFont="1" applyNumberFormat="1">
      <alignment horizontal="center" readingOrder="0" vertical="center"/>
    </xf>
    <xf borderId="1" fillId="6" fontId="6" numFmtId="164" xfId="0" applyAlignment="1" applyBorder="1" applyFont="1" applyNumberFormat="1">
      <alignment horizontal="center" vertical="center"/>
    </xf>
    <xf borderId="1" fillId="6" fontId="7" numFmtId="164" xfId="0" applyAlignment="1" applyBorder="1" applyFont="1" applyNumberFormat="1">
      <alignment horizontal="center" readingOrder="0" vertical="center"/>
    </xf>
    <xf borderId="0" fillId="6" fontId="10" numFmtId="0" xfId="0" applyAlignment="1" applyFont="1">
      <alignment horizontal="left"/>
    </xf>
    <xf borderId="0" fillId="6" fontId="10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center"/>
    </xf>
    <xf borderId="1" fillId="0" fontId="18" numFmtId="0" xfId="0" applyAlignment="1" applyBorder="1" applyFont="1">
      <alignment horizontal="center" readingOrder="0" shrinkToFit="0" wrapText="0"/>
    </xf>
    <xf borderId="1" fillId="8" fontId="1" numFmtId="165" xfId="0" applyAlignment="1" applyBorder="1" applyFont="1" applyNumberFormat="1">
      <alignment horizontal="center" readingOrder="0" shrinkToFit="0" wrapText="1"/>
    </xf>
    <xf borderId="3" fillId="8" fontId="1" numFmtId="165" xfId="0" applyAlignment="1" applyBorder="1" applyFont="1" applyNumberFormat="1">
      <alignment horizontal="center" readingOrder="0" shrinkToFit="0" vertical="center" wrapText="1"/>
    </xf>
    <xf borderId="1" fillId="4" fontId="4" numFmtId="0" xfId="0" applyAlignment="1" applyBorder="1" applyFont="1">
      <alignment readingOrder="0" shrinkToFit="0" wrapText="1"/>
    </xf>
    <xf borderId="1" fillId="0" fontId="11" numFmtId="165" xfId="0" applyAlignment="1" applyBorder="1" applyFont="1" applyNumberFormat="1">
      <alignment horizontal="center" readingOrder="0" shrinkToFit="0" wrapText="1"/>
    </xf>
    <xf borderId="3" fillId="0" fontId="11" numFmtId="164" xfId="0" applyAlignment="1" applyBorder="1" applyFont="1" applyNumberFormat="1">
      <alignment horizontal="center" readingOrder="0" shrinkToFit="0" vertical="center" wrapText="1"/>
    </xf>
    <xf borderId="1" fillId="0" fontId="11" numFmtId="165" xfId="0" applyAlignment="1" applyBorder="1" applyFont="1" applyNumberFormat="1">
      <alignment horizontal="center" shrinkToFit="0" wrapText="1"/>
    </xf>
    <xf borderId="3" fillId="4" fontId="4" numFmtId="0" xfId="0" applyAlignment="1" applyBorder="1" applyFont="1">
      <alignment readingOrder="0" shrinkToFit="0" vertical="center" wrapText="1"/>
    </xf>
    <xf borderId="0" fillId="9" fontId="2" numFmtId="0" xfId="0" applyAlignment="1" applyFill="1" applyFont="1">
      <alignment horizontal="center" vertical="bottom"/>
    </xf>
    <xf borderId="1" fillId="9" fontId="2" numFmtId="0" xfId="0" applyAlignment="1" applyBorder="1" applyFont="1">
      <alignment horizontal="center" vertical="bottom"/>
    </xf>
  </cellXfs>
  <cellStyles count="1">
    <cellStyle xfId="0" name="Normal" builtinId="0"/>
  </cellStyles>
  <dxfs count="1">
    <dxf>
      <font>
        <strike/>
        <color rgb="FFFF000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13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G1" s="5" t="s">
        <v>5</v>
      </c>
    </row>
    <row r="2">
      <c r="A2" s="6">
        <v>1.0</v>
      </c>
      <c r="B2" s="7" t="s">
        <v>6</v>
      </c>
      <c r="C2" s="8" t="s">
        <v>7</v>
      </c>
      <c r="D2" s="8" t="s">
        <v>8</v>
      </c>
      <c r="E2" s="9">
        <v>61.0</v>
      </c>
      <c r="F2" s="5"/>
    </row>
    <row r="3">
      <c r="A3" s="6">
        <v>2.0</v>
      </c>
      <c r="B3" s="7" t="s">
        <v>9</v>
      </c>
      <c r="C3" s="8" t="s">
        <v>10</v>
      </c>
      <c r="D3" s="8" t="s">
        <v>8</v>
      </c>
      <c r="E3" s="9">
        <v>59.0</v>
      </c>
    </row>
    <row r="4">
      <c r="A4" s="6">
        <v>3.0</v>
      </c>
      <c r="B4" s="7" t="s">
        <v>11</v>
      </c>
      <c r="C4" s="8" t="s">
        <v>12</v>
      </c>
      <c r="D4" s="8" t="s">
        <v>13</v>
      </c>
      <c r="E4" s="9">
        <v>59.0</v>
      </c>
    </row>
    <row r="5">
      <c r="A5" s="6">
        <v>4.0</v>
      </c>
      <c r="B5" s="7" t="s">
        <v>14</v>
      </c>
      <c r="C5" s="8" t="s">
        <v>15</v>
      </c>
      <c r="D5" s="8" t="s">
        <v>8</v>
      </c>
      <c r="E5" s="9">
        <v>58.0</v>
      </c>
    </row>
    <row r="6">
      <c r="A6" s="6">
        <v>5.0</v>
      </c>
      <c r="B6" s="7" t="s">
        <v>16</v>
      </c>
      <c r="C6" s="8" t="s">
        <v>17</v>
      </c>
      <c r="D6" s="8" t="s">
        <v>13</v>
      </c>
      <c r="E6" s="9">
        <v>55.0</v>
      </c>
    </row>
    <row r="7">
      <c r="A7" s="6">
        <v>6.0</v>
      </c>
      <c r="B7" s="7" t="s">
        <v>18</v>
      </c>
      <c r="C7" s="8" t="s">
        <v>19</v>
      </c>
      <c r="D7" s="8" t="s">
        <v>13</v>
      </c>
      <c r="E7" s="9">
        <v>54.0</v>
      </c>
    </row>
    <row r="8">
      <c r="A8" s="6">
        <v>7.0</v>
      </c>
      <c r="B8" s="7" t="s">
        <v>20</v>
      </c>
      <c r="C8" s="8" t="s">
        <v>21</v>
      </c>
      <c r="D8" s="8" t="s">
        <v>8</v>
      </c>
      <c r="E8" s="9">
        <v>52.0</v>
      </c>
    </row>
    <row r="9">
      <c r="A9" s="6">
        <v>8.0</v>
      </c>
      <c r="B9" s="7" t="s">
        <v>22</v>
      </c>
      <c r="C9" s="8" t="s">
        <v>23</v>
      </c>
      <c r="D9" s="8" t="s">
        <v>8</v>
      </c>
      <c r="E9" s="9">
        <v>50.0</v>
      </c>
    </row>
    <row r="10">
      <c r="A10" s="6">
        <v>9.0</v>
      </c>
      <c r="B10" s="7" t="s">
        <v>24</v>
      </c>
      <c r="C10" s="8" t="s">
        <v>25</v>
      </c>
      <c r="D10" s="8" t="s">
        <v>13</v>
      </c>
      <c r="E10" s="9">
        <v>49.0</v>
      </c>
    </row>
    <row r="11">
      <c r="A11" s="6">
        <v>10.0</v>
      </c>
      <c r="B11" s="7" t="s">
        <v>26</v>
      </c>
      <c r="C11" s="8" t="s">
        <v>17</v>
      </c>
      <c r="D11" s="8" t="s">
        <v>8</v>
      </c>
      <c r="E11" s="9">
        <v>46.0</v>
      </c>
    </row>
    <row r="12">
      <c r="A12" s="6">
        <v>11.0</v>
      </c>
      <c r="B12" s="7" t="s">
        <v>27</v>
      </c>
      <c r="C12" s="8" t="s">
        <v>28</v>
      </c>
      <c r="D12" s="8" t="s">
        <v>13</v>
      </c>
      <c r="E12" s="9">
        <v>45.0</v>
      </c>
    </row>
    <row r="13">
      <c r="A13" s="6">
        <v>12.0</v>
      </c>
      <c r="B13" s="7" t="s">
        <v>29</v>
      </c>
      <c r="C13" s="8" t="s">
        <v>30</v>
      </c>
      <c r="D13" s="8" t="s">
        <v>13</v>
      </c>
      <c r="E13" s="9">
        <v>44.0</v>
      </c>
    </row>
    <row r="14">
      <c r="A14" s="6">
        <v>13.0</v>
      </c>
      <c r="B14" s="7" t="s">
        <v>31</v>
      </c>
      <c r="C14" s="8" t="s">
        <v>32</v>
      </c>
      <c r="D14" s="8" t="s">
        <v>13</v>
      </c>
      <c r="E14" s="9">
        <v>44.0</v>
      </c>
    </row>
    <row r="15">
      <c r="A15" s="6">
        <v>14.0</v>
      </c>
      <c r="B15" s="7" t="s">
        <v>33</v>
      </c>
      <c r="C15" s="8" t="s">
        <v>19</v>
      </c>
      <c r="D15" s="8" t="s">
        <v>8</v>
      </c>
      <c r="E15" s="9">
        <v>43.0</v>
      </c>
    </row>
    <row r="16">
      <c r="A16" s="6">
        <v>15.0</v>
      </c>
      <c r="B16" s="7" t="s">
        <v>34</v>
      </c>
      <c r="C16" s="8" t="s">
        <v>35</v>
      </c>
      <c r="D16" s="8" t="s">
        <v>8</v>
      </c>
      <c r="E16" s="9">
        <v>42.0</v>
      </c>
    </row>
    <row r="17">
      <c r="A17" s="6">
        <v>16.0</v>
      </c>
      <c r="B17" s="7" t="s">
        <v>36</v>
      </c>
      <c r="C17" s="8" t="s">
        <v>37</v>
      </c>
      <c r="D17" s="8" t="s">
        <v>8</v>
      </c>
      <c r="E17" s="9">
        <v>40.0</v>
      </c>
    </row>
    <row r="18">
      <c r="A18" s="6">
        <v>17.0</v>
      </c>
      <c r="B18" s="7" t="s">
        <v>38</v>
      </c>
      <c r="C18" s="8" t="s">
        <v>39</v>
      </c>
      <c r="D18" s="8" t="s">
        <v>13</v>
      </c>
      <c r="E18" s="9">
        <v>38.0</v>
      </c>
    </row>
    <row r="19">
      <c r="A19" s="6">
        <v>18.0</v>
      </c>
      <c r="B19" s="7" t="s">
        <v>40</v>
      </c>
      <c r="C19" s="8" t="s">
        <v>41</v>
      </c>
      <c r="D19" s="8" t="s">
        <v>8</v>
      </c>
      <c r="E19" s="9">
        <v>37.0</v>
      </c>
    </row>
    <row r="20">
      <c r="A20" s="6">
        <v>19.0</v>
      </c>
      <c r="B20" s="7" t="s">
        <v>42</v>
      </c>
      <c r="C20" s="8" t="s">
        <v>43</v>
      </c>
      <c r="D20" s="8" t="s">
        <v>8</v>
      </c>
      <c r="E20" s="9">
        <v>36.0</v>
      </c>
    </row>
    <row r="21">
      <c r="A21" s="6">
        <v>20.0</v>
      </c>
      <c r="B21" s="7" t="s">
        <v>44</v>
      </c>
      <c r="C21" s="8" t="s">
        <v>45</v>
      </c>
      <c r="D21" s="8" t="s">
        <v>8</v>
      </c>
      <c r="E21" s="9">
        <v>35.0</v>
      </c>
    </row>
    <row r="22">
      <c r="A22" s="6">
        <v>21.0</v>
      </c>
      <c r="B22" s="7" t="s">
        <v>46</v>
      </c>
      <c r="C22" s="8" t="s">
        <v>47</v>
      </c>
      <c r="D22" s="8" t="s">
        <v>8</v>
      </c>
      <c r="E22" s="9">
        <v>34.0</v>
      </c>
    </row>
    <row r="23">
      <c r="A23" s="6">
        <v>22.0</v>
      </c>
      <c r="B23" s="7" t="s">
        <v>48</v>
      </c>
      <c r="C23" s="8" t="s">
        <v>12</v>
      </c>
      <c r="D23" s="8" t="s">
        <v>8</v>
      </c>
      <c r="E23" s="9">
        <v>33.0</v>
      </c>
    </row>
    <row r="24">
      <c r="A24" s="6">
        <v>23.0</v>
      </c>
      <c r="B24" s="7" t="s">
        <v>49</v>
      </c>
      <c r="C24" s="8" t="s">
        <v>15</v>
      </c>
      <c r="D24" s="8" t="s">
        <v>13</v>
      </c>
      <c r="E24" s="9">
        <v>32.0</v>
      </c>
    </row>
    <row r="25">
      <c r="A25" s="6">
        <v>24.0</v>
      </c>
      <c r="B25" s="7" t="s">
        <v>50</v>
      </c>
      <c r="C25" s="8" t="s">
        <v>19</v>
      </c>
      <c r="D25" s="8" t="s">
        <v>13</v>
      </c>
      <c r="E25" s="9">
        <v>32.0</v>
      </c>
    </row>
    <row r="26">
      <c r="A26" s="6">
        <v>25.0</v>
      </c>
      <c r="B26" s="7" t="s">
        <v>51</v>
      </c>
      <c r="C26" s="8" t="s">
        <v>10</v>
      </c>
      <c r="D26" s="8" t="s">
        <v>13</v>
      </c>
      <c r="E26" s="9">
        <v>31.0</v>
      </c>
    </row>
    <row r="27">
      <c r="A27" s="6">
        <v>26.0</v>
      </c>
      <c r="B27" s="7" t="s">
        <v>52</v>
      </c>
      <c r="C27" s="8" t="s">
        <v>53</v>
      </c>
      <c r="D27" s="8" t="s">
        <v>8</v>
      </c>
      <c r="E27" s="9">
        <v>30.0</v>
      </c>
    </row>
    <row r="28">
      <c r="A28" s="6">
        <v>27.0</v>
      </c>
      <c r="B28" s="7" t="s">
        <v>54</v>
      </c>
      <c r="C28" s="8" t="s">
        <v>55</v>
      </c>
      <c r="D28" s="8" t="s">
        <v>8</v>
      </c>
      <c r="E28" s="9">
        <v>30.0</v>
      </c>
    </row>
    <row r="29">
      <c r="A29" s="6">
        <v>28.0</v>
      </c>
      <c r="B29" s="7" t="s">
        <v>56</v>
      </c>
      <c r="C29" s="8" t="s">
        <v>37</v>
      </c>
      <c r="D29" s="8" t="s">
        <v>13</v>
      </c>
      <c r="E29" s="9">
        <v>29.0</v>
      </c>
    </row>
    <row r="30">
      <c r="A30" s="6">
        <v>29.0</v>
      </c>
      <c r="B30" s="7" t="s">
        <v>57</v>
      </c>
      <c r="C30" s="8" t="s">
        <v>58</v>
      </c>
      <c r="D30" s="8" t="s">
        <v>59</v>
      </c>
      <c r="E30" s="9">
        <v>28.0</v>
      </c>
    </row>
    <row r="31">
      <c r="A31" s="6">
        <v>30.0</v>
      </c>
      <c r="B31" s="7" t="s">
        <v>60</v>
      </c>
      <c r="C31" s="8" t="s">
        <v>39</v>
      </c>
      <c r="D31" s="8" t="s">
        <v>13</v>
      </c>
      <c r="E31" s="9">
        <v>26.0</v>
      </c>
    </row>
    <row r="32">
      <c r="A32" s="6">
        <v>31.0</v>
      </c>
      <c r="B32" s="7" t="s">
        <v>61</v>
      </c>
      <c r="C32" s="8" t="s">
        <v>62</v>
      </c>
      <c r="D32" s="8" t="s">
        <v>59</v>
      </c>
      <c r="E32" s="9">
        <v>26.0</v>
      </c>
    </row>
    <row r="33">
      <c r="A33" s="6">
        <v>32.0</v>
      </c>
      <c r="B33" s="7" t="s">
        <v>63</v>
      </c>
      <c r="C33" s="8" t="s">
        <v>64</v>
      </c>
      <c r="D33" s="8" t="s">
        <v>13</v>
      </c>
      <c r="E33" s="9">
        <v>25.0</v>
      </c>
    </row>
    <row r="34">
      <c r="A34" s="6">
        <v>33.0</v>
      </c>
      <c r="B34" s="7" t="s">
        <v>65</v>
      </c>
      <c r="C34" s="8" t="s">
        <v>66</v>
      </c>
      <c r="D34" s="8" t="s">
        <v>8</v>
      </c>
      <c r="E34" s="9">
        <v>24.0</v>
      </c>
    </row>
    <row r="35">
      <c r="A35" s="6">
        <v>34.0</v>
      </c>
      <c r="B35" s="7" t="s">
        <v>67</v>
      </c>
      <c r="C35" s="8" t="s">
        <v>58</v>
      </c>
      <c r="D35" s="8" t="s">
        <v>8</v>
      </c>
      <c r="E35" s="9">
        <v>23.0</v>
      </c>
    </row>
    <row r="36">
      <c r="A36" s="6">
        <v>35.0</v>
      </c>
      <c r="B36" s="7" t="s">
        <v>68</v>
      </c>
      <c r="C36" s="8" t="s">
        <v>69</v>
      </c>
      <c r="D36" s="8" t="s">
        <v>8</v>
      </c>
      <c r="E36" s="9">
        <v>22.0</v>
      </c>
    </row>
    <row r="37">
      <c r="A37" s="6">
        <v>36.0</v>
      </c>
      <c r="B37" s="7" t="s">
        <v>70</v>
      </c>
      <c r="C37" s="8" t="s">
        <v>32</v>
      </c>
      <c r="D37" s="8" t="s">
        <v>8</v>
      </c>
      <c r="E37" s="9">
        <v>22.0</v>
      </c>
    </row>
    <row r="38">
      <c r="A38" s="6">
        <v>37.0</v>
      </c>
      <c r="B38" s="7" t="s">
        <v>71</v>
      </c>
      <c r="C38" s="8" t="s">
        <v>7</v>
      </c>
      <c r="D38" s="8" t="s">
        <v>13</v>
      </c>
      <c r="E38" s="9">
        <v>22.0</v>
      </c>
    </row>
    <row r="39">
      <c r="A39" s="6">
        <v>38.0</v>
      </c>
      <c r="B39" s="7" t="s">
        <v>72</v>
      </c>
      <c r="C39" s="8" t="s">
        <v>73</v>
      </c>
      <c r="D39" s="8" t="s">
        <v>13</v>
      </c>
      <c r="E39" s="9">
        <v>21.0</v>
      </c>
    </row>
    <row r="40">
      <c r="A40" s="6">
        <v>39.0</v>
      </c>
      <c r="B40" s="7" t="s">
        <v>74</v>
      </c>
      <c r="C40" s="8" t="s">
        <v>23</v>
      </c>
      <c r="D40" s="8" t="s">
        <v>13</v>
      </c>
      <c r="E40" s="9">
        <v>21.0</v>
      </c>
    </row>
    <row r="41">
      <c r="A41" s="6">
        <v>40.0</v>
      </c>
      <c r="B41" s="7" t="s">
        <v>75</v>
      </c>
      <c r="C41" s="8" t="s">
        <v>25</v>
      </c>
      <c r="D41" s="8" t="s">
        <v>8</v>
      </c>
      <c r="E41" s="9">
        <v>20.0</v>
      </c>
    </row>
    <row r="42">
      <c r="A42" s="6">
        <v>41.0</v>
      </c>
      <c r="B42" s="7" t="s">
        <v>76</v>
      </c>
      <c r="C42" s="8" t="s">
        <v>30</v>
      </c>
      <c r="D42" s="8" t="s">
        <v>77</v>
      </c>
      <c r="E42" s="9">
        <v>19.0</v>
      </c>
    </row>
    <row r="43">
      <c r="A43" s="6">
        <v>42.0</v>
      </c>
      <c r="B43" s="7" t="s">
        <v>78</v>
      </c>
      <c r="C43" s="8" t="s">
        <v>73</v>
      </c>
      <c r="D43" s="8" t="s">
        <v>8</v>
      </c>
      <c r="E43" s="9">
        <v>19.0</v>
      </c>
    </row>
    <row r="44">
      <c r="A44" s="6">
        <v>43.0</v>
      </c>
      <c r="B44" s="7" t="s">
        <v>79</v>
      </c>
      <c r="C44" s="8" t="s">
        <v>15</v>
      </c>
      <c r="D44" s="8" t="s">
        <v>13</v>
      </c>
      <c r="E44" s="9">
        <v>18.0</v>
      </c>
    </row>
    <row r="45">
      <c r="A45" s="6">
        <v>44.0</v>
      </c>
      <c r="B45" s="7" t="s">
        <v>80</v>
      </c>
      <c r="C45" s="8" t="s">
        <v>81</v>
      </c>
      <c r="D45" s="8" t="s">
        <v>13</v>
      </c>
      <c r="E45" s="9">
        <v>17.0</v>
      </c>
    </row>
    <row r="46">
      <c r="A46" s="6">
        <v>45.0</v>
      </c>
      <c r="B46" s="7" t="s">
        <v>82</v>
      </c>
      <c r="C46" s="8" t="s">
        <v>45</v>
      </c>
      <c r="D46" s="8" t="s">
        <v>13</v>
      </c>
      <c r="E46" s="9">
        <v>17.0</v>
      </c>
    </row>
    <row r="47">
      <c r="A47" s="6">
        <v>46.0</v>
      </c>
      <c r="B47" s="7" t="s">
        <v>83</v>
      </c>
      <c r="C47" s="8" t="s">
        <v>37</v>
      </c>
      <c r="D47" s="8" t="s">
        <v>13</v>
      </c>
      <c r="E47" s="9">
        <v>15.0</v>
      </c>
    </row>
    <row r="48">
      <c r="A48" s="6">
        <v>47.0</v>
      </c>
      <c r="B48" s="7" t="s">
        <v>84</v>
      </c>
      <c r="C48" s="8" t="s">
        <v>85</v>
      </c>
      <c r="D48" s="8" t="s">
        <v>13</v>
      </c>
      <c r="E48" s="9">
        <v>15.0</v>
      </c>
    </row>
    <row r="49">
      <c r="A49" s="6">
        <v>48.0</v>
      </c>
      <c r="B49" s="7" t="s">
        <v>86</v>
      </c>
      <c r="C49" s="8" t="s">
        <v>62</v>
      </c>
      <c r="D49" s="8" t="s">
        <v>77</v>
      </c>
      <c r="E49" s="9">
        <v>14.0</v>
      </c>
    </row>
    <row r="50">
      <c r="A50" s="6">
        <v>49.0</v>
      </c>
      <c r="B50" s="7" t="s">
        <v>87</v>
      </c>
      <c r="C50" s="8" t="s">
        <v>35</v>
      </c>
      <c r="D50" s="8" t="s">
        <v>13</v>
      </c>
      <c r="E50" s="9">
        <v>13.0</v>
      </c>
    </row>
    <row r="51">
      <c r="A51" s="6">
        <v>50.0</v>
      </c>
      <c r="B51" s="7" t="s">
        <v>88</v>
      </c>
      <c r="C51" s="8" t="s">
        <v>89</v>
      </c>
      <c r="D51" s="8" t="s">
        <v>59</v>
      </c>
      <c r="E51" s="9">
        <v>13.0</v>
      </c>
    </row>
    <row r="52">
      <c r="A52" s="6">
        <v>51.0</v>
      </c>
      <c r="B52" s="7" t="s">
        <v>90</v>
      </c>
      <c r="C52" s="8" t="s">
        <v>28</v>
      </c>
      <c r="D52" s="8" t="s">
        <v>8</v>
      </c>
      <c r="E52" s="9">
        <v>12.0</v>
      </c>
    </row>
    <row r="53">
      <c r="A53" s="6">
        <v>52.0</v>
      </c>
      <c r="B53" s="7" t="s">
        <v>91</v>
      </c>
      <c r="C53" s="8" t="s">
        <v>55</v>
      </c>
      <c r="D53" s="8" t="s">
        <v>13</v>
      </c>
      <c r="E53" s="9">
        <v>11.0</v>
      </c>
    </row>
    <row r="54">
      <c r="A54" s="6">
        <v>53.0</v>
      </c>
      <c r="B54" s="7" t="s">
        <v>92</v>
      </c>
      <c r="C54" s="8" t="s">
        <v>43</v>
      </c>
      <c r="D54" s="8" t="s">
        <v>13</v>
      </c>
      <c r="E54" s="9">
        <v>11.0</v>
      </c>
    </row>
    <row r="55">
      <c r="A55" s="6">
        <v>54.0</v>
      </c>
      <c r="B55" s="7" t="s">
        <v>93</v>
      </c>
      <c r="C55" s="8" t="s">
        <v>43</v>
      </c>
      <c r="D55" s="8" t="s">
        <v>13</v>
      </c>
      <c r="E55" s="9">
        <v>10.0</v>
      </c>
    </row>
    <row r="56">
      <c r="A56" s="6">
        <v>55.0</v>
      </c>
      <c r="B56" s="7" t="s">
        <v>94</v>
      </c>
      <c r="C56" s="8" t="s">
        <v>66</v>
      </c>
      <c r="D56" s="8" t="s">
        <v>13</v>
      </c>
      <c r="E56" s="9">
        <v>10.0</v>
      </c>
    </row>
    <row r="57">
      <c r="A57" s="6">
        <v>56.0</v>
      </c>
      <c r="B57" s="7" t="s">
        <v>95</v>
      </c>
      <c r="C57" s="8" t="s">
        <v>30</v>
      </c>
      <c r="D57" s="8" t="s">
        <v>13</v>
      </c>
      <c r="E57" s="9">
        <v>10.0</v>
      </c>
    </row>
    <row r="58">
      <c r="A58" s="6">
        <v>57.0</v>
      </c>
      <c r="B58" s="7" t="s">
        <v>96</v>
      </c>
      <c r="C58" s="8" t="s">
        <v>15</v>
      </c>
      <c r="D58" s="8" t="s">
        <v>77</v>
      </c>
      <c r="E58" s="9">
        <v>10.0</v>
      </c>
    </row>
    <row r="59">
      <c r="A59" s="6">
        <v>58.0</v>
      </c>
      <c r="B59" s="7" t="s">
        <v>97</v>
      </c>
      <c r="C59" s="8" t="s">
        <v>64</v>
      </c>
      <c r="D59" s="8" t="s">
        <v>8</v>
      </c>
      <c r="E59" s="9">
        <v>9.0</v>
      </c>
    </row>
    <row r="60">
      <c r="A60" s="6">
        <v>59.0</v>
      </c>
      <c r="B60" s="7" t="s">
        <v>98</v>
      </c>
      <c r="C60" s="8" t="s">
        <v>99</v>
      </c>
      <c r="D60" s="8" t="s">
        <v>8</v>
      </c>
      <c r="E60" s="9">
        <v>9.0</v>
      </c>
    </row>
    <row r="61">
      <c r="A61" s="6">
        <v>60.0</v>
      </c>
      <c r="B61" s="7" t="s">
        <v>100</v>
      </c>
      <c r="C61" s="8" t="s">
        <v>85</v>
      </c>
      <c r="D61" s="8" t="s">
        <v>13</v>
      </c>
      <c r="E61" s="9">
        <v>9.0</v>
      </c>
    </row>
    <row r="62">
      <c r="A62" s="6">
        <v>61.0</v>
      </c>
      <c r="B62" s="7" t="s">
        <v>101</v>
      </c>
      <c r="C62" s="8" t="s">
        <v>89</v>
      </c>
      <c r="D62" s="8" t="s">
        <v>8</v>
      </c>
      <c r="E62" s="9">
        <v>8.0</v>
      </c>
    </row>
    <row r="63">
      <c r="A63" s="6">
        <v>62.0</v>
      </c>
      <c r="B63" s="7" t="s">
        <v>102</v>
      </c>
      <c r="C63" s="8" t="s">
        <v>30</v>
      </c>
      <c r="D63" s="8" t="s">
        <v>8</v>
      </c>
      <c r="E63" s="9">
        <v>8.0</v>
      </c>
    </row>
    <row r="64">
      <c r="A64" s="6">
        <v>63.0</v>
      </c>
      <c r="B64" s="7" t="s">
        <v>103</v>
      </c>
      <c r="C64" s="8" t="s">
        <v>25</v>
      </c>
      <c r="D64" s="8" t="s">
        <v>59</v>
      </c>
      <c r="E64" s="9">
        <v>8.0</v>
      </c>
    </row>
    <row r="65">
      <c r="A65" s="6">
        <v>64.0</v>
      </c>
      <c r="B65" s="7" t="s">
        <v>104</v>
      </c>
      <c r="C65" s="8" t="s">
        <v>41</v>
      </c>
      <c r="D65" s="8" t="s">
        <v>13</v>
      </c>
      <c r="E65" s="9">
        <v>7.0</v>
      </c>
    </row>
    <row r="66">
      <c r="A66" s="6">
        <v>65.0</v>
      </c>
      <c r="B66" s="7" t="s">
        <v>105</v>
      </c>
      <c r="C66" s="8" t="s">
        <v>25</v>
      </c>
      <c r="D66" s="8" t="s">
        <v>13</v>
      </c>
      <c r="E66" s="9">
        <v>7.0</v>
      </c>
    </row>
    <row r="67">
      <c r="A67" s="6">
        <v>66.0</v>
      </c>
      <c r="B67" s="7" t="s">
        <v>106</v>
      </c>
      <c r="C67" s="8" t="s">
        <v>12</v>
      </c>
      <c r="D67" s="8" t="s">
        <v>13</v>
      </c>
      <c r="E67" s="9">
        <v>7.0</v>
      </c>
    </row>
    <row r="68">
      <c r="A68" s="6">
        <v>67.0</v>
      </c>
      <c r="B68" s="7" t="s">
        <v>107</v>
      </c>
      <c r="C68" s="8" t="s">
        <v>28</v>
      </c>
      <c r="D68" s="8" t="s">
        <v>59</v>
      </c>
      <c r="E68" s="9">
        <v>7.0</v>
      </c>
    </row>
    <row r="69">
      <c r="A69" s="6">
        <v>68.0</v>
      </c>
      <c r="B69" s="7" t="s">
        <v>108</v>
      </c>
      <c r="C69" s="8" t="s">
        <v>17</v>
      </c>
      <c r="D69" s="8" t="s">
        <v>13</v>
      </c>
      <c r="E69" s="9">
        <v>6.0</v>
      </c>
    </row>
    <row r="70">
      <c r="A70" s="6">
        <v>69.0</v>
      </c>
      <c r="B70" s="7" t="s">
        <v>109</v>
      </c>
      <c r="C70" s="8" t="s">
        <v>89</v>
      </c>
      <c r="D70" s="8" t="s">
        <v>13</v>
      </c>
      <c r="E70" s="9">
        <v>6.0</v>
      </c>
    </row>
    <row r="71">
      <c r="A71" s="6">
        <v>70.0</v>
      </c>
      <c r="B71" s="7" t="s">
        <v>110</v>
      </c>
      <c r="C71" s="8" t="s">
        <v>62</v>
      </c>
      <c r="D71" s="8" t="s">
        <v>13</v>
      </c>
      <c r="E71" s="9">
        <v>6.0</v>
      </c>
    </row>
    <row r="72">
      <c r="A72" s="6">
        <v>71.0</v>
      </c>
      <c r="B72" s="7" t="s">
        <v>111</v>
      </c>
      <c r="C72" s="8" t="s">
        <v>64</v>
      </c>
      <c r="D72" s="8" t="s">
        <v>13</v>
      </c>
      <c r="E72" s="9">
        <v>6.0</v>
      </c>
    </row>
    <row r="73">
      <c r="A73" s="6">
        <v>72.0</v>
      </c>
      <c r="B73" s="7" t="s">
        <v>112</v>
      </c>
      <c r="C73" s="8" t="s">
        <v>58</v>
      </c>
      <c r="D73" s="8" t="s">
        <v>77</v>
      </c>
      <c r="E73" s="9">
        <v>6.0</v>
      </c>
    </row>
    <row r="74">
      <c r="A74" s="6">
        <v>73.0</v>
      </c>
      <c r="B74" s="7" t="s">
        <v>113</v>
      </c>
      <c r="C74" s="8" t="s">
        <v>32</v>
      </c>
      <c r="D74" s="8" t="s">
        <v>59</v>
      </c>
      <c r="E74" s="9">
        <v>6.0</v>
      </c>
    </row>
    <row r="75">
      <c r="A75" s="6">
        <v>74.0</v>
      </c>
      <c r="B75" s="7" t="s">
        <v>114</v>
      </c>
      <c r="C75" s="8" t="s">
        <v>66</v>
      </c>
      <c r="D75" s="8" t="s">
        <v>8</v>
      </c>
      <c r="E75" s="9">
        <v>5.0</v>
      </c>
    </row>
    <row r="76">
      <c r="A76" s="6">
        <v>75.0</v>
      </c>
      <c r="B76" s="7" t="s">
        <v>115</v>
      </c>
      <c r="C76" s="8" t="s">
        <v>62</v>
      </c>
      <c r="D76" s="8" t="s">
        <v>8</v>
      </c>
      <c r="E76" s="9">
        <v>5.0</v>
      </c>
    </row>
    <row r="77">
      <c r="A77" s="6">
        <v>76.0</v>
      </c>
      <c r="B77" s="7" t="s">
        <v>116</v>
      </c>
      <c r="C77" s="8" t="s">
        <v>58</v>
      </c>
      <c r="D77" s="8" t="s">
        <v>13</v>
      </c>
      <c r="E77" s="9">
        <v>5.0</v>
      </c>
    </row>
    <row r="78">
      <c r="A78" s="6">
        <v>77.0</v>
      </c>
      <c r="B78" s="7" t="s">
        <v>117</v>
      </c>
      <c r="C78" s="8" t="s">
        <v>99</v>
      </c>
      <c r="D78" s="8" t="s">
        <v>13</v>
      </c>
      <c r="E78" s="9">
        <v>5.0</v>
      </c>
    </row>
    <row r="79">
      <c r="A79" s="6">
        <v>78.0</v>
      </c>
      <c r="B79" s="7" t="s">
        <v>118</v>
      </c>
      <c r="C79" s="8" t="s">
        <v>119</v>
      </c>
      <c r="D79" s="8" t="s">
        <v>8</v>
      </c>
      <c r="E79" s="9">
        <v>4.0</v>
      </c>
    </row>
    <row r="80">
      <c r="A80" s="6">
        <v>79.0</v>
      </c>
      <c r="B80" s="7" t="s">
        <v>120</v>
      </c>
      <c r="C80" s="8" t="s">
        <v>45</v>
      </c>
      <c r="D80" s="8" t="s">
        <v>77</v>
      </c>
      <c r="E80" s="9">
        <v>4.0</v>
      </c>
    </row>
    <row r="81">
      <c r="A81" s="6">
        <v>80.0</v>
      </c>
      <c r="B81" s="7" t="s">
        <v>121</v>
      </c>
      <c r="C81" s="8" t="s">
        <v>32</v>
      </c>
      <c r="D81" s="8" t="s">
        <v>77</v>
      </c>
      <c r="E81" s="9">
        <v>4.0</v>
      </c>
    </row>
    <row r="82">
      <c r="A82" s="6">
        <v>81.0</v>
      </c>
      <c r="B82" s="7" t="s">
        <v>122</v>
      </c>
      <c r="C82" s="8" t="s">
        <v>64</v>
      </c>
      <c r="D82" s="8" t="s">
        <v>77</v>
      </c>
      <c r="E82" s="9">
        <v>4.0</v>
      </c>
    </row>
    <row r="83">
      <c r="A83" s="6">
        <v>82.0</v>
      </c>
      <c r="B83" s="7" t="s">
        <v>123</v>
      </c>
      <c r="C83" s="8" t="s">
        <v>37</v>
      </c>
      <c r="D83" s="8" t="s">
        <v>77</v>
      </c>
      <c r="E83" s="9">
        <v>4.0</v>
      </c>
    </row>
    <row r="84">
      <c r="A84" s="6">
        <v>83.0</v>
      </c>
      <c r="B84" s="7" t="s">
        <v>124</v>
      </c>
      <c r="C84" s="8" t="s">
        <v>47</v>
      </c>
      <c r="D84" s="8" t="s">
        <v>77</v>
      </c>
      <c r="E84" s="9">
        <v>4.0</v>
      </c>
    </row>
    <row r="85">
      <c r="A85" s="6">
        <v>84.0</v>
      </c>
      <c r="B85" s="7" t="s">
        <v>125</v>
      </c>
      <c r="C85" s="8" t="s">
        <v>19</v>
      </c>
      <c r="D85" s="8" t="s">
        <v>77</v>
      </c>
      <c r="E85" s="9">
        <v>4.0</v>
      </c>
    </row>
    <row r="86">
      <c r="A86" s="6">
        <v>85.0</v>
      </c>
      <c r="B86" s="7" t="s">
        <v>126</v>
      </c>
      <c r="C86" s="8" t="s">
        <v>43</v>
      </c>
      <c r="D86" s="8" t="s">
        <v>77</v>
      </c>
      <c r="E86" s="9">
        <v>4.0</v>
      </c>
    </row>
    <row r="87">
      <c r="A87" s="6">
        <v>86.0</v>
      </c>
      <c r="B87" s="7" t="s">
        <v>127</v>
      </c>
      <c r="C87" s="8" t="s">
        <v>35</v>
      </c>
      <c r="D87" s="8" t="s">
        <v>59</v>
      </c>
      <c r="E87" s="9">
        <v>4.0</v>
      </c>
    </row>
    <row r="88">
      <c r="A88" s="6">
        <v>87.0</v>
      </c>
      <c r="B88" s="7" t="s">
        <v>128</v>
      </c>
      <c r="C88" s="8" t="s">
        <v>32</v>
      </c>
      <c r="D88" s="8" t="s">
        <v>8</v>
      </c>
      <c r="E88" s="9">
        <v>3.0</v>
      </c>
    </row>
    <row r="89">
      <c r="A89" s="6">
        <v>88.0</v>
      </c>
      <c r="B89" s="7" t="s">
        <v>129</v>
      </c>
      <c r="C89" s="8" t="s">
        <v>69</v>
      </c>
      <c r="D89" s="8" t="s">
        <v>13</v>
      </c>
      <c r="E89" s="9">
        <v>3.0</v>
      </c>
    </row>
    <row r="90">
      <c r="A90" s="6">
        <v>89.0</v>
      </c>
      <c r="B90" s="7" t="s">
        <v>130</v>
      </c>
      <c r="C90" s="8" t="s">
        <v>69</v>
      </c>
      <c r="D90" s="8" t="s">
        <v>13</v>
      </c>
      <c r="E90" s="9">
        <v>3.0</v>
      </c>
    </row>
    <row r="91">
      <c r="A91" s="6">
        <v>90.0</v>
      </c>
      <c r="B91" s="7" t="s">
        <v>131</v>
      </c>
      <c r="C91" s="8" t="s">
        <v>45</v>
      </c>
      <c r="D91" s="8" t="s">
        <v>13</v>
      </c>
      <c r="E91" s="9">
        <v>3.0</v>
      </c>
    </row>
    <row r="92">
      <c r="A92" s="6">
        <v>91.0</v>
      </c>
      <c r="B92" s="7" t="s">
        <v>132</v>
      </c>
      <c r="C92" s="8" t="s">
        <v>21</v>
      </c>
      <c r="D92" s="8" t="s">
        <v>13</v>
      </c>
      <c r="E92" s="9">
        <v>3.0</v>
      </c>
    </row>
    <row r="93">
      <c r="A93" s="6">
        <v>92.0</v>
      </c>
      <c r="B93" s="7" t="s">
        <v>133</v>
      </c>
      <c r="C93" s="8" t="s">
        <v>53</v>
      </c>
      <c r="D93" s="8" t="s">
        <v>13</v>
      </c>
      <c r="E93" s="9">
        <v>3.0</v>
      </c>
    </row>
    <row r="94">
      <c r="A94" s="6">
        <v>93.0</v>
      </c>
      <c r="B94" s="7" t="s">
        <v>134</v>
      </c>
      <c r="C94" s="8" t="s">
        <v>47</v>
      </c>
      <c r="D94" s="8" t="s">
        <v>13</v>
      </c>
      <c r="E94" s="9">
        <v>3.0</v>
      </c>
    </row>
    <row r="95">
      <c r="A95" s="6">
        <v>94.0</v>
      </c>
      <c r="B95" s="7" t="s">
        <v>135</v>
      </c>
      <c r="C95" s="8" t="s">
        <v>23</v>
      </c>
      <c r="D95" s="8" t="s">
        <v>13</v>
      </c>
      <c r="E95" s="9">
        <v>3.0</v>
      </c>
    </row>
    <row r="96">
      <c r="A96" s="6">
        <v>95.0</v>
      </c>
      <c r="B96" s="7" t="s">
        <v>136</v>
      </c>
      <c r="C96" s="8" t="s">
        <v>41</v>
      </c>
      <c r="D96" s="8" t="s">
        <v>13</v>
      </c>
      <c r="E96" s="9">
        <v>3.0</v>
      </c>
    </row>
    <row r="97">
      <c r="A97" s="6">
        <v>96.0</v>
      </c>
      <c r="B97" s="7" t="s">
        <v>137</v>
      </c>
      <c r="C97" s="8" t="s">
        <v>47</v>
      </c>
      <c r="D97" s="8" t="s">
        <v>8</v>
      </c>
      <c r="E97" s="9">
        <v>2.0</v>
      </c>
    </row>
    <row r="98">
      <c r="A98" s="6">
        <v>97.0</v>
      </c>
      <c r="B98" s="7" t="s">
        <v>138</v>
      </c>
      <c r="C98" s="8" t="s">
        <v>119</v>
      </c>
      <c r="D98" s="8" t="s">
        <v>8</v>
      </c>
      <c r="E98" s="9">
        <v>2.0</v>
      </c>
    </row>
    <row r="99">
      <c r="A99" s="6">
        <v>98.0</v>
      </c>
      <c r="B99" s="7" t="s">
        <v>139</v>
      </c>
      <c r="C99" s="8" t="s">
        <v>99</v>
      </c>
      <c r="D99" s="8" t="s">
        <v>8</v>
      </c>
      <c r="E99" s="9">
        <v>2.0</v>
      </c>
    </row>
    <row r="100">
      <c r="A100" s="6">
        <v>99.0</v>
      </c>
      <c r="B100" s="7" t="s">
        <v>140</v>
      </c>
      <c r="C100" s="8" t="s">
        <v>39</v>
      </c>
      <c r="D100" s="8" t="s">
        <v>8</v>
      </c>
      <c r="E100" s="9">
        <v>2.0</v>
      </c>
    </row>
    <row r="101">
      <c r="A101" s="6">
        <v>100.0</v>
      </c>
      <c r="B101" s="7" t="s">
        <v>141</v>
      </c>
      <c r="C101" s="8" t="s">
        <v>85</v>
      </c>
      <c r="D101" s="8" t="s">
        <v>8</v>
      </c>
      <c r="E101" s="9">
        <v>2.0</v>
      </c>
    </row>
    <row r="102">
      <c r="A102" s="6">
        <v>101.0</v>
      </c>
      <c r="B102" s="7" t="s">
        <v>142</v>
      </c>
      <c r="C102" s="8" t="s">
        <v>85</v>
      </c>
      <c r="D102" s="8" t="s">
        <v>8</v>
      </c>
      <c r="E102" s="9">
        <v>2.0</v>
      </c>
    </row>
    <row r="103">
      <c r="A103" s="6">
        <v>102.0</v>
      </c>
      <c r="B103" s="7" t="s">
        <v>143</v>
      </c>
      <c r="C103" s="8" t="s">
        <v>69</v>
      </c>
      <c r="D103" s="8" t="s">
        <v>8</v>
      </c>
      <c r="E103" s="9">
        <v>2.0</v>
      </c>
    </row>
    <row r="104">
      <c r="A104" s="6">
        <v>103.0</v>
      </c>
      <c r="B104" s="7" t="s">
        <v>144</v>
      </c>
      <c r="C104" s="8" t="s">
        <v>30</v>
      </c>
      <c r="D104" s="8" t="s">
        <v>8</v>
      </c>
      <c r="E104" s="9">
        <v>2.0</v>
      </c>
    </row>
    <row r="105">
      <c r="A105" s="6">
        <v>104.0</v>
      </c>
      <c r="B105" s="7" t="s">
        <v>145</v>
      </c>
      <c r="C105" s="8" t="s">
        <v>43</v>
      </c>
      <c r="D105" s="8" t="s">
        <v>8</v>
      </c>
      <c r="E105" s="9">
        <v>2.0</v>
      </c>
    </row>
    <row r="106">
      <c r="A106" s="6">
        <v>105.0</v>
      </c>
      <c r="B106" s="7" t="s">
        <v>146</v>
      </c>
      <c r="C106" s="8" t="s">
        <v>7</v>
      </c>
      <c r="D106" s="8" t="s">
        <v>8</v>
      </c>
      <c r="E106" s="9">
        <v>2.0</v>
      </c>
    </row>
    <row r="107">
      <c r="A107" s="6">
        <v>106.0</v>
      </c>
      <c r="B107" s="7" t="s">
        <v>147</v>
      </c>
      <c r="C107" s="8" t="s">
        <v>28</v>
      </c>
      <c r="D107" s="8" t="s">
        <v>13</v>
      </c>
      <c r="E107" s="9">
        <v>2.0</v>
      </c>
    </row>
    <row r="108">
      <c r="A108" s="6">
        <v>107.0</v>
      </c>
      <c r="B108" s="7" t="s">
        <v>148</v>
      </c>
      <c r="C108" s="8" t="s">
        <v>21</v>
      </c>
      <c r="D108" s="8" t="s">
        <v>13</v>
      </c>
      <c r="E108" s="9">
        <v>2.0</v>
      </c>
    </row>
    <row r="109">
      <c r="A109" s="6">
        <v>108.0</v>
      </c>
      <c r="B109" s="7" t="s">
        <v>149</v>
      </c>
      <c r="C109" s="8" t="s">
        <v>62</v>
      </c>
      <c r="D109" s="8" t="s">
        <v>13</v>
      </c>
      <c r="E109" s="9">
        <v>2.0</v>
      </c>
    </row>
    <row r="110">
      <c r="A110" s="6">
        <v>109.0</v>
      </c>
      <c r="B110" s="7" t="s">
        <v>150</v>
      </c>
      <c r="C110" s="8" t="s">
        <v>41</v>
      </c>
      <c r="D110" s="8" t="s">
        <v>13</v>
      </c>
      <c r="E110" s="9">
        <v>2.0</v>
      </c>
    </row>
    <row r="111">
      <c r="A111" s="6">
        <v>110.0</v>
      </c>
      <c r="B111" s="7" t="s">
        <v>151</v>
      </c>
      <c r="C111" s="8" t="s">
        <v>119</v>
      </c>
      <c r="D111" s="8" t="s">
        <v>13</v>
      </c>
      <c r="E111" s="9">
        <v>2.0</v>
      </c>
    </row>
    <row r="112">
      <c r="A112" s="6">
        <v>111.0</v>
      </c>
      <c r="B112" s="7" t="s">
        <v>152</v>
      </c>
      <c r="C112" s="8" t="s">
        <v>53</v>
      </c>
      <c r="D112" s="8" t="s">
        <v>13</v>
      </c>
      <c r="E112" s="9">
        <v>2.0</v>
      </c>
    </row>
    <row r="113">
      <c r="A113" s="6">
        <v>112.0</v>
      </c>
      <c r="B113" s="7" t="s">
        <v>153</v>
      </c>
      <c r="C113" s="8" t="s">
        <v>37</v>
      </c>
      <c r="D113" s="8" t="s">
        <v>13</v>
      </c>
      <c r="E113" s="9">
        <v>2.0</v>
      </c>
    </row>
    <row r="114">
      <c r="A114" s="6">
        <v>113.0</v>
      </c>
      <c r="B114" s="7" t="s">
        <v>154</v>
      </c>
      <c r="C114" s="8" t="s">
        <v>12</v>
      </c>
      <c r="D114" s="8" t="s">
        <v>77</v>
      </c>
      <c r="E114" s="9">
        <v>2.0</v>
      </c>
    </row>
    <row r="115">
      <c r="A115" s="6">
        <v>114.0</v>
      </c>
      <c r="B115" s="7" t="s">
        <v>155</v>
      </c>
      <c r="C115" s="8" t="s">
        <v>28</v>
      </c>
      <c r="D115" s="8" t="s">
        <v>77</v>
      </c>
      <c r="E115" s="9">
        <v>2.0</v>
      </c>
    </row>
    <row r="116">
      <c r="A116" s="6">
        <v>115.0</v>
      </c>
      <c r="B116" s="7" t="s">
        <v>156</v>
      </c>
      <c r="C116" s="8" t="s">
        <v>64</v>
      </c>
      <c r="D116" s="8" t="s">
        <v>59</v>
      </c>
      <c r="E116" s="9">
        <v>2.0</v>
      </c>
    </row>
    <row r="117">
      <c r="A117" s="6">
        <v>116.0</v>
      </c>
      <c r="B117" s="7" t="s">
        <v>157</v>
      </c>
      <c r="C117" s="8" t="s">
        <v>45</v>
      </c>
      <c r="D117" s="8" t="s">
        <v>59</v>
      </c>
      <c r="E117" s="9">
        <v>2.0</v>
      </c>
    </row>
    <row r="118">
      <c r="A118" s="6">
        <v>117.0</v>
      </c>
      <c r="B118" s="7" t="s">
        <v>158</v>
      </c>
      <c r="C118" s="8" t="s">
        <v>39</v>
      </c>
      <c r="D118" s="8" t="s">
        <v>59</v>
      </c>
      <c r="E118" s="9">
        <v>2.0</v>
      </c>
    </row>
    <row r="119">
      <c r="A119" s="6">
        <v>118.0</v>
      </c>
      <c r="B119" s="7" t="s">
        <v>159</v>
      </c>
      <c r="C119" s="8" t="s">
        <v>23</v>
      </c>
      <c r="D119" s="8" t="s">
        <v>59</v>
      </c>
      <c r="E119" s="9">
        <v>2.0</v>
      </c>
    </row>
    <row r="120">
      <c r="A120" s="6">
        <v>119.0</v>
      </c>
      <c r="B120" s="7" t="s">
        <v>160</v>
      </c>
      <c r="C120" s="8" t="s">
        <v>119</v>
      </c>
      <c r="D120" s="8" t="s">
        <v>59</v>
      </c>
      <c r="E120" s="9">
        <v>2.0</v>
      </c>
    </row>
    <row r="121">
      <c r="A121" s="6">
        <v>120.0</v>
      </c>
      <c r="B121" s="7" t="s">
        <v>161</v>
      </c>
      <c r="C121" s="8" t="s">
        <v>30</v>
      </c>
      <c r="D121" s="8" t="s">
        <v>59</v>
      </c>
      <c r="E121" s="9">
        <v>2.0</v>
      </c>
    </row>
    <row r="122">
      <c r="A122" s="6">
        <v>121.0</v>
      </c>
      <c r="B122" s="7" t="s">
        <v>162</v>
      </c>
      <c r="C122" s="8" t="s">
        <v>73</v>
      </c>
      <c r="D122" s="8" t="s">
        <v>8</v>
      </c>
      <c r="E122" s="9">
        <v>1.0</v>
      </c>
    </row>
    <row r="123">
      <c r="A123" s="6">
        <v>122.0</v>
      </c>
      <c r="B123" s="7" t="s">
        <v>163</v>
      </c>
      <c r="C123" s="8" t="s">
        <v>39</v>
      </c>
      <c r="D123" s="8" t="s">
        <v>8</v>
      </c>
      <c r="E123" s="9">
        <v>1.0</v>
      </c>
    </row>
    <row r="124">
      <c r="A124" s="6">
        <v>123.0</v>
      </c>
      <c r="B124" s="7" t="s">
        <v>164</v>
      </c>
      <c r="C124" s="8" t="s">
        <v>81</v>
      </c>
      <c r="D124" s="8" t="s">
        <v>8</v>
      </c>
      <c r="E124" s="9">
        <v>1.0</v>
      </c>
    </row>
    <row r="125">
      <c r="A125" s="6">
        <v>124.0</v>
      </c>
      <c r="B125" s="7" t="s">
        <v>165</v>
      </c>
      <c r="C125" s="8" t="s">
        <v>19</v>
      </c>
      <c r="D125" s="8" t="s">
        <v>13</v>
      </c>
      <c r="E125" s="9">
        <v>1.0</v>
      </c>
    </row>
    <row r="126">
      <c r="A126" s="6">
        <v>125.0</v>
      </c>
      <c r="B126" s="7" t="s">
        <v>166</v>
      </c>
      <c r="C126" s="8" t="s">
        <v>47</v>
      </c>
      <c r="D126" s="8" t="s">
        <v>13</v>
      </c>
      <c r="E126" s="9">
        <v>1.0</v>
      </c>
    </row>
    <row r="127">
      <c r="A127" s="6">
        <v>126.0</v>
      </c>
      <c r="B127" s="7" t="s">
        <v>167</v>
      </c>
      <c r="C127" s="8" t="s">
        <v>35</v>
      </c>
      <c r="D127" s="8" t="s">
        <v>13</v>
      </c>
      <c r="E127" s="9">
        <v>1.0</v>
      </c>
    </row>
    <row r="128">
      <c r="A128" s="6">
        <v>127.0</v>
      </c>
      <c r="B128" s="7" t="s">
        <v>168</v>
      </c>
      <c r="C128" s="8" t="s">
        <v>73</v>
      </c>
      <c r="D128" s="8" t="s">
        <v>13</v>
      </c>
      <c r="E128" s="9">
        <v>1.0</v>
      </c>
    </row>
    <row r="129">
      <c r="A129" s="6">
        <v>128.0</v>
      </c>
      <c r="B129" s="7" t="s">
        <v>169</v>
      </c>
      <c r="C129" s="8" t="s">
        <v>62</v>
      </c>
      <c r="D129" s="8" t="s">
        <v>13</v>
      </c>
      <c r="E129" s="9">
        <v>1.0</v>
      </c>
    </row>
    <row r="130">
      <c r="A130" s="6">
        <v>129.0</v>
      </c>
      <c r="B130" s="7" t="s">
        <v>170</v>
      </c>
      <c r="C130" s="8" t="s">
        <v>62</v>
      </c>
      <c r="D130" s="8" t="s">
        <v>13</v>
      </c>
      <c r="E130" s="9">
        <v>1.0</v>
      </c>
    </row>
    <row r="131">
      <c r="A131" s="6">
        <v>130.0</v>
      </c>
      <c r="B131" s="7" t="s">
        <v>171</v>
      </c>
      <c r="C131" s="8" t="s">
        <v>10</v>
      </c>
      <c r="D131" s="8" t="s">
        <v>13</v>
      </c>
      <c r="E131" s="9">
        <v>1.0</v>
      </c>
    </row>
    <row r="132">
      <c r="A132" s="6">
        <v>131.0</v>
      </c>
      <c r="B132" s="7" t="s">
        <v>172</v>
      </c>
      <c r="C132" s="8" t="s">
        <v>99</v>
      </c>
      <c r="D132" s="8" t="s">
        <v>13</v>
      </c>
      <c r="E132" s="9">
        <v>1.0</v>
      </c>
    </row>
    <row r="133">
      <c r="A133" s="6">
        <v>132.0</v>
      </c>
      <c r="B133" s="7" t="s">
        <v>173</v>
      </c>
      <c r="C133" s="8" t="s">
        <v>25</v>
      </c>
      <c r="D133" s="8" t="s">
        <v>77</v>
      </c>
      <c r="E133" s="9">
        <v>1.0</v>
      </c>
    </row>
    <row r="134">
      <c r="A134" s="6">
        <v>133.0</v>
      </c>
      <c r="B134" s="7" t="s">
        <v>174</v>
      </c>
      <c r="C134" s="8" t="s">
        <v>17</v>
      </c>
      <c r="D134" s="8" t="s">
        <v>77</v>
      </c>
      <c r="E134" s="9">
        <v>1.0</v>
      </c>
    </row>
    <row r="135">
      <c r="A135" s="6">
        <v>134.0</v>
      </c>
      <c r="B135" s="7" t="s">
        <v>175</v>
      </c>
      <c r="C135" s="8" t="s">
        <v>99</v>
      </c>
      <c r="D135" s="8" t="s">
        <v>77</v>
      </c>
      <c r="E135" s="9">
        <v>1.0</v>
      </c>
    </row>
    <row r="136">
      <c r="A136" s="6">
        <v>135.0</v>
      </c>
      <c r="B136" s="7" t="s">
        <v>176</v>
      </c>
      <c r="C136" s="8" t="s">
        <v>39</v>
      </c>
      <c r="D136" s="8" t="s">
        <v>77</v>
      </c>
      <c r="E136" s="9">
        <v>1.0</v>
      </c>
    </row>
    <row r="137">
      <c r="A137" s="6">
        <v>136.0</v>
      </c>
      <c r="B137" s="7" t="s">
        <v>177</v>
      </c>
      <c r="C137" s="8" t="s">
        <v>85</v>
      </c>
      <c r="D137" s="8" t="s">
        <v>59</v>
      </c>
      <c r="E137" s="9">
        <v>1.0</v>
      </c>
    </row>
    <row r="138">
      <c r="A138" s="6">
        <v>137.0</v>
      </c>
      <c r="B138" s="7" t="s">
        <v>178</v>
      </c>
      <c r="C138" s="8" t="s">
        <v>55</v>
      </c>
      <c r="D138" s="8" t="s">
        <v>59</v>
      </c>
      <c r="E138" s="9">
        <v>1.0</v>
      </c>
    </row>
    <row r="139">
      <c r="A139" s="6">
        <v>138.0</v>
      </c>
      <c r="B139" s="7" t="s">
        <v>179</v>
      </c>
      <c r="C139" s="8" t="s">
        <v>17</v>
      </c>
      <c r="D139" s="8" t="s">
        <v>59</v>
      </c>
      <c r="E139" s="9">
        <v>1.0</v>
      </c>
    </row>
    <row r="140">
      <c r="A140" s="6">
        <v>139.0</v>
      </c>
      <c r="B140" s="7" t="s">
        <v>180</v>
      </c>
      <c r="C140" s="8" t="s">
        <v>66</v>
      </c>
      <c r="D140" s="8" t="s">
        <v>59</v>
      </c>
      <c r="E140" s="9">
        <v>1.0</v>
      </c>
    </row>
    <row r="141">
      <c r="A141" s="6">
        <v>140.0</v>
      </c>
      <c r="B141" s="7" t="s">
        <v>181</v>
      </c>
      <c r="C141" s="8" t="s">
        <v>12</v>
      </c>
      <c r="D141" s="8" t="s">
        <v>59</v>
      </c>
      <c r="E141" s="9">
        <v>1.0</v>
      </c>
    </row>
    <row r="142">
      <c r="A142" s="6">
        <v>141.0</v>
      </c>
      <c r="B142" s="7" t="s">
        <v>182</v>
      </c>
      <c r="C142" s="8" t="s">
        <v>19</v>
      </c>
      <c r="D142" s="8" t="s">
        <v>183</v>
      </c>
      <c r="E142" s="9">
        <v>1.0</v>
      </c>
    </row>
    <row r="143">
      <c r="A143" s="6">
        <v>142.0</v>
      </c>
      <c r="B143" s="7" t="s">
        <v>184</v>
      </c>
      <c r="C143" s="8" t="s">
        <v>12</v>
      </c>
      <c r="D143" s="8" t="s">
        <v>183</v>
      </c>
      <c r="E143" s="9">
        <v>1.0</v>
      </c>
    </row>
    <row r="144">
      <c r="A144" s="6">
        <v>143.0</v>
      </c>
      <c r="B144" s="7" t="s">
        <v>185</v>
      </c>
      <c r="C144" s="8" t="s">
        <v>62</v>
      </c>
      <c r="D144" s="8" t="s">
        <v>183</v>
      </c>
      <c r="E144" s="9">
        <v>1.0</v>
      </c>
    </row>
    <row r="145">
      <c r="A145" s="6">
        <v>144.0</v>
      </c>
      <c r="B145" s="7" t="s">
        <v>186</v>
      </c>
      <c r="C145" s="8" t="s">
        <v>25</v>
      </c>
      <c r="D145" s="8" t="s">
        <v>183</v>
      </c>
      <c r="E145" s="9">
        <v>1.0</v>
      </c>
    </row>
    <row r="146">
      <c r="A146" s="6">
        <v>145.0</v>
      </c>
      <c r="B146" s="7" t="s">
        <v>187</v>
      </c>
      <c r="C146" s="8" t="s">
        <v>43</v>
      </c>
      <c r="D146" s="8" t="s">
        <v>183</v>
      </c>
      <c r="E146" s="9">
        <v>1.0</v>
      </c>
    </row>
    <row r="147">
      <c r="A147" s="6">
        <v>146.0</v>
      </c>
      <c r="B147" s="7" t="s">
        <v>188</v>
      </c>
      <c r="C147" s="8" t="s">
        <v>119</v>
      </c>
      <c r="D147" s="8" t="s">
        <v>183</v>
      </c>
      <c r="E147" s="9">
        <v>1.0</v>
      </c>
    </row>
    <row r="148">
      <c r="A148" s="6">
        <v>147.0</v>
      </c>
      <c r="B148" s="7" t="s">
        <v>189</v>
      </c>
      <c r="C148" s="8" t="s">
        <v>30</v>
      </c>
      <c r="D148" s="8" t="s">
        <v>183</v>
      </c>
      <c r="E148" s="9">
        <v>1.0</v>
      </c>
    </row>
    <row r="149">
      <c r="A149" s="6">
        <v>148.0</v>
      </c>
      <c r="B149" s="7" t="s">
        <v>190</v>
      </c>
      <c r="C149" s="8" t="s">
        <v>45</v>
      </c>
      <c r="D149" s="8" t="s">
        <v>183</v>
      </c>
      <c r="E149" s="9">
        <v>1.0</v>
      </c>
    </row>
    <row r="150">
      <c r="A150" s="6">
        <v>149.0</v>
      </c>
      <c r="B150" s="7" t="s">
        <v>191</v>
      </c>
      <c r="C150" s="8" t="s">
        <v>53</v>
      </c>
      <c r="D150" s="8" t="s">
        <v>183</v>
      </c>
      <c r="E150" s="9">
        <v>1.0</v>
      </c>
    </row>
    <row r="151">
      <c r="A151" s="6">
        <v>150.0</v>
      </c>
      <c r="B151" s="7" t="s">
        <v>192</v>
      </c>
      <c r="C151" s="8" t="s">
        <v>30</v>
      </c>
      <c r="D151" s="8" t="s">
        <v>193</v>
      </c>
      <c r="E151" s="9">
        <v>1.0</v>
      </c>
    </row>
    <row r="152">
      <c r="A152" s="6">
        <v>151.0</v>
      </c>
      <c r="B152" s="7" t="s">
        <v>194</v>
      </c>
      <c r="C152" s="8" t="s">
        <v>41</v>
      </c>
      <c r="D152" s="8" t="s">
        <v>193</v>
      </c>
      <c r="E152" s="9">
        <v>1.0</v>
      </c>
    </row>
    <row r="153">
      <c r="A153" s="6">
        <v>152.0</v>
      </c>
      <c r="B153" s="7" t="s">
        <v>195</v>
      </c>
      <c r="C153" s="8" t="s">
        <v>47</v>
      </c>
      <c r="D153" s="8" t="s">
        <v>193</v>
      </c>
      <c r="E153" s="9">
        <v>1.0</v>
      </c>
    </row>
    <row r="154">
      <c r="A154" s="6">
        <v>153.0</v>
      </c>
      <c r="B154" s="7" t="s">
        <v>196</v>
      </c>
      <c r="C154" s="8" t="s">
        <v>58</v>
      </c>
      <c r="D154" s="8" t="s">
        <v>193</v>
      </c>
      <c r="E154" s="9">
        <v>1.0</v>
      </c>
    </row>
    <row r="155">
      <c r="A155" s="6">
        <v>154.0</v>
      </c>
      <c r="B155" s="7" t="s">
        <v>197</v>
      </c>
      <c r="C155" s="8" t="s">
        <v>37</v>
      </c>
      <c r="D155" s="8" t="s">
        <v>193</v>
      </c>
      <c r="E155" s="9">
        <v>1.0</v>
      </c>
    </row>
    <row r="156">
      <c r="A156" s="6">
        <v>155.0</v>
      </c>
      <c r="B156" s="7" t="s">
        <v>198</v>
      </c>
      <c r="C156" s="8" t="s">
        <v>28</v>
      </c>
      <c r="D156" s="8" t="s">
        <v>193</v>
      </c>
      <c r="E156" s="9">
        <v>1.0</v>
      </c>
    </row>
    <row r="157">
      <c r="A157" s="6">
        <v>156.0</v>
      </c>
      <c r="B157" s="7" t="s">
        <v>199</v>
      </c>
      <c r="C157" s="8" t="s">
        <v>32</v>
      </c>
      <c r="D157" s="8" t="s">
        <v>193</v>
      </c>
      <c r="E157" s="9">
        <v>1.0</v>
      </c>
    </row>
    <row r="158">
      <c r="A158" s="6">
        <v>157.0</v>
      </c>
      <c r="B158" s="7" t="s">
        <v>200</v>
      </c>
      <c r="C158" s="8" t="s">
        <v>7</v>
      </c>
      <c r="D158" s="8" t="s">
        <v>193</v>
      </c>
      <c r="E158" s="9">
        <v>1.0</v>
      </c>
    </row>
    <row r="159">
      <c r="A159" s="6">
        <v>158.0</v>
      </c>
      <c r="B159" s="7" t="s">
        <v>201</v>
      </c>
      <c r="C159" s="8" t="s">
        <v>73</v>
      </c>
      <c r="D159" s="8" t="s">
        <v>193</v>
      </c>
      <c r="E159" s="9">
        <v>1.0</v>
      </c>
    </row>
    <row r="160">
      <c r="A160" s="6">
        <v>159.0</v>
      </c>
      <c r="B160" s="7" t="s">
        <v>202</v>
      </c>
      <c r="C160" s="8" t="s">
        <v>23</v>
      </c>
      <c r="D160" s="8" t="s">
        <v>193</v>
      </c>
      <c r="E160" s="9">
        <v>1.0</v>
      </c>
    </row>
    <row r="161">
      <c r="A161" s="6">
        <v>160.0</v>
      </c>
      <c r="B161" s="7" t="s">
        <v>203</v>
      </c>
      <c r="C161" s="8" t="s">
        <v>81</v>
      </c>
      <c r="D161" s="8" t="s">
        <v>8</v>
      </c>
      <c r="E161" s="9">
        <v>0.0</v>
      </c>
    </row>
    <row r="162">
      <c r="A162" s="6">
        <v>161.0</v>
      </c>
      <c r="B162" s="7" t="s">
        <v>204</v>
      </c>
      <c r="C162" s="8" t="s">
        <v>62</v>
      </c>
      <c r="D162" s="8" t="s">
        <v>8</v>
      </c>
      <c r="E162" s="9">
        <v>0.0</v>
      </c>
    </row>
    <row r="163">
      <c r="A163" s="6">
        <v>162.0</v>
      </c>
      <c r="B163" s="7" t="s">
        <v>205</v>
      </c>
      <c r="C163" s="8" t="s">
        <v>15</v>
      </c>
      <c r="D163" s="8" t="s">
        <v>8</v>
      </c>
      <c r="E163" s="9">
        <v>0.0</v>
      </c>
    </row>
    <row r="164">
      <c r="A164" s="6">
        <v>163.0</v>
      </c>
      <c r="B164" s="7" t="s">
        <v>206</v>
      </c>
      <c r="C164" s="8" t="s">
        <v>17</v>
      </c>
      <c r="D164" s="8" t="s">
        <v>8</v>
      </c>
      <c r="E164" s="9">
        <v>0.0</v>
      </c>
    </row>
    <row r="165">
      <c r="A165" s="6">
        <v>164.0</v>
      </c>
      <c r="B165" s="7" t="s">
        <v>207</v>
      </c>
      <c r="C165" s="8" t="s">
        <v>58</v>
      </c>
      <c r="D165" s="8" t="s">
        <v>8</v>
      </c>
      <c r="E165" s="9">
        <v>0.0</v>
      </c>
    </row>
    <row r="166">
      <c r="A166" s="6">
        <v>165.0</v>
      </c>
      <c r="B166" s="7" t="s">
        <v>208</v>
      </c>
      <c r="C166" s="8" t="s">
        <v>12</v>
      </c>
      <c r="D166" s="8" t="s">
        <v>8</v>
      </c>
      <c r="E166" s="9">
        <v>0.0</v>
      </c>
    </row>
    <row r="167">
      <c r="A167" s="6">
        <v>166.0</v>
      </c>
      <c r="B167" s="7" t="s">
        <v>209</v>
      </c>
      <c r="C167" s="8" t="s">
        <v>62</v>
      </c>
      <c r="D167" s="8" t="s">
        <v>8</v>
      </c>
      <c r="E167" s="9">
        <v>0.0</v>
      </c>
    </row>
    <row r="168">
      <c r="A168" s="6">
        <v>167.0</v>
      </c>
      <c r="B168" s="7" t="s">
        <v>210</v>
      </c>
      <c r="C168" s="8" t="s">
        <v>89</v>
      </c>
      <c r="D168" s="8" t="s">
        <v>8</v>
      </c>
      <c r="E168" s="9">
        <v>0.0</v>
      </c>
    </row>
    <row r="169">
      <c r="A169" s="6">
        <v>168.0</v>
      </c>
      <c r="B169" s="7" t="s">
        <v>211</v>
      </c>
      <c r="C169" s="8" t="s">
        <v>39</v>
      </c>
      <c r="D169" s="8" t="s">
        <v>8</v>
      </c>
      <c r="E169" s="9">
        <v>0.0</v>
      </c>
    </row>
    <row r="170">
      <c r="A170" s="6">
        <v>169.0</v>
      </c>
      <c r="B170" s="7" t="s">
        <v>212</v>
      </c>
      <c r="C170" s="8" t="s">
        <v>35</v>
      </c>
      <c r="D170" s="8" t="s">
        <v>8</v>
      </c>
      <c r="E170" s="9">
        <v>0.0</v>
      </c>
    </row>
    <row r="171">
      <c r="A171" s="6">
        <v>170.0</v>
      </c>
      <c r="B171" s="7" t="s">
        <v>213</v>
      </c>
      <c r="C171" s="8" t="s">
        <v>25</v>
      </c>
      <c r="D171" s="8" t="s">
        <v>8</v>
      </c>
      <c r="E171" s="9">
        <v>0.0</v>
      </c>
    </row>
    <row r="172">
      <c r="A172" s="6">
        <v>171.0</v>
      </c>
      <c r="B172" s="7" t="s">
        <v>214</v>
      </c>
      <c r="C172" s="8" t="s">
        <v>41</v>
      </c>
      <c r="D172" s="8" t="s">
        <v>8</v>
      </c>
      <c r="E172" s="9">
        <v>0.0</v>
      </c>
    </row>
    <row r="173">
      <c r="A173" s="6">
        <v>172.0</v>
      </c>
      <c r="B173" s="7" t="s">
        <v>215</v>
      </c>
      <c r="C173" s="8" t="s">
        <v>37</v>
      </c>
      <c r="D173" s="8" t="s">
        <v>8</v>
      </c>
      <c r="E173" s="9">
        <v>0.0</v>
      </c>
    </row>
    <row r="174">
      <c r="A174" s="6">
        <v>173.0</v>
      </c>
      <c r="B174" s="7" t="s">
        <v>216</v>
      </c>
      <c r="C174" s="8" t="s">
        <v>81</v>
      </c>
      <c r="D174" s="8" t="s">
        <v>8</v>
      </c>
      <c r="E174" s="9">
        <v>0.0</v>
      </c>
    </row>
    <row r="175">
      <c r="A175" s="6">
        <v>174.0</v>
      </c>
      <c r="B175" s="7" t="s">
        <v>217</v>
      </c>
      <c r="C175" s="8" t="s">
        <v>45</v>
      </c>
      <c r="D175" s="8" t="s">
        <v>8</v>
      </c>
      <c r="E175" s="9">
        <v>0.0</v>
      </c>
    </row>
    <row r="176">
      <c r="A176" s="6">
        <v>175.0</v>
      </c>
      <c r="B176" s="7" t="s">
        <v>218</v>
      </c>
      <c r="C176" s="8" t="s">
        <v>64</v>
      </c>
      <c r="D176" s="8" t="s">
        <v>8</v>
      </c>
      <c r="E176" s="9">
        <v>0.0</v>
      </c>
    </row>
    <row r="177">
      <c r="A177" s="6">
        <v>176.0</v>
      </c>
      <c r="B177" s="7" t="s">
        <v>219</v>
      </c>
      <c r="C177" s="8" t="s">
        <v>119</v>
      </c>
      <c r="D177" s="8" t="s">
        <v>8</v>
      </c>
      <c r="E177" s="9">
        <v>0.0</v>
      </c>
    </row>
    <row r="178">
      <c r="A178" s="6">
        <v>177.0</v>
      </c>
      <c r="B178" s="7" t="s">
        <v>220</v>
      </c>
      <c r="C178" s="8" t="s">
        <v>89</v>
      </c>
      <c r="D178" s="8" t="s">
        <v>8</v>
      </c>
      <c r="E178" s="9">
        <v>0.0</v>
      </c>
    </row>
    <row r="179">
      <c r="A179" s="6">
        <v>178.0</v>
      </c>
      <c r="B179" s="7" t="s">
        <v>221</v>
      </c>
      <c r="C179" s="8" t="s">
        <v>73</v>
      </c>
      <c r="D179" s="8" t="s">
        <v>8</v>
      </c>
      <c r="E179" s="9">
        <v>0.0</v>
      </c>
    </row>
    <row r="180">
      <c r="A180" s="6">
        <v>179.0</v>
      </c>
      <c r="B180" s="7" t="s">
        <v>222</v>
      </c>
      <c r="C180" s="8" t="s">
        <v>55</v>
      </c>
      <c r="D180" s="8" t="s">
        <v>8</v>
      </c>
      <c r="E180" s="9">
        <v>0.0</v>
      </c>
    </row>
    <row r="181">
      <c r="A181" s="6">
        <v>180.0</v>
      </c>
      <c r="B181" s="7" t="s">
        <v>223</v>
      </c>
      <c r="C181" s="8" t="s">
        <v>19</v>
      </c>
      <c r="D181" s="8" t="s">
        <v>8</v>
      </c>
      <c r="E181" s="9">
        <v>0.0</v>
      </c>
    </row>
    <row r="182">
      <c r="A182" s="6">
        <v>181.0</v>
      </c>
      <c r="B182" s="7" t="s">
        <v>224</v>
      </c>
      <c r="C182" s="8" t="s">
        <v>21</v>
      </c>
      <c r="D182" s="8" t="s">
        <v>8</v>
      </c>
      <c r="E182" s="9">
        <v>0.0</v>
      </c>
    </row>
    <row r="183">
      <c r="A183" s="6">
        <v>182.0</v>
      </c>
      <c r="B183" s="7" t="s">
        <v>225</v>
      </c>
      <c r="C183" s="8" t="s">
        <v>25</v>
      </c>
      <c r="D183" s="8" t="s">
        <v>8</v>
      </c>
      <c r="E183" s="9">
        <v>0.0</v>
      </c>
    </row>
    <row r="184">
      <c r="A184" s="6">
        <v>183.0</v>
      </c>
      <c r="B184" s="7" t="s">
        <v>226</v>
      </c>
      <c r="C184" s="8" t="s">
        <v>53</v>
      </c>
      <c r="D184" s="8" t="s">
        <v>8</v>
      </c>
      <c r="E184" s="9">
        <v>0.0</v>
      </c>
    </row>
    <row r="185">
      <c r="A185" s="6">
        <v>184.0</v>
      </c>
      <c r="B185" s="7" t="s">
        <v>227</v>
      </c>
      <c r="C185" s="8" t="s">
        <v>64</v>
      </c>
      <c r="D185" s="8" t="s">
        <v>8</v>
      </c>
      <c r="E185" s="9">
        <v>0.0</v>
      </c>
    </row>
    <row r="186">
      <c r="A186" s="6">
        <v>185.0</v>
      </c>
      <c r="B186" s="7" t="s">
        <v>228</v>
      </c>
      <c r="C186" s="8" t="s">
        <v>10</v>
      </c>
      <c r="D186" s="8" t="s">
        <v>8</v>
      </c>
      <c r="E186" s="9">
        <v>0.0</v>
      </c>
    </row>
    <row r="187">
      <c r="A187" s="6">
        <v>186.0</v>
      </c>
      <c r="B187" s="7" t="s">
        <v>229</v>
      </c>
      <c r="C187" s="8" t="s">
        <v>10</v>
      </c>
      <c r="D187" s="8" t="s">
        <v>8</v>
      </c>
      <c r="E187" s="9">
        <v>0.0</v>
      </c>
    </row>
    <row r="188">
      <c r="A188" s="6">
        <v>187.0</v>
      </c>
      <c r="B188" s="7" t="s">
        <v>230</v>
      </c>
      <c r="C188" s="8" t="s">
        <v>19</v>
      </c>
      <c r="D188" s="8" t="s">
        <v>8</v>
      </c>
      <c r="E188" s="9">
        <v>0.0</v>
      </c>
    </row>
    <row r="189">
      <c r="A189" s="6">
        <v>188.0</v>
      </c>
      <c r="B189" s="7" t="s">
        <v>231</v>
      </c>
      <c r="C189" s="8" t="s">
        <v>21</v>
      </c>
      <c r="D189" s="8" t="s">
        <v>8</v>
      </c>
      <c r="E189" s="9">
        <v>0.0</v>
      </c>
    </row>
    <row r="190">
      <c r="A190" s="6">
        <v>189.0</v>
      </c>
      <c r="B190" s="7" t="s">
        <v>232</v>
      </c>
      <c r="C190" s="8" t="s">
        <v>37</v>
      </c>
      <c r="D190" s="8" t="s">
        <v>8</v>
      </c>
      <c r="E190" s="9">
        <v>0.0</v>
      </c>
    </row>
    <row r="191">
      <c r="A191" s="6">
        <v>190.0</v>
      </c>
      <c r="B191" s="7" t="s">
        <v>233</v>
      </c>
      <c r="C191" s="8" t="s">
        <v>28</v>
      </c>
      <c r="D191" s="8" t="s">
        <v>8</v>
      </c>
      <c r="E191" s="9">
        <v>0.0</v>
      </c>
    </row>
    <row r="192">
      <c r="A192" s="6">
        <v>191.0</v>
      </c>
      <c r="B192" s="7" t="s">
        <v>234</v>
      </c>
      <c r="C192" s="8" t="s">
        <v>85</v>
      </c>
      <c r="D192" s="8" t="s">
        <v>8</v>
      </c>
      <c r="E192" s="9">
        <v>0.0</v>
      </c>
    </row>
    <row r="193">
      <c r="A193" s="6">
        <v>192.0</v>
      </c>
      <c r="B193" s="7" t="s">
        <v>235</v>
      </c>
      <c r="C193" s="8" t="s">
        <v>45</v>
      </c>
      <c r="D193" s="8" t="s">
        <v>8</v>
      </c>
      <c r="E193" s="9">
        <v>0.0</v>
      </c>
    </row>
    <row r="194">
      <c r="A194" s="6">
        <v>193.0</v>
      </c>
      <c r="B194" s="7" t="s">
        <v>236</v>
      </c>
      <c r="C194" s="8" t="s">
        <v>23</v>
      </c>
      <c r="D194" s="8" t="s">
        <v>8</v>
      </c>
      <c r="E194" s="9">
        <v>0.0</v>
      </c>
    </row>
    <row r="195">
      <c r="A195" s="6">
        <v>194.0</v>
      </c>
      <c r="B195" s="7" t="s">
        <v>237</v>
      </c>
      <c r="C195" s="8" t="s">
        <v>35</v>
      </c>
      <c r="D195" s="8" t="s">
        <v>8</v>
      </c>
      <c r="E195" s="9">
        <v>0.0</v>
      </c>
    </row>
    <row r="196">
      <c r="A196" s="6">
        <v>195.0</v>
      </c>
      <c r="B196" s="7" t="s">
        <v>238</v>
      </c>
      <c r="C196" s="8" t="s">
        <v>28</v>
      </c>
      <c r="D196" s="8" t="s">
        <v>8</v>
      </c>
      <c r="E196" s="9">
        <v>0.0</v>
      </c>
    </row>
    <row r="197">
      <c r="A197" s="6">
        <v>196.0</v>
      </c>
      <c r="B197" s="7" t="s">
        <v>239</v>
      </c>
      <c r="C197" s="8" t="s">
        <v>119</v>
      </c>
      <c r="D197" s="8" t="s">
        <v>8</v>
      </c>
      <c r="E197" s="9">
        <v>0.0</v>
      </c>
    </row>
    <row r="198">
      <c r="A198" s="6">
        <v>197.0</v>
      </c>
      <c r="B198" s="7" t="s">
        <v>240</v>
      </c>
      <c r="C198" s="8" t="s">
        <v>37</v>
      </c>
      <c r="D198" s="8" t="s">
        <v>8</v>
      </c>
      <c r="E198" s="9">
        <v>0.0</v>
      </c>
    </row>
    <row r="199">
      <c r="A199" s="6">
        <v>198.0</v>
      </c>
      <c r="B199" s="7" t="s">
        <v>241</v>
      </c>
      <c r="C199" s="8" t="s">
        <v>41</v>
      </c>
      <c r="D199" s="8" t="s">
        <v>8</v>
      </c>
      <c r="E199" s="9">
        <v>0.0</v>
      </c>
    </row>
    <row r="200">
      <c r="A200" s="6">
        <v>199.0</v>
      </c>
      <c r="B200" s="7" t="s">
        <v>242</v>
      </c>
      <c r="C200" s="8" t="s">
        <v>81</v>
      </c>
      <c r="D200" s="8" t="s">
        <v>8</v>
      </c>
      <c r="E200" s="9">
        <v>0.0</v>
      </c>
    </row>
    <row r="201">
      <c r="A201" s="6">
        <v>200.0</v>
      </c>
      <c r="B201" s="7" t="s">
        <v>243</v>
      </c>
      <c r="C201" s="8" t="s">
        <v>58</v>
      </c>
      <c r="D201" s="8" t="s">
        <v>8</v>
      </c>
      <c r="E201" s="9">
        <v>0.0</v>
      </c>
    </row>
    <row r="202">
      <c r="A202" s="6">
        <v>201.0</v>
      </c>
      <c r="B202" s="7" t="s">
        <v>244</v>
      </c>
      <c r="C202" s="8" t="s">
        <v>119</v>
      </c>
      <c r="D202" s="8" t="s">
        <v>13</v>
      </c>
      <c r="E202" s="9">
        <v>0.0</v>
      </c>
    </row>
    <row r="203">
      <c r="A203" s="6">
        <v>202.0</v>
      </c>
      <c r="B203" s="7" t="s">
        <v>245</v>
      </c>
      <c r="C203" s="8" t="s">
        <v>15</v>
      </c>
      <c r="D203" s="8" t="s">
        <v>13</v>
      </c>
      <c r="E203" s="9">
        <v>0.0</v>
      </c>
    </row>
    <row r="204">
      <c r="A204" s="6">
        <v>203.0</v>
      </c>
      <c r="B204" s="7" t="s">
        <v>246</v>
      </c>
      <c r="C204" s="8" t="s">
        <v>32</v>
      </c>
      <c r="D204" s="8" t="s">
        <v>13</v>
      </c>
      <c r="E204" s="9">
        <v>0.0</v>
      </c>
    </row>
    <row r="205">
      <c r="A205" s="6">
        <v>204.0</v>
      </c>
      <c r="B205" s="7" t="s">
        <v>247</v>
      </c>
      <c r="C205" s="8" t="s">
        <v>32</v>
      </c>
      <c r="D205" s="8" t="s">
        <v>13</v>
      </c>
      <c r="E205" s="9">
        <v>0.0</v>
      </c>
    </row>
    <row r="206">
      <c r="A206" s="6">
        <v>205.0</v>
      </c>
      <c r="B206" s="7" t="s">
        <v>248</v>
      </c>
      <c r="C206" s="8" t="s">
        <v>12</v>
      </c>
      <c r="D206" s="8" t="s">
        <v>13</v>
      </c>
      <c r="E206" s="9">
        <v>0.0</v>
      </c>
    </row>
    <row r="207">
      <c r="A207" s="6">
        <v>206.0</v>
      </c>
      <c r="B207" s="7" t="s">
        <v>249</v>
      </c>
      <c r="C207" s="8" t="s">
        <v>45</v>
      </c>
      <c r="D207" s="8" t="s">
        <v>13</v>
      </c>
      <c r="E207" s="9">
        <v>0.0</v>
      </c>
    </row>
    <row r="208">
      <c r="A208" s="6">
        <v>207.0</v>
      </c>
      <c r="B208" s="7" t="s">
        <v>250</v>
      </c>
      <c r="C208" s="8" t="s">
        <v>81</v>
      </c>
      <c r="D208" s="8" t="s">
        <v>13</v>
      </c>
      <c r="E208" s="9">
        <v>0.0</v>
      </c>
    </row>
    <row r="209">
      <c r="A209" s="6">
        <v>208.0</v>
      </c>
      <c r="B209" s="7" t="s">
        <v>251</v>
      </c>
      <c r="C209" s="8" t="s">
        <v>35</v>
      </c>
      <c r="D209" s="8" t="s">
        <v>13</v>
      </c>
      <c r="E209" s="9">
        <v>0.0</v>
      </c>
    </row>
    <row r="210">
      <c r="A210" s="6">
        <v>209.0</v>
      </c>
      <c r="B210" s="7" t="s">
        <v>252</v>
      </c>
      <c r="C210" s="8" t="s">
        <v>37</v>
      </c>
      <c r="D210" s="8" t="s">
        <v>13</v>
      </c>
      <c r="E210" s="9">
        <v>0.0</v>
      </c>
    </row>
    <row r="211">
      <c r="A211" s="6">
        <v>210.0</v>
      </c>
      <c r="B211" s="7" t="s">
        <v>253</v>
      </c>
      <c r="C211" s="8" t="s">
        <v>30</v>
      </c>
      <c r="D211" s="8" t="s">
        <v>13</v>
      </c>
      <c r="E211" s="9">
        <v>0.0</v>
      </c>
    </row>
    <row r="212">
      <c r="A212" s="6">
        <v>211.0</v>
      </c>
      <c r="B212" s="7" t="s">
        <v>254</v>
      </c>
      <c r="C212" s="8" t="s">
        <v>7</v>
      </c>
      <c r="D212" s="8" t="s">
        <v>13</v>
      </c>
      <c r="E212" s="9">
        <v>0.0</v>
      </c>
    </row>
    <row r="213">
      <c r="A213" s="6">
        <v>212.0</v>
      </c>
      <c r="B213" s="7" t="s">
        <v>255</v>
      </c>
      <c r="C213" s="8" t="s">
        <v>43</v>
      </c>
      <c r="D213" s="8" t="s">
        <v>13</v>
      </c>
      <c r="E213" s="9">
        <v>0.0</v>
      </c>
    </row>
    <row r="214">
      <c r="A214" s="6">
        <v>213.0</v>
      </c>
      <c r="B214" s="7" t="s">
        <v>256</v>
      </c>
      <c r="C214" s="8" t="s">
        <v>73</v>
      </c>
      <c r="D214" s="8" t="s">
        <v>13</v>
      </c>
      <c r="E214" s="9">
        <v>0.0</v>
      </c>
    </row>
    <row r="215">
      <c r="A215" s="6">
        <v>214.0</v>
      </c>
      <c r="B215" s="7" t="s">
        <v>257</v>
      </c>
      <c r="C215" s="8" t="s">
        <v>21</v>
      </c>
      <c r="D215" s="8" t="s">
        <v>13</v>
      </c>
      <c r="E215" s="9">
        <v>0.0</v>
      </c>
    </row>
    <row r="216">
      <c r="A216" s="6">
        <v>215.0</v>
      </c>
      <c r="B216" s="7" t="s">
        <v>258</v>
      </c>
      <c r="C216" s="8" t="s">
        <v>23</v>
      </c>
      <c r="D216" s="8" t="s">
        <v>13</v>
      </c>
      <c r="E216" s="9">
        <v>0.0</v>
      </c>
    </row>
    <row r="217">
      <c r="A217" s="6">
        <v>216.0</v>
      </c>
      <c r="B217" s="7" t="s">
        <v>259</v>
      </c>
      <c r="C217" s="8" t="s">
        <v>55</v>
      </c>
      <c r="D217" s="8" t="s">
        <v>13</v>
      </c>
      <c r="E217" s="9">
        <v>0.0</v>
      </c>
    </row>
    <row r="218">
      <c r="A218" s="6">
        <v>217.0</v>
      </c>
      <c r="B218" s="7" t="s">
        <v>260</v>
      </c>
      <c r="C218" s="8" t="s">
        <v>39</v>
      </c>
      <c r="D218" s="8" t="s">
        <v>13</v>
      </c>
      <c r="E218" s="9">
        <v>0.0</v>
      </c>
    </row>
    <row r="219">
      <c r="A219" s="6">
        <v>218.0</v>
      </c>
      <c r="B219" s="7" t="s">
        <v>261</v>
      </c>
      <c r="C219" s="8" t="s">
        <v>262</v>
      </c>
      <c r="D219" s="8" t="s">
        <v>13</v>
      </c>
      <c r="E219" s="9">
        <v>0.0</v>
      </c>
    </row>
    <row r="220">
      <c r="A220" s="6">
        <v>219.0</v>
      </c>
      <c r="B220" s="7" t="s">
        <v>263</v>
      </c>
      <c r="C220" s="8" t="s">
        <v>53</v>
      </c>
      <c r="D220" s="8" t="s">
        <v>13</v>
      </c>
      <c r="E220" s="9">
        <v>0.0</v>
      </c>
    </row>
    <row r="221">
      <c r="A221" s="6">
        <v>220.0</v>
      </c>
      <c r="B221" s="7" t="s">
        <v>264</v>
      </c>
      <c r="C221" s="8" t="s">
        <v>53</v>
      </c>
      <c r="D221" s="8" t="s">
        <v>13</v>
      </c>
      <c r="E221" s="9">
        <v>0.0</v>
      </c>
    </row>
    <row r="222">
      <c r="A222" s="6">
        <v>221.0</v>
      </c>
      <c r="B222" s="7" t="s">
        <v>265</v>
      </c>
      <c r="C222" s="8" t="s">
        <v>69</v>
      </c>
      <c r="D222" s="8" t="s">
        <v>13</v>
      </c>
      <c r="E222" s="9">
        <v>0.0</v>
      </c>
    </row>
    <row r="223">
      <c r="A223" s="6">
        <v>222.0</v>
      </c>
      <c r="B223" s="7" t="s">
        <v>266</v>
      </c>
      <c r="C223" s="8" t="s">
        <v>47</v>
      </c>
      <c r="D223" s="8" t="s">
        <v>13</v>
      </c>
      <c r="E223" s="9">
        <v>0.0</v>
      </c>
    </row>
    <row r="224">
      <c r="A224" s="6">
        <v>223.0</v>
      </c>
      <c r="B224" s="7" t="s">
        <v>267</v>
      </c>
      <c r="C224" s="8" t="s">
        <v>17</v>
      </c>
      <c r="D224" s="8" t="s">
        <v>13</v>
      </c>
      <c r="E224" s="9">
        <v>0.0</v>
      </c>
    </row>
    <row r="225">
      <c r="A225" s="6">
        <v>224.0</v>
      </c>
      <c r="B225" s="7" t="s">
        <v>268</v>
      </c>
      <c r="C225" s="8" t="s">
        <v>45</v>
      </c>
      <c r="D225" s="8" t="s">
        <v>13</v>
      </c>
      <c r="E225" s="9">
        <v>0.0</v>
      </c>
    </row>
    <row r="226">
      <c r="A226" s="6">
        <v>225.0</v>
      </c>
      <c r="B226" s="7" t="s">
        <v>269</v>
      </c>
      <c r="C226" s="8" t="s">
        <v>119</v>
      </c>
      <c r="D226" s="8" t="s">
        <v>13</v>
      </c>
      <c r="E226" s="9">
        <v>0.0</v>
      </c>
    </row>
    <row r="227">
      <c r="A227" s="6">
        <v>226.0</v>
      </c>
      <c r="B227" s="7" t="s">
        <v>270</v>
      </c>
      <c r="C227" s="8" t="s">
        <v>81</v>
      </c>
      <c r="D227" s="8" t="s">
        <v>13</v>
      </c>
      <c r="E227" s="9">
        <v>0.0</v>
      </c>
    </row>
    <row r="228">
      <c r="A228" s="6">
        <v>227.0</v>
      </c>
      <c r="B228" s="7" t="s">
        <v>271</v>
      </c>
      <c r="C228" s="8" t="s">
        <v>58</v>
      </c>
      <c r="D228" s="8" t="s">
        <v>13</v>
      </c>
      <c r="E228" s="9">
        <v>0.0</v>
      </c>
    </row>
    <row r="229">
      <c r="A229" s="6">
        <v>228.0</v>
      </c>
      <c r="B229" s="7" t="s">
        <v>272</v>
      </c>
      <c r="C229" s="8" t="s">
        <v>7</v>
      </c>
      <c r="D229" s="8" t="s">
        <v>13</v>
      </c>
      <c r="E229" s="9">
        <v>0.0</v>
      </c>
    </row>
    <row r="230">
      <c r="A230" s="6">
        <v>229.0</v>
      </c>
      <c r="B230" s="7" t="s">
        <v>273</v>
      </c>
      <c r="C230" s="8" t="s">
        <v>85</v>
      </c>
      <c r="D230" s="8" t="s">
        <v>13</v>
      </c>
      <c r="E230" s="9">
        <v>0.0</v>
      </c>
    </row>
    <row r="231">
      <c r="A231" s="6">
        <v>230.0</v>
      </c>
      <c r="B231" s="7" t="s">
        <v>274</v>
      </c>
      <c r="C231" s="8" t="s">
        <v>66</v>
      </c>
      <c r="D231" s="8" t="s">
        <v>77</v>
      </c>
      <c r="E231" s="9">
        <v>0.0</v>
      </c>
    </row>
    <row r="232">
      <c r="A232" s="6">
        <v>231.0</v>
      </c>
      <c r="B232" s="7" t="s">
        <v>275</v>
      </c>
      <c r="C232" s="8" t="s">
        <v>55</v>
      </c>
      <c r="D232" s="8" t="s">
        <v>77</v>
      </c>
      <c r="E232" s="9">
        <v>0.0</v>
      </c>
    </row>
    <row r="233">
      <c r="A233" s="6">
        <v>232.0</v>
      </c>
      <c r="B233" s="7" t="s">
        <v>276</v>
      </c>
      <c r="C233" s="8" t="s">
        <v>53</v>
      </c>
      <c r="D233" s="8" t="s">
        <v>77</v>
      </c>
      <c r="E233" s="9">
        <v>0.0</v>
      </c>
    </row>
    <row r="234">
      <c r="A234" s="6">
        <v>233.0</v>
      </c>
      <c r="B234" s="7" t="s">
        <v>277</v>
      </c>
      <c r="C234" s="8" t="s">
        <v>73</v>
      </c>
      <c r="D234" s="8" t="s">
        <v>77</v>
      </c>
      <c r="E234" s="9">
        <v>0.0</v>
      </c>
    </row>
    <row r="235">
      <c r="A235" s="6">
        <v>234.0</v>
      </c>
      <c r="B235" s="7" t="s">
        <v>278</v>
      </c>
      <c r="C235" s="8" t="s">
        <v>69</v>
      </c>
      <c r="D235" s="8" t="s">
        <v>77</v>
      </c>
      <c r="E235" s="9">
        <v>0.0</v>
      </c>
    </row>
    <row r="236">
      <c r="A236" s="6">
        <v>235.0</v>
      </c>
      <c r="B236" s="7" t="s">
        <v>279</v>
      </c>
      <c r="C236" s="8" t="s">
        <v>21</v>
      </c>
      <c r="D236" s="8" t="s">
        <v>77</v>
      </c>
      <c r="E236" s="9">
        <v>0.0</v>
      </c>
    </row>
    <row r="237">
      <c r="A237" s="6">
        <v>236.0</v>
      </c>
      <c r="B237" s="7" t="s">
        <v>280</v>
      </c>
      <c r="C237" s="8" t="s">
        <v>41</v>
      </c>
      <c r="D237" s="8" t="s">
        <v>77</v>
      </c>
      <c r="E237" s="9">
        <v>0.0</v>
      </c>
    </row>
    <row r="238">
      <c r="A238" s="6">
        <v>237.0</v>
      </c>
      <c r="B238" s="7" t="s">
        <v>281</v>
      </c>
      <c r="C238" s="8" t="s">
        <v>119</v>
      </c>
      <c r="D238" s="8" t="s">
        <v>77</v>
      </c>
      <c r="E238" s="9">
        <v>0.0</v>
      </c>
    </row>
    <row r="239">
      <c r="A239" s="6">
        <v>238.0</v>
      </c>
      <c r="B239" s="7" t="s">
        <v>282</v>
      </c>
      <c r="C239" s="8" t="s">
        <v>7</v>
      </c>
      <c r="D239" s="8" t="s">
        <v>77</v>
      </c>
      <c r="E239" s="9">
        <v>0.0</v>
      </c>
    </row>
    <row r="240">
      <c r="A240" s="6">
        <v>239.0</v>
      </c>
      <c r="B240" s="7" t="s">
        <v>283</v>
      </c>
      <c r="C240" s="8" t="s">
        <v>35</v>
      </c>
      <c r="D240" s="8" t="s">
        <v>77</v>
      </c>
      <c r="E240" s="9">
        <v>0.0</v>
      </c>
    </row>
    <row r="241">
      <c r="A241" s="6">
        <v>240.0</v>
      </c>
      <c r="B241" s="7" t="s">
        <v>284</v>
      </c>
      <c r="C241" s="8" t="s">
        <v>10</v>
      </c>
      <c r="D241" s="8" t="s">
        <v>77</v>
      </c>
      <c r="E241" s="9">
        <v>0.0</v>
      </c>
    </row>
    <row r="242">
      <c r="A242" s="6">
        <v>241.0</v>
      </c>
      <c r="B242" s="7" t="s">
        <v>285</v>
      </c>
      <c r="C242" s="8" t="s">
        <v>81</v>
      </c>
      <c r="D242" s="8" t="s">
        <v>77</v>
      </c>
      <c r="E242" s="9">
        <v>0.0</v>
      </c>
    </row>
    <row r="243">
      <c r="A243" s="6">
        <v>242.0</v>
      </c>
      <c r="B243" s="7" t="s">
        <v>286</v>
      </c>
      <c r="C243" s="8" t="s">
        <v>89</v>
      </c>
      <c r="D243" s="8" t="s">
        <v>77</v>
      </c>
      <c r="E243" s="9">
        <v>0.0</v>
      </c>
    </row>
    <row r="244">
      <c r="A244" s="6">
        <v>243.0</v>
      </c>
      <c r="B244" s="7" t="s">
        <v>287</v>
      </c>
      <c r="C244" s="8" t="s">
        <v>23</v>
      </c>
      <c r="D244" s="8" t="s">
        <v>77</v>
      </c>
      <c r="E244" s="9">
        <v>0.0</v>
      </c>
    </row>
    <row r="245">
      <c r="A245" s="6">
        <v>244.0</v>
      </c>
      <c r="B245" s="7" t="s">
        <v>288</v>
      </c>
      <c r="C245" s="8" t="s">
        <v>85</v>
      </c>
      <c r="D245" s="8" t="s">
        <v>77</v>
      </c>
      <c r="E245" s="9">
        <v>0.0</v>
      </c>
    </row>
    <row r="246">
      <c r="A246" s="6">
        <v>245.0</v>
      </c>
      <c r="B246" s="7" t="s">
        <v>289</v>
      </c>
      <c r="C246" s="8" t="s">
        <v>23</v>
      </c>
      <c r="D246" s="8" t="s">
        <v>77</v>
      </c>
      <c r="E246" s="9">
        <v>0.0</v>
      </c>
    </row>
    <row r="247">
      <c r="A247" s="6">
        <v>246.0</v>
      </c>
      <c r="B247" s="7" t="s">
        <v>290</v>
      </c>
      <c r="C247" s="8" t="s">
        <v>66</v>
      </c>
      <c r="D247" s="8" t="s">
        <v>77</v>
      </c>
      <c r="E247" s="9">
        <v>0.0</v>
      </c>
    </row>
    <row r="248">
      <c r="A248" s="6">
        <v>247.0</v>
      </c>
      <c r="B248" s="7" t="s">
        <v>291</v>
      </c>
      <c r="C248" s="8" t="s">
        <v>89</v>
      </c>
      <c r="D248" s="8" t="s">
        <v>77</v>
      </c>
      <c r="E248" s="9">
        <v>0.0</v>
      </c>
    </row>
    <row r="249">
      <c r="A249" s="6">
        <v>248.0</v>
      </c>
      <c r="B249" s="7" t="s">
        <v>292</v>
      </c>
      <c r="C249" s="8" t="s">
        <v>28</v>
      </c>
      <c r="D249" s="8" t="s">
        <v>77</v>
      </c>
      <c r="E249" s="9">
        <v>0.0</v>
      </c>
    </row>
    <row r="250">
      <c r="A250" s="6">
        <v>249.0</v>
      </c>
      <c r="B250" s="7" t="s">
        <v>293</v>
      </c>
      <c r="C250" s="8" t="s">
        <v>85</v>
      </c>
      <c r="D250" s="8" t="s">
        <v>77</v>
      </c>
      <c r="E250" s="9">
        <v>0.0</v>
      </c>
    </row>
    <row r="251">
      <c r="A251" s="6">
        <v>250.0</v>
      </c>
      <c r="B251" s="7" t="s">
        <v>294</v>
      </c>
      <c r="C251" s="8" t="s">
        <v>10</v>
      </c>
      <c r="D251" s="8" t="s">
        <v>77</v>
      </c>
      <c r="E251" s="9">
        <v>0.0</v>
      </c>
    </row>
    <row r="252">
      <c r="A252" s="6">
        <v>251.0</v>
      </c>
      <c r="B252" s="7" t="s">
        <v>295</v>
      </c>
      <c r="C252" s="8" t="s">
        <v>39</v>
      </c>
      <c r="D252" s="8" t="s">
        <v>77</v>
      </c>
      <c r="E252" s="9">
        <v>0.0</v>
      </c>
    </row>
    <row r="253">
      <c r="A253" s="6">
        <v>252.0</v>
      </c>
      <c r="B253" s="7" t="s">
        <v>296</v>
      </c>
      <c r="C253" s="8" t="s">
        <v>64</v>
      </c>
      <c r="D253" s="8" t="s">
        <v>77</v>
      </c>
      <c r="E253" s="9">
        <v>0.0</v>
      </c>
    </row>
    <row r="254">
      <c r="A254" s="6">
        <v>253.0</v>
      </c>
      <c r="B254" s="7" t="s">
        <v>297</v>
      </c>
      <c r="C254" s="8" t="s">
        <v>99</v>
      </c>
      <c r="D254" s="8" t="s">
        <v>59</v>
      </c>
      <c r="E254" s="9">
        <v>0.0</v>
      </c>
    </row>
    <row r="255">
      <c r="A255" s="6">
        <v>254.0</v>
      </c>
      <c r="B255" s="7" t="s">
        <v>298</v>
      </c>
      <c r="C255" s="8" t="s">
        <v>21</v>
      </c>
      <c r="D255" s="8" t="s">
        <v>59</v>
      </c>
      <c r="E255" s="9">
        <v>0.0</v>
      </c>
    </row>
    <row r="256">
      <c r="A256" s="6">
        <v>255.0</v>
      </c>
      <c r="B256" s="7" t="s">
        <v>299</v>
      </c>
      <c r="C256" s="8" t="s">
        <v>73</v>
      </c>
      <c r="D256" s="8" t="s">
        <v>59</v>
      </c>
      <c r="E256" s="9">
        <v>0.0</v>
      </c>
    </row>
    <row r="257">
      <c r="A257" s="6">
        <v>256.0</v>
      </c>
      <c r="B257" s="7" t="s">
        <v>300</v>
      </c>
      <c r="C257" s="8" t="s">
        <v>19</v>
      </c>
      <c r="D257" s="8" t="s">
        <v>59</v>
      </c>
      <c r="E257" s="9">
        <v>0.0</v>
      </c>
    </row>
    <row r="258">
      <c r="A258" s="6">
        <v>257.0</v>
      </c>
      <c r="B258" s="7" t="s">
        <v>301</v>
      </c>
      <c r="C258" s="8" t="s">
        <v>43</v>
      </c>
      <c r="D258" s="8" t="s">
        <v>59</v>
      </c>
      <c r="E258" s="9">
        <v>0.0</v>
      </c>
    </row>
    <row r="259">
      <c r="A259" s="6">
        <v>258.0</v>
      </c>
      <c r="B259" s="7" t="s">
        <v>302</v>
      </c>
      <c r="C259" s="8" t="s">
        <v>15</v>
      </c>
      <c r="D259" s="8" t="s">
        <v>59</v>
      </c>
      <c r="E259" s="9">
        <v>0.0</v>
      </c>
    </row>
    <row r="260">
      <c r="A260" s="6">
        <v>259.0</v>
      </c>
      <c r="B260" s="7" t="s">
        <v>303</v>
      </c>
      <c r="C260" s="8" t="s">
        <v>47</v>
      </c>
      <c r="D260" s="8" t="s">
        <v>59</v>
      </c>
      <c r="E260" s="9">
        <v>0.0</v>
      </c>
    </row>
    <row r="261">
      <c r="A261" s="6">
        <v>260.0</v>
      </c>
      <c r="B261" s="7" t="s">
        <v>304</v>
      </c>
      <c r="C261" s="8" t="s">
        <v>81</v>
      </c>
      <c r="D261" s="8" t="s">
        <v>59</v>
      </c>
      <c r="E261" s="9">
        <v>0.0</v>
      </c>
    </row>
    <row r="262">
      <c r="A262" s="6">
        <v>261.0</v>
      </c>
      <c r="B262" s="7" t="s">
        <v>305</v>
      </c>
      <c r="C262" s="8" t="s">
        <v>69</v>
      </c>
      <c r="D262" s="8" t="s">
        <v>59</v>
      </c>
      <c r="E262" s="9">
        <v>0.0</v>
      </c>
    </row>
    <row r="263">
      <c r="A263" s="6">
        <v>262.0</v>
      </c>
      <c r="B263" s="7" t="s">
        <v>306</v>
      </c>
      <c r="C263" s="8" t="s">
        <v>7</v>
      </c>
      <c r="D263" s="8" t="s">
        <v>59</v>
      </c>
      <c r="E263" s="9">
        <v>0.0</v>
      </c>
    </row>
    <row r="264">
      <c r="A264" s="6">
        <v>263.0</v>
      </c>
      <c r="B264" s="7" t="s">
        <v>307</v>
      </c>
      <c r="C264" s="8" t="s">
        <v>41</v>
      </c>
      <c r="D264" s="8" t="s">
        <v>59</v>
      </c>
      <c r="E264" s="9">
        <v>0.0</v>
      </c>
    </row>
    <row r="265">
      <c r="A265" s="6">
        <v>264.0</v>
      </c>
      <c r="B265" s="7" t="s">
        <v>308</v>
      </c>
      <c r="C265" s="8" t="s">
        <v>99</v>
      </c>
      <c r="D265" s="8" t="s">
        <v>59</v>
      </c>
      <c r="E265" s="9">
        <v>0.0</v>
      </c>
    </row>
    <row r="266">
      <c r="A266" s="6">
        <v>265.0</v>
      </c>
      <c r="B266" s="7" t="s">
        <v>309</v>
      </c>
      <c r="C266" s="8" t="s">
        <v>10</v>
      </c>
      <c r="D266" s="8" t="s">
        <v>59</v>
      </c>
      <c r="E266" s="9">
        <v>0.0</v>
      </c>
    </row>
    <row r="267">
      <c r="A267" s="6">
        <v>266.0</v>
      </c>
      <c r="B267" s="7" t="s">
        <v>310</v>
      </c>
      <c r="C267" s="8" t="s">
        <v>119</v>
      </c>
      <c r="D267" s="8" t="s">
        <v>59</v>
      </c>
      <c r="E267" s="9">
        <v>0.0</v>
      </c>
    </row>
    <row r="268">
      <c r="A268" s="6">
        <v>267.0</v>
      </c>
      <c r="B268" s="7" t="s">
        <v>311</v>
      </c>
      <c r="C268" s="8" t="s">
        <v>37</v>
      </c>
      <c r="D268" s="8" t="s">
        <v>59</v>
      </c>
      <c r="E268" s="9">
        <v>0.0</v>
      </c>
    </row>
    <row r="269">
      <c r="A269" s="6">
        <v>268.0</v>
      </c>
      <c r="B269" s="7" t="s">
        <v>312</v>
      </c>
      <c r="C269" s="8" t="s">
        <v>37</v>
      </c>
      <c r="D269" s="8" t="s">
        <v>59</v>
      </c>
      <c r="E269" s="9">
        <v>0.0</v>
      </c>
    </row>
    <row r="270">
      <c r="A270" s="6">
        <v>269.0</v>
      </c>
      <c r="B270" s="7" t="s">
        <v>313</v>
      </c>
      <c r="C270" s="8" t="s">
        <v>66</v>
      </c>
      <c r="D270" s="8" t="s">
        <v>59</v>
      </c>
      <c r="E270" s="9">
        <v>0.0</v>
      </c>
    </row>
    <row r="271">
      <c r="A271" s="6">
        <v>270.0</v>
      </c>
      <c r="B271" s="7" t="s">
        <v>314</v>
      </c>
      <c r="C271" s="8" t="s">
        <v>64</v>
      </c>
      <c r="D271" s="8" t="s">
        <v>183</v>
      </c>
      <c r="E271" s="9">
        <v>0.0</v>
      </c>
    </row>
    <row r="272">
      <c r="A272" s="6">
        <v>271.0</v>
      </c>
      <c r="B272" s="7" t="s">
        <v>315</v>
      </c>
      <c r="C272" s="8" t="s">
        <v>66</v>
      </c>
      <c r="D272" s="8" t="s">
        <v>183</v>
      </c>
      <c r="E272" s="9">
        <v>0.0</v>
      </c>
    </row>
    <row r="273">
      <c r="A273" s="6">
        <v>272.0</v>
      </c>
      <c r="B273" s="7" t="s">
        <v>316</v>
      </c>
      <c r="C273" s="8" t="s">
        <v>37</v>
      </c>
      <c r="D273" s="8" t="s">
        <v>183</v>
      </c>
      <c r="E273" s="9">
        <v>0.0</v>
      </c>
    </row>
    <row r="274">
      <c r="A274" s="6">
        <v>273.0</v>
      </c>
      <c r="B274" s="7" t="s">
        <v>317</v>
      </c>
      <c r="C274" s="8" t="s">
        <v>28</v>
      </c>
      <c r="D274" s="8" t="s">
        <v>183</v>
      </c>
      <c r="E274" s="9">
        <v>0.0</v>
      </c>
    </row>
    <row r="275">
      <c r="A275" s="6">
        <v>274.0</v>
      </c>
      <c r="B275" s="7" t="s">
        <v>318</v>
      </c>
      <c r="C275" s="8" t="s">
        <v>17</v>
      </c>
      <c r="D275" s="8" t="s">
        <v>183</v>
      </c>
      <c r="E275" s="9">
        <v>0.0</v>
      </c>
    </row>
    <row r="276">
      <c r="A276" s="6">
        <v>275.0</v>
      </c>
      <c r="B276" s="7" t="s">
        <v>319</v>
      </c>
      <c r="C276" s="8" t="s">
        <v>66</v>
      </c>
      <c r="D276" s="8" t="s">
        <v>193</v>
      </c>
      <c r="E276" s="9">
        <v>0.0</v>
      </c>
    </row>
    <row r="277">
      <c r="A277" s="6">
        <v>276.0</v>
      </c>
      <c r="B277" s="7" t="s">
        <v>320</v>
      </c>
      <c r="C277" s="8" t="s">
        <v>15</v>
      </c>
      <c r="D277" s="8" t="s">
        <v>193</v>
      </c>
      <c r="E277" s="9">
        <v>0.0</v>
      </c>
    </row>
    <row r="278">
      <c r="A278" s="6">
        <v>277.0</v>
      </c>
      <c r="B278" s="7" t="s">
        <v>321</v>
      </c>
      <c r="C278" s="8" t="s">
        <v>39</v>
      </c>
      <c r="D278" s="8" t="s">
        <v>193</v>
      </c>
      <c r="E278" s="9">
        <v>0.0</v>
      </c>
    </row>
    <row r="279">
      <c r="A279" s="6">
        <v>278.0</v>
      </c>
      <c r="B279" s="7" t="s">
        <v>322</v>
      </c>
      <c r="C279" s="8" t="s">
        <v>119</v>
      </c>
      <c r="D279" s="8" t="s">
        <v>193</v>
      </c>
      <c r="E279" s="9">
        <v>0.0</v>
      </c>
    </row>
    <row r="280">
      <c r="A280" s="6">
        <v>279.0</v>
      </c>
      <c r="B280" s="7" t="s">
        <v>323</v>
      </c>
      <c r="C280" s="8" t="s">
        <v>19</v>
      </c>
      <c r="D280" s="8" t="s">
        <v>193</v>
      </c>
      <c r="E280" s="9">
        <v>0.0</v>
      </c>
    </row>
    <row r="281">
      <c r="A281" s="6">
        <v>280.0</v>
      </c>
      <c r="B281" s="7" t="s">
        <v>324</v>
      </c>
      <c r="C281" s="8" t="s">
        <v>64</v>
      </c>
      <c r="D281" s="8" t="s">
        <v>193</v>
      </c>
      <c r="E281" s="9">
        <v>0.0</v>
      </c>
    </row>
    <row r="282">
      <c r="A282" s="6">
        <v>281.0</v>
      </c>
      <c r="B282" s="7" t="s">
        <v>325</v>
      </c>
      <c r="C282" s="8" t="s">
        <v>12</v>
      </c>
      <c r="D282" s="8" t="s">
        <v>193</v>
      </c>
      <c r="E282" s="9">
        <v>0.0</v>
      </c>
    </row>
    <row r="283">
      <c r="A283" s="6">
        <v>282.0</v>
      </c>
      <c r="B283" s="7" t="s">
        <v>326</v>
      </c>
      <c r="C283" s="8" t="s">
        <v>17</v>
      </c>
      <c r="D283" s="8" t="s">
        <v>193</v>
      </c>
      <c r="E283" s="9">
        <v>0.0</v>
      </c>
    </row>
    <row r="284">
      <c r="A284" s="6">
        <v>283.0</v>
      </c>
      <c r="B284" s="7" t="s">
        <v>327</v>
      </c>
      <c r="C284" s="8" t="s">
        <v>45</v>
      </c>
      <c r="D284" s="8" t="s">
        <v>193</v>
      </c>
      <c r="E284" s="9">
        <v>0.0</v>
      </c>
    </row>
    <row r="285">
      <c r="A285" s="6">
        <v>284.0</v>
      </c>
      <c r="B285" s="7" t="s">
        <v>328</v>
      </c>
      <c r="C285" s="8" t="s">
        <v>43</v>
      </c>
      <c r="D285" s="8" t="s">
        <v>193</v>
      </c>
      <c r="E285" s="9">
        <v>0.0</v>
      </c>
    </row>
    <row r="286">
      <c r="A286" s="6">
        <v>285.0</v>
      </c>
      <c r="B286" s="7" t="s">
        <v>329</v>
      </c>
      <c r="C286" s="8" t="s">
        <v>21</v>
      </c>
      <c r="D286" s="8" t="s">
        <v>193</v>
      </c>
      <c r="E286" s="9">
        <v>0.0</v>
      </c>
    </row>
    <row r="287">
      <c r="A287" s="6">
        <v>286.0</v>
      </c>
      <c r="B287" s="7" t="s">
        <v>330</v>
      </c>
      <c r="C287" s="8" t="s">
        <v>62</v>
      </c>
      <c r="D287" s="8" t="s">
        <v>193</v>
      </c>
      <c r="E287" s="9">
        <v>0.0</v>
      </c>
    </row>
    <row r="288">
      <c r="A288" s="6">
        <v>287.0</v>
      </c>
      <c r="B288" s="7" t="s">
        <v>331</v>
      </c>
      <c r="C288" s="8" t="s">
        <v>53</v>
      </c>
      <c r="D288" s="8" t="s">
        <v>193</v>
      </c>
      <c r="E288" s="9">
        <v>0.0</v>
      </c>
    </row>
    <row r="289">
      <c r="A289" s="6">
        <v>288.0</v>
      </c>
      <c r="B289" s="7" t="s">
        <v>332</v>
      </c>
      <c r="C289" s="8" t="s">
        <v>25</v>
      </c>
      <c r="D289" s="8" t="s">
        <v>193</v>
      </c>
      <c r="E289" s="9">
        <v>0.0</v>
      </c>
    </row>
    <row r="290">
      <c r="A290" s="6">
        <v>289.0</v>
      </c>
      <c r="B290" s="7" t="s">
        <v>333</v>
      </c>
      <c r="C290" s="8" t="s">
        <v>69</v>
      </c>
      <c r="D290" s="8" t="s">
        <v>193</v>
      </c>
      <c r="E290" s="9">
        <v>0.0</v>
      </c>
    </row>
    <row r="291">
      <c r="A291" s="6">
        <v>290.0</v>
      </c>
      <c r="B291" s="7" t="s">
        <v>334</v>
      </c>
      <c r="C291" s="8" t="s">
        <v>99</v>
      </c>
      <c r="D291" s="8" t="s">
        <v>193</v>
      </c>
      <c r="E291" s="9">
        <v>0.0</v>
      </c>
    </row>
    <row r="292">
      <c r="A292" s="6">
        <v>291.0</v>
      </c>
      <c r="B292" s="7" t="s">
        <v>335</v>
      </c>
      <c r="C292" s="8" t="s">
        <v>10</v>
      </c>
      <c r="D292" s="8" t="s">
        <v>193</v>
      </c>
      <c r="E292" s="9">
        <v>0.0</v>
      </c>
    </row>
    <row r="293">
      <c r="A293" s="6">
        <v>292.0</v>
      </c>
      <c r="B293" s="7" t="s">
        <v>336</v>
      </c>
      <c r="C293" s="8" t="s">
        <v>89</v>
      </c>
      <c r="D293" s="8" t="s">
        <v>193</v>
      </c>
      <c r="E293" s="9">
        <v>0.0</v>
      </c>
    </row>
    <row r="294">
      <c r="A294" s="6">
        <v>293.0</v>
      </c>
      <c r="B294" s="7" t="s">
        <v>337</v>
      </c>
      <c r="C294" s="8" t="s">
        <v>55</v>
      </c>
      <c r="D294" s="8" t="s">
        <v>193</v>
      </c>
      <c r="E294" s="9">
        <v>0.0</v>
      </c>
    </row>
    <row r="295">
      <c r="A295" s="6">
        <v>294.0</v>
      </c>
      <c r="B295" s="7" t="s">
        <v>338</v>
      </c>
      <c r="C295" s="8" t="s">
        <v>85</v>
      </c>
      <c r="D295" s="8" t="s">
        <v>193</v>
      </c>
      <c r="E295" s="9">
        <v>0.0</v>
      </c>
    </row>
    <row r="296">
      <c r="A296" s="6">
        <v>295.0</v>
      </c>
      <c r="B296" s="7" t="s">
        <v>339</v>
      </c>
      <c r="C296" s="8" t="s">
        <v>35</v>
      </c>
      <c r="D296" s="8" t="s">
        <v>193</v>
      </c>
      <c r="E296" s="9">
        <v>0.0</v>
      </c>
    </row>
    <row r="297">
      <c r="A297" s="6">
        <v>296.0</v>
      </c>
      <c r="B297" s="7" t="s">
        <v>340</v>
      </c>
      <c r="C297" s="8" t="s">
        <v>81</v>
      </c>
      <c r="D297" s="8" t="s">
        <v>193</v>
      </c>
      <c r="E297" s="9">
        <v>0.0</v>
      </c>
    </row>
  </sheetData>
  <autoFilter ref="$A$1:$E$29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2.38"/>
    <col customWidth="1" min="3" max="3" width="7.13"/>
    <col customWidth="1" min="4" max="4" width="9.25"/>
    <col customWidth="1" min="5" max="5" width="7.5"/>
  </cols>
  <sheetData>
    <row r="1">
      <c r="A1" s="10" t="s">
        <v>0</v>
      </c>
      <c r="B1" s="10" t="s">
        <v>1</v>
      </c>
      <c r="C1" s="11" t="s">
        <v>2</v>
      </c>
      <c r="D1" s="12" t="s">
        <v>3</v>
      </c>
      <c r="E1" s="4" t="s">
        <v>4</v>
      </c>
      <c r="G1" s="5" t="s">
        <v>5</v>
      </c>
    </row>
    <row r="2">
      <c r="A2" s="13">
        <v>1.0</v>
      </c>
      <c r="B2" s="14" t="s">
        <v>6</v>
      </c>
      <c r="C2" s="15" t="s">
        <v>7</v>
      </c>
      <c r="D2" s="15" t="s">
        <v>8</v>
      </c>
      <c r="E2" s="16">
        <v>76.0</v>
      </c>
    </row>
    <row r="3">
      <c r="A3" s="13">
        <v>2.0</v>
      </c>
      <c r="B3" s="17" t="s">
        <v>9</v>
      </c>
      <c r="C3" s="18" t="s">
        <v>10</v>
      </c>
      <c r="D3" s="18" t="s">
        <v>8</v>
      </c>
      <c r="E3" s="9">
        <v>64.0</v>
      </c>
    </row>
    <row r="4">
      <c r="A4" s="13">
        <v>3.0</v>
      </c>
      <c r="B4" s="17" t="s">
        <v>14</v>
      </c>
      <c r="C4" s="18" t="s">
        <v>15</v>
      </c>
      <c r="D4" s="18" t="s">
        <v>8</v>
      </c>
      <c r="E4" s="9">
        <v>63.0</v>
      </c>
    </row>
    <row r="5">
      <c r="A5" s="13">
        <v>4.0</v>
      </c>
      <c r="B5" s="17" t="s">
        <v>26</v>
      </c>
      <c r="C5" s="18" t="s">
        <v>17</v>
      </c>
      <c r="D5" s="18" t="s">
        <v>8</v>
      </c>
      <c r="E5" s="9">
        <v>58.0</v>
      </c>
    </row>
    <row r="6">
      <c r="A6" s="13">
        <v>5.0</v>
      </c>
      <c r="B6" s="17" t="s">
        <v>16</v>
      </c>
      <c r="C6" s="18" t="s">
        <v>17</v>
      </c>
      <c r="D6" s="18" t="s">
        <v>13</v>
      </c>
      <c r="E6" s="9">
        <v>56.0</v>
      </c>
    </row>
    <row r="7">
      <c r="A7" s="13">
        <v>6.0</v>
      </c>
      <c r="B7" s="17" t="s">
        <v>20</v>
      </c>
      <c r="C7" s="18" t="s">
        <v>21</v>
      </c>
      <c r="D7" s="18" t="s">
        <v>8</v>
      </c>
      <c r="E7" s="9">
        <v>51.0</v>
      </c>
    </row>
    <row r="8">
      <c r="A8" s="13">
        <v>7.0</v>
      </c>
      <c r="B8" s="17" t="s">
        <v>11</v>
      </c>
      <c r="C8" s="18" t="s">
        <v>12</v>
      </c>
      <c r="D8" s="18" t="s">
        <v>13</v>
      </c>
      <c r="E8" s="9">
        <v>50.0</v>
      </c>
    </row>
    <row r="9">
      <c r="A9" s="13">
        <v>8.0</v>
      </c>
      <c r="B9" s="17" t="s">
        <v>22</v>
      </c>
      <c r="C9" s="18" t="s">
        <v>23</v>
      </c>
      <c r="D9" s="18" t="s">
        <v>8</v>
      </c>
      <c r="E9" s="9">
        <v>45.0</v>
      </c>
    </row>
    <row r="10">
      <c r="A10" s="13">
        <v>9.0</v>
      </c>
      <c r="B10" s="17" t="s">
        <v>18</v>
      </c>
      <c r="C10" s="18" t="s">
        <v>19</v>
      </c>
      <c r="D10" s="18" t="s">
        <v>13</v>
      </c>
      <c r="E10" s="9">
        <v>44.0</v>
      </c>
    </row>
    <row r="11">
      <c r="A11" s="13">
        <v>10.0</v>
      </c>
      <c r="B11" s="17" t="s">
        <v>33</v>
      </c>
      <c r="C11" s="18" t="s">
        <v>19</v>
      </c>
      <c r="D11" s="18" t="s">
        <v>8</v>
      </c>
      <c r="E11" s="9">
        <v>43.0</v>
      </c>
    </row>
    <row r="12">
      <c r="A12" s="13">
        <v>11.0</v>
      </c>
      <c r="B12" s="17" t="s">
        <v>29</v>
      </c>
      <c r="C12" s="18" t="s">
        <v>30</v>
      </c>
      <c r="D12" s="18" t="s">
        <v>13</v>
      </c>
      <c r="E12" s="9">
        <v>41.0</v>
      </c>
    </row>
    <row r="13">
      <c r="A13" s="13">
        <v>12.0</v>
      </c>
      <c r="B13" s="17" t="s">
        <v>34</v>
      </c>
      <c r="C13" s="18" t="s">
        <v>35</v>
      </c>
      <c r="D13" s="18" t="s">
        <v>8</v>
      </c>
      <c r="E13" s="9">
        <v>40.0</v>
      </c>
    </row>
    <row r="14">
      <c r="A14" s="13">
        <v>13.0</v>
      </c>
      <c r="B14" s="17" t="s">
        <v>24</v>
      </c>
      <c r="C14" s="18" t="s">
        <v>25</v>
      </c>
      <c r="D14" s="18" t="s">
        <v>13</v>
      </c>
      <c r="E14" s="9">
        <v>39.0</v>
      </c>
    </row>
    <row r="15">
      <c r="A15" s="13">
        <v>14.0</v>
      </c>
      <c r="B15" s="17" t="s">
        <v>61</v>
      </c>
      <c r="C15" s="18" t="s">
        <v>62</v>
      </c>
      <c r="D15" s="18" t="s">
        <v>59</v>
      </c>
      <c r="E15" s="9">
        <v>39.0</v>
      </c>
    </row>
    <row r="16">
      <c r="A16" s="13">
        <v>15.0</v>
      </c>
      <c r="B16" s="17" t="s">
        <v>31</v>
      </c>
      <c r="C16" s="18" t="s">
        <v>32</v>
      </c>
      <c r="D16" s="18" t="s">
        <v>13</v>
      </c>
      <c r="E16" s="9">
        <v>38.0</v>
      </c>
    </row>
    <row r="17">
      <c r="A17" s="13">
        <v>16.0</v>
      </c>
      <c r="B17" s="17" t="s">
        <v>52</v>
      </c>
      <c r="C17" s="18" t="s">
        <v>53</v>
      </c>
      <c r="D17" s="18" t="s">
        <v>8</v>
      </c>
      <c r="E17" s="9">
        <v>37.0</v>
      </c>
    </row>
    <row r="18">
      <c r="A18" s="13">
        <v>17.0</v>
      </c>
      <c r="B18" s="17" t="s">
        <v>40</v>
      </c>
      <c r="C18" s="18" t="s">
        <v>41</v>
      </c>
      <c r="D18" s="18" t="s">
        <v>8</v>
      </c>
      <c r="E18" s="9">
        <v>36.0</v>
      </c>
    </row>
    <row r="19">
      <c r="A19" s="13">
        <v>18.0</v>
      </c>
      <c r="B19" s="17" t="s">
        <v>46</v>
      </c>
      <c r="C19" s="18" t="s">
        <v>47</v>
      </c>
      <c r="D19" s="18" t="s">
        <v>8</v>
      </c>
      <c r="E19" s="9">
        <v>35.0</v>
      </c>
    </row>
    <row r="20">
      <c r="A20" s="13">
        <v>19.0</v>
      </c>
      <c r="B20" s="17" t="s">
        <v>65</v>
      </c>
      <c r="C20" s="18" t="s">
        <v>66</v>
      </c>
      <c r="D20" s="18" t="s">
        <v>8</v>
      </c>
      <c r="E20" s="9">
        <v>35.0</v>
      </c>
    </row>
    <row r="21">
      <c r="A21" s="13">
        <v>20.0</v>
      </c>
      <c r="B21" s="17" t="s">
        <v>36</v>
      </c>
      <c r="C21" s="18" t="s">
        <v>37</v>
      </c>
      <c r="D21" s="18" t="s">
        <v>8</v>
      </c>
      <c r="E21" s="9">
        <v>35.0</v>
      </c>
    </row>
    <row r="22">
      <c r="A22" s="13">
        <v>21.0</v>
      </c>
      <c r="B22" s="17" t="s">
        <v>27</v>
      </c>
      <c r="C22" s="18" t="s">
        <v>28</v>
      </c>
      <c r="D22" s="18" t="s">
        <v>13</v>
      </c>
      <c r="E22" s="9">
        <v>34.0</v>
      </c>
    </row>
    <row r="23">
      <c r="A23" s="13">
        <v>22.0</v>
      </c>
      <c r="B23" s="17" t="s">
        <v>42</v>
      </c>
      <c r="C23" s="18" t="s">
        <v>43</v>
      </c>
      <c r="D23" s="18" t="s">
        <v>8</v>
      </c>
      <c r="E23" s="9">
        <v>33.0</v>
      </c>
    </row>
    <row r="24">
      <c r="A24" s="13">
        <v>23.0</v>
      </c>
      <c r="B24" s="17" t="s">
        <v>57</v>
      </c>
      <c r="C24" s="18" t="s">
        <v>58</v>
      </c>
      <c r="D24" s="18" t="s">
        <v>59</v>
      </c>
      <c r="E24" s="9">
        <v>33.0</v>
      </c>
    </row>
    <row r="25">
      <c r="A25" s="13">
        <v>24.0</v>
      </c>
      <c r="B25" s="17" t="s">
        <v>56</v>
      </c>
      <c r="C25" s="18" t="s">
        <v>37</v>
      </c>
      <c r="D25" s="18" t="s">
        <v>13</v>
      </c>
      <c r="E25" s="9">
        <v>31.0</v>
      </c>
    </row>
    <row r="26">
      <c r="A26" s="13">
        <v>25.0</v>
      </c>
      <c r="B26" s="17" t="s">
        <v>38</v>
      </c>
      <c r="C26" s="18" t="s">
        <v>39</v>
      </c>
      <c r="D26" s="18" t="s">
        <v>13</v>
      </c>
      <c r="E26" s="9">
        <v>29.0</v>
      </c>
    </row>
    <row r="27">
      <c r="A27" s="13">
        <v>26.0</v>
      </c>
      <c r="B27" s="17" t="s">
        <v>49</v>
      </c>
      <c r="C27" s="18" t="s">
        <v>15</v>
      </c>
      <c r="D27" s="18" t="s">
        <v>13</v>
      </c>
      <c r="E27" s="9">
        <v>29.0</v>
      </c>
    </row>
    <row r="28">
      <c r="A28" s="13">
        <v>27.0</v>
      </c>
      <c r="B28" s="17" t="s">
        <v>63</v>
      </c>
      <c r="C28" s="18" t="s">
        <v>64</v>
      </c>
      <c r="D28" s="18" t="s">
        <v>13</v>
      </c>
      <c r="E28" s="9">
        <v>28.0</v>
      </c>
    </row>
    <row r="29">
      <c r="A29" s="13">
        <v>28.0</v>
      </c>
      <c r="B29" s="17" t="s">
        <v>44</v>
      </c>
      <c r="C29" s="18" t="s">
        <v>45</v>
      </c>
      <c r="D29" s="18" t="s">
        <v>8</v>
      </c>
      <c r="E29" s="9">
        <v>26.0</v>
      </c>
    </row>
    <row r="30">
      <c r="A30" s="13">
        <v>29.0</v>
      </c>
      <c r="B30" s="17" t="s">
        <v>50</v>
      </c>
      <c r="C30" s="18" t="s">
        <v>19</v>
      </c>
      <c r="D30" s="18" t="s">
        <v>13</v>
      </c>
      <c r="E30" s="9">
        <v>26.0</v>
      </c>
    </row>
    <row r="31">
      <c r="A31" s="13">
        <v>30.0</v>
      </c>
      <c r="B31" s="17" t="s">
        <v>70</v>
      </c>
      <c r="C31" s="18" t="s">
        <v>32</v>
      </c>
      <c r="D31" s="18" t="s">
        <v>8</v>
      </c>
      <c r="E31" s="9">
        <v>25.0</v>
      </c>
    </row>
    <row r="32">
      <c r="A32" s="13">
        <v>31.0</v>
      </c>
      <c r="B32" s="17" t="s">
        <v>76</v>
      </c>
      <c r="C32" s="18" t="s">
        <v>30</v>
      </c>
      <c r="D32" s="18" t="s">
        <v>77</v>
      </c>
      <c r="E32" s="9">
        <v>25.0</v>
      </c>
    </row>
    <row r="33">
      <c r="A33" s="13">
        <v>32.0</v>
      </c>
      <c r="B33" s="17" t="s">
        <v>71</v>
      </c>
      <c r="C33" s="18" t="s">
        <v>7</v>
      </c>
      <c r="D33" s="18" t="s">
        <v>13</v>
      </c>
      <c r="E33" s="9">
        <v>25.0</v>
      </c>
    </row>
    <row r="34">
      <c r="A34" s="13">
        <v>33.0</v>
      </c>
      <c r="B34" s="17" t="s">
        <v>51</v>
      </c>
      <c r="C34" s="18" t="s">
        <v>10</v>
      </c>
      <c r="D34" s="18" t="s">
        <v>13</v>
      </c>
      <c r="E34" s="9">
        <v>24.0</v>
      </c>
    </row>
    <row r="35">
      <c r="A35" s="13">
        <v>34.0</v>
      </c>
      <c r="B35" s="17" t="s">
        <v>88</v>
      </c>
      <c r="C35" s="18" t="s">
        <v>89</v>
      </c>
      <c r="D35" s="18" t="s">
        <v>59</v>
      </c>
      <c r="E35" s="9">
        <v>24.0</v>
      </c>
    </row>
    <row r="36">
      <c r="A36" s="13">
        <v>35.0</v>
      </c>
      <c r="B36" s="17" t="s">
        <v>48</v>
      </c>
      <c r="C36" s="18" t="s">
        <v>12</v>
      </c>
      <c r="D36" s="18" t="s">
        <v>8</v>
      </c>
      <c r="E36" s="9">
        <v>23.0</v>
      </c>
    </row>
    <row r="37">
      <c r="A37" s="13">
        <v>36.0</v>
      </c>
      <c r="B37" s="17" t="s">
        <v>68</v>
      </c>
      <c r="C37" s="18" t="s">
        <v>69</v>
      </c>
      <c r="D37" s="18" t="s">
        <v>8</v>
      </c>
      <c r="E37" s="9">
        <v>23.0</v>
      </c>
    </row>
    <row r="38">
      <c r="A38" s="13">
        <v>37.0</v>
      </c>
      <c r="B38" s="17" t="s">
        <v>54</v>
      </c>
      <c r="C38" s="18" t="s">
        <v>55</v>
      </c>
      <c r="D38" s="18" t="s">
        <v>8</v>
      </c>
      <c r="E38" s="9">
        <v>23.0</v>
      </c>
    </row>
    <row r="39">
      <c r="A39" s="13">
        <v>38.0</v>
      </c>
      <c r="B39" s="17" t="s">
        <v>98</v>
      </c>
      <c r="C39" s="18" t="s">
        <v>99</v>
      </c>
      <c r="D39" s="18" t="s">
        <v>8</v>
      </c>
      <c r="E39" s="9">
        <v>22.0</v>
      </c>
    </row>
    <row r="40">
      <c r="A40" s="13">
        <v>39.0</v>
      </c>
      <c r="B40" s="17" t="s">
        <v>74</v>
      </c>
      <c r="C40" s="18" t="s">
        <v>23</v>
      </c>
      <c r="D40" s="18" t="s">
        <v>13</v>
      </c>
      <c r="E40" s="9">
        <v>22.0</v>
      </c>
    </row>
    <row r="41">
      <c r="A41" s="13">
        <v>40.0</v>
      </c>
      <c r="B41" s="17" t="s">
        <v>60</v>
      </c>
      <c r="C41" s="18" t="s">
        <v>39</v>
      </c>
      <c r="D41" s="18" t="s">
        <v>13</v>
      </c>
      <c r="E41" s="9">
        <v>22.0</v>
      </c>
    </row>
    <row r="42">
      <c r="A42" s="13">
        <v>41.0</v>
      </c>
      <c r="B42" s="17" t="s">
        <v>72</v>
      </c>
      <c r="C42" s="18" t="s">
        <v>73</v>
      </c>
      <c r="D42" s="18" t="s">
        <v>13</v>
      </c>
      <c r="E42" s="9">
        <v>22.0</v>
      </c>
    </row>
    <row r="43">
      <c r="A43" s="13">
        <v>42.0</v>
      </c>
      <c r="B43" s="17" t="s">
        <v>96</v>
      </c>
      <c r="C43" s="18" t="s">
        <v>15</v>
      </c>
      <c r="D43" s="18" t="s">
        <v>77</v>
      </c>
      <c r="E43" s="9">
        <v>21.0</v>
      </c>
    </row>
    <row r="44">
      <c r="A44" s="13">
        <v>43.0</v>
      </c>
      <c r="B44" s="17" t="s">
        <v>67</v>
      </c>
      <c r="C44" s="18" t="s">
        <v>58</v>
      </c>
      <c r="D44" s="18" t="s">
        <v>8</v>
      </c>
      <c r="E44" s="9">
        <v>19.0</v>
      </c>
    </row>
    <row r="45">
      <c r="A45" s="13">
        <v>44.0</v>
      </c>
      <c r="B45" s="17" t="s">
        <v>90</v>
      </c>
      <c r="C45" s="18" t="s">
        <v>28</v>
      </c>
      <c r="D45" s="18" t="s">
        <v>8</v>
      </c>
      <c r="E45" s="9">
        <v>19.0</v>
      </c>
    </row>
    <row r="46">
      <c r="A46" s="13">
        <v>45.0</v>
      </c>
      <c r="B46" s="17" t="s">
        <v>79</v>
      </c>
      <c r="C46" s="18" t="s">
        <v>15</v>
      </c>
      <c r="D46" s="18" t="s">
        <v>13</v>
      </c>
      <c r="E46" s="9">
        <v>19.0</v>
      </c>
    </row>
    <row r="47">
      <c r="A47" s="13">
        <v>46.0</v>
      </c>
      <c r="B47" s="17" t="s">
        <v>93</v>
      </c>
      <c r="C47" s="18" t="s">
        <v>43</v>
      </c>
      <c r="D47" s="18" t="s">
        <v>13</v>
      </c>
      <c r="E47" s="9">
        <v>19.0</v>
      </c>
    </row>
    <row r="48">
      <c r="A48" s="13">
        <v>47.0</v>
      </c>
      <c r="B48" s="17" t="s">
        <v>341</v>
      </c>
      <c r="C48" s="18" t="s">
        <v>62</v>
      </c>
      <c r="D48" s="18" t="s">
        <v>77</v>
      </c>
      <c r="E48" s="9">
        <v>18.0</v>
      </c>
    </row>
    <row r="49">
      <c r="A49" s="13">
        <v>48.0</v>
      </c>
      <c r="B49" s="17" t="s">
        <v>80</v>
      </c>
      <c r="C49" s="18" t="s">
        <v>81</v>
      </c>
      <c r="D49" s="18" t="s">
        <v>13</v>
      </c>
      <c r="E49" s="9">
        <v>18.0</v>
      </c>
    </row>
    <row r="50">
      <c r="A50" s="13">
        <v>49.0</v>
      </c>
      <c r="B50" s="17" t="s">
        <v>84</v>
      </c>
      <c r="C50" s="18" t="s">
        <v>85</v>
      </c>
      <c r="D50" s="18" t="s">
        <v>13</v>
      </c>
      <c r="E50" s="9">
        <v>18.0</v>
      </c>
    </row>
    <row r="51">
      <c r="A51" s="13">
        <v>50.0</v>
      </c>
      <c r="B51" s="17" t="s">
        <v>78</v>
      </c>
      <c r="C51" s="18" t="s">
        <v>73</v>
      </c>
      <c r="D51" s="18" t="s">
        <v>8</v>
      </c>
      <c r="E51" s="9">
        <v>17.0</v>
      </c>
    </row>
    <row r="52">
      <c r="A52" s="13">
        <v>51.0</v>
      </c>
      <c r="B52" s="17" t="s">
        <v>107</v>
      </c>
      <c r="C52" s="18" t="s">
        <v>28</v>
      </c>
      <c r="D52" s="18" t="s">
        <v>59</v>
      </c>
      <c r="E52" s="9">
        <v>17.0</v>
      </c>
    </row>
    <row r="53">
      <c r="A53" s="13">
        <v>52.0</v>
      </c>
      <c r="B53" s="17" t="s">
        <v>75</v>
      </c>
      <c r="C53" s="18" t="s">
        <v>25</v>
      </c>
      <c r="D53" s="18" t="s">
        <v>8</v>
      </c>
      <c r="E53" s="9">
        <v>16.0</v>
      </c>
    </row>
    <row r="54">
      <c r="A54" s="13">
        <v>53.0</v>
      </c>
      <c r="B54" s="17" t="s">
        <v>137</v>
      </c>
      <c r="C54" s="18" t="s">
        <v>47</v>
      </c>
      <c r="D54" s="18" t="s">
        <v>8</v>
      </c>
      <c r="E54" s="9">
        <v>16.0</v>
      </c>
    </row>
    <row r="55">
      <c r="A55" s="13">
        <v>54.0</v>
      </c>
      <c r="B55" s="17" t="s">
        <v>112</v>
      </c>
      <c r="C55" s="18" t="s">
        <v>58</v>
      </c>
      <c r="D55" s="18" t="s">
        <v>77</v>
      </c>
      <c r="E55" s="9">
        <v>16.0</v>
      </c>
    </row>
    <row r="56">
      <c r="A56" s="13">
        <v>55.0</v>
      </c>
      <c r="B56" s="17" t="s">
        <v>103</v>
      </c>
      <c r="C56" s="18" t="s">
        <v>25</v>
      </c>
      <c r="D56" s="18" t="s">
        <v>59</v>
      </c>
      <c r="E56" s="9">
        <v>16.0</v>
      </c>
    </row>
    <row r="57">
      <c r="A57" s="13">
        <v>56.0</v>
      </c>
      <c r="B57" s="17" t="s">
        <v>120</v>
      </c>
      <c r="C57" s="18" t="s">
        <v>45</v>
      </c>
      <c r="D57" s="18" t="s">
        <v>77</v>
      </c>
      <c r="E57" s="9">
        <v>15.0</v>
      </c>
    </row>
    <row r="58">
      <c r="A58" s="13">
        <v>57.0</v>
      </c>
      <c r="B58" s="17" t="s">
        <v>106</v>
      </c>
      <c r="C58" s="18" t="s">
        <v>12</v>
      </c>
      <c r="D58" s="18" t="s">
        <v>13</v>
      </c>
      <c r="E58" s="9">
        <v>15.0</v>
      </c>
    </row>
    <row r="59">
      <c r="A59" s="13">
        <v>58.0</v>
      </c>
      <c r="B59" s="17" t="s">
        <v>82</v>
      </c>
      <c r="C59" s="18" t="s">
        <v>45</v>
      </c>
      <c r="D59" s="18" t="s">
        <v>13</v>
      </c>
      <c r="E59" s="9">
        <v>15.0</v>
      </c>
    </row>
    <row r="60">
      <c r="A60" s="13">
        <v>59.0</v>
      </c>
      <c r="B60" s="17" t="s">
        <v>91</v>
      </c>
      <c r="C60" s="18" t="s">
        <v>55</v>
      </c>
      <c r="D60" s="18" t="s">
        <v>13</v>
      </c>
      <c r="E60" s="9">
        <v>15.0</v>
      </c>
    </row>
    <row r="61">
      <c r="A61" s="13">
        <v>60.0</v>
      </c>
      <c r="B61" s="17" t="s">
        <v>92</v>
      </c>
      <c r="C61" s="18" t="s">
        <v>43</v>
      </c>
      <c r="D61" s="18" t="s">
        <v>13</v>
      </c>
      <c r="E61" s="9">
        <v>15.0</v>
      </c>
    </row>
    <row r="62">
      <c r="A62" s="13">
        <v>61.0</v>
      </c>
      <c r="B62" s="17" t="s">
        <v>94</v>
      </c>
      <c r="C62" s="18" t="s">
        <v>66</v>
      </c>
      <c r="D62" s="18" t="s">
        <v>13</v>
      </c>
      <c r="E62" s="9">
        <v>15.0</v>
      </c>
    </row>
    <row r="63">
      <c r="A63" s="13">
        <v>62.0</v>
      </c>
      <c r="B63" s="17" t="s">
        <v>104</v>
      </c>
      <c r="C63" s="18" t="s">
        <v>41</v>
      </c>
      <c r="D63" s="18" t="s">
        <v>13</v>
      </c>
      <c r="E63" s="9">
        <v>15.0</v>
      </c>
    </row>
    <row r="64">
      <c r="A64" s="13">
        <v>63.0</v>
      </c>
      <c r="B64" s="17" t="s">
        <v>118</v>
      </c>
      <c r="C64" s="18" t="s">
        <v>119</v>
      </c>
      <c r="D64" s="18" t="s">
        <v>8</v>
      </c>
      <c r="E64" s="9">
        <v>14.0</v>
      </c>
    </row>
    <row r="65">
      <c r="A65" s="13">
        <v>64.0</v>
      </c>
      <c r="B65" s="17" t="s">
        <v>97</v>
      </c>
      <c r="C65" s="18" t="s">
        <v>64</v>
      </c>
      <c r="D65" s="18" t="s">
        <v>8</v>
      </c>
      <c r="E65" s="9">
        <v>14.0</v>
      </c>
    </row>
    <row r="66">
      <c r="A66" s="13">
        <v>65.0</v>
      </c>
      <c r="B66" s="17" t="s">
        <v>115</v>
      </c>
      <c r="C66" s="18" t="s">
        <v>62</v>
      </c>
      <c r="D66" s="18" t="s">
        <v>8</v>
      </c>
      <c r="E66" s="9">
        <v>14.0</v>
      </c>
    </row>
    <row r="67">
      <c r="A67" s="13">
        <v>66.0</v>
      </c>
      <c r="B67" s="17" t="s">
        <v>122</v>
      </c>
      <c r="C67" s="18" t="s">
        <v>64</v>
      </c>
      <c r="D67" s="18" t="s">
        <v>77</v>
      </c>
      <c r="E67" s="9">
        <v>14.0</v>
      </c>
    </row>
    <row r="68">
      <c r="A68" s="13">
        <v>67.0</v>
      </c>
      <c r="B68" s="17" t="s">
        <v>83</v>
      </c>
      <c r="C68" s="18" t="s">
        <v>37</v>
      </c>
      <c r="D68" s="18" t="s">
        <v>13</v>
      </c>
      <c r="E68" s="9">
        <v>14.0</v>
      </c>
    </row>
    <row r="69">
      <c r="A69" s="13">
        <v>68.0</v>
      </c>
      <c r="B69" s="17" t="s">
        <v>116</v>
      </c>
      <c r="C69" s="18" t="s">
        <v>58</v>
      </c>
      <c r="D69" s="18" t="s">
        <v>13</v>
      </c>
      <c r="E69" s="9">
        <v>14.0</v>
      </c>
    </row>
    <row r="70">
      <c r="A70" s="13">
        <v>69.0</v>
      </c>
      <c r="B70" s="17" t="s">
        <v>113</v>
      </c>
      <c r="C70" s="18" t="s">
        <v>32</v>
      </c>
      <c r="D70" s="18" t="s">
        <v>59</v>
      </c>
      <c r="E70" s="9">
        <v>14.0</v>
      </c>
    </row>
    <row r="71">
      <c r="A71" s="13">
        <v>70.0</v>
      </c>
      <c r="B71" s="17" t="s">
        <v>140</v>
      </c>
      <c r="C71" s="18" t="s">
        <v>39</v>
      </c>
      <c r="D71" s="18" t="s">
        <v>8</v>
      </c>
      <c r="E71" s="9">
        <v>13.0</v>
      </c>
    </row>
    <row r="72">
      <c r="A72" s="13">
        <v>71.0</v>
      </c>
      <c r="B72" s="17" t="s">
        <v>95</v>
      </c>
      <c r="C72" s="18" t="s">
        <v>30</v>
      </c>
      <c r="D72" s="18" t="s">
        <v>13</v>
      </c>
      <c r="E72" s="9">
        <v>13.0</v>
      </c>
    </row>
    <row r="73">
      <c r="A73" s="13">
        <v>72.0</v>
      </c>
      <c r="B73" s="17" t="s">
        <v>87</v>
      </c>
      <c r="C73" s="18" t="s">
        <v>35</v>
      </c>
      <c r="D73" s="18" t="s">
        <v>13</v>
      </c>
      <c r="E73" s="9">
        <v>13.0</v>
      </c>
    </row>
    <row r="74">
      <c r="A74" s="13">
        <v>73.0</v>
      </c>
      <c r="B74" s="17" t="s">
        <v>130</v>
      </c>
      <c r="C74" s="18" t="s">
        <v>69</v>
      </c>
      <c r="D74" s="18" t="s">
        <v>13</v>
      </c>
      <c r="E74" s="9">
        <v>13.0</v>
      </c>
    </row>
    <row r="75">
      <c r="A75" s="13">
        <v>74.0</v>
      </c>
      <c r="B75" s="17" t="s">
        <v>114</v>
      </c>
      <c r="C75" s="18" t="s">
        <v>66</v>
      </c>
      <c r="D75" s="18" t="s">
        <v>8</v>
      </c>
      <c r="E75" s="9">
        <v>12.0</v>
      </c>
    </row>
    <row r="76">
      <c r="A76" s="13">
        <v>75.0</v>
      </c>
      <c r="B76" s="17" t="s">
        <v>141</v>
      </c>
      <c r="C76" s="18" t="s">
        <v>85</v>
      </c>
      <c r="D76" s="18" t="s">
        <v>8</v>
      </c>
      <c r="E76" s="9">
        <v>11.0</v>
      </c>
    </row>
    <row r="77">
      <c r="A77" s="13">
        <v>76.0</v>
      </c>
      <c r="B77" s="17" t="s">
        <v>128</v>
      </c>
      <c r="C77" s="18" t="s">
        <v>32</v>
      </c>
      <c r="D77" s="18" t="s">
        <v>8</v>
      </c>
      <c r="E77" s="9">
        <v>11.0</v>
      </c>
    </row>
    <row r="78">
      <c r="A78" s="13">
        <v>77.0</v>
      </c>
      <c r="B78" s="17" t="s">
        <v>125</v>
      </c>
      <c r="C78" s="18" t="s">
        <v>19</v>
      </c>
      <c r="D78" s="18" t="s">
        <v>77</v>
      </c>
      <c r="E78" s="9">
        <v>11.0</v>
      </c>
    </row>
    <row r="79">
      <c r="A79" s="13">
        <v>78.0</v>
      </c>
      <c r="B79" s="17" t="s">
        <v>110</v>
      </c>
      <c r="C79" s="18" t="s">
        <v>62</v>
      </c>
      <c r="D79" s="18" t="s">
        <v>13</v>
      </c>
      <c r="E79" s="9">
        <v>11.0</v>
      </c>
    </row>
    <row r="80">
      <c r="A80" s="13">
        <v>79.0</v>
      </c>
      <c r="B80" s="17" t="s">
        <v>127</v>
      </c>
      <c r="C80" s="18" t="s">
        <v>35</v>
      </c>
      <c r="D80" s="18" t="s">
        <v>59</v>
      </c>
      <c r="E80" s="9">
        <v>11.0</v>
      </c>
    </row>
    <row r="81">
      <c r="A81" s="13">
        <v>80.0</v>
      </c>
      <c r="B81" s="17" t="s">
        <v>138</v>
      </c>
      <c r="C81" s="18" t="s">
        <v>119</v>
      </c>
      <c r="D81" s="18" t="s">
        <v>8</v>
      </c>
      <c r="E81" s="9">
        <v>10.0</v>
      </c>
    </row>
    <row r="82">
      <c r="A82" s="13">
        <v>81.0</v>
      </c>
      <c r="B82" s="17" t="s">
        <v>102</v>
      </c>
      <c r="C82" s="18" t="s">
        <v>30</v>
      </c>
      <c r="D82" s="18" t="s">
        <v>8</v>
      </c>
      <c r="E82" s="9">
        <v>10.0</v>
      </c>
    </row>
    <row r="83">
      <c r="A83" s="13">
        <v>82.0</v>
      </c>
      <c r="B83" s="17" t="s">
        <v>123</v>
      </c>
      <c r="C83" s="18" t="s">
        <v>37</v>
      </c>
      <c r="D83" s="18" t="s">
        <v>77</v>
      </c>
      <c r="E83" s="9">
        <v>10.0</v>
      </c>
    </row>
    <row r="84">
      <c r="A84" s="13">
        <v>83.0</v>
      </c>
      <c r="B84" s="17" t="s">
        <v>108</v>
      </c>
      <c r="C84" s="18" t="s">
        <v>17</v>
      </c>
      <c r="D84" s="18" t="s">
        <v>13</v>
      </c>
      <c r="E84" s="9">
        <v>10.0</v>
      </c>
    </row>
    <row r="85">
      <c r="A85" s="13">
        <v>84.0</v>
      </c>
      <c r="B85" s="17" t="s">
        <v>101</v>
      </c>
      <c r="C85" s="18" t="s">
        <v>89</v>
      </c>
      <c r="D85" s="18" t="s">
        <v>8</v>
      </c>
      <c r="E85" s="9">
        <v>9.0</v>
      </c>
    </row>
    <row r="86">
      <c r="A86" s="13">
        <v>85.0</v>
      </c>
      <c r="B86" s="17" t="s">
        <v>121</v>
      </c>
      <c r="C86" s="18" t="s">
        <v>32</v>
      </c>
      <c r="D86" s="18" t="s">
        <v>77</v>
      </c>
      <c r="E86" s="9">
        <v>9.0</v>
      </c>
    </row>
    <row r="87">
      <c r="A87" s="13">
        <v>86.0</v>
      </c>
      <c r="B87" s="17" t="s">
        <v>156</v>
      </c>
      <c r="C87" s="18" t="s">
        <v>64</v>
      </c>
      <c r="D87" s="18" t="s">
        <v>59</v>
      </c>
      <c r="E87" s="9">
        <v>9.0</v>
      </c>
    </row>
    <row r="88">
      <c r="A88" s="13">
        <v>87.0</v>
      </c>
      <c r="B88" s="17" t="s">
        <v>145</v>
      </c>
      <c r="C88" s="18" t="s">
        <v>43</v>
      </c>
      <c r="D88" s="18" t="s">
        <v>8</v>
      </c>
      <c r="E88" s="9">
        <v>8.0</v>
      </c>
    </row>
    <row r="89">
      <c r="A89" s="13">
        <v>88.0</v>
      </c>
      <c r="B89" s="17" t="s">
        <v>142</v>
      </c>
      <c r="C89" s="18" t="s">
        <v>85</v>
      </c>
      <c r="D89" s="18" t="s">
        <v>8</v>
      </c>
      <c r="E89" s="9">
        <v>8.0</v>
      </c>
    </row>
    <row r="90">
      <c r="A90" s="13">
        <v>89.0</v>
      </c>
      <c r="B90" s="17" t="s">
        <v>126</v>
      </c>
      <c r="C90" s="18" t="s">
        <v>43</v>
      </c>
      <c r="D90" s="18" t="s">
        <v>77</v>
      </c>
      <c r="E90" s="9">
        <v>8.0</v>
      </c>
    </row>
    <row r="91">
      <c r="A91" s="13">
        <v>90.0</v>
      </c>
      <c r="B91" s="17" t="s">
        <v>111</v>
      </c>
      <c r="C91" s="18" t="s">
        <v>64</v>
      </c>
      <c r="D91" s="18" t="s">
        <v>13</v>
      </c>
      <c r="E91" s="9">
        <v>8.0</v>
      </c>
    </row>
    <row r="92">
      <c r="A92" s="13">
        <v>91.0</v>
      </c>
      <c r="B92" s="17" t="s">
        <v>147</v>
      </c>
      <c r="C92" s="18" t="s">
        <v>28</v>
      </c>
      <c r="D92" s="18" t="s">
        <v>13</v>
      </c>
      <c r="E92" s="9">
        <v>8.0</v>
      </c>
    </row>
    <row r="93">
      <c r="A93" s="13">
        <v>92.0</v>
      </c>
      <c r="B93" s="17" t="s">
        <v>105</v>
      </c>
      <c r="C93" s="18" t="s">
        <v>25</v>
      </c>
      <c r="D93" s="18" t="s">
        <v>13</v>
      </c>
      <c r="E93" s="9">
        <v>8.0</v>
      </c>
    </row>
    <row r="94">
      <c r="A94" s="13">
        <v>93.0</v>
      </c>
      <c r="B94" s="17" t="s">
        <v>155</v>
      </c>
      <c r="C94" s="18" t="s">
        <v>28</v>
      </c>
      <c r="D94" s="18" t="s">
        <v>77</v>
      </c>
      <c r="E94" s="9">
        <v>7.0</v>
      </c>
    </row>
    <row r="95">
      <c r="A95" s="13">
        <v>94.0</v>
      </c>
      <c r="B95" s="17" t="s">
        <v>109</v>
      </c>
      <c r="C95" s="18" t="s">
        <v>89</v>
      </c>
      <c r="D95" s="18" t="s">
        <v>13</v>
      </c>
      <c r="E95" s="9">
        <v>7.0</v>
      </c>
    </row>
    <row r="96">
      <c r="A96" s="13">
        <v>95.0</v>
      </c>
      <c r="B96" s="17" t="s">
        <v>100</v>
      </c>
      <c r="C96" s="18" t="s">
        <v>85</v>
      </c>
      <c r="D96" s="18" t="s">
        <v>13</v>
      </c>
      <c r="E96" s="9">
        <v>7.0</v>
      </c>
    </row>
    <row r="97">
      <c r="A97" s="13">
        <v>96.0</v>
      </c>
      <c r="B97" s="17" t="s">
        <v>134</v>
      </c>
      <c r="C97" s="18" t="s">
        <v>47</v>
      </c>
      <c r="D97" s="18" t="s">
        <v>13</v>
      </c>
      <c r="E97" s="9">
        <v>7.0</v>
      </c>
    </row>
    <row r="98">
      <c r="A98" s="13">
        <v>97.0</v>
      </c>
      <c r="B98" s="17" t="s">
        <v>157</v>
      </c>
      <c r="C98" s="18" t="s">
        <v>45</v>
      </c>
      <c r="D98" s="18" t="s">
        <v>59</v>
      </c>
      <c r="E98" s="9">
        <v>7.0</v>
      </c>
    </row>
    <row r="99">
      <c r="A99" s="13">
        <v>98.0</v>
      </c>
      <c r="B99" s="17" t="s">
        <v>154</v>
      </c>
      <c r="C99" s="18" t="s">
        <v>12</v>
      </c>
      <c r="D99" s="18" t="s">
        <v>77</v>
      </c>
      <c r="E99" s="9">
        <v>6.0</v>
      </c>
    </row>
    <row r="100">
      <c r="A100" s="13">
        <v>99.0</v>
      </c>
      <c r="B100" s="17" t="s">
        <v>124</v>
      </c>
      <c r="C100" s="18" t="s">
        <v>47</v>
      </c>
      <c r="D100" s="18" t="s">
        <v>77</v>
      </c>
      <c r="E100" s="9">
        <v>6.0</v>
      </c>
    </row>
    <row r="101">
      <c r="A101" s="13">
        <v>100.0</v>
      </c>
      <c r="B101" s="17" t="s">
        <v>117</v>
      </c>
      <c r="C101" s="18" t="s">
        <v>99</v>
      </c>
      <c r="D101" s="18" t="s">
        <v>13</v>
      </c>
      <c r="E101" s="9">
        <v>6.0</v>
      </c>
    </row>
    <row r="102">
      <c r="A102" s="13">
        <v>101.0</v>
      </c>
      <c r="B102" s="17" t="s">
        <v>131</v>
      </c>
      <c r="C102" s="18" t="s">
        <v>45</v>
      </c>
      <c r="D102" s="18" t="s">
        <v>13</v>
      </c>
      <c r="E102" s="9">
        <v>6.0</v>
      </c>
    </row>
    <row r="103">
      <c r="A103" s="13">
        <v>102.0</v>
      </c>
      <c r="B103" s="17" t="s">
        <v>161</v>
      </c>
      <c r="C103" s="18" t="s">
        <v>30</v>
      </c>
      <c r="D103" s="18" t="s">
        <v>59</v>
      </c>
      <c r="E103" s="9">
        <v>6.0</v>
      </c>
    </row>
    <row r="104">
      <c r="A104" s="13">
        <v>103.0</v>
      </c>
      <c r="B104" s="17" t="s">
        <v>144</v>
      </c>
      <c r="C104" s="18" t="s">
        <v>30</v>
      </c>
      <c r="D104" s="18" t="s">
        <v>8</v>
      </c>
      <c r="E104" s="9">
        <v>5.0</v>
      </c>
    </row>
    <row r="105">
      <c r="A105" s="13">
        <v>104.0</v>
      </c>
      <c r="B105" s="17" t="s">
        <v>143</v>
      </c>
      <c r="C105" s="18" t="s">
        <v>69</v>
      </c>
      <c r="D105" s="18" t="s">
        <v>8</v>
      </c>
      <c r="E105" s="9">
        <v>5.0</v>
      </c>
    </row>
    <row r="106">
      <c r="A106" s="13">
        <v>105.0</v>
      </c>
      <c r="B106" s="17" t="s">
        <v>208</v>
      </c>
      <c r="C106" s="18" t="s">
        <v>12</v>
      </c>
      <c r="D106" s="18" t="s">
        <v>8</v>
      </c>
      <c r="E106" s="9">
        <v>5.0</v>
      </c>
    </row>
    <row r="107">
      <c r="A107" s="13">
        <v>106.0</v>
      </c>
      <c r="B107" s="17" t="s">
        <v>174</v>
      </c>
      <c r="C107" s="18" t="s">
        <v>17</v>
      </c>
      <c r="D107" s="18" t="s">
        <v>77</v>
      </c>
      <c r="E107" s="9">
        <v>5.0</v>
      </c>
    </row>
    <row r="108">
      <c r="A108" s="13">
        <v>107.0</v>
      </c>
      <c r="B108" s="17" t="s">
        <v>173</v>
      </c>
      <c r="C108" s="18" t="s">
        <v>25</v>
      </c>
      <c r="D108" s="18" t="s">
        <v>77</v>
      </c>
      <c r="E108" s="9">
        <v>5.0</v>
      </c>
    </row>
    <row r="109">
      <c r="A109" s="13">
        <v>108.0</v>
      </c>
      <c r="B109" s="17" t="s">
        <v>148</v>
      </c>
      <c r="C109" s="18" t="s">
        <v>21</v>
      </c>
      <c r="D109" s="18" t="s">
        <v>13</v>
      </c>
      <c r="E109" s="9">
        <v>5.0</v>
      </c>
    </row>
    <row r="110">
      <c r="A110" s="13">
        <v>109.0</v>
      </c>
      <c r="B110" s="17" t="s">
        <v>133</v>
      </c>
      <c r="C110" s="18" t="s">
        <v>53</v>
      </c>
      <c r="D110" s="18" t="s">
        <v>13</v>
      </c>
      <c r="E110" s="9">
        <v>5.0</v>
      </c>
    </row>
    <row r="111">
      <c r="A111" s="13">
        <v>110.0</v>
      </c>
      <c r="B111" s="17" t="s">
        <v>132</v>
      </c>
      <c r="C111" s="18" t="s">
        <v>21</v>
      </c>
      <c r="D111" s="18" t="s">
        <v>13</v>
      </c>
      <c r="E111" s="9">
        <v>5.0</v>
      </c>
    </row>
    <row r="112">
      <c r="A112" s="13">
        <v>111.0</v>
      </c>
      <c r="B112" s="17" t="s">
        <v>135</v>
      </c>
      <c r="C112" s="18" t="s">
        <v>23</v>
      </c>
      <c r="D112" s="18" t="s">
        <v>13</v>
      </c>
      <c r="E112" s="9">
        <v>5.0</v>
      </c>
    </row>
    <row r="113">
      <c r="A113" s="13">
        <v>112.0</v>
      </c>
      <c r="B113" s="17" t="s">
        <v>159</v>
      </c>
      <c r="C113" s="18" t="s">
        <v>23</v>
      </c>
      <c r="D113" s="18" t="s">
        <v>59</v>
      </c>
      <c r="E113" s="9">
        <v>5.0</v>
      </c>
    </row>
    <row r="114">
      <c r="A114" s="13">
        <v>113.0</v>
      </c>
      <c r="B114" s="17" t="s">
        <v>178</v>
      </c>
      <c r="C114" s="18" t="s">
        <v>55</v>
      </c>
      <c r="D114" s="18" t="s">
        <v>59</v>
      </c>
      <c r="E114" s="9">
        <v>5.0</v>
      </c>
    </row>
    <row r="115">
      <c r="A115" s="13">
        <v>114.0</v>
      </c>
      <c r="B115" s="17" t="s">
        <v>203</v>
      </c>
      <c r="C115" s="18" t="s">
        <v>81</v>
      </c>
      <c r="D115" s="18" t="s">
        <v>8</v>
      </c>
      <c r="E115" s="9">
        <v>4.0</v>
      </c>
    </row>
    <row r="116">
      <c r="A116" s="13">
        <v>115.0</v>
      </c>
      <c r="B116" s="17" t="s">
        <v>206</v>
      </c>
      <c r="C116" s="18" t="s">
        <v>17</v>
      </c>
      <c r="D116" s="18" t="s">
        <v>8</v>
      </c>
      <c r="E116" s="9">
        <v>4.0</v>
      </c>
    </row>
    <row r="117">
      <c r="A117" s="13">
        <v>116.0</v>
      </c>
      <c r="B117" s="17" t="s">
        <v>139</v>
      </c>
      <c r="C117" s="18" t="s">
        <v>99</v>
      </c>
      <c r="D117" s="18" t="s">
        <v>8</v>
      </c>
      <c r="E117" s="9">
        <v>4.0</v>
      </c>
    </row>
    <row r="118">
      <c r="A118" s="13">
        <v>117.0</v>
      </c>
      <c r="B118" s="17" t="s">
        <v>146</v>
      </c>
      <c r="C118" s="18" t="s">
        <v>7</v>
      </c>
      <c r="D118" s="18" t="s">
        <v>8</v>
      </c>
      <c r="E118" s="9">
        <v>4.0</v>
      </c>
    </row>
    <row r="119">
      <c r="A119" s="13">
        <v>118.0</v>
      </c>
      <c r="B119" s="17" t="s">
        <v>136</v>
      </c>
      <c r="C119" s="18" t="s">
        <v>41</v>
      </c>
      <c r="D119" s="18" t="s">
        <v>13</v>
      </c>
      <c r="E119" s="9">
        <v>4.0</v>
      </c>
    </row>
    <row r="120">
      <c r="A120" s="13">
        <v>119.0</v>
      </c>
      <c r="B120" s="17" t="s">
        <v>153</v>
      </c>
      <c r="C120" s="18" t="s">
        <v>37</v>
      </c>
      <c r="D120" s="18" t="s">
        <v>13</v>
      </c>
      <c r="E120" s="9">
        <v>4.0</v>
      </c>
    </row>
    <row r="121">
      <c r="A121" s="13">
        <v>120.0</v>
      </c>
      <c r="B121" s="17" t="s">
        <v>165</v>
      </c>
      <c r="C121" s="18" t="s">
        <v>19</v>
      </c>
      <c r="D121" s="18" t="s">
        <v>13</v>
      </c>
      <c r="E121" s="9">
        <v>4.0</v>
      </c>
    </row>
    <row r="122">
      <c r="A122" s="13">
        <v>121.0</v>
      </c>
      <c r="B122" s="17" t="s">
        <v>149</v>
      </c>
      <c r="C122" s="18" t="s">
        <v>62</v>
      </c>
      <c r="D122" s="18" t="s">
        <v>13</v>
      </c>
      <c r="E122" s="9">
        <v>4.0</v>
      </c>
    </row>
    <row r="123">
      <c r="A123" s="13">
        <v>122.0</v>
      </c>
      <c r="B123" s="17" t="s">
        <v>218</v>
      </c>
      <c r="C123" s="18" t="s">
        <v>64</v>
      </c>
      <c r="D123" s="18" t="s">
        <v>8</v>
      </c>
      <c r="E123" s="9">
        <v>3.0</v>
      </c>
    </row>
    <row r="124">
      <c r="A124" s="13">
        <v>123.0</v>
      </c>
      <c r="B124" s="17" t="s">
        <v>158</v>
      </c>
      <c r="C124" s="18" t="s">
        <v>39</v>
      </c>
      <c r="D124" s="18" t="s">
        <v>59</v>
      </c>
      <c r="E124" s="9">
        <v>3.0</v>
      </c>
    </row>
    <row r="125">
      <c r="A125" s="13">
        <v>124.0</v>
      </c>
      <c r="B125" s="17" t="s">
        <v>212</v>
      </c>
      <c r="C125" s="18" t="s">
        <v>35</v>
      </c>
      <c r="D125" s="18" t="s">
        <v>8</v>
      </c>
      <c r="E125" s="9">
        <v>2.0</v>
      </c>
    </row>
    <row r="126">
      <c r="A126" s="13">
        <v>125.0</v>
      </c>
      <c r="B126" s="17" t="s">
        <v>162</v>
      </c>
      <c r="C126" s="18" t="s">
        <v>73</v>
      </c>
      <c r="D126" s="18" t="s">
        <v>8</v>
      </c>
      <c r="E126" s="9">
        <v>2.0</v>
      </c>
    </row>
    <row r="127">
      <c r="A127" s="13">
        <v>126.0</v>
      </c>
      <c r="B127" s="17" t="s">
        <v>205</v>
      </c>
      <c r="C127" s="18" t="s">
        <v>15</v>
      </c>
      <c r="D127" s="18" t="s">
        <v>8</v>
      </c>
      <c r="E127" s="9">
        <v>2.0</v>
      </c>
    </row>
    <row r="128">
      <c r="A128" s="13">
        <v>127.0</v>
      </c>
      <c r="B128" s="17" t="s">
        <v>163</v>
      </c>
      <c r="C128" s="18" t="s">
        <v>39</v>
      </c>
      <c r="D128" s="18" t="s">
        <v>8</v>
      </c>
      <c r="E128" s="9">
        <v>2.0</v>
      </c>
    </row>
    <row r="129">
      <c r="A129" s="13">
        <v>128.0</v>
      </c>
      <c r="B129" s="17" t="s">
        <v>176</v>
      </c>
      <c r="C129" s="18" t="s">
        <v>39</v>
      </c>
      <c r="D129" s="18" t="s">
        <v>77</v>
      </c>
      <c r="E129" s="9">
        <v>2.0</v>
      </c>
    </row>
    <row r="130">
      <c r="A130" s="13">
        <v>129.0</v>
      </c>
      <c r="B130" s="17" t="s">
        <v>275</v>
      </c>
      <c r="C130" s="18" t="s">
        <v>55</v>
      </c>
      <c r="D130" s="18" t="s">
        <v>77</v>
      </c>
      <c r="E130" s="9">
        <v>2.0</v>
      </c>
    </row>
    <row r="131">
      <c r="A131" s="13">
        <v>130.0</v>
      </c>
      <c r="B131" s="17" t="s">
        <v>175</v>
      </c>
      <c r="C131" s="18" t="s">
        <v>99</v>
      </c>
      <c r="D131" s="18" t="s">
        <v>77</v>
      </c>
      <c r="E131" s="9">
        <v>2.0</v>
      </c>
    </row>
    <row r="132">
      <c r="A132" s="13">
        <v>131.0</v>
      </c>
      <c r="B132" s="17" t="s">
        <v>129</v>
      </c>
      <c r="C132" s="18" t="s">
        <v>69</v>
      </c>
      <c r="D132" s="18" t="s">
        <v>13</v>
      </c>
      <c r="E132" s="9">
        <v>2.0</v>
      </c>
    </row>
    <row r="133">
      <c r="A133" s="13">
        <v>132.0</v>
      </c>
      <c r="B133" s="17" t="s">
        <v>151</v>
      </c>
      <c r="C133" s="18" t="s">
        <v>119</v>
      </c>
      <c r="D133" s="18" t="s">
        <v>13</v>
      </c>
      <c r="E133" s="9">
        <v>2.0</v>
      </c>
    </row>
    <row r="134">
      <c r="A134" s="13">
        <v>133.0</v>
      </c>
      <c r="B134" s="17" t="s">
        <v>170</v>
      </c>
      <c r="C134" s="18" t="s">
        <v>62</v>
      </c>
      <c r="D134" s="18" t="s">
        <v>13</v>
      </c>
      <c r="E134" s="9">
        <v>2.0</v>
      </c>
    </row>
    <row r="135">
      <c r="A135" s="13">
        <v>134.0</v>
      </c>
      <c r="B135" s="17" t="s">
        <v>150</v>
      </c>
      <c r="C135" s="18" t="s">
        <v>41</v>
      </c>
      <c r="D135" s="18" t="s">
        <v>13</v>
      </c>
      <c r="E135" s="9">
        <v>2.0</v>
      </c>
    </row>
    <row r="136">
      <c r="A136" s="13">
        <v>135.0</v>
      </c>
      <c r="B136" s="17" t="s">
        <v>152</v>
      </c>
      <c r="C136" s="18" t="s">
        <v>53</v>
      </c>
      <c r="D136" s="18" t="s">
        <v>13</v>
      </c>
      <c r="E136" s="9">
        <v>2.0</v>
      </c>
    </row>
    <row r="137">
      <c r="A137" s="13">
        <v>136.0</v>
      </c>
      <c r="B137" s="17" t="s">
        <v>160</v>
      </c>
      <c r="C137" s="18" t="s">
        <v>119</v>
      </c>
      <c r="D137" s="18" t="s">
        <v>59</v>
      </c>
      <c r="E137" s="9">
        <v>2.0</v>
      </c>
    </row>
    <row r="138">
      <c r="A138" s="13">
        <v>137.0</v>
      </c>
      <c r="B138" s="17" t="s">
        <v>177</v>
      </c>
      <c r="C138" s="18" t="s">
        <v>85</v>
      </c>
      <c r="D138" s="18" t="s">
        <v>59</v>
      </c>
      <c r="E138" s="9">
        <v>2.0</v>
      </c>
    </row>
    <row r="139">
      <c r="A139" s="13">
        <v>138.0</v>
      </c>
      <c r="B139" s="17" t="s">
        <v>222</v>
      </c>
      <c r="C139" s="18" t="s">
        <v>55</v>
      </c>
      <c r="D139" s="18" t="s">
        <v>8</v>
      </c>
      <c r="E139" s="9">
        <v>1.0</v>
      </c>
    </row>
    <row r="140">
      <c r="A140" s="13">
        <v>139.0</v>
      </c>
      <c r="B140" s="17" t="s">
        <v>210</v>
      </c>
      <c r="C140" s="18" t="s">
        <v>89</v>
      </c>
      <c r="D140" s="18" t="s">
        <v>8</v>
      </c>
      <c r="E140" s="9">
        <v>1.0</v>
      </c>
    </row>
    <row r="141">
      <c r="A141" s="13">
        <v>140.0</v>
      </c>
      <c r="B141" s="17" t="s">
        <v>204</v>
      </c>
      <c r="C141" s="18" t="s">
        <v>62</v>
      </c>
      <c r="D141" s="18" t="s">
        <v>8</v>
      </c>
      <c r="E141" s="9">
        <v>1.0</v>
      </c>
    </row>
    <row r="142">
      <c r="A142" s="13">
        <v>141.0</v>
      </c>
      <c r="B142" s="17" t="s">
        <v>221</v>
      </c>
      <c r="C142" s="18" t="s">
        <v>73</v>
      </c>
      <c r="D142" s="18" t="s">
        <v>8</v>
      </c>
      <c r="E142" s="9">
        <v>1.0</v>
      </c>
    </row>
    <row r="143">
      <c r="A143" s="13">
        <v>142.0</v>
      </c>
      <c r="B143" s="17" t="s">
        <v>215</v>
      </c>
      <c r="C143" s="18" t="s">
        <v>37</v>
      </c>
      <c r="D143" s="18" t="s">
        <v>8</v>
      </c>
      <c r="E143" s="9">
        <v>1.0</v>
      </c>
    </row>
    <row r="144">
      <c r="A144" s="13">
        <v>143.0</v>
      </c>
      <c r="B144" s="17" t="s">
        <v>164</v>
      </c>
      <c r="C144" s="18" t="s">
        <v>81</v>
      </c>
      <c r="D144" s="18" t="s">
        <v>8</v>
      </c>
      <c r="E144" s="9">
        <v>1.0</v>
      </c>
    </row>
    <row r="145">
      <c r="A145" s="13">
        <v>144.0</v>
      </c>
      <c r="B145" s="17" t="s">
        <v>207</v>
      </c>
      <c r="C145" s="18" t="s">
        <v>58</v>
      </c>
      <c r="D145" s="18" t="s">
        <v>8</v>
      </c>
      <c r="E145" s="9">
        <v>1.0</v>
      </c>
    </row>
    <row r="146">
      <c r="A146" s="13">
        <v>145.0</v>
      </c>
      <c r="B146" s="17" t="s">
        <v>211</v>
      </c>
      <c r="C146" s="18" t="s">
        <v>39</v>
      </c>
      <c r="D146" s="18" t="s">
        <v>8</v>
      </c>
      <c r="E146" s="9">
        <v>1.0</v>
      </c>
    </row>
    <row r="147">
      <c r="A147" s="13">
        <v>146.0</v>
      </c>
      <c r="B147" s="17" t="s">
        <v>217</v>
      </c>
      <c r="C147" s="18" t="s">
        <v>45</v>
      </c>
      <c r="D147" s="18" t="s">
        <v>8</v>
      </c>
      <c r="E147" s="9">
        <v>1.0</v>
      </c>
    </row>
    <row r="148">
      <c r="A148" s="13">
        <v>147.0</v>
      </c>
      <c r="B148" s="17" t="s">
        <v>214</v>
      </c>
      <c r="C148" s="18" t="s">
        <v>41</v>
      </c>
      <c r="D148" s="18" t="s">
        <v>8</v>
      </c>
      <c r="E148" s="9">
        <v>1.0</v>
      </c>
    </row>
    <row r="149">
      <c r="A149" s="13">
        <v>148.0</v>
      </c>
      <c r="B149" s="17" t="s">
        <v>229</v>
      </c>
      <c r="C149" s="18" t="s">
        <v>10</v>
      </c>
      <c r="D149" s="18" t="s">
        <v>8</v>
      </c>
      <c r="E149" s="9">
        <v>1.0</v>
      </c>
    </row>
    <row r="150">
      <c r="A150" s="13">
        <v>149.0</v>
      </c>
      <c r="B150" s="17" t="s">
        <v>280</v>
      </c>
      <c r="C150" s="18" t="s">
        <v>41</v>
      </c>
      <c r="D150" s="18" t="s">
        <v>77</v>
      </c>
      <c r="E150" s="9">
        <v>1.0</v>
      </c>
    </row>
    <row r="151">
      <c r="A151" s="13">
        <v>150.0</v>
      </c>
      <c r="B151" s="17" t="s">
        <v>282</v>
      </c>
      <c r="C151" s="18" t="s">
        <v>7</v>
      </c>
      <c r="D151" s="18" t="s">
        <v>77</v>
      </c>
      <c r="E151" s="9">
        <v>1.0</v>
      </c>
    </row>
    <row r="152">
      <c r="A152" s="13">
        <v>151.0</v>
      </c>
      <c r="B152" s="17" t="s">
        <v>279</v>
      </c>
      <c r="C152" s="18" t="s">
        <v>21</v>
      </c>
      <c r="D152" s="18" t="s">
        <v>77</v>
      </c>
      <c r="E152" s="9">
        <v>1.0</v>
      </c>
    </row>
    <row r="153">
      <c r="A153" s="13">
        <v>152.0</v>
      </c>
      <c r="B153" s="17" t="s">
        <v>281</v>
      </c>
      <c r="C153" s="18" t="s">
        <v>119</v>
      </c>
      <c r="D153" s="18" t="s">
        <v>77</v>
      </c>
      <c r="E153" s="9">
        <v>1.0</v>
      </c>
    </row>
    <row r="154">
      <c r="A154" s="13">
        <v>153.0</v>
      </c>
      <c r="B154" s="17" t="s">
        <v>276</v>
      </c>
      <c r="C154" s="18" t="s">
        <v>53</v>
      </c>
      <c r="D154" s="18" t="s">
        <v>77</v>
      </c>
      <c r="E154" s="9">
        <v>1.0</v>
      </c>
    </row>
    <row r="155">
      <c r="A155" s="13">
        <v>154.0</v>
      </c>
      <c r="B155" s="17" t="s">
        <v>244</v>
      </c>
      <c r="C155" s="18" t="s">
        <v>119</v>
      </c>
      <c r="D155" s="18" t="s">
        <v>13</v>
      </c>
      <c r="E155" s="9">
        <v>1.0</v>
      </c>
    </row>
    <row r="156">
      <c r="A156" s="13">
        <v>155.0</v>
      </c>
      <c r="B156" s="17" t="s">
        <v>249</v>
      </c>
      <c r="C156" s="18" t="s">
        <v>45</v>
      </c>
      <c r="D156" s="18" t="s">
        <v>13</v>
      </c>
      <c r="E156" s="9">
        <v>1.0</v>
      </c>
    </row>
    <row r="157">
      <c r="A157" s="13">
        <v>156.0</v>
      </c>
      <c r="B157" s="17" t="s">
        <v>251</v>
      </c>
      <c r="C157" s="18" t="s">
        <v>35</v>
      </c>
      <c r="D157" s="18" t="s">
        <v>13</v>
      </c>
      <c r="E157" s="9">
        <v>1.0</v>
      </c>
    </row>
    <row r="158">
      <c r="A158" s="13">
        <v>157.0</v>
      </c>
      <c r="B158" s="17" t="s">
        <v>246</v>
      </c>
      <c r="C158" s="18" t="s">
        <v>32</v>
      </c>
      <c r="D158" s="18" t="s">
        <v>13</v>
      </c>
      <c r="E158" s="9">
        <v>1.0</v>
      </c>
    </row>
    <row r="159">
      <c r="A159" s="13">
        <v>158.0</v>
      </c>
      <c r="B159" s="17" t="s">
        <v>258</v>
      </c>
      <c r="C159" s="18" t="s">
        <v>23</v>
      </c>
      <c r="D159" s="18" t="s">
        <v>13</v>
      </c>
      <c r="E159" s="9">
        <v>1.0</v>
      </c>
    </row>
    <row r="160">
      <c r="A160" s="13">
        <v>159.0</v>
      </c>
      <c r="B160" s="17" t="s">
        <v>252</v>
      </c>
      <c r="C160" s="18" t="s">
        <v>37</v>
      </c>
      <c r="D160" s="18" t="s">
        <v>13</v>
      </c>
      <c r="E160" s="9">
        <v>1.0</v>
      </c>
    </row>
    <row r="161">
      <c r="A161" s="13">
        <v>160.0</v>
      </c>
      <c r="B161" s="17" t="s">
        <v>168</v>
      </c>
      <c r="C161" s="18" t="s">
        <v>73</v>
      </c>
      <c r="D161" s="18" t="s">
        <v>13</v>
      </c>
      <c r="E161" s="9">
        <v>1.0</v>
      </c>
    </row>
    <row r="162">
      <c r="A162" s="13">
        <v>161.0</v>
      </c>
      <c r="B162" s="17" t="s">
        <v>265</v>
      </c>
      <c r="C162" s="18" t="s">
        <v>69</v>
      </c>
      <c r="D162" s="18" t="s">
        <v>13</v>
      </c>
      <c r="E162" s="9">
        <v>1.0</v>
      </c>
    </row>
    <row r="163">
      <c r="A163" s="13">
        <v>162.0</v>
      </c>
      <c r="B163" s="17" t="s">
        <v>250</v>
      </c>
      <c r="C163" s="18" t="s">
        <v>81</v>
      </c>
      <c r="D163" s="18" t="s">
        <v>13</v>
      </c>
      <c r="E163" s="9">
        <v>1.0</v>
      </c>
    </row>
    <row r="164">
      <c r="A164" s="13">
        <v>163.0</v>
      </c>
      <c r="B164" s="17" t="s">
        <v>171</v>
      </c>
      <c r="C164" s="18" t="s">
        <v>10</v>
      </c>
      <c r="D164" s="18" t="s">
        <v>13</v>
      </c>
      <c r="E164" s="9">
        <v>1.0</v>
      </c>
    </row>
    <row r="165">
      <c r="A165" s="13">
        <v>164.0</v>
      </c>
      <c r="B165" s="17" t="s">
        <v>169</v>
      </c>
      <c r="C165" s="18" t="s">
        <v>62</v>
      </c>
      <c r="D165" s="18" t="s">
        <v>13</v>
      </c>
      <c r="E165" s="9">
        <v>1.0</v>
      </c>
    </row>
    <row r="166">
      <c r="A166" s="13">
        <v>165.0</v>
      </c>
      <c r="B166" s="17" t="s">
        <v>248</v>
      </c>
      <c r="C166" s="18" t="s">
        <v>12</v>
      </c>
      <c r="D166" s="18" t="s">
        <v>13</v>
      </c>
      <c r="E166" s="9">
        <v>1.0</v>
      </c>
    </row>
    <row r="167">
      <c r="A167" s="13">
        <v>166.0</v>
      </c>
      <c r="B167" s="17" t="s">
        <v>167</v>
      </c>
      <c r="C167" s="18" t="s">
        <v>35</v>
      </c>
      <c r="D167" s="18" t="s">
        <v>13</v>
      </c>
      <c r="E167" s="9">
        <v>1.0</v>
      </c>
    </row>
    <row r="168">
      <c r="A168" s="13">
        <v>167.0</v>
      </c>
      <c r="B168" s="17" t="s">
        <v>172</v>
      </c>
      <c r="C168" s="18" t="s">
        <v>99</v>
      </c>
      <c r="D168" s="18" t="s">
        <v>13</v>
      </c>
      <c r="E168" s="9">
        <v>1.0</v>
      </c>
    </row>
    <row r="169">
      <c r="A169" s="13">
        <v>168.0</v>
      </c>
      <c r="B169" s="17" t="s">
        <v>342</v>
      </c>
      <c r="C169" s="18" t="s">
        <v>15</v>
      </c>
      <c r="D169" s="18" t="s">
        <v>13</v>
      </c>
      <c r="E169" s="9">
        <v>1.0</v>
      </c>
    </row>
    <row r="170">
      <c r="A170" s="13">
        <v>169.0</v>
      </c>
      <c r="B170" s="17" t="s">
        <v>267</v>
      </c>
      <c r="C170" s="18" t="s">
        <v>17</v>
      </c>
      <c r="D170" s="18" t="s">
        <v>13</v>
      </c>
      <c r="E170" s="9">
        <v>1.0</v>
      </c>
    </row>
    <row r="171">
      <c r="A171" s="13">
        <v>170.0</v>
      </c>
      <c r="B171" s="17" t="s">
        <v>166</v>
      </c>
      <c r="C171" s="18" t="s">
        <v>47</v>
      </c>
      <c r="D171" s="18" t="s">
        <v>13</v>
      </c>
      <c r="E171" s="9">
        <v>1.0</v>
      </c>
    </row>
    <row r="172">
      <c r="A172" s="13">
        <v>171.0</v>
      </c>
      <c r="B172" s="17" t="s">
        <v>269</v>
      </c>
      <c r="C172" s="18" t="s">
        <v>119</v>
      </c>
      <c r="D172" s="18" t="s">
        <v>13</v>
      </c>
      <c r="E172" s="9">
        <v>1.0</v>
      </c>
    </row>
    <row r="173">
      <c r="A173" s="13">
        <v>172.0</v>
      </c>
      <c r="B173" s="17" t="s">
        <v>179</v>
      </c>
      <c r="C173" s="18" t="s">
        <v>17</v>
      </c>
      <c r="D173" s="18" t="s">
        <v>59</v>
      </c>
      <c r="E173" s="9">
        <v>1.0</v>
      </c>
    </row>
    <row r="174">
      <c r="A174" s="13">
        <v>173.0</v>
      </c>
      <c r="B174" s="17" t="s">
        <v>301</v>
      </c>
      <c r="C174" s="18" t="s">
        <v>43</v>
      </c>
      <c r="D174" s="18" t="s">
        <v>59</v>
      </c>
      <c r="E174" s="9">
        <v>1.0</v>
      </c>
    </row>
    <row r="175">
      <c r="A175" s="13">
        <v>174.0</v>
      </c>
      <c r="B175" s="17" t="s">
        <v>303</v>
      </c>
      <c r="C175" s="18" t="s">
        <v>47</v>
      </c>
      <c r="D175" s="18" t="s">
        <v>59</v>
      </c>
      <c r="E175" s="9">
        <v>1.0</v>
      </c>
    </row>
    <row r="176">
      <c r="A176" s="13">
        <v>175.0</v>
      </c>
      <c r="B176" s="17" t="s">
        <v>302</v>
      </c>
      <c r="C176" s="18" t="s">
        <v>15</v>
      </c>
      <c r="D176" s="18" t="s">
        <v>59</v>
      </c>
      <c r="E176" s="9">
        <v>1.0</v>
      </c>
    </row>
    <row r="177">
      <c r="A177" s="13">
        <v>176.0</v>
      </c>
      <c r="B177" s="17" t="s">
        <v>181</v>
      </c>
      <c r="C177" s="18" t="s">
        <v>12</v>
      </c>
      <c r="D177" s="18" t="s">
        <v>59</v>
      </c>
      <c r="E177" s="9">
        <v>1.0</v>
      </c>
    </row>
    <row r="178">
      <c r="A178" s="13">
        <v>177.0</v>
      </c>
      <c r="B178" s="17" t="s">
        <v>180</v>
      </c>
      <c r="C178" s="18" t="s">
        <v>66</v>
      </c>
      <c r="D178" s="18" t="s">
        <v>59</v>
      </c>
      <c r="E178" s="9">
        <v>1.0</v>
      </c>
    </row>
    <row r="179">
      <c r="A179" s="13">
        <v>178.0</v>
      </c>
      <c r="B179" s="17" t="s">
        <v>297</v>
      </c>
      <c r="C179" s="18" t="s">
        <v>99</v>
      </c>
      <c r="D179" s="18" t="s">
        <v>59</v>
      </c>
      <c r="E179" s="9">
        <v>1.0</v>
      </c>
    </row>
    <row r="180">
      <c r="A180" s="13">
        <v>179.0</v>
      </c>
      <c r="B180" s="17" t="s">
        <v>298</v>
      </c>
      <c r="C180" s="18" t="s">
        <v>21</v>
      </c>
      <c r="D180" s="18" t="s">
        <v>59</v>
      </c>
      <c r="E180" s="9">
        <v>1.0</v>
      </c>
    </row>
    <row r="181">
      <c r="A181" s="13">
        <v>180.0</v>
      </c>
      <c r="B181" s="17" t="s">
        <v>299</v>
      </c>
      <c r="C181" s="18" t="s">
        <v>73</v>
      </c>
      <c r="D181" s="18" t="s">
        <v>59</v>
      </c>
      <c r="E181" s="9">
        <v>1.0</v>
      </c>
    </row>
    <row r="182">
      <c r="A182" s="13">
        <v>181.0</v>
      </c>
      <c r="B182" s="17" t="s">
        <v>300</v>
      </c>
      <c r="C182" s="18" t="s">
        <v>19</v>
      </c>
      <c r="D182" s="18" t="s">
        <v>59</v>
      </c>
      <c r="E182" s="9">
        <v>1.0</v>
      </c>
    </row>
    <row r="183">
      <c r="A183" s="13">
        <v>182.0</v>
      </c>
      <c r="B183" s="17" t="s">
        <v>343</v>
      </c>
      <c r="C183" s="18" t="s">
        <v>58</v>
      </c>
      <c r="D183" s="18" t="s">
        <v>183</v>
      </c>
      <c r="E183" s="9">
        <v>1.0</v>
      </c>
    </row>
    <row r="184">
      <c r="A184" s="13">
        <v>183.0</v>
      </c>
      <c r="B184" s="17" t="s">
        <v>189</v>
      </c>
      <c r="C184" s="18" t="s">
        <v>30</v>
      </c>
      <c r="D184" s="18" t="s">
        <v>183</v>
      </c>
      <c r="E184" s="9">
        <v>1.0</v>
      </c>
    </row>
    <row r="185">
      <c r="A185" s="13">
        <v>184.0</v>
      </c>
      <c r="B185" s="17" t="s">
        <v>192</v>
      </c>
      <c r="C185" s="18" t="s">
        <v>30</v>
      </c>
      <c r="D185" s="18" t="s">
        <v>193</v>
      </c>
      <c r="E185" s="9">
        <v>1.0</v>
      </c>
    </row>
    <row r="186">
      <c r="A186" s="13">
        <v>185.0</v>
      </c>
      <c r="B186" s="17" t="s">
        <v>197</v>
      </c>
      <c r="C186" s="18" t="s">
        <v>37</v>
      </c>
      <c r="D186" s="18" t="s">
        <v>193</v>
      </c>
      <c r="E186" s="9">
        <v>1.0</v>
      </c>
    </row>
    <row r="187">
      <c r="A187" s="13">
        <v>186.0</v>
      </c>
      <c r="B187" s="17" t="s">
        <v>198</v>
      </c>
      <c r="C187" s="18" t="s">
        <v>28</v>
      </c>
      <c r="D187" s="18" t="s">
        <v>193</v>
      </c>
      <c r="E187" s="9">
        <v>1.0</v>
      </c>
    </row>
    <row r="188">
      <c r="A188" s="13">
        <v>187.0</v>
      </c>
      <c r="B188" s="17" t="s">
        <v>200</v>
      </c>
      <c r="C188" s="18" t="s">
        <v>7</v>
      </c>
      <c r="D188" s="18" t="s">
        <v>193</v>
      </c>
      <c r="E188" s="9">
        <v>1.0</v>
      </c>
    </row>
    <row r="189">
      <c r="A189" s="13">
        <v>188.0</v>
      </c>
      <c r="B189" s="17" t="s">
        <v>328</v>
      </c>
      <c r="C189" s="18" t="s">
        <v>43</v>
      </c>
      <c r="D189" s="18" t="s">
        <v>193</v>
      </c>
      <c r="E189" s="9">
        <v>1.0</v>
      </c>
    </row>
    <row r="190">
      <c r="A190" s="13">
        <v>189.0</v>
      </c>
      <c r="B190" s="17" t="s">
        <v>194</v>
      </c>
      <c r="C190" s="18" t="s">
        <v>41</v>
      </c>
      <c r="D190" s="18" t="s">
        <v>193</v>
      </c>
      <c r="E190" s="9">
        <v>1.0</v>
      </c>
    </row>
    <row r="191">
      <c r="A191" s="13">
        <v>190.0</v>
      </c>
      <c r="B191" s="17" t="s">
        <v>322</v>
      </c>
      <c r="C191" s="18" t="s">
        <v>119</v>
      </c>
      <c r="D191" s="18" t="s">
        <v>193</v>
      </c>
      <c r="E191" s="9">
        <v>1.0</v>
      </c>
    </row>
    <row r="192">
      <c r="A192" s="13">
        <v>191.0</v>
      </c>
      <c r="B192" s="17" t="s">
        <v>325</v>
      </c>
      <c r="C192" s="18" t="s">
        <v>344</v>
      </c>
      <c r="D192" s="18" t="s">
        <v>193</v>
      </c>
      <c r="E192" s="9">
        <v>1.0</v>
      </c>
    </row>
    <row r="193">
      <c r="A193" s="13">
        <v>192.0</v>
      </c>
      <c r="B193" s="17" t="s">
        <v>225</v>
      </c>
      <c r="C193" s="18" t="s">
        <v>25</v>
      </c>
      <c r="D193" s="18" t="s">
        <v>8</v>
      </c>
      <c r="E193" s="9">
        <v>0.0</v>
      </c>
    </row>
    <row r="194">
      <c r="A194" s="13">
        <v>193.0</v>
      </c>
      <c r="B194" s="17" t="s">
        <v>227</v>
      </c>
      <c r="C194" s="18" t="s">
        <v>64</v>
      </c>
      <c r="D194" s="18" t="s">
        <v>8</v>
      </c>
      <c r="E194" s="9">
        <v>0.0</v>
      </c>
    </row>
    <row r="195">
      <c r="A195" s="13">
        <v>194.0</v>
      </c>
      <c r="B195" s="17" t="s">
        <v>213</v>
      </c>
      <c r="C195" s="18" t="s">
        <v>25</v>
      </c>
      <c r="D195" s="18" t="s">
        <v>8</v>
      </c>
      <c r="E195" s="9">
        <v>0.0</v>
      </c>
    </row>
    <row r="196">
      <c r="A196" s="13">
        <v>195.0</v>
      </c>
      <c r="B196" s="17" t="s">
        <v>228</v>
      </c>
      <c r="C196" s="18" t="s">
        <v>10</v>
      </c>
      <c r="D196" s="18" t="s">
        <v>8</v>
      </c>
      <c r="E196" s="9">
        <v>0.0</v>
      </c>
    </row>
    <row r="197">
      <c r="A197" s="13">
        <v>196.0</v>
      </c>
      <c r="B197" s="17" t="s">
        <v>233</v>
      </c>
      <c r="C197" s="18" t="s">
        <v>28</v>
      </c>
      <c r="D197" s="18" t="s">
        <v>8</v>
      </c>
      <c r="E197" s="9">
        <v>0.0</v>
      </c>
    </row>
    <row r="198">
      <c r="A198" s="13">
        <v>197.0</v>
      </c>
      <c r="B198" s="17" t="s">
        <v>223</v>
      </c>
      <c r="C198" s="18" t="s">
        <v>19</v>
      </c>
      <c r="D198" s="18" t="s">
        <v>8</v>
      </c>
      <c r="E198" s="9">
        <v>0.0</v>
      </c>
    </row>
    <row r="199">
      <c r="A199" s="13">
        <v>198.0</v>
      </c>
      <c r="B199" s="17" t="s">
        <v>345</v>
      </c>
      <c r="C199" s="18" t="s">
        <v>28</v>
      </c>
      <c r="D199" s="18" t="s">
        <v>8</v>
      </c>
      <c r="E199" s="9">
        <v>0.0</v>
      </c>
    </row>
    <row r="200">
      <c r="A200" s="13">
        <v>199.0</v>
      </c>
      <c r="B200" s="17" t="s">
        <v>220</v>
      </c>
      <c r="C200" s="18" t="s">
        <v>89</v>
      </c>
      <c r="D200" s="18" t="s">
        <v>8</v>
      </c>
      <c r="E200" s="9">
        <v>0.0</v>
      </c>
    </row>
    <row r="201">
      <c r="A201" s="13">
        <v>200.0</v>
      </c>
      <c r="B201" s="17" t="s">
        <v>346</v>
      </c>
      <c r="C201" s="18" t="s">
        <v>66</v>
      </c>
      <c r="D201" s="18" t="s">
        <v>8</v>
      </c>
      <c r="E201" s="9">
        <v>0.0</v>
      </c>
    </row>
    <row r="202">
      <c r="A202" s="13">
        <v>201.0</v>
      </c>
      <c r="B202" s="17" t="s">
        <v>209</v>
      </c>
      <c r="C202" s="18" t="s">
        <v>62</v>
      </c>
      <c r="D202" s="18" t="s">
        <v>8</v>
      </c>
      <c r="E202" s="9">
        <v>0.0</v>
      </c>
    </row>
    <row r="203">
      <c r="A203" s="13">
        <v>202.0</v>
      </c>
      <c r="B203" s="17" t="s">
        <v>238</v>
      </c>
      <c r="C203" s="18" t="s">
        <v>28</v>
      </c>
      <c r="D203" s="18" t="s">
        <v>8</v>
      </c>
      <c r="E203" s="9">
        <v>0.0</v>
      </c>
    </row>
    <row r="204">
      <c r="A204" s="13">
        <v>203.0</v>
      </c>
      <c r="B204" s="17" t="s">
        <v>347</v>
      </c>
      <c r="C204" s="18" t="s">
        <v>39</v>
      </c>
      <c r="D204" s="18" t="s">
        <v>8</v>
      </c>
      <c r="E204" s="9">
        <v>0.0</v>
      </c>
    </row>
    <row r="205">
      <c r="A205" s="13">
        <v>204.0</v>
      </c>
      <c r="B205" s="17" t="s">
        <v>348</v>
      </c>
      <c r="C205" s="18" t="s">
        <v>62</v>
      </c>
      <c r="D205" s="18" t="s">
        <v>8</v>
      </c>
      <c r="E205" s="9">
        <v>0.0</v>
      </c>
    </row>
    <row r="206">
      <c r="A206" s="13">
        <v>205.0</v>
      </c>
      <c r="B206" s="17" t="s">
        <v>216</v>
      </c>
      <c r="C206" s="18" t="s">
        <v>81</v>
      </c>
      <c r="D206" s="18" t="s">
        <v>8</v>
      </c>
      <c r="E206" s="9">
        <v>0.0</v>
      </c>
    </row>
    <row r="207">
      <c r="A207" s="13">
        <v>206.0</v>
      </c>
      <c r="B207" s="17" t="s">
        <v>349</v>
      </c>
      <c r="C207" s="18" t="s">
        <v>30</v>
      </c>
      <c r="D207" s="18" t="s">
        <v>8</v>
      </c>
      <c r="E207" s="9">
        <v>0.0</v>
      </c>
    </row>
    <row r="208">
      <c r="A208" s="13">
        <v>207.0</v>
      </c>
      <c r="B208" s="17" t="s">
        <v>243</v>
      </c>
      <c r="C208" s="18" t="s">
        <v>58</v>
      </c>
      <c r="D208" s="18" t="s">
        <v>8</v>
      </c>
      <c r="E208" s="9">
        <v>0.0</v>
      </c>
    </row>
    <row r="209">
      <c r="A209" s="13">
        <v>208.0</v>
      </c>
      <c r="B209" s="17" t="s">
        <v>226</v>
      </c>
      <c r="C209" s="18" t="s">
        <v>53</v>
      </c>
      <c r="D209" s="18" t="s">
        <v>8</v>
      </c>
      <c r="E209" s="9">
        <v>0.0</v>
      </c>
    </row>
    <row r="210">
      <c r="A210" s="13">
        <v>209.0</v>
      </c>
      <c r="B210" s="17" t="s">
        <v>235</v>
      </c>
      <c r="C210" s="18" t="s">
        <v>45</v>
      </c>
      <c r="D210" s="18" t="s">
        <v>8</v>
      </c>
      <c r="E210" s="9">
        <v>0.0</v>
      </c>
    </row>
    <row r="211">
      <c r="A211" s="13">
        <v>210.0</v>
      </c>
      <c r="B211" s="17" t="s">
        <v>232</v>
      </c>
      <c r="C211" s="18" t="s">
        <v>37</v>
      </c>
      <c r="D211" s="18" t="s">
        <v>8</v>
      </c>
      <c r="E211" s="9">
        <v>0.0</v>
      </c>
    </row>
    <row r="212">
      <c r="A212" s="13">
        <v>211.0</v>
      </c>
      <c r="B212" s="17" t="s">
        <v>350</v>
      </c>
      <c r="C212" s="18" t="s">
        <v>7</v>
      </c>
      <c r="D212" s="18" t="s">
        <v>8</v>
      </c>
      <c r="E212" s="9">
        <v>0.0</v>
      </c>
    </row>
    <row r="213">
      <c r="A213" s="13">
        <v>212.0</v>
      </c>
      <c r="B213" s="17" t="s">
        <v>231</v>
      </c>
      <c r="C213" s="18" t="s">
        <v>21</v>
      </c>
      <c r="D213" s="18" t="s">
        <v>8</v>
      </c>
      <c r="E213" s="9">
        <v>0.0</v>
      </c>
    </row>
    <row r="214">
      <c r="A214" s="13">
        <v>213.0</v>
      </c>
      <c r="B214" s="17" t="s">
        <v>351</v>
      </c>
      <c r="C214" s="18" t="s">
        <v>69</v>
      </c>
      <c r="D214" s="18" t="s">
        <v>8</v>
      </c>
      <c r="E214" s="9">
        <v>0.0</v>
      </c>
    </row>
    <row r="215">
      <c r="A215" s="13">
        <v>214.0</v>
      </c>
      <c r="B215" s="17" t="s">
        <v>239</v>
      </c>
      <c r="C215" s="18" t="s">
        <v>119</v>
      </c>
      <c r="D215" s="18" t="s">
        <v>8</v>
      </c>
      <c r="E215" s="9">
        <v>0.0</v>
      </c>
    </row>
    <row r="216">
      <c r="A216" s="13">
        <v>215.0</v>
      </c>
      <c r="B216" s="17" t="s">
        <v>230</v>
      </c>
      <c r="C216" s="18" t="s">
        <v>19</v>
      </c>
      <c r="D216" s="18" t="s">
        <v>8</v>
      </c>
      <c r="E216" s="9">
        <v>0.0</v>
      </c>
    </row>
    <row r="217">
      <c r="A217" s="13">
        <v>216.0</v>
      </c>
      <c r="B217" s="17" t="s">
        <v>352</v>
      </c>
      <c r="C217" s="18" t="s">
        <v>15</v>
      </c>
      <c r="D217" s="18" t="s">
        <v>8</v>
      </c>
      <c r="E217" s="9">
        <v>0.0</v>
      </c>
    </row>
    <row r="218">
      <c r="A218" s="13">
        <v>217.0</v>
      </c>
      <c r="B218" s="17" t="s">
        <v>240</v>
      </c>
      <c r="C218" s="18" t="s">
        <v>37</v>
      </c>
      <c r="D218" s="18" t="s">
        <v>8</v>
      </c>
      <c r="E218" s="9">
        <v>0.0</v>
      </c>
    </row>
    <row r="219">
      <c r="A219" s="13">
        <v>218.0</v>
      </c>
      <c r="B219" s="17" t="s">
        <v>353</v>
      </c>
      <c r="C219" s="18" t="s">
        <v>55</v>
      </c>
      <c r="D219" s="18" t="s">
        <v>8</v>
      </c>
      <c r="E219" s="9">
        <v>0.0</v>
      </c>
    </row>
    <row r="220">
      <c r="A220" s="13">
        <v>219.0</v>
      </c>
      <c r="B220" s="17" t="s">
        <v>354</v>
      </c>
      <c r="C220" s="18" t="s">
        <v>12</v>
      </c>
      <c r="D220" s="18" t="s">
        <v>8</v>
      </c>
      <c r="E220" s="9">
        <v>0.0</v>
      </c>
    </row>
    <row r="221">
      <c r="A221" s="13">
        <v>220.0</v>
      </c>
      <c r="B221" s="17" t="s">
        <v>237</v>
      </c>
      <c r="C221" s="18" t="s">
        <v>35</v>
      </c>
      <c r="D221" s="18" t="s">
        <v>8</v>
      </c>
      <c r="E221" s="9">
        <v>0.0</v>
      </c>
    </row>
    <row r="222">
      <c r="A222" s="13">
        <v>221.0</v>
      </c>
      <c r="B222" s="17" t="s">
        <v>355</v>
      </c>
      <c r="C222" s="18" t="s">
        <v>39</v>
      </c>
      <c r="D222" s="18" t="s">
        <v>8</v>
      </c>
      <c r="E222" s="9">
        <v>0.0</v>
      </c>
    </row>
    <row r="223">
      <c r="A223" s="13">
        <v>222.0</v>
      </c>
      <c r="B223" s="17" t="s">
        <v>356</v>
      </c>
      <c r="C223" s="18" t="s">
        <v>30</v>
      </c>
      <c r="D223" s="18" t="s">
        <v>8</v>
      </c>
      <c r="E223" s="9">
        <v>0.0</v>
      </c>
    </row>
    <row r="224">
      <c r="A224" s="13">
        <v>223.0</v>
      </c>
      <c r="B224" s="17" t="s">
        <v>357</v>
      </c>
      <c r="C224" s="18" t="s">
        <v>58</v>
      </c>
      <c r="D224" s="18" t="s">
        <v>8</v>
      </c>
      <c r="E224" s="9">
        <v>0.0</v>
      </c>
    </row>
    <row r="225">
      <c r="A225" s="13">
        <v>224.0</v>
      </c>
      <c r="B225" s="17" t="s">
        <v>358</v>
      </c>
      <c r="C225" s="18" t="s">
        <v>69</v>
      </c>
      <c r="D225" s="18" t="s">
        <v>8</v>
      </c>
      <c r="E225" s="9">
        <v>0.0</v>
      </c>
    </row>
    <row r="226">
      <c r="A226" s="13">
        <v>225.0</v>
      </c>
      <c r="B226" s="17" t="s">
        <v>359</v>
      </c>
      <c r="C226" s="18" t="s">
        <v>66</v>
      </c>
      <c r="D226" s="18" t="s">
        <v>8</v>
      </c>
      <c r="E226" s="9">
        <v>0.0</v>
      </c>
    </row>
    <row r="227">
      <c r="A227" s="13">
        <v>226.0</v>
      </c>
      <c r="B227" s="17" t="s">
        <v>360</v>
      </c>
      <c r="C227" s="18" t="s">
        <v>73</v>
      </c>
      <c r="D227" s="18" t="s">
        <v>8</v>
      </c>
      <c r="E227" s="9">
        <v>0.0</v>
      </c>
    </row>
    <row r="228">
      <c r="A228" s="13">
        <v>227.0</v>
      </c>
      <c r="B228" s="17" t="s">
        <v>361</v>
      </c>
      <c r="C228" s="18" t="s">
        <v>99</v>
      </c>
      <c r="D228" s="18" t="s">
        <v>8</v>
      </c>
      <c r="E228" s="9">
        <v>0.0</v>
      </c>
    </row>
    <row r="229">
      <c r="A229" s="13">
        <v>228.0</v>
      </c>
      <c r="B229" s="17" t="s">
        <v>241</v>
      </c>
      <c r="C229" s="18" t="s">
        <v>262</v>
      </c>
      <c r="D229" s="18" t="s">
        <v>8</v>
      </c>
      <c r="E229" s="9">
        <v>0.0</v>
      </c>
    </row>
    <row r="230">
      <c r="A230" s="13">
        <v>229.0</v>
      </c>
      <c r="B230" s="17" t="s">
        <v>362</v>
      </c>
      <c r="C230" s="18" t="s">
        <v>262</v>
      </c>
      <c r="D230" s="18" t="s">
        <v>8</v>
      </c>
      <c r="E230" s="9">
        <v>0.0</v>
      </c>
    </row>
    <row r="231">
      <c r="A231" s="13">
        <v>230.0</v>
      </c>
      <c r="B231" s="17" t="s">
        <v>224</v>
      </c>
      <c r="C231" s="18" t="s">
        <v>21</v>
      </c>
      <c r="D231" s="18" t="s">
        <v>8</v>
      </c>
      <c r="E231" s="9">
        <v>0.0</v>
      </c>
    </row>
    <row r="232">
      <c r="A232" s="13">
        <v>231.0</v>
      </c>
      <c r="B232" s="17" t="s">
        <v>363</v>
      </c>
      <c r="C232" s="18" t="s">
        <v>262</v>
      </c>
      <c r="D232" s="18" t="s">
        <v>8</v>
      </c>
      <c r="E232" s="9">
        <v>0.0</v>
      </c>
    </row>
    <row r="233">
      <c r="A233" s="13">
        <v>232.0</v>
      </c>
      <c r="B233" s="17" t="s">
        <v>364</v>
      </c>
      <c r="C233" s="18" t="s">
        <v>262</v>
      </c>
      <c r="D233" s="18" t="s">
        <v>8</v>
      </c>
      <c r="E233" s="9">
        <v>0.0</v>
      </c>
    </row>
    <row r="234">
      <c r="A234" s="13">
        <v>233.0</v>
      </c>
      <c r="B234" s="17" t="s">
        <v>365</v>
      </c>
      <c r="C234" s="18" t="s">
        <v>25</v>
      </c>
      <c r="D234" s="18" t="s">
        <v>8</v>
      </c>
      <c r="E234" s="9">
        <v>0.0</v>
      </c>
    </row>
    <row r="235">
      <c r="A235" s="13">
        <v>234.0</v>
      </c>
      <c r="B235" s="17" t="s">
        <v>366</v>
      </c>
      <c r="C235" s="18" t="s">
        <v>262</v>
      </c>
      <c r="D235" s="18" t="s">
        <v>8</v>
      </c>
      <c r="E235" s="9">
        <v>0.0</v>
      </c>
    </row>
    <row r="236">
      <c r="A236" s="13">
        <v>235.0</v>
      </c>
      <c r="B236" s="17" t="s">
        <v>367</v>
      </c>
      <c r="C236" s="18" t="s">
        <v>45</v>
      </c>
      <c r="D236" s="18" t="s">
        <v>8</v>
      </c>
      <c r="E236" s="9">
        <v>0.0</v>
      </c>
    </row>
    <row r="237">
      <c r="A237" s="13">
        <v>236.0</v>
      </c>
      <c r="B237" s="17" t="s">
        <v>368</v>
      </c>
      <c r="C237" s="18" t="s">
        <v>262</v>
      </c>
      <c r="D237" s="18" t="s">
        <v>8</v>
      </c>
      <c r="E237" s="9">
        <v>0.0</v>
      </c>
    </row>
    <row r="238">
      <c r="A238" s="13">
        <v>237.0</v>
      </c>
      <c r="B238" s="17" t="s">
        <v>234</v>
      </c>
      <c r="C238" s="18" t="s">
        <v>85</v>
      </c>
      <c r="D238" s="18" t="s">
        <v>8</v>
      </c>
      <c r="E238" s="9">
        <v>0.0</v>
      </c>
    </row>
    <row r="239">
      <c r="A239" s="13">
        <v>238.0</v>
      </c>
      <c r="B239" s="17" t="s">
        <v>369</v>
      </c>
      <c r="C239" s="18" t="s">
        <v>17</v>
      </c>
      <c r="D239" s="18" t="s">
        <v>8</v>
      </c>
      <c r="E239" s="9">
        <v>0.0</v>
      </c>
    </row>
    <row r="240">
      <c r="A240" s="13">
        <v>239.0</v>
      </c>
      <c r="B240" s="17" t="s">
        <v>370</v>
      </c>
      <c r="C240" s="18" t="s">
        <v>119</v>
      </c>
      <c r="D240" s="18" t="s">
        <v>8</v>
      </c>
      <c r="E240" s="9">
        <v>0.0</v>
      </c>
    </row>
    <row r="241">
      <c r="A241" s="13">
        <v>240.0</v>
      </c>
      <c r="B241" s="17" t="s">
        <v>371</v>
      </c>
      <c r="C241" s="18" t="s">
        <v>62</v>
      </c>
      <c r="D241" s="18" t="s">
        <v>8</v>
      </c>
      <c r="E241" s="9">
        <v>0.0</v>
      </c>
    </row>
    <row r="242">
      <c r="A242" s="13">
        <v>241.0</v>
      </c>
      <c r="B242" s="17" t="s">
        <v>236</v>
      </c>
      <c r="C242" s="18" t="s">
        <v>23</v>
      </c>
      <c r="D242" s="18" t="s">
        <v>8</v>
      </c>
      <c r="E242" s="9">
        <v>0.0</v>
      </c>
    </row>
    <row r="243">
      <c r="A243" s="13">
        <v>242.0</v>
      </c>
      <c r="B243" s="17" t="s">
        <v>372</v>
      </c>
      <c r="C243" s="18" t="s">
        <v>23</v>
      </c>
      <c r="D243" s="18" t="s">
        <v>8</v>
      </c>
      <c r="E243" s="9">
        <v>0.0</v>
      </c>
    </row>
    <row r="244">
      <c r="A244" s="13">
        <v>243.0</v>
      </c>
      <c r="B244" s="17" t="s">
        <v>373</v>
      </c>
      <c r="C244" s="18" t="s">
        <v>55</v>
      </c>
      <c r="D244" s="18" t="s">
        <v>8</v>
      </c>
      <c r="E244" s="9">
        <v>0.0</v>
      </c>
    </row>
    <row r="245">
      <c r="A245" s="13">
        <v>244.0</v>
      </c>
      <c r="B245" s="17" t="s">
        <v>374</v>
      </c>
      <c r="C245" s="18" t="s">
        <v>41</v>
      </c>
      <c r="D245" s="18" t="s">
        <v>8</v>
      </c>
      <c r="E245" s="9">
        <v>0.0</v>
      </c>
    </row>
    <row r="246">
      <c r="A246" s="13">
        <v>245.0</v>
      </c>
      <c r="B246" s="17" t="s">
        <v>375</v>
      </c>
      <c r="C246" s="18" t="s">
        <v>41</v>
      </c>
      <c r="D246" s="18" t="s">
        <v>8</v>
      </c>
      <c r="E246" s="9">
        <v>0.0</v>
      </c>
    </row>
    <row r="247">
      <c r="A247" s="13">
        <v>246.0</v>
      </c>
      <c r="B247" s="17" t="s">
        <v>376</v>
      </c>
      <c r="C247" s="18" t="s">
        <v>35</v>
      </c>
      <c r="D247" s="18" t="s">
        <v>8</v>
      </c>
      <c r="E247" s="9">
        <v>0.0</v>
      </c>
    </row>
    <row r="248">
      <c r="A248" s="13">
        <v>247.0</v>
      </c>
      <c r="B248" s="17" t="s">
        <v>377</v>
      </c>
      <c r="C248" s="18" t="s">
        <v>23</v>
      </c>
      <c r="D248" s="18" t="s">
        <v>8</v>
      </c>
      <c r="E248" s="9">
        <v>0.0</v>
      </c>
    </row>
    <row r="249">
      <c r="A249" s="13">
        <v>248.0</v>
      </c>
      <c r="B249" s="17" t="s">
        <v>378</v>
      </c>
      <c r="C249" s="18" t="s">
        <v>28</v>
      </c>
      <c r="D249" s="18" t="s">
        <v>8</v>
      </c>
      <c r="E249" s="9">
        <v>0.0</v>
      </c>
    </row>
    <row r="250">
      <c r="A250" s="13">
        <v>249.0</v>
      </c>
      <c r="B250" s="17" t="s">
        <v>379</v>
      </c>
      <c r="C250" s="18" t="s">
        <v>262</v>
      </c>
      <c r="D250" s="18" t="s">
        <v>8</v>
      </c>
      <c r="E250" s="9">
        <v>0.0</v>
      </c>
    </row>
    <row r="251">
      <c r="A251" s="13">
        <v>250.0</v>
      </c>
      <c r="B251" s="17" t="s">
        <v>380</v>
      </c>
      <c r="C251" s="18" t="s">
        <v>58</v>
      </c>
      <c r="D251" s="18" t="s">
        <v>8</v>
      </c>
      <c r="E251" s="9">
        <v>0.0</v>
      </c>
    </row>
    <row r="252">
      <c r="A252" s="13">
        <v>251.0</v>
      </c>
      <c r="B252" s="17" t="s">
        <v>381</v>
      </c>
      <c r="C252" s="18" t="s">
        <v>28</v>
      </c>
      <c r="D252" s="18" t="s">
        <v>8</v>
      </c>
      <c r="E252" s="9">
        <v>0.0</v>
      </c>
    </row>
    <row r="253">
      <c r="A253" s="13">
        <v>252.0</v>
      </c>
      <c r="B253" s="17" t="s">
        <v>382</v>
      </c>
      <c r="C253" s="18" t="s">
        <v>85</v>
      </c>
      <c r="D253" s="18" t="s">
        <v>8</v>
      </c>
      <c r="E253" s="9">
        <v>0.0</v>
      </c>
    </row>
    <row r="254">
      <c r="A254" s="13">
        <v>253.0</v>
      </c>
      <c r="B254" s="17" t="s">
        <v>383</v>
      </c>
      <c r="C254" s="18" t="s">
        <v>262</v>
      </c>
      <c r="D254" s="18" t="s">
        <v>8</v>
      </c>
      <c r="E254" s="9">
        <v>0.0</v>
      </c>
    </row>
    <row r="255">
      <c r="A255" s="13">
        <v>254.0</v>
      </c>
      <c r="B255" s="17" t="s">
        <v>384</v>
      </c>
      <c r="C255" s="18" t="s">
        <v>262</v>
      </c>
      <c r="D255" s="18" t="s">
        <v>8</v>
      </c>
      <c r="E255" s="9">
        <v>0.0</v>
      </c>
    </row>
    <row r="256">
      <c r="A256" s="13">
        <v>255.0</v>
      </c>
      <c r="B256" s="17" t="s">
        <v>385</v>
      </c>
      <c r="C256" s="18" t="s">
        <v>43</v>
      </c>
      <c r="D256" s="18" t="s">
        <v>8</v>
      </c>
      <c r="E256" s="9">
        <v>0.0</v>
      </c>
    </row>
    <row r="257">
      <c r="A257" s="13">
        <v>256.0</v>
      </c>
      <c r="B257" s="17" t="s">
        <v>386</v>
      </c>
      <c r="C257" s="18" t="s">
        <v>262</v>
      </c>
      <c r="D257" s="18" t="s">
        <v>8</v>
      </c>
      <c r="E257" s="9">
        <v>0.0</v>
      </c>
    </row>
    <row r="258">
      <c r="A258" s="13">
        <v>257.0</v>
      </c>
      <c r="B258" s="17" t="s">
        <v>387</v>
      </c>
      <c r="C258" s="18" t="s">
        <v>58</v>
      </c>
      <c r="D258" s="18" t="s">
        <v>8</v>
      </c>
      <c r="E258" s="9">
        <v>0.0</v>
      </c>
    </row>
    <row r="259">
      <c r="A259" s="13">
        <v>258.0</v>
      </c>
      <c r="B259" s="17" t="s">
        <v>388</v>
      </c>
      <c r="C259" s="18" t="s">
        <v>89</v>
      </c>
      <c r="D259" s="18" t="s">
        <v>8</v>
      </c>
      <c r="E259" s="9">
        <v>0.0</v>
      </c>
    </row>
    <row r="260">
      <c r="A260" s="13">
        <v>259.0</v>
      </c>
      <c r="B260" s="17" t="s">
        <v>389</v>
      </c>
      <c r="C260" s="18" t="s">
        <v>35</v>
      </c>
      <c r="D260" s="18" t="s">
        <v>8</v>
      </c>
      <c r="E260" s="9">
        <v>0.0</v>
      </c>
    </row>
    <row r="261">
      <c r="A261" s="13">
        <v>260.0</v>
      </c>
      <c r="B261" s="17" t="s">
        <v>390</v>
      </c>
      <c r="C261" s="18" t="s">
        <v>119</v>
      </c>
      <c r="D261" s="18" t="s">
        <v>8</v>
      </c>
      <c r="E261" s="9">
        <v>0.0</v>
      </c>
    </row>
    <row r="262">
      <c r="A262" s="13">
        <v>261.0</v>
      </c>
      <c r="B262" s="17" t="s">
        <v>242</v>
      </c>
      <c r="C262" s="18" t="s">
        <v>81</v>
      </c>
      <c r="D262" s="18" t="s">
        <v>8</v>
      </c>
      <c r="E262" s="9">
        <v>0.0</v>
      </c>
    </row>
    <row r="263">
      <c r="A263" s="13">
        <v>262.0</v>
      </c>
      <c r="B263" s="17" t="s">
        <v>391</v>
      </c>
      <c r="C263" s="18" t="s">
        <v>119</v>
      </c>
      <c r="D263" s="18" t="s">
        <v>8</v>
      </c>
      <c r="E263" s="9">
        <v>0.0</v>
      </c>
    </row>
    <row r="264">
      <c r="A264" s="13">
        <v>263.0</v>
      </c>
      <c r="B264" s="17" t="s">
        <v>392</v>
      </c>
      <c r="C264" s="18" t="s">
        <v>17</v>
      </c>
      <c r="D264" s="18" t="s">
        <v>8</v>
      </c>
      <c r="E264" s="9">
        <v>0.0</v>
      </c>
    </row>
    <row r="265">
      <c r="A265" s="13">
        <v>264.0</v>
      </c>
      <c r="B265" s="17" t="s">
        <v>393</v>
      </c>
      <c r="C265" s="18" t="s">
        <v>66</v>
      </c>
      <c r="D265" s="18" t="s">
        <v>8</v>
      </c>
      <c r="E265" s="9">
        <v>0.0</v>
      </c>
    </row>
    <row r="266">
      <c r="A266" s="13">
        <v>265.0</v>
      </c>
      <c r="B266" s="17" t="s">
        <v>394</v>
      </c>
      <c r="C266" s="18" t="s">
        <v>99</v>
      </c>
      <c r="D266" s="18" t="s">
        <v>8</v>
      </c>
      <c r="E266" s="9">
        <v>0.0</v>
      </c>
    </row>
    <row r="267">
      <c r="A267" s="13">
        <v>266.0</v>
      </c>
      <c r="B267" s="17" t="s">
        <v>395</v>
      </c>
      <c r="C267" s="18" t="s">
        <v>19</v>
      </c>
      <c r="D267" s="18" t="s">
        <v>8</v>
      </c>
      <c r="E267" s="9">
        <v>0.0</v>
      </c>
    </row>
    <row r="268">
      <c r="A268" s="13">
        <v>267.0</v>
      </c>
      <c r="B268" s="17" t="s">
        <v>396</v>
      </c>
      <c r="C268" s="18" t="s">
        <v>25</v>
      </c>
      <c r="D268" s="18" t="s">
        <v>8</v>
      </c>
      <c r="E268" s="9">
        <v>0.0</v>
      </c>
    </row>
    <row r="269">
      <c r="A269" s="13">
        <v>268.0</v>
      </c>
      <c r="B269" s="17" t="s">
        <v>397</v>
      </c>
      <c r="C269" s="18" t="s">
        <v>47</v>
      </c>
      <c r="D269" s="18" t="s">
        <v>8</v>
      </c>
      <c r="E269" s="9">
        <v>0.0</v>
      </c>
    </row>
    <row r="270">
      <c r="A270" s="13">
        <v>269.0</v>
      </c>
      <c r="B270" s="17" t="s">
        <v>398</v>
      </c>
      <c r="C270" s="18" t="s">
        <v>64</v>
      </c>
      <c r="D270" s="18" t="s">
        <v>8</v>
      </c>
      <c r="E270" s="9">
        <v>0.0</v>
      </c>
    </row>
    <row r="271">
      <c r="A271" s="13">
        <v>270.0</v>
      </c>
      <c r="B271" s="17" t="s">
        <v>399</v>
      </c>
      <c r="C271" s="18" t="s">
        <v>69</v>
      </c>
      <c r="D271" s="18" t="s">
        <v>8</v>
      </c>
      <c r="E271" s="9">
        <v>0.0</v>
      </c>
    </row>
    <row r="272">
      <c r="A272" s="13">
        <v>271.0</v>
      </c>
      <c r="B272" s="17" t="s">
        <v>400</v>
      </c>
      <c r="C272" s="18" t="s">
        <v>39</v>
      </c>
      <c r="D272" s="18" t="s">
        <v>8</v>
      </c>
      <c r="E272" s="9">
        <v>0.0</v>
      </c>
    </row>
    <row r="273">
      <c r="A273" s="13">
        <v>272.0</v>
      </c>
      <c r="B273" s="17" t="s">
        <v>401</v>
      </c>
      <c r="C273" s="18" t="s">
        <v>23</v>
      </c>
      <c r="D273" s="18" t="s">
        <v>8</v>
      </c>
      <c r="E273" s="9">
        <v>0.0</v>
      </c>
    </row>
    <row r="274">
      <c r="A274" s="13">
        <v>273.0</v>
      </c>
      <c r="B274" s="17" t="s">
        <v>402</v>
      </c>
      <c r="C274" s="18" t="s">
        <v>15</v>
      </c>
      <c r="D274" s="18" t="s">
        <v>8</v>
      </c>
      <c r="E274" s="9">
        <v>0.0</v>
      </c>
    </row>
    <row r="275">
      <c r="A275" s="13">
        <v>274.0</v>
      </c>
      <c r="B275" s="17" t="s">
        <v>403</v>
      </c>
      <c r="C275" s="18" t="s">
        <v>17</v>
      </c>
      <c r="D275" s="18" t="s">
        <v>8</v>
      </c>
      <c r="E275" s="9">
        <v>0.0</v>
      </c>
    </row>
    <row r="276">
      <c r="A276" s="13">
        <v>275.0</v>
      </c>
      <c r="B276" s="17" t="s">
        <v>404</v>
      </c>
      <c r="C276" s="18" t="s">
        <v>41</v>
      </c>
      <c r="D276" s="18" t="s">
        <v>8</v>
      </c>
      <c r="E276" s="9">
        <v>0.0</v>
      </c>
    </row>
    <row r="277">
      <c r="A277" s="13">
        <v>276.0</v>
      </c>
      <c r="B277" s="17" t="s">
        <v>405</v>
      </c>
      <c r="C277" s="18" t="s">
        <v>25</v>
      </c>
      <c r="D277" s="18" t="s">
        <v>8</v>
      </c>
      <c r="E277" s="9">
        <v>0.0</v>
      </c>
    </row>
    <row r="278">
      <c r="A278" s="13">
        <v>277.0</v>
      </c>
      <c r="B278" s="17" t="s">
        <v>406</v>
      </c>
      <c r="C278" s="18" t="s">
        <v>62</v>
      </c>
      <c r="D278" s="18" t="s">
        <v>8</v>
      </c>
      <c r="E278" s="9">
        <v>0.0</v>
      </c>
    </row>
    <row r="279">
      <c r="A279" s="13">
        <v>278.0</v>
      </c>
      <c r="B279" s="17" t="s">
        <v>407</v>
      </c>
      <c r="C279" s="18" t="s">
        <v>89</v>
      </c>
      <c r="D279" s="18" t="s">
        <v>8</v>
      </c>
      <c r="E279" s="9">
        <v>0.0</v>
      </c>
    </row>
    <row r="280">
      <c r="A280" s="13">
        <v>279.0</v>
      </c>
      <c r="B280" s="17" t="s">
        <v>408</v>
      </c>
      <c r="C280" s="18" t="s">
        <v>21</v>
      </c>
      <c r="D280" s="18" t="s">
        <v>8</v>
      </c>
      <c r="E280" s="9">
        <v>0.0</v>
      </c>
    </row>
    <row r="281">
      <c r="A281" s="13">
        <v>280.0</v>
      </c>
      <c r="B281" s="17" t="s">
        <v>409</v>
      </c>
      <c r="C281" s="18" t="s">
        <v>69</v>
      </c>
      <c r="D281" s="18" t="s">
        <v>8</v>
      </c>
      <c r="E281" s="9">
        <v>0.0</v>
      </c>
    </row>
    <row r="282">
      <c r="A282" s="13">
        <v>281.0</v>
      </c>
      <c r="B282" s="17" t="s">
        <v>410</v>
      </c>
      <c r="C282" s="18" t="s">
        <v>53</v>
      </c>
      <c r="D282" s="18" t="s">
        <v>8</v>
      </c>
      <c r="E282" s="9">
        <v>0.0</v>
      </c>
    </row>
    <row r="283">
      <c r="A283" s="13">
        <v>282.0</v>
      </c>
      <c r="B283" s="17" t="s">
        <v>411</v>
      </c>
      <c r="C283" s="18" t="s">
        <v>25</v>
      </c>
      <c r="D283" s="18" t="s">
        <v>8</v>
      </c>
      <c r="E283" s="9">
        <v>0.0</v>
      </c>
    </row>
    <row r="284">
      <c r="A284" s="13">
        <v>283.0</v>
      </c>
      <c r="B284" s="17" t="s">
        <v>412</v>
      </c>
      <c r="C284" s="18" t="s">
        <v>35</v>
      </c>
      <c r="D284" s="18" t="s">
        <v>8</v>
      </c>
      <c r="E284" s="9">
        <v>0.0</v>
      </c>
    </row>
    <row r="285">
      <c r="A285" s="13">
        <v>284.0</v>
      </c>
      <c r="B285" s="17" t="s">
        <v>413</v>
      </c>
      <c r="C285" s="18" t="s">
        <v>32</v>
      </c>
      <c r="D285" s="18" t="s">
        <v>8</v>
      </c>
      <c r="E285" s="9">
        <v>0.0</v>
      </c>
    </row>
    <row r="286">
      <c r="A286" s="13">
        <v>285.0</v>
      </c>
      <c r="B286" s="17" t="s">
        <v>414</v>
      </c>
      <c r="C286" s="18" t="s">
        <v>12</v>
      </c>
      <c r="D286" s="18" t="s">
        <v>8</v>
      </c>
      <c r="E286" s="9">
        <v>0.0</v>
      </c>
    </row>
    <row r="287">
      <c r="A287" s="13">
        <v>286.0</v>
      </c>
      <c r="B287" s="17" t="s">
        <v>415</v>
      </c>
      <c r="C287" s="18" t="s">
        <v>81</v>
      </c>
      <c r="D287" s="18" t="s">
        <v>8</v>
      </c>
      <c r="E287" s="9">
        <v>0.0</v>
      </c>
    </row>
    <row r="288">
      <c r="A288" s="13">
        <v>287.0</v>
      </c>
      <c r="B288" s="17" t="s">
        <v>416</v>
      </c>
      <c r="C288" s="18" t="s">
        <v>7</v>
      </c>
      <c r="D288" s="18" t="s">
        <v>8</v>
      </c>
      <c r="E288" s="9">
        <v>0.0</v>
      </c>
    </row>
    <row r="289">
      <c r="A289" s="13">
        <v>288.0</v>
      </c>
      <c r="B289" s="17" t="s">
        <v>417</v>
      </c>
      <c r="C289" s="18" t="s">
        <v>47</v>
      </c>
      <c r="D289" s="18" t="s">
        <v>8</v>
      </c>
      <c r="E289" s="9">
        <v>0.0</v>
      </c>
    </row>
    <row r="290">
      <c r="A290" s="13">
        <v>289.0</v>
      </c>
      <c r="B290" s="17" t="s">
        <v>418</v>
      </c>
      <c r="C290" s="18" t="s">
        <v>7</v>
      </c>
      <c r="D290" s="18" t="s">
        <v>8</v>
      </c>
      <c r="E290" s="9">
        <v>0.0</v>
      </c>
    </row>
    <row r="291">
      <c r="A291" s="13">
        <v>290.0</v>
      </c>
      <c r="B291" s="17" t="s">
        <v>419</v>
      </c>
      <c r="C291" s="18" t="s">
        <v>262</v>
      </c>
      <c r="D291" s="18" t="s">
        <v>8</v>
      </c>
      <c r="E291" s="9">
        <v>0.0</v>
      </c>
    </row>
    <row r="292">
      <c r="A292" s="13">
        <v>291.0</v>
      </c>
      <c r="B292" s="17" t="s">
        <v>420</v>
      </c>
      <c r="C292" s="18" t="s">
        <v>15</v>
      </c>
      <c r="D292" s="18" t="s">
        <v>8</v>
      </c>
      <c r="E292" s="9">
        <v>0.0</v>
      </c>
    </row>
    <row r="293">
      <c r="A293" s="13">
        <v>292.0</v>
      </c>
      <c r="B293" s="17" t="s">
        <v>421</v>
      </c>
      <c r="C293" s="18" t="s">
        <v>47</v>
      </c>
      <c r="D293" s="18" t="s">
        <v>8</v>
      </c>
      <c r="E293" s="9">
        <v>0.0</v>
      </c>
    </row>
    <row r="294">
      <c r="A294" s="13">
        <v>293.0</v>
      </c>
      <c r="B294" s="17" t="s">
        <v>422</v>
      </c>
      <c r="C294" s="18" t="s">
        <v>53</v>
      </c>
      <c r="D294" s="18" t="s">
        <v>8</v>
      </c>
      <c r="E294" s="9">
        <v>0.0</v>
      </c>
    </row>
    <row r="295">
      <c r="A295" s="13">
        <v>294.0</v>
      </c>
      <c r="B295" s="17" t="s">
        <v>423</v>
      </c>
      <c r="C295" s="18" t="s">
        <v>23</v>
      </c>
      <c r="D295" s="18" t="s">
        <v>8</v>
      </c>
      <c r="E295" s="9">
        <v>0.0</v>
      </c>
    </row>
    <row r="296">
      <c r="A296" s="13">
        <v>295.0</v>
      </c>
      <c r="B296" s="17" t="s">
        <v>424</v>
      </c>
      <c r="C296" s="18" t="s">
        <v>30</v>
      </c>
      <c r="D296" s="18" t="s">
        <v>8</v>
      </c>
      <c r="E296" s="9">
        <v>0.0</v>
      </c>
    </row>
    <row r="297">
      <c r="A297" s="13">
        <v>296.0</v>
      </c>
      <c r="B297" s="17" t="s">
        <v>425</v>
      </c>
      <c r="C297" s="18" t="s">
        <v>62</v>
      </c>
      <c r="D297" s="18" t="s">
        <v>8</v>
      </c>
      <c r="E297" s="9">
        <v>0.0</v>
      </c>
    </row>
    <row r="298">
      <c r="A298" s="13">
        <v>297.0</v>
      </c>
      <c r="B298" s="17" t="s">
        <v>426</v>
      </c>
      <c r="C298" s="18" t="s">
        <v>7</v>
      </c>
      <c r="D298" s="18" t="s">
        <v>8</v>
      </c>
      <c r="E298" s="9">
        <v>0.0</v>
      </c>
    </row>
    <row r="299">
      <c r="A299" s="13">
        <v>298.0</v>
      </c>
      <c r="B299" s="17" t="s">
        <v>427</v>
      </c>
      <c r="C299" s="18" t="s">
        <v>64</v>
      </c>
      <c r="D299" s="18" t="s">
        <v>8</v>
      </c>
      <c r="E299" s="9">
        <v>0.0</v>
      </c>
    </row>
    <row r="300">
      <c r="A300" s="13">
        <v>299.0</v>
      </c>
      <c r="B300" s="17" t="s">
        <v>428</v>
      </c>
      <c r="C300" s="18" t="s">
        <v>66</v>
      </c>
      <c r="D300" s="18" t="s">
        <v>8</v>
      </c>
      <c r="E300" s="9">
        <v>0.0</v>
      </c>
    </row>
    <row r="301">
      <c r="A301" s="13">
        <v>300.0</v>
      </c>
      <c r="B301" s="17" t="s">
        <v>429</v>
      </c>
      <c r="C301" s="18" t="s">
        <v>21</v>
      </c>
      <c r="D301" s="18" t="s">
        <v>8</v>
      </c>
      <c r="E301" s="9">
        <v>0.0</v>
      </c>
    </row>
    <row r="302">
      <c r="A302" s="13">
        <v>301.0</v>
      </c>
      <c r="B302" s="17" t="s">
        <v>430</v>
      </c>
      <c r="C302" s="18" t="s">
        <v>21</v>
      </c>
      <c r="D302" s="18" t="s">
        <v>8</v>
      </c>
      <c r="E302" s="9">
        <v>0.0</v>
      </c>
    </row>
    <row r="303">
      <c r="A303" s="13">
        <v>302.0</v>
      </c>
      <c r="B303" s="17" t="s">
        <v>431</v>
      </c>
      <c r="C303" s="18" t="s">
        <v>55</v>
      </c>
      <c r="D303" s="18" t="s">
        <v>8</v>
      </c>
      <c r="E303" s="9">
        <v>0.0</v>
      </c>
    </row>
    <row r="304">
      <c r="A304" s="13">
        <v>303.0</v>
      </c>
      <c r="B304" s="17" t="s">
        <v>432</v>
      </c>
      <c r="C304" s="18" t="s">
        <v>69</v>
      </c>
      <c r="D304" s="18" t="s">
        <v>8</v>
      </c>
      <c r="E304" s="9">
        <v>0.0</v>
      </c>
    </row>
    <row r="305">
      <c r="A305" s="13">
        <v>304.0</v>
      </c>
      <c r="B305" s="17" t="s">
        <v>433</v>
      </c>
      <c r="C305" s="18" t="s">
        <v>53</v>
      </c>
      <c r="D305" s="18" t="s">
        <v>8</v>
      </c>
      <c r="E305" s="9">
        <v>0.0</v>
      </c>
    </row>
    <row r="306">
      <c r="A306" s="13">
        <v>305.0</v>
      </c>
      <c r="B306" s="17" t="s">
        <v>434</v>
      </c>
      <c r="C306" s="18" t="s">
        <v>28</v>
      </c>
      <c r="D306" s="18" t="s">
        <v>8</v>
      </c>
      <c r="E306" s="9">
        <v>0.0</v>
      </c>
    </row>
    <row r="307">
      <c r="A307" s="13">
        <v>306.0</v>
      </c>
      <c r="B307" s="17" t="s">
        <v>435</v>
      </c>
      <c r="C307" s="18" t="s">
        <v>262</v>
      </c>
      <c r="D307" s="18" t="s">
        <v>8</v>
      </c>
      <c r="E307" s="9">
        <v>0.0</v>
      </c>
    </row>
    <row r="308">
      <c r="A308" s="13">
        <v>307.0</v>
      </c>
      <c r="B308" s="17" t="s">
        <v>436</v>
      </c>
      <c r="C308" s="18" t="s">
        <v>23</v>
      </c>
      <c r="D308" s="18" t="s">
        <v>8</v>
      </c>
      <c r="E308" s="9">
        <v>0.0</v>
      </c>
    </row>
    <row r="309">
      <c r="A309" s="13">
        <v>308.0</v>
      </c>
      <c r="B309" s="17" t="s">
        <v>437</v>
      </c>
      <c r="C309" s="18" t="s">
        <v>262</v>
      </c>
      <c r="D309" s="18" t="s">
        <v>8</v>
      </c>
      <c r="E309" s="9">
        <v>0.0</v>
      </c>
    </row>
    <row r="310">
      <c r="A310" s="13">
        <v>309.0</v>
      </c>
      <c r="B310" s="17" t="s">
        <v>438</v>
      </c>
      <c r="C310" s="18" t="s">
        <v>32</v>
      </c>
      <c r="D310" s="18" t="s">
        <v>8</v>
      </c>
      <c r="E310" s="9">
        <v>0.0</v>
      </c>
    </row>
    <row r="311">
      <c r="A311" s="13">
        <v>310.0</v>
      </c>
      <c r="B311" s="17" t="s">
        <v>439</v>
      </c>
      <c r="C311" s="18" t="s">
        <v>58</v>
      </c>
      <c r="D311" s="18" t="s">
        <v>8</v>
      </c>
      <c r="E311" s="9">
        <v>0.0</v>
      </c>
    </row>
    <row r="312">
      <c r="A312" s="13">
        <v>311.0</v>
      </c>
      <c r="B312" s="17" t="s">
        <v>440</v>
      </c>
      <c r="C312" s="18" t="s">
        <v>89</v>
      </c>
      <c r="D312" s="18" t="s">
        <v>8</v>
      </c>
      <c r="E312" s="9">
        <v>0.0</v>
      </c>
    </row>
    <row r="313">
      <c r="A313" s="13">
        <v>312.0</v>
      </c>
      <c r="B313" s="17" t="s">
        <v>441</v>
      </c>
      <c r="C313" s="18" t="s">
        <v>41</v>
      </c>
      <c r="D313" s="18" t="s">
        <v>8</v>
      </c>
      <c r="E313" s="9">
        <v>0.0</v>
      </c>
    </row>
    <row r="314">
      <c r="A314" s="13">
        <v>313.0</v>
      </c>
      <c r="B314" s="17" t="s">
        <v>442</v>
      </c>
      <c r="C314" s="18" t="s">
        <v>73</v>
      </c>
      <c r="D314" s="18" t="s">
        <v>8</v>
      </c>
      <c r="E314" s="9">
        <v>0.0</v>
      </c>
    </row>
    <row r="315">
      <c r="A315" s="13">
        <v>314.0</v>
      </c>
      <c r="B315" s="17" t="s">
        <v>443</v>
      </c>
      <c r="C315" s="18" t="s">
        <v>7</v>
      </c>
      <c r="D315" s="18" t="s">
        <v>8</v>
      </c>
      <c r="E315" s="9">
        <v>0.0</v>
      </c>
    </row>
    <row r="316">
      <c r="A316" s="13">
        <v>315.0</v>
      </c>
      <c r="B316" s="17" t="s">
        <v>444</v>
      </c>
      <c r="C316" s="18" t="s">
        <v>262</v>
      </c>
      <c r="D316" s="18" t="s">
        <v>8</v>
      </c>
      <c r="E316" s="9">
        <v>0.0</v>
      </c>
    </row>
    <row r="317">
      <c r="A317" s="13">
        <v>316.0</v>
      </c>
      <c r="B317" s="17" t="s">
        <v>445</v>
      </c>
      <c r="C317" s="18" t="s">
        <v>73</v>
      </c>
      <c r="D317" s="18" t="s">
        <v>8</v>
      </c>
      <c r="E317" s="9">
        <v>0.0</v>
      </c>
    </row>
    <row r="318">
      <c r="A318" s="13">
        <v>317.0</v>
      </c>
      <c r="B318" s="17" t="s">
        <v>446</v>
      </c>
      <c r="C318" s="18" t="s">
        <v>262</v>
      </c>
      <c r="D318" s="18" t="s">
        <v>8</v>
      </c>
      <c r="E318" s="9">
        <v>0.0</v>
      </c>
    </row>
    <row r="319">
      <c r="A319" s="13">
        <v>318.0</v>
      </c>
      <c r="B319" s="17" t="s">
        <v>447</v>
      </c>
      <c r="C319" s="18" t="s">
        <v>81</v>
      </c>
      <c r="D319" s="18" t="s">
        <v>8</v>
      </c>
      <c r="E319" s="9">
        <v>0.0</v>
      </c>
    </row>
    <row r="320">
      <c r="A320" s="13">
        <v>319.0</v>
      </c>
      <c r="B320" s="17" t="s">
        <v>448</v>
      </c>
      <c r="C320" s="18" t="s">
        <v>37</v>
      </c>
      <c r="D320" s="18" t="s">
        <v>8</v>
      </c>
      <c r="E320" s="9">
        <v>0.0</v>
      </c>
    </row>
    <row r="321">
      <c r="A321" s="13">
        <v>320.0</v>
      </c>
      <c r="B321" s="17" t="s">
        <v>449</v>
      </c>
      <c r="C321" s="18" t="s">
        <v>262</v>
      </c>
      <c r="D321" s="18" t="s">
        <v>8</v>
      </c>
      <c r="E321" s="9">
        <v>0.0</v>
      </c>
    </row>
    <row r="322">
      <c r="A322" s="13">
        <v>321.0</v>
      </c>
      <c r="B322" s="17" t="s">
        <v>450</v>
      </c>
      <c r="C322" s="18" t="s">
        <v>262</v>
      </c>
      <c r="D322" s="18" t="s">
        <v>8</v>
      </c>
      <c r="E322" s="9">
        <v>0.0</v>
      </c>
    </row>
    <row r="323">
      <c r="A323" s="13">
        <v>322.0</v>
      </c>
      <c r="B323" s="17" t="s">
        <v>451</v>
      </c>
      <c r="C323" s="18" t="s">
        <v>85</v>
      </c>
      <c r="D323" s="18" t="s">
        <v>8</v>
      </c>
      <c r="E323" s="9">
        <v>0.0</v>
      </c>
    </row>
    <row r="324">
      <c r="A324" s="13">
        <v>323.0</v>
      </c>
      <c r="B324" s="17" t="s">
        <v>452</v>
      </c>
      <c r="C324" s="18" t="s">
        <v>19</v>
      </c>
      <c r="D324" s="18" t="s">
        <v>8</v>
      </c>
      <c r="E324" s="9">
        <v>0.0</v>
      </c>
    </row>
    <row r="325">
      <c r="A325" s="13">
        <v>324.0</v>
      </c>
      <c r="B325" s="17" t="s">
        <v>453</v>
      </c>
      <c r="C325" s="18" t="s">
        <v>32</v>
      </c>
      <c r="D325" s="18" t="s">
        <v>8</v>
      </c>
      <c r="E325" s="9">
        <v>0.0</v>
      </c>
    </row>
    <row r="326">
      <c r="A326" s="13">
        <v>325.0</v>
      </c>
      <c r="B326" s="17" t="s">
        <v>454</v>
      </c>
      <c r="C326" s="18" t="s">
        <v>262</v>
      </c>
      <c r="D326" s="18" t="s">
        <v>8</v>
      </c>
      <c r="E326" s="9">
        <v>0.0</v>
      </c>
    </row>
    <row r="327">
      <c r="A327" s="13">
        <v>326.0</v>
      </c>
      <c r="B327" s="17" t="s">
        <v>455</v>
      </c>
      <c r="C327" s="18" t="s">
        <v>21</v>
      </c>
      <c r="D327" s="18" t="s">
        <v>8</v>
      </c>
      <c r="E327" s="9">
        <v>0.0</v>
      </c>
    </row>
    <row r="328">
      <c r="A328" s="13">
        <v>327.0</v>
      </c>
      <c r="B328" s="17" t="s">
        <v>456</v>
      </c>
      <c r="C328" s="18" t="s">
        <v>41</v>
      </c>
      <c r="D328" s="18" t="s">
        <v>8</v>
      </c>
      <c r="E328" s="9">
        <v>0.0</v>
      </c>
    </row>
    <row r="329">
      <c r="A329" s="13">
        <v>328.0</v>
      </c>
      <c r="B329" s="17" t="s">
        <v>457</v>
      </c>
      <c r="C329" s="18" t="s">
        <v>55</v>
      </c>
      <c r="D329" s="18" t="s">
        <v>8</v>
      </c>
      <c r="E329" s="9">
        <v>0.0</v>
      </c>
    </row>
    <row r="330">
      <c r="A330" s="13">
        <v>329.0</v>
      </c>
      <c r="B330" s="17" t="s">
        <v>458</v>
      </c>
      <c r="C330" s="18" t="s">
        <v>17</v>
      </c>
      <c r="D330" s="18" t="s">
        <v>8</v>
      </c>
      <c r="E330" s="9">
        <v>0.0</v>
      </c>
    </row>
    <row r="331">
      <c r="A331" s="13">
        <v>330.0</v>
      </c>
      <c r="B331" s="17" t="s">
        <v>459</v>
      </c>
      <c r="C331" s="18" t="s">
        <v>15</v>
      </c>
      <c r="D331" s="18" t="s">
        <v>8</v>
      </c>
      <c r="E331" s="9">
        <v>0.0</v>
      </c>
    </row>
    <row r="332">
      <c r="A332" s="13">
        <v>331.0</v>
      </c>
      <c r="B332" s="17" t="s">
        <v>460</v>
      </c>
      <c r="C332" s="18" t="s">
        <v>262</v>
      </c>
      <c r="D332" s="18" t="s">
        <v>8</v>
      </c>
      <c r="E332" s="9">
        <v>0.0</v>
      </c>
    </row>
    <row r="333">
      <c r="A333" s="13">
        <v>332.0</v>
      </c>
      <c r="B333" s="17" t="s">
        <v>461</v>
      </c>
      <c r="C333" s="18" t="s">
        <v>262</v>
      </c>
      <c r="D333" s="18" t="s">
        <v>8</v>
      </c>
      <c r="E333" s="9">
        <v>0.0</v>
      </c>
    </row>
    <row r="334">
      <c r="A334" s="13">
        <v>333.0</v>
      </c>
      <c r="B334" s="17" t="s">
        <v>462</v>
      </c>
      <c r="C334" s="18" t="s">
        <v>15</v>
      </c>
      <c r="D334" s="18" t="s">
        <v>8</v>
      </c>
      <c r="E334" s="9">
        <v>0.0</v>
      </c>
    </row>
    <row r="335">
      <c r="A335" s="13">
        <v>334.0</v>
      </c>
      <c r="B335" s="17" t="s">
        <v>463</v>
      </c>
      <c r="C335" s="18" t="s">
        <v>53</v>
      </c>
      <c r="D335" s="18" t="s">
        <v>8</v>
      </c>
      <c r="E335" s="9">
        <v>0.0</v>
      </c>
    </row>
    <row r="336">
      <c r="A336" s="13">
        <v>335.0</v>
      </c>
      <c r="B336" s="17" t="s">
        <v>464</v>
      </c>
      <c r="C336" s="18" t="s">
        <v>39</v>
      </c>
      <c r="D336" s="18" t="s">
        <v>8</v>
      </c>
      <c r="E336" s="9">
        <v>0.0</v>
      </c>
    </row>
    <row r="337">
      <c r="A337" s="13">
        <v>336.0</v>
      </c>
      <c r="B337" s="17" t="s">
        <v>465</v>
      </c>
      <c r="C337" s="18" t="s">
        <v>58</v>
      </c>
      <c r="D337" s="18" t="s">
        <v>8</v>
      </c>
      <c r="E337" s="9">
        <v>0.0</v>
      </c>
    </row>
    <row r="338">
      <c r="A338" s="13">
        <v>337.0</v>
      </c>
      <c r="B338" s="17" t="s">
        <v>466</v>
      </c>
      <c r="C338" s="18" t="s">
        <v>30</v>
      </c>
      <c r="D338" s="18" t="s">
        <v>8</v>
      </c>
      <c r="E338" s="9">
        <v>0.0</v>
      </c>
    </row>
    <row r="339">
      <c r="A339" s="13">
        <v>338.0</v>
      </c>
      <c r="B339" s="17" t="s">
        <v>467</v>
      </c>
      <c r="C339" s="18" t="s">
        <v>62</v>
      </c>
      <c r="D339" s="18" t="s">
        <v>8</v>
      </c>
      <c r="E339" s="9">
        <v>0.0</v>
      </c>
    </row>
    <row r="340">
      <c r="A340" s="13">
        <v>339.0</v>
      </c>
      <c r="B340" s="17" t="s">
        <v>468</v>
      </c>
      <c r="C340" s="18" t="s">
        <v>12</v>
      </c>
      <c r="D340" s="18" t="s">
        <v>8</v>
      </c>
      <c r="E340" s="9">
        <v>0.0</v>
      </c>
    </row>
    <row r="341">
      <c r="A341" s="13">
        <v>340.0</v>
      </c>
      <c r="B341" s="17" t="s">
        <v>469</v>
      </c>
      <c r="C341" s="18" t="s">
        <v>25</v>
      </c>
      <c r="D341" s="18" t="s">
        <v>8</v>
      </c>
      <c r="E341" s="9">
        <v>0.0</v>
      </c>
    </row>
    <row r="342">
      <c r="A342" s="13">
        <v>341.0</v>
      </c>
      <c r="B342" s="17" t="s">
        <v>470</v>
      </c>
      <c r="C342" s="18" t="s">
        <v>19</v>
      </c>
      <c r="D342" s="18" t="s">
        <v>8</v>
      </c>
      <c r="E342" s="9">
        <v>0.0</v>
      </c>
    </row>
    <row r="343">
      <c r="A343" s="13">
        <v>342.0</v>
      </c>
      <c r="B343" s="17" t="s">
        <v>471</v>
      </c>
      <c r="C343" s="18" t="s">
        <v>39</v>
      </c>
      <c r="D343" s="18" t="s">
        <v>8</v>
      </c>
      <c r="E343" s="9">
        <v>0.0</v>
      </c>
    </row>
    <row r="344">
      <c r="A344" s="13">
        <v>343.0</v>
      </c>
      <c r="B344" s="17" t="s">
        <v>278</v>
      </c>
      <c r="C344" s="18" t="s">
        <v>69</v>
      </c>
      <c r="D344" s="18" t="s">
        <v>77</v>
      </c>
      <c r="E344" s="9">
        <v>0.0</v>
      </c>
    </row>
    <row r="345">
      <c r="A345" s="13">
        <v>344.0</v>
      </c>
      <c r="B345" s="17" t="s">
        <v>277</v>
      </c>
      <c r="C345" s="18" t="s">
        <v>73</v>
      </c>
      <c r="D345" s="18" t="s">
        <v>77</v>
      </c>
      <c r="E345" s="9">
        <v>0.0</v>
      </c>
    </row>
    <row r="346">
      <c r="A346" s="13">
        <v>345.0</v>
      </c>
      <c r="B346" s="17" t="s">
        <v>283</v>
      </c>
      <c r="C346" s="18" t="s">
        <v>35</v>
      </c>
      <c r="D346" s="18" t="s">
        <v>77</v>
      </c>
      <c r="E346" s="9">
        <v>0.0</v>
      </c>
    </row>
    <row r="347">
      <c r="A347" s="13">
        <v>346.0</v>
      </c>
      <c r="B347" s="17" t="s">
        <v>284</v>
      </c>
      <c r="C347" s="18" t="s">
        <v>10</v>
      </c>
      <c r="D347" s="18" t="s">
        <v>77</v>
      </c>
      <c r="E347" s="9">
        <v>0.0</v>
      </c>
    </row>
    <row r="348">
      <c r="A348" s="13">
        <v>347.0</v>
      </c>
      <c r="B348" s="17" t="s">
        <v>285</v>
      </c>
      <c r="C348" s="18" t="s">
        <v>81</v>
      </c>
      <c r="D348" s="18" t="s">
        <v>77</v>
      </c>
      <c r="E348" s="9">
        <v>0.0</v>
      </c>
    </row>
    <row r="349">
      <c r="A349" s="13">
        <v>348.0</v>
      </c>
      <c r="B349" s="17" t="s">
        <v>274</v>
      </c>
      <c r="C349" s="18" t="s">
        <v>66</v>
      </c>
      <c r="D349" s="18" t="s">
        <v>77</v>
      </c>
      <c r="E349" s="9">
        <v>0.0</v>
      </c>
    </row>
    <row r="350">
      <c r="A350" s="13">
        <v>349.0</v>
      </c>
      <c r="B350" s="17" t="s">
        <v>286</v>
      </c>
      <c r="C350" s="18" t="s">
        <v>89</v>
      </c>
      <c r="D350" s="18" t="s">
        <v>77</v>
      </c>
      <c r="E350" s="9">
        <v>0.0</v>
      </c>
    </row>
    <row r="351">
      <c r="A351" s="13">
        <v>350.0</v>
      </c>
      <c r="B351" s="17" t="s">
        <v>472</v>
      </c>
      <c r="C351" s="18" t="s">
        <v>23</v>
      </c>
      <c r="D351" s="18" t="s">
        <v>77</v>
      </c>
      <c r="E351" s="9">
        <v>0.0</v>
      </c>
    </row>
    <row r="352">
      <c r="A352" s="13">
        <v>351.0</v>
      </c>
      <c r="B352" s="17" t="s">
        <v>287</v>
      </c>
      <c r="C352" s="18" t="s">
        <v>23</v>
      </c>
      <c r="D352" s="18" t="s">
        <v>77</v>
      </c>
      <c r="E352" s="9">
        <v>0.0</v>
      </c>
    </row>
    <row r="353">
      <c r="A353" s="13">
        <v>352.0</v>
      </c>
      <c r="B353" s="17" t="s">
        <v>288</v>
      </c>
      <c r="C353" s="18" t="s">
        <v>85</v>
      </c>
      <c r="D353" s="18" t="s">
        <v>77</v>
      </c>
      <c r="E353" s="9">
        <v>0.0</v>
      </c>
    </row>
    <row r="354">
      <c r="A354" s="13">
        <v>353.0</v>
      </c>
      <c r="B354" s="17" t="s">
        <v>292</v>
      </c>
      <c r="C354" s="18" t="s">
        <v>28</v>
      </c>
      <c r="D354" s="18" t="s">
        <v>77</v>
      </c>
      <c r="E354" s="9">
        <v>0.0</v>
      </c>
    </row>
    <row r="355">
      <c r="A355" s="13">
        <v>354.0</v>
      </c>
      <c r="B355" s="17" t="s">
        <v>290</v>
      </c>
      <c r="C355" s="18" t="s">
        <v>66</v>
      </c>
      <c r="D355" s="18" t="s">
        <v>77</v>
      </c>
      <c r="E355" s="9">
        <v>0.0</v>
      </c>
    </row>
    <row r="356">
      <c r="A356" s="13">
        <v>355.0</v>
      </c>
      <c r="B356" s="17" t="s">
        <v>293</v>
      </c>
      <c r="C356" s="18" t="s">
        <v>85</v>
      </c>
      <c r="D356" s="18" t="s">
        <v>77</v>
      </c>
      <c r="E356" s="9">
        <v>0.0</v>
      </c>
    </row>
    <row r="357">
      <c r="A357" s="13">
        <v>356.0</v>
      </c>
      <c r="B357" s="17" t="s">
        <v>294</v>
      </c>
      <c r="C357" s="18" t="s">
        <v>10</v>
      </c>
      <c r="D357" s="18" t="s">
        <v>77</v>
      </c>
      <c r="E357" s="9">
        <v>0.0</v>
      </c>
    </row>
    <row r="358">
      <c r="A358" s="13">
        <v>357.0</v>
      </c>
      <c r="B358" s="17" t="s">
        <v>291</v>
      </c>
      <c r="C358" s="18" t="s">
        <v>89</v>
      </c>
      <c r="D358" s="18" t="s">
        <v>77</v>
      </c>
      <c r="E358" s="9">
        <v>0.0</v>
      </c>
    </row>
    <row r="359">
      <c r="A359" s="13">
        <v>358.0</v>
      </c>
      <c r="B359" s="17" t="s">
        <v>473</v>
      </c>
      <c r="C359" s="18" t="s">
        <v>41</v>
      </c>
      <c r="D359" s="18" t="s">
        <v>77</v>
      </c>
      <c r="E359" s="9">
        <v>0.0</v>
      </c>
    </row>
    <row r="360">
      <c r="A360" s="13">
        <v>359.0</v>
      </c>
      <c r="B360" s="17" t="s">
        <v>474</v>
      </c>
      <c r="C360" s="18" t="s">
        <v>21</v>
      </c>
      <c r="D360" s="18" t="s">
        <v>77</v>
      </c>
      <c r="E360" s="9">
        <v>0.0</v>
      </c>
    </row>
    <row r="361">
      <c r="A361" s="13">
        <v>360.0</v>
      </c>
      <c r="B361" s="17" t="s">
        <v>295</v>
      </c>
      <c r="C361" s="18" t="s">
        <v>39</v>
      </c>
      <c r="D361" s="18" t="s">
        <v>77</v>
      </c>
      <c r="E361" s="9">
        <v>0.0</v>
      </c>
    </row>
    <row r="362">
      <c r="A362" s="13">
        <v>361.0</v>
      </c>
      <c r="B362" s="17" t="s">
        <v>475</v>
      </c>
      <c r="C362" s="18" t="s">
        <v>10</v>
      </c>
      <c r="D362" s="18" t="s">
        <v>77</v>
      </c>
      <c r="E362" s="9">
        <v>0.0</v>
      </c>
    </row>
    <row r="363">
      <c r="A363" s="13">
        <v>362.0</v>
      </c>
      <c r="B363" s="17" t="s">
        <v>476</v>
      </c>
      <c r="C363" s="18" t="s">
        <v>58</v>
      </c>
      <c r="D363" s="18" t="s">
        <v>77</v>
      </c>
      <c r="E363" s="9">
        <v>0.0</v>
      </c>
    </row>
    <row r="364">
      <c r="A364" s="13">
        <v>363.0</v>
      </c>
      <c r="B364" s="17" t="s">
        <v>477</v>
      </c>
      <c r="C364" s="18" t="s">
        <v>69</v>
      </c>
      <c r="D364" s="18" t="s">
        <v>77</v>
      </c>
      <c r="E364" s="9">
        <v>0.0</v>
      </c>
    </row>
    <row r="365">
      <c r="A365" s="13">
        <v>364.0</v>
      </c>
      <c r="B365" s="17" t="s">
        <v>478</v>
      </c>
      <c r="C365" s="18" t="s">
        <v>53</v>
      </c>
      <c r="D365" s="18" t="s">
        <v>77</v>
      </c>
      <c r="E365" s="9">
        <v>0.0</v>
      </c>
    </row>
    <row r="366">
      <c r="A366" s="13">
        <v>365.0</v>
      </c>
      <c r="B366" s="17" t="s">
        <v>479</v>
      </c>
      <c r="C366" s="18" t="s">
        <v>73</v>
      </c>
      <c r="D366" s="18" t="s">
        <v>77</v>
      </c>
      <c r="E366" s="9">
        <v>0.0</v>
      </c>
    </row>
    <row r="367">
      <c r="A367" s="13">
        <v>366.0</v>
      </c>
      <c r="B367" s="17" t="s">
        <v>296</v>
      </c>
      <c r="C367" s="18" t="s">
        <v>64</v>
      </c>
      <c r="D367" s="18" t="s">
        <v>77</v>
      </c>
      <c r="E367" s="9">
        <v>0.0</v>
      </c>
    </row>
    <row r="368">
      <c r="A368" s="13">
        <v>367.0</v>
      </c>
      <c r="B368" s="17" t="s">
        <v>480</v>
      </c>
      <c r="C368" s="18" t="s">
        <v>47</v>
      </c>
      <c r="D368" s="18" t="s">
        <v>77</v>
      </c>
      <c r="E368" s="9">
        <v>0.0</v>
      </c>
    </row>
    <row r="369">
      <c r="A369" s="13">
        <v>368.0</v>
      </c>
      <c r="B369" s="17" t="s">
        <v>481</v>
      </c>
      <c r="C369" s="18" t="s">
        <v>73</v>
      </c>
      <c r="D369" s="18" t="s">
        <v>77</v>
      </c>
      <c r="E369" s="9">
        <v>0.0</v>
      </c>
    </row>
    <row r="370">
      <c r="A370" s="13">
        <v>369.0</v>
      </c>
      <c r="B370" s="17" t="s">
        <v>482</v>
      </c>
      <c r="C370" s="18" t="s">
        <v>41</v>
      </c>
      <c r="D370" s="18" t="s">
        <v>77</v>
      </c>
      <c r="E370" s="9">
        <v>0.0</v>
      </c>
    </row>
    <row r="371">
      <c r="A371" s="13">
        <v>370.0</v>
      </c>
      <c r="B371" s="17" t="s">
        <v>483</v>
      </c>
      <c r="C371" s="18" t="s">
        <v>30</v>
      </c>
      <c r="D371" s="18" t="s">
        <v>77</v>
      </c>
      <c r="E371" s="9">
        <v>0.0</v>
      </c>
    </row>
    <row r="372">
      <c r="A372" s="13">
        <v>371.0</v>
      </c>
      <c r="B372" s="17" t="s">
        <v>484</v>
      </c>
      <c r="C372" s="18" t="s">
        <v>23</v>
      </c>
      <c r="D372" s="18" t="s">
        <v>77</v>
      </c>
      <c r="E372" s="9">
        <v>0.0</v>
      </c>
    </row>
    <row r="373">
      <c r="A373" s="13">
        <v>372.0</v>
      </c>
      <c r="B373" s="17" t="s">
        <v>485</v>
      </c>
      <c r="C373" s="18" t="s">
        <v>37</v>
      </c>
      <c r="D373" s="18" t="s">
        <v>77</v>
      </c>
      <c r="E373" s="9">
        <v>0.0</v>
      </c>
    </row>
    <row r="374">
      <c r="A374" s="13">
        <v>373.0</v>
      </c>
      <c r="B374" s="17" t="s">
        <v>486</v>
      </c>
      <c r="C374" s="18" t="s">
        <v>45</v>
      </c>
      <c r="D374" s="18" t="s">
        <v>77</v>
      </c>
      <c r="E374" s="9">
        <v>0.0</v>
      </c>
    </row>
    <row r="375">
      <c r="A375" s="13">
        <v>374.0</v>
      </c>
      <c r="B375" s="17" t="s">
        <v>487</v>
      </c>
      <c r="C375" s="18" t="s">
        <v>19</v>
      </c>
      <c r="D375" s="18" t="s">
        <v>77</v>
      </c>
      <c r="E375" s="9">
        <v>0.0</v>
      </c>
    </row>
    <row r="376">
      <c r="A376" s="13">
        <v>375.0</v>
      </c>
      <c r="B376" s="17" t="s">
        <v>488</v>
      </c>
      <c r="C376" s="18" t="s">
        <v>69</v>
      </c>
      <c r="D376" s="18" t="s">
        <v>77</v>
      </c>
      <c r="E376" s="9">
        <v>0.0</v>
      </c>
    </row>
    <row r="377">
      <c r="A377" s="13">
        <v>376.0</v>
      </c>
      <c r="B377" s="17" t="s">
        <v>489</v>
      </c>
      <c r="C377" s="18" t="s">
        <v>62</v>
      </c>
      <c r="D377" s="18" t="s">
        <v>77</v>
      </c>
      <c r="E377" s="9">
        <v>0.0</v>
      </c>
    </row>
    <row r="378">
      <c r="A378" s="13">
        <v>377.0</v>
      </c>
      <c r="B378" s="17" t="s">
        <v>490</v>
      </c>
      <c r="C378" s="18" t="s">
        <v>17</v>
      </c>
      <c r="D378" s="18" t="s">
        <v>77</v>
      </c>
      <c r="E378" s="9">
        <v>0.0</v>
      </c>
    </row>
    <row r="379">
      <c r="A379" s="13">
        <v>378.0</v>
      </c>
      <c r="B379" s="17" t="s">
        <v>491</v>
      </c>
      <c r="C379" s="18" t="s">
        <v>7</v>
      </c>
      <c r="D379" s="18" t="s">
        <v>77</v>
      </c>
      <c r="E379" s="9">
        <v>0.0</v>
      </c>
    </row>
    <row r="380">
      <c r="A380" s="13">
        <v>379.0</v>
      </c>
      <c r="B380" s="17" t="s">
        <v>492</v>
      </c>
      <c r="C380" s="18" t="s">
        <v>12</v>
      </c>
      <c r="D380" s="18" t="s">
        <v>77</v>
      </c>
      <c r="E380" s="9">
        <v>0.0</v>
      </c>
    </row>
    <row r="381">
      <c r="A381" s="13">
        <v>380.0</v>
      </c>
      <c r="B381" s="17" t="s">
        <v>493</v>
      </c>
      <c r="C381" s="18" t="s">
        <v>99</v>
      </c>
      <c r="D381" s="18" t="s">
        <v>77</v>
      </c>
      <c r="E381" s="9">
        <v>0.0</v>
      </c>
    </row>
    <row r="382">
      <c r="A382" s="13">
        <v>381.0</v>
      </c>
      <c r="B382" s="17" t="s">
        <v>494</v>
      </c>
      <c r="C382" s="18" t="s">
        <v>262</v>
      </c>
      <c r="D382" s="18" t="s">
        <v>77</v>
      </c>
      <c r="E382" s="9">
        <v>0.0</v>
      </c>
    </row>
    <row r="383">
      <c r="A383" s="13">
        <v>382.0</v>
      </c>
      <c r="B383" s="17" t="s">
        <v>495</v>
      </c>
      <c r="C383" s="18" t="s">
        <v>35</v>
      </c>
      <c r="D383" s="18" t="s">
        <v>77</v>
      </c>
      <c r="E383" s="9">
        <v>0.0</v>
      </c>
    </row>
    <row r="384">
      <c r="A384" s="13">
        <v>383.0</v>
      </c>
      <c r="B384" s="17" t="s">
        <v>496</v>
      </c>
      <c r="C384" s="18" t="s">
        <v>32</v>
      </c>
      <c r="D384" s="18" t="s">
        <v>77</v>
      </c>
      <c r="E384" s="9">
        <v>0.0</v>
      </c>
    </row>
    <row r="385">
      <c r="A385" s="13">
        <v>384.0</v>
      </c>
      <c r="B385" s="17" t="s">
        <v>497</v>
      </c>
      <c r="C385" s="18" t="s">
        <v>64</v>
      </c>
      <c r="D385" s="18" t="s">
        <v>77</v>
      </c>
      <c r="E385" s="9">
        <v>0.0</v>
      </c>
    </row>
    <row r="386">
      <c r="A386" s="13">
        <v>385.0</v>
      </c>
      <c r="B386" s="17" t="s">
        <v>498</v>
      </c>
      <c r="C386" s="18" t="s">
        <v>55</v>
      </c>
      <c r="D386" s="18" t="s">
        <v>77</v>
      </c>
      <c r="E386" s="9">
        <v>0.0</v>
      </c>
    </row>
    <row r="387">
      <c r="A387" s="13">
        <v>386.0</v>
      </c>
      <c r="B387" s="17" t="s">
        <v>499</v>
      </c>
      <c r="C387" s="18" t="s">
        <v>37</v>
      </c>
      <c r="D387" s="18" t="s">
        <v>77</v>
      </c>
      <c r="E387" s="9">
        <v>0.0</v>
      </c>
    </row>
    <row r="388">
      <c r="A388" s="13">
        <v>387.0</v>
      </c>
      <c r="B388" s="17" t="s">
        <v>500</v>
      </c>
      <c r="C388" s="18" t="s">
        <v>25</v>
      </c>
      <c r="D388" s="18" t="s">
        <v>77</v>
      </c>
      <c r="E388" s="9">
        <v>0.0</v>
      </c>
    </row>
    <row r="389">
      <c r="A389" s="13">
        <v>388.0</v>
      </c>
      <c r="B389" s="17" t="s">
        <v>501</v>
      </c>
      <c r="C389" s="18" t="s">
        <v>81</v>
      </c>
      <c r="D389" s="18" t="s">
        <v>77</v>
      </c>
      <c r="E389" s="9">
        <v>0.0</v>
      </c>
    </row>
    <row r="390">
      <c r="A390" s="13">
        <v>389.0</v>
      </c>
      <c r="B390" s="17" t="s">
        <v>502</v>
      </c>
      <c r="C390" s="18" t="s">
        <v>15</v>
      </c>
      <c r="D390" s="18" t="s">
        <v>77</v>
      </c>
      <c r="E390" s="9">
        <v>0.0</v>
      </c>
    </row>
    <row r="391">
      <c r="A391" s="13">
        <v>390.0</v>
      </c>
      <c r="B391" s="17" t="s">
        <v>503</v>
      </c>
      <c r="C391" s="18" t="s">
        <v>119</v>
      </c>
      <c r="D391" s="18" t="s">
        <v>77</v>
      </c>
      <c r="E391" s="9">
        <v>0.0</v>
      </c>
    </row>
    <row r="392">
      <c r="A392" s="13">
        <v>391.0</v>
      </c>
      <c r="B392" s="17" t="s">
        <v>504</v>
      </c>
      <c r="C392" s="18" t="s">
        <v>10</v>
      </c>
      <c r="D392" s="18" t="s">
        <v>77</v>
      </c>
      <c r="E392" s="9">
        <v>0.0</v>
      </c>
    </row>
    <row r="393">
      <c r="A393" s="13">
        <v>392.0</v>
      </c>
      <c r="B393" s="17" t="s">
        <v>505</v>
      </c>
      <c r="C393" s="18" t="s">
        <v>17</v>
      </c>
      <c r="D393" s="18" t="s">
        <v>77</v>
      </c>
      <c r="E393" s="9">
        <v>0.0</v>
      </c>
    </row>
    <row r="394">
      <c r="A394" s="13">
        <v>393.0</v>
      </c>
      <c r="B394" s="17" t="s">
        <v>506</v>
      </c>
      <c r="C394" s="18" t="s">
        <v>43</v>
      </c>
      <c r="D394" s="18" t="s">
        <v>77</v>
      </c>
      <c r="E394" s="9">
        <v>0.0</v>
      </c>
    </row>
    <row r="395">
      <c r="A395" s="13">
        <v>394.0</v>
      </c>
      <c r="B395" s="17" t="s">
        <v>507</v>
      </c>
      <c r="C395" s="18" t="s">
        <v>119</v>
      </c>
      <c r="D395" s="18" t="s">
        <v>77</v>
      </c>
      <c r="E395" s="9">
        <v>0.0</v>
      </c>
    </row>
    <row r="396">
      <c r="A396" s="13">
        <v>395.0</v>
      </c>
      <c r="B396" s="17" t="s">
        <v>508</v>
      </c>
      <c r="C396" s="18" t="s">
        <v>43</v>
      </c>
      <c r="D396" s="18" t="s">
        <v>77</v>
      </c>
      <c r="E396" s="9">
        <v>0.0</v>
      </c>
    </row>
    <row r="397">
      <c r="A397" s="13">
        <v>396.0</v>
      </c>
      <c r="B397" s="17" t="s">
        <v>509</v>
      </c>
      <c r="C397" s="18" t="s">
        <v>7</v>
      </c>
      <c r="D397" s="18" t="s">
        <v>77</v>
      </c>
      <c r="E397" s="9">
        <v>0.0</v>
      </c>
    </row>
    <row r="398">
      <c r="A398" s="13">
        <v>397.0</v>
      </c>
      <c r="B398" s="17" t="s">
        <v>510</v>
      </c>
      <c r="C398" s="18" t="s">
        <v>66</v>
      </c>
      <c r="D398" s="18" t="s">
        <v>77</v>
      </c>
      <c r="E398" s="9">
        <v>0.0</v>
      </c>
    </row>
    <row r="399">
      <c r="A399" s="13">
        <v>398.0</v>
      </c>
      <c r="B399" s="17" t="s">
        <v>511</v>
      </c>
      <c r="C399" s="18" t="s">
        <v>25</v>
      </c>
      <c r="D399" s="18" t="s">
        <v>77</v>
      </c>
      <c r="E399" s="9">
        <v>0.0</v>
      </c>
    </row>
    <row r="400">
      <c r="A400" s="13">
        <v>399.0</v>
      </c>
      <c r="B400" s="17" t="s">
        <v>512</v>
      </c>
      <c r="C400" s="18" t="s">
        <v>21</v>
      </c>
      <c r="D400" s="18" t="s">
        <v>77</v>
      </c>
      <c r="E400" s="9">
        <v>0.0</v>
      </c>
    </row>
    <row r="401">
      <c r="A401" s="13">
        <v>400.0</v>
      </c>
      <c r="B401" s="17" t="s">
        <v>513</v>
      </c>
      <c r="C401" s="18" t="s">
        <v>66</v>
      </c>
      <c r="D401" s="18" t="s">
        <v>77</v>
      </c>
      <c r="E401" s="9">
        <v>0.0</v>
      </c>
    </row>
    <row r="402">
      <c r="A402" s="13">
        <v>401.0</v>
      </c>
      <c r="B402" s="17" t="s">
        <v>514</v>
      </c>
      <c r="C402" s="18" t="s">
        <v>28</v>
      </c>
      <c r="D402" s="18" t="s">
        <v>77</v>
      </c>
      <c r="E402" s="9">
        <v>0.0</v>
      </c>
    </row>
    <row r="403">
      <c r="A403" s="13">
        <v>402.0</v>
      </c>
      <c r="B403" s="17" t="s">
        <v>515</v>
      </c>
      <c r="C403" s="18" t="s">
        <v>41</v>
      </c>
      <c r="D403" s="18" t="s">
        <v>77</v>
      </c>
      <c r="E403" s="9">
        <v>0.0</v>
      </c>
    </row>
    <row r="404">
      <c r="A404" s="13">
        <v>403.0</v>
      </c>
      <c r="B404" s="17" t="s">
        <v>516</v>
      </c>
      <c r="C404" s="18" t="s">
        <v>7</v>
      </c>
      <c r="D404" s="18" t="s">
        <v>77</v>
      </c>
      <c r="E404" s="9">
        <v>0.0</v>
      </c>
    </row>
    <row r="405">
      <c r="A405" s="13">
        <v>404.0</v>
      </c>
      <c r="B405" s="17" t="s">
        <v>517</v>
      </c>
      <c r="C405" s="18" t="s">
        <v>19</v>
      </c>
      <c r="D405" s="18" t="s">
        <v>77</v>
      </c>
      <c r="E405" s="9">
        <v>0.0</v>
      </c>
    </row>
    <row r="406">
      <c r="A406" s="13">
        <v>405.0</v>
      </c>
      <c r="B406" s="17" t="s">
        <v>518</v>
      </c>
      <c r="C406" s="18" t="s">
        <v>32</v>
      </c>
      <c r="D406" s="18" t="s">
        <v>77</v>
      </c>
      <c r="E406" s="9">
        <v>0.0</v>
      </c>
    </row>
    <row r="407">
      <c r="A407" s="13">
        <v>406.0</v>
      </c>
      <c r="B407" s="17" t="s">
        <v>519</v>
      </c>
      <c r="C407" s="18" t="s">
        <v>12</v>
      </c>
      <c r="D407" s="18" t="s">
        <v>77</v>
      </c>
      <c r="E407" s="9">
        <v>0.0</v>
      </c>
    </row>
    <row r="408">
      <c r="A408" s="13">
        <v>407.0</v>
      </c>
      <c r="B408" s="17" t="s">
        <v>520</v>
      </c>
      <c r="C408" s="18" t="s">
        <v>89</v>
      </c>
      <c r="D408" s="18" t="s">
        <v>77</v>
      </c>
      <c r="E408" s="9">
        <v>0.0</v>
      </c>
    </row>
    <row r="409">
      <c r="A409" s="13">
        <v>408.0</v>
      </c>
      <c r="B409" s="17" t="s">
        <v>521</v>
      </c>
      <c r="C409" s="18" t="s">
        <v>30</v>
      </c>
      <c r="D409" s="18" t="s">
        <v>77</v>
      </c>
      <c r="E409" s="9">
        <v>0.0</v>
      </c>
    </row>
    <row r="410">
      <c r="A410" s="13">
        <v>409.0</v>
      </c>
      <c r="B410" s="17" t="s">
        <v>522</v>
      </c>
      <c r="C410" s="18" t="s">
        <v>45</v>
      </c>
      <c r="D410" s="18" t="s">
        <v>77</v>
      </c>
      <c r="E410" s="9">
        <v>0.0</v>
      </c>
    </row>
    <row r="411">
      <c r="A411" s="13">
        <v>410.0</v>
      </c>
      <c r="B411" s="17" t="s">
        <v>523</v>
      </c>
      <c r="C411" s="18" t="s">
        <v>39</v>
      </c>
      <c r="D411" s="18" t="s">
        <v>77</v>
      </c>
      <c r="E411" s="9">
        <v>0.0</v>
      </c>
    </row>
    <row r="412">
      <c r="A412" s="13">
        <v>411.0</v>
      </c>
      <c r="B412" s="17" t="s">
        <v>524</v>
      </c>
      <c r="C412" s="18" t="s">
        <v>62</v>
      </c>
      <c r="D412" s="18" t="s">
        <v>77</v>
      </c>
      <c r="E412" s="9">
        <v>0.0</v>
      </c>
    </row>
    <row r="413">
      <c r="A413" s="13">
        <v>412.0</v>
      </c>
      <c r="B413" s="17" t="s">
        <v>525</v>
      </c>
      <c r="C413" s="18" t="s">
        <v>47</v>
      </c>
      <c r="D413" s="18" t="s">
        <v>77</v>
      </c>
      <c r="E413" s="9">
        <v>0.0</v>
      </c>
    </row>
    <row r="414">
      <c r="A414" s="13">
        <v>413.0</v>
      </c>
      <c r="B414" s="17" t="s">
        <v>526</v>
      </c>
      <c r="C414" s="18" t="s">
        <v>35</v>
      </c>
      <c r="D414" s="18" t="s">
        <v>77</v>
      </c>
      <c r="E414" s="9">
        <v>0.0</v>
      </c>
    </row>
    <row r="415">
      <c r="A415" s="13">
        <v>414.0</v>
      </c>
      <c r="B415" s="17" t="s">
        <v>527</v>
      </c>
      <c r="C415" s="18" t="s">
        <v>85</v>
      </c>
      <c r="D415" s="18" t="s">
        <v>77</v>
      </c>
      <c r="E415" s="9">
        <v>0.0</v>
      </c>
    </row>
    <row r="416">
      <c r="A416" s="13">
        <v>415.0</v>
      </c>
      <c r="B416" s="17" t="s">
        <v>528</v>
      </c>
      <c r="C416" s="18" t="s">
        <v>15</v>
      </c>
      <c r="D416" s="18" t="s">
        <v>77</v>
      </c>
      <c r="E416" s="9">
        <v>0.0</v>
      </c>
    </row>
    <row r="417">
      <c r="A417" s="13">
        <v>416.0</v>
      </c>
      <c r="B417" s="17" t="s">
        <v>529</v>
      </c>
      <c r="C417" s="18" t="s">
        <v>55</v>
      </c>
      <c r="D417" s="18" t="s">
        <v>77</v>
      </c>
      <c r="E417" s="9">
        <v>0.0</v>
      </c>
    </row>
    <row r="418">
      <c r="A418" s="13">
        <v>417.0</v>
      </c>
      <c r="B418" s="17" t="s">
        <v>530</v>
      </c>
      <c r="C418" s="18" t="s">
        <v>53</v>
      </c>
      <c r="D418" s="18" t="s">
        <v>77</v>
      </c>
      <c r="E418" s="9">
        <v>0.0</v>
      </c>
    </row>
    <row r="419">
      <c r="A419" s="13">
        <v>418.0</v>
      </c>
      <c r="B419" s="17" t="s">
        <v>253</v>
      </c>
      <c r="C419" s="18" t="s">
        <v>30</v>
      </c>
      <c r="D419" s="18" t="s">
        <v>13</v>
      </c>
      <c r="E419" s="9">
        <v>0.0</v>
      </c>
    </row>
    <row r="420">
      <c r="A420" s="13">
        <v>419.0</v>
      </c>
      <c r="B420" s="17" t="s">
        <v>531</v>
      </c>
      <c r="C420" s="18" t="s">
        <v>66</v>
      </c>
      <c r="D420" s="18" t="s">
        <v>13</v>
      </c>
      <c r="E420" s="9">
        <v>0.0</v>
      </c>
    </row>
    <row r="421">
      <c r="A421" s="13">
        <v>420.0</v>
      </c>
      <c r="B421" s="17" t="s">
        <v>263</v>
      </c>
      <c r="C421" s="18" t="s">
        <v>53</v>
      </c>
      <c r="D421" s="18" t="s">
        <v>13</v>
      </c>
      <c r="E421" s="9">
        <v>0.0</v>
      </c>
    </row>
    <row r="422">
      <c r="A422" s="13">
        <v>421.0</v>
      </c>
      <c r="B422" s="17" t="s">
        <v>272</v>
      </c>
      <c r="C422" s="18" t="s">
        <v>7</v>
      </c>
      <c r="D422" s="18" t="s">
        <v>13</v>
      </c>
      <c r="E422" s="9">
        <v>0.0</v>
      </c>
    </row>
    <row r="423">
      <c r="A423" s="13">
        <v>422.0</v>
      </c>
      <c r="B423" s="17" t="s">
        <v>255</v>
      </c>
      <c r="C423" s="18" t="s">
        <v>43</v>
      </c>
      <c r="D423" s="18" t="s">
        <v>13</v>
      </c>
      <c r="E423" s="9">
        <v>0.0</v>
      </c>
    </row>
    <row r="424">
      <c r="A424" s="13">
        <v>423.0</v>
      </c>
      <c r="B424" s="17" t="s">
        <v>256</v>
      </c>
      <c r="C424" s="18" t="s">
        <v>73</v>
      </c>
      <c r="D424" s="18" t="s">
        <v>13</v>
      </c>
      <c r="E424" s="9">
        <v>0.0</v>
      </c>
    </row>
    <row r="425">
      <c r="A425" s="13">
        <v>424.0</v>
      </c>
      <c r="B425" s="17" t="s">
        <v>247</v>
      </c>
      <c r="C425" s="18" t="s">
        <v>32</v>
      </c>
      <c r="D425" s="18" t="s">
        <v>13</v>
      </c>
      <c r="E425" s="9">
        <v>0.0</v>
      </c>
    </row>
    <row r="426">
      <c r="A426" s="13">
        <v>425.0</v>
      </c>
      <c r="B426" s="17" t="s">
        <v>268</v>
      </c>
      <c r="C426" s="18" t="s">
        <v>45</v>
      </c>
      <c r="D426" s="18" t="s">
        <v>13</v>
      </c>
      <c r="E426" s="9">
        <v>0.0</v>
      </c>
    </row>
    <row r="427">
      <c r="A427" s="13">
        <v>426.0</v>
      </c>
      <c r="B427" s="17" t="s">
        <v>532</v>
      </c>
      <c r="C427" s="18" t="s">
        <v>66</v>
      </c>
      <c r="D427" s="18" t="s">
        <v>13</v>
      </c>
      <c r="E427" s="9">
        <v>0.0</v>
      </c>
    </row>
    <row r="428">
      <c r="A428" s="13">
        <v>427.0</v>
      </c>
      <c r="B428" s="17" t="s">
        <v>533</v>
      </c>
      <c r="C428" s="18" t="s">
        <v>30</v>
      </c>
      <c r="D428" s="18" t="s">
        <v>13</v>
      </c>
      <c r="E428" s="9">
        <v>0.0</v>
      </c>
    </row>
    <row r="429">
      <c r="A429" s="13">
        <v>428.0</v>
      </c>
      <c r="B429" s="17" t="s">
        <v>534</v>
      </c>
      <c r="C429" s="18" t="s">
        <v>99</v>
      </c>
      <c r="D429" s="18" t="s">
        <v>13</v>
      </c>
      <c r="E429" s="9">
        <v>0.0</v>
      </c>
    </row>
    <row r="430">
      <c r="A430" s="13">
        <v>429.0</v>
      </c>
      <c r="B430" s="17" t="s">
        <v>264</v>
      </c>
      <c r="C430" s="18" t="s">
        <v>53</v>
      </c>
      <c r="D430" s="18" t="s">
        <v>13</v>
      </c>
      <c r="E430" s="9">
        <v>0.0</v>
      </c>
    </row>
    <row r="431">
      <c r="A431" s="13">
        <v>430.0</v>
      </c>
      <c r="B431" s="17" t="s">
        <v>254</v>
      </c>
      <c r="C431" s="18" t="s">
        <v>7</v>
      </c>
      <c r="D431" s="18" t="s">
        <v>13</v>
      </c>
      <c r="E431" s="9">
        <v>0.0</v>
      </c>
    </row>
    <row r="432">
      <c r="A432" s="13">
        <v>431.0</v>
      </c>
      <c r="B432" s="17" t="s">
        <v>535</v>
      </c>
      <c r="C432" s="18" t="s">
        <v>10</v>
      </c>
      <c r="D432" s="18" t="s">
        <v>13</v>
      </c>
      <c r="E432" s="9">
        <v>0.0</v>
      </c>
    </row>
    <row r="433">
      <c r="A433" s="13">
        <v>432.0</v>
      </c>
      <c r="B433" s="17" t="s">
        <v>536</v>
      </c>
      <c r="C433" s="18" t="s">
        <v>55</v>
      </c>
      <c r="D433" s="18" t="s">
        <v>13</v>
      </c>
      <c r="E433" s="9">
        <v>0.0</v>
      </c>
    </row>
    <row r="434">
      <c r="A434" s="13">
        <v>433.0</v>
      </c>
      <c r="B434" s="17" t="s">
        <v>537</v>
      </c>
      <c r="C434" s="18" t="s">
        <v>99</v>
      </c>
      <c r="D434" s="18" t="s">
        <v>13</v>
      </c>
      <c r="E434" s="9">
        <v>0.0</v>
      </c>
    </row>
    <row r="435">
      <c r="A435" s="13">
        <v>434.0</v>
      </c>
      <c r="B435" s="17" t="s">
        <v>538</v>
      </c>
      <c r="C435" s="18" t="s">
        <v>47</v>
      </c>
      <c r="D435" s="18" t="s">
        <v>13</v>
      </c>
      <c r="E435" s="9">
        <v>0.0</v>
      </c>
    </row>
    <row r="436">
      <c r="A436" s="13">
        <v>435.0</v>
      </c>
      <c r="B436" s="17" t="s">
        <v>539</v>
      </c>
      <c r="C436" s="18" t="s">
        <v>69</v>
      </c>
      <c r="D436" s="18" t="s">
        <v>13</v>
      </c>
      <c r="E436" s="9">
        <v>0.0</v>
      </c>
    </row>
    <row r="437">
      <c r="A437" s="13">
        <v>436.0</v>
      </c>
      <c r="B437" s="17" t="s">
        <v>540</v>
      </c>
      <c r="C437" s="18" t="s">
        <v>262</v>
      </c>
      <c r="D437" s="18" t="s">
        <v>13</v>
      </c>
      <c r="E437" s="9">
        <v>0.0</v>
      </c>
    </row>
    <row r="438">
      <c r="A438" s="13">
        <v>437.0</v>
      </c>
      <c r="B438" s="17" t="s">
        <v>541</v>
      </c>
      <c r="C438" s="18" t="s">
        <v>89</v>
      </c>
      <c r="D438" s="18" t="s">
        <v>13</v>
      </c>
      <c r="E438" s="9">
        <v>0.0</v>
      </c>
    </row>
    <row r="439">
      <c r="A439" s="13">
        <v>438.0</v>
      </c>
      <c r="B439" s="17" t="s">
        <v>266</v>
      </c>
      <c r="C439" s="18" t="s">
        <v>47</v>
      </c>
      <c r="D439" s="18" t="s">
        <v>13</v>
      </c>
      <c r="E439" s="9">
        <v>0.0</v>
      </c>
    </row>
    <row r="440">
      <c r="A440" s="13">
        <v>439.0</v>
      </c>
      <c r="B440" s="17" t="s">
        <v>261</v>
      </c>
      <c r="C440" s="18" t="s">
        <v>262</v>
      </c>
      <c r="D440" s="18" t="s">
        <v>13</v>
      </c>
      <c r="E440" s="9">
        <v>0.0</v>
      </c>
    </row>
    <row r="441">
      <c r="A441" s="13">
        <v>440.0</v>
      </c>
      <c r="B441" s="17" t="s">
        <v>542</v>
      </c>
      <c r="C441" s="18" t="s">
        <v>41</v>
      </c>
      <c r="D441" s="18" t="s">
        <v>13</v>
      </c>
      <c r="E441" s="9">
        <v>0.0</v>
      </c>
    </row>
    <row r="442">
      <c r="A442" s="13">
        <v>441.0</v>
      </c>
      <c r="B442" s="17" t="s">
        <v>543</v>
      </c>
      <c r="C442" s="18" t="s">
        <v>47</v>
      </c>
      <c r="D442" s="18" t="s">
        <v>13</v>
      </c>
      <c r="E442" s="9">
        <v>0.0</v>
      </c>
    </row>
    <row r="443">
      <c r="A443" s="13">
        <v>442.0</v>
      </c>
      <c r="B443" s="17" t="s">
        <v>544</v>
      </c>
      <c r="C443" s="18" t="s">
        <v>39</v>
      </c>
      <c r="D443" s="18" t="s">
        <v>13</v>
      </c>
      <c r="E443" s="9">
        <v>0.0</v>
      </c>
    </row>
    <row r="444">
      <c r="A444" s="13">
        <v>443.0</v>
      </c>
      <c r="B444" s="17" t="s">
        <v>545</v>
      </c>
      <c r="C444" s="18" t="s">
        <v>119</v>
      </c>
      <c r="D444" s="18" t="s">
        <v>13</v>
      </c>
      <c r="E444" s="9">
        <v>0.0</v>
      </c>
    </row>
    <row r="445">
      <c r="A445" s="13">
        <v>444.0</v>
      </c>
      <c r="B445" s="17" t="s">
        <v>546</v>
      </c>
      <c r="C445" s="18" t="s">
        <v>41</v>
      </c>
      <c r="D445" s="18" t="s">
        <v>13</v>
      </c>
      <c r="E445" s="9">
        <v>0.0</v>
      </c>
    </row>
    <row r="446">
      <c r="A446" s="13">
        <v>445.0</v>
      </c>
      <c r="B446" s="17" t="s">
        <v>547</v>
      </c>
      <c r="C446" s="18" t="s">
        <v>35</v>
      </c>
      <c r="D446" s="18" t="s">
        <v>13</v>
      </c>
      <c r="E446" s="9">
        <v>0.0</v>
      </c>
    </row>
    <row r="447">
      <c r="A447" s="13">
        <v>446.0</v>
      </c>
      <c r="B447" s="17" t="s">
        <v>548</v>
      </c>
      <c r="C447" s="18" t="s">
        <v>53</v>
      </c>
      <c r="D447" s="18" t="s">
        <v>13</v>
      </c>
      <c r="E447" s="9">
        <v>0.0</v>
      </c>
    </row>
    <row r="448">
      <c r="A448" s="13">
        <v>447.0</v>
      </c>
      <c r="B448" s="17" t="s">
        <v>549</v>
      </c>
      <c r="C448" s="18" t="s">
        <v>73</v>
      </c>
      <c r="D448" s="18" t="s">
        <v>13</v>
      </c>
      <c r="E448" s="9">
        <v>0.0</v>
      </c>
    </row>
    <row r="449">
      <c r="A449" s="13">
        <v>448.0</v>
      </c>
      <c r="B449" s="17" t="s">
        <v>550</v>
      </c>
      <c r="C449" s="18" t="s">
        <v>64</v>
      </c>
      <c r="D449" s="18" t="s">
        <v>13</v>
      </c>
      <c r="E449" s="9">
        <v>0.0</v>
      </c>
    </row>
    <row r="450">
      <c r="A450" s="13">
        <v>449.0</v>
      </c>
      <c r="B450" s="17" t="s">
        <v>551</v>
      </c>
      <c r="C450" s="18" t="s">
        <v>64</v>
      </c>
      <c r="D450" s="18" t="s">
        <v>13</v>
      </c>
      <c r="E450" s="9">
        <v>0.0</v>
      </c>
    </row>
    <row r="451">
      <c r="A451" s="13">
        <v>450.0</v>
      </c>
      <c r="B451" s="17" t="s">
        <v>552</v>
      </c>
      <c r="C451" s="18" t="s">
        <v>35</v>
      </c>
      <c r="D451" s="18" t="s">
        <v>13</v>
      </c>
      <c r="E451" s="9">
        <v>0.0</v>
      </c>
    </row>
    <row r="452">
      <c r="A452" s="13">
        <v>451.0</v>
      </c>
      <c r="B452" s="17" t="s">
        <v>553</v>
      </c>
      <c r="C452" s="18" t="s">
        <v>262</v>
      </c>
      <c r="D452" s="18" t="s">
        <v>13</v>
      </c>
      <c r="E452" s="9">
        <v>0.0</v>
      </c>
    </row>
    <row r="453">
      <c r="A453" s="13">
        <v>452.0</v>
      </c>
      <c r="B453" s="17" t="s">
        <v>259</v>
      </c>
      <c r="C453" s="18" t="s">
        <v>55</v>
      </c>
      <c r="D453" s="18" t="s">
        <v>13</v>
      </c>
      <c r="E453" s="9">
        <v>0.0</v>
      </c>
    </row>
    <row r="454">
      <c r="A454" s="13">
        <v>453.0</v>
      </c>
      <c r="B454" s="17" t="s">
        <v>271</v>
      </c>
      <c r="C454" s="18" t="s">
        <v>58</v>
      </c>
      <c r="D454" s="18" t="s">
        <v>13</v>
      </c>
      <c r="E454" s="9">
        <v>0.0</v>
      </c>
    </row>
    <row r="455">
      <c r="A455" s="13">
        <v>454.0</v>
      </c>
      <c r="B455" s="17" t="s">
        <v>554</v>
      </c>
      <c r="C455" s="18" t="s">
        <v>262</v>
      </c>
      <c r="D455" s="18" t="s">
        <v>13</v>
      </c>
      <c r="E455" s="9">
        <v>0.0</v>
      </c>
    </row>
    <row r="456">
      <c r="A456" s="13">
        <v>455.0</v>
      </c>
      <c r="B456" s="17" t="s">
        <v>257</v>
      </c>
      <c r="C456" s="18" t="s">
        <v>21</v>
      </c>
      <c r="D456" s="18" t="s">
        <v>13</v>
      </c>
      <c r="E456" s="9">
        <v>0.0</v>
      </c>
    </row>
    <row r="457">
      <c r="A457" s="13">
        <v>456.0</v>
      </c>
      <c r="B457" s="17" t="s">
        <v>555</v>
      </c>
      <c r="C457" s="18" t="s">
        <v>119</v>
      </c>
      <c r="D457" s="18" t="s">
        <v>13</v>
      </c>
      <c r="E457" s="9">
        <v>0.0</v>
      </c>
    </row>
    <row r="458">
      <c r="A458" s="13">
        <v>457.0</v>
      </c>
      <c r="B458" s="17" t="s">
        <v>556</v>
      </c>
      <c r="C458" s="18" t="s">
        <v>262</v>
      </c>
      <c r="D458" s="18" t="s">
        <v>13</v>
      </c>
      <c r="E458" s="9">
        <v>0.0</v>
      </c>
    </row>
    <row r="459">
      <c r="A459" s="13">
        <v>458.0</v>
      </c>
      <c r="B459" s="17" t="s">
        <v>557</v>
      </c>
      <c r="C459" s="18" t="s">
        <v>15</v>
      </c>
      <c r="D459" s="18" t="s">
        <v>13</v>
      </c>
      <c r="E459" s="9">
        <v>0.0</v>
      </c>
    </row>
    <row r="460">
      <c r="A460" s="13">
        <v>459.0</v>
      </c>
      <c r="B460" s="17" t="s">
        <v>558</v>
      </c>
      <c r="C460" s="18" t="s">
        <v>21</v>
      </c>
      <c r="D460" s="18" t="s">
        <v>13</v>
      </c>
      <c r="E460" s="9">
        <v>0.0</v>
      </c>
    </row>
    <row r="461">
      <c r="A461" s="13">
        <v>460.0</v>
      </c>
      <c r="B461" s="17" t="s">
        <v>559</v>
      </c>
      <c r="C461" s="18" t="s">
        <v>58</v>
      </c>
      <c r="D461" s="18" t="s">
        <v>13</v>
      </c>
      <c r="E461" s="9">
        <v>0.0</v>
      </c>
    </row>
    <row r="462">
      <c r="A462" s="13">
        <v>461.0</v>
      </c>
      <c r="B462" s="17" t="s">
        <v>560</v>
      </c>
      <c r="C462" s="18" t="s">
        <v>262</v>
      </c>
      <c r="D462" s="18" t="s">
        <v>13</v>
      </c>
      <c r="E462" s="9">
        <v>0.0</v>
      </c>
    </row>
    <row r="463">
      <c r="A463" s="13">
        <v>462.0</v>
      </c>
      <c r="B463" s="17" t="s">
        <v>561</v>
      </c>
      <c r="C463" s="18" t="s">
        <v>81</v>
      </c>
      <c r="D463" s="18" t="s">
        <v>13</v>
      </c>
      <c r="E463" s="9">
        <v>0.0</v>
      </c>
    </row>
    <row r="464">
      <c r="A464" s="13">
        <v>463.0</v>
      </c>
      <c r="B464" s="17" t="s">
        <v>562</v>
      </c>
      <c r="C464" s="18" t="s">
        <v>32</v>
      </c>
      <c r="D464" s="18" t="s">
        <v>13</v>
      </c>
      <c r="E464" s="9">
        <v>0.0</v>
      </c>
    </row>
    <row r="465">
      <c r="A465" s="13">
        <v>464.0</v>
      </c>
      <c r="B465" s="17" t="s">
        <v>563</v>
      </c>
      <c r="C465" s="18" t="s">
        <v>23</v>
      </c>
      <c r="D465" s="18" t="s">
        <v>13</v>
      </c>
      <c r="E465" s="9">
        <v>0.0</v>
      </c>
    </row>
    <row r="466">
      <c r="A466" s="13">
        <v>465.0</v>
      </c>
      <c r="B466" s="17" t="s">
        <v>564</v>
      </c>
      <c r="C466" s="18" t="s">
        <v>47</v>
      </c>
      <c r="D466" s="18" t="s">
        <v>13</v>
      </c>
      <c r="E466" s="9">
        <v>0.0</v>
      </c>
    </row>
    <row r="467">
      <c r="A467" s="13">
        <v>466.0</v>
      </c>
      <c r="B467" s="17" t="s">
        <v>565</v>
      </c>
      <c r="C467" s="18" t="s">
        <v>30</v>
      </c>
      <c r="D467" s="18" t="s">
        <v>13</v>
      </c>
      <c r="E467" s="9">
        <v>0.0</v>
      </c>
    </row>
    <row r="468">
      <c r="A468" s="13">
        <v>467.0</v>
      </c>
      <c r="B468" s="17" t="s">
        <v>566</v>
      </c>
      <c r="C468" s="18" t="s">
        <v>89</v>
      </c>
      <c r="D468" s="18" t="s">
        <v>13</v>
      </c>
      <c r="E468" s="9">
        <v>0.0</v>
      </c>
    </row>
    <row r="469">
      <c r="A469" s="13">
        <v>468.0</v>
      </c>
      <c r="B469" s="17" t="s">
        <v>567</v>
      </c>
      <c r="C469" s="18" t="s">
        <v>28</v>
      </c>
      <c r="D469" s="18" t="s">
        <v>13</v>
      </c>
      <c r="E469" s="9">
        <v>0.0</v>
      </c>
    </row>
    <row r="470">
      <c r="A470" s="13">
        <v>469.0</v>
      </c>
      <c r="B470" s="17" t="s">
        <v>568</v>
      </c>
      <c r="C470" s="18" t="s">
        <v>37</v>
      </c>
      <c r="D470" s="18" t="s">
        <v>13</v>
      </c>
      <c r="E470" s="9">
        <v>0.0</v>
      </c>
    </row>
    <row r="471">
      <c r="A471" s="13">
        <v>470.0</v>
      </c>
      <c r="B471" s="17" t="s">
        <v>569</v>
      </c>
      <c r="C471" s="18" t="s">
        <v>32</v>
      </c>
      <c r="D471" s="18" t="s">
        <v>13</v>
      </c>
      <c r="E471" s="9">
        <v>0.0</v>
      </c>
    </row>
    <row r="472">
      <c r="A472" s="13">
        <v>471.0</v>
      </c>
      <c r="B472" s="17" t="s">
        <v>570</v>
      </c>
      <c r="C472" s="18" t="s">
        <v>66</v>
      </c>
      <c r="D472" s="18" t="s">
        <v>13</v>
      </c>
      <c r="E472" s="9">
        <v>0.0</v>
      </c>
    </row>
    <row r="473">
      <c r="A473" s="13">
        <v>472.0</v>
      </c>
      <c r="B473" s="17" t="s">
        <v>571</v>
      </c>
      <c r="C473" s="18" t="s">
        <v>85</v>
      </c>
      <c r="D473" s="18" t="s">
        <v>13</v>
      </c>
      <c r="E473" s="9">
        <v>0.0</v>
      </c>
    </row>
    <row r="474">
      <c r="A474" s="13">
        <v>473.0</v>
      </c>
      <c r="B474" s="17" t="s">
        <v>572</v>
      </c>
      <c r="C474" s="18" t="s">
        <v>99</v>
      </c>
      <c r="D474" s="18" t="s">
        <v>13</v>
      </c>
      <c r="E474" s="9">
        <v>0.0</v>
      </c>
    </row>
    <row r="475">
      <c r="A475" s="13">
        <v>474.0</v>
      </c>
      <c r="B475" s="17" t="s">
        <v>370</v>
      </c>
      <c r="C475" s="18" t="s">
        <v>119</v>
      </c>
      <c r="D475" s="18" t="s">
        <v>13</v>
      </c>
      <c r="E475" s="9">
        <v>0.0</v>
      </c>
    </row>
    <row r="476">
      <c r="A476" s="13">
        <v>475.0</v>
      </c>
      <c r="B476" s="17" t="s">
        <v>573</v>
      </c>
      <c r="C476" s="18" t="s">
        <v>28</v>
      </c>
      <c r="D476" s="18" t="s">
        <v>13</v>
      </c>
      <c r="E476" s="9">
        <v>0.0</v>
      </c>
    </row>
    <row r="477">
      <c r="A477" s="13">
        <v>476.0</v>
      </c>
      <c r="B477" s="17" t="s">
        <v>574</v>
      </c>
      <c r="C477" s="18" t="s">
        <v>55</v>
      </c>
      <c r="D477" s="18" t="s">
        <v>13</v>
      </c>
      <c r="E477" s="9">
        <v>0.0</v>
      </c>
    </row>
    <row r="478">
      <c r="A478" s="13">
        <v>477.0</v>
      </c>
      <c r="B478" s="17" t="s">
        <v>575</v>
      </c>
      <c r="C478" s="18" t="s">
        <v>12</v>
      </c>
      <c r="D478" s="18" t="s">
        <v>13</v>
      </c>
      <c r="E478" s="9">
        <v>0.0</v>
      </c>
    </row>
    <row r="479">
      <c r="A479" s="13">
        <v>478.0</v>
      </c>
      <c r="B479" s="17" t="s">
        <v>576</v>
      </c>
      <c r="C479" s="18" t="s">
        <v>10</v>
      </c>
      <c r="D479" s="18" t="s">
        <v>13</v>
      </c>
      <c r="E479" s="9">
        <v>0.0</v>
      </c>
    </row>
    <row r="480">
      <c r="A480" s="13">
        <v>479.0</v>
      </c>
      <c r="B480" s="17" t="s">
        <v>577</v>
      </c>
      <c r="C480" s="18" t="s">
        <v>58</v>
      </c>
      <c r="D480" s="18" t="s">
        <v>13</v>
      </c>
      <c r="E480" s="9">
        <v>0.0</v>
      </c>
    </row>
    <row r="481">
      <c r="A481" s="13">
        <v>480.0</v>
      </c>
      <c r="B481" s="17" t="s">
        <v>578</v>
      </c>
      <c r="C481" s="18" t="s">
        <v>41</v>
      </c>
      <c r="D481" s="18" t="s">
        <v>13</v>
      </c>
      <c r="E481" s="9">
        <v>0.0</v>
      </c>
    </row>
    <row r="482">
      <c r="A482" s="13">
        <v>481.0</v>
      </c>
      <c r="B482" s="17" t="s">
        <v>579</v>
      </c>
      <c r="C482" s="18" t="s">
        <v>262</v>
      </c>
      <c r="D482" s="18" t="s">
        <v>13</v>
      </c>
      <c r="E482" s="9">
        <v>0.0</v>
      </c>
    </row>
    <row r="483">
      <c r="A483" s="13">
        <v>482.0</v>
      </c>
      <c r="B483" s="17" t="s">
        <v>580</v>
      </c>
      <c r="C483" s="18" t="s">
        <v>41</v>
      </c>
      <c r="D483" s="18" t="s">
        <v>13</v>
      </c>
      <c r="E483" s="9">
        <v>0.0</v>
      </c>
    </row>
    <row r="484">
      <c r="A484" s="13">
        <v>483.0</v>
      </c>
      <c r="B484" s="17" t="s">
        <v>270</v>
      </c>
      <c r="C484" s="18" t="s">
        <v>81</v>
      </c>
      <c r="D484" s="18" t="s">
        <v>13</v>
      </c>
      <c r="E484" s="9">
        <v>0.0</v>
      </c>
    </row>
    <row r="485">
      <c r="A485" s="13">
        <v>484.0</v>
      </c>
      <c r="B485" s="17" t="s">
        <v>581</v>
      </c>
      <c r="C485" s="18" t="s">
        <v>7</v>
      </c>
      <c r="D485" s="18" t="s">
        <v>13</v>
      </c>
      <c r="E485" s="9">
        <v>0.0</v>
      </c>
    </row>
    <row r="486">
      <c r="A486" s="13">
        <v>485.0</v>
      </c>
      <c r="B486" s="17" t="s">
        <v>582</v>
      </c>
      <c r="C486" s="18" t="s">
        <v>64</v>
      </c>
      <c r="D486" s="18" t="s">
        <v>13</v>
      </c>
      <c r="E486" s="9">
        <v>0.0</v>
      </c>
    </row>
    <row r="487">
      <c r="A487" s="13">
        <v>486.0</v>
      </c>
      <c r="B487" s="17" t="s">
        <v>583</v>
      </c>
      <c r="C487" s="18" t="s">
        <v>25</v>
      </c>
      <c r="D487" s="18" t="s">
        <v>13</v>
      </c>
      <c r="E487" s="9">
        <v>0.0</v>
      </c>
    </row>
    <row r="488">
      <c r="A488" s="13">
        <v>487.0</v>
      </c>
      <c r="B488" s="17" t="s">
        <v>584</v>
      </c>
      <c r="C488" s="18" t="s">
        <v>45</v>
      </c>
      <c r="D488" s="18" t="s">
        <v>13</v>
      </c>
      <c r="E488" s="9">
        <v>0.0</v>
      </c>
    </row>
    <row r="489">
      <c r="A489" s="13">
        <v>488.0</v>
      </c>
      <c r="B489" s="17" t="s">
        <v>585</v>
      </c>
      <c r="C489" s="18" t="s">
        <v>55</v>
      </c>
      <c r="D489" s="18" t="s">
        <v>13</v>
      </c>
      <c r="E489" s="9">
        <v>0.0</v>
      </c>
    </row>
    <row r="490">
      <c r="A490" s="13">
        <v>489.0</v>
      </c>
      <c r="B490" s="17" t="s">
        <v>586</v>
      </c>
      <c r="C490" s="18" t="s">
        <v>89</v>
      </c>
      <c r="D490" s="18" t="s">
        <v>13</v>
      </c>
      <c r="E490" s="9">
        <v>0.0</v>
      </c>
    </row>
    <row r="491">
      <c r="A491" s="13">
        <v>490.0</v>
      </c>
      <c r="B491" s="17" t="s">
        <v>587</v>
      </c>
      <c r="C491" s="18" t="s">
        <v>262</v>
      </c>
      <c r="D491" s="18" t="s">
        <v>13</v>
      </c>
      <c r="E491" s="9">
        <v>0.0</v>
      </c>
    </row>
    <row r="492">
      <c r="A492" s="13">
        <v>491.0</v>
      </c>
      <c r="B492" s="17" t="s">
        <v>588</v>
      </c>
      <c r="C492" s="18" t="s">
        <v>35</v>
      </c>
      <c r="D492" s="18" t="s">
        <v>13</v>
      </c>
      <c r="E492" s="9">
        <v>0.0</v>
      </c>
    </row>
    <row r="493">
      <c r="A493" s="13">
        <v>492.0</v>
      </c>
      <c r="B493" s="17" t="s">
        <v>589</v>
      </c>
      <c r="C493" s="18" t="s">
        <v>99</v>
      </c>
      <c r="D493" s="18" t="s">
        <v>13</v>
      </c>
      <c r="E493" s="9">
        <v>0.0</v>
      </c>
    </row>
    <row r="494">
      <c r="A494" s="13">
        <v>493.0</v>
      </c>
      <c r="B494" s="17" t="s">
        <v>590</v>
      </c>
      <c r="C494" s="18" t="s">
        <v>12</v>
      </c>
      <c r="D494" s="18" t="s">
        <v>13</v>
      </c>
      <c r="E494" s="9">
        <v>0.0</v>
      </c>
    </row>
    <row r="495">
      <c r="A495" s="13">
        <v>494.0</v>
      </c>
      <c r="B495" s="17" t="s">
        <v>591</v>
      </c>
      <c r="C495" s="18" t="s">
        <v>25</v>
      </c>
      <c r="D495" s="18" t="s">
        <v>13</v>
      </c>
      <c r="E495" s="9">
        <v>0.0</v>
      </c>
    </row>
    <row r="496">
      <c r="A496" s="13">
        <v>495.0</v>
      </c>
      <c r="B496" s="17" t="s">
        <v>592</v>
      </c>
      <c r="C496" s="18" t="s">
        <v>85</v>
      </c>
      <c r="D496" s="18" t="s">
        <v>13</v>
      </c>
      <c r="E496" s="9">
        <v>0.0</v>
      </c>
    </row>
    <row r="497">
      <c r="A497" s="13">
        <v>496.0</v>
      </c>
      <c r="B497" s="17" t="s">
        <v>593</v>
      </c>
      <c r="C497" s="18" t="s">
        <v>37</v>
      </c>
      <c r="D497" s="18" t="s">
        <v>13</v>
      </c>
      <c r="E497" s="9">
        <v>0.0</v>
      </c>
    </row>
    <row r="498">
      <c r="A498" s="13">
        <v>497.0</v>
      </c>
      <c r="B498" s="17" t="s">
        <v>594</v>
      </c>
      <c r="C498" s="18" t="s">
        <v>17</v>
      </c>
      <c r="D498" s="18" t="s">
        <v>13</v>
      </c>
      <c r="E498" s="9">
        <v>0.0</v>
      </c>
    </row>
    <row r="499">
      <c r="A499" s="13">
        <v>498.0</v>
      </c>
      <c r="B499" s="17" t="s">
        <v>595</v>
      </c>
      <c r="C499" s="18" t="s">
        <v>69</v>
      </c>
      <c r="D499" s="18" t="s">
        <v>13</v>
      </c>
      <c r="E499" s="9">
        <v>0.0</v>
      </c>
    </row>
    <row r="500">
      <c r="A500" s="13">
        <v>499.0</v>
      </c>
      <c r="B500" s="17" t="s">
        <v>596</v>
      </c>
      <c r="C500" s="18" t="s">
        <v>62</v>
      </c>
      <c r="D500" s="18" t="s">
        <v>13</v>
      </c>
      <c r="E500" s="9">
        <v>0.0</v>
      </c>
    </row>
    <row r="501">
      <c r="A501" s="13">
        <v>500.0</v>
      </c>
      <c r="B501" s="17" t="s">
        <v>597</v>
      </c>
      <c r="C501" s="18" t="s">
        <v>55</v>
      </c>
      <c r="D501" s="18" t="s">
        <v>13</v>
      </c>
      <c r="E501" s="9">
        <v>0.0</v>
      </c>
    </row>
    <row r="502">
      <c r="A502" s="13">
        <v>501.0</v>
      </c>
      <c r="B502" s="17" t="s">
        <v>598</v>
      </c>
      <c r="C502" s="18" t="s">
        <v>89</v>
      </c>
      <c r="D502" s="18" t="s">
        <v>13</v>
      </c>
      <c r="E502" s="9">
        <v>0.0</v>
      </c>
    </row>
    <row r="503">
      <c r="A503" s="13">
        <v>502.0</v>
      </c>
      <c r="B503" s="17" t="s">
        <v>599</v>
      </c>
      <c r="C503" s="18" t="s">
        <v>21</v>
      </c>
      <c r="D503" s="18" t="s">
        <v>13</v>
      </c>
      <c r="E503" s="9">
        <v>0.0</v>
      </c>
    </row>
    <row r="504">
      <c r="A504" s="13">
        <v>503.0</v>
      </c>
      <c r="B504" s="17" t="s">
        <v>600</v>
      </c>
      <c r="C504" s="18" t="s">
        <v>81</v>
      </c>
      <c r="D504" s="18" t="s">
        <v>13</v>
      </c>
      <c r="E504" s="9">
        <v>0.0</v>
      </c>
    </row>
    <row r="505">
      <c r="A505" s="13">
        <v>504.0</v>
      </c>
      <c r="B505" s="17" t="s">
        <v>601</v>
      </c>
      <c r="C505" s="18" t="s">
        <v>37</v>
      </c>
      <c r="D505" s="18" t="s">
        <v>13</v>
      </c>
      <c r="E505" s="9">
        <v>0.0</v>
      </c>
    </row>
    <row r="506">
      <c r="A506" s="13">
        <v>505.0</v>
      </c>
      <c r="B506" s="17" t="s">
        <v>602</v>
      </c>
      <c r="C506" s="18" t="s">
        <v>23</v>
      </c>
      <c r="D506" s="18" t="s">
        <v>13</v>
      </c>
      <c r="E506" s="9">
        <v>0.0</v>
      </c>
    </row>
    <row r="507">
      <c r="A507" s="13">
        <v>506.0</v>
      </c>
      <c r="B507" s="17" t="s">
        <v>603</v>
      </c>
      <c r="C507" s="18" t="s">
        <v>62</v>
      </c>
      <c r="D507" s="18" t="s">
        <v>13</v>
      </c>
      <c r="E507" s="9">
        <v>0.0</v>
      </c>
    </row>
    <row r="508">
      <c r="A508" s="13">
        <v>507.0</v>
      </c>
      <c r="B508" s="17" t="s">
        <v>604</v>
      </c>
      <c r="C508" s="18" t="s">
        <v>37</v>
      </c>
      <c r="D508" s="18" t="s">
        <v>13</v>
      </c>
      <c r="E508" s="9">
        <v>0.0</v>
      </c>
    </row>
    <row r="509">
      <c r="A509" s="13">
        <v>508.0</v>
      </c>
      <c r="B509" s="17" t="s">
        <v>605</v>
      </c>
      <c r="C509" s="18" t="s">
        <v>12</v>
      </c>
      <c r="D509" s="18" t="s">
        <v>13</v>
      </c>
      <c r="E509" s="9">
        <v>0.0</v>
      </c>
    </row>
    <row r="510">
      <c r="A510" s="13">
        <v>509.0</v>
      </c>
      <c r="B510" s="17" t="s">
        <v>606</v>
      </c>
      <c r="C510" s="18" t="s">
        <v>37</v>
      </c>
      <c r="D510" s="18" t="s">
        <v>13</v>
      </c>
      <c r="E510" s="9">
        <v>0.0</v>
      </c>
    </row>
    <row r="511">
      <c r="A511" s="13">
        <v>510.0</v>
      </c>
      <c r="B511" s="17" t="s">
        <v>607</v>
      </c>
      <c r="C511" s="18" t="s">
        <v>39</v>
      </c>
      <c r="D511" s="18" t="s">
        <v>13</v>
      </c>
      <c r="E511" s="9">
        <v>0.0</v>
      </c>
    </row>
    <row r="512">
      <c r="A512" s="13">
        <v>511.0</v>
      </c>
      <c r="B512" s="17" t="s">
        <v>608</v>
      </c>
      <c r="C512" s="18" t="s">
        <v>39</v>
      </c>
      <c r="D512" s="18" t="s">
        <v>13</v>
      </c>
      <c r="E512" s="9">
        <v>0.0</v>
      </c>
    </row>
    <row r="513">
      <c r="A513" s="13">
        <v>512.0</v>
      </c>
      <c r="B513" s="17" t="s">
        <v>609</v>
      </c>
      <c r="C513" s="18" t="s">
        <v>7</v>
      </c>
      <c r="D513" s="18" t="s">
        <v>13</v>
      </c>
      <c r="E513" s="9">
        <v>0.0</v>
      </c>
    </row>
    <row r="514">
      <c r="A514" s="13">
        <v>513.0</v>
      </c>
      <c r="B514" s="17" t="s">
        <v>610</v>
      </c>
      <c r="C514" s="18" t="s">
        <v>17</v>
      </c>
      <c r="D514" s="18" t="s">
        <v>13</v>
      </c>
      <c r="E514" s="9">
        <v>0.0</v>
      </c>
    </row>
    <row r="515">
      <c r="A515" s="13">
        <v>514.0</v>
      </c>
      <c r="B515" s="17" t="s">
        <v>611</v>
      </c>
      <c r="C515" s="18" t="s">
        <v>35</v>
      </c>
      <c r="D515" s="18" t="s">
        <v>13</v>
      </c>
      <c r="E515" s="9">
        <v>0.0</v>
      </c>
    </row>
    <row r="516">
      <c r="A516" s="13">
        <v>515.0</v>
      </c>
      <c r="B516" s="17" t="s">
        <v>612</v>
      </c>
      <c r="C516" s="18" t="s">
        <v>28</v>
      </c>
      <c r="D516" s="18" t="s">
        <v>13</v>
      </c>
      <c r="E516" s="9">
        <v>0.0</v>
      </c>
    </row>
    <row r="517">
      <c r="A517" s="13">
        <v>516.0</v>
      </c>
      <c r="B517" s="17" t="s">
        <v>613</v>
      </c>
      <c r="C517" s="18" t="s">
        <v>7</v>
      </c>
      <c r="D517" s="18" t="s">
        <v>13</v>
      </c>
      <c r="E517" s="9">
        <v>0.0</v>
      </c>
    </row>
    <row r="518">
      <c r="A518" s="13">
        <v>517.0</v>
      </c>
      <c r="B518" s="17" t="s">
        <v>614</v>
      </c>
      <c r="C518" s="18" t="s">
        <v>55</v>
      </c>
      <c r="D518" s="18" t="s">
        <v>13</v>
      </c>
      <c r="E518" s="9">
        <v>0.0</v>
      </c>
    </row>
    <row r="519">
      <c r="A519" s="13">
        <v>518.0</v>
      </c>
      <c r="B519" s="17" t="s">
        <v>615</v>
      </c>
      <c r="C519" s="18" t="s">
        <v>32</v>
      </c>
      <c r="D519" s="18" t="s">
        <v>13</v>
      </c>
      <c r="E519" s="9">
        <v>0.0</v>
      </c>
    </row>
    <row r="520">
      <c r="A520" s="13">
        <v>519.0</v>
      </c>
      <c r="B520" s="17" t="s">
        <v>616</v>
      </c>
      <c r="C520" s="18" t="s">
        <v>17</v>
      </c>
      <c r="D520" s="18" t="s">
        <v>13</v>
      </c>
      <c r="E520" s="9">
        <v>0.0</v>
      </c>
    </row>
    <row r="521">
      <c r="A521" s="13">
        <v>520.0</v>
      </c>
      <c r="B521" s="17" t="s">
        <v>617</v>
      </c>
      <c r="C521" s="18" t="s">
        <v>55</v>
      </c>
      <c r="D521" s="18" t="s">
        <v>13</v>
      </c>
      <c r="E521" s="9">
        <v>0.0</v>
      </c>
    </row>
    <row r="522">
      <c r="A522" s="13">
        <v>521.0</v>
      </c>
      <c r="B522" s="17" t="s">
        <v>618</v>
      </c>
      <c r="C522" s="18" t="s">
        <v>53</v>
      </c>
      <c r="D522" s="18" t="s">
        <v>13</v>
      </c>
      <c r="E522" s="9">
        <v>0.0</v>
      </c>
    </row>
    <row r="523">
      <c r="A523" s="13">
        <v>522.0</v>
      </c>
      <c r="B523" s="17" t="s">
        <v>619</v>
      </c>
      <c r="C523" s="18" t="s">
        <v>81</v>
      </c>
      <c r="D523" s="18" t="s">
        <v>13</v>
      </c>
      <c r="E523" s="9">
        <v>0.0</v>
      </c>
    </row>
    <row r="524">
      <c r="A524" s="13">
        <v>523.0</v>
      </c>
      <c r="B524" s="17" t="s">
        <v>620</v>
      </c>
      <c r="C524" s="18" t="s">
        <v>73</v>
      </c>
      <c r="D524" s="18" t="s">
        <v>13</v>
      </c>
      <c r="E524" s="9">
        <v>0.0</v>
      </c>
    </row>
    <row r="525">
      <c r="A525" s="13">
        <v>524.0</v>
      </c>
      <c r="B525" s="17" t="s">
        <v>621</v>
      </c>
      <c r="C525" s="18" t="s">
        <v>17</v>
      </c>
      <c r="D525" s="18" t="s">
        <v>13</v>
      </c>
      <c r="E525" s="9">
        <v>0.0</v>
      </c>
    </row>
    <row r="526">
      <c r="A526" s="13">
        <v>525.0</v>
      </c>
      <c r="B526" s="17" t="s">
        <v>622</v>
      </c>
      <c r="C526" s="18" t="s">
        <v>81</v>
      </c>
      <c r="D526" s="18" t="s">
        <v>13</v>
      </c>
      <c r="E526" s="9">
        <v>0.0</v>
      </c>
    </row>
    <row r="527">
      <c r="A527" s="13">
        <v>526.0</v>
      </c>
      <c r="B527" s="17" t="s">
        <v>623</v>
      </c>
      <c r="C527" s="18" t="s">
        <v>85</v>
      </c>
      <c r="D527" s="18" t="s">
        <v>13</v>
      </c>
      <c r="E527" s="9">
        <v>0.0</v>
      </c>
    </row>
    <row r="528">
      <c r="A528" s="13">
        <v>527.0</v>
      </c>
      <c r="B528" s="17" t="s">
        <v>624</v>
      </c>
      <c r="C528" s="18" t="s">
        <v>47</v>
      </c>
      <c r="D528" s="18" t="s">
        <v>13</v>
      </c>
      <c r="E528" s="9">
        <v>0.0</v>
      </c>
    </row>
    <row r="529">
      <c r="A529" s="13">
        <v>528.0</v>
      </c>
      <c r="B529" s="17" t="s">
        <v>625</v>
      </c>
      <c r="C529" s="18" t="s">
        <v>62</v>
      </c>
      <c r="D529" s="18" t="s">
        <v>13</v>
      </c>
      <c r="E529" s="9">
        <v>0.0</v>
      </c>
    </row>
    <row r="530">
      <c r="A530" s="13">
        <v>529.0</v>
      </c>
      <c r="B530" s="17" t="s">
        <v>626</v>
      </c>
      <c r="C530" s="18" t="s">
        <v>262</v>
      </c>
      <c r="D530" s="18" t="s">
        <v>13</v>
      </c>
      <c r="E530" s="9">
        <v>0.0</v>
      </c>
    </row>
    <row r="531">
      <c r="A531" s="13">
        <v>530.0</v>
      </c>
      <c r="B531" s="17" t="s">
        <v>627</v>
      </c>
      <c r="C531" s="18" t="s">
        <v>28</v>
      </c>
      <c r="D531" s="18" t="s">
        <v>13</v>
      </c>
      <c r="E531" s="9">
        <v>0.0</v>
      </c>
    </row>
    <row r="532">
      <c r="A532" s="13">
        <v>531.0</v>
      </c>
      <c r="B532" s="17" t="s">
        <v>628</v>
      </c>
      <c r="C532" s="18" t="s">
        <v>39</v>
      </c>
      <c r="D532" s="18" t="s">
        <v>13</v>
      </c>
      <c r="E532" s="9">
        <v>0.0</v>
      </c>
    </row>
    <row r="533">
      <c r="A533" s="13">
        <v>532.0</v>
      </c>
      <c r="B533" s="17" t="s">
        <v>629</v>
      </c>
      <c r="C533" s="18" t="s">
        <v>85</v>
      </c>
      <c r="D533" s="18" t="s">
        <v>13</v>
      </c>
      <c r="E533" s="9">
        <v>0.0</v>
      </c>
    </row>
    <row r="534">
      <c r="A534" s="13">
        <v>533.0</v>
      </c>
      <c r="B534" s="17" t="s">
        <v>630</v>
      </c>
      <c r="C534" s="18" t="s">
        <v>19</v>
      </c>
      <c r="D534" s="18" t="s">
        <v>13</v>
      </c>
      <c r="E534" s="9">
        <v>0.0</v>
      </c>
    </row>
    <row r="535">
      <c r="A535" s="13">
        <v>534.0</v>
      </c>
      <c r="B535" s="17" t="s">
        <v>631</v>
      </c>
      <c r="C535" s="18" t="s">
        <v>15</v>
      </c>
      <c r="D535" s="18" t="s">
        <v>13</v>
      </c>
      <c r="E535" s="9">
        <v>0.0</v>
      </c>
    </row>
    <row r="536">
      <c r="A536" s="13">
        <v>535.0</v>
      </c>
      <c r="B536" s="17" t="s">
        <v>632</v>
      </c>
      <c r="C536" s="18" t="s">
        <v>89</v>
      </c>
      <c r="D536" s="18" t="s">
        <v>13</v>
      </c>
      <c r="E536" s="9">
        <v>0.0</v>
      </c>
    </row>
    <row r="537">
      <c r="A537" s="13">
        <v>536.0</v>
      </c>
      <c r="B537" s="17" t="s">
        <v>633</v>
      </c>
      <c r="C537" s="18" t="s">
        <v>10</v>
      </c>
      <c r="D537" s="18" t="s">
        <v>13</v>
      </c>
      <c r="E537" s="9">
        <v>0.0</v>
      </c>
    </row>
    <row r="538">
      <c r="A538" s="13">
        <v>537.0</v>
      </c>
      <c r="B538" s="17" t="s">
        <v>634</v>
      </c>
      <c r="C538" s="18" t="s">
        <v>55</v>
      </c>
      <c r="D538" s="18" t="s">
        <v>13</v>
      </c>
      <c r="E538" s="9">
        <v>0.0</v>
      </c>
    </row>
    <row r="539">
      <c r="A539" s="13">
        <v>538.0</v>
      </c>
      <c r="B539" s="17" t="s">
        <v>635</v>
      </c>
      <c r="C539" s="18" t="s">
        <v>25</v>
      </c>
      <c r="D539" s="18" t="s">
        <v>13</v>
      </c>
      <c r="E539" s="9">
        <v>0.0</v>
      </c>
    </row>
    <row r="540">
      <c r="A540" s="13">
        <v>539.0</v>
      </c>
      <c r="B540" s="17" t="s">
        <v>636</v>
      </c>
      <c r="C540" s="18" t="s">
        <v>19</v>
      </c>
      <c r="D540" s="18" t="s">
        <v>13</v>
      </c>
      <c r="E540" s="9">
        <v>0.0</v>
      </c>
    </row>
    <row r="541">
      <c r="A541" s="13">
        <v>540.0</v>
      </c>
      <c r="B541" s="17" t="s">
        <v>637</v>
      </c>
      <c r="C541" s="18" t="s">
        <v>64</v>
      </c>
      <c r="D541" s="18" t="s">
        <v>13</v>
      </c>
      <c r="E541" s="9">
        <v>0.0</v>
      </c>
    </row>
    <row r="542">
      <c r="A542" s="13">
        <v>541.0</v>
      </c>
      <c r="B542" s="17" t="s">
        <v>638</v>
      </c>
      <c r="C542" s="18" t="s">
        <v>119</v>
      </c>
      <c r="D542" s="18" t="s">
        <v>13</v>
      </c>
      <c r="E542" s="9">
        <v>0.0</v>
      </c>
    </row>
    <row r="543">
      <c r="A543" s="13">
        <v>542.0</v>
      </c>
      <c r="B543" s="17" t="s">
        <v>639</v>
      </c>
      <c r="C543" s="18" t="s">
        <v>62</v>
      </c>
      <c r="D543" s="18" t="s">
        <v>13</v>
      </c>
      <c r="E543" s="9">
        <v>0.0</v>
      </c>
    </row>
    <row r="544">
      <c r="A544" s="13">
        <v>543.0</v>
      </c>
      <c r="B544" s="17" t="s">
        <v>640</v>
      </c>
      <c r="C544" s="18" t="s">
        <v>19</v>
      </c>
      <c r="D544" s="18" t="s">
        <v>13</v>
      </c>
      <c r="E544" s="9">
        <v>0.0</v>
      </c>
    </row>
    <row r="545">
      <c r="A545" s="13">
        <v>544.0</v>
      </c>
      <c r="B545" s="17" t="s">
        <v>641</v>
      </c>
      <c r="C545" s="18" t="s">
        <v>43</v>
      </c>
      <c r="D545" s="18" t="s">
        <v>13</v>
      </c>
      <c r="E545" s="9">
        <v>0.0</v>
      </c>
    </row>
    <row r="546">
      <c r="A546" s="13">
        <v>545.0</v>
      </c>
      <c r="B546" s="17" t="s">
        <v>642</v>
      </c>
      <c r="C546" s="18" t="s">
        <v>39</v>
      </c>
      <c r="D546" s="18" t="s">
        <v>13</v>
      </c>
      <c r="E546" s="9">
        <v>0.0</v>
      </c>
    </row>
    <row r="547">
      <c r="A547" s="13">
        <v>546.0</v>
      </c>
      <c r="B547" s="17" t="s">
        <v>643</v>
      </c>
      <c r="C547" s="18" t="s">
        <v>45</v>
      </c>
      <c r="D547" s="18" t="s">
        <v>13</v>
      </c>
      <c r="E547" s="9">
        <v>0.0</v>
      </c>
    </row>
    <row r="548">
      <c r="A548" s="13">
        <v>547.0</v>
      </c>
      <c r="B548" s="17" t="s">
        <v>644</v>
      </c>
      <c r="C548" s="18" t="s">
        <v>7</v>
      </c>
      <c r="D548" s="18" t="s">
        <v>13</v>
      </c>
      <c r="E548" s="9">
        <v>0.0</v>
      </c>
    </row>
    <row r="549">
      <c r="A549" s="13">
        <v>548.0</v>
      </c>
      <c r="B549" s="17" t="s">
        <v>645</v>
      </c>
      <c r="C549" s="18" t="s">
        <v>43</v>
      </c>
      <c r="D549" s="18" t="s">
        <v>13</v>
      </c>
      <c r="E549" s="9">
        <v>0.0</v>
      </c>
    </row>
    <row r="550">
      <c r="A550" s="13">
        <v>549.0</v>
      </c>
      <c r="B550" s="17" t="s">
        <v>646</v>
      </c>
      <c r="C550" s="18" t="s">
        <v>47</v>
      </c>
      <c r="D550" s="18" t="s">
        <v>13</v>
      </c>
      <c r="E550" s="9">
        <v>0.0</v>
      </c>
    </row>
    <row r="551">
      <c r="A551" s="13">
        <v>550.0</v>
      </c>
      <c r="B551" s="17" t="s">
        <v>647</v>
      </c>
      <c r="C551" s="18" t="s">
        <v>53</v>
      </c>
      <c r="D551" s="18" t="s">
        <v>13</v>
      </c>
      <c r="E551" s="9">
        <v>0.0</v>
      </c>
    </row>
    <row r="552">
      <c r="A552" s="13">
        <v>551.0</v>
      </c>
      <c r="B552" s="17" t="s">
        <v>648</v>
      </c>
      <c r="C552" s="18" t="s">
        <v>10</v>
      </c>
      <c r="D552" s="18" t="s">
        <v>13</v>
      </c>
      <c r="E552" s="9">
        <v>0.0</v>
      </c>
    </row>
    <row r="553">
      <c r="A553" s="13">
        <v>552.0</v>
      </c>
      <c r="B553" s="17" t="s">
        <v>649</v>
      </c>
      <c r="C553" s="18" t="s">
        <v>28</v>
      </c>
      <c r="D553" s="18" t="s">
        <v>13</v>
      </c>
      <c r="E553" s="9">
        <v>0.0</v>
      </c>
    </row>
    <row r="554">
      <c r="A554" s="13">
        <v>553.0</v>
      </c>
      <c r="B554" s="17" t="s">
        <v>650</v>
      </c>
      <c r="C554" s="18" t="s">
        <v>45</v>
      </c>
      <c r="D554" s="18" t="s">
        <v>13</v>
      </c>
      <c r="E554" s="9">
        <v>0.0</v>
      </c>
    </row>
    <row r="555">
      <c r="A555" s="13">
        <v>554.0</v>
      </c>
      <c r="B555" s="17" t="s">
        <v>651</v>
      </c>
      <c r="C555" s="18" t="s">
        <v>32</v>
      </c>
      <c r="D555" s="18" t="s">
        <v>13</v>
      </c>
      <c r="E555" s="9">
        <v>0.0</v>
      </c>
    </row>
    <row r="556">
      <c r="A556" s="13">
        <v>555.0</v>
      </c>
      <c r="B556" s="17" t="s">
        <v>652</v>
      </c>
      <c r="C556" s="18" t="s">
        <v>43</v>
      </c>
      <c r="D556" s="18" t="s">
        <v>13</v>
      </c>
      <c r="E556" s="9">
        <v>0.0</v>
      </c>
    </row>
    <row r="557">
      <c r="A557" s="13">
        <v>556.0</v>
      </c>
      <c r="B557" s="17" t="s">
        <v>653</v>
      </c>
      <c r="C557" s="18" t="s">
        <v>85</v>
      </c>
      <c r="D557" s="18" t="s">
        <v>13</v>
      </c>
      <c r="E557" s="9">
        <v>0.0</v>
      </c>
    </row>
    <row r="558">
      <c r="A558" s="13">
        <v>557.0</v>
      </c>
      <c r="B558" s="17" t="s">
        <v>654</v>
      </c>
      <c r="C558" s="18" t="s">
        <v>47</v>
      </c>
      <c r="D558" s="18" t="s">
        <v>13</v>
      </c>
      <c r="E558" s="9">
        <v>0.0</v>
      </c>
    </row>
    <row r="559">
      <c r="A559" s="13">
        <v>558.0</v>
      </c>
      <c r="B559" s="17" t="s">
        <v>655</v>
      </c>
      <c r="C559" s="18" t="s">
        <v>73</v>
      </c>
      <c r="D559" s="18" t="s">
        <v>13</v>
      </c>
      <c r="E559" s="9">
        <v>0.0</v>
      </c>
    </row>
    <row r="560">
      <c r="A560" s="13">
        <v>559.0</v>
      </c>
      <c r="B560" s="17" t="s">
        <v>656</v>
      </c>
      <c r="C560" s="18" t="s">
        <v>23</v>
      </c>
      <c r="D560" s="18" t="s">
        <v>13</v>
      </c>
      <c r="E560" s="9">
        <v>0.0</v>
      </c>
    </row>
    <row r="561">
      <c r="A561" s="13">
        <v>560.0</v>
      </c>
      <c r="B561" s="17" t="s">
        <v>657</v>
      </c>
      <c r="C561" s="18" t="s">
        <v>69</v>
      </c>
      <c r="D561" s="18" t="s">
        <v>13</v>
      </c>
      <c r="E561" s="9">
        <v>0.0</v>
      </c>
    </row>
    <row r="562">
      <c r="A562" s="13">
        <v>561.0</v>
      </c>
      <c r="B562" s="17" t="s">
        <v>658</v>
      </c>
      <c r="C562" s="18" t="s">
        <v>66</v>
      </c>
      <c r="D562" s="18" t="s">
        <v>13</v>
      </c>
      <c r="E562" s="9">
        <v>0.0</v>
      </c>
    </row>
    <row r="563">
      <c r="A563" s="13">
        <v>562.0</v>
      </c>
      <c r="B563" s="17" t="s">
        <v>659</v>
      </c>
      <c r="C563" s="18" t="s">
        <v>10</v>
      </c>
      <c r="D563" s="18" t="s">
        <v>13</v>
      </c>
      <c r="E563" s="9">
        <v>0.0</v>
      </c>
    </row>
    <row r="564">
      <c r="A564" s="13">
        <v>563.0</v>
      </c>
      <c r="B564" s="17" t="s">
        <v>660</v>
      </c>
      <c r="C564" s="18" t="s">
        <v>119</v>
      </c>
      <c r="D564" s="18" t="s">
        <v>13</v>
      </c>
      <c r="E564" s="9">
        <v>0.0</v>
      </c>
    </row>
    <row r="565">
      <c r="A565" s="13">
        <v>564.0</v>
      </c>
      <c r="B565" s="17" t="s">
        <v>661</v>
      </c>
      <c r="C565" s="18" t="s">
        <v>66</v>
      </c>
      <c r="D565" s="18" t="s">
        <v>13</v>
      </c>
      <c r="E565" s="9">
        <v>0.0</v>
      </c>
    </row>
    <row r="566">
      <c r="A566" s="13">
        <v>565.0</v>
      </c>
      <c r="B566" s="17" t="s">
        <v>662</v>
      </c>
      <c r="C566" s="18" t="s">
        <v>21</v>
      </c>
      <c r="D566" s="18" t="s">
        <v>13</v>
      </c>
      <c r="E566" s="9">
        <v>0.0</v>
      </c>
    </row>
    <row r="567">
      <c r="A567" s="13">
        <v>566.0</v>
      </c>
      <c r="B567" s="17" t="s">
        <v>663</v>
      </c>
      <c r="C567" s="18" t="s">
        <v>55</v>
      </c>
      <c r="D567" s="18" t="s">
        <v>13</v>
      </c>
      <c r="E567" s="9">
        <v>0.0</v>
      </c>
    </row>
    <row r="568">
      <c r="A568" s="13">
        <v>567.0</v>
      </c>
      <c r="B568" s="17" t="s">
        <v>664</v>
      </c>
      <c r="C568" s="18" t="s">
        <v>58</v>
      </c>
      <c r="D568" s="18" t="s">
        <v>13</v>
      </c>
      <c r="E568" s="9">
        <v>0.0</v>
      </c>
    </row>
    <row r="569">
      <c r="A569" s="13">
        <v>568.0</v>
      </c>
      <c r="B569" s="17" t="s">
        <v>665</v>
      </c>
      <c r="C569" s="18" t="s">
        <v>28</v>
      </c>
      <c r="D569" s="18" t="s">
        <v>13</v>
      </c>
      <c r="E569" s="9">
        <v>0.0</v>
      </c>
    </row>
    <row r="570">
      <c r="A570" s="13">
        <v>569.0</v>
      </c>
      <c r="B570" s="17" t="s">
        <v>666</v>
      </c>
      <c r="C570" s="18" t="s">
        <v>69</v>
      </c>
      <c r="D570" s="18" t="s">
        <v>13</v>
      </c>
      <c r="E570" s="9">
        <v>0.0</v>
      </c>
    </row>
    <row r="571">
      <c r="A571" s="13">
        <v>570.0</v>
      </c>
      <c r="B571" s="17" t="s">
        <v>667</v>
      </c>
      <c r="C571" s="18" t="s">
        <v>58</v>
      </c>
      <c r="D571" s="18" t="s">
        <v>13</v>
      </c>
      <c r="E571" s="9">
        <v>0.0</v>
      </c>
    </row>
    <row r="572">
      <c r="A572" s="13">
        <v>571.0</v>
      </c>
      <c r="B572" s="17" t="s">
        <v>668</v>
      </c>
      <c r="C572" s="18" t="s">
        <v>89</v>
      </c>
      <c r="D572" s="18" t="s">
        <v>13</v>
      </c>
      <c r="E572" s="9">
        <v>0.0</v>
      </c>
    </row>
    <row r="573">
      <c r="A573" s="13">
        <v>572.0</v>
      </c>
      <c r="B573" s="17" t="s">
        <v>669</v>
      </c>
      <c r="C573" s="18" t="s">
        <v>58</v>
      </c>
      <c r="D573" s="18" t="s">
        <v>13</v>
      </c>
      <c r="E573" s="9">
        <v>0.0</v>
      </c>
    </row>
    <row r="574">
      <c r="A574" s="13">
        <v>573.0</v>
      </c>
      <c r="B574" s="17" t="s">
        <v>670</v>
      </c>
      <c r="C574" s="18" t="s">
        <v>32</v>
      </c>
      <c r="D574" s="18" t="s">
        <v>13</v>
      </c>
      <c r="E574" s="9">
        <v>0.0</v>
      </c>
    </row>
    <row r="575">
      <c r="A575" s="13">
        <v>574.0</v>
      </c>
      <c r="B575" s="17" t="s">
        <v>671</v>
      </c>
      <c r="C575" s="18" t="s">
        <v>73</v>
      </c>
      <c r="D575" s="18" t="s">
        <v>13</v>
      </c>
      <c r="E575" s="9">
        <v>0.0</v>
      </c>
    </row>
    <row r="576">
      <c r="A576" s="13">
        <v>575.0</v>
      </c>
      <c r="B576" s="17" t="s">
        <v>672</v>
      </c>
      <c r="C576" s="18" t="s">
        <v>32</v>
      </c>
      <c r="D576" s="18" t="s">
        <v>13</v>
      </c>
      <c r="E576" s="9">
        <v>0.0</v>
      </c>
    </row>
    <row r="577">
      <c r="A577" s="13">
        <v>576.0</v>
      </c>
      <c r="B577" s="17" t="s">
        <v>673</v>
      </c>
      <c r="C577" s="18" t="s">
        <v>35</v>
      </c>
      <c r="D577" s="18" t="s">
        <v>13</v>
      </c>
      <c r="E577" s="9">
        <v>0.0</v>
      </c>
    </row>
    <row r="578">
      <c r="A578" s="13">
        <v>577.0</v>
      </c>
      <c r="B578" s="17" t="s">
        <v>674</v>
      </c>
      <c r="C578" s="18" t="s">
        <v>15</v>
      </c>
      <c r="D578" s="18" t="s">
        <v>13</v>
      </c>
      <c r="E578" s="9">
        <v>0.0</v>
      </c>
    </row>
    <row r="579">
      <c r="A579" s="13">
        <v>578.0</v>
      </c>
      <c r="B579" s="17" t="s">
        <v>675</v>
      </c>
      <c r="C579" s="18" t="s">
        <v>55</v>
      </c>
      <c r="D579" s="18" t="s">
        <v>13</v>
      </c>
      <c r="E579" s="9">
        <v>0.0</v>
      </c>
    </row>
    <row r="580">
      <c r="A580" s="13">
        <v>579.0</v>
      </c>
      <c r="B580" s="17" t="s">
        <v>676</v>
      </c>
      <c r="C580" s="18" t="s">
        <v>53</v>
      </c>
      <c r="D580" s="18" t="s">
        <v>13</v>
      </c>
      <c r="E580" s="9">
        <v>0.0</v>
      </c>
    </row>
    <row r="581">
      <c r="A581" s="13">
        <v>580.0</v>
      </c>
      <c r="B581" s="17" t="s">
        <v>677</v>
      </c>
      <c r="C581" s="18" t="s">
        <v>89</v>
      </c>
      <c r="D581" s="18" t="s">
        <v>13</v>
      </c>
      <c r="E581" s="9">
        <v>0.0</v>
      </c>
    </row>
    <row r="582">
      <c r="A582" s="13">
        <v>581.0</v>
      </c>
      <c r="B582" s="17" t="s">
        <v>678</v>
      </c>
      <c r="C582" s="18" t="s">
        <v>10</v>
      </c>
      <c r="D582" s="18" t="s">
        <v>13</v>
      </c>
      <c r="E582" s="9">
        <v>0.0</v>
      </c>
    </row>
    <row r="583">
      <c r="A583" s="13">
        <v>582.0</v>
      </c>
      <c r="B583" s="17" t="s">
        <v>679</v>
      </c>
      <c r="C583" s="18" t="s">
        <v>23</v>
      </c>
      <c r="D583" s="18" t="s">
        <v>13</v>
      </c>
      <c r="E583" s="9">
        <v>0.0</v>
      </c>
    </row>
    <row r="584">
      <c r="A584" s="13">
        <v>583.0</v>
      </c>
      <c r="B584" s="17" t="s">
        <v>680</v>
      </c>
      <c r="C584" s="18" t="s">
        <v>35</v>
      </c>
      <c r="D584" s="18" t="s">
        <v>13</v>
      </c>
      <c r="E584" s="9">
        <v>0.0</v>
      </c>
    </row>
    <row r="585">
      <c r="A585" s="13">
        <v>584.0</v>
      </c>
      <c r="B585" s="17" t="s">
        <v>681</v>
      </c>
      <c r="C585" s="18" t="s">
        <v>30</v>
      </c>
      <c r="D585" s="18" t="s">
        <v>13</v>
      </c>
      <c r="E585" s="9">
        <v>0.0</v>
      </c>
    </row>
    <row r="586">
      <c r="A586" s="13">
        <v>585.0</v>
      </c>
      <c r="B586" s="17" t="s">
        <v>682</v>
      </c>
      <c r="C586" s="18" t="s">
        <v>262</v>
      </c>
      <c r="D586" s="18" t="s">
        <v>13</v>
      </c>
      <c r="E586" s="9">
        <v>0.0</v>
      </c>
    </row>
    <row r="587">
      <c r="A587" s="13">
        <v>586.0</v>
      </c>
      <c r="B587" s="17" t="s">
        <v>683</v>
      </c>
      <c r="C587" s="18" t="s">
        <v>30</v>
      </c>
      <c r="D587" s="18" t="s">
        <v>13</v>
      </c>
      <c r="E587" s="9">
        <v>0.0</v>
      </c>
    </row>
    <row r="588">
      <c r="A588" s="13">
        <v>587.0</v>
      </c>
      <c r="B588" s="17" t="s">
        <v>684</v>
      </c>
      <c r="C588" s="18" t="s">
        <v>85</v>
      </c>
      <c r="D588" s="18" t="s">
        <v>13</v>
      </c>
      <c r="E588" s="9">
        <v>0.0</v>
      </c>
    </row>
    <row r="589">
      <c r="A589" s="13">
        <v>588.0</v>
      </c>
      <c r="B589" s="17" t="s">
        <v>685</v>
      </c>
      <c r="C589" s="18" t="s">
        <v>23</v>
      </c>
      <c r="D589" s="18" t="s">
        <v>13</v>
      </c>
      <c r="E589" s="9">
        <v>0.0</v>
      </c>
    </row>
    <row r="590">
      <c r="A590" s="13">
        <v>589.0</v>
      </c>
      <c r="B590" s="17" t="s">
        <v>686</v>
      </c>
      <c r="C590" s="18" t="s">
        <v>7</v>
      </c>
      <c r="D590" s="18" t="s">
        <v>13</v>
      </c>
      <c r="E590" s="9">
        <v>0.0</v>
      </c>
    </row>
    <row r="591">
      <c r="A591" s="13">
        <v>590.0</v>
      </c>
      <c r="B591" s="17" t="s">
        <v>687</v>
      </c>
      <c r="C591" s="18" t="s">
        <v>12</v>
      </c>
      <c r="D591" s="18" t="s">
        <v>13</v>
      </c>
      <c r="E591" s="9">
        <v>0.0</v>
      </c>
    </row>
    <row r="592">
      <c r="A592" s="13">
        <v>591.0</v>
      </c>
      <c r="B592" s="17" t="s">
        <v>688</v>
      </c>
      <c r="C592" s="18" t="s">
        <v>15</v>
      </c>
      <c r="D592" s="18" t="s">
        <v>13</v>
      </c>
      <c r="E592" s="9">
        <v>0.0</v>
      </c>
    </row>
    <row r="593">
      <c r="A593" s="13">
        <v>592.0</v>
      </c>
      <c r="B593" s="17" t="s">
        <v>689</v>
      </c>
      <c r="C593" s="18" t="s">
        <v>81</v>
      </c>
      <c r="D593" s="18" t="s">
        <v>13</v>
      </c>
      <c r="E593" s="9">
        <v>0.0</v>
      </c>
    </row>
    <row r="594">
      <c r="A594" s="13">
        <v>593.0</v>
      </c>
      <c r="B594" s="17" t="s">
        <v>690</v>
      </c>
      <c r="C594" s="18" t="s">
        <v>89</v>
      </c>
      <c r="D594" s="18" t="s">
        <v>13</v>
      </c>
      <c r="E594" s="9">
        <v>0.0</v>
      </c>
    </row>
    <row r="595">
      <c r="A595" s="13">
        <v>594.0</v>
      </c>
      <c r="B595" s="17" t="s">
        <v>691</v>
      </c>
      <c r="C595" s="18" t="s">
        <v>30</v>
      </c>
      <c r="D595" s="18" t="s">
        <v>13</v>
      </c>
      <c r="E595" s="9">
        <v>0.0</v>
      </c>
    </row>
    <row r="596">
      <c r="A596" s="13">
        <v>595.0</v>
      </c>
      <c r="B596" s="17" t="s">
        <v>692</v>
      </c>
      <c r="C596" s="18" t="s">
        <v>85</v>
      </c>
      <c r="D596" s="18" t="s">
        <v>13</v>
      </c>
      <c r="E596" s="9">
        <v>0.0</v>
      </c>
    </row>
    <row r="597">
      <c r="A597" s="13">
        <v>596.0</v>
      </c>
      <c r="B597" s="17" t="s">
        <v>693</v>
      </c>
      <c r="C597" s="18" t="s">
        <v>73</v>
      </c>
      <c r="D597" s="18" t="s">
        <v>13</v>
      </c>
      <c r="E597" s="9">
        <v>0.0</v>
      </c>
    </row>
    <row r="598">
      <c r="A598" s="13">
        <v>597.0</v>
      </c>
      <c r="B598" s="17" t="s">
        <v>694</v>
      </c>
      <c r="C598" s="18" t="s">
        <v>53</v>
      </c>
      <c r="D598" s="18" t="s">
        <v>13</v>
      </c>
      <c r="E598" s="9">
        <v>0.0</v>
      </c>
    </row>
    <row r="599">
      <c r="A599" s="13">
        <v>598.0</v>
      </c>
      <c r="B599" s="17" t="s">
        <v>695</v>
      </c>
      <c r="C599" s="18" t="s">
        <v>53</v>
      </c>
      <c r="D599" s="18" t="s">
        <v>13</v>
      </c>
      <c r="E599" s="9">
        <v>0.0</v>
      </c>
    </row>
    <row r="600">
      <c r="A600" s="13">
        <v>599.0</v>
      </c>
      <c r="B600" s="17" t="s">
        <v>696</v>
      </c>
      <c r="C600" s="18" t="s">
        <v>85</v>
      </c>
      <c r="D600" s="18" t="s">
        <v>13</v>
      </c>
      <c r="E600" s="9">
        <v>0.0</v>
      </c>
    </row>
    <row r="601">
      <c r="A601" s="13">
        <v>600.0</v>
      </c>
      <c r="B601" s="17" t="s">
        <v>697</v>
      </c>
      <c r="C601" s="18" t="s">
        <v>69</v>
      </c>
      <c r="D601" s="18" t="s">
        <v>13</v>
      </c>
      <c r="E601" s="9">
        <v>0.0</v>
      </c>
    </row>
    <row r="602">
      <c r="A602" s="13">
        <v>601.0</v>
      </c>
      <c r="B602" s="17" t="s">
        <v>304</v>
      </c>
      <c r="C602" s="18" t="s">
        <v>81</v>
      </c>
      <c r="D602" s="18" t="s">
        <v>59</v>
      </c>
      <c r="E602" s="9">
        <v>0.0</v>
      </c>
    </row>
    <row r="603">
      <c r="A603" s="13">
        <v>602.0</v>
      </c>
      <c r="B603" s="17" t="s">
        <v>310</v>
      </c>
      <c r="C603" s="18" t="s">
        <v>119</v>
      </c>
      <c r="D603" s="18" t="s">
        <v>59</v>
      </c>
      <c r="E603" s="9">
        <v>0.0</v>
      </c>
    </row>
    <row r="604">
      <c r="A604" s="13">
        <v>603.0</v>
      </c>
      <c r="B604" s="17" t="s">
        <v>306</v>
      </c>
      <c r="C604" s="18" t="s">
        <v>7</v>
      </c>
      <c r="D604" s="18" t="s">
        <v>59</v>
      </c>
      <c r="E604" s="9">
        <v>0.0</v>
      </c>
    </row>
    <row r="605">
      <c r="A605" s="13">
        <v>604.0</v>
      </c>
      <c r="B605" s="17" t="s">
        <v>307</v>
      </c>
      <c r="C605" s="18" t="s">
        <v>41</v>
      </c>
      <c r="D605" s="18" t="s">
        <v>59</v>
      </c>
      <c r="E605" s="9">
        <v>0.0</v>
      </c>
    </row>
    <row r="606">
      <c r="A606" s="13">
        <v>605.0</v>
      </c>
      <c r="B606" s="17" t="s">
        <v>308</v>
      </c>
      <c r="C606" s="18" t="s">
        <v>99</v>
      </c>
      <c r="D606" s="18" t="s">
        <v>59</v>
      </c>
      <c r="E606" s="9">
        <v>0.0</v>
      </c>
    </row>
    <row r="607">
      <c r="A607" s="13">
        <v>606.0</v>
      </c>
      <c r="B607" s="17" t="s">
        <v>305</v>
      </c>
      <c r="C607" s="18" t="s">
        <v>69</v>
      </c>
      <c r="D607" s="18" t="s">
        <v>59</v>
      </c>
      <c r="E607" s="9">
        <v>0.0</v>
      </c>
    </row>
    <row r="608">
      <c r="A608" s="13">
        <v>607.0</v>
      </c>
      <c r="B608" s="17" t="s">
        <v>312</v>
      </c>
      <c r="C608" s="18" t="s">
        <v>37</v>
      </c>
      <c r="D608" s="18" t="s">
        <v>59</v>
      </c>
      <c r="E608" s="9">
        <v>0.0</v>
      </c>
    </row>
    <row r="609">
      <c r="A609" s="13">
        <v>608.0</v>
      </c>
      <c r="B609" s="17" t="s">
        <v>698</v>
      </c>
      <c r="C609" s="18" t="s">
        <v>45</v>
      </c>
      <c r="D609" s="18" t="s">
        <v>59</v>
      </c>
      <c r="E609" s="9">
        <v>0.0</v>
      </c>
    </row>
    <row r="610">
      <c r="A610" s="13">
        <v>609.0</v>
      </c>
      <c r="B610" s="17" t="s">
        <v>699</v>
      </c>
      <c r="C610" s="18" t="s">
        <v>30</v>
      </c>
      <c r="D610" s="18" t="s">
        <v>59</v>
      </c>
      <c r="E610" s="9">
        <v>0.0</v>
      </c>
    </row>
    <row r="611">
      <c r="A611" s="13">
        <v>610.0</v>
      </c>
      <c r="B611" s="17" t="s">
        <v>311</v>
      </c>
      <c r="C611" s="18" t="s">
        <v>37</v>
      </c>
      <c r="D611" s="18" t="s">
        <v>59</v>
      </c>
      <c r="E611" s="9">
        <v>0.0</v>
      </c>
    </row>
    <row r="612">
      <c r="A612" s="13">
        <v>611.0</v>
      </c>
      <c r="B612" s="17" t="s">
        <v>700</v>
      </c>
      <c r="C612" s="18" t="s">
        <v>43</v>
      </c>
      <c r="D612" s="18" t="s">
        <v>59</v>
      </c>
      <c r="E612" s="9">
        <v>0.0</v>
      </c>
    </row>
    <row r="613">
      <c r="A613" s="13">
        <v>612.0</v>
      </c>
      <c r="B613" s="17" t="s">
        <v>701</v>
      </c>
      <c r="C613" s="18" t="s">
        <v>69</v>
      </c>
      <c r="D613" s="18" t="s">
        <v>59</v>
      </c>
      <c r="E613" s="9">
        <v>0.0</v>
      </c>
    </row>
    <row r="614">
      <c r="A614" s="13">
        <v>613.0</v>
      </c>
      <c r="B614" s="17" t="s">
        <v>702</v>
      </c>
      <c r="C614" s="18" t="s">
        <v>53</v>
      </c>
      <c r="D614" s="18" t="s">
        <v>59</v>
      </c>
      <c r="E614" s="9">
        <v>0.0</v>
      </c>
    </row>
    <row r="615">
      <c r="A615" s="13">
        <v>614.0</v>
      </c>
      <c r="B615" s="17" t="s">
        <v>313</v>
      </c>
      <c r="C615" s="18" t="s">
        <v>66</v>
      </c>
      <c r="D615" s="18" t="s">
        <v>59</v>
      </c>
      <c r="E615" s="9">
        <v>0.0</v>
      </c>
    </row>
    <row r="616">
      <c r="A616" s="13">
        <v>615.0</v>
      </c>
      <c r="B616" s="17" t="s">
        <v>309</v>
      </c>
      <c r="C616" s="18" t="s">
        <v>10</v>
      </c>
      <c r="D616" s="18" t="s">
        <v>59</v>
      </c>
      <c r="E616" s="9">
        <v>0.0</v>
      </c>
    </row>
    <row r="617">
      <c r="A617" s="13">
        <v>616.0</v>
      </c>
      <c r="B617" s="17" t="s">
        <v>703</v>
      </c>
      <c r="C617" s="18" t="s">
        <v>262</v>
      </c>
      <c r="D617" s="18" t="s">
        <v>59</v>
      </c>
      <c r="E617" s="9">
        <v>0.0</v>
      </c>
    </row>
    <row r="618">
      <c r="A618" s="13">
        <v>617.0</v>
      </c>
      <c r="B618" s="17" t="s">
        <v>704</v>
      </c>
      <c r="C618" s="18" t="s">
        <v>53</v>
      </c>
      <c r="D618" s="18" t="s">
        <v>59</v>
      </c>
      <c r="E618" s="9">
        <v>0.0</v>
      </c>
    </row>
    <row r="619">
      <c r="A619" s="13">
        <v>618.0</v>
      </c>
      <c r="B619" s="17" t="s">
        <v>705</v>
      </c>
      <c r="C619" s="18" t="s">
        <v>89</v>
      </c>
      <c r="D619" s="18" t="s">
        <v>59</v>
      </c>
      <c r="E619" s="9">
        <v>0.0</v>
      </c>
    </row>
    <row r="620">
      <c r="A620" s="13">
        <v>619.0</v>
      </c>
      <c r="B620" s="17" t="s">
        <v>706</v>
      </c>
      <c r="C620" s="18" t="s">
        <v>15</v>
      </c>
      <c r="D620" s="18" t="s">
        <v>59</v>
      </c>
      <c r="E620" s="9">
        <v>0.0</v>
      </c>
    </row>
    <row r="621">
      <c r="A621" s="13">
        <v>620.0</v>
      </c>
      <c r="B621" s="17" t="s">
        <v>707</v>
      </c>
      <c r="C621" s="18" t="s">
        <v>37</v>
      </c>
      <c r="D621" s="18" t="s">
        <v>59</v>
      </c>
      <c r="E621" s="9">
        <v>0.0</v>
      </c>
    </row>
    <row r="622">
      <c r="A622" s="13">
        <v>621.0</v>
      </c>
      <c r="B622" s="17" t="s">
        <v>708</v>
      </c>
      <c r="C622" s="18" t="s">
        <v>25</v>
      </c>
      <c r="D622" s="18" t="s">
        <v>59</v>
      </c>
      <c r="E622" s="9">
        <v>0.0</v>
      </c>
    </row>
    <row r="623">
      <c r="A623" s="13">
        <v>622.0</v>
      </c>
      <c r="B623" s="17" t="s">
        <v>709</v>
      </c>
      <c r="C623" s="18" t="s">
        <v>7</v>
      </c>
      <c r="D623" s="18" t="s">
        <v>59</v>
      </c>
      <c r="E623" s="9">
        <v>0.0</v>
      </c>
    </row>
    <row r="624">
      <c r="A624" s="13">
        <v>623.0</v>
      </c>
      <c r="B624" s="17" t="s">
        <v>710</v>
      </c>
      <c r="C624" s="18" t="s">
        <v>73</v>
      </c>
      <c r="D624" s="18" t="s">
        <v>59</v>
      </c>
      <c r="E624" s="9">
        <v>0.0</v>
      </c>
    </row>
    <row r="625">
      <c r="A625" s="13">
        <v>624.0</v>
      </c>
      <c r="B625" s="17" t="s">
        <v>711</v>
      </c>
      <c r="C625" s="18" t="s">
        <v>7</v>
      </c>
      <c r="D625" s="18" t="s">
        <v>59</v>
      </c>
      <c r="E625" s="9">
        <v>0.0</v>
      </c>
    </row>
    <row r="626">
      <c r="A626" s="13">
        <v>625.0</v>
      </c>
      <c r="B626" s="17" t="s">
        <v>712</v>
      </c>
      <c r="C626" s="18" t="s">
        <v>47</v>
      </c>
      <c r="D626" s="18" t="s">
        <v>59</v>
      </c>
      <c r="E626" s="9">
        <v>0.0</v>
      </c>
    </row>
    <row r="627">
      <c r="A627" s="13">
        <v>626.0</v>
      </c>
      <c r="B627" s="17" t="s">
        <v>713</v>
      </c>
      <c r="C627" s="18" t="s">
        <v>58</v>
      </c>
      <c r="D627" s="18" t="s">
        <v>59</v>
      </c>
      <c r="E627" s="9">
        <v>0.0</v>
      </c>
    </row>
    <row r="628">
      <c r="A628" s="13">
        <v>627.0</v>
      </c>
      <c r="B628" s="17" t="s">
        <v>473</v>
      </c>
      <c r="C628" s="18" t="s">
        <v>41</v>
      </c>
      <c r="D628" s="18" t="s">
        <v>59</v>
      </c>
      <c r="E628" s="9">
        <v>0.0</v>
      </c>
    </row>
    <row r="629">
      <c r="A629" s="13">
        <v>628.0</v>
      </c>
      <c r="B629" s="17" t="s">
        <v>580</v>
      </c>
      <c r="C629" s="18" t="s">
        <v>41</v>
      </c>
      <c r="D629" s="18" t="s">
        <v>59</v>
      </c>
      <c r="E629" s="9">
        <v>0.0</v>
      </c>
    </row>
    <row r="630">
      <c r="A630" s="13">
        <v>629.0</v>
      </c>
      <c r="B630" s="17" t="s">
        <v>714</v>
      </c>
      <c r="C630" s="18" t="s">
        <v>262</v>
      </c>
      <c r="D630" s="18" t="s">
        <v>59</v>
      </c>
      <c r="E630" s="9">
        <v>0.0</v>
      </c>
    </row>
    <row r="631">
      <c r="A631" s="13">
        <v>630.0</v>
      </c>
      <c r="B631" s="17" t="s">
        <v>715</v>
      </c>
      <c r="C631" s="18" t="s">
        <v>81</v>
      </c>
      <c r="D631" s="18" t="s">
        <v>59</v>
      </c>
      <c r="E631" s="9">
        <v>0.0</v>
      </c>
    </row>
    <row r="632">
      <c r="A632" s="13">
        <v>631.0</v>
      </c>
      <c r="B632" s="17" t="s">
        <v>716</v>
      </c>
      <c r="C632" s="18" t="s">
        <v>69</v>
      </c>
      <c r="D632" s="18" t="s">
        <v>59</v>
      </c>
      <c r="E632" s="9">
        <v>0.0</v>
      </c>
    </row>
    <row r="633">
      <c r="A633" s="13">
        <v>632.0</v>
      </c>
      <c r="B633" s="17" t="s">
        <v>717</v>
      </c>
      <c r="C633" s="18" t="s">
        <v>262</v>
      </c>
      <c r="D633" s="18" t="s">
        <v>59</v>
      </c>
      <c r="E633" s="9">
        <v>0.0</v>
      </c>
    </row>
    <row r="634">
      <c r="A634" s="13">
        <v>633.0</v>
      </c>
      <c r="B634" s="17" t="s">
        <v>718</v>
      </c>
      <c r="C634" s="18" t="s">
        <v>41</v>
      </c>
      <c r="D634" s="18" t="s">
        <v>59</v>
      </c>
      <c r="E634" s="9">
        <v>0.0</v>
      </c>
    </row>
    <row r="635">
      <c r="A635" s="13">
        <v>634.0</v>
      </c>
      <c r="B635" s="17" t="s">
        <v>719</v>
      </c>
      <c r="C635" s="18" t="s">
        <v>21</v>
      </c>
      <c r="D635" s="18" t="s">
        <v>59</v>
      </c>
      <c r="E635" s="9">
        <v>0.0</v>
      </c>
    </row>
    <row r="636">
      <c r="A636" s="13">
        <v>635.0</v>
      </c>
      <c r="B636" s="17" t="s">
        <v>720</v>
      </c>
      <c r="C636" s="18" t="s">
        <v>53</v>
      </c>
      <c r="D636" s="18" t="s">
        <v>59</v>
      </c>
      <c r="E636" s="9">
        <v>0.0</v>
      </c>
    </row>
    <row r="637">
      <c r="A637" s="13">
        <v>636.0</v>
      </c>
      <c r="B637" s="17" t="s">
        <v>721</v>
      </c>
      <c r="C637" s="18" t="s">
        <v>85</v>
      </c>
      <c r="D637" s="18" t="s">
        <v>59</v>
      </c>
      <c r="E637" s="9">
        <v>0.0</v>
      </c>
    </row>
    <row r="638">
      <c r="A638" s="13">
        <v>637.0</v>
      </c>
      <c r="B638" s="17" t="s">
        <v>722</v>
      </c>
      <c r="C638" s="18" t="s">
        <v>32</v>
      </c>
      <c r="D638" s="18" t="s">
        <v>59</v>
      </c>
      <c r="E638" s="9">
        <v>0.0</v>
      </c>
    </row>
    <row r="639">
      <c r="A639" s="13">
        <v>638.0</v>
      </c>
      <c r="B639" s="17" t="s">
        <v>723</v>
      </c>
      <c r="C639" s="18" t="s">
        <v>10</v>
      </c>
      <c r="D639" s="18" t="s">
        <v>59</v>
      </c>
      <c r="E639" s="9">
        <v>0.0</v>
      </c>
    </row>
    <row r="640">
      <c r="A640" s="13">
        <v>639.0</v>
      </c>
      <c r="B640" s="17" t="s">
        <v>724</v>
      </c>
      <c r="C640" s="18" t="s">
        <v>262</v>
      </c>
      <c r="D640" s="18" t="s">
        <v>59</v>
      </c>
      <c r="E640" s="9">
        <v>0.0</v>
      </c>
    </row>
    <row r="641">
      <c r="A641" s="13">
        <v>640.0</v>
      </c>
      <c r="B641" s="17" t="s">
        <v>725</v>
      </c>
      <c r="C641" s="18" t="s">
        <v>45</v>
      </c>
      <c r="D641" s="18" t="s">
        <v>59</v>
      </c>
      <c r="E641" s="9">
        <v>0.0</v>
      </c>
    </row>
    <row r="642">
      <c r="A642" s="13">
        <v>641.0</v>
      </c>
      <c r="B642" s="17" t="s">
        <v>726</v>
      </c>
      <c r="C642" s="18" t="s">
        <v>262</v>
      </c>
      <c r="D642" s="18" t="s">
        <v>59</v>
      </c>
      <c r="E642" s="9">
        <v>0.0</v>
      </c>
    </row>
    <row r="643">
      <c r="A643" s="13">
        <v>642.0</v>
      </c>
      <c r="B643" s="17" t="s">
        <v>727</v>
      </c>
      <c r="C643" s="18" t="s">
        <v>19</v>
      </c>
      <c r="D643" s="18" t="s">
        <v>59</v>
      </c>
      <c r="E643" s="9">
        <v>0.0</v>
      </c>
    </row>
    <row r="644">
      <c r="A644" s="13">
        <v>643.0</v>
      </c>
      <c r="B644" s="17" t="s">
        <v>728</v>
      </c>
      <c r="C644" s="18" t="s">
        <v>58</v>
      </c>
      <c r="D644" s="18" t="s">
        <v>59</v>
      </c>
      <c r="E644" s="9">
        <v>0.0</v>
      </c>
    </row>
    <row r="645">
      <c r="A645" s="13">
        <v>644.0</v>
      </c>
      <c r="B645" s="17" t="s">
        <v>729</v>
      </c>
      <c r="C645" s="18" t="s">
        <v>39</v>
      </c>
      <c r="D645" s="18" t="s">
        <v>59</v>
      </c>
      <c r="E645" s="9">
        <v>0.0</v>
      </c>
    </row>
    <row r="646">
      <c r="A646" s="13">
        <v>645.0</v>
      </c>
      <c r="B646" s="17" t="s">
        <v>730</v>
      </c>
      <c r="C646" s="18" t="s">
        <v>15</v>
      </c>
      <c r="D646" s="18" t="s">
        <v>59</v>
      </c>
      <c r="E646" s="9">
        <v>0.0</v>
      </c>
    </row>
    <row r="647">
      <c r="A647" s="13">
        <v>646.0</v>
      </c>
      <c r="B647" s="17" t="s">
        <v>731</v>
      </c>
      <c r="C647" s="18" t="s">
        <v>41</v>
      </c>
      <c r="D647" s="18" t="s">
        <v>59</v>
      </c>
      <c r="E647" s="9">
        <v>0.0</v>
      </c>
    </row>
    <row r="648">
      <c r="A648" s="13">
        <v>647.0</v>
      </c>
      <c r="B648" s="17" t="s">
        <v>732</v>
      </c>
      <c r="C648" s="18" t="s">
        <v>28</v>
      </c>
      <c r="D648" s="18" t="s">
        <v>59</v>
      </c>
      <c r="E648" s="9">
        <v>0.0</v>
      </c>
    </row>
    <row r="649">
      <c r="A649" s="13">
        <v>648.0</v>
      </c>
      <c r="B649" s="17" t="s">
        <v>605</v>
      </c>
      <c r="C649" s="18" t="s">
        <v>12</v>
      </c>
      <c r="D649" s="18" t="s">
        <v>59</v>
      </c>
      <c r="E649" s="9">
        <v>0.0</v>
      </c>
    </row>
    <row r="650">
      <c r="A650" s="13">
        <v>649.0</v>
      </c>
      <c r="B650" s="17" t="s">
        <v>733</v>
      </c>
      <c r="C650" s="18" t="s">
        <v>62</v>
      </c>
      <c r="D650" s="18" t="s">
        <v>59</v>
      </c>
      <c r="E650" s="9">
        <v>0.0</v>
      </c>
    </row>
    <row r="651">
      <c r="A651" s="13">
        <v>650.0</v>
      </c>
      <c r="B651" s="17" t="s">
        <v>734</v>
      </c>
      <c r="C651" s="18" t="s">
        <v>55</v>
      </c>
      <c r="D651" s="18" t="s">
        <v>59</v>
      </c>
      <c r="E651" s="9">
        <v>0.0</v>
      </c>
    </row>
    <row r="652">
      <c r="A652" s="13">
        <v>651.0</v>
      </c>
      <c r="B652" s="17" t="s">
        <v>735</v>
      </c>
      <c r="C652" s="18" t="s">
        <v>23</v>
      </c>
      <c r="D652" s="18" t="s">
        <v>59</v>
      </c>
      <c r="E652" s="9">
        <v>0.0</v>
      </c>
    </row>
    <row r="653">
      <c r="A653" s="13">
        <v>652.0</v>
      </c>
      <c r="B653" s="17" t="s">
        <v>736</v>
      </c>
      <c r="C653" s="18" t="s">
        <v>12</v>
      </c>
      <c r="D653" s="18" t="s">
        <v>59</v>
      </c>
      <c r="E653" s="9">
        <v>0.0</v>
      </c>
    </row>
    <row r="654">
      <c r="A654" s="13">
        <v>653.0</v>
      </c>
      <c r="B654" s="17" t="s">
        <v>737</v>
      </c>
      <c r="C654" s="18" t="s">
        <v>55</v>
      </c>
      <c r="D654" s="18" t="s">
        <v>59</v>
      </c>
      <c r="E654" s="9">
        <v>0.0</v>
      </c>
    </row>
    <row r="655">
      <c r="A655" s="13">
        <v>654.0</v>
      </c>
      <c r="B655" s="17" t="s">
        <v>738</v>
      </c>
      <c r="C655" s="18" t="s">
        <v>47</v>
      </c>
      <c r="D655" s="18" t="s">
        <v>59</v>
      </c>
      <c r="E655" s="9">
        <v>0.0</v>
      </c>
    </row>
    <row r="656">
      <c r="A656" s="13">
        <v>655.0</v>
      </c>
      <c r="B656" s="17" t="s">
        <v>611</v>
      </c>
      <c r="C656" s="18" t="s">
        <v>35</v>
      </c>
      <c r="D656" s="18" t="s">
        <v>59</v>
      </c>
      <c r="E656" s="9">
        <v>0.0</v>
      </c>
    </row>
    <row r="657">
      <c r="A657" s="13">
        <v>656.0</v>
      </c>
      <c r="B657" s="17" t="s">
        <v>739</v>
      </c>
      <c r="C657" s="18" t="s">
        <v>21</v>
      </c>
      <c r="D657" s="18" t="s">
        <v>59</v>
      </c>
      <c r="E657" s="9">
        <v>0.0</v>
      </c>
    </row>
    <row r="658">
      <c r="A658" s="13">
        <v>657.0</v>
      </c>
      <c r="B658" s="17" t="s">
        <v>740</v>
      </c>
      <c r="C658" s="18" t="s">
        <v>73</v>
      </c>
      <c r="D658" s="18" t="s">
        <v>59</v>
      </c>
      <c r="E658" s="9">
        <v>0.0</v>
      </c>
    </row>
    <row r="659">
      <c r="A659" s="13">
        <v>658.0</v>
      </c>
      <c r="B659" s="17" t="s">
        <v>741</v>
      </c>
      <c r="C659" s="18" t="s">
        <v>58</v>
      </c>
      <c r="D659" s="18" t="s">
        <v>59</v>
      </c>
      <c r="E659" s="9">
        <v>0.0</v>
      </c>
    </row>
    <row r="660">
      <c r="A660" s="13">
        <v>659.0</v>
      </c>
      <c r="B660" s="17" t="s">
        <v>742</v>
      </c>
      <c r="C660" s="18" t="s">
        <v>25</v>
      </c>
      <c r="D660" s="18" t="s">
        <v>59</v>
      </c>
      <c r="E660" s="9">
        <v>0.0</v>
      </c>
    </row>
    <row r="661">
      <c r="A661" s="13">
        <v>660.0</v>
      </c>
      <c r="B661" s="17" t="s">
        <v>743</v>
      </c>
      <c r="C661" s="18" t="s">
        <v>99</v>
      </c>
      <c r="D661" s="18" t="s">
        <v>59</v>
      </c>
      <c r="E661" s="9">
        <v>0.0</v>
      </c>
    </row>
    <row r="662">
      <c r="A662" s="13">
        <v>661.0</v>
      </c>
      <c r="B662" s="17" t="s">
        <v>744</v>
      </c>
      <c r="C662" s="18" t="s">
        <v>62</v>
      </c>
      <c r="D662" s="18" t="s">
        <v>59</v>
      </c>
      <c r="E662" s="9">
        <v>0.0</v>
      </c>
    </row>
    <row r="663">
      <c r="A663" s="13">
        <v>662.0</v>
      </c>
      <c r="B663" s="17" t="s">
        <v>745</v>
      </c>
      <c r="C663" s="18" t="s">
        <v>39</v>
      </c>
      <c r="D663" s="18" t="s">
        <v>59</v>
      </c>
      <c r="E663" s="9">
        <v>0.0</v>
      </c>
    </row>
    <row r="664">
      <c r="A664" s="13">
        <v>663.0</v>
      </c>
      <c r="B664" s="17" t="s">
        <v>746</v>
      </c>
      <c r="C664" s="18" t="s">
        <v>28</v>
      </c>
      <c r="D664" s="18" t="s">
        <v>59</v>
      </c>
      <c r="E664" s="9">
        <v>0.0</v>
      </c>
    </row>
    <row r="665">
      <c r="A665" s="13">
        <v>664.0</v>
      </c>
      <c r="B665" s="17" t="s">
        <v>747</v>
      </c>
      <c r="C665" s="18" t="s">
        <v>17</v>
      </c>
      <c r="D665" s="18" t="s">
        <v>59</v>
      </c>
      <c r="E665" s="9">
        <v>0.0</v>
      </c>
    </row>
    <row r="666">
      <c r="A666" s="13">
        <v>665.0</v>
      </c>
      <c r="B666" s="17" t="s">
        <v>748</v>
      </c>
      <c r="C666" s="18" t="s">
        <v>35</v>
      </c>
      <c r="D666" s="18" t="s">
        <v>59</v>
      </c>
      <c r="E666" s="9">
        <v>0.0</v>
      </c>
    </row>
    <row r="667">
      <c r="A667" s="13">
        <v>666.0</v>
      </c>
      <c r="B667" s="17" t="s">
        <v>749</v>
      </c>
      <c r="C667" s="18" t="s">
        <v>47</v>
      </c>
      <c r="D667" s="18" t="s">
        <v>59</v>
      </c>
      <c r="E667" s="9">
        <v>0.0</v>
      </c>
    </row>
    <row r="668">
      <c r="A668" s="13">
        <v>667.0</v>
      </c>
      <c r="B668" s="17" t="s">
        <v>750</v>
      </c>
      <c r="C668" s="18" t="s">
        <v>58</v>
      </c>
      <c r="D668" s="18" t="s">
        <v>59</v>
      </c>
      <c r="E668" s="9">
        <v>0.0</v>
      </c>
    </row>
    <row r="669">
      <c r="A669" s="13">
        <v>668.0</v>
      </c>
      <c r="B669" s="17" t="s">
        <v>751</v>
      </c>
      <c r="C669" s="18" t="s">
        <v>66</v>
      </c>
      <c r="D669" s="18" t="s">
        <v>59</v>
      </c>
      <c r="E669" s="9">
        <v>0.0</v>
      </c>
    </row>
    <row r="670">
      <c r="A670" s="13">
        <v>669.0</v>
      </c>
      <c r="B670" s="17" t="s">
        <v>752</v>
      </c>
      <c r="C670" s="18" t="s">
        <v>32</v>
      </c>
      <c r="D670" s="18" t="s">
        <v>59</v>
      </c>
      <c r="E670" s="9">
        <v>0.0</v>
      </c>
    </row>
    <row r="671">
      <c r="A671" s="13">
        <v>670.0</v>
      </c>
      <c r="B671" s="17" t="s">
        <v>753</v>
      </c>
      <c r="C671" s="18" t="s">
        <v>64</v>
      </c>
      <c r="D671" s="18" t="s">
        <v>59</v>
      </c>
      <c r="E671" s="9">
        <v>0.0</v>
      </c>
    </row>
    <row r="672">
      <c r="A672" s="13">
        <v>671.0</v>
      </c>
      <c r="B672" s="17" t="s">
        <v>754</v>
      </c>
      <c r="C672" s="18" t="s">
        <v>35</v>
      </c>
      <c r="D672" s="18" t="s">
        <v>59</v>
      </c>
      <c r="E672" s="9">
        <v>0.0</v>
      </c>
    </row>
    <row r="673">
      <c r="A673" s="13">
        <v>672.0</v>
      </c>
      <c r="B673" s="17" t="s">
        <v>755</v>
      </c>
      <c r="C673" s="18" t="s">
        <v>64</v>
      </c>
      <c r="D673" s="18" t="s">
        <v>59</v>
      </c>
      <c r="E673" s="9">
        <v>0.0</v>
      </c>
    </row>
    <row r="674">
      <c r="A674" s="13">
        <v>673.0</v>
      </c>
      <c r="B674" s="17" t="s">
        <v>756</v>
      </c>
      <c r="C674" s="18" t="s">
        <v>12</v>
      </c>
      <c r="D674" s="18" t="s">
        <v>59</v>
      </c>
      <c r="E674" s="9">
        <v>0.0</v>
      </c>
    </row>
    <row r="675">
      <c r="A675" s="13">
        <v>674.0</v>
      </c>
      <c r="B675" s="17" t="s">
        <v>757</v>
      </c>
      <c r="C675" s="18" t="s">
        <v>17</v>
      </c>
      <c r="D675" s="18" t="s">
        <v>59</v>
      </c>
      <c r="E675" s="9">
        <v>0.0</v>
      </c>
    </row>
    <row r="676">
      <c r="A676" s="13">
        <v>675.0</v>
      </c>
      <c r="B676" s="17" t="s">
        <v>758</v>
      </c>
      <c r="C676" s="18" t="s">
        <v>89</v>
      </c>
      <c r="D676" s="18" t="s">
        <v>59</v>
      </c>
      <c r="E676" s="9">
        <v>0.0</v>
      </c>
    </row>
    <row r="677">
      <c r="A677" s="13">
        <v>676.0</v>
      </c>
      <c r="B677" s="17" t="s">
        <v>759</v>
      </c>
      <c r="C677" s="18" t="s">
        <v>19</v>
      </c>
      <c r="D677" s="18" t="s">
        <v>59</v>
      </c>
      <c r="E677" s="9">
        <v>0.0</v>
      </c>
    </row>
    <row r="678">
      <c r="A678" s="13">
        <v>677.0</v>
      </c>
      <c r="B678" s="17" t="s">
        <v>760</v>
      </c>
      <c r="C678" s="18" t="s">
        <v>35</v>
      </c>
      <c r="D678" s="18" t="s">
        <v>59</v>
      </c>
      <c r="E678" s="9">
        <v>0.0</v>
      </c>
    </row>
    <row r="679">
      <c r="A679" s="13">
        <v>678.0</v>
      </c>
      <c r="B679" s="17" t="s">
        <v>761</v>
      </c>
      <c r="C679" s="18" t="s">
        <v>119</v>
      </c>
      <c r="D679" s="18" t="s">
        <v>59</v>
      </c>
      <c r="E679" s="9">
        <v>0.0</v>
      </c>
    </row>
    <row r="680">
      <c r="A680" s="13">
        <v>679.0</v>
      </c>
      <c r="B680" s="17" t="s">
        <v>762</v>
      </c>
      <c r="C680" s="18" t="s">
        <v>81</v>
      </c>
      <c r="D680" s="18" t="s">
        <v>59</v>
      </c>
      <c r="E680" s="9">
        <v>0.0</v>
      </c>
    </row>
    <row r="681">
      <c r="A681" s="13">
        <v>680.0</v>
      </c>
      <c r="B681" s="17" t="s">
        <v>763</v>
      </c>
      <c r="C681" s="18" t="s">
        <v>64</v>
      </c>
      <c r="D681" s="18" t="s">
        <v>59</v>
      </c>
      <c r="E681" s="9">
        <v>0.0</v>
      </c>
    </row>
    <row r="682">
      <c r="A682" s="13">
        <v>681.0</v>
      </c>
      <c r="B682" s="17" t="s">
        <v>764</v>
      </c>
      <c r="C682" s="18" t="s">
        <v>45</v>
      </c>
      <c r="D682" s="18" t="s">
        <v>59</v>
      </c>
      <c r="E682" s="9">
        <v>0.0</v>
      </c>
    </row>
    <row r="683">
      <c r="A683" s="13">
        <v>682.0</v>
      </c>
      <c r="B683" s="17" t="s">
        <v>765</v>
      </c>
      <c r="C683" s="18" t="s">
        <v>119</v>
      </c>
      <c r="D683" s="18" t="s">
        <v>59</v>
      </c>
      <c r="E683" s="9">
        <v>0.0</v>
      </c>
    </row>
    <row r="684">
      <c r="A684" s="13">
        <v>683.0</v>
      </c>
      <c r="B684" s="17" t="s">
        <v>766</v>
      </c>
      <c r="C684" s="18" t="s">
        <v>81</v>
      </c>
      <c r="D684" s="18" t="s">
        <v>59</v>
      </c>
      <c r="E684" s="9">
        <v>0.0</v>
      </c>
    </row>
    <row r="685">
      <c r="A685" s="13">
        <v>684.0</v>
      </c>
      <c r="B685" s="17" t="s">
        <v>767</v>
      </c>
      <c r="C685" s="18" t="s">
        <v>28</v>
      </c>
      <c r="D685" s="18" t="s">
        <v>59</v>
      </c>
      <c r="E685" s="9">
        <v>0.0</v>
      </c>
    </row>
    <row r="686">
      <c r="A686" s="13">
        <v>685.0</v>
      </c>
      <c r="B686" s="17" t="s">
        <v>768</v>
      </c>
      <c r="C686" s="18" t="s">
        <v>99</v>
      </c>
      <c r="D686" s="18" t="s">
        <v>59</v>
      </c>
      <c r="E686" s="9">
        <v>0.0</v>
      </c>
    </row>
    <row r="687">
      <c r="A687" s="13">
        <v>686.0</v>
      </c>
      <c r="B687" s="17" t="s">
        <v>769</v>
      </c>
      <c r="C687" s="18" t="s">
        <v>21</v>
      </c>
      <c r="D687" s="18" t="s">
        <v>59</v>
      </c>
      <c r="E687" s="9">
        <v>0.0</v>
      </c>
    </row>
    <row r="688">
      <c r="A688" s="13">
        <v>687.0</v>
      </c>
      <c r="B688" s="17" t="s">
        <v>770</v>
      </c>
      <c r="C688" s="18" t="s">
        <v>262</v>
      </c>
      <c r="D688" s="18" t="s">
        <v>59</v>
      </c>
      <c r="E688" s="9">
        <v>0.0</v>
      </c>
    </row>
    <row r="689">
      <c r="A689" s="13">
        <v>688.0</v>
      </c>
      <c r="B689" s="17" t="s">
        <v>771</v>
      </c>
      <c r="C689" s="18" t="s">
        <v>35</v>
      </c>
      <c r="D689" s="18" t="s">
        <v>59</v>
      </c>
      <c r="E689" s="9">
        <v>0.0</v>
      </c>
    </row>
    <row r="690">
      <c r="A690" s="13">
        <v>689.0</v>
      </c>
      <c r="B690" s="17" t="s">
        <v>772</v>
      </c>
      <c r="C690" s="18" t="s">
        <v>69</v>
      </c>
      <c r="D690" s="18" t="s">
        <v>59</v>
      </c>
      <c r="E690" s="9">
        <v>0.0</v>
      </c>
    </row>
    <row r="691">
      <c r="A691" s="13">
        <v>690.0</v>
      </c>
      <c r="B691" s="17" t="s">
        <v>773</v>
      </c>
      <c r="C691" s="18" t="s">
        <v>43</v>
      </c>
      <c r="D691" s="18" t="s">
        <v>59</v>
      </c>
      <c r="E691" s="9">
        <v>0.0</v>
      </c>
    </row>
    <row r="692">
      <c r="A692" s="13">
        <v>691.0</v>
      </c>
      <c r="B692" s="17" t="s">
        <v>774</v>
      </c>
      <c r="C692" s="18" t="s">
        <v>69</v>
      </c>
      <c r="D692" s="18" t="s">
        <v>59</v>
      </c>
      <c r="E692" s="9">
        <v>0.0</v>
      </c>
    </row>
    <row r="693">
      <c r="A693" s="13">
        <v>692.0</v>
      </c>
      <c r="B693" s="17" t="s">
        <v>775</v>
      </c>
      <c r="C693" s="18" t="s">
        <v>23</v>
      </c>
      <c r="D693" s="18" t="s">
        <v>59</v>
      </c>
      <c r="E693" s="9">
        <v>0.0</v>
      </c>
    </row>
    <row r="694">
      <c r="A694" s="13">
        <v>693.0</v>
      </c>
      <c r="B694" s="17" t="s">
        <v>776</v>
      </c>
      <c r="C694" s="18" t="s">
        <v>62</v>
      </c>
      <c r="D694" s="18" t="s">
        <v>59</v>
      </c>
      <c r="E694" s="9">
        <v>0.0</v>
      </c>
    </row>
    <row r="695">
      <c r="A695" s="13">
        <v>694.0</v>
      </c>
      <c r="B695" s="17" t="s">
        <v>777</v>
      </c>
      <c r="C695" s="18" t="s">
        <v>53</v>
      </c>
      <c r="D695" s="18" t="s">
        <v>59</v>
      </c>
      <c r="E695" s="9">
        <v>0.0</v>
      </c>
    </row>
    <row r="696">
      <c r="A696" s="13">
        <v>695.0</v>
      </c>
      <c r="B696" s="17" t="s">
        <v>778</v>
      </c>
      <c r="C696" s="18" t="s">
        <v>32</v>
      </c>
      <c r="D696" s="18" t="s">
        <v>59</v>
      </c>
      <c r="E696" s="9">
        <v>0.0</v>
      </c>
    </row>
    <row r="697">
      <c r="A697" s="13">
        <v>696.0</v>
      </c>
      <c r="B697" s="17" t="s">
        <v>779</v>
      </c>
      <c r="C697" s="18" t="s">
        <v>85</v>
      </c>
      <c r="D697" s="18" t="s">
        <v>59</v>
      </c>
      <c r="E697" s="9">
        <v>0.0</v>
      </c>
    </row>
    <row r="698">
      <c r="A698" s="13">
        <v>697.0</v>
      </c>
      <c r="B698" s="17" t="s">
        <v>780</v>
      </c>
      <c r="C698" s="18" t="s">
        <v>30</v>
      </c>
      <c r="D698" s="18" t="s">
        <v>59</v>
      </c>
      <c r="E698" s="9">
        <v>0.0</v>
      </c>
    </row>
    <row r="699">
      <c r="A699" s="13">
        <v>698.0</v>
      </c>
      <c r="B699" s="17" t="s">
        <v>781</v>
      </c>
      <c r="C699" s="18" t="s">
        <v>81</v>
      </c>
      <c r="D699" s="18" t="s">
        <v>59</v>
      </c>
      <c r="E699" s="9">
        <v>0.0</v>
      </c>
    </row>
    <row r="700">
      <c r="A700" s="13">
        <v>699.0</v>
      </c>
      <c r="B700" s="17" t="s">
        <v>782</v>
      </c>
      <c r="C700" s="18" t="s">
        <v>17</v>
      </c>
      <c r="D700" s="18" t="s">
        <v>59</v>
      </c>
      <c r="E700" s="9">
        <v>0.0</v>
      </c>
    </row>
    <row r="701">
      <c r="A701" s="13">
        <v>700.0</v>
      </c>
      <c r="B701" s="17" t="s">
        <v>783</v>
      </c>
      <c r="C701" s="18" t="s">
        <v>23</v>
      </c>
      <c r="D701" s="18" t="s">
        <v>59</v>
      </c>
      <c r="E701" s="9">
        <v>0.0</v>
      </c>
    </row>
    <row r="702">
      <c r="A702" s="13">
        <v>701.0</v>
      </c>
      <c r="B702" s="17" t="s">
        <v>784</v>
      </c>
      <c r="C702" s="18" t="s">
        <v>89</v>
      </c>
      <c r="D702" s="18" t="s">
        <v>59</v>
      </c>
      <c r="E702" s="9">
        <v>0.0</v>
      </c>
    </row>
    <row r="703">
      <c r="A703" s="13">
        <v>702.0</v>
      </c>
      <c r="B703" s="17" t="s">
        <v>785</v>
      </c>
      <c r="C703" s="18" t="s">
        <v>64</v>
      </c>
      <c r="D703" s="18" t="s">
        <v>59</v>
      </c>
      <c r="E703" s="9">
        <v>0.0</v>
      </c>
    </row>
    <row r="704">
      <c r="A704" s="13">
        <v>703.0</v>
      </c>
      <c r="B704" s="17" t="s">
        <v>786</v>
      </c>
      <c r="C704" s="18" t="s">
        <v>41</v>
      </c>
      <c r="D704" s="18" t="s">
        <v>59</v>
      </c>
      <c r="E704" s="9">
        <v>0.0</v>
      </c>
    </row>
    <row r="705">
      <c r="A705" s="13">
        <v>704.0</v>
      </c>
      <c r="B705" s="17" t="s">
        <v>787</v>
      </c>
      <c r="C705" s="18" t="s">
        <v>28</v>
      </c>
      <c r="D705" s="18" t="s">
        <v>59</v>
      </c>
      <c r="E705" s="9">
        <v>0.0</v>
      </c>
    </row>
    <row r="706">
      <c r="A706" s="13">
        <v>705.0</v>
      </c>
      <c r="B706" s="17" t="s">
        <v>788</v>
      </c>
      <c r="C706" s="18" t="s">
        <v>37</v>
      </c>
      <c r="D706" s="18" t="s">
        <v>59</v>
      </c>
      <c r="E706" s="9">
        <v>0.0</v>
      </c>
    </row>
    <row r="707">
      <c r="A707" s="13">
        <v>706.0</v>
      </c>
      <c r="B707" s="17" t="s">
        <v>789</v>
      </c>
      <c r="C707" s="18" t="s">
        <v>43</v>
      </c>
      <c r="D707" s="18" t="s">
        <v>59</v>
      </c>
      <c r="E707" s="9">
        <v>0.0</v>
      </c>
    </row>
    <row r="708">
      <c r="A708" s="13">
        <v>707.0</v>
      </c>
      <c r="B708" s="17" t="s">
        <v>184</v>
      </c>
      <c r="C708" s="18" t="s">
        <v>12</v>
      </c>
      <c r="D708" s="18" t="s">
        <v>183</v>
      </c>
      <c r="E708" s="9">
        <v>0.0</v>
      </c>
    </row>
    <row r="709">
      <c r="A709" s="13">
        <v>708.0</v>
      </c>
      <c r="B709" s="17" t="s">
        <v>182</v>
      </c>
      <c r="C709" s="18" t="s">
        <v>19</v>
      </c>
      <c r="D709" s="18" t="s">
        <v>183</v>
      </c>
      <c r="E709" s="9">
        <v>0.0</v>
      </c>
    </row>
    <row r="710">
      <c r="A710" s="13">
        <v>709.0</v>
      </c>
      <c r="B710" s="17" t="s">
        <v>186</v>
      </c>
      <c r="C710" s="18" t="s">
        <v>25</v>
      </c>
      <c r="D710" s="18" t="s">
        <v>183</v>
      </c>
      <c r="E710" s="9">
        <v>0.0</v>
      </c>
    </row>
    <row r="711">
      <c r="A711" s="13">
        <v>710.0</v>
      </c>
      <c r="B711" s="17" t="s">
        <v>316</v>
      </c>
      <c r="C711" s="18" t="s">
        <v>37</v>
      </c>
      <c r="D711" s="18" t="s">
        <v>183</v>
      </c>
      <c r="E711" s="9">
        <v>0.0</v>
      </c>
    </row>
    <row r="712">
      <c r="A712" s="13">
        <v>711.0</v>
      </c>
      <c r="B712" s="17" t="s">
        <v>190</v>
      </c>
      <c r="C712" s="18" t="s">
        <v>45</v>
      </c>
      <c r="D712" s="18" t="s">
        <v>183</v>
      </c>
      <c r="E712" s="9">
        <v>0.0</v>
      </c>
    </row>
    <row r="713">
      <c r="A713" s="13">
        <v>712.0</v>
      </c>
      <c r="B713" s="17" t="s">
        <v>185</v>
      </c>
      <c r="C713" s="18" t="s">
        <v>62</v>
      </c>
      <c r="D713" s="18" t="s">
        <v>183</v>
      </c>
      <c r="E713" s="9">
        <v>0.0</v>
      </c>
    </row>
    <row r="714">
      <c r="A714" s="13">
        <v>713.0</v>
      </c>
      <c r="B714" s="17" t="s">
        <v>790</v>
      </c>
      <c r="C714" s="18" t="s">
        <v>89</v>
      </c>
      <c r="D714" s="18" t="s">
        <v>183</v>
      </c>
      <c r="E714" s="9">
        <v>0.0</v>
      </c>
    </row>
    <row r="715">
      <c r="A715" s="13">
        <v>714.0</v>
      </c>
      <c r="B715" s="17" t="s">
        <v>791</v>
      </c>
      <c r="C715" s="18" t="s">
        <v>7</v>
      </c>
      <c r="D715" s="18" t="s">
        <v>183</v>
      </c>
      <c r="E715" s="9">
        <v>0.0</v>
      </c>
    </row>
    <row r="716">
      <c r="A716" s="13">
        <v>715.0</v>
      </c>
      <c r="B716" s="17" t="s">
        <v>792</v>
      </c>
      <c r="C716" s="18" t="s">
        <v>39</v>
      </c>
      <c r="D716" s="18" t="s">
        <v>183</v>
      </c>
      <c r="E716" s="9">
        <v>0.0</v>
      </c>
    </row>
    <row r="717">
      <c r="A717" s="13">
        <v>716.0</v>
      </c>
      <c r="B717" s="17" t="s">
        <v>317</v>
      </c>
      <c r="C717" s="18" t="s">
        <v>28</v>
      </c>
      <c r="D717" s="18" t="s">
        <v>183</v>
      </c>
      <c r="E717" s="9">
        <v>0.0</v>
      </c>
    </row>
    <row r="718">
      <c r="A718" s="13">
        <v>717.0</v>
      </c>
      <c r="B718" s="17" t="s">
        <v>187</v>
      </c>
      <c r="C718" s="18" t="s">
        <v>43</v>
      </c>
      <c r="D718" s="18" t="s">
        <v>183</v>
      </c>
      <c r="E718" s="9">
        <v>0.0</v>
      </c>
    </row>
    <row r="719">
      <c r="A719" s="13">
        <v>718.0</v>
      </c>
      <c r="B719" s="17" t="s">
        <v>188</v>
      </c>
      <c r="C719" s="18" t="s">
        <v>119</v>
      </c>
      <c r="D719" s="18" t="s">
        <v>183</v>
      </c>
      <c r="E719" s="9">
        <v>0.0</v>
      </c>
    </row>
    <row r="720">
      <c r="A720" s="13">
        <v>719.0</v>
      </c>
      <c r="B720" s="17" t="s">
        <v>314</v>
      </c>
      <c r="C720" s="18" t="s">
        <v>64</v>
      </c>
      <c r="D720" s="18" t="s">
        <v>183</v>
      </c>
      <c r="E720" s="9">
        <v>0.0</v>
      </c>
    </row>
    <row r="721">
      <c r="A721" s="13">
        <v>720.0</v>
      </c>
      <c r="B721" s="17" t="s">
        <v>793</v>
      </c>
      <c r="C721" s="18" t="s">
        <v>15</v>
      </c>
      <c r="D721" s="18" t="s">
        <v>183</v>
      </c>
      <c r="E721" s="9">
        <v>0.0</v>
      </c>
    </row>
    <row r="722">
      <c r="A722" s="13">
        <v>721.0</v>
      </c>
      <c r="B722" s="17" t="s">
        <v>794</v>
      </c>
      <c r="C722" s="18" t="s">
        <v>69</v>
      </c>
      <c r="D722" s="18" t="s">
        <v>183</v>
      </c>
      <c r="E722" s="9">
        <v>0.0</v>
      </c>
    </row>
    <row r="723">
      <c r="A723" s="13">
        <v>722.0</v>
      </c>
      <c r="B723" s="17" t="s">
        <v>795</v>
      </c>
      <c r="C723" s="18" t="s">
        <v>23</v>
      </c>
      <c r="D723" s="18" t="s">
        <v>183</v>
      </c>
      <c r="E723" s="9">
        <v>0.0</v>
      </c>
    </row>
    <row r="724">
      <c r="A724" s="13">
        <v>723.0</v>
      </c>
      <c r="B724" s="17" t="s">
        <v>796</v>
      </c>
      <c r="C724" s="18" t="s">
        <v>41</v>
      </c>
      <c r="D724" s="18" t="s">
        <v>183</v>
      </c>
      <c r="E724" s="9">
        <v>0.0</v>
      </c>
    </row>
    <row r="725">
      <c r="A725" s="13">
        <v>724.0</v>
      </c>
      <c r="B725" s="17" t="s">
        <v>797</v>
      </c>
      <c r="C725" s="18" t="s">
        <v>47</v>
      </c>
      <c r="D725" s="18" t="s">
        <v>183</v>
      </c>
      <c r="E725" s="9">
        <v>0.0</v>
      </c>
    </row>
    <row r="726">
      <c r="A726" s="13">
        <v>725.0</v>
      </c>
      <c r="B726" s="17" t="s">
        <v>191</v>
      </c>
      <c r="C726" s="18" t="s">
        <v>53</v>
      </c>
      <c r="D726" s="18" t="s">
        <v>183</v>
      </c>
      <c r="E726" s="9">
        <v>0.0</v>
      </c>
    </row>
    <row r="727">
      <c r="A727" s="13">
        <v>726.0</v>
      </c>
      <c r="B727" s="17" t="s">
        <v>798</v>
      </c>
      <c r="C727" s="18" t="s">
        <v>85</v>
      </c>
      <c r="D727" s="18" t="s">
        <v>183</v>
      </c>
      <c r="E727" s="9">
        <v>0.0</v>
      </c>
    </row>
    <row r="728">
      <c r="A728" s="13">
        <v>727.0</v>
      </c>
      <c r="B728" s="17" t="s">
        <v>318</v>
      </c>
      <c r="C728" s="18" t="s">
        <v>17</v>
      </c>
      <c r="D728" s="18" t="s">
        <v>183</v>
      </c>
      <c r="E728" s="9">
        <v>0.0</v>
      </c>
    </row>
    <row r="729">
      <c r="A729" s="13">
        <v>728.0</v>
      </c>
      <c r="B729" s="17" t="s">
        <v>799</v>
      </c>
      <c r="C729" s="18" t="s">
        <v>21</v>
      </c>
      <c r="D729" s="18" t="s">
        <v>183</v>
      </c>
      <c r="E729" s="9">
        <v>0.0</v>
      </c>
    </row>
    <row r="730">
      <c r="A730" s="13">
        <v>729.0</v>
      </c>
      <c r="B730" s="17" t="s">
        <v>800</v>
      </c>
      <c r="C730" s="18" t="s">
        <v>55</v>
      </c>
      <c r="D730" s="18" t="s">
        <v>183</v>
      </c>
      <c r="E730" s="9">
        <v>0.0</v>
      </c>
    </row>
    <row r="731">
      <c r="A731" s="13">
        <v>730.0</v>
      </c>
      <c r="B731" s="17" t="s">
        <v>801</v>
      </c>
      <c r="C731" s="18" t="s">
        <v>81</v>
      </c>
      <c r="D731" s="18" t="s">
        <v>183</v>
      </c>
      <c r="E731" s="9">
        <v>0.0</v>
      </c>
    </row>
    <row r="732">
      <c r="A732" s="13">
        <v>731.0</v>
      </c>
      <c r="B732" s="17" t="s">
        <v>802</v>
      </c>
      <c r="C732" s="18" t="s">
        <v>262</v>
      </c>
      <c r="D732" s="18" t="s">
        <v>183</v>
      </c>
      <c r="E732" s="9">
        <v>0.0</v>
      </c>
    </row>
    <row r="733">
      <c r="A733" s="13">
        <v>732.0</v>
      </c>
      <c r="B733" s="17" t="s">
        <v>803</v>
      </c>
      <c r="C733" s="18" t="s">
        <v>262</v>
      </c>
      <c r="D733" s="18" t="s">
        <v>183</v>
      </c>
      <c r="E733" s="9">
        <v>0.0</v>
      </c>
    </row>
    <row r="734">
      <c r="A734" s="13">
        <v>733.0</v>
      </c>
      <c r="B734" s="17" t="s">
        <v>315</v>
      </c>
      <c r="C734" s="18" t="s">
        <v>66</v>
      </c>
      <c r="D734" s="18" t="s">
        <v>183</v>
      </c>
      <c r="E734" s="9">
        <v>0.0</v>
      </c>
    </row>
    <row r="735">
      <c r="A735" s="13">
        <v>734.0</v>
      </c>
      <c r="B735" s="17" t="s">
        <v>804</v>
      </c>
      <c r="C735" s="18" t="s">
        <v>262</v>
      </c>
      <c r="D735" s="18" t="s">
        <v>183</v>
      </c>
      <c r="E735" s="9">
        <v>0.0</v>
      </c>
    </row>
    <row r="736">
      <c r="A736" s="13">
        <v>735.0</v>
      </c>
      <c r="B736" s="17" t="s">
        <v>805</v>
      </c>
      <c r="C736" s="18" t="s">
        <v>73</v>
      </c>
      <c r="D736" s="18" t="s">
        <v>183</v>
      </c>
      <c r="E736" s="9">
        <v>0.0</v>
      </c>
    </row>
    <row r="737">
      <c r="A737" s="13">
        <v>736.0</v>
      </c>
      <c r="B737" s="17" t="s">
        <v>806</v>
      </c>
      <c r="C737" s="18" t="s">
        <v>10</v>
      </c>
      <c r="D737" s="18" t="s">
        <v>183</v>
      </c>
      <c r="E737" s="9">
        <v>0.0</v>
      </c>
    </row>
    <row r="738">
      <c r="A738" s="13">
        <v>737.0</v>
      </c>
      <c r="B738" s="17" t="s">
        <v>807</v>
      </c>
      <c r="C738" s="18" t="s">
        <v>119</v>
      </c>
      <c r="D738" s="18" t="s">
        <v>183</v>
      </c>
      <c r="E738" s="9">
        <v>0.0</v>
      </c>
    </row>
    <row r="739">
      <c r="A739" s="13">
        <v>738.0</v>
      </c>
      <c r="B739" s="17" t="s">
        <v>808</v>
      </c>
      <c r="C739" s="18" t="s">
        <v>35</v>
      </c>
      <c r="D739" s="18" t="s">
        <v>183</v>
      </c>
      <c r="E739" s="9">
        <v>0.0</v>
      </c>
    </row>
    <row r="740">
      <c r="A740" s="13">
        <v>739.0</v>
      </c>
      <c r="B740" s="17" t="s">
        <v>809</v>
      </c>
      <c r="C740" s="18" t="s">
        <v>32</v>
      </c>
      <c r="D740" s="18" t="s">
        <v>183</v>
      </c>
      <c r="E740" s="9">
        <v>0.0</v>
      </c>
    </row>
    <row r="741">
      <c r="A741" s="13">
        <v>740.0</v>
      </c>
      <c r="B741" s="17" t="s">
        <v>810</v>
      </c>
      <c r="C741" s="18" t="s">
        <v>99</v>
      </c>
      <c r="D741" s="18" t="s">
        <v>183</v>
      </c>
      <c r="E741" s="9">
        <v>0.0</v>
      </c>
    </row>
    <row r="742">
      <c r="A742" s="13">
        <v>741.0</v>
      </c>
      <c r="B742" s="17" t="s">
        <v>811</v>
      </c>
      <c r="C742" s="18" t="s">
        <v>35</v>
      </c>
      <c r="D742" s="18" t="s">
        <v>183</v>
      </c>
      <c r="E742" s="9">
        <v>0.0</v>
      </c>
    </row>
    <row r="743">
      <c r="A743" s="13">
        <v>742.0</v>
      </c>
      <c r="B743" s="17" t="s">
        <v>812</v>
      </c>
      <c r="C743" s="18" t="s">
        <v>262</v>
      </c>
      <c r="D743" s="18" t="s">
        <v>183</v>
      </c>
      <c r="E743" s="9">
        <v>0.0</v>
      </c>
    </row>
    <row r="744">
      <c r="A744" s="13">
        <v>743.0</v>
      </c>
      <c r="B744" s="17" t="s">
        <v>813</v>
      </c>
      <c r="C744" s="18" t="s">
        <v>32</v>
      </c>
      <c r="D744" s="18" t="s">
        <v>183</v>
      </c>
      <c r="E744" s="9">
        <v>0.0</v>
      </c>
    </row>
    <row r="745">
      <c r="A745" s="13">
        <v>744.0</v>
      </c>
      <c r="B745" s="17" t="s">
        <v>814</v>
      </c>
      <c r="C745" s="18" t="s">
        <v>28</v>
      </c>
      <c r="D745" s="18" t="s">
        <v>183</v>
      </c>
      <c r="E745" s="9">
        <v>0.0</v>
      </c>
    </row>
    <row r="746">
      <c r="A746" s="13">
        <v>745.0</v>
      </c>
      <c r="B746" s="17" t="s">
        <v>815</v>
      </c>
      <c r="C746" s="18" t="s">
        <v>69</v>
      </c>
      <c r="D746" s="18" t="s">
        <v>183</v>
      </c>
      <c r="E746" s="9">
        <v>0.0</v>
      </c>
    </row>
    <row r="747">
      <c r="A747" s="13">
        <v>746.0</v>
      </c>
      <c r="B747" s="17" t="s">
        <v>816</v>
      </c>
      <c r="C747" s="18" t="s">
        <v>32</v>
      </c>
      <c r="D747" s="18" t="s">
        <v>183</v>
      </c>
      <c r="E747" s="9">
        <v>0.0</v>
      </c>
    </row>
    <row r="748">
      <c r="A748" s="13">
        <v>747.0</v>
      </c>
      <c r="B748" s="17" t="s">
        <v>817</v>
      </c>
      <c r="C748" s="18" t="s">
        <v>10</v>
      </c>
      <c r="D748" s="18" t="s">
        <v>183</v>
      </c>
      <c r="E748" s="9">
        <v>0.0</v>
      </c>
    </row>
    <row r="749">
      <c r="A749" s="13">
        <v>748.0</v>
      </c>
      <c r="B749" s="17" t="s">
        <v>818</v>
      </c>
      <c r="C749" s="18" t="s">
        <v>262</v>
      </c>
      <c r="D749" s="18" t="s">
        <v>183</v>
      </c>
      <c r="E749" s="9">
        <v>0.0</v>
      </c>
    </row>
    <row r="750">
      <c r="A750" s="13">
        <v>749.0</v>
      </c>
      <c r="B750" s="17" t="s">
        <v>320</v>
      </c>
      <c r="C750" s="18" t="s">
        <v>344</v>
      </c>
      <c r="D750" s="18" t="s">
        <v>193</v>
      </c>
      <c r="E750" s="9">
        <v>0.0</v>
      </c>
    </row>
    <row r="751">
      <c r="A751" s="13">
        <v>750.0</v>
      </c>
      <c r="B751" s="17" t="s">
        <v>199</v>
      </c>
      <c r="C751" s="18" t="s">
        <v>32</v>
      </c>
      <c r="D751" s="18" t="s">
        <v>193</v>
      </c>
      <c r="E751" s="9">
        <v>0.0</v>
      </c>
    </row>
    <row r="752">
      <c r="A752" s="13">
        <v>751.0</v>
      </c>
      <c r="B752" s="17" t="s">
        <v>195</v>
      </c>
      <c r="C752" s="18" t="s">
        <v>47</v>
      </c>
      <c r="D752" s="18" t="s">
        <v>193</v>
      </c>
      <c r="E752" s="9">
        <v>0.0</v>
      </c>
    </row>
    <row r="753">
      <c r="A753" s="13">
        <v>752.0</v>
      </c>
      <c r="B753" s="17" t="s">
        <v>321</v>
      </c>
      <c r="C753" s="18" t="s">
        <v>39</v>
      </c>
      <c r="D753" s="18" t="s">
        <v>193</v>
      </c>
      <c r="E753" s="9">
        <v>0.0</v>
      </c>
    </row>
    <row r="754">
      <c r="A754" s="13">
        <v>753.0</v>
      </c>
      <c r="B754" s="17" t="s">
        <v>330</v>
      </c>
      <c r="C754" s="18" t="s">
        <v>62</v>
      </c>
      <c r="D754" s="18" t="s">
        <v>193</v>
      </c>
      <c r="E754" s="9">
        <v>0.0</v>
      </c>
    </row>
    <row r="755">
      <c r="A755" s="13">
        <v>754.0</v>
      </c>
      <c r="B755" s="17" t="s">
        <v>319</v>
      </c>
      <c r="C755" s="18" t="s">
        <v>66</v>
      </c>
      <c r="D755" s="18" t="s">
        <v>193</v>
      </c>
      <c r="E755" s="9">
        <v>0.0</v>
      </c>
    </row>
    <row r="756">
      <c r="A756" s="13">
        <v>755.0</v>
      </c>
      <c r="B756" s="17" t="s">
        <v>196</v>
      </c>
      <c r="C756" s="18" t="s">
        <v>58</v>
      </c>
      <c r="D756" s="18" t="s">
        <v>193</v>
      </c>
      <c r="E756" s="9">
        <v>0.0</v>
      </c>
    </row>
    <row r="757">
      <c r="A757" s="13">
        <v>756.0</v>
      </c>
      <c r="B757" s="17" t="s">
        <v>202</v>
      </c>
      <c r="C757" s="18" t="s">
        <v>23</v>
      </c>
      <c r="D757" s="18" t="s">
        <v>193</v>
      </c>
      <c r="E757" s="9">
        <v>0.0</v>
      </c>
    </row>
    <row r="758">
      <c r="A758" s="13">
        <v>757.0</v>
      </c>
      <c r="B758" s="17" t="s">
        <v>324</v>
      </c>
      <c r="C758" s="18" t="s">
        <v>64</v>
      </c>
      <c r="D758" s="18" t="s">
        <v>193</v>
      </c>
      <c r="E758" s="9">
        <v>0.0</v>
      </c>
    </row>
    <row r="759">
      <c r="A759" s="13">
        <v>758.0</v>
      </c>
      <c r="B759" s="17" t="s">
        <v>327</v>
      </c>
      <c r="C759" s="18" t="s">
        <v>45</v>
      </c>
      <c r="D759" s="18" t="s">
        <v>193</v>
      </c>
      <c r="E759" s="9">
        <v>0.0</v>
      </c>
    </row>
    <row r="760">
      <c r="A760" s="13">
        <v>759.0</v>
      </c>
      <c r="B760" s="17" t="s">
        <v>329</v>
      </c>
      <c r="C760" s="18" t="s">
        <v>21</v>
      </c>
      <c r="D760" s="18" t="s">
        <v>193</v>
      </c>
      <c r="E760" s="9">
        <v>0.0</v>
      </c>
    </row>
    <row r="761">
      <c r="A761" s="13">
        <v>760.0</v>
      </c>
      <c r="B761" s="17" t="s">
        <v>323</v>
      </c>
      <c r="C761" s="18" t="s">
        <v>19</v>
      </c>
      <c r="D761" s="18" t="s">
        <v>193</v>
      </c>
      <c r="E761" s="9">
        <v>0.0</v>
      </c>
    </row>
    <row r="762">
      <c r="A762" s="13">
        <v>761.0</v>
      </c>
      <c r="B762" s="17" t="s">
        <v>335</v>
      </c>
      <c r="C762" s="18" t="s">
        <v>10</v>
      </c>
      <c r="D762" s="18" t="s">
        <v>193</v>
      </c>
      <c r="E762" s="9">
        <v>0.0</v>
      </c>
    </row>
    <row r="763">
      <c r="A763" s="13">
        <v>762.0</v>
      </c>
      <c r="B763" s="17" t="s">
        <v>326</v>
      </c>
      <c r="C763" s="18" t="s">
        <v>17</v>
      </c>
      <c r="D763" s="18" t="s">
        <v>193</v>
      </c>
      <c r="E763" s="9">
        <v>0.0</v>
      </c>
    </row>
    <row r="764">
      <c r="A764" s="13">
        <v>763.0</v>
      </c>
      <c r="B764" s="17" t="s">
        <v>337</v>
      </c>
      <c r="C764" s="18" t="s">
        <v>55</v>
      </c>
      <c r="D764" s="18" t="s">
        <v>193</v>
      </c>
      <c r="E764" s="9">
        <v>0.0</v>
      </c>
    </row>
    <row r="765">
      <c r="A765" s="13">
        <v>764.0</v>
      </c>
      <c r="B765" s="17" t="s">
        <v>201</v>
      </c>
      <c r="C765" s="18" t="s">
        <v>73</v>
      </c>
      <c r="D765" s="18" t="s">
        <v>193</v>
      </c>
      <c r="E765" s="9">
        <v>0.0</v>
      </c>
    </row>
    <row r="766">
      <c r="A766" s="13">
        <v>765.0</v>
      </c>
      <c r="B766" s="17" t="s">
        <v>331</v>
      </c>
      <c r="C766" s="18" t="s">
        <v>819</v>
      </c>
      <c r="D766" s="18" t="s">
        <v>193</v>
      </c>
      <c r="E766" s="9">
        <v>0.0</v>
      </c>
    </row>
    <row r="767">
      <c r="A767" s="13">
        <v>766.0</v>
      </c>
      <c r="B767" s="17" t="s">
        <v>338</v>
      </c>
      <c r="C767" s="18" t="s">
        <v>85</v>
      </c>
      <c r="D767" s="18" t="s">
        <v>193</v>
      </c>
      <c r="E767" s="9">
        <v>0.0</v>
      </c>
    </row>
    <row r="768">
      <c r="A768" s="13">
        <v>767.0</v>
      </c>
      <c r="B768" s="17" t="s">
        <v>333</v>
      </c>
      <c r="C768" s="18" t="s">
        <v>819</v>
      </c>
      <c r="D768" s="18" t="s">
        <v>193</v>
      </c>
      <c r="E768" s="9">
        <v>0.0</v>
      </c>
    </row>
    <row r="769">
      <c r="A769" s="13">
        <v>768.0</v>
      </c>
      <c r="B769" s="17" t="s">
        <v>820</v>
      </c>
      <c r="C769" s="18" t="s">
        <v>99</v>
      </c>
      <c r="D769" s="18" t="s">
        <v>193</v>
      </c>
      <c r="E769" s="9">
        <v>0.0</v>
      </c>
    </row>
    <row r="770">
      <c r="A770" s="13">
        <v>769.0</v>
      </c>
      <c r="B770" s="17" t="s">
        <v>332</v>
      </c>
      <c r="C770" s="18" t="s">
        <v>25</v>
      </c>
      <c r="D770" s="18" t="s">
        <v>193</v>
      </c>
      <c r="E770" s="9">
        <v>0.0</v>
      </c>
    </row>
    <row r="771">
      <c r="A771" s="13">
        <v>770.0</v>
      </c>
      <c r="B771" s="17" t="s">
        <v>339</v>
      </c>
      <c r="C771" s="18" t="s">
        <v>35</v>
      </c>
      <c r="D771" s="18" t="s">
        <v>193</v>
      </c>
      <c r="E771" s="9">
        <v>0.0</v>
      </c>
    </row>
    <row r="772">
      <c r="A772" s="13">
        <v>771.0</v>
      </c>
      <c r="B772" s="17" t="s">
        <v>336</v>
      </c>
      <c r="C772" s="18" t="s">
        <v>89</v>
      </c>
      <c r="D772" s="18" t="s">
        <v>193</v>
      </c>
      <c r="E772" s="9">
        <v>0.0</v>
      </c>
    </row>
    <row r="773">
      <c r="A773" s="13">
        <v>772.0</v>
      </c>
      <c r="B773" s="17" t="s">
        <v>340</v>
      </c>
      <c r="C773" s="18" t="s">
        <v>81</v>
      </c>
      <c r="D773" s="18" t="s">
        <v>193</v>
      </c>
      <c r="E773" s="9">
        <v>0.0</v>
      </c>
    </row>
  </sheetData>
  <autoFilter ref="$A$1:$E$77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0.63"/>
    <col customWidth="1" min="3" max="3" width="7.13"/>
    <col customWidth="1" min="4" max="4" width="9.25"/>
    <col customWidth="1" min="5" max="5" width="7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G1" s="5" t="s">
        <v>5</v>
      </c>
    </row>
    <row r="2">
      <c r="A2" s="19">
        <v>1.0</v>
      </c>
      <c r="B2" s="20" t="s">
        <v>6</v>
      </c>
      <c r="C2" s="18" t="s">
        <v>7</v>
      </c>
      <c r="D2" s="21" t="s">
        <v>8</v>
      </c>
      <c r="E2" s="22">
        <v>62.0</v>
      </c>
      <c r="G2" s="5"/>
    </row>
    <row r="3">
      <c r="A3" s="19">
        <v>2.0</v>
      </c>
      <c r="B3" s="23" t="s">
        <v>9</v>
      </c>
      <c r="C3" s="18" t="s">
        <v>10</v>
      </c>
      <c r="D3" s="21" t="s">
        <v>8</v>
      </c>
      <c r="E3" s="22">
        <v>60.0</v>
      </c>
    </row>
    <row r="4">
      <c r="A4" s="19">
        <v>3.0</v>
      </c>
      <c r="B4" s="23" t="s">
        <v>16</v>
      </c>
      <c r="C4" s="18" t="s">
        <v>17</v>
      </c>
      <c r="D4" s="21" t="s">
        <v>13</v>
      </c>
      <c r="E4" s="22">
        <v>59.0</v>
      </c>
    </row>
    <row r="5">
      <c r="A5" s="19">
        <v>4.0</v>
      </c>
      <c r="B5" s="23" t="s">
        <v>11</v>
      </c>
      <c r="C5" s="18" t="s">
        <v>12</v>
      </c>
      <c r="D5" s="21" t="s">
        <v>13</v>
      </c>
      <c r="E5" s="22">
        <v>54.0</v>
      </c>
    </row>
    <row r="6">
      <c r="A6" s="19">
        <v>5.0</v>
      </c>
      <c r="B6" s="23" t="s">
        <v>18</v>
      </c>
      <c r="C6" s="18" t="s">
        <v>19</v>
      </c>
      <c r="D6" s="21" t="s">
        <v>13</v>
      </c>
      <c r="E6" s="22">
        <v>48.0</v>
      </c>
    </row>
    <row r="7">
      <c r="A7" s="19">
        <v>7.0</v>
      </c>
      <c r="B7" s="23" t="s">
        <v>14</v>
      </c>
      <c r="C7" s="18" t="s">
        <v>15</v>
      </c>
      <c r="D7" s="21" t="s">
        <v>8</v>
      </c>
      <c r="E7" s="22">
        <v>47.0</v>
      </c>
    </row>
    <row r="8">
      <c r="A8" s="19">
        <v>6.0</v>
      </c>
      <c r="B8" s="23" t="s">
        <v>29</v>
      </c>
      <c r="C8" s="18" t="s">
        <v>30</v>
      </c>
      <c r="D8" s="21" t="s">
        <v>13</v>
      </c>
      <c r="E8" s="22">
        <v>44.0</v>
      </c>
    </row>
    <row r="9">
      <c r="A9" s="19">
        <v>8.0</v>
      </c>
      <c r="B9" s="23" t="s">
        <v>34</v>
      </c>
      <c r="C9" s="18" t="s">
        <v>35</v>
      </c>
      <c r="D9" s="21" t="s">
        <v>8</v>
      </c>
      <c r="E9" s="22">
        <v>43.0</v>
      </c>
    </row>
    <row r="10">
      <c r="A10" s="19">
        <v>9.0</v>
      </c>
      <c r="B10" s="23" t="s">
        <v>24</v>
      </c>
      <c r="C10" s="18" t="s">
        <v>821</v>
      </c>
      <c r="D10" s="21" t="s">
        <v>13</v>
      </c>
      <c r="E10" s="22">
        <v>43.0</v>
      </c>
    </row>
    <row r="11">
      <c r="A11" s="19">
        <v>10.0</v>
      </c>
      <c r="B11" s="23" t="s">
        <v>26</v>
      </c>
      <c r="C11" s="18" t="s">
        <v>17</v>
      </c>
      <c r="D11" s="21" t="s">
        <v>8</v>
      </c>
      <c r="E11" s="22">
        <v>42.0</v>
      </c>
    </row>
    <row r="12">
      <c r="A12" s="19">
        <v>10.9333333333333</v>
      </c>
      <c r="B12" s="23" t="s">
        <v>22</v>
      </c>
      <c r="C12" s="18" t="s">
        <v>23</v>
      </c>
      <c r="D12" s="21" t="s">
        <v>8</v>
      </c>
      <c r="E12" s="22">
        <v>41.0</v>
      </c>
    </row>
    <row r="13">
      <c r="A13" s="19">
        <v>11.9212121212121</v>
      </c>
      <c r="B13" s="23" t="s">
        <v>31</v>
      </c>
      <c r="C13" s="18" t="s">
        <v>32</v>
      </c>
      <c r="D13" s="21" t="s">
        <v>13</v>
      </c>
      <c r="E13" s="22">
        <v>41.0</v>
      </c>
    </row>
    <row r="14">
      <c r="A14" s="19">
        <v>12.9090909090909</v>
      </c>
      <c r="B14" s="23" t="s">
        <v>20</v>
      </c>
      <c r="C14" s="18" t="s">
        <v>21</v>
      </c>
      <c r="D14" s="21" t="s">
        <v>8</v>
      </c>
      <c r="E14" s="22">
        <v>39.0</v>
      </c>
    </row>
    <row r="15">
      <c r="A15" s="19">
        <v>13.8969696969697</v>
      </c>
      <c r="B15" s="23" t="s">
        <v>52</v>
      </c>
      <c r="C15" s="18" t="s">
        <v>53</v>
      </c>
      <c r="D15" s="21" t="s">
        <v>8</v>
      </c>
      <c r="E15" s="22">
        <v>38.0</v>
      </c>
    </row>
    <row r="16">
      <c r="A16" s="19">
        <v>14.8848484848485</v>
      </c>
      <c r="B16" s="23" t="s">
        <v>33</v>
      </c>
      <c r="C16" s="18" t="s">
        <v>19</v>
      </c>
      <c r="D16" s="21" t="s">
        <v>8</v>
      </c>
      <c r="E16" s="22">
        <v>35.0</v>
      </c>
    </row>
    <row r="17">
      <c r="A17" s="19">
        <v>15.8727272727273</v>
      </c>
      <c r="B17" s="23" t="s">
        <v>36</v>
      </c>
      <c r="C17" s="18" t="s">
        <v>37</v>
      </c>
      <c r="D17" s="21" t="s">
        <v>8</v>
      </c>
      <c r="E17" s="22">
        <v>35.0</v>
      </c>
    </row>
    <row r="18">
      <c r="A18" s="19">
        <v>16.8606060606061</v>
      </c>
      <c r="B18" s="23" t="s">
        <v>56</v>
      </c>
      <c r="C18" s="18" t="s">
        <v>37</v>
      </c>
      <c r="D18" s="21" t="s">
        <v>13</v>
      </c>
      <c r="E18" s="22">
        <v>35.0</v>
      </c>
    </row>
    <row r="19">
      <c r="A19" s="19">
        <v>17.8484848484848</v>
      </c>
      <c r="B19" s="23" t="s">
        <v>61</v>
      </c>
      <c r="C19" s="18" t="s">
        <v>62</v>
      </c>
      <c r="D19" s="21" t="s">
        <v>59</v>
      </c>
      <c r="E19" s="22">
        <v>35.0</v>
      </c>
    </row>
    <row r="20">
      <c r="A20" s="19">
        <v>18.8363636363636</v>
      </c>
      <c r="B20" s="23" t="s">
        <v>38</v>
      </c>
      <c r="C20" s="18" t="s">
        <v>39</v>
      </c>
      <c r="D20" s="21" t="s">
        <v>13</v>
      </c>
      <c r="E20" s="22">
        <v>34.0</v>
      </c>
    </row>
    <row r="21">
      <c r="A21" s="19">
        <v>19.8242424242424</v>
      </c>
      <c r="B21" s="23" t="s">
        <v>40</v>
      </c>
      <c r="C21" s="18" t="s">
        <v>41</v>
      </c>
      <c r="D21" s="21" t="s">
        <v>8</v>
      </c>
      <c r="E21" s="22">
        <v>33.0</v>
      </c>
    </row>
    <row r="22">
      <c r="A22" s="19">
        <v>20.8121212121212</v>
      </c>
      <c r="B22" s="23" t="s">
        <v>27</v>
      </c>
      <c r="C22" s="18" t="s">
        <v>28</v>
      </c>
      <c r="D22" s="21" t="s">
        <v>13</v>
      </c>
      <c r="E22" s="22">
        <v>33.0</v>
      </c>
    </row>
    <row r="23">
      <c r="A23" s="19">
        <v>21.8</v>
      </c>
      <c r="B23" s="23" t="s">
        <v>46</v>
      </c>
      <c r="C23" s="18" t="s">
        <v>47</v>
      </c>
      <c r="D23" s="21" t="s">
        <v>8</v>
      </c>
      <c r="E23" s="22">
        <v>32.0</v>
      </c>
    </row>
    <row r="24">
      <c r="A24" s="19">
        <v>22.7878787878788</v>
      </c>
      <c r="B24" s="23" t="s">
        <v>42</v>
      </c>
      <c r="C24" s="18" t="s">
        <v>43</v>
      </c>
      <c r="D24" s="21" t="s">
        <v>8</v>
      </c>
      <c r="E24" s="22">
        <v>32.0</v>
      </c>
    </row>
    <row r="25">
      <c r="A25" s="19">
        <v>23.7757575757576</v>
      </c>
      <c r="B25" s="23" t="s">
        <v>44</v>
      </c>
      <c r="C25" s="18" t="s">
        <v>45</v>
      </c>
      <c r="D25" s="21" t="s">
        <v>8</v>
      </c>
      <c r="E25" s="22">
        <v>30.0</v>
      </c>
    </row>
    <row r="26">
      <c r="A26" s="19">
        <v>24.7636363636364</v>
      </c>
      <c r="B26" s="23" t="s">
        <v>822</v>
      </c>
      <c r="C26" s="18" t="s">
        <v>7</v>
      </c>
      <c r="D26" s="21" t="s">
        <v>13</v>
      </c>
      <c r="E26" s="22">
        <v>28.0</v>
      </c>
    </row>
    <row r="27">
      <c r="A27" s="19">
        <v>25.7515151515152</v>
      </c>
      <c r="B27" s="23" t="s">
        <v>50</v>
      </c>
      <c r="C27" s="18" t="s">
        <v>19</v>
      </c>
      <c r="D27" s="21" t="s">
        <v>13</v>
      </c>
      <c r="E27" s="22">
        <v>27.0</v>
      </c>
    </row>
    <row r="28">
      <c r="A28" s="19">
        <v>26.7393939393939</v>
      </c>
      <c r="B28" s="23" t="s">
        <v>49</v>
      </c>
      <c r="C28" s="18" t="s">
        <v>15</v>
      </c>
      <c r="D28" s="21" t="s">
        <v>13</v>
      </c>
      <c r="E28" s="22">
        <v>26.0</v>
      </c>
    </row>
    <row r="29">
      <c r="A29" s="19">
        <v>27.7272727272727</v>
      </c>
      <c r="B29" s="23" t="s">
        <v>63</v>
      </c>
      <c r="C29" s="18" t="s">
        <v>64</v>
      </c>
      <c r="D29" s="21" t="s">
        <v>13</v>
      </c>
      <c r="E29" s="22">
        <v>26.0</v>
      </c>
    </row>
    <row r="30">
      <c r="A30" s="19">
        <v>28.7151515151515</v>
      </c>
      <c r="B30" s="23" t="s">
        <v>65</v>
      </c>
      <c r="C30" s="18" t="s">
        <v>66</v>
      </c>
      <c r="D30" s="21" t="s">
        <v>8</v>
      </c>
      <c r="E30" s="22">
        <v>25.0</v>
      </c>
    </row>
    <row r="31">
      <c r="A31" s="19">
        <v>29.7030303030303</v>
      </c>
      <c r="B31" s="23" t="s">
        <v>57</v>
      </c>
      <c r="C31" s="18" t="s">
        <v>58</v>
      </c>
      <c r="D31" s="21" t="s">
        <v>59</v>
      </c>
      <c r="E31" s="22">
        <v>25.0</v>
      </c>
    </row>
    <row r="32">
      <c r="A32" s="19">
        <v>30.6909090909091</v>
      </c>
      <c r="B32" s="23" t="s">
        <v>76</v>
      </c>
      <c r="C32" s="18" t="s">
        <v>30</v>
      </c>
      <c r="D32" s="21" t="s">
        <v>77</v>
      </c>
      <c r="E32" s="22">
        <v>24.0</v>
      </c>
    </row>
    <row r="33">
      <c r="A33" s="19">
        <v>31.6787878787879</v>
      </c>
      <c r="B33" s="23" t="s">
        <v>823</v>
      </c>
      <c r="C33" s="18" t="s">
        <v>824</v>
      </c>
      <c r="D33" s="21" t="s">
        <v>8</v>
      </c>
      <c r="E33" s="22">
        <v>24.0</v>
      </c>
    </row>
    <row r="34">
      <c r="A34" s="19">
        <v>32.6666666666667</v>
      </c>
      <c r="B34" s="23" t="s">
        <v>825</v>
      </c>
      <c r="C34" s="18" t="s">
        <v>10</v>
      </c>
      <c r="D34" s="21" t="s">
        <v>13</v>
      </c>
      <c r="E34" s="22">
        <v>24.0</v>
      </c>
    </row>
    <row r="35">
      <c r="A35" s="19">
        <v>33.6545454545455</v>
      </c>
      <c r="B35" s="23" t="s">
        <v>74</v>
      </c>
      <c r="C35" s="18" t="s">
        <v>23</v>
      </c>
      <c r="D35" s="21" t="s">
        <v>13</v>
      </c>
      <c r="E35" s="22">
        <v>24.0</v>
      </c>
    </row>
    <row r="36">
      <c r="A36" s="19">
        <v>34.6424242424242</v>
      </c>
      <c r="B36" s="23" t="s">
        <v>96</v>
      </c>
      <c r="C36" s="18" t="s">
        <v>15</v>
      </c>
      <c r="D36" s="21" t="s">
        <v>77</v>
      </c>
      <c r="E36" s="22">
        <v>22.0</v>
      </c>
    </row>
    <row r="37">
      <c r="A37" s="19">
        <v>35.630303030303</v>
      </c>
      <c r="B37" s="23" t="s">
        <v>86</v>
      </c>
      <c r="C37" s="18" t="s">
        <v>62</v>
      </c>
      <c r="D37" s="21" t="s">
        <v>77</v>
      </c>
      <c r="E37" s="22">
        <v>22.0</v>
      </c>
    </row>
    <row r="38">
      <c r="A38" s="19">
        <v>36.6181818181818</v>
      </c>
      <c r="B38" s="23" t="s">
        <v>48</v>
      </c>
      <c r="C38" s="18" t="s">
        <v>12</v>
      </c>
      <c r="D38" s="21" t="s">
        <v>8</v>
      </c>
      <c r="E38" s="22">
        <v>22.0</v>
      </c>
    </row>
    <row r="39">
      <c r="A39" s="19">
        <v>37.6060606060606</v>
      </c>
      <c r="B39" s="23" t="s">
        <v>79</v>
      </c>
      <c r="C39" s="18" t="s">
        <v>15</v>
      </c>
      <c r="D39" s="21" t="s">
        <v>13</v>
      </c>
      <c r="E39" s="22">
        <v>22.0</v>
      </c>
    </row>
    <row r="40">
      <c r="A40" s="19">
        <v>38.5939393939394</v>
      </c>
      <c r="B40" s="23" t="s">
        <v>70</v>
      </c>
      <c r="C40" s="18" t="s">
        <v>32</v>
      </c>
      <c r="D40" s="21" t="s">
        <v>8</v>
      </c>
      <c r="E40" s="22">
        <v>21.0</v>
      </c>
    </row>
    <row r="41">
      <c r="A41" s="19">
        <v>39.5818181818182</v>
      </c>
      <c r="B41" s="23" t="s">
        <v>826</v>
      </c>
      <c r="C41" s="18" t="s">
        <v>12</v>
      </c>
      <c r="D41" s="21" t="s">
        <v>13</v>
      </c>
      <c r="E41" s="22">
        <v>21.0</v>
      </c>
    </row>
    <row r="42">
      <c r="A42" s="19">
        <v>40.569696969697</v>
      </c>
      <c r="B42" s="23" t="s">
        <v>68</v>
      </c>
      <c r="C42" s="18" t="s">
        <v>69</v>
      </c>
      <c r="D42" s="21" t="s">
        <v>8</v>
      </c>
      <c r="E42" s="22">
        <v>20.0</v>
      </c>
    </row>
    <row r="43">
      <c r="A43" s="19">
        <v>41.5575757575758</v>
      </c>
      <c r="B43" s="23" t="s">
        <v>80</v>
      </c>
      <c r="C43" s="18" t="s">
        <v>81</v>
      </c>
      <c r="D43" s="21" t="s">
        <v>13</v>
      </c>
      <c r="E43" s="22">
        <v>20.0</v>
      </c>
    </row>
    <row r="44">
      <c r="A44" s="19">
        <v>42.5454545454545</v>
      </c>
      <c r="B44" s="23" t="s">
        <v>60</v>
      </c>
      <c r="C44" s="18" t="s">
        <v>39</v>
      </c>
      <c r="D44" s="21" t="s">
        <v>13</v>
      </c>
      <c r="E44" s="22">
        <v>20.0</v>
      </c>
    </row>
    <row r="45">
      <c r="A45" s="19">
        <v>43.5333333333333</v>
      </c>
      <c r="B45" s="23" t="s">
        <v>112</v>
      </c>
      <c r="C45" s="18" t="s">
        <v>58</v>
      </c>
      <c r="D45" s="21" t="s">
        <v>77</v>
      </c>
      <c r="E45" s="22">
        <v>19.0</v>
      </c>
    </row>
    <row r="46">
      <c r="A46" s="19">
        <v>44.5212121212121</v>
      </c>
      <c r="B46" s="23" t="s">
        <v>120</v>
      </c>
      <c r="C46" s="18" t="s">
        <v>45</v>
      </c>
      <c r="D46" s="21" t="s">
        <v>77</v>
      </c>
      <c r="E46" s="22">
        <v>19.0</v>
      </c>
    </row>
    <row r="47">
      <c r="A47" s="19">
        <v>45.5090909090909</v>
      </c>
      <c r="B47" s="23" t="s">
        <v>84</v>
      </c>
      <c r="C47" s="18" t="s">
        <v>85</v>
      </c>
      <c r="D47" s="21" t="s">
        <v>13</v>
      </c>
      <c r="E47" s="22">
        <v>19.0</v>
      </c>
    </row>
    <row r="48">
      <c r="A48" s="19">
        <v>46.4969696969697</v>
      </c>
      <c r="B48" s="23" t="s">
        <v>91</v>
      </c>
      <c r="C48" s="18" t="s">
        <v>55</v>
      </c>
      <c r="D48" s="21" t="s">
        <v>13</v>
      </c>
      <c r="E48" s="22">
        <v>19.0</v>
      </c>
    </row>
    <row r="49">
      <c r="A49" s="19">
        <v>47.4848484848485</v>
      </c>
      <c r="B49" s="23" t="s">
        <v>88</v>
      </c>
      <c r="C49" s="18" t="s">
        <v>89</v>
      </c>
      <c r="D49" s="21" t="s">
        <v>59</v>
      </c>
      <c r="E49" s="22">
        <v>19.0</v>
      </c>
    </row>
    <row r="50">
      <c r="A50" s="19">
        <v>48.4727272727273</v>
      </c>
      <c r="B50" s="23" t="s">
        <v>82</v>
      </c>
      <c r="C50" s="18" t="s">
        <v>45</v>
      </c>
      <c r="D50" s="21" t="s">
        <v>13</v>
      </c>
      <c r="E50" s="22">
        <v>18.0</v>
      </c>
    </row>
    <row r="51">
      <c r="A51" s="19">
        <v>49.4606060606061</v>
      </c>
      <c r="B51" s="23" t="s">
        <v>87</v>
      </c>
      <c r="C51" s="18" t="s">
        <v>35</v>
      </c>
      <c r="D51" s="21" t="s">
        <v>13</v>
      </c>
      <c r="E51" s="22">
        <v>18.0</v>
      </c>
    </row>
    <row r="52">
      <c r="A52" s="19">
        <v>50.4484848484848</v>
      </c>
      <c r="B52" s="23" t="s">
        <v>107</v>
      </c>
      <c r="C52" s="18" t="s">
        <v>28</v>
      </c>
      <c r="D52" s="21" t="s">
        <v>59</v>
      </c>
      <c r="E52" s="22">
        <v>18.0</v>
      </c>
    </row>
    <row r="53">
      <c r="A53" s="19">
        <v>51.4363636363636</v>
      </c>
      <c r="B53" s="23" t="s">
        <v>121</v>
      </c>
      <c r="C53" s="18" t="s">
        <v>32</v>
      </c>
      <c r="D53" s="21" t="s">
        <v>77</v>
      </c>
      <c r="E53" s="22">
        <v>17.0</v>
      </c>
    </row>
    <row r="54">
      <c r="A54" s="19">
        <v>52.4242424242424</v>
      </c>
      <c r="B54" s="23" t="s">
        <v>90</v>
      </c>
      <c r="C54" s="18" t="s">
        <v>28</v>
      </c>
      <c r="D54" s="21" t="s">
        <v>8</v>
      </c>
      <c r="E54" s="22">
        <v>17.0</v>
      </c>
    </row>
    <row r="55">
      <c r="A55" s="19">
        <v>53.4121212121212</v>
      </c>
      <c r="B55" s="23" t="s">
        <v>54</v>
      </c>
      <c r="C55" s="18" t="s">
        <v>55</v>
      </c>
      <c r="D55" s="21" t="s">
        <v>8</v>
      </c>
      <c r="E55" s="22">
        <v>17.0</v>
      </c>
    </row>
    <row r="56">
      <c r="A56" s="19">
        <v>54.4</v>
      </c>
      <c r="B56" s="23" t="s">
        <v>78</v>
      </c>
      <c r="C56" s="18" t="s">
        <v>73</v>
      </c>
      <c r="D56" s="21" t="s">
        <v>8</v>
      </c>
      <c r="E56" s="22">
        <v>17.0</v>
      </c>
    </row>
    <row r="57">
      <c r="A57" s="19">
        <v>55.3878787878788</v>
      </c>
      <c r="B57" s="23" t="s">
        <v>72</v>
      </c>
      <c r="C57" s="18" t="s">
        <v>73</v>
      </c>
      <c r="D57" s="21" t="s">
        <v>13</v>
      </c>
      <c r="E57" s="22">
        <v>17.0</v>
      </c>
    </row>
    <row r="58">
      <c r="A58" s="19">
        <v>56.3757575757576</v>
      </c>
      <c r="B58" s="23" t="s">
        <v>137</v>
      </c>
      <c r="C58" s="18" t="s">
        <v>47</v>
      </c>
      <c r="D58" s="21" t="s">
        <v>8</v>
      </c>
      <c r="E58" s="22">
        <v>16.0</v>
      </c>
    </row>
    <row r="59">
      <c r="A59" s="19">
        <v>57.3636363636364</v>
      </c>
      <c r="B59" s="23" t="s">
        <v>97</v>
      </c>
      <c r="C59" s="18" t="s">
        <v>64</v>
      </c>
      <c r="D59" s="21" t="s">
        <v>8</v>
      </c>
      <c r="E59" s="22">
        <v>16.0</v>
      </c>
    </row>
    <row r="60">
      <c r="A60" s="19">
        <v>58.3515151515152</v>
      </c>
      <c r="B60" s="23" t="s">
        <v>116</v>
      </c>
      <c r="C60" s="18" t="s">
        <v>58</v>
      </c>
      <c r="D60" s="21" t="s">
        <v>13</v>
      </c>
      <c r="E60" s="22">
        <v>16.0</v>
      </c>
    </row>
    <row r="61">
      <c r="A61" s="19">
        <v>59.3393939393939</v>
      </c>
      <c r="B61" s="23" t="s">
        <v>93</v>
      </c>
      <c r="C61" s="18" t="s">
        <v>43</v>
      </c>
      <c r="D61" s="21" t="s">
        <v>13</v>
      </c>
      <c r="E61" s="22">
        <v>16.0</v>
      </c>
    </row>
    <row r="62">
      <c r="A62" s="19">
        <v>60.3272727272727</v>
      </c>
      <c r="B62" s="23" t="s">
        <v>92</v>
      </c>
      <c r="C62" s="18" t="s">
        <v>43</v>
      </c>
      <c r="D62" s="21" t="s">
        <v>13</v>
      </c>
      <c r="E62" s="22">
        <v>16.0</v>
      </c>
    </row>
    <row r="63">
      <c r="A63" s="19">
        <v>61.3151515151515</v>
      </c>
      <c r="B63" s="23" t="s">
        <v>95</v>
      </c>
      <c r="C63" s="18" t="s">
        <v>30</v>
      </c>
      <c r="D63" s="21" t="s">
        <v>13</v>
      </c>
      <c r="E63" s="22">
        <v>16.0</v>
      </c>
    </row>
    <row r="64">
      <c r="A64" s="19">
        <v>62.3030303030303</v>
      </c>
      <c r="B64" s="23" t="s">
        <v>130</v>
      </c>
      <c r="C64" s="18" t="s">
        <v>69</v>
      </c>
      <c r="D64" s="21" t="s">
        <v>13</v>
      </c>
      <c r="E64" s="22">
        <v>16.0</v>
      </c>
    </row>
    <row r="65">
      <c r="A65" s="19">
        <v>63.2909090909091</v>
      </c>
      <c r="B65" s="23" t="s">
        <v>104</v>
      </c>
      <c r="C65" s="18" t="s">
        <v>41</v>
      </c>
      <c r="D65" s="21" t="s">
        <v>13</v>
      </c>
      <c r="E65" s="22">
        <v>16.0</v>
      </c>
    </row>
    <row r="66">
      <c r="A66" s="19">
        <v>64.2787878787879</v>
      </c>
      <c r="B66" s="23" t="s">
        <v>103</v>
      </c>
      <c r="C66" s="18" t="s">
        <v>821</v>
      </c>
      <c r="D66" s="21" t="s">
        <v>59</v>
      </c>
      <c r="E66" s="22">
        <v>16.0</v>
      </c>
    </row>
    <row r="67">
      <c r="A67" s="19">
        <v>65.2666666666667</v>
      </c>
      <c r="B67" s="23" t="s">
        <v>123</v>
      </c>
      <c r="C67" s="18" t="s">
        <v>37</v>
      </c>
      <c r="D67" s="21" t="s">
        <v>77</v>
      </c>
      <c r="E67" s="22">
        <v>15.0</v>
      </c>
    </row>
    <row r="68">
      <c r="A68" s="19">
        <v>66.2545454545455</v>
      </c>
      <c r="B68" s="23" t="s">
        <v>122</v>
      </c>
      <c r="C68" s="18" t="s">
        <v>64</v>
      </c>
      <c r="D68" s="21" t="s">
        <v>77</v>
      </c>
      <c r="E68" s="22">
        <v>15.0</v>
      </c>
    </row>
    <row r="69">
      <c r="A69" s="19">
        <v>67.2424242424243</v>
      </c>
      <c r="B69" s="23" t="s">
        <v>67</v>
      </c>
      <c r="C69" s="18" t="s">
        <v>58</v>
      </c>
      <c r="D69" s="21" t="s">
        <v>8</v>
      </c>
      <c r="E69" s="22">
        <v>15.0</v>
      </c>
    </row>
    <row r="70">
      <c r="A70" s="19">
        <v>68.230303030303</v>
      </c>
      <c r="B70" s="23" t="s">
        <v>75</v>
      </c>
      <c r="C70" s="18" t="s">
        <v>821</v>
      </c>
      <c r="D70" s="21" t="s">
        <v>8</v>
      </c>
      <c r="E70" s="22">
        <v>15.0</v>
      </c>
    </row>
    <row r="71">
      <c r="A71" s="19">
        <v>69.2181818181818</v>
      </c>
      <c r="B71" s="23" t="s">
        <v>110</v>
      </c>
      <c r="C71" s="18" t="s">
        <v>62</v>
      </c>
      <c r="D71" s="21" t="s">
        <v>13</v>
      </c>
      <c r="E71" s="22">
        <v>15.0</v>
      </c>
    </row>
    <row r="72">
      <c r="A72" s="19">
        <v>70.2060606060606</v>
      </c>
      <c r="B72" s="23" t="s">
        <v>109</v>
      </c>
      <c r="C72" s="18" t="s">
        <v>89</v>
      </c>
      <c r="D72" s="21" t="s">
        <v>13</v>
      </c>
      <c r="E72" s="22">
        <v>15.0</v>
      </c>
    </row>
    <row r="73">
      <c r="A73" s="19">
        <v>71.1939393939394</v>
      </c>
      <c r="B73" s="23" t="s">
        <v>83</v>
      </c>
      <c r="C73" s="18" t="s">
        <v>37</v>
      </c>
      <c r="D73" s="21" t="s">
        <v>13</v>
      </c>
      <c r="E73" s="22">
        <v>15.0</v>
      </c>
    </row>
    <row r="74">
      <c r="A74" s="19">
        <v>72.1818181818182</v>
      </c>
      <c r="B74" s="23" t="s">
        <v>113</v>
      </c>
      <c r="C74" s="18" t="s">
        <v>32</v>
      </c>
      <c r="D74" s="21" t="s">
        <v>59</v>
      </c>
      <c r="E74" s="22">
        <v>15.0</v>
      </c>
    </row>
    <row r="75">
      <c r="A75" s="19">
        <v>73.169696969697</v>
      </c>
      <c r="B75" s="23" t="s">
        <v>128</v>
      </c>
      <c r="C75" s="18" t="s">
        <v>32</v>
      </c>
      <c r="D75" s="21" t="s">
        <v>8</v>
      </c>
      <c r="E75" s="22">
        <v>14.0</v>
      </c>
    </row>
    <row r="76">
      <c r="A76" s="19">
        <v>74.1575757575758</v>
      </c>
      <c r="B76" s="23" t="s">
        <v>100</v>
      </c>
      <c r="C76" s="18" t="s">
        <v>85</v>
      </c>
      <c r="D76" s="21" t="s">
        <v>13</v>
      </c>
      <c r="E76" s="22">
        <v>14.0</v>
      </c>
    </row>
    <row r="77">
      <c r="A77" s="19">
        <v>75.1454545454546</v>
      </c>
      <c r="B77" s="23" t="s">
        <v>125</v>
      </c>
      <c r="C77" s="18" t="s">
        <v>19</v>
      </c>
      <c r="D77" s="21" t="s">
        <v>77</v>
      </c>
      <c r="E77" s="22">
        <v>13.0</v>
      </c>
    </row>
    <row r="78">
      <c r="A78" s="19">
        <v>76.1333333333333</v>
      </c>
      <c r="B78" s="23" t="s">
        <v>140</v>
      </c>
      <c r="C78" s="18" t="s">
        <v>39</v>
      </c>
      <c r="D78" s="21" t="s">
        <v>8</v>
      </c>
      <c r="E78" s="22">
        <v>12.0</v>
      </c>
    </row>
    <row r="79">
      <c r="A79" s="19">
        <v>77.1212121212121</v>
      </c>
      <c r="B79" s="23" t="s">
        <v>147</v>
      </c>
      <c r="C79" s="18" t="s">
        <v>28</v>
      </c>
      <c r="D79" s="21" t="s">
        <v>13</v>
      </c>
      <c r="E79" s="22">
        <v>12.0</v>
      </c>
    </row>
    <row r="80">
      <c r="A80" s="19">
        <v>78.1090909090909</v>
      </c>
      <c r="B80" s="23" t="s">
        <v>94</v>
      </c>
      <c r="C80" s="18" t="s">
        <v>66</v>
      </c>
      <c r="D80" s="21" t="s">
        <v>13</v>
      </c>
      <c r="E80" s="22">
        <v>11.0</v>
      </c>
    </row>
    <row r="81">
      <c r="A81" s="19">
        <v>79.0969696969697</v>
      </c>
      <c r="B81" s="23" t="s">
        <v>117</v>
      </c>
      <c r="C81" s="18" t="s">
        <v>824</v>
      </c>
      <c r="D81" s="21" t="s">
        <v>13</v>
      </c>
      <c r="E81" s="22">
        <v>11.0</v>
      </c>
    </row>
    <row r="82">
      <c r="A82" s="19">
        <v>80.0848484848485</v>
      </c>
      <c r="B82" s="23" t="s">
        <v>102</v>
      </c>
      <c r="C82" s="18" t="s">
        <v>30</v>
      </c>
      <c r="D82" s="21" t="s">
        <v>8</v>
      </c>
      <c r="E82" s="22">
        <v>10.0</v>
      </c>
    </row>
    <row r="83">
      <c r="A83" s="19">
        <v>81.0727272727273</v>
      </c>
      <c r="B83" s="23" t="s">
        <v>105</v>
      </c>
      <c r="C83" s="18" t="s">
        <v>821</v>
      </c>
      <c r="D83" s="21" t="s">
        <v>13</v>
      </c>
      <c r="E83" s="22">
        <v>10.0</v>
      </c>
    </row>
    <row r="84">
      <c r="A84" s="19">
        <v>82.0606060606061</v>
      </c>
      <c r="B84" s="23" t="s">
        <v>133</v>
      </c>
      <c r="C84" s="18" t="s">
        <v>53</v>
      </c>
      <c r="D84" s="21" t="s">
        <v>13</v>
      </c>
      <c r="E84" s="22">
        <v>10.0</v>
      </c>
    </row>
    <row r="85">
      <c r="A85" s="19">
        <v>83.0484848484849</v>
      </c>
      <c r="B85" s="23" t="s">
        <v>115</v>
      </c>
      <c r="C85" s="18" t="s">
        <v>62</v>
      </c>
      <c r="D85" s="21" t="s">
        <v>8</v>
      </c>
      <c r="E85" s="22">
        <v>9.0</v>
      </c>
    </row>
    <row r="86">
      <c r="A86" s="19">
        <v>84.0363636363637</v>
      </c>
      <c r="B86" s="23" t="s">
        <v>138</v>
      </c>
      <c r="C86" s="18" t="s">
        <v>119</v>
      </c>
      <c r="D86" s="21" t="s">
        <v>8</v>
      </c>
      <c r="E86" s="22">
        <v>9.0</v>
      </c>
    </row>
    <row r="87">
      <c r="A87" s="19">
        <v>85.0242424242424</v>
      </c>
      <c r="B87" s="23" t="s">
        <v>144</v>
      </c>
      <c r="C87" s="18" t="s">
        <v>30</v>
      </c>
      <c r="D87" s="21" t="s">
        <v>8</v>
      </c>
      <c r="E87" s="22">
        <v>9.0</v>
      </c>
    </row>
    <row r="88">
      <c r="A88" s="19">
        <v>86.0121212121212</v>
      </c>
      <c r="B88" s="23" t="s">
        <v>827</v>
      </c>
      <c r="C88" s="18" t="s">
        <v>85</v>
      </c>
      <c r="D88" s="21" t="s">
        <v>8</v>
      </c>
      <c r="E88" s="22">
        <v>9.0</v>
      </c>
    </row>
    <row r="89">
      <c r="A89" s="19">
        <v>87.0</v>
      </c>
      <c r="B89" s="23" t="s">
        <v>153</v>
      </c>
      <c r="C89" s="18" t="s">
        <v>37</v>
      </c>
      <c r="D89" s="21" t="s">
        <v>13</v>
      </c>
      <c r="E89" s="22">
        <v>9.0</v>
      </c>
    </row>
    <row r="90">
      <c r="A90" s="19">
        <v>87.9878787878788</v>
      </c>
      <c r="B90" s="23" t="s">
        <v>111</v>
      </c>
      <c r="C90" s="18" t="s">
        <v>64</v>
      </c>
      <c r="D90" s="21" t="s">
        <v>13</v>
      </c>
      <c r="E90" s="22">
        <v>9.0</v>
      </c>
    </row>
    <row r="91">
      <c r="A91" s="19">
        <v>88.9757575757576</v>
      </c>
      <c r="B91" s="23" t="s">
        <v>108</v>
      </c>
      <c r="C91" s="18" t="s">
        <v>17</v>
      </c>
      <c r="D91" s="21" t="s">
        <v>13</v>
      </c>
      <c r="E91" s="22">
        <v>9.0</v>
      </c>
    </row>
    <row r="92">
      <c r="A92" s="19">
        <v>89.9636363636364</v>
      </c>
      <c r="B92" s="23" t="s">
        <v>134</v>
      </c>
      <c r="C92" s="18" t="s">
        <v>47</v>
      </c>
      <c r="D92" s="21" t="s">
        <v>13</v>
      </c>
      <c r="E92" s="22">
        <v>9.0</v>
      </c>
    </row>
    <row r="93">
      <c r="A93" s="19">
        <v>90.9515151515152</v>
      </c>
      <c r="B93" s="23" t="s">
        <v>136</v>
      </c>
      <c r="C93" s="18" t="s">
        <v>41</v>
      </c>
      <c r="D93" s="21" t="s">
        <v>13</v>
      </c>
      <c r="E93" s="22">
        <v>9.0</v>
      </c>
    </row>
    <row r="94">
      <c r="A94" s="19">
        <v>91.939393939394</v>
      </c>
      <c r="B94" s="23" t="s">
        <v>154</v>
      </c>
      <c r="C94" s="18" t="s">
        <v>12</v>
      </c>
      <c r="D94" s="21" t="s">
        <v>77</v>
      </c>
      <c r="E94" s="22">
        <v>8.0</v>
      </c>
    </row>
    <row r="95">
      <c r="A95" s="19">
        <v>92.9272727272727</v>
      </c>
      <c r="B95" s="23" t="s">
        <v>124</v>
      </c>
      <c r="C95" s="18" t="s">
        <v>47</v>
      </c>
      <c r="D95" s="21" t="s">
        <v>77</v>
      </c>
      <c r="E95" s="22">
        <v>8.0</v>
      </c>
    </row>
    <row r="96">
      <c r="A96" s="19">
        <v>93.9151515151515</v>
      </c>
      <c r="B96" s="23" t="s">
        <v>155</v>
      </c>
      <c r="C96" s="18" t="s">
        <v>28</v>
      </c>
      <c r="D96" s="21" t="s">
        <v>77</v>
      </c>
      <c r="E96" s="22">
        <v>8.0</v>
      </c>
    </row>
    <row r="97">
      <c r="A97" s="19">
        <v>94.9030303030303</v>
      </c>
      <c r="B97" s="23" t="s">
        <v>114</v>
      </c>
      <c r="C97" s="18" t="s">
        <v>66</v>
      </c>
      <c r="D97" s="21" t="s">
        <v>8</v>
      </c>
      <c r="E97" s="22">
        <v>8.0</v>
      </c>
    </row>
    <row r="98">
      <c r="A98" s="19">
        <v>95.8909090909091</v>
      </c>
      <c r="B98" s="23" t="s">
        <v>118</v>
      </c>
      <c r="C98" s="18" t="s">
        <v>119</v>
      </c>
      <c r="D98" s="21" t="s">
        <v>8</v>
      </c>
      <c r="E98" s="22">
        <v>8.0</v>
      </c>
    </row>
    <row r="99">
      <c r="A99" s="19">
        <v>96.8787878787879</v>
      </c>
      <c r="B99" s="23" t="s">
        <v>148</v>
      </c>
      <c r="C99" s="18" t="s">
        <v>21</v>
      </c>
      <c r="D99" s="21" t="s">
        <v>13</v>
      </c>
      <c r="E99" s="22">
        <v>8.0</v>
      </c>
    </row>
    <row r="100">
      <c r="A100" s="19">
        <v>97.8666666666667</v>
      </c>
      <c r="B100" s="23" t="s">
        <v>135</v>
      </c>
      <c r="C100" s="18" t="s">
        <v>23</v>
      </c>
      <c r="D100" s="21" t="s">
        <v>13</v>
      </c>
      <c r="E100" s="22">
        <v>8.0</v>
      </c>
    </row>
    <row r="101">
      <c r="A101" s="19">
        <v>98.8545454545455</v>
      </c>
      <c r="B101" s="23" t="s">
        <v>132</v>
      </c>
      <c r="C101" s="18" t="s">
        <v>21</v>
      </c>
      <c r="D101" s="21" t="s">
        <v>13</v>
      </c>
      <c r="E101" s="22">
        <v>8.0</v>
      </c>
    </row>
    <row r="102">
      <c r="A102" s="19">
        <v>99.8424242424242</v>
      </c>
      <c r="B102" s="23" t="s">
        <v>131</v>
      </c>
      <c r="C102" s="18" t="s">
        <v>45</v>
      </c>
      <c r="D102" s="21" t="s">
        <v>13</v>
      </c>
      <c r="E102" s="22">
        <v>8.0</v>
      </c>
    </row>
    <row r="103">
      <c r="A103" s="19">
        <v>100.830303030303</v>
      </c>
      <c r="B103" s="23" t="s">
        <v>127</v>
      </c>
      <c r="C103" s="18" t="s">
        <v>35</v>
      </c>
      <c r="D103" s="21" t="s">
        <v>59</v>
      </c>
      <c r="E103" s="22">
        <v>8.0</v>
      </c>
    </row>
    <row r="104">
      <c r="A104" s="19">
        <v>101.818181818182</v>
      </c>
      <c r="B104" s="23" t="s">
        <v>126</v>
      </c>
      <c r="C104" s="18" t="s">
        <v>43</v>
      </c>
      <c r="D104" s="21" t="s">
        <v>77</v>
      </c>
      <c r="E104" s="22">
        <v>7.0</v>
      </c>
    </row>
    <row r="105">
      <c r="A105" s="19">
        <v>102.806060606061</v>
      </c>
      <c r="B105" s="23" t="s">
        <v>141</v>
      </c>
      <c r="C105" s="18" t="s">
        <v>85</v>
      </c>
      <c r="D105" s="21" t="s">
        <v>8</v>
      </c>
      <c r="E105" s="22">
        <v>7.0</v>
      </c>
    </row>
    <row r="106">
      <c r="A106" s="19">
        <v>103.793939393939</v>
      </c>
      <c r="B106" s="23" t="s">
        <v>149</v>
      </c>
      <c r="C106" s="18" t="s">
        <v>62</v>
      </c>
      <c r="D106" s="21" t="s">
        <v>13</v>
      </c>
      <c r="E106" s="22">
        <v>7.0</v>
      </c>
    </row>
    <row r="107">
      <c r="A107" s="19">
        <v>104.781818181818</v>
      </c>
      <c r="B107" s="23" t="s">
        <v>247</v>
      </c>
      <c r="C107" s="18" t="s">
        <v>32</v>
      </c>
      <c r="D107" s="21" t="s">
        <v>13</v>
      </c>
      <c r="E107" s="22">
        <v>7.0</v>
      </c>
    </row>
    <row r="108">
      <c r="A108" s="19">
        <v>105.769696969697</v>
      </c>
      <c r="B108" s="23" t="s">
        <v>157</v>
      </c>
      <c r="C108" s="18" t="s">
        <v>45</v>
      </c>
      <c r="D108" s="21" t="s">
        <v>59</v>
      </c>
      <c r="E108" s="22">
        <v>7.0</v>
      </c>
    </row>
    <row r="109">
      <c r="A109" s="19">
        <v>106.757575757576</v>
      </c>
      <c r="B109" s="23" t="s">
        <v>156</v>
      </c>
      <c r="C109" s="18" t="s">
        <v>64</v>
      </c>
      <c r="D109" s="21" t="s">
        <v>59</v>
      </c>
      <c r="E109" s="22">
        <v>7.0</v>
      </c>
    </row>
    <row r="110">
      <c r="A110" s="19">
        <v>107.745454545455</v>
      </c>
      <c r="B110" s="23" t="s">
        <v>173</v>
      </c>
      <c r="C110" s="18" t="s">
        <v>821</v>
      </c>
      <c r="D110" s="21" t="s">
        <v>77</v>
      </c>
      <c r="E110" s="22">
        <v>6.0</v>
      </c>
    </row>
    <row r="111">
      <c r="A111" s="19">
        <v>108.733333333333</v>
      </c>
      <c r="B111" s="23" t="s">
        <v>828</v>
      </c>
      <c r="C111" s="18" t="s">
        <v>43</v>
      </c>
      <c r="D111" s="21" t="s">
        <v>8</v>
      </c>
      <c r="E111" s="22">
        <v>6.0</v>
      </c>
    </row>
    <row r="112">
      <c r="A112" s="19">
        <v>109.721212121212</v>
      </c>
      <c r="B112" s="23" t="s">
        <v>151</v>
      </c>
      <c r="C112" s="18" t="s">
        <v>119</v>
      </c>
      <c r="D112" s="21" t="s">
        <v>13</v>
      </c>
      <c r="E112" s="22">
        <v>6.0</v>
      </c>
    </row>
    <row r="113">
      <c r="A113" s="19">
        <v>110.709090909091</v>
      </c>
      <c r="B113" s="23" t="s">
        <v>170</v>
      </c>
      <c r="C113" s="18" t="s">
        <v>62</v>
      </c>
      <c r="D113" s="21" t="s">
        <v>13</v>
      </c>
      <c r="E113" s="22">
        <v>6.0</v>
      </c>
    </row>
    <row r="114">
      <c r="A114" s="19">
        <v>111.69696969697</v>
      </c>
      <c r="B114" s="23" t="s">
        <v>101</v>
      </c>
      <c r="C114" s="18" t="s">
        <v>89</v>
      </c>
      <c r="D114" s="21" t="s">
        <v>8</v>
      </c>
      <c r="E114" s="22">
        <v>5.0</v>
      </c>
    </row>
    <row r="115">
      <c r="A115" s="19">
        <v>112.684848484848</v>
      </c>
      <c r="B115" s="23" t="s">
        <v>169</v>
      </c>
      <c r="C115" s="18" t="s">
        <v>62</v>
      </c>
      <c r="D115" s="21" t="s">
        <v>13</v>
      </c>
      <c r="E115" s="22">
        <v>5.0</v>
      </c>
    </row>
    <row r="116">
      <c r="A116" s="19">
        <v>113.672727272727</v>
      </c>
      <c r="B116" s="23" t="s">
        <v>246</v>
      </c>
      <c r="C116" s="18" t="s">
        <v>32</v>
      </c>
      <c r="D116" s="21" t="s">
        <v>13</v>
      </c>
      <c r="E116" s="22">
        <v>5.0</v>
      </c>
    </row>
    <row r="117">
      <c r="A117" s="19">
        <v>114.660606060606</v>
      </c>
      <c r="B117" s="23" t="s">
        <v>178</v>
      </c>
      <c r="C117" s="18" t="s">
        <v>55</v>
      </c>
      <c r="D117" s="21" t="s">
        <v>59</v>
      </c>
      <c r="E117" s="22">
        <v>5.0</v>
      </c>
    </row>
    <row r="118">
      <c r="A118" s="19">
        <v>115.648484848485</v>
      </c>
      <c r="B118" s="23" t="s">
        <v>174</v>
      </c>
      <c r="C118" s="18" t="s">
        <v>17</v>
      </c>
      <c r="D118" s="21" t="s">
        <v>77</v>
      </c>
      <c r="E118" s="22">
        <v>4.0</v>
      </c>
    </row>
    <row r="119">
      <c r="A119" s="19">
        <v>116.636363636364</v>
      </c>
      <c r="B119" s="23" t="s">
        <v>203</v>
      </c>
      <c r="C119" s="18" t="s">
        <v>81</v>
      </c>
      <c r="D119" s="21" t="s">
        <v>8</v>
      </c>
      <c r="E119" s="22">
        <v>4.0</v>
      </c>
    </row>
    <row r="120">
      <c r="A120" s="19">
        <v>117.624242424242</v>
      </c>
      <c r="B120" s="23" t="s">
        <v>143</v>
      </c>
      <c r="C120" s="18" t="s">
        <v>69</v>
      </c>
      <c r="D120" s="21" t="s">
        <v>8</v>
      </c>
      <c r="E120" s="22">
        <v>4.0</v>
      </c>
    </row>
    <row r="121">
      <c r="A121" s="19">
        <v>118.612121212121</v>
      </c>
      <c r="B121" s="23" t="s">
        <v>225</v>
      </c>
      <c r="C121" s="18" t="s">
        <v>821</v>
      </c>
      <c r="D121" s="21" t="s">
        <v>8</v>
      </c>
      <c r="E121" s="22">
        <v>4.0</v>
      </c>
    </row>
    <row r="122">
      <c r="A122" s="19">
        <v>119.6</v>
      </c>
      <c r="B122" s="23" t="s">
        <v>139</v>
      </c>
      <c r="C122" s="18" t="s">
        <v>824</v>
      </c>
      <c r="D122" s="21" t="s">
        <v>8</v>
      </c>
      <c r="E122" s="22">
        <v>4.0</v>
      </c>
    </row>
    <row r="123">
      <c r="A123" s="19">
        <v>120.587878787879</v>
      </c>
      <c r="B123" s="23" t="s">
        <v>150</v>
      </c>
      <c r="C123" s="18" t="s">
        <v>41</v>
      </c>
      <c r="D123" s="21" t="s">
        <v>13</v>
      </c>
      <c r="E123" s="22">
        <v>4.0</v>
      </c>
    </row>
    <row r="124">
      <c r="A124" s="19">
        <v>121.575757575758</v>
      </c>
      <c r="B124" s="23" t="s">
        <v>165</v>
      </c>
      <c r="C124" s="18" t="s">
        <v>19</v>
      </c>
      <c r="D124" s="21" t="s">
        <v>13</v>
      </c>
      <c r="E124" s="22">
        <v>4.0</v>
      </c>
    </row>
    <row r="125">
      <c r="A125" s="19">
        <v>122.563636363636</v>
      </c>
      <c r="B125" s="23" t="s">
        <v>152</v>
      </c>
      <c r="C125" s="18" t="s">
        <v>53</v>
      </c>
      <c r="D125" s="21" t="s">
        <v>13</v>
      </c>
      <c r="E125" s="22">
        <v>4.0</v>
      </c>
    </row>
    <row r="126">
      <c r="A126" s="19">
        <v>123.551515151515</v>
      </c>
      <c r="B126" s="23" t="s">
        <v>244</v>
      </c>
      <c r="C126" s="18" t="s">
        <v>119</v>
      </c>
      <c r="D126" s="21" t="s">
        <v>13</v>
      </c>
      <c r="E126" s="22">
        <v>4.0</v>
      </c>
    </row>
    <row r="127">
      <c r="A127" s="19">
        <v>124.539393939394</v>
      </c>
      <c r="B127" s="23" t="s">
        <v>258</v>
      </c>
      <c r="C127" s="18" t="s">
        <v>23</v>
      </c>
      <c r="D127" s="21" t="s">
        <v>13</v>
      </c>
      <c r="E127" s="22">
        <v>4.0</v>
      </c>
    </row>
    <row r="128">
      <c r="A128" s="19">
        <v>125.527272727273</v>
      </c>
      <c r="B128" s="23" t="s">
        <v>538</v>
      </c>
      <c r="C128" s="18" t="s">
        <v>47</v>
      </c>
      <c r="D128" s="21" t="s">
        <v>13</v>
      </c>
      <c r="E128" s="22">
        <v>4.0</v>
      </c>
    </row>
    <row r="129">
      <c r="A129" s="19">
        <v>126.515151515152</v>
      </c>
      <c r="B129" s="23" t="s">
        <v>159</v>
      </c>
      <c r="C129" s="18" t="s">
        <v>23</v>
      </c>
      <c r="D129" s="21" t="s">
        <v>59</v>
      </c>
      <c r="E129" s="22">
        <v>4.0</v>
      </c>
    </row>
    <row r="130">
      <c r="A130" s="19">
        <v>127.50303030303</v>
      </c>
      <c r="B130" s="23" t="s">
        <v>158</v>
      </c>
      <c r="C130" s="18" t="s">
        <v>39</v>
      </c>
      <c r="D130" s="21" t="s">
        <v>59</v>
      </c>
      <c r="E130" s="22">
        <v>4.0</v>
      </c>
    </row>
    <row r="131">
      <c r="A131" s="19">
        <v>128.490909090909</v>
      </c>
      <c r="B131" s="23" t="s">
        <v>176</v>
      </c>
      <c r="C131" s="18" t="s">
        <v>39</v>
      </c>
      <c r="D131" s="21" t="s">
        <v>77</v>
      </c>
      <c r="E131" s="22">
        <v>3.0</v>
      </c>
    </row>
    <row r="132">
      <c r="A132" s="19">
        <v>129.478787878788</v>
      </c>
      <c r="B132" s="23" t="s">
        <v>146</v>
      </c>
      <c r="C132" s="18" t="s">
        <v>7</v>
      </c>
      <c r="D132" s="21" t="s">
        <v>8</v>
      </c>
      <c r="E132" s="22">
        <v>3.0</v>
      </c>
    </row>
    <row r="133">
      <c r="A133" s="19">
        <v>130.466666666667</v>
      </c>
      <c r="B133" s="23" t="s">
        <v>162</v>
      </c>
      <c r="C133" s="18" t="s">
        <v>73</v>
      </c>
      <c r="D133" s="21" t="s">
        <v>8</v>
      </c>
      <c r="E133" s="22">
        <v>3.0</v>
      </c>
    </row>
    <row r="134">
      <c r="A134" s="19">
        <v>131.454545454545</v>
      </c>
      <c r="B134" s="23" t="s">
        <v>164</v>
      </c>
      <c r="C134" s="18" t="s">
        <v>81</v>
      </c>
      <c r="D134" s="21" t="s">
        <v>8</v>
      </c>
      <c r="E134" s="22">
        <v>3.0</v>
      </c>
    </row>
    <row r="135">
      <c r="A135" s="19">
        <v>132.442424242424</v>
      </c>
      <c r="B135" s="23" t="s">
        <v>829</v>
      </c>
      <c r="C135" s="18" t="s">
        <v>824</v>
      </c>
      <c r="D135" s="21" t="s">
        <v>13</v>
      </c>
      <c r="E135" s="22">
        <v>3.0</v>
      </c>
    </row>
    <row r="136">
      <c r="A136" s="19">
        <v>133.430303030303</v>
      </c>
      <c r="B136" s="23" t="s">
        <v>171</v>
      </c>
      <c r="C136" s="18" t="s">
        <v>10</v>
      </c>
      <c r="D136" s="21" t="s">
        <v>13</v>
      </c>
      <c r="E136" s="22">
        <v>3.0</v>
      </c>
    </row>
    <row r="137">
      <c r="A137" s="19">
        <v>134.418181818182</v>
      </c>
      <c r="B137" s="23" t="s">
        <v>168</v>
      </c>
      <c r="C137" s="18" t="s">
        <v>73</v>
      </c>
      <c r="D137" s="21" t="s">
        <v>13</v>
      </c>
      <c r="E137" s="22">
        <v>3.0</v>
      </c>
    </row>
    <row r="138">
      <c r="A138" s="19">
        <v>135.406060606061</v>
      </c>
      <c r="B138" s="23" t="s">
        <v>301</v>
      </c>
      <c r="C138" s="18" t="s">
        <v>43</v>
      </c>
      <c r="D138" s="21" t="s">
        <v>59</v>
      </c>
      <c r="E138" s="22">
        <v>3.0</v>
      </c>
    </row>
    <row r="139">
      <c r="A139" s="19">
        <v>136.393939393939</v>
      </c>
      <c r="B139" s="23" t="s">
        <v>161</v>
      </c>
      <c r="C139" s="18" t="s">
        <v>30</v>
      </c>
      <c r="D139" s="21" t="s">
        <v>59</v>
      </c>
      <c r="E139" s="22">
        <v>3.0</v>
      </c>
    </row>
    <row r="140">
      <c r="A140" s="19">
        <v>137.381818181818</v>
      </c>
      <c r="B140" s="23" t="s">
        <v>279</v>
      </c>
      <c r="C140" s="18" t="s">
        <v>21</v>
      </c>
      <c r="D140" s="21" t="s">
        <v>77</v>
      </c>
      <c r="E140" s="22">
        <v>2.0</v>
      </c>
    </row>
    <row r="141">
      <c r="A141" s="19">
        <v>138.369696969697</v>
      </c>
      <c r="B141" s="23" t="s">
        <v>830</v>
      </c>
      <c r="C141" s="18" t="s">
        <v>12</v>
      </c>
      <c r="D141" s="21" t="s">
        <v>8</v>
      </c>
      <c r="E141" s="22">
        <v>2.0</v>
      </c>
    </row>
    <row r="142">
      <c r="A142" s="19">
        <v>139.357575757576</v>
      </c>
      <c r="B142" s="23" t="s">
        <v>218</v>
      </c>
      <c r="C142" s="18" t="s">
        <v>64</v>
      </c>
      <c r="D142" s="21" t="s">
        <v>8</v>
      </c>
      <c r="E142" s="22">
        <v>2.0</v>
      </c>
    </row>
    <row r="143">
      <c r="A143" s="19">
        <v>140.345454545455</v>
      </c>
      <c r="B143" s="23" t="s">
        <v>212</v>
      </c>
      <c r="C143" s="18" t="s">
        <v>35</v>
      </c>
      <c r="D143" s="21" t="s">
        <v>8</v>
      </c>
      <c r="E143" s="22">
        <v>2.0</v>
      </c>
    </row>
    <row r="144">
      <c r="A144" s="19">
        <v>141.333333333333</v>
      </c>
      <c r="B144" s="23" t="s">
        <v>222</v>
      </c>
      <c r="C144" s="18" t="s">
        <v>55</v>
      </c>
      <c r="D144" s="21" t="s">
        <v>8</v>
      </c>
      <c r="E144" s="22">
        <v>2.0</v>
      </c>
    </row>
    <row r="145">
      <c r="A145" s="19">
        <v>142.321212121212</v>
      </c>
      <c r="B145" s="23" t="s">
        <v>206</v>
      </c>
      <c r="C145" s="18" t="s">
        <v>17</v>
      </c>
      <c r="D145" s="21" t="s">
        <v>8</v>
      </c>
      <c r="E145" s="22">
        <v>2.0</v>
      </c>
    </row>
    <row r="146">
      <c r="A146" s="19">
        <v>143.309090909091</v>
      </c>
      <c r="B146" s="23" t="s">
        <v>205</v>
      </c>
      <c r="C146" s="18" t="s">
        <v>15</v>
      </c>
      <c r="D146" s="21" t="s">
        <v>8</v>
      </c>
      <c r="E146" s="22">
        <v>2.0</v>
      </c>
    </row>
    <row r="147">
      <c r="A147" s="19">
        <v>144.29696969697</v>
      </c>
      <c r="B147" s="23" t="s">
        <v>831</v>
      </c>
      <c r="C147" s="18" t="s">
        <v>41</v>
      </c>
      <c r="D147" s="21" t="s">
        <v>8</v>
      </c>
      <c r="E147" s="22">
        <v>2.0</v>
      </c>
    </row>
    <row r="148">
      <c r="A148" s="19">
        <v>145.284848484849</v>
      </c>
      <c r="B148" s="23" t="s">
        <v>163</v>
      </c>
      <c r="C148" s="18" t="s">
        <v>39</v>
      </c>
      <c r="D148" s="21" t="s">
        <v>8</v>
      </c>
      <c r="E148" s="22">
        <v>2.0</v>
      </c>
    </row>
    <row r="149">
      <c r="A149" s="19">
        <v>146.272727272727</v>
      </c>
      <c r="B149" s="23" t="s">
        <v>254</v>
      </c>
      <c r="C149" s="18" t="s">
        <v>7</v>
      </c>
      <c r="D149" s="21" t="s">
        <v>13</v>
      </c>
      <c r="E149" s="22">
        <v>2.0</v>
      </c>
    </row>
    <row r="150">
      <c r="A150" s="19">
        <v>147.260606060606</v>
      </c>
      <c r="B150" s="23" t="s">
        <v>245</v>
      </c>
      <c r="C150" s="18" t="s">
        <v>15</v>
      </c>
      <c r="D150" s="21" t="s">
        <v>13</v>
      </c>
      <c r="E150" s="22">
        <v>2.0</v>
      </c>
    </row>
    <row r="151">
      <c r="A151" s="19">
        <v>148.248484848485</v>
      </c>
      <c r="B151" s="23" t="s">
        <v>129</v>
      </c>
      <c r="C151" s="18" t="s">
        <v>69</v>
      </c>
      <c r="D151" s="21" t="s">
        <v>13</v>
      </c>
      <c r="E151" s="22">
        <v>2.0</v>
      </c>
    </row>
    <row r="152">
      <c r="A152" s="19">
        <v>149.236363636364</v>
      </c>
      <c r="B152" s="23" t="s">
        <v>177</v>
      </c>
      <c r="C152" s="18" t="s">
        <v>85</v>
      </c>
      <c r="D152" s="21" t="s">
        <v>59</v>
      </c>
      <c r="E152" s="22">
        <v>2.0</v>
      </c>
    </row>
    <row r="153">
      <c r="A153" s="19">
        <v>150.224242424242</v>
      </c>
      <c r="B153" s="23" t="s">
        <v>160</v>
      </c>
      <c r="C153" s="18" t="s">
        <v>119</v>
      </c>
      <c r="D153" s="21" t="s">
        <v>59</v>
      </c>
      <c r="E153" s="22">
        <v>2.0</v>
      </c>
    </row>
    <row r="154">
      <c r="A154" s="19">
        <v>151.212121212121</v>
      </c>
      <c r="B154" s="23" t="s">
        <v>181</v>
      </c>
      <c r="C154" s="18" t="s">
        <v>12</v>
      </c>
      <c r="D154" s="21" t="s">
        <v>59</v>
      </c>
      <c r="E154" s="22">
        <v>2.0</v>
      </c>
    </row>
    <row r="155">
      <c r="A155" s="19">
        <v>152.2</v>
      </c>
      <c r="B155" s="23" t="s">
        <v>302</v>
      </c>
      <c r="C155" s="18" t="s">
        <v>15</v>
      </c>
      <c r="D155" s="21" t="s">
        <v>59</v>
      </c>
      <c r="E155" s="22">
        <v>2.0</v>
      </c>
    </row>
    <row r="156">
      <c r="A156" s="19">
        <v>153.187878787879</v>
      </c>
      <c r="B156" s="23" t="s">
        <v>282</v>
      </c>
      <c r="C156" s="18" t="s">
        <v>7</v>
      </c>
      <c r="D156" s="21" t="s">
        <v>77</v>
      </c>
      <c r="E156" s="22">
        <v>1.0</v>
      </c>
    </row>
    <row r="157">
      <c r="A157" s="19">
        <v>154.175757575758</v>
      </c>
      <c r="B157" s="23" t="s">
        <v>284</v>
      </c>
      <c r="C157" s="18" t="s">
        <v>10</v>
      </c>
      <c r="D157" s="21" t="s">
        <v>77</v>
      </c>
      <c r="E157" s="22">
        <v>1.0</v>
      </c>
    </row>
    <row r="158">
      <c r="A158" s="19">
        <v>155.163636363636</v>
      </c>
      <c r="B158" s="23" t="s">
        <v>275</v>
      </c>
      <c r="C158" s="18" t="s">
        <v>55</v>
      </c>
      <c r="D158" s="21" t="s">
        <v>77</v>
      </c>
      <c r="E158" s="22">
        <v>1.0</v>
      </c>
    </row>
    <row r="159">
      <c r="A159" s="19">
        <v>156.151515151515</v>
      </c>
      <c r="B159" s="23" t="s">
        <v>277</v>
      </c>
      <c r="C159" s="18" t="s">
        <v>73</v>
      </c>
      <c r="D159" s="21" t="s">
        <v>77</v>
      </c>
      <c r="E159" s="22">
        <v>1.0</v>
      </c>
    </row>
    <row r="160">
      <c r="A160" s="19">
        <v>157.139393939394</v>
      </c>
      <c r="B160" s="23" t="s">
        <v>175</v>
      </c>
      <c r="C160" s="18" t="s">
        <v>824</v>
      </c>
      <c r="D160" s="21" t="s">
        <v>77</v>
      </c>
      <c r="E160" s="22">
        <v>1.0</v>
      </c>
    </row>
    <row r="161">
      <c r="A161" s="19">
        <v>158.127272727273</v>
      </c>
      <c r="B161" s="23" t="s">
        <v>283</v>
      </c>
      <c r="C161" s="18" t="s">
        <v>35</v>
      </c>
      <c r="D161" s="21" t="s">
        <v>77</v>
      </c>
      <c r="E161" s="22">
        <v>1.0</v>
      </c>
    </row>
    <row r="162">
      <c r="A162" s="19">
        <v>159.115151515152</v>
      </c>
      <c r="B162" s="23" t="s">
        <v>281</v>
      </c>
      <c r="C162" s="18" t="s">
        <v>119</v>
      </c>
      <c r="D162" s="21" t="s">
        <v>77</v>
      </c>
      <c r="E162" s="22">
        <v>1.0</v>
      </c>
    </row>
    <row r="163">
      <c r="A163" s="19">
        <v>160.10303030303</v>
      </c>
      <c r="B163" s="23" t="s">
        <v>276</v>
      </c>
      <c r="C163" s="18" t="s">
        <v>53</v>
      </c>
      <c r="D163" s="21" t="s">
        <v>77</v>
      </c>
      <c r="E163" s="22">
        <v>1.0</v>
      </c>
    </row>
    <row r="164">
      <c r="A164" s="19">
        <v>161.090909090909</v>
      </c>
      <c r="B164" s="23" t="s">
        <v>285</v>
      </c>
      <c r="C164" s="18" t="s">
        <v>81</v>
      </c>
      <c r="D164" s="21" t="s">
        <v>77</v>
      </c>
      <c r="E164" s="22">
        <v>1.0</v>
      </c>
    </row>
    <row r="165">
      <c r="A165" s="19">
        <v>162.078787878788</v>
      </c>
      <c r="B165" s="23" t="s">
        <v>290</v>
      </c>
      <c r="C165" s="18" t="s">
        <v>66</v>
      </c>
      <c r="D165" s="21" t="s">
        <v>77</v>
      </c>
      <c r="E165" s="22">
        <v>1.0</v>
      </c>
    </row>
    <row r="166">
      <c r="A166" s="19">
        <v>163.066666666667</v>
      </c>
      <c r="B166" s="23" t="s">
        <v>278</v>
      </c>
      <c r="C166" s="18" t="s">
        <v>69</v>
      </c>
      <c r="D166" s="21" t="s">
        <v>77</v>
      </c>
      <c r="E166" s="22">
        <v>1.0</v>
      </c>
    </row>
    <row r="167">
      <c r="A167" s="19">
        <v>164.054545454546</v>
      </c>
      <c r="B167" s="23" t="s">
        <v>286</v>
      </c>
      <c r="C167" s="18" t="s">
        <v>89</v>
      </c>
      <c r="D167" s="21" t="s">
        <v>77</v>
      </c>
      <c r="E167" s="22">
        <v>1.0</v>
      </c>
    </row>
    <row r="168">
      <c r="A168" s="19">
        <v>165.042424242424</v>
      </c>
      <c r="B168" s="23" t="s">
        <v>274</v>
      </c>
      <c r="C168" s="18" t="s">
        <v>66</v>
      </c>
      <c r="D168" s="21" t="s">
        <v>77</v>
      </c>
      <c r="E168" s="22">
        <v>1.0</v>
      </c>
    </row>
    <row r="169">
      <c r="A169" s="19">
        <v>166.030303030303</v>
      </c>
      <c r="B169" s="23" t="s">
        <v>280</v>
      </c>
      <c r="C169" s="18" t="s">
        <v>41</v>
      </c>
      <c r="D169" s="21" t="s">
        <v>77</v>
      </c>
      <c r="E169" s="22">
        <v>1.0</v>
      </c>
    </row>
    <row r="170">
      <c r="A170" s="19">
        <v>167.018181818182</v>
      </c>
      <c r="B170" s="23" t="s">
        <v>288</v>
      </c>
      <c r="C170" s="18" t="s">
        <v>85</v>
      </c>
      <c r="D170" s="21" t="s">
        <v>77</v>
      </c>
      <c r="E170" s="22">
        <v>1.0</v>
      </c>
    </row>
    <row r="171">
      <c r="A171" s="19">
        <v>168.006060606061</v>
      </c>
      <c r="B171" s="23" t="s">
        <v>289</v>
      </c>
      <c r="C171" s="18" t="s">
        <v>23</v>
      </c>
      <c r="D171" s="21" t="s">
        <v>77</v>
      </c>
      <c r="E171" s="22">
        <v>1.0</v>
      </c>
    </row>
    <row r="172">
      <c r="A172" s="19">
        <v>168.993939393939</v>
      </c>
      <c r="B172" s="23" t="s">
        <v>287</v>
      </c>
      <c r="C172" s="18" t="s">
        <v>23</v>
      </c>
      <c r="D172" s="21" t="s">
        <v>77</v>
      </c>
      <c r="E172" s="22">
        <v>1.0</v>
      </c>
    </row>
    <row r="173">
      <c r="A173" s="19">
        <v>169.981818181818</v>
      </c>
      <c r="B173" s="23" t="s">
        <v>293</v>
      </c>
      <c r="C173" s="18" t="s">
        <v>85</v>
      </c>
      <c r="D173" s="21" t="s">
        <v>77</v>
      </c>
      <c r="E173" s="22">
        <v>1.0</v>
      </c>
    </row>
    <row r="174">
      <c r="A174" s="19">
        <v>170.969696969697</v>
      </c>
      <c r="B174" s="23" t="s">
        <v>482</v>
      </c>
      <c r="C174" s="18" t="s">
        <v>41</v>
      </c>
      <c r="D174" s="21" t="s">
        <v>77</v>
      </c>
      <c r="E174" s="22">
        <v>1.0</v>
      </c>
    </row>
    <row r="175">
      <c r="A175" s="19">
        <v>171.957575757576</v>
      </c>
      <c r="B175" s="23" t="s">
        <v>478</v>
      </c>
      <c r="C175" s="18" t="s">
        <v>53</v>
      </c>
      <c r="D175" s="21" t="s">
        <v>77</v>
      </c>
      <c r="E175" s="22">
        <v>1.0</v>
      </c>
    </row>
    <row r="176">
      <c r="A176" s="19">
        <v>172.945454545455</v>
      </c>
      <c r="B176" s="23" t="s">
        <v>476</v>
      </c>
      <c r="C176" s="18" t="s">
        <v>58</v>
      </c>
      <c r="D176" s="21" t="s">
        <v>77</v>
      </c>
      <c r="E176" s="22">
        <v>1.0</v>
      </c>
    </row>
    <row r="177">
      <c r="A177" s="19">
        <v>173.933333333333</v>
      </c>
      <c r="B177" s="23" t="s">
        <v>498</v>
      </c>
      <c r="C177" s="18" t="s">
        <v>55</v>
      </c>
      <c r="D177" s="21" t="s">
        <v>77</v>
      </c>
      <c r="E177" s="22">
        <v>1.0</v>
      </c>
    </row>
    <row r="178">
      <c r="A178" s="19">
        <v>174.921212121212</v>
      </c>
      <c r="B178" s="23" t="s">
        <v>486</v>
      </c>
      <c r="C178" s="18" t="s">
        <v>45</v>
      </c>
      <c r="D178" s="21" t="s">
        <v>77</v>
      </c>
      <c r="E178" s="22">
        <v>1.0</v>
      </c>
    </row>
    <row r="179">
      <c r="A179" s="19">
        <v>175.909090909091</v>
      </c>
      <c r="B179" s="23" t="s">
        <v>487</v>
      </c>
      <c r="C179" s="18" t="s">
        <v>19</v>
      </c>
      <c r="D179" s="21" t="s">
        <v>77</v>
      </c>
      <c r="E179" s="22">
        <v>1.0</v>
      </c>
    </row>
    <row r="180">
      <c r="A180" s="19">
        <v>176.89696969697</v>
      </c>
      <c r="B180" s="23" t="s">
        <v>496</v>
      </c>
      <c r="C180" s="18" t="s">
        <v>32</v>
      </c>
      <c r="D180" s="21" t="s">
        <v>77</v>
      </c>
      <c r="E180" s="22">
        <v>1.0</v>
      </c>
    </row>
    <row r="181">
      <c r="A181" s="19">
        <v>177.884848484849</v>
      </c>
      <c r="B181" s="23" t="s">
        <v>493</v>
      </c>
      <c r="C181" s="18" t="s">
        <v>824</v>
      </c>
      <c r="D181" s="21" t="s">
        <v>77</v>
      </c>
      <c r="E181" s="22">
        <v>1.0</v>
      </c>
    </row>
    <row r="182">
      <c r="A182" s="19">
        <v>178.872727272727</v>
      </c>
      <c r="B182" s="23" t="s">
        <v>489</v>
      </c>
      <c r="C182" s="18" t="s">
        <v>62</v>
      </c>
      <c r="D182" s="21" t="s">
        <v>77</v>
      </c>
      <c r="E182" s="22">
        <v>1.0</v>
      </c>
    </row>
    <row r="183">
      <c r="A183" s="19">
        <v>179.860606060606</v>
      </c>
      <c r="B183" s="23" t="s">
        <v>483</v>
      </c>
      <c r="C183" s="18" t="s">
        <v>30</v>
      </c>
      <c r="D183" s="21" t="s">
        <v>77</v>
      </c>
      <c r="E183" s="22">
        <v>1.0</v>
      </c>
    </row>
    <row r="184">
      <c r="A184" s="19">
        <v>180.848484848485</v>
      </c>
      <c r="B184" s="23" t="s">
        <v>502</v>
      </c>
      <c r="C184" s="18" t="s">
        <v>15</v>
      </c>
      <c r="D184" s="21" t="s">
        <v>77</v>
      </c>
      <c r="E184" s="22">
        <v>1.0</v>
      </c>
    </row>
    <row r="185">
      <c r="A185" s="19">
        <v>181.836363636364</v>
      </c>
      <c r="B185" s="23" t="s">
        <v>503</v>
      </c>
      <c r="C185" s="18" t="s">
        <v>119</v>
      </c>
      <c r="D185" s="21" t="s">
        <v>77</v>
      </c>
      <c r="E185" s="22">
        <v>1.0</v>
      </c>
    </row>
    <row r="186">
      <c r="A186" s="19">
        <v>182.824242424242</v>
      </c>
      <c r="B186" s="23" t="s">
        <v>499</v>
      </c>
      <c r="C186" s="18" t="s">
        <v>37</v>
      </c>
      <c r="D186" s="21" t="s">
        <v>77</v>
      </c>
      <c r="E186" s="22">
        <v>1.0</v>
      </c>
    </row>
    <row r="187">
      <c r="A187" s="19">
        <v>183.812121212121</v>
      </c>
      <c r="B187" s="23" t="s">
        <v>217</v>
      </c>
      <c r="C187" s="18" t="s">
        <v>45</v>
      </c>
      <c r="D187" s="21" t="s">
        <v>8</v>
      </c>
      <c r="E187" s="22">
        <v>1.0</v>
      </c>
    </row>
    <row r="188">
      <c r="A188" s="19">
        <v>184.8</v>
      </c>
      <c r="B188" s="23" t="s">
        <v>832</v>
      </c>
      <c r="C188" s="18" t="s">
        <v>73</v>
      </c>
      <c r="D188" s="21" t="s">
        <v>8</v>
      </c>
      <c r="E188" s="22">
        <v>1.0</v>
      </c>
    </row>
    <row r="189">
      <c r="A189" s="19">
        <v>185.787878787879</v>
      </c>
      <c r="B189" s="23" t="s">
        <v>215</v>
      </c>
      <c r="C189" s="18" t="s">
        <v>37</v>
      </c>
      <c r="D189" s="21" t="s">
        <v>8</v>
      </c>
      <c r="E189" s="22">
        <v>1.0</v>
      </c>
    </row>
    <row r="190">
      <c r="A190" s="19">
        <v>186.775757575758</v>
      </c>
      <c r="B190" s="23" t="s">
        <v>207</v>
      </c>
      <c r="C190" s="18" t="s">
        <v>58</v>
      </c>
      <c r="D190" s="21" t="s">
        <v>8</v>
      </c>
      <c r="E190" s="22">
        <v>1.0</v>
      </c>
    </row>
    <row r="191">
      <c r="A191" s="19">
        <v>187.763636363636</v>
      </c>
      <c r="B191" s="23" t="s">
        <v>233</v>
      </c>
      <c r="C191" s="18" t="s">
        <v>28</v>
      </c>
      <c r="D191" s="21" t="s">
        <v>8</v>
      </c>
      <c r="E191" s="22">
        <v>1.0</v>
      </c>
    </row>
    <row r="192">
      <c r="A192" s="19">
        <v>188.751515151515</v>
      </c>
      <c r="B192" s="23" t="s">
        <v>229</v>
      </c>
      <c r="C192" s="18" t="s">
        <v>10</v>
      </c>
      <c r="D192" s="21" t="s">
        <v>8</v>
      </c>
      <c r="E192" s="22">
        <v>1.0</v>
      </c>
    </row>
    <row r="193">
      <c r="A193" s="19">
        <v>189.739393939394</v>
      </c>
      <c r="B193" s="23" t="s">
        <v>210</v>
      </c>
      <c r="C193" s="18" t="s">
        <v>89</v>
      </c>
      <c r="D193" s="21" t="s">
        <v>8</v>
      </c>
      <c r="E193" s="22">
        <v>1.0</v>
      </c>
    </row>
    <row r="194">
      <c r="A194" s="19">
        <v>190.727272727273</v>
      </c>
      <c r="B194" s="23" t="s">
        <v>216</v>
      </c>
      <c r="C194" s="18" t="s">
        <v>81</v>
      </c>
      <c r="D194" s="21" t="s">
        <v>8</v>
      </c>
      <c r="E194" s="22">
        <v>1.0</v>
      </c>
    </row>
    <row r="195">
      <c r="A195" s="19">
        <v>191.715151515152</v>
      </c>
      <c r="B195" s="23" t="s">
        <v>209</v>
      </c>
      <c r="C195" s="18" t="s">
        <v>62</v>
      </c>
      <c r="D195" s="21" t="s">
        <v>8</v>
      </c>
      <c r="E195" s="22">
        <v>1.0</v>
      </c>
    </row>
    <row r="196">
      <c r="A196" s="19">
        <v>192.70303030303</v>
      </c>
      <c r="B196" s="23" t="s">
        <v>220</v>
      </c>
      <c r="C196" s="18" t="s">
        <v>89</v>
      </c>
      <c r="D196" s="21" t="s">
        <v>8</v>
      </c>
      <c r="E196" s="22">
        <v>1.0</v>
      </c>
    </row>
    <row r="197">
      <c r="A197" s="19">
        <v>193.690909090909</v>
      </c>
      <c r="B197" s="23" t="s">
        <v>365</v>
      </c>
      <c r="C197" s="18" t="s">
        <v>821</v>
      </c>
      <c r="D197" s="21" t="s">
        <v>8</v>
      </c>
      <c r="E197" s="22">
        <v>1.0</v>
      </c>
    </row>
    <row r="198">
      <c r="A198" s="19">
        <v>194.678787878788</v>
      </c>
      <c r="B198" s="23" t="s">
        <v>223</v>
      </c>
      <c r="C198" s="18" t="s">
        <v>19</v>
      </c>
      <c r="D198" s="21" t="s">
        <v>8</v>
      </c>
      <c r="E198" s="22">
        <v>1.0</v>
      </c>
    </row>
    <row r="199">
      <c r="A199" s="19">
        <v>195.666666666667</v>
      </c>
      <c r="B199" s="23" t="s">
        <v>226</v>
      </c>
      <c r="C199" s="18" t="s">
        <v>53</v>
      </c>
      <c r="D199" s="21" t="s">
        <v>8</v>
      </c>
      <c r="E199" s="22">
        <v>1.0</v>
      </c>
    </row>
    <row r="200">
      <c r="A200" s="19">
        <v>196.654545454546</v>
      </c>
      <c r="B200" s="23" t="s">
        <v>833</v>
      </c>
      <c r="C200" s="18" t="s">
        <v>62</v>
      </c>
      <c r="D200" s="21" t="s">
        <v>8</v>
      </c>
      <c r="E200" s="22">
        <v>1.0</v>
      </c>
    </row>
    <row r="201">
      <c r="A201" s="19">
        <v>197.642424242424</v>
      </c>
      <c r="B201" s="23" t="s">
        <v>227</v>
      </c>
      <c r="C201" s="18" t="s">
        <v>64</v>
      </c>
      <c r="D201" s="21" t="s">
        <v>8</v>
      </c>
      <c r="E201" s="22">
        <v>1.0</v>
      </c>
    </row>
    <row r="202">
      <c r="A202" s="19">
        <v>198.630303030303</v>
      </c>
      <c r="B202" s="23" t="s">
        <v>381</v>
      </c>
      <c r="C202" s="18" t="s">
        <v>28</v>
      </c>
      <c r="D202" s="21" t="s">
        <v>8</v>
      </c>
      <c r="E202" s="22">
        <v>1.0</v>
      </c>
    </row>
    <row r="203">
      <c r="A203" s="19">
        <v>199.618181818182</v>
      </c>
      <c r="B203" s="23" t="s">
        <v>213</v>
      </c>
      <c r="C203" s="18" t="s">
        <v>821</v>
      </c>
      <c r="D203" s="21" t="s">
        <v>8</v>
      </c>
      <c r="E203" s="22">
        <v>1.0</v>
      </c>
    </row>
    <row r="204">
      <c r="A204" s="19">
        <v>200.606060606061</v>
      </c>
      <c r="B204" s="23" t="s">
        <v>346</v>
      </c>
      <c r="C204" s="18" t="s">
        <v>66</v>
      </c>
      <c r="D204" s="21" t="s">
        <v>8</v>
      </c>
      <c r="E204" s="22">
        <v>1.0</v>
      </c>
    </row>
    <row r="205">
      <c r="A205" s="19">
        <v>201.593939393939</v>
      </c>
      <c r="B205" s="23" t="s">
        <v>239</v>
      </c>
      <c r="C205" s="18" t="s">
        <v>119</v>
      </c>
      <c r="D205" s="21" t="s">
        <v>8</v>
      </c>
      <c r="E205" s="22">
        <v>1.0</v>
      </c>
    </row>
    <row r="206">
      <c r="A206" s="19">
        <v>202.581818181818</v>
      </c>
      <c r="B206" s="23" t="s">
        <v>834</v>
      </c>
      <c r="C206" s="18" t="s">
        <v>28</v>
      </c>
      <c r="D206" s="21" t="s">
        <v>8</v>
      </c>
      <c r="E206" s="22">
        <v>1.0</v>
      </c>
    </row>
    <row r="207">
      <c r="A207" s="19">
        <v>203.569696969697</v>
      </c>
      <c r="B207" s="23" t="s">
        <v>211</v>
      </c>
      <c r="C207" s="18" t="s">
        <v>39</v>
      </c>
      <c r="D207" s="21" t="s">
        <v>8</v>
      </c>
      <c r="E207" s="22">
        <v>1.0</v>
      </c>
    </row>
    <row r="208">
      <c r="A208" s="19">
        <v>204.557575757576</v>
      </c>
      <c r="B208" s="23" t="s">
        <v>224</v>
      </c>
      <c r="C208" s="18" t="s">
        <v>21</v>
      </c>
      <c r="D208" s="21" t="s">
        <v>8</v>
      </c>
      <c r="E208" s="22">
        <v>1.0</v>
      </c>
    </row>
    <row r="209">
      <c r="A209" s="19">
        <v>205.545454545455</v>
      </c>
      <c r="B209" s="23" t="s">
        <v>374</v>
      </c>
      <c r="C209" s="18" t="s">
        <v>41</v>
      </c>
      <c r="D209" s="21" t="s">
        <v>8</v>
      </c>
      <c r="E209" s="22">
        <v>1.0</v>
      </c>
    </row>
    <row r="210">
      <c r="A210" s="19">
        <v>206.533333333333</v>
      </c>
      <c r="B210" s="23" t="s">
        <v>371</v>
      </c>
      <c r="C210" s="18" t="s">
        <v>62</v>
      </c>
      <c r="D210" s="21" t="s">
        <v>8</v>
      </c>
      <c r="E210" s="22">
        <v>1.0</v>
      </c>
    </row>
    <row r="211">
      <c r="A211" s="19">
        <v>207.521212121212</v>
      </c>
      <c r="B211" s="23" t="s">
        <v>231</v>
      </c>
      <c r="C211" s="18" t="s">
        <v>21</v>
      </c>
      <c r="D211" s="21" t="s">
        <v>8</v>
      </c>
      <c r="E211" s="22">
        <v>1.0</v>
      </c>
    </row>
    <row r="212">
      <c r="A212" s="19">
        <v>208.509090909091</v>
      </c>
      <c r="B212" s="23" t="s">
        <v>382</v>
      </c>
      <c r="C212" s="18" t="s">
        <v>85</v>
      </c>
      <c r="D212" s="21" t="s">
        <v>8</v>
      </c>
      <c r="E212" s="22">
        <v>1.0</v>
      </c>
    </row>
    <row r="213">
      <c r="A213" s="19">
        <v>209.49696969697</v>
      </c>
      <c r="B213" s="23" t="s">
        <v>237</v>
      </c>
      <c r="C213" s="18" t="s">
        <v>35</v>
      </c>
      <c r="D213" s="21" t="s">
        <v>8</v>
      </c>
      <c r="E213" s="22">
        <v>1.0</v>
      </c>
    </row>
    <row r="214">
      <c r="A214" s="19">
        <v>210.484848484849</v>
      </c>
      <c r="B214" s="23" t="s">
        <v>835</v>
      </c>
      <c r="C214" s="18" t="s">
        <v>30</v>
      </c>
      <c r="D214" s="21" t="s">
        <v>8</v>
      </c>
      <c r="E214" s="22">
        <v>1.0</v>
      </c>
    </row>
    <row r="215">
      <c r="A215" s="19">
        <v>211.472727272727</v>
      </c>
      <c r="B215" s="23" t="s">
        <v>228</v>
      </c>
      <c r="C215" s="18" t="s">
        <v>10</v>
      </c>
      <c r="D215" s="21" t="s">
        <v>8</v>
      </c>
      <c r="E215" s="22">
        <v>1.0</v>
      </c>
    </row>
    <row r="216">
      <c r="A216" s="19">
        <v>212.460606060606</v>
      </c>
      <c r="B216" s="23" t="s">
        <v>353</v>
      </c>
      <c r="C216" s="18" t="s">
        <v>55</v>
      </c>
      <c r="D216" s="21" t="s">
        <v>8</v>
      </c>
      <c r="E216" s="22">
        <v>1.0</v>
      </c>
    </row>
    <row r="217">
      <c r="A217" s="19">
        <v>213.448484848485</v>
      </c>
      <c r="B217" s="23" t="s">
        <v>347</v>
      </c>
      <c r="C217" s="18" t="s">
        <v>39</v>
      </c>
      <c r="D217" s="21" t="s">
        <v>8</v>
      </c>
      <c r="E217" s="22">
        <v>1.0</v>
      </c>
    </row>
    <row r="218">
      <c r="A218" s="19">
        <v>214.436363636364</v>
      </c>
      <c r="B218" s="23" t="s">
        <v>357</v>
      </c>
      <c r="C218" s="18" t="s">
        <v>58</v>
      </c>
      <c r="D218" s="21" t="s">
        <v>8</v>
      </c>
      <c r="E218" s="22">
        <v>1.0</v>
      </c>
    </row>
    <row r="219">
      <c r="A219" s="19">
        <v>215.424242424242</v>
      </c>
      <c r="B219" s="23" t="s">
        <v>234</v>
      </c>
      <c r="C219" s="18" t="s">
        <v>85</v>
      </c>
      <c r="D219" s="21" t="s">
        <v>8</v>
      </c>
      <c r="E219" s="22">
        <v>1.0</v>
      </c>
    </row>
    <row r="220">
      <c r="A220" s="19">
        <v>216.412121212121</v>
      </c>
      <c r="B220" s="23" t="s">
        <v>351</v>
      </c>
      <c r="C220" s="18" t="s">
        <v>69</v>
      </c>
      <c r="D220" s="21" t="s">
        <v>8</v>
      </c>
      <c r="E220" s="22">
        <v>1.0</v>
      </c>
    </row>
    <row r="221">
      <c r="A221" s="19">
        <v>217.4</v>
      </c>
      <c r="B221" s="23" t="s">
        <v>232</v>
      </c>
      <c r="C221" s="18" t="s">
        <v>37</v>
      </c>
      <c r="D221" s="21" t="s">
        <v>8</v>
      </c>
      <c r="E221" s="22">
        <v>1.0</v>
      </c>
    </row>
    <row r="222">
      <c r="A222" s="19">
        <v>218.387878787879</v>
      </c>
      <c r="B222" s="23" t="s">
        <v>358</v>
      </c>
      <c r="C222" s="18" t="s">
        <v>69</v>
      </c>
      <c r="D222" s="21" t="s">
        <v>8</v>
      </c>
      <c r="E222" s="22">
        <v>1.0</v>
      </c>
    </row>
    <row r="223">
      <c r="A223" s="19">
        <v>219.375757575758</v>
      </c>
      <c r="B223" s="23" t="s">
        <v>376</v>
      </c>
      <c r="C223" s="18" t="s">
        <v>35</v>
      </c>
      <c r="D223" s="21" t="s">
        <v>8</v>
      </c>
      <c r="E223" s="22">
        <v>1.0</v>
      </c>
    </row>
    <row r="224">
      <c r="A224" s="19">
        <v>220.363636363636</v>
      </c>
      <c r="B224" s="23" t="s">
        <v>836</v>
      </c>
      <c r="C224" s="18" t="s">
        <v>23</v>
      </c>
      <c r="D224" s="21" t="s">
        <v>8</v>
      </c>
      <c r="E224" s="22">
        <v>1.0</v>
      </c>
    </row>
    <row r="225">
      <c r="A225" s="19">
        <v>221.351515151515</v>
      </c>
      <c r="B225" s="23" t="s">
        <v>230</v>
      </c>
      <c r="C225" s="18" t="s">
        <v>19</v>
      </c>
      <c r="D225" s="21" t="s">
        <v>8</v>
      </c>
      <c r="E225" s="22">
        <v>1.0</v>
      </c>
    </row>
    <row r="226">
      <c r="A226" s="19">
        <v>222.339393939394</v>
      </c>
      <c r="B226" s="23" t="s">
        <v>240</v>
      </c>
      <c r="C226" s="18" t="s">
        <v>37</v>
      </c>
      <c r="D226" s="21" t="s">
        <v>8</v>
      </c>
      <c r="E226" s="22">
        <v>1.0</v>
      </c>
    </row>
    <row r="227">
      <c r="A227" s="19">
        <v>223.327272727273</v>
      </c>
      <c r="B227" s="23" t="s">
        <v>349</v>
      </c>
      <c r="C227" s="18" t="s">
        <v>30</v>
      </c>
      <c r="D227" s="21" t="s">
        <v>8</v>
      </c>
      <c r="E227" s="22">
        <v>1.0</v>
      </c>
    </row>
    <row r="228">
      <c r="A228" s="19">
        <v>224.315151515152</v>
      </c>
      <c r="B228" s="23" t="s">
        <v>415</v>
      </c>
      <c r="C228" s="18" t="s">
        <v>81</v>
      </c>
      <c r="D228" s="21" t="s">
        <v>8</v>
      </c>
      <c r="E228" s="22">
        <v>1.0</v>
      </c>
    </row>
    <row r="229">
      <c r="A229" s="19">
        <v>225.30303030303</v>
      </c>
      <c r="B229" s="23" t="s">
        <v>243</v>
      </c>
      <c r="C229" s="18" t="s">
        <v>58</v>
      </c>
      <c r="D229" s="21" t="s">
        <v>8</v>
      </c>
      <c r="E229" s="22">
        <v>1.0</v>
      </c>
    </row>
    <row r="230">
      <c r="A230" s="19">
        <v>226.290909090909</v>
      </c>
      <c r="B230" s="23" t="s">
        <v>837</v>
      </c>
      <c r="C230" s="18" t="s">
        <v>23</v>
      </c>
      <c r="D230" s="21" t="s">
        <v>8</v>
      </c>
      <c r="E230" s="22">
        <v>1.0</v>
      </c>
    </row>
    <row r="231">
      <c r="A231" s="19">
        <v>227.278787878788</v>
      </c>
      <c r="B231" s="23" t="s">
        <v>352</v>
      </c>
      <c r="C231" s="18" t="s">
        <v>15</v>
      </c>
      <c r="D231" s="21" t="s">
        <v>8</v>
      </c>
      <c r="E231" s="22">
        <v>1.0</v>
      </c>
    </row>
    <row r="232">
      <c r="A232" s="19">
        <v>228.266666666667</v>
      </c>
      <c r="B232" s="23" t="s">
        <v>235</v>
      </c>
      <c r="C232" s="18" t="s">
        <v>45</v>
      </c>
      <c r="D232" s="21" t="s">
        <v>8</v>
      </c>
      <c r="E232" s="22">
        <v>1.0</v>
      </c>
    </row>
    <row r="233">
      <c r="A233" s="19">
        <v>229.254545454546</v>
      </c>
      <c r="B233" s="23" t="s">
        <v>838</v>
      </c>
      <c r="C233" s="18" t="s">
        <v>32</v>
      </c>
      <c r="D233" s="21" t="s">
        <v>8</v>
      </c>
      <c r="E233" s="22">
        <v>1.0</v>
      </c>
    </row>
    <row r="234">
      <c r="A234" s="19">
        <v>230.242424242424</v>
      </c>
      <c r="B234" s="23" t="s">
        <v>350</v>
      </c>
      <c r="C234" s="18" t="s">
        <v>7</v>
      </c>
      <c r="D234" s="21" t="s">
        <v>8</v>
      </c>
      <c r="E234" s="22">
        <v>1.0</v>
      </c>
    </row>
    <row r="235">
      <c r="A235" s="19">
        <v>231.230303030303</v>
      </c>
      <c r="B235" s="23" t="s">
        <v>422</v>
      </c>
      <c r="C235" s="18" t="s">
        <v>53</v>
      </c>
      <c r="D235" s="21" t="s">
        <v>8</v>
      </c>
      <c r="E235" s="22">
        <v>1.0</v>
      </c>
    </row>
    <row r="236">
      <c r="A236" s="19">
        <v>232.218181818182</v>
      </c>
      <c r="B236" s="23" t="s">
        <v>416</v>
      </c>
      <c r="C236" s="18" t="s">
        <v>7</v>
      </c>
      <c r="D236" s="21" t="s">
        <v>8</v>
      </c>
      <c r="E236" s="22">
        <v>1.0</v>
      </c>
    </row>
    <row r="237">
      <c r="A237" s="19">
        <v>233.206060606061</v>
      </c>
      <c r="B237" s="23" t="s">
        <v>345</v>
      </c>
      <c r="C237" s="18" t="s">
        <v>28</v>
      </c>
      <c r="D237" s="21" t="s">
        <v>8</v>
      </c>
      <c r="E237" s="22">
        <v>1.0</v>
      </c>
    </row>
    <row r="238">
      <c r="A238" s="19">
        <v>234.193939393939</v>
      </c>
      <c r="B238" s="23" t="s">
        <v>392</v>
      </c>
      <c r="C238" s="18" t="s">
        <v>17</v>
      </c>
      <c r="D238" s="21" t="s">
        <v>8</v>
      </c>
      <c r="E238" s="22">
        <v>1.0</v>
      </c>
    </row>
    <row r="239">
      <c r="A239" s="19">
        <v>235.181818181818</v>
      </c>
      <c r="B239" s="23" t="s">
        <v>389</v>
      </c>
      <c r="C239" s="18" t="s">
        <v>35</v>
      </c>
      <c r="D239" s="21" t="s">
        <v>8</v>
      </c>
      <c r="E239" s="22">
        <v>1.0</v>
      </c>
    </row>
    <row r="240">
      <c r="A240" s="19">
        <v>236.169696969697</v>
      </c>
      <c r="B240" s="23" t="s">
        <v>360</v>
      </c>
      <c r="C240" s="18" t="s">
        <v>73</v>
      </c>
      <c r="D240" s="21" t="s">
        <v>8</v>
      </c>
      <c r="E240" s="22">
        <v>1.0</v>
      </c>
    </row>
    <row r="241">
      <c r="A241" s="19">
        <v>237.157575757576</v>
      </c>
      <c r="B241" s="23" t="s">
        <v>839</v>
      </c>
      <c r="C241" s="18" t="s">
        <v>35</v>
      </c>
      <c r="D241" s="21" t="s">
        <v>13</v>
      </c>
      <c r="E241" s="22">
        <v>1.0</v>
      </c>
    </row>
    <row r="242">
      <c r="A242" s="19">
        <v>238.145454545455</v>
      </c>
      <c r="B242" s="23" t="s">
        <v>249</v>
      </c>
      <c r="C242" s="18" t="s">
        <v>45</v>
      </c>
      <c r="D242" s="21" t="s">
        <v>13</v>
      </c>
      <c r="E242" s="22">
        <v>1.0</v>
      </c>
    </row>
    <row r="243">
      <c r="A243" s="19">
        <v>239.133333333333</v>
      </c>
      <c r="B243" s="23" t="s">
        <v>252</v>
      </c>
      <c r="C243" s="18" t="s">
        <v>37</v>
      </c>
      <c r="D243" s="21" t="s">
        <v>13</v>
      </c>
      <c r="E243" s="22">
        <v>1.0</v>
      </c>
    </row>
    <row r="244">
      <c r="A244" s="19">
        <v>240.121212121212</v>
      </c>
      <c r="B244" s="23" t="s">
        <v>250</v>
      </c>
      <c r="C244" s="18" t="s">
        <v>81</v>
      </c>
      <c r="D244" s="21" t="s">
        <v>13</v>
      </c>
      <c r="E244" s="22">
        <v>1.0</v>
      </c>
    </row>
    <row r="245">
      <c r="A245" s="19">
        <v>241.109090909091</v>
      </c>
      <c r="B245" s="23" t="s">
        <v>256</v>
      </c>
      <c r="C245" s="18" t="s">
        <v>73</v>
      </c>
      <c r="D245" s="21" t="s">
        <v>13</v>
      </c>
      <c r="E245" s="22">
        <v>1.0</v>
      </c>
    </row>
    <row r="246">
      <c r="A246" s="19">
        <v>242.09696969697</v>
      </c>
      <c r="B246" s="23" t="s">
        <v>248</v>
      </c>
      <c r="C246" s="18" t="s">
        <v>12</v>
      </c>
      <c r="D246" s="21" t="s">
        <v>13</v>
      </c>
      <c r="E246" s="22">
        <v>1.0</v>
      </c>
    </row>
    <row r="247">
      <c r="A247" s="19">
        <v>243.084848484849</v>
      </c>
      <c r="B247" s="23" t="s">
        <v>533</v>
      </c>
      <c r="C247" s="18" t="s">
        <v>30</v>
      </c>
      <c r="D247" s="21" t="s">
        <v>13</v>
      </c>
      <c r="E247" s="22">
        <v>1.0</v>
      </c>
    </row>
    <row r="248">
      <c r="A248" s="19">
        <v>244.072727272727</v>
      </c>
      <c r="B248" s="23" t="s">
        <v>255</v>
      </c>
      <c r="C248" s="18" t="s">
        <v>43</v>
      </c>
      <c r="D248" s="21" t="s">
        <v>13</v>
      </c>
      <c r="E248" s="22">
        <v>1.0</v>
      </c>
    </row>
    <row r="249">
      <c r="A249" s="19">
        <v>245.060606060606</v>
      </c>
      <c r="B249" s="23" t="s">
        <v>263</v>
      </c>
      <c r="C249" s="18" t="s">
        <v>53</v>
      </c>
      <c r="D249" s="21" t="s">
        <v>13</v>
      </c>
      <c r="E249" s="22">
        <v>1.0</v>
      </c>
    </row>
    <row r="250">
      <c r="A250" s="19">
        <v>246.048484848485</v>
      </c>
      <c r="B250" s="23" t="s">
        <v>543</v>
      </c>
      <c r="C250" s="18" t="s">
        <v>47</v>
      </c>
      <c r="D250" s="21" t="s">
        <v>13</v>
      </c>
      <c r="E250" s="22">
        <v>1.0</v>
      </c>
    </row>
    <row r="251">
      <c r="A251" s="19">
        <v>247.036363636364</v>
      </c>
      <c r="B251" s="23" t="s">
        <v>265</v>
      </c>
      <c r="C251" s="18" t="s">
        <v>69</v>
      </c>
      <c r="D251" s="21" t="s">
        <v>13</v>
      </c>
      <c r="E251" s="22">
        <v>1.0</v>
      </c>
    </row>
    <row r="252">
      <c r="A252" s="19">
        <v>248.024242424242</v>
      </c>
      <c r="B252" s="23" t="s">
        <v>272</v>
      </c>
      <c r="C252" s="18" t="s">
        <v>7</v>
      </c>
      <c r="D252" s="21" t="s">
        <v>13</v>
      </c>
      <c r="E252" s="22">
        <v>1.0</v>
      </c>
    </row>
    <row r="253">
      <c r="A253" s="19">
        <v>249.012121212121</v>
      </c>
      <c r="B253" s="23" t="s">
        <v>267</v>
      </c>
      <c r="C253" s="18" t="s">
        <v>17</v>
      </c>
      <c r="D253" s="21" t="s">
        <v>13</v>
      </c>
      <c r="E253" s="22">
        <v>1.0</v>
      </c>
    </row>
    <row r="254">
      <c r="A254" s="19">
        <v>250.0</v>
      </c>
      <c r="B254" s="23" t="s">
        <v>266</v>
      </c>
      <c r="C254" s="18" t="s">
        <v>47</v>
      </c>
      <c r="D254" s="21" t="s">
        <v>13</v>
      </c>
      <c r="E254" s="22">
        <v>1.0</v>
      </c>
    </row>
    <row r="255">
      <c r="A255" s="19">
        <v>250.987878787879</v>
      </c>
      <c r="B255" s="23" t="s">
        <v>840</v>
      </c>
      <c r="C255" s="18" t="s">
        <v>824</v>
      </c>
      <c r="D255" s="21" t="s">
        <v>13</v>
      </c>
      <c r="E255" s="22">
        <v>1.0</v>
      </c>
    </row>
    <row r="256">
      <c r="A256" s="19">
        <v>251.975757575758</v>
      </c>
      <c r="B256" s="23" t="s">
        <v>531</v>
      </c>
      <c r="C256" s="18" t="s">
        <v>66</v>
      </c>
      <c r="D256" s="21" t="s">
        <v>13</v>
      </c>
      <c r="E256" s="22">
        <v>1.0</v>
      </c>
    </row>
    <row r="257">
      <c r="A257" s="19">
        <v>252.963636363636</v>
      </c>
      <c r="B257" s="23" t="s">
        <v>269</v>
      </c>
      <c r="C257" s="18" t="s">
        <v>119</v>
      </c>
      <c r="D257" s="21" t="s">
        <v>13</v>
      </c>
      <c r="E257" s="22">
        <v>1.0</v>
      </c>
    </row>
    <row r="258">
      <c r="A258" s="19">
        <v>253.951515151515</v>
      </c>
      <c r="B258" s="23" t="s">
        <v>268</v>
      </c>
      <c r="C258" s="18" t="s">
        <v>45</v>
      </c>
      <c r="D258" s="21" t="s">
        <v>13</v>
      </c>
      <c r="E258" s="22">
        <v>1.0</v>
      </c>
    </row>
    <row r="259">
      <c r="A259" s="19">
        <v>254.939393939394</v>
      </c>
      <c r="B259" s="23" t="s">
        <v>532</v>
      </c>
      <c r="C259" s="18" t="s">
        <v>66</v>
      </c>
      <c r="D259" s="21" t="s">
        <v>13</v>
      </c>
      <c r="E259" s="22">
        <v>1.0</v>
      </c>
    </row>
    <row r="260">
      <c r="A260" s="19">
        <v>255.927272727273</v>
      </c>
      <c r="B260" s="23" t="s">
        <v>841</v>
      </c>
      <c r="C260" s="18" t="s">
        <v>821</v>
      </c>
      <c r="D260" s="21" t="s">
        <v>13</v>
      </c>
      <c r="E260" s="22">
        <v>1.0</v>
      </c>
    </row>
    <row r="261">
      <c r="A261" s="19">
        <v>256.915151515152</v>
      </c>
      <c r="B261" s="23" t="s">
        <v>842</v>
      </c>
      <c r="C261" s="18" t="s">
        <v>58</v>
      </c>
      <c r="D261" s="21" t="s">
        <v>13</v>
      </c>
      <c r="E261" s="22">
        <v>1.0</v>
      </c>
    </row>
    <row r="262">
      <c r="A262" s="19">
        <v>257.90303030303</v>
      </c>
      <c r="B262" s="23" t="s">
        <v>166</v>
      </c>
      <c r="C262" s="18" t="s">
        <v>47</v>
      </c>
      <c r="D262" s="21" t="s">
        <v>13</v>
      </c>
      <c r="E262" s="22">
        <v>1.0</v>
      </c>
    </row>
    <row r="263">
      <c r="A263" s="19">
        <v>258.890909090909</v>
      </c>
      <c r="B263" s="23" t="s">
        <v>253</v>
      </c>
      <c r="C263" s="18" t="s">
        <v>30</v>
      </c>
      <c r="D263" s="21" t="s">
        <v>13</v>
      </c>
      <c r="E263" s="22">
        <v>1.0</v>
      </c>
    </row>
    <row r="264">
      <c r="A264" s="19">
        <v>259.878787878788</v>
      </c>
      <c r="B264" s="23" t="s">
        <v>264</v>
      </c>
      <c r="C264" s="18" t="s">
        <v>53</v>
      </c>
      <c r="D264" s="21" t="s">
        <v>13</v>
      </c>
      <c r="E264" s="22">
        <v>1.0</v>
      </c>
    </row>
    <row r="265">
      <c r="A265" s="19">
        <v>260.866666666667</v>
      </c>
      <c r="B265" s="23" t="s">
        <v>537</v>
      </c>
      <c r="C265" s="18" t="s">
        <v>824</v>
      </c>
      <c r="D265" s="21" t="s">
        <v>13</v>
      </c>
      <c r="E265" s="22">
        <v>1.0</v>
      </c>
    </row>
    <row r="266">
      <c r="A266" s="19">
        <v>261.854545454545</v>
      </c>
      <c r="B266" s="23" t="s">
        <v>536</v>
      </c>
      <c r="C266" s="18" t="s">
        <v>55</v>
      </c>
      <c r="D266" s="21" t="s">
        <v>13</v>
      </c>
      <c r="E266" s="22">
        <v>1.0</v>
      </c>
    </row>
    <row r="267">
      <c r="A267" s="19">
        <v>262.842424242424</v>
      </c>
      <c r="B267" s="23" t="s">
        <v>167</v>
      </c>
      <c r="C267" s="18" t="s">
        <v>35</v>
      </c>
      <c r="D267" s="21" t="s">
        <v>13</v>
      </c>
      <c r="E267" s="22">
        <v>1.0</v>
      </c>
    </row>
    <row r="268">
      <c r="A268" s="19">
        <v>263.830303030303</v>
      </c>
      <c r="B268" s="23" t="s">
        <v>541</v>
      </c>
      <c r="C268" s="18" t="s">
        <v>89</v>
      </c>
      <c r="D268" s="21" t="s">
        <v>13</v>
      </c>
      <c r="E268" s="22">
        <v>1.0</v>
      </c>
    </row>
    <row r="269">
      <c r="A269" s="19">
        <v>264.818181818182</v>
      </c>
      <c r="B269" s="23" t="s">
        <v>271</v>
      </c>
      <c r="C269" s="18" t="s">
        <v>58</v>
      </c>
      <c r="D269" s="21" t="s">
        <v>13</v>
      </c>
      <c r="E269" s="22">
        <v>1.0</v>
      </c>
    </row>
    <row r="270">
      <c r="A270" s="19">
        <v>265.806060606061</v>
      </c>
      <c r="B270" s="23" t="s">
        <v>260</v>
      </c>
      <c r="C270" s="18" t="s">
        <v>39</v>
      </c>
      <c r="D270" s="21" t="s">
        <v>13</v>
      </c>
      <c r="E270" s="22">
        <v>1.0</v>
      </c>
    </row>
    <row r="271">
      <c r="A271" s="19">
        <v>266.793939393939</v>
      </c>
      <c r="B271" s="23" t="s">
        <v>539</v>
      </c>
      <c r="C271" s="18" t="s">
        <v>69</v>
      </c>
      <c r="D271" s="21" t="s">
        <v>13</v>
      </c>
      <c r="E271" s="22">
        <v>1.0</v>
      </c>
    </row>
    <row r="272">
      <c r="A272" s="19">
        <v>267.781818181818</v>
      </c>
      <c r="B272" s="23" t="s">
        <v>592</v>
      </c>
      <c r="C272" s="18" t="s">
        <v>85</v>
      </c>
      <c r="D272" s="21" t="s">
        <v>13</v>
      </c>
      <c r="E272" s="22">
        <v>1.0</v>
      </c>
    </row>
    <row r="273">
      <c r="A273" s="19">
        <v>268.769696969697</v>
      </c>
      <c r="B273" s="23" t="s">
        <v>542</v>
      </c>
      <c r="C273" s="18" t="s">
        <v>41</v>
      </c>
      <c r="D273" s="21" t="s">
        <v>13</v>
      </c>
      <c r="E273" s="22">
        <v>1.0</v>
      </c>
    </row>
    <row r="274">
      <c r="A274" s="19">
        <v>269.757575757576</v>
      </c>
      <c r="B274" s="23" t="s">
        <v>567</v>
      </c>
      <c r="C274" s="18" t="s">
        <v>28</v>
      </c>
      <c r="D274" s="21" t="s">
        <v>13</v>
      </c>
      <c r="E274" s="22">
        <v>1.0</v>
      </c>
    </row>
    <row r="275">
      <c r="A275" s="19">
        <v>270.745454545455</v>
      </c>
      <c r="B275" s="23" t="s">
        <v>566</v>
      </c>
      <c r="C275" s="18" t="s">
        <v>89</v>
      </c>
      <c r="D275" s="21" t="s">
        <v>13</v>
      </c>
      <c r="E275" s="22">
        <v>1.0</v>
      </c>
    </row>
    <row r="276">
      <c r="A276" s="19">
        <v>271.733333333333</v>
      </c>
      <c r="B276" s="23" t="s">
        <v>557</v>
      </c>
      <c r="C276" s="18" t="s">
        <v>15</v>
      </c>
      <c r="D276" s="21" t="s">
        <v>13</v>
      </c>
      <c r="E276" s="22">
        <v>1.0</v>
      </c>
    </row>
    <row r="277">
      <c r="A277" s="19">
        <v>272.721212121212</v>
      </c>
      <c r="B277" s="23" t="s">
        <v>270</v>
      </c>
      <c r="C277" s="18" t="s">
        <v>81</v>
      </c>
      <c r="D277" s="21" t="s">
        <v>13</v>
      </c>
      <c r="E277" s="22">
        <v>1.0</v>
      </c>
    </row>
    <row r="278">
      <c r="A278" s="19">
        <v>273.709090909091</v>
      </c>
      <c r="B278" s="23" t="s">
        <v>581</v>
      </c>
      <c r="C278" s="18" t="s">
        <v>7</v>
      </c>
      <c r="D278" s="21" t="s">
        <v>13</v>
      </c>
      <c r="E278" s="22">
        <v>1.0</v>
      </c>
    </row>
    <row r="279">
      <c r="A279" s="19">
        <v>274.69696969697</v>
      </c>
      <c r="B279" s="23" t="s">
        <v>257</v>
      </c>
      <c r="C279" s="18" t="s">
        <v>21</v>
      </c>
      <c r="D279" s="21" t="s">
        <v>13</v>
      </c>
      <c r="E279" s="22">
        <v>1.0</v>
      </c>
    </row>
    <row r="280">
      <c r="A280" s="19">
        <v>275.684848484849</v>
      </c>
      <c r="B280" s="23" t="s">
        <v>545</v>
      </c>
      <c r="C280" s="18" t="s">
        <v>119</v>
      </c>
      <c r="D280" s="21" t="s">
        <v>13</v>
      </c>
      <c r="E280" s="22">
        <v>1.0</v>
      </c>
    </row>
    <row r="281">
      <c r="A281" s="19">
        <v>276.672727272727</v>
      </c>
      <c r="B281" s="23" t="s">
        <v>573</v>
      </c>
      <c r="C281" s="18" t="s">
        <v>28</v>
      </c>
      <c r="D281" s="21" t="s">
        <v>13</v>
      </c>
      <c r="E281" s="22">
        <v>1.0</v>
      </c>
    </row>
    <row r="282">
      <c r="A282" s="19">
        <v>277.660606060606</v>
      </c>
      <c r="B282" s="23" t="s">
        <v>551</v>
      </c>
      <c r="C282" s="18" t="s">
        <v>64</v>
      </c>
      <c r="D282" s="21" t="s">
        <v>13</v>
      </c>
      <c r="E282" s="22">
        <v>1.0</v>
      </c>
    </row>
    <row r="283">
      <c r="A283" s="19">
        <v>278.648484848485</v>
      </c>
      <c r="B283" s="23" t="s">
        <v>843</v>
      </c>
      <c r="C283" s="18" t="s">
        <v>55</v>
      </c>
      <c r="D283" s="21" t="s">
        <v>13</v>
      </c>
      <c r="E283" s="22">
        <v>1.0</v>
      </c>
    </row>
    <row r="284">
      <c r="A284" s="19">
        <v>279.636363636364</v>
      </c>
      <c r="B284" s="23" t="s">
        <v>563</v>
      </c>
      <c r="C284" s="18" t="s">
        <v>23</v>
      </c>
      <c r="D284" s="21" t="s">
        <v>13</v>
      </c>
      <c r="E284" s="22">
        <v>1.0</v>
      </c>
    </row>
    <row r="285">
      <c r="A285" s="19">
        <v>280.624242424242</v>
      </c>
      <c r="B285" s="23" t="s">
        <v>582</v>
      </c>
      <c r="C285" s="18" t="s">
        <v>64</v>
      </c>
      <c r="D285" s="21" t="s">
        <v>13</v>
      </c>
      <c r="E285" s="22">
        <v>1.0</v>
      </c>
    </row>
    <row r="286">
      <c r="A286" s="19">
        <v>281.612121212121</v>
      </c>
      <c r="B286" s="23" t="s">
        <v>569</v>
      </c>
      <c r="C286" s="18" t="s">
        <v>32</v>
      </c>
      <c r="D286" s="21" t="s">
        <v>13</v>
      </c>
      <c r="E286" s="22">
        <v>1.0</v>
      </c>
    </row>
    <row r="287">
      <c r="A287" s="19">
        <v>282.6</v>
      </c>
      <c r="B287" s="23" t="s">
        <v>844</v>
      </c>
      <c r="C287" s="18" t="s">
        <v>10</v>
      </c>
      <c r="D287" s="21" t="s">
        <v>13</v>
      </c>
      <c r="E287" s="22">
        <v>1.0</v>
      </c>
    </row>
    <row r="288">
      <c r="A288" s="19">
        <v>283.587878787879</v>
      </c>
      <c r="B288" s="23" t="s">
        <v>548</v>
      </c>
      <c r="C288" s="18" t="s">
        <v>53</v>
      </c>
      <c r="D288" s="21" t="s">
        <v>13</v>
      </c>
      <c r="E288" s="22">
        <v>1.0</v>
      </c>
    </row>
    <row r="289">
      <c r="A289" s="19">
        <v>284.575757575758</v>
      </c>
      <c r="B289" s="23" t="s">
        <v>562</v>
      </c>
      <c r="C289" s="18" t="s">
        <v>32</v>
      </c>
      <c r="D289" s="21" t="s">
        <v>13</v>
      </c>
      <c r="E289" s="22">
        <v>1.0</v>
      </c>
    </row>
    <row r="290">
      <c r="A290" s="19">
        <v>285.563636363636</v>
      </c>
      <c r="B290" s="23" t="s">
        <v>590</v>
      </c>
      <c r="C290" s="18" t="s">
        <v>12</v>
      </c>
      <c r="D290" s="21" t="s">
        <v>13</v>
      </c>
      <c r="E290" s="22">
        <v>1.0</v>
      </c>
    </row>
    <row r="291">
      <c r="A291" s="19">
        <v>286.551515151515</v>
      </c>
      <c r="B291" s="23" t="s">
        <v>845</v>
      </c>
      <c r="C291" s="18" t="s">
        <v>23</v>
      </c>
      <c r="D291" s="21" t="s">
        <v>13</v>
      </c>
      <c r="E291" s="22">
        <v>1.0</v>
      </c>
    </row>
    <row r="292">
      <c r="A292" s="19">
        <v>287.539393939394</v>
      </c>
      <c r="B292" s="23" t="s">
        <v>586</v>
      </c>
      <c r="C292" s="18" t="s">
        <v>89</v>
      </c>
      <c r="D292" s="21" t="s">
        <v>13</v>
      </c>
      <c r="E292" s="22">
        <v>1.0</v>
      </c>
    </row>
    <row r="293">
      <c r="A293" s="19">
        <v>288.527272727273</v>
      </c>
      <c r="B293" s="23" t="s">
        <v>273</v>
      </c>
      <c r="C293" s="18" t="s">
        <v>85</v>
      </c>
      <c r="D293" s="21" t="s">
        <v>13</v>
      </c>
      <c r="E293" s="22">
        <v>1.0</v>
      </c>
    </row>
    <row r="294">
      <c r="A294" s="19">
        <v>289.515151515152</v>
      </c>
      <c r="B294" s="23" t="s">
        <v>570</v>
      </c>
      <c r="C294" s="18" t="s">
        <v>66</v>
      </c>
      <c r="D294" s="21" t="s">
        <v>13</v>
      </c>
      <c r="E294" s="22">
        <v>1.0</v>
      </c>
    </row>
    <row r="295">
      <c r="A295" s="19">
        <v>290.50303030303</v>
      </c>
      <c r="B295" s="23" t="s">
        <v>555</v>
      </c>
      <c r="C295" s="18" t="s">
        <v>119</v>
      </c>
      <c r="D295" s="21" t="s">
        <v>13</v>
      </c>
      <c r="E295" s="22">
        <v>1.0</v>
      </c>
    </row>
    <row r="296">
      <c r="A296" s="19">
        <v>291.490909090909</v>
      </c>
      <c r="B296" s="23" t="s">
        <v>584</v>
      </c>
      <c r="C296" s="18" t="s">
        <v>45</v>
      </c>
      <c r="D296" s="21" t="s">
        <v>13</v>
      </c>
      <c r="E296" s="22">
        <v>1.0</v>
      </c>
    </row>
    <row r="297">
      <c r="A297" s="19">
        <v>292.478787878788</v>
      </c>
      <c r="B297" s="23" t="s">
        <v>846</v>
      </c>
      <c r="C297" s="18" t="s">
        <v>81</v>
      </c>
      <c r="D297" s="21" t="s">
        <v>13</v>
      </c>
      <c r="E297" s="22">
        <v>1.0</v>
      </c>
    </row>
    <row r="298">
      <c r="A298" s="19">
        <v>293.466666666667</v>
      </c>
      <c r="B298" s="23" t="s">
        <v>577</v>
      </c>
      <c r="C298" s="18" t="s">
        <v>58</v>
      </c>
      <c r="D298" s="21" t="s">
        <v>13</v>
      </c>
      <c r="E298" s="22">
        <v>1.0</v>
      </c>
    </row>
    <row r="299">
      <c r="A299" s="19">
        <v>294.454545454546</v>
      </c>
      <c r="B299" s="23" t="s">
        <v>564</v>
      </c>
      <c r="C299" s="18" t="s">
        <v>47</v>
      </c>
      <c r="D299" s="21" t="s">
        <v>13</v>
      </c>
      <c r="E299" s="22">
        <v>1.0</v>
      </c>
    </row>
    <row r="300">
      <c r="A300" s="19">
        <v>295.442424242424</v>
      </c>
      <c r="B300" s="23" t="s">
        <v>619</v>
      </c>
      <c r="C300" s="18" t="s">
        <v>81</v>
      </c>
      <c r="D300" s="21" t="s">
        <v>13</v>
      </c>
      <c r="E300" s="22">
        <v>1.0</v>
      </c>
    </row>
    <row r="301">
      <c r="A301" s="19">
        <v>296.430303030303</v>
      </c>
      <c r="B301" s="23" t="s">
        <v>847</v>
      </c>
      <c r="C301" s="18" t="s">
        <v>37</v>
      </c>
      <c r="D301" s="21" t="s">
        <v>13</v>
      </c>
      <c r="E301" s="22">
        <v>1.0</v>
      </c>
    </row>
    <row r="302">
      <c r="A302" s="19">
        <v>297.418181818182</v>
      </c>
      <c r="B302" s="23" t="s">
        <v>598</v>
      </c>
      <c r="C302" s="18" t="s">
        <v>89</v>
      </c>
      <c r="D302" s="21" t="s">
        <v>13</v>
      </c>
      <c r="E302" s="22">
        <v>1.0</v>
      </c>
    </row>
    <row r="303">
      <c r="A303" s="19">
        <v>298.406060606061</v>
      </c>
      <c r="B303" s="23" t="s">
        <v>568</v>
      </c>
      <c r="C303" s="18" t="s">
        <v>37</v>
      </c>
      <c r="D303" s="21" t="s">
        <v>13</v>
      </c>
      <c r="E303" s="22">
        <v>1.0</v>
      </c>
    </row>
    <row r="304">
      <c r="A304" s="19">
        <v>299.393939393939</v>
      </c>
      <c r="B304" s="23" t="s">
        <v>848</v>
      </c>
      <c r="C304" s="18" t="s">
        <v>62</v>
      </c>
      <c r="D304" s="21" t="s">
        <v>13</v>
      </c>
      <c r="E304" s="22">
        <v>1.0</v>
      </c>
    </row>
    <row r="305">
      <c r="A305" s="19">
        <v>300.381818181818</v>
      </c>
      <c r="B305" s="23" t="s">
        <v>578</v>
      </c>
      <c r="C305" s="18" t="s">
        <v>41</v>
      </c>
      <c r="D305" s="21" t="s">
        <v>13</v>
      </c>
      <c r="E305" s="22">
        <v>1.0</v>
      </c>
    </row>
    <row r="306">
      <c r="A306" s="19">
        <v>301.369696969697</v>
      </c>
      <c r="B306" s="23" t="s">
        <v>595</v>
      </c>
      <c r="C306" s="18" t="s">
        <v>69</v>
      </c>
      <c r="D306" s="21" t="s">
        <v>13</v>
      </c>
      <c r="E306" s="22">
        <v>1.0</v>
      </c>
    </row>
    <row r="307">
      <c r="A307" s="19">
        <v>302.357575757576</v>
      </c>
      <c r="B307" s="23" t="s">
        <v>575</v>
      </c>
      <c r="C307" s="18" t="s">
        <v>12</v>
      </c>
      <c r="D307" s="21" t="s">
        <v>13</v>
      </c>
      <c r="E307" s="22">
        <v>1.0</v>
      </c>
    </row>
    <row r="308">
      <c r="A308" s="19">
        <v>303.345454545455</v>
      </c>
      <c r="B308" s="23" t="s">
        <v>631</v>
      </c>
      <c r="C308" s="18" t="s">
        <v>15</v>
      </c>
      <c r="D308" s="21" t="s">
        <v>13</v>
      </c>
      <c r="E308" s="22">
        <v>1.0</v>
      </c>
    </row>
    <row r="309">
      <c r="A309" s="19">
        <v>304.333333333333</v>
      </c>
      <c r="B309" s="23" t="s">
        <v>601</v>
      </c>
      <c r="C309" s="18" t="s">
        <v>37</v>
      </c>
      <c r="D309" s="21" t="s">
        <v>13</v>
      </c>
      <c r="E309" s="22">
        <v>1.0</v>
      </c>
    </row>
    <row r="310">
      <c r="A310" s="19">
        <v>305.321212121212</v>
      </c>
      <c r="B310" s="23" t="s">
        <v>617</v>
      </c>
      <c r="C310" s="18" t="s">
        <v>55</v>
      </c>
      <c r="D310" s="21" t="s">
        <v>13</v>
      </c>
      <c r="E310" s="22">
        <v>1.0</v>
      </c>
    </row>
    <row r="311">
      <c r="A311" s="19">
        <v>306.309090909091</v>
      </c>
      <c r="B311" s="23" t="s">
        <v>599</v>
      </c>
      <c r="C311" s="18" t="s">
        <v>21</v>
      </c>
      <c r="D311" s="21" t="s">
        <v>13</v>
      </c>
      <c r="E311" s="22">
        <v>1.0</v>
      </c>
    </row>
    <row r="312">
      <c r="A312" s="19">
        <v>307.29696969697</v>
      </c>
      <c r="B312" s="23" t="s">
        <v>650</v>
      </c>
      <c r="C312" s="18" t="s">
        <v>45</v>
      </c>
      <c r="D312" s="21" t="s">
        <v>13</v>
      </c>
      <c r="E312" s="22">
        <v>1.0</v>
      </c>
    </row>
    <row r="313">
      <c r="A313" s="19">
        <v>308.284848484849</v>
      </c>
      <c r="B313" s="23" t="s">
        <v>620</v>
      </c>
      <c r="C313" s="18" t="s">
        <v>73</v>
      </c>
      <c r="D313" s="21" t="s">
        <v>13</v>
      </c>
      <c r="E313" s="22">
        <v>1.0</v>
      </c>
    </row>
    <row r="314">
      <c r="A314" s="19">
        <v>309.272727272727</v>
      </c>
      <c r="B314" s="23" t="s">
        <v>610</v>
      </c>
      <c r="C314" s="18" t="s">
        <v>17</v>
      </c>
      <c r="D314" s="21" t="s">
        <v>13</v>
      </c>
      <c r="E314" s="22">
        <v>1.0</v>
      </c>
    </row>
    <row r="315">
      <c r="A315" s="19">
        <v>310.260606060606</v>
      </c>
      <c r="B315" s="23" t="s">
        <v>633</v>
      </c>
      <c r="C315" s="18" t="s">
        <v>10</v>
      </c>
      <c r="D315" s="21" t="s">
        <v>13</v>
      </c>
      <c r="E315" s="22">
        <v>1.0</v>
      </c>
    </row>
    <row r="316">
      <c r="A316" s="19">
        <v>311.248484848485</v>
      </c>
      <c r="B316" s="23" t="s">
        <v>687</v>
      </c>
      <c r="C316" s="18" t="s">
        <v>12</v>
      </c>
      <c r="D316" s="21" t="s">
        <v>13</v>
      </c>
      <c r="E316" s="22">
        <v>1.0</v>
      </c>
    </row>
    <row r="317">
      <c r="A317" s="19">
        <v>312.236363636364</v>
      </c>
      <c r="B317" s="23" t="s">
        <v>668</v>
      </c>
      <c r="C317" s="18" t="s">
        <v>89</v>
      </c>
      <c r="D317" s="21" t="s">
        <v>13</v>
      </c>
      <c r="E317" s="22">
        <v>1.0</v>
      </c>
    </row>
    <row r="318">
      <c r="A318" s="19">
        <v>313.224242424243</v>
      </c>
      <c r="B318" s="23" t="s">
        <v>300</v>
      </c>
      <c r="C318" s="18" t="s">
        <v>19</v>
      </c>
      <c r="D318" s="21" t="s">
        <v>59</v>
      </c>
      <c r="E318" s="22">
        <v>1.0</v>
      </c>
    </row>
    <row r="319">
      <c r="A319" s="19">
        <v>314.212121212121</v>
      </c>
      <c r="B319" s="23" t="s">
        <v>297</v>
      </c>
      <c r="C319" s="18" t="s">
        <v>824</v>
      </c>
      <c r="D319" s="21" t="s">
        <v>59</v>
      </c>
      <c r="E319" s="22">
        <v>1.0</v>
      </c>
    </row>
    <row r="320">
      <c r="A320" s="19">
        <v>315.2</v>
      </c>
      <c r="B320" s="23" t="s">
        <v>298</v>
      </c>
      <c r="C320" s="18" t="s">
        <v>21</v>
      </c>
      <c r="D320" s="21" t="s">
        <v>59</v>
      </c>
      <c r="E320" s="22">
        <v>1.0</v>
      </c>
    </row>
    <row r="321">
      <c r="A321" s="19">
        <v>316.187878787879</v>
      </c>
      <c r="B321" s="23" t="s">
        <v>180</v>
      </c>
      <c r="C321" s="18" t="s">
        <v>66</v>
      </c>
      <c r="D321" s="21" t="s">
        <v>59</v>
      </c>
      <c r="E321" s="22">
        <v>1.0</v>
      </c>
    </row>
    <row r="322">
      <c r="A322" s="19">
        <v>317.175757575758</v>
      </c>
      <c r="B322" s="23" t="s">
        <v>299</v>
      </c>
      <c r="C322" s="18" t="s">
        <v>73</v>
      </c>
      <c r="D322" s="21" t="s">
        <v>59</v>
      </c>
      <c r="E322" s="22">
        <v>1.0</v>
      </c>
    </row>
    <row r="323">
      <c r="A323" s="19">
        <v>318.163636363636</v>
      </c>
      <c r="B323" s="23" t="s">
        <v>303</v>
      </c>
      <c r="C323" s="18" t="s">
        <v>47</v>
      </c>
      <c r="D323" s="21" t="s">
        <v>59</v>
      </c>
      <c r="E323" s="22">
        <v>1.0</v>
      </c>
    </row>
    <row r="324">
      <c r="A324" s="19">
        <v>319.151515151515</v>
      </c>
      <c r="B324" s="23" t="s">
        <v>701</v>
      </c>
      <c r="C324" s="18" t="s">
        <v>69</v>
      </c>
      <c r="D324" s="21" t="s">
        <v>59</v>
      </c>
      <c r="E324" s="22">
        <v>1.0</v>
      </c>
    </row>
    <row r="325">
      <c r="A325" s="19">
        <v>320.139393939394</v>
      </c>
      <c r="B325" s="23" t="s">
        <v>304</v>
      </c>
      <c r="C325" s="18" t="s">
        <v>81</v>
      </c>
      <c r="D325" s="21" t="s">
        <v>59</v>
      </c>
      <c r="E325" s="22">
        <v>1.0</v>
      </c>
    </row>
    <row r="326">
      <c r="A326" s="19">
        <v>321.127272727273</v>
      </c>
      <c r="B326" s="23" t="s">
        <v>312</v>
      </c>
      <c r="C326" s="18" t="s">
        <v>37</v>
      </c>
      <c r="D326" s="21" t="s">
        <v>59</v>
      </c>
      <c r="E326" s="22">
        <v>1.0</v>
      </c>
    </row>
    <row r="327">
      <c r="A327" s="19">
        <v>322.115151515152</v>
      </c>
      <c r="B327" s="23" t="s">
        <v>311</v>
      </c>
      <c r="C327" s="18" t="s">
        <v>37</v>
      </c>
      <c r="D327" s="21" t="s">
        <v>59</v>
      </c>
      <c r="E327" s="22">
        <v>1.0</v>
      </c>
    </row>
    <row r="328">
      <c r="A328" s="19">
        <v>323.10303030303</v>
      </c>
      <c r="B328" s="23" t="s">
        <v>306</v>
      </c>
      <c r="C328" s="18" t="s">
        <v>7</v>
      </c>
      <c r="D328" s="21" t="s">
        <v>59</v>
      </c>
      <c r="E328" s="22">
        <v>1.0</v>
      </c>
    </row>
    <row r="329">
      <c r="A329" s="19">
        <v>324.090909090909</v>
      </c>
      <c r="B329" s="23" t="s">
        <v>307</v>
      </c>
      <c r="C329" s="18" t="s">
        <v>41</v>
      </c>
      <c r="D329" s="21" t="s">
        <v>59</v>
      </c>
      <c r="E329" s="22">
        <v>1.0</v>
      </c>
    </row>
    <row r="330">
      <c r="A330" s="19">
        <v>325.078787878788</v>
      </c>
      <c r="B330" s="23" t="s">
        <v>310</v>
      </c>
      <c r="C330" s="18" t="s">
        <v>119</v>
      </c>
      <c r="D330" s="21" t="s">
        <v>59</v>
      </c>
      <c r="E330" s="22">
        <v>1.0</v>
      </c>
    </row>
    <row r="331">
      <c r="A331" s="19">
        <v>326.066666666667</v>
      </c>
      <c r="B331" s="23" t="s">
        <v>849</v>
      </c>
      <c r="C331" s="18" t="s">
        <v>15</v>
      </c>
      <c r="D331" s="21" t="s">
        <v>59</v>
      </c>
      <c r="E331" s="22">
        <v>1.0</v>
      </c>
    </row>
    <row r="332">
      <c r="A332" s="19">
        <v>327.054545454546</v>
      </c>
      <c r="B332" s="23" t="s">
        <v>704</v>
      </c>
      <c r="C332" s="18" t="s">
        <v>53</v>
      </c>
      <c r="D332" s="21" t="s">
        <v>59</v>
      </c>
      <c r="E332" s="22">
        <v>1.0</v>
      </c>
    </row>
    <row r="333">
      <c r="A333" s="19">
        <v>328.042424242424</v>
      </c>
      <c r="B333" s="23" t="s">
        <v>702</v>
      </c>
      <c r="C333" s="18" t="s">
        <v>53</v>
      </c>
      <c r="D333" s="21" t="s">
        <v>59</v>
      </c>
      <c r="E333" s="22">
        <v>1.0</v>
      </c>
    </row>
    <row r="334">
      <c r="A334" s="19">
        <v>329.030303030303</v>
      </c>
      <c r="B334" s="23" t="s">
        <v>698</v>
      </c>
      <c r="C334" s="18" t="s">
        <v>45</v>
      </c>
      <c r="D334" s="21" t="s">
        <v>59</v>
      </c>
      <c r="E334" s="22">
        <v>1.0</v>
      </c>
    </row>
    <row r="335">
      <c r="A335" s="19">
        <v>330.018181818182</v>
      </c>
      <c r="B335" s="23" t="s">
        <v>308</v>
      </c>
      <c r="C335" s="18" t="s">
        <v>824</v>
      </c>
      <c r="D335" s="21" t="s">
        <v>59</v>
      </c>
      <c r="E335" s="22">
        <v>1.0</v>
      </c>
    </row>
    <row r="336">
      <c r="A336" s="19">
        <v>331.006060606061</v>
      </c>
      <c r="B336" s="23" t="s">
        <v>707</v>
      </c>
      <c r="C336" s="18" t="s">
        <v>37</v>
      </c>
      <c r="D336" s="21" t="s">
        <v>59</v>
      </c>
      <c r="E336" s="22">
        <v>1.0</v>
      </c>
    </row>
    <row r="337">
      <c r="A337" s="19">
        <v>331.993939393939</v>
      </c>
      <c r="B337" s="23" t="s">
        <v>715</v>
      </c>
      <c r="C337" s="18" t="s">
        <v>81</v>
      </c>
      <c r="D337" s="21" t="s">
        <v>59</v>
      </c>
      <c r="E337" s="22">
        <v>1.0</v>
      </c>
    </row>
    <row r="338">
      <c r="A338" s="19">
        <v>332.981818181818</v>
      </c>
      <c r="B338" s="23" t="s">
        <v>313</v>
      </c>
      <c r="C338" s="18" t="s">
        <v>66</v>
      </c>
      <c r="D338" s="21" t="s">
        <v>59</v>
      </c>
      <c r="E338" s="22">
        <v>1.0</v>
      </c>
    </row>
    <row r="339">
      <c r="A339" s="19">
        <v>333.969696969697</v>
      </c>
      <c r="B339" s="23" t="s">
        <v>305</v>
      </c>
      <c r="C339" s="18" t="s">
        <v>69</v>
      </c>
      <c r="D339" s="21" t="s">
        <v>59</v>
      </c>
      <c r="E339" s="22">
        <v>1.0</v>
      </c>
    </row>
    <row r="340">
      <c r="A340" s="19">
        <v>334.957575757576</v>
      </c>
      <c r="B340" s="23" t="s">
        <v>709</v>
      </c>
      <c r="C340" s="18" t="s">
        <v>7</v>
      </c>
      <c r="D340" s="21" t="s">
        <v>59</v>
      </c>
      <c r="E340" s="22">
        <v>1.0</v>
      </c>
    </row>
    <row r="341">
      <c r="A341" s="19">
        <v>335.945454545455</v>
      </c>
      <c r="B341" s="23" t="s">
        <v>705</v>
      </c>
      <c r="C341" s="18" t="s">
        <v>89</v>
      </c>
      <c r="D341" s="21" t="s">
        <v>59</v>
      </c>
      <c r="E341" s="22">
        <v>1.0</v>
      </c>
    </row>
    <row r="342">
      <c r="A342" s="19">
        <v>336.933333333333</v>
      </c>
      <c r="B342" s="23" t="s">
        <v>850</v>
      </c>
      <c r="C342" s="18" t="s">
        <v>81</v>
      </c>
      <c r="D342" s="21" t="s">
        <v>59</v>
      </c>
      <c r="E342" s="22">
        <v>1.0</v>
      </c>
    </row>
    <row r="343">
      <c r="A343" s="19">
        <v>337.921212121212</v>
      </c>
      <c r="B343" s="23" t="s">
        <v>719</v>
      </c>
      <c r="C343" s="18" t="s">
        <v>21</v>
      </c>
      <c r="D343" s="21" t="s">
        <v>59</v>
      </c>
      <c r="E343" s="22">
        <v>1.0</v>
      </c>
    </row>
    <row r="344">
      <c r="A344" s="19">
        <v>338.909090909091</v>
      </c>
      <c r="B344" s="23" t="s">
        <v>699</v>
      </c>
      <c r="C344" s="18" t="s">
        <v>30</v>
      </c>
      <c r="D344" s="21" t="s">
        <v>59</v>
      </c>
      <c r="E344" s="22">
        <v>1.0</v>
      </c>
    </row>
    <row r="345">
      <c r="A345" s="19">
        <v>339.89696969697</v>
      </c>
      <c r="B345" s="23" t="s">
        <v>721</v>
      </c>
      <c r="C345" s="18" t="s">
        <v>85</v>
      </c>
      <c r="D345" s="21" t="s">
        <v>59</v>
      </c>
      <c r="E345" s="22">
        <v>1.0</v>
      </c>
    </row>
    <row r="346">
      <c r="A346" s="19">
        <v>340.884848484849</v>
      </c>
      <c r="B346" s="23" t="s">
        <v>309</v>
      </c>
      <c r="C346" s="18" t="s">
        <v>10</v>
      </c>
      <c r="D346" s="21" t="s">
        <v>59</v>
      </c>
      <c r="E346" s="22">
        <v>1.0</v>
      </c>
    </row>
    <row r="347">
      <c r="A347" s="19">
        <v>341.872727272727</v>
      </c>
      <c r="B347" s="23" t="s">
        <v>708</v>
      </c>
      <c r="C347" s="18" t="s">
        <v>821</v>
      </c>
      <c r="D347" s="21" t="s">
        <v>59</v>
      </c>
      <c r="E347" s="22">
        <v>1.0</v>
      </c>
    </row>
    <row r="348">
      <c r="A348" s="19">
        <v>342.860606060606</v>
      </c>
      <c r="B348" s="23" t="s">
        <v>735</v>
      </c>
      <c r="C348" s="18" t="s">
        <v>23</v>
      </c>
      <c r="D348" s="21" t="s">
        <v>59</v>
      </c>
      <c r="E348" s="22">
        <v>1.0</v>
      </c>
    </row>
    <row r="349">
      <c r="A349" s="19">
        <v>343.848484848485</v>
      </c>
      <c r="B349" s="23" t="s">
        <v>733</v>
      </c>
      <c r="C349" s="18" t="s">
        <v>62</v>
      </c>
      <c r="D349" s="21" t="s">
        <v>59</v>
      </c>
      <c r="E349" s="22">
        <v>1.0</v>
      </c>
    </row>
    <row r="350">
      <c r="A350" s="19">
        <v>344.836363636364</v>
      </c>
      <c r="B350" s="23" t="s">
        <v>851</v>
      </c>
      <c r="C350" s="18" t="s">
        <v>53</v>
      </c>
      <c r="D350" s="21" t="s">
        <v>59</v>
      </c>
      <c r="E350" s="22">
        <v>1.0</v>
      </c>
    </row>
    <row r="351">
      <c r="A351" s="19">
        <v>345.824242424243</v>
      </c>
      <c r="B351" s="23" t="s">
        <v>748</v>
      </c>
      <c r="C351" s="18" t="s">
        <v>35</v>
      </c>
      <c r="D351" s="21" t="s">
        <v>59</v>
      </c>
      <c r="E351" s="22">
        <v>1.0</v>
      </c>
    </row>
    <row r="352">
      <c r="A352" s="19">
        <v>346.812121212121</v>
      </c>
      <c r="B352" s="23" t="s">
        <v>852</v>
      </c>
      <c r="C352" s="18" t="s">
        <v>81</v>
      </c>
      <c r="D352" s="21" t="s">
        <v>59</v>
      </c>
      <c r="E352" s="22">
        <v>1.0</v>
      </c>
    </row>
    <row r="353">
      <c r="A353" s="19">
        <v>347.8</v>
      </c>
      <c r="B353" s="23" t="s">
        <v>734</v>
      </c>
      <c r="C353" s="18" t="s">
        <v>55</v>
      </c>
      <c r="D353" s="21" t="s">
        <v>59</v>
      </c>
      <c r="E353" s="22">
        <v>1.0</v>
      </c>
    </row>
    <row r="354">
      <c r="A354" s="19">
        <v>348.787878787879</v>
      </c>
      <c r="B354" s="23" t="s">
        <v>757</v>
      </c>
      <c r="C354" s="18" t="s">
        <v>17</v>
      </c>
      <c r="D354" s="21" t="s">
        <v>59</v>
      </c>
      <c r="E354" s="22">
        <v>1.0</v>
      </c>
    </row>
    <row r="355">
      <c r="A355" s="19">
        <v>349.775757575758</v>
      </c>
      <c r="B355" s="23" t="s">
        <v>813</v>
      </c>
      <c r="C355" s="18" t="s">
        <v>32</v>
      </c>
      <c r="D355" s="21" t="s">
        <v>183</v>
      </c>
      <c r="E355" s="22">
        <v>1.0</v>
      </c>
    </row>
    <row r="356">
      <c r="A356" s="19">
        <v>350.763636363636</v>
      </c>
      <c r="B356" s="23" t="s">
        <v>182</v>
      </c>
      <c r="C356" s="18" t="s">
        <v>19</v>
      </c>
      <c r="D356" s="21" t="s">
        <v>183</v>
      </c>
      <c r="E356" s="22">
        <v>1.0</v>
      </c>
    </row>
    <row r="357">
      <c r="A357" s="19">
        <v>351.751515151515</v>
      </c>
      <c r="B357" s="23" t="s">
        <v>343</v>
      </c>
      <c r="C357" s="18" t="s">
        <v>58</v>
      </c>
      <c r="D357" s="21" t="s">
        <v>183</v>
      </c>
      <c r="E357" s="22">
        <v>1.0</v>
      </c>
    </row>
    <row r="358">
      <c r="A358" s="19">
        <v>352.739393939394</v>
      </c>
      <c r="B358" s="23" t="s">
        <v>189</v>
      </c>
      <c r="C358" s="18" t="s">
        <v>30</v>
      </c>
      <c r="D358" s="21" t="s">
        <v>183</v>
      </c>
      <c r="E358" s="22">
        <v>1.0</v>
      </c>
    </row>
    <row r="359">
      <c r="A359" s="19">
        <v>353.727272727273</v>
      </c>
      <c r="B359" s="23" t="s">
        <v>184</v>
      </c>
      <c r="C359" s="18" t="s">
        <v>12</v>
      </c>
      <c r="D359" s="21" t="s">
        <v>183</v>
      </c>
      <c r="E359" s="22">
        <v>1.0</v>
      </c>
    </row>
    <row r="360">
      <c r="A360" s="19">
        <v>354.715151515152</v>
      </c>
      <c r="B360" s="23" t="s">
        <v>185</v>
      </c>
      <c r="C360" s="18" t="s">
        <v>62</v>
      </c>
      <c r="D360" s="21" t="s">
        <v>183</v>
      </c>
      <c r="E360" s="22">
        <v>1.0</v>
      </c>
    </row>
    <row r="361">
      <c r="A361" s="19">
        <v>355.70303030303</v>
      </c>
      <c r="B361" s="23" t="s">
        <v>316</v>
      </c>
      <c r="C361" s="18" t="s">
        <v>37</v>
      </c>
      <c r="D361" s="21" t="s">
        <v>183</v>
      </c>
      <c r="E361" s="22">
        <v>1.0</v>
      </c>
    </row>
    <row r="362">
      <c r="A362" s="19">
        <v>356.690909090909</v>
      </c>
      <c r="B362" s="23" t="s">
        <v>186</v>
      </c>
      <c r="C362" s="18" t="s">
        <v>821</v>
      </c>
      <c r="D362" s="21" t="s">
        <v>183</v>
      </c>
      <c r="E362" s="22">
        <v>1.0</v>
      </c>
    </row>
    <row r="363">
      <c r="A363" s="19">
        <v>357.678787878788</v>
      </c>
      <c r="B363" s="23" t="s">
        <v>190</v>
      </c>
      <c r="C363" s="18" t="s">
        <v>45</v>
      </c>
      <c r="D363" s="21" t="s">
        <v>183</v>
      </c>
      <c r="E363" s="22">
        <v>1.0</v>
      </c>
    </row>
    <row r="364">
      <c r="A364" s="19">
        <v>358.666666666667</v>
      </c>
      <c r="B364" s="23" t="s">
        <v>317</v>
      </c>
      <c r="C364" s="18" t="s">
        <v>28</v>
      </c>
      <c r="D364" s="21" t="s">
        <v>183</v>
      </c>
      <c r="E364" s="22">
        <v>1.0</v>
      </c>
    </row>
    <row r="365">
      <c r="A365" s="19">
        <v>359.654545454546</v>
      </c>
      <c r="B365" s="23" t="s">
        <v>188</v>
      </c>
      <c r="C365" s="18" t="s">
        <v>119</v>
      </c>
      <c r="D365" s="21" t="s">
        <v>183</v>
      </c>
      <c r="E365" s="22">
        <v>1.0</v>
      </c>
    </row>
    <row r="366">
      <c r="A366" s="19">
        <v>360.642424242424</v>
      </c>
      <c r="B366" s="23" t="s">
        <v>793</v>
      </c>
      <c r="C366" s="18" t="s">
        <v>15</v>
      </c>
      <c r="D366" s="21" t="s">
        <v>183</v>
      </c>
      <c r="E366" s="22">
        <v>1.0</v>
      </c>
    </row>
    <row r="367">
      <c r="A367" s="19">
        <v>361.630303030303</v>
      </c>
      <c r="B367" s="23" t="s">
        <v>791</v>
      </c>
      <c r="C367" s="18" t="s">
        <v>7</v>
      </c>
      <c r="D367" s="21" t="s">
        <v>183</v>
      </c>
      <c r="E367" s="22">
        <v>1.0</v>
      </c>
    </row>
    <row r="368">
      <c r="A368" s="19">
        <v>362.618181818182</v>
      </c>
      <c r="B368" s="23" t="s">
        <v>187</v>
      </c>
      <c r="C368" s="18" t="s">
        <v>43</v>
      </c>
      <c r="D368" s="21" t="s">
        <v>183</v>
      </c>
      <c r="E368" s="22">
        <v>1.0</v>
      </c>
    </row>
    <row r="369">
      <c r="A369" s="19">
        <v>363.606060606061</v>
      </c>
      <c r="B369" s="23" t="s">
        <v>797</v>
      </c>
      <c r="C369" s="18" t="s">
        <v>47</v>
      </c>
      <c r="D369" s="21" t="s">
        <v>183</v>
      </c>
      <c r="E369" s="22">
        <v>1.0</v>
      </c>
    </row>
    <row r="370">
      <c r="A370" s="19">
        <v>364.59393939394</v>
      </c>
      <c r="B370" s="23" t="s">
        <v>314</v>
      </c>
      <c r="C370" s="18" t="s">
        <v>64</v>
      </c>
      <c r="D370" s="21" t="s">
        <v>183</v>
      </c>
      <c r="E370" s="22">
        <v>1.0</v>
      </c>
    </row>
    <row r="371">
      <c r="A371" s="19">
        <v>365.581818181818</v>
      </c>
      <c r="B371" s="23" t="s">
        <v>792</v>
      </c>
      <c r="C371" s="18" t="s">
        <v>39</v>
      </c>
      <c r="D371" s="21" t="s">
        <v>183</v>
      </c>
      <c r="E371" s="22">
        <v>1.0</v>
      </c>
    </row>
    <row r="372">
      <c r="A372" s="19">
        <v>366.569696969697</v>
      </c>
      <c r="B372" s="23" t="s">
        <v>318</v>
      </c>
      <c r="C372" s="18" t="s">
        <v>17</v>
      </c>
      <c r="D372" s="21" t="s">
        <v>183</v>
      </c>
      <c r="E372" s="22">
        <v>1.0</v>
      </c>
    </row>
    <row r="373">
      <c r="A373" s="19">
        <v>367.557575757576</v>
      </c>
      <c r="B373" s="23" t="s">
        <v>790</v>
      </c>
      <c r="C373" s="18" t="s">
        <v>89</v>
      </c>
      <c r="D373" s="21" t="s">
        <v>183</v>
      </c>
      <c r="E373" s="22">
        <v>1.0</v>
      </c>
    </row>
    <row r="374">
      <c r="A374" s="19">
        <v>368.545454545455</v>
      </c>
      <c r="B374" s="23" t="s">
        <v>191</v>
      </c>
      <c r="C374" s="18" t="s">
        <v>53</v>
      </c>
      <c r="D374" s="21" t="s">
        <v>183</v>
      </c>
      <c r="E374" s="22">
        <v>1.0</v>
      </c>
    </row>
    <row r="375">
      <c r="A375" s="19">
        <v>369.533333333333</v>
      </c>
      <c r="B375" s="23" t="s">
        <v>799</v>
      </c>
      <c r="C375" s="18" t="s">
        <v>21</v>
      </c>
      <c r="D375" s="21" t="s">
        <v>183</v>
      </c>
      <c r="E375" s="22">
        <v>1.0</v>
      </c>
    </row>
    <row r="376">
      <c r="A376" s="19">
        <v>370.521212121212</v>
      </c>
      <c r="B376" s="23" t="s">
        <v>315</v>
      </c>
      <c r="C376" s="18" t="s">
        <v>66</v>
      </c>
      <c r="D376" s="21" t="s">
        <v>183</v>
      </c>
      <c r="E376" s="22">
        <v>1.0</v>
      </c>
    </row>
    <row r="377">
      <c r="A377" s="19">
        <v>371.509090909091</v>
      </c>
      <c r="B377" s="23" t="s">
        <v>796</v>
      </c>
      <c r="C377" s="18" t="s">
        <v>41</v>
      </c>
      <c r="D377" s="21" t="s">
        <v>183</v>
      </c>
      <c r="E377" s="22">
        <v>1.0</v>
      </c>
    </row>
    <row r="378">
      <c r="A378" s="19">
        <v>372.49696969697</v>
      </c>
      <c r="B378" s="23" t="s">
        <v>795</v>
      </c>
      <c r="C378" s="18" t="s">
        <v>23</v>
      </c>
      <c r="D378" s="21" t="s">
        <v>183</v>
      </c>
      <c r="E378" s="22">
        <v>1.0</v>
      </c>
    </row>
    <row r="379">
      <c r="A379" s="19">
        <v>373.484848484849</v>
      </c>
      <c r="B379" s="23" t="s">
        <v>808</v>
      </c>
      <c r="C379" s="18" t="s">
        <v>35</v>
      </c>
      <c r="D379" s="21" t="s">
        <v>183</v>
      </c>
      <c r="E379" s="22">
        <v>1.0</v>
      </c>
    </row>
    <row r="380">
      <c r="A380" s="19">
        <v>374.472727272727</v>
      </c>
      <c r="B380" s="23" t="s">
        <v>800</v>
      </c>
      <c r="C380" s="18" t="s">
        <v>55</v>
      </c>
      <c r="D380" s="21" t="s">
        <v>183</v>
      </c>
      <c r="E380" s="22">
        <v>1.0</v>
      </c>
    </row>
    <row r="381">
      <c r="A381" s="19">
        <v>375.460606060606</v>
      </c>
      <c r="B381" s="23" t="s">
        <v>806</v>
      </c>
      <c r="C381" s="18" t="s">
        <v>10</v>
      </c>
      <c r="D381" s="21" t="s">
        <v>183</v>
      </c>
      <c r="E381" s="22">
        <v>1.0</v>
      </c>
    </row>
    <row r="382">
      <c r="A382" s="19">
        <v>376.448484848485</v>
      </c>
      <c r="B382" s="23" t="s">
        <v>853</v>
      </c>
      <c r="C382" s="18" t="s">
        <v>30</v>
      </c>
      <c r="D382" s="21" t="s">
        <v>193</v>
      </c>
      <c r="E382" s="22">
        <v>1.0</v>
      </c>
    </row>
    <row r="383">
      <c r="A383" s="19">
        <v>377.436363636364</v>
      </c>
      <c r="B383" s="23" t="s">
        <v>854</v>
      </c>
      <c r="C383" s="18" t="s">
        <v>12</v>
      </c>
      <c r="D383" s="21" t="s">
        <v>193</v>
      </c>
      <c r="E383" s="22">
        <v>1.0</v>
      </c>
    </row>
    <row r="384">
      <c r="A384" s="19">
        <v>378.424242424243</v>
      </c>
      <c r="B384" s="23" t="s">
        <v>855</v>
      </c>
      <c r="C384" s="18" t="s">
        <v>37</v>
      </c>
      <c r="D384" s="21" t="s">
        <v>193</v>
      </c>
      <c r="E384" s="22">
        <v>1.0</v>
      </c>
    </row>
    <row r="385">
      <c r="A385" s="19">
        <v>379.412121212121</v>
      </c>
      <c r="B385" s="23" t="s">
        <v>856</v>
      </c>
      <c r="C385" s="18" t="s">
        <v>119</v>
      </c>
      <c r="D385" s="21" t="s">
        <v>193</v>
      </c>
      <c r="E385" s="22">
        <v>1.0</v>
      </c>
    </row>
    <row r="386">
      <c r="A386" s="19">
        <v>380.4</v>
      </c>
      <c r="B386" s="23" t="s">
        <v>857</v>
      </c>
      <c r="C386" s="18" t="s">
        <v>45</v>
      </c>
      <c r="D386" s="21" t="s">
        <v>193</v>
      </c>
      <c r="E386" s="22">
        <v>1.0</v>
      </c>
    </row>
    <row r="387">
      <c r="A387" s="19">
        <v>381.387878787879</v>
      </c>
      <c r="B387" s="23" t="s">
        <v>858</v>
      </c>
      <c r="C387" s="18" t="s">
        <v>28</v>
      </c>
      <c r="D387" s="21" t="s">
        <v>193</v>
      </c>
      <c r="E387" s="22">
        <v>1.0</v>
      </c>
    </row>
    <row r="388">
      <c r="A388" s="19">
        <v>382.375757575758</v>
      </c>
      <c r="B388" s="23" t="s">
        <v>854</v>
      </c>
      <c r="C388" s="18" t="s">
        <v>15</v>
      </c>
      <c r="D388" s="21" t="s">
        <v>193</v>
      </c>
      <c r="E388" s="22">
        <v>1.0</v>
      </c>
    </row>
    <row r="389">
      <c r="A389" s="19">
        <v>383.363636363636</v>
      </c>
      <c r="B389" s="23" t="s">
        <v>859</v>
      </c>
      <c r="C389" s="18" t="s">
        <v>7</v>
      </c>
      <c r="D389" s="21" t="s">
        <v>193</v>
      </c>
      <c r="E389" s="22">
        <v>1.0</v>
      </c>
    </row>
    <row r="390">
      <c r="A390" s="19">
        <v>384.351515151515</v>
      </c>
      <c r="B390" s="23" t="s">
        <v>860</v>
      </c>
      <c r="C390" s="18" t="s">
        <v>41</v>
      </c>
      <c r="D390" s="21" t="s">
        <v>193</v>
      </c>
      <c r="E390" s="22">
        <v>1.0</v>
      </c>
    </row>
    <row r="391">
      <c r="A391" s="19">
        <v>385.339393939394</v>
      </c>
      <c r="B391" s="23" t="s">
        <v>861</v>
      </c>
      <c r="C391" s="18" t="s">
        <v>32</v>
      </c>
      <c r="D391" s="21" t="s">
        <v>193</v>
      </c>
      <c r="E391" s="22">
        <v>1.0</v>
      </c>
    </row>
    <row r="392">
      <c r="A392" s="19">
        <v>386.327272727273</v>
      </c>
      <c r="B392" s="23" t="s">
        <v>862</v>
      </c>
      <c r="C392" s="18" t="s">
        <v>47</v>
      </c>
      <c r="D392" s="21" t="s">
        <v>193</v>
      </c>
      <c r="E392" s="22">
        <v>1.0</v>
      </c>
    </row>
    <row r="393">
      <c r="A393" s="19">
        <v>387.315151515152</v>
      </c>
      <c r="B393" s="23" t="s">
        <v>863</v>
      </c>
      <c r="C393" s="18" t="s">
        <v>43</v>
      </c>
      <c r="D393" s="21" t="s">
        <v>193</v>
      </c>
      <c r="E393" s="22">
        <v>1.0</v>
      </c>
    </row>
    <row r="394">
      <c r="A394" s="19">
        <v>388.30303030303</v>
      </c>
      <c r="B394" s="23" t="s">
        <v>864</v>
      </c>
      <c r="C394" s="18" t="s">
        <v>17</v>
      </c>
      <c r="D394" s="21" t="s">
        <v>193</v>
      </c>
      <c r="E394" s="22">
        <v>1.0</v>
      </c>
    </row>
    <row r="395">
      <c r="A395" s="19">
        <v>389.290909090909</v>
      </c>
      <c r="B395" s="23" t="s">
        <v>865</v>
      </c>
      <c r="C395" s="18" t="s">
        <v>19</v>
      </c>
      <c r="D395" s="21" t="s">
        <v>193</v>
      </c>
      <c r="E395" s="22">
        <v>1.0</v>
      </c>
    </row>
    <row r="396">
      <c r="A396" s="19">
        <v>390.278787878788</v>
      </c>
      <c r="B396" s="23" t="s">
        <v>866</v>
      </c>
      <c r="C396" s="18" t="s">
        <v>62</v>
      </c>
      <c r="D396" s="21" t="s">
        <v>193</v>
      </c>
      <c r="E396" s="22">
        <v>1.0</v>
      </c>
    </row>
    <row r="397">
      <c r="A397" s="19">
        <v>391.266666666667</v>
      </c>
      <c r="B397" s="23" t="s">
        <v>867</v>
      </c>
      <c r="C397" s="18" t="s">
        <v>39</v>
      </c>
      <c r="D397" s="21" t="s">
        <v>193</v>
      </c>
      <c r="E397" s="22">
        <v>1.0</v>
      </c>
    </row>
    <row r="398">
      <c r="A398" s="19">
        <v>392.254545454546</v>
      </c>
      <c r="B398" s="23" t="s">
        <v>868</v>
      </c>
      <c r="C398" s="18" t="s">
        <v>21</v>
      </c>
      <c r="D398" s="21" t="s">
        <v>193</v>
      </c>
      <c r="E398" s="22">
        <v>1.0</v>
      </c>
    </row>
    <row r="399">
      <c r="A399" s="19">
        <v>393.242424242424</v>
      </c>
      <c r="B399" s="23" t="s">
        <v>869</v>
      </c>
      <c r="C399" s="18" t="s">
        <v>66</v>
      </c>
      <c r="D399" s="21" t="s">
        <v>193</v>
      </c>
      <c r="E399" s="22">
        <v>1.0</v>
      </c>
    </row>
    <row r="400">
      <c r="A400" s="19">
        <v>394.230303030303</v>
      </c>
      <c r="B400" s="23" t="s">
        <v>870</v>
      </c>
      <c r="C400" s="18" t="s">
        <v>58</v>
      </c>
      <c r="D400" s="21" t="s">
        <v>193</v>
      </c>
      <c r="E400" s="22">
        <v>1.0</v>
      </c>
    </row>
    <row r="401">
      <c r="A401" s="19">
        <v>395.218181818182</v>
      </c>
      <c r="B401" s="23" t="s">
        <v>871</v>
      </c>
      <c r="C401" s="18" t="s">
        <v>55</v>
      </c>
      <c r="D401" s="21" t="s">
        <v>193</v>
      </c>
      <c r="E401" s="22">
        <v>1.0</v>
      </c>
    </row>
    <row r="402">
      <c r="A402" s="19">
        <v>396.206060606061</v>
      </c>
      <c r="B402" s="23" t="s">
        <v>872</v>
      </c>
      <c r="C402" s="18" t="s">
        <v>23</v>
      </c>
      <c r="D402" s="21" t="s">
        <v>193</v>
      </c>
      <c r="E402" s="22">
        <v>1.0</v>
      </c>
    </row>
    <row r="403">
      <c r="A403" s="19">
        <v>397.193939393939</v>
      </c>
      <c r="B403" s="23" t="s">
        <v>873</v>
      </c>
      <c r="C403" s="18" t="s">
        <v>69</v>
      </c>
      <c r="D403" s="21" t="s">
        <v>193</v>
      </c>
      <c r="E403" s="22">
        <v>1.0</v>
      </c>
    </row>
    <row r="404">
      <c r="A404" s="19">
        <v>398.181818181818</v>
      </c>
      <c r="B404" s="23" t="s">
        <v>874</v>
      </c>
      <c r="C404" s="18" t="s">
        <v>64</v>
      </c>
      <c r="D404" s="21" t="s">
        <v>193</v>
      </c>
      <c r="E404" s="22">
        <v>1.0</v>
      </c>
    </row>
    <row r="405">
      <c r="A405" s="19">
        <v>399.169696969697</v>
      </c>
      <c r="B405" s="23" t="s">
        <v>875</v>
      </c>
      <c r="C405" s="18" t="s">
        <v>81</v>
      </c>
      <c r="D405" s="21" t="s">
        <v>193</v>
      </c>
      <c r="E405" s="22">
        <v>1.0</v>
      </c>
    </row>
    <row r="406">
      <c r="A406" s="19">
        <v>400.157575757576</v>
      </c>
      <c r="B406" s="23" t="s">
        <v>876</v>
      </c>
      <c r="C406" s="18" t="s">
        <v>824</v>
      </c>
      <c r="D406" s="21" t="s">
        <v>193</v>
      </c>
      <c r="E406" s="22">
        <v>1.0</v>
      </c>
    </row>
    <row r="407">
      <c r="A407" s="19">
        <v>401.145454545455</v>
      </c>
      <c r="B407" s="23" t="s">
        <v>877</v>
      </c>
      <c r="C407" s="18" t="s">
        <v>73</v>
      </c>
      <c r="D407" s="21" t="s">
        <v>193</v>
      </c>
      <c r="E407" s="22">
        <v>1.0</v>
      </c>
    </row>
    <row r="408">
      <c r="A408" s="19">
        <v>402.133333333333</v>
      </c>
      <c r="B408" s="23" t="s">
        <v>878</v>
      </c>
      <c r="C408" s="18" t="s">
        <v>10</v>
      </c>
      <c r="D408" s="21" t="s">
        <v>193</v>
      </c>
      <c r="E408" s="22">
        <v>1.0</v>
      </c>
    </row>
    <row r="409">
      <c r="A409" s="19">
        <v>403.121212121212</v>
      </c>
      <c r="B409" s="23" t="s">
        <v>879</v>
      </c>
      <c r="C409" s="18" t="s">
        <v>35</v>
      </c>
      <c r="D409" s="21" t="s">
        <v>193</v>
      </c>
      <c r="E409" s="22">
        <v>1.0</v>
      </c>
    </row>
    <row r="410">
      <c r="A410" s="19">
        <v>404.109090909091</v>
      </c>
      <c r="B410" s="23" t="s">
        <v>873</v>
      </c>
      <c r="C410" s="18" t="s">
        <v>53</v>
      </c>
      <c r="D410" s="21" t="s">
        <v>193</v>
      </c>
      <c r="E410" s="22">
        <v>1.0</v>
      </c>
    </row>
    <row r="411">
      <c r="A411" s="19">
        <v>405.09696969697</v>
      </c>
      <c r="B411" s="23" t="s">
        <v>880</v>
      </c>
      <c r="C411" s="18" t="s">
        <v>85</v>
      </c>
      <c r="D411" s="21" t="s">
        <v>193</v>
      </c>
      <c r="E411" s="22">
        <v>1.0</v>
      </c>
    </row>
    <row r="412">
      <c r="A412" s="19">
        <v>406.084848484849</v>
      </c>
      <c r="B412" s="23" t="s">
        <v>881</v>
      </c>
      <c r="C412" s="18" t="s">
        <v>89</v>
      </c>
      <c r="D412" s="21" t="s">
        <v>193</v>
      </c>
      <c r="E412" s="22">
        <v>1.0</v>
      </c>
    </row>
    <row r="413">
      <c r="A413" s="19">
        <v>407.072727272727</v>
      </c>
      <c r="B413" s="23" t="s">
        <v>882</v>
      </c>
      <c r="C413" s="18" t="s">
        <v>821</v>
      </c>
      <c r="D413" s="21" t="s">
        <v>193</v>
      </c>
      <c r="E413" s="22">
        <v>1.0</v>
      </c>
    </row>
    <row r="414">
      <c r="A414" s="19">
        <v>408.060606060606</v>
      </c>
      <c r="B414" s="23" t="s">
        <v>883</v>
      </c>
      <c r="C414" s="18" t="s">
        <v>17</v>
      </c>
      <c r="D414" s="21" t="s">
        <v>59</v>
      </c>
      <c r="E414" s="22">
        <v>0.0</v>
      </c>
    </row>
  </sheetData>
  <autoFilter ref="$A$1:$E$41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0.63"/>
    <col customWidth="1" min="3" max="4" width="7.13"/>
    <col customWidth="1" min="5" max="5" width="7.5"/>
  </cols>
  <sheetData>
    <row r="1">
      <c r="A1" s="1" t="s">
        <v>0</v>
      </c>
      <c r="B1" s="1" t="s">
        <v>1</v>
      </c>
      <c r="C1" s="3" t="s">
        <v>2</v>
      </c>
      <c r="D1" s="3" t="s">
        <v>3</v>
      </c>
      <c r="E1" s="4" t="s">
        <v>4</v>
      </c>
      <c r="G1" s="5" t="s">
        <v>884</v>
      </c>
    </row>
    <row r="2">
      <c r="A2" s="24">
        <v>1.0</v>
      </c>
      <c r="B2" s="17" t="s">
        <v>76</v>
      </c>
      <c r="C2" s="18" t="s">
        <v>30</v>
      </c>
      <c r="D2" s="18" t="s">
        <v>77</v>
      </c>
      <c r="E2" s="9">
        <v>95.0</v>
      </c>
    </row>
    <row r="3">
      <c r="A3" s="24">
        <v>2.0</v>
      </c>
      <c r="B3" s="17" t="s">
        <v>6</v>
      </c>
      <c r="C3" s="18" t="s">
        <v>7</v>
      </c>
      <c r="D3" s="18" t="s">
        <v>8</v>
      </c>
      <c r="E3" s="9">
        <v>91.0</v>
      </c>
    </row>
    <row r="4">
      <c r="A4" s="24">
        <v>3.0</v>
      </c>
      <c r="B4" s="17" t="s">
        <v>86</v>
      </c>
      <c r="C4" s="18" t="s">
        <v>62</v>
      </c>
      <c r="D4" s="18" t="s">
        <v>77</v>
      </c>
      <c r="E4" s="9">
        <v>77.0</v>
      </c>
    </row>
    <row r="5">
      <c r="A5" s="24">
        <v>4.0</v>
      </c>
      <c r="B5" s="17" t="s">
        <v>11</v>
      </c>
      <c r="C5" s="18" t="s">
        <v>12</v>
      </c>
      <c r="D5" s="18" t="s">
        <v>13</v>
      </c>
      <c r="E5" s="9">
        <v>62.0</v>
      </c>
    </row>
    <row r="6">
      <c r="A6" s="24">
        <v>5.0</v>
      </c>
      <c r="B6" s="17" t="s">
        <v>27</v>
      </c>
      <c r="C6" s="18" t="s">
        <v>28</v>
      </c>
      <c r="D6" s="18" t="s">
        <v>13</v>
      </c>
      <c r="E6" s="9">
        <v>61.0</v>
      </c>
    </row>
    <row r="7">
      <c r="A7" s="24">
        <v>6.0</v>
      </c>
      <c r="B7" s="17" t="s">
        <v>96</v>
      </c>
      <c r="C7" s="18" t="s">
        <v>15</v>
      </c>
      <c r="D7" s="18" t="s">
        <v>77</v>
      </c>
      <c r="E7" s="9">
        <v>60.0</v>
      </c>
    </row>
    <row r="8">
      <c r="A8" s="24">
        <v>7.0</v>
      </c>
      <c r="B8" s="17" t="s">
        <v>20</v>
      </c>
      <c r="C8" s="18" t="s">
        <v>21</v>
      </c>
      <c r="D8" s="18" t="s">
        <v>8</v>
      </c>
      <c r="E8" s="9">
        <v>58.0</v>
      </c>
    </row>
    <row r="9">
      <c r="A9" s="24">
        <v>8.0</v>
      </c>
      <c r="B9" s="17" t="s">
        <v>18</v>
      </c>
      <c r="C9" s="18" t="s">
        <v>19</v>
      </c>
      <c r="D9" s="18" t="s">
        <v>13</v>
      </c>
      <c r="E9" s="9">
        <v>58.0</v>
      </c>
    </row>
    <row r="10">
      <c r="A10" s="24">
        <v>9.0</v>
      </c>
      <c r="B10" s="17" t="s">
        <v>14</v>
      </c>
      <c r="C10" s="18" t="s">
        <v>15</v>
      </c>
      <c r="D10" s="18" t="s">
        <v>8</v>
      </c>
      <c r="E10" s="9">
        <v>58.0</v>
      </c>
    </row>
    <row r="11">
      <c r="A11" s="24">
        <v>10.0</v>
      </c>
      <c r="B11" s="17" t="s">
        <v>16</v>
      </c>
      <c r="C11" s="18" t="s">
        <v>17</v>
      </c>
      <c r="D11" s="18" t="s">
        <v>13</v>
      </c>
      <c r="E11" s="9">
        <v>56.0</v>
      </c>
    </row>
    <row r="12">
      <c r="A12" s="24">
        <v>11.0</v>
      </c>
      <c r="B12" s="17" t="s">
        <v>57</v>
      </c>
      <c r="C12" s="18" t="s">
        <v>58</v>
      </c>
      <c r="D12" s="18" t="s">
        <v>59</v>
      </c>
      <c r="E12" s="9">
        <v>56.0</v>
      </c>
    </row>
    <row r="13">
      <c r="A13" s="24">
        <v>12.0</v>
      </c>
      <c r="B13" s="17" t="s">
        <v>61</v>
      </c>
      <c r="C13" s="18" t="s">
        <v>62</v>
      </c>
      <c r="D13" s="18" t="s">
        <v>59</v>
      </c>
      <c r="E13" s="9">
        <v>54.0</v>
      </c>
    </row>
    <row r="14">
      <c r="A14" s="24">
        <v>13.0</v>
      </c>
      <c r="B14" s="17" t="s">
        <v>122</v>
      </c>
      <c r="C14" s="18" t="s">
        <v>64</v>
      </c>
      <c r="D14" s="18" t="s">
        <v>77</v>
      </c>
      <c r="E14" s="9">
        <v>52.0</v>
      </c>
    </row>
    <row r="15">
      <c r="A15" s="24">
        <v>14.0</v>
      </c>
      <c r="B15" s="17" t="s">
        <v>121</v>
      </c>
      <c r="C15" s="18" t="s">
        <v>32</v>
      </c>
      <c r="D15" s="18" t="s">
        <v>77</v>
      </c>
      <c r="E15" s="9">
        <v>47.0</v>
      </c>
    </row>
    <row r="16">
      <c r="A16" s="24">
        <v>15.0</v>
      </c>
      <c r="B16" s="17" t="s">
        <v>124</v>
      </c>
      <c r="C16" s="18" t="s">
        <v>47</v>
      </c>
      <c r="D16" s="18" t="s">
        <v>77</v>
      </c>
      <c r="E16" s="9">
        <v>45.0</v>
      </c>
    </row>
    <row r="17">
      <c r="A17" s="24">
        <v>16.0</v>
      </c>
      <c r="B17" s="17" t="s">
        <v>120</v>
      </c>
      <c r="C17" s="18" t="s">
        <v>45</v>
      </c>
      <c r="D17" s="18" t="s">
        <v>77</v>
      </c>
      <c r="E17" s="9">
        <v>44.0</v>
      </c>
    </row>
    <row r="18">
      <c r="A18" s="24">
        <v>17.0</v>
      </c>
      <c r="B18" s="17" t="s">
        <v>112</v>
      </c>
      <c r="C18" s="18" t="s">
        <v>58</v>
      </c>
      <c r="D18" s="18" t="s">
        <v>77</v>
      </c>
      <c r="E18" s="9">
        <v>43.0</v>
      </c>
    </row>
    <row r="19">
      <c r="A19" s="24">
        <v>18.0</v>
      </c>
      <c r="B19" s="17" t="s">
        <v>33</v>
      </c>
      <c r="C19" s="18" t="s">
        <v>19</v>
      </c>
      <c r="D19" s="18" t="s">
        <v>8</v>
      </c>
      <c r="E19" s="9">
        <v>43.0</v>
      </c>
    </row>
    <row r="20">
      <c r="A20" s="24">
        <v>19.0</v>
      </c>
      <c r="B20" s="17" t="s">
        <v>123</v>
      </c>
      <c r="C20" s="18" t="s">
        <v>37</v>
      </c>
      <c r="D20" s="18" t="s">
        <v>77</v>
      </c>
      <c r="E20" s="9">
        <v>42.0</v>
      </c>
    </row>
    <row r="21">
      <c r="A21" s="24">
        <v>20.0</v>
      </c>
      <c r="B21" s="17" t="s">
        <v>126</v>
      </c>
      <c r="C21" s="18" t="s">
        <v>43</v>
      </c>
      <c r="D21" s="18" t="s">
        <v>77</v>
      </c>
      <c r="E21" s="9">
        <v>39.0</v>
      </c>
    </row>
    <row r="22">
      <c r="A22" s="24">
        <v>21.0</v>
      </c>
      <c r="B22" s="17" t="s">
        <v>31</v>
      </c>
      <c r="C22" s="18" t="s">
        <v>32</v>
      </c>
      <c r="D22" s="18" t="s">
        <v>13</v>
      </c>
      <c r="E22" s="9">
        <v>38.0</v>
      </c>
    </row>
    <row r="23">
      <c r="A23" s="24">
        <v>22.0</v>
      </c>
      <c r="B23" s="17" t="s">
        <v>29</v>
      </c>
      <c r="C23" s="18" t="s">
        <v>30</v>
      </c>
      <c r="D23" s="18" t="s">
        <v>13</v>
      </c>
      <c r="E23" s="9">
        <v>38.0</v>
      </c>
    </row>
    <row r="24">
      <c r="A24" s="24">
        <v>23.0</v>
      </c>
      <c r="B24" s="17" t="s">
        <v>26</v>
      </c>
      <c r="C24" s="18" t="s">
        <v>17</v>
      </c>
      <c r="D24" s="18" t="s">
        <v>8</v>
      </c>
      <c r="E24" s="9">
        <v>36.0</v>
      </c>
    </row>
    <row r="25">
      <c r="A25" s="24">
        <v>24.0</v>
      </c>
      <c r="B25" s="17" t="s">
        <v>56</v>
      </c>
      <c r="C25" s="18" t="s">
        <v>37</v>
      </c>
      <c r="D25" s="18" t="s">
        <v>13</v>
      </c>
      <c r="E25" s="9">
        <v>36.0</v>
      </c>
    </row>
    <row r="26">
      <c r="A26" s="24">
        <v>25.0</v>
      </c>
      <c r="B26" s="17" t="s">
        <v>9</v>
      </c>
      <c r="C26" s="18" t="s">
        <v>10</v>
      </c>
      <c r="D26" s="18" t="s">
        <v>8</v>
      </c>
      <c r="E26" s="9">
        <v>35.0</v>
      </c>
    </row>
    <row r="27">
      <c r="A27" s="24">
        <v>26.0</v>
      </c>
      <c r="B27" s="17" t="s">
        <v>22</v>
      </c>
      <c r="C27" s="18" t="s">
        <v>23</v>
      </c>
      <c r="D27" s="18" t="s">
        <v>8</v>
      </c>
      <c r="E27" s="9">
        <v>34.0</v>
      </c>
    </row>
    <row r="28">
      <c r="A28" s="24">
        <v>27.0</v>
      </c>
      <c r="B28" s="17" t="s">
        <v>88</v>
      </c>
      <c r="C28" s="18" t="s">
        <v>89</v>
      </c>
      <c r="D28" s="18" t="s">
        <v>59</v>
      </c>
      <c r="E28" s="9">
        <v>34.0</v>
      </c>
    </row>
    <row r="29">
      <c r="A29" s="24">
        <v>28.0</v>
      </c>
      <c r="B29" s="17" t="s">
        <v>24</v>
      </c>
      <c r="C29" s="18" t="s">
        <v>25</v>
      </c>
      <c r="D29" s="18" t="s">
        <v>13</v>
      </c>
      <c r="E29" s="9">
        <v>33.0</v>
      </c>
    </row>
    <row r="30">
      <c r="A30" s="24">
        <v>29.0</v>
      </c>
      <c r="B30" s="17" t="s">
        <v>38</v>
      </c>
      <c r="C30" s="18" t="s">
        <v>39</v>
      </c>
      <c r="D30" s="18" t="s">
        <v>13</v>
      </c>
      <c r="E30" s="9">
        <v>33.0</v>
      </c>
    </row>
    <row r="31">
      <c r="A31" s="24">
        <v>30.0</v>
      </c>
      <c r="B31" s="17" t="s">
        <v>103</v>
      </c>
      <c r="C31" s="18" t="s">
        <v>25</v>
      </c>
      <c r="D31" s="18" t="s">
        <v>59</v>
      </c>
      <c r="E31" s="9">
        <v>32.0</v>
      </c>
    </row>
    <row r="32">
      <c r="A32" s="24">
        <v>31.0</v>
      </c>
      <c r="B32" s="17" t="s">
        <v>125</v>
      </c>
      <c r="C32" s="18" t="s">
        <v>19</v>
      </c>
      <c r="D32" s="18" t="s">
        <v>77</v>
      </c>
      <c r="E32" s="9">
        <v>31.0</v>
      </c>
    </row>
    <row r="33">
      <c r="A33" s="24">
        <v>32.0</v>
      </c>
      <c r="B33" s="17" t="s">
        <v>50</v>
      </c>
      <c r="C33" s="18" t="s">
        <v>19</v>
      </c>
      <c r="D33" s="18" t="s">
        <v>13</v>
      </c>
      <c r="E33" s="9">
        <v>31.0</v>
      </c>
    </row>
    <row r="34">
      <c r="A34" s="24">
        <v>33.0</v>
      </c>
      <c r="B34" s="17" t="s">
        <v>40</v>
      </c>
      <c r="C34" s="18" t="s">
        <v>41</v>
      </c>
      <c r="D34" s="18" t="s">
        <v>8</v>
      </c>
      <c r="E34" s="9">
        <v>30.0</v>
      </c>
    </row>
    <row r="35">
      <c r="A35" s="24">
        <v>34.0</v>
      </c>
      <c r="B35" s="17" t="s">
        <v>36</v>
      </c>
      <c r="C35" s="18" t="s">
        <v>37</v>
      </c>
      <c r="D35" s="18" t="s">
        <v>8</v>
      </c>
      <c r="E35" s="9">
        <v>30.0</v>
      </c>
    </row>
    <row r="36">
      <c r="A36" s="24">
        <v>35.0</v>
      </c>
      <c r="B36" s="17" t="s">
        <v>107</v>
      </c>
      <c r="C36" s="18" t="s">
        <v>28</v>
      </c>
      <c r="D36" s="18" t="s">
        <v>59</v>
      </c>
      <c r="E36" s="9">
        <v>26.0</v>
      </c>
    </row>
    <row r="37">
      <c r="A37" s="24">
        <v>36.0</v>
      </c>
      <c r="B37" s="17" t="s">
        <v>44</v>
      </c>
      <c r="C37" s="18" t="s">
        <v>45</v>
      </c>
      <c r="D37" s="18" t="s">
        <v>8</v>
      </c>
      <c r="E37" s="9">
        <v>26.0</v>
      </c>
    </row>
    <row r="38">
      <c r="A38" s="24">
        <v>37.0</v>
      </c>
      <c r="B38" s="17" t="s">
        <v>154</v>
      </c>
      <c r="C38" s="18" t="s">
        <v>12</v>
      </c>
      <c r="D38" s="18" t="s">
        <v>77</v>
      </c>
      <c r="E38" s="9">
        <v>26.0</v>
      </c>
    </row>
    <row r="39">
      <c r="A39" s="24">
        <v>38.0</v>
      </c>
      <c r="B39" s="17" t="s">
        <v>63</v>
      </c>
      <c r="C39" s="18" t="s">
        <v>64</v>
      </c>
      <c r="D39" s="18" t="s">
        <v>13</v>
      </c>
      <c r="E39" s="9">
        <v>25.0</v>
      </c>
    </row>
    <row r="40">
      <c r="A40" s="24">
        <v>39.0</v>
      </c>
      <c r="B40" s="17" t="s">
        <v>79</v>
      </c>
      <c r="C40" s="18" t="s">
        <v>15</v>
      </c>
      <c r="D40" s="18" t="s">
        <v>13</v>
      </c>
      <c r="E40" s="9">
        <v>25.0</v>
      </c>
    </row>
    <row r="41">
      <c r="A41" s="24">
        <v>40.0</v>
      </c>
      <c r="B41" s="17" t="s">
        <v>48</v>
      </c>
      <c r="C41" s="18" t="s">
        <v>12</v>
      </c>
      <c r="D41" s="18" t="s">
        <v>8</v>
      </c>
      <c r="E41" s="9">
        <v>24.0</v>
      </c>
    </row>
    <row r="42">
      <c r="A42" s="24">
        <v>41.0</v>
      </c>
      <c r="B42" s="17" t="s">
        <v>34</v>
      </c>
      <c r="C42" s="18" t="s">
        <v>35</v>
      </c>
      <c r="D42" s="18" t="s">
        <v>8</v>
      </c>
      <c r="E42" s="9">
        <v>24.0</v>
      </c>
    </row>
    <row r="43">
      <c r="A43" s="24">
        <v>42.0</v>
      </c>
      <c r="B43" s="17" t="s">
        <v>51</v>
      </c>
      <c r="C43" s="18" t="s">
        <v>10</v>
      </c>
      <c r="D43" s="18" t="s">
        <v>13</v>
      </c>
      <c r="E43" s="9">
        <v>23.0</v>
      </c>
    </row>
    <row r="44">
      <c r="A44" s="24">
        <v>43.0</v>
      </c>
      <c r="B44" s="17" t="s">
        <v>155</v>
      </c>
      <c r="C44" s="18" t="s">
        <v>28</v>
      </c>
      <c r="D44" s="18" t="s">
        <v>77</v>
      </c>
      <c r="E44" s="9">
        <v>23.0</v>
      </c>
    </row>
    <row r="45">
      <c r="A45" s="24">
        <v>44.0</v>
      </c>
      <c r="B45" s="17" t="s">
        <v>49</v>
      </c>
      <c r="C45" s="18" t="s">
        <v>15</v>
      </c>
      <c r="D45" s="18" t="s">
        <v>13</v>
      </c>
      <c r="E45" s="9">
        <v>22.0</v>
      </c>
    </row>
    <row r="46">
      <c r="A46" s="24">
        <v>45.0</v>
      </c>
      <c r="B46" s="17" t="s">
        <v>65</v>
      </c>
      <c r="C46" s="18" t="s">
        <v>66</v>
      </c>
      <c r="D46" s="18" t="s">
        <v>8</v>
      </c>
      <c r="E46" s="9">
        <v>21.0</v>
      </c>
    </row>
    <row r="47">
      <c r="A47" s="24">
        <v>46.0</v>
      </c>
      <c r="B47" s="17" t="s">
        <v>95</v>
      </c>
      <c r="C47" s="18" t="s">
        <v>30</v>
      </c>
      <c r="D47" s="18" t="s">
        <v>13</v>
      </c>
      <c r="E47" s="9">
        <v>21.0</v>
      </c>
    </row>
    <row r="48">
      <c r="A48" s="24">
        <v>47.0</v>
      </c>
      <c r="B48" s="17" t="s">
        <v>72</v>
      </c>
      <c r="C48" s="18" t="s">
        <v>73</v>
      </c>
      <c r="D48" s="18" t="s">
        <v>13</v>
      </c>
      <c r="E48" s="9">
        <v>21.0</v>
      </c>
    </row>
    <row r="49">
      <c r="A49" s="24">
        <v>48.0</v>
      </c>
      <c r="B49" s="17" t="s">
        <v>42</v>
      </c>
      <c r="C49" s="18" t="s">
        <v>43</v>
      </c>
      <c r="D49" s="18" t="s">
        <v>8</v>
      </c>
      <c r="E49" s="9">
        <v>21.0</v>
      </c>
    </row>
    <row r="50">
      <c r="A50" s="24">
        <v>49.0</v>
      </c>
      <c r="B50" s="17" t="s">
        <v>93</v>
      </c>
      <c r="C50" s="18" t="s">
        <v>43</v>
      </c>
      <c r="D50" s="18" t="s">
        <v>13</v>
      </c>
      <c r="E50" s="9">
        <v>20.0</v>
      </c>
    </row>
    <row r="51">
      <c r="A51" s="24">
        <v>50.0</v>
      </c>
      <c r="B51" s="17" t="s">
        <v>71</v>
      </c>
      <c r="C51" s="18" t="s">
        <v>7</v>
      </c>
      <c r="D51" s="18" t="s">
        <v>13</v>
      </c>
      <c r="E51" s="9">
        <v>19.0</v>
      </c>
    </row>
    <row r="52">
      <c r="A52" s="24">
        <v>51.0</v>
      </c>
      <c r="B52" s="17" t="s">
        <v>54</v>
      </c>
      <c r="C52" s="18" t="s">
        <v>55</v>
      </c>
      <c r="D52" s="18" t="s">
        <v>8</v>
      </c>
      <c r="E52" s="9">
        <v>19.0</v>
      </c>
    </row>
    <row r="53">
      <c r="A53" s="24">
        <v>52.0</v>
      </c>
      <c r="B53" s="17" t="s">
        <v>60</v>
      </c>
      <c r="C53" s="18" t="s">
        <v>39</v>
      </c>
      <c r="D53" s="18" t="s">
        <v>13</v>
      </c>
      <c r="E53" s="9">
        <v>17.0</v>
      </c>
    </row>
    <row r="54">
      <c r="A54" s="24">
        <v>53.0</v>
      </c>
      <c r="B54" s="17" t="s">
        <v>92</v>
      </c>
      <c r="C54" s="18" t="s">
        <v>43</v>
      </c>
      <c r="D54" s="18" t="s">
        <v>13</v>
      </c>
      <c r="E54" s="9">
        <v>17.0</v>
      </c>
    </row>
    <row r="55">
      <c r="A55" s="24">
        <v>54.0</v>
      </c>
      <c r="B55" s="17" t="s">
        <v>46</v>
      </c>
      <c r="C55" s="18" t="s">
        <v>47</v>
      </c>
      <c r="D55" s="18" t="s">
        <v>8</v>
      </c>
      <c r="E55" s="9">
        <v>16.0</v>
      </c>
    </row>
    <row r="56">
      <c r="A56" s="24">
        <v>55.0</v>
      </c>
      <c r="B56" s="17" t="s">
        <v>84</v>
      </c>
      <c r="C56" s="18" t="s">
        <v>85</v>
      </c>
      <c r="D56" s="18" t="s">
        <v>13</v>
      </c>
      <c r="E56" s="9">
        <v>16.0</v>
      </c>
    </row>
    <row r="57">
      <c r="A57" s="24">
        <v>56.0</v>
      </c>
      <c r="B57" s="17" t="s">
        <v>113</v>
      </c>
      <c r="C57" s="18" t="s">
        <v>32</v>
      </c>
      <c r="D57" s="18" t="s">
        <v>59</v>
      </c>
      <c r="E57" s="9">
        <v>16.0</v>
      </c>
    </row>
    <row r="58">
      <c r="A58" s="24">
        <v>57.0</v>
      </c>
      <c r="B58" s="17" t="s">
        <v>127</v>
      </c>
      <c r="C58" s="18" t="s">
        <v>35</v>
      </c>
      <c r="D58" s="18" t="s">
        <v>59</v>
      </c>
      <c r="E58" s="9">
        <v>16.0</v>
      </c>
    </row>
    <row r="59">
      <c r="A59" s="24">
        <v>58.0</v>
      </c>
      <c r="B59" s="17" t="s">
        <v>70</v>
      </c>
      <c r="C59" s="18" t="s">
        <v>32</v>
      </c>
      <c r="D59" s="18" t="s">
        <v>8</v>
      </c>
      <c r="E59" s="9">
        <v>16.0</v>
      </c>
    </row>
    <row r="60">
      <c r="A60" s="24">
        <v>59.0</v>
      </c>
      <c r="B60" s="17" t="s">
        <v>91</v>
      </c>
      <c r="C60" s="18" t="s">
        <v>55</v>
      </c>
      <c r="D60" s="18" t="s">
        <v>13</v>
      </c>
      <c r="E60" s="9">
        <v>15.0</v>
      </c>
    </row>
    <row r="61">
      <c r="A61" s="24">
        <v>60.0</v>
      </c>
      <c r="B61" s="17" t="s">
        <v>82</v>
      </c>
      <c r="C61" s="18" t="s">
        <v>45</v>
      </c>
      <c r="D61" s="18" t="s">
        <v>13</v>
      </c>
      <c r="E61" s="9">
        <v>14.0</v>
      </c>
    </row>
    <row r="62">
      <c r="A62" s="24">
        <v>61.0</v>
      </c>
      <c r="B62" s="17" t="s">
        <v>67</v>
      </c>
      <c r="C62" s="18" t="s">
        <v>58</v>
      </c>
      <c r="D62" s="18" t="s">
        <v>8</v>
      </c>
      <c r="E62" s="9">
        <v>13.0</v>
      </c>
    </row>
    <row r="63">
      <c r="A63" s="24">
        <v>62.0</v>
      </c>
      <c r="B63" s="17" t="s">
        <v>74</v>
      </c>
      <c r="C63" s="18" t="s">
        <v>23</v>
      </c>
      <c r="D63" s="18" t="s">
        <v>13</v>
      </c>
      <c r="E63" s="9">
        <v>12.0</v>
      </c>
    </row>
    <row r="64">
      <c r="A64" s="24">
        <v>63.0</v>
      </c>
      <c r="B64" s="17" t="s">
        <v>75</v>
      </c>
      <c r="C64" s="18" t="s">
        <v>25</v>
      </c>
      <c r="D64" s="18" t="s">
        <v>8</v>
      </c>
      <c r="E64" s="9">
        <v>12.0</v>
      </c>
    </row>
    <row r="65">
      <c r="A65" s="24">
        <v>64.0</v>
      </c>
      <c r="B65" s="17" t="s">
        <v>80</v>
      </c>
      <c r="C65" s="18" t="s">
        <v>81</v>
      </c>
      <c r="D65" s="18" t="s">
        <v>13</v>
      </c>
      <c r="E65" s="9">
        <v>11.0</v>
      </c>
    </row>
    <row r="66">
      <c r="A66" s="24">
        <v>65.0</v>
      </c>
      <c r="B66" s="17" t="s">
        <v>78</v>
      </c>
      <c r="C66" s="18" t="s">
        <v>73</v>
      </c>
      <c r="D66" s="18" t="s">
        <v>8</v>
      </c>
      <c r="E66" s="9">
        <v>11.0</v>
      </c>
    </row>
    <row r="67">
      <c r="A67" s="24">
        <v>66.0</v>
      </c>
      <c r="B67" s="17" t="s">
        <v>156</v>
      </c>
      <c r="C67" s="18" t="s">
        <v>64</v>
      </c>
      <c r="D67" s="18" t="s">
        <v>59</v>
      </c>
      <c r="E67" s="9">
        <v>10.0</v>
      </c>
    </row>
    <row r="68">
      <c r="A68" s="24">
        <v>67.0</v>
      </c>
      <c r="B68" s="17" t="s">
        <v>87</v>
      </c>
      <c r="C68" s="18" t="s">
        <v>35</v>
      </c>
      <c r="D68" s="18" t="s">
        <v>13</v>
      </c>
      <c r="E68" s="9">
        <v>10.0</v>
      </c>
    </row>
    <row r="69">
      <c r="A69" s="24">
        <v>68.0</v>
      </c>
      <c r="B69" s="17" t="s">
        <v>160</v>
      </c>
      <c r="C69" s="18" t="s">
        <v>119</v>
      </c>
      <c r="D69" s="18" t="s">
        <v>59</v>
      </c>
      <c r="E69" s="9">
        <v>10.0</v>
      </c>
    </row>
    <row r="70">
      <c r="A70" s="24">
        <v>69.0</v>
      </c>
      <c r="B70" s="17" t="s">
        <v>174</v>
      </c>
      <c r="C70" s="18" t="s">
        <v>17</v>
      </c>
      <c r="D70" s="18" t="s">
        <v>77</v>
      </c>
      <c r="E70" s="9">
        <v>9.0</v>
      </c>
    </row>
    <row r="71">
      <c r="A71" s="24">
        <v>70.0</v>
      </c>
      <c r="B71" s="17" t="s">
        <v>52</v>
      </c>
      <c r="C71" s="18" t="s">
        <v>53</v>
      </c>
      <c r="D71" s="18" t="s">
        <v>8</v>
      </c>
      <c r="E71" s="9">
        <v>9.0</v>
      </c>
    </row>
    <row r="72">
      <c r="A72" s="24">
        <v>71.0</v>
      </c>
      <c r="B72" s="17" t="s">
        <v>111</v>
      </c>
      <c r="C72" s="18" t="s">
        <v>64</v>
      </c>
      <c r="D72" s="18" t="s">
        <v>13</v>
      </c>
      <c r="E72" s="9">
        <v>8.0</v>
      </c>
    </row>
    <row r="73">
      <c r="A73" s="24">
        <v>72.0</v>
      </c>
      <c r="B73" s="17" t="s">
        <v>90</v>
      </c>
      <c r="C73" s="18" t="s">
        <v>28</v>
      </c>
      <c r="D73" s="18" t="s">
        <v>8</v>
      </c>
      <c r="E73" s="9">
        <v>8.0</v>
      </c>
    </row>
    <row r="74">
      <c r="A74" s="24">
        <v>73.0</v>
      </c>
      <c r="B74" s="17" t="s">
        <v>106</v>
      </c>
      <c r="C74" s="18" t="s">
        <v>12</v>
      </c>
      <c r="D74" s="18" t="s">
        <v>13</v>
      </c>
      <c r="E74" s="9">
        <v>8.0</v>
      </c>
    </row>
    <row r="75">
      <c r="A75" s="24">
        <v>74.0</v>
      </c>
      <c r="B75" s="17" t="s">
        <v>94</v>
      </c>
      <c r="C75" s="18" t="s">
        <v>66</v>
      </c>
      <c r="D75" s="18" t="s">
        <v>13</v>
      </c>
      <c r="E75" s="9">
        <v>8.0</v>
      </c>
    </row>
    <row r="76">
      <c r="A76" s="24">
        <v>75.0</v>
      </c>
      <c r="B76" s="17" t="s">
        <v>158</v>
      </c>
      <c r="C76" s="18" t="s">
        <v>39</v>
      </c>
      <c r="D76" s="18" t="s">
        <v>59</v>
      </c>
      <c r="E76" s="9">
        <v>7.0</v>
      </c>
    </row>
    <row r="77">
      <c r="A77" s="24">
        <v>76.0</v>
      </c>
      <c r="B77" s="17" t="s">
        <v>161</v>
      </c>
      <c r="C77" s="18" t="s">
        <v>30</v>
      </c>
      <c r="D77" s="18" t="s">
        <v>59</v>
      </c>
      <c r="E77" s="9">
        <v>7.0</v>
      </c>
    </row>
    <row r="78">
      <c r="A78" s="24">
        <v>77.0</v>
      </c>
      <c r="B78" s="17" t="s">
        <v>68</v>
      </c>
      <c r="C78" s="18" t="s">
        <v>69</v>
      </c>
      <c r="D78" s="18" t="s">
        <v>8</v>
      </c>
      <c r="E78" s="9">
        <v>7.0</v>
      </c>
    </row>
    <row r="79">
      <c r="A79" s="24">
        <v>78.0</v>
      </c>
      <c r="B79" s="17" t="s">
        <v>157</v>
      </c>
      <c r="C79" s="18" t="s">
        <v>45</v>
      </c>
      <c r="D79" s="18" t="s">
        <v>59</v>
      </c>
      <c r="E79" s="9">
        <v>6.0</v>
      </c>
    </row>
    <row r="80">
      <c r="A80" s="24">
        <v>79.0</v>
      </c>
      <c r="B80" s="17" t="s">
        <v>180</v>
      </c>
      <c r="C80" s="18" t="s">
        <v>66</v>
      </c>
      <c r="D80" s="18" t="s">
        <v>59</v>
      </c>
      <c r="E80" s="9">
        <v>5.0</v>
      </c>
    </row>
    <row r="81">
      <c r="A81" s="24">
        <v>80.0</v>
      </c>
      <c r="B81" s="17" t="s">
        <v>130</v>
      </c>
      <c r="C81" s="18" t="s">
        <v>69</v>
      </c>
      <c r="D81" s="18" t="s">
        <v>13</v>
      </c>
      <c r="E81" s="9">
        <v>5.0</v>
      </c>
    </row>
    <row r="82">
      <c r="A82" s="24">
        <v>81.0</v>
      </c>
      <c r="B82" s="17" t="s">
        <v>100</v>
      </c>
      <c r="C82" s="18" t="s">
        <v>85</v>
      </c>
      <c r="D82" s="18" t="s">
        <v>13</v>
      </c>
      <c r="E82" s="9">
        <v>5.0</v>
      </c>
    </row>
    <row r="83">
      <c r="A83" s="24">
        <v>82.0</v>
      </c>
      <c r="B83" s="17" t="s">
        <v>110</v>
      </c>
      <c r="C83" s="18" t="s">
        <v>62</v>
      </c>
      <c r="D83" s="18" t="s">
        <v>13</v>
      </c>
      <c r="E83" s="9">
        <v>5.0</v>
      </c>
    </row>
    <row r="84">
      <c r="A84" s="24">
        <v>83.0</v>
      </c>
      <c r="B84" s="17" t="s">
        <v>173</v>
      </c>
      <c r="C84" s="18" t="s">
        <v>25</v>
      </c>
      <c r="D84" s="18" t="s">
        <v>77</v>
      </c>
      <c r="E84" s="9">
        <v>5.0</v>
      </c>
    </row>
    <row r="85">
      <c r="A85" s="24">
        <v>84.0</v>
      </c>
      <c r="B85" s="17" t="s">
        <v>132</v>
      </c>
      <c r="C85" s="18" t="s">
        <v>21</v>
      </c>
      <c r="D85" s="18" t="s">
        <v>13</v>
      </c>
      <c r="E85" s="9">
        <v>4.0</v>
      </c>
    </row>
    <row r="86">
      <c r="A86" s="24">
        <v>85.0</v>
      </c>
      <c r="B86" s="17" t="s">
        <v>135</v>
      </c>
      <c r="C86" s="18" t="s">
        <v>23</v>
      </c>
      <c r="D86" s="18" t="s">
        <v>13</v>
      </c>
      <c r="E86" s="9">
        <v>4.0</v>
      </c>
    </row>
    <row r="87">
      <c r="A87" s="24">
        <v>86.0</v>
      </c>
      <c r="B87" s="17" t="s">
        <v>129</v>
      </c>
      <c r="C87" s="18" t="s">
        <v>69</v>
      </c>
      <c r="D87" s="18" t="s">
        <v>13</v>
      </c>
      <c r="E87" s="9">
        <v>3.0</v>
      </c>
    </row>
    <row r="88">
      <c r="A88" s="24">
        <v>87.0</v>
      </c>
      <c r="B88" s="17" t="s">
        <v>182</v>
      </c>
      <c r="C88" s="18" t="s">
        <v>19</v>
      </c>
      <c r="D88" s="18" t="s">
        <v>183</v>
      </c>
      <c r="E88" s="9">
        <v>3.0</v>
      </c>
    </row>
    <row r="89">
      <c r="A89" s="24">
        <v>88.0</v>
      </c>
      <c r="B89" s="17" t="s">
        <v>184</v>
      </c>
      <c r="C89" s="18" t="s">
        <v>12</v>
      </c>
      <c r="D89" s="18" t="s">
        <v>183</v>
      </c>
      <c r="E89" s="9">
        <v>3.0</v>
      </c>
    </row>
    <row r="90">
      <c r="A90" s="24">
        <v>89.0</v>
      </c>
      <c r="B90" s="17" t="s">
        <v>105</v>
      </c>
      <c r="C90" s="18" t="s">
        <v>25</v>
      </c>
      <c r="D90" s="18" t="s">
        <v>13</v>
      </c>
      <c r="E90" s="9">
        <v>3.0</v>
      </c>
    </row>
    <row r="91">
      <c r="A91" s="24">
        <v>90.0</v>
      </c>
      <c r="B91" s="17" t="s">
        <v>83</v>
      </c>
      <c r="C91" s="18" t="s">
        <v>37</v>
      </c>
      <c r="D91" s="18" t="s">
        <v>13</v>
      </c>
      <c r="E91" s="9">
        <v>2.0</v>
      </c>
    </row>
    <row r="92">
      <c r="A92" s="24">
        <v>91.0</v>
      </c>
      <c r="B92" s="17" t="s">
        <v>185</v>
      </c>
      <c r="C92" s="18" t="s">
        <v>62</v>
      </c>
      <c r="D92" s="18" t="s">
        <v>183</v>
      </c>
      <c r="E92" s="9">
        <v>2.0</v>
      </c>
    </row>
    <row r="93">
      <c r="A93" s="24">
        <v>92.0</v>
      </c>
      <c r="B93" s="17" t="s">
        <v>343</v>
      </c>
      <c r="C93" s="18" t="s">
        <v>58</v>
      </c>
      <c r="D93" s="18" t="s">
        <v>183</v>
      </c>
      <c r="E93" s="9">
        <v>2.0</v>
      </c>
    </row>
    <row r="94">
      <c r="A94" s="24">
        <v>93.0</v>
      </c>
      <c r="B94" s="17" t="s">
        <v>109</v>
      </c>
      <c r="C94" s="18" t="s">
        <v>89</v>
      </c>
      <c r="D94" s="18" t="s">
        <v>13</v>
      </c>
      <c r="E94" s="9">
        <v>2.0</v>
      </c>
    </row>
    <row r="95">
      <c r="A95" s="24">
        <v>94.0</v>
      </c>
      <c r="B95" s="17" t="s">
        <v>108</v>
      </c>
      <c r="C95" s="18" t="s">
        <v>17</v>
      </c>
      <c r="D95" s="18" t="s">
        <v>13</v>
      </c>
      <c r="E95" s="9">
        <v>2.0</v>
      </c>
    </row>
    <row r="96">
      <c r="A96" s="24">
        <v>95.0</v>
      </c>
      <c r="B96" s="17" t="s">
        <v>179</v>
      </c>
      <c r="C96" s="18" t="s">
        <v>17</v>
      </c>
      <c r="D96" s="18" t="s">
        <v>59</v>
      </c>
      <c r="E96" s="9">
        <v>2.0</v>
      </c>
    </row>
    <row r="97">
      <c r="A97" s="24">
        <v>96.0</v>
      </c>
      <c r="B97" s="17" t="s">
        <v>187</v>
      </c>
      <c r="C97" s="18" t="s">
        <v>43</v>
      </c>
      <c r="D97" s="18" t="s">
        <v>183</v>
      </c>
      <c r="E97" s="9">
        <v>1.0</v>
      </c>
    </row>
    <row r="98">
      <c r="A98" s="24">
        <v>97.0</v>
      </c>
      <c r="B98" s="17" t="s">
        <v>186</v>
      </c>
      <c r="C98" s="18" t="s">
        <v>25</v>
      </c>
      <c r="D98" s="18" t="s">
        <v>183</v>
      </c>
      <c r="E98" s="9">
        <v>1.0</v>
      </c>
    </row>
    <row r="99">
      <c r="A99" s="24">
        <v>98.0</v>
      </c>
      <c r="B99" s="17" t="s">
        <v>178</v>
      </c>
      <c r="C99" s="18" t="s">
        <v>55</v>
      </c>
      <c r="D99" s="18" t="s">
        <v>59</v>
      </c>
      <c r="E99" s="9">
        <v>1.0</v>
      </c>
    </row>
    <row r="100">
      <c r="A100" s="24">
        <v>99.0</v>
      </c>
      <c r="B100" s="17" t="s">
        <v>188</v>
      </c>
      <c r="C100" s="18" t="s">
        <v>119</v>
      </c>
      <c r="D100" s="18" t="s">
        <v>183</v>
      </c>
      <c r="E100" s="9">
        <v>1.0</v>
      </c>
    </row>
    <row r="101">
      <c r="A101" s="24">
        <v>100.0</v>
      </c>
      <c r="B101" s="17" t="s">
        <v>276</v>
      </c>
      <c r="C101" s="18" t="s">
        <v>53</v>
      </c>
      <c r="D101" s="18" t="s">
        <v>77</v>
      </c>
      <c r="E101" s="9">
        <v>1.0</v>
      </c>
    </row>
    <row r="102">
      <c r="A102" s="24">
        <v>101.0</v>
      </c>
      <c r="B102" s="17" t="s">
        <v>175</v>
      </c>
      <c r="C102" s="18" t="s">
        <v>99</v>
      </c>
      <c r="D102" s="18" t="s">
        <v>77</v>
      </c>
      <c r="E102" s="9">
        <v>1.0</v>
      </c>
    </row>
    <row r="103">
      <c r="A103" s="24">
        <v>102.0</v>
      </c>
      <c r="B103" s="17" t="s">
        <v>176</v>
      </c>
      <c r="C103" s="18" t="s">
        <v>39</v>
      </c>
      <c r="D103" s="18" t="s">
        <v>77</v>
      </c>
      <c r="E103" s="9">
        <v>1.0</v>
      </c>
    </row>
    <row r="104">
      <c r="A104" s="24">
        <v>103.0</v>
      </c>
      <c r="B104" s="17" t="s">
        <v>97</v>
      </c>
      <c r="C104" s="18" t="s">
        <v>64</v>
      </c>
      <c r="D104" s="18" t="s">
        <v>8</v>
      </c>
      <c r="E104" s="9">
        <v>1.0</v>
      </c>
    </row>
    <row r="105">
      <c r="A105" s="24">
        <v>104.0</v>
      </c>
      <c r="B105" s="17" t="s">
        <v>190</v>
      </c>
      <c r="C105" s="18" t="s">
        <v>45</v>
      </c>
      <c r="D105" s="18" t="s">
        <v>183</v>
      </c>
      <c r="E105" s="9">
        <v>1.0</v>
      </c>
    </row>
    <row r="106">
      <c r="A106" s="24">
        <v>105.0</v>
      </c>
      <c r="B106" s="17" t="s">
        <v>314</v>
      </c>
      <c r="C106" s="18" t="s">
        <v>64</v>
      </c>
      <c r="D106" s="18" t="s">
        <v>183</v>
      </c>
      <c r="E106" s="9">
        <v>1.0</v>
      </c>
    </row>
    <row r="107">
      <c r="A107" s="24">
        <v>106.0</v>
      </c>
      <c r="B107" s="17" t="s">
        <v>191</v>
      </c>
      <c r="C107" s="18" t="s">
        <v>53</v>
      </c>
      <c r="D107" s="18" t="s">
        <v>183</v>
      </c>
      <c r="E107" s="9">
        <v>1.0</v>
      </c>
    </row>
    <row r="108">
      <c r="A108" s="24">
        <v>107.0</v>
      </c>
      <c r="B108" s="17" t="s">
        <v>189</v>
      </c>
      <c r="C108" s="18" t="s">
        <v>30</v>
      </c>
      <c r="D108" s="18" t="s">
        <v>183</v>
      </c>
      <c r="E108" s="9">
        <v>1.0</v>
      </c>
    </row>
    <row r="109">
      <c r="A109" s="24">
        <v>108.0</v>
      </c>
      <c r="B109" s="17" t="s">
        <v>315</v>
      </c>
      <c r="C109" s="18" t="s">
        <v>66</v>
      </c>
      <c r="D109" s="18" t="s">
        <v>183</v>
      </c>
      <c r="E109" s="9">
        <v>1.0</v>
      </c>
    </row>
    <row r="110">
      <c r="A110" s="24">
        <v>109.0</v>
      </c>
      <c r="B110" s="17" t="s">
        <v>317</v>
      </c>
      <c r="C110" s="18" t="s">
        <v>28</v>
      </c>
      <c r="D110" s="18" t="s">
        <v>183</v>
      </c>
      <c r="E110" s="9">
        <v>1.0</v>
      </c>
    </row>
    <row r="111">
      <c r="A111" s="24">
        <v>110.0</v>
      </c>
      <c r="B111" s="17" t="s">
        <v>318</v>
      </c>
      <c r="C111" s="18" t="s">
        <v>17</v>
      </c>
      <c r="D111" s="18" t="s">
        <v>183</v>
      </c>
      <c r="E111" s="9">
        <v>1.0</v>
      </c>
    </row>
    <row r="112">
      <c r="A112" s="24">
        <v>111.0</v>
      </c>
      <c r="B112" s="17" t="s">
        <v>811</v>
      </c>
      <c r="C112" s="18" t="s">
        <v>35</v>
      </c>
      <c r="D112" s="18" t="s">
        <v>183</v>
      </c>
      <c r="E112" s="9">
        <v>1.0</v>
      </c>
    </row>
    <row r="113">
      <c r="A113" s="24">
        <v>112.0</v>
      </c>
      <c r="B113" s="17" t="s">
        <v>316</v>
      </c>
      <c r="C113" s="18" t="s">
        <v>37</v>
      </c>
      <c r="D113" s="18" t="s">
        <v>183</v>
      </c>
      <c r="E113" s="9">
        <v>1.0</v>
      </c>
    </row>
    <row r="114">
      <c r="A114" s="24">
        <v>113.0</v>
      </c>
      <c r="B114" s="17" t="s">
        <v>136</v>
      </c>
      <c r="C114" s="18" t="s">
        <v>41</v>
      </c>
      <c r="D114" s="18" t="s">
        <v>13</v>
      </c>
      <c r="E114" s="9">
        <v>1.0</v>
      </c>
    </row>
    <row r="115">
      <c r="A115" s="24">
        <v>114.0</v>
      </c>
      <c r="B115" s="17" t="s">
        <v>159</v>
      </c>
      <c r="C115" s="18" t="s">
        <v>23</v>
      </c>
      <c r="D115" s="18" t="s">
        <v>59</v>
      </c>
      <c r="E115" s="9">
        <v>1.0</v>
      </c>
    </row>
    <row r="116">
      <c r="A116" s="24">
        <v>115.0</v>
      </c>
      <c r="B116" s="17" t="s">
        <v>194</v>
      </c>
      <c r="C116" s="18" t="s">
        <v>41</v>
      </c>
      <c r="D116" s="18" t="s">
        <v>193</v>
      </c>
      <c r="E116" s="9">
        <v>0.0</v>
      </c>
    </row>
    <row r="117">
      <c r="A117" s="24">
        <v>116.0</v>
      </c>
      <c r="B117" s="17" t="s">
        <v>195</v>
      </c>
      <c r="C117" s="18" t="s">
        <v>47</v>
      </c>
      <c r="D117" s="18" t="s">
        <v>193</v>
      </c>
      <c r="E117" s="9">
        <v>0.0</v>
      </c>
    </row>
    <row r="118">
      <c r="A118" s="24">
        <v>117.0</v>
      </c>
      <c r="B118" s="17" t="s">
        <v>192</v>
      </c>
      <c r="C118" s="18" t="s">
        <v>30</v>
      </c>
      <c r="D118" s="18" t="s">
        <v>193</v>
      </c>
      <c r="E118" s="9">
        <v>0.0</v>
      </c>
    </row>
    <row r="119">
      <c r="A119" s="24">
        <v>118.0</v>
      </c>
      <c r="B119" s="17" t="s">
        <v>197</v>
      </c>
      <c r="C119" s="18" t="s">
        <v>37</v>
      </c>
      <c r="D119" s="18" t="s">
        <v>193</v>
      </c>
      <c r="E119" s="9">
        <v>0.0</v>
      </c>
    </row>
    <row r="120">
      <c r="A120" s="24">
        <v>119.0</v>
      </c>
      <c r="B120" s="17" t="s">
        <v>323</v>
      </c>
      <c r="C120" s="18" t="s">
        <v>19</v>
      </c>
      <c r="D120" s="18" t="s">
        <v>193</v>
      </c>
      <c r="E120" s="9">
        <v>0.0</v>
      </c>
    </row>
    <row r="121">
      <c r="A121" s="24">
        <v>120.0</v>
      </c>
      <c r="B121" s="17" t="s">
        <v>324</v>
      </c>
      <c r="C121" s="18" t="s">
        <v>64</v>
      </c>
      <c r="D121" s="18" t="s">
        <v>193</v>
      </c>
      <c r="E121" s="9">
        <v>0.0</v>
      </c>
    </row>
    <row r="122">
      <c r="A122" s="24">
        <v>121.0</v>
      </c>
      <c r="B122" s="17" t="s">
        <v>319</v>
      </c>
      <c r="C122" s="18" t="s">
        <v>66</v>
      </c>
      <c r="D122" s="18" t="s">
        <v>193</v>
      </c>
      <c r="E122" s="9">
        <v>0.0</v>
      </c>
    </row>
    <row r="123">
      <c r="A123" s="24">
        <v>122.0</v>
      </c>
      <c r="B123" s="17" t="s">
        <v>196</v>
      </c>
      <c r="C123" s="18" t="s">
        <v>58</v>
      </c>
      <c r="D123" s="18" t="s">
        <v>193</v>
      </c>
      <c r="E123" s="9">
        <v>0.0</v>
      </c>
    </row>
    <row r="124">
      <c r="A124" s="24">
        <v>123.0</v>
      </c>
      <c r="B124" s="17" t="s">
        <v>320</v>
      </c>
      <c r="C124" s="18" t="s">
        <v>15</v>
      </c>
      <c r="D124" s="18" t="s">
        <v>193</v>
      </c>
      <c r="E124" s="9">
        <v>0.0</v>
      </c>
    </row>
    <row r="125">
      <c r="A125" s="24">
        <v>124.0</v>
      </c>
      <c r="B125" s="17" t="s">
        <v>199</v>
      </c>
      <c r="C125" s="18" t="s">
        <v>32</v>
      </c>
      <c r="D125" s="18" t="s">
        <v>193</v>
      </c>
      <c r="E125" s="9">
        <v>0.0</v>
      </c>
    </row>
    <row r="126">
      <c r="A126" s="24">
        <v>125.0</v>
      </c>
      <c r="B126" s="17" t="s">
        <v>198</v>
      </c>
      <c r="C126" s="18" t="s">
        <v>28</v>
      </c>
      <c r="D126" s="18" t="s">
        <v>193</v>
      </c>
      <c r="E126" s="9">
        <v>0.0</v>
      </c>
    </row>
    <row r="127">
      <c r="A127" s="24">
        <v>126.0</v>
      </c>
      <c r="B127" s="17" t="s">
        <v>201</v>
      </c>
      <c r="C127" s="18" t="s">
        <v>73</v>
      </c>
      <c r="D127" s="18" t="s">
        <v>193</v>
      </c>
      <c r="E127" s="9">
        <v>0.0</v>
      </c>
    </row>
    <row r="128">
      <c r="A128" s="24">
        <v>127.0</v>
      </c>
      <c r="B128" s="17" t="s">
        <v>325</v>
      </c>
      <c r="C128" s="18" t="s">
        <v>12</v>
      </c>
      <c r="D128" s="18" t="s">
        <v>193</v>
      </c>
      <c r="E128" s="9">
        <v>0.0</v>
      </c>
    </row>
    <row r="129">
      <c r="A129" s="24">
        <v>128.0</v>
      </c>
      <c r="B129" s="17" t="s">
        <v>200</v>
      </c>
      <c r="C129" s="18" t="s">
        <v>7</v>
      </c>
      <c r="D129" s="18" t="s">
        <v>193</v>
      </c>
      <c r="E129" s="9">
        <v>0.0</v>
      </c>
    </row>
    <row r="130">
      <c r="A130" s="24">
        <v>129.0</v>
      </c>
      <c r="B130" s="17" t="s">
        <v>202</v>
      </c>
      <c r="C130" s="18" t="s">
        <v>23</v>
      </c>
      <c r="D130" s="18" t="s">
        <v>193</v>
      </c>
      <c r="E130" s="9">
        <v>0.0</v>
      </c>
    </row>
    <row r="131">
      <c r="A131" s="24">
        <v>130.0</v>
      </c>
      <c r="B131" s="17" t="s">
        <v>326</v>
      </c>
      <c r="C131" s="18" t="s">
        <v>17</v>
      </c>
      <c r="D131" s="18" t="s">
        <v>193</v>
      </c>
      <c r="E131" s="9">
        <v>0.0</v>
      </c>
    </row>
    <row r="132">
      <c r="A132" s="24">
        <v>131.0</v>
      </c>
      <c r="B132" s="17" t="s">
        <v>322</v>
      </c>
      <c r="C132" s="18" t="s">
        <v>119</v>
      </c>
      <c r="D132" s="18" t="s">
        <v>193</v>
      </c>
      <c r="E132" s="9">
        <v>0.0</v>
      </c>
    </row>
    <row r="133">
      <c r="A133" s="24">
        <v>132.0</v>
      </c>
      <c r="B133" s="17" t="s">
        <v>327</v>
      </c>
      <c r="C133" s="18" t="s">
        <v>45</v>
      </c>
      <c r="D133" s="18" t="s">
        <v>193</v>
      </c>
      <c r="E133" s="9">
        <v>0.0</v>
      </c>
    </row>
    <row r="134">
      <c r="A134" s="24">
        <v>133.0</v>
      </c>
      <c r="B134" s="17" t="s">
        <v>328</v>
      </c>
      <c r="C134" s="18" t="s">
        <v>43</v>
      </c>
      <c r="D134" s="18" t="s">
        <v>193</v>
      </c>
      <c r="E134" s="9">
        <v>0.0</v>
      </c>
    </row>
    <row r="135">
      <c r="A135" s="24">
        <v>134.0</v>
      </c>
      <c r="B135" s="17" t="s">
        <v>329</v>
      </c>
      <c r="C135" s="18" t="s">
        <v>21</v>
      </c>
      <c r="D135" s="18" t="s">
        <v>193</v>
      </c>
      <c r="E135" s="9">
        <v>0.0</v>
      </c>
    </row>
    <row r="136">
      <c r="A136" s="24">
        <v>135.0</v>
      </c>
      <c r="B136" s="17" t="s">
        <v>321</v>
      </c>
      <c r="C136" s="18" t="s">
        <v>39</v>
      </c>
      <c r="D136" s="18" t="s">
        <v>193</v>
      </c>
      <c r="E136" s="9">
        <v>0.0</v>
      </c>
    </row>
    <row r="137">
      <c r="A137" s="24">
        <v>136.0</v>
      </c>
      <c r="B137" s="17" t="s">
        <v>330</v>
      </c>
      <c r="C137" s="18" t="s">
        <v>62</v>
      </c>
      <c r="D137" s="18" t="s">
        <v>193</v>
      </c>
      <c r="E137" s="9">
        <v>0.0</v>
      </c>
    </row>
    <row r="138">
      <c r="A138" s="24">
        <v>137.0</v>
      </c>
      <c r="B138" s="17" t="s">
        <v>331</v>
      </c>
      <c r="C138" s="18" t="s">
        <v>53</v>
      </c>
      <c r="D138" s="18" t="s">
        <v>193</v>
      </c>
      <c r="E138" s="9">
        <v>0.0</v>
      </c>
    </row>
    <row r="139">
      <c r="A139" s="24">
        <v>138.0</v>
      </c>
      <c r="B139" s="17" t="s">
        <v>332</v>
      </c>
      <c r="C139" s="18" t="s">
        <v>25</v>
      </c>
      <c r="D139" s="18" t="s">
        <v>193</v>
      </c>
      <c r="E139" s="9">
        <v>0.0</v>
      </c>
    </row>
    <row r="140">
      <c r="A140" s="24">
        <v>139.0</v>
      </c>
      <c r="B140" s="17" t="s">
        <v>333</v>
      </c>
      <c r="C140" s="18" t="s">
        <v>69</v>
      </c>
      <c r="D140" s="18" t="s">
        <v>193</v>
      </c>
      <c r="E140" s="9">
        <v>0.0</v>
      </c>
    </row>
    <row r="141">
      <c r="A141" s="24">
        <v>140.0</v>
      </c>
      <c r="B141" s="17" t="s">
        <v>334</v>
      </c>
      <c r="C141" s="18" t="s">
        <v>99</v>
      </c>
      <c r="D141" s="18" t="s">
        <v>193</v>
      </c>
      <c r="E141" s="9">
        <v>0.0</v>
      </c>
    </row>
    <row r="142">
      <c r="A142" s="24">
        <v>141.0</v>
      </c>
      <c r="B142" s="17" t="s">
        <v>335</v>
      </c>
      <c r="C142" s="18" t="s">
        <v>10</v>
      </c>
      <c r="D142" s="18" t="s">
        <v>193</v>
      </c>
      <c r="E142" s="9">
        <v>0.0</v>
      </c>
    </row>
    <row r="143">
      <c r="A143" s="24">
        <v>142.0</v>
      </c>
      <c r="B143" s="17" t="s">
        <v>336</v>
      </c>
      <c r="C143" s="18" t="s">
        <v>89</v>
      </c>
      <c r="D143" s="18" t="s">
        <v>193</v>
      </c>
      <c r="E143" s="9">
        <v>0.0</v>
      </c>
    </row>
    <row r="144">
      <c r="A144" s="24">
        <v>143.0</v>
      </c>
      <c r="B144" s="17" t="s">
        <v>337</v>
      </c>
      <c r="C144" s="18" t="s">
        <v>55</v>
      </c>
      <c r="D144" s="18" t="s">
        <v>193</v>
      </c>
      <c r="E144" s="9">
        <v>0.0</v>
      </c>
    </row>
    <row r="145">
      <c r="A145" s="24">
        <v>144.0</v>
      </c>
      <c r="B145" s="17" t="s">
        <v>338</v>
      </c>
      <c r="C145" s="18" t="s">
        <v>85</v>
      </c>
      <c r="D145" s="18" t="s">
        <v>193</v>
      </c>
      <c r="E145" s="9">
        <v>0.0</v>
      </c>
    </row>
    <row r="146">
      <c r="A146" s="24">
        <v>145.0</v>
      </c>
      <c r="B146" s="17" t="s">
        <v>339</v>
      </c>
      <c r="C146" s="18" t="s">
        <v>35</v>
      </c>
      <c r="D146" s="18" t="s">
        <v>193</v>
      </c>
      <c r="E146" s="9">
        <v>0.0</v>
      </c>
    </row>
    <row r="147">
      <c r="A147" s="24">
        <v>146.0</v>
      </c>
      <c r="B147" s="17" t="s">
        <v>340</v>
      </c>
      <c r="C147" s="18" t="s">
        <v>81</v>
      </c>
      <c r="D147" s="18" t="s">
        <v>193</v>
      </c>
      <c r="E147" s="9">
        <v>0.0</v>
      </c>
    </row>
    <row r="148">
      <c r="A148" s="24">
        <v>147.0</v>
      </c>
      <c r="B148" s="17" t="s">
        <v>804</v>
      </c>
      <c r="C148" s="18" t="s">
        <v>32</v>
      </c>
      <c r="D148" s="18" t="s">
        <v>183</v>
      </c>
      <c r="E148" s="9">
        <v>0.0</v>
      </c>
    </row>
    <row r="149">
      <c r="A149" s="24">
        <v>148.0</v>
      </c>
      <c r="B149" s="17" t="s">
        <v>795</v>
      </c>
      <c r="C149" s="18" t="s">
        <v>23</v>
      </c>
      <c r="D149" s="18" t="s">
        <v>183</v>
      </c>
      <c r="E149" s="9">
        <v>0.0</v>
      </c>
    </row>
    <row r="150">
      <c r="A150" s="24">
        <v>149.0</v>
      </c>
      <c r="B150" s="17" t="s">
        <v>793</v>
      </c>
      <c r="C150" s="18" t="s">
        <v>15</v>
      </c>
      <c r="D150" s="18" t="s">
        <v>183</v>
      </c>
      <c r="E150" s="9">
        <v>0.0</v>
      </c>
    </row>
    <row r="151">
      <c r="A151" s="24">
        <v>150.0</v>
      </c>
      <c r="B151" s="17" t="s">
        <v>797</v>
      </c>
      <c r="C151" s="18" t="s">
        <v>47</v>
      </c>
      <c r="D151" s="18" t="s">
        <v>183</v>
      </c>
      <c r="E151" s="9">
        <v>0.0</v>
      </c>
    </row>
    <row r="152">
      <c r="A152" s="24">
        <v>151.0</v>
      </c>
      <c r="B152" s="17" t="s">
        <v>790</v>
      </c>
      <c r="C152" s="18" t="s">
        <v>89</v>
      </c>
      <c r="D152" s="18" t="s">
        <v>183</v>
      </c>
      <c r="E152" s="9">
        <v>0.0</v>
      </c>
    </row>
    <row r="153">
      <c r="A153" s="24">
        <v>152.0</v>
      </c>
      <c r="B153" s="17" t="s">
        <v>805</v>
      </c>
      <c r="C153" s="18" t="s">
        <v>73</v>
      </c>
      <c r="D153" s="18" t="s">
        <v>183</v>
      </c>
      <c r="E153" s="9">
        <v>0.0</v>
      </c>
    </row>
    <row r="154">
      <c r="A154" s="24">
        <v>153.0</v>
      </c>
      <c r="B154" s="17" t="s">
        <v>277</v>
      </c>
      <c r="C154" s="18" t="s">
        <v>73</v>
      </c>
      <c r="D154" s="18" t="s">
        <v>77</v>
      </c>
      <c r="E154" s="9">
        <v>0.0</v>
      </c>
    </row>
    <row r="155">
      <c r="A155" s="24">
        <v>154.0</v>
      </c>
      <c r="B155" s="17" t="s">
        <v>177</v>
      </c>
      <c r="C155" s="18" t="s">
        <v>85</v>
      </c>
      <c r="D155" s="18" t="s">
        <v>59</v>
      </c>
      <c r="E155" s="9">
        <v>0.0</v>
      </c>
    </row>
    <row r="156">
      <c r="A156" s="24">
        <v>155.0</v>
      </c>
      <c r="B156" s="17" t="s">
        <v>810</v>
      </c>
      <c r="C156" s="18" t="s">
        <v>99</v>
      </c>
      <c r="D156" s="18" t="s">
        <v>183</v>
      </c>
      <c r="E156" s="9">
        <v>0.0</v>
      </c>
    </row>
    <row r="157">
      <c r="A157" s="24">
        <v>156.0</v>
      </c>
      <c r="B157" s="17" t="s">
        <v>301</v>
      </c>
      <c r="C157" s="18" t="s">
        <v>43</v>
      </c>
      <c r="D157" s="18" t="s">
        <v>59</v>
      </c>
      <c r="E157" s="9">
        <v>0.0</v>
      </c>
    </row>
    <row r="158">
      <c r="A158" s="24">
        <v>157.0</v>
      </c>
      <c r="B158" s="17" t="s">
        <v>799</v>
      </c>
      <c r="C158" s="18" t="s">
        <v>21</v>
      </c>
      <c r="D158" s="18" t="s">
        <v>183</v>
      </c>
      <c r="E158" s="9">
        <v>0.0</v>
      </c>
    </row>
    <row r="159">
      <c r="A159" s="24">
        <v>158.0</v>
      </c>
      <c r="B159" s="17" t="s">
        <v>796</v>
      </c>
      <c r="C159" s="18" t="s">
        <v>41</v>
      </c>
      <c r="D159" s="18" t="s">
        <v>183</v>
      </c>
      <c r="E159" s="9">
        <v>0.0</v>
      </c>
    </row>
    <row r="160">
      <c r="A160" s="24">
        <v>159.0</v>
      </c>
      <c r="B160" s="17" t="s">
        <v>794</v>
      </c>
      <c r="C160" s="18" t="s">
        <v>69</v>
      </c>
      <c r="D160" s="18" t="s">
        <v>183</v>
      </c>
      <c r="E160" s="9">
        <v>0.0</v>
      </c>
    </row>
    <row r="161">
      <c r="A161" s="24">
        <v>160.0</v>
      </c>
      <c r="B161" s="17" t="s">
        <v>791</v>
      </c>
      <c r="C161" s="18" t="s">
        <v>7</v>
      </c>
      <c r="D161" s="18" t="s">
        <v>183</v>
      </c>
      <c r="E161" s="9">
        <v>0.0</v>
      </c>
    </row>
    <row r="162">
      <c r="A162" s="24">
        <v>161.0</v>
      </c>
      <c r="B162" s="17" t="s">
        <v>800</v>
      </c>
      <c r="C162" s="18" t="s">
        <v>55</v>
      </c>
      <c r="D162" s="18" t="s">
        <v>183</v>
      </c>
      <c r="E162" s="9">
        <v>0.0</v>
      </c>
    </row>
    <row r="163">
      <c r="A163" s="24">
        <v>162.0</v>
      </c>
      <c r="B163" s="17" t="s">
        <v>798</v>
      </c>
      <c r="C163" s="18" t="s">
        <v>85</v>
      </c>
      <c r="D163" s="18" t="s">
        <v>183</v>
      </c>
      <c r="E163" s="9">
        <v>0.0</v>
      </c>
    </row>
    <row r="164">
      <c r="A164" s="24">
        <v>163.0</v>
      </c>
      <c r="B164" s="17" t="s">
        <v>806</v>
      </c>
      <c r="C164" s="18" t="s">
        <v>10</v>
      </c>
      <c r="D164" s="18" t="s">
        <v>183</v>
      </c>
      <c r="E164" s="9">
        <v>0.0</v>
      </c>
    </row>
    <row r="165">
      <c r="A165" s="24">
        <v>164.0</v>
      </c>
      <c r="B165" s="17" t="s">
        <v>801</v>
      </c>
      <c r="C165" s="18" t="s">
        <v>81</v>
      </c>
      <c r="D165" s="18" t="s">
        <v>183</v>
      </c>
      <c r="E165" s="9">
        <v>0.0</v>
      </c>
    </row>
    <row r="166">
      <c r="A166" s="24">
        <v>165.0</v>
      </c>
      <c r="B166" s="17" t="s">
        <v>116</v>
      </c>
      <c r="C166" s="18" t="s">
        <v>58</v>
      </c>
      <c r="D166" s="18" t="s">
        <v>13</v>
      </c>
      <c r="E166" s="9">
        <v>0.0</v>
      </c>
    </row>
    <row r="167">
      <c r="A167" s="24">
        <v>166.0</v>
      </c>
      <c r="B167" s="17" t="s">
        <v>300</v>
      </c>
      <c r="C167" s="18" t="s">
        <v>19</v>
      </c>
      <c r="D167" s="18" t="s">
        <v>59</v>
      </c>
      <c r="E167" s="9">
        <v>0.0</v>
      </c>
    </row>
    <row r="168">
      <c r="A168" s="24">
        <v>167.0</v>
      </c>
      <c r="B168" s="17" t="s">
        <v>181</v>
      </c>
      <c r="C168" s="18" t="s">
        <v>12</v>
      </c>
      <c r="D168" s="18" t="s">
        <v>59</v>
      </c>
      <c r="E168" s="9">
        <v>0.0</v>
      </c>
    </row>
    <row r="169">
      <c r="A169" s="24">
        <v>168.0</v>
      </c>
      <c r="B169" s="17" t="s">
        <v>302</v>
      </c>
      <c r="C169" s="18" t="s">
        <v>15</v>
      </c>
      <c r="D169" s="18" t="s">
        <v>59</v>
      </c>
      <c r="E169" s="9">
        <v>0.0</v>
      </c>
    </row>
    <row r="170">
      <c r="A170" s="24">
        <v>169.0</v>
      </c>
      <c r="B170" s="17" t="s">
        <v>147</v>
      </c>
      <c r="C170" s="18" t="s">
        <v>28</v>
      </c>
      <c r="D170" s="18" t="s">
        <v>13</v>
      </c>
      <c r="E170" s="9">
        <v>0.0</v>
      </c>
    </row>
    <row r="171">
      <c r="A171" s="24">
        <v>170.0</v>
      </c>
      <c r="B171" s="17" t="s">
        <v>792</v>
      </c>
      <c r="C171" s="18" t="s">
        <v>39</v>
      </c>
      <c r="D171" s="18" t="s">
        <v>183</v>
      </c>
      <c r="E171" s="9">
        <v>0.0</v>
      </c>
    </row>
    <row r="172">
      <c r="A172" s="24">
        <v>171.0</v>
      </c>
      <c r="B172" s="17" t="s">
        <v>153</v>
      </c>
      <c r="C172" s="18" t="s">
        <v>37</v>
      </c>
      <c r="D172" s="18" t="s">
        <v>13</v>
      </c>
      <c r="E172" s="9">
        <v>0.0</v>
      </c>
    </row>
    <row r="173">
      <c r="A173" s="24">
        <v>172.0</v>
      </c>
      <c r="B173" s="17" t="s">
        <v>303</v>
      </c>
      <c r="C173" s="18" t="s">
        <v>47</v>
      </c>
      <c r="D173" s="18" t="s">
        <v>59</v>
      </c>
      <c r="E173" s="9">
        <v>0.0</v>
      </c>
    </row>
    <row r="174">
      <c r="A174" s="24">
        <v>173.0</v>
      </c>
      <c r="B174" s="17" t="s">
        <v>152</v>
      </c>
      <c r="C174" s="18" t="s">
        <v>53</v>
      </c>
      <c r="D174" s="18" t="s">
        <v>13</v>
      </c>
      <c r="E174" s="9">
        <v>0.0</v>
      </c>
    </row>
    <row r="175">
      <c r="A175" s="24">
        <v>174.0</v>
      </c>
      <c r="B175" s="17" t="s">
        <v>275</v>
      </c>
      <c r="C175" s="18" t="s">
        <v>55</v>
      </c>
      <c r="D175" s="18" t="s">
        <v>77</v>
      </c>
      <c r="E175" s="9">
        <v>0.0</v>
      </c>
    </row>
    <row r="176">
      <c r="A176" s="24">
        <v>175.0</v>
      </c>
      <c r="B176" s="17" t="s">
        <v>102</v>
      </c>
      <c r="C176" s="18" t="s">
        <v>30</v>
      </c>
      <c r="D176" s="18" t="s">
        <v>8</v>
      </c>
      <c r="E176" s="9">
        <v>0.0</v>
      </c>
    </row>
    <row r="177">
      <c r="A177" s="24">
        <v>176.0</v>
      </c>
      <c r="B177" s="17" t="s">
        <v>298</v>
      </c>
      <c r="C177" s="18" t="s">
        <v>21</v>
      </c>
      <c r="D177" s="18" t="s">
        <v>59</v>
      </c>
      <c r="E177" s="9">
        <v>0.0</v>
      </c>
    </row>
    <row r="178">
      <c r="A178" s="24">
        <v>177.0</v>
      </c>
      <c r="B178" s="17" t="s">
        <v>278</v>
      </c>
      <c r="C178" s="18" t="s">
        <v>69</v>
      </c>
      <c r="D178" s="18" t="s">
        <v>77</v>
      </c>
      <c r="E178" s="9">
        <v>0.0</v>
      </c>
    </row>
    <row r="179">
      <c r="A179" s="24">
        <v>178.0</v>
      </c>
      <c r="B179" s="17" t="s">
        <v>104</v>
      </c>
      <c r="C179" s="18" t="s">
        <v>41</v>
      </c>
      <c r="D179" s="18" t="s">
        <v>13</v>
      </c>
      <c r="E179" s="9">
        <v>0.0</v>
      </c>
    </row>
    <row r="180">
      <c r="A180" s="24">
        <v>179.0</v>
      </c>
      <c r="B180" s="17" t="s">
        <v>169</v>
      </c>
      <c r="C180" s="18" t="s">
        <v>62</v>
      </c>
      <c r="D180" s="18" t="s">
        <v>13</v>
      </c>
      <c r="E180" s="9">
        <v>0.0</v>
      </c>
    </row>
    <row r="181">
      <c r="A181" s="24">
        <v>180.0</v>
      </c>
      <c r="B181" s="17" t="s">
        <v>117</v>
      </c>
      <c r="C181" s="18" t="s">
        <v>99</v>
      </c>
      <c r="D181" s="18" t="s">
        <v>13</v>
      </c>
      <c r="E181" s="9">
        <v>0.0</v>
      </c>
    </row>
    <row r="182">
      <c r="A182" s="24">
        <v>181.0</v>
      </c>
      <c r="B182" s="17" t="s">
        <v>299</v>
      </c>
      <c r="C182" s="18" t="s">
        <v>73</v>
      </c>
      <c r="D182" s="18" t="s">
        <v>59</v>
      </c>
      <c r="E182" s="9">
        <v>0.0</v>
      </c>
    </row>
    <row r="183">
      <c r="A183" s="24">
        <v>182.0</v>
      </c>
      <c r="B183" s="17" t="s">
        <v>279</v>
      </c>
      <c r="C183" s="18" t="s">
        <v>21</v>
      </c>
      <c r="D183" s="18" t="s">
        <v>77</v>
      </c>
      <c r="E183" s="9">
        <v>0.0</v>
      </c>
    </row>
    <row r="184">
      <c r="A184" s="24">
        <v>183.0</v>
      </c>
      <c r="B184" s="17" t="s">
        <v>166</v>
      </c>
      <c r="C184" s="18" t="s">
        <v>47</v>
      </c>
      <c r="D184" s="18" t="s">
        <v>13</v>
      </c>
      <c r="E184" s="9">
        <v>0.0</v>
      </c>
    </row>
    <row r="185">
      <c r="A185" s="24">
        <v>184.0</v>
      </c>
      <c r="B185" s="17" t="s">
        <v>297</v>
      </c>
      <c r="C185" s="18" t="s">
        <v>99</v>
      </c>
      <c r="D185" s="18" t="s">
        <v>59</v>
      </c>
      <c r="E185" s="9">
        <v>0.0</v>
      </c>
    </row>
    <row r="186">
      <c r="A186" s="24">
        <v>185.0</v>
      </c>
      <c r="B186" s="17" t="s">
        <v>134</v>
      </c>
      <c r="C186" s="18" t="s">
        <v>47</v>
      </c>
      <c r="D186" s="18" t="s">
        <v>13</v>
      </c>
      <c r="E186" s="9">
        <v>0.0</v>
      </c>
    </row>
    <row r="187">
      <c r="A187" s="24">
        <v>186.0</v>
      </c>
      <c r="B187" s="17" t="s">
        <v>170</v>
      </c>
      <c r="C187" s="18" t="s">
        <v>62</v>
      </c>
      <c r="D187" s="18" t="s">
        <v>13</v>
      </c>
      <c r="E187" s="9">
        <v>0.0</v>
      </c>
    </row>
    <row r="188">
      <c r="A188" s="24">
        <v>187.0</v>
      </c>
      <c r="B188" s="17" t="s">
        <v>133</v>
      </c>
      <c r="C188" s="18" t="s">
        <v>53</v>
      </c>
      <c r="D188" s="18" t="s">
        <v>13</v>
      </c>
      <c r="E188" s="9">
        <v>0.0</v>
      </c>
    </row>
    <row r="189">
      <c r="A189" s="24">
        <v>188.0</v>
      </c>
      <c r="B189" s="17" t="s">
        <v>248</v>
      </c>
      <c r="C189" s="18" t="s">
        <v>12</v>
      </c>
      <c r="D189" s="18" t="s">
        <v>13</v>
      </c>
      <c r="E189" s="9">
        <v>0.0</v>
      </c>
    </row>
    <row r="190">
      <c r="A190" s="24">
        <v>189.0</v>
      </c>
      <c r="B190" s="17" t="s">
        <v>118</v>
      </c>
      <c r="C190" s="18" t="s">
        <v>119</v>
      </c>
      <c r="D190" s="18" t="s">
        <v>8</v>
      </c>
      <c r="E190" s="9">
        <v>0.0</v>
      </c>
    </row>
    <row r="191">
      <c r="A191" s="24">
        <v>190.0</v>
      </c>
      <c r="B191" s="17" t="s">
        <v>148</v>
      </c>
      <c r="C191" s="18" t="s">
        <v>21</v>
      </c>
      <c r="D191" s="18" t="s">
        <v>13</v>
      </c>
      <c r="E191" s="9">
        <v>0.0</v>
      </c>
    </row>
    <row r="192">
      <c r="A192" s="24">
        <v>191.0</v>
      </c>
      <c r="B192" s="17" t="s">
        <v>306</v>
      </c>
      <c r="C192" s="18" t="s">
        <v>7</v>
      </c>
      <c r="D192" s="18" t="s">
        <v>59</v>
      </c>
      <c r="E192" s="9">
        <v>0.0</v>
      </c>
    </row>
    <row r="193">
      <c r="A193" s="24">
        <v>192.0</v>
      </c>
      <c r="B193" s="17" t="s">
        <v>312</v>
      </c>
      <c r="C193" s="18" t="s">
        <v>37</v>
      </c>
      <c r="D193" s="18" t="s">
        <v>59</v>
      </c>
      <c r="E193" s="9">
        <v>0.0</v>
      </c>
    </row>
    <row r="194">
      <c r="A194" s="24">
        <v>193.0</v>
      </c>
      <c r="B194" s="17" t="s">
        <v>171</v>
      </c>
      <c r="C194" s="18" t="s">
        <v>10</v>
      </c>
      <c r="D194" s="18" t="s">
        <v>13</v>
      </c>
      <c r="E194" s="9">
        <v>0.0</v>
      </c>
    </row>
    <row r="195">
      <c r="A195" s="24">
        <v>194.0</v>
      </c>
      <c r="B195" s="17" t="s">
        <v>885</v>
      </c>
      <c r="C195" s="18" t="s">
        <v>43</v>
      </c>
      <c r="D195" s="18" t="s">
        <v>13</v>
      </c>
      <c r="E195" s="9">
        <v>0.0</v>
      </c>
    </row>
    <row r="196">
      <c r="A196" s="24">
        <v>195.0</v>
      </c>
      <c r="B196" s="17" t="s">
        <v>172</v>
      </c>
      <c r="C196" s="18" t="s">
        <v>99</v>
      </c>
      <c r="D196" s="18" t="s">
        <v>13</v>
      </c>
      <c r="E196" s="9">
        <v>0.0</v>
      </c>
    </row>
    <row r="197">
      <c r="A197" s="24">
        <v>196.0</v>
      </c>
      <c r="B197" s="17" t="s">
        <v>280</v>
      </c>
      <c r="C197" s="18" t="s">
        <v>41</v>
      </c>
      <c r="D197" s="18" t="s">
        <v>77</v>
      </c>
      <c r="E197" s="9">
        <v>0.0</v>
      </c>
    </row>
    <row r="198">
      <c r="A198" s="24">
        <v>197.0</v>
      </c>
      <c r="B198" s="17" t="s">
        <v>150</v>
      </c>
      <c r="C198" s="18" t="s">
        <v>41</v>
      </c>
      <c r="D198" s="18" t="s">
        <v>13</v>
      </c>
      <c r="E198" s="9">
        <v>0.0</v>
      </c>
    </row>
    <row r="199">
      <c r="A199" s="24">
        <v>198.0</v>
      </c>
      <c r="B199" s="17" t="s">
        <v>98</v>
      </c>
      <c r="C199" s="18" t="s">
        <v>99</v>
      </c>
      <c r="D199" s="18" t="s">
        <v>8</v>
      </c>
      <c r="E199" s="9">
        <v>0.0</v>
      </c>
    </row>
    <row r="200">
      <c r="A200" s="24">
        <v>199.0</v>
      </c>
      <c r="B200" s="17" t="s">
        <v>168</v>
      </c>
      <c r="C200" s="18" t="s">
        <v>73</v>
      </c>
      <c r="D200" s="18" t="s">
        <v>13</v>
      </c>
      <c r="E200" s="9">
        <v>0.0</v>
      </c>
    </row>
    <row r="201">
      <c r="A201" s="24">
        <v>200.0</v>
      </c>
      <c r="B201" s="17" t="s">
        <v>304</v>
      </c>
      <c r="C201" s="18" t="s">
        <v>81</v>
      </c>
      <c r="D201" s="18" t="s">
        <v>59</v>
      </c>
      <c r="E201" s="9">
        <v>0.0</v>
      </c>
    </row>
    <row r="202">
      <c r="A202" s="24">
        <v>201.0</v>
      </c>
      <c r="B202" s="17" t="s">
        <v>165</v>
      </c>
      <c r="C202" s="18" t="s">
        <v>19</v>
      </c>
      <c r="D202" s="18" t="s">
        <v>13</v>
      </c>
      <c r="E202" s="9">
        <v>0.0</v>
      </c>
    </row>
    <row r="203">
      <c r="A203" s="24">
        <v>202.0</v>
      </c>
      <c r="B203" s="17" t="s">
        <v>283</v>
      </c>
      <c r="C203" s="18" t="s">
        <v>35</v>
      </c>
      <c r="D203" s="18" t="s">
        <v>77</v>
      </c>
      <c r="E203" s="9">
        <v>0.0</v>
      </c>
    </row>
    <row r="204">
      <c r="A204" s="24">
        <v>203.0</v>
      </c>
      <c r="B204" s="17" t="s">
        <v>247</v>
      </c>
      <c r="C204" s="18" t="s">
        <v>32</v>
      </c>
      <c r="D204" s="18" t="s">
        <v>13</v>
      </c>
      <c r="E204" s="9">
        <v>0.0</v>
      </c>
    </row>
    <row r="205">
      <c r="A205" s="24">
        <v>204.0</v>
      </c>
      <c r="B205" s="17" t="s">
        <v>151</v>
      </c>
      <c r="C205" s="18" t="s">
        <v>119</v>
      </c>
      <c r="D205" s="18" t="s">
        <v>13</v>
      </c>
      <c r="E205" s="9">
        <v>0.0</v>
      </c>
    </row>
    <row r="206">
      <c r="A206" s="24">
        <v>205.0</v>
      </c>
      <c r="B206" s="17" t="s">
        <v>149</v>
      </c>
      <c r="C206" s="18" t="s">
        <v>62</v>
      </c>
      <c r="D206" s="18" t="s">
        <v>13</v>
      </c>
      <c r="E206" s="9">
        <v>0.0</v>
      </c>
    </row>
    <row r="207">
      <c r="A207" s="24">
        <v>206.0</v>
      </c>
      <c r="B207" s="17" t="s">
        <v>282</v>
      </c>
      <c r="C207" s="18" t="s">
        <v>7</v>
      </c>
      <c r="D207" s="18" t="s">
        <v>77</v>
      </c>
      <c r="E207" s="9">
        <v>0.0</v>
      </c>
    </row>
    <row r="208">
      <c r="A208" s="24">
        <v>207.0</v>
      </c>
      <c r="B208" s="17" t="s">
        <v>342</v>
      </c>
      <c r="C208" s="18" t="s">
        <v>15</v>
      </c>
      <c r="D208" s="18" t="s">
        <v>13</v>
      </c>
      <c r="E208" s="9">
        <v>0.0</v>
      </c>
    </row>
    <row r="209">
      <c r="A209" s="24">
        <v>208.0</v>
      </c>
      <c r="B209" s="17" t="s">
        <v>281</v>
      </c>
      <c r="C209" s="18" t="s">
        <v>119</v>
      </c>
      <c r="D209" s="18" t="s">
        <v>77</v>
      </c>
      <c r="E209" s="9">
        <v>0.0</v>
      </c>
    </row>
    <row r="210">
      <c r="A210" s="24">
        <v>209.0</v>
      </c>
      <c r="B210" s="17" t="s">
        <v>305</v>
      </c>
      <c r="C210" s="18" t="s">
        <v>69</v>
      </c>
      <c r="D210" s="18" t="s">
        <v>59</v>
      </c>
      <c r="E210" s="9">
        <v>0.0</v>
      </c>
    </row>
    <row r="211">
      <c r="A211" s="24">
        <v>210.0</v>
      </c>
      <c r="B211" s="17" t="s">
        <v>886</v>
      </c>
      <c r="C211" s="18" t="s">
        <v>21</v>
      </c>
      <c r="D211" s="18" t="s">
        <v>183</v>
      </c>
      <c r="E211" s="9">
        <v>0.0</v>
      </c>
    </row>
    <row r="212">
      <c r="A212" s="24">
        <v>211.0</v>
      </c>
      <c r="B212" s="17" t="s">
        <v>809</v>
      </c>
      <c r="C212" s="18" t="s">
        <v>262</v>
      </c>
      <c r="D212" s="18" t="s">
        <v>183</v>
      </c>
      <c r="E212" s="9">
        <v>0.0</v>
      </c>
    </row>
    <row r="213">
      <c r="A213" s="24">
        <v>212.0</v>
      </c>
      <c r="B213" s="17" t="s">
        <v>887</v>
      </c>
      <c r="C213" s="18" t="s">
        <v>262</v>
      </c>
      <c r="D213" s="18" t="s">
        <v>183</v>
      </c>
      <c r="E213" s="9">
        <v>0.0</v>
      </c>
    </row>
    <row r="214">
      <c r="A214" s="24">
        <v>213.0</v>
      </c>
      <c r="B214" s="17" t="s">
        <v>888</v>
      </c>
      <c r="C214" s="18" t="s">
        <v>262</v>
      </c>
      <c r="D214" s="18" t="s">
        <v>183</v>
      </c>
      <c r="E214" s="9">
        <v>0.0</v>
      </c>
    </row>
    <row r="215">
      <c r="A215" s="24">
        <v>214.0</v>
      </c>
      <c r="B215" s="17" t="s">
        <v>889</v>
      </c>
      <c r="C215" s="18" t="s">
        <v>262</v>
      </c>
      <c r="D215" s="18" t="s">
        <v>183</v>
      </c>
      <c r="E215" s="9">
        <v>0.0</v>
      </c>
    </row>
    <row r="216">
      <c r="A216" s="24">
        <v>215.0</v>
      </c>
      <c r="B216" s="17" t="s">
        <v>890</v>
      </c>
      <c r="C216" s="18" t="s">
        <v>262</v>
      </c>
      <c r="D216" s="18" t="s">
        <v>183</v>
      </c>
      <c r="E216" s="9">
        <v>0.0</v>
      </c>
    </row>
    <row r="217">
      <c r="A217" s="24">
        <v>216.0</v>
      </c>
      <c r="B217" s="17" t="s">
        <v>891</v>
      </c>
      <c r="C217" s="18" t="s">
        <v>262</v>
      </c>
      <c r="D217" s="18" t="s">
        <v>183</v>
      </c>
      <c r="E217" s="9">
        <v>0.0</v>
      </c>
    </row>
    <row r="218">
      <c r="A218" s="24">
        <v>217.0</v>
      </c>
      <c r="B218" s="17" t="s">
        <v>892</v>
      </c>
      <c r="C218" s="18" t="s">
        <v>262</v>
      </c>
      <c r="D218" s="18" t="s">
        <v>183</v>
      </c>
      <c r="E218" s="9">
        <v>0.0</v>
      </c>
    </row>
    <row r="219">
      <c r="A219" s="24">
        <v>218.0</v>
      </c>
      <c r="B219" s="17" t="s">
        <v>893</v>
      </c>
      <c r="C219" s="18" t="s">
        <v>262</v>
      </c>
      <c r="D219" s="18" t="s">
        <v>183</v>
      </c>
      <c r="E219" s="9">
        <v>0.0</v>
      </c>
    </row>
    <row r="220">
      <c r="A220" s="24">
        <v>219.0</v>
      </c>
      <c r="B220" s="17" t="s">
        <v>894</v>
      </c>
      <c r="C220" s="18" t="s">
        <v>262</v>
      </c>
      <c r="D220" s="18" t="s">
        <v>183</v>
      </c>
      <c r="E220" s="9">
        <v>0.0</v>
      </c>
    </row>
    <row r="221">
      <c r="A221" s="24">
        <v>220.0</v>
      </c>
      <c r="B221" s="17" t="s">
        <v>895</v>
      </c>
      <c r="C221" s="18" t="s">
        <v>262</v>
      </c>
      <c r="D221" s="18" t="s">
        <v>183</v>
      </c>
      <c r="E221" s="9">
        <v>0.0</v>
      </c>
    </row>
    <row r="222">
      <c r="A222" s="24">
        <v>221.0</v>
      </c>
      <c r="B222" s="17" t="s">
        <v>803</v>
      </c>
      <c r="C222" s="18" t="s">
        <v>262</v>
      </c>
      <c r="D222" s="18" t="s">
        <v>183</v>
      </c>
      <c r="E222" s="9">
        <v>0.0</v>
      </c>
    </row>
    <row r="223">
      <c r="A223" s="24">
        <v>222.0</v>
      </c>
      <c r="B223" s="17" t="s">
        <v>896</v>
      </c>
      <c r="C223" s="18" t="s">
        <v>262</v>
      </c>
      <c r="D223" s="18" t="s">
        <v>183</v>
      </c>
      <c r="E223" s="9">
        <v>0.0</v>
      </c>
    </row>
    <row r="224">
      <c r="A224" s="24">
        <v>223.0</v>
      </c>
      <c r="B224" s="17" t="s">
        <v>897</v>
      </c>
      <c r="C224" s="18" t="s">
        <v>262</v>
      </c>
      <c r="D224" s="18" t="s">
        <v>183</v>
      </c>
      <c r="E224" s="9">
        <v>0.0</v>
      </c>
    </row>
    <row r="225">
      <c r="A225" s="24">
        <v>224.0</v>
      </c>
      <c r="B225" s="17" t="s">
        <v>898</v>
      </c>
      <c r="C225" s="18" t="s">
        <v>262</v>
      </c>
      <c r="D225" s="18" t="s">
        <v>183</v>
      </c>
      <c r="E225" s="9">
        <v>0.0</v>
      </c>
    </row>
    <row r="226">
      <c r="A226" s="24">
        <v>225.0</v>
      </c>
      <c r="B226" s="17" t="s">
        <v>899</v>
      </c>
      <c r="C226" s="18" t="s">
        <v>262</v>
      </c>
      <c r="D226" s="18" t="s">
        <v>183</v>
      </c>
      <c r="E226" s="9">
        <v>0.0</v>
      </c>
    </row>
    <row r="227">
      <c r="A227" s="24">
        <v>226.0</v>
      </c>
      <c r="B227" s="17" t="s">
        <v>900</v>
      </c>
      <c r="C227" s="18" t="s">
        <v>262</v>
      </c>
      <c r="D227" s="18" t="s">
        <v>183</v>
      </c>
      <c r="E227" s="9">
        <v>0.0</v>
      </c>
    </row>
    <row r="228">
      <c r="A228" s="24">
        <v>227.0</v>
      </c>
      <c r="B228" s="17" t="s">
        <v>815</v>
      </c>
      <c r="C228" s="18" t="s">
        <v>69</v>
      </c>
      <c r="D228" s="18" t="s">
        <v>183</v>
      </c>
      <c r="E228" s="9">
        <v>0.0</v>
      </c>
    </row>
    <row r="229">
      <c r="A229" s="24">
        <v>228.0</v>
      </c>
      <c r="B229" s="17" t="s">
        <v>901</v>
      </c>
      <c r="C229" s="18" t="s">
        <v>262</v>
      </c>
      <c r="D229" s="18" t="s">
        <v>183</v>
      </c>
      <c r="E229" s="9">
        <v>0.0</v>
      </c>
    </row>
    <row r="230">
      <c r="A230" s="24">
        <v>229.0</v>
      </c>
      <c r="B230" s="17" t="s">
        <v>902</v>
      </c>
      <c r="C230" s="18" t="s">
        <v>262</v>
      </c>
      <c r="D230" s="18" t="s">
        <v>183</v>
      </c>
      <c r="E230" s="9">
        <v>0.0</v>
      </c>
    </row>
    <row r="231">
      <c r="A231" s="24">
        <v>230.0</v>
      </c>
      <c r="B231" s="17" t="s">
        <v>903</v>
      </c>
      <c r="C231" s="18" t="s">
        <v>262</v>
      </c>
      <c r="D231" s="18" t="s">
        <v>183</v>
      </c>
      <c r="E231" s="9">
        <v>0.0</v>
      </c>
    </row>
    <row r="232">
      <c r="A232" s="24">
        <v>231.0</v>
      </c>
      <c r="B232" s="17" t="s">
        <v>807</v>
      </c>
      <c r="C232" s="18" t="s">
        <v>119</v>
      </c>
      <c r="D232" s="18" t="s">
        <v>183</v>
      </c>
      <c r="E232" s="9">
        <v>0.0</v>
      </c>
    </row>
    <row r="233">
      <c r="A233" s="24">
        <v>232.0</v>
      </c>
      <c r="B233" s="17" t="s">
        <v>904</v>
      </c>
      <c r="C233" s="18" t="s">
        <v>262</v>
      </c>
      <c r="D233" s="18" t="s">
        <v>183</v>
      </c>
      <c r="E233" s="9">
        <v>0.0</v>
      </c>
    </row>
    <row r="234">
      <c r="A234" s="24">
        <v>233.0</v>
      </c>
      <c r="B234" s="17" t="s">
        <v>808</v>
      </c>
      <c r="C234" s="18" t="s">
        <v>35</v>
      </c>
      <c r="D234" s="18" t="s">
        <v>183</v>
      </c>
      <c r="E234" s="9">
        <v>0.0</v>
      </c>
    </row>
    <row r="235">
      <c r="A235" s="24">
        <v>234.0</v>
      </c>
      <c r="B235" s="17" t="s">
        <v>802</v>
      </c>
      <c r="C235" s="18" t="s">
        <v>262</v>
      </c>
      <c r="D235" s="18" t="s">
        <v>183</v>
      </c>
      <c r="E235" s="9">
        <v>0.0</v>
      </c>
    </row>
    <row r="236">
      <c r="A236" s="24">
        <v>235.0</v>
      </c>
      <c r="B236" s="17" t="s">
        <v>905</v>
      </c>
      <c r="C236" s="18" t="s">
        <v>262</v>
      </c>
      <c r="D236" s="18" t="s">
        <v>183</v>
      </c>
      <c r="E236" s="9">
        <v>0.0</v>
      </c>
    </row>
    <row r="237">
      <c r="A237" s="24">
        <v>236.0</v>
      </c>
      <c r="B237" s="17" t="s">
        <v>818</v>
      </c>
      <c r="C237" s="18" t="s">
        <v>262</v>
      </c>
      <c r="D237" s="18" t="s">
        <v>183</v>
      </c>
      <c r="E237" s="9">
        <v>0.0</v>
      </c>
    </row>
    <row r="238">
      <c r="A238" s="24">
        <v>237.0</v>
      </c>
      <c r="B238" s="17" t="s">
        <v>812</v>
      </c>
      <c r="C238" s="18" t="s">
        <v>119</v>
      </c>
      <c r="D238" s="18" t="s">
        <v>183</v>
      </c>
      <c r="E238" s="9">
        <v>0.0</v>
      </c>
    </row>
    <row r="239">
      <c r="A239" s="24">
        <v>238.0</v>
      </c>
      <c r="B239" s="17" t="s">
        <v>906</v>
      </c>
      <c r="C239" s="18" t="s">
        <v>262</v>
      </c>
      <c r="D239" s="18" t="s">
        <v>183</v>
      </c>
      <c r="E239" s="9">
        <v>0.0</v>
      </c>
    </row>
    <row r="240">
      <c r="A240" s="24">
        <v>239.0</v>
      </c>
      <c r="B240" s="17" t="s">
        <v>907</v>
      </c>
      <c r="C240" s="18" t="s">
        <v>262</v>
      </c>
      <c r="D240" s="18" t="s">
        <v>183</v>
      </c>
      <c r="E240" s="9">
        <v>0.0</v>
      </c>
    </row>
    <row r="241">
      <c r="A241" s="24">
        <v>240.0</v>
      </c>
      <c r="B241" s="17" t="s">
        <v>908</v>
      </c>
      <c r="C241" s="18" t="s">
        <v>262</v>
      </c>
      <c r="D241" s="18" t="s">
        <v>183</v>
      </c>
      <c r="E241" s="9">
        <v>0.0</v>
      </c>
    </row>
    <row r="242">
      <c r="A242" s="24">
        <v>241.0</v>
      </c>
      <c r="B242" s="17" t="s">
        <v>813</v>
      </c>
      <c r="C242" s="18" t="s">
        <v>32</v>
      </c>
      <c r="D242" s="18" t="s">
        <v>183</v>
      </c>
      <c r="E242" s="9">
        <v>0.0</v>
      </c>
    </row>
    <row r="243">
      <c r="A243" s="24">
        <v>242.0</v>
      </c>
      <c r="B243" s="17" t="s">
        <v>246</v>
      </c>
      <c r="C243" s="18" t="s">
        <v>32</v>
      </c>
      <c r="D243" s="18" t="s">
        <v>13</v>
      </c>
      <c r="E243" s="9">
        <v>0.0</v>
      </c>
    </row>
    <row r="244">
      <c r="A244" s="24">
        <v>243.0</v>
      </c>
      <c r="B244" s="17" t="s">
        <v>244</v>
      </c>
      <c r="C244" s="18" t="s">
        <v>119</v>
      </c>
      <c r="D244" s="18" t="s">
        <v>13</v>
      </c>
      <c r="E244" s="9">
        <v>0.0</v>
      </c>
    </row>
    <row r="245">
      <c r="A245" s="24">
        <v>244.0</v>
      </c>
      <c r="B245" s="17" t="s">
        <v>131</v>
      </c>
      <c r="C245" s="18" t="s">
        <v>45</v>
      </c>
      <c r="D245" s="18" t="s">
        <v>13</v>
      </c>
      <c r="E245" s="9">
        <v>0.0</v>
      </c>
    </row>
    <row r="246">
      <c r="A246" s="24">
        <v>245.0</v>
      </c>
      <c r="B246" s="17" t="s">
        <v>115</v>
      </c>
      <c r="C246" s="18" t="s">
        <v>62</v>
      </c>
      <c r="D246" s="18" t="s">
        <v>8</v>
      </c>
      <c r="E246" s="9">
        <v>0.0</v>
      </c>
    </row>
    <row r="247">
      <c r="A247" s="24">
        <v>246.0</v>
      </c>
      <c r="B247" s="17" t="s">
        <v>308</v>
      </c>
      <c r="C247" s="18" t="s">
        <v>99</v>
      </c>
      <c r="D247" s="18" t="s">
        <v>59</v>
      </c>
      <c r="E247" s="9">
        <v>0.0</v>
      </c>
    </row>
    <row r="248">
      <c r="A248" s="24">
        <v>247.0</v>
      </c>
      <c r="B248" s="17" t="s">
        <v>114</v>
      </c>
      <c r="C248" s="18" t="s">
        <v>66</v>
      </c>
      <c r="D248" s="18" t="s">
        <v>8</v>
      </c>
      <c r="E248" s="9">
        <v>0.0</v>
      </c>
    </row>
    <row r="249">
      <c r="A249" s="24">
        <v>248.0</v>
      </c>
      <c r="B249" s="17" t="s">
        <v>251</v>
      </c>
      <c r="C249" s="18" t="s">
        <v>35</v>
      </c>
      <c r="D249" s="18" t="s">
        <v>13</v>
      </c>
      <c r="E249" s="9">
        <v>0.0</v>
      </c>
    </row>
    <row r="250">
      <c r="A250" s="24">
        <v>249.0</v>
      </c>
      <c r="B250" s="17" t="s">
        <v>254</v>
      </c>
      <c r="C250" s="18" t="s">
        <v>7</v>
      </c>
      <c r="D250" s="18" t="s">
        <v>13</v>
      </c>
      <c r="E250" s="9">
        <v>0.0</v>
      </c>
    </row>
    <row r="251">
      <c r="A251" s="24">
        <v>250.0</v>
      </c>
      <c r="B251" s="17" t="s">
        <v>101</v>
      </c>
      <c r="C251" s="18" t="s">
        <v>89</v>
      </c>
      <c r="D251" s="18" t="s">
        <v>8</v>
      </c>
      <c r="E251" s="9">
        <v>0.0</v>
      </c>
    </row>
    <row r="252">
      <c r="A252" s="24">
        <v>251.0</v>
      </c>
      <c r="B252" s="17" t="s">
        <v>544</v>
      </c>
      <c r="C252" s="18" t="s">
        <v>39</v>
      </c>
      <c r="D252" s="18" t="s">
        <v>13</v>
      </c>
      <c r="E252" s="9">
        <v>0.0</v>
      </c>
    </row>
    <row r="253">
      <c r="A253" s="24">
        <v>252.0</v>
      </c>
      <c r="B253" s="17" t="s">
        <v>309</v>
      </c>
      <c r="C253" s="18" t="s">
        <v>10</v>
      </c>
      <c r="D253" s="18" t="s">
        <v>59</v>
      </c>
      <c r="E253" s="9">
        <v>0.0</v>
      </c>
    </row>
    <row r="254">
      <c r="A254" s="24">
        <v>253.0</v>
      </c>
      <c r="B254" s="17" t="s">
        <v>257</v>
      </c>
      <c r="C254" s="18" t="s">
        <v>21</v>
      </c>
      <c r="D254" s="18" t="s">
        <v>13</v>
      </c>
      <c r="E254" s="9">
        <v>0.0</v>
      </c>
    </row>
    <row r="255">
      <c r="A255" s="24">
        <v>254.0</v>
      </c>
      <c r="B255" s="17" t="s">
        <v>128</v>
      </c>
      <c r="C255" s="18" t="s">
        <v>32</v>
      </c>
      <c r="D255" s="18" t="s">
        <v>8</v>
      </c>
      <c r="E255" s="9">
        <v>0.0</v>
      </c>
    </row>
    <row r="256">
      <c r="A256" s="24">
        <v>255.0</v>
      </c>
      <c r="B256" s="17" t="s">
        <v>141</v>
      </c>
      <c r="C256" s="18" t="s">
        <v>85</v>
      </c>
      <c r="D256" s="18" t="s">
        <v>8</v>
      </c>
      <c r="E256" s="9">
        <v>0.0</v>
      </c>
    </row>
    <row r="257">
      <c r="A257" s="24">
        <v>256.0</v>
      </c>
      <c r="B257" s="17" t="s">
        <v>249</v>
      </c>
      <c r="C257" s="18" t="s">
        <v>45</v>
      </c>
      <c r="D257" s="18" t="s">
        <v>13</v>
      </c>
      <c r="E257" s="9">
        <v>0.0</v>
      </c>
    </row>
    <row r="258">
      <c r="A258" s="24">
        <v>257.0</v>
      </c>
      <c r="B258" s="17" t="s">
        <v>256</v>
      </c>
      <c r="C258" s="18" t="s">
        <v>73</v>
      </c>
      <c r="D258" s="18" t="s">
        <v>13</v>
      </c>
      <c r="E258" s="9">
        <v>0.0</v>
      </c>
    </row>
    <row r="259">
      <c r="A259" s="24">
        <v>258.0</v>
      </c>
      <c r="B259" s="17" t="s">
        <v>307</v>
      </c>
      <c r="C259" s="18" t="s">
        <v>41</v>
      </c>
      <c r="D259" s="18" t="s">
        <v>59</v>
      </c>
      <c r="E259" s="9">
        <v>0.0</v>
      </c>
    </row>
    <row r="260">
      <c r="A260" s="24">
        <v>259.0</v>
      </c>
      <c r="B260" s="17" t="s">
        <v>137</v>
      </c>
      <c r="C260" s="18" t="s">
        <v>47</v>
      </c>
      <c r="D260" s="18" t="s">
        <v>8</v>
      </c>
      <c r="E260" s="9">
        <v>0.0</v>
      </c>
    </row>
    <row r="261">
      <c r="A261" s="24">
        <v>260.0</v>
      </c>
      <c r="B261" s="17" t="s">
        <v>258</v>
      </c>
      <c r="C261" s="18" t="s">
        <v>23</v>
      </c>
      <c r="D261" s="18" t="s">
        <v>13</v>
      </c>
      <c r="E261" s="9">
        <v>0.0</v>
      </c>
    </row>
    <row r="262">
      <c r="A262" s="24">
        <v>261.0</v>
      </c>
      <c r="B262" s="17" t="s">
        <v>259</v>
      </c>
      <c r="C262" s="18" t="s">
        <v>55</v>
      </c>
      <c r="D262" s="18" t="s">
        <v>13</v>
      </c>
      <c r="E262" s="9">
        <v>0.0</v>
      </c>
    </row>
    <row r="263">
      <c r="A263" s="24">
        <v>262.0</v>
      </c>
      <c r="B263" s="17" t="s">
        <v>250</v>
      </c>
      <c r="C263" s="18" t="s">
        <v>81</v>
      </c>
      <c r="D263" s="18" t="s">
        <v>13</v>
      </c>
      <c r="E263" s="9">
        <v>0.0</v>
      </c>
    </row>
    <row r="264">
      <c r="A264" s="24">
        <v>263.0</v>
      </c>
      <c r="B264" s="17" t="s">
        <v>253</v>
      </c>
      <c r="C264" s="18" t="s">
        <v>30</v>
      </c>
      <c r="D264" s="18" t="s">
        <v>13</v>
      </c>
      <c r="E264" s="9">
        <v>0.0</v>
      </c>
    </row>
    <row r="265">
      <c r="A265" s="24">
        <v>264.0</v>
      </c>
      <c r="B265" s="17" t="s">
        <v>310</v>
      </c>
      <c r="C265" s="18" t="s">
        <v>119</v>
      </c>
      <c r="D265" s="18" t="s">
        <v>59</v>
      </c>
      <c r="E265" s="9">
        <v>0.0</v>
      </c>
    </row>
    <row r="266">
      <c r="A266" s="24">
        <v>265.0</v>
      </c>
      <c r="B266" s="17" t="s">
        <v>167</v>
      </c>
      <c r="C266" s="18" t="s">
        <v>35</v>
      </c>
      <c r="D266" s="18" t="s">
        <v>13</v>
      </c>
      <c r="E266" s="9">
        <v>0.0</v>
      </c>
    </row>
    <row r="267">
      <c r="A267" s="24">
        <v>266.0</v>
      </c>
      <c r="B267" s="17" t="s">
        <v>263</v>
      </c>
      <c r="C267" s="18" t="s">
        <v>53</v>
      </c>
      <c r="D267" s="18" t="s">
        <v>13</v>
      </c>
      <c r="E267" s="9">
        <v>0.0</v>
      </c>
    </row>
    <row r="268">
      <c r="A268" s="24">
        <v>267.0</v>
      </c>
      <c r="B268" s="17" t="s">
        <v>267</v>
      </c>
      <c r="C268" s="18" t="s">
        <v>17</v>
      </c>
      <c r="D268" s="18" t="s">
        <v>13</v>
      </c>
      <c r="E268" s="9">
        <v>0.0</v>
      </c>
    </row>
    <row r="269">
      <c r="A269" s="24">
        <v>268.0</v>
      </c>
      <c r="B269" s="17" t="s">
        <v>561</v>
      </c>
      <c r="C269" s="18" t="s">
        <v>81</v>
      </c>
      <c r="D269" s="18" t="s">
        <v>13</v>
      </c>
      <c r="E269" s="9">
        <v>0.0</v>
      </c>
    </row>
    <row r="270">
      <c r="A270" s="24">
        <v>269.0</v>
      </c>
      <c r="B270" s="17" t="s">
        <v>268</v>
      </c>
      <c r="C270" s="18" t="s">
        <v>45</v>
      </c>
      <c r="D270" s="18" t="s">
        <v>13</v>
      </c>
      <c r="E270" s="9">
        <v>0.0</v>
      </c>
    </row>
    <row r="271">
      <c r="A271" s="24">
        <v>270.0</v>
      </c>
      <c r="B271" s="17" t="s">
        <v>313</v>
      </c>
      <c r="C271" s="18" t="s">
        <v>66</v>
      </c>
      <c r="D271" s="18" t="s">
        <v>59</v>
      </c>
      <c r="E271" s="9">
        <v>0.0</v>
      </c>
    </row>
    <row r="272">
      <c r="A272" s="24">
        <v>271.0</v>
      </c>
      <c r="B272" s="17" t="s">
        <v>265</v>
      </c>
      <c r="C272" s="18" t="s">
        <v>69</v>
      </c>
      <c r="D272" s="18" t="s">
        <v>13</v>
      </c>
      <c r="E272" s="9">
        <v>0.0</v>
      </c>
    </row>
    <row r="273">
      <c r="A273" s="24">
        <v>272.0</v>
      </c>
      <c r="B273" s="17" t="s">
        <v>266</v>
      </c>
      <c r="C273" s="18" t="s">
        <v>47</v>
      </c>
      <c r="D273" s="18" t="s">
        <v>13</v>
      </c>
      <c r="E273" s="9">
        <v>0.0</v>
      </c>
    </row>
    <row r="274">
      <c r="A274" s="24">
        <v>273.0</v>
      </c>
      <c r="B274" s="17" t="s">
        <v>706</v>
      </c>
      <c r="C274" s="18" t="s">
        <v>15</v>
      </c>
      <c r="D274" s="18" t="s">
        <v>59</v>
      </c>
      <c r="E274" s="9">
        <v>0.0</v>
      </c>
    </row>
    <row r="275">
      <c r="A275" s="24">
        <v>274.0</v>
      </c>
      <c r="B275" s="17" t="s">
        <v>145</v>
      </c>
      <c r="C275" s="18" t="s">
        <v>43</v>
      </c>
      <c r="D275" s="18" t="s">
        <v>8</v>
      </c>
      <c r="E275" s="9">
        <v>0.0</v>
      </c>
    </row>
    <row r="276">
      <c r="A276" s="24">
        <v>275.0</v>
      </c>
      <c r="B276" s="17" t="s">
        <v>139</v>
      </c>
      <c r="C276" s="18" t="s">
        <v>99</v>
      </c>
      <c r="D276" s="18" t="s">
        <v>8</v>
      </c>
      <c r="E276" s="9">
        <v>0.0</v>
      </c>
    </row>
    <row r="277">
      <c r="A277" s="24">
        <v>276.0</v>
      </c>
      <c r="B277" s="17" t="s">
        <v>138</v>
      </c>
      <c r="C277" s="18" t="s">
        <v>119</v>
      </c>
      <c r="D277" s="18" t="s">
        <v>8</v>
      </c>
      <c r="E277" s="9">
        <v>0.0</v>
      </c>
    </row>
    <row r="278">
      <c r="A278" s="24">
        <v>277.0</v>
      </c>
      <c r="B278" s="17" t="s">
        <v>707</v>
      </c>
      <c r="C278" s="18" t="s">
        <v>37</v>
      </c>
      <c r="D278" s="18" t="s">
        <v>59</v>
      </c>
      <c r="E278" s="9">
        <v>0.0</v>
      </c>
    </row>
    <row r="279">
      <c r="A279" s="24">
        <v>278.0</v>
      </c>
      <c r="B279" s="17" t="s">
        <v>271</v>
      </c>
      <c r="C279" s="18" t="s">
        <v>58</v>
      </c>
      <c r="D279" s="18" t="s">
        <v>13</v>
      </c>
      <c r="E279" s="9">
        <v>0.0</v>
      </c>
    </row>
    <row r="280">
      <c r="A280" s="24">
        <v>279.0</v>
      </c>
      <c r="B280" s="17" t="s">
        <v>562</v>
      </c>
      <c r="C280" s="18" t="s">
        <v>32</v>
      </c>
      <c r="D280" s="18" t="s">
        <v>13</v>
      </c>
      <c r="E280" s="9">
        <v>0.0</v>
      </c>
    </row>
    <row r="281">
      <c r="A281" s="24">
        <v>280.0</v>
      </c>
      <c r="B281" s="17" t="s">
        <v>702</v>
      </c>
      <c r="C281" s="18" t="s">
        <v>53</v>
      </c>
      <c r="D281" s="18" t="s">
        <v>59</v>
      </c>
      <c r="E281" s="9">
        <v>0.0</v>
      </c>
    </row>
    <row r="282">
      <c r="A282" s="24">
        <v>281.0</v>
      </c>
      <c r="B282" s="17" t="s">
        <v>711</v>
      </c>
      <c r="C282" s="18" t="s">
        <v>7</v>
      </c>
      <c r="D282" s="18" t="s">
        <v>59</v>
      </c>
      <c r="E282" s="9">
        <v>0.0</v>
      </c>
    </row>
    <row r="283">
      <c r="A283" s="24">
        <v>282.0</v>
      </c>
      <c r="B283" s="17" t="s">
        <v>699</v>
      </c>
      <c r="C283" s="18" t="s">
        <v>30</v>
      </c>
      <c r="D283" s="18" t="s">
        <v>59</v>
      </c>
      <c r="E283" s="9">
        <v>0.0</v>
      </c>
    </row>
    <row r="284">
      <c r="A284" s="24">
        <v>283.0</v>
      </c>
      <c r="B284" s="17" t="s">
        <v>712</v>
      </c>
      <c r="C284" s="18" t="s">
        <v>47</v>
      </c>
      <c r="D284" s="18" t="s">
        <v>59</v>
      </c>
      <c r="E284" s="9">
        <v>0.0</v>
      </c>
    </row>
    <row r="285">
      <c r="A285" s="24">
        <v>284.0</v>
      </c>
      <c r="B285" s="17" t="s">
        <v>571</v>
      </c>
      <c r="C285" s="18" t="s">
        <v>85</v>
      </c>
      <c r="D285" s="18" t="s">
        <v>13</v>
      </c>
      <c r="E285" s="9">
        <v>0.0</v>
      </c>
    </row>
    <row r="286">
      <c r="A286" s="24">
        <v>285.0</v>
      </c>
      <c r="B286" s="17" t="s">
        <v>719</v>
      </c>
      <c r="C286" s="18" t="s">
        <v>21</v>
      </c>
      <c r="D286" s="18" t="s">
        <v>59</v>
      </c>
      <c r="E286" s="9">
        <v>0.0</v>
      </c>
    </row>
    <row r="287">
      <c r="A287" s="24">
        <v>286.0</v>
      </c>
      <c r="B287" s="17" t="s">
        <v>708</v>
      </c>
      <c r="C287" s="18" t="s">
        <v>25</v>
      </c>
      <c r="D287" s="18" t="s">
        <v>59</v>
      </c>
      <c r="E287" s="9">
        <v>0.0</v>
      </c>
    </row>
    <row r="288">
      <c r="A288" s="24">
        <v>287.0</v>
      </c>
      <c r="B288" s="17" t="s">
        <v>734</v>
      </c>
      <c r="C288" s="18" t="s">
        <v>55</v>
      </c>
      <c r="D288" s="18" t="s">
        <v>59</v>
      </c>
      <c r="E288" s="9">
        <v>0.0</v>
      </c>
    </row>
    <row r="289">
      <c r="A289" s="24">
        <v>288.0</v>
      </c>
      <c r="B289" s="17" t="s">
        <v>143</v>
      </c>
      <c r="C289" s="18" t="s">
        <v>69</v>
      </c>
      <c r="D289" s="18" t="s">
        <v>8</v>
      </c>
      <c r="E289" s="9">
        <v>0.0</v>
      </c>
    </row>
    <row r="290">
      <c r="A290" s="24">
        <v>289.0</v>
      </c>
      <c r="B290" s="17" t="s">
        <v>473</v>
      </c>
      <c r="C290" s="18" t="s">
        <v>41</v>
      </c>
      <c r="D290" s="18" t="s">
        <v>59</v>
      </c>
      <c r="E290" s="9">
        <v>0.0</v>
      </c>
    </row>
    <row r="291">
      <c r="A291" s="24">
        <v>290.0</v>
      </c>
      <c r="B291" s="17" t="s">
        <v>269</v>
      </c>
      <c r="C291" s="18" t="s">
        <v>119</v>
      </c>
      <c r="D291" s="18" t="s">
        <v>13</v>
      </c>
      <c r="E291" s="9">
        <v>0.0</v>
      </c>
    </row>
    <row r="292">
      <c r="A292" s="24">
        <v>291.0</v>
      </c>
      <c r="B292" s="17" t="s">
        <v>142</v>
      </c>
      <c r="C292" s="18" t="s">
        <v>85</v>
      </c>
      <c r="D292" s="18" t="s">
        <v>8</v>
      </c>
      <c r="E292" s="9">
        <v>0.0</v>
      </c>
    </row>
    <row r="293">
      <c r="A293" s="24">
        <v>292.0</v>
      </c>
      <c r="B293" s="17" t="s">
        <v>285</v>
      </c>
      <c r="C293" s="18" t="s">
        <v>81</v>
      </c>
      <c r="D293" s="18" t="s">
        <v>77</v>
      </c>
      <c r="E293" s="9">
        <v>0.0</v>
      </c>
    </row>
    <row r="294">
      <c r="A294" s="24">
        <v>293.0</v>
      </c>
      <c r="B294" s="17" t="s">
        <v>721</v>
      </c>
      <c r="C294" s="18" t="s">
        <v>85</v>
      </c>
      <c r="D294" s="18" t="s">
        <v>59</v>
      </c>
      <c r="E294" s="9">
        <v>0.0</v>
      </c>
    </row>
    <row r="295">
      <c r="A295" s="24">
        <v>294.0</v>
      </c>
      <c r="B295" s="17" t="s">
        <v>710</v>
      </c>
      <c r="C295" s="18" t="s">
        <v>73</v>
      </c>
      <c r="D295" s="18" t="s">
        <v>59</v>
      </c>
      <c r="E295" s="9">
        <v>0.0</v>
      </c>
    </row>
    <row r="296">
      <c r="A296" s="24">
        <v>295.0</v>
      </c>
      <c r="B296" s="17" t="s">
        <v>541</v>
      </c>
      <c r="C296" s="18" t="s">
        <v>89</v>
      </c>
      <c r="D296" s="18" t="s">
        <v>13</v>
      </c>
      <c r="E296" s="9">
        <v>0.0</v>
      </c>
    </row>
    <row r="297">
      <c r="A297" s="24">
        <v>296.0</v>
      </c>
      <c r="B297" s="17" t="s">
        <v>715</v>
      </c>
      <c r="C297" s="18" t="s">
        <v>81</v>
      </c>
      <c r="D297" s="18" t="s">
        <v>59</v>
      </c>
      <c r="E297" s="9">
        <v>0.0</v>
      </c>
    </row>
    <row r="298">
      <c r="A298" s="24">
        <v>297.0</v>
      </c>
      <c r="B298" s="17" t="s">
        <v>539</v>
      </c>
      <c r="C298" s="18" t="s">
        <v>69</v>
      </c>
      <c r="D298" s="18" t="s">
        <v>13</v>
      </c>
      <c r="E298" s="9">
        <v>0.0</v>
      </c>
    </row>
    <row r="299">
      <c r="A299" s="24">
        <v>298.0</v>
      </c>
      <c r="B299" s="17" t="s">
        <v>164</v>
      </c>
      <c r="C299" s="18" t="s">
        <v>81</v>
      </c>
      <c r="D299" s="18" t="s">
        <v>8</v>
      </c>
      <c r="E299" s="9">
        <v>0.0</v>
      </c>
    </row>
    <row r="300">
      <c r="A300" s="24">
        <v>299.0</v>
      </c>
      <c r="B300" s="17" t="s">
        <v>543</v>
      </c>
      <c r="C300" s="18" t="s">
        <v>47</v>
      </c>
      <c r="D300" s="18" t="s">
        <v>13</v>
      </c>
      <c r="E300" s="9">
        <v>0.0</v>
      </c>
    </row>
    <row r="301">
      <c r="A301" s="24">
        <v>300.0</v>
      </c>
      <c r="B301" s="17" t="s">
        <v>723</v>
      </c>
      <c r="C301" s="18" t="s">
        <v>10</v>
      </c>
      <c r="D301" s="18" t="s">
        <v>59</v>
      </c>
      <c r="E301" s="9">
        <v>0.0</v>
      </c>
    </row>
    <row r="302">
      <c r="A302" s="24">
        <v>301.0</v>
      </c>
      <c r="B302" s="17" t="s">
        <v>140</v>
      </c>
      <c r="C302" s="18" t="s">
        <v>39</v>
      </c>
      <c r="D302" s="18" t="s">
        <v>8</v>
      </c>
      <c r="E302" s="9">
        <v>0.0</v>
      </c>
    </row>
    <row r="303">
      <c r="A303" s="24">
        <v>302.0</v>
      </c>
      <c r="B303" s="17" t="s">
        <v>720</v>
      </c>
      <c r="C303" s="18" t="s">
        <v>53</v>
      </c>
      <c r="D303" s="18" t="s">
        <v>59</v>
      </c>
      <c r="E303" s="9">
        <v>0.0</v>
      </c>
    </row>
    <row r="304">
      <c r="A304" s="24">
        <v>303.0</v>
      </c>
      <c r="B304" s="17" t="s">
        <v>163</v>
      </c>
      <c r="C304" s="18" t="s">
        <v>39</v>
      </c>
      <c r="D304" s="18" t="s">
        <v>8</v>
      </c>
      <c r="E304" s="9">
        <v>0.0</v>
      </c>
    </row>
    <row r="305">
      <c r="A305" s="24">
        <v>304.0</v>
      </c>
      <c r="B305" s="17" t="s">
        <v>272</v>
      </c>
      <c r="C305" s="18" t="s">
        <v>7</v>
      </c>
      <c r="D305" s="18" t="s">
        <v>13</v>
      </c>
      <c r="E305" s="9">
        <v>0.0</v>
      </c>
    </row>
    <row r="306">
      <c r="A306" s="24">
        <v>305.0</v>
      </c>
      <c r="B306" s="17" t="s">
        <v>701</v>
      </c>
      <c r="C306" s="18" t="s">
        <v>69</v>
      </c>
      <c r="D306" s="18" t="s">
        <v>59</v>
      </c>
      <c r="E306" s="9">
        <v>0.0</v>
      </c>
    </row>
    <row r="307">
      <c r="A307" s="24">
        <v>306.0</v>
      </c>
      <c r="B307" s="17" t="s">
        <v>207</v>
      </c>
      <c r="C307" s="18" t="s">
        <v>58</v>
      </c>
      <c r="D307" s="18" t="s">
        <v>8</v>
      </c>
      <c r="E307" s="9">
        <v>0.0</v>
      </c>
    </row>
    <row r="308">
      <c r="A308" s="24">
        <v>307.0</v>
      </c>
      <c r="B308" s="17" t="s">
        <v>709</v>
      </c>
      <c r="C308" s="18" t="s">
        <v>7</v>
      </c>
      <c r="D308" s="18" t="s">
        <v>59</v>
      </c>
      <c r="E308" s="9">
        <v>0.0</v>
      </c>
    </row>
    <row r="309">
      <c r="A309" s="24">
        <v>308.0</v>
      </c>
      <c r="B309" s="17" t="s">
        <v>535</v>
      </c>
      <c r="C309" s="18" t="s">
        <v>10</v>
      </c>
      <c r="D309" s="18" t="s">
        <v>13</v>
      </c>
      <c r="E309" s="9">
        <v>0.0</v>
      </c>
    </row>
    <row r="310">
      <c r="A310" s="24">
        <v>309.0</v>
      </c>
      <c r="B310" s="17" t="s">
        <v>698</v>
      </c>
      <c r="C310" s="18" t="s">
        <v>45</v>
      </c>
      <c r="D310" s="18" t="s">
        <v>59</v>
      </c>
      <c r="E310" s="9">
        <v>0.0</v>
      </c>
    </row>
    <row r="311">
      <c r="A311" s="24">
        <v>310.0</v>
      </c>
      <c r="B311" s="17" t="s">
        <v>570</v>
      </c>
      <c r="C311" s="18" t="s">
        <v>66</v>
      </c>
      <c r="D311" s="18" t="s">
        <v>13</v>
      </c>
      <c r="E311" s="9">
        <v>0.0</v>
      </c>
    </row>
    <row r="312">
      <c r="A312" s="24">
        <v>311.0</v>
      </c>
      <c r="B312" s="17" t="s">
        <v>537</v>
      </c>
      <c r="C312" s="18" t="s">
        <v>99</v>
      </c>
      <c r="D312" s="18" t="s">
        <v>13</v>
      </c>
      <c r="E312" s="9">
        <v>0.0</v>
      </c>
    </row>
    <row r="313">
      <c r="A313" s="24">
        <v>312.0</v>
      </c>
      <c r="B313" s="17" t="s">
        <v>700</v>
      </c>
      <c r="C313" s="18" t="s">
        <v>43</v>
      </c>
      <c r="D313" s="18" t="s">
        <v>59</v>
      </c>
      <c r="E313" s="9">
        <v>0.0</v>
      </c>
    </row>
    <row r="314">
      <c r="A314" s="24">
        <v>313.0</v>
      </c>
      <c r="B314" s="17" t="s">
        <v>704</v>
      </c>
      <c r="C314" s="18" t="s">
        <v>53</v>
      </c>
      <c r="D314" s="18" t="s">
        <v>59</v>
      </c>
      <c r="E314" s="9">
        <v>0.0</v>
      </c>
    </row>
    <row r="315">
      <c r="A315" s="24">
        <v>314.0</v>
      </c>
      <c r="B315" s="17" t="s">
        <v>705</v>
      </c>
      <c r="C315" s="18" t="s">
        <v>89</v>
      </c>
      <c r="D315" s="18" t="s">
        <v>59</v>
      </c>
      <c r="E315" s="9">
        <v>0.0</v>
      </c>
    </row>
    <row r="316">
      <c r="A316" s="24">
        <v>315.0</v>
      </c>
      <c r="B316" s="17" t="s">
        <v>212</v>
      </c>
      <c r="C316" s="18" t="s">
        <v>35</v>
      </c>
      <c r="D316" s="18" t="s">
        <v>8</v>
      </c>
      <c r="E316" s="9">
        <v>0.0</v>
      </c>
    </row>
    <row r="317">
      <c r="A317" s="24">
        <v>316.0</v>
      </c>
      <c r="B317" s="17" t="s">
        <v>744</v>
      </c>
      <c r="C317" s="18" t="s">
        <v>62</v>
      </c>
      <c r="D317" s="18" t="s">
        <v>59</v>
      </c>
      <c r="E317" s="9">
        <v>0.0</v>
      </c>
    </row>
    <row r="318">
      <c r="A318" s="24">
        <v>317.0</v>
      </c>
      <c r="B318" s="17" t="s">
        <v>531</v>
      </c>
      <c r="C318" s="18" t="s">
        <v>66</v>
      </c>
      <c r="D318" s="18" t="s">
        <v>13</v>
      </c>
      <c r="E318" s="9">
        <v>0.0</v>
      </c>
    </row>
    <row r="319">
      <c r="A319" s="24">
        <v>318.0</v>
      </c>
      <c r="B319" s="17" t="s">
        <v>270</v>
      </c>
      <c r="C319" s="18" t="s">
        <v>81</v>
      </c>
      <c r="D319" s="18" t="s">
        <v>13</v>
      </c>
      <c r="E319" s="9">
        <v>0.0</v>
      </c>
    </row>
    <row r="320">
      <c r="A320" s="24">
        <v>319.0</v>
      </c>
      <c r="B320" s="17" t="s">
        <v>573</v>
      </c>
      <c r="C320" s="18" t="s">
        <v>28</v>
      </c>
      <c r="D320" s="18" t="s">
        <v>13</v>
      </c>
      <c r="E320" s="9">
        <v>0.0</v>
      </c>
    </row>
    <row r="321">
      <c r="A321" s="24">
        <v>320.0</v>
      </c>
      <c r="B321" s="17" t="s">
        <v>741</v>
      </c>
      <c r="C321" s="18" t="s">
        <v>58</v>
      </c>
      <c r="D321" s="18" t="s">
        <v>59</v>
      </c>
      <c r="E321" s="9">
        <v>0.0</v>
      </c>
    </row>
    <row r="322">
      <c r="A322" s="24">
        <v>321.0</v>
      </c>
      <c r="B322" s="17" t="s">
        <v>783</v>
      </c>
      <c r="C322" s="18" t="s">
        <v>23</v>
      </c>
      <c r="D322" s="18" t="s">
        <v>59</v>
      </c>
      <c r="E322" s="9">
        <v>0.0</v>
      </c>
    </row>
    <row r="323">
      <c r="A323" s="24">
        <v>322.0</v>
      </c>
      <c r="B323" s="17" t="s">
        <v>763</v>
      </c>
      <c r="C323" s="18" t="s">
        <v>64</v>
      </c>
      <c r="D323" s="18" t="s">
        <v>59</v>
      </c>
      <c r="E323" s="9">
        <v>0.0</v>
      </c>
    </row>
    <row r="324">
      <c r="A324" s="24">
        <v>323.0</v>
      </c>
      <c r="B324" s="17" t="s">
        <v>736</v>
      </c>
      <c r="C324" s="18" t="s">
        <v>12</v>
      </c>
      <c r="D324" s="18" t="s">
        <v>59</v>
      </c>
      <c r="E324" s="9">
        <v>0.0</v>
      </c>
    </row>
    <row r="325">
      <c r="A325" s="24">
        <v>324.0</v>
      </c>
      <c r="B325" s="17" t="s">
        <v>788</v>
      </c>
      <c r="C325" s="18" t="s">
        <v>37</v>
      </c>
      <c r="D325" s="18" t="s">
        <v>59</v>
      </c>
      <c r="E325" s="9">
        <v>0.0</v>
      </c>
    </row>
    <row r="326">
      <c r="A326" s="24">
        <v>325.0</v>
      </c>
      <c r="B326" s="17" t="s">
        <v>203</v>
      </c>
      <c r="C326" s="18" t="s">
        <v>81</v>
      </c>
      <c r="D326" s="18" t="s">
        <v>8</v>
      </c>
      <c r="E326" s="9">
        <v>0.0</v>
      </c>
    </row>
    <row r="327">
      <c r="A327" s="24">
        <v>326.0</v>
      </c>
      <c r="B327" s="17" t="s">
        <v>144</v>
      </c>
      <c r="C327" s="18" t="s">
        <v>30</v>
      </c>
      <c r="D327" s="18" t="s">
        <v>8</v>
      </c>
      <c r="E327" s="9">
        <v>0.0</v>
      </c>
    </row>
    <row r="328">
      <c r="A328" s="24">
        <v>327.0</v>
      </c>
      <c r="B328" s="17" t="s">
        <v>536</v>
      </c>
      <c r="C328" s="18" t="s">
        <v>55</v>
      </c>
      <c r="D328" s="18" t="s">
        <v>13</v>
      </c>
      <c r="E328" s="9">
        <v>0.0</v>
      </c>
    </row>
    <row r="329">
      <c r="A329" s="24">
        <v>328.0</v>
      </c>
      <c r="B329" s="17" t="s">
        <v>731</v>
      </c>
      <c r="C329" s="18" t="s">
        <v>41</v>
      </c>
      <c r="D329" s="18" t="s">
        <v>59</v>
      </c>
      <c r="E329" s="9">
        <v>0.0</v>
      </c>
    </row>
    <row r="330">
      <c r="A330" s="24">
        <v>329.0</v>
      </c>
      <c r="B330" s="17" t="s">
        <v>778</v>
      </c>
      <c r="C330" s="18" t="s">
        <v>32</v>
      </c>
      <c r="D330" s="18" t="s">
        <v>59</v>
      </c>
      <c r="E330" s="9">
        <v>0.0</v>
      </c>
    </row>
    <row r="331">
      <c r="A331" s="24">
        <v>330.0</v>
      </c>
      <c r="B331" s="17" t="s">
        <v>730</v>
      </c>
      <c r="C331" s="18" t="s">
        <v>15</v>
      </c>
      <c r="D331" s="18" t="s">
        <v>59</v>
      </c>
      <c r="E331" s="9">
        <v>0.0</v>
      </c>
    </row>
    <row r="332">
      <c r="A332" s="24">
        <v>331.0</v>
      </c>
      <c r="B332" s="17" t="s">
        <v>205</v>
      </c>
      <c r="C332" s="18" t="s">
        <v>15</v>
      </c>
      <c r="D332" s="18" t="s">
        <v>8</v>
      </c>
      <c r="E332" s="9">
        <v>0.0</v>
      </c>
    </row>
    <row r="333">
      <c r="A333" s="24">
        <v>332.0</v>
      </c>
      <c r="B333" s="17" t="s">
        <v>738</v>
      </c>
      <c r="C333" s="18" t="s">
        <v>47</v>
      </c>
      <c r="D333" s="18" t="s">
        <v>59</v>
      </c>
      <c r="E333" s="9">
        <v>0.0</v>
      </c>
    </row>
    <row r="334">
      <c r="A334" s="24">
        <v>333.0</v>
      </c>
      <c r="B334" s="17" t="s">
        <v>733</v>
      </c>
      <c r="C334" s="18" t="s">
        <v>62</v>
      </c>
      <c r="D334" s="18" t="s">
        <v>59</v>
      </c>
      <c r="E334" s="9">
        <v>0.0</v>
      </c>
    </row>
    <row r="335">
      <c r="A335" s="24">
        <v>334.0</v>
      </c>
      <c r="B335" s="17" t="s">
        <v>204</v>
      </c>
      <c r="C335" s="18" t="s">
        <v>62</v>
      </c>
      <c r="D335" s="18" t="s">
        <v>8</v>
      </c>
      <c r="E335" s="9">
        <v>0.0</v>
      </c>
    </row>
    <row r="336">
      <c r="A336" s="24">
        <v>335.0</v>
      </c>
      <c r="B336" s="17" t="s">
        <v>747</v>
      </c>
      <c r="C336" s="18" t="s">
        <v>17</v>
      </c>
      <c r="D336" s="18" t="s">
        <v>59</v>
      </c>
      <c r="E336" s="9">
        <v>0.0</v>
      </c>
    </row>
    <row r="337">
      <c r="A337" s="24">
        <v>336.0</v>
      </c>
      <c r="B337" s="17" t="s">
        <v>725</v>
      </c>
      <c r="C337" s="18" t="s">
        <v>45</v>
      </c>
      <c r="D337" s="18" t="s">
        <v>59</v>
      </c>
      <c r="E337" s="9">
        <v>0.0</v>
      </c>
    </row>
    <row r="338">
      <c r="A338" s="24">
        <v>337.0</v>
      </c>
      <c r="B338" s="17" t="s">
        <v>560</v>
      </c>
      <c r="C338" s="18" t="s">
        <v>25</v>
      </c>
      <c r="D338" s="18" t="s">
        <v>13</v>
      </c>
      <c r="E338" s="9">
        <v>0.0</v>
      </c>
    </row>
    <row r="339">
      <c r="A339" s="24">
        <v>338.0</v>
      </c>
      <c r="B339" s="17" t="s">
        <v>743</v>
      </c>
      <c r="C339" s="18" t="s">
        <v>99</v>
      </c>
      <c r="D339" s="18" t="s">
        <v>59</v>
      </c>
      <c r="E339" s="9">
        <v>0.0</v>
      </c>
    </row>
    <row r="340">
      <c r="A340" s="24">
        <v>339.0</v>
      </c>
      <c r="B340" s="17" t="s">
        <v>768</v>
      </c>
      <c r="C340" s="18" t="s">
        <v>99</v>
      </c>
      <c r="D340" s="18" t="s">
        <v>59</v>
      </c>
      <c r="E340" s="9">
        <v>0.0</v>
      </c>
    </row>
    <row r="341">
      <c r="A341" s="24">
        <v>340.0</v>
      </c>
      <c r="B341" s="17" t="s">
        <v>728</v>
      </c>
      <c r="C341" s="18" t="s">
        <v>58</v>
      </c>
      <c r="D341" s="18" t="s">
        <v>59</v>
      </c>
      <c r="E341" s="9">
        <v>0.0</v>
      </c>
    </row>
    <row r="342">
      <c r="A342" s="24">
        <v>341.0</v>
      </c>
      <c r="B342" s="17" t="s">
        <v>727</v>
      </c>
      <c r="C342" s="18" t="s">
        <v>19</v>
      </c>
      <c r="D342" s="18" t="s">
        <v>59</v>
      </c>
      <c r="E342" s="9">
        <v>0.0</v>
      </c>
    </row>
    <row r="343">
      <c r="A343" s="24">
        <v>342.0</v>
      </c>
      <c r="B343" s="17" t="s">
        <v>713</v>
      </c>
      <c r="C343" s="18" t="s">
        <v>58</v>
      </c>
      <c r="D343" s="18" t="s">
        <v>59</v>
      </c>
      <c r="E343" s="9">
        <v>0.0</v>
      </c>
    </row>
    <row r="344">
      <c r="A344" s="24">
        <v>343.0</v>
      </c>
      <c r="B344" s="17" t="s">
        <v>762</v>
      </c>
      <c r="C344" s="18" t="s">
        <v>81</v>
      </c>
      <c r="D344" s="18" t="s">
        <v>59</v>
      </c>
      <c r="E344" s="9">
        <v>0.0</v>
      </c>
    </row>
    <row r="345">
      <c r="A345" s="24">
        <v>344.0</v>
      </c>
      <c r="B345" s="17" t="s">
        <v>909</v>
      </c>
      <c r="C345" s="18" t="s">
        <v>62</v>
      </c>
      <c r="D345" s="18" t="s">
        <v>59</v>
      </c>
      <c r="E345" s="9">
        <v>0.0</v>
      </c>
    </row>
    <row r="346">
      <c r="A346" s="24">
        <v>345.0</v>
      </c>
      <c r="B346" s="17" t="s">
        <v>779</v>
      </c>
      <c r="C346" s="18" t="s">
        <v>85</v>
      </c>
      <c r="D346" s="18" t="s">
        <v>59</v>
      </c>
      <c r="E346" s="9">
        <v>0.0</v>
      </c>
    </row>
    <row r="347">
      <c r="A347" s="24">
        <v>346.0</v>
      </c>
      <c r="B347" s="17" t="s">
        <v>532</v>
      </c>
      <c r="C347" s="18" t="s">
        <v>66</v>
      </c>
      <c r="D347" s="18" t="s">
        <v>13</v>
      </c>
      <c r="E347" s="9">
        <v>0.0</v>
      </c>
    </row>
    <row r="348">
      <c r="A348" s="24">
        <v>347.0</v>
      </c>
      <c r="B348" s="17" t="s">
        <v>751</v>
      </c>
      <c r="C348" s="18" t="s">
        <v>66</v>
      </c>
      <c r="D348" s="18" t="s">
        <v>59</v>
      </c>
      <c r="E348" s="9">
        <v>0.0</v>
      </c>
    </row>
    <row r="349">
      <c r="A349" s="24">
        <v>348.0</v>
      </c>
      <c r="B349" s="17" t="s">
        <v>255</v>
      </c>
      <c r="C349" s="18" t="s">
        <v>43</v>
      </c>
      <c r="D349" s="18" t="s">
        <v>13</v>
      </c>
      <c r="E349" s="9">
        <v>0.0</v>
      </c>
    </row>
    <row r="350">
      <c r="A350" s="24">
        <v>349.0</v>
      </c>
      <c r="B350" s="17" t="s">
        <v>722</v>
      </c>
      <c r="C350" s="18" t="s">
        <v>32</v>
      </c>
      <c r="D350" s="18" t="s">
        <v>59</v>
      </c>
      <c r="E350" s="9">
        <v>0.0</v>
      </c>
    </row>
    <row r="351">
      <c r="A351" s="24">
        <v>350.0</v>
      </c>
      <c r="B351" s="17" t="s">
        <v>575</v>
      </c>
      <c r="C351" s="18" t="s">
        <v>12</v>
      </c>
      <c r="D351" s="18" t="s">
        <v>13</v>
      </c>
      <c r="E351" s="9">
        <v>0.0</v>
      </c>
    </row>
    <row r="352">
      <c r="A352" s="24">
        <v>351.0</v>
      </c>
      <c r="B352" s="17" t="s">
        <v>732</v>
      </c>
      <c r="C352" s="18" t="s">
        <v>28</v>
      </c>
      <c r="D352" s="18" t="s">
        <v>59</v>
      </c>
      <c r="E352" s="9">
        <v>0.0</v>
      </c>
    </row>
    <row r="353">
      <c r="A353" s="24">
        <v>352.0</v>
      </c>
      <c r="B353" s="17" t="s">
        <v>605</v>
      </c>
      <c r="C353" s="18" t="s">
        <v>12</v>
      </c>
      <c r="D353" s="18" t="s">
        <v>59</v>
      </c>
      <c r="E353" s="9">
        <v>0.0</v>
      </c>
    </row>
    <row r="354">
      <c r="A354" s="24">
        <v>353.0</v>
      </c>
      <c r="B354" s="17" t="s">
        <v>264</v>
      </c>
      <c r="C354" s="18" t="s">
        <v>53</v>
      </c>
      <c r="D354" s="18" t="s">
        <v>13</v>
      </c>
      <c r="E354" s="9">
        <v>0.0</v>
      </c>
    </row>
    <row r="355">
      <c r="A355" s="24">
        <v>354.0</v>
      </c>
      <c r="B355" s="17" t="s">
        <v>545</v>
      </c>
      <c r="C355" s="18" t="s">
        <v>119</v>
      </c>
      <c r="D355" s="18" t="s">
        <v>13</v>
      </c>
      <c r="E355" s="9">
        <v>0.0</v>
      </c>
    </row>
    <row r="356">
      <c r="A356" s="24">
        <v>355.0</v>
      </c>
      <c r="B356" s="17" t="s">
        <v>757</v>
      </c>
      <c r="C356" s="18" t="s">
        <v>17</v>
      </c>
      <c r="D356" s="18" t="s">
        <v>59</v>
      </c>
      <c r="E356" s="9">
        <v>0.0</v>
      </c>
    </row>
    <row r="357">
      <c r="A357" s="24">
        <v>356.0</v>
      </c>
      <c r="B357" s="17" t="s">
        <v>748</v>
      </c>
      <c r="C357" s="18" t="s">
        <v>35</v>
      </c>
      <c r="D357" s="18" t="s">
        <v>59</v>
      </c>
      <c r="E357" s="9">
        <v>0.0</v>
      </c>
    </row>
    <row r="358">
      <c r="A358" s="24">
        <v>357.0</v>
      </c>
      <c r="B358" s="17" t="s">
        <v>533</v>
      </c>
      <c r="C358" s="18" t="s">
        <v>30</v>
      </c>
      <c r="D358" s="18" t="s">
        <v>13</v>
      </c>
      <c r="E358" s="9">
        <v>0.0</v>
      </c>
    </row>
    <row r="359">
      <c r="A359" s="24">
        <v>358.0</v>
      </c>
      <c r="B359" s="17" t="s">
        <v>729</v>
      </c>
      <c r="C359" s="18" t="s">
        <v>39</v>
      </c>
      <c r="D359" s="18" t="s">
        <v>59</v>
      </c>
      <c r="E359" s="9">
        <v>0.0</v>
      </c>
    </row>
    <row r="360">
      <c r="A360" s="24">
        <v>359.0</v>
      </c>
      <c r="B360" s="17" t="s">
        <v>769</v>
      </c>
      <c r="C360" s="18" t="s">
        <v>21</v>
      </c>
      <c r="D360" s="18" t="s">
        <v>59</v>
      </c>
      <c r="E360" s="9">
        <v>0.0</v>
      </c>
    </row>
    <row r="361">
      <c r="A361" s="24">
        <v>360.0</v>
      </c>
      <c r="B361" s="17" t="s">
        <v>910</v>
      </c>
      <c r="C361" s="18" t="s">
        <v>73</v>
      </c>
      <c r="D361" s="18" t="s">
        <v>59</v>
      </c>
      <c r="E361" s="9">
        <v>0.0</v>
      </c>
    </row>
    <row r="362">
      <c r="A362" s="24">
        <v>361.0</v>
      </c>
      <c r="B362" s="17" t="s">
        <v>758</v>
      </c>
      <c r="C362" s="18" t="s">
        <v>89</v>
      </c>
      <c r="D362" s="18" t="s">
        <v>59</v>
      </c>
      <c r="E362" s="9">
        <v>0.0</v>
      </c>
    </row>
    <row r="363">
      <c r="A363" s="24">
        <v>362.0</v>
      </c>
      <c r="B363" s="17" t="s">
        <v>911</v>
      </c>
      <c r="C363" s="18" t="s">
        <v>37</v>
      </c>
      <c r="D363" s="18" t="s">
        <v>59</v>
      </c>
      <c r="E363" s="9">
        <v>0.0</v>
      </c>
    </row>
    <row r="364">
      <c r="A364" s="24">
        <v>363.0</v>
      </c>
      <c r="B364" s="17" t="s">
        <v>146</v>
      </c>
      <c r="C364" s="18" t="s">
        <v>7</v>
      </c>
      <c r="D364" s="18" t="s">
        <v>8</v>
      </c>
      <c r="E364" s="9">
        <v>0.0</v>
      </c>
    </row>
    <row r="365">
      <c r="A365" s="24">
        <v>364.0</v>
      </c>
      <c r="B365" s="17" t="s">
        <v>850</v>
      </c>
      <c r="C365" s="18" t="s">
        <v>39</v>
      </c>
      <c r="D365" s="18" t="s">
        <v>59</v>
      </c>
      <c r="E365" s="9">
        <v>0.0</v>
      </c>
    </row>
    <row r="366">
      <c r="A366" s="24">
        <v>365.0</v>
      </c>
      <c r="B366" s="17" t="s">
        <v>912</v>
      </c>
      <c r="C366" s="18" t="s">
        <v>15</v>
      </c>
      <c r="D366" s="18" t="s">
        <v>59</v>
      </c>
      <c r="E366" s="9">
        <v>0.0</v>
      </c>
    </row>
    <row r="367">
      <c r="A367" s="24">
        <v>366.0</v>
      </c>
      <c r="B367" s="17" t="s">
        <v>770</v>
      </c>
      <c r="C367" s="18" t="s">
        <v>47</v>
      </c>
      <c r="D367" s="18" t="s">
        <v>59</v>
      </c>
      <c r="E367" s="9">
        <v>0.0</v>
      </c>
    </row>
    <row r="368">
      <c r="A368" s="24">
        <v>367.0</v>
      </c>
      <c r="B368" s="17" t="s">
        <v>162</v>
      </c>
      <c r="C368" s="18" t="s">
        <v>73</v>
      </c>
      <c r="D368" s="18" t="s">
        <v>8</v>
      </c>
      <c r="E368" s="9">
        <v>0.0</v>
      </c>
    </row>
    <row r="369">
      <c r="A369" s="24">
        <v>368.0</v>
      </c>
      <c r="B369" s="17" t="s">
        <v>766</v>
      </c>
      <c r="C369" s="18" t="s">
        <v>81</v>
      </c>
      <c r="D369" s="18" t="s">
        <v>59</v>
      </c>
      <c r="E369" s="9">
        <v>0.0</v>
      </c>
    </row>
    <row r="370">
      <c r="A370" s="24">
        <v>369.0</v>
      </c>
      <c r="B370" s="17" t="s">
        <v>780</v>
      </c>
      <c r="C370" s="18" t="s">
        <v>30</v>
      </c>
      <c r="D370" s="18" t="s">
        <v>59</v>
      </c>
      <c r="E370" s="9">
        <v>0.0</v>
      </c>
    </row>
    <row r="371">
      <c r="A371" s="24">
        <v>370.0</v>
      </c>
      <c r="B371" s="17" t="s">
        <v>737</v>
      </c>
      <c r="C371" s="18" t="s">
        <v>55</v>
      </c>
      <c r="D371" s="18" t="s">
        <v>59</v>
      </c>
      <c r="E371" s="9">
        <v>0.0</v>
      </c>
    </row>
    <row r="372">
      <c r="A372" s="24">
        <v>371.0</v>
      </c>
      <c r="B372" s="17" t="s">
        <v>773</v>
      </c>
      <c r="C372" s="18" t="s">
        <v>43</v>
      </c>
      <c r="D372" s="18" t="s">
        <v>59</v>
      </c>
      <c r="E372" s="9">
        <v>0.0</v>
      </c>
    </row>
    <row r="373">
      <c r="A373" s="24">
        <v>372.0</v>
      </c>
      <c r="B373" s="17" t="s">
        <v>759</v>
      </c>
      <c r="C373" s="18" t="s">
        <v>19</v>
      </c>
      <c r="D373" s="18" t="s">
        <v>59</v>
      </c>
      <c r="E373" s="9">
        <v>0.0</v>
      </c>
    </row>
    <row r="374">
      <c r="A374" s="24">
        <v>373.0</v>
      </c>
      <c r="B374" s="17" t="s">
        <v>206</v>
      </c>
      <c r="C374" s="18" t="s">
        <v>17</v>
      </c>
      <c r="D374" s="18" t="s">
        <v>8</v>
      </c>
      <c r="E374" s="9">
        <v>0.0</v>
      </c>
    </row>
    <row r="375">
      <c r="A375" s="24">
        <v>374.0</v>
      </c>
      <c r="B375" s="17" t="s">
        <v>742</v>
      </c>
      <c r="C375" s="18" t="s">
        <v>25</v>
      </c>
      <c r="D375" s="18" t="s">
        <v>59</v>
      </c>
      <c r="E375" s="9">
        <v>0.0</v>
      </c>
    </row>
    <row r="376">
      <c r="A376" s="24">
        <v>375.0</v>
      </c>
      <c r="B376" s="17" t="s">
        <v>716</v>
      </c>
      <c r="C376" s="18" t="s">
        <v>69</v>
      </c>
      <c r="D376" s="18" t="s">
        <v>59</v>
      </c>
      <c r="E376" s="9">
        <v>0.0</v>
      </c>
    </row>
    <row r="377">
      <c r="A377" s="24">
        <v>376.0</v>
      </c>
      <c r="B377" s="17" t="s">
        <v>735</v>
      </c>
      <c r="C377" s="18" t="s">
        <v>23</v>
      </c>
      <c r="D377" s="18" t="s">
        <v>59</v>
      </c>
      <c r="E377" s="9">
        <v>0.0</v>
      </c>
    </row>
    <row r="378">
      <c r="A378" s="24">
        <v>377.0</v>
      </c>
      <c r="B378" s="17" t="s">
        <v>755</v>
      </c>
      <c r="C378" s="18" t="s">
        <v>64</v>
      </c>
      <c r="D378" s="18" t="s">
        <v>59</v>
      </c>
      <c r="E378" s="9">
        <v>0.0</v>
      </c>
    </row>
    <row r="379">
      <c r="A379" s="24">
        <v>378.0</v>
      </c>
      <c r="B379" s="17" t="s">
        <v>913</v>
      </c>
      <c r="C379" s="18" t="s">
        <v>85</v>
      </c>
      <c r="D379" s="18" t="s">
        <v>59</v>
      </c>
      <c r="E379" s="9">
        <v>0.0</v>
      </c>
    </row>
    <row r="380">
      <c r="A380" s="24">
        <v>379.0</v>
      </c>
      <c r="B380" s="17" t="s">
        <v>914</v>
      </c>
      <c r="C380" s="18" t="s">
        <v>10</v>
      </c>
      <c r="D380" s="18" t="s">
        <v>59</v>
      </c>
      <c r="E380" s="9">
        <v>0.0</v>
      </c>
    </row>
    <row r="381">
      <c r="A381" s="24">
        <v>380.0</v>
      </c>
      <c r="B381" s="17" t="s">
        <v>753</v>
      </c>
      <c r="C381" s="18" t="s">
        <v>64</v>
      </c>
      <c r="D381" s="18" t="s">
        <v>59</v>
      </c>
      <c r="E381" s="9">
        <v>0.0</v>
      </c>
    </row>
    <row r="382">
      <c r="A382" s="24">
        <v>381.0</v>
      </c>
      <c r="B382" s="17" t="s">
        <v>915</v>
      </c>
      <c r="C382" s="18" t="s">
        <v>66</v>
      </c>
      <c r="D382" s="18" t="s">
        <v>59</v>
      </c>
      <c r="E382" s="9">
        <v>0.0</v>
      </c>
    </row>
    <row r="383">
      <c r="A383" s="24">
        <v>382.0</v>
      </c>
      <c r="B383" s="17" t="s">
        <v>746</v>
      </c>
      <c r="C383" s="18" t="s">
        <v>28</v>
      </c>
      <c r="D383" s="18" t="s">
        <v>59</v>
      </c>
      <c r="E383" s="9">
        <v>0.0</v>
      </c>
    </row>
    <row r="384">
      <c r="A384" s="24">
        <v>383.0</v>
      </c>
      <c r="B384" s="17" t="s">
        <v>559</v>
      </c>
      <c r="C384" s="18" t="s">
        <v>58</v>
      </c>
      <c r="D384" s="18" t="s">
        <v>13</v>
      </c>
      <c r="E384" s="9">
        <v>0.0</v>
      </c>
    </row>
    <row r="385">
      <c r="A385" s="24">
        <v>384.0</v>
      </c>
      <c r="B385" s="17" t="s">
        <v>752</v>
      </c>
      <c r="C385" s="18" t="s">
        <v>32</v>
      </c>
      <c r="D385" s="18" t="s">
        <v>59</v>
      </c>
      <c r="E385" s="9">
        <v>0.0</v>
      </c>
    </row>
    <row r="386">
      <c r="A386" s="24">
        <v>385.0</v>
      </c>
      <c r="B386" s="17" t="s">
        <v>916</v>
      </c>
      <c r="C386" s="18" t="s">
        <v>25</v>
      </c>
      <c r="D386" s="18" t="s">
        <v>59</v>
      </c>
      <c r="E386" s="9">
        <v>0.0</v>
      </c>
    </row>
    <row r="387">
      <c r="A387" s="24">
        <v>386.0</v>
      </c>
      <c r="B387" s="17" t="s">
        <v>782</v>
      </c>
      <c r="C387" s="18" t="s">
        <v>17</v>
      </c>
      <c r="D387" s="18" t="s">
        <v>59</v>
      </c>
      <c r="E387" s="9">
        <v>0.0</v>
      </c>
    </row>
    <row r="388">
      <c r="A388" s="24">
        <v>387.0</v>
      </c>
      <c r="B388" s="17" t="s">
        <v>745</v>
      </c>
      <c r="C388" s="18" t="s">
        <v>39</v>
      </c>
      <c r="D388" s="18" t="s">
        <v>59</v>
      </c>
      <c r="E388" s="9">
        <v>0.0</v>
      </c>
    </row>
    <row r="389">
      <c r="A389" s="24">
        <v>388.0</v>
      </c>
      <c r="B389" s="17" t="s">
        <v>580</v>
      </c>
      <c r="C389" s="18" t="s">
        <v>41</v>
      </c>
      <c r="D389" s="18" t="s">
        <v>59</v>
      </c>
      <c r="E389" s="9">
        <v>0.0</v>
      </c>
    </row>
    <row r="390">
      <c r="A390" s="24">
        <v>389.0</v>
      </c>
      <c r="B390" s="17" t="s">
        <v>760</v>
      </c>
      <c r="C390" s="18" t="s">
        <v>35</v>
      </c>
      <c r="D390" s="18" t="s">
        <v>59</v>
      </c>
      <c r="E390" s="9">
        <v>0.0</v>
      </c>
    </row>
    <row r="391">
      <c r="A391" s="24">
        <v>390.0</v>
      </c>
      <c r="B391" s="17" t="s">
        <v>761</v>
      </c>
      <c r="C391" s="18" t="s">
        <v>119</v>
      </c>
      <c r="D391" s="18" t="s">
        <v>59</v>
      </c>
      <c r="E391" s="9">
        <v>0.0</v>
      </c>
    </row>
    <row r="392">
      <c r="A392" s="24">
        <v>391.0</v>
      </c>
      <c r="B392" s="17" t="s">
        <v>765</v>
      </c>
      <c r="C392" s="18" t="s">
        <v>119</v>
      </c>
      <c r="D392" s="18" t="s">
        <v>59</v>
      </c>
      <c r="E392" s="9">
        <v>0.0</v>
      </c>
    </row>
    <row r="393">
      <c r="A393" s="24">
        <v>392.0</v>
      </c>
      <c r="B393" s="17" t="s">
        <v>917</v>
      </c>
      <c r="C393" s="18" t="s">
        <v>7</v>
      </c>
      <c r="D393" s="18" t="s">
        <v>59</v>
      </c>
      <c r="E393" s="9">
        <v>0.0</v>
      </c>
    </row>
    <row r="394">
      <c r="A394" s="24">
        <v>393.0</v>
      </c>
      <c r="B394" s="17" t="s">
        <v>739</v>
      </c>
      <c r="C394" s="18" t="s">
        <v>21</v>
      </c>
      <c r="D394" s="18" t="s">
        <v>59</v>
      </c>
      <c r="E394" s="9">
        <v>0.0</v>
      </c>
    </row>
    <row r="395">
      <c r="A395" s="24">
        <v>394.0</v>
      </c>
      <c r="B395" s="17" t="s">
        <v>740</v>
      </c>
      <c r="C395" s="18" t="s">
        <v>73</v>
      </c>
      <c r="D395" s="18" t="s">
        <v>59</v>
      </c>
      <c r="E395" s="9">
        <v>0.0</v>
      </c>
    </row>
    <row r="396">
      <c r="A396" s="24">
        <v>395.0</v>
      </c>
      <c r="B396" s="17" t="s">
        <v>784</v>
      </c>
      <c r="C396" s="18" t="s">
        <v>89</v>
      </c>
      <c r="D396" s="18" t="s">
        <v>59</v>
      </c>
      <c r="E396" s="9">
        <v>0.0</v>
      </c>
    </row>
    <row r="397">
      <c r="A397" s="24">
        <v>396.0</v>
      </c>
      <c r="B397" s="17" t="s">
        <v>564</v>
      </c>
      <c r="C397" s="18" t="s">
        <v>47</v>
      </c>
      <c r="D397" s="18" t="s">
        <v>13</v>
      </c>
      <c r="E397" s="9">
        <v>0.0</v>
      </c>
    </row>
    <row r="398">
      <c r="A398" s="24">
        <v>397.0</v>
      </c>
      <c r="B398" s="17" t="s">
        <v>208</v>
      </c>
      <c r="C398" s="18" t="s">
        <v>12</v>
      </c>
      <c r="D398" s="18" t="s">
        <v>8</v>
      </c>
      <c r="E398" s="9">
        <v>0.0</v>
      </c>
    </row>
    <row r="399">
      <c r="A399" s="24">
        <v>398.0</v>
      </c>
      <c r="B399" s="17" t="s">
        <v>577</v>
      </c>
      <c r="C399" s="18" t="s">
        <v>58</v>
      </c>
      <c r="D399" s="18" t="s">
        <v>13</v>
      </c>
      <c r="E399" s="9">
        <v>0.0</v>
      </c>
    </row>
    <row r="400">
      <c r="A400" s="24">
        <v>399.0</v>
      </c>
      <c r="B400" s="17" t="s">
        <v>566</v>
      </c>
      <c r="C400" s="18" t="s">
        <v>89</v>
      </c>
      <c r="D400" s="18" t="s">
        <v>13</v>
      </c>
      <c r="E400" s="9">
        <v>0.0</v>
      </c>
    </row>
    <row r="401">
      <c r="A401" s="24">
        <v>400.0</v>
      </c>
      <c r="B401" s="17" t="s">
        <v>213</v>
      </c>
      <c r="C401" s="18" t="s">
        <v>25</v>
      </c>
      <c r="D401" s="18" t="s">
        <v>8</v>
      </c>
      <c r="E401" s="9">
        <v>0.0</v>
      </c>
    </row>
    <row r="402">
      <c r="A402" s="24">
        <v>401.0</v>
      </c>
      <c r="B402" s="17" t="s">
        <v>918</v>
      </c>
      <c r="C402" s="18" t="s">
        <v>262</v>
      </c>
      <c r="D402" s="18" t="s">
        <v>59</v>
      </c>
      <c r="E402" s="9">
        <v>0.0</v>
      </c>
    </row>
    <row r="403">
      <c r="A403" s="24">
        <v>402.0</v>
      </c>
      <c r="B403" s="17" t="s">
        <v>919</v>
      </c>
      <c r="C403" s="18" t="s">
        <v>10</v>
      </c>
      <c r="D403" s="18" t="s">
        <v>59</v>
      </c>
      <c r="E403" s="9">
        <v>0.0</v>
      </c>
    </row>
    <row r="404">
      <c r="A404" s="24">
        <v>403.0</v>
      </c>
      <c r="B404" s="17" t="s">
        <v>717</v>
      </c>
      <c r="C404" s="18" t="s">
        <v>32</v>
      </c>
      <c r="D404" s="18" t="s">
        <v>59</v>
      </c>
      <c r="E404" s="9">
        <v>0.0</v>
      </c>
    </row>
    <row r="405">
      <c r="A405" s="24">
        <v>404.0</v>
      </c>
      <c r="B405" s="17" t="s">
        <v>920</v>
      </c>
      <c r="C405" s="18" t="s">
        <v>35</v>
      </c>
      <c r="D405" s="18" t="s">
        <v>59</v>
      </c>
      <c r="E405" s="9">
        <v>0.0</v>
      </c>
    </row>
    <row r="406">
      <c r="A406" s="24">
        <v>405.0</v>
      </c>
      <c r="B406" s="17" t="s">
        <v>921</v>
      </c>
      <c r="C406" s="18" t="s">
        <v>262</v>
      </c>
      <c r="D406" s="18" t="s">
        <v>59</v>
      </c>
      <c r="E406" s="9">
        <v>0.0</v>
      </c>
    </row>
    <row r="407">
      <c r="A407" s="24">
        <v>406.0</v>
      </c>
      <c r="B407" s="17" t="s">
        <v>922</v>
      </c>
      <c r="C407" s="18" t="s">
        <v>262</v>
      </c>
      <c r="D407" s="18" t="s">
        <v>59</v>
      </c>
      <c r="E407" s="9">
        <v>0.0</v>
      </c>
    </row>
    <row r="408">
      <c r="A408" s="24">
        <v>407.0</v>
      </c>
      <c r="B408" s="17" t="s">
        <v>923</v>
      </c>
      <c r="C408" s="18" t="s">
        <v>262</v>
      </c>
      <c r="D408" s="18" t="s">
        <v>59</v>
      </c>
      <c r="E408" s="9">
        <v>0.0</v>
      </c>
    </row>
    <row r="409">
      <c r="A409" s="24">
        <v>408.0</v>
      </c>
      <c r="B409" s="17" t="s">
        <v>781</v>
      </c>
      <c r="C409" s="18" t="s">
        <v>81</v>
      </c>
      <c r="D409" s="18" t="s">
        <v>59</v>
      </c>
      <c r="E409" s="9">
        <v>0.0</v>
      </c>
    </row>
    <row r="410">
      <c r="A410" s="24">
        <v>409.0</v>
      </c>
      <c r="B410" s="17" t="s">
        <v>789</v>
      </c>
      <c r="C410" s="18" t="s">
        <v>43</v>
      </c>
      <c r="D410" s="18" t="s">
        <v>59</v>
      </c>
      <c r="E410" s="9">
        <v>0.0</v>
      </c>
    </row>
    <row r="411">
      <c r="A411" s="24">
        <v>410.0</v>
      </c>
      <c r="B411" s="17" t="s">
        <v>924</v>
      </c>
      <c r="C411" s="18" t="s">
        <v>39</v>
      </c>
      <c r="D411" s="18" t="s">
        <v>59</v>
      </c>
      <c r="E411" s="9">
        <v>0.0</v>
      </c>
    </row>
    <row r="412">
      <c r="A412" s="24">
        <v>411.0</v>
      </c>
      <c r="B412" s="17" t="s">
        <v>775</v>
      </c>
      <c r="C412" s="18" t="s">
        <v>23</v>
      </c>
      <c r="D412" s="18" t="s">
        <v>59</v>
      </c>
      <c r="E412" s="9">
        <v>0.0</v>
      </c>
    </row>
    <row r="413">
      <c r="A413" s="24">
        <v>412.0</v>
      </c>
      <c r="B413" s="17" t="s">
        <v>787</v>
      </c>
      <c r="C413" s="18" t="s">
        <v>28</v>
      </c>
      <c r="D413" s="18" t="s">
        <v>59</v>
      </c>
      <c r="E413" s="9">
        <v>0.0</v>
      </c>
    </row>
    <row r="414">
      <c r="A414" s="24">
        <v>413.0</v>
      </c>
      <c r="B414" s="17" t="s">
        <v>925</v>
      </c>
      <c r="C414" s="18" t="s">
        <v>73</v>
      </c>
      <c r="D414" s="18" t="s">
        <v>59</v>
      </c>
      <c r="E414" s="9">
        <v>0.0</v>
      </c>
    </row>
    <row r="415">
      <c r="A415" s="24">
        <v>414.0</v>
      </c>
      <c r="B415" s="17" t="s">
        <v>926</v>
      </c>
      <c r="C415" s="18" t="s">
        <v>45</v>
      </c>
      <c r="D415" s="18" t="s">
        <v>59</v>
      </c>
      <c r="E415" s="9">
        <v>0.0</v>
      </c>
    </row>
    <row r="416">
      <c r="A416" s="24">
        <v>415.0</v>
      </c>
      <c r="B416" s="17" t="s">
        <v>927</v>
      </c>
      <c r="C416" s="18" t="s">
        <v>28</v>
      </c>
      <c r="D416" s="18" t="s">
        <v>59</v>
      </c>
      <c r="E416" s="9">
        <v>0.0</v>
      </c>
    </row>
    <row r="417">
      <c r="A417" s="24">
        <v>416.0</v>
      </c>
      <c r="B417" s="17" t="s">
        <v>928</v>
      </c>
      <c r="C417" s="18" t="s">
        <v>262</v>
      </c>
      <c r="D417" s="18" t="s">
        <v>59</v>
      </c>
      <c r="E417" s="9">
        <v>0.0</v>
      </c>
    </row>
    <row r="418">
      <c r="A418" s="24">
        <v>417.0</v>
      </c>
      <c r="B418" s="17" t="s">
        <v>929</v>
      </c>
      <c r="C418" s="18" t="s">
        <v>262</v>
      </c>
      <c r="D418" s="18" t="s">
        <v>59</v>
      </c>
      <c r="E418" s="9">
        <v>0.0</v>
      </c>
    </row>
    <row r="419">
      <c r="A419" s="24">
        <v>418.0</v>
      </c>
      <c r="B419" s="17" t="s">
        <v>930</v>
      </c>
      <c r="C419" s="18" t="s">
        <v>32</v>
      </c>
      <c r="D419" s="18" t="s">
        <v>59</v>
      </c>
      <c r="E419" s="9">
        <v>0.0</v>
      </c>
    </row>
    <row r="420">
      <c r="A420" s="24">
        <v>419.0</v>
      </c>
      <c r="B420" s="17" t="s">
        <v>931</v>
      </c>
      <c r="C420" s="18" t="s">
        <v>262</v>
      </c>
      <c r="D420" s="18" t="s">
        <v>59</v>
      </c>
      <c r="E420" s="9">
        <v>0.0</v>
      </c>
    </row>
    <row r="421">
      <c r="A421" s="24">
        <v>420.0</v>
      </c>
      <c r="B421" s="17" t="s">
        <v>932</v>
      </c>
      <c r="C421" s="18" t="s">
        <v>262</v>
      </c>
      <c r="D421" s="18" t="s">
        <v>59</v>
      </c>
      <c r="E421" s="9">
        <v>0.0</v>
      </c>
    </row>
    <row r="422">
      <c r="A422" s="24">
        <v>421.0</v>
      </c>
      <c r="B422" s="17" t="s">
        <v>933</v>
      </c>
      <c r="C422" s="18" t="s">
        <v>262</v>
      </c>
      <c r="D422" s="18" t="s">
        <v>59</v>
      </c>
      <c r="E422" s="9">
        <v>0.0</v>
      </c>
    </row>
    <row r="423">
      <c r="A423" s="24">
        <v>422.0</v>
      </c>
      <c r="B423" s="17" t="s">
        <v>934</v>
      </c>
      <c r="C423" s="18" t="s">
        <v>119</v>
      </c>
      <c r="D423" s="18" t="s">
        <v>59</v>
      </c>
      <c r="E423" s="9">
        <v>0.0</v>
      </c>
    </row>
    <row r="424">
      <c r="A424" s="24">
        <v>423.0</v>
      </c>
      <c r="B424" s="17" t="s">
        <v>935</v>
      </c>
      <c r="C424" s="18" t="s">
        <v>262</v>
      </c>
      <c r="D424" s="18" t="s">
        <v>59</v>
      </c>
      <c r="E424" s="9">
        <v>0.0</v>
      </c>
    </row>
    <row r="425">
      <c r="A425" s="24">
        <v>424.0</v>
      </c>
      <c r="B425" s="17" t="s">
        <v>936</v>
      </c>
      <c r="C425" s="18" t="s">
        <v>73</v>
      </c>
      <c r="D425" s="18" t="s">
        <v>59</v>
      </c>
      <c r="E425" s="9">
        <v>0.0</v>
      </c>
    </row>
    <row r="426">
      <c r="A426" s="24">
        <v>425.0</v>
      </c>
      <c r="B426" s="17" t="s">
        <v>937</v>
      </c>
      <c r="C426" s="18" t="s">
        <v>262</v>
      </c>
      <c r="D426" s="18" t="s">
        <v>59</v>
      </c>
      <c r="E426" s="9">
        <v>0.0</v>
      </c>
    </row>
    <row r="427">
      <c r="A427" s="24">
        <v>426.0</v>
      </c>
      <c r="B427" s="17" t="s">
        <v>938</v>
      </c>
      <c r="C427" s="18" t="s">
        <v>45</v>
      </c>
      <c r="D427" s="18" t="s">
        <v>59</v>
      </c>
      <c r="E427" s="9">
        <v>0.0</v>
      </c>
    </row>
    <row r="428">
      <c r="A428" s="24">
        <v>427.0</v>
      </c>
      <c r="B428" s="17" t="s">
        <v>939</v>
      </c>
      <c r="C428" s="18" t="s">
        <v>262</v>
      </c>
      <c r="D428" s="18" t="s">
        <v>59</v>
      </c>
      <c r="E428" s="9">
        <v>0.0</v>
      </c>
    </row>
    <row r="429">
      <c r="A429" s="24">
        <v>428.0</v>
      </c>
      <c r="B429" s="17" t="s">
        <v>940</v>
      </c>
      <c r="C429" s="18" t="s">
        <v>262</v>
      </c>
      <c r="D429" s="18" t="s">
        <v>59</v>
      </c>
      <c r="E429" s="9">
        <v>0.0</v>
      </c>
    </row>
    <row r="430">
      <c r="A430" s="24">
        <v>429.0</v>
      </c>
      <c r="B430" s="17" t="s">
        <v>941</v>
      </c>
      <c r="C430" s="18" t="s">
        <v>262</v>
      </c>
      <c r="D430" s="18" t="s">
        <v>59</v>
      </c>
      <c r="E430" s="9">
        <v>0.0</v>
      </c>
    </row>
    <row r="431">
      <c r="A431" s="24">
        <v>430.0</v>
      </c>
      <c r="B431" s="17" t="s">
        <v>942</v>
      </c>
      <c r="C431" s="18" t="s">
        <v>262</v>
      </c>
      <c r="D431" s="18" t="s">
        <v>59</v>
      </c>
      <c r="E431" s="9">
        <v>0.0</v>
      </c>
    </row>
    <row r="432">
      <c r="A432" s="24">
        <v>431.0</v>
      </c>
      <c r="B432" s="17" t="s">
        <v>714</v>
      </c>
      <c r="C432" s="18" t="s">
        <v>262</v>
      </c>
      <c r="D432" s="18" t="s">
        <v>59</v>
      </c>
      <c r="E432" s="9">
        <v>0.0</v>
      </c>
    </row>
    <row r="433">
      <c r="A433" s="24">
        <v>432.0</v>
      </c>
      <c r="B433" s="17" t="s">
        <v>943</v>
      </c>
      <c r="C433" s="18" t="s">
        <v>7</v>
      </c>
      <c r="D433" s="18" t="s">
        <v>59</v>
      </c>
      <c r="E433" s="9">
        <v>0.0</v>
      </c>
    </row>
    <row r="434">
      <c r="A434" s="24">
        <v>433.0</v>
      </c>
      <c r="B434" s="17" t="s">
        <v>944</v>
      </c>
      <c r="C434" s="18" t="s">
        <v>35</v>
      </c>
      <c r="D434" s="18" t="s">
        <v>59</v>
      </c>
      <c r="E434" s="9">
        <v>0.0</v>
      </c>
    </row>
    <row r="435">
      <c r="A435" s="24">
        <v>434.0</v>
      </c>
      <c r="B435" s="17" t="s">
        <v>945</v>
      </c>
      <c r="C435" s="18" t="s">
        <v>262</v>
      </c>
      <c r="D435" s="18" t="s">
        <v>59</v>
      </c>
      <c r="E435" s="9">
        <v>0.0</v>
      </c>
    </row>
    <row r="436">
      <c r="A436" s="24">
        <v>435.0</v>
      </c>
      <c r="B436" s="17" t="s">
        <v>946</v>
      </c>
      <c r="C436" s="18" t="s">
        <v>28</v>
      </c>
      <c r="D436" s="18" t="s">
        <v>59</v>
      </c>
      <c r="E436" s="9">
        <v>0.0</v>
      </c>
    </row>
    <row r="437">
      <c r="A437" s="24">
        <v>436.0</v>
      </c>
      <c r="B437" s="17" t="s">
        <v>785</v>
      </c>
      <c r="C437" s="18" t="s">
        <v>64</v>
      </c>
      <c r="D437" s="18" t="s">
        <v>59</v>
      </c>
      <c r="E437" s="9">
        <v>0.0</v>
      </c>
    </row>
    <row r="438">
      <c r="A438" s="24">
        <v>437.0</v>
      </c>
      <c r="B438" s="17" t="s">
        <v>947</v>
      </c>
      <c r="C438" s="18" t="s">
        <v>262</v>
      </c>
      <c r="D438" s="18" t="s">
        <v>59</v>
      </c>
      <c r="E438" s="9">
        <v>0.0</v>
      </c>
    </row>
    <row r="439">
      <c r="A439" s="24">
        <v>438.0</v>
      </c>
      <c r="B439" s="17" t="s">
        <v>948</v>
      </c>
      <c r="C439" s="18" t="s">
        <v>262</v>
      </c>
      <c r="D439" s="18" t="s">
        <v>59</v>
      </c>
      <c r="E439" s="9">
        <v>0.0</v>
      </c>
    </row>
    <row r="440">
      <c r="A440" s="24">
        <v>439.0</v>
      </c>
      <c r="B440" s="17" t="s">
        <v>949</v>
      </c>
      <c r="C440" s="18" t="s">
        <v>81</v>
      </c>
      <c r="D440" s="18" t="s">
        <v>59</v>
      </c>
      <c r="E440" s="9">
        <v>0.0</v>
      </c>
    </row>
    <row r="441">
      <c r="A441" s="24">
        <v>440.0</v>
      </c>
      <c r="B441" s="17" t="s">
        <v>764</v>
      </c>
      <c r="C441" s="18" t="s">
        <v>45</v>
      </c>
      <c r="D441" s="18" t="s">
        <v>59</v>
      </c>
      <c r="E441" s="9">
        <v>0.0</v>
      </c>
    </row>
    <row r="442">
      <c r="A442" s="24">
        <v>441.0</v>
      </c>
      <c r="B442" s="17" t="s">
        <v>950</v>
      </c>
      <c r="C442" s="18" t="s">
        <v>262</v>
      </c>
      <c r="D442" s="18" t="s">
        <v>59</v>
      </c>
      <c r="E442" s="9">
        <v>0.0</v>
      </c>
    </row>
    <row r="443">
      <c r="A443" s="24">
        <v>442.0</v>
      </c>
      <c r="B443" s="17" t="s">
        <v>852</v>
      </c>
      <c r="C443" s="18" t="s">
        <v>81</v>
      </c>
      <c r="D443" s="18" t="s">
        <v>59</v>
      </c>
      <c r="E443" s="9">
        <v>0.0</v>
      </c>
    </row>
    <row r="444">
      <c r="A444" s="24">
        <v>443.0</v>
      </c>
      <c r="B444" s="17" t="s">
        <v>951</v>
      </c>
      <c r="C444" s="18" t="s">
        <v>262</v>
      </c>
      <c r="D444" s="18" t="s">
        <v>59</v>
      </c>
      <c r="E444" s="9">
        <v>0.0</v>
      </c>
    </row>
    <row r="445">
      <c r="A445" s="24">
        <v>444.0</v>
      </c>
      <c r="B445" s="17" t="s">
        <v>952</v>
      </c>
      <c r="C445" s="18" t="s">
        <v>45</v>
      </c>
      <c r="D445" s="18" t="s">
        <v>59</v>
      </c>
      <c r="E445" s="9">
        <v>0.0</v>
      </c>
    </row>
    <row r="446">
      <c r="A446" s="24">
        <v>445.0</v>
      </c>
      <c r="B446" s="17" t="s">
        <v>953</v>
      </c>
      <c r="C446" s="18" t="s">
        <v>85</v>
      </c>
      <c r="D446" s="18" t="s">
        <v>59</v>
      </c>
      <c r="E446" s="9">
        <v>0.0</v>
      </c>
    </row>
    <row r="447">
      <c r="A447" s="24">
        <v>446.0</v>
      </c>
      <c r="B447" s="17" t="s">
        <v>954</v>
      </c>
      <c r="C447" s="18" t="s">
        <v>262</v>
      </c>
      <c r="D447" s="18" t="s">
        <v>59</v>
      </c>
      <c r="E447" s="9">
        <v>0.0</v>
      </c>
    </row>
    <row r="448">
      <c r="A448" s="24">
        <v>447.0</v>
      </c>
      <c r="B448" s="17" t="s">
        <v>955</v>
      </c>
      <c r="C448" s="18" t="s">
        <v>37</v>
      </c>
      <c r="D448" s="18" t="s">
        <v>59</v>
      </c>
      <c r="E448" s="9">
        <v>0.0</v>
      </c>
    </row>
    <row r="449">
      <c r="A449" s="24">
        <v>448.0</v>
      </c>
      <c r="B449" s="17" t="s">
        <v>956</v>
      </c>
      <c r="C449" s="18" t="s">
        <v>262</v>
      </c>
      <c r="D449" s="18" t="s">
        <v>59</v>
      </c>
      <c r="E449" s="9">
        <v>0.0</v>
      </c>
    </row>
    <row r="450">
      <c r="A450" s="24">
        <v>449.0</v>
      </c>
      <c r="B450" s="17" t="s">
        <v>957</v>
      </c>
      <c r="C450" s="18" t="s">
        <v>28</v>
      </c>
      <c r="D450" s="18" t="s">
        <v>59</v>
      </c>
      <c r="E450" s="9">
        <v>0.0</v>
      </c>
    </row>
    <row r="451">
      <c r="A451" s="24">
        <v>450.0</v>
      </c>
      <c r="B451" s="17" t="s">
        <v>958</v>
      </c>
      <c r="C451" s="18" t="s">
        <v>23</v>
      </c>
      <c r="D451" s="18" t="s">
        <v>59</v>
      </c>
      <c r="E451" s="9">
        <v>0.0</v>
      </c>
    </row>
    <row r="452">
      <c r="A452" s="24">
        <v>451.0</v>
      </c>
      <c r="B452" s="17" t="s">
        <v>959</v>
      </c>
      <c r="C452" s="18" t="s">
        <v>262</v>
      </c>
      <c r="D452" s="18" t="s">
        <v>59</v>
      </c>
      <c r="E452" s="9">
        <v>0.0</v>
      </c>
    </row>
    <row r="453">
      <c r="A453" s="24">
        <v>452.0</v>
      </c>
      <c r="B453" s="17" t="s">
        <v>960</v>
      </c>
      <c r="C453" s="18" t="s">
        <v>262</v>
      </c>
      <c r="D453" s="18" t="s">
        <v>59</v>
      </c>
      <c r="E453" s="9">
        <v>0.0</v>
      </c>
    </row>
    <row r="454">
      <c r="A454" s="24">
        <v>453.0</v>
      </c>
      <c r="B454" s="17" t="s">
        <v>961</v>
      </c>
      <c r="C454" s="18" t="s">
        <v>25</v>
      </c>
      <c r="D454" s="18" t="s">
        <v>59</v>
      </c>
      <c r="E454" s="9">
        <v>0.0</v>
      </c>
    </row>
    <row r="455">
      <c r="A455" s="24">
        <v>454.0</v>
      </c>
      <c r="B455" s="17" t="s">
        <v>962</v>
      </c>
      <c r="C455" s="18" t="s">
        <v>85</v>
      </c>
      <c r="D455" s="18" t="s">
        <v>59</v>
      </c>
      <c r="E455" s="9">
        <v>0.0</v>
      </c>
    </row>
    <row r="456">
      <c r="A456" s="24">
        <v>455.0</v>
      </c>
      <c r="B456" s="17" t="s">
        <v>311</v>
      </c>
      <c r="C456" s="18" t="s">
        <v>262</v>
      </c>
      <c r="D456" s="18" t="s">
        <v>59</v>
      </c>
      <c r="E456" s="9">
        <v>0.0</v>
      </c>
    </row>
    <row r="457">
      <c r="A457" s="24">
        <v>456.0</v>
      </c>
      <c r="B457" s="17" t="s">
        <v>963</v>
      </c>
      <c r="C457" s="18" t="s">
        <v>262</v>
      </c>
      <c r="D457" s="18" t="s">
        <v>59</v>
      </c>
      <c r="E457" s="9">
        <v>0.0</v>
      </c>
    </row>
    <row r="458">
      <c r="A458" s="24">
        <v>457.0</v>
      </c>
      <c r="B458" s="17" t="s">
        <v>964</v>
      </c>
      <c r="C458" s="18" t="s">
        <v>262</v>
      </c>
      <c r="D458" s="18" t="s">
        <v>59</v>
      </c>
      <c r="E458" s="9">
        <v>0.0</v>
      </c>
    </row>
    <row r="459">
      <c r="A459" s="24">
        <v>458.0</v>
      </c>
      <c r="B459" s="17" t="s">
        <v>703</v>
      </c>
      <c r="C459" s="18" t="s">
        <v>262</v>
      </c>
      <c r="D459" s="18" t="s">
        <v>59</v>
      </c>
      <c r="E459" s="9">
        <v>0.0</v>
      </c>
    </row>
    <row r="460">
      <c r="A460" s="24">
        <v>459.0</v>
      </c>
      <c r="B460" s="17" t="s">
        <v>965</v>
      </c>
      <c r="C460" s="18" t="s">
        <v>262</v>
      </c>
      <c r="D460" s="18" t="s">
        <v>59</v>
      </c>
      <c r="E460" s="9">
        <v>0.0</v>
      </c>
    </row>
    <row r="461">
      <c r="A461" s="24">
        <v>460.0</v>
      </c>
      <c r="B461" s="17" t="s">
        <v>724</v>
      </c>
      <c r="C461" s="18" t="s">
        <v>262</v>
      </c>
      <c r="D461" s="18" t="s">
        <v>59</v>
      </c>
      <c r="E461" s="9">
        <v>0.0</v>
      </c>
    </row>
    <row r="462">
      <c r="A462" s="24">
        <v>461.0</v>
      </c>
      <c r="B462" s="17" t="s">
        <v>966</v>
      </c>
      <c r="C462" s="18" t="s">
        <v>262</v>
      </c>
      <c r="D462" s="18" t="s">
        <v>59</v>
      </c>
      <c r="E462" s="9">
        <v>0.0</v>
      </c>
    </row>
    <row r="463">
      <c r="A463" s="24">
        <v>462.0</v>
      </c>
      <c r="B463" s="17" t="s">
        <v>666</v>
      </c>
      <c r="C463" s="18" t="s">
        <v>69</v>
      </c>
      <c r="D463" s="18" t="s">
        <v>59</v>
      </c>
      <c r="E463" s="9">
        <v>0.0</v>
      </c>
    </row>
    <row r="464">
      <c r="A464" s="24">
        <v>463.0</v>
      </c>
      <c r="B464" s="17" t="s">
        <v>967</v>
      </c>
      <c r="C464" s="18" t="s">
        <v>23</v>
      </c>
      <c r="D464" s="18" t="s">
        <v>59</v>
      </c>
      <c r="E464" s="9">
        <v>0.0</v>
      </c>
    </row>
    <row r="465">
      <c r="A465" s="24">
        <v>464.0</v>
      </c>
      <c r="B465" s="17" t="s">
        <v>968</v>
      </c>
      <c r="C465" s="18" t="s">
        <v>17</v>
      </c>
      <c r="D465" s="18" t="s">
        <v>59</v>
      </c>
      <c r="E465" s="9">
        <v>0.0</v>
      </c>
    </row>
    <row r="466">
      <c r="A466" s="24">
        <v>465.0</v>
      </c>
      <c r="B466" s="17" t="s">
        <v>756</v>
      </c>
      <c r="C466" s="18" t="s">
        <v>12</v>
      </c>
      <c r="D466" s="18" t="s">
        <v>59</v>
      </c>
      <c r="E466" s="9">
        <v>0.0</v>
      </c>
    </row>
    <row r="467">
      <c r="A467" s="24">
        <v>466.0</v>
      </c>
      <c r="B467" s="17" t="s">
        <v>969</v>
      </c>
      <c r="C467" s="18" t="s">
        <v>12</v>
      </c>
      <c r="D467" s="18" t="s">
        <v>59</v>
      </c>
      <c r="E467" s="9">
        <v>0.0</v>
      </c>
    </row>
    <row r="468">
      <c r="A468" s="24">
        <v>467.0</v>
      </c>
      <c r="B468" s="17" t="s">
        <v>970</v>
      </c>
      <c r="C468" s="18" t="s">
        <v>262</v>
      </c>
      <c r="D468" s="18" t="s">
        <v>59</v>
      </c>
      <c r="E468" s="9">
        <v>0.0</v>
      </c>
    </row>
    <row r="469">
      <c r="A469" s="24">
        <v>468.0</v>
      </c>
      <c r="B469" s="17" t="s">
        <v>971</v>
      </c>
      <c r="C469" s="18" t="s">
        <v>25</v>
      </c>
      <c r="D469" s="18" t="s">
        <v>59</v>
      </c>
      <c r="E469" s="9">
        <v>0.0</v>
      </c>
    </row>
    <row r="470">
      <c r="A470" s="24">
        <v>469.0</v>
      </c>
      <c r="B470" s="17" t="s">
        <v>750</v>
      </c>
      <c r="C470" s="18" t="s">
        <v>58</v>
      </c>
      <c r="D470" s="18" t="s">
        <v>59</v>
      </c>
      <c r="E470" s="9">
        <v>0.0</v>
      </c>
    </row>
    <row r="471">
      <c r="A471" s="24">
        <v>470.0</v>
      </c>
      <c r="B471" s="17" t="s">
        <v>972</v>
      </c>
      <c r="C471" s="18" t="s">
        <v>262</v>
      </c>
      <c r="D471" s="18" t="s">
        <v>59</v>
      </c>
      <c r="E471" s="9">
        <v>0.0</v>
      </c>
    </row>
    <row r="472">
      <c r="A472" s="24">
        <v>471.0</v>
      </c>
      <c r="B472" s="17" t="s">
        <v>973</v>
      </c>
      <c r="C472" s="18" t="s">
        <v>64</v>
      </c>
      <c r="D472" s="18" t="s">
        <v>59</v>
      </c>
      <c r="E472" s="9">
        <v>0.0</v>
      </c>
    </row>
    <row r="473">
      <c r="A473" s="24">
        <v>472.0</v>
      </c>
      <c r="B473" s="17" t="s">
        <v>692</v>
      </c>
      <c r="C473" s="18" t="s">
        <v>64</v>
      </c>
      <c r="D473" s="18" t="s">
        <v>59</v>
      </c>
      <c r="E473" s="9">
        <v>0.0</v>
      </c>
    </row>
    <row r="474">
      <c r="A474" s="24">
        <v>473.0</v>
      </c>
      <c r="B474" s="17" t="s">
        <v>974</v>
      </c>
      <c r="C474" s="18" t="s">
        <v>262</v>
      </c>
      <c r="D474" s="18" t="s">
        <v>59</v>
      </c>
      <c r="E474" s="9">
        <v>0.0</v>
      </c>
    </row>
    <row r="475">
      <c r="A475" s="24">
        <v>474.0</v>
      </c>
      <c r="B475" s="17" t="s">
        <v>975</v>
      </c>
      <c r="C475" s="18" t="s">
        <v>262</v>
      </c>
      <c r="D475" s="18" t="s">
        <v>59</v>
      </c>
      <c r="E475" s="9">
        <v>0.0</v>
      </c>
    </row>
    <row r="476">
      <c r="A476" s="24">
        <v>475.0</v>
      </c>
      <c r="B476" s="17" t="s">
        <v>976</v>
      </c>
      <c r="C476" s="18" t="s">
        <v>47</v>
      </c>
      <c r="D476" s="18" t="s">
        <v>59</v>
      </c>
      <c r="E476" s="9">
        <v>0.0</v>
      </c>
    </row>
    <row r="477">
      <c r="A477" s="24">
        <v>476.0</v>
      </c>
      <c r="B477" s="17" t="s">
        <v>977</v>
      </c>
      <c r="C477" s="18" t="s">
        <v>262</v>
      </c>
      <c r="D477" s="18" t="s">
        <v>59</v>
      </c>
      <c r="E477" s="9">
        <v>0.0</v>
      </c>
    </row>
    <row r="478">
      <c r="A478" s="24">
        <v>477.0</v>
      </c>
      <c r="B478" s="17" t="s">
        <v>978</v>
      </c>
      <c r="C478" s="18" t="s">
        <v>262</v>
      </c>
      <c r="D478" s="18" t="s">
        <v>59</v>
      </c>
      <c r="E478" s="9">
        <v>0.0</v>
      </c>
    </row>
    <row r="479">
      <c r="A479" s="24">
        <v>478.0</v>
      </c>
      <c r="B479" s="17" t="s">
        <v>979</v>
      </c>
      <c r="C479" s="18" t="s">
        <v>73</v>
      </c>
      <c r="D479" s="18" t="s">
        <v>59</v>
      </c>
      <c r="E479" s="9">
        <v>0.0</v>
      </c>
    </row>
    <row r="480">
      <c r="A480" s="24">
        <v>479.0</v>
      </c>
      <c r="B480" s="17" t="s">
        <v>980</v>
      </c>
      <c r="C480" s="18" t="s">
        <v>262</v>
      </c>
      <c r="D480" s="18" t="s">
        <v>59</v>
      </c>
      <c r="E480" s="9">
        <v>0.0</v>
      </c>
    </row>
    <row r="481">
      <c r="A481" s="24">
        <v>480.0</v>
      </c>
      <c r="B481" s="17" t="s">
        <v>767</v>
      </c>
      <c r="C481" s="18" t="s">
        <v>28</v>
      </c>
      <c r="D481" s="18" t="s">
        <v>59</v>
      </c>
      <c r="E481" s="9">
        <v>0.0</v>
      </c>
    </row>
    <row r="482">
      <c r="A482" s="24">
        <v>481.0</v>
      </c>
      <c r="B482" s="17" t="s">
        <v>981</v>
      </c>
      <c r="C482" s="18" t="s">
        <v>35</v>
      </c>
      <c r="D482" s="18" t="s">
        <v>59</v>
      </c>
      <c r="E482" s="9">
        <v>0.0</v>
      </c>
    </row>
    <row r="483">
      <c r="A483" s="24">
        <v>482.0</v>
      </c>
      <c r="B483" s="17" t="s">
        <v>982</v>
      </c>
      <c r="C483" s="18" t="s">
        <v>262</v>
      </c>
      <c r="D483" s="18" t="s">
        <v>59</v>
      </c>
      <c r="E483" s="9">
        <v>0.0</v>
      </c>
    </row>
    <row r="484">
      <c r="A484" s="24">
        <v>483.0</v>
      </c>
      <c r="B484" s="17" t="s">
        <v>983</v>
      </c>
      <c r="C484" s="18" t="s">
        <v>262</v>
      </c>
      <c r="D484" s="18" t="s">
        <v>59</v>
      </c>
      <c r="E484" s="9">
        <v>0.0</v>
      </c>
    </row>
    <row r="485">
      <c r="A485" s="24">
        <v>484.0</v>
      </c>
      <c r="B485" s="17" t="s">
        <v>777</v>
      </c>
      <c r="C485" s="18" t="s">
        <v>53</v>
      </c>
      <c r="D485" s="18" t="s">
        <v>59</v>
      </c>
      <c r="E485" s="9">
        <v>0.0</v>
      </c>
    </row>
    <row r="486">
      <c r="A486" s="24">
        <v>485.0</v>
      </c>
      <c r="B486" s="17" t="s">
        <v>776</v>
      </c>
      <c r="C486" s="18" t="s">
        <v>62</v>
      </c>
      <c r="D486" s="18" t="s">
        <v>59</v>
      </c>
      <c r="E486" s="9">
        <v>0.0</v>
      </c>
    </row>
    <row r="487">
      <c r="A487" s="24">
        <v>486.0</v>
      </c>
      <c r="B487" s="17" t="s">
        <v>984</v>
      </c>
      <c r="C487" s="18" t="s">
        <v>262</v>
      </c>
      <c r="D487" s="18" t="s">
        <v>59</v>
      </c>
      <c r="E487" s="9">
        <v>0.0</v>
      </c>
    </row>
    <row r="488">
      <c r="A488" s="24">
        <v>487.0</v>
      </c>
      <c r="B488" s="17" t="s">
        <v>749</v>
      </c>
      <c r="C488" s="18" t="s">
        <v>47</v>
      </c>
      <c r="D488" s="18" t="s">
        <v>59</v>
      </c>
      <c r="E488" s="9">
        <v>0.0</v>
      </c>
    </row>
    <row r="489">
      <c r="A489" s="24">
        <v>488.0</v>
      </c>
      <c r="B489" s="17" t="s">
        <v>985</v>
      </c>
      <c r="C489" s="18" t="s">
        <v>58</v>
      </c>
      <c r="D489" s="18" t="s">
        <v>59</v>
      </c>
      <c r="E489" s="9">
        <v>0.0</v>
      </c>
    </row>
    <row r="490">
      <c r="A490" s="24">
        <v>489.0</v>
      </c>
      <c r="B490" s="17" t="s">
        <v>986</v>
      </c>
      <c r="C490" s="18" t="s">
        <v>19</v>
      </c>
      <c r="D490" s="18" t="s">
        <v>59</v>
      </c>
      <c r="E490" s="9">
        <v>0.0</v>
      </c>
    </row>
    <row r="491">
      <c r="A491" s="24">
        <v>490.0</v>
      </c>
      <c r="B491" s="17" t="s">
        <v>987</v>
      </c>
      <c r="C491" s="18" t="s">
        <v>62</v>
      </c>
      <c r="D491" s="18" t="s">
        <v>59</v>
      </c>
      <c r="E491" s="9">
        <v>0.0</v>
      </c>
    </row>
    <row r="492">
      <c r="A492" s="24">
        <v>491.0</v>
      </c>
      <c r="B492" s="17" t="s">
        <v>988</v>
      </c>
      <c r="C492" s="18" t="s">
        <v>262</v>
      </c>
      <c r="D492" s="18" t="s">
        <v>59</v>
      </c>
      <c r="E492" s="9">
        <v>0.0</v>
      </c>
    </row>
    <row r="493">
      <c r="A493" s="24">
        <v>492.0</v>
      </c>
      <c r="B493" s="17" t="s">
        <v>772</v>
      </c>
      <c r="C493" s="18" t="s">
        <v>69</v>
      </c>
      <c r="D493" s="18" t="s">
        <v>59</v>
      </c>
      <c r="E493" s="9">
        <v>0.0</v>
      </c>
    </row>
    <row r="494">
      <c r="A494" s="24">
        <v>493.0</v>
      </c>
      <c r="B494" s="17" t="s">
        <v>989</v>
      </c>
      <c r="C494" s="18" t="s">
        <v>53</v>
      </c>
      <c r="D494" s="18" t="s">
        <v>59</v>
      </c>
      <c r="E494" s="9">
        <v>0.0</v>
      </c>
    </row>
    <row r="495">
      <c r="A495" s="24">
        <v>494.0</v>
      </c>
      <c r="B495" s="17" t="s">
        <v>990</v>
      </c>
      <c r="C495" s="18" t="s">
        <v>41</v>
      </c>
      <c r="D495" s="18" t="s">
        <v>59</v>
      </c>
      <c r="E495" s="9">
        <v>0.0</v>
      </c>
    </row>
    <row r="496">
      <c r="A496" s="24">
        <v>495.0</v>
      </c>
      <c r="B496" s="17" t="s">
        <v>726</v>
      </c>
      <c r="C496" s="18" t="s">
        <v>30</v>
      </c>
      <c r="D496" s="18" t="s">
        <v>59</v>
      </c>
      <c r="E496" s="9">
        <v>0.0</v>
      </c>
    </row>
    <row r="497">
      <c r="A497" s="24">
        <v>496.0</v>
      </c>
      <c r="B497" s="17" t="s">
        <v>754</v>
      </c>
      <c r="C497" s="18" t="s">
        <v>35</v>
      </c>
      <c r="D497" s="18" t="s">
        <v>59</v>
      </c>
      <c r="E497" s="9">
        <v>0.0</v>
      </c>
    </row>
    <row r="498">
      <c r="A498" s="24">
        <v>497.0</v>
      </c>
      <c r="B498" s="17" t="s">
        <v>991</v>
      </c>
      <c r="C498" s="18" t="s">
        <v>62</v>
      </c>
      <c r="D498" s="18" t="s">
        <v>59</v>
      </c>
      <c r="E498" s="9">
        <v>0.0</v>
      </c>
    </row>
    <row r="499">
      <c r="A499" s="24">
        <v>498.0</v>
      </c>
      <c r="B499" s="17" t="s">
        <v>992</v>
      </c>
      <c r="C499" s="18" t="s">
        <v>17</v>
      </c>
      <c r="D499" s="18" t="s">
        <v>59</v>
      </c>
      <c r="E499" s="9">
        <v>0.0</v>
      </c>
    </row>
    <row r="500">
      <c r="A500" s="24">
        <v>499.0</v>
      </c>
      <c r="B500" s="17" t="s">
        <v>214</v>
      </c>
      <c r="C500" s="18" t="s">
        <v>41</v>
      </c>
      <c r="D500" s="18" t="s">
        <v>8</v>
      </c>
      <c r="E500" s="9">
        <v>0.0</v>
      </c>
    </row>
    <row r="501">
      <c r="A501" s="24">
        <v>500.0</v>
      </c>
      <c r="B501" s="17" t="s">
        <v>557</v>
      </c>
      <c r="C501" s="18" t="s">
        <v>15</v>
      </c>
      <c r="D501" s="18" t="s">
        <v>13</v>
      </c>
      <c r="E501" s="9">
        <v>0.0</v>
      </c>
    </row>
    <row r="502">
      <c r="A502" s="24">
        <v>501.0</v>
      </c>
      <c r="B502" s="17" t="s">
        <v>217</v>
      </c>
      <c r="C502" s="18" t="s">
        <v>45</v>
      </c>
      <c r="D502" s="18" t="s">
        <v>8</v>
      </c>
      <c r="E502" s="9">
        <v>0.0</v>
      </c>
    </row>
    <row r="503">
      <c r="A503" s="24">
        <v>502.0</v>
      </c>
      <c r="B503" s="17" t="s">
        <v>548</v>
      </c>
      <c r="C503" s="18" t="s">
        <v>53</v>
      </c>
      <c r="D503" s="18" t="s">
        <v>13</v>
      </c>
      <c r="E503" s="9">
        <v>0.0</v>
      </c>
    </row>
    <row r="504">
      <c r="A504" s="24">
        <v>503.0</v>
      </c>
      <c r="B504" s="17" t="s">
        <v>221</v>
      </c>
      <c r="C504" s="18" t="s">
        <v>73</v>
      </c>
      <c r="D504" s="18" t="s">
        <v>8</v>
      </c>
      <c r="E504" s="9">
        <v>0.0</v>
      </c>
    </row>
    <row r="505">
      <c r="A505" s="24">
        <v>504.0</v>
      </c>
      <c r="B505" s="17" t="s">
        <v>538</v>
      </c>
      <c r="C505" s="18" t="s">
        <v>47</v>
      </c>
      <c r="D505" s="18" t="s">
        <v>13</v>
      </c>
      <c r="E505" s="9">
        <v>0.0</v>
      </c>
    </row>
    <row r="506">
      <c r="A506" s="24">
        <v>505.0</v>
      </c>
      <c r="B506" s="17" t="s">
        <v>547</v>
      </c>
      <c r="C506" s="18" t="s">
        <v>35</v>
      </c>
      <c r="D506" s="18" t="s">
        <v>13</v>
      </c>
      <c r="E506" s="9">
        <v>0.0</v>
      </c>
    </row>
    <row r="507">
      <c r="A507" s="24">
        <v>506.0</v>
      </c>
      <c r="B507" s="17" t="s">
        <v>563</v>
      </c>
      <c r="C507" s="18" t="s">
        <v>23</v>
      </c>
      <c r="D507" s="18" t="s">
        <v>13</v>
      </c>
      <c r="E507" s="9">
        <v>0.0</v>
      </c>
    </row>
    <row r="508">
      <c r="A508" s="24">
        <v>507.0</v>
      </c>
      <c r="B508" s="17" t="s">
        <v>594</v>
      </c>
      <c r="C508" s="18" t="s">
        <v>17</v>
      </c>
      <c r="D508" s="18" t="s">
        <v>13</v>
      </c>
      <c r="E508" s="9">
        <v>0.0</v>
      </c>
    </row>
    <row r="509">
      <c r="A509" s="24">
        <v>508.0</v>
      </c>
      <c r="B509" s="17" t="s">
        <v>568</v>
      </c>
      <c r="C509" s="18" t="s">
        <v>37</v>
      </c>
      <c r="D509" s="18" t="s">
        <v>13</v>
      </c>
      <c r="E509" s="9">
        <v>0.0</v>
      </c>
    </row>
    <row r="510">
      <c r="A510" s="24">
        <v>509.0</v>
      </c>
      <c r="B510" s="17" t="s">
        <v>220</v>
      </c>
      <c r="C510" s="18" t="s">
        <v>89</v>
      </c>
      <c r="D510" s="18" t="s">
        <v>8</v>
      </c>
      <c r="E510" s="9">
        <v>0.0</v>
      </c>
    </row>
    <row r="511">
      <c r="A511" s="24">
        <v>510.0</v>
      </c>
      <c r="B511" s="17" t="s">
        <v>592</v>
      </c>
      <c r="C511" s="18" t="s">
        <v>85</v>
      </c>
      <c r="D511" s="18" t="s">
        <v>13</v>
      </c>
      <c r="E511" s="9">
        <v>0.0</v>
      </c>
    </row>
    <row r="512">
      <c r="A512" s="24">
        <v>511.0</v>
      </c>
      <c r="B512" s="17" t="s">
        <v>211</v>
      </c>
      <c r="C512" s="18" t="s">
        <v>39</v>
      </c>
      <c r="D512" s="18" t="s">
        <v>8</v>
      </c>
      <c r="E512" s="9">
        <v>0.0</v>
      </c>
    </row>
    <row r="513">
      <c r="A513" s="24">
        <v>512.0</v>
      </c>
      <c r="B513" s="17" t="s">
        <v>534</v>
      </c>
      <c r="C513" s="18" t="s">
        <v>99</v>
      </c>
      <c r="D513" s="18" t="s">
        <v>13</v>
      </c>
      <c r="E513" s="9">
        <v>0.0</v>
      </c>
    </row>
    <row r="514">
      <c r="A514" s="24">
        <v>513.0</v>
      </c>
      <c r="B514" s="17" t="s">
        <v>218</v>
      </c>
      <c r="C514" s="18" t="s">
        <v>64</v>
      </c>
      <c r="D514" s="18" t="s">
        <v>8</v>
      </c>
      <c r="E514" s="9">
        <v>0.0</v>
      </c>
    </row>
    <row r="515">
      <c r="A515" s="24">
        <v>514.0</v>
      </c>
      <c r="B515" s="17" t="s">
        <v>555</v>
      </c>
      <c r="C515" s="18" t="s">
        <v>119</v>
      </c>
      <c r="D515" s="18" t="s">
        <v>13</v>
      </c>
      <c r="E515" s="9">
        <v>0.0</v>
      </c>
    </row>
    <row r="516">
      <c r="A516" s="24">
        <v>515.0</v>
      </c>
      <c r="B516" s="17" t="s">
        <v>216</v>
      </c>
      <c r="C516" s="18" t="s">
        <v>81</v>
      </c>
      <c r="D516" s="18" t="s">
        <v>8</v>
      </c>
      <c r="E516" s="9">
        <v>0.0</v>
      </c>
    </row>
    <row r="517">
      <c r="A517" s="24">
        <v>516.0</v>
      </c>
      <c r="B517" s="17" t="s">
        <v>601</v>
      </c>
      <c r="C517" s="18" t="s">
        <v>37</v>
      </c>
      <c r="D517" s="18" t="s">
        <v>13</v>
      </c>
      <c r="E517" s="9">
        <v>0.0</v>
      </c>
    </row>
    <row r="518">
      <c r="A518" s="24">
        <v>517.0</v>
      </c>
      <c r="B518" s="17" t="s">
        <v>582</v>
      </c>
      <c r="C518" s="18" t="s">
        <v>64</v>
      </c>
      <c r="D518" s="18" t="s">
        <v>13</v>
      </c>
      <c r="E518" s="9">
        <v>0.0</v>
      </c>
    </row>
    <row r="519">
      <c r="A519" s="24">
        <v>518.0</v>
      </c>
      <c r="B519" s="17" t="s">
        <v>581</v>
      </c>
      <c r="C519" s="18" t="s">
        <v>7</v>
      </c>
      <c r="D519" s="18" t="s">
        <v>13</v>
      </c>
      <c r="E519" s="9">
        <v>0.0</v>
      </c>
    </row>
    <row r="520">
      <c r="A520" s="24">
        <v>519.0</v>
      </c>
      <c r="B520" s="17" t="s">
        <v>569</v>
      </c>
      <c r="C520" s="18" t="s">
        <v>32</v>
      </c>
      <c r="D520" s="18" t="s">
        <v>13</v>
      </c>
      <c r="E520" s="9">
        <v>0.0</v>
      </c>
    </row>
    <row r="521">
      <c r="A521" s="24">
        <v>520.0</v>
      </c>
      <c r="B521" s="17" t="s">
        <v>841</v>
      </c>
      <c r="C521" s="18" t="s">
        <v>25</v>
      </c>
      <c r="D521" s="18" t="s">
        <v>13</v>
      </c>
      <c r="E521" s="9">
        <v>0.0</v>
      </c>
    </row>
    <row r="522">
      <c r="A522" s="24">
        <v>521.0</v>
      </c>
      <c r="B522" s="17" t="s">
        <v>219</v>
      </c>
      <c r="C522" s="18" t="s">
        <v>119</v>
      </c>
      <c r="D522" s="18" t="s">
        <v>8</v>
      </c>
      <c r="E522" s="9">
        <v>0.0</v>
      </c>
    </row>
    <row r="523">
      <c r="A523" s="24">
        <v>522.0</v>
      </c>
      <c r="B523" s="17" t="s">
        <v>222</v>
      </c>
      <c r="C523" s="18" t="s">
        <v>55</v>
      </c>
      <c r="D523" s="18" t="s">
        <v>8</v>
      </c>
      <c r="E523" s="9">
        <v>0.0</v>
      </c>
    </row>
    <row r="524">
      <c r="A524" s="24">
        <v>523.0</v>
      </c>
      <c r="B524" s="17" t="s">
        <v>551</v>
      </c>
      <c r="C524" s="18" t="s">
        <v>64</v>
      </c>
      <c r="D524" s="18" t="s">
        <v>13</v>
      </c>
      <c r="E524" s="9">
        <v>0.0</v>
      </c>
    </row>
    <row r="525">
      <c r="A525" s="24">
        <v>524.0</v>
      </c>
      <c r="B525" s="17" t="s">
        <v>274</v>
      </c>
      <c r="C525" s="18" t="s">
        <v>66</v>
      </c>
      <c r="D525" s="18" t="s">
        <v>77</v>
      </c>
      <c r="E525" s="9">
        <v>0.0</v>
      </c>
    </row>
    <row r="526">
      <c r="A526" s="24">
        <v>525.0</v>
      </c>
      <c r="B526" s="17" t="s">
        <v>542</v>
      </c>
      <c r="C526" s="18" t="s">
        <v>41</v>
      </c>
      <c r="D526" s="18" t="s">
        <v>13</v>
      </c>
      <c r="E526" s="9">
        <v>0.0</v>
      </c>
    </row>
    <row r="527">
      <c r="A527" s="24">
        <v>526.0</v>
      </c>
      <c r="B527" s="17" t="s">
        <v>210</v>
      </c>
      <c r="C527" s="18" t="s">
        <v>89</v>
      </c>
      <c r="D527" s="18" t="s">
        <v>8</v>
      </c>
      <c r="E527" s="9">
        <v>0.0</v>
      </c>
    </row>
    <row r="528">
      <c r="A528" s="24">
        <v>527.0</v>
      </c>
      <c r="B528" s="17" t="s">
        <v>600</v>
      </c>
      <c r="C528" s="18" t="s">
        <v>81</v>
      </c>
      <c r="D528" s="18" t="s">
        <v>13</v>
      </c>
      <c r="E528" s="9">
        <v>0.0</v>
      </c>
    </row>
    <row r="529">
      <c r="A529" s="24">
        <v>528.0</v>
      </c>
      <c r="B529" s="17" t="s">
        <v>572</v>
      </c>
      <c r="C529" s="18" t="s">
        <v>99</v>
      </c>
      <c r="D529" s="18" t="s">
        <v>13</v>
      </c>
      <c r="E529" s="9">
        <v>0.0</v>
      </c>
    </row>
    <row r="530">
      <c r="A530" s="24">
        <v>529.0</v>
      </c>
      <c r="B530" s="17" t="s">
        <v>215</v>
      </c>
      <c r="C530" s="18" t="s">
        <v>37</v>
      </c>
      <c r="D530" s="18" t="s">
        <v>8</v>
      </c>
      <c r="E530" s="9">
        <v>0.0</v>
      </c>
    </row>
    <row r="531">
      <c r="A531" s="24">
        <v>530.0</v>
      </c>
      <c r="B531" s="17" t="s">
        <v>633</v>
      </c>
      <c r="C531" s="18" t="s">
        <v>10</v>
      </c>
      <c r="D531" s="18" t="s">
        <v>13</v>
      </c>
      <c r="E531" s="9">
        <v>0.0</v>
      </c>
    </row>
    <row r="532">
      <c r="A532" s="24">
        <v>531.0</v>
      </c>
      <c r="B532" s="17" t="s">
        <v>634</v>
      </c>
      <c r="C532" s="18" t="s">
        <v>55</v>
      </c>
      <c r="D532" s="18" t="s">
        <v>13</v>
      </c>
      <c r="E532" s="9">
        <v>0.0</v>
      </c>
    </row>
    <row r="533">
      <c r="A533" s="24">
        <v>532.0</v>
      </c>
      <c r="B533" s="17" t="s">
        <v>608</v>
      </c>
      <c r="C533" s="18" t="s">
        <v>39</v>
      </c>
      <c r="D533" s="18" t="s">
        <v>13</v>
      </c>
      <c r="E533" s="9">
        <v>0.0</v>
      </c>
    </row>
    <row r="534">
      <c r="A534" s="24">
        <v>533.0</v>
      </c>
      <c r="B534" s="17" t="s">
        <v>567</v>
      </c>
      <c r="C534" s="18" t="s">
        <v>28</v>
      </c>
      <c r="D534" s="18" t="s">
        <v>13</v>
      </c>
      <c r="E534" s="9">
        <v>0.0</v>
      </c>
    </row>
    <row r="535">
      <c r="A535" s="24">
        <v>534.0</v>
      </c>
      <c r="B535" s="17" t="s">
        <v>628</v>
      </c>
      <c r="C535" s="18" t="s">
        <v>39</v>
      </c>
      <c r="D535" s="18" t="s">
        <v>13</v>
      </c>
      <c r="E535" s="9">
        <v>0.0</v>
      </c>
    </row>
    <row r="536">
      <c r="A536" s="24">
        <v>535.0</v>
      </c>
      <c r="B536" s="17" t="s">
        <v>550</v>
      </c>
      <c r="C536" s="18" t="s">
        <v>64</v>
      </c>
      <c r="D536" s="18" t="s">
        <v>13</v>
      </c>
      <c r="E536" s="9">
        <v>0.0</v>
      </c>
    </row>
    <row r="537">
      <c r="A537" s="24">
        <v>536.0</v>
      </c>
      <c r="B537" s="17" t="s">
        <v>618</v>
      </c>
      <c r="C537" s="18" t="s">
        <v>53</v>
      </c>
      <c r="D537" s="18" t="s">
        <v>13</v>
      </c>
      <c r="E537" s="9">
        <v>0.0</v>
      </c>
    </row>
    <row r="538">
      <c r="A538" s="24">
        <v>537.0</v>
      </c>
      <c r="B538" s="17" t="s">
        <v>549</v>
      </c>
      <c r="C538" s="18" t="s">
        <v>73</v>
      </c>
      <c r="D538" s="18" t="s">
        <v>13</v>
      </c>
      <c r="E538" s="9">
        <v>0.0</v>
      </c>
    </row>
    <row r="539">
      <c r="A539" s="24">
        <v>538.0</v>
      </c>
      <c r="B539" s="17" t="s">
        <v>993</v>
      </c>
      <c r="C539" s="18" t="s">
        <v>21</v>
      </c>
      <c r="D539" s="18" t="s">
        <v>13</v>
      </c>
      <c r="E539" s="9">
        <v>0.0</v>
      </c>
    </row>
    <row r="540">
      <c r="A540" s="24">
        <v>539.0</v>
      </c>
      <c r="B540" s="17" t="s">
        <v>589</v>
      </c>
      <c r="C540" s="18" t="s">
        <v>99</v>
      </c>
      <c r="D540" s="18" t="s">
        <v>13</v>
      </c>
      <c r="E540" s="9">
        <v>0.0</v>
      </c>
    </row>
    <row r="541">
      <c r="A541" s="24">
        <v>540.0</v>
      </c>
      <c r="B541" s="17" t="s">
        <v>574</v>
      </c>
      <c r="C541" s="18" t="s">
        <v>55</v>
      </c>
      <c r="D541" s="18" t="s">
        <v>13</v>
      </c>
      <c r="E541" s="9">
        <v>0.0</v>
      </c>
    </row>
    <row r="542">
      <c r="A542" s="24">
        <v>541.0</v>
      </c>
      <c r="B542" s="17" t="s">
        <v>223</v>
      </c>
      <c r="C542" s="18" t="s">
        <v>19</v>
      </c>
      <c r="D542" s="18" t="s">
        <v>8</v>
      </c>
      <c r="E542" s="9">
        <v>0.0</v>
      </c>
    </row>
    <row r="543">
      <c r="A543" s="24">
        <v>542.0</v>
      </c>
      <c r="B543" s="17" t="s">
        <v>588</v>
      </c>
      <c r="C543" s="18" t="s">
        <v>35</v>
      </c>
      <c r="D543" s="18" t="s">
        <v>13</v>
      </c>
      <c r="E543" s="9">
        <v>0.0</v>
      </c>
    </row>
    <row r="544">
      <c r="A544" s="24">
        <v>543.0</v>
      </c>
      <c r="B544" s="17" t="s">
        <v>576</v>
      </c>
      <c r="C544" s="18" t="s">
        <v>10</v>
      </c>
      <c r="D544" s="18" t="s">
        <v>13</v>
      </c>
      <c r="E544" s="9">
        <v>0.0</v>
      </c>
    </row>
    <row r="545">
      <c r="A545" s="24">
        <v>544.0</v>
      </c>
      <c r="B545" s="17" t="s">
        <v>598</v>
      </c>
      <c r="C545" s="18" t="s">
        <v>89</v>
      </c>
      <c r="D545" s="18" t="s">
        <v>13</v>
      </c>
      <c r="E545" s="9">
        <v>0.0</v>
      </c>
    </row>
    <row r="546">
      <c r="A546" s="24">
        <v>545.0</v>
      </c>
      <c r="B546" s="17" t="s">
        <v>604</v>
      </c>
      <c r="C546" s="18" t="s">
        <v>37</v>
      </c>
      <c r="D546" s="18" t="s">
        <v>13</v>
      </c>
      <c r="E546" s="9">
        <v>0.0</v>
      </c>
    </row>
    <row r="547">
      <c r="A547" s="24">
        <v>546.0</v>
      </c>
      <c r="B547" s="17" t="s">
        <v>584</v>
      </c>
      <c r="C547" s="18" t="s">
        <v>45</v>
      </c>
      <c r="D547" s="18" t="s">
        <v>13</v>
      </c>
      <c r="E547" s="9">
        <v>0.0</v>
      </c>
    </row>
    <row r="548">
      <c r="A548" s="24">
        <v>547.0</v>
      </c>
      <c r="B548" s="17" t="s">
        <v>590</v>
      </c>
      <c r="C548" s="18" t="s">
        <v>12</v>
      </c>
      <c r="D548" s="18" t="s">
        <v>13</v>
      </c>
      <c r="E548" s="9">
        <v>0.0</v>
      </c>
    </row>
    <row r="549">
      <c r="A549" s="24">
        <v>548.0</v>
      </c>
      <c r="B549" s="17" t="s">
        <v>654</v>
      </c>
      <c r="C549" s="18" t="s">
        <v>47</v>
      </c>
      <c r="D549" s="18" t="s">
        <v>13</v>
      </c>
      <c r="E549" s="9">
        <v>0.0</v>
      </c>
    </row>
    <row r="550">
      <c r="A550" s="24">
        <v>549.0</v>
      </c>
      <c r="B550" s="17" t="s">
        <v>227</v>
      </c>
      <c r="C550" s="18" t="s">
        <v>64</v>
      </c>
      <c r="D550" s="18" t="s">
        <v>8</v>
      </c>
      <c r="E550" s="9">
        <v>0.0</v>
      </c>
    </row>
    <row r="551">
      <c r="A551" s="24">
        <v>550.0</v>
      </c>
      <c r="B551" s="17" t="s">
        <v>209</v>
      </c>
      <c r="C551" s="18" t="s">
        <v>62</v>
      </c>
      <c r="D551" s="18" t="s">
        <v>8</v>
      </c>
      <c r="E551" s="9">
        <v>0.0</v>
      </c>
    </row>
    <row r="552">
      <c r="A552" s="24">
        <v>551.0</v>
      </c>
      <c r="B552" s="17" t="s">
        <v>616</v>
      </c>
      <c r="C552" s="18" t="s">
        <v>17</v>
      </c>
      <c r="D552" s="18" t="s">
        <v>13</v>
      </c>
      <c r="E552" s="9">
        <v>0.0</v>
      </c>
    </row>
    <row r="553">
      <c r="A553" s="24">
        <v>552.0</v>
      </c>
      <c r="B553" s="17" t="s">
        <v>546</v>
      </c>
      <c r="C553" s="18" t="s">
        <v>41</v>
      </c>
      <c r="D553" s="18" t="s">
        <v>13</v>
      </c>
      <c r="E553" s="9">
        <v>0.0</v>
      </c>
    </row>
    <row r="554">
      <c r="A554" s="24">
        <v>553.0</v>
      </c>
      <c r="B554" s="17" t="s">
        <v>994</v>
      </c>
      <c r="C554" s="18" t="s">
        <v>66</v>
      </c>
      <c r="D554" s="18" t="s">
        <v>13</v>
      </c>
      <c r="E554" s="9">
        <v>0.0</v>
      </c>
    </row>
    <row r="555">
      <c r="A555" s="24">
        <v>554.0</v>
      </c>
      <c r="B555" s="17" t="s">
        <v>558</v>
      </c>
      <c r="C555" s="18" t="s">
        <v>21</v>
      </c>
      <c r="D555" s="18" t="s">
        <v>13</v>
      </c>
      <c r="E555" s="9">
        <v>0.0</v>
      </c>
    </row>
    <row r="556">
      <c r="A556" s="24">
        <v>555.0</v>
      </c>
      <c r="B556" s="17" t="s">
        <v>631</v>
      </c>
      <c r="C556" s="18" t="s">
        <v>15</v>
      </c>
      <c r="D556" s="18" t="s">
        <v>13</v>
      </c>
      <c r="E556" s="9">
        <v>0.0</v>
      </c>
    </row>
    <row r="557">
      <c r="A557" s="24">
        <v>556.0</v>
      </c>
      <c r="B557" s="17" t="s">
        <v>847</v>
      </c>
      <c r="C557" s="18" t="s">
        <v>37</v>
      </c>
      <c r="D557" s="18" t="s">
        <v>13</v>
      </c>
      <c r="E557" s="9">
        <v>0.0</v>
      </c>
    </row>
    <row r="558">
      <c r="A558" s="24">
        <v>557.0</v>
      </c>
      <c r="B558" s="17" t="s">
        <v>619</v>
      </c>
      <c r="C558" s="18" t="s">
        <v>81</v>
      </c>
      <c r="D558" s="18" t="s">
        <v>13</v>
      </c>
      <c r="E558" s="9">
        <v>0.0</v>
      </c>
    </row>
    <row r="559">
      <c r="A559" s="24">
        <v>558.0</v>
      </c>
      <c r="B559" s="17" t="s">
        <v>591</v>
      </c>
      <c r="C559" s="18" t="s">
        <v>25</v>
      </c>
      <c r="D559" s="18" t="s">
        <v>13</v>
      </c>
      <c r="E559" s="9">
        <v>0.0</v>
      </c>
    </row>
    <row r="560">
      <c r="A560" s="24">
        <v>559.0</v>
      </c>
      <c r="B560" s="17" t="s">
        <v>652</v>
      </c>
      <c r="C560" s="18" t="s">
        <v>43</v>
      </c>
      <c r="D560" s="18" t="s">
        <v>13</v>
      </c>
      <c r="E560" s="9">
        <v>0.0</v>
      </c>
    </row>
    <row r="561">
      <c r="A561" s="24">
        <v>560.0</v>
      </c>
      <c r="B561" s="17" t="s">
        <v>288</v>
      </c>
      <c r="C561" s="18" t="s">
        <v>85</v>
      </c>
      <c r="D561" s="18" t="s">
        <v>77</v>
      </c>
      <c r="E561" s="9">
        <v>0.0</v>
      </c>
    </row>
    <row r="562">
      <c r="A562" s="24">
        <v>561.0</v>
      </c>
      <c r="B562" s="17" t="s">
        <v>615</v>
      </c>
      <c r="C562" s="18" t="s">
        <v>32</v>
      </c>
      <c r="D562" s="18" t="s">
        <v>13</v>
      </c>
      <c r="E562" s="9">
        <v>0.0</v>
      </c>
    </row>
    <row r="563">
      <c r="A563" s="24">
        <v>562.0</v>
      </c>
      <c r="B563" s="17" t="s">
        <v>632</v>
      </c>
      <c r="C563" s="18" t="s">
        <v>89</v>
      </c>
      <c r="D563" s="18" t="s">
        <v>13</v>
      </c>
      <c r="E563" s="9">
        <v>0.0</v>
      </c>
    </row>
    <row r="564">
      <c r="A564" s="24">
        <v>563.0</v>
      </c>
      <c r="B564" s="17" t="s">
        <v>597</v>
      </c>
      <c r="C564" s="18" t="s">
        <v>55</v>
      </c>
      <c r="D564" s="18" t="s">
        <v>13</v>
      </c>
      <c r="E564" s="9">
        <v>0.0</v>
      </c>
    </row>
    <row r="565">
      <c r="A565" s="24">
        <v>564.0</v>
      </c>
      <c r="B565" s="17" t="s">
        <v>635</v>
      </c>
      <c r="C565" s="18" t="s">
        <v>25</v>
      </c>
      <c r="D565" s="18" t="s">
        <v>13</v>
      </c>
      <c r="E565" s="9">
        <v>0.0</v>
      </c>
    </row>
    <row r="566">
      <c r="A566" s="24">
        <v>565.0</v>
      </c>
      <c r="B566" s="17" t="s">
        <v>552</v>
      </c>
      <c r="C566" s="18" t="s">
        <v>35</v>
      </c>
      <c r="D566" s="18" t="s">
        <v>13</v>
      </c>
      <c r="E566" s="9">
        <v>0.0</v>
      </c>
    </row>
    <row r="567">
      <c r="A567" s="24">
        <v>566.0</v>
      </c>
      <c r="B567" s="17" t="s">
        <v>232</v>
      </c>
      <c r="C567" s="18" t="s">
        <v>37</v>
      </c>
      <c r="D567" s="18" t="s">
        <v>8</v>
      </c>
      <c r="E567" s="9">
        <v>0.0</v>
      </c>
    </row>
    <row r="568">
      <c r="A568" s="24">
        <v>567.0</v>
      </c>
      <c r="B568" s="17" t="s">
        <v>578</v>
      </c>
      <c r="C568" s="18" t="s">
        <v>41</v>
      </c>
      <c r="D568" s="18" t="s">
        <v>13</v>
      </c>
      <c r="E568" s="9">
        <v>0.0</v>
      </c>
    </row>
    <row r="569">
      <c r="A569" s="24">
        <v>568.0</v>
      </c>
      <c r="B569" s="17" t="s">
        <v>640</v>
      </c>
      <c r="C569" s="18" t="s">
        <v>19</v>
      </c>
      <c r="D569" s="18" t="s">
        <v>13</v>
      </c>
      <c r="E569" s="9">
        <v>0.0</v>
      </c>
    </row>
    <row r="570">
      <c r="A570" s="24">
        <v>569.0</v>
      </c>
      <c r="B570" s="17" t="s">
        <v>225</v>
      </c>
      <c r="C570" s="18" t="s">
        <v>25</v>
      </c>
      <c r="D570" s="18" t="s">
        <v>8</v>
      </c>
      <c r="E570" s="9">
        <v>0.0</v>
      </c>
    </row>
    <row r="571">
      <c r="A571" s="24">
        <v>570.0</v>
      </c>
      <c r="B571" s="17" t="s">
        <v>627</v>
      </c>
      <c r="C571" s="18" t="s">
        <v>28</v>
      </c>
      <c r="D571" s="18" t="s">
        <v>13</v>
      </c>
      <c r="E571" s="9">
        <v>0.0</v>
      </c>
    </row>
    <row r="572">
      <c r="A572" s="24">
        <v>571.0</v>
      </c>
      <c r="B572" s="17" t="s">
        <v>565</v>
      </c>
      <c r="C572" s="18" t="s">
        <v>30</v>
      </c>
      <c r="D572" s="18" t="s">
        <v>13</v>
      </c>
      <c r="E572" s="9">
        <v>0.0</v>
      </c>
    </row>
    <row r="573">
      <c r="A573" s="24">
        <v>572.0</v>
      </c>
      <c r="B573" s="17" t="s">
        <v>620</v>
      </c>
      <c r="C573" s="18" t="s">
        <v>73</v>
      </c>
      <c r="D573" s="18" t="s">
        <v>13</v>
      </c>
      <c r="E573" s="9">
        <v>0.0</v>
      </c>
    </row>
    <row r="574">
      <c r="A574" s="24">
        <v>573.0</v>
      </c>
      <c r="B574" s="17" t="s">
        <v>644</v>
      </c>
      <c r="C574" s="18" t="s">
        <v>7</v>
      </c>
      <c r="D574" s="18" t="s">
        <v>13</v>
      </c>
      <c r="E574" s="9">
        <v>0.0</v>
      </c>
    </row>
    <row r="575">
      <c r="A575" s="24">
        <v>574.0</v>
      </c>
      <c r="B575" s="17" t="s">
        <v>623</v>
      </c>
      <c r="C575" s="18" t="s">
        <v>85</v>
      </c>
      <c r="D575" s="18" t="s">
        <v>13</v>
      </c>
      <c r="E575" s="9">
        <v>0.0</v>
      </c>
    </row>
    <row r="576">
      <c r="A576" s="24">
        <v>575.0</v>
      </c>
      <c r="B576" s="17" t="s">
        <v>602</v>
      </c>
      <c r="C576" s="18" t="s">
        <v>23</v>
      </c>
      <c r="D576" s="18" t="s">
        <v>13</v>
      </c>
      <c r="E576" s="9">
        <v>0.0</v>
      </c>
    </row>
    <row r="577">
      <c r="A577" s="24">
        <v>576.0</v>
      </c>
      <c r="B577" s="17" t="s">
        <v>657</v>
      </c>
      <c r="C577" s="18" t="s">
        <v>69</v>
      </c>
      <c r="D577" s="18" t="s">
        <v>13</v>
      </c>
      <c r="E577" s="9">
        <v>0.0</v>
      </c>
    </row>
    <row r="578">
      <c r="A578" s="24">
        <v>577.0</v>
      </c>
      <c r="B578" s="17" t="s">
        <v>687</v>
      </c>
      <c r="C578" s="18" t="s">
        <v>12</v>
      </c>
      <c r="D578" s="18" t="s">
        <v>13</v>
      </c>
      <c r="E578" s="9">
        <v>0.0</v>
      </c>
    </row>
    <row r="579">
      <c r="A579" s="24">
        <v>578.0</v>
      </c>
      <c r="B579" s="17" t="s">
        <v>681</v>
      </c>
      <c r="C579" s="18" t="s">
        <v>30</v>
      </c>
      <c r="D579" s="18" t="s">
        <v>13</v>
      </c>
      <c r="E579" s="9">
        <v>0.0</v>
      </c>
    </row>
    <row r="580">
      <c r="A580" s="24">
        <v>579.0</v>
      </c>
      <c r="B580" s="17" t="s">
        <v>621</v>
      </c>
      <c r="C580" s="18" t="s">
        <v>17</v>
      </c>
      <c r="D580" s="18" t="s">
        <v>13</v>
      </c>
      <c r="E580" s="9">
        <v>0.0</v>
      </c>
    </row>
    <row r="581">
      <c r="A581" s="24">
        <v>580.0</v>
      </c>
      <c r="B581" s="17" t="s">
        <v>630</v>
      </c>
      <c r="C581" s="18" t="s">
        <v>19</v>
      </c>
      <c r="D581" s="18" t="s">
        <v>13</v>
      </c>
      <c r="E581" s="9">
        <v>0.0</v>
      </c>
    </row>
    <row r="582">
      <c r="A582" s="24">
        <v>581.0</v>
      </c>
      <c r="B582" s="17" t="s">
        <v>226</v>
      </c>
      <c r="C582" s="18" t="s">
        <v>53</v>
      </c>
      <c r="D582" s="18" t="s">
        <v>8</v>
      </c>
      <c r="E582" s="9">
        <v>0.0</v>
      </c>
    </row>
    <row r="583">
      <c r="A583" s="24">
        <v>582.0</v>
      </c>
      <c r="B583" s="17" t="s">
        <v>662</v>
      </c>
      <c r="C583" s="18" t="s">
        <v>21</v>
      </c>
      <c r="D583" s="18" t="s">
        <v>13</v>
      </c>
      <c r="E583" s="9">
        <v>0.0</v>
      </c>
    </row>
    <row r="584">
      <c r="A584" s="24">
        <v>583.0</v>
      </c>
      <c r="B584" s="17" t="s">
        <v>648</v>
      </c>
      <c r="C584" s="18" t="s">
        <v>10</v>
      </c>
      <c r="D584" s="18" t="s">
        <v>13</v>
      </c>
      <c r="E584" s="9">
        <v>0.0</v>
      </c>
    </row>
    <row r="585">
      <c r="A585" s="24">
        <v>584.0</v>
      </c>
      <c r="B585" s="17" t="s">
        <v>586</v>
      </c>
      <c r="C585" s="18" t="s">
        <v>89</v>
      </c>
      <c r="D585" s="18" t="s">
        <v>13</v>
      </c>
      <c r="E585" s="9">
        <v>0.0</v>
      </c>
    </row>
    <row r="586">
      <c r="A586" s="24">
        <v>585.0</v>
      </c>
      <c r="B586" s="17" t="s">
        <v>286</v>
      </c>
      <c r="C586" s="18" t="s">
        <v>89</v>
      </c>
      <c r="D586" s="18" t="s">
        <v>77</v>
      </c>
      <c r="E586" s="9">
        <v>0.0</v>
      </c>
    </row>
    <row r="587">
      <c r="A587" s="24">
        <v>586.0</v>
      </c>
      <c r="B587" s="17" t="s">
        <v>650</v>
      </c>
      <c r="C587" s="18" t="s">
        <v>45</v>
      </c>
      <c r="D587" s="18" t="s">
        <v>13</v>
      </c>
      <c r="E587" s="9">
        <v>0.0</v>
      </c>
    </row>
    <row r="588">
      <c r="A588" s="24">
        <v>587.0</v>
      </c>
      <c r="B588" s="17" t="s">
        <v>625</v>
      </c>
      <c r="C588" s="18" t="s">
        <v>62</v>
      </c>
      <c r="D588" s="18" t="s">
        <v>13</v>
      </c>
      <c r="E588" s="9">
        <v>0.0</v>
      </c>
    </row>
    <row r="589">
      <c r="A589" s="24">
        <v>588.0</v>
      </c>
      <c r="B589" s="17" t="s">
        <v>370</v>
      </c>
      <c r="C589" s="18" t="s">
        <v>119</v>
      </c>
      <c r="D589" s="18" t="s">
        <v>13</v>
      </c>
      <c r="E589" s="9">
        <v>0.0</v>
      </c>
    </row>
    <row r="590">
      <c r="A590" s="24">
        <v>589.0</v>
      </c>
      <c r="B590" s="17" t="s">
        <v>596</v>
      </c>
      <c r="C590" s="18" t="s">
        <v>62</v>
      </c>
      <c r="D590" s="18" t="s">
        <v>13</v>
      </c>
      <c r="E590" s="9">
        <v>0.0</v>
      </c>
    </row>
    <row r="591">
      <c r="A591" s="24">
        <v>590.0</v>
      </c>
      <c r="B591" s="17" t="s">
        <v>607</v>
      </c>
      <c r="C591" s="18" t="s">
        <v>39</v>
      </c>
      <c r="D591" s="18" t="s">
        <v>13</v>
      </c>
      <c r="E591" s="9">
        <v>0.0</v>
      </c>
    </row>
    <row r="592">
      <c r="A592" s="24">
        <v>591.0</v>
      </c>
      <c r="B592" s="17" t="s">
        <v>995</v>
      </c>
      <c r="C592" s="18" t="s">
        <v>15</v>
      </c>
      <c r="D592" s="18" t="s">
        <v>13</v>
      </c>
      <c r="E592" s="9">
        <v>0.0</v>
      </c>
    </row>
    <row r="593">
      <c r="A593" s="24">
        <v>592.0</v>
      </c>
      <c r="B593" s="17" t="s">
        <v>641</v>
      </c>
      <c r="C593" s="18" t="s">
        <v>43</v>
      </c>
      <c r="D593" s="18" t="s">
        <v>13</v>
      </c>
      <c r="E593" s="9">
        <v>0.0</v>
      </c>
    </row>
    <row r="594">
      <c r="A594" s="24">
        <v>593.0</v>
      </c>
      <c r="B594" s="17" t="s">
        <v>996</v>
      </c>
      <c r="C594" s="18" t="s">
        <v>19</v>
      </c>
      <c r="D594" s="18" t="s">
        <v>13</v>
      </c>
      <c r="E594" s="9">
        <v>0.0</v>
      </c>
    </row>
    <row r="595">
      <c r="A595" s="24">
        <v>594.0</v>
      </c>
      <c r="B595" s="17" t="s">
        <v>595</v>
      </c>
      <c r="C595" s="18" t="s">
        <v>69</v>
      </c>
      <c r="D595" s="18" t="s">
        <v>13</v>
      </c>
      <c r="E595" s="9">
        <v>0.0</v>
      </c>
    </row>
    <row r="596">
      <c r="A596" s="24">
        <v>595.0</v>
      </c>
      <c r="B596" s="17" t="s">
        <v>224</v>
      </c>
      <c r="C596" s="18" t="s">
        <v>21</v>
      </c>
      <c r="D596" s="18" t="s">
        <v>8</v>
      </c>
      <c r="E596" s="9">
        <v>0.0</v>
      </c>
    </row>
    <row r="597">
      <c r="A597" s="24">
        <v>596.0</v>
      </c>
      <c r="B597" s="17" t="s">
        <v>609</v>
      </c>
      <c r="C597" s="18" t="s">
        <v>7</v>
      </c>
      <c r="D597" s="18" t="s">
        <v>13</v>
      </c>
      <c r="E597" s="9">
        <v>0.0</v>
      </c>
    </row>
    <row r="598">
      <c r="A598" s="24">
        <v>597.0</v>
      </c>
      <c r="B598" s="17" t="s">
        <v>655</v>
      </c>
      <c r="C598" s="18" t="s">
        <v>73</v>
      </c>
      <c r="D598" s="18" t="s">
        <v>13</v>
      </c>
      <c r="E598" s="9">
        <v>0.0</v>
      </c>
    </row>
    <row r="599">
      <c r="A599" s="24">
        <v>598.0</v>
      </c>
      <c r="B599" s="17" t="s">
        <v>629</v>
      </c>
      <c r="C599" s="18" t="s">
        <v>85</v>
      </c>
      <c r="D599" s="18" t="s">
        <v>13</v>
      </c>
      <c r="E599" s="9">
        <v>0.0</v>
      </c>
    </row>
    <row r="600">
      <c r="A600" s="24">
        <v>599.0</v>
      </c>
      <c r="B600" s="17" t="s">
        <v>682</v>
      </c>
      <c r="C600" s="18" t="s">
        <v>66</v>
      </c>
      <c r="D600" s="18" t="s">
        <v>13</v>
      </c>
      <c r="E600" s="9">
        <v>0.0</v>
      </c>
    </row>
    <row r="601">
      <c r="A601" s="24">
        <v>600.0</v>
      </c>
      <c r="B601" s="17" t="s">
        <v>997</v>
      </c>
      <c r="C601" s="18" t="s">
        <v>23</v>
      </c>
      <c r="D601" s="18" t="s">
        <v>13</v>
      </c>
      <c r="E601" s="9">
        <v>0.0</v>
      </c>
    </row>
    <row r="602">
      <c r="A602" s="24">
        <v>601.0</v>
      </c>
      <c r="B602" s="17" t="s">
        <v>637</v>
      </c>
      <c r="C602" s="18" t="s">
        <v>64</v>
      </c>
      <c r="D602" s="18" t="s">
        <v>13</v>
      </c>
      <c r="E602" s="9">
        <v>0.0</v>
      </c>
    </row>
    <row r="603">
      <c r="A603" s="24">
        <v>602.0</v>
      </c>
      <c r="B603" s="17" t="s">
        <v>998</v>
      </c>
      <c r="C603" s="18" t="s">
        <v>53</v>
      </c>
      <c r="D603" s="18" t="s">
        <v>13</v>
      </c>
      <c r="E603" s="9">
        <v>0.0</v>
      </c>
    </row>
    <row r="604">
      <c r="A604" s="24">
        <v>603.0</v>
      </c>
      <c r="B604" s="17" t="s">
        <v>678</v>
      </c>
      <c r="C604" s="18" t="s">
        <v>10</v>
      </c>
      <c r="D604" s="18" t="s">
        <v>13</v>
      </c>
      <c r="E604" s="9">
        <v>0.0</v>
      </c>
    </row>
    <row r="605">
      <c r="A605" s="24">
        <v>604.0</v>
      </c>
      <c r="B605" s="17" t="s">
        <v>679</v>
      </c>
      <c r="C605" s="18" t="s">
        <v>23</v>
      </c>
      <c r="D605" s="18" t="s">
        <v>13</v>
      </c>
      <c r="E605" s="9">
        <v>0.0</v>
      </c>
    </row>
    <row r="606">
      <c r="A606" s="24">
        <v>605.0</v>
      </c>
      <c r="B606" s="17" t="s">
        <v>671</v>
      </c>
      <c r="C606" s="18" t="s">
        <v>73</v>
      </c>
      <c r="D606" s="18" t="s">
        <v>13</v>
      </c>
      <c r="E606" s="9">
        <v>0.0</v>
      </c>
    </row>
    <row r="607">
      <c r="A607" s="24">
        <v>606.0</v>
      </c>
      <c r="B607" s="17" t="s">
        <v>228</v>
      </c>
      <c r="C607" s="18" t="s">
        <v>10</v>
      </c>
      <c r="D607" s="18" t="s">
        <v>8</v>
      </c>
      <c r="E607" s="9">
        <v>0.0</v>
      </c>
    </row>
    <row r="608">
      <c r="A608" s="24">
        <v>607.0</v>
      </c>
      <c r="B608" s="17" t="s">
        <v>585</v>
      </c>
      <c r="C608" s="18" t="s">
        <v>55</v>
      </c>
      <c r="D608" s="18" t="s">
        <v>13</v>
      </c>
      <c r="E608" s="9">
        <v>0.0</v>
      </c>
    </row>
    <row r="609">
      <c r="A609" s="24">
        <v>608.0</v>
      </c>
      <c r="B609" s="17" t="s">
        <v>999</v>
      </c>
      <c r="C609" s="18" t="s">
        <v>262</v>
      </c>
      <c r="D609" s="18" t="s">
        <v>13</v>
      </c>
      <c r="E609" s="9">
        <v>0.0</v>
      </c>
    </row>
    <row r="610">
      <c r="A610" s="24">
        <v>609.0</v>
      </c>
      <c r="B610" s="17" t="s">
        <v>1000</v>
      </c>
      <c r="C610" s="18" t="s">
        <v>262</v>
      </c>
      <c r="D610" s="18" t="s">
        <v>13</v>
      </c>
      <c r="E610" s="9">
        <v>0.0</v>
      </c>
    </row>
    <row r="611">
      <c r="A611" s="24">
        <v>610.0</v>
      </c>
      <c r="B611" s="17" t="s">
        <v>1001</v>
      </c>
      <c r="C611" s="18" t="s">
        <v>39</v>
      </c>
      <c r="D611" s="18" t="s">
        <v>13</v>
      </c>
      <c r="E611" s="9">
        <v>0.0</v>
      </c>
    </row>
    <row r="612">
      <c r="A612" s="24">
        <v>611.0</v>
      </c>
      <c r="B612" s="17" t="s">
        <v>622</v>
      </c>
      <c r="C612" s="18" t="s">
        <v>262</v>
      </c>
      <c r="D612" s="18" t="s">
        <v>13</v>
      </c>
      <c r="E612" s="9">
        <v>0.0</v>
      </c>
    </row>
    <row r="613">
      <c r="A613" s="24">
        <v>612.0</v>
      </c>
      <c r="B613" s="17" t="s">
        <v>676</v>
      </c>
      <c r="C613" s="18" t="s">
        <v>53</v>
      </c>
      <c r="D613" s="18" t="s">
        <v>13</v>
      </c>
      <c r="E613" s="9">
        <v>0.0</v>
      </c>
    </row>
    <row r="614">
      <c r="A614" s="24">
        <v>613.0</v>
      </c>
      <c r="B614" s="17" t="s">
        <v>1002</v>
      </c>
      <c r="C614" s="18" t="s">
        <v>262</v>
      </c>
      <c r="D614" s="18" t="s">
        <v>13</v>
      </c>
      <c r="E614" s="9">
        <v>0.0</v>
      </c>
    </row>
    <row r="615">
      <c r="A615" s="24">
        <v>614.0</v>
      </c>
      <c r="B615" s="17" t="s">
        <v>1003</v>
      </c>
      <c r="C615" s="18" t="s">
        <v>262</v>
      </c>
      <c r="D615" s="18" t="s">
        <v>13</v>
      </c>
      <c r="E615" s="9">
        <v>0.0</v>
      </c>
    </row>
    <row r="616">
      <c r="A616" s="24">
        <v>615.0</v>
      </c>
      <c r="B616" s="17" t="s">
        <v>612</v>
      </c>
      <c r="C616" s="18" t="s">
        <v>28</v>
      </c>
      <c r="D616" s="18" t="s">
        <v>13</v>
      </c>
      <c r="E616" s="9">
        <v>0.0</v>
      </c>
    </row>
    <row r="617">
      <c r="A617" s="24">
        <v>616.0</v>
      </c>
      <c r="B617" s="17" t="s">
        <v>1004</v>
      </c>
      <c r="C617" s="18" t="s">
        <v>262</v>
      </c>
      <c r="D617" s="18" t="s">
        <v>13</v>
      </c>
      <c r="E617" s="9">
        <v>0.0</v>
      </c>
    </row>
    <row r="618">
      <c r="A618" s="24">
        <v>617.0</v>
      </c>
      <c r="B618" s="17" t="s">
        <v>1005</v>
      </c>
      <c r="C618" s="18" t="s">
        <v>262</v>
      </c>
      <c r="D618" s="18" t="s">
        <v>13</v>
      </c>
      <c r="E618" s="9">
        <v>0.0</v>
      </c>
    </row>
    <row r="619">
      <c r="A619" s="24">
        <v>618.0</v>
      </c>
      <c r="B619" s="17" t="s">
        <v>1006</v>
      </c>
      <c r="C619" s="18" t="s">
        <v>262</v>
      </c>
      <c r="D619" s="18" t="s">
        <v>13</v>
      </c>
      <c r="E619" s="9">
        <v>0.0</v>
      </c>
    </row>
    <row r="620">
      <c r="A620" s="24">
        <v>619.0</v>
      </c>
      <c r="B620" s="17" t="s">
        <v>1007</v>
      </c>
      <c r="C620" s="18" t="s">
        <v>262</v>
      </c>
      <c r="D620" s="18" t="s">
        <v>13</v>
      </c>
      <c r="E620" s="9">
        <v>0.0</v>
      </c>
    </row>
    <row r="621">
      <c r="A621" s="24">
        <v>620.0</v>
      </c>
      <c r="B621" s="17" t="s">
        <v>1008</v>
      </c>
      <c r="C621" s="18" t="s">
        <v>262</v>
      </c>
      <c r="D621" s="18" t="s">
        <v>13</v>
      </c>
      <c r="E621" s="9">
        <v>0.0</v>
      </c>
    </row>
    <row r="622">
      <c r="A622" s="24">
        <v>621.0</v>
      </c>
      <c r="B622" s="17" t="s">
        <v>1009</v>
      </c>
      <c r="C622" s="18" t="s">
        <v>41</v>
      </c>
      <c r="D622" s="18" t="s">
        <v>13</v>
      </c>
      <c r="E622" s="9">
        <v>0.0</v>
      </c>
    </row>
    <row r="623">
      <c r="A623" s="24">
        <v>622.0</v>
      </c>
      <c r="B623" s="17" t="s">
        <v>1010</v>
      </c>
      <c r="C623" s="18" t="s">
        <v>262</v>
      </c>
      <c r="D623" s="18" t="s">
        <v>13</v>
      </c>
      <c r="E623" s="9">
        <v>0.0</v>
      </c>
    </row>
    <row r="624">
      <c r="A624" s="24">
        <v>623.0</v>
      </c>
      <c r="B624" s="17" t="s">
        <v>845</v>
      </c>
      <c r="C624" s="18" t="s">
        <v>23</v>
      </c>
      <c r="D624" s="18" t="s">
        <v>13</v>
      </c>
      <c r="E624" s="9">
        <v>0.0</v>
      </c>
    </row>
    <row r="625">
      <c r="A625" s="24">
        <v>624.0</v>
      </c>
      <c r="B625" s="17" t="s">
        <v>1011</v>
      </c>
      <c r="C625" s="18" t="s">
        <v>262</v>
      </c>
      <c r="D625" s="18" t="s">
        <v>13</v>
      </c>
      <c r="E625" s="9">
        <v>0.0</v>
      </c>
    </row>
    <row r="626">
      <c r="A626" s="24">
        <v>625.0</v>
      </c>
      <c r="B626" s="17" t="s">
        <v>1012</v>
      </c>
      <c r="C626" s="18" t="s">
        <v>81</v>
      </c>
      <c r="D626" s="18" t="s">
        <v>13</v>
      </c>
      <c r="E626" s="9">
        <v>0.0</v>
      </c>
    </row>
    <row r="627">
      <c r="A627" s="24">
        <v>626.0</v>
      </c>
      <c r="B627" s="17" t="s">
        <v>695</v>
      </c>
      <c r="C627" s="18" t="s">
        <v>262</v>
      </c>
      <c r="D627" s="18" t="s">
        <v>13</v>
      </c>
      <c r="E627" s="9">
        <v>0.0</v>
      </c>
    </row>
    <row r="628">
      <c r="A628" s="24">
        <v>627.0</v>
      </c>
      <c r="B628" s="17" t="s">
        <v>1013</v>
      </c>
      <c r="C628" s="18" t="s">
        <v>10</v>
      </c>
      <c r="D628" s="18" t="s">
        <v>13</v>
      </c>
      <c r="E628" s="9">
        <v>0.0</v>
      </c>
    </row>
    <row r="629">
      <c r="A629" s="24">
        <v>628.0</v>
      </c>
      <c r="B629" s="17" t="s">
        <v>1014</v>
      </c>
      <c r="C629" s="18" t="s">
        <v>99</v>
      </c>
      <c r="D629" s="18" t="s">
        <v>13</v>
      </c>
      <c r="E629" s="9">
        <v>0.0</v>
      </c>
    </row>
    <row r="630">
      <c r="A630" s="24">
        <v>629.0</v>
      </c>
      <c r="B630" s="17" t="s">
        <v>848</v>
      </c>
      <c r="C630" s="18" t="s">
        <v>62</v>
      </c>
      <c r="D630" s="18" t="s">
        <v>13</v>
      </c>
      <c r="E630" s="9">
        <v>0.0</v>
      </c>
    </row>
    <row r="631">
      <c r="A631" s="24">
        <v>630.0</v>
      </c>
      <c r="B631" s="17" t="s">
        <v>1015</v>
      </c>
      <c r="C631" s="18" t="s">
        <v>53</v>
      </c>
      <c r="D631" s="18" t="s">
        <v>13</v>
      </c>
      <c r="E631" s="9">
        <v>0.0</v>
      </c>
    </row>
    <row r="632">
      <c r="A632" s="24">
        <v>631.0</v>
      </c>
      <c r="B632" s="17" t="s">
        <v>649</v>
      </c>
      <c r="C632" s="18" t="s">
        <v>28</v>
      </c>
      <c r="D632" s="18" t="s">
        <v>13</v>
      </c>
      <c r="E632" s="9">
        <v>0.0</v>
      </c>
    </row>
    <row r="633">
      <c r="A633" s="24">
        <v>632.0</v>
      </c>
      <c r="B633" s="17" t="s">
        <v>603</v>
      </c>
      <c r="C633" s="18" t="s">
        <v>62</v>
      </c>
      <c r="D633" s="18" t="s">
        <v>13</v>
      </c>
      <c r="E633" s="9">
        <v>0.0</v>
      </c>
    </row>
    <row r="634">
      <c r="A634" s="24">
        <v>633.0</v>
      </c>
      <c r="B634" s="17" t="s">
        <v>1016</v>
      </c>
      <c r="C634" s="18" t="s">
        <v>262</v>
      </c>
      <c r="D634" s="18" t="s">
        <v>13</v>
      </c>
      <c r="E634" s="9">
        <v>0.0</v>
      </c>
    </row>
    <row r="635">
      <c r="A635" s="24">
        <v>634.0</v>
      </c>
      <c r="B635" s="17" t="s">
        <v>663</v>
      </c>
      <c r="C635" s="18" t="s">
        <v>55</v>
      </c>
      <c r="D635" s="18" t="s">
        <v>13</v>
      </c>
      <c r="E635" s="9">
        <v>0.0</v>
      </c>
    </row>
    <row r="636">
      <c r="A636" s="24">
        <v>635.0</v>
      </c>
      <c r="B636" s="17" t="s">
        <v>1017</v>
      </c>
      <c r="C636" s="18" t="s">
        <v>262</v>
      </c>
      <c r="D636" s="18" t="s">
        <v>13</v>
      </c>
      <c r="E636" s="9">
        <v>0.0</v>
      </c>
    </row>
    <row r="637">
      <c r="A637" s="24">
        <v>636.0</v>
      </c>
      <c r="B637" s="17" t="s">
        <v>1018</v>
      </c>
      <c r="C637" s="18" t="s">
        <v>53</v>
      </c>
      <c r="D637" s="18" t="s">
        <v>13</v>
      </c>
      <c r="E637" s="9">
        <v>0.0</v>
      </c>
    </row>
    <row r="638">
      <c r="A638" s="24">
        <v>637.0</v>
      </c>
      <c r="B638" s="17" t="s">
        <v>677</v>
      </c>
      <c r="C638" s="18" t="s">
        <v>89</v>
      </c>
      <c r="D638" s="18" t="s">
        <v>13</v>
      </c>
      <c r="E638" s="9">
        <v>0.0</v>
      </c>
    </row>
    <row r="639">
      <c r="A639" s="24">
        <v>638.0</v>
      </c>
      <c r="B639" s="17" t="s">
        <v>1019</v>
      </c>
      <c r="C639" s="18" t="s">
        <v>43</v>
      </c>
      <c r="D639" s="18" t="s">
        <v>13</v>
      </c>
      <c r="E639" s="9">
        <v>0.0</v>
      </c>
    </row>
    <row r="640">
      <c r="A640" s="24">
        <v>639.0</v>
      </c>
      <c r="B640" s="17" t="s">
        <v>1020</v>
      </c>
      <c r="C640" s="18" t="s">
        <v>262</v>
      </c>
      <c r="D640" s="18" t="s">
        <v>13</v>
      </c>
      <c r="E640" s="9">
        <v>0.0</v>
      </c>
    </row>
    <row r="641">
      <c r="A641" s="24">
        <v>640.0</v>
      </c>
      <c r="B641" s="17" t="s">
        <v>1021</v>
      </c>
      <c r="C641" s="18" t="s">
        <v>262</v>
      </c>
      <c r="D641" s="18" t="s">
        <v>13</v>
      </c>
      <c r="E641" s="9">
        <v>0.0</v>
      </c>
    </row>
    <row r="642">
      <c r="A642" s="24">
        <v>641.0</v>
      </c>
      <c r="B642" s="17" t="s">
        <v>1022</v>
      </c>
      <c r="C642" s="18" t="s">
        <v>21</v>
      </c>
      <c r="D642" s="18" t="s">
        <v>13</v>
      </c>
      <c r="E642" s="9">
        <v>0.0</v>
      </c>
    </row>
    <row r="643">
      <c r="A643" s="24">
        <v>642.0</v>
      </c>
      <c r="B643" s="17" t="s">
        <v>1023</v>
      </c>
      <c r="C643" s="18" t="s">
        <v>262</v>
      </c>
      <c r="D643" s="18" t="s">
        <v>13</v>
      </c>
      <c r="E643" s="9">
        <v>0.0</v>
      </c>
    </row>
    <row r="644">
      <c r="A644" s="24">
        <v>643.0</v>
      </c>
      <c r="B644" s="17" t="s">
        <v>691</v>
      </c>
      <c r="C644" s="18" t="s">
        <v>30</v>
      </c>
      <c r="D644" s="18" t="s">
        <v>13</v>
      </c>
      <c r="E644" s="9">
        <v>0.0</v>
      </c>
    </row>
    <row r="645">
      <c r="A645" s="24">
        <v>644.0</v>
      </c>
      <c r="B645" s="17" t="s">
        <v>1024</v>
      </c>
      <c r="C645" s="18" t="s">
        <v>262</v>
      </c>
      <c r="D645" s="18" t="s">
        <v>13</v>
      </c>
      <c r="E645" s="9">
        <v>0.0</v>
      </c>
    </row>
    <row r="646">
      <c r="A646" s="24">
        <v>645.0</v>
      </c>
      <c r="B646" s="17" t="s">
        <v>1025</v>
      </c>
      <c r="C646" s="18" t="s">
        <v>262</v>
      </c>
      <c r="D646" s="18" t="s">
        <v>13</v>
      </c>
      <c r="E646" s="9">
        <v>0.0</v>
      </c>
    </row>
    <row r="647">
      <c r="A647" s="24">
        <v>646.0</v>
      </c>
      <c r="B647" s="17" t="s">
        <v>1026</v>
      </c>
      <c r="C647" s="18" t="s">
        <v>81</v>
      </c>
      <c r="D647" s="18" t="s">
        <v>13</v>
      </c>
      <c r="E647" s="9">
        <v>0.0</v>
      </c>
    </row>
    <row r="648">
      <c r="A648" s="24">
        <v>647.0</v>
      </c>
      <c r="B648" s="17" t="s">
        <v>1027</v>
      </c>
      <c r="C648" s="18" t="s">
        <v>53</v>
      </c>
      <c r="D648" s="18" t="s">
        <v>13</v>
      </c>
      <c r="E648" s="9">
        <v>0.0</v>
      </c>
    </row>
    <row r="649">
      <c r="A649" s="24">
        <v>648.0</v>
      </c>
      <c r="B649" s="17" t="s">
        <v>1028</v>
      </c>
      <c r="C649" s="18" t="s">
        <v>39</v>
      </c>
      <c r="D649" s="18" t="s">
        <v>13</v>
      </c>
      <c r="E649" s="9">
        <v>0.0</v>
      </c>
    </row>
    <row r="650">
      <c r="A650" s="24">
        <v>649.0</v>
      </c>
      <c r="B650" s="17" t="s">
        <v>1029</v>
      </c>
      <c r="C650" s="18" t="s">
        <v>262</v>
      </c>
      <c r="D650" s="18" t="s">
        <v>13</v>
      </c>
      <c r="E650" s="9">
        <v>0.0</v>
      </c>
    </row>
    <row r="651">
      <c r="A651" s="24">
        <v>650.0</v>
      </c>
      <c r="B651" s="17" t="s">
        <v>540</v>
      </c>
      <c r="C651" s="18" t="s">
        <v>262</v>
      </c>
      <c r="D651" s="18" t="s">
        <v>13</v>
      </c>
      <c r="E651" s="9">
        <v>0.0</v>
      </c>
    </row>
    <row r="652">
      <c r="A652" s="24">
        <v>651.0</v>
      </c>
      <c r="B652" s="17" t="s">
        <v>1030</v>
      </c>
      <c r="C652" s="18" t="s">
        <v>262</v>
      </c>
      <c r="D652" s="18" t="s">
        <v>13</v>
      </c>
      <c r="E652" s="9">
        <v>0.0</v>
      </c>
    </row>
    <row r="653">
      <c r="A653" s="24">
        <v>652.0</v>
      </c>
      <c r="B653" s="17" t="s">
        <v>1031</v>
      </c>
      <c r="C653" s="18" t="s">
        <v>262</v>
      </c>
      <c r="D653" s="18" t="s">
        <v>13</v>
      </c>
      <c r="E653" s="9">
        <v>0.0</v>
      </c>
    </row>
    <row r="654">
      <c r="A654" s="24">
        <v>653.0</v>
      </c>
      <c r="B654" s="17" t="s">
        <v>1032</v>
      </c>
      <c r="C654" s="18" t="s">
        <v>262</v>
      </c>
      <c r="D654" s="18" t="s">
        <v>13</v>
      </c>
      <c r="E654" s="9">
        <v>0.0</v>
      </c>
    </row>
    <row r="655">
      <c r="A655" s="24">
        <v>654.0</v>
      </c>
      <c r="B655" s="17" t="s">
        <v>1033</v>
      </c>
      <c r="C655" s="18" t="s">
        <v>119</v>
      </c>
      <c r="D655" s="18" t="s">
        <v>13</v>
      </c>
      <c r="E655" s="9">
        <v>0.0</v>
      </c>
    </row>
    <row r="656">
      <c r="A656" s="24">
        <v>655.0</v>
      </c>
      <c r="B656" s="17" t="s">
        <v>553</v>
      </c>
      <c r="C656" s="18" t="s">
        <v>262</v>
      </c>
      <c r="D656" s="18" t="s">
        <v>13</v>
      </c>
      <c r="E656" s="9">
        <v>0.0</v>
      </c>
    </row>
    <row r="657">
      <c r="A657" s="24">
        <v>656.0</v>
      </c>
      <c r="B657" s="17" t="s">
        <v>579</v>
      </c>
      <c r="C657" s="18" t="s">
        <v>262</v>
      </c>
      <c r="D657" s="18" t="s">
        <v>13</v>
      </c>
      <c r="E657" s="9">
        <v>0.0</v>
      </c>
    </row>
    <row r="658">
      <c r="A658" s="24">
        <v>657.0</v>
      </c>
      <c r="B658" s="17" t="s">
        <v>252</v>
      </c>
      <c r="C658" s="18" t="s">
        <v>262</v>
      </c>
      <c r="D658" s="18" t="s">
        <v>13</v>
      </c>
      <c r="E658" s="9">
        <v>0.0</v>
      </c>
    </row>
    <row r="659">
      <c r="A659" s="24">
        <v>658.0</v>
      </c>
      <c r="B659" s="17" t="s">
        <v>1034</v>
      </c>
      <c r="C659" s="18" t="s">
        <v>119</v>
      </c>
      <c r="D659" s="18" t="s">
        <v>13</v>
      </c>
      <c r="E659" s="9">
        <v>0.0</v>
      </c>
    </row>
    <row r="660">
      <c r="A660" s="24">
        <v>659.0</v>
      </c>
      <c r="B660" s="17" t="s">
        <v>626</v>
      </c>
      <c r="C660" s="18" t="s">
        <v>262</v>
      </c>
      <c r="D660" s="18" t="s">
        <v>13</v>
      </c>
      <c r="E660" s="9">
        <v>0.0</v>
      </c>
    </row>
    <row r="661">
      <c r="A661" s="24">
        <v>660.0</v>
      </c>
      <c r="B661" s="17" t="s">
        <v>1035</v>
      </c>
      <c r="C661" s="18" t="s">
        <v>262</v>
      </c>
      <c r="D661" s="18" t="s">
        <v>13</v>
      </c>
      <c r="E661" s="9">
        <v>0.0</v>
      </c>
    </row>
    <row r="662">
      <c r="A662" s="24">
        <v>661.0</v>
      </c>
      <c r="B662" s="17" t="s">
        <v>1036</v>
      </c>
      <c r="C662" s="18" t="s">
        <v>262</v>
      </c>
      <c r="D662" s="18" t="s">
        <v>13</v>
      </c>
      <c r="E662" s="9">
        <v>0.0</v>
      </c>
    </row>
    <row r="663">
      <c r="A663" s="24">
        <v>662.0</v>
      </c>
      <c r="B663" s="17" t="s">
        <v>1037</v>
      </c>
      <c r="C663" s="18" t="s">
        <v>262</v>
      </c>
      <c r="D663" s="18" t="s">
        <v>13</v>
      </c>
      <c r="E663" s="9">
        <v>0.0</v>
      </c>
    </row>
    <row r="664">
      <c r="A664" s="24">
        <v>663.0</v>
      </c>
      <c r="B664" s="17" t="s">
        <v>1038</v>
      </c>
      <c r="C664" s="18" t="s">
        <v>30</v>
      </c>
      <c r="D664" s="18" t="s">
        <v>13</v>
      </c>
      <c r="E664" s="9">
        <v>0.0</v>
      </c>
    </row>
    <row r="665">
      <c r="A665" s="24">
        <v>664.0</v>
      </c>
      <c r="B665" s="17" t="s">
        <v>554</v>
      </c>
      <c r="C665" s="18" t="s">
        <v>262</v>
      </c>
      <c r="D665" s="18" t="s">
        <v>13</v>
      </c>
      <c r="E665" s="9">
        <v>0.0</v>
      </c>
    </row>
    <row r="666">
      <c r="A666" s="24">
        <v>665.0</v>
      </c>
      <c r="B666" s="17" t="s">
        <v>1039</v>
      </c>
      <c r="C666" s="18" t="s">
        <v>262</v>
      </c>
      <c r="D666" s="18" t="s">
        <v>13</v>
      </c>
      <c r="E666" s="9">
        <v>0.0</v>
      </c>
    </row>
    <row r="667">
      <c r="A667" s="24">
        <v>666.0</v>
      </c>
      <c r="B667" s="17" t="s">
        <v>1040</v>
      </c>
      <c r="C667" s="18" t="s">
        <v>262</v>
      </c>
      <c r="D667" s="18" t="s">
        <v>13</v>
      </c>
      <c r="E667" s="9">
        <v>0.0</v>
      </c>
    </row>
    <row r="668">
      <c r="A668" s="24">
        <v>667.0</v>
      </c>
      <c r="B668" s="17" t="s">
        <v>1041</v>
      </c>
      <c r="C668" s="18" t="s">
        <v>41</v>
      </c>
      <c r="D668" s="18" t="s">
        <v>13</v>
      </c>
      <c r="E668" s="9">
        <v>0.0</v>
      </c>
    </row>
    <row r="669">
      <c r="A669" s="24">
        <v>668.0</v>
      </c>
      <c r="B669" s="17" t="s">
        <v>1042</v>
      </c>
      <c r="C669" s="18" t="s">
        <v>262</v>
      </c>
      <c r="D669" s="18" t="s">
        <v>13</v>
      </c>
      <c r="E669" s="9">
        <v>0.0</v>
      </c>
    </row>
    <row r="670">
      <c r="A670" s="24">
        <v>669.0</v>
      </c>
      <c r="B670" s="17" t="s">
        <v>1043</v>
      </c>
      <c r="C670" s="18" t="s">
        <v>262</v>
      </c>
      <c r="D670" s="18" t="s">
        <v>13</v>
      </c>
      <c r="E670" s="9">
        <v>0.0</v>
      </c>
    </row>
    <row r="671">
      <c r="A671" s="24">
        <v>670.0</v>
      </c>
      <c r="B671" s="17" t="s">
        <v>556</v>
      </c>
      <c r="C671" s="18" t="s">
        <v>262</v>
      </c>
      <c r="D671" s="18" t="s">
        <v>13</v>
      </c>
      <c r="E671" s="9">
        <v>0.0</v>
      </c>
    </row>
    <row r="672">
      <c r="A672" s="24">
        <v>671.0</v>
      </c>
      <c r="B672" s="17" t="s">
        <v>1044</v>
      </c>
      <c r="C672" s="18" t="s">
        <v>99</v>
      </c>
      <c r="D672" s="18" t="s">
        <v>13</v>
      </c>
      <c r="E672" s="9">
        <v>0.0</v>
      </c>
    </row>
    <row r="673">
      <c r="A673" s="24">
        <v>672.0</v>
      </c>
      <c r="B673" s="17" t="s">
        <v>587</v>
      </c>
      <c r="C673" s="18" t="s">
        <v>262</v>
      </c>
      <c r="D673" s="18" t="s">
        <v>13</v>
      </c>
      <c r="E673" s="9">
        <v>0.0</v>
      </c>
    </row>
    <row r="674">
      <c r="A674" s="24">
        <v>673.0</v>
      </c>
      <c r="B674" s="17" t="s">
        <v>1045</v>
      </c>
      <c r="C674" s="18" t="s">
        <v>73</v>
      </c>
      <c r="D674" s="18" t="s">
        <v>13</v>
      </c>
      <c r="E674" s="9">
        <v>0.0</v>
      </c>
    </row>
    <row r="675">
      <c r="A675" s="24">
        <v>674.0</v>
      </c>
      <c r="B675" s="17" t="s">
        <v>1046</v>
      </c>
      <c r="C675" s="18" t="s">
        <v>10</v>
      </c>
      <c r="D675" s="18" t="s">
        <v>13</v>
      </c>
      <c r="E675" s="9">
        <v>0.0</v>
      </c>
    </row>
    <row r="676">
      <c r="A676" s="24">
        <v>675.0</v>
      </c>
      <c r="B676" s="17" t="s">
        <v>1047</v>
      </c>
      <c r="C676" s="18" t="s">
        <v>262</v>
      </c>
      <c r="D676" s="18" t="s">
        <v>13</v>
      </c>
      <c r="E676" s="9">
        <v>0.0</v>
      </c>
    </row>
    <row r="677">
      <c r="A677" s="24">
        <v>676.0</v>
      </c>
      <c r="B677" s="17" t="s">
        <v>1048</v>
      </c>
      <c r="C677" s="18" t="s">
        <v>262</v>
      </c>
      <c r="D677" s="18" t="s">
        <v>13</v>
      </c>
      <c r="E677" s="9">
        <v>0.0</v>
      </c>
    </row>
    <row r="678">
      <c r="A678" s="24">
        <v>677.0</v>
      </c>
      <c r="B678" s="17" t="s">
        <v>1049</v>
      </c>
      <c r="C678" s="18" t="s">
        <v>262</v>
      </c>
      <c r="D678" s="18" t="s">
        <v>13</v>
      </c>
      <c r="E678" s="9">
        <v>0.0</v>
      </c>
    </row>
    <row r="679">
      <c r="A679" s="24">
        <v>678.0</v>
      </c>
      <c r="B679" s="17" t="s">
        <v>1050</v>
      </c>
      <c r="C679" s="18" t="s">
        <v>37</v>
      </c>
      <c r="D679" s="18" t="s">
        <v>13</v>
      </c>
      <c r="E679" s="9">
        <v>0.0</v>
      </c>
    </row>
    <row r="680">
      <c r="A680" s="24">
        <v>679.0</v>
      </c>
      <c r="B680" s="17" t="s">
        <v>1051</v>
      </c>
      <c r="C680" s="18" t="s">
        <v>262</v>
      </c>
      <c r="D680" s="18" t="s">
        <v>13</v>
      </c>
      <c r="E680" s="9">
        <v>0.0</v>
      </c>
    </row>
    <row r="681">
      <c r="A681" s="24">
        <v>680.0</v>
      </c>
      <c r="B681" s="17" t="s">
        <v>261</v>
      </c>
      <c r="C681" s="18" t="s">
        <v>262</v>
      </c>
      <c r="D681" s="18" t="s">
        <v>13</v>
      </c>
      <c r="E681" s="9">
        <v>0.0</v>
      </c>
    </row>
    <row r="682">
      <c r="A682" s="24">
        <v>681.0</v>
      </c>
      <c r="B682" s="17" t="s">
        <v>1052</v>
      </c>
      <c r="C682" s="18" t="s">
        <v>262</v>
      </c>
      <c r="D682" s="18" t="s">
        <v>13</v>
      </c>
      <c r="E682" s="9">
        <v>0.0</v>
      </c>
    </row>
    <row r="683">
      <c r="A683" s="24">
        <v>682.0</v>
      </c>
      <c r="B683" s="17" t="s">
        <v>610</v>
      </c>
      <c r="C683" s="18" t="s">
        <v>17</v>
      </c>
      <c r="D683" s="18" t="s">
        <v>13</v>
      </c>
      <c r="E683" s="9">
        <v>0.0</v>
      </c>
    </row>
    <row r="684">
      <c r="A684" s="24">
        <v>683.0</v>
      </c>
      <c r="B684" s="17" t="s">
        <v>1053</v>
      </c>
      <c r="C684" s="18" t="s">
        <v>262</v>
      </c>
      <c r="D684" s="18" t="s">
        <v>13</v>
      </c>
      <c r="E684" s="9">
        <v>0.0</v>
      </c>
    </row>
    <row r="685">
      <c r="A685" s="24">
        <v>684.0</v>
      </c>
      <c r="B685" s="17" t="s">
        <v>1054</v>
      </c>
      <c r="C685" s="18" t="s">
        <v>262</v>
      </c>
      <c r="D685" s="18" t="s">
        <v>13</v>
      </c>
      <c r="E685" s="9">
        <v>0.0</v>
      </c>
    </row>
    <row r="686">
      <c r="A686" s="24">
        <v>685.0</v>
      </c>
      <c r="B686" s="17" t="s">
        <v>1055</v>
      </c>
      <c r="C686" s="18" t="s">
        <v>262</v>
      </c>
      <c r="D686" s="18" t="s">
        <v>13</v>
      </c>
      <c r="E686" s="9">
        <v>0.0</v>
      </c>
    </row>
    <row r="687">
      <c r="A687" s="24">
        <v>686.0</v>
      </c>
      <c r="B687" s="17" t="s">
        <v>1056</v>
      </c>
      <c r="C687" s="18" t="s">
        <v>262</v>
      </c>
      <c r="D687" s="18" t="s">
        <v>13</v>
      </c>
      <c r="E687" s="9">
        <v>0.0</v>
      </c>
    </row>
    <row r="688">
      <c r="A688" s="24">
        <v>687.0</v>
      </c>
      <c r="B688" s="17" t="s">
        <v>656</v>
      </c>
      <c r="C688" s="18" t="s">
        <v>45</v>
      </c>
      <c r="D688" s="18" t="s">
        <v>13</v>
      </c>
      <c r="E688" s="9">
        <v>0.0</v>
      </c>
    </row>
    <row r="689">
      <c r="A689" s="24">
        <v>688.0</v>
      </c>
      <c r="B689" s="17" t="s">
        <v>1057</v>
      </c>
      <c r="C689" s="18" t="s">
        <v>262</v>
      </c>
      <c r="D689" s="18" t="s">
        <v>13</v>
      </c>
      <c r="E689" s="9">
        <v>0.0</v>
      </c>
    </row>
    <row r="690">
      <c r="A690" s="24">
        <v>689.0</v>
      </c>
      <c r="B690" s="17" t="s">
        <v>1058</v>
      </c>
      <c r="C690" s="18" t="s">
        <v>262</v>
      </c>
      <c r="D690" s="18" t="s">
        <v>13</v>
      </c>
      <c r="E690" s="9">
        <v>0.0</v>
      </c>
    </row>
    <row r="691">
      <c r="A691" s="24">
        <v>690.0</v>
      </c>
      <c r="B691" s="17" t="s">
        <v>696</v>
      </c>
      <c r="C691" s="18" t="s">
        <v>85</v>
      </c>
      <c r="D691" s="18" t="s">
        <v>13</v>
      </c>
      <c r="E691" s="9">
        <v>0.0</v>
      </c>
    </row>
    <row r="692">
      <c r="A692" s="24">
        <v>691.0</v>
      </c>
      <c r="B692" s="17" t="s">
        <v>614</v>
      </c>
      <c r="C692" s="18" t="s">
        <v>55</v>
      </c>
      <c r="D692" s="18" t="s">
        <v>13</v>
      </c>
      <c r="E692" s="9">
        <v>0.0</v>
      </c>
    </row>
    <row r="693">
      <c r="A693" s="24">
        <v>692.0</v>
      </c>
      <c r="B693" s="17" t="s">
        <v>673</v>
      </c>
      <c r="C693" s="18" t="s">
        <v>35</v>
      </c>
      <c r="D693" s="18" t="s">
        <v>13</v>
      </c>
      <c r="E693" s="9">
        <v>0.0</v>
      </c>
    </row>
    <row r="694">
      <c r="A694" s="24">
        <v>693.0</v>
      </c>
      <c r="B694" s="17" t="s">
        <v>1059</v>
      </c>
      <c r="C694" s="18" t="s">
        <v>262</v>
      </c>
      <c r="D694" s="18" t="s">
        <v>13</v>
      </c>
      <c r="E694" s="9">
        <v>0.0</v>
      </c>
    </row>
    <row r="695">
      <c r="A695" s="24">
        <v>694.0</v>
      </c>
      <c r="B695" s="17" t="s">
        <v>690</v>
      </c>
      <c r="C695" s="18" t="s">
        <v>28</v>
      </c>
      <c r="D695" s="18" t="s">
        <v>13</v>
      </c>
      <c r="E695" s="9">
        <v>0.0</v>
      </c>
    </row>
    <row r="696">
      <c r="A696" s="24">
        <v>695.0</v>
      </c>
      <c r="B696" s="17" t="s">
        <v>1060</v>
      </c>
      <c r="C696" s="18" t="s">
        <v>262</v>
      </c>
      <c r="D696" s="18" t="s">
        <v>13</v>
      </c>
      <c r="E696" s="9">
        <v>0.0</v>
      </c>
    </row>
    <row r="697">
      <c r="A697" s="24">
        <v>696.0</v>
      </c>
      <c r="B697" s="17" t="s">
        <v>624</v>
      </c>
      <c r="C697" s="18" t="s">
        <v>43</v>
      </c>
      <c r="D697" s="18" t="s">
        <v>13</v>
      </c>
      <c r="E697" s="9">
        <v>0.0</v>
      </c>
    </row>
    <row r="698">
      <c r="A698" s="24">
        <v>697.0</v>
      </c>
      <c r="B698" s="17" t="s">
        <v>668</v>
      </c>
      <c r="C698" s="18" t="s">
        <v>89</v>
      </c>
      <c r="D698" s="18" t="s">
        <v>13</v>
      </c>
      <c r="E698" s="9">
        <v>0.0</v>
      </c>
    </row>
    <row r="699">
      <c r="A699" s="24">
        <v>698.0</v>
      </c>
      <c r="B699" s="17" t="s">
        <v>1061</v>
      </c>
      <c r="C699" s="18" t="s">
        <v>64</v>
      </c>
      <c r="D699" s="18" t="s">
        <v>13</v>
      </c>
      <c r="E699" s="9">
        <v>0.0</v>
      </c>
    </row>
    <row r="700">
      <c r="A700" s="24">
        <v>699.0</v>
      </c>
      <c r="B700" s="17" t="s">
        <v>1062</v>
      </c>
      <c r="C700" s="18" t="s">
        <v>37</v>
      </c>
      <c r="D700" s="18" t="s">
        <v>13</v>
      </c>
      <c r="E700" s="9">
        <v>0.0</v>
      </c>
    </row>
    <row r="701">
      <c r="A701" s="24">
        <v>700.0</v>
      </c>
      <c r="B701" s="17" t="s">
        <v>1063</v>
      </c>
      <c r="C701" s="18" t="s">
        <v>262</v>
      </c>
      <c r="D701" s="18" t="s">
        <v>13</v>
      </c>
      <c r="E701" s="9">
        <v>0.0</v>
      </c>
    </row>
    <row r="702">
      <c r="A702" s="24">
        <v>701.0</v>
      </c>
      <c r="B702" s="17" t="s">
        <v>694</v>
      </c>
      <c r="C702" s="18" t="s">
        <v>53</v>
      </c>
      <c r="D702" s="18" t="s">
        <v>13</v>
      </c>
      <c r="E702" s="9">
        <v>0.0</v>
      </c>
    </row>
    <row r="703">
      <c r="A703" s="24">
        <v>702.0</v>
      </c>
      <c r="B703" s="17" t="s">
        <v>593</v>
      </c>
      <c r="C703" s="18" t="s">
        <v>37</v>
      </c>
      <c r="D703" s="18" t="s">
        <v>13</v>
      </c>
      <c r="E703" s="9">
        <v>0.0</v>
      </c>
    </row>
    <row r="704">
      <c r="A704" s="24">
        <v>703.0</v>
      </c>
      <c r="B704" s="17" t="s">
        <v>1064</v>
      </c>
      <c r="C704" s="18" t="s">
        <v>41</v>
      </c>
      <c r="D704" s="18" t="s">
        <v>13</v>
      </c>
      <c r="E704" s="9">
        <v>0.0</v>
      </c>
    </row>
    <row r="705">
      <c r="A705" s="24">
        <v>704.0</v>
      </c>
      <c r="B705" s="17" t="s">
        <v>1065</v>
      </c>
      <c r="C705" s="18" t="s">
        <v>262</v>
      </c>
      <c r="D705" s="18" t="s">
        <v>13</v>
      </c>
      <c r="E705" s="9">
        <v>0.0</v>
      </c>
    </row>
    <row r="706">
      <c r="A706" s="24">
        <v>705.0</v>
      </c>
      <c r="B706" s="17" t="s">
        <v>1066</v>
      </c>
      <c r="C706" s="18" t="s">
        <v>262</v>
      </c>
      <c r="D706" s="18" t="s">
        <v>13</v>
      </c>
      <c r="E706" s="9">
        <v>0.0</v>
      </c>
    </row>
    <row r="707">
      <c r="A707" s="24">
        <v>706.0</v>
      </c>
      <c r="B707" s="17" t="s">
        <v>1067</v>
      </c>
      <c r="C707" s="18" t="s">
        <v>262</v>
      </c>
      <c r="D707" s="18" t="s">
        <v>13</v>
      </c>
      <c r="E707" s="9">
        <v>0.0</v>
      </c>
    </row>
    <row r="708">
      <c r="A708" s="24">
        <v>707.0</v>
      </c>
      <c r="B708" s="17" t="s">
        <v>1068</v>
      </c>
      <c r="C708" s="18" t="s">
        <v>12</v>
      </c>
      <c r="D708" s="18" t="s">
        <v>13</v>
      </c>
      <c r="E708" s="9">
        <v>0.0</v>
      </c>
    </row>
    <row r="709">
      <c r="A709" s="24">
        <v>708.0</v>
      </c>
      <c r="B709" s="17" t="s">
        <v>660</v>
      </c>
      <c r="C709" s="18" t="s">
        <v>119</v>
      </c>
      <c r="D709" s="18" t="s">
        <v>13</v>
      </c>
      <c r="E709" s="9">
        <v>0.0</v>
      </c>
    </row>
    <row r="710">
      <c r="A710" s="24">
        <v>709.0</v>
      </c>
      <c r="B710" s="17" t="s">
        <v>1069</v>
      </c>
      <c r="C710" s="18" t="s">
        <v>64</v>
      </c>
      <c r="D710" s="18" t="s">
        <v>13</v>
      </c>
      <c r="E710" s="9">
        <v>0.0</v>
      </c>
    </row>
    <row r="711">
      <c r="A711" s="24">
        <v>710.0</v>
      </c>
      <c r="B711" s="17" t="s">
        <v>1070</v>
      </c>
      <c r="C711" s="18" t="s">
        <v>262</v>
      </c>
      <c r="D711" s="18" t="s">
        <v>13</v>
      </c>
      <c r="E711" s="9">
        <v>0.0</v>
      </c>
    </row>
    <row r="712">
      <c r="A712" s="24">
        <v>711.0</v>
      </c>
      <c r="B712" s="17" t="s">
        <v>658</v>
      </c>
      <c r="C712" s="18" t="s">
        <v>66</v>
      </c>
      <c r="D712" s="18" t="s">
        <v>13</v>
      </c>
      <c r="E712" s="9">
        <v>0.0</v>
      </c>
    </row>
    <row r="713">
      <c r="A713" s="24">
        <v>712.0</v>
      </c>
      <c r="B713" s="17" t="s">
        <v>1071</v>
      </c>
      <c r="C713" s="18" t="s">
        <v>43</v>
      </c>
      <c r="D713" s="18" t="s">
        <v>13</v>
      </c>
      <c r="E713" s="9">
        <v>0.0</v>
      </c>
    </row>
    <row r="714">
      <c r="A714" s="24">
        <v>713.0</v>
      </c>
      <c r="B714" s="17" t="s">
        <v>1072</v>
      </c>
      <c r="C714" s="18" t="s">
        <v>85</v>
      </c>
      <c r="D714" s="18" t="s">
        <v>13</v>
      </c>
      <c r="E714" s="9">
        <v>0.0</v>
      </c>
    </row>
    <row r="715">
      <c r="A715" s="24">
        <v>714.0</v>
      </c>
      <c r="B715" s="17" t="s">
        <v>1073</v>
      </c>
      <c r="C715" s="18" t="s">
        <v>15</v>
      </c>
      <c r="D715" s="18" t="s">
        <v>13</v>
      </c>
      <c r="E715" s="9">
        <v>0.0</v>
      </c>
    </row>
    <row r="716">
      <c r="A716" s="24">
        <v>715.0</v>
      </c>
      <c r="B716" s="17" t="s">
        <v>1074</v>
      </c>
      <c r="C716" s="18" t="s">
        <v>81</v>
      </c>
      <c r="D716" s="18" t="s">
        <v>13</v>
      </c>
      <c r="E716" s="9">
        <v>0.0</v>
      </c>
    </row>
    <row r="717">
      <c r="A717" s="24">
        <v>716.0</v>
      </c>
      <c r="B717" s="17" t="s">
        <v>646</v>
      </c>
      <c r="C717" s="18" t="s">
        <v>47</v>
      </c>
      <c r="D717" s="18" t="s">
        <v>13</v>
      </c>
      <c r="E717" s="9">
        <v>0.0</v>
      </c>
    </row>
    <row r="718">
      <c r="A718" s="24">
        <v>717.0</v>
      </c>
      <c r="B718" s="17" t="s">
        <v>1075</v>
      </c>
      <c r="C718" s="18" t="s">
        <v>17</v>
      </c>
      <c r="D718" s="18" t="s">
        <v>13</v>
      </c>
      <c r="E718" s="9">
        <v>0.0</v>
      </c>
    </row>
    <row r="719">
      <c r="A719" s="24">
        <v>718.0</v>
      </c>
      <c r="B719" s="17" t="s">
        <v>1076</v>
      </c>
      <c r="C719" s="18" t="s">
        <v>89</v>
      </c>
      <c r="D719" s="18" t="s">
        <v>13</v>
      </c>
      <c r="E719" s="9">
        <v>0.0</v>
      </c>
    </row>
    <row r="720">
      <c r="A720" s="24">
        <v>719.0</v>
      </c>
      <c r="B720" s="17" t="s">
        <v>1077</v>
      </c>
      <c r="C720" s="18" t="s">
        <v>85</v>
      </c>
      <c r="D720" s="18" t="s">
        <v>13</v>
      </c>
      <c r="E720" s="9">
        <v>0.0</v>
      </c>
    </row>
    <row r="721">
      <c r="A721" s="24">
        <v>720.0</v>
      </c>
      <c r="B721" s="17" t="s">
        <v>1078</v>
      </c>
      <c r="C721" s="18" t="s">
        <v>262</v>
      </c>
      <c r="D721" s="18" t="s">
        <v>13</v>
      </c>
      <c r="E721" s="9">
        <v>0.0</v>
      </c>
    </row>
    <row r="722">
      <c r="A722" s="24">
        <v>721.0</v>
      </c>
      <c r="B722" s="17" t="s">
        <v>1079</v>
      </c>
      <c r="C722" s="18" t="s">
        <v>19</v>
      </c>
      <c r="D722" s="18" t="s">
        <v>13</v>
      </c>
      <c r="E722" s="9">
        <v>0.0</v>
      </c>
    </row>
    <row r="723">
      <c r="A723" s="24">
        <v>722.0</v>
      </c>
      <c r="B723" s="17" t="s">
        <v>1080</v>
      </c>
      <c r="C723" s="18" t="s">
        <v>262</v>
      </c>
      <c r="D723" s="18" t="s">
        <v>13</v>
      </c>
      <c r="E723" s="9">
        <v>0.0</v>
      </c>
    </row>
    <row r="724">
      <c r="A724" s="24">
        <v>723.0</v>
      </c>
      <c r="B724" s="17" t="s">
        <v>1081</v>
      </c>
      <c r="C724" s="18" t="s">
        <v>262</v>
      </c>
      <c r="D724" s="18" t="s">
        <v>13</v>
      </c>
      <c r="E724" s="9">
        <v>0.0</v>
      </c>
    </row>
    <row r="725">
      <c r="A725" s="24">
        <v>724.0</v>
      </c>
      <c r="B725" s="17" t="s">
        <v>1082</v>
      </c>
      <c r="C725" s="18" t="s">
        <v>262</v>
      </c>
      <c r="D725" s="18" t="s">
        <v>13</v>
      </c>
      <c r="E725" s="9">
        <v>0.0</v>
      </c>
    </row>
    <row r="726">
      <c r="A726" s="24">
        <v>725.0</v>
      </c>
      <c r="B726" s="17" t="s">
        <v>1083</v>
      </c>
      <c r="C726" s="18" t="s">
        <v>64</v>
      </c>
      <c r="D726" s="18" t="s">
        <v>13</v>
      </c>
      <c r="E726" s="9">
        <v>0.0</v>
      </c>
    </row>
    <row r="727">
      <c r="A727" s="24">
        <v>726.0</v>
      </c>
      <c r="B727" s="17" t="s">
        <v>1084</v>
      </c>
      <c r="C727" s="18" t="s">
        <v>262</v>
      </c>
      <c r="D727" s="18" t="s">
        <v>13</v>
      </c>
      <c r="E727" s="9">
        <v>0.0</v>
      </c>
    </row>
    <row r="728">
      <c r="A728" s="24">
        <v>727.0</v>
      </c>
      <c r="B728" s="17" t="s">
        <v>613</v>
      </c>
      <c r="C728" s="18" t="s">
        <v>7</v>
      </c>
      <c r="D728" s="18" t="s">
        <v>13</v>
      </c>
      <c r="E728" s="9">
        <v>0.0</v>
      </c>
    </row>
    <row r="729">
      <c r="A729" s="24">
        <v>728.0</v>
      </c>
      <c r="B729" s="17" t="s">
        <v>1085</v>
      </c>
      <c r="C729" s="18" t="s">
        <v>262</v>
      </c>
      <c r="D729" s="18" t="s">
        <v>13</v>
      </c>
      <c r="E729" s="9">
        <v>0.0</v>
      </c>
    </row>
    <row r="730">
      <c r="A730" s="24">
        <v>729.0</v>
      </c>
      <c r="B730" s="17" t="s">
        <v>1086</v>
      </c>
      <c r="C730" s="18" t="s">
        <v>262</v>
      </c>
      <c r="D730" s="18" t="s">
        <v>13</v>
      </c>
      <c r="E730" s="9">
        <v>0.0</v>
      </c>
    </row>
    <row r="731">
      <c r="A731" s="24">
        <v>730.0</v>
      </c>
      <c r="B731" s="17" t="s">
        <v>1087</v>
      </c>
      <c r="C731" s="18" t="s">
        <v>262</v>
      </c>
      <c r="D731" s="18" t="s">
        <v>13</v>
      </c>
      <c r="E731" s="9">
        <v>0.0</v>
      </c>
    </row>
    <row r="732">
      <c r="A732" s="24">
        <v>731.0</v>
      </c>
      <c r="B732" s="17" t="s">
        <v>1088</v>
      </c>
      <c r="C732" s="18" t="s">
        <v>53</v>
      </c>
      <c r="D732" s="18" t="s">
        <v>13</v>
      </c>
      <c r="E732" s="9">
        <v>0.0</v>
      </c>
    </row>
    <row r="733">
      <c r="A733" s="24">
        <v>732.0</v>
      </c>
      <c r="B733" s="17" t="s">
        <v>1089</v>
      </c>
      <c r="C733" s="18" t="s">
        <v>73</v>
      </c>
      <c r="D733" s="18" t="s">
        <v>13</v>
      </c>
      <c r="E733" s="9">
        <v>0.0</v>
      </c>
    </row>
    <row r="734">
      <c r="A734" s="24">
        <v>733.0</v>
      </c>
      <c r="B734" s="17" t="s">
        <v>1090</v>
      </c>
      <c r="C734" s="18" t="s">
        <v>23</v>
      </c>
      <c r="D734" s="18" t="s">
        <v>13</v>
      </c>
      <c r="E734" s="9">
        <v>0.0</v>
      </c>
    </row>
    <row r="735">
      <c r="A735" s="24">
        <v>734.0</v>
      </c>
      <c r="B735" s="17" t="s">
        <v>661</v>
      </c>
      <c r="C735" s="18" t="s">
        <v>66</v>
      </c>
      <c r="D735" s="18" t="s">
        <v>13</v>
      </c>
      <c r="E735" s="9">
        <v>0.0</v>
      </c>
    </row>
    <row r="736">
      <c r="A736" s="24">
        <v>735.0</v>
      </c>
      <c r="B736" s="17" t="s">
        <v>653</v>
      </c>
      <c r="C736" s="18" t="s">
        <v>85</v>
      </c>
      <c r="D736" s="18" t="s">
        <v>13</v>
      </c>
      <c r="E736" s="9">
        <v>0.0</v>
      </c>
    </row>
    <row r="737">
      <c r="A737" s="24">
        <v>736.0</v>
      </c>
      <c r="B737" s="17" t="s">
        <v>1091</v>
      </c>
      <c r="C737" s="18" t="s">
        <v>62</v>
      </c>
      <c r="D737" s="18" t="s">
        <v>13</v>
      </c>
      <c r="E737" s="9">
        <v>0.0</v>
      </c>
    </row>
    <row r="738">
      <c r="A738" s="24">
        <v>737.0</v>
      </c>
      <c r="B738" s="17" t="s">
        <v>1092</v>
      </c>
      <c r="C738" s="18" t="s">
        <v>119</v>
      </c>
      <c r="D738" s="18" t="s">
        <v>13</v>
      </c>
      <c r="E738" s="9">
        <v>0.0</v>
      </c>
    </row>
    <row r="739">
      <c r="A739" s="24">
        <v>738.0</v>
      </c>
      <c r="B739" s="17" t="s">
        <v>1093</v>
      </c>
      <c r="C739" s="18" t="s">
        <v>28</v>
      </c>
      <c r="D739" s="18" t="s">
        <v>13</v>
      </c>
      <c r="E739" s="9">
        <v>0.0</v>
      </c>
    </row>
    <row r="740">
      <c r="A740" s="24">
        <v>739.0</v>
      </c>
      <c r="B740" s="17" t="s">
        <v>1094</v>
      </c>
      <c r="C740" s="18" t="s">
        <v>10</v>
      </c>
      <c r="D740" s="18" t="s">
        <v>13</v>
      </c>
      <c r="E740" s="9">
        <v>0.0</v>
      </c>
    </row>
    <row r="741">
      <c r="A741" s="24">
        <v>740.0</v>
      </c>
      <c r="B741" s="17" t="s">
        <v>1095</v>
      </c>
      <c r="C741" s="18" t="s">
        <v>12</v>
      </c>
      <c r="D741" s="18" t="s">
        <v>13</v>
      </c>
      <c r="E741" s="9">
        <v>0.0</v>
      </c>
    </row>
    <row r="742">
      <c r="A742" s="24">
        <v>741.0</v>
      </c>
      <c r="B742" s="17" t="s">
        <v>639</v>
      </c>
      <c r="C742" s="18" t="s">
        <v>62</v>
      </c>
      <c r="D742" s="18" t="s">
        <v>13</v>
      </c>
      <c r="E742" s="9">
        <v>0.0</v>
      </c>
    </row>
    <row r="743">
      <c r="A743" s="24">
        <v>742.0</v>
      </c>
      <c r="B743" s="17" t="s">
        <v>599</v>
      </c>
      <c r="C743" s="18" t="s">
        <v>21</v>
      </c>
      <c r="D743" s="18" t="s">
        <v>13</v>
      </c>
      <c r="E743" s="9">
        <v>0.0</v>
      </c>
    </row>
    <row r="744">
      <c r="A744" s="24">
        <v>743.0</v>
      </c>
      <c r="B744" s="17" t="s">
        <v>1096</v>
      </c>
      <c r="C744" s="18" t="s">
        <v>15</v>
      </c>
      <c r="D744" s="18" t="s">
        <v>13</v>
      </c>
      <c r="E744" s="9">
        <v>0.0</v>
      </c>
    </row>
    <row r="745">
      <c r="A745" s="24">
        <v>744.0</v>
      </c>
      <c r="B745" s="17" t="s">
        <v>1097</v>
      </c>
      <c r="C745" s="18" t="s">
        <v>25</v>
      </c>
      <c r="D745" s="18" t="s">
        <v>13</v>
      </c>
      <c r="E745" s="9">
        <v>0.0</v>
      </c>
    </row>
    <row r="746">
      <c r="A746" s="24">
        <v>745.0</v>
      </c>
      <c r="B746" s="17" t="s">
        <v>693</v>
      </c>
      <c r="C746" s="18" t="s">
        <v>73</v>
      </c>
      <c r="D746" s="18" t="s">
        <v>13</v>
      </c>
      <c r="E746" s="9">
        <v>0.0</v>
      </c>
    </row>
    <row r="747">
      <c r="A747" s="24">
        <v>746.0</v>
      </c>
      <c r="B747" s="17" t="s">
        <v>1098</v>
      </c>
      <c r="C747" s="18" t="s">
        <v>85</v>
      </c>
      <c r="D747" s="18" t="s">
        <v>13</v>
      </c>
      <c r="E747" s="9">
        <v>0.0</v>
      </c>
    </row>
    <row r="748">
      <c r="A748" s="24">
        <v>747.0</v>
      </c>
      <c r="B748" s="17" t="s">
        <v>638</v>
      </c>
      <c r="C748" s="18" t="s">
        <v>119</v>
      </c>
      <c r="D748" s="18" t="s">
        <v>13</v>
      </c>
      <c r="E748" s="9">
        <v>0.0</v>
      </c>
    </row>
    <row r="749">
      <c r="A749" s="24">
        <v>748.0</v>
      </c>
      <c r="B749" s="17" t="s">
        <v>1099</v>
      </c>
      <c r="C749" s="18" t="s">
        <v>262</v>
      </c>
      <c r="D749" s="18" t="s">
        <v>13</v>
      </c>
      <c r="E749" s="9">
        <v>0.0</v>
      </c>
    </row>
    <row r="750">
      <c r="A750" s="24">
        <v>749.0</v>
      </c>
      <c r="B750" s="17" t="s">
        <v>1100</v>
      </c>
      <c r="C750" s="18" t="s">
        <v>25</v>
      </c>
      <c r="D750" s="18" t="s">
        <v>13</v>
      </c>
      <c r="E750" s="9">
        <v>0.0</v>
      </c>
    </row>
    <row r="751">
      <c r="A751" s="24">
        <v>750.0</v>
      </c>
      <c r="B751" s="17" t="s">
        <v>643</v>
      </c>
      <c r="C751" s="18" t="s">
        <v>45</v>
      </c>
      <c r="D751" s="18" t="s">
        <v>13</v>
      </c>
      <c r="E751" s="9">
        <v>0.0</v>
      </c>
    </row>
    <row r="752">
      <c r="A752" s="24">
        <v>751.0</v>
      </c>
      <c r="B752" s="17" t="s">
        <v>689</v>
      </c>
      <c r="C752" s="18" t="s">
        <v>81</v>
      </c>
      <c r="D752" s="18" t="s">
        <v>13</v>
      </c>
      <c r="E752" s="9">
        <v>0.0</v>
      </c>
    </row>
    <row r="753">
      <c r="A753" s="24">
        <v>752.0</v>
      </c>
      <c r="B753" s="17" t="s">
        <v>688</v>
      </c>
      <c r="C753" s="18" t="s">
        <v>15</v>
      </c>
      <c r="D753" s="18" t="s">
        <v>13</v>
      </c>
      <c r="E753" s="9">
        <v>0.0</v>
      </c>
    </row>
    <row r="754">
      <c r="A754" s="24">
        <v>753.0</v>
      </c>
      <c r="B754" s="17" t="s">
        <v>1101</v>
      </c>
      <c r="C754" s="18" t="s">
        <v>47</v>
      </c>
      <c r="D754" s="18" t="s">
        <v>13</v>
      </c>
      <c r="E754" s="9">
        <v>0.0</v>
      </c>
    </row>
    <row r="755">
      <c r="A755" s="24">
        <v>754.0</v>
      </c>
      <c r="B755" s="17" t="s">
        <v>1102</v>
      </c>
      <c r="C755" s="18" t="s">
        <v>89</v>
      </c>
      <c r="D755" s="18" t="s">
        <v>13</v>
      </c>
      <c r="E755" s="9">
        <v>0.0</v>
      </c>
    </row>
    <row r="756">
      <c r="A756" s="24">
        <v>755.0</v>
      </c>
      <c r="B756" s="17" t="s">
        <v>1103</v>
      </c>
      <c r="C756" s="18" t="s">
        <v>262</v>
      </c>
      <c r="D756" s="18" t="s">
        <v>13</v>
      </c>
      <c r="E756" s="9">
        <v>0.0</v>
      </c>
    </row>
    <row r="757">
      <c r="A757" s="24">
        <v>756.0</v>
      </c>
      <c r="B757" s="17" t="s">
        <v>1104</v>
      </c>
      <c r="C757" s="18" t="s">
        <v>262</v>
      </c>
      <c r="D757" s="18" t="s">
        <v>13</v>
      </c>
      <c r="E757" s="9">
        <v>0.0</v>
      </c>
    </row>
    <row r="758">
      <c r="A758" s="24">
        <v>757.0</v>
      </c>
      <c r="B758" s="17" t="s">
        <v>1105</v>
      </c>
      <c r="C758" s="18" t="s">
        <v>41</v>
      </c>
      <c r="D758" s="18" t="s">
        <v>13</v>
      </c>
      <c r="E758" s="9">
        <v>0.0</v>
      </c>
    </row>
    <row r="759">
      <c r="A759" s="24">
        <v>758.0</v>
      </c>
      <c r="B759" s="17" t="s">
        <v>1106</v>
      </c>
      <c r="C759" s="18" t="s">
        <v>21</v>
      </c>
      <c r="D759" s="18" t="s">
        <v>13</v>
      </c>
      <c r="E759" s="9">
        <v>0.0</v>
      </c>
    </row>
    <row r="760">
      <c r="A760" s="24">
        <v>759.0</v>
      </c>
      <c r="B760" s="17" t="s">
        <v>617</v>
      </c>
      <c r="C760" s="18" t="s">
        <v>55</v>
      </c>
      <c r="D760" s="18" t="s">
        <v>13</v>
      </c>
      <c r="E760" s="9">
        <v>0.0</v>
      </c>
    </row>
    <row r="761">
      <c r="A761" s="24">
        <v>760.0</v>
      </c>
      <c r="B761" s="17" t="s">
        <v>1107</v>
      </c>
      <c r="C761" s="18" t="s">
        <v>262</v>
      </c>
      <c r="D761" s="18" t="s">
        <v>13</v>
      </c>
      <c r="E761" s="9">
        <v>0.0</v>
      </c>
    </row>
    <row r="762">
      <c r="A762" s="24">
        <v>761.0</v>
      </c>
      <c r="B762" s="17" t="s">
        <v>1108</v>
      </c>
      <c r="C762" s="18" t="s">
        <v>262</v>
      </c>
      <c r="D762" s="18" t="s">
        <v>13</v>
      </c>
      <c r="E762" s="9">
        <v>0.0</v>
      </c>
    </row>
    <row r="763">
      <c r="A763" s="24">
        <v>762.0</v>
      </c>
      <c r="B763" s="17" t="s">
        <v>1109</v>
      </c>
      <c r="C763" s="18" t="s">
        <v>262</v>
      </c>
      <c r="D763" s="18" t="s">
        <v>13</v>
      </c>
      <c r="E763" s="9">
        <v>0.0</v>
      </c>
    </row>
    <row r="764">
      <c r="A764" s="24">
        <v>763.0</v>
      </c>
      <c r="B764" s="17" t="s">
        <v>1110</v>
      </c>
      <c r="C764" s="18" t="s">
        <v>262</v>
      </c>
      <c r="D764" s="18" t="s">
        <v>13</v>
      </c>
      <c r="E764" s="9">
        <v>0.0</v>
      </c>
    </row>
    <row r="765">
      <c r="A765" s="24">
        <v>764.0</v>
      </c>
      <c r="B765" s="17" t="s">
        <v>1111</v>
      </c>
      <c r="C765" s="18" t="s">
        <v>119</v>
      </c>
      <c r="D765" s="18" t="s">
        <v>13</v>
      </c>
      <c r="E765" s="9">
        <v>0.0</v>
      </c>
    </row>
    <row r="766">
      <c r="A766" s="24">
        <v>765.0</v>
      </c>
      <c r="B766" s="17" t="s">
        <v>1112</v>
      </c>
      <c r="C766" s="18" t="s">
        <v>17</v>
      </c>
      <c r="D766" s="18" t="s">
        <v>13</v>
      </c>
      <c r="E766" s="9">
        <v>0.0</v>
      </c>
    </row>
    <row r="767">
      <c r="A767" s="24">
        <v>766.0</v>
      </c>
      <c r="B767" s="17" t="s">
        <v>1113</v>
      </c>
      <c r="C767" s="18" t="s">
        <v>262</v>
      </c>
      <c r="D767" s="18" t="s">
        <v>13</v>
      </c>
      <c r="E767" s="9">
        <v>0.0</v>
      </c>
    </row>
    <row r="768">
      <c r="A768" s="24">
        <v>767.0</v>
      </c>
      <c r="B768" s="17" t="s">
        <v>1114</v>
      </c>
      <c r="C768" s="18" t="s">
        <v>32</v>
      </c>
      <c r="D768" s="18" t="s">
        <v>13</v>
      </c>
      <c r="E768" s="9">
        <v>0.0</v>
      </c>
    </row>
    <row r="769">
      <c r="A769" s="24">
        <v>768.0</v>
      </c>
      <c r="B769" s="17" t="s">
        <v>1115</v>
      </c>
      <c r="C769" s="18" t="s">
        <v>262</v>
      </c>
      <c r="D769" s="18" t="s">
        <v>13</v>
      </c>
      <c r="E769" s="9">
        <v>0.0</v>
      </c>
    </row>
    <row r="770">
      <c r="A770" s="24">
        <v>769.0</v>
      </c>
      <c r="B770" s="17" t="s">
        <v>683</v>
      </c>
      <c r="C770" s="18" t="s">
        <v>30</v>
      </c>
      <c r="D770" s="18" t="s">
        <v>13</v>
      </c>
      <c r="E770" s="9">
        <v>0.0</v>
      </c>
    </row>
    <row r="771">
      <c r="A771" s="24">
        <v>770.0</v>
      </c>
      <c r="B771" s="17" t="s">
        <v>680</v>
      </c>
      <c r="C771" s="18" t="s">
        <v>35</v>
      </c>
      <c r="D771" s="18" t="s">
        <v>13</v>
      </c>
      <c r="E771" s="9">
        <v>0.0</v>
      </c>
    </row>
    <row r="772">
      <c r="A772" s="24">
        <v>771.0</v>
      </c>
      <c r="B772" s="17" t="s">
        <v>1116</v>
      </c>
      <c r="C772" s="18" t="s">
        <v>7</v>
      </c>
      <c r="D772" s="18" t="s">
        <v>13</v>
      </c>
      <c r="E772" s="9">
        <v>0.0</v>
      </c>
    </row>
    <row r="773">
      <c r="A773" s="24">
        <v>772.0</v>
      </c>
      <c r="B773" s="17" t="s">
        <v>1117</v>
      </c>
      <c r="C773" s="18" t="s">
        <v>47</v>
      </c>
      <c r="D773" s="18" t="s">
        <v>13</v>
      </c>
      <c r="E773" s="9">
        <v>0.0</v>
      </c>
    </row>
    <row r="774">
      <c r="A774" s="24">
        <v>773.0</v>
      </c>
      <c r="B774" s="17" t="s">
        <v>684</v>
      </c>
      <c r="C774" s="18" t="s">
        <v>85</v>
      </c>
      <c r="D774" s="18" t="s">
        <v>13</v>
      </c>
      <c r="E774" s="9">
        <v>0.0</v>
      </c>
    </row>
    <row r="775">
      <c r="A775" s="24">
        <v>774.0</v>
      </c>
      <c r="B775" s="17" t="s">
        <v>1118</v>
      </c>
      <c r="C775" s="18" t="s">
        <v>64</v>
      </c>
      <c r="D775" s="18" t="s">
        <v>13</v>
      </c>
      <c r="E775" s="9">
        <v>0.0</v>
      </c>
    </row>
    <row r="776">
      <c r="A776" s="24">
        <v>775.0</v>
      </c>
      <c r="B776" s="17" t="s">
        <v>1119</v>
      </c>
      <c r="C776" s="18" t="s">
        <v>99</v>
      </c>
      <c r="D776" s="18" t="s">
        <v>13</v>
      </c>
      <c r="E776" s="9">
        <v>0.0</v>
      </c>
    </row>
    <row r="777">
      <c r="A777" s="24">
        <v>776.0</v>
      </c>
      <c r="B777" s="17" t="s">
        <v>642</v>
      </c>
      <c r="C777" s="18" t="s">
        <v>39</v>
      </c>
      <c r="D777" s="18" t="s">
        <v>13</v>
      </c>
      <c r="E777" s="9">
        <v>0.0</v>
      </c>
    </row>
    <row r="778">
      <c r="A778" s="24">
        <v>777.0</v>
      </c>
      <c r="B778" s="17" t="s">
        <v>697</v>
      </c>
      <c r="C778" s="18" t="s">
        <v>69</v>
      </c>
      <c r="D778" s="18" t="s">
        <v>13</v>
      </c>
      <c r="E778" s="9">
        <v>0.0</v>
      </c>
    </row>
    <row r="779">
      <c r="A779" s="24">
        <v>778.0</v>
      </c>
      <c r="B779" s="17" t="s">
        <v>1120</v>
      </c>
      <c r="C779" s="18" t="s">
        <v>41</v>
      </c>
      <c r="D779" s="18" t="s">
        <v>13</v>
      </c>
      <c r="E779" s="9">
        <v>0.0</v>
      </c>
    </row>
    <row r="780">
      <c r="A780" s="24">
        <v>779.0</v>
      </c>
      <c r="B780" s="17" t="s">
        <v>686</v>
      </c>
      <c r="C780" s="18" t="s">
        <v>69</v>
      </c>
      <c r="D780" s="18" t="s">
        <v>13</v>
      </c>
      <c r="E780" s="9">
        <v>0.0</v>
      </c>
    </row>
    <row r="781">
      <c r="A781" s="24">
        <v>780.0</v>
      </c>
      <c r="B781" s="17" t="s">
        <v>1121</v>
      </c>
      <c r="C781" s="18" t="s">
        <v>262</v>
      </c>
      <c r="D781" s="18" t="s">
        <v>13</v>
      </c>
      <c r="E781" s="9">
        <v>0.0</v>
      </c>
    </row>
    <row r="782">
      <c r="A782" s="24">
        <v>781.0</v>
      </c>
      <c r="B782" s="17" t="s">
        <v>645</v>
      </c>
      <c r="C782" s="18" t="s">
        <v>43</v>
      </c>
      <c r="D782" s="18" t="s">
        <v>13</v>
      </c>
      <c r="E782" s="9">
        <v>0.0</v>
      </c>
    </row>
    <row r="783">
      <c r="A783" s="24">
        <v>782.0</v>
      </c>
      <c r="B783" s="17" t="s">
        <v>675</v>
      </c>
      <c r="C783" s="18" t="s">
        <v>55</v>
      </c>
      <c r="D783" s="18" t="s">
        <v>13</v>
      </c>
      <c r="E783" s="9">
        <v>0.0</v>
      </c>
    </row>
    <row r="784">
      <c r="A784" s="24">
        <v>783.0</v>
      </c>
      <c r="B784" s="17" t="s">
        <v>1122</v>
      </c>
      <c r="C784" s="18" t="s">
        <v>17</v>
      </c>
      <c r="D784" s="18" t="s">
        <v>13</v>
      </c>
      <c r="E784" s="9">
        <v>0.0</v>
      </c>
    </row>
    <row r="785">
      <c r="A785" s="24">
        <v>784.0</v>
      </c>
      <c r="B785" s="17" t="s">
        <v>287</v>
      </c>
      <c r="C785" s="18" t="s">
        <v>23</v>
      </c>
      <c r="D785" s="18" t="s">
        <v>77</v>
      </c>
      <c r="E785" s="9">
        <v>0.0</v>
      </c>
    </row>
    <row r="786">
      <c r="A786" s="24">
        <v>785.0</v>
      </c>
      <c r="B786" s="17" t="s">
        <v>231</v>
      </c>
      <c r="C786" s="18" t="s">
        <v>21</v>
      </c>
      <c r="D786" s="18" t="s">
        <v>8</v>
      </c>
      <c r="E786" s="9">
        <v>0.0</v>
      </c>
    </row>
    <row r="787">
      <c r="A787" s="24">
        <v>786.0</v>
      </c>
      <c r="B787" s="17" t="s">
        <v>229</v>
      </c>
      <c r="C787" s="18" t="s">
        <v>10</v>
      </c>
      <c r="D787" s="18" t="s">
        <v>8</v>
      </c>
      <c r="E787" s="9">
        <v>0.0</v>
      </c>
    </row>
    <row r="788">
      <c r="A788" s="24">
        <v>787.0</v>
      </c>
      <c r="B788" s="17" t="s">
        <v>230</v>
      </c>
      <c r="C788" s="18" t="s">
        <v>19</v>
      </c>
      <c r="D788" s="18" t="s">
        <v>8</v>
      </c>
      <c r="E788" s="9">
        <v>0.0</v>
      </c>
    </row>
    <row r="789">
      <c r="A789" s="24">
        <v>788.0</v>
      </c>
      <c r="B789" s="17" t="s">
        <v>233</v>
      </c>
      <c r="C789" s="18" t="s">
        <v>28</v>
      </c>
      <c r="D789" s="18" t="s">
        <v>8</v>
      </c>
      <c r="E789" s="9">
        <v>0.0</v>
      </c>
    </row>
    <row r="790">
      <c r="A790" s="24">
        <v>789.0</v>
      </c>
      <c r="B790" s="17" t="s">
        <v>294</v>
      </c>
      <c r="C790" s="18" t="s">
        <v>10</v>
      </c>
      <c r="D790" s="18" t="s">
        <v>77</v>
      </c>
      <c r="E790" s="9">
        <v>0.0</v>
      </c>
    </row>
    <row r="791">
      <c r="A791" s="24">
        <v>790.0</v>
      </c>
      <c r="B791" s="17" t="s">
        <v>236</v>
      </c>
      <c r="C791" s="18" t="s">
        <v>23</v>
      </c>
      <c r="D791" s="18" t="s">
        <v>8</v>
      </c>
      <c r="E791" s="9">
        <v>0.0</v>
      </c>
    </row>
    <row r="792">
      <c r="A792" s="24">
        <v>791.0</v>
      </c>
      <c r="B792" s="17" t="s">
        <v>381</v>
      </c>
      <c r="C792" s="18" t="s">
        <v>28</v>
      </c>
      <c r="D792" s="18" t="s">
        <v>8</v>
      </c>
      <c r="E792" s="9">
        <v>0.0</v>
      </c>
    </row>
    <row r="793">
      <c r="A793" s="24">
        <v>792.0</v>
      </c>
      <c r="B793" s="17" t="s">
        <v>376</v>
      </c>
      <c r="C793" s="18" t="s">
        <v>35</v>
      </c>
      <c r="D793" s="18" t="s">
        <v>8</v>
      </c>
      <c r="E793" s="9">
        <v>0.0</v>
      </c>
    </row>
    <row r="794">
      <c r="A794" s="24">
        <v>793.0</v>
      </c>
      <c r="B794" s="17" t="s">
        <v>433</v>
      </c>
      <c r="C794" s="18" t="s">
        <v>53</v>
      </c>
      <c r="D794" s="18" t="s">
        <v>8</v>
      </c>
      <c r="E794" s="9">
        <v>0.0</v>
      </c>
    </row>
    <row r="795">
      <c r="A795" s="24">
        <v>794.0</v>
      </c>
      <c r="B795" s="17" t="s">
        <v>290</v>
      </c>
      <c r="C795" s="18" t="s">
        <v>66</v>
      </c>
      <c r="D795" s="18" t="s">
        <v>77</v>
      </c>
      <c r="E795" s="9">
        <v>0.0</v>
      </c>
    </row>
    <row r="796">
      <c r="A796" s="24">
        <v>795.0</v>
      </c>
      <c r="B796" s="17" t="s">
        <v>240</v>
      </c>
      <c r="C796" s="18" t="s">
        <v>37</v>
      </c>
      <c r="D796" s="18" t="s">
        <v>8</v>
      </c>
      <c r="E796" s="9">
        <v>0.0</v>
      </c>
    </row>
    <row r="797">
      <c r="A797" s="24">
        <v>796.0</v>
      </c>
      <c r="B797" s="17" t="s">
        <v>375</v>
      </c>
      <c r="C797" s="18" t="s">
        <v>41</v>
      </c>
      <c r="D797" s="18" t="s">
        <v>8</v>
      </c>
      <c r="E797" s="9">
        <v>0.0</v>
      </c>
    </row>
    <row r="798">
      <c r="A798" s="24">
        <v>797.0</v>
      </c>
      <c r="B798" s="17" t="s">
        <v>291</v>
      </c>
      <c r="C798" s="18" t="s">
        <v>89</v>
      </c>
      <c r="D798" s="18" t="s">
        <v>77</v>
      </c>
      <c r="E798" s="9">
        <v>0.0</v>
      </c>
    </row>
    <row r="799">
      <c r="A799" s="24">
        <v>798.0</v>
      </c>
      <c r="B799" s="17" t="s">
        <v>234</v>
      </c>
      <c r="C799" s="18" t="s">
        <v>85</v>
      </c>
      <c r="D799" s="18" t="s">
        <v>8</v>
      </c>
      <c r="E799" s="9">
        <v>0.0</v>
      </c>
    </row>
    <row r="800">
      <c r="A800" s="24">
        <v>799.0</v>
      </c>
      <c r="B800" s="17" t="s">
        <v>350</v>
      </c>
      <c r="C800" s="18" t="s">
        <v>7</v>
      </c>
      <c r="D800" s="18" t="s">
        <v>8</v>
      </c>
      <c r="E800" s="9">
        <v>0.0</v>
      </c>
    </row>
    <row r="801">
      <c r="A801" s="24">
        <v>800.0</v>
      </c>
      <c r="B801" s="17" t="s">
        <v>238</v>
      </c>
      <c r="C801" s="18" t="s">
        <v>28</v>
      </c>
      <c r="D801" s="18" t="s">
        <v>8</v>
      </c>
      <c r="E801" s="9">
        <v>0.0</v>
      </c>
    </row>
    <row r="802">
      <c r="A802" s="24">
        <v>801.0</v>
      </c>
      <c r="B802" s="17" t="s">
        <v>361</v>
      </c>
      <c r="C802" s="18" t="s">
        <v>99</v>
      </c>
      <c r="D802" s="18" t="s">
        <v>8</v>
      </c>
      <c r="E802" s="9">
        <v>0.0</v>
      </c>
    </row>
    <row r="803">
      <c r="A803" s="24">
        <v>802.0</v>
      </c>
      <c r="B803" s="17" t="s">
        <v>243</v>
      </c>
      <c r="C803" s="18" t="s">
        <v>58</v>
      </c>
      <c r="D803" s="18" t="s">
        <v>8</v>
      </c>
      <c r="E803" s="9">
        <v>0.0</v>
      </c>
    </row>
    <row r="804">
      <c r="A804" s="24">
        <v>803.0</v>
      </c>
      <c r="B804" s="17" t="s">
        <v>369</v>
      </c>
      <c r="C804" s="18" t="s">
        <v>17</v>
      </c>
      <c r="D804" s="18" t="s">
        <v>8</v>
      </c>
      <c r="E804" s="9">
        <v>0.0</v>
      </c>
    </row>
    <row r="805">
      <c r="A805" s="24">
        <v>804.0</v>
      </c>
      <c r="B805" s="17" t="s">
        <v>475</v>
      </c>
      <c r="C805" s="18" t="s">
        <v>10</v>
      </c>
      <c r="D805" s="18" t="s">
        <v>77</v>
      </c>
      <c r="E805" s="9">
        <v>0.0</v>
      </c>
    </row>
    <row r="806">
      <c r="A806" s="24">
        <v>805.0</v>
      </c>
      <c r="B806" s="17" t="s">
        <v>352</v>
      </c>
      <c r="C806" s="18" t="s">
        <v>15</v>
      </c>
      <c r="D806" s="18" t="s">
        <v>8</v>
      </c>
      <c r="E806" s="9">
        <v>0.0</v>
      </c>
    </row>
    <row r="807">
      <c r="A807" s="24">
        <v>806.0</v>
      </c>
      <c r="B807" s="17" t="s">
        <v>235</v>
      </c>
      <c r="C807" s="18" t="s">
        <v>45</v>
      </c>
      <c r="D807" s="18" t="s">
        <v>8</v>
      </c>
      <c r="E807" s="9">
        <v>0.0</v>
      </c>
    </row>
    <row r="808">
      <c r="A808" s="24">
        <v>807.0</v>
      </c>
      <c r="B808" s="17" t="s">
        <v>346</v>
      </c>
      <c r="C808" s="18" t="s">
        <v>66</v>
      </c>
      <c r="D808" s="18" t="s">
        <v>8</v>
      </c>
      <c r="E808" s="9">
        <v>0.0</v>
      </c>
    </row>
    <row r="809">
      <c r="A809" s="24">
        <v>808.0</v>
      </c>
      <c r="B809" s="17" t="s">
        <v>239</v>
      </c>
      <c r="C809" s="18" t="s">
        <v>119</v>
      </c>
      <c r="D809" s="18" t="s">
        <v>8</v>
      </c>
      <c r="E809" s="9">
        <v>0.0</v>
      </c>
    </row>
    <row r="810">
      <c r="A810" s="24">
        <v>809.0</v>
      </c>
      <c r="B810" s="17" t="s">
        <v>413</v>
      </c>
      <c r="C810" s="18" t="s">
        <v>32</v>
      </c>
      <c r="D810" s="18" t="s">
        <v>8</v>
      </c>
      <c r="E810" s="9">
        <v>0.0</v>
      </c>
    </row>
    <row r="811">
      <c r="A811" s="24">
        <v>810.0</v>
      </c>
      <c r="B811" s="17" t="s">
        <v>367</v>
      </c>
      <c r="C811" s="18" t="s">
        <v>45</v>
      </c>
      <c r="D811" s="18" t="s">
        <v>8</v>
      </c>
      <c r="E811" s="9">
        <v>0.0</v>
      </c>
    </row>
    <row r="812">
      <c r="A812" s="24">
        <v>811.0</v>
      </c>
      <c r="B812" s="17" t="s">
        <v>422</v>
      </c>
      <c r="C812" s="18" t="s">
        <v>53</v>
      </c>
      <c r="D812" s="18" t="s">
        <v>8</v>
      </c>
      <c r="E812" s="9">
        <v>0.0</v>
      </c>
    </row>
    <row r="813">
      <c r="A813" s="24">
        <v>812.0</v>
      </c>
      <c r="B813" s="17" t="s">
        <v>353</v>
      </c>
      <c r="C813" s="18" t="s">
        <v>55</v>
      </c>
      <c r="D813" s="18" t="s">
        <v>8</v>
      </c>
      <c r="E813" s="9">
        <v>0.0</v>
      </c>
    </row>
    <row r="814">
      <c r="A814" s="24">
        <v>813.0</v>
      </c>
      <c r="B814" s="17" t="s">
        <v>835</v>
      </c>
      <c r="C814" s="18" t="s">
        <v>30</v>
      </c>
      <c r="D814" s="18" t="s">
        <v>8</v>
      </c>
      <c r="E814" s="9">
        <v>0.0</v>
      </c>
    </row>
    <row r="815">
      <c r="A815" s="24">
        <v>814.0</v>
      </c>
      <c r="B815" s="17" t="s">
        <v>414</v>
      </c>
      <c r="C815" s="18" t="s">
        <v>12</v>
      </c>
      <c r="D815" s="18" t="s">
        <v>8</v>
      </c>
      <c r="E815" s="9">
        <v>0.0</v>
      </c>
    </row>
    <row r="816">
      <c r="A816" s="24">
        <v>815.0</v>
      </c>
      <c r="B816" s="17" t="s">
        <v>382</v>
      </c>
      <c r="C816" s="18" t="s">
        <v>85</v>
      </c>
      <c r="D816" s="18" t="s">
        <v>8</v>
      </c>
      <c r="E816" s="9">
        <v>0.0</v>
      </c>
    </row>
    <row r="817">
      <c r="A817" s="24">
        <v>816.0</v>
      </c>
      <c r="B817" s="17" t="s">
        <v>472</v>
      </c>
      <c r="C817" s="18" t="s">
        <v>23</v>
      </c>
      <c r="D817" s="18" t="s">
        <v>77</v>
      </c>
      <c r="E817" s="9">
        <v>0.0</v>
      </c>
    </row>
    <row r="818">
      <c r="A818" s="24">
        <v>817.0</v>
      </c>
      <c r="B818" s="17" t="s">
        <v>365</v>
      </c>
      <c r="C818" s="18" t="s">
        <v>25</v>
      </c>
      <c r="D818" s="18" t="s">
        <v>8</v>
      </c>
      <c r="E818" s="9">
        <v>0.0</v>
      </c>
    </row>
    <row r="819">
      <c r="A819" s="24">
        <v>818.0</v>
      </c>
      <c r="B819" s="17" t="s">
        <v>242</v>
      </c>
      <c r="C819" s="18" t="s">
        <v>81</v>
      </c>
      <c r="D819" s="18" t="s">
        <v>8</v>
      </c>
      <c r="E819" s="9">
        <v>0.0</v>
      </c>
    </row>
    <row r="820">
      <c r="A820" s="24">
        <v>819.0</v>
      </c>
      <c r="B820" s="17" t="s">
        <v>418</v>
      </c>
      <c r="C820" s="18" t="s">
        <v>7</v>
      </c>
      <c r="D820" s="18" t="s">
        <v>8</v>
      </c>
      <c r="E820" s="9">
        <v>0.0</v>
      </c>
    </row>
    <row r="821">
      <c r="A821" s="24">
        <v>820.0</v>
      </c>
      <c r="B821" s="17" t="s">
        <v>372</v>
      </c>
      <c r="C821" s="18" t="s">
        <v>23</v>
      </c>
      <c r="D821" s="18" t="s">
        <v>8</v>
      </c>
      <c r="E821" s="9">
        <v>0.0</v>
      </c>
    </row>
    <row r="822">
      <c r="A822" s="24">
        <v>821.0</v>
      </c>
      <c r="B822" s="17" t="s">
        <v>378</v>
      </c>
      <c r="C822" s="18" t="s">
        <v>28</v>
      </c>
      <c r="D822" s="18" t="s">
        <v>8</v>
      </c>
      <c r="E822" s="9">
        <v>0.0</v>
      </c>
    </row>
    <row r="823">
      <c r="A823" s="24">
        <v>822.0</v>
      </c>
      <c r="B823" s="17" t="s">
        <v>412</v>
      </c>
      <c r="C823" s="18" t="s">
        <v>35</v>
      </c>
      <c r="D823" s="18" t="s">
        <v>8</v>
      </c>
      <c r="E823" s="9">
        <v>0.0</v>
      </c>
    </row>
    <row r="824">
      <c r="A824" s="24">
        <v>823.0</v>
      </c>
      <c r="B824" s="17" t="s">
        <v>1123</v>
      </c>
      <c r="C824" s="18" t="s">
        <v>12</v>
      </c>
      <c r="D824" s="18" t="s">
        <v>8</v>
      </c>
      <c r="E824" s="9">
        <v>0.0</v>
      </c>
    </row>
    <row r="825">
      <c r="A825" s="24">
        <v>824.0</v>
      </c>
      <c r="B825" s="17" t="s">
        <v>456</v>
      </c>
      <c r="C825" s="18" t="s">
        <v>41</v>
      </c>
      <c r="D825" s="18" t="s">
        <v>8</v>
      </c>
      <c r="E825" s="9">
        <v>0.0</v>
      </c>
    </row>
    <row r="826">
      <c r="A826" s="24">
        <v>825.0</v>
      </c>
      <c r="B826" s="17" t="s">
        <v>385</v>
      </c>
      <c r="C826" s="18" t="s">
        <v>43</v>
      </c>
      <c r="D826" s="18" t="s">
        <v>8</v>
      </c>
      <c r="E826" s="9">
        <v>0.0</v>
      </c>
    </row>
    <row r="827">
      <c r="A827" s="24">
        <v>826.0</v>
      </c>
      <c r="B827" s="17" t="s">
        <v>407</v>
      </c>
      <c r="C827" s="18" t="s">
        <v>89</v>
      </c>
      <c r="D827" s="18" t="s">
        <v>8</v>
      </c>
      <c r="E827" s="9">
        <v>0.0</v>
      </c>
    </row>
    <row r="828">
      <c r="A828" s="24">
        <v>827.0</v>
      </c>
      <c r="B828" s="17" t="s">
        <v>427</v>
      </c>
      <c r="C828" s="18" t="s">
        <v>64</v>
      </c>
      <c r="D828" s="18" t="s">
        <v>8</v>
      </c>
      <c r="E828" s="9">
        <v>0.0</v>
      </c>
    </row>
    <row r="829">
      <c r="A829" s="24">
        <v>828.0</v>
      </c>
      <c r="B829" s="17" t="s">
        <v>388</v>
      </c>
      <c r="C829" s="18" t="s">
        <v>89</v>
      </c>
      <c r="D829" s="18" t="s">
        <v>8</v>
      </c>
      <c r="E829" s="9">
        <v>0.0</v>
      </c>
    </row>
    <row r="830">
      <c r="A830" s="24">
        <v>829.0</v>
      </c>
      <c r="B830" s="17" t="s">
        <v>293</v>
      </c>
      <c r="C830" s="18" t="s">
        <v>85</v>
      </c>
      <c r="D830" s="18" t="s">
        <v>77</v>
      </c>
      <c r="E830" s="9">
        <v>0.0</v>
      </c>
    </row>
    <row r="831">
      <c r="A831" s="24">
        <v>830.0</v>
      </c>
      <c r="B831" s="17" t="s">
        <v>1124</v>
      </c>
      <c r="C831" s="18" t="s">
        <v>262</v>
      </c>
      <c r="D831" s="18" t="s">
        <v>8</v>
      </c>
      <c r="E831" s="9">
        <v>0.0</v>
      </c>
    </row>
    <row r="832">
      <c r="A832" s="24">
        <v>831.0</v>
      </c>
      <c r="B832" s="17" t="s">
        <v>403</v>
      </c>
      <c r="C832" s="18" t="s">
        <v>17</v>
      </c>
      <c r="D832" s="18" t="s">
        <v>8</v>
      </c>
      <c r="E832" s="9">
        <v>0.0</v>
      </c>
    </row>
    <row r="833">
      <c r="A833" s="24">
        <v>832.0</v>
      </c>
      <c r="B833" s="17" t="s">
        <v>397</v>
      </c>
      <c r="C833" s="18" t="s">
        <v>47</v>
      </c>
      <c r="D833" s="18" t="s">
        <v>8</v>
      </c>
      <c r="E833" s="9">
        <v>0.0</v>
      </c>
    </row>
    <row r="834">
      <c r="A834" s="24">
        <v>833.0</v>
      </c>
      <c r="B834" s="17" t="s">
        <v>371</v>
      </c>
      <c r="C834" s="18" t="s">
        <v>62</v>
      </c>
      <c r="D834" s="18" t="s">
        <v>8</v>
      </c>
      <c r="E834" s="9">
        <v>0.0</v>
      </c>
    </row>
    <row r="835">
      <c r="A835" s="24">
        <v>834.0</v>
      </c>
      <c r="B835" s="17" t="s">
        <v>373</v>
      </c>
      <c r="C835" s="18" t="s">
        <v>55</v>
      </c>
      <c r="D835" s="18" t="s">
        <v>8</v>
      </c>
      <c r="E835" s="9">
        <v>0.0</v>
      </c>
    </row>
    <row r="836">
      <c r="A836" s="24">
        <v>835.0</v>
      </c>
      <c r="B836" s="17" t="s">
        <v>358</v>
      </c>
      <c r="C836" s="18" t="s">
        <v>69</v>
      </c>
      <c r="D836" s="18" t="s">
        <v>8</v>
      </c>
      <c r="E836" s="9">
        <v>0.0</v>
      </c>
    </row>
    <row r="837">
      <c r="A837" s="24">
        <v>836.0</v>
      </c>
      <c r="B837" s="17" t="s">
        <v>360</v>
      </c>
      <c r="C837" s="18" t="s">
        <v>73</v>
      </c>
      <c r="D837" s="18" t="s">
        <v>8</v>
      </c>
      <c r="E837" s="9">
        <v>0.0</v>
      </c>
    </row>
    <row r="838">
      <c r="A838" s="24">
        <v>837.0</v>
      </c>
      <c r="B838" s="17" t="s">
        <v>347</v>
      </c>
      <c r="C838" s="18" t="s">
        <v>39</v>
      </c>
      <c r="D838" s="18" t="s">
        <v>8</v>
      </c>
      <c r="E838" s="9">
        <v>0.0</v>
      </c>
    </row>
    <row r="839">
      <c r="A839" s="24">
        <v>838.0</v>
      </c>
      <c r="B839" s="17" t="s">
        <v>351</v>
      </c>
      <c r="C839" s="18" t="s">
        <v>69</v>
      </c>
      <c r="D839" s="18" t="s">
        <v>8</v>
      </c>
      <c r="E839" s="9">
        <v>0.0</v>
      </c>
    </row>
    <row r="840">
      <c r="A840" s="24">
        <v>839.0</v>
      </c>
      <c r="B840" s="17" t="s">
        <v>387</v>
      </c>
      <c r="C840" s="18" t="s">
        <v>58</v>
      </c>
      <c r="D840" s="18" t="s">
        <v>8</v>
      </c>
      <c r="E840" s="9">
        <v>0.0</v>
      </c>
    </row>
    <row r="841">
      <c r="A841" s="24">
        <v>840.0</v>
      </c>
      <c r="B841" s="17" t="s">
        <v>1125</v>
      </c>
      <c r="C841" s="18" t="s">
        <v>66</v>
      </c>
      <c r="D841" s="18" t="s">
        <v>8</v>
      </c>
      <c r="E841" s="9">
        <v>0.0</v>
      </c>
    </row>
    <row r="842">
      <c r="A842" s="24">
        <v>841.0</v>
      </c>
      <c r="B842" s="17" t="s">
        <v>400</v>
      </c>
      <c r="C842" s="18" t="s">
        <v>39</v>
      </c>
      <c r="D842" s="18" t="s">
        <v>8</v>
      </c>
      <c r="E842" s="9">
        <v>0.0</v>
      </c>
    </row>
    <row r="843">
      <c r="A843" s="24">
        <v>842.0</v>
      </c>
      <c r="B843" s="17" t="s">
        <v>405</v>
      </c>
      <c r="C843" s="18" t="s">
        <v>25</v>
      </c>
      <c r="D843" s="18" t="s">
        <v>8</v>
      </c>
      <c r="E843" s="9">
        <v>0.0</v>
      </c>
    </row>
    <row r="844">
      <c r="A844" s="24">
        <v>843.0</v>
      </c>
      <c r="B844" s="17" t="s">
        <v>455</v>
      </c>
      <c r="C844" s="18" t="s">
        <v>21</v>
      </c>
      <c r="D844" s="18" t="s">
        <v>8</v>
      </c>
      <c r="E844" s="9">
        <v>0.0</v>
      </c>
    </row>
    <row r="845">
      <c r="A845" s="24">
        <v>844.0</v>
      </c>
      <c r="B845" s="17" t="s">
        <v>1126</v>
      </c>
      <c r="C845" s="18" t="s">
        <v>23</v>
      </c>
      <c r="D845" s="18" t="s">
        <v>8</v>
      </c>
      <c r="E845" s="9">
        <v>0.0</v>
      </c>
    </row>
    <row r="846">
      <c r="A846" s="24">
        <v>845.0</v>
      </c>
      <c r="B846" s="17" t="s">
        <v>1127</v>
      </c>
      <c r="C846" s="18" t="s">
        <v>35</v>
      </c>
      <c r="D846" s="18" t="s">
        <v>8</v>
      </c>
      <c r="E846" s="9">
        <v>0.0</v>
      </c>
    </row>
    <row r="847">
      <c r="A847" s="24">
        <v>846.0</v>
      </c>
      <c r="B847" s="17" t="s">
        <v>1128</v>
      </c>
      <c r="C847" s="18" t="s">
        <v>66</v>
      </c>
      <c r="D847" s="18" t="s">
        <v>8</v>
      </c>
      <c r="E847" s="9">
        <v>0.0</v>
      </c>
    </row>
    <row r="848">
      <c r="A848" s="24">
        <v>847.0</v>
      </c>
      <c r="B848" s="17" t="s">
        <v>441</v>
      </c>
      <c r="C848" s="18" t="s">
        <v>41</v>
      </c>
      <c r="D848" s="18" t="s">
        <v>8</v>
      </c>
      <c r="E848" s="9">
        <v>0.0</v>
      </c>
    </row>
    <row r="849">
      <c r="A849" s="24">
        <v>848.0</v>
      </c>
      <c r="B849" s="17" t="s">
        <v>349</v>
      </c>
      <c r="C849" s="18" t="s">
        <v>30</v>
      </c>
      <c r="D849" s="18" t="s">
        <v>8</v>
      </c>
      <c r="E849" s="9">
        <v>0.0</v>
      </c>
    </row>
    <row r="850">
      <c r="A850" s="24">
        <v>849.0</v>
      </c>
      <c r="B850" s="17" t="s">
        <v>425</v>
      </c>
      <c r="C850" s="18" t="s">
        <v>62</v>
      </c>
      <c r="D850" s="18" t="s">
        <v>8</v>
      </c>
      <c r="E850" s="9">
        <v>0.0</v>
      </c>
    </row>
    <row r="851">
      <c r="A851" s="24">
        <v>850.0</v>
      </c>
      <c r="B851" s="17" t="s">
        <v>1129</v>
      </c>
      <c r="C851" s="18" t="s">
        <v>10</v>
      </c>
      <c r="D851" s="18" t="s">
        <v>8</v>
      </c>
      <c r="E851" s="9">
        <v>0.0</v>
      </c>
    </row>
    <row r="852">
      <c r="A852" s="24">
        <v>851.0</v>
      </c>
      <c r="B852" s="17" t="s">
        <v>424</v>
      </c>
      <c r="C852" s="18" t="s">
        <v>30</v>
      </c>
      <c r="D852" s="18" t="s">
        <v>8</v>
      </c>
      <c r="E852" s="9">
        <v>0.0</v>
      </c>
    </row>
    <row r="853">
      <c r="A853" s="24">
        <v>852.0</v>
      </c>
      <c r="B853" s="17" t="s">
        <v>402</v>
      </c>
      <c r="C853" s="18" t="s">
        <v>15</v>
      </c>
      <c r="D853" s="18" t="s">
        <v>8</v>
      </c>
      <c r="E853" s="9">
        <v>0.0</v>
      </c>
    </row>
    <row r="854">
      <c r="A854" s="24">
        <v>853.0</v>
      </c>
      <c r="B854" s="17" t="s">
        <v>394</v>
      </c>
      <c r="C854" s="18" t="s">
        <v>99</v>
      </c>
      <c r="D854" s="18" t="s">
        <v>8</v>
      </c>
      <c r="E854" s="9">
        <v>0.0</v>
      </c>
    </row>
    <row r="855">
      <c r="A855" s="24">
        <v>854.0</v>
      </c>
      <c r="B855" s="17" t="s">
        <v>357</v>
      </c>
      <c r="C855" s="18" t="s">
        <v>58</v>
      </c>
      <c r="D855" s="18" t="s">
        <v>8</v>
      </c>
      <c r="E855" s="9">
        <v>0.0</v>
      </c>
    </row>
    <row r="856">
      <c r="A856" s="24">
        <v>855.0</v>
      </c>
      <c r="B856" s="17" t="s">
        <v>390</v>
      </c>
      <c r="C856" s="18" t="s">
        <v>119</v>
      </c>
      <c r="D856" s="18" t="s">
        <v>8</v>
      </c>
      <c r="E856" s="9">
        <v>0.0</v>
      </c>
    </row>
    <row r="857">
      <c r="A857" s="24">
        <v>856.0</v>
      </c>
      <c r="B857" s="17" t="s">
        <v>774</v>
      </c>
      <c r="C857" s="18" t="s">
        <v>69</v>
      </c>
      <c r="D857" s="18" t="s">
        <v>8</v>
      </c>
      <c r="E857" s="9">
        <v>0.0</v>
      </c>
    </row>
    <row r="858">
      <c r="A858" s="24">
        <v>857.0</v>
      </c>
      <c r="B858" s="17" t="s">
        <v>1130</v>
      </c>
      <c r="C858" s="18" t="s">
        <v>47</v>
      </c>
      <c r="D858" s="18" t="s">
        <v>8</v>
      </c>
      <c r="E858" s="9">
        <v>0.0</v>
      </c>
    </row>
    <row r="859">
      <c r="A859" s="24">
        <v>858.0</v>
      </c>
      <c r="B859" s="17" t="s">
        <v>431</v>
      </c>
      <c r="C859" s="18" t="s">
        <v>55</v>
      </c>
      <c r="D859" s="18" t="s">
        <v>8</v>
      </c>
      <c r="E859" s="9">
        <v>0.0</v>
      </c>
    </row>
    <row r="860">
      <c r="A860" s="24">
        <v>859.0</v>
      </c>
      <c r="B860" s="17" t="s">
        <v>436</v>
      </c>
      <c r="C860" s="18" t="s">
        <v>23</v>
      </c>
      <c r="D860" s="18" t="s">
        <v>8</v>
      </c>
      <c r="E860" s="9">
        <v>0.0</v>
      </c>
    </row>
    <row r="861">
      <c r="A861" s="24">
        <v>860.0</v>
      </c>
      <c r="B861" s="17" t="s">
        <v>395</v>
      </c>
      <c r="C861" s="18" t="s">
        <v>19</v>
      </c>
      <c r="D861" s="18" t="s">
        <v>8</v>
      </c>
      <c r="E861" s="9">
        <v>0.0</v>
      </c>
    </row>
    <row r="862">
      <c r="A862" s="24">
        <v>861.0</v>
      </c>
      <c r="B862" s="17" t="s">
        <v>420</v>
      </c>
      <c r="C862" s="18" t="s">
        <v>15</v>
      </c>
      <c r="D862" s="18" t="s">
        <v>8</v>
      </c>
      <c r="E862" s="9">
        <v>0.0</v>
      </c>
    </row>
    <row r="863">
      <c r="A863" s="24">
        <v>862.0</v>
      </c>
      <c r="B863" s="17" t="s">
        <v>392</v>
      </c>
      <c r="C863" s="18" t="s">
        <v>17</v>
      </c>
      <c r="D863" s="18" t="s">
        <v>8</v>
      </c>
      <c r="E863" s="9">
        <v>0.0</v>
      </c>
    </row>
    <row r="864">
      <c r="A864" s="24">
        <v>863.0</v>
      </c>
      <c r="B864" s="17" t="s">
        <v>359</v>
      </c>
      <c r="C864" s="18" t="s">
        <v>66</v>
      </c>
      <c r="D864" s="18" t="s">
        <v>8</v>
      </c>
      <c r="E864" s="9">
        <v>0.0</v>
      </c>
    </row>
    <row r="865">
      <c r="A865" s="24">
        <v>864.0</v>
      </c>
      <c r="B865" s="17" t="s">
        <v>1131</v>
      </c>
      <c r="C865" s="18" t="s">
        <v>62</v>
      </c>
      <c r="D865" s="18" t="s">
        <v>8</v>
      </c>
      <c r="E865" s="9">
        <v>0.0</v>
      </c>
    </row>
    <row r="866">
      <c r="A866" s="24">
        <v>865.0</v>
      </c>
      <c r="B866" s="17" t="s">
        <v>1132</v>
      </c>
      <c r="C866" s="18" t="s">
        <v>89</v>
      </c>
      <c r="D866" s="18" t="s">
        <v>8</v>
      </c>
      <c r="E866" s="9">
        <v>0.0</v>
      </c>
    </row>
    <row r="867">
      <c r="A867" s="24">
        <v>866.0</v>
      </c>
      <c r="B867" s="17" t="s">
        <v>469</v>
      </c>
      <c r="C867" s="18" t="s">
        <v>25</v>
      </c>
      <c r="D867" s="18" t="s">
        <v>8</v>
      </c>
      <c r="E867" s="9">
        <v>0.0</v>
      </c>
    </row>
    <row r="868">
      <c r="A868" s="24">
        <v>867.0</v>
      </c>
      <c r="B868" s="17" t="s">
        <v>1133</v>
      </c>
      <c r="C868" s="18" t="s">
        <v>81</v>
      </c>
      <c r="D868" s="18" t="s">
        <v>8</v>
      </c>
      <c r="E868" s="9">
        <v>0.0</v>
      </c>
    </row>
    <row r="869">
      <c r="A869" s="24">
        <v>868.0</v>
      </c>
      <c r="B869" s="17" t="s">
        <v>1134</v>
      </c>
      <c r="C869" s="18" t="s">
        <v>262</v>
      </c>
      <c r="D869" s="18" t="s">
        <v>8</v>
      </c>
      <c r="E869" s="9">
        <v>0.0</v>
      </c>
    </row>
    <row r="870">
      <c r="A870" s="24">
        <v>869.0</v>
      </c>
      <c r="B870" s="17" t="s">
        <v>380</v>
      </c>
      <c r="C870" s="18" t="s">
        <v>58</v>
      </c>
      <c r="D870" s="18" t="s">
        <v>8</v>
      </c>
      <c r="E870" s="9">
        <v>0.0</v>
      </c>
    </row>
    <row r="871">
      <c r="A871" s="24">
        <v>870.0</v>
      </c>
      <c r="B871" s="17" t="s">
        <v>464</v>
      </c>
      <c r="C871" s="18" t="s">
        <v>39</v>
      </c>
      <c r="D871" s="18" t="s">
        <v>8</v>
      </c>
      <c r="E871" s="9">
        <v>0.0</v>
      </c>
    </row>
    <row r="872">
      <c r="A872" s="24">
        <v>871.0</v>
      </c>
      <c r="B872" s="17" t="s">
        <v>454</v>
      </c>
      <c r="C872" s="18" t="s">
        <v>45</v>
      </c>
      <c r="D872" s="18" t="s">
        <v>8</v>
      </c>
      <c r="E872" s="9">
        <v>0.0</v>
      </c>
    </row>
    <row r="873">
      <c r="A873" s="24">
        <v>872.0</v>
      </c>
      <c r="B873" s="17" t="s">
        <v>391</v>
      </c>
      <c r="C873" s="18" t="s">
        <v>119</v>
      </c>
      <c r="D873" s="18" t="s">
        <v>8</v>
      </c>
      <c r="E873" s="9">
        <v>0.0</v>
      </c>
    </row>
    <row r="874">
      <c r="A874" s="24">
        <v>873.0</v>
      </c>
      <c r="B874" s="17" t="s">
        <v>1135</v>
      </c>
      <c r="C874" s="18" t="s">
        <v>10</v>
      </c>
      <c r="D874" s="18" t="s">
        <v>8</v>
      </c>
      <c r="E874" s="9">
        <v>0.0</v>
      </c>
    </row>
    <row r="875">
      <c r="A875" s="24">
        <v>874.0</v>
      </c>
      <c r="B875" s="17" t="s">
        <v>1136</v>
      </c>
      <c r="C875" s="18" t="s">
        <v>262</v>
      </c>
      <c r="D875" s="18" t="s">
        <v>8</v>
      </c>
      <c r="E875" s="9">
        <v>0.0</v>
      </c>
    </row>
    <row r="876">
      <c r="A876" s="24">
        <v>875.0</v>
      </c>
      <c r="B876" s="17" t="s">
        <v>468</v>
      </c>
      <c r="C876" s="18" t="s">
        <v>12</v>
      </c>
      <c r="D876" s="18" t="s">
        <v>8</v>
      </c>
      <c r="E876" s="9">
        <v>0.0</v>
      </c>
    </row>
    <row r="877">
      <c r="A877" s="24">
        <v>876.0</v>
      </c>
      <c r="B877" s="17" t="s">
        <v>1137</v>
      </c>
      <c r="C877" s="18" t="s">
        <v>43</v>
      </c>
      <c r="D877" s="18" t="s">
        <v>8</v>
      </c>
      <c r="E877" s="9">
        <v>0.0</v>
      </c>
    </row>
    <row r="878">
      <c r="A878" s="24">
        <v>877.0</v>
      </c>
      <c r="B878" s="17" t="s">
        <v>470</v>
      </c>
      <c r="C878" s="18" t="s">
        <v>19</v>
      </c>
      <c r="D878" s="18" t="s">
        <v>8</v>
      </c>
      <c r="E878" s="9">
        <v>0.0</v>
      </c>
    </row>
    <row r="879">
      <c r="A879" s="24">
        <v>878.0</v>
      </c>
      <c r="B879" s="17" t="s">
        <v>409</v>
      </c>
      <c r="C879" s="18" t="s">
        <v>69</v>
      </c>
      <c r="D879" s="18" t="s">
        <v>8</v>
      </c>
      <c r="E879" s="9">
        <v>0.0</v>
      </c>
    </row>
    <row r="880">
      <c r="A880" s="24">
        <v>879.0</v>
      </c>
      <c r="B880" s="17" t="s">
        <v>1138</v>
      </c>
      <c r="C880" s="18" t="s">
        <v>262</v>
      </c>
      <c r="D880" s="18" t="s">
        <v>8</v>
      </c>
      <c r="E880" s="9">
        <v>0.0</v>
      </c>
    </row>
    <row r="881">
      <c r="A881" s="24">
        <v>880.0</v>
      </c>
      <c r="B881" s="17" t="s">
        <v>1139</v>
      </c>
      <c r="C881" s="18" t="s">
        <v>262</v>
      </c>
      <c r="D881" s="18" t="s">
        <v>8</v>
      </c>
      <c r="E881" s="9">
        <v>0.0</v>
      </c>
    </row>
    <row r="882">
      <c r="A882" s="24">
        <v>881.0</v>
      </c>
      <c r="B882" s="17" t="s">
        <v>1140</v>
      </c>
      <c r="C882" s="18" t="s">
        <v>262</v>
      </c>
      <c r="D882" s="18" t="s">
        <v>8</v>
      </c>
      <c r="E882" s="9">
        <v>0.0</v>
      </c>
    </row>
    <row r="883">
      <c r="A883" s="24">
        <v>882.0</v>
      </c>
      <c r="B883" s="17" t="s">
        <v>1141</v>
      </c>
      <c r="C883" s="18" t="s">
        <v>262</v>
      </c>
      <c r="D883" s="18" t="s">
        <v>8</v>
      </c>
      <c r="E883" s="9">
        <v>0.0</v>
      </c>
    </row>
    <row r="884">
      <c r="A884" s="24">
        <v>883.0</v>
      </c>
      <c r="B884" s="17" t="s">
        <v>1142</v>
      </c>
      <c r="C884" s="18" t="s">
        <v>262</v>
      </c>
      <c r="D884" s="18" t="s">
        <v>8</v>
      </c>
      <c r="E884" s="9">
        <v>0.0</v>
      </c>
    </row>
    <row r="885">
      <c r="A885" s="24">
        <v>884.0</v>
      </c>
      <c r="B885" s="17" t="s">
        <v>1143</v>
      </c>
      <c r="C885" s="18" t="s">
        <v>25</v>
      </c>
      <c r="D885" s="18" t="s">
        <v>8</v>
      </c>
      <c r="E885" s="9">
        <v>0.0</v>
      </c>
    </row>
    <row r="886">
      <c r="A886" s="24">
        <v>885.0</v>
      </c>
      <c r="B886" s="17" t="s">
        <v>1144</v>
      </c>
      <c r="C886" s="18" t="s">
        <v>85</v>
      </c>
      <c r="D886" s="18" t="s">
        <v>8</v>
      </c>
      <c r="E886" s="9">
        <v>0.0</v>
      </c>
    </row>
    <row r="887">
      <c r="A887" s="24">
        <v>886.0</v>
      </c>
      <c r="B887" s="17" t="s">
        <v>1145</v>
      </c>
      <c r="C887" s="18" t="s">
        <v>47</v>
      </c>
      <c r="D887" s="18" t="s">
        <v>8</v>
      </c>
      <c r="E887" s="9">
        <v>0.0</v>
      </c>
    </row>
    <row r="888">
      <c r="A888" s="24">
        <v>887.0</v>
      </c>
      <c r="B888" s="17" t="s">
        <v>1146</v>
      </c>
      <c r="C888" s="18" t="s">
        <v>99</v>
      </c>
      <c r="D888" s="18" t="s">
        <v>8</v>
      </c>
      <c r="E888" s="9">
        <v>0.0</v>
      </c>
    </row>
    <row r="889">
      <c r="A889" s="24">
        <v>888.0</v>
      </c>
      <c r="B889" s="17" t="s">
        <v>1147</v>
      </c>
      <c r="C889" s="18" t="s">
        <v>262</v>
      </c>
      <c r="D889" s="18" t="s">
        <v>8</v>
      </c>
      <c r="E889" s="9">
        <v>0.0</v>
      </c>
    </row>
    <row r="890">
      <c r="A890" s="24">
        <v>889.0</v>
      </c>
      <c r="B890" s="17" t="s">
        <v>1148</v>
      </c>
      <c r="C890" s="18" t="s">
        <v>66</v>
      </c>
      <c r="D890" s="18" t="s">
        <v>8</v>
      </c>
      <c r="E890" s="9">
        <v>0.0</v>
      </c>
    </row>
    <row r="891">
      <c r="A891" s="24">
        <v>890.0</v>
      </c>
      <c r="B891" s="17" t="s">
        <v>444</v>
      </c>
      <c r="C891" s="18" t="s">
        <v>262</v>
      </c>
      <c r="D891" s="18" t="s">
        <v>8</v>
      </c>
      <c r="E891" s="9">
        <v>0.0</v>
      </c>
    </row>
    <row r="892">
      <c r="A892" s="24">
        <v>891.0</v>
      </c>
      <c r="B892" s="17" t="s">
        <v>1149</v>
      </c>
      <c r="C892" s="18" t="s">
        <v>262</v>
      </c>
      <c r="D892" s="18" t="s">
        <v>8</v>
      </c>
      <c r="E892" s="9">
        <v>0.0</v>
      </c>
    </row>
    <row r="893">
      <c r="A893" s="24">
        <v>892.0</v>
      </c>
      <c r="B893" s="17" t="s">
        <v>1150</v>
      </c>
      <c r="C893" s="18" t="s">
        <v>21</v>
      </c>
      <c r="D893" s="18" t="s">
        <v>8</v>
      </c>
      <c r="E893" s="9">
        <v>0.0</v>
      </c>
    </row>
    <row r="894">
      <c r="A894" s="24">
        <v>893.0</v>
      </c>
      <c r="B894" s="17" t="s">
        <v>1151</v>
      </c>
      <c r="C894" s="18" t="s">
        <v>262</v>
      </c>
      <c r="D894" s="18" t="s">
        <v>8</v>
      </c>
      <c r="E894" s="9">
        <v>0.0</v>
      </c>
    </row>
    <row r="895">
      <c r="A895" s="24">
        <v>894.0</v>
      </c>
      <c r="B895" s="17" t="s">
        <v>1152</v>
      </c>
      <c r="C895" s="18" t="s">
        <v>35</v>
      </c>
      <c r="D895" s="18" t="s">
        <v>8</v>
      </c>
      <c r="E895" s="9">
        <v>0.0</v>
      </c>
    </row>
    <row r="896">
      <c r="A896" s="24">
        <v>895.0</v>
      </c>
      <c r="B896" s="17" t="s">
        <v>1153</v>
      </c>
      <c r="C896" s="18" t="s">
        <v>262</v>
      </c>
      <c r="D896" s="18" t="s">
        <v>8</v>
      </c>
      <c r="E896" s="9">
        <v>0.0</v>
      </c>
    </row>
    <row r="897">
      <c r="A897" s="24">
        <v>896.0</v>
      </c>
      <c r="B897" s="17" t="s">
        <v>404</v>
      </c>
      <c r="C897" s="18" t="s">
        <v>262</v>
      </c>
      <c r="D897" s="18" t="s">
        <v>8</v>
      </c>
      <c r="E897" s="9">
        <v>0.0</v>
      </c>
    </row>
    <row r="898">
      <c r="A898" s="24">
        <v>897.0</v>
      </c>
      <c r="B898" s="17" t="s">
        <v>1154</v>
      </c>
      <c r="C898" s="18" t="s">
        <v>262</v>
      </c>
      <c r="D898" s="18" t="s">
        <v>8</v>
      </c>
      <c r="E898" s="9">
        <v>0.0</v>
      </c>
    </row>
    <row r="899">
      <c r="A899" s="24">
        <v>898.0</v>
      </c>
      <c r="B899" s="17" t="s">
        <v>452</v>
      </c>
      <c r="C899" s="18" t="s">
        <v>262</v>
      </c>
      <c r="D899" s="18" t="s">
        <v>8</v>
      </c>
      <c r="E899" s="9">
        <v>0.0</v>
      </c>
    </row>
    <row r="900">
      <c r="A900" s="24">
        <v>899.0</v>
      </c>
      <c r="B900" s="17" t="s">
        <v>1155</v>
      </c>
      <c r="C900" s="18" t="s">
        <v>17</v>
      </c>
      <c r="D900" s="18" t="s">
        <v>8</v>
      </c>
      <c r="E900" s="9">
        <v>0.0</v>
      </c>
    </row>
    <row r="901">
      <c r="A901" s="24">
        <v>900.0</v>
      </c>
      <c r="B901" s="17" t="s">
        <v>1156</v>
      </c>
      <c r="C901" s="18" t="s">
        <v>32</v>
      </c>
      <c r="D901" s="18" t="s">
        <v>8</v>
      </c>
      <c r="E901" s="9">
        <v>0.0</v>
      </c>
    </row>
    <row r="902">
      <c r="A902" s="24">
        <v>901.0</v>
      </c>
      <c r="B902" s="17" t="s">
        <v>416</v>
      </c>
      <c r="C902" s="18" t="s">
        <v>7</v>
      </c>
      <c r="D902" s="18" t="s">
        <v>8</v>
      </c>
      <c r="E902" s="9">
        <v>0.0</v>
      </c>
    </row>
    <row r="903">
      <c r="A903" s="24">
        <v>902.0</v>
      </c>
      <c r="B903" s="17" t="s">
        <v>1157</v>
      </c>
      <c r="C903" s="18" t="s">
        <v>262</v>
      </c>
      <c r="D903" s="18" t="s">
        <v>8</v>
      </c>
      <c r="E903" s="9">
        <v>0.0</v>
      </c>
    </row>
    <row r="904">
      <c r="A904" s="24">
        <v>903.0</v>
      </c>
      <c r="B904" s="17" t="s">
        <v>1158</v>
      </c>
      <c r="C904" s="18" t="s">
        <v>43</v>
      </c>
      <c r="D904" s="18" t="s">
        <v>8</v>
      </c>
      <c r="E904" s="9">
        <v>0.0</v>
      </c>
    </row>
    <row r="905">
      <c r="A905" s="24">
        <v>904.0</v>
      </c>
      <c r="B905" s="17" t="s">
        <v>401</v>
      </c>
      <c r="C905" s="18" t="s">
        <v>262</v>
      </c>
      <c r="D905" s="18" t="s">
        <v>8</v>
      </c>
      <c r="E905" s="9">
        <v>0.0</v>
      </c>
    </row>
    <row r="906">
      <c r="A906" s="24">
        <v>905.0</v>
      </c>
      <c r="B906" s="17" t="s">
        <v>419</v>
      </c>
      <c r="C906" s="18" t="s">
        <v>262</v>
      </c>
      <c r="D906" s="18" t="s">
        <v>8</v>
      </c>
      <c r="E906" s="9">
        <v>0.0</v>
      </c>
    </row>
    <row r="907">
      <c r="A907" s="24">
        <v>906.0</v>
      </c>
      <c r="B907" s="17" t="s">
        <v>432</v>
      </c>
      <c r="C907" s="18" t="s">
        <v>69</v>
      </c>
      <c r="D907" s="18" t="s">
        <v>8</v>
      </c>
      <c r="E907" s="9">
        <v>0.0</v>
      </c>
    </row>
    <row r="908">
      <c r="A908" s="24">
        <v>907.0</v>
      </c>
      <c r="B908" s="17" t="s">
        <v>450</v>
      </c>
      <c r="C908" s="18" t="s">
        <v>262</v>
      </c>
      <c r="D908" s="18" t="s">
        <v>8</v>
      </c>
      <c r="E908" s="9">
        <v>0.0</v>
      </c>
    </row>
    <row r="909">
      <c r="A909" s="24">
        <v>908.0</v>
      </c>
      <c r="B909" s="17" t="s">
        <v>1159</v>
      </c>
      <c r="C909" s="18" t="s">
        <v>43</v>
      </c>
      <c r="D909" s="18" t="s">
        <v>8</v>
      </c>
      <c r="E909" s="9">
        <v>0.0</v>
      </c>
    </row>
    <row r="910">
      <c r="A910" s="24">
        <v>909.0</v>
      </c>
      <c r="B910" s="17" t="s">
        <v>1160</v>
      </c>
      <c r="C910" s="18" t="s">
        <v>262</v>
      </c>
      <c r="D910" s="18" t="s">
        <v>8</v>
      </c>
      <c r="E910" s="9">
        <v>0.0</v>
      </c>
    </row>
    <row r="911">
      <c r="A911" s="24">
        <v>910.0</v>
      </c>
      <c r="B911" s="17" t="s">
        <v>1161</v>
      </c>
      <c r="C911" s="18" t="s">
        <v>262</v>
      </c>
      <c r="D911" s="18" t="s">
        <v>8</v>
      </c>
      <c r="E911" s="9">
        <v>0.0</v>
      </c>
    </row>
    <row r="912">
      <c r="A912" s="24">
        <v>911.0</v>
      </c>
      <c r="B912" s="17" t="s">
        <v>838</v>
      </c>
      <c r="C912" s="18" t="s">
        <v>32</v>
      </c>
      <c r="D912" s="18" t="s">
        <v>8</v>
      </c>
      <c r="E912" s="9">
        <v>0.0</v>
      </c>
    </row>
    <row r="913">
      <c r="A913" s="24">
        <v>912.0</v>
      </c>
      <c r="B913" s="17" t="s">
        <v>1162</v>
      </c>
      <c r="C913" s="18" t="s">
        <v>262</v>
      </c>
      <c r="D913" s="18" t="s">
        <v>8</v>
      </c>
      <c r="E913" s="9">
        <v>0.0</v>
      </c>
    </row>
    <row r="914">
      <c r="A914" s="24">
        <v>913.0</v>
      </c>
      <c r="B914" s="17" t="s">
        <v>1163</v>
      </c>
      <c r="C914" s="18" t="s">
        <v>262</v>
      </c>
      <c r="D914" s="18" t="s">
        <v>8</v>
      </c>
      <c r="E914" s="9">
        <v>0.0</v>
      </c>
    </row>
    <row r="915">
      <c r="A915" s="24">
        <v>914.0</v>
      </c>
      <c r="B915" s="17" t="s">
        <v>1164</v>
      </c>
      <c r="C915" s="18" t="s">
        <v>262</v>
      </c>
      <c r="D915" s="18" t="s">
        <v>8</v>
      </c>
      <c r="E915" s="9">
        <v>0.0</v>
      </c>
    </row>
    <row r="916">
      <c r="A916" s="24">
        <v>915.0</v>
      </c>
      <c r="B916" s="17" t="s">
        <v>241</v>
      </c>
      <c r="C916" s="18" t="s">
        <v>262</v>
      </c>
      <c r="D916" s="18" t="s">
        <v>8</v>
      </c>
      <c r="E916" s="9">
        <v>0.0</v>
      </c>
    </row>
    <row r="917">
      <c r="A917" s="24">
        <v>916.0</v>
      </c>
      <c r="B917" s="17" t="s">
        <v>786</v>
      </c>
      <c r="C917" s="18" t="s">
        <v>41</v>
      </c>
      <c r="D917" s="18" t="s">
        <v>8</v>
      </c>
      <c r="E917" s="9">
        <v>0.0</v>
      </c>
    </row>
    <row r="918">
      <c r="A918" s="24">
        <v>917.0</v>
      </c>
      <c r="B918" s="17" t="s">
        <v>1165</v>
      </c>
      <c r="C918" s="18" t="s">
        <v>262</v>
      </c>
      <c r="D918" s="18" t="s">
        <v>8</v>
      </c>
      <c r="E918" s="9">
        <v>0.0</v>
      </c>
    </row>
    <row r="919">
      <c r="A919" s="24">
        <v>918.0</v>
      </c>
      <c r="B919" s="17" t="s">
        <v>362</v>
      </c>
      <c r="C919" s="18" t="s">
        <v>262</v>
      </c>
      <c r="D919" s="18" t="s">
        <v>8</v>
      </c>
      <c r="E919" s="9">
        <v>0.0</v>
      </c>
    </row>
    <row r="920">
      <c r="A920" s="24">
        <v>919.0</v>
      </c>
      <c r="B920" s="17" t="s">
        <v>1166</v>
      </c>
      <c r="C920" s="18" t="s">
        <v>262</v>
      </c>
      <c r="D920" s="18" t="s">
        <v>8</v>
      </c>
      <c r="E920" s="9">
        <v>0.0</v>
      </c>
    </row>
    <row r="921">
      <c r="A921" s="24">
        <v>920.0</v>
      </c>
      <c r="B921" s="17" t="s">
        <v>366</v>
      </c>
      <c r="C921" s="18" t="s">
        <v>262</v>
      </c>
      <c r="D921" s="18" t="s">
        <v>8</v>
      </c>
      <c r="E921" s="9">
        <v>0.0</v>
      </c>
    </row>
    <row r="922">
      <c r="A922" s="24">
        <v>921.0</v>
      </c>
      <c r="B922" s="17" t="s">
        <v>383</v>
      </c>
      <c r="C922" s="18" t="s">
        <v>99</v>
      </c>
      <c r="D922" s="18" t="s">
        <v>8</v>
      </c>
      <c r="E922" s="9">
        <v>0.0</v>
      </c>
    </row>
    <row r="923">
      <c r="A923" s="24">
        <v>922.0</v>
      </c>
      <c r="B923" s="17" t="s">
        <v>1167</v>
      </c>
      <c r="C923" s="18" t="s">
        <v>262</v>
      </c>
      <c r="D923" s="18" t="s">
        <v>8</v>
      </c>
      <c r="E923" s="9">
        <v>0.0</v>
      </c>
    </row>
    <row r="924">
      <c r="A924" s="24">
        <v>923.0</v>
      </c>
      <c r="B924" s="17" t="s">
        <v>364</v>
      </c>
      <c r="C924" s="18" t="s">
        <v>262</v>
      </c>
      <c r="D924" s="18" t="s">
        <v>8</v>
      </c>
      <c r="E924" s="9">
        <v>0.0</v>
      </c>
    </row>
    <row r="925">
      <c r="A925" s="24">
        <v>924.0</v>
      </c>
      <c r="B925" s="17" t="s">
        <v>448</v>
      </c>
      <c r="C925" s="18" t="s">
        <v>37</v>
      </c>
      <c r="D925" s="18" t="s">
        <v>8</v>
      </c>
      <c r="E925" s="9">
        <v>0.0</v>
      </c>
    </row>
    <row r="926">
      <c r="A926" s="24">
        <v>925.0</v>
      </c>
      <c r="B926" s="17" t="s">
        <v>1168</v>
      </c>
      <c r="C926" s="18" t="s">
        <v>25</v>
      </c>
      <c r="D926" s="18" t="s">
        <v>8</v>
      </c>
      <c r="E926" s="9">
        <v>0.0</v>
      </c>
    </row>
    <row r="927">
      <c r="A927" s="24">
        <v>926.0</v>
      </c>
      <c r="B927" s="17" t="s">
        <v>386</v>
      </c>
      <c r="C927" s="18" t="s">
        <v>262</v>
      </c>
      <c r="D927" s="18" t="s">
        <v>8</v>
      </c>
      <c r="E927" s="9">
        <v>0.0</v>
      </c>
    </row>
    <row r="928">
      <c r="A928" s="24">
        <v>927.0</v>
      </c>
      <c r="B928" s="17" t="s">
        <v>1169</v>
      </c>
      <c r="C928" s="18" t="s">
        <v>262</v>
      </c>
      <c r="D928" s="18" t="s">
        <v>8</v>
      </c>
      <c r="E928" s="9">
        <v>0.0</v>
      </c>
    </row>
    <row r="929">
      <c r="A929" s="24">
        <v>928.0</v>
      </c>
      <c r="B929" s="17" t="s">
        <v>1170</v>
      </c>
      <c r="C929" s="18" t="s">
        <v>85</v>
      </c>
      <c r="D929" s="18" t="s">
        <v>8</v>
      </c>
      <c r="E929" s="9">
        <v>0.0</v>
      </c>
    </row>
    <row r="930">
      <c r="A930" s="24">
        <v>929.0</v>
      </c>
      <c r="B930" s="17" t="s">
        <v>1171</v>
      </c>
      <c r="C930" s="18" t="s">
        <v>262</v>
      </c>
      <c r="D930" s="18" t="s">
        <v>8</v>
      </c>
      <c r="E930" s="9">
        <v>0.0</v>
      </c>
    </row>
    <row r="931">
      <c r="A931" s="24">
        <v>930.0</v>
      </c>
      <c r="B931" s="17" t="s">
        <v>1172</v>
      </c>
      <c r="C931" s="18" t="s">
        <v>262</v>
      </c>
      <c r="D931" s="18" t="s">
        <v>8</v>
      </c>
      <c r="E931" s="9">
        <v>0.0</v>
      </c>
    </row>
    <row r="932">
      <c r="A932" s="24">
        <v>931.0</v>
      </c>
      <c r="B932" s="17" t="s">
        <v>396</v>
      </c>
      <c r="C932" s="18" t="s">
        <v>25</v>
      </c>
      <c r="D932" s="18" t="s">
        <v>8</v>
      </c>
      <c r="E932" s="9">
        <v>0.0</v>
      </c>
    </row>
    <row r="933">
      <c r="A933" s="24">
        <v>932.0</v>
      </c>
      <c r="B933" s="17" t="s">
        <v>1173</v>
      </c>
      <c r="C933" s="18" t="s">
        <v>262</v>
      </c>
      <c r="D933" s="18" t="s">
        <v>8</v>
      </c>
      <c r="E933" s="9">
        <v>0.0</v>
      </c>
    </row>
    <row r="934">
      <c r="A934" s="24">
        <v>933.0</v>
      </c>
      <c r="B934" s="17" t="s">
        <v>1174</v>
      </c>
      <c r="C934" s="18" t="s">
        <v>262</v>
      </c>
      <c r="D934" s="18" t="s">
        <v>8</v>
      </c>
      <c r="E934" s="9">
        <v>0.0</v>
      </c>
    </row>
    <row r="935">
      <c r="A935" s="24">
        <v>934.0</v>
      </c>
      <c r="B935" s="17" t="s">
        <v>1175</v>
      </c>
      <c r="C935" s="18" t="s">
        <v>30</v>
      </c>
      <c r="D935" s="18" t="s">
        <v>8</v>
      </c>
      <c r="E935" s="9">
        <v>0.0</v>
      </c>
    </row>
    <row r="936">
      <c r="A936" s="24">
        <v>935.0</v>
      </c>
      <c r="B936" s="17" t="s">
        <v>1176</v>
      </c>
      <c r="C936" s="18" t="s">
        <v>62</v>
      </c>
      <c r="D936" s="18" t="s">
        <v>8</v>
      </c>
      <c r="E936" s="9">
        <v>0.0</v>
      </c>
    </row>
    <row r="937">
      <c r="A937" s="24">
        <v>936.0</v>
      </c>
      <c r="B937" s="17" t="s">
        <v>1177</v>
      </c>
      <c r="C937" s="18" t="s">
        <v>262</v>
      </c>
      <c r="D937" s="18" t="s">
        <v>8</v>
      </c>
      <c r="E937" s="9">
        <v>0.0</v>
      </c>
    </row>
    <row r="938">
      <c r="A938" s="24">
        <v>937.0</v>
      </c>
      <c r="B938" s="17" t="s">
        <v>1178</v>
      </c>
      <c r="C938" s="18" t="s">
        <v>262</v>
      </c>
      <c r="D938" s="18" t="s">
        <v>8</v>
      </c>
      <c r="E938" s="9">
        <v>0.0</v>
      </c>
    </row>
    <row r="939">
      <c r="A939" s="24">
        <v>938.0</v>
      </c>
      <c r="B939" s="17" t="s">
        <v>1179</v>
      </c>
      <c r="C939" s="18" t="s">
        <v>262</v>
      </c>
      <c r="D939" s="18" t="s">
        <v>8</v>
      </c>
      <c r="E939" s="9">
        <v>0.0</v>
      </c>
    </row>
    <row r="940">
      <c r="A940" s="24">
        <v>939.0</v>
      </c>
      <c r="B940" s="17" t="s">
        <v>1180</v>
      </c>
      <c r="C940" s="18" t="s">
        <v>262</v>
      </c>
      <c r="D940" s="18" t="s">
        <v>8</v>
      </c>
      <c r="E940" s="9">
        <v>0.0</v>
      </c>
    </row>
    <row r="941">
      <c r="A941" s="24">
        <v>940.0</v>
      </c>
      <c r="B941" s="17" t="s">
        <v>363</v>
      </c>
      <c r="C941" s="18" t="s">
        <v>262</v>
      </c>
      <c r="D941" s="18" t="s">
        <v>8</v>
      </c>
      <c r="E941" s="9">
        <v>0.0</v>
      </c>
    </row>
    <row r="942">
      <c r="A942" s="24">
        <v>941.0</v>
      </c>
      <c r="B942" s="17" t="s">
        <v>1181</v>
      </c>
      <c r="C942" s="18" t="s">
        <v>262</v>
      </c>
      <c r="D942" s="18" t="s">
        <v>8</v>
      </c>
      <c r="E942" s="9">
        <v>0.0</v>
      </c>
    </row>
    <row r="943">
      <c r="A943" s="24">
        <v>942.0</v>
      </c>
      <c r="B943" s="17" t="s">
        <v>415</v>
      </c>
      <c r="C943" s="18" t="s">
        <v>81</v>
      </c>
      <c r="D943" s="18" t="s">
        <v>8</v>
      </c>
      <c r="E943" s="9">
        <v>0.0</v>
      </c>
    </row>
    <row r="944">
      <c r="A944" s="24">
        <v>943.0</v>
      </c>
      <c r="B944" s="17" t="s">
        <v>1182</v>
      </c>
      <c r="C944" s="18" t="s">
        <v>262</v>
      </c>
      <c r="D944" s="18" t="s">
        <v>8</v>
      </c>
      <c r="E944" s="9">
        <v>0.0</v>
      </c>
    </row>
    <row r="945">
      <c r="A945" s="24">
        <v>944.0</v>
      </c>
      <c r="B945" s="17" t="s">
        <v>237</v>
      </c>
      <c r="C945" s="18" t="s">
        <v>262</v>
      </c>
      <c r="D945" s="18" t="s">
        <v>8</v>
      </c>
      <c r="E945" s="9">
        <v>0.0</v>
      </c>
    </row>
    <row r="946">
      <c r="A946" s="24">
        <v>945.0</v>
      </c>
      <c r="B946" s="17" t="s">
        <v>1183</v>
      </c>
      <c r="C946" s="18" t="s">
        <v>262</v>
      </c>
      <c r="D946" s="18" t="s">
        <v>8</v>
      </c>
      <c r="E946" s="9">
        <v>0.0</v>
      </c>
    </row>
    <row r="947">
      <c r="A947" s="24">
        <v>946.0</v>
      </c>
      <c r="B947" s="17" t="s">
        <v>1184</v>
      </c>
      <c r="C947" s="18" t="s">
        <v>262</v>
      </c>
      <c r="D947" s="18" t="s">
        <v>8</v>
      </c>
      <c r="E947" s="9">
        <v>0.0</v>
      </c>
    </row>
    <row r="948">
      <c r="A948" s="24">
        <v>947.0</v>
      </c>
      <c r="B948" s="17" t="s">
        <v>1185</v>
      </c>
      <c r="C948" s="18" t="s">
        <v>73</v>
      </c>
      <c r="D948" s="18" t="s">
        <v>8</v>
      </c>
      <c r="E948" s="9">
        <v>0.0</v>
      </c>
    </row>
    <row r="949">
      <c r="A949" s="24">
        <v>948.0</v>
      </c>
      <c r="B949" s="17" t="s">
        <v>1186</v>
      </c>
      <c r="C949" s="18" t="s">
        <v>39</v>
      </c>
      <c r="D949" s="18" t="s">
        <v>8</v>
      </c>
      <c r="E949" s="9">
        <v>0.0</v>
      </c>
    </row>
    <row r="950">
      <c r="A950" s="24">
        <v>949.0</v>
      </c>
      <c r="B950" s="17" t="s">
        <v>384</v>
      </c>
      <c r="C950" s="18" t="s">
        <v>262</v>
      </c>
      <c r="D950" s="18" t="s">
        <v>8</v>
      </c>
      <c r="E950" s="9">
        <v>0.0</v>
      </c>
    </row>
    <row r="951">
      <c r="A951" s="24">
        <v>950.0</v>
      </c>
      <c r="B951" s="17" t="s">
        <v>1187</v>
      </c>
      <c r="C951" s="18" t="s">
        <v>262</v>
      </c>
      <c r="D951" s="18" t="s">
        <v>8</v>
      </c>
      <c r="E951" s="9">
        <v>0.0</v>
      </c>
    </row>
    <row r="952">
      <c r="A952" s="24">
        <v>951.0</v>
      </c>
      <c r="B952" s="17" t="s">
        <v>379</v>
      </c>
      <c r="C952" s="18" t="s">
        <v>262</v>
      </c>
      <c r="D952" s="18" t="s">
        <v>8</v>
      </c>
      <c r="E952" s="9">
        <v>0.0</v>
      </c>
    </row>
    <row r="953">
      <c r="A953" s="24">
        <v>952.0</v>
      </c>
      <c r="B953" s="17" t="s">
        <v>437</v>
      </c>
      <c r="C953" s="18" t="s">
        <v>21</v>
      </c>
      <c r="D953" s="18" t="s">
        <v>8</v>
      </c>
      <c r="E953" s="9">
        <v>0.0</v>
      </c>
    </row>
    <row r="954">
      <c r="A954" s="24">
        <v>953.0</v>
      </c>
      <c r="B954" s="17" t="s">
        <v>1188</v>
      </c>
      <c r="C954" s="18" t="s">
        <v>262</v>
      </c>
      <c r="D954" s="18" t="s">
        <v>8</v>
      </c>
      <c r="E954" s="9">
        <v>0.0</v>
      </c>
    </row>
    <row r="955">
      <c r="A955" s="24">
        <v>954.0</v>
      </c>
      <c r="B955" s="17" t="s">
        <v>1189</v>
      </c>
      <c r="C955" s="18" t="s">
        <v>262</v>
      </c>
      <c r="D955" s="18" t="s">
        <v>8</v>
      </c>
      <c r="E955" s="9">
        <v>0.0</v>
      </c>
    </row>
    <row r="956">
      <c r="A956" s="24">
        <v>955.0</v>
      </c>
      <c r="B956" s="17" t="s">
        <v>1190</v>
      </c>
      <c r="C956" s="18" t="s">
        <v>262</v>
      </c>
      <c r="D956" s="18" t="s">
        <v>8</v>
      </c>
      <c r="E956" s="9">
        <v>0.0</v>
      </c>
    </row>
    <row r="957">
      <c r="A957" s="24">
        <v>956.0</v>
      </c>
      <c r="B957" s="17" t="s">
        <v>1191</v>
      </c>
      <c r="C957" s="18" t="s">
        <v>62</v>
      </c>
      <c r="D957" s="18" t="s">
        <v>8</v>
      </c>
      <c r="E957" s="9">
        <v>0.0</v>
      </c>
    </row>
    <row r="958">
      <c r="A958" s="24">
        <v>957.0</v>
      </c>
      <c r="B958" s="17" t="s">
        <v>1192</v>
      </c>
      <c r="C958" s="18" t="s">
        <v>262</v>
      </c>
      <c r="D958" s="18" t="s">
        <v>8</v>
      </c>
      <c r="E958" s="9">
        <v>0.0</v>
      </c>
    </row>
    <row r="959">
      <c r="A959" s="24">
        <v>958.0</v>
      </c>
      <c r="B959" s="17" t="s">
        <v>1193</v>
      </c>
      <c r="C959" s="18" t="s">
        <v>262</v>
      </c>
      <c r="D959" s="18" t="s">
        <v>8</v>
      </c>
      <c r="E959" s="9">
        <v>0.0</v>
      </c>
    </row>
    <row r="960">
      <c r="A960" s="24">
        <v>959.0</v>
      </c>
      <c r="B960" s="17" t="s">
        <v>1194</v>
      </c>
      <c r="C960" s="18" t="s">
        <v>262</v>
      </c>
      <c r="D960" s="18" t="s">
        <v>8</v>
      </c>
      <c r="E960" s="9">
        <v>0.0</v>
      </c>
    </row>
    <row r="961">
      <c r="A961" s="24">
        <v>960.0</v>
      </c>
      <c r="B961" s="17" t="s">
        <v>1195</v>
      </c>
      <c r="C961" s="18" t="s">
        <v>262</v>
      </c>
      <c r="D961" s="18" t="s">
        <v>8</v>
      </c>
      <c r="E961" s="9">
        <v>0.0</v>
      </c>
    </row>
    <row r="962">
      <c r="A962" s="24">
        <v>961.0</v>
      </c>
      <c r="B962" s="17" t="s">
        <v>435</v>
      </c>
      <c r="C962" s="18" t="s">
        <v>262</v>
      </c>
      <c r="D962" s="18" t="s">
        <v>8</v>
      </c>
      <c r="E962" s="9">
        <v>0.0</v>
      </c>
    </row>
    <row r="963">
      <c r="A963" s="24">
        <v>962.0</v>
      </c>
      <c r="B963" s="17" t="s">
        <v>447</v>
      </c>
      <c r="C963" s="18" t="s">
        <v>81</v>
      </c>
      <c r="D963" s="18" t="s">
        <v>8</v>
      </c>
      <c r="E963" s="9">
        <v>0.0</v>
      </c>
    </row>
    <row r="964">
      <c r="A964" s="24">
        <v>963.0</v>
      </c>
      <c r="B964" s="17" t="s">
        <v>442</v>
      </c>
      <c r="C964" s="18" t="s">
        <v>73</v>
      </c>
      <c r="D964" s="18" t="s">
        <v>8</v>
      </c>
      <c r="E964" s="9">
        <v>0.0</v>
      </c>
    </row>
    <row r="965">
      <c r="A965" s="24">
        <v>964.0</v>
      </c>
      <c r="B965" s="17" t="s">
        <v>1196</v>
      </c>
      <c r="C965" s="18" t="s">
        <v>262</v>
      </c>
      <c r="D965" s="18" t="s">
        <v>8</v>
      </c>
      <c r="E965" s="9">
        <v>0.0</v>
      </c>
    </row>
    <row r="966">
      <c r="A966" s="24">
        <v>965.0</v>
      </c>
      <c r="B966" s="17" t="s">
        <v>1197</v>
      </c>
      <c r="C966" s="18" t="s">
        <v>262</v>
      </c>
      <c r="D966" s="18" t="s">
        <v>8</v>
      </c>
      <c r="E966" s="9">
        <v>0.0</v>
      </c>
    </row>
    <row r="967">
      <c r="A967" s="24">
        <v>966.0</v>
      </c>
      <c r="B967" s="17" t="s">
        <v>1198</v>
      </c>
      <c r="C967" s="18" t="s">
        <v>262</v>
      </c>
      <c r="D967" s="18" t="s">
        <v>8</v>
      </c>
      <c r="E967" s="9">
        <v>0.0</v>
      </c>
    </row>
    <row r="968">
      <c r="A968" s="24">
        <v>967.0</v>
      </c>
      <c r="B968" s="17" t="s">
        <v>1199</v>
      </c>
      <c r="C968" s="18" t="s">
        <v>73</v>
      </c>
      <c r="D968" s="18" t="s">
        <v>8</v>
      </c>
      <c r="E968" s="9">
        <v>0.0</v>
      </c>
    </row>
    <row r="969">
      <c r="A969" s="24">
        <v>968.0</v>
      </c>
      <c r="B969" s="17" t="s">
        <v>1200</v>
      </c>
      <c r="C969" s="18" t="s">
        <v>262</v>
      </c>
      <c r="D969" s="18" t="s">
        <v>8</v>
      </c>
      <c r="E969" s="9">
        <v>0.0</v>
      </c>
    </row>
    <row r="970">
      <c r="A970" s="24">
        <v>969.0</v>
      </c>
      <c r="B970" s="17" t="s">
        <v>1201</v>
      </c>
      <c r="C970" s="18" t="s">
        <v>262</v>
      </c>
      <c r="D970" s="18" t="s">
        <v>8</v>
      </c>
      <c r="E970" s="9">
        <v>0.0</v>
      </c>
    </row>
    <row r="971">
      <c r="A971" s="24">
        <v>970.0</v>
      </c>
      <c r="B971" s="17" t="s">
        <v>1202</v>
      </c>
      <c r="C971" s="18" t="s">
        <v>262</v>
      </c>
      <c r="D971" s="18" t="s">
        <v>8</v>
      </c>
      <c r="E971" s="9">
        <v>0.0</v>
      </c>
    </row>
    <row r="972">
      <c r="A972" s="24">
        <v>971.0</v>
      </c>
      <c r="B972" s="17" t="s">
        <v>355</v>
      </c>
      <c r="C972" s="18" t="s">
        <v>39</v>
      </c>
      <c r="D972" s="18" t="s">
        <v>8</v>
      </c>
      <c r="E972" s="9">
        <v>0.0</v>
      </c>
    </row>
    <row r="973">
      <c r="A973" s="24">
        <v>972.0</v>
      </c>
      <c r="B973" s="17" t="s">
        <v>1203</v>
      </c>
      <c r="C973" s="18" t="s">
        <v>262</v>
      </c>
      <c r="D973" s="18" t="s">
        <v>8</v>
      </c>
      <c r="E973" s="9">
        <v>0.0</v>
      </c>
    </row>
    <row r="974">
      <c r="A974" s="24">
        <v>973.0</v>
      </c>
      <c r="B974" s="17" t="s">
        <v>430</v>
      </c>
      <c r="C974" s="18" t="s">
        <v>21</v>
      </c>
      <c r="D974" s="18" t="s">
        <v>8</v>
      </c>
      <c r="E974" s="9">
        <v>0.0</v>
      </c>
    </row>
    <row r="975">
      <c r="A975" s="24">
        <v>974.0</v>
      </c>
      <c r="B975" s="17" t="s">
        <v>345</v>
      </c>
      <c r="C975" s="18" t="s">
        <v>28</v>
      </c>
      <c r="D975" s="18" t="s">
        <v>8</v>
      </c>
      <c r="E975" s="9">
        <v>0.0</v>
      </c>
    </row>
    <row r="976">
      <c r="A976" s="24">
        <v>975.0</v>
      </c>
      <c r="B976" s="17" t="s">
        <v>429</v>
      </c>
      <c r="C976" s="18" t="s">
        <v>262</v>
      </c>
      <c r="D976" s="18" t="s">
        <v>8</v>
      </c>
      <c r="E976" s="9">
        <v>0.0</v>
      </c>
    </row>
    <row r="977">
      <c r="A977" s="24">
        <v>976.0</v>
      </c>
      <c r="B977" s="17" t="s">
        <v>459</v>
      </c>
      <c r="C977" s="18" t="s">
        <v>15</v>
      </c>
      <c r="D977" s="18" t="s">
        <v>8</v>
      </c>
      <c r="E977" s="9">
        <v>0.0</v>
      </c>
    </row>
    <row r="978">
      <c r="A978" s="24">
        <v>977.0</v>
      </c>
      <c r="B978" s="17" t="s">
        <v>439</v>
      </c>
      <c r="C978" s="18" t="s">
        <v>58</v>
      </c>
      <c r="D978" s="18" t="s">
        <v>8</v>
      </c>
      <c r="E978" s="9">
        <v>0.0</v>
      </c>
    </row>
    <row r="979">
      <c r="A979" s="24">
        <v>978.0</v>
      </c>
      <c r="B979" s="17" t="s">
        <v>1204</v>
      </c>
      <c r="C979" s="18" t="s">
        <v>262</v>
      </c>
      <c r="D979" s="18" t="s">
        <v>8</v>
      </c>
      <c r="E979" s="9">
        <v>0.0</v>
      </c>
    </row>
    <row r="980">
      <c r="A980" s="24">
        <v>979.0</v>
      </c>
      <c r="B980" s="17" t="s">
        <v>451</v>
      </c>
      <c r="C980" s="18" t="s">
        <v>85</v>
      </c>
      <c r="D980" s="18" t="s">
        <v>8</v>
      </c>
      <c r="E980" s="9">
        <v>0.0</v>
      </c>
    </row>
    <row r="981">
      <c r="A981" s="24">
        <v>980.0</v>
      </c>
      <c r="B981" s="17" t="s">
        <v>1205</v>
      </c>
      <c r="C981" s="18" t="s">
        <v>262</v>
      </c>
      <c r="D981" s="18" t="s">
        <v>8</v>
      </c>
      <c r="E981" s="9">
        <v>0.0</v>
      </c>
    </row>
    <row r="982">
      <c r="A982" s="24">
        <v>981.0</v>
      </c>
      <c r="B982" s="17" t="s">
        <v>508</v>
      </c>
      <c r="C982" s="18" t="s">
        <v>85</v>
      </c>
      <c r="D982" s="18" t="s">
        <v>8</v>
      </c>
      <c r="E982" s="9">
        <v>0.0</v>
      </c>
    </row>
    <row r="983">
      <c r="A983" s="24">
        <v>982.0</v>
      </c>
      <c r="B983" s="17" t="s">
        <v>389</v>
      </c>
      <c r="C983" s="18" t="s">
        <v>35</v>
      </c>
      <c r="D983" s="18" t="s">
        <v>8</v>
      </c>
      <c r="E983" s="9">
        <v>0.0</v>
      </c>
    </row>
    <row r="984">
      <c r="A984" s="24">
        <v>983.0</v>
      </c>
      <c r="B984" s="17" t="s">
        <v>1206</v>
      </c>
      <c r="C984" s="18" t="s">
        <v>99</v>
      </c>
      <c r="D984" s="18" t="s">
        <v>8</v>
      </c>
      <c r="E984" s="9">
        <v>0.0</v>
      </c>
    </row>
    <row r="985">
      <c r="A985" s="24">
        <v>984.0</v>
      </c>
      <c r="B985" s="17" t="s">
        <v>354</v>
      </c>
      <c r="C985" s="18" t="s">
        <v>12</v>
      </c>
      <c r="D985" s="18" t="s">
        <v>8</v>
      </c>
      <c r="E985" s="9">
        <v>0.0</v>
      </c>
    </row>
    <row r="986">
      <c r="A986" s="24">
        <v>985.0</v>
      </c>
      <c r="B986" s="17" t="s">
        <v>399</v>
      </c>
      <c r="C986" s="18" t="s">
        <v>69</v>
      </c>
      <c r="D986" s="18" t="s">
        <v>8</v>
      </c>
      <c r="E986" s="9">
        <v>0.0</v>
      </c>
    </row>
    <row r="987">
      <c r="A987" s="24">
        <v>986.0</v>
      </c>
      <c r="B987" s="17" t="s">
        <v>465</v>
      </c>
      <c r="C987" s="18" t="s">
        <v>58</v>
      </c>
      <c r="D987" s="18" t="s">
        <v>8</v>
      </c>
      <c r="E987" s="9">
        <v>0.0</v>
      </c>
    </row>
    <row r="988">
      <c r="A988" s="24">
        <v>987.0</v>
      </c>
      <c r="B988" s="17" t="s">
        <v>501</v>
      </c>
      <c r="C988" s="18" t="s">
        <v>81</v>
      </c>
      <c r="D988" s="18" t="s">
        <v>77</v>
      </c>
      <c r="E988" s="9">
        <v>0.0</v>
      </c>
    </row>
    <row r="989">
      <c r="A989" s="24">
        <v>988.0</v>
      </c>
      <c r="B989" s="17" t="s">
        <v>476</v>
      </c>
      <c r="C989" s="18" t="s">
        <v>58</v>
      </c>
      <c r="D989" s="18" t="s">
        <v>77</v>
      </c>
      <c r="E989" s="9">
        <v>0.0</v>
      </c>
    </row>
    <row r="990">
      <c r="A990" s="24">
        <v>989.0</v>
      </c>
      <c r="B990" s="17" t="s">
        <v>295</v>
      </c>
      <c r="C990" s="18" t="s">
        <v>39</v>
      </c>
      <c r="D990" s="18" t="s">
        <v>77</v>
      </c>
      <c r="E990" s="9">
        <v>0.0</v>
      </c>
    </row>
    <row r="991">
      <c r="A991" s="24">
        <v>990.0</v>
      </c>
      <c r="B991" s="17" t="s">
        <v>1207</v>
      </c>
      <c r="C991" s="18" t="s">
        <v>64</v>
      </c>
      <c r="D991" s="18" t="s">
        <v>77</v>
      </c>
      <c r="E991" s="9">
        <v>0.0</v>
      </c>
    </row>
    <row r="992">
      <c r="A992" s="24">
        <v>991.0</v>
      </c>
      <c r="B992" s="17" t="s">
        <v>478</v>
      </c>
      <c r="C992" s="18" t="s">
        <v>53</v>
      </c>
      <c r="D992" s="18" t="s">
        <v>77</v>
      </c>
      <c r="E992" s="9">
        <v>0.0</v>
      </c>
    </row>
    <row r="993">
      <c r="A993" s="24">
        <v>992.0</v>
      </c>
      <c r="B993" s="17" t="s">
        <v>482</v>
      </c>
      <c r="C993" s="18" t="s">
        <v>41</v>
      </c>
      <c r="D993" s="18" t="s">
        <v>77</v>
      </c>
      <c r="E993" s="9">
        <v>0.0</v>
      </c>
    </row>
    <row r="994">
      <c r="A994" s="24">
        <v>993.0</v>
      </c>
      <c r="B994" s="17" t="s">
        <v>477</v>
      </c>
      <c r="C994" s="18" t="s">
        <v>69</v>
      </c>
      <c r="D994" s="18" t="s">
        <v>77</v>
      </c>
      <c r="E994" s="9">
        <v>0.0</v>
      </c>
    </row>
    <row r="995">
      <c r="A995" s="24">
        <v>994.0</v>
      </c>
      <c r="B995" s="17" t="s">
        <v>474</v>
      </c>
      <c r="C995" s="18" t="s">
        <v>21</v>
      </c>
      <c r="D995" s="18" t="s">
        <v>77</v>
      </c>
      <c r="E995" s="9">
        <v>0.0</v>
      </c>
    </row>
    <row r="996">
      <c r="A996" s="24">
        <v>995.0</v>
      </c>
      <c r="B996" s="17" t="s">
        <v>489</v>
      </c>
      <c r="C996" s="18" t="s">
        <v>62</v>
      </c>
      <c r="D996" s="18" t="s">
        <v>77</v>
      </c>
      <c r="E996" s="9">
        <v>0.0</v>
      </c>
    </row>
    <row r="997">
      <c r="A997" s="24">
        <v>996.0</v>
      </c>
      <c r="B997" s="17" t="s">
        <v>496</v>
      </c>
      <c r="C997" s="18" t="s">
        <v>32</v>
      </c>
      <c r="D997" s="18" t="s">
        <v>77</v>
      </c>
      <c r="E997" s="9">
        <v>0.0</v>
      </c>
    </row>
    <row r="998">
      <c r="A998" s="24">
        <v>997.0</v>
      </c>
      <c r="B998" s="17" t="s">
        <v>483</v>
      </c>
      <c r="C998" s="18" t="s">
        <v>30</v>
      </c>
      <c r="D998" s="18" t="s">
        <v>77</v>
      </c>
      <c r="E998" s="9">
        <v>0.0</v>
      </c>
    </row>
    <row r="999">
      <c r="A999" s="24">
        <v>998.0</v>
      </c>
      <c r="B999" s="17" t="s">
        <v>480</v>
      </c>
      <c r="C999" s="18" t="s">
        <v>47</v>
      </c>
      <c r="D999" s="18" t="s">
        <v>77</v>
      </c>
      <c r="E999" s="9">
        <v>0.0</v>
      </c>
    </row>
    <row r="1000">
      <c r="A1000" s="24">
        <v>999.0</v>
      </c>
      <c r="B1000" s="17" t="s">
        <v>487</v>
      </c>
      <c r="C1000" s="18" t="s">
        <v>19</v>
      </c>
      <c r="D1000" s="18" t="s">
        <v>77</v>
      </c>
      <c r="E1000" s="9">
        <v>0.0</v>
      </c>
    </row>
    <row r="1001">
      <c r="A1001" s="24">
        <v>1000.0</v>
      </c>
      <c r="B1001" s="17" t="s">
        <v>500</v>
      </c>
      <c r="C1001" s="18" t="s">
        <v>25</v>
      </c>
      <c r="D1001" s="18" t="s">
        <v>77</v>
      </c>
      <c r="E1001" s="9">
        <v>0.0</v>
      </c>
    </row>
    <row r="1002">
      <c r="A1002" s="24">
        <v>1001.0</v>
      </c>
      <c r="B1002" s="17" t="s">
        <v>502</v>
      </c>
      <c r="C1002" s="18" t="s">
        <v>15</v>
      </c>
      <c r="D1002" s="18" t="s">
        <v>77</v>
      </c>
      <c r="E1002" s="9">
        <v>0.0</v>
      </c>
    </row>
    <row r="1003">
      <c r="A1003" s="24">
        <v>1002.0</v>
      </c>
      <c r="B1003" s="17" t="s">
        <v>493</v>
      </c>
      <c r="C1003" s="18" t="s">
        <v>99</v>
      </c>
      <c r="D1003" s="18" t="s">
        <v>77</v>
      </c>
      <c r="E1003" s="9">
        <v>0.0</v>
      </c>
    </row>
    <row r="1004">
      <c r="A1004" s="24">
        <v>1003.0</v>
      </c>
      <c r="B1004" s="17" t="s">
        <v>486</v>
      </c>
      <c r="C1004" s="18" t="s">
        <v>45</v>
      </c>
      <c r="D1004" s="18" t="s">
        <v>77</v>
      </c>
      <c r="E1004" s="9">
        <v>0.0</v>
      </c>
    </row>
    <row r="1005">
      <c r="A1005" s="24">
        <v>1004.0</v>
      </c>
      <c r="B1005" s="17" t="s">
        <v>492</v>
      </c>
      <c r="C1005" s="18" t="s">
        <v>12</v>
      </c>
      <c r="D1005" s="18" t="s">
        <v>77</v>
      </c>
      <c r="E1005" s="9">
        <v>0.0</v>
      </c>
    </row>
    <row r="1006">
      <c r="A1006" s="24">
        <v>1005.0</v>
      </c>
      <c r="B1006" s="17" t="s">
        <v>499</v>
      </c>
      <c r="C1006" s="18" t="s">
        <v>37</v>
      </c>
      <c r="D1006" s="18" t="s">
        <v>77</v>
      </c>
      <c r="E1006" s="9">
        <v>0.0</v>
      </c>
    </row>
    <row r="1007">
      <c r="A1007" s="24">
        <v>1006.0</v>
      </c>
      <c r="B1007" s="17" t="s">
        <v>506</v>
      </c>
      <c r="C1007" s="18" t="s">
        <v>43</v>
      </c>
      <c r="D1007" s="18" t="s">
        <v>77</v>
      </c>
      <c r="E1007" s="9">
        <v>0.0</v>
      </c>
    </row>
    <row r="1008">
      <c r="A1008" s="24">
        <v>1007.0</v>
      </c>
      <c r="B1008" s="17" t="s">
        <v>498</v>
      </c>
      <c r="C1008" s="18" t="s">
        <v>55</v>
      </c>
      <c r="D1008" s="18" t="s">
        <v>77</v>
      </c>
      <c r="E1008" s="9">
        <v>0.0</v>
      </c>
    </row>
    <row r="1009">
      <c r="A1009" s="24">
        <v>1008.0</v>
      </c>
      <c r="B1009" s="17" t="s">
        <v>495</v>
      </c>
      <c r="C1009" s="18" t="s">
        <v>35</v>
      </c>
      <c r="D1009" s="18" t="s">
        <v>77</v>
      </c>
      <c r="E1009" s="9">
        <v>0.0</v>
      </c>
    </row>
    <row r="1010">
      <c r="A1010" s="24">
        <v>1009.0</v>
      </c>
      <c r="B1010" s="17" t="s">
        <v>491</v>
      </c>
      <c r="C1010" s="18" t="s">
        <v>7</v>
      </c>
      <c r="D1010" s="18" t="s">
        <v>77</v>
      </c>
      <c r="E1010" s="9">
        <v>0.0</v>
      </c>
    </row>
    <row r="1011">
      <c r="A1011" s="24">
        <v>1010.0</v>
      </c>
      <c r="B1011" s="17" t="s">
        <v>503</v>
      </c>
      <c r="C1011" s="18" t="s">
        <v>119</v>
      </c>
      <c r="D1011" s="18" t="s">
        <v>77</v>
      </c>
      <c r="E1011" s="9">
        <v>0.0</v>
      </c>
    </row>
    <row r="1012">
      <c r="A1012" s="24">
        <v>1011.0</v>
      </c>
      <c r="B1012" s="17" t="s">
        <v>505</v>
      </c>
      <c r="C1012" s="18" t="s">
        <v>17</v>
      </c>
      <c r="D1012" s="18" t="s">
        <v>77</v>
      </c>
      <c r="E1012" s="9">
        <v>0.0</v>
      </c>
    </row>
    <row r="1013">
      <c r="A1013" s="24">
        <v>1012.0</v>
      </c>
      <c r="B1013" s="17" t="s">
        <v>514</v>
      </c>
      <c r="C1013" s="18" t="s">
        <v>28</v>
      </c>
      <c r="D1013" s="18" t="s">
        <v>77</v>
      </c>
      <c r="E1013" s="9">
        <v>0.0</v>
      </c>
    </row>
    <row r="1014">
      <c r="A1014" s="24">
        <v>1013.0</v>
      </c>
      <c r="B1014" s="17" t="s">
        <v>481</v>
      </c>
      <c r="C1014" s="18" t="s">
        <v>73</v>
      </c>
      <c r="D1014" s="18" t="s">
        <v>77</v>
      </c>
      <c r="E1014" s="9">
        <v>0.0</v>
      </c>
    </row>
    <row r="1015">
      <c r="A1015" s="24">
        <v>1014.0</v>
      </c>
      <c r="B1015" s="17" t="s">
        <v>479</v>
      </c>
      <c r="C1015" s="18" t="s">
        <v>73</v>
      </c>
      <c r="D1015" s="18" t="s">
        <v>77</v>
      </c>
      <c r="E1015" s="9">
        <v>0.0</v>
      </c>
    </row>
    <row r="1016">
      <c r="A1016" s="24">
        <v>1015.0</v>
      </c>
      <c r="B1016" s="17" t="s">
        <v>513</v>
      </c>
      <c r="C1016" s="18" t="s">
        <v>66</v>
      </c>
      <c r="D1016" s="18" t="s">
        <v>77</v>
      </c>
      <c r="E1016" s="9">
        <v>0.0</v>
      </c>
    </row>
    <row r="1017">
      <c r="A1017" s="24">
        <v>1016.0</v>
      </c>
      <c r="B1017" s="17" t="s">
        <v>512</v>
      </c>
      <c r="C1017" s="18" t="s">
        <v>21</v>
      </c>
      <c r="D1017" s="18" t="s">
        <v>77</v>
      </c>
      <c r="E1017" s="9">
        <v>0.0</v>
      </c>
    </row>
    <row r="1018">
      <c r="A1018" s="24">
        <v>1017.0</v>
      </c>
      <c r="B1018" s="17" t="s">
        <v>1208</v>
      </c>
      <c r="C1018" s="18" t="s">
        <v>81</v>
      </c>
      <c r="D1018" s="18" t="s">
        <v>77</v>
      </c>
      <c r="E1018" s="9">
        <v>0.0</v>
      </c>
    </row>
    <row r="1019">
      <c r="A1019" s="24">
        <v>1018.0</v>
      </c>
      <c r="B1019" s="17" t="s">
        <v>1209</v>
      </c>
      <c r="C1019" s="18" t="s">
        <v>262</v>
      </c>
      <c r="D1019" s="18" t="s">
        <v>77</v>
      </c>
      <c r="E1019" s="9">
        <v>0.0</v>
      </c>
    </row>
    <row r="1020">
      <c r="A1020" s="24">
        <v>1019.0</v>
      </c>
      <c r="B1020" s="17" t="s">
        <v>1210</v>
      </c>
      <c r="C1020" s="18" t="s">
        <v>262</v>
      </c>
      <c r="D1020" s="18" t="s">
        <v>77</v>
      </c>
      <c r="E1020" s="9">
        <v>0.0</v>
      </c>
    </row>
    <row r="1021">
      <c r="A1021" s="24">
        <v>1020.0</v>
      </c>
      <c r="B1021" s="17" t="s">
        <v>529</v>
      </c>
      <c r="C1021" s="18" t="s">
        <v>55</v>
      </c>
      <c r="D1021" s="18" t="s">
        <v>77</v>
      </c>
      <c r="E1021" s="9">
        <v>0.0</v>
      </c>
    </row>
    <row r="1022">
      <c r="A1022" s="24">
        <v>1021.0</v>
      </c>
      <c r="B1022" s="17" t="s">
        <v>1211</v>
      </c>
      <c r="C1022" s="18" t="s">
        <v>262</v>
      </c>
      <c r="D1022" s="18" t="s">
        <v>77</v>
      </c>
      <c r="E1022" s="9">
        <v>0.0</v>
      </c>
    </row>
    <row r="1023">
      <c r="A1023" s="24">
        <v>1022.0</v>
      </c>
      <c r="B1023" s="17" t="s">
        <v>518</v>
      </c>
      <c r="C1023" s="18" t="s">
        <v>32</v>
      </c>
      <c r="D1023" s="18" t="s">
        <v>77</v>
      </c>
      <c r="E1023" s="9">
        <v>0.0</v>
      </c>
    </row>
    <row r="1024">
      <c r="A1024" s="24">
        <v>1023.0</v>
      </c>
      <c r="B1024" s="17" t="s">
        <v>488</v>
      </c>
      <c r="C1024" s="18" t="s">
        <v>69</v>
      </c>
      <c r="D1024" s="18" t="s">
        <v>77</v>
      </c>
      <c r="E1024" s="9">
        <v>0.0</v>
      </c>
    </row>
    <row r="1025">
      <c r="A1025" s="24">
        <v>1024.0</v>
      </c>
      <c r="B1025" s="17" t="s">
        <v>1212</v>
      </c>
      <c r="C1025" s="18" t="s">
        <v>10</v>
      </c>
      <c r="D1025" s="18" t="s">
        <v>77</v>
      </c>
      <c r="E1025" s="9">
        <v>0.0</v>
      </c>
    </row>
    <row r="1026">
      <c r="A1026" s="24">
        <v>1025.0</v>
      </c>
      <c r="B1026" s="17" t="s">
        <v>284</v>
      </c>
      <c r="C1026" s="18" t="s">
        <v>10</v>
      </c>
      <c r="D1026" s="18" t="s">
        <v>77</v>
      </c>
      <c r="E1026" s="9">
        <v>0.0</v>
      </c>
    </row>
    <row r="1027">
      <c r="A1027" s="24">
        <v>1026.0</v>
      </c>
      <c r="B1027" s="17" t="s">
        <v>530</v>
      </c>
      <c r="C1027" s="18" t="s">
        <v>53</v>
      </c>
      <c r="D1027" s="18" t="s">
        <v>77</v>
      </c>
      <c r="E1027" s="9">
        <v>0.0</v>
      </c>
    </row>
    <row r="1028">
      <c r="A1028" s="24">
        <v>1027.0</v>
      </c>
      <c r="B1028" s="17" t="s">
        <v>525</v>
      </c>
      <c r="C1028" s="18" t="s">
        <v>47</v>
      </c>
      <c r="D1028" s="18" t="s">
        <v>77</v>
      </c>
      <c r="E1028" s="9">
        <v>0.0</v>
      </c>
    </row>
    <row r="1029">
      <c r="A1029" s="24">
        <v>1028.0</v>
      </c>
      <c r="B1029" s="17" t="s">
        <v>528</v>
      </c>
      <c r="C1029" s="18" t="s">
        <v>15</v>
      </c>
      <c r="D1029" s="18" t="s">
        <v>77</v>
      </c>
      <c r="E1029" s="9">
        <v>0.0</v>
      </c>
    </row>
    <row r="1030">
      <c r="A1030" s="24">
        <v>1029.0</v>
      </c>
      <c r="B1030" s="17" t="s">
        <v>1213</v>
      </c>
      <c r="C1030" s="18" t="s">
        <v>262</v>
      </c>
      <c r="D1030" s="18" t="s">
        <v>77</v>
      </c>
      <c r="E1030" s="9">
        <v>0.0</v>
      </c>
    </row>
    <row r="1031">
      <c r="A1031" s="24">
        <v>1030.0</v>
      </c>
      <c r="B1031" s="17" t="s">
        <v>484</v>
      </c>
      <c r="C1031" s="18" t="s">
        <v>23</v>
      </c>
      <c r="D1031" s="18" t="s">
        <v>77</v>
      </c>
      <c r="E1031" s="9">
        <v>0.0</v>
      </c>
    </row>
    <row r="1032">
      <c r="A1032" s="24">
        <v>1031.0</v>
      </c>
      <c r="B1032" s="17" t="s">
        <v>522</v>
      </c>
      <c r="C1032" s="18" t="s">
        <v>45</v>
      </c>
      <c r="D1032" s="18" t="s">
        <v>77</v>
      </c>
      <c r="E1032" s="9">
        <v>0.0</v>
      </c>
    </row>
    <row r="1033">
      <c r="A1033" s="24">
        <v>1032.0</v>
      </c>
      <c r="B1033" s="17" t="s">
        <v>526</v>
      </c>
      <c r="C1033" s="18" t="s">
        <v>35</v>
      </c>
      <c r="D1033" s="18" t="s">
        <v>77</v>
      </c>
      <c r="E1033" s="9">
        <v>0.0</v>
      </c>
    </row>
    <row r="1034">
      <c r="A1034" s="24">
        <v>1033.0</v>
      </c>
      <c r="B1034" s="17" t="s">
        <v>1214</v>
      </c>
      <c r="C1034" s="18" t="s">
        <v>81</v>
      </c>
      <c r="D1034" s="18" t="s">
        <v>77</v>
      </c>
      <c r="E1034" s="9">
        <v>0.0</v>
      </c>
    </row>
    <row r="1035">
      <c r="A1035" s="24">
        <v>1034.0</v>
      </c>
      <c r="B1035" s="17" t="s">
        <v>1215</v>
      </c>
      <c r="C1035" s="18" t="s">
        <v>262</v>
      </c>
      <c r="D1035" s="18" t="s">
        <v>77</v>
      </c>
      <c r="E1035" s="9">
        <v>0.0</v>
      </c>
    </row>
    <row r="1036">
      <c r="A1036" s="24">
        <v>1035.0</v>
      </c>
      <c r="B1036" s="17" t="s">
        <v>292</v>
      </c>
      <c r="C1036" s="18" t="s">
        <v>28</v>
      </c>
      <c r="D1036" s="18" t="s">
        <v>77</v>
      </c>
      <c r="E1036" s="9">
        <v>0.0</v>
      </c>
    </row>
    <row r="1037">
      <c r="A1037" s="24">
        <v>1036.0</v>
      </c>
      <c r="B1037" s="17" t="s">
        <v>1216</v>
      </c>
      <c r="C1037" s="18" t="s">
        <v>25</v>
      </c>
      <c r="D1037" s="18" t="s">
        <v>77</v>
      </c>
      <c r="E1037" s="9">
        <v>0.0</v>
      </c>
    </row>
    <row r="1038">
      <c r="A1038" s="24">
        <v>1037.0</v>
      </c>
      <c r="B1038" s="17" t="s">
        <v>1217</v>
      </c>
      <c r="C1038" s="18" t="s">
        <v>262</v>
      </c>
      <c r="D1038" s="18" t="s">
        <v>77</v>
      </c>
      <c r="E1038" s="9">
        <v>0.0</v>
      </c>
    </row>
    <row r="1039">
      <c r="A1039" s="24">
        <v>1038.0</v>
      </c>
      <c r="B1039" s="17" t="s">
        <v>508</v>
      </c>
      <c r="C1039" s="18" t="s">
        <v>43</v>
      </c>
      <c r="D1039" s="18" t="s">
        <v>77</v>
      </c>
      <c r="E1039" s="9">
        <v>0.0</v>
      </c>
    </row>
    <row r="1040">
      <c r="A1040" s="24">
        <v>1039.0</v>
      </c>
      <c r="B1040" s="17" t="s">
        <v>1218</v>
      </c>
      <c r="C1040" s="18" t="s">
        <v>73</v>
      </c>
      <c r="D1040" s="18" t="s">
        <v>77</v>
      </c>
      <c r="E1040" s="9">
        <v>0.0</v>
      </c>
    </row>
    <row r="1041">
      <c r="A1041" s="24">
        <v>1040.0</v>
      </c>
      <c r="B1041" s="17" t="s">
        <v>1219</v>
      </c>
      <c r="C1041" s="18" t="s">
        <v>262</v>
      </c>
      <c r="D1041" s="18" t="s">
        <v>77</v>
      </c>
      <c r="E1041" s="9">
        <v>0.0</v>
      </c>
    </row>
    <row r="1042">
      <c r="A1042" s="24">
        <v>1041.0</v>
      </c>
      <c r="B1042" s="17" t="s">
        <v>1220</v>
      </c>
      <c r="C1042" s="18" t="s">
        <v>23</v>
      </c>
      <c r="D1042" s="18" t="s">
        <v>77</v>
      </c>
      <c r="E1042" s="9">
        <v>0.0</v>
      </c>
    </row>
    <row r="1043">
      <c r="A1043" s="24">
        <v>1042.0</v>
      </c>
      <c r="B1043" s="17" t="s">
        <v>1221</v>
      </c>
      <c r="C1043" s="18" t="s">
        <v>89</v>
      </c>
      <c r="D1043" s="18" t="s">
        <v>77</v>
      </c>
      <c r="E1043" s="9">
        <v>0.0</v>
      </c>
    </row>
    <row r="1044">
      <c r="A1044" s="24">
        <v>1043.0</v>
      </c>
      <c r="B1044" s="17" t="s">
        <v>1222</v>
      </c>
      <c r="C1044" s="18" t="s">
        <v>73</v>
      </c>
      <c r="D1044" s="18" t="s">
        <v>77</v>
      </c>
      <c r="E1044" s="9">
        <v>0.0</v>
      </c>
    </row>
    <row r="1045">
      <c r="A1045" s="24">
        <v>1044.0</v>
      </c>
      <c r="B1045" s="17" t="s">
        <v>1223</v>
      </c>
      <c r="C1045" s="18" t="s">
        <v>41</v>
      </c>
      <c r="D1045" s="18" t="s">
        <v>77</v>
      </c>
      <c r="E1045" s="9">
        <v>0.0</v>
      </c>
    </row>
    <row r="1046">
      <c r="A1046" s="24">
        <v>1045.0</v>
      </c>
      <c r="B1046" s="17" t="s">
        <v>1224</v>
      </c>
      <c r="C1046" s="18" t="s">
        <v>262</v>
      </c>
      <c r="D1046" s="18" t="s">
        <v>77</v>
      </c>
      <c r="E1046" s="9">
        <v>0.0</v>
      </c>
    </row>
    <row r="1047">
      <c r="A1047" s="24">
        <v>1046.0</v>
      </c>
      <c r="B1047" s="17" t="s">
        <v>494</v>
      </c>
      <c r="C1047" s="18" t="s">
        <v>10</v>
      </c>
      <c r="D1047" s="18" t="s">
        <v>77</v>
      </c>
      <c r="E1047" s="9">
        <v>0.0</v>
      </c>
    </row>
    <row r="1048">
      <c r="A1048" s="24">
        <v>1047.0</v>
      </c>
      <c r="B1048" s="17" t="s">
        <v>1225</v>
      </c>
      <c r="C1048" s="18" t="s">
        <v>262</v>
      </c>
      <c r="D1048" s="18" t="s">
        <v>77</v>
      </c>
      <c r="E1048" s="9">
        <v>0.0</v>
      </c>
    </row>
    <row r="1049">
      <c r="A1049" s="24">
        <v>1048.0</v>
      </c>
      <c r="B1049" s="17" t="s">
        <v>1226</v>
      </c>
      <c r="C1049" s="18" t="s">
        <v>262</v>
      </c>
      <c r="D1049" s="18" t="s">
        <v>77</v>
      </c>
      <c r="E1049" s="9">
        <v>0.0</v>
      </c>
    </row>
    <row r="1050">
      <c r="A1050" s="24">
        <v>1049.0</v>
      </c>
      <c r="B1050" s="17" t="s">
        <v>521</v>
      </c>
      <c r="C1050" s="18" t="s">
        <v>30</v>
      </c>
      <c r="D1050" s="18" t="s">
        <v>77</v>
      </c>
      <c r="E1050" s="9">
        <v>0.0</v>
      </c>
    </row>
    <row r="1051">
      <c r="A1051" s="24">
        <v>1050.0</v>
      </c>
      <c r="B1051" s="17" t="s">
        <v>737</v>
      </c>
      <c r="C1051" s="18" t="s">
        <v>37</v>
      </c>
      <c r="D1051" s="18" t="s">
        <v>77</v>
      </c>
      <c r="E1051" s="9">
        <v>0.0</v>
      </c>
    </row>
    <row r="1052">
      <c r="A1052" s="24">
        <v>1051.0</v>
      </c>
      <c r="B1052" s="17" t="s">
        <v>1227</v>
      </c>
      <c r="C1052" s="18" t="s">
        <v>262</v>
      </c>
      <c r="D1052" s="18" t="s">
        <v>77</v>
      </c>
      <c r="E1052" s="9">
        <v>0.0</v>
      </c>
    </row>
    <row r="1053">
      <c r="A1053" s="24">
        <v>1052.0</v>
      </c>
      <c r="B1053" s="17" t="s">
        <v>510</v>
      </c>
      <c r="C1053" s="18" t="s">
        <v>262</v>
      </c>
      <c r="D1053" s="18" t="s">
        <v>77</v>
      </c>
      <c r="E1053" s="9">
        <v>0.0</v>
      </c>
    </row>
    <row r="1054">
      <c r="A1054" s="24">
        <v>1053.0</v>
      </c>
      <c r="B1054" s="17" t="s">
        <v>1228</v>
      </c>
      <c r="C1054" s="18" t="s">
        <v>262</v>
      </c>
      <c r="D1054" s="18" t="s">
        <v>77</v>
      </c>
      <c r="E1054" s="9">
        <v>0.0</v>
      </c>
    </row>
    <row r="1055">
      <c r="A1055" s="24">
        <v>1054.0</v>
      </c>
      <c r="B1055" s="17" t="s">
        <v>1229</v>
      </c>
      <c r="C1055" s="18" t="s">
        <v>32</v>
      </c>
      <c r="D1055" s="18" t="s">
        <v>77</v>
      </c>
      <c r="E1055" s="9">
        <v>0.0</v>
      </c>
    </row>
    <row r="1056">
      <c r="A1056" s="24">
        <v>1055.0</v>
      </c>
      <c r="B1056" s="17" t="s">
        <v>511</v>
      </c>
      <c r="C1056" s="18" t="s">
        <v>25</v>
      </c>
      <c r="D1056" s="18" t="s">
        <v>77</v>
      </c>
      <c r="E1056" s="9">
        <v>0.0</v>
      </c>
    </row>
    <row r="1057">
      <c r="A1057" s="24">
        <v>1056.0</v>
      </c>
      <c r="B1057" s="17" t="s">
        <v>1230</v>
      </c>
      <c r="C1057" s="18" t="s">
        <v>99</v>
      </c>
      <c r="D1057" s="18" t="s">
        <v>77</v>
      </c>
      <c r="E1057" s="9">
        <v>0.0</v>
      </c>
    </row>
    <row r="1058">
      <c r="A1058" s="24">
        <v>1057.0</v>
      </c>
      <c r="B1058" s="17" t="s">
        <v>1231</v>
      </c>
      <c r="C1058" s="18" t="s">
        <v>12</v>
      </c>
      <c r="D1058" s="18" t="s">
        <v>77</v>
      </c>
      <c r="E1058" s="9">
        <v>0.0</v>
      </c>
    </row>
    <row r="1059">
      <c r="A1059" s="24">
        <v>1058.0</v>
      </c>
      <c r="B1059" s="17" t="s">
        <v>1232</v>
      </c>
      <c r="C1059" s="18" t="s">
        <v>262</v>
      </c>
      <c r="D1059" s="18" t="s">
        <v>77</v>
      </c>
      <c r="E1059" s="9">
        <v>0.0</v>
      </c>
    </row>
    <row r="1060">
      <c r="A1060" s="24">
        <v>1059.0</v>
      </c>
      <c r="B1060" s="17" t="s">
        <v>1233</v>
      </c>
      <c r="C1060" s="18" t="s">
        <v>64</v>
      </c>
      <c r="D1060" s="18" t="s">
        <v>77</v>
      </c>
      <c r="E1060" s="9">
        <v>0.0</v>
      </c>
    </row>
    <row r="1061">
      <c r="A1061" s="24">
        <v>1060.0</v>
      </c>
      <c r="B1061" s="17" t="s">
        <v>485</v>
      </c>
      <c r="C1061" s="18" t="s">
        <v>37</v>
      </c>
      <c r="D1061" s="18" t="s">
        <v>77</v>
      </c>
      <c r="E1061" s="9">
        <v>0.0</v>
      </c>
    </row>
    <row r="1062">
      <c r="A1062" s="24">
        <v>1061.0</v>
      </c>
      <c r="B1062" s="17" t="s">
        <v>520</v>
      </c>
      <c r="C1062" s="18" t="s">
        <v>89</v>
      </c>
      <c r="D1062" s="18" t="s">
        <v>77</v>
      </c>
      <c r="E1062" s="9">
        <v>0.0</v>
      </c>
    </row>
    <row r="1063">
      <c r="A1063" s="24">
        <v>1062.0</v>
      </c>
      <c r="B1063" s="17" t="s">
        <v>527</v>
      </c>
      <c r="C1063" s="18" t="s">
        <v>85</v>
      </c>
      <c r="D1063" s="18" t="s">
        <v>77</v>
      </c>
      <c r="E1063" s="9">
        <v>0.0</v>
      </c>
    </row>
    <row r="1064">
      <c r="A1064" s="24">
        <v>1063.0</v>
      </c>
      <c r="B1064" s="17" t="s">
        <v>1234</v>
      </c>
      <c r="C1064" s="18" t="s">
        <v>17</v>
      </c>
      <c r="D1064" s="18" t="s">
        <v>77</v>
      </c>
      <c r="E1064" s="9">
        <v>0.0</v>
      </c>
    </row>
    <row r="1065">
      <c r="A1065" s="24">
        <v>1064.0</v>
      </c>
      <c r="B1065" s="17" t="s">
        <v>1235</v>
      </c>
      <c r="C1065" s="18" t="s">
        <v>262</v>
      </c>
      <c r="D1065" s="18" t="s">
        <v>77</v>
      </c>
      <c r="E1065" s="9">
        <v>0.0</v>
      </c>
    </row>
    <row r="1066">
      <c r="A1066" s="24">
        <v>1065.0</v>
      </c>
      <c r="B1066" s="17" t="s">
        <v>523</v>
      </c>
      <c r="C1066" s="18" t="s">
        <v>39</v>
      </c>
      <c r="D1066" s="18" t="s">
        <v>77</v>
      </c>
      <c r="E1066" s="9">
        <v>0.0</v>
      </c>
    </row>
    <row r="1067">
      <c r="A1067" s="24">
        <v>1066.0</v>
      </c>
      <c r="B1067" s="17" t="s">
        <v>1236</v>
      </c>
      <c r="C1067" s="18" t="s">
        <v>28</v>
      </c>
      <c r="D1067" s="18" t="s">
        <v>77</v>
      </c>
      <c r="E1067" s="9">
        <v>0.0</v>
      </c>
    </row>
    <row r="1068">
      <c r="A1068" s="24">
        <v>1067.0</v>
      </c>
      <c r="B1068" s="17" t="s">
        <v>507</v>
      </c>
      <c r="C1068" s="18" t="s">
        <v>119</v>
      </c>
      <c r="D1068" s="18" t="s">
        <v>77</v>
      </c>
      <c r="E1068" s="9">
        <v>0.0</v>
      </c>
    </row>
    <row r="1069">
      <c r="A1069" s="24">
        <v>1068.0</v>
      </c>
      <c r="B1069" s="17" t="s">
        <v>497</v>
      </c>
      <c r="C1069" s="18" t="s">
        <v>64</v>
      </c>
      <c r="D1069" s="18" t="s">
        <v>77</v>
      </c>
      <c r="E1069" s="9">
        <v>0.0</v>
      </c>
    </row>
    <row r="1070">
      <c r="A1070" s="24">
        <v>1069.0</v>
      </c>
      <c r="B1070" s="17" t="s">
        <v>1237</v>
      </c>
      <c r="C1070" s="18" t="s">
        <v>262</v>
      </c>
      <c r="D1070" s="18" t="s">
        <v>77</v>
      </c>
      <c r="E1070" s="9">
        <v>0.0</v>
      </c>
    </row>
    <row r="1071">
      <c r="A1071" s="24">
        <v>1070.0</v>
      </c>
      <c r="B1071" s="17" t="s">
        <v>509</v>
      </c>
      <c r="C1071" s="18" t="s">
        <v>7</v>
      </c>
      <c r="D1071" s="18" t="s">
        <v>77</v>
      </c>
      <c r="E1071" s="9">
        <v>0.0</v>
      </c>
    </row>
    <row r="1072">
      <c r="A1072" s="24">
        <v>1071.0</v>
      </c>
      <c r="B1072" s="17" t="s">
        <v>490</v>
      </c>
      <c r="C1072" s="18" t="s">
        <v>17</v>
      </c>
      <c r="D1072" s="18" t="s">
        <v>77</v>
      </c>
      <c r="E1072" s="9">
        <v>0.0</v>
      </c>
    </row>
    <row r="1073">
      <c r="A1073" s="24">
        <v>1072.0</v>
      </c>
      <c r="B1073" s="17" t="s">
        <v>1238</v>
      </c>
      <c r="C1073" s="18" t="s">
        <v>262</v>
      </c>
      <c r="D1073" s="18" t="s">
        <v>77</v>
      </c>
      <c r="E1073" s="9">
        <v>0.0</v>
      </c>
    </row>
    <row r="1074">
      <c r="A1074" s="24">
        <v>1073.0</v>
      </c>
      <c r="B1074" s="17" t="s">
        <v>1239</v>
      </c>
      <c r="C1074" s="18" t="s">
        <v>23</v>
      </c>
      <c r="D1074" s="18" t="s">
        <v>77</v>
      </c>
      <c r="E1074" s="9">
        <v>0.0</v>
      </c>
    </row>
    <row r="1075">
      <c r="A1075" s="24">
        <v>1074.0</v>
      </c>
      <c r="B1075" s="17" t="s">
        <v>515</v>
      </c>
      <c r="C1075" s="18" t="s">
        <v>41</v>
      </c>
      <c r="D1075" s="18" t="s">
        <v>77</v>
      </c>
      <c r="E1075" s="9">
        <v>0.0</v>
      </c>
    </row>
    <row r="1076">
      <c r="A1076" s="24">
        <v>1075.0</v>
      </c>
      <c r="B1076" s="17" t="s">
        <v>1240</v>
      </c>
      <c r="C1076" s="18" t="s">
        <v>62</v>
      </c>
      <c r="D1076" s="18" t="s">
        <v>77</v>
      </c>
      <c r="E1076" s="9">
        <v>0.0</v>
      </c>
    </row>
  </sheetData>
  <autoFilter ref="$A$1:$E$1076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8.13"/>
    <col customWidth="1" min="3" max="3" width="7.13"/>
    <col customWidth="1" min="4" max="4" width="9.25"/>
    <col customWidth="1" min="5" max="5" width="7.5"/>
  </cols>
  <sheetData>
    <row r="1">
      <c r="A1" s="10" t="s">
        <v>0</v>
      </c>
      <c r="B1" s="10" t="s">
        <v>1</v>
      </c>
      <c r="C1" s="11" t="s">
        <v>2</v>
      </c>
      <c r="D1" s="12" t="s">
        <v>3</v>
      </c>
      <c r="E1" s="4" t="s">
        <v>4</v>
      </c>
      <c r="G1" s="5" t="s">
        <v>5</v>
      </c>
    </row>
    <row r="2">
      <c r="A2" s="25">
        <v>1.0</v>
      </c>
      <c r="B2" s="14" t="s">
        <v>11</v>
      </c>
      <c r="C2" s="15" t="s">
        <v>12</v>
      </c>
      <c r="D2" s="15" t="s">
        <v>13</v>
      </c>
      <c r="E2" s="16">
        <v>70.0</v>
      </c>
    </row>
    <row r="3">
      <c r="A3" s="25">
        <v>2.0</v>
      </c>
      <c r="B3" s="17" t="s">
        <v>16</v>
      </c>
      <c r="C3" s="18" t="s">
        <v>17</v>
      </c>
      <c r="D3" s="18" t="s">
        <v>13</v>
      </c>
      <c r="E3" s="9">
        <v>69.0</v>
      </c>
    </row>
    <row r="4">
      <c r="A4" s="25">
        <v>3.0</v>
      </c>
      <c r="B4" s="17" t="s">
        <v>6</v>
      </c>
      <c r="C4" s="18" t="s">
        <v>7</v>
      </c>
      <c r="D4" s="18" t="s">
        <v>8</v>
      </c>
      <c r="E4" s="9">
        <v>67.0</v>
      </c>
    </row>
    <row r="5">
      <c r="A5" s="25">
        <v>4.0</v>
      </c>
      <c r="B5" s="17" t="s">
        <v>9</v>
      </c>
      <c r="C5" s="18" t="s">
        <v>10</v>
      </c>
      <c r="D5" s="18" t="s">
        <v>8</v>
      </c>
      <c r="E5" s="9">
        <v>58.0</v>
      </c>
    </row>
    <row r="6">
      <c r="A6" s="25">
        <v>5.0</v>
      </c>
      <c r="B6" s="17" t="s">
        <v>76</v>
      </c>
      <c r="C6" s="18" t="s">
        <v>30</v>
      </c>
      <c r="D6" s="18" t="s">
        <v>77</v>
      </c>
      <c r="E6" s="9">
        <v>55.0</v>
      </c>
    </row>
    <row r="7">
      <c r="A7" s="25">
        <v>6.0</v>
      </c>
      <c r="B7" s="17" t="s">
        <v>14</v>
      </c>
      <c r="C7" s="18" t="s">
        <v>15</v>
      </c>
      <c r="D7" s="18" t="s">
        <v>8</v>
      </c>
      <c r="E7" s="9">
        <v>47.0</v>
      </c>
    </row>
    <row r="8">
      <c r="A8" s="25">
        <v>7.0</v>
      </c>
      <c r="B8" s="17" t="s">
        <v>96</v>
      </c>
      <c r="C8" s="18" t="s">
        <v>15</v>
      </c>
      <c r="D8" s="18" t="s">
        <v>77</v>
      </c>
      <c r="E8" s="9">
        <v>45.0</v>
      </c>
    </row>
    <row r="9">
      <c r="A9" s="25">
        <v>8.0</v>
      </c>
      <c r="B9" s="17" t="s">
        <v>29</v>
      </c>
      <c r="C9" s="18" t="s">
        <v>30</v>
      </c>
      <c r="D9" s="18" t="s">
        <v>13</v>
      </c>
      <c r="E9" s="9">
        <v>45.0</v>
      </c>
    </row>
    <row r="10">
      <c r="A10" s="25">
        <v>9.0</v>
      </c>
      <c r="B10" s="17" t="s">
        <v>18</v>
      </c>
      <c r="C10" s="18" t="s">
        <v>19</v>
      </c>
      <c r="D10" s="18" t="s">
        <v>13</v>
      </c>
      <c r="E10" s="9">
        <v>44.0</v>
      </c>
    </row>
    <row r="11">
      <c r="A11" s="25">
        <v>10.0</v>
      </c>
      <c r="B11" s="17" t="s">
        <v>24</v>
      </c>
      <c r="C11" s="18" t="s">
        <v>25</v>
      </c>
      <c r="D11" s="18" t="s">
        <v>13</v>
      </c>
      <c r="E11" s="9">
        <v>44.0</v>
      </c>
    </row>
    <row r="12">
      <c r="A12" s="25">
        <v>11.0</v>
      </c>
      <c r="B12" s="17" t="s">
        <v>20</v>
      </c>
      <c r="C12" s="18" t="s">
        <v>21</v>
      </c>
      <c r="D12" s="18" t="s">
        <v>8</v>
      </c>
      <c r="E12" s="9">
        <v>43.0</v>
      </c>
    </row>
    <row r="13">
      <c r="A13" s="25">
        <v>12.0</v>
      </c>
      <c r="B13" s="17" t="s">
        <v>122</v>
      </c>
      <c r="C13" s="18" t="s">
        <v>64</v>
      </c>
      <c r="D13" s="18" t="s">
        <v>77</v>
      </c>
      <c r="E13" s="9">
        <v>39.0</v>
      </c>
    </row>
    <row r="14">
      <c r="A14" s="25">
        <v>13.0</v>
      </c>
      <c r="B14" s="17" t="s">
        <v>33</v>
      </c>
      <c r="C14" s="18" t="s">
        <v>19</v>
      </c>
      <c r="D14" s="18" t="s">
        <v>8</v>
      </c>
      <c r="E14" s="9">
        <v>39.0</v>
      </c>
    </row>
    <row r="15">
      <c r="A15" s="25">
        <v>14.0</v>
      </c>
      <c r="B15" s="17" t="s">
        <v>26</v>
      </c>
      <c r="C15" s="18" t="s">
        <v>17</v>
      </c>
      <c r="D15" s="18" t="s">
        <v>8</v>
      </c>
      <c r="E15" s="9">
        <v>39.0</v>
      </c>
    </row>
    <row r="16">
      <c r="A16" s="25">
        <v>15.0</v>
      </c>
      <c r="B16" s="17" t="s">
        <v>40</v>
      </c>
      <c r="C16" s="18" t="s">
        <v>41</v>
      </c>
      <c r="D16" s="18" t="s">
        <v>8</v>
      </c>
      <c r="E16" s="9">
        <v>38.0</v>
      </c>
    </row>
    <row r="17">
      <c r="A17" s="25">
        <v>16.0</v>
      </c>
      <c r="B17" s="17" t="s">
        <v>57</v>
      </c>
      <c r="C17" s="18" t="s">
        <v>58</v>
      </c>
      <c r="D17" s="18" t="s">
        <v>59</v>
      </c>
      <c r="E17" s="9">
        <v>38.0</v>
      </c>
    </row>
    <row r="18">
      <c r="A18" s="25">
        <v>17.0</v>
      </c>
      <c r="B18" s="17" t="s">
        <v>120</v>
      </c>
      <c r="C18" s="18" t="s">
        <v>45</v>
      </c>
      <c r="D18" s="18" t="s">
        <v>77</v>
      </c>
      <c r="E18" s="9">
        <v>37.0</v>
      </c>
    </row>
    <row r="19">
      <c r="A19" s="25">
        <v>18.0</v>
      </c>
      <c r="B19" s="17" t="s">
        <v>112</v>
      </c>
      <c r="C19" s="18" t="s">
        <v>58</v>
      </c>
      <c r="D19" s="18" t="s">
        <v>77</v>
      </c>
      <c r="E19" s="9">
        <v>37.0</v>
      </c>
    </row>
    <row r="20">
      <c r="A20" s="25">
        <v>19.0</v>
      </c>
      <c r="B20" s="17" t="s">
        <v>86</v>
      </c>
      <c r="C20" s="18" t="s">
        <v>62</v>
      </c>
      <c r="D20" s="18" t="s">
        <v>77</v>
      </c>
      <c r="E20" s="9">
        <v>37.0</v>
      </c>
    </row>
    <row r="21">
      <c r="A21" s="25">
        <v>20.0</v>
      </c>
      <c r="B21" s="17" t="s">
        <v>56</v>
      </c>
      <c r="C21" s="18" t="s">
        <v>37</v>
      </c>
      <c r="D21" s="18" t="s">
        <v>13</v>
      </c>
      <c r="E21" s="9">
        <v>35.0</v>
      </c>
    </row>
    <row r="22">
      <c r="A22" s="25">
        <v>21.0</v>
      </c>
      <c r="B22" s="17" t="s">
        <v>61</v>
      </c>
      <c r="C22" s="18" t="s">
        <v>62</v>
      </c>
      <c r="D22" s="18" t="s">
        <v>59</v>
      </c>
      <c r="E22" s="9">
        <v>35.0</v>
      </c>
    </row>
    <row r="23">
      <c r="A23" s="25">
        <v>22.0</v>
      </c>
      <c r="B23" s="17" t="s">
        <v>123</v>
      </c>
      <c r="C23" s="18" t="s">
        <v>37</v>
      </c>
      <c r="D23" s="18" t="s">
        <v>77</v>
      </c>
      <c r="E23" s="9">
        <v>33.0</v>
      </c>
    </row>
    <row r="24">
      <c r="A24" s="25">
        <v>23.0</v>
      </c>
      <c r="B24" s="17" t="s">
        <v>22</v>
      </c>
      <c r="C24" s="18" t="s">
        <v>23</v>
      </c>
      <c r="D24" s="18" t="s">
        <v>8</v>
      </c>
      <c r="E24" s="9">
        <v>33.0</v>
      </c>
    </row>
    <row r="25">
      <c r="A25" s="25">
        <v>24.0</v>
      </c>
      <c r="B25" s="17" t="s">
        <v>46</v>
      </c>
      <c r="C25" s="18" t="s">
        <v>47</v>
      </c>
      <c r="D25" s="18" t="s">
        <v>8</v>
      </c>
      <c r="E25" s="9">
        <v>33.0</v>
      </c>
    </row>
    <row r="26">
      <c r="A26" s="25">
        <v>25.0</v>
      </c>
      <c r="B26" s="17" t="s">
        <v>27</v>
      </c>
      <c r="C26" s="18" t="s">
        <v>28</v>
      </c>
      <c r="D26" s="18" t="s">
        <v>13</v>
      </c>
      <c r="E26" s="9">
        <v>33.0</v>
      </c>
    </row>
    <row r="27">
      <c r="A27" s="25">
        <v>26.0</v>
      </c>
      <c r="B27" s="17" t="s">
        <v>36</v>
      </c>
      <c r="C27" s="18" t="s">
        <v>37</v>
      </c>
      <c r="D27" s="18" t="s">
        <v>8</v>
      </c>
      <c r="E27" s="9">
        <v>32.0</v>
      </c>
    </row>
    <row r="28">
      <c r="A28" s="25">
        <v>27.0</v>
      </c>
      <c r="B28" s="17" t="s">
        <v>31</v>
      </c>
      <c r="C28" s="18" t="s">
        <v>32</v>
      </c>
      <c r="D28" s="18" t="s">
        <v>13</v>
      </c>
      <c r="E28" s="9">
        <v>32.0</v>
      </c>
    </row>
    <row r="29">
      <c r="A29" s="25">
        <v>28.0</v>
      </c>
      <c r="B29" s="17" t="s">
        <v>70</v>
      </c>
      <c r="C29" s="18" t="s">
        <v>32</v>
      </c>
      <c r="D29" s="18" t="s">
        <v>8</v>
      </c>
      <c r="E29" s="9">
        <v>31.0</v>
      </c>
    </row>
    <row r="30">
      <c r="A30" s="25">
        <v>29.0</v>
      </c>
      <c r="B30" s="17" t="s">
        <v>34</v>
      </c>
      <c r="C30" s="18" t="s">
        <v>35</v>
      </c>
      <c r="D30" s="18" t="s">
        <v>8</v>
      </c>
      <c r="E30" s="9">
        <v>31.0</v>
      </c>
    </row>
    <row r="31">
      <c r="A31" s="25">
        <v>30.0</v>
      </c>
      <c r="B31" s="17" t="s">
        <v>44</v>
      </c>
      <c r="C31" s="18" t="s">
        <v>45</v>
      </c>
      <c r="D31" s="18" t="s">
        <v>8</v>
      </c>
      <c r="E31" s="9">
        <v>30.0</v>
      </c>
    </row>
    <row r="32">
      <c r="A32" s="25">
        <v>31.0</v>
      </c>
      <c r="B32" s="17" t="s">
        <v>126</v>
      </c>
      <c r="C32" s="18" t="s">
        <v>43</v>
      </c>
      <c r="D32" s="18" t="s">
        <v>77</v>
      </c>
      <c r="E32" s="9">
        <v>29.0</v>
      </c>
    </row>
    <row r="33">
      <c r="A33" s="25">
        <v>32.0</v>
      </c>
      <c r="B33" s="17" t="s">
        <v>79</v>
      </c>
      <c r="C33" s="18" t="s">
        <v>15</v>
      </c>
      <c r="D33" s="18" t="s">
        <v>13</v>
      </c>
      <c r="E33" s="9">
        <v>29.0</v>
      </c>
    </row>
    <row r="34">
      <c r="A34" s="25">
        <v>33.0</v>
      </c>
      <c r="B34" s="17" t="s">
        <v>125</v>
      </c>
      <c r="C34" s="18" t="s">
        <v>19</v>
      </c>
      <c r="D34" s="18" t="s">
        <v>77</v>
      </c>
      <c r="E34" s="9">
        <v>27.0</v>
      </c>
    </row>
    <row r="35">
      <c r="A35" s="25">
        <v>34.0</v>
      </c>
      <c r="B35" s="17" t="s">
        <v>65</v>
      </c>
      <c r="C35" s="18" t="s">
        <v>66</v>
      </c>
      <c r="D35" s="18" t="s">
        <v>8</v>
      </c>
      <c r="E35" s="9">
        <v>27.0</v>
      </c>
    </row>
    <row r="36">
      <c r="A36" s="25">
        <v>35.0</v>
      </c>
      <c r="B36" s="17" t="s">
        <v>38</v>
      </c>
      <c r="C36" s="18" t="s">
        <v>39</v>
      </c>
      <c r="D36" s="18" t="s">
        <v>13</v>
      </c>
      <c r="E36" s="9">
        <v>27.0</v>
      </c>
    </row>
    <row r="37">
      <c r="A37" s="25">
        <v>36.0</v>
      </c>
      <c r="B37" s="17" t="s">
        <v>71</v>
      </c>
      <c r="C37" s="18" t="s">
        <v>7</v>
      </c>
      <c r="D37" s="18" t="s">
        <v>13</v>
      </c>
      <c r="E37" s="9">
        <v>27.0</v>
      </c>
    </row>
    <row r="38">
      <c r="A38" s="25">
        <v>37.0</v>
      </c>
      <c r="B38" s="17" t="s">
        <v>42</v>
      </c>
      <c r="C38" s="18" t="s">
        <v>43</v>
      </c>
      <c r="D38" s="18" t="s">
        <v>8</v>
      </c>
      <c r="E38" s="9">
        <v>26.0</v>
      </c>
    </row>
    <row r="39">
      <c r="A39" s="25">
        <v>38.0</v>
      </c>
      <c r="B39" s="17" t="s">
        <v>50</v>
      </c>
      <c r="C39" s="18" t="s">
        <v>19</v>
      </c>
      <c r="D39" s="18" t="s">
        <v>13</v>
      </c>
      <c r="E39" s="9">
        <v>26.0</v>
      </c>
    </row>
    <row r="40">
      <c r="A40" s="25">
        <v>39.0</v>
      </c>
      <c r="B40" s="17" t="s">
        <v>52</v>
      </c>
      <c r="C40" s="18" t="s">
        <v>53</v>
      </c>
      <c r="D40" s="18" t="s">
        <v>8</v>
      </c>
      <c r="E40" s="9">
        <v>25.0</v>
      </c>
    </row>
    <row r="41">
      <c r="A41" s="25">
        <v>40.0</v>
      </c>
      <c r="B41" s="17" t="s">
        <v>51</v>
      </c>
      <c r="C41" s="18" t="s">
        <v>10</v>
      </c>
      <c r="D41" s="18" t="s">
        <v>13</v>
      </c>
      <c r="E41" s="9">
        <v>25.0</v>
      </c>
    </row>
    <row r="42">
      <c r="A42" s="25">
        <v>41.0</v>
      </c>
      <c r="B42" s="17" t="s">
        <v>93</v>
      </c>
      <c r="C42" s="18" t="s">
        <v>43</v>
      </c>
      <c r="D42" s="18" t="s">
        <v>13</v>
      </c>
      <c r="E42" s="9">
        <v>25.0</v>
      </c>
    </row>
    <row r="43">
      <c r="A43" s="25">
        <v>42.0</v>
      </c>
      <c r="B43" s="17" t="s">
        <v>49</v>
      </c>
      <c r="C43" s="18" t="s">
        <v>15</v>
      </c>
      <c r="D43" s="18" t="s">
        <v>13</v>
      </c>
      <c r="E43" s="9">
        <v>24.0</v>
      </c>
    </row>
    <row r="44">
      <c r="A44" s="25">
        <v>43.0</v>
      </c>
      <c r="B44" s="17" t="s">
        <v>80</v>
      </c>
      <c r="C44" s="18" t="s">
        <v>81</v>
      </c>
      <c r="D44" s="18" t="s">
        <v>13</v>
      </c>
      <c r="E44" s="9">
        <v>24.0</v>
      </c>
    </row>
    <row r="45">
      <c r="A45" s="25">
        <v>44.0</v>
      </c>
      <c r="B45" s="17" t="s">
        <v>155</v>
      </c>
      <c r="C45" s="18" t="s">
        <v>28</v>
      </c>
      <c r="D45" s="18" t="s">
        <v>77</v>
      </c>
      <c r="E45" s="9">
        <v>23.0</v>
      </c>
    </row>
    <row r="46">
      <c r="A46" s="25">
        <v>45.0</v>
      </c>
      <c r="B46" s="17" t="s">
        <v>121</v>
      </c>
      <c r="C46" s="18" t="s">
        <v>32</v>
      </c>
      <c r="D46" s="18" t="s">
        <v>77</v>
      </c>
      <c r="E46" s="9">
        <v>23.0</v>
      </c>
    </row>
    <row r="47">
      <c r="A47" s="25">
        <v>46.0</v>
      </c>
      <c r="B47" s="17" t="s">
        <v>63</v>
      </c>
      <c r="C47" s="18" t="s">
        <v>64</v>
      </c>
      <c r="D47" s="18" t="s">
        <v>13</v>
      </c>
      <c r="E47" s="9">
        <v>23.0</v>
      </c>
    </row>
    <row r="48">
      <c r="A48" s="25">
        <v>47.0</v>
      </c>
      <c r="B48" s="17" t="s">
        <v>82</v>
      </c>
      <c r="C48" s="18" t="s">
        <v>45</v>
      </c>
      <c r="D48" s="18" t="s">
        <v>13</v>
      </c>
      <c r="E48" s="9">
        <v>22.0</v>
      </c>
    </row>
    <row r="49">
      <c r="A49" s="25">
        <v>48.0</v>
      </c>
      <c r="B49" s="17" t="s">
        <v>154</v>
      </c>
      <c r="C49" s="18" t="s">
        <v>12</v>
      </c>
      <c r="D49" s="18" t="s">
        <v>77</v>
      </c>
      <c r="E49" s="9">
        <v>21.0</v>
      </c>
    </row>
    <row r="50">
      <c r="A50" s="25">
        <v>49.0</v>
      </c>
      <c r="B50" s="17" t="s">
        <v>174</v>
      </c>
      <c r="C50" s="18" t="s">
        <v>17</v>
      </c>
      <c r="D50" s="18" t="s">
        <v>77</v>
      </c>
      <c r="E50" s="9">
        <v>20.0</v>
      </c>
    </row>
    <row r="51">
      <c r="A51" s="25">
        <v>50.0</v>
      </c>
      <c r="B51" s="17" t="s">
        <v>54</v>
      </c>
      <c r="C51" s="18" t="s">
        <v>55</v>
      </c>
      <c r="D51" s="18" t="s">
        <v>8</v>
      </c>
      <c r="E51" s="9">
        <v>20.0</v>
      </c>
    </row>
    <row r="52">
      <c r="A52" s="25">
        <v>51.0</v>
      </c>
      <c r="B52" s="17" t="s">
        <v>106</v>
      </c>
      <c r="C52" s="18" t="s">
        <v>12</v>
      </c>
      <c r="D52" s="18" t="s">
        <v>13</v>
      </c>
      <c r="E52" s="9">
        <v>20.0</v>
      </c>
    </row>
    <row r="53">
      <c r="A53" s="25">
        <v>52.0</v>
      </c>
      <c r="B53" s="17" t="s">
        <v>60</v>
      </c>
      <c r="C53" s="18" t="s">
        <v>39</v>
      </c>
      <c r="D53" s="18" t="s">
        <v>13</v>
      </c>
      <c r="E53" s="9">
        <v>20.0</v>
      </c>
    </row>
    <row r="54">
      <c r="A54" s="25">
        <v>53.0</v>
      </c>
      <c r="B54" s="17" t="s">
        <v>74</v>
      </c>
      <c r="C54" s="18" t="s">
        <v>23</v>
      </c>
      <c r="D54" s="18" t="s">
        <v>13</v>
      </c>
      <c r="E54" s="9">
        <v>18.0</v>
      </c>
    </row>
    <row r="55">
      <c r="A55" s="25">
        <v>54.0</v>
      </c>
      <c r="B55" s="17" t="s">
        <v>91</v>
      </c>
      <c r="C55" s="18" t="s">
        <v>55</v>
      </c>
      <c r="D55" s="18" t="s">
        <v>13</v>
      </c>
      <c r="E55" s="9">
        <v>18.0</v>
      </c>
    </row>
    <row r="56">
      <c r="A56" s="25">
        <v>55.0</v>
      </c>
      <c r="B56" s="17" t="s">
        <v>124</v>
      </c>
      <c r="C56" s="18" t="s">
        <v>47</v>
      </c>
      <c r="D56" s="18" t="s">
        <v>77</v>
      </c>
      <c r="E56" s="9">
        <v>17.0</v>
      </c>
    </row>
    <row r="57">
      <c r="A57" s="25">
        <v>56.0</v>
      </c>
      <c r="B57" s="17" t="s">
        <v>75</v>
      </c>
      <c r="C57" s="18" t="s">
        <v>25</v>
      </c>
      <c r="D57" s="18" t="s">
        <v>8</v>
      </c>
      <c r="E57" s="9">
        <v>17.0</v>
      </c>
    </row>
    <row r="58">
      <c r="A58" s="25">
        <v>57.0</v>
      </c>
      <c r="B58" s="17" t="s">
        <v>68</v>
      </c>
      <c r="C58" s="18" t="s">
        <v>69</v>
      </c>
      <c r="D58" s="18" t="s">
        <v>8</v>
      </c>
      <c r="E58" s="9">
        <v>17.0</v>
      </c>
    </row>
    <row r="59">
      <c r="A59" s="25">
        <v>58.0</v>
      </c>
      <c r="B59" s="17" t="s">
        <v>87</v>
      </c>
      <c r="C59" s="18" t="s">
        <v>35</v>
      </c>
      <c r="D59" s="18" t="s">
        <v>13</v>
      </c>
      <c r="E59" s="9">
        <v>17.0</v>
      </c>
    </row>
    <row r="60">
      <c r="A60" s="25">
        <v>59.0</v>
      </c>
      <c r="B60" s="17" t="s">
        <v>92</v>
      </c>
      <c r="C60" s="18" t="s">
        <v>43</v>
      </c>
      <c r="D60" s="18" t="s">
        <v>13</v>
      </c>
      <c r="E60" s="9">
        <v>17.0</v>
      </c>
    </row>
    <row r="61">
      <c r="A61" s="25">
        <v>60.0</v>
      </c>
      <c r="B61" s="17" t="s">
        <v>108</v>
      </c>
      <c r="C61" s="18" t="s">
        <v>17</v>
      </c>
      <c r="D61" s="18" t="s">
        <v>13</v>
      </c>
      <c r="E61" s="9">
        <v>17.0</v>
      </c>
    </row>
    <row r="62">
      <c r="A62" s="25">
        <v>61.0</v>
      </c>
      <c r="B62" s="17" t="s">
        <v>88</v>
      </c>
      <c r="C62" s="18" t="s">
        <v>89</v>
      </c>
      <c r="D62" s="18" t="s">
        <v>59</v>
      </c>
      <c r="E62" s="9">
        <v>17.0</v>
      </c>
    </row>
    <row r="63">
      <c r="A63" s="25">
        <v>62.0</v>
      </c>
      <c r="B63" s="17" t="s">
        <v>101</v>
      </c>
      <c r="C63" s="18" t="s">
        <v>89</v>
      </c>
      <c r="D63" s="18" t="s">
        <v>8</v>
      </c>
      <c r="E63" s="9">
        <v>16.0</v>
      </c>
    </row>
    <row r="64">
      <c r="A64" s="25">
        <v>63.0</v>
      </c>
      <c r="B64" s="17" t="s">
        <v>72</v>
      </c>
      <c r="C64" s="18" t="s">
        <v>73</v>
      </c>
      <c r="D64" s="18" t="s">
        <v>13</v>
      </c>
      <c r="E64" s="9">
        <v>16.0</v>
      </c>
    </row>
    <row r="65">
      <c r="A65" s="25">
        <v>64.0</v>
      </c>
      <c r="B65" s="17" t="s">
        <v>84</v>
      </c>
      <c r="C65" s="18" t="s">
        <v>85</v>
      </c>
      <c r="D65" s="18" t="s">
        <v>13</v>
      </c>
      <c r="E65" s="9">
        <v>16.0</v>
      </c>
    </row>
    <row r="66">
      <c r="A66" s="25">
        <v>65.0</v>
      </c>
      <c r="B66" s="17" t="s">
        <v>116</v>
      </c>
      <c r="C66" s="18" t="s">
        <v>58</v>
      </c>
      <c r="D66" s="18" t="s">
        <v>13</v>
      </c>
      <c r="E66" s="9">
        <v>15.0</v>
      </c>
    </row>
    <row r="67">
      <c r="A67" s="25">
        <v>66.0</v>
      </c>
      <c r="B67" s="17" t="s">
        <v>107</v>
      </c>
      <c r="C67" s="18" t="s">
        <v>28</v>
      </c>
      <c r="D67" s="18" t="s">
        <v>59</v>
      </c>
      <c r="E67" s="9">
        <v>15.0</v>
      </c>
    </row>
    <row r="68">
      <c r="A68" s="25">
        <v>67.0</v>
      </c>
      <c r="B68" s="17" t="s">
        <v>103</v>
      </c>
      <c r="C68" s="18" t="s">
        <v>25</v>
      </c>
      <c r="D68" s="18" t="s">
        <v>59</v>
      </c>
      <c r="E68" s="9">
        <v>15.0</v>
      </c>
    </row>
    <row r="69">
      <c r="A69" s="25">
        <v>68.0</v>
      </c>
      <c r="B69" s="17" t="s">
        <v>113</v>
      </c>
      <c r="C69" s="18" t="s">
        <v>32</v>
      </c>
      <c r="D69" s="18" t="s">
        <v>59</v>
      </c>
      <c r="E69" s="9">
        <v>15.0</v>
      </c>
    </row>
    <row r="70">
      <c r="A70" s="25">
        <v>69.0</v>
      </c>
      <c r="B70" s="17" t="s">
        <v>98</v>
      </c>
      <c r="C70" s="18" t="s">
        <v>824</v>
      </c>
      <c r="D70" s="18" t="s">
        <v>8</v>
      </c>
      <c r="E70" s="9">
        <v>14.0</v>
      </c>
    </row>
    <row r="71">
      <c r="A71" s="25">
        <v>70.0</v>
      </c>
      <c r="B71" s="17" t="s">
        <v>117</v>
      </c>
      <c r="C71" s="18" t="s">
        <v>824</v>
      </c>
      <c r="D71" s="18" t="s">
        <v>13</v>
      </c>
      <c r="E71" s="9">
        <v>14.0</v>
      </c>
    </row>
    <row r="72">
      <c r="A72" s="25">
        <v>71.0</v>
      </c>
      <c r="B72" s="17" t="s">
        <v>130</v>
      </c>
      <c r="C72" s="18" t="s">
        <v>69</v>
      </c>
      <c r="D72" s="18" t="s">
        <v>13</v>
      </c>
      <c r="E72" s="9">
        <v>14.0</v>
      </c>
    </row>
    <row r="73">
      <c r="A73" s="25">
        <v>72.0</v>
      </c>
      <c r="B73" s="17" t="s">
        <v>110</v>
      </c>
      <c r="C73" s="18" t="s">
        <v>62</v>
      </c>
      <c r="D73" s="18" t="s">
        <v>13</v>
      </c>
      <c r="E73" s="9">
        <v>14.0</v>
      </c>
    </row>
    <row r="74">
      <c r="A74" s="25">
        <v>73.0</v>
      </c>
      <c r="B74" s="17" t="s">
        <v>105</v>
      </c>
      <c r="C74" s="18" t="s">
        <v>25</v>
      </c>
      <c r="D74" s="18" t="s">
        <v>13</v>
      </c>
      <c r="E74" s="9">
        <v>14.0</v>
      </c>
    </row>
    <row r="75">
      <c r="A75" s="25">
        <v>74.0</v>
      </c>
      <c r="B75" s="17" t="s">
        <v>48</v>
      </c>
      <c r="C75" s="18" t="s">
        <v>12</v>
      </c>
      <c r="D75" s="18" t="s">
        <v>8</v>
      </c>
      <c r="E75" s="9">
        <v>12.0</v>
      </c>
    </row>
    <row r="76">
      <c r="A76" s="25">
        <v>75.0</v>
      </c>
      <c r="B76" s="17" t="s">
        <v>78</v>
      </c>
      <c r="C76" s="18" t="s">
        <v>73</v>
      </c>
      <c r="D76" s="18" t="s">
        <v>8</v>
      </c>
      <c r="E76" s="9">
        <v>12.0</v>
      </c>
    </row>
    <row r="77">
      <c r="A77" s="25">
        <v>76.0</v>
      </c>
      <c r="B77" s="17" t="s">
        <v>140</v>
      </c>
      <c r="C77" s="18" t="s">
        <v>39</v>
      </c>
      <c r="D77" s="18" t="s">
        <v>8</v>
      </c>
      <c r="E77" s="9">
        <v>12.0</v>
      </c>
    </row>
    <row r="78">
      <c r="A78" s="25">
        <v>77.0</v>
      </c>
      <c r="B78" s="17" t="s">
        <v>137</v>
      </c>
      <c r="C78" s="18" t="s">
        <v>47</v>
      </c>
      <c r="D78" s="18" t="s">
        <v>8</v>
      </c>
      <c r="E78" s="9">
        <v>12.0</v>
      </c>
    </row>
    <row r="79">
      <c r="A79" s="25">
        <v>78.0</v>
      </c>
      <c r="B79" s="17" t="s">
        <v>104</v>
      </c>
      <c r="C79" s="18" t="s">
        <v>41</v>
      </c>
      <c r="D79" s="18" t="s">
        <v>13</v>
      </c>
      <c r="E79" s="9">
        <v>12.0</v>
      </c>
    </row>
    <row r="80">
      <c r="A80" s="25">
        <v>79.0</v>
      </c>
      <c r="B80" s="17" t="s">
        <v>94</v>
      </c>
      <c r="C80" s="18" t="s">
        <v>66</v>
      </c>
      <c r="D80" s="18" t="s">
        <v>13</v>
      </c>
      <c r="E80" s="9">
        <v>12.0</v>
      </c>
    </row>
    <row r="81">
      <c r="A81" s="25">
        <v>80.0</v>
      </c>
      <c r="B81" s="17" t="s">
        <v>115</v>
      </c>
      <c r="C81" s="18" t="s">
        <v>62</v>
      </c>
      <c r="D81" s="18" t="s">
        <v>8</v>
      </c>
      <c r="E81" s="9">
        <v>11.0</v>
      </c>
    </row>
    <row r="82">
      <c r="A82" s="25">
        <v>81.0</v>
      </c>
      <c r="B82" s="17" t="s">
        <v>148</v>
      </c>
      <c r="C82" s="18" t="s">
        <v>21</v>
      </c>
      <c r="D82" s="18" t="s">
        <v>13</v>
      </c>
      <c r="E82" s="9">
        <v>11.0</v>
      </c>
    </row>
    <row r="83">
      <c r="A83" s="25">
        <v>82.0</v>
      </c>
      <c r="B83" s="17" t="s">
        <v>173</v>
      </c>
      <c r="C83" s="18" t="s">
        <v>25</v>
      </c>
      <c r="D83" s="18" t="s">
        <v>77</v>
      </c>
      <c r="E83" s="9">
        <v>10.0</v>
      </c>
    </row>
    <row r="84">
      <c r="A84" s="25">
        <v>83.0</v>
      </c>
      <c r="B84" s="17" t="s">
        <v>111</v>
      </c>
      <c r="C84" s="18" t="s">
        <v>64</v>
      </c>
      <c r="D84" s="18" t="s">
        <v>13</v>
      </c>
      <c r="E84" s="9">
        <v>10.0</v>
      </c>
    </row>
    <row r="85">
      <c r="A85" s="25">
        <v>84.0</v>
      </c>
      <c r="B85" s="17" t="s">
        <v>1241</v>
      </c>
      <c r="C85" s="18" t="s">
        <v>30</v>
      </c>
      <c r="D85" s="18" t="s">
        <v>13</v>
      </c>
      <c r="E85" s="9">
        <v>10.0</v>
      </c>
    </row>
    <row r="86">
      <c r="A86" s="25">
        <v>85.0</v>
      </c>
      <c r="B86" s="17" t="s">
        <v>127</v>
      </c>
      <c r="C86" s="18" t="s">
        <v>35</v>
      </c>
      <c r="D86" s="18" t="s">
        <v>59</v>
      </c>
      <c r="E86" s="9">
        <v>10.0</v>
      </c>
    </row>
    <row r="87">
      <c r="A87" s="25">
        <v>86.0</v>
      </c>
      <c r="B87" s="17" t="s">
        <v>90</v>
      </c>
      <c r="C87" s="18" t="s">
        <v>28</v>
      </c>
      <c r="D87" s="18" t="s">
        <v>8</v>
      </c>
      <c r="E87" s="9">
        <v>9.0</v>
      </c>
    </row>
    <row r="88">
      <c r="A88" s="25">
        <v>87.0</v>
      </c>
      <c r="B88" s="17" t="s">
        <v>114</v>
      </c>
      <c r="C88" s="18" t="s">
        <v>66</v>
      </c>
      <c r="D88" s="18" t="s">
        <v>8</v>
      </c>
      <c r="E88" s="9">
        <v>9.0</v>
      </c>
    </row>
    <row r="89">
      <c r="A89" s="25">
        <v>88.0</v>
      </c>
      <c r="B89" s="17" t="s">
        <v>156</v>
      </c>
      <c r="C89" s="18" t="s">
        <v>64</v>
      </c>
      <c r="D89" s="18" t="s">
        <v>59</v>
      </c>
      <c r="E89" s="9">
        <v>9.0</v>
      </c>
    </row>
    <row r="90">
      <c r="A90" s="25">
        <v>89.0</v>
      </c>
      <c r="B90" s="17" t="s">
        <v>97</v>
      </c>
      <c r="C90" s="18" t="s">
        <v>64</v>
      </c>
      <c r="D90" s="18" t="s">
        <v>8</v>
      </c>
      <c r="E90" s="9">
        <v>8.0</v>
      </c>
    </row>
    <row r="91">
      <c r="A91" s="25">
        <v>90.0</v>
      </c>
      <c r="B91" s="17" t="s">
        <v>83</v>
      </c>
      <c r="C91" s="18" t="s">
        <v>37</v>
      </c>
      <c r="D91" s="18" t="s">
        <v>13</v>
      </c>
      <c r="E91" s="9">
        <v>7.0</v>
      </c>
    </row>
    <row r="92">
      <c r="A92" s="25">
        <v>91.0</v>
      </c>
      <c r="B92" s="17" t="s">
        <v>134</v>
      </c>
      <c r="C92" s="18" t="s">
        <v>47</v>
      </c>
      <c r="D92" s="18" t="s">
        <v>13</v>
      </c>
      <c r="E92" s="9">
        <v>7.0</v>
      </c>
    </row>
    <row r="93">
      <c r="A93" s="25">
        <v>92.0</v>
      </c>
      <c r="B93" s="17" t="s">
        <v>178</v>
      </c>
      <c r="C93" s="18" t="s">
        <v>55</v>
      </c>
      <c r="D93" s="18" t="s">
        <v>59</v>
      </c>
      <c r="E93" s="9">
        <v>7.0</v>
      </c>
    </row>
    <row r="94">
      <c r="A94" s="25">
        <v>93.0</v>
      </c>
      <c r="B94" s="17" t="s">
        <v>67</v>
      </c>
      <c r="C94" s="18" t="s">
        <v>58</v>
      </c>
      <c r="D94" s="18" t="s">
        <v>8</v>
      </c>
      <c r="E94" s="9">
        <v>6.0</v>
      </c>
    </row>
    <row r="95">
      <c r="A95" s="25">
        <v>94.0</v>
      </c>
      <c r="B95" s="17" t="s">
        <v>118</v>
      </c>
      <c r="C95" s="18" t="s">
        <v>119</v>
      </c>
      <c r="D95" s="18" t="s">
        <v>8</v>
      </c>
      <c r="E95" s="9">
        <v>6.0</v>
      </c>
    </row>
    <row r="96">
      <c r="A96" s="25">
        <v>95.0</v>
      </c>
      <c r="B96" s="17" t="s">
        <v>100</v>
      </c>
      <c r="C96" s="18" t="s">
        <v>85</v>
      </c>
      <c r="D96" s="18" t="s">
        <v>13</v>
      </c>
      <c r="E96" s="9">
        <v>6.0</v>
      </c>
    </row>
    <row r="97">
      <c r="A97" s="25">
        <v>96.0</v>
      </c>
      <c r="B97" s="17" t="s">
        <v>109</v>
      </c>
      <c r="C97" s="18" t="s">
        <v>89</v>
      </c>
      <c r="D97" s="18" t="s">
        <v>13</v>
      </c>
      <c r="E97" s="9">
        <v>6.0</v>
      </c>
    </row>
    <row r="98">
      <c r="A98" s="25">
        <v>97.0</v>
      </c>
      <c r="B98" s="17" t="s">
        <v>157</v>
      </c>
      <c r="C98" s="18" t="s">
        <v>45</v>
      </c>
      <c r="D98" s="18" t="s">
        <v>59</v>
      </c>
      <c r="E98" s="9">
        <v>6.0</v>
      </c>
    </row>
    <row r="99">
      <c r="A99" s="25">
        <v>98.0</v>
      </c>
      <c r="B99" s="17" t="s">
        <v>276</v>
      </c>
      <c r="C99" s="18" t="s">
        <v>53</v>
      </c>
      <c r="D99" s="18" t="s">
        <v>77</v>
      </c>
      <c r="E99" s="9">
        <v>5.0</v>
      </c>
    </row>
    <row r="100">
      <c r="A100" s="25">
        <v>99.0</v>
      </c>
      <c r="B100" s="17" t="s">
        <v>176</v>
      </c>
      <c r="C100" s="18" t="s">
        <v>39</v>
      </c>
      <c r="D100" s="18" t="s">
        <v>77</v>
      </c>
      <c r="E100" s="9">
        <v>5.0</v>
      </c>
    </row>
    <row r="101">
      <c r="A101" s="25">
        <v>100.0</v>
      </c>
      <c r="B101" s="17" t="s">
        <v>244</v>
      </c>
      <c r="C101" s="18" t="s">
        <v>119</v>
      </c>
      <c r="D101" s="18" t="s">
        <v>13</v>
      </c>
      <c r="E101" s="9">
        <v>5.0</v>
      </c>
    </row>
    <row r="102">
      <c r="A102" s="25">
        <v>101.0</v>
      </c>
      <c r="B102" s="17" t="s">
        <v>133</v>
      </c>
      <c r="C102" s="18" t="s">
        <v>53</v>
      </c>
      <c r="D102" s="18" t="s">
        <v>13</v>
      </c>
      <c r="E102" s="9">
        <v>5.0</v>
      </c>
    </row>
    <row r="103">
      <c r="A103" s="25">
        <v>102.0</v>
      </c>
      <c r="B103" s="17" t="s">
        <v>129</v>
      </c>
      <c r="C103" s="18" t="s">
        <v>69</v>
      </c>
      <c r="D103" s="18" t="s">
        <v>13</v>
      </c>
      <c r="E103" s="9">
        <v>5.0</v>
      </c>
    </row>
    <row r="104">
      <c r="A104" s="25">
        <v>103.0</v>
      </c>
      <c r="B104" s="17" t="s">
        <v>161</v>
      </c>
      <c r="C104" s="18" t="s">
        <v>30</v>
      </c>
      <c r="D104" s="18" t="s">
        <v>59</v>
      </c>
      <c r="E104" s="9">
        <v>5.0</v>
      </c>
    </row>
    <row r="105">
      <c r="A105" s="25">
        <v>104.0</v>
      </c>
      <c r="B105" s="17" t="s">
        <v>175</v>
      </c>
      <c r="C105" s="18" t="s">
        <v>824</v>
      </c>
      <c r="D105" s="18" t="s">
        <v>77</v>
      </c>
      <c r="E105" s="9">
        <v>4.0</v>
      </c>
    </row>
    <row r="106">
      <c r="A106" s="25">
        <v>105.0</v>
      </c>
      <c r="B106" s="17" t="s">
        <v>136</v>
      </c>
      <c r="C106" s="18" t="s">
        <v>41</v>
      </c>
      <c r="D106" s="18" t="s">
        <v>13</v>
      </c>
      <c r="E106" s="9">
        <v>4.0</v>
      </c>
    </row>
    <row r="107">
      <c r="A107" s="25">
        <v>106.0</v>
      </c>
      <c r="B107" s="17" t="s">
        <v>281</v>
      </c>
      <c r="C107" s="18" t="s">
        <v>119</v>
      </c>
      <c r="D107" s="18" t="s">
        <v>77</v>
      </c>
      <c r="E107" s="9">
        <v>3.0</v>
      </c>
    </row>
    <row r="108">
      <c r="A108" s="25">
        <v>107.0</v>
      </c>
      <c r="B108" s="17" t="s">
        <v>282</v>
      </c>
      <c r="C108" s="18" t="s">
        <v>7</v>
      </c>
      <c r="D108" s="18" t="s">
        <v>77</v>
      </c>
      <c r="E108" s="9">
        <v>3.0</v>
      </c>
    </row>
    <row r="109">
      <c r="A109" s="25">
        <v>108.0</v>
      </c>
      <c r="B109" s="17" t="s">
        <v>132</v>
      </c>
      <c r="C109" s="18" t="s">
        <v>21</v>
      </c>
      <c r="D109" s="18" t="s">
        <v>13</v>
      </c>
      <c r="E109" s="9">
        <v>3.0</v>
      </c>
    </row>
    <row r="110">
      <c r="A110" s="25">
        <v>109.0</v>
      </c>
      <c r="B110" s="17" t="s">
        <v>170</v>
      </c>
      <c r="C110" s="18" t="s">
        <v>62</v>
      </c>
      <c r="D110" s="18" t="s">
        <v>13</v>
      </c>
      <c r="E110" s="9">
        <v>3.0</v>
      </c>
    </row>
    <row r="111">
      <c r="A111" s="25">
        <v>110.0</v>
      </c>
      <c r="B111" s="17" t="s">
        <v>152</v>
      </c>
      <c r="C111" s="18" t="s">
        <v>53</v>
      </c>
      <c r="D111" s="18" t="s">
        <v>13</v>
      </c>
      <c r="E111" s="9">
        <v>3.0</v>
      </c>
    </row>
    <row r="112">
      <c r="A112" s="25">
        <v>111.0</v>
      </c>
      <c r="B112" s="17" t="s">
        <v>192</v>
      </c>
      <c r="C112" s="18" t="s">
        <v>30</v>
      </c>
      <c r="D112" s="18" t="s">
        <v>193</v>
      </c>
      <c r="E112" s="9">
        <v>3.0</v>
      </c>
    </row>
    <row r="113">
      <c r="A113" s="25">
        <v>112.0</v>
      </c>
      <c r="B113" s="17" t="s">
        <v>197</v>
      </c>
      <c r="C113" s="18" t="s">
        <v>37</v>
      </c>
      <c r="D113" s="18" t="s">
        <v>193</v>
      </c>
      <c r="E113" s="9">
        <v>3.0</v>
      </c>
    </row>
    <row r="114">
      <c r="A114" s="25">
        <v>113.0</v>
      </c>
      <c r="B114" s="17" t="s">
        <v>275</v>
      </c>
      <c r="C114" s="18" t="s">
        <v>55</v>
      </c>
      <c r="D114" s="18" t="s">
        <v>77</v>
      </c>
      <c r="E114" s="9">
        <v>2.0</v>
      </c>
    </row>
    <row r="115">
      <c r="A115" s="25">
        <v>114.0</v>
      </c>
      <c r="B115" s="17" t="s">
        <v>128</v>
      </c>
      <c r="C115" s="18" t="s">
        <v>32</v>
      </c>
      <c r="D115" s="18" t="s">
        <v>8</v>
      </c>
      <c r="E115" s="9">
        <v>2.0</v>
      </c>
    </row>
    <row r="116">
      <c r="A116" s="25">
        <v>115.0</v>
      </c>
      <c r="B116" s="17" t="s">
        <v>102</v>
      </c>
      <c r="C116" s="18" t="s">
        <v>30</v>
      </c>
      <c r="D116" s="18" t="s">
        <v>8</v>
      </c>
      <c r="E116" s="9">
        <v>2.0</v>
      </c>
    </row>
    <row r="117">
      <c r="A117" s="25">
        <v>116.0</v>
      </c>
      <c r="B117" s="17" t="s">
        <v>135</v>
      </c>
      <c r="C117" s="18" t="s">
        <v>23</v>
      </c>
      <c r="D117" s="18" t="s">
        <v>13</v>
      </c>
      <c r="E117" s="9">
        <v>2.0</v>
      </c>
    </row>
    <row r="118">
      <c r="A118" s="25">
        <v>117.0</v>
      </c>
      <c r="B118" s="17" t="s">
        <v>147</v>
      </c>
      <c r="C118" s="18" t="s">
        <v>28</v>
      </c>
      <c r="D118" s="18" t="s">
        <v>13</v>
      </c>
      <c r="E118" s="9">
        <v>2.0</v>
      </c>
    </row>
    <row r="119">
      <c r="A119" s="25">
        <v>118.0</v>
      </c>
      <c r="B119" s="17" t="s">
        <v>172</v>
      </c>
      <c r="C119" s="18" t="s">
        <v>824</v>
      </c>
      <c r="D119" s="18" t="s">
        <v>13</v>
      </c>
      <c r="E119" s="9">
        <v>2.0</v>
      </c>
    </row>
    <row r="120">
      <c r="A120" s="25">
        <v>119.0</v>
      </c>
      <c r="B120" s="17" t="s">
        <v>165</v>
      </c>
      <c r="C120" s="18" t="s">
        <v>19</v>
      </c>
      <c r="D120" s="18" t="s">
        <v>13</v>
      </c>
      <c r="E120" s="9">
        <v>2.0</v>
      </c>
    </row>
    <row r="121">
      <c r="A121" s="25">
        <v>120.0</v>
      </c>
      <c r="B121" s="17" t="s">
        <v>159</v>
      </c>
      <c r="C121" s="18" t="s">
        <v>23</v>
      </c>
      <c r="D121" s="18" t="s">
        <v>59</v>
      </c>
      <c r="E121" s="9">
        <v>2.0</v>
      </c>
    </row>
    <row r="122">
      <c r="A122" s="25">
        <v>121.0</v>
      </c>
      <c r="B122" s="17" t="s">
        <v>325</v>
      </c>
      <c r="C122" s="18" t="s">
        <v>12</v>
      </c>
      <c r="D122" s="18" t="s">
        <v>193</v>
      </c>
      <c r="E122" s="9">
        <v>2.0</v>
      </c>
    </row>
    <row r="123">
      <c r="A123" s="25">
        <v>122.0</v>
      </c>
      <c r="B123" s="17" t="s">
        <v>198</v>
      </c>
      <c r="C123" s="18" t="s">
        <v>28</v>
      </c>
      <c r="D123" s="18" t="s">
        <v>193</v>
      </c>
      <c r="E123" s="9">
        <v>2.0</v>
      </c>
    </row>
    <row r="124">
      <c r="A124" s="25">
        <v>123.0</v>
      </c>
      <c r="B124" s="17" t="s">
        <v>194</v>
      </c>
      <c r="C124" s="18" t="s">
        <v>41</v>
      </c>
      <c r="D124" s="18" t="s">
        <v>193</v>
      </c>
      <c r="E124" s="9">
        <v>2.0</v>
      </c>
    </row>
    <row r="125">
      <c r="A125" s="25">
        <v>124.0</v>
      </c>
      <c r="B125" s="17" t="s">
        <v>280</v>
      </c>
      <c r="C125" s="18" t="s">
        <v>41</v>
      </c>
      <c r="D125" s="18" t="s">
        <v>77</v>
      </c>
      <c r="E125" s="9">
        <v>1.0</v>
      </c>
    </row>
    <row r="126">
      <c r="A126" s="25">
        <v>125.0</v>
      </c>
      <c r="B126" s="17" t="s">
        <v>279</v>
      </c>
      <c r="C126" s="18" t="s">
        <v>21</v>
      </c>
      <c r="D126" s="18" t="s">
        <v>77</v>
      </c>
      <c r="E126" s="9">
        <v>1.0</v>
      </c>
    </row>
    <row r="127">
      <c r="A127" s="25">
        <v>126.0</v>
      </c>
      <c r="B127" s="17" t="s">
        <v>277</v>
      </c>
      <c r="C127" s="18" t="s">
        <v>73</v>
      </c>
      <c r="D127" s="18" t="s">
        <v>77</v>
      </c>
      <c r="E127" s="9">
        <v>1.0</v>
      </c>
    </row>
    <row r="128">
      <c r="A128" s="25">
        <v>127.0</v>
      </c>
      <c r="B128" s="17" t="s">
        <v>472</v>
      </c>
      <c r="C128" s="18" t="s">
        <v>23</v>
      </c>
      <c r="D128" s="18" t="s">
        <v>77</v>
      </c>
      <c r="E128" s="9">
        <v>1.0</v>
      </c>
    </row>
    <row r="129">
      <c r="A129" s="25">
        <v>128.0</v>
      </c>
      <c r="B129" s="17" t="s">
        <v>283</v>
      </c>
      <c r="C129" s="18" t="s">
        <v>35</v>
      </c>
      <c r="D129" s="18" t="s">
        <v>77</v>
      </c>
      <c r="E129" s="9">
        <v>1.0</v>
      </c>
    </row>
    <row r="130">
      <c r="A130" s="25">
        <v>129.0</v>
      </c>
      <c r="B130" s="17" t="s">
        <v>278</v>
      </c>
      <c r="C130" s="18" t="s">
        <v>69</v>
      </c>
      <c r="D130" s="18" t="s">
        <v>77</v>
      </c>
      <c r="E130" s="9">
        <v>1.0</v>
      </c>
    </row>
    <row r="131">
      <c r="A131" s="25">
        <v>130.0</v>
      </c>
      <c r="B131" s="17" t="s">
        <v>284</v>
      </c>
      <c r="C131" s="18" t="s">
        <v>10</v>
      </c>
      <c r="D131" s="18" t="s">
        <v>77</v>
      </c>
      <c r="E131" s="9">
        <v>1.0</v>
      </c>
    </row>
    <row r="132">
      <c r="A132" s="25">
        <v>131.0</v>
      </c>
      <c r="B132" s="17" t="s">
        <v>286</v>
      </c>
      <c r="C132" s="18" t="s">
        <v>89</v>
      </c>
      <c r="D132" s="18" t="s">
        <v>77</v>
      </c>
      <c r="E132" s="9">
        <v>1.0</v>
      </c>
    </row>
    <row r="133">
      <c r="A133" s="25">
        <v>132.0</v>
      </c>
      <c r="B133" s="17" t="s">
        <v>293</v>
      </c>
      <c r="C133" s="18" t="s">
        <v>85</v>
      </c>
      <c r="D133" s="18" t="s">
        <v>77</v>
      </c>
      <c r="E133" s="9">
        <v>1.0</v>
      </c>
    </row>
    <row r="134">
      <c r="A134" s="25">
        <v>133.0</v>
      </c>
      <c r="B134" s="17" t="s">
        <v>285</v>
      </c>
      <c r="C134" s="18" t="s">
        <v>81</v>
      </c>
      <c r="D134" s="18" t="s">
        <v>77</v>
      </c>
      <c r="E134" s="9">
        <v>1.0</v>
      </c>
    </row>
    <row r="135">
      <c r="A135" s="25">
        <v>134.0</v>
      </c>
      <c r="B135" s="17" t="s">
        <v>274</v>
      </c>
      <c r="C135" s="18" t="s">
        <v>66</v>
      </c>
      <c r="D135" s="18" t="s">
        <v>77</v>
      </c>
      <c r="E135" s="9">
        <v>1.0</v>
      </c>
    </row>
    <row r="136">
      <c r="A136" s="25">
        <v>135.0</v>
      </c>
      <c r="B136" s="17" t="s">
        <v>287</v>
      </c>
      <c r="C136" s="18" t="s">
        <v>23</v>
      </c>
      <c r="D136" s="18" t="s">
        <v>77</v>
      </c>
      <c r="E136" s="9">
        <v>1.0</v>
      </c>
    </row>
    <row r="137">
      <c r="A137" s="25">
        <v>136.0</v>
      </c>
      <c r="B137" s="17" t="s">
        <v>290</v>
      </c>
      <c r="C137" s="18" t="s">
        <v>66</v>
      </c>
      <c r="D137" s="18" t="s">
        <v>77</v>
      </c>
      <c r="E137" s="9">
        <v>1.0</v>
      </c>
    </row>
    <row r="138">
      <c r="A138" s="25">
        <v>137.0</v>
      </c>
      <c r="B138" s="17" t="s">
        <v>145</v>
      </c>
      <c r="C138" s="18" t="s">
        <v>43</v>
      </c>
      <c r="D138" s="18" t="s">
        <v>8</v>
      </c>
      <c r="E138" s="9">
        <v>1.0</v>
      </c>
    </row>
    <row r="139">
      <c r="A139" s="25">
        <v>138.0</v>
      </c>
      <c r="B139" s="17" t="s">
        <v>141</v>
      </c>
      <c r="C139" s="18" t="s">
        <v>85</v>
      </c>
      <c r="D139" s="18" t="s">
        <v>8</v>
      </c>
      <c r="E139" s="9">
        <v>1.0</v>
      </c>
    </row>
    <row r="140">
      <c r="A140" s="25">
        <v>139.0</v>
      </c>
      <c r="B140" s="17" t="s">
        <v>138</v>
      </c>
      <c r="C140" s="18" t="s">
        <v>119</v>
      </c>
      <c r="D140" s="18" t="s">
        <v>8</v>
      </c>
      <c r="E140" s="9">
        <v>1.0</v>
      </c>
    </row>
    <row r="141">
      <c r="A141" s="25">
        <v>140.0</v>
      </c>
      <c r="B141" s="17" t="s">
        <v>827</v>
      </c>
      <c r="C141" s="18" t="s">
        <v>85</v>
      </c>
      <c r="D141" s="18" t="s">
        <v>8</v>
      </c>
      <c r="E141" s="9">
        <v>1.0</v>
      </c>
    </row>
    <row r="142">
      <c r="A142" s="25">
        <v>141.0</v>
      </c>
      <c r="B142" s="17" t="s">
        <v>203</v>
      </c>
      <c r="C142" s="18" t="s">
        <v>81</v>
      </c>
      <c r="D142" s="18" t="s">
        <v>8</v>
      </c>
      <c r="E142" s="9">
        <v>1.0</v>
      </c>
    </row>
    <row r="143">
      <c r="A143" s="25">
        <v>142.0</v>
      </c>
      <c r="B143" s="17" t="s">
        <v>208</v>
      </c>
      <c r="C143" s="18" t="s">
        <v>12</v>
      </c>
      <c r="D143" s="18" t="s">
        <v>8</v>
      </c>
      <c r="E143" s="9">
        <v>1.0</v>
      </c>
    </row>
    <row r="144">
      <c r="A144" s="25">
        <v>143.0</v>
      </c>
      <c r="B144" s="17" t="s">
        <v>212</v>
      </c>
      <c r="C144" s="18" t="s">
        <v>35</v>
      </c>
      <c r="D144" s="18" t="s">
        <v>8</v>
      </c>
      <c r="E144" s="9">
        <v>1.0</v>
      </c>
    </row>
    <row r="145">
      <c r="A145" s="25">
        <v>144.0</v>
      </c>
      <c r="B145" s="17" t="s">
        <v>162</v>
      </c>
      <c r="C145" s="18" t="s">
        <v>73</v>
      </c>
      <c r="D145" s="18" t="s">
        <v>8</v>
      </c>
      <c r="E145" s="9">
        <v>1.0</v>
      </c>
    </row>
    <row r="146">
      <c r="A146" s="25">
        <v>145.0</v>
      </c>
      <c r="B146" s="17" t="s">
        <v>143</v>
      </c>
      <c r="C146" s="18" t="s">
        <v>69</v>
      </c>
      <c r="D146" s="18" t="s">
        <v>8</v>
      </c>
      <c r="E146" s="9">
        <v>1.0</v>
      </c>
    </row>
    <row r="147">
      <c r="A147" s="25">
        <v>146.0</v>
      </c>
      <c r="B147" s="17" t="s">
        <v>215</v>
      </c>
      <c r="C147" s="18" t="s">
        <v>37</v>
      </c>
      <c r="D147" s="18" t="s">
        <v>8</v>
      </c>
      <c r="E147" s="9">
        <v>1.0</v>
      </c>
    </row>
    <row r="148">
      <c r="A148" s="25">
        <v>147.0</v>
      </c>
      <c r="B148" s="17" t="s">
        <v>214</v>
      </c>
      <c r="C148" s="18" t="s">
        <v>41</v>
      </c>
      <c r="D148" s="18" t="s">
        <v>8</v>
      </c>
      <c r="E148" s="9">
        <v>1.0</v>
      </c>
    </row>
    <row r="149">
      <c r="A149" s="25">
        <v>148.0</v>
      </c>
      <c r="B149" s="17" t="s">
        <v>218</v>
      </c>
      <c r="C149" s="18" t="s">
        <v>64</v>
      </c>
      <c r="D149" s="18" t="s">
        <v>8</v>
      </c>
      <c r="E149" s="9">
        <v>1.0</v>
      </c>
    </row>
    <row r="150">
      <c r="A150" s="25">
        <v>149.0</v>
      </c>
      <c r="B150" s="17" t="s">
        <v>146</v>
      </c>
      <c r="C150" s="18" t="s">
        <v>7</v>
      </c>
      <c r="D150" s="18" t="s">
        <v>8</v>
      </c>
      <c r="E150" s="9">
        <v>1.0</v>
      </c>
    </row>
    <row r="151">
      <c r="A151" s="25">
        <v>150.0</v>
      </c>
      <c r="B151" s="17" t="s">
        <v>207</v>
      </c>
      <c r="C151" s="18" t="s">
        <v>58</v>
      </c>
      <c r="D151" s="18" t="s">
        <v>8</v>
      </c>
      <c r="E151" s="9">
        <v>1.0</v>
      </c>
    </row>
    <row r="152">
      <c r="A152" s="25">
        <v>151.0</v>
      </c>
      <c r="B152" s="17" t="s">
        <v>205</v>
      </c>
      <c r="C152" s="18" t="s">
        <v>15</v>
      </c>
      <c r="D152" s="18" t="s">
        <v>8</v>
      </c>
      <c r="E152" s="9">
        <v>1.0</v>
      </c>
    </row>
    <row r="153">
      <c r="A153" s="25">
        <v>152.0</v>
      </c>
      <c r="B153" s="17" t="s">
        <v>144</v>
      </c>
      <c r="C153" s="18" t="s">
        <v>30</v>
      </c>
      <c r="D153" s="18" t="s">
        <v>8</v>
      </c>
      <c r="E153" s="9">
        <v>1.0</v>
      </c>
    </row>
    <row r="154">
      <c r="A154" s="25">
        <v>153.0</v>
      </c>
      <c r="B154" s="17" t="s">
        <v>832</v>
      </c>
      <c r="C154" s="18" t="s">
        <v>73</v>
      </c>
      <c r="D154" s="18" t="s">
        <v>8</v>
      </c>
      <c r="E154" s="9">
        <v>1.0</v>
      </c>
    </row>
    <row r="155">
      <c r="A155" s="25">
        <v>154.0</v>
      </c>
      <c r="B155" s="17" t="s">
        <v>206</v>
      </c>
      <c r="C155" s="18" t="s">
        <v>17</v>
      </c>
      <c r="D155" s="18" t="s">
        <v>8</v>
      </c>
      <c r="E155" s="9">
        <v>1.0</v>
      </c>
    </row>
    <row r="156">
      <c r="A156" s="25">
        <v>155.0</v>
      </c>
      <c r="B156" s="17" t="s">
        <v>139</v>
      </c>
      <c r="C156" s="18" t="s">
        <v>824</v>
      </c>
      <c r="D156" s="18" t="s">
        <v>8</v>
      </c>
      <c r="E156" s="9">
        <v>1.0</v>
      </c>
    </row>
    <row r="157">
      <c r="A157" s="25">
        <v>156.0</v>
      </c>
      <c r="B157" s="17" t="s">
        <v>213</v>
      </c>
      <c r="C157" s="18" t="s">
        <v>25</v>
      </c>
      <c r="D157" s="18" t="s">
        <v>8</v>
      </c>
      <c r="E157" s="9">
        <v>1.0</v>
      </c>
    </row>
    <row r="158">
      <c r="A158" s="25">
        <v>157.0</v>
      </c>
      <c r="B158" s="17" t="s">
        <v>235</v>
      </c>
      <c r="C158" s="18" t="s">
        <v>45</v>
      </c>
      <c r="D158" s="18" t="s">
        <v>8</v>
      </c>
      <c r="E158" s="9">
        <v>1.0</v>
      </c>
    </row>
    <row r="159">
      <c r="A159" s="25">
        <v>158.0</v>
      </c>
      <c r="B159" s="17" t="s">
        <v>833</v>
      </c>
      <c r="C159" s="18" t="s">
        <v>62</v>
      </c>
      <c r="D159" s="18" t="s">
        <v>8</v>
      </c>
      <c r="E159" s="9">
        <v>1.0</v>
      </c>
    </row>
    <row r="160">
      <c r="A160" s="25">
        <v>159.0</v>
      </c>
      <c r="B160" s="17" t="s">
        <v>220</v>
      </c>
      <c r="C160" s="18" t="s">
        <v>89</v>
      </c>
      <c r="D160" s="18" t="s">
        <v>8</v>
      </c>
      <c r="E160" s="9">
        <v>1.0</v>
      </c>
    </row>
    <row r="161">
      <c r="A161" s="25">
        <v>160.0</v>
      </c>
      <c r="B161" s="17" t="s">
        <v>163</v>
      </c>
      <c r="C161" s="18" t="s">
        <v>39</v>
      </c>
      <c r="D161" s="18" t="s">
        <v>8</v>
      </c>
      <c r="E161" s="9">
        <v>1.0</v>
      </c>
    </row>
    <row r="162">
      <c r="A162" s="25">
        <v>161.0</v>
      </c>
      <c r="B162" s="17" t="s">
        <v>231</v>
      </c>
      <c r="C162" s="18" t="s">
        <v>21</v>
      </c>
      <c r="D162" s="18" t="s">
        <v>8</v>
      </c>
      <c r="E162" s="9">
        <v>1.0</v>
      </c>
    </row>
    <row r="163">
      <c r="A163" s="25">
        <v>162.0</v>
      </c>
      <c r="B163" s="17" t="s">
        <v>216</v>
      </c>
      <c r="C163" s="18" t="s">
        <v>81</v>
      </c>
      <c r="D163" s="18" t="s">
        <v>8</v>
      </c>
      <c r="E163" s="9">
        <v>1.0</v>
      </c>
    </row>
    <row r="164">
      <c r="A164" s="25">
        <v>163.0</v>
      </c>
      <c r="B164" s="17" t="s">
        <v>239</v>
      </c>
      <c r="C164" s="18" t="s">
        <v>119</v>
      </c>
      <c r="D164" s="18" t="s">
        <v>8</v>
      </c>
      <c r="E164" s="9">
        <v>1.0</v>
      </c>
    </row>
    <row r="165">
      <c r="A165" s="25">
        <v>164.0</v>
      </c>
      <c r="B165" s="17" t="s">
        <v>222</v>
      </c>
      <c r="C165" s="18" t="s">
        <v>55</v>
      </c>
      <c r="D165" s="18" t="s">
        <v>8</v>
      </c>
      <c r="E165" s="9">
        <v>1.0</v>
      </c>
    </row>
    <row r="166">
      <c r="A166" s="25">
        <v>165.0</v>
      </c>
      <c r="B166" s="17" t="s">
        <v>226</v>
      </c>
      <c r="C166" s="18" t="s">
        <v>53</v>
      </c>
      <c r="D166" s="18" t="s">
        <v>8</v>
      </c>
      <c r="E166" s="9">
        <v>1.0</v>
      </c>
    </row>
    <row r="167">
      <c r="A167" s="25">
        <v>166.0</v>
      </c>
      <c r="B167" s="17" t="s">
        <v>210</v>
      </c>
      <c r="C167" s="18" t="s">
        <v>89</v>
      </c>
      <c r="D167" s="18" t="s">
        <v>8</v>
      </c>
      <c r="E167" s="9">
        <v>1.0</v>
      </c>
    </row>
    <row r="168">
      <c r="A168" s="25">
        <v>167.0</v>
      </c>
      <c r="B168" s="17" t="s">
        <v>164</v>
      </c>
      <c r="C168" s="18" t="s">
        <v>81</v>
      </c>
      <c r="D168" s="18" t="s">
        <v>8</v>
      </c>
      <c r="E168" s="9">
        <v>1.0</v>
      </c>
    </row>
    <row r="169">
      <c r="A169" s="25">
        <v>168.0</v>
      </c>
      <c r="B169" s="17" t="s">
        <v>217</v>
      </c>
      <c r="C169" s="18" t="s">
        <v>45</v>
      </c>
      <c r="D169" s="18" t="s">
        <v>8</v>
      </c>
      <c r="E169" s="9">
        <v>1.0</v>
      </c>
    </row>
    <row r="170">
      <c r="A170" s="25">
        <v>169.0</v>
      </c>
      <c r="B170" s="17" t="s">
        <v>227</v>
      </c>
      <c r="C170" s="18" t="s">
        <v>64</v>
      </c>
      <c r="D170" s="18" t="s">
        <v>8</v>
      </c>
      <c r="E170" s="9">
        <v>1.0</v>
      </c>
    </row>
    <row r="171">
      <c r="A171" s="25">
        <v>170.0</v>
      </c>
      <c r="B171" s="17" t="s">
        <v>238</v>
      </c>
      <c r="C171" s="18" t="s">
        <v>28</v>
      </c>
      <c r="D171" s="18" t="s">
        <v>8</v>
      </c>
      <c r="E171" s="9">
        <v>1.0</v>
      </c>
    </row>
    <row r="172">
      <c r="A172" s="25">
        <v>171.0</v>
      </c>
      <c r="B172" s="17" t="s">
        <v>211</v>
      </c>
      <c r="C172" s="18" t="s">
        <v>39</v>
      </c>
      <c r="D172" s="18" t="s">
        <v>8</v>
      </c>
      <c r="E172" s="9">
        <v>1.0</v>
      </c>
    </row>
    <row r="173">
      <c r="A173" s="25">
        <v>172.0</v>
      </c>
      <c r="B173" s="17" t="s">
        <v>233</v>
      </c>
      <c r="C173" s="18" t="s">
        <v>28</v>
      </c>
      <c r="D173" s="18" t="s">
        <v>8</v>
      </c>
      <c r="E173" s="9">
        <v>1.0</v>
      </c>
    </row>
    <row r="174">
      <c r="A174" s="25">
        <v>173.0</v>
      </c>
      <c r="B174" s="17" t="s">
        <v>209</v>
      </c>
      <c r="C174" s="18" t="s">
        <v>62</v>
      </c>
      <c r="D174" s="18" t="s">
        <v>8</v>
      </c>
      <c r="E174" s="9">
        <v>1.0</v>
      </c>
    </row>
    <row r="175">
      <c r="A175" s="25">
        <v>174.0</v>
      </c>
      <c r="B175" s="17" t="s">
        <v>230</v>
      </c>
      <c r="C175" s="18" t="s">
        <v>19</v>
      </c>
      <c r="D175" s="18" t="s">
        <v>8</v>
      </c>
      <c r="E175" s="9">
        <v>1.0</v>
      </c>
    </row>
    <row r="176">
      <c r="A176" s="25">
        <v>175.0</v>
      </c>
      <c r="B176" s="17" t="s">
        <v>243</v>
      </c>
      <c r="C176" s="18" t="s">
        <v>58</v>
      </c>
      <c r="D176" s="18" t="s">
        <v>8</v>
      </c>
      <c r="E176" s="9">
        <v>1.0</v>
      </c>
    </row>
    <row r="177">
      <c r="A177" s="25">
        <v>176.0</v>
      </c>
      <c r="B177" s="17" t="s">
        <v>346</v>
      </c>
      <c r="C177" s="18" t="s">
        <v>66</v>
      </c>
      <c r="D177" s="18" t="s">
        <v>8</v>
      </c>
      <c r="E177" s="9">
        <v>1.0</v>
      </c>
    </row>
    <row r="178">
      <c r="A178" s="25">
        <v>177.0</v>
      </c>
      <c r="B178" s="17" t="s">
        <v>345</v>
      </c>
      <c r="C178" s="18" t="s">
        <v>28</v>
      </c>
      <c r="D178" s="18" t="s">
        <v>8</v>
      </c>
      <c r="E178" s="9">
        <v>1.0</v>
      </c>
    </row>
    <row r="179">
      <c r="A179" s="25">
        <v>178.0</v>
      </c>
      <c r="B179" s="17" t="s">
        <v>225</v>
      </c>
      <c r="C179" s="18" t="s">
        <v>25</v>
      </c>
      <c r="D179" s="18" t="s">
        <v>8</v>
      </c>
      <c r="E179" s="9">
        <v>1.0</v>
      </c>
    </row>
    <row r="180">
      <c r="A180" s="25">
        <v>179.0</v>
      </c>
      <c r="B180" s="17" t="s">
        <v>236</v>
      </c>
      <c r="C180" s="18" t="s">
        <v>23</v>
      </c>
      <c r="D180" s="18" t="s">
        <v>8</v>
      </c>
      <c r="E180" s="9">
        <v>1.0</v>
      </c>
    </row>
    <row r="181">
      <c r="A181" s="25">
        <v>180.0</v>
      </c>
      <c r="B181" s="17" t="s">
        <v>357</v>
      </c>
      <c r="C181" s="18" t="s">
        <v>58</v>
      </c>
      <c r="D181" s="18" t="s">
        <v>8</v>
      </c>
      <c r="E181" s="9">
        <v>1.0</v>
      </c>
    </row>
    <row r="182">
      <c r="A182" s="25">
        <v>181.0</v>
      </c>
      <c r="B182" s="17" t="s">
        <v>348</v>
      </c>
      <c r="C182" s="18" t="s">
        <v>62</v>
      </c>
      <c r="D182" s="18" t="s">
        <v>8</v>
      </c>
      <c r="E182" s="9">
        <v>1.0</v>
      </c>
    </row>
    <row r="183">
      <c r="A183" s="25">
        <v>182.0</v>
      </c>
      <c r="B183" s="17" t="s">
        <v>252</v>
      </c>
      <c r="C183" s="18" t="s">
        <v>37</v>
      </c>
      <c r="D183" s="18" t="s">
        <v>13</v>
      </c>
      <c r="E183" s="9">
        <v>1.0</v>
      </c>
    </row>
    <row r="184">
      <c r="A184" s="25">
        <v>183.0</v>
      </c>
      <c r="B184" s="17" t="s">
        <v>246</v>
      </c>
      <c r="C184" s="18" t="s">
        <v>32</v>
      </c>
      <c r="D184" s="18" t="s">
        <v>13</v>
      </c>
      <c r="E184" s="9">
        <v>1.0</v>
      </c>
    </row>
    <row r="185">
      <c r="A185" s="25">
        <v>184.0</v>
      </c>
      <c r="B185" s="17" t="s">
        <v>267</v>
      </c>
      <c r="C185" s="18" t="s">
        <v>17</v>
      </c>
      <c r="D185" s="18" t="s">
        <v>13</v>
      </c>
      <c r="E185" s="9">
        <v>1.0</v>
      </c>
    </row>
    <row r="186">
      <c r="A186" s="25">
        <v>185.0</v>
      </c>
      <c r="B186" s="17" t="s">
        <v>151</v>
      </c>
      <c r="C186" s="18" t="s">
        <v>119</v>
      </c>
      <c r="D186" s="18" t="s">
        <v>13</v>
      </c>
      <c r="E186" s="9">
        <v>1.0</v>
      </c>
    </row>
    <row r="187">
      <c r="A187" s="25">
        <v>186.0</v>
      </c>
      <c r="B187" s="17" t="s">
        <v>269</v>
      </c>
      <c r="C187" s="18" t="s">
        <v>119</v>
      </c>
      <c r="D187" s="18" t="s">
        <v>13</v>
      </c>
      <c r="E187" s="9">
        <v>1.0</v>
      </c>
    </row>
    <row r="188">
      <c r="A188" s="25">
        <v>187.0</v>
      </c>
      <c r="B188" s="17" t="s">
        <v>150</v>
      </c>
      <c r="C188" s="18" t="s">
        <v>41</v>
      </c>
      <c r="D188" s="18" t="s">
        <v>13</v>
      </c>
      <c r="E188" s="9">
        <v>1.0</v>
      </c>
    </row>
    <row r="189">
      <c r="A189" s="25">
        <v>188.0</v>
      </c>
      <c r="B189" s="17" t="s">
        <v>266</v>
      </c>
      <c r="C189" s="18" t="s">
        <v>47</v>
      </c>
      <c r="D189" s="18" t="s">
        <v>13</v>
      </c>
      <c r="E189" s="9">
        <v>1.0</v>
      </c>
    </row>
    <row r="190">
      <c r="A190" s="25">
        <v>189.0</v>
      </c>
      <c r="B190" s="17" t="s">
        <v>153</v>
      </c>
      <c r="C190" s="18" t="s">
        <v>37</v>
      </c>
      <c r="D190" s="18" t="s">
        <v>13</v>
      </c>
      <c r="E190" s="9">
        <v>1.0</v>
      </c>
    </row>
    <row r="191">
      <c r="A191" s="25">
        <v>190.0</v>
      </c>
      <c r="B191" s="17" t="s">
        <v>249</v>
      </c>
      <c r="C191" s="18" t="s">
        <v>45</v>
      </c>
      <c r="D191" s="18" t="s">
        <v>13</v>
      </c>
      <c r="E191" s="9">
        <v>1.0</v>
      </c>
    </row>
    <row r="192">
      <c r="A192" s="25">
        <v>191.0</v>
      </c>
      <c r="B192" s="17" t="s">
        <v>131</v>
      </c>
      <c r="C192" s="18" t="s">
        <v>45</v>
      </c>
      <c r="D192" s="18" t="s">
        <v>13</v>
      </c>
      <c r="E192" s="9">
        <v>1.0</v>
      </c>
    </row>
    <row r="193">
      <c r="A193" s="25">
        <v>192.0</v>
      </c>
      <c r="B193" s="17" t="s">
        <v>171</v>
      </c>
      <c r="C193" s="18" t="s">
        <v>10</v>
      </c>
      <c r="D193" s="18" t="s">
        <v>13</v>
      </c>
      <c r="E193" s="9">
        <v>1.0</v>
      </c>
    </row>
    <row r="194">
      <c r="A194" s="25">
        <v>193.0</v>
      </c>
      <c r="B194" s="17" t="s">
        <v>255</v>
      </c>
      <c r="C194" s="18" t="s">
        <v>43</v>
      </c>
      <c r="D194" s="18" t="s">
        <v>13</v>
      </c>
      <c r="E194" s="9">
        <v>1.0</v>
      </c>
    </row>
    <row r="195">
      <c r="A195" s="25">
        <v>194.0</v>
      </c>
      <c r="B195" s="17" t="s">
        <v>531</v>
      </c>
      <c r="C195" s="18" t="s">
        <v>66</v>
      </c>
      <c r="D195" s="18" t="s">
        <v>13</v>
      </c>
      <c r="E195" s="9">
        <v>1.0</v>
      </c>
    </row>
    <row r="196">
      <c r="A196" s="25">
        <v>195.0</v>
      </c>
      <c r="B196" s="17" t="s">
        <v>168</v>
      </c>
      <c r="C196" s="18" t="s">
        <v>73</v>
      </c>
      <c r="D196" s="18" t="s">
        <v>13</v>
      </c>
      <c r="E196" s="9">
        <v>1.0</v>
      </c>
    </row>
    <row r="197">
      <c r="A197" s="25">
        <v>196.0</v>
      </c>
      <c r="B197" s="17" t="s">
        <v>265</v>
      </c>
      <c r="C197" s="18" t="s">
        <v>69</v>
      </c>
      <c r="D197" s="18" t="s">
        <v>13</v>
      </c>
      <c r="E197" s="9">
        <v>1.0</v>
      </c>
    </row>
    <row r="198">
      <c r="A198" s="25">
        <v>197.0</v>
      </c>
      <c r="B198" s="17" t="s">
        <v>167</v>
      </c>
      <c r="C198" s="18" t="s">
        <v>35</v>
      </c>
      <c r="D198" s="18" t="s">
        <v>13</v>
      </c>
      <c r="E198" s="9">
        <v>1.0</v>
      </c>
    </row>
    <row r="199">
      <c r="A199" s="25">
        <v>198.0</v>
      </c>
      <c r="B199" s="17" t="s">
        <v>247</v>
      </c>
      <c r="C199" s="18" t="s">
        <v>32</v>
      </c>
      <c r="D199" s="18" t="s">
        <v>13</v>
      </c>
      <c r="E199" s="9">
        <v>1.0</v>
      </c>
    </row>
    <row r="200">
      <c r="A200" s="25">
        <v>199.0</v>
      </c>
      <c r="B200" s="17" t="s">
        <v>248</v>
      </c>
      <c r="C200" s="18" t="s">
        <v>12</v>
      </c>
      <c r="D200" s="18" t="s">
        <v>13</v>
      </c>
      <c r="E200" s="9">
        <v>1.0</v>
      </c>
    </row>
    <row r="201">
      <c r="A201" s="25">
        <v>200.0</v>
      </c>
      <c r="B201" s="17" t="s">
        <v>1242</v>
      </c>
      <c r="C201" s="18" t="s">
        <v>35</v>
      </c>
      <c r="D201" s="18" t="s">
        <v>13</v>
      </c>
      <c r="E201" s="9">
        <v>1.0</v>
      </c>
    </row>
    <row r="202">
      <c r="A202" s="25">
        <v>201.0</v>
      </c>
      <c r="B202" s="17" t="s">
        <v>256</v>
      </c>
      <c r="C202" s="18" t="s">
        <v>73</v>
      </c>
      <c r="D202" s="18" t="s">
        <v>13</v>
      </c>
      <c r="E202" s="9">
        <v>1.0</v>
      </c>
    </row>
    <row r="203">
      <c r="A203" s="25">
        <v>202.0</v>
      </c>
      <c r="B203" s="17" t="s">
        <v>342</v>
      </c>
      <c r="C203" s="18" t="s">
        <v>15</v>
      </c>
      <c r="D203" s="18" t="s">
        <v>13</v>
      </c>
      <c r="E203" s="9">
        <v>1.0</v>
      </c>
    </row>
    <row r="204">
      <c r="A204" s="25">
        <v>203.0</v>
      </c>
      <c r="B204" s="17" t="s">
        <v>169</v>
      </c>
      <c r="C204" s="18" t="s">
        <v>62</v>
      </c>
      <c r="D204" s="18" t="s">
        <v>13</v>
      </c>
      <c r="E204" s="9">
        <v>1.0</v>
      </c>
    </row>
    <row r="205">
      <c r="A205" s="25">
        <v>204.0</v>
      </c>
      <c r="B205" s="17" t="s">
        <v>149</v>
      </c>
      <c r="C205" s="18" t="s">
        <v>62</v>
      </c>
      <c r="D205" s="18" t="s">
        <v>13</v>
      </c>
      <c r="E205" s="9">
        <v>1.0</v>
      </c>
    </row>
    <row r="206">
      <c r="A206" s="25">
        <v>205.0</v>
      </c>
      <c r="B206" s="17" t="s">
        <v>544</v>
      </c>
      <c r="C206" s="18" t="s">
        <v>39</v>
      </c>
      <c r="D206" s="18" t="s">
        <v>13</v>
      </c>
      <c r="E206" s="9">
        <v>1.0</v>
      </c>
    </row>
    <row r="207">
      <c r="A207" s="25">
        <v>206.0</v>
      </c>
      <c r="B207" s="17" t="s">
        <v>250</v>
      </c>
      <c r="C207" s="18" t="s">
        <v>81</v>
      </c>
      <c r="D207" s="18" t="s">
        <v>13</v>
      </c>
      <c r="E207" s="9">
        <v>1.0</v>
      </c>
    </row>
    <row r="208">
      <c r="A208" s="25">
        <v>207.0</v>
      </c>
      <c r="B208" s="17" t="s">
        <v>268</v>
      </c>
      <c r="C208" s="18" t="s">
        <v>45</v>
      </c>
      <c r="D208" s="18" t="s">
        <v>13</v>
      </c>
      <c r="E208" s="9">
        <v>1.0</v>
      </c>
    </row>
    <row r="209">
      <c r="A209" s="25">
        <v>208.0</v>
      </c>
      <c r="B209" s="17" t="s">
        <v>271</v>
      </c>
      <c r="C209" s="18" t="s">
        <v>58</v>
      </c>
      <c r="D209" s="18" t="s">
        <v>13</v>
      </c>
      <c r="E209" s="9">
        <v>1.0</v>
      </c>
    </row>
    <row r="210">
      <c r="A210" s="25">
        <v>209.0</v>
      </c>
      <c r="B210" s="17" t="s">
        <v>254</v>
      </c>
      <c r="C210" s="18" t="s">
        <v>7</v>
      </c>
      <c r="D210" s="18" t="s">
        <v>13</v>
      </c>
      <c r="E210" s="9">
        <v>1.0</v>
      </c>
    </row>
    <row r="211">
      <c r="A211" s="25">
        <v>210.0</v>
      </c>
      <c r="B211" s="17" t="s">
        <v>263</v>
      </c>
      <c r="C211" s="18" t="s">
        <v>53</v>
      </c>
      <c r="D211" s="18" t="s">
        <v>13</v>
      </c>
      <c r="E211" s="9">
        <v>1.0</v>
      </c>
    </row>
    <row r="212">
      <c r="A212" s="25">
        <v>211.0</v>
      </c>
      <c r="B212" s="17" t="s">
        <v>258</v>
      </c>
      <c r="C212" s="18" t="s">
        <v>23</v>
      </c>
      <c r="D212" s="18" t="s">
        <v>13</v>
      </c>
      <c r="E212" s="9">
        <v>1.0</v>
      </c>
    </row>
    <row r="213">
      <c r="A213" s="25">
        <v>212.0</v>
      </c>
      <c r="B213" s="17" t="s">
        <v>272</v>
      </c>
      <c r="C213" s="18" t="s">
        <v>7</v>
      </c>
      <c r="D213" s="18" t="s">
        <v>13</v>
      </c>
      <c r="E213" s="9">
        <v>1.0</v>
      </c>
    </row>
    <row r="214">
      <c r="A214" s="25">
        <v>213.0</v>
      </c>
      <c r="B214" s="17" t="s">
        <v>543</v>
      </c>
      <c r="C214" s="18" t="s">
        <v>47</v>
      </c>
      <c r="D214" s="18" t="s">
        <v>13</v>
      </c>
      <c r="E214" s="9">
        <v>1.0</v>
      </c>
    </row>
    <row r="215">
      <c r="A215" s="25">
        <v>214.0</v>
      </c>
      <c r="B215" s="17" t="s">
        <v>537</v>
      </c>
      <c r="C215" s="18" t="s">
        <v>824</v>
      </c>
      <c r="D215" s="18" t="s">
        <v>13</v>
      </c>
      <c r="E215" s="9">
        <v>1.0</v>
      </c>
    </row>
    <row r="216">
      <c r="A216" s="25">
        <v>215.0</v>
      </c>
      <c r="B216" s="17" t="s">
        <v>257</v>
      </c>
      <c r="C216" s="18" t="s">
        <v>21</v>
      </c>
      <c r="D216" s="18" t="s">
        <v>13</v>
      </c>
      <c r="E216" s="9">
        <v>1.0</v>
      </c>
    </row>
    <row r="217">
      <c r="A217" s="25">
        <v>216.0</v>
      </c>
      <c r="B217" s="17" t="s">
        <v>541</v>
      </c>
      <c r="C217" s="18" t="s">
        <v>89</v>
      </c>
      <c r="D217" s="18" t="s">
        <v>13</v>
      </c>
      <c r="E217" s="9">
        <v>1.0</v>
      </c>
    </row>
    <row r="218">
      <c r="A218" s="25">
        <v>217.0</v>
      </c>
      <c r="B218" s="17" t="s">
        <v>535</v>
      </c>
      <c r="C218" s="18" t="s">
        <v>10</v>
      </c>
      <c r="D218" s="18" t="s">
        <v>13</v>
      </c>
      <c r="E218" s="9">
        <v>1.0</v>
      </c>
    </row>
    <row r="219">
      <c r="A219" s="25">
        <v>218.0</v>
      </c>
      <c r="B219" s="17" t="s">
        <v>551</v>
      </c>
      <c r="C219" s="18" t="s">
        <v>64</v>
      </c>
      <c r="D219" s="18" t="s">
        <v>13</v>
      </c>
      <c r="E219" s="9">
        <v>1.0</v>
      </c>
    </row>
    <row r="220">
      <c r="A220" s="25">
        <v>219.0</v>
      </c>
      <c r="B220" s="17" t="s">
        <v>253</v>
      </c>
      <c r="C220" s="18" t="s">
        <v>30</v>
      </c>
      <c r="D220" s="18" t="s">
        <v>13</v>
      </c>
      <c r="E220" s="9">
        <v>1.0</v>
      </c>
    </row>
    <row r="221">
      <c r="A221" s="25">
        <v>220.0</v>
      </c>
      <c r="B221" s="17" t="s">
        <v>534</v>
      </c>
      <c r="C221" s="18" t="s">
        <v>824</v>
      </c>
      <c r="D221" s="18" t="s">
        <v>13</v>
      </c>
      <c r="E221" s="9">
        <v>1.0</v>
      </c>
    </row>
    <row r="222">
      <c r="A222" s="25">
        <v>221.0</v>
      </c>
      <c r="B222" s="17" t="s">
        <v>538</v>
      </c>
      <c r="C222" s="18" t="s">
        <v>47</v>
      </c>
      <c r="D222" s="18" t="s">
        <v>13</v>
      </c>
      <c r="E222" s="9">
        <v>1.0</v>
      </c>
    </row>
    <row r="223">
      <c r="A223" s="25">
        <v>222.0</v>
      </c>
      <c r="B223" s="17" t="s">
        <v>532</v>
      </c>
      <c r="C223" s="18" t="s">
        <v>66</v>
      </c>
      <c r="D223" s="18" t="s">
        <v>13</v>
      </c>
      <c r="E223" s="9">
        <v>1.0</v>
      </c>
    </row>
    <row r="224">
      <c r="A224" s="25">
        <v>223.0</v>
      </c>
      <c r="B224" s="17" t="s">
        <v>566</v>
      </c>
      <c r="C224" s="18" t="s">
        <v>89</v>
      </c>
      <c r="D224" s="18" t="s">
        <v>13</v>
      </c>
      <c r="E224" s="9">
        <v>1.0</v>
      </c>
    </row>
    <row r="225">
      <c r="A225" s="25">
        <v>224.0</v>
      </c>
      <c r="B225" s="17" t="s">
        <v>533</v>
      </c>
      <c r="C225" s="18" t="s">
        <v>30</v>
      </c>
      <c r="D225" s="18" t="s">
        <v>13</v>
      </c>
      <c r="E225" s="9">
        <v>1.0</v>
      </c>
    </row>
    <row r="226">
      <c r="A226" s="25">
        <v>225.0</v>
      </c>
      <c r="B226" s="17" t="s">
        <v>166</v>
      </c>
      <c r="C226" s="18" t="s">
        <v>47</v>
      </c>
      <c r="D226" s="18" t="s">
        <v>13</v>
      </c>
      <c r="E226" s="9">
        <v>1.0</v>
      </c>
    </row>
    <row r="227">
      <c r="A227" s="25">
        <v>226.0</v>
      </c>
      <c r="B227" s="17" t="s">
        <v>585</v>
      </c>
      <c r="C227" s="18" t="s">
        <v>55</v>
      </c>
      <c r="D227" s="18" t="s">
        <v>13</v>
      </c>
      <c r="E227" s="9">
        <v>1.0</v>
      </c>
    </row>
    <row r="228">
      <c r="A228" s="25">
        <v>227.0</v>
      </c>
      <c r="B228" s="17" t="s">
        <v>536</v>
      </c>
      <c r="C228" s="18" t="s">
        <v>55</v>
      </c>
      <c r="D228" s="18" t="s">
        <v>13</v>
      </c>
      <c r="E228" s="9">
        <v>1.0</v>
      </c>
    </row>
    <row r="229">
      <c r="A229" s="25">
        <v>228.0</v>
      </c>
      <c r="B229" s="17" t="s">
        <v>578</v>
      </c>
      <c r="C229" s="18" t="s">
        <v>41</v>
      </c>
      <c r="D229" s="18" t="s">
        <v>13</v>
      </c>
      <c r="E229" s="9">
        <v>1.0</v>
      </c>
    </row>
    <row r="230">
      <c r="A230" s="25">
        <v>229.0</v>
      </c>
      <c r="B230" s="17" t="s">
        <v>259</v>
      </c>
      <c r="C230" s="18" t="s">
        <v>55</v>
      </c>
      <c r="D230" s="18" t="s">
        <v>13</v>
      </c>
      <c r="E230" s="9">
        <v>1.0</v>
      </c>
    </row>
    <row r="231">
      <c r="A231" s="25">
        <v>230.0</v>
      </c>
      <c r="B231" s="17" t="s">
        <v>570</v>
      </c>
      <c r="C231" s="18" t="s">
        <v>66</v>
      </c>
      <c r="D231" s="18" t="s">
        <v>13</v>
      </c>
      <c r="E231" s="9">
        <v>1.0</v>
      </c>
    </row>
    <row r="232">
      <c r="A232" s="25">
        <v>231.0</v>
      </c>
      <c r="B232" s="17" t="s">
        <v>545</v>
      </c>
      <c r="C232" s="18" t="s">
        <v>119</v>
      </c>
      <c r="D232" s="18" t="s">
        <v>13</v>
      </c>
      <c r="E232" s="9">
        <v>1.0</v>
      </c>
    </row>
    <row r="233">
      <c r="A233" s="25">
        <v>232.0</v>
      </c>
      <c r="B233" s="17" t="s">
        <v>555</v>
      </c>
      <c r="C233" s="18" t="s">
        <v>119</v>
      </c>
      <c r="D233" s="18" t="s">
        <v>13</v>
      </c>
      <c r="E233" s="9">
        <v>1.0</v>
      </c>
    </row>
    <row r="234">
      <c r="A234" s="25">
        <v>233.0</v>
      </c>
      <c r="B234" s="17" t="s">
        <v>563</v>
      </c>
      <c r="C234" s="18" t="s">
        <v>23</v>
      </c>
      <c r="D234" s="18" t="s">
        <v>13</v>
      </c>
      <c r="E234" s="9">
        <v>1.0</v>
      </c>
    </row>
    <row r="235">
      <c r="A235" s="25">
        <v>234.0</v>
      </c>
      <c r="B235" s="17" t="s">
        <v>264</v>
      </c>
      <c r="C235" s="18" t="s">
        <v>53</v>
      </c>
      <c r="D235" s="18" t="s">
        <v>13</v>
      </c>
      <c r="E235" s="9">
        <v>1.0</v>
      </c>
    </row>
    <row r="236">
      <c r="A236" s="25">
        <v>235.0</v>
      </c>
      <c r="B236" s="17" t="s">
        <v>575</v>
      </c>
      <c r="C236" s="18" t="s">
        <v>12</v>
      </c>
      <c r="D236" s="18" t="s">
        <v>13</v>
      </c>
      <c r="E236" s="9">
        <v>1.0</v>
      </c>
    </row>
    <row r="237">
      <c r="A237" s="25">
        <v>236.0</v>
      </c>
      <c r="B237" s="17" t="s">
        <v>562</v>
      </c>
      <c r="C237" s="18" t="s">
        <v>32</v>
      </c>
      <c r="D237" s="18" t="s">
        <v>13</v>
      </c>
      <c r="E237" s="9">
        <v>1.0</v>
      </c>
    </row>
    <row r="238">
      <c r="A238" s="25">
        <v>237.0</v>
      </c>
      <c r="B238" s="17" t="s">
        <v>885</v>
      </c>
      <c r="C238" s="18" t="s">
        <v>43</v>
      </c>
      <c r="D238" s="18" t="s">
        <v>13</v>
      </c>
      <c r="E238" s="9">
        <v>1.0</v>
      </c>
    </row>
    <row r="239">
      <c r="A239" s="25">
        <v>238.0</v>
      </c>
      <c r="B239" s="17" t="s">
        <v>561</v>
      </c>
      <c r="C239" s="18" t="s">
        <v>81</v>
      </c>
      <c r="D239" s="18" t="s">
        <v>13</v>
      </c>
      <c r="E239" s="9">
        <v>1.0</v>
      </c>
    </row>
    <row r="240">
      <c r="A240" s="25">
        <v>239.0</v>
      </c>
      <c r="B240" s="17" t="s">
        <v>160</v>
      </c>
      <c r="C240" s="18" t="s">
        <v>119</v>
      </c>
      <c r="D240" s="18" t="s">
        <v>59</v>
      </c>
      <c r="E240" s="9">
        <v>1.0</v>
      </c>
    </row>
    <row r="241">
      <c r="A241" s="25">
        <v>240.0</v>
      </c>
      <c r="B241" s="17" t="s">
        <v>177</v>
      </c>
      <c r="C241" s="18" t="s">
        <v>85</v>
      </c>
      <c r="D241" s="18" t="s">
        <v>59</v>
      </c>
      <c r="E241" s="9">
        <v>1.0</v>
      </c>
    </row>
    <row r="242">
      <c r="A242" s="25">
        <v>241.0</v>
      </c>
      <c r="B242" s="17" t="s">
        <v>179</v>
      </c>
      <c r="C242" s="18" t="s">
        <v>17</v>
      </c>
      <c r="D242" s="18" t="s">
        <v>59</v>
      </c>
      <c r="E242" s="9">
        <v>1.0</v>
      </c>
    </row>
    <row r="243">
      <c r="A243" s="25">
        <v>242.0</v>
      </c>
      <c r="B243" s="17" t="s">
        <v>302</v>
      </c>
      <c r="C243" s="18" t="s">
        <v>15</v>
      </c>
      <c r="D243" s="18" t="s">
        <v>59</v>
      </c>
      <c r="E243" s="9">
        <v>1.0</v>
      </c>
    </row>
    <row r="244">
      <c r="A244" s="25">
        <v>243.0</v>
      </c>
      <c r="B244" s="17" t="s">
        <v>158</v>
      </c>
      <c r="C244" s="18" t="s">
        <v>39</v>
      </c>
      <c r="D244" s="18" t="s">
        <v>59</v>
      </c>
      <c r="E244" s="9">
        <v>1.0</v>
      </c>
    </row>
    <row r="245">
      <c r="A245" s="25">
        <v>244.0</v>
      </c>
      <c r="B245" s="17" t="s">
        <v>297</v>
      </c>
      <c r="C245" s="18" t="s">
        <v>824</v>
      </c>
      <c r="D245" s="18" t="s">
        <v>59</v>
      </c>
      <c r="E245" s="9">
        <v>1.0</v>
      </c>
    </row>
    <row r="246">
      <c r="A246" s="25">
        <v>245.0</v>
      </c>
      <c r="B246" s="17" t="s">
        <v>301</v>
      </c>
      <c r="C246" s="18" t="s">
        <v>43</v>
      </c>
      <c r="D246" s="18" t="s">
        <v>59</v>
      </c>
      <c r="E246" s="9">
        <v>1.0</v>
      </c>
    </row>
    <row r="247">
      <c r="A247" s="25">
        <v>246.0</v>
      </c>
      <c r="B247" s="17" t="s">
        <v>181</v>
      </c>
      <c r="C247" s="18" t="s">
        <v>12</v>
      </c>
      <c r="D247" s="18" t="s">
        <v>59</v>
      </c>
      <c r="E247" s="9">
        <v>1.0</v>
      </c>
    </row>
    <row r="248">
      <c r="A248" s="25">
        <v>247.0</v>
      </c>
      <c r="B248" s="17" t="s">
        <v>299</v>
      </c>
      <c r="C248" s="18" t="s">
        <v>73</v>
      </c>
      <c r="D248" s="18" t="s">
        <v>59</v>
      </c>
      <c r="E248" s="9">
        <v>1.0</v>
      </c>
    </row>
    <row r="249">
      <c r="A249" s="25">
        <v>248.0</v>
      </c>
      <c r="B249" s="17" t="s">
        <v>180</v>
      </c>
      <c r="C249" s="18" t="s">
        <v>66</v>
      </c>
      <c r="D249" s="18" t="s">
        <v>59</v>
      </c>
      <c r="E249" s="9">
        <v>1.0</v>
      </c>
    </row>
    <row r="250">
      <c r="A250" s="25">
        <v>249.0</v>
      </c>
      <c r="B250" s="17" t="s">
        <v>306</v>
      </c>
      <c r="C250" s="18" t="s">
        <v>7</v>
      </c>
      <c r="D250" s="18" t="s">
        <v>59</v>
      </c>
      <c r="E250" s="9">
        <v>1.0</v>
      </c>
    </row>
    <row r="251">
      <c r="A251" s="25">
        <v>250.0</v>
      </c>
      <c r="B251" s="17" t="s">
        <v>303</v>
      </c>
      <c r="C251" s="18" t="s">
        <v>47</v>
      </c>
      <c r="D251" s="18" t="s">
        <v>59</v>
      </c>
      <c r="E251" s="9">
        <v>1.0</v>
      </c>
    </row>
    <row r="252">
      <c r="A252" s="25">
        <v>251.0</v>
      </c>
      <c r="B252" s="17" t="s">
        <v>298</v>
      </c>
      <c r="C252" s="18" t="s">
        <v>21</v>
      </c>
      <c r="D252" s="18" t="s">
        <v>59</v>
      </c>
      <c r="E252" s="9">
        <v>1.0</v>
      </c>
    </row>
    <row r="253">
      <c r="A253" s="25">
        <v>252.0</v>
      </c>
      <c r="B253" s="17" t="s">
        <v>300</v>
      </c>
      <c r="C253" s="18" t="s">
        <v>19</v>
      </c>
      <c r="D253" s="18" t="s">
        <v>59</v>
      </c>
      <c r="E253" s="9">
        <v>1.0</v>
      </c>
    </row>
    <row r="254">
      <c r="A254" s="25">
        <v>253.0</v>
      </c>
      <c r="B254" s="17" t="s">
        <v>304</v>
      </c>
      <c r="C254" s="18" t="s">
        <v>81</v>
      </c>
      <c r="D254" s="18" t="s">
        <v>59</v>
      </c>
      <c r="E254" s="9">
        <v>1.0</v>
      </c>
    </row>
    <row r="255">
      <c r="A255" s="25">
        <v>254.0</v>
      </c>
      <c r="B255" s="17" t="s">
        <v>311</v>
      </c>
      <c r="C255" s="18" t="s">
        <v>37</v>
      </c>
      <c r="D255" s="18" t="s">
        <v>59</v>
      </c>
      <c r="E255" s="9">
        <v>1.0</v>
      </c>
    </row>
    <row r="256">
      <c r="A256" s="25">
        <v>255.0</v>
      </c>
      <c r="B256" s="17" t="s">
        <v>307</v>
      </c>
      <c r="C256" s="18" t="s">
        <v>41</v>
      </c>
      <c r="D256" s="18" t="s">
        <v>59</v>
      </c>
      <c r="E256" s="9">
        <v>1.0</v>
      </c>
    </row>
    <row r="257">
      <c r="A257" s="25">
        <v>256.0</v>
      </c>
      <c r="B257" s="17" t="s">
        <v>702</v>
      </c>
      <c r="C257" s="18" t="s">
        <v>53</v>
      </c>
      <c r="D257" s="18" t="s">
        <v>59</v>
      </c>
      <c r="E257" s="9">
        <v>1.0</v>
      </c>
    </row>
    <row r="258">
      <c r="A258" s="25">
        <v>257.0</v>
      </c>
      <c r="B258" s="17" t="s">
        <v>309</v>
      </c>
      <c r="C258" s="18" t="s">
        <v>10</v>
      </c>
      <c r="D258" s="18" t="s">
        <v>59</v>
      </c>
      <c r="E258" s="9">
        <v>1.0</v>
      </c>
    </row>
    <row r="259">
      <c r="A259" s="25">
        <v>258.0</v>
      </c>
      <c r="B259" s="17" t="s">
        <v>312</v>
      </c>
      <c r="C259" s="18" t="s">
        <v>37</v>
      </c>
      <c r="D259" s="18" t="s">
        <v>59</v>
      </c>
      <c r="E259" s="9">
        <v>1.0</v>
      </c>
    </row>
    <row r="260">
      <c r="A260" s="25">
        <v>259.0</v>
      </c>
      <c r="B260" s="17" t="s">
        <v>310</v>
      </c>
      <c r="C260" s="18" t="s">
        <v>119</v>
      </c>
      <c r="D260" s="18" t="s">
        <v>59</v>
      </c>
      <c r="E260" s="9">
        <v>1.0</v>
      </c>
    </row>
    <row r="261">
      <c r="A261" s="25">
        <v>260.0</v>
      </c>
      <c r="B261" s="17" t="s">
        <v>305</v>
      </c>
      <c r="C261" s="18" t="s">
        <v>69</v>
      </c>
      <c r="D261" s="18" t="s">
        <v>59</v>
      </c>
      <c r="E261" s="9">
        <v>1.0</v>
      </c>
    </row>
    <row r="262">
      <c r="A262" s="25">
        <v>261.0</v>
      </c>
      <c r="B262" s="17" t="s">
        <v>704</v>
      </c>
      <c r="C262" s="18" t="s">
        <v>53</v>
      </c>
      <c r="D262" s="18" t="s">
        <v>59</v>
      </c>
      <c r="E262" s="9">
        <v>1.0</v>
      </c>
    </row>
    <row r="263">
      <c r="A263" s="25">
        <v>262.0</v>
      </c>
      <c r="B263" s="17" t="s">
        <v>700</v>
      </c>
      <c r="C263" s="18" t="s">
        <v>43</v>
      </c>
      <c r="D263" s="18" t="s">
        <v>59</v>
      </c>
      <c r="E263" s="9">
        <v>1.0</v>
      </c>
    </row>
    <row r="264">
      <c r="A264" s="25">
        <v>263.0</v>
      </c>
      <c r="B264" s="17" t="s">
        <v>698</v>
      </c>
      <c r="C264" s="18" t="s">
        <v>45</v>
      </c>
      <c r="D264" s="18" t="s">
        <v>59</v>
      </c>
      <c r="E264" s="9">
        <v>1.0</v>
      </c>
    </row>
    <row r="265">
      <c r="A265" s="25">
        <v>264.0</v>
      </c>
      <c r="B265" s="17" t="s">
        <v>721</v>
      </c>
      <c r="C265" s="18" t="s">
        <v>85</v>
      </c>
      <c r="D265" s="18" t="s">
        <v>59</v>
      </c>
      <c r="E265" s="9">
        <v>1.0</v>
      </c>
    </row>
    <row r="266">
      <c r="A266" s="25">
        <v>265.0</v>
      </c>
      <c r="B266" s="17" t="s">
        <v>709</v>
      </c>
      <c r="C266" s="18" t="s">
        <v>7</v>
      </c>
      <c r="D266" s="18" t="s">
        <v>59</v>
      </c>
      <c r="E266" s="9">
        <v>1.0</v>
      </c>
    </row>
    <row r="267">
      <c r="A267" s="25">
        <v>266.0</v>
      </c>
      <c r="B267" s="17" t="s">
        <v>328</v>
      </c>
      <c r="C267" s="18" t="s">
        <v>43</v>
      </c>
      <c r="D267" s="18" t="s">
        <v>193</v>
      </c>
      <c r="E267" s="9">
        <v>1.0</v>
      </c>
    </row>
    <row r="268">
      <c r="A268" s="25">
        <v>267.0</v>
      </c>
      <c r="B268" s="17" t="s">
        <v>320</v>
      </c>
      <c r="C268" s="18" t="s">
        <v>15</v>
      </c>
      <c r="D268" s="18" t="s">
        <v>193</v>
      </c>
      <c r="E268" s="9">
        <v>1.0</v>
      </c>
    </row>
    <row r="269">
      <c r="A269" s="25">
        <v>268.0</v>
      </c>
      <c r="B269" s="17" t="s">
        <v>331</v>
      </c>
      <c r="C269" s="18" t="s">
        <v>53</v>
      </c>
      <c r="D269" s="18" t="s">
        <v>193</v>
      </c>
      <c r="E269" s="9">
        <v>1.0</v>
      </c>
    </row>
    <row r="270">
      <c r="A270" s="25">
        <v>269.0</v>
      </c>
      <c r="B270" s="17" t="s">
        <v>195</v>
      </c>
      <c r="C270" s="18" t="s">
        <v>47</v>
      </c>
      <c r="D270" s="18" t="s">
        <v>193</v>
      </c>
      <c r="E270" s="9">
        <v>1.0</v>
      </c>
    </row>
    <row r="271">
      <c r="A271" s="25">
        <v>270.0</v>
      </c>
      <c r="B271" s="17" t="s">
        <v>199</v>
      </c>
      <c r="C271" s="18" t="s">
        <v>32</v>
      </c>
      <c r="D271" s="18" t="s">
        <v>193</v>
      </c>
      <c r="E271" s="9">
        <v>1.0</v>
      </c>
    </row>
    <row r="272">
      <c r="A272" s="25">
        <v>271.0</v>
      </c>
      <c r="B272" s="17" t="s">
        <v>202</v>
      </c>
      <c r="C272" s="18" t="s">
        <v>23</v>
      </c>
      <c r="D272" s="18" t="s">
        <v>193</v>
      </c>
      <c r="E272" s="9">
        <v>1.0</v>
      </c>
    </row>
    <row r="273">
      <c r="A273" s="25">
        <v>272.0</v>
      </c>
      <c r="B273" s="17" t="s">
        <v>200</v>
      </c>
      <c r="C273" s="18" t="s">
        <v>7</v>
      </c>
      <c r="D273" s="18" t="s">
        <v>193</v>
      </c>
      <c r="E273" s="9">
        <v>1.0</v>
      </c>
    </row>
    <row r="274">
      <c r="A274" s="25">
        <v>273.0</v>
      </c>
      <c r="B274" s="17" t="s">
        <v>319</v>
      </c>
      <c r="C274" s="18" t="s">
        <v>66</v>
      </c>
      <c r="D274" s="18" t="s">
        <v>193</v>
      </c>
      <c r="E274" s="9">
        <v>1.0</v>
      </c>
    </row>
    <row r="275">
      <c r="A275" s="25">
        <v>274.0</v>
      </c>
      <c r="B275" s="17" t="s">
        <v>330</v>
      </c>
      <c r="C275" s="18" t="s">
        <v>62</v>
      </c>
      <c r="D275" s="18" t="s">
        <v>193</v>
      </c>
      <c r="E275" s="9">
        <v>1.0</v>
      </c>
    </row>
    <row r="276">
      <c r="A276" s="25">
        <v>275.0</v>
      </c>
      <c r="B276" s="17" t="s">
        <v>327</v>
      </c>
      <c r="C276" s="18" t="s">
        <v>45</v>
      </c>
      <c r="D276" s="18" t="s">
        <v>193</v>
      </c>
      <c r="E276" s="9">
        <v>1.0</v>
      </c>
    </row>
    <row r="277">
      <c r="A277" s="25">
        <v>276.0</v>
      </c>
      <c r="B277" s="17" t="s">
        <v>326</v>
      </c>
      <c r="C277" s="18" t="s">
        <v>17</v>
      </c>
      <c r="D277" s="18" t="s">
        <v>193</v>
      </c>
      <c r="E277" s="9">
        <v>1.0</v>
      </c>
    </row>
    <row r="278">
      <c r="A278" s="25">
        <v>277.0</v>
      </c>
      <c r="B278" s="17" t="s">
        <v>196</v>
      </c>
      <c r="C278" s="18" t="s">
        <v>58</v>
      </c>
      <c r="D278" s="18" t="s">
        <v>193</v>
      </c>
      <c r="E278" s="9">
        <v>1.0</v>
      </c>
    </row>
    <row r="279">
      <c r="A279" s="25">
        <v>278.0</v>
      </c>
      <c r="B279" s="17" t="s">
        <v>324</v>
      </c>
      <c r="C279" s="18" t="s">
        <v>64</v>
      </c>
      <c r="D279" s="18" t="s">
        <v>193</v>
      </c>
      <c r="E279" s="9">
        <v>1.0</v>
      </c>
    </row>
    <row r="280">
      <c r="A280" s="25">
        <v>279.0</v>
      </c>
      <c r="B280" s="17" t="s">
        <v>335</v>
      </c>
      <c r="C280" s="18" t="s">
        <v>10</v>
      </c>
      <c r="D280" s="18" t="s">
        <v>193</v>
      </c>
      <c r="E280" s="9">
        <v>1.0</v>
      </c>
    </row>
    <row r="281">
      <c r="A281" s="25">
        <v>280.0</v>
      </c>
      <c r="B281" s="17" t="s">
        <v>323</v>
      </c>
      <c r="C281" s="18" t="s">
        <v>19</v>
      </c>
      <c r="D281" s="18" t="s">
        <v>193</v>
      </c>
      <c r="E281" s="9">
        <v>1.0</v>
      </c>
    </row>
    <row r="282">
      <c r="A282" s="25">
        <v>281.0</v>
      </c>
      <c r="B282" s="17" t="s">
        <v>322</v>
      </c>
      <c r="C282" s="18" t="s">
        <v>119</v>
      </c>
      <c r="D282" s="18" t="s">
        <v>193</v>
      </c>
      <c r="E282" s="9">
        <v>1.0</v>
      </c>
    </row>
    <row r="283">
      <c r="A283" s="25">
        <v>282.0</v>
      </c>
      <c r="B283" s="17" t="s">
        <v>329</v>
      </c>
      <c r="C283" s="18" t="s">
        <v>21</v>
      </c>
      <c r="D283" s="18" t="s">
        <v>193</v>
      </c>
      <c r="E283" s="9">
        <v>1.0</v>
      </c>
    </row>
    <row r="284">
      <c r="A284" s="25">
        <v>283.0</v>
      </c>
      <c r="B284" s="17" t="s">
        <v>201</v>
      </c>
      <c r="C284" s="18" t="s">
        <v>73</v>
      </c>
      <c r="D284" s="18" t="s">
        <v>193</v>
      </c>
      <c r="E284" s="9">
        <v>1.0</v>
      </c>
    </row>
    <row r="285">
      <c r="A285" s="25">
        <v>284.0</v>
      </c>
      <c r="B285" s="17" t="s">
        <v>321</v>
      </c>
      <c r="C285" s="18" t="s">
        <v>39</v>
      </c>
      <c r="D285" s="18" t="s">
        <v>193</v>
      </c>
      <c r="E285" s="9">
        <v>1.0</v>
      </c>
    </row>
    <row r="286">
      <c r="A286" s="25">
        <v>285.0</v>
      </c>
      <c r="B286" s="17" t="s">
        <v>333</v>
      </c>
      <c r="C286" s="18" t="s">
        <v>69</v>
      </c>
      <c r="D286" s="18" t="s">
        <v>193</v>
      </c>
      <c r="E286" s="9">
        <v>1.0</v>
      </c>
    </row>
    <row r="287">
      <c r="A287" s="25">
        <v>286.0</v>
      </c>
      <c r="B287" s="17" t="s">
        <v>820</v>
      </c>
      <c r="C287" s="18" t="s">
        <v>824</v>
      </c>
      <c r="D287" s="18" t="s">
        <v>193</v>
      </c>
      <c r="E287" s="9">
        <v>1.0</v>
      </c>
    </row>
    <row r="288">
      <c r="A288" s="25">
        <v>287.0</v>
      </c>
      <c r="B288" s="17" t="s">
        <v>332</v>
      </c>
      <c r="C288" s="18" t="s">
        <v>25</v>
      </c>
      <c r="D288" s="18" t="s">
        <v>193</v>
      </c>
      <c r="E288" s="9">
        <v>1.0</v>
      </c>
    </row>
    <row r="289">
      <c r="A289" s="25">
        <v>288.0</v>
      </c>
      <c r="B289" s="17" t="s">
        <v>338</v>
      </c>
      <c r="C289" s="18" t="s">
        <v>85</v>
      </c>
      <c r="D289" s="18" t="s">
        <v>193</v>
      </c>
      <c r="E289" s="9">
        <v>1.0</v>
      </c>
    </row>
    <row r="290">
      <c r="A290" s="25">
        <v>289.0</v>
      </c>
      <c r="B290" s="17" t="s">
        <v>339</v>
      </c>
      <c r="C290" s="18" t="s">
        <v>35</v>
      </c>
      <c r="D290" s="18" t="s">
        <v>193</v>
      </c>
      <c r="E290" s="9">
        <v>1.0</v>
      </c>
    </row>
    <row r="291">
      <c r="A291" s="25">
        <v>290.0</v>
      </c>
      <c r="B291" s="17" t="s">
        <v>337</v>
      </c>
      <c r="C291" s="18" t="s">
        <v>55</v>
      </c>
      <c r="D291" s="18" t="s">
        <v>193</v>
      </c>
      <c r="E291" s="9">
        <v>1.0</v>
      </c>
    </row>
    <row r="292">
      <c r="A292" s="25">
        <v>291.0</v>
      </c>
      <c r="B292" s="17" t="s">
        <v>336</v>
      </c>
      <c r="C292" s="18" t="s">
        <v>89</v>
      </c>
      <c r="D292" s="18" t="s">
        <v>193</v>
      </c>
      <c r="E292" s="9">
        <v>1.0</v>
      </c>
    </row>
    <row r="293">
      <c r="A293" s="25">
        <v>292.0</v>
      </c>
      <c r="B293" s="17" t="s">
        <v>340</v>
      </c>
      <c r="C293" s="18" t="s">
        <v>81</v>
      </c>
      <c r="D293" s="18" t="s">
        <v>193</v>
      </c>
      <c r="E293" s="9">
        <v>1.0</v>
      </c>
    </row>
    <row r="294">
      <c r="A294" s="25">
        <v>293.0</v>
      </c>
      <c r="B294" s="17" t="s">
        <v>189</v>
      </c>
      <c r="C294" s="18" t="s">
        <v>30</v>
      </c>
      <c r="D294" s="18" t="s">
        <v>183</v>
      </c>
      <c r="E294" s="9">
        <v>1.0</v>
      </c>
    </row>
    <row r="295">
      <c r="A295" s="25">
        <v>294.0</v>
      </c>
      <c r="B295" s="17" t="s">
        <v>343</v>
      </c>
      <c r="C295" s="18" t="s">
        <v>58</v>
      </c>
      <c r="D295" s="18" t="s">
        <v>183</v>
      </c>
      <c r="E295" s="9">
        <v>1.0</v>
      </c>
    </row>
    <row r="296">
      <c r="A296" s="25">
        <v>295.0</v>
      </c>
      <c r="B296" s="17" t="s">
        <v>316</v>
      </c>
      <c r="C296" s="18" t="s">
        <v>37</v>
      </c>
      <c r="D296" s="18" t="s">
        <v>183</v>
      </c>
      <c r="E296" s="9">
        <v>1.0</v>
      </c>
    </row>
    <row r="297">
      <c r="A297" s="25">
        <v>296.0</v>
      </c>
      <c r="B297" s="17" t="s">
        <v>182</v>
      </c>
      <c r="C297" s="18" t="s">
        <v>19</v>
      </c>
      <c r="D297" s="18" t="s">
        <v>183</v>
      </c>
      <c r="E297" s="9">
        <v>1.0</v>
      </c>
    </row>
    <row r="298">
      <c r="A298" s="25">
        <v>297.0</v>
      </c>
      <c r="B298" s="17" t="s">
        <v>187</v>
      </c>
      <c r="C298" s="18" t="s">
        <v>43</v>
      </c>
      <c r="D298" s="18" t="s">
        <v>183</v>
      </c>
      <c r="E298" s="9">
        <v>1.0</v>
      </c>
    </row>
    <row r="299">
      <c r="A299" s="25">
        <v>298.0</v>
      </c>
      <c r="B299" s="17" t="s">
        <v>184</v>
      </c>
      <c r="C299" s="18" t="s">
        <v>12</v>
      </c>
      <c r="D299" s="18" t="s">
        <v>183</v>
      </c>
      <c r="E299" s="9">
        <v>1.0</v>
      </c>
    </row>
    <row r="300">
      <c r="A300" s="25">
        <v>299.0</v>
      </c>
      <c r="B300" s="17" t="s">
        <v>185</v>
      </c>
      <c r="C300" s="18" t="s">
        <v>62</v>
      </c>
      <c r="D300" s="18" t="s">
        <v>183</v>
      </c>
      <c r="E300" s="9">
        <v>1.0</v>
      </c>
    </row>
    <row r="301">
      <c r="A301" s="25">
        <v>300.0</v>
      </c>
      <c r="B301" s="17" t="s">
        <v>793</v>
      </c>
      <c r="C301" s="18" t="s">
        <v>15</v>
      </c>
      <c r="D301" s="18" t="s">
        <v>183</v>
      </c>
      <c r="E301" s="9">
        <v>1.0</v>
      </c>
    </row>
    <row r="302">
      <c r="A302" s="25">
        <v>301.0</v>
      </c>
      <c r="B302" s="17" t="s">
        <v>318</v>
      </c>
      <c r="C302" s="18" t="s">
        <v>17</v>
      </c>
      <c r="D302" s="18" t="s">
        <v>183</v>
      </c>
      <c r="E302" s="9">
        <v>1.0</v>
      </c>
    </row>
    <row r="303">
      <c r="A303" s="25">
        <v>302.0</v>
      </c>
      <c r="B303" s="17" t="s">
        <v>186</v>
      </c>
      <c r="C303" s="18" t="s">
        <v>25</v>
      </c>
      <c r="D303" s="18" t="s">
        <v>183</v>
      </c>
      <c r="E303" s="9">
        <v>1.0</v>
      </c>
    </row>
    <row r="304">
      <c r="A304" s="25">
        <v>303.0</v>
      </c>
      <c r="B304" s="17" t="s">
        <v>796</v>
      </c>
      <c r="C304" s="18" t="s">
        <v>41</v>
      </c>
      <c r="D304" s="18" t="s">
        <v>183</v>
      </c>
      <c r="E304" s="9">
        <v>1.0</v>
      </c>
    </row>
    <row r="305">
      <c r="A305" s="25">
        <v>304.0</v>
      </c>
      <c r="B305" s="17" t="s">
        <v>190</v>
      </c>
      <c r="C305" s="18" t="s">
        <v>45</v>
      </c>
      <c r="D305" s="18" t="s">
        <v>183</v>
      </c>
      <c r="E305" s="9">
        <v>1.0</v>
      </c>
    </row>
    <row r="306">
      <c r="A306" s="25">
        <v>305.0</v>
      </c>
      <c r="B306" s="17" t="s">
        <v>188</v>
      </c>
      <c r="C306" s="18" t="s">
        <v>119</v>
      </c>
      <c r="D306" s="18" t="s">
        <v>183</v>
      </c>
      <c r="E306" s="9">
        <v>1.0</v>
      </c>
    </row>
    <row r="307">
      <c r="A307" s="25">
        <v>306.0</v>
      </c>
      <c r="B307" s="17" t="s">
        <v>314</v>
      </c>
      <c r="C307" s="18" t="s">
        <v>64</v>
      </c>
      <c r="D307" s="18" t="s">
        <v>183</v>
      </c>
      <c r="E307" s="9">
        <v>1.0</v>
      </c>
    </row>
    <row r="308">
      <c r="A308" s="25">
        <v>307.0</v>
      </c>
      <c r="B308" s="17" t="s">
        <v>317</v>
      </c>
      <c r="C308" s="18" t="s">
        <v>28</v>
      </c>
      <c r="D308" s="18" t="s">
        <v>183</v>
      </c>
      <c r="E308" s="9">
        <v>1.0</v>
      </c>
    </row>
    <row r="309">
      <c r="A309" s="25">
        <v>308.0</v>
      </c>
      <c r="B309" s="17" t="s">
        <v>790</v>
      </c>
      <c r="C309" s="18" t="s">
        <v>89</v>
      </c>
      <c r="D309" s="18" t="s">
        <v>183</v>
      </c>
      <c r="E309" s="9">
        <v>1.0</v>
      </c>
    </row>
    <row r="310">
      <c r="A310" s="25">
        <v>309.0</v>
      </c>
      <c r="B310" s="17" t="s">
        <v>315</v>
      </c>
      <c r="C310" s="18" t="s">
        <v>66</v>
      </c>
      <c r="D310" s="18" t="s">
        <v>183</v>
      </c>
      <c r="E310" s="9">
        <v>1.0</v>
      </c>
    </row>
    <row r="311">
      <c r="A311" s="25">
        <v>310.0</v>
      </c>
      <c r="B311" s="17" t="s">
        <v>791</v>
      </c>
      <c r="C311" s="18" t="s">
        <v>7</v>
      </c>
      <c r="D311" s="18" t="s">
        <v>183</v>
      </c>
      <c r="E311" s="9">
        <v>1.0</v>
      </c>
    </row>
    <row r="312">
      <c r="A312" s="25">
        <v>311.0</v>
      </c>
      <c r="B312" s="17" t="s">
        <v>797</v>
      </c>
      <c r="C312" s="18" t="s">
        <v>47</v>
      </c>
      <c r="D312" s="18" t="s">
        <v>183</v>
      </c>
      <c r="E312" s="9">
        <v>1.0</v>
      </c>
    </row>
    <row r="313">
      <c r="A313" s="25">
        <v>312.0</v>
      </c>
      <c r="B313" s="17" t="s">
        <v>792</v>
      </c>
      <c r="C313" s="18" t="s">
        <v>39</v>
      </c>
      <c r="D313" s="18" t="s">
        <v>183</v>
      </c>
      <c r="E313" s="9">
        <v>1.0</v>
      </c>
    </row>
    <row r="314">
      <c r="A314" s="25">
        <v>313.0</v>
      </c>
      <c r="B314" s="17" t="s">
        <v>809</v>
      </c>
      <c r="C314" s="18" t="s">
        <v>32</v>
      </c>
      <c r="D314" s="18" t="s">
        <v>183</v>
      </c>
      <c r="E314" s="9">
        <v>1.0</v>
      </c>
    </row>
    <row r="315">
      <c r="A315" s="25">
        <v>314.0</v>
      </c>
      <c r="B315" s="17" t="s">
        <v>805</v>
      </c>
      <c r="C315" s="18" t="s">
        <v>73</v>
      </c>
      <c r="D315" s="18" t="s">
        <v>183</v>
      </c>
      <c r="E315" s="9">
        <v>1.0</v>
      </c>
    </row>
    <row r="316">
      <c r="A316" s="25">
        <v>315.0</v>
      </c>
      <c r="B316" s="17" t="s">
        <v>808</v>
      </c>
      <c r="C316" s="18" t="s">
        <v>35</v>
      </c>
      <c r="D316" s="18" t="s">
        <v>183</v>
      </c>
      <c r="E316" s="9">
        <v>1.0</v>
      </c>
    </row>
    <row r="317">
      <c r="A317" s="25">
        <v>316.0</v>
      </c>
      <c r="B317" s="17" t="s">
        <v>794</v>
      </c>
      <c r="C317" s="18" t="s">
        <v>69</v>
      </c>
      <c r="D317" s="18" t="s">
        <v>183</v>
      </c>
      <c r="E317" s="9">
        <v>1.0</v>
      </c>
    </row>
    <row r="318">
      <c r="A318" s="25">
        <v>317.0</v>
      </c>
      <c r="B318" s="17" t="s">
        <v>799</v>
      </c>
      <c r="C318" s="18" t="s">
        <v>21</v>
      </c>
      <c r="D318" s="18" t="s">
        <v>183</v>
      </c>
      <c r="E318" s="9">
        <v>1.0</v>
      </c>
    </row>
    <row r="319">
      <c r="A319" s="25">
        <v>318.0</v>
      </c>
      <c r="B319" s="17" t="s">
        <v>810</v>
      </c>
      <c r="C319" s="18" t="s">
        <v>824</v>
      </c>
      <c r="D319" s="18" t="s">
        <v>183</v>
      </c>
      <c r="E319" s="9">
        <v>1.0</v>
      </c>
    </row>
    <row r="320">
      <c r="A320" s="25">
        <v>319.0</v>
      </c>
      <c r="B320" s="17" t="s">
        <v>798</v>
      </c>
      <c r="C320" s="18" t="s">
        <v>85</v>
      </c>
      <c r="D320" s="18" t="s">
        <v>183</v>
      </c>
      <c r="E320" s="9">
        <v>1.0</v>
      </c>
    </row>
    <row r="321">
      <c r="A321" s="25">
        <v>320.0</v>
      </c>
      <c r="B321" s="17" t="s">
        <v>800</v>
      </c>
      <c r="C321" s="18" t="s">
        <v>55</v>
      </c>
      <c r="D321" s="18" t="s">
        <v>183</v>
      </c>
      <c r="E321" s="9">
        <v>1.0</v>
      </c>
    </row>
    <row r="322">
      <c r="A322" s="25">
        <v>321.0</v>
      </c>
      <c r="B322" s="17" t="s">
        <v>191</v>
      </c>
      <c r="C322" s="18" t="s">
        <v>53</v>
      </c>
      <c r="D322" s="18" t="s">
        <v>183</v>
      </c>
      <c r="E322" s="9">
        <v>1.0</v>
      </c>
    </row>
    <row r="323">
      <c r="A323" s="25">
        <v>322.0</v>
      </c>
      <c r="B323" s="17" t="s">
        <v>806</v>
      </c>
      <c r="C323" s="18" t="s">
        <v>10</v>
      </c>
      <c r="D323" s="18" t="s">
        <v>183</v>
      </c>
      <c r="E323" s="9">
        <v>1.0</v>
      </c>
    </row>
    <row r="324">
      <c r="A324" s="25">
        <v>323.0</v>
      </c>
      <c r="B324" s="17" t="s">
        <v>795</v>
      </c>
      <c r="C324" s="18" t="s">
        <v>23</v>
      </c>
      <c r="D324" s="18" t="s">
        <v>183</v>
      </c>
      <c r="E324" s="9">
        <v>1.0</v>
      </c>
    </row>
    <row r="325">
      <c r="A325" s="25">
        <v>324.0</v>
      </c>
      <c r="B325" s="17" t="s">
        <v>801</v>
      </c>
      <c r="C325" s="18" t="s">
        <v>81</v>
      </c>
      <c r="D325" s="18" t="s">
        <v>183</v>
      </c>
      <c r="E325" s="9">
        <v>1.0</v>
      </c>
    </row>
  </sheetData>
  <autoFilter ref="$A$1:$E$32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22222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20.25"/>
  </cols>
  <sheetData>
    <row r="1">
      <c r="A1" s="26" t="s">
        <v>0</v>
      </c>
      <c r="B1" s="27" t="s">
        <v>1</v>
      </c>
      <c r="C1" s="11" t="s">
        <v>2</v>
      </c>
      <c r="D1" s="12" t="s">
        <v>3</v>
      </c>
      <c r="E1" s="4" t="s">
        <v>4</v>
      </c>
      <c r="G1" s="5" t="s">
        <v>5</v>
      </c>
    </row>
    <row r="2">
      <c r="A2" s="28">
        <v>1.0</v>
      </c>
      <c r="B2" s="29" t="s">
        <v>6</v>
      </c>
      <c r="C2" s="18" t="s">
        <v>7</v>
      </c>
      <c r="D2" s="18" t="s">
        <v>8</v>
      </c>
      <c r="E2" s="9">
        <v>78.0</v>
      </c>
    </row>
    <row r="3">
      <c r="A3" s="28">
        <v>2.0</v>
      </c>
      <c r="B3" s="29" t="s">
        <v>9</v>
      </c>
      <c r="C3" s="18" t="s">
        <v>10</v>
      </c>
      <c r="D3" s="18" t="s">
        <v>8</v>
      </c>
      <c r="E3" s="9">
        <v>64.0</v>
      </c>
    </row>
    <row r="4">
      <c r="A4" s="28">
        <v>3.0</v>
      </c>
      <c r="B4" s="29" t="s">
        <v>20</v>
      </c>
      <c r="C4" s="18" t="s">
        <v>21</v>
      </c>
      <c r="D4" s="18" t="s">
        <v>8</v>
      </c>
      <c r="E4" s="9">
        <v>61.0</v>
      </c>
    </row>
    <row r="5">
      <c r="A5" s="28">
        <v>4.0</v>
      </c>
      <c r="B5" s="29" t="s">
        <v>26</v>
      </c>
      <c r="C5" s="18" t="s">
        <v>17</v>
      </c>
      <c r="D5" s="18" t="s">
        <v>8</v>
      </c>
      <c r="E5" s="9">
        <v>58.0</v>
      </c>
    </row>
    <row r="6">
      <c r="A6" s="28">
        <v>5.0</v>
      </c>
      <c r="B6" s="29" t="s">
        <v>14</v>
      </c>
      <c r="C6" s="18" t="s">
        <v>15</v>
      </c>
      <c r="D6" s="18" t="s">
        <v>8</v>
      </c>
      <c r="E6" s="9">
        <v>57.0</v>
      </c>
    </row>
    <row r="7">
      <c r="A7" s="28">
        <v>6.0</v>
      </c>
      <c r="B7" s="29" t="s">
        <v>33</v>
      </c>
      <c r="C7" s="18" t="s">
        <v>19</v>
      </c>
      <c r="D7" s="18" t="s">
        <v>8</v>
      </c>
      <c r="E7" s="9">
        <v>56.0</v>
      </c>
    </row>
    <row r="8">
      <c r="A8" s="28">
        <v>7.0</v>
      </c>
      <c r="B8" s="29" t="s">
        <v>16</v>
      </c>
      <c r="C8" s="18" t="s">
        <v>17</v>
      </c>
      <c r="D8" s="18" t="s">
        <v>13</v>
      </c>
      <c r="E8" s="9">
        <v>54.0</v>
      </c>
    </row>
    <row r="9">
      <c r="A9" s="28">
        <v>8.0</v>
      </c>
      <c r="B9" s="29" t="s">
        <v>22</v>
      </c>
      <c r="C9" s="18" t="s">
        <v>23</v>
      </c>
      <c r="D9" s="18" t="s">
        <v>8</v>
      </c>
      <c r="E9" s="9">
        <v>54.0</v>
      </c>
    </row>
    <row r="10">
      <c r="A10" s="28">
        <v>9.0</v>
      </c>
      <c r="B10" s="29" t="s">
        <v>11</v>
      </c>
      <c r="C10" s="18" t="s">
        <v>12</v>
      </c>
      <c r="D10" s="18" t="s">
        <v>13</v>
      </c>
      <c r="E10" s="9">
        <v>52.0</v>
      </c>
    </row>
    <row r="11">
      <c r="A11" s="28">
        <v>10.0</v>
      </c>
      <c r="B11" s="29" t="s">
        <v>18</v>
      </c>
      <c r="C11" s="18" t="s">
        <v>19</v>
      </c>
      <c r="D11" s="18" t="s">
        <v>13</v>
      </c>
      <c r="E11" s="9">
        <v>46.0</v>
      </c>
    </row>
    <row r="12">
      <c r="A12" s="28">
        <v>11.0</v>
      </c>
      <c r="B12" s="29" t="s">
        <v>61</v>
      </c>
      <c r="C12" s="18" t="s">
        <v>62</v>
      </c>
      <c r="D12" s="18" t="s">
        <v>59</v>
      </c>
      <c r="E12" s="9">
        <v>45.0</v>
      </c>
    </row>
    <row r="13">
      <c r="A13" s="28">
        <v>12.0</v>
      </c>
      <c r="B13" s="29" t="s">
        <v>44</v>
      </c>
      <c r="C13" s="18" t="s">
        <v>45</v>
      </c>
      <c r="D13" s="18" t="s">
        <v>8</v>
      </c>
      <c r="E13" s="9">
        <v>45.0</v>
      </c>
    </row>
    <row r="14">
      <c r="A14" s="28">
        <v>13.0</v>
      </c>
      <c r="B14" s="29" t="s">
        <v>52</v>
      </c>
      <c r="C14" s="18" t="s">
        <v>53</v>
      </c>
      <c r="D14" s="18" t="s">
        <v>8</v>
      </c>
      <c r="E14" s="9">
        <v>45.0</v>
      </c>
    </row>
    <row r="15">
      <c r="A15" s="28">
        <v>14.0</v>
      </c>
      <c r="B15" s="29" t="s">
        <v>40</v>
      </c>
      <c r="C15" s="18" t="s">
        <v>41</v>
      </c>
      <c r="D15" s="18" t="s">
        <v>8</v>
      </c>
      <c r="E15" s="9">
        <v>44.0</v>
      </c>
    </row>
    <row r="16">
      <c r="A16" s="28">
        <v>15.0</v>
      </c>
      <c r="B16" s="29" t="s">
        <v>65</v>
      </c>
      <c r="C16" s="18" t="s">
        <v>66</v>
      </c>
      <c r="D16" s="18" t="s">
        <v>8</v>
      </c>
      <c r="E16" s="9">
        <v>44.0</v>
      </c>
    </row>
    <row r="17">
      <c r="A17" s="28">
        <v>16.0</v>
      </c>
      <c r="B17" s="29" t="s">
        <v>34</v>
      </c>
      <c r="C17" s="18" t="s">
        <v>35</v>
      </c>
      <c r="D17" s="18" t="s">
        <v>8</v>
      </c>
      <c r="E17" s="9">
        <v>41.0</v>
      </c>
    </row>
    <row r="18">
      <c r="A18" s="28">
        <v>17.0</v>
      </c>
      <c r="B18" s="29" t="s">
        <v>36</v>
      </c>
      <c r="C18" s="18" t="s">
        <v>37</v>
      </c>
      <c r="D18" s="18" t="s">
        <v>8</v>
      </c>
      <c r="E18" s="9">
        <v>40.0</v>
      </c>
    </row>
    <row r="19">
      <c r="A19" s="28">
        <v>18.0</v>
      </c>
      <c r="B19" s="29" t="s">
        <v>46</v>
      </c>
      <c r="C19" s="18" t="s">
        <v>47</v>
      </c>
      <c r="D19" s="18" t="s">
        <v>8</v>
      </c>
      <c r="E19" s="9">
        <v>40.0</v>
      </c>
    </row>
    <row r="20">
      <c r="A20" s="28">
        <v>19.0</v>
      </c>
      <c r="B20" s="29" t="s">
        <v>76</v>
      </c>
      <c r="C20" s="18" t="s">
        <v>30</v>
      </c>
      <c r="D20" s="18" t="s">
        <v>77</v>
      </c>
      <c r="E20" s="9">
        <v>39.0</v>
      </c>
    </row>
    <row r="21">
      <c r="A21" s="28">
        <v>20.0</v>
      </c>
      <c r="B21" s="29" t="s">
        <v>42</v>
      </c>
      <c r="C21" s="18" t="s">
        <v>43</v>
      </c>
      <c r="D21" s="18" t="s">
        <v>8</v>
      </c>
      <c r="E21" s="9">
        <v>38.0</v>
      </c>
    </row>
    <row r="22">
      <c r="A22" s="28">
        <v>21.0</v>
      </c>
      <c r="B22" s="29" t="s">
        <v>48</v>
      </c>
      <c r="C22" s="18" t="s">
        <v>12</v>
      </c>
      <c r="D22" s="18" t="s">
        <v>8</v>
      </c>
      <c r="E22" s="9">
        <v>36.0</v>
      </c>
    </row>
    <row r="23">
      <c r="A23" s="28">
        <v>22.0</v>
      </c>
      <c r="B23" s="29" t="s">
        <v>29</v>
      </c>
      <c r="C23" s="18" t="s">
        <v>30</v>
      </c>
      <c r="D23" s="18" t="s">
        <v>13</v>
      </c>
      <c r="E23" s="9">
        <v>35.0</v>
      </c>
    </row>
    <row r="24">
      <c r="A24" s="28">
        <v>23.0</v>
      </c>
      <c r="B24" s="29" t="s">
        <v>96</v>
      </c>
      <c r="C24" s="18" t="s">
        <v>15</v>
      </c>
      <c r="D24" s="18" t="s">
        <v>77</v>
      </c>
      <c r="E24" s="9">
        <v>35.0</v>
      </c>
    </row>
    <row r="25">
      <c r="A25" s="28">
        <v>24.0</v>
      </c>
      <c r="B25" s="29" t="s">
        <v>57</v>
      </c>
      <c r="C25" s="18" t="s">
        <v>58</v>
      </c>
      <c r="D25" s="18" t="s">
        <v>59</v>
      </c>
      <c r="E25" s="9">
        <v>35.0</v>
      </c>
    </row>
    <row r="26">
      <c r="A26" s="28">
        <v>25.0</v>
      </c>
      <c r="B26" s="29" t="s">
        <v>24</v>
      </c>
      <c r="C26" s="18" t="s">
        <v>25</v>
      </c>
      <c r="D26" s="18" t="s">
        <v>13</v>
      </c>
      <c r="E26" s="9">
        <v>34.0</v>
      </c>
    </row>
    <row r="27">
      <c r="A27" s="28">
        <v>26.0</v>
      </c>
      <c r="B27" s="29" t="s">
        <v>31</v>
      </c>
      <c r="C27" s="18" t="s">
        <v>32</v>
      </c>
      <c r="D27" s="18" t="s">
        <v>13</v>
      </c>
      <c r="E27" s="9">
        <v>34.0</v>
      </c>
    </row>
    <row r="28">
      <c r="A28" s="28">
        <v>27.0</v>
      </c>
      <c r="B28" s="29" t="s">
        <v>27</v>
      </c>
      <c r="C28" s="18" t="s">
        <v>28</v>
      </c>
      <c r="D28" s="18" t="s">
        <v>13</v>
      </c>
      <c r="E28" s="9">
        <v>33.0</v>
      </c>
    </row>
    <row r="29">
      <c r="A29" s="28">
        <v>28.0</v>
      </c>
      <c r="B29" s="29" t="s">
        <v>70</v>
      </c>
      <c r="C29" s="18" t="s">
        <v>32</v>
      </c>
      <c r="D29" s="18" t="s">
        <v>8</v>
      </c>
      <c r="E29" s="9">
        <v>33.0</v>
      </c>
    </row>
    <row r="30">
      <c r="A30" s="28">
        <v>29.0</v>
      </c>
      <c r="B30" s="29" t="s">
        <v>88</v>
      </c>
      <c r="C30" s="18" t="s">
        <v>89</v>
      </c>
      <c r="D30" s="18" t="s">
        <v>59</v>
      </c>
      <c r="E30" s="9">
        <v>30.0</v>
      </c>
    </row>
    <row r="31">
      <c r="A31" s="28">
        <v>30.0</v>
      </c>
      <c r="B31" s="29" t="s">
        <v>86</v>
      </c>
      <c r="C31" s="18" t="s">
        <v>62</v>
      </c>
      <c r="D31" s="18" t="s">
        <v>77</v>
      </c>
      <c r="E31" s="9">
        <v>29.0</v>
      </c>
    </row>
    <row r="32">
      <c r="A32" s="28">
        <v>31.0</v>
      </c>
      <c r="B32" s="29" t="s">
        <v>54</v>
      </c>
      <c r="C32" s="18" t="s">
        <v>55</v>
      </c>
      <c r="D32" s="18" t="s">
        <v>8</v>
      </c>
      <c r="E32" s="9">
        <v>28.0</v>
      </c>
    </row>
    <row r="33">
      <c r="A33" s="28">
        <v>32.0</v>
      </c>
      <c r="B33" s="29" t="s">
        <v>98</v>
      </c>
      <c r="C33" s="18" t="s">
        <v>824</v>
      </c>
      <c r="D33" s="18" t="s">
        <v>8</v>
      </c>
      <c r="E33" s="9">
        <v>28.0</v>
      </c>
    </row>
    <row r="34">
      <c r="A34" s="28">
        <v>33.0</v>
      </c>
      <c r="B34" s="29" t="s">
        <v>112</v>
      </c>
      <c r="C34" s="18" t="s">
        <v>58</v>
      </c>
      <c r="D34" s="18" t="s">
        <v>77</v>
      </c>
      <c r="E34" s="9">
        <v>27.0</v>
      </c>
    </row>
    <row r="35">
      <c r="A35" s="28">
        <v>34.0</v>
      </c>
      <c r="B35" s="29" t="s">
        <v>38</v>
      </c>
      <c r="C35" s="18" t="s">
        <v>39</v>
      </c>
      <c r="D35" s="18" t="s">
        <v>13</v>
      </c>
      <c r="E35" s="9">
        <v>27.0</v>
      </c>
    </row>
    <row r="36">
      <c r="A36" s="28">
        <v>35.0</v>
      </c>
      <c r="B36" s="29" t="s">
        <v>63</v>
      </c>
      <c r="C36" s="18" t="s">
        <v>64</v>
      </c>
      <c r="D36" s="18" t="s">
        <v>13</v>
      </c>
      <c r="E36" s="9">
        <v>27.0</v>
      </c>
    </row>
    <row r="37">
      <c r="A37" s="28">
        <v>36.0</v>
      </c>
      <c r="B37" s="29" t="s">
        <v>103</v>
      </c>
      <c r="C37" s="18" t="s">
        <v>25</v>
      </c>
      <c r="D37" s="18" t="s">
        <v>59</v>
      </c>
      <c r="E37" s="9">
        <v>27.0</v>
      </c>
    </row>
    <row r="38">
      <c r="A38" s="28">
        <v>37.0</v>
      </c>
      <c r="B38" s="29" t="s">
        <v>68</v>
      </c>
      <c r="C38" s="18" t="s">
        <v>69</v>
      </c>
      <c r="D38" s="18" t="s">
        <v>8</v>
      </c>
      <c r="E38" s="9">
        <v>27.0</v>
      </c>
    </row>
    <row r="39">
      <c r="A39" s="28">
        <v>38.0</v>
      </c>
      <c r="B39" s="29" t="s">
        <v>120</v>
      </c>
      <c r="C39" s="18" t="s">
        <v>45</v>
      </c>
      <c r="D39" s="18" t="s">
        <v>77</v>
      </c>
      <c r="E39" s="9">
        <v>26.0</v>
      </c>
    </row>
    <row r="40">
      <c r="A40" s="28">
        <v>39.0</v>
      </c>
      <c r="B40" s="29" t="s">
        <v>56</v>
      </c>
      <c r="C40" s="18" t="s">
        <v>37</v>
      </c>
      <c r="D40" s="18" t="s">
        <v>13</v>
      </c>
      <c r="E40" s="9">
        <v>25.0</v>
      </c>
    </row>
    <row r="41">
      <c r="A41" s="28">
        <v>40.0</v>
      </c>
      <c r="B41" s="29" t="s">
        <v>50</v>
      </c>
      <c r="C41" s="18" t="s">
        <v>19</v>
      </c>
      <c r="D41" s="18" t="s">
        <v>13</v>
      </c>
      <c r="E41" s="9">
        <v>25.0</v>
      </c>
    </row>
    <row r="42">
      <c r="A42" s="28">
        <v>41.0</v>
      </c>
      <c r="B42" s="29" t="s">
        <v>122</v>
      </c>
      <c r="C42" s="18" t="s">
        <v>64</v>
      </c>
      <c r="D42" s="18" t="s">
        <v>77</v>
      </c>
      <c r="E42" s="9">
        <v>22.0</v>
      </c>
    </row>
    <row r="43">
      <c r="A43" s="28">
        <v>42.0</v>
      </c>
      <c r="B43" s="29" t="s">
        <v>49</v>
      </c>
      <c r="C43" s="18" t="s">
        <v>15</v>
      </c>
      <c r="D43" s="18" t="s">
        <v>13</v>
      </c>
      <c r="E43" s="9">
        <v>22.0</v>
      </c>
    </row>
    <row r="44">
      <c r="A44" s="28">
        <v>43.0</v>
      </c>
      <c r="B44" s="29" t="s">
        <v>75</v>
      </c>
      <c r="C44" s="18" t="s">
        <v>25</v>
      </c>
      <c r="D44" s="18" t="s">
        <v>8</v>
      </c>
      <c r="E44" s="9">
        <v>22.0</v>
      </c>
    </row>
    <row r="45">
      <c r="A45" s="28">
        <v>44.0</v>
      </c>
      <c r="B45" s="29" t="s">
        <v>107</v>
      </c>
      <c r="C45" s="18" t="s">
        <v>28</v>
      </c>
      <c r="D45" s="18" t="s">
        <v>59</v>
      </c>
      <c r="E45" s="9">
        <v>22.0</v>
      </c>
    </row>
    <row r="46">
      <c r="A46" s="28">
        <v>45.0</v>
      </c>
      <c r="B46" s="29" t="s">
        <v>78</v>
      </c>
      <c r="C46" s="18" t="s">
        <v>73</v>
      </c>
      <c r="D46" s="18" t="s">
        <v>8</v>
      </c>
      <c r="E46" s="9">
        <v>22.0</v>
      </c>
    </row>
    <row r="47">
      <c r="A47" s="28">
        <v>46.0</v>
      </c>
      <c r="B47" s="29" t="s">
        <v>90</v>
      </c>
      <c r="C47" s="18" t="s">
        <v>28</v>
      </c>
      <c r="D47" s="18" t="s">
        <v>8</v>
      </c>
      <c r="E47" s="9">
        <v>22.0</v>
      </c>
    </row>
    <row r="48">
      <c r="A48" s="28">
        <v>47.0</v>
      </c>
      <c r="B48" s="29" t="s">
        <v>67</v>
      </c>
      <c r="C48" s="18" t="s">
        <v>58</v>
      </c>
      <c r="D48" s="18" t="s">
        <v>8</v>
      </c>
      <c r="E48" s="9">
        <v>22.0</v>
      </c>
    </row>
    <row r="49">
      <c r="A49" s="28">
        <v>48.0</v>
      </c>
      <c r="B49" s="29" t="s">
        <v>71</v>
      </c>
      <c r="C49" s="18" t="s">
        <v>7</v>
      </c>
      <c r="D49" s="18" t="s">
        <v>13</v>
      </c>
      <c r="E49" s="9">
        <v>21.0</v>
      </c>
    </row>
    <row r="50">
      <c r="A50" s="28">
        <v>49.0</v>
      </c>
      <c r="B50" s="29" t="s">
        <v>60</v>
      </c>
      <c r="C50" s="18" t="s">
        <v>39</v>
      </c>
      <c r="D50" s="18" t="s">
        <v>13</v>
      </c>
      <c r="E50" s="9">
        <v>21.0</v>
      </c>
    </row>
    <row r="51">
      <c r="A51" s="28">
        <v>50.0</v>
      </c>
      <c r="B51" s="29" t="s">
        <v>79</v>
      </c>
      <c r="C51" s="18" t="s">
        <v>15</v>
      </c>
      <c r="D51" s="18" t="s">
        <v>13</v>
      </c>
      <c r="E51" s="9">
        <v>20.0</v>
      </c>
    </row>
    <row r="52">
      <c r="A52" s="28">
        <v>51.0</v>
      </c>
      <c r="B52" s="29" t="s">
        <v>51</v>
      </c>
      <c r="C52" s="18" t="s">
        <v>10</v>
      </c>
      <c r="D52" s="18" t="s">
        <v>13</v>
      </c>
      <c r="E52" s="9">
        <v>20.0</v>
      </c>
    </row>
    <row r="53">
      <c r="A53" s="28">
        <v>52.0</v>
      </c>
      <c r="B53" s="29" t="s">
        <v>72</v>
      </c>
      <c r="C53" s="18" t="s">
        <v>73</v>
      </c>
      <c r="D53" s="18" t="s">
        <v>13</v>
      </c>
      <c r="E53" s="9">
        <v>20.0</v>
      </c>
    </row>
    <row r="54">
      <c r="A54" s="28">
        <v>53.0</v>
      </c>
      <c r="B54" s="29" t="s">
        <v>123</v>
      </c>
      <c r="C54" s="18" t="s">
        <v>37</v>
      </c>
      <c r="D54" s="18" t="s">
        <v>77</v>
      </c>
      <c r="E54" s="9">
        <v>19.0</v>
      </c>
    </row>
    <row r="55">
      <c r="A55" s="28">
        <v>54.0</v>
      </c>
      <c r="B55" s="29" t="s">
        <v>93</v>
      </c>
      <c r="C55" s="18" t="s">
        <v>43</v>
      </c>
      <c r="D55" s="18" t="s">
        <v>13</v>
      </c>
      <c r="E55" s="9">
        <v>17.0</v>
      </c>
    </row>
    <row r="56">
      <c r="A56" s="28">
        <v>55.0</v>
      </c>
      <c r="B56" s="29" t="s">
        <v>113</v>
      </c>
      <c r="C56" s="18" t="s">
        <v>32</v>
      </c>
      <c r="D56" s="18" t="s">
        <v>59</v>
      </c>
      <c r="E56" s="9">
        <v>17.0</v>
      </c>
    </row>
    <row r="57">
      <c r="A57" s="28">
        <v>56.0</v>
      </c>
      <c r="B57" s="29" t="s">
        <v>125</v>
      </c>
      <c r="C57" s="18" t="s">
        <v>19</v>
      </c>
      <c r="D57" s="18" t="s">
        <v>77</v>
      </c>
      <c r="E57" s="9">
        <v>16.0</v>
      </c>
    </row>
    <row r="58">
      <c r="A58" s="28">
        <v>57.0</v>
      </c>
      <c r="B58" s="29" t="s">
        <v>74</v>
      </c>
      <c r="C58" s="18" t="s">
        <v>23</v>
      </c>
      <c r="D58" s="18" t="s">
        <v>13</v>
      </c>
      <c r="E58" s="9">
        <v>15.0</v>
      </c>
    </row>
    <row r="59">
      <c r="A59" s="28">
        <v>58.0</v>
      </c>
      <c r="B59" s="29" t="s">
        <v>137</v>
      </c>
      <c r="C59" s="18" t="s">
        <v>47</v>
      </c>
      <c r="D59" s="18" t="s">
        <v>8</v>
      </c>
      <c r="E59" s="9">
        <v>15.0</v>
      </c>
    </row>
    <row r="60">
      <c r="A60" s="28">
        <v>59.0</v>
      </c>
      <c r="B60" s="29" t="s">
        <v>115</v>
      </c>
      <c r="C60" s="18" t="s">
        <v>62</v>
      </c>
      <c r="D60" s="18" t="s">
        <v>8</v>
      </c>
      <c r="E60" s="9">
        <v>15.0</v>
      </c>
    </row>
    <row r="61">
      <c r="A61" s="28">
        <v>60.0</v>
      </c>
      <c r="B61" s="29" t="s">
        <v>118</v>
      </c>
      <c r="C61" s="18" t="s">
        <v>119</v>
      </c>
      <c r="D61" s="18" t="s">
        <v>8</v>
      </c>
      <c r="E61" s="9">
        <v>15.0</v>
      </c>
    </row>
    <row r="62">
      <c r="A62" s="28">
        <v>61.0</v>
      </c>
      <c r="B62" s="29" t="s">
        <v>127</v>
      </c>
      <c r="C62" s="18" t="s">
        <v>35</v>
      </c>
      <c r="D62" s="18" t="s">
        <v>59</v>
      </c>
      <c r="E62" s="9">
        <v>13.0</v>
      </c>
    </row>
    <row r="63">
      <c r="A63" s="28">
        <v>62.0</v>
      </c>
      <c r="B63" s="29" t="s">
        <v>156</v>
      </c>
      <c r="C63" s="18" t="s">
        <v>64</v>
      </c>
      <c r="D63" s="18" t="s">
        <v>59</v>
      </c>
      <c r="E63" s="9">
        <v>13.0</v>
      </c>
    </row>
    <row r="64">
      <c r="A64" s="28">
        <v>63.0</v>
      </c>
      <c r="B64" s="29" t="s">
        <v>141</v>
      </c>
      <c r="C64" s="18" t="s">
        <v>85</v>
      </c>
      <c r="D64" s="18" t="s">
        <v>8</v>
      </c>
      <c r="E64" s="9">
        <v>13.0</v>
      </c>
    </row>
    <row r="65">
      <c r="A65" s="28">
        <v>64.0</v>
      </c>
      <c r="B65" s="29" t="s">
        <v>97</v>
      </c>
      <c r="C65" s="18" t="s">
        <v>64</v>
      </c>
      <c r="D65" s="18" t="s">
        <v>8</v>
      </c>
      <c r="E65" s="9">
        <v>13.0</v>
      </c>
    </row>
    <row r="66">
      <c r="A66" s="28">
        <v>65.0</v>
      </c>
      <c r="B66" s="29" t="s">
        <v>1243</v>
      </c>
      <c r="C66" s="18" t="s">
        <v>1244</v>
      </c>
      <c r="D66" s="18" t="s">
        <v>8</v>
      </c>
      <c r="E66" s="9">
        <v>12.0</v>
      </c>
    </row>
    <row r="67">
      <c r="A67" s="28">
        <v>66.0</v>
      </c>
      <c r="B67" s="29" t="s">
        <v>1245</v>
      </c>
      <c r="C67" s="18" t="s">
        <v>119</v>
      </c>
      <c r="D67" s="18" t="s">
        <v>8</v>
      </c>
      <c r="E67" s="9">
        <v>12.0</v>
      </c>
    </row>
    <row r="68">
      <c r="A68" s="28">
        <v>67.0</v>
      </c>
      <c r="B68" s="29" t="s">
        <v>155</v>
      </c>
      <c r="C68" s="18" t="s">
        <v>28</v>
      </c>
      <c r="D68" s="18" t="s">
        <v>77</v>
      </c>
      <c r="E68" s="9">
        <v>12.0</v>
      </c>
    </row>
    <row r="69">
      <c r="A69" s="28">
        <v>68.0</v>
      </c>
      <c r="B69" s="29" t="s">
        <v>95</v>
      </c>
      <c r="C69" s="18" t="s">
        <v>30</v>
      </c>
      <c r="D69" s="18" t="s">
        <v>13</v>
      </c>
      <c r="E69" s="9">
        <v>12.0</v>
      </c>
    </row>
    <row r="70">
      <c r="A70" s="28">
        <v>69.0</v>
      </c>
      <c r="B70" s="29" t="s">
        <v>126</v>
      </c>
      <c r="C70" s="18" t="s">
        <v>43</v>
      </c>
      <c r="D70" s="18" t="s">
        <v>77</v>
      </c>
      <c r="E70" s="9">
        <v>11.0</v>
      </c>
    </row>
    <row r="71">
      <c r="A71" s="28">
        <v>70.0</v>
      </c>
      <c r="B71" s="29" t="s">
        <v>80</v>
      </c>
      <c r="C71" s="18" t="s">
        <v>81</v>
      </c>
      <c r="D71" s="18" t="s">
        <v>13</v>
      </c>
      <c r="E71" s="9">
        <v>11.0</v>
      </c>
    </row>
    <row r="72">
      <c r="A72" s="28">
        <v>71.0</v>
      </c>
      <c r="B72" s="29" t="s">
        <v>84</v>
      </c>
      <c r="C72" s="18" t="s">
        <v>85</v>
      </c>
      <c r="D72" s="18" t="s">
        <v>13</v>
      </c>
      <c r="E72" s="9">
        <v>11.0</v>
      </c>
    </row>
    <row r="73">
      <c r="A73" s="28">
        <v>72.0</v>
      </c>
      <c r="B73" s="29" t="s">
        <v>158</v>
      </c>
      <c r="C73" s="18" t="s">
        <v>39</v>
      </c>
      <c r="D73" s="18" t="s">
        <v>59</v>
      </c>
      <c r="E73" s="9">
        <v>11.0</v>
      </c>
    </row>
    <row r="74">
      <c r="A74" s="28">
        <v>73.0</v>
      </c>
      <c r="B74" s="29" t="s">
        <v>121</v>
      </c>
      <c r="C74" s="18" t="s">
        <v>32</v>
      </c>
      <c r="D74" s="18" t="s">
        <v>77</v>
      </c>
      <c r="E74" s="9">
        <v>10.0</v>
      </c>
    </row>
    <row r="75">
      <c r="A75" s="28">
        <v>74.0</v>
      </c>
      <c r="B75" s="29" t="s">
        <v>828</v>
      </c>
      <c r="C75" s="18" t="s">
        <v>43</v>
      </c>
      <c r="D75" s="18" t="s">
        <v>8</v>
      </c>
      <c r="E75" s="9">
        <v>10.0</v>
      </c>
    </row>
    <row r="76">
      <c r="A76" s="28">
        <v>75.0</v>
      </c>
      <c r="B76" s="29" t="s">
        <v>92</v>
      </c>
      <c r="C76" s="18" t="s">
        <v>43</v>
      </c>
      <c r="D76" s="18" t="s">
        <v>13</v>
      </c>
      <c r="E76" s="9">
        <v>10.0</v>
      </c>
    </row>
    <row r="77">
      <c r="A77" s="28">
        <v>76.0</v>
      </c>
      <c r="B77" s="29" t="s">
        <v>142</v>
      </c>
      <c r="C77" s="18" t="s">
        <v>85</v>
      </c>
      <c r="D77" s="18" t="s">
        <v>8</v>
      </c>
      <c r="E77" s="9">
        <v>10.0</v>
      </c>
    </row>
    <row r="78">
      <c r="A78" s="28">
        <v>77.0</v>
      </c>
      <c r="B78" s="29" t="s">
        <v>101</v>
      </c>
      <c r="C78" s="18" t="s">
        <v>89</v>
      </c>
      <c r="D78" s="18" t="s">
        <v>8</v>
      </c>
      <c r="E78" s="9">
        <v>10.0</v>
      </c>
    </row>
    <row r="79">
      <c r="A79" s="28">
        <v>78.0</v>
      </c>
      <c r="B79" s="29" t="s">
        <v>157</v>
      </c>
      <c r="C79" s="18" t="s">
        <v>45</v>
      </c>
      <c r="D79" s="18" t="s">
        <v>59</v>
      </c>
      <c r="E79" s="9">
        <v>10.0</v>
      </c>
    </row>
    <row r="80">
      <c r="A80" s="28">
        <v>79.0</v>
      </c>
      <c r="B80" s="29" t="s">
        <v>83</v>
      </c>
      <c r="C80" s="18" t="s">
        <v>37</v>
      </c>
      <c r="D80" s="18" t="s">
        <v>13</v>
      </c>
      <c r="E80" s="9">
        <v>10.0</v>
      </c>
    </row>
    <row r="81">
      <c r="A81" s="28">
        <v>80.0</v>
      </c>
      <c r="B81" s="29" t="s">
        <v>159</v>
      </c>
      <c r="C81" s="18" t="s">
        <v>23</v>
      </c>
      <c r="D81" s="18" t="s">
        <v>59</v>
      </c>
      <c r="E81" s="9">
        <v>10.0</v>
      </c>
    </row>
    <row r="82">
      <c r="A82" s="28">
        <v>81.0</v>
      </c>
      <c r="B82" s="29" t="s">
        <v>91</v>
      </c>
      <c r="C82" s="18" t="s">
        <v>55</v>
      </c>
      <c r="D82" s="18" t="s">
        <v>13</v>
      </c>
      <c r="E82" s="9">
        <v>9.0</v>
      </c>
    </row>
    <row r="83">
      <c r="A83" s="28">
        <v>82.0</v>
      </c>
      <c r="B83" s="29" t="s">
        <v>124</v>
      </c>
      <c r="C83" s="18" t="s">
        <v>47</v>
      </c>
      <c r="D83" s="18" t="s">
        <v>77</v>
      </c>
      <c r="E83" s="9">
        <v>9.0</v>
      </c>
    </row>
    <row r="84">
      <c r="A84" s="28">
        <v>83.0</v>
      </c>
      <c r="B84" s="29" t="s">
        <v>130</v>
      </c>
      <c r="C84" s="18" t="s">
        <v>69</v>
      </c>
      <c r="D84" s="18" t="s">
        <v>13</v>
      </c>
      <c r="E84" s="9">
        <v>9.0</v>
      </c>
    </row>
    <row r="85">
      <c r="A85" s="28">
        <v>84.0</v>
      </c>
      <c r="B85" s="29" t="s">
        <v>82</v>
      </c>
      <c r="C85" s="18" t="s">
        <v>45</v>
      </c>
      <c r="D85" s="18" t="s">
        <v>13</v>
      </c>
      <c r="E85" s="9">
        <v>8.0</v>
      </c>
    </row>
    <row r="86">
      <c r="A86" s="28">
        <v>85.0</v>
      </c>
      <c r="B86" s="29" t="s">
        <v>154</v>
      </c>
      <c r="C86" s="18" t="s">
        <v>12</v>
      </c>
      <c r="D86" s="18" t="s">
        <v>77</v>
      </c>
      <c r="E86" s="9">
        <v>8.0</v>
      </c>
    </row>
    <row r="87">
      <c r="A87" s="28">
        <v>86.0</v>
      </c>
      <c r="B87" s="29" t="s">
        <v>106</v>
      </c>
      <c r="C87" s="18" t="s">
        <v>12</v>
      </c>
      <c r="D87" s="18" t="s">
        <v>13</v>
      </c>
      <c r="E87" s="9">
        <v>8.0</v>
      </c>
    </row>
    <row r="88">
      <c r="A88" s="28">
        <v>87.0</v>
      </c>
      <c r="B88" s="29" t="s">
        <v>87</v>
      </c>
      <c r="C88" s="18" t="s">
        <v>35</v>
      </c>
      <c r="D88" s="18" t="s">
        <v>13</v>
      </c>
      <c r="E88" s="9">
        <v>8.0</v>
      </c>
    </row>
    <row r="89">
      <c r="A89" s="28">
        <v>88.0</v>
      </c>
      <c r="B89" s="29" t="s">
        <v>104</v>
      </c>
      <c r="C89" s="18" t="s">
        <v>41</v>
      </c>
      <c r="D89" s="18" t="s">
        <v>13</v>
      </c>
      <c r="E89" s="9">
        <v>8.0</v>
      </c>
    </row>
    <row r="90">
      <c r="A90" s="28">
        <v>89.0</v>
      </c>
      <c r="B90" s="29" t="s">
        <v>116</v>
      </c>
      <c r="C90" s="18" t="s">
        <v>58</v>
      </c>
      <c r="D90" s="18" t="s">
        <v>13</v>
      </c>
      <c r="E90" s="9">
        <v>7.0</v>
      </c>
    </row>
    <row r="91">
      <c r="A91" s="28">
        <v>90.0</v>
      </c>
      <c r="B91" s="29" t="s">
        <v>128</v>
      </c>
      <c r="C91" s="18" t="s">
        <v>32</v>
      </c>
      <c r="D91" s="18" t="s">
        <v>8</v>
      </c>
      <c r="E91" s="9">
        <v>7.0</v>
      </c>
    </row>
    <row r="92">
      <c r="A92" s="28">
        <v>91.0</v>
      </c>
      <c r="B92" s="29" t="s">
        <v>110</v>
      </c>
      <c r="C92" s="18" t="s">
        <v>62</v>
      </c>
      <c r="D92" s="18" t="s">
        <v>13</v>
      </c>
      <c r="E92" s="9">
        <v>7.0</v>
      </c>
    </row>
    <row r="93">
      <c r="A93" s="28">
        <v>92.0</v>
      </c>
      <c r="B93" s="29" t="s">
        <v>94</v>
      </c>
      <c r="C93" s="18" t="s">
        <v>66</v>
      </c>
      <c r="D93" s="18" t="s">
        <v>13</v>
      </c>
      <c r="E93" s="9">
        <v>7.0</v>
      </c>
    </row>
    <row r="94">
      <c r="A94" s="28">
        <v>93.0</v>
      </c>
      <c r="B94" s="29" t="s">
        <v>301</v>
      </c>
      <c r="C94" s="18" t="s">
        <v>43</v>
      </c>
      <c r="D94" s="18" t="s">
        <v>59</v>
      </c>
      <c r="E94" s="9">
        <v>7.0</v>
      </c>
    </row>
    <row r="95">
      <c r="A95" s="28">
        <v>94.0</v>
      </c>
      <c r="B95" s="29" t="s">
        <v>108</v>
      </c>
      <c r="C95" s="18" t="s">
        <v>17</v>
      </c>
      <c r="D95" s="18" t="s">
        <v>13</v>
      </c>
      <c r="E95" s="9">
        <v>6.0</v>
      </c>
    </row>
    <row r="96">
      <c r="A96" s="28">
        <v>95.0</v>
      </c>
      <c r="B96" s="29" t="s">
        <v>140</v>
      </c>
      <c r="C96" s="18" t="s">
        <v>39</v>
      </c>
      <c r="D96" s="18" t="s">
        <v>8</v>
      </c>
      <c r="E96" s="9">
        <v>6.0</v>
      </c>
    </row>
    <row r="97">
      <c r="A97" s="28">
        <v>96.0</v>
      </c>
      <c r="B97" s="29" t="s">
        <v>114</v>
      </c>
      <c r="C97" s="18" t="s">
        <v>66</v>
      </c>
      <c r="D97" s="18" t="s">
        <v>8</v>
      </c>
      <c r="E97" s="9">
        <v>6.0</v>
      </c>
    </row>
    <row r="98">
      <c r="A98" s="28">
        <v>97.0</v>
      </c>
      <c r="B98" s="29" t="s">
        <v>161</v>
      </c>
      <c r="C98" s="18" t="s">
        <v>30</v>
      </c>
      <c r="D98" s="18" t="s">
        <v>59</v>
      </c>
      <c r="E98" s="9">
        <v>6.0</v>
      </c>
    </row>
    <row r="99">
      <c r="A99" s="28">
        <v>98.0</v>
      </c>
      <c r="B99" s="29" t="s">
        <v>105</v>
      </c>
      <c r="C99" s="18" t="s">
        <v>25</v>
      </c>
      <c r="D99" s="18" t="s">
        <v>13</v>
      </c>
      <c r="E99" s="9">
        <v>4.0</v>
      </c>
    </row>
    <row r="100">
      <c r="A100" s="28">
        <v>99.0</v>
      </c>
      <c r="B100" s="29" t="s">
        <v>174</v>
      </c>
      <c r="C100" s="18" t="s">
        <v>17</v>
      </c>
      <c r="D100" s="18" t="s">
        <v>77</v>
      </c>
      <c r="E100" s="9">
        <v>3.0</v>
      </c>
    </row>
    <row r="101">
      <c r="A101" s="28">
        <v>100.0</v>
      </c>
      <c r="B101" s="29" t="s">
        <v>111</v>
      </c>
      <c r="C101" s="18" t="s">
        <v>64</v>
      </c>
      <c r="D101" s="18" t="s">
        <v>13</v>
      </c>
      <c r="E101" s="9">
        <v>3.0</v>
      </c>
    </row>
    <row r="102">
      <c r="A102" s="28">
        <v>101.0</v>
      </c>
      <c r="B102" s="29" t="s">
        <v>178</v>
      </c>
      <c r="C102" s="18" t="s">
        <v>55</v>
      </c>
      <c r="D102" s="18" t="s">
        <v>59</v>
      </c>
      <c r="E102" s="9">
        <v>3.0</v>
      </c>
    </row>
    <row r="103">
      <c r="A103" s="28">
        <v>102.0</v>
      </c>
      <c r="B103" s="29" t="s">
        <v>182</v>
      </c>
      <c r="C103" s="18" t="s">
        <v>19</v>
      </c>
      <c r="D103" s="18" t="s">
        <v>183</v>
      </c>
      <c r="E103" s="9">
        <v>3.0</v>
      </c>
    </row>
    <row r="104">
      <c r="A104" s="28">
        <v>103.0</v>
      </c>
      <c r="B104" s="29" t="s">
        <v>830</v>
      </c>
      <c r="C104" s="18" t="s">
        <v>12</v>
      </c>
      <c r="D104" s="8" t="s">
        <v>8</v>
      </c>
      <c r="E104" s="9">
        <v>2.0</v>
      </c>
    </row>
    <row r="105">
      <c r="A105" s="28">
        <v>104.0</v>
      </c>
      <c r="B105" s="29" t="s">
        <v>189</v>
      </c>
      <c r="C105" s="18" t="s">
        <v>30</v>
      </c>
      <c r="D105" s="18" t="s">
        <v>183</v>
      </c>
      <c r="E105" s="9">
        <v>2.0</v>
      </c>
    </row>
    <row r="106">
      <c r="A106" s="28">
        <v>105.0</v>
      </c>
      <c r="B106" s="29" t="s">
        <v>343</v>
      </c>
      <c r="C106" s="18" t="s">
        <v>58</v>
      </c>
      <c r="D106" s="18" t="s">
        <v>183</v>
      </c>
      <c r="E106" s="9">
        <v>2.0</v>
      </c>
    </row>
    <row r="107">
      <c r="A107" s="28">
        <v>106.0</v>
      </c>
      <c r="B107" s="29" t="s">
        <v>184</v>
      </c>
      <c r="C107" s="18" t="s">
        <v>12</v>
      </c>
      <c r="D107" s="18" t="s">
        <v>183</v>
      </c>
      <c r="E107" s="9">
        <v>2.0</v>
      </c>
    </row>
    <row r="108">
      <c r="A108" s="28">
        <v>107.0</v>
      </c>
      <c r="B108" s="29" t="s">
        <v>190</v>
      </c>
      <c r="C108" s="18" t="s">
        <v>45</v>
      </c>
      <c r="D108" s="18" t="s">
        <v>183</v>
      </c>
      <c r="E108" s="9">
        <v>2.0</v>
      </c>
    </row>
    <row r="109">
      <c r="A109" s="28">
        <v>108.0</v>
      </c>
      <c r="B109" s="29" t="s">
        <v>179</v>
      </c>
      <c r="C109" s="18" t="s">
        <v>17</v>
      </c>
      <c r="D109" s="18" t="s">
        <v>59</v>
      </c>
      <c r="E109" s="9">
        <v>2.0</v>
      </c>
    </row>
    <row r="110">
      <c r="A110" s="28">
        <v>109.0</v>
      </c>
      <c r="B110" s="29" t="s">
        <v>117</v>
      </c>
      <c r="C110" s="18" t="s">
        <v>824</v>
      </c>
      <c r="D110" s="18" t="s">
        <v>13</v>
      </c>
      <c r="E110" s="9">
        <v>1.0</v>
      </c>
    </row>
    <row r="111">
      <c r="A111" s="28">
        <v>110.0</v>
      </c>
      <c r="B111" s="29" t="s">
        <v>148</v>
      </c>
      <c r="C111" s="18" t="s">
        <v>21</v>
      </c>
      <c r="D111" s="18" t="s">
        <v>13</v>
      </c>
      <c r="E111" s="9">
        <v>1.0</v>
      </c>
    </row>
    <row r="112">
      <c r="A112" s="28">
        <v>111.0</v>
      </c>
      <c r="B112" s="29" t="s">
        <v>244</v>
      </c>
      <c r="C112" s="18" t="s">
        <v>119</v>
      </c>
      <c r="D112" s="18" t="s">
        <v>13</v>
      </c>
      <c r="E112" s="9">
        <v>1.0</v>
      </c>
    </row>
    <row r="113">
      <c r="A113" s="28">
        <v>112.0</v>
      </c>
      <c r="B113" s="29" t="s">
        <v>173</v>
      </c>
      <c r="C113" s="18" t="s">
        <v>25</v>
      </c>
      <c r="D113" s="18" t="s">
        <v>77</v>
      </c>
      <c r="E113" s="9">
        <v>1.0</v>
      </c>
    </row>
    <row r="114">
      <c r="A114" s="28">
        <v>113.0</v>
      </c>
      <c r="B114" s="29" t="s">
        <v>135</v>
      </c>
      <c r="C114" s="18" t="s">
        <v>23</v>
      </c>
      <c r="D114" s="18" t="s">
        <v>13</v>
      </c>
      <c r="E114" s="9">
        <v>1.0</v>
      </c>
    </row>
    <row r="115">
      <c r="A115" s="28">
        <v>114.0</v>
      </c>
      <c r="B115" s="29" t="s">
        <v>134</v>
      </c>
      <c r="C115" s="18" t="s">
        <v>47</v>
      </c>
      <c r="D115" s="18" t="s">
        <v>13</v>
      </c>
      <c r="E115" s="9">
        <v>1.0</v>
      </c>
    </row>
    <row r="116">
      <c r="A116" s="28">
        <v>115.0</v>
      </c>
      <c r="B116" s="29" t="s">
        <v>100</v>
      </c>
      <c r="C116" s="18" t="s">
        <v>85</v>
      </c>
      <c r="D116" s="18" t="s">
        <v>13</v>
      </c>
      <c r="E116" s="9">
        <v>1.0</v>
      </c>
    </row>
    <row r="117">
      <c r="A117" s="28">
        <v>116.0</v>
      </c>
      <c r="B117" s="29" t="s">
        <v>109</v>
      </c>
      <c r="C117" s="18" t="s">
        <v>89</v>
      </c>
      <c r="D117" s="18" t="s">
        <v>13</v>
      </c>
      <c r="E117" s="9">
        <v>1.0</v>
      </c>
    </row>
    <row r="118">
      <c r="A118" s="28">
        <v>117.0</v>
      </c>
      <c r="B118" s="29" t="s">
        <v>133</v>
      </c>
      <c r="C118" s="18" t="s">
        <v>53</v>
      </c>
      <c r="D118" s="18" t="s">
        <v>13</v>
      </c>
      <c r="E118" s="9">
        <v>1.0</v>
      </c>
    </row>
    <row r="119">
      <c r="A119" s="28">
        <v>118.0</v>
      </c>
      <c r="B119" s="29" t="s">
        <v>129</v>
      </c>
      <c r="C119" s="18" t="s">
        <v>69</v>
      </c>
      <c r="D119" s="18" t="s">
        <v>13</v>
      </c>
      <c r="E119" s="9">
        <v>1.0</v>
      </c>
    </row>
    <row r="120">
      <c r="A120" s="28">
        <v>119.0</v>
      </c>
      <c r="B120" s="29" t="s">
        <v>281</v>
      </c>
      <c r="C120" s="18" t="s">
        <v>119</v>
      </c>
      <c r="D120" s="18" t="s">
        <v>77</v>
      </c>
      <c r="E120" s="9">
        <v>1.0</v>
      </c>
    </row>
    <row r="121">
      <c r="A121" s="28">
        <v>120.0</v>
      </c>
      <c r="B121" s="29" t="s">
        <v>276</v>
      </c>
      <c r="C121" s="18" t="s">
        <v>53</v>
      </c>
      <c r="D121" s="18" t="s">
        <v>77</v>
      </c>
      <c r="E121" s="9">
        <v>1.0</v>
      </c>
    </row>
    <row r="122">
      <c r="A122" s="28">
        <v>121.0</v>
      </c>
      <c r="B122" s="29" t="s">
        <v>176</v>
      </c>
      <c r="C122" s="18" t="s">
        <v>39</v>
      </c>
      <c r="D122" s="18" t="s">
        <v>77</v>
      </c>
      <c r="E122" s="9">
        <v>1.0</v>
      </c>
    </row>
    <row r="123">
      <c r="A123" s="28">
        <v>122.0</v>
      </c>
      <c r="B123" s="29" t="s">
        <v>136</v>
      </c>
      <c r="C123" s="18" t="s">
        <v>41</v>
      </c>
      <c r="D123" s="18" t="s">
        <v>13</v>
      </c>
      <c r="E123" s="9">
        <v>1.0</v>
      </c>
    </row>
    <row r="124">
      <c r="A124" s="28">
        <v>123.0</v>
      </c>
      <c r="B124" s="29" t="s">
        <v>132</v>
      </c>
      <c r="C124" s="18" t="s">
        <v>21</v>
      </c>
      <c r="D124" s="18" t="s">
        <v>13</v>
      </c>
      <c r="E124" s="9">
        <v>1.0</v>
      </c>
    </row>
    <row r="125">
      <c r="A125" s="28">
        <v>124.0</v>
      </c>
      <c r="B125" s="29" t="s">
        <v>170</v>
      </c>
      <c r="C125" s="18" t="s">
        <v>62</v>
      </c>
      <c r="D125" s="18" t="s">
        <v>13</v>
      </c>
      <c r="E125" s="9">
        <v>1.0</v>
      </c>
    </row>
    <row r="126">
      <c r="A126" s="28">
        <v>125.0</v>
      </c>
      <c r="B126" s="29" t="s">
        <v>175</v>
      </c>
      <c r="C126" s="18" t="s">
        <v>824</v>
      </c>
      <c r="D126" s="18" t="s">
        <v>77</v>
      </c>
      <c r="E126" s="9">
        <v>1.0</v>
      </c>
    </row>
    <row r="127">
      <c r="A127" s="28">
        <v>126.0</v>
      </c>
      <c r="B127" s="29" t="s">
        <v>192</v>
      </c>
      <c r="C127" s="18" t="s">
        <v>30</v>
      </c>
      <c r="D127" s="8" t="s">
        <v>193</v>
      </c>
      <c r="E127" s="9">
        <v>1.0</v>
      </c>
    </row>
    <row r="128">
      <c r="A128" s="28">
        <v>127.0</v>
      </c>
      <c r="B128" s="29" t="s">
        <v>197</v>
      </c>
      <c r="C128" s="18" t="s">
        <v>37</v>
      </c>
      <c r="D128" s="8" t="s">
        <v>193</v>
      </c>
      <c r="E128" s="9">
        <v>1.0</v>
      </c>
    </row>
    <row r="129">
      <c r="A129" s="28">
        <v>128.0</v>
      </c>
      <c r="B129" s="29" t="s">
        <v>152</v>
      </c>
      <c r="C129" s="18" t="s">
        <v>53</v>
      </c>
      <c r="D129" s="18" t="s">
        <v>13</v>
      </c>
      <c r="E129" s="9">
        <v>1.0</v>
      </c>
    </row>
    <row r="130">
      <c r="A130" s="28">
        <v>129.0</v>
      </c>
      <c r="B130" s="29" t="s">
        <v>147</v>
      </c>
      <c r="C130" s="18" t="s">
        <v>28</v>
      </c>
      <c r="D130" s="18" t="s">
        <v>13</v>
      </c>
      <c r="E130" s="9">
        <v>1.0</v>
      </c>
    </row>
    <row r="131">
      <c r="A131" s="28">
        <v>130.0</v>
      </c>
      <c r="B131" s="29" t="s">
        <v>172</v>
      </c>
      <c r="C131" s="18" t="s">
        <v>824</v>
      </c>
      <c r="D131" s="18" t="s">
        <v>13</v>
      </c>
      <c r="E131" s="9">
        <v>1.0</v>
      </c>
    </row>
    <row r="132">
      <c r="A132" s="28">
        <v>131.0</v>
      </c>
      <c r="B132" s="29" t="s">
        <v>165</v>
      </c>
      <c r="C132" s="18" t="s">
        <v>19</v>
      </c>
      <c r="D132" s="18" t="s">
        <v>13</v>
      </c>
      <c r="E132" s="9">
        <v>1.0</v>
      </c>
    </row>
    <row r="133">
      <c r="A133" s="28">
        <v>132.0</v>
      </c>
      <c r="B133" s="29" t="s">
        <v>282</v>
      </c>
      <c r="C133" s="18" t="s">
        <v>7</v>
      </c>
      <c r="D133" s="18" t="s">
        <v>77</v>
      </c>
      <c r="E133" s="9">
        <v>1.0</v>
      </c>
    </row>
    <row r="134">
      <c r="A134" s="28">
        <v>133.0</v>
      </c>
      <c r="B134" s="29" t="s">
        <v>325</v>
      </c>
      <c r="C134" s="18" t="s">
        <v>12</v>
      </c>
      <c r="D134" s="8" t="s">
        <v>193</v>
      </c>
      <c r="E134" s="9">
        <v>1.0</v>
      </c>
    </row>
    <row r="135">
      <c r="A135" s="28">
        <v>134.0</v>
      </c>
      <c r="B135" s="29" t="s">
        <v>198</v>
      </c>
      <c r="C135" s="18" t="s">
        <v>28</v>
      </c>
      <c r="D135" s="8" t="s">
        <v>193</v>
      </c>
      <c r="E135" s="9">
        <v>1.0</v>
      </c>
    </row>
    <row r="136">
      <c r="A136" s="28">
        <v>135.0</v>
      </c>
      <c r="B136" s="29" t="s">
        <v>194</v>
      </c>
      <c r="C136" s="18" t="s">
        <v>41</v>
      </c>
      <c r="D136" s="8" t="s">
        <v>193</v>
      </c>
      <c r="E136" s="9">
        <v>1.0</v>
      </c>
    </row>
    <row r="137">
      <c r="A137" s="28">
        <v>136.0</v>
      </c>
      <c r="B137" s="29" t="s">
        <v>246</v>
      </c>
      <c r="C137" s="18" t="s">
        <v>32</v>
      </c>
      <c r="D137" s="18" t="s">
        <v>13</v>
      </c>
      <c r="E137" s="9">
        <v>1.0</v>
      </c>
    </row>
    <row r="138">
      <c r="A138" s="28">
        <v>137.0</v>
      </c>
      <c r="B138" s="29" t="s">
        <v>275</v>
      </c>
      <c r="C138" s="18" t="s">
        <v>55</v>
      </c>
      <c r="D138" s="18" t="s">
        <v>77</v>
      </c>
      <c r="E138" s="9">
        <v>1.0</v>
      </c>
    </row>
    <row r="139">
      <c r="A139" s="28">
        <v>138.0</v>
      </c>
      <c r="B139" s="29" t="s">
        <v>316</v>
      </c>
      <c r="C139" s="18" t="s">
        <v>37</v>
      </c>
      <c r="D139" s="18" t="s">
        <v>183</v>
      </c>
      <c r="E139" s="9">
        <v>1.0</v>
      </c>
    </row>
    <row r="140">
      <c r="A140" s="28">
        <v>139.0</v>
      </c>
      <c r="B140" s="29" t="s">
        <v>187</v>
      </c>
      <c r="C140" s="18" t="s">
        <v>43</v>
      </c>
      <c r="D140" s="18" t="s">
        <v>183</v>
      </c>
      <c r="E140" s="9">
        <v>1.0</v>
      </c>
    </row>
    <row r="141">
      <c r="A141" s="28">
        <v>140.0</v>
      </c>
      <c r="B141" s="29" t="s">
        <v>185</v>
      </c>
      <c r="C141" s="18" t="s">
        <v>62</v>
      </c>
      <c r="D141" s="18" t="s">
        <v>183</v>
      </c>
      <c r="E141" s="9">
        <v>1.0</v>
      </c>
    </row>
    <row r="142">
      <c r="A142" s="28">
        <v>141.0</v>
      </c>
      <c r="B142" s="29" t="s">
        <v>793</v>
      </c>
      <c r="C142" s="18" t="s">
        <v>15</v>
      </c>
      <c r="D142" s="18" t="s">
        <v>183</v>
      </c>
      <c r="E142" s="9">
        <v>1.0</v>
      </c>
    </row>
    <row r="143">
      <c r="A143" s="28">
        <v>142.0</v>
      </c>
      <c r="B143" s="29" t="s">
        <v>318</v>
      </c>
      <c r="C143" s="18" t="s">
        <v>17</v>
      </c>
      <c r="D143" s="18" t="s">
        <v>183</v>
      </c>
      <c r="E143" s="9">
        <v>1.0</v>
      </c>
    </row>
    <row r="144">
      <c r="A144" s="28">
        <v>143.0</v>
      </c>
      <c r="B144" s="29" t="s">
        <v>315</v>
      </c>
      <c r="C144" s="18" t="s">
        <v>66</v>
      </c>
      <c r="D144" s="18" t="s">
        <v>183</v>
      </c>
      <c r="E144" s="9">
        <v>1.0</v>
      </c>
    </row>
    <row r="145">
      <c r="A145" s="28">
        <v>144.0</v>
      </c>
      <c r="B145" s="29" t="s">
        <v>796</v>
      </c>
      <c r="C145" s="18" t="s">
        <v>41</v>
      </c>
      <c r="D145" s="18" t="s">
        <v>183</v>
      </c>
      <c r="E145" s="9">
        <v>1.0</v>
      </c>
    </row>
    <row r="146">
      <c r="A146" s="28">
        <v>145.0</v>
      </c>
      <c r="B146" s="29" t="s">
        <v>188</v>
      </c>
      <c r="C146" s="18" t="s">
        <v>119</v>
      </c>
      <c r="D146" s="18" t="s">
        <v>183</v>
      </c>
      <c r="E146" s="9">
        <v>1.0</v>
      </c>
    </row>
    <row r="147">
      <c r="A147" s="28">
        <v>146.0</v>
      </c>
      <c r="B147" s="29" t="s">
        <v>314</v>
      </c>
      <c r="C147" s="18" t="s">
        <v>64</v>
      </c>
      <c r="D147" s="18" t="s">
        <v>183</v>
      </c>
      <c r="E147" s="9">
        <v>1.0</v>
      </c>
    </row>
    <row r="148">
      <c r="A148" s="28">
        <v>147.0</v>
      </c>
      <c r="B148" s="29" t="s">
        <v>317</v>
      </c>
      <c r="C148" s="18" t="s">
        <v>28</v>
      </c>
      <c r="D148" s="18" t="s">
        <v>183</v>
      </c>
      <c r="E148" s="9">
        <v>1.0</v>
      </c>
    </row>
    <row r="149">
      <c r="A149" s="28">
        <v>148.0</v>
      </c>
      <c r="B149" s="29" t="s">
        <v>790</v>
      </c>
      <c r="C149" s="18" t="s">
        <v>89</v>
      </c>
      <c r="D149" s="18" t="s">
        <v>183</v>
      </c>
      <c r="E149" s="9">
        <v>1.0</v>
      </c>
    </row>
    <row r="150">
      <c r="A150" s="28">
        <v>149.0</v>
      </c>
      <c r="B150" s="29" t="s">
        <v>791</v>
      </c>
      <c r="C150" s="18" t="s">
        <v>7</v>
      </c>
      <c r="D150" s="18" t="s">
        <v>183</v>
      </c>
      <c r="E150" s="9">
        <v>1.0</v>
      </c>
    </row>
    <row r="151">
      <c r="A151" s="28">
        <v>150.0</v>
      </c>
      <c r="B151" s="29" t="s">
        <v>186</v>
      </c>
      <c r="C151" s="18" t="s">
        <v>25</v>
      </c>
      <c r="D151" s="18" t="s">
        <v>183</v>
      </c>
      <c r="E151" s="9">
        <v>1.0</v>
      </c>
    </row>
    <row r="152">
      <c r="A152" s="28">
        <v>151.0</v>
      </c>
      <c r="B152" s="29" t="s">
        <v>797</v>
      </c>
      <c r="C152" s="18" t="s">
        <v>47</v>
      </c>
      <c r="D152" s="18" t="s">
        <v>183</v>
      </c>
      <c r="E152" s="9">
        <v>1.0</v>
      </c>
    </row>
    <row r="153">
      <c r="A153" s="28">
        <v>152.0</v>
      </c>
      <c r="B153" s="29" t="s">
        <v>792</v>
      </c>
      <c r="C153" s="18" t="s">
        <v>39</v>
      </c>
      <c r="D153" s="18" t="s">
        <v>183</v>
      </c>
      <c r="E153" s="9">
        <v>1.0</v>
      </c>
    </row>
    <row r="154">
      <c r="A154" s="28">
        <v>153.0</v>
      </c>
      <c r="B154" s="29" t="s">
        <v>804</v>
      </c>
      <c r="C154" s="18" t="s">
        <v>32</v>
      </c>
      <c r="D154" s="18" t="s">
        <v>183</v>
      </c>
      <c r="E154" s="9">
        <v>1.0</v>
      </c>
    </row>
    <row r="155">
      <c r="A155" s="28">
        <v>154.0</v>
      </c>
      <c r="B155" s="29" t="s">
        <v>805</v>
      </c>
      <c r="C155" s="18" t="s">
        <v>73</v>
      </c>
      <c r="D155" s="18" t="s">
        <v>183</v>
      </c>
      <c r="E155" s="9">
        <v>1.0</v>
      </c>
    </row>
    <row r="156">
      <c r="A156" s="28">
        <v>155.0</v>
      </c>
      <c r="B156" s="29" t="s">
        <v>896</v>
      </c>
      <c r="C156" s="30"/>
      <c r="D156" s="18" t="s">
        <v>183</v>
      </c>
      <c r="E156" s="9">
        <v>1.0</v>
      </c>
    </row>
    <row r="157">
      <c r="A157" s="28">
        <v>156.0</v>
      </c>
      <c r="B157" s="29" t="s">
        <v>794</v>
      </c>
      <c r="C157" s="18" t="s">
        <v>69</v>
      </c>
      <c r="D157" s="18" t="s">
        <v>183</v>
      </c>
      <c r="E157" s="9">
        <v>1.0</v>
      </c>
    </row>
    <row r="158">
      <c r="A158" s="28">
        <v>157.0</v>
      </c>
      <c r="B158" s="29" t="s">
        <v>799</v>
      </c>
      <c r="C158" s="18" t="s">
        <v>21</v>
      </c>
      <c r="D158" s="18" t="s">
        <v>183</v>
      </c>
      <c r="E158" s="9">
        <v>1.0</v>
      </c>
    </row>
    <row r="159">
      <c r="A159" s="28">
        <v>158.0</v>
      </c>
      <c r="B159" s="29" t="s">
        <v>810</v>
      </c>
      <c r="C159" s="18" t="s">
        <v>824</v>
      </c>
      <c r="D159" s="18" t="s">
        <v>183</v>
      </c>
      <c r="E159" s="9">
        <v>1.0</v>
      </c>
    </row>
    <row r="160">
      <c r="A160" s="28">
        <v>159.0</v>
      </c>
      <c r="B160" s="29" t="s">
        <v>798</v>
      </c>
      <c r="C160" s="18" t="s">
        <v>85</v>
      </c>
      <c r="D160" s="18" t="s">
        <v>183</v>
      </c>
      <c r="E160" s="9">
        <v>1.0</v>
      </c>
    </row>
    <row r="161">
      <c r="A161" s="28">
        <v>160.0</v>
      </c>
      <c r="B161" s="29" t="s">
        <v>800</v>
      </c>
      <c r="C161" s="18" t="s">
        <v>55</v>
      </c>
      <c r="D161" s="18" t="s">
        <v>183</v>
      </c>
      <c r="E161" s="9">
        <v>1.0</v>
      </c>
    </row>
    <row r="162">
      <c r="A162" s="28">
        <v>161.0</v>
      </c>
      <c r="B162" s="29" t="s">
        <v>191</v>
      </c>
      <c r="C162" s="18" t="s">
        <v>53</v>
      </c>
      <c r="D162" s="18" t="s">
        <v>183</v>
      </c>
      <c r="E162" s="9">
        <v>1.0</v>
      </c>
    </row>
    <row r="163">
      <c r="A163" s="28">
        <v>162.0</v>
      </c>
      <c r="B163" s="29" t="s">
        <v>806</v>
      </c>
      <c r="C163" s="18" t="s">
        <v>10</v>
      </c>
      <c r="D163" s="18" t="s">
        <v>183</v>
      </c>
      <c r="E163" s="9">
        <v>1.0</v>
      </c>
    </row>
    <row r="164">
      <c r="A164" s="28">
        <v>163.0</v>
      </c>
      <c r="B164" s="29" t="s">
        <v>795</v>
      </c>
      <c r="C164" s="18" t="s">
        <v>23</v>
      </c>
      <c r="D164" s="18" t="s">
        <v>183</v>
      </c>
      <c r="E164" s="9">
        <v>1.0</v>
      </c>
    </row>
    <row r="165">
      <c r="A165" s="28">
        <v>164.0</v>
      </c>
      <c r="B165" s="29" t="s">
        <v>801</v>
      </c>
      <c r="C165" s="18" t="s">
        <v>81</v>
      </c>
      <c r="D165" s="18" t="s">
        <v>183</v>
      </c>
      <c r="E165" s="9">
        <v>1.0</v>
      </c>
    </row>
    <row r="166">
      <c r="A166" s="28">
        <v>165.0</v>
      </c>
      <c r="B166" s="29" t="s">
        <v>328</v>
      </c>
      <c r="C166" s="18" t="s">
        <v>43</v>
      </c>
      <c r="D166" s="8" t="s">
        <v>193</v>
      </c>
      <c r="E166" s="9">
        <v>1.0</v>
      </c>
    </row>
    <row r="167">
      <c r="A167" s="28">
        <v>166.0</v>
      </c>
      <c r="B167" s="29" t="s">
        <v>320</v>
      </c>
      <c r="C167" s="18" t="s">
        <v>15</v>
      </c>
      <c r="D167" s="8" t="s">
        <v>193</v>
      </c>
      <c r="E167" s="9">
        <v>1.0</v>
      </c>
    </row>
    <row r="168">
      <c r="A168" s="28">
        <v>167.0</v>
      </c>
      <c r="B168" s="29" t="s">
        <v>331</v>
      </c>
      <c r="C168" s="18" t="s">
        <v>53</v>
      </c>
      <c r="D168" s="8" t="s">
        <v>193</v>
      </c>
      <c r="E168" s="9">
        <v>1.0</v>
      </c>
    </row>
    <row r="169">
      <c r="A169" s="28">
        <v>168.0</v>
      </c>
      <c r="B169" s="29" t="s">
        <v>195</v>
      </c>
      <c r="C169" s="18" t="s">
        <v>47</v>
      </c>
      <c r="D169" s="8" t="s">
        <v>193</v>
      </c>
      <c r="E169" s="9">
        <v>1.0</v>
      </c>
    </row>
    <row r="170">
      <c r="A170" s="28">
        <v>169.0</v>
      </c>
      <c r="B170" s="29" t="s">
        <v>199</v>
      </c>
      <c r="C170" s="18" t="s">
        <v>32</v>
      </c>
      <c r="D170" s="8" t="s">
        <v>193</v>
      </c>
      <c r="E170" s="9">
        <v>1.0</v>
      </c>
    </row>
    <row r="171">
      <c r="A171" s="28">
        <v>170.0</v>
      </c>
      <c r="B171" s="29" t="s">
        <v>202</v>
      </c>
      <c r="C171" s="18" t="s">
        <v>23</v>
      </c>
      <c r="D171" s="8" t="s">
        <v>193</v>
      </c>
      <c r="E171" s="9">
        <v>1.0</v>
      </c>
    </row>
    <row r="172">
      <c r="A172" s="28">
        <v>171.0</v>
      </c>
      <c r="B172" s="29" t="s">
        <v>200</v>
      </c>
      <c r="C172" s="18" t="s">
        <v>7</v>
      </c>
      <c r="D172" s="8" t="s">
        <v>193</v>
      </c>
      <c r="E172" s="9">
        <v>1.0</v>
      </c>
    </row>
    <row r="173">
      <c r="A173" s="28">
        <v>172.0</v>
      </c>
      <c r="B173" s="29" t="s">
        <v>319</v>
      </c>
      <c r="C173" s="18" t="s">
        <v>66</v>
      </c>
      <c r="D173" s="8" t="s">
        <v>193</v>
      </c>
      <c r="E173" s="9">
        <v>1.0</v>
      </c>
    </row>
    <row r="174">
      <c r="A174" s="28">
        <v>173.0</v>
      </c>
      <c r="B174" s="29" t="s">
        <v>330</v>
      </c>
      <c r="C174" s="18" t="s">
        <v>62</v>
      </c>
      <c r="D174" s="8" t="s">
        <v>193</v>
      </c>
      <c r="E174" s="9">
        <v>1.0</v>
      </c>
    </row>
    <row r="175">
      <c r="A175" s="28">
        <v>174.0</v>
      </c>
      <c r="B175" s="29" t="s">
        <v>327</v>
      </c>
      <c r="C175" s="18" t="s">
        <v>45</v>
      </c>
      <c r="D175" s="8" t="s">
        <v>193</v>
      </c>
      <c r="E175" s="9">
        <v>1.0</v>
      </c>
    </row>
    <row r="176">
      <c r="A176" s="28">
        <v>175.0</v>
      </c>
      <c r="B176" s="29" t="s">
        <v>326</v>
      </c>
      <c r="C176" s="18" t="s">
        <v>17</v>
      </c>
      <c r="D176" s="8" t="s">
        <v>193</v>
      </c>
      <c r="E176" s="9">
        <v>1.0</v>
      </c>
    </row>
    <row r="177">
      <c r="A177" s="28">
        <v>176.0</v>
      </c>
      <c r="B177" s="29" t="s">
        <v>196</v>
      </c>
      <c r="C177" s="18" t="s">
        <v>58</v>
      </c>
      <c r="D177" s="8" t="s">
        <v>193</v>
      </c>
      <c r="E177" s="9">
        <v>1.0</v>
      </c>
    </row>
    <row r="178">
      <c r="A178" s="28">
        <v>177.0</v>
      </c>
      <c r="B178" s="29" t="s">
        <v>324</v>
      </c>
      <c r="C178" s="18" t="s">
        <v>64</v>
      </c>
      <c r="D178" s="8" t="s">
        <v>193</v>
      </c>
      <c r="E178" s="9">
        <v>1.0</v>
      </c>
    </row>
    <row r="179">
      <c r="A179" s="28">
        <v>178.0</v>
      </c>
      <c r="B179" s="29" t="s">
        <v>335</v>
      </c>
      <c r="C179" s="18" t="s">
        <v>10</v>
      </c>
      <c r="D179" s="8" t="s">
        <v>193</v>
      </c>
      <c r="E179" s="9">
        <v>1.0</v>
      </c>
    </row>
    <row r="180">
      <c r="A180" s="28">
        <v>179.0</v>
      </c>
      <c r="B180" s="29" t="s">
        <v>323</v>
      </c>
      <c r="C180" s="18" t="s">
        <v>19</v>
      </c>
      <c r="D180" s="8" t="s">
        <v>193</v>
      </c>
      <c r="E180" s="9">
        <v>1.0</v>
      </c>
    </row>
    <row r="181">
      <c r="A181" s="28">
        <v>180.0</v>
      </c>
      <c r="B181" s="29" t="s">
        <v>322</v>
      </c>
      <c r="C181" s="18" t="s">
        <v>119</v>
      </c>
      <c r="D181" s="8" t="s">
        <v>193</v>
      </c>
      <c r="E181" s="9">
        <v>1.0</v>
      </c>
    </row>
    <row r="182">
      <c r="A182" s="28">
        <v>181.0</v>
      </c>
      <c r="B182" s="29" t="s">
        <v>329</v>
      </c>
      <c r="C182" s="18" t="s">
        <v>21</v>
      </c>
      <c r="D182" s="8" t="s">
        <v>193</v>
      </c>
      <c r="E182" s="9">
        <v>1.0</v>
      </c>
    </row>
    <row r="183">
      <c r="A183" s="28">
        <v>182.0</v>
      </c>
      <c r="B183" s="29" t="s">
        <v>201</v>
      </c>
      <c r="C183" s="18" t="s">
        <v>73</v>
      </c>
      <c r="D183" s="8" t="s">
        <v>193</v>
      </c>
      <c r="E183" s="9">
        <v>1.0</v>
      </c>
    </row>
    <row r="184">
      <c r="A184" s="28">
        <v>183.0</v>
      </c>
      <c r="B184" s="29" t="s">
        <v>321</v>
      </c>
      <c r="C184" s="18" t="s">
        <v>39</v>
      </c>
      <c r="D184" s="8" t="s">
        <v>193</v>
      </c>
      <c r="E184" s="9">
        <v>1.0</v>
      </c>
    </row>
    <row r="185">
      <c r="A185" s="28">
        <v>184.0</v>
      </c>
      <c r="B185" s="29" t="s">
        <v>333</v>
      </c>
      <c r="C185" s="18" t="s">
        <v>69</v>
      </c>
      <c r="D185" s="8" t="s">
        <v>193</v>
      </c>
      <c r="E185" s="9">
        <v>1.0</v>
      </c>
    </row>
    <row r="186">
      <c r="A186" s="28">
        <v>185.0</v>
      </c>
      <c r="B186" s="29" t="s">
        <v>820</v>
      </c>
      <c r="C186" s="18" t="s">
        <v>824</v>
      </c>
      <c r="D186" s="8" t="s">
        <v>193</v>
      </c>
      <c r="E186" s="9">
        <v>1.0</v>
      </c>
    </row>
    <row r="187">
      <c r="A187" s="28">
        <v>186.0</v>
      </c>
      <c r="B187" s="29" t="s">
        <v>332</v>
      </c>
      <c r="C187" s="18" t="s">
        <v>25</v>
      </c>
      <c r="D187" s="8" t="s">
        <v>193</v>
      </c>
      <c r="E187" s="9">
        <v>1.0</v>
      </c>
    </row>
    <row r="188">
      <c r="A188" s="28">
        <v>187.0</v>
      </c>
      <c r="B188" s="29" t="s">
        <v>338</v>
      </c>
      <c r="C188" s="18" t="s">
        <v>85</v>
      </c>
      <c r="D188" s="8" t="s">
        <v>193</v>
      </c>
      <c r="E188" s="9">
        <v>1.0</v>
      </c>
    </row>
    <row r="189">
      <c r="A189" s="28">
        <v>188.0</v>
      </c>
      <c r="B189" s="29" t="s">
        <v>339</v>
      </c>
      <c r="C189" s="18" t="s">
        <v>35</v>
      </c>
      <c r="D189" s="8" t="s">
        <v>193</v>
      </c>
      <c r="E189" s="9">
        <v>1.0</v>
      </c>
    </row>
    <row r="190">
      <c r="A190" s="28">
        <v>189.0</v>
      </c>
      <c r="B190" s="29" t="s">
        <v>337</v>
      </c>
      <c r="C190" s="18" t="s">
        <v>55</v>
      </c>
      <c r="D190" s="8" t="s">
        <v>193</v>
      </c>
      <c r="E190" s="9">
        <v>1.0</v>
      </c>
    </row>
    <row r="191">
      <c r="A191" s="28">
        <v>190.0</v>
      </c>
      <c r="B191" s="29" t="s">
        <v>336</v>
      </c>
      <c r="C191" s="18" t="s">
        <v>89</v>
      </c>
      <c r="D191" s="8" t="s">
        <v>193</v>
      </c>
      <c r="E191" s="9">
        <v>1.0</v>
      </c>
    </row>
    <row r="192">
      <c r="A192" s="28">
        <v>191.0</v>
      </c>
      <c r="B192" s="29" t="s">
        <v>340</v>
      </c>
      <c r="C192" s="18" t="s">
        <v>81</v>
      </c>
      <c r="D192" s="8" t="s">
        <v>193</v>
      </c>
      <c r="E192" s="9">
        <v>1.0</v>
      </c>
    </row>
    <row r="193">
      <c r="A193" s="28">
        <v>192.0</v>
      </c>
      <c r="B193" s="29" t="s">
        <v>160</v>
      </c>
      <c r="C193" s="18" t="s">
        <v>119</v>
      </c>
      <c r="D193" s="18" t="s">
        <v>59</v>
      </c>
      <c r="E193" s="9">
        <v>1.0</v>
      </c>
    </row>
    <row r="194">
      <c r="A194" s="28">
        <v>193.0</v>
      </c>
      <c r="B194" s="29" t="s">
        <v>177</v>
      </c>
      <c r="C194" s="18" t="s">
        <v>85</v>
      </c>
      <c r="D194" s="18" t="s">
        <v>59</v>
      </c>
      <c r="E194" s="9">
        <v>1.0</v>
      </c>
    </row>
    <row r="195">
      <c r="A195" s="28">
        <v>194.0</v>
      </c>
      <c r="B195" s="29" t="s">
        <v>302</v>
      </c>
      <c r="C195" s="18" t="s">
        <v>15</v>
      </c>
      <c r="D195" s="18" t="s">
        <v>59</v>
      </c>
      <c r="E195" s="9">
        <v>1.0</v>
      </c>
    </row>
    <row r="196">
      <c r="A196" s="28">
        <v>195.0</v>
      </c>
      <c r="B196" s="29" t="s">
        <v>297</v>
      </c>
      <c r="C196" s="18" t="s">
        <v>824</v>
      </c>
      <c r="D196" s="18" t="s">
        <v>59</v>
      </c>
      <c r="E196" s="9">
        <v>1.0</v>
      </c>
    </row>
    <row r="197">
      <c r="A197" s="28">
        <v>196.0</v>
      </c>
      <c r="B197" s="29" t="s">
        <v>181</v>
      </c>
      <c r="C197" s="18" t="s">
        <v>12</v>
      </c>
      <c r="D197" s="18" t="s">
        <v>59</v>
      </c>
      <c r="E197" s="9">
        <v>1.0</v>
      </c>
    </row>
    <row r="198">
      <c r="A198" s="28">
        <v>197.0</v>
      </c>
      <c r="B198" s="29" t="s">
        <v>299</v>
      </c>
      <c r="C198" s="18" t="s">
        <v>73</v>
      </c>
      <c r="D198" s="18" t="s">
        <v>59</v>
      </c>
      <c r="E198" s="9">
        <v>1.0</v>
      </c>
    </row>
    <row r="199">
      <c r="A199" s="28">
        <v>198.0</v>
      </c>
      <c r="B199" s="29" t="s">
        <v>180</v>
      </c>
      <c r="C199" s="18" t="s">
        <v>66</v>
      </c>
      <c r="D199" s="18" t="s">
        <v>59</v>
      </c>
      <c r="E199" s="9">
        <v>1.0</v>
      </c>
    </row>
    <row r="200">
      <c r="A200" s="28">
        <v>199.0</v>
      </c>
      <c r="B200" s="29" t="s">
        <v>306</v>
      </c>
      <c r="C200" s="18" t="s">
        <v>7</v>
      </c>
      <c r="D200" s="18" t="s">
        <v>59</v>
      </c>
      <c r="E200" s="9">
        <v>1.0</v>
      </c>
    </row>
    <row r="201">
      <c r="A201" s="28">
        <v>200.0</v>
      </c>
      <c r="B201" s="29" t="s">
        <v>303</v>
      </c>
      <c r="C201" s="18" t="s">
        <v>47</v>
      </c>
      <c r="D201" s="18" t="s">
        <v>59</v>
      </c>
      <c r="E201" s="9">
        <v>1.0</v>
      </c>
    </row>
    <row r="202">
      <c r="A202" s="28">
        <v>201.0</v>
      </c>
      <c r="B202" s="29" t="s">
        <v>298</v>
      </c>
      <c r="C202" s="18" t="s">
        <v>21</v>
      </c>
      <c r="D202" s="18" t="s">
        <v>59</v>
      </c>
      <c r="E202" s="9">
        <v>1.0</v>
      </c>
    </row>
    <row r="203">
      <c r="A203" s="28">
        <v>202.0</v>
      </c>
      <c r="B203" s="29" t="s">
        <v>300</v>
      </c>
      <c r="C203" s="18" t="s">
        <v>19</v>
      </c>
      <c r="D203" s="18" t="s">
        <v>59</v>
      </c>
      <c r="E203" s="9">
        <v>1.0</v>
      </c>
    </row>
    <row r="204">
      <c r="A204" s="28">
        <v>203.0</v>
      </c>
      <c r="B204" s="29" t="s">
        <v>304</v>
      </c>
      <c r="C204" s="18" t="s">
        <v>81</v>
      </c>
      <c r="D204" s="18" t="s">
        <v>59</v>
      </c>
      <c r="E204" s="9">
        <v>1.0</v>
      </c>
    </row>
    <row r="205">
      <c r="A205" s="28">
        <v>204.0</v>
      </c>
      <c r="B205" s="29" t="s">
        <v>311</v>
      </c>
      <c r="C205" s="18" t="s">
        <v>37</v>
      </c>
      <c r="D205" s="18" t="s">
        <v>59</v>
      </c>
      <c r="E205" s="9">
        <v>1.0</v>
      </c>
    </row>
    <row r="206">
      <c r="A206" s="28">
        <v>205.0</v>
      </c>
      <c r="B206" s="29" t="s">
        <v>307</v>
      </c>
      <c r="C206" s="18" t="s">
        <v>41</v>
      </c>
      <c r="D206" s="18" t="s">
        <v>59</v>
      </c>
      <c r="E206" s="9">
        <v>1.0</v>
      </c>
    </row>
    <row r="207">
      <c r="A207" s="28">
        <v>206.0</v>
      </c>
      <c r="B207" s="29" t="s">
        <v>305</v>
      </c>
      <c r="C207" s="18" t="s">
        <v>69</v>
      </c>
      <c r="D207" s="18" t="s">
        <v>59</v>
      </c>
      <c r="E207" s="9">
        <v>1.0</v>
      </c>
    </row>
    <row r="208">
      <c r="A208" s="28">
        <v>207.0</v>
      </c>
      <c r="B208" s="29" t="s">
        <v>702</v>
      </c>
      <c r="C208" s="18" t="s">
        <v>53</v>
      </c>
      <c r="D208" s="18" t="s">
        <v>59</v>
      </c>
      <c r="E208" s="9">
        <v>1.0</v>
      </c>
    </row>
    <row r="209">
      <c r="A209" s="28">
        <v>208.0</v>
      </c>
      <c r="B209" s="29" t="s">
        <v>309</v>
      </c>
      <c r="C209" s="18" t="s">
        <v>10</v>
      </c>
      <c r="D209" s="18" t="s">
        <v>59</v>
      </c>
      <c r="E209" s="9">
        <v>1.0</v>
      </c>
    </row>
    <row r="210">
      <c r="A210" s="28">
        <v>209.0</v>
      </c>
      <c r="B210" s="29" t="s">
        <v>312</v>
      </c>
      <c r="C210" s="18" t="s">
        <v>37</v>
      </c>
      <c r="D210" s="18" t="s">
        <v>59</v>
      </c>
      <c r="E210" s="9">
        <v>1.0</v>
      </c>
    </row>
    <row r="211">
      <c r="A211" s="28">
        <v>210.0</v>
      </c>
      <c r="B211" s="29" t="s">
        <v>704</v>
      </c>
      <c r="C211" s="18" t="s">
        <v>53</v>
      </c>
      <c r="D211" s="18" t="s">
        <v>59</v>
      </c>
      <c r="E211" s="9">
        <v>1.0</v>
      </c>
    </row>
    <row r="212">
      <c r="A212" s="28">
        <v>211.0</v>
      </c>
      <c r="B212" s="29" t="s">
        <v>700</v>
      </c>
      <c r="C212" s="18" t="s">
        <v>43</v>
      </c>
      <c r="D212" s="18" t="s">
        <v>59</v>
      </c>
      <c r="E212" s="9">
        <v>1.0</v>
      </c>
    </row>
    <row r="213">
      <c r="A213" s="28">
        <v>212.0</v>
      </c>
      <c r="B213" s="29" t="s">
        <v>698</v>
      </c>
      <c r="C213" s="18" t="s">
        <v>45</v>
      </c>
      <c r="D213" s="18" t="s">
        <v>59</v>
      </c>
      <c r="E213" s="9">
        <v>1.0</v>
      </c>
    </row>
    <row r="214">
      <c r="A214" s="28">
        <v>213.0</v>
      </c>
      <c r="B214" s="29" t="s">
        <v>310</v>
      </c>
      <c r="C214" s="18" t="s">
        <v>119</v>
      </c>
      <c r="D214" s="18" t="s">
        <v>59</v>
      </c>
      <c r="E214" s="9">
        <v>1.0</v>
      </c>
    </row>
    <row r="215">
      <c r="A215" s="28">
        <v>214.0</v>
      </c>
      <c r="B215" s="29" t="s">
        <v>721</v>
      </c>
      <c r="C215" s="18" t="s">
        <v>85</v>
      </c>
      <c r="D215" s="18" t="s">
        <v>59</v>
      </c>
      <c r="E215" s="9">
        <v>1.0</v>
      </c>
    </row>
    <row r="216">
      <c r="A216" s="28">
        <v>215.0</v>
      </c>
      <c r="B216" s="29" t="s">
        <v>709</v>
      </c>
      <c r="C216" s="18" t="s">
        <v>7</v>
      </c>
      <c r="D216" s="18" t="s">
        <v>59</v>
      </c>
      <c r="E216" s="9">
        <v>1.0</v>
      </c>
    </row>
    <row r="217">
      <c r="A217" s="28">
        <v>216.0</v>
      </c>
      <c r="B217" s="29" t="s">
        <v>267</v>
      </c>
      <c r="C217" s="18" t="s">
        <v>17</v>
      </c>
      <c r="D217" s="18" t="s">
        <v>13</v>
      </c>
      <c r="E217" s="9">
        <v>1.0</v>
      </c>
    </row>
    <row r="218">
      <c r="A218" s="28">
        <v>217.0</v>
      </c>
      <c r="B218" s="29" t="s">
        <v>252</v>
      </c>
      <c r="C218" s="18" t="s">
        <v>37</v>
      </c>
      <c r="D218" s="18" t="s">
        <v>13</v>
      </c>
      <c r="E218" s="9">
        <v>1.0</v>
      </c>
    </row>
    <row r="219">
      <c r="A219" s="28">
        <v>218.0</v>
      </c>
      <c r="B219" s="29" t="s">
        <v>150</v>
      </c>
      <c r="C219" s="18" t="s">
        <v>41</v>
      </c>
      <c r="D219" s="18" t="s">
        <v>13</v>
      </c>
      <c r="E219" s="9">
        <v>1.0</v>
      </c>
    </row>
    <row r="220">
      <c r="A220" s="28">
        <v>219.0</v>
      </c>
      <c r="B220" s="29" t="s">
        <v>151</v>
      </c>
      <c r="C220" s="18" t="s">
        <v>119</v>
      </c>
      <c r="D220" s="18" t="s">
        <v>13</v>
      </c>
      <c r="E220" s="9">
        <v>1.0</v>
      </c>
    </row>
    <row r="221">
      <c r="A221" s="28">
        <v>220.0</v>
      </c>
      <c r="B221" s="29" t="s">
        <v>153</v>
      </c>
      <c r="C221" s="18" t="s">
        <v>37</v>
      </c>
      <c r="D221" s="18" t="s">
        <v>13</v>
      </c>
      <c r="E221" s="9">
        <v>1.0</v>
      </c>
    </row>
    <row r="222">
      <c r="A222" s="28">
        <v>221.0</v>
      </c>
      <c r="B222" s="29" t="s">
        <v>266</v>
      </c>
      <c r="C222" s="18" t="s">
        <v>47</v>
      </c>
      <c r="D222" s="18" t="s">
        <v>13</v>
      </c>
      <c r="E222" s="9">
        <v>1.0</v>
      </c>
    </row>
    <row r="223">
      <c r="A223" s="28">
        <v>222.0</v>
      </c>
      <c r="B223" s="29" t="s">
        <v>269</v>
      </c>
      <c r="C223" s="18" t="s">
        <v>119</v>
      </c>
      <c r="D223" s="18" t="s">
        <v>13</v>
      </c>
      <c r="E223" s="9">
        <v>1.0</v>
      </c>
    </row>
    <row r="224">
      <c r="A224" s="28">
        <v>223.0</v>
      </c>
      <c r="B224" s="29" t="s">
        <v>249</v>
      </c>
      <c r="C224" s="18" t="s">
        <v>45</v>
      </c>
      <c r="D224" s="18" t="s">
        <v>13</v>
      </c>
      <c r="E224" s="9">
        <v>1.0</v>
      </c>
    </row>
    <row r="225">
      <c r="A225" s="28">
        <v>224.0</v>
      </c>
      <c r="B225" s="29" t="s">
        <v>131</v>
      </c>
      <c r="C225" s="18" t="s">
        <v>45</v>
      </c>
      <c r="D225" s="18" t="s">
        <v>13</v>
      </c>
      <c r="E225" s="9">
        <v>1.0</v>
      </c>
    </row>
    <row r="226">
      <c r="A226" s="28">
        <v>225.0</v>
      </c>
      <c r="B226" s="29" t="s">
        <v>171</v>
      </c>
      <c r="C226" s="18" t="s">
        <v>10</v>
      </c>
      <c r="D226" s="18" t="s">
        <v>13</v>
      </c>
      <c r="E226" s="9">
        <v>1.0</v>
      </c>
    </row>
    <row r="227">
      <c r="A227" s="28">
        <v>226.0</v>
      </c>
      <c r="B227" s="29" t="s">
        <v>255</v>
      </c>
      <c r="C227" s="18" t="s">
        <v>43</v>
      </c>
      <c r="D227" s="18" t="s">
        <v>13</v>
      </c>
      <c r="E227" s="9">
        <v>1.0</v>
      </c>
    </row>
    <row r="228">
      <c r="A228" s="28">
        <v>227.0</v>
      </c>
      <c r="B228" s="29" t="s">
        <v>531</v>
      </c>
      <c r="C228" s="18" t="s">
        <v>66</v>
      </c>
      <c r="D228" s="18" t="s">
        <v>13</v>
      </c>
      <c r="E228" s="9">
        <v>1.0</v>
      </c>
    </row>
    <row r="229">
      <c r="A229" s="28">
        <v>228.0</v>
      </c>
      <c r="B229" s="29" t="s">
        <v>168</v>
      </c>
      <c r="C229" s="18" t="s">
        <v>73</v>
      </c>
      <c r="D229" s="18" t="s">
        <v>13</v>
      </c>
      <c r="E229" s="9">
        <v>1.0</v>
      </c>
    </row>
    <row r="230">
      <c r="A230" s="28">
        <v>229.0</v>
      </c>
      <c r="B230" s="29" t="s">
        <v>265</v>
      </c>
      <c r="C230" s="18" t="s">
        <v>69</v>
      </c>
      <c r="D230" s="18" t="s">
        <v>13</v>
      </c>
      <c r="E230" s="9">
        <v>1.0</v>
      </c>
    </row>
    <row r="231">
      <c r="A231" s="28">
        <v>230.0</v>
      </c>
      <c r="B231" s="29" t="s">
        <v>169</v>
      </c>
      <c r="C231" s="18" t="s">
        <v>62</v>
      </c>
      <c r="D231" s="18" t="s">
        <v>13</v>
      </c>
      <c r="E231" s="9">
        <v>1.0</v>
      </c>
    </row>
    <row r="232">
      <c r="A232" s="28">
        <v>231.0</v>
      </c>
      <c r="B232" s="29" t="s">
        <v>167</v>
      </c>
      <c r="C232" s="18" t="s">
        <v>35</v>
      </c>
      <c r="D232" s="18" t="s">
        <v>13</v>
      </c>
      <c r="E232" s="9">
        <v>1.0</v>
      </c>
    </row>
    <row r="233">
      <c r="A233" s="28">
        <v>232.0</v>
      </c>
      <c r="B233" s="29" t="s">
        <v>247</v>
      </c>
      <c r="C233" s="18" t="s">
        <v>32</v>
      </c>
      <c r="D233" s="18" t="s">
        <v>13</v>
      </c>
      <c r="E233" s="9">
        <v>1.0</v>
      </c>
    </row>
    <row r="234">
      <c r="A234" s="28">
        <v>233.0</v>
      </c>
      <c r="B234" s="29" t="s">
        <v>248</v>
      </c>
      <c r="C234" s="18" t="s">
        <v>12</v>
      </c>
      <c r="D234" s="18" t="s">
        <v>13</v>
      </c>
      <c r="E234" s="9">
        <v>1.0</v>
      </c>
    </row>
    <row r="235">
      <c r="A235" s="28">
        <v>234.0</v>
      </c>
      <c r="B235" s="29" t="s">
        <v>1242</v>
      </c>
      <c r="C235" s="18" t="s">
        <v>35</v>
      </c>
      <c r="D235" s="18" t="s">
        <v>13</v>
      </c>
      <c r="E235" s="9">
        <v>1.0</v>
      </c>
    </row>
    <row r="236">
      <c r="A236" s="28">
        <v>235.0</v>
      </c>
      <c r="B236" s="29" t="s">
        <v>256</v>
      </c>
      <c r="C236" s="18" t="s">
        <v>73</v>
      </c>
      <c r="D236" s="18" t="s">
        <v>13</v>
      </c>
      <c r="E236" s="9">
        <v>1.0</v>
      </c>
    </row>
    <row r="237">
      <c r="A237" s="28">
        <v>236.0</v>
      </c>
      <c r="B237" s="29" t="s">
        <v>342</v>
      </c>
      <c r="C237" s="18" t="s">
        <v>15</v>
      </c>
      <c r="D237" s="18" t="s">
        <v>13</v>
      </c>
      <c r="E237" s="9">
        <v>1.0</v>
      </c>
    </row>
    <row r="238">
      <c r="A238" s="28">
        <v>237.0</v>
      </c>
      <c r="B238" s="29" t="s">
        <v>544</v>
      </c>
      <c r="C238" s="18" t="s">
        <v>39</v>
      </c>
      <c r="D238" s="18" t="s">
        <v>13</v>
      </c>
      <c r="E238" s="9">
        <v>1.0</v>
      </c>
    </row>
    <row r="239">
      <c r="A239" s="28">
        <v>238.0</v>
      </c>
      <c r="B239" s="29" t="s">
        <v>250</v>
      </c>
      <c r="C239" s="18" t="s">
        <v>81</v>
      </c>
      <c r="D239" s="18" t="s">
        <v>13</v>
      </c>
      <c r="E239" s="9">
        <v>1.0</v>
      </c>
    </row>
    <row r="240">
      <c r="A240" s="28">
        <v>239.0</v>
      </c>
      <c r="B240" s="29" t="s">
        <v>268</v>
      </c>
      <c r="C240" s="18" t="s">
        <v>45</v>
      </c>
      <c r="D240" s="18" t="s">
        <v>13</v>
      </c>
      <c r="E240" s="9">
        <v>1.0</v>
      </c>
    </row>
    <row r="241">
      <c r="A241" s="28">
        <v>240.0</v>
      </c>
      <c r="B241" s="29" t="s">
        <v>271</v>
      </c>
      <c r="C241" s="18" t="s">
        <v>58</v>
      </c>
      <c r="D241" s="18" t="s">
        <v>13</v>
      </c>
      <c r="E241" s="9">
        <v>1.0</v>
      </c>
    </row>
    <row r="242">
      <c r="A242" s="28">
        <v>241.0</v>
      </c>
      <c r="B242" s="29" t="s">
        <v>149</v>
      </c>
      <c r="C242" s="18" t="s">
        <v>62</v>
      </c>
      <c r="D242" s="18" t="s">
        <v>13</v>
      </c>
      <c r="E242" s="9">
        <v>1.0</v>
      </c>
    </row>
    <row r="243">
      <c r="A243" s="28">
        <v>242.0</v>
      </c>
      <c r="B243" s="29" t="s">
        <v>254</v>
      </c>
      <c r="C243" s="18" t="s">
        <v>7</v>
      </c>
      <c r="D243" s="18" t="s">
        <v>13</v>
      </c>
      <c r="E243" s="9">
        <v>1.0</v>
      </c>
    </row>
    <row r="244">
      <c r="A244" s="28">
        <v>243.0</v>
      </c>
      <c r="B244" s="29" t="s">
        <v>263</v>
      </c>
      <c r="C244" s="18" t="s">
        <v>53</v>
      </c>
      <c r="D244" s="18" t="s">
        <v>13</v>
      </c>
      <c r="E244" s="9">
        <v>1.0</v>
      </c>
    </row>
    <row r="245">
      <c r="A245" s="28">
        <v>244.0</v>
      </c>
      <c r="B245" s="29" t="s">
        <v>272</v>
      </c>
      <c r="C245" s="18" t="s">
        <v>7</v>
      </c>
      <c r="D245" s="18" t="s">
        <v>13</v>
      </c>
      <c r="E245" s="9">
        <v>1.0</v>
      </c>
    </row>
    <row r="246">
      <c r="A246" s="28">
        <v>245.0</v>
      </c>
      <c r="B246" s="29" t="s">
        <v>543</v>
      </c>
      <c r="C246" s="18" t="s">
        <v>47</v>
      </c>
      <c r="D246" s="18" t="s">
        <v>13</v>
      </c>
      <c r="E246" s="9">
        <v>1.0</v>
      </c>
    </row>
    <row r="247">
      <c r="A247" s="28">
        <v>246.0</v>
      </c>
      <c r="B247" s="29" t="s">
        <v>537</v>
      </c>
      <c r="C247" s="18" t="s">
        <v>824</v>
      </c>
      <c r="D247" s="18" t="s">
        <v>13</v>
      </c>
      <c r="E247" s="9">
        <v>1.0</v>
      </c>
    </row>
    <row r="248">
      <c r="A248" s="28">
        <v>247.0</v>
      </c>
      <c r="B248" s="29" t="s">
        <v>257</v>
      </c>
      <c r="C248" s="18" t="s">
        <v>21</v>
      </c>
      <c r="D248" s="18" t="s">
        <v>13</v>
      </c>
      <c r="E248" s="9">
        <v>1.0</v>
      </c>
    </row>
    <row r="249">
      <c r="A249" s="28">
        <v>248.0</v>
      </c>
      <c r="B249" s="29" t="s">
        <v>541</v>
      </c>
      <c r="C249" s="18" t="s">
        <v>89</v>
      </c>
      <c r="D249" s="18" t="s">
        <v>13</v>
      </c>
      <c r="E249" s="9">
        <v>1.0</v>
      </c>
    </row>
    <row r="250">
      <c r="A250" s="28">
        <v>249.0</v>
      </c>
      <c r="B250" s="29" t="s">
        <v>535</v>
      </c>
      <c r="C250" s="18" t="s">
        <v>10</v>
      </c>
      <c r="D250" s="18" t="s">
        <v>13</v>
      </c>
      <c r="E250" s="9">
        <v>1.0</v>
      </c>
    </row>
    <row r="251">
      <c r="A251" s="28">
        <v>250.0</v>
      </c>
      <c r="B251" s="29" t="s">
        <v>551</v>
      </c>
      <c r="C251" s="18" t="s">
        <v>64</v>
      </c>
      <c r="D251" s="18" t="s">
        <v>13</v>
      </c>
      <c r="E251" s="9">
        <v>1.0</v>
      </c>
    </row>
    <row r="252">
      <c r="A252" s="28">
        <v>251.0</v>
      </c>
      <c r="B252" s="29" t="s">
        <v>253</v>
      </c>
      <c r="C252" s="18" t="s">
        <v>30</v>
      </c>
      <c r="D252" s="18" t="s">
        <v>13</v>
      </c>
      <c r="E252" s="9">
        <v>1.0</v>
      </c>
    </row>
    <row r="253">
      <c r="A253" s="28">
        <v>252.0</v>
      </c>
      <c r="B253" s="29" t="s">
        <v>534</v>
      </c>
      <c r="C253" s="18" t="s">
        <v>824</v>
      </c>
      <c r="D253" s="18" t="s">
        <v>13</v>
      </c>
      <c r="E253" s="9">
        <v>1.0</v>
      </c>
    </row>
    <row r="254">
      <c r="A254" s="28">
        <v>253.0</v>
      </c>
      <c r="B254" s="29" t="s">
        <v>258</v>
      </c>
      <c r="C254" s="18" t="s">
        <v>23</v>
      </c>
      <c r="D254" s="18" t="s">
        <v>13</v>
      </c>
      <c r="E254" s="9">
        <v>1.0</v>
      </c>
    </row>
    <row r="255">
      <c r="A255" s="28">
        <v>254.0</v>
      </c>
      <c r="B255" s="29" t="s">
        <v>538</v>
      </c>
      <c r="C255" s="18" t="s">
        <v>47</v>
      </c>
      <c r="D255" s="18" t="s">
        <v>13</v>
      </c>
      <c r="E255" s="9">
        <v>1.0</v>
      </c>
    </row>
    <row r="256">
      <c r="A256" s="28">
        <v>255.0</v>
      </c>
      <c r="B256" s="29" t="s">
        <v>532</v>
      </c>
      <c r="C256" s="18" t="s">
        <v>66</v>
      </c>
      <c r="D256" s="18" t="s">
        <v>13</v>
      </c>
      <c r="E256" s="9">
        <v>1.0</v>
      </c>
    </row>
    <row r="257">
      <c r="A257" s="28">
        <v>256.0</v>
      </c>
      <c r="B257" s="29" t="s">
        <v>566</v>
      </c>
      <c r="C257" s="18" t="s">
        <v>89</v>
      </c>
      <c r="D257" s="18" t="s">
        <v>13</v>
      </c>
      <c r="E257" s="9">
        <v>1.0</v>
      </c>
    </row>
    <row r="258">
      <c r="A258" s="28">
        <v>257.0</v>
      </c>
      <c r="B258" s="29" t="s">
        <v>533</v>
      </c>
      <c r="C258" s="18" t="s">
        <v>30</v>
      </c>
      <c r="D258" s="18" t="s">
        <v>13</v>
      </c>
      <c r="E258" s="9">
        <v>1.0</v>
      </c>
    </row>
    <row r="259">
      <c r="A259" s="28">
        <v>258.0</v>
      </c>
      <c r="B259" s="29" t="s">
        <v>166</v>
      </c>
      <c r="C259" s="18" t="s">
        <v>47</v>
      </c>
      <c r="D259" s="18" t="s">
        <v>13</v>
      </c>
      <c r="E259" s="9">
        <v>1.0</v>
      </c>
    </row>
    <row r="260">
      <c r="A260" s="28">
        <v>259.0</v>
      </c>
      <c r="B260" s="29" t="s">
        <v>585</v>
      </c>
      <c r="C260" s="18" t="s">
        <v>55</v>
      </c>
      <c r="D260" s="18" t="s">
        <v>13</v>
      </c>
      <c r="E260" s="9">
        <v>1.0</v>
      </c>
    </row>
    <row r="261">
      <c r="A261" s="28">
        <v>260.0</v>
      </c>
      <c r="B261" s="29" t="s">
        <v>536</v>
      </c>
      <c r="C261" s="18" t="s">
        <v>55</v>
      </c>
      <c r="D261" s="18" t="s">
        <v>13</v>
      </c>
      <c r="E261" s="9">
        <v>1.0</v>
      </c>
    </row>
    <row r="262">
      <c r="A262" s="28">
        <v>261.0</v>
      </c>
      <c r="B262" s="29" t="s">
        <v>578</v>
      </c>
      <c r="C262" s="18" t="s">
        <v>41</v>
      </c>
      <c r="D262" s="18" t="s">
        <v>13</v>
      </c>
      <c r="E262" s="9">
        <v>1.0</v>
      </c>
    </row>
    <row r="263">
      <c r="A263" s="28">
        <v>262.0</v>
      </c>
      <c r="B263" s="29" t="s">
        <v>259</v>
      </c>
      <c r="C263" s="18" t="s">
        <v>55</v>
      </c>
      <c r="D263" s="18" t="s">
        <v>13</v>
      </c>
      <c r="E263" s="9">
        <v>1.0</v>
      </c>
    </row>
    <row r="264">
      <c r="A264" s="28">
        <v>263.0</v>
      </c>
      <c r="B264" s="29" t="s">
        <v>570</v>
      </c>
      <c r="C264" s="18" t="s">
        <v>66</v>
      </c>
      <c r="D264" s="18" t="s">
        <v>13</v>
      </c>
      <c r="E264" s="9">
        <v>1.0</v>
      </c>
    </row>
    <row r="265">
      <c r="A265" s="28">
        <v>264.0</v>
      </c>
      <c r="B265" s="29" t="s">
        <v>545</v>
      </c>
      <c r="C265" s="18" t="s">
        <v>119</v>
      </c>
      <c r="D265" s="18" t="s">
        <v>13</v>
      </c>
      <c r="E265" s="9">
        <v>1.0</v>
      </c>
    </row>
    <row r="266">
      <c r="A266" s="28">
        <v>265.0</v>
      </c>
      <c r="B266" s="29" t="s">
        <v>555</v>
      </c>
      <c r="C266" s="18" t="s">
        <v>119</v>
      </c>
      <c r="D266" s="18" t="s">
        <v>13</v>
      </c>
      <c r="E266" s="9">
        <v>1.0</v>
      </c>
    </row>
    <row r="267">
      <c r="A267" s="28">
        <v>266.0</v>
      </c>
      <c r="B267" s="29" t="s">
        <v>563</v>
      </c>
      <c r="C267" s="18" t="s">
        <v>23</v>
      </c>
      <c r="D267" s="18" t="s">
        <v>13</v>
      </c>
      <c r="E267" s="9">
        <v>1.0</v>
      </c>
    </row>
    <row r="268">
      <c r="A268" s="28">
        <v>267.0</v>
      </c>
      <c r="B268" s="29" t="s">
        <v>264</v>
      </c>
      <c r="C268" s="18" t="s">
        <v>53</v>
      </c>
      <c r="D268" s="18" t="s">
        <v>13</v>
      </c>
      <c r="E268" s="9">
        <v>1.0</v>
      </c>
    </row>
    <row r="269">
      <c r="A269" s="28">
        <v>268.0</v>
      </c>
      <c r="B269" s="29" t="s">
        <v>575</v>
      </c>
      <c r="C269" s="18" t="s">
        <v>12</v>
      </c>
      <c r="D269" s="18" t="s">
        <v>13</v>
      </c>
      <c r="E269" s="9">
        <v>1.0</v>
      </c>
    </row>
    <row r="270">
      <c r="A270" s="28">
        <v>269.0</v>
      </c>
      <c r="B270" s="29" t="s">
        <v>562</v>
      </c>
      <c r="C270" s="18" t="s">
        <v>32</v>
      </c>
      <c r="D270" s="18" t="s">
        <v>13</v>
      </c>
      <c r="E270" s="9">
        <v>1.0</v>
      </c>
    </row>
    <row r="271">
      <c r="A271" s="28">
        <v>270.0</v>
      </c>
      <c r="B271" s="29" t="s">
        <v>885</v>
      </c>
      <c r="C271" s="18" t="s">
        <v>43</v>
      </c>
      <c r="D271" s="18" t="s">
        <v>13</v>
      </c>
      <c r="E271" s="9">
        <v>1.0</v>
      </c>
    </row>
    <row r="272">
      <c r="A272" s="28">
        <v>271.0</v>
      </c>
      <c r="B272" s="29" t="s">
        <v>561</v>
      </c>
      <c r="C272" s="18" t="s">
        <v>81</v>
      </c>
      <c r="D272" s="18" t="s">
        <v>13</v>
      </c>
      <c r="E272" s="9">
        <v>1.0</v>
      </c>
    </row>
    <row r="273">
      <c r="A273" s="28">
        <v>272.0</v>
      </c>
      <c r="B273" s="29" t="s">
        <v>128</v>
      </c>
      <c r="C273" s="18" t="s">
        <v>32</v>
      </c>
      <c r="D273" s="18" t="s">
        <v>8</v>
      </c>
      <c r="E273" s="9">
        <v>1.0</v>
      </c>
    </row>
    <row r="274">
      <c r="A274" s="28">
        <v>273.0</v>
      </c>
      <c r="B274" s="29" t="s">
        <v>102</v>
      </c>
      <c r="C274" s="18" t="s">
        <v>30</v>
      </c>
      <c r="D274" s="18" t="s">
        <v>8</v>
      </c>
      <c r="E274" s="9">
        <v>1.0</v>
      </c>
    </row>
    <row r="275">
      <c r="A275" s="28">
        <v>274.0</v>
      </c>
      <c r="B275" s="29" t="s">
        <v>145</v>
      </c>
      <c r="C275" s="18" t="s">
        <v>43</v>
      </c>
      <c r="D275" s="18" t="s">
        <v>8</v>
      </c>
      <c r="E275" s="9">
        <v>1.0</v>
      </c>
    </row>
    <row r="276">
      <c r="A276" s="28">
        <v>275.0</v>
      </c>
      <c r="B276" s="29" t="s">
        <v>138</v>
      </c>
      <c r="C276" s="18" t="s">
        <v>119</v>
      </c>
      <c r="D276" s="18" t="s">
        <v>8</v>
      </c>
      <c r="E276" s="9">
        <v>1.0</v>
      </c>
    </row>
    <row r="277">
      <c r="A277" s="28">
        <v>276.0</v>
      </c>
      <c r="B277" s="29" t="s">
        <v>827</v>
      </c>
      <c r="C277" s="18" t="s">
        <v>85</v>
      </c>
      <c r="D277" s="18" t="s">
        <v>8</v>
      </c>
      <c r="E277" s="9">
        <v>1.0</v>
      </c>
    </row>
    <row r="278">
      <c r="A278" s="28">
        <v>277.0</v>
      </c>
      <c r="B278" s="29" t="s">
        <v>208</v>
      </c>
      <c r="C278" s="18" t="s">
        <v>12</v>
      </c>
      <c r="D278" s="18" t="s">
        <v>8</v>
      </c>
      <c r="E278" s="9">
        <v>1.0</v>
      </c>
    </row>
    <row r="279">
      <c r="A279" s="28">
        <v>278.0</v>
      </c>
      <c r="B279" s="29" t="s">
        <v>212</v>
      </c>
      <c r="C279" s="18" t="s">
        <v>35</v>
      </c>
      <c r="D279" s="18" t="s">
        <v>8</v>
      </c>
      <c r="E279" s="9">
        <v>1.0</v>
      </c>
    </row>
    <row r="280">
      <c r="A280" s="28">
        <v>279.0</v>
      </c>
      <c r="B280" s="29" t="s">
        <v>162</v>
      </c>
      <c r="C280" s="18" t="s">
        <v>73</v>
      </c>
      <c r="D280" s="18" t="s">
        <v>8</v>
      </c>
      <c r="E280" s="9">
        <v>1.0</v>
      </c>
    </row>
    <row r="281">
      <c r="A281" s="28">
        <v>280.0</v>
      </c>
      <c r="B281" s="29" t="s">
        <v>143</v>
      </c>
      <c r="C281" s="18" t="s">
        <v>69</v>
      </c>
      <c r="D281" s="18" t="s">
        <v>8</v>
      </c>
      <c r="E281" s="9">
        <v>1.0</v>
      </c>
    </row>
    <row r="282">
      <c r="A282" s="28">
        <v>281.0</v>
      </c>
      <c r="B282" s="29" t="s">
        <v>217</v>
      </c>
      <c r="C282" s="18" t="s">
        <v>45</v>
      </c>
      <c r="D282" s="18" t="s">
        <v>8</v>
      </c>
      <c r="E282" s="9">
        <v>1.0</v>
      </c>
    </row>
    <row r="283">
      <c r="A283" s="28">
        <v>282.0</v>
      </c>
      <c r="B283" s="29" t="s">
        <v>215</v>
      </c>
      <c r="C283" s="18" t="s">
        <v>37</v>
      </c>
      <c r="D283" s="18" t="s">
        <v>8</v>
      </c>
      <c r="E283" s="9">
        <v>1.0</v>
      </c>
    </row>
    <row r="284">
      <c r="A284" s="28">
        <v>283.0</v>
      </c>
      <c r="B284" s="29" t="s">
        <v>203</v>
      </c>
      <c r="C284" s="18" t="s">
        <v>81</v>
      </c>
      <c r="D284" s="18" t="s">
        <v>8</v>
      </c>
      <c r="E284" s="9">
        <v>1.0</v>
      </c>
    </row>
    <row r="285">
      <c r="A285" s="28">
        <v>284.0</v>
      </c>
      <c r="B285" s="29" t="s">
        <v>214</v>
      </c>
      <c r="C285" s="18" t="s">
        <v>41</v>
      </c>
      <c r="D285" s="18" t="s">
        <v>8</v>
      </c>
      <c r="E285" s="9">
        <v>1.0</v>
      </c>
    </row>
    <row r="286">
      <c r="A286" s="28">
        <v>285.0</v>
      </c>
      <c r="B286" s="29" t="s">
        <v>218</v>
      </c>
      <c r="C286" s="18" t="s">
        <v>64</v>
      </c>
      <c r="D286" s="18" t="s">
        <v>8</v>
      </c>
      <c r="E286" s="9">
        <v>1.0</v>
      </c>
    </row>
    <row r="287">
      <c r="A287" s="28">
        <v>286.0</v>
      </c>
      <c r="B287" s="29" t="s">
        <v>146</v>
      </c>
      <c r="C287" s="18" t="s">
        <v>7</v>
      </c>
      <c r="D287" s="18" t="s">
        <v>8</v>
      </c>
      <c r="E287" s="9">
        <v>1.0</v>
      </c>
    </row>
    <row r="288">
      <c r="A288" s="28">
        <v>287.0</v>
      </c>
      <c r="B288" s="29" t="s">
        <v>207</v>
      </c>
      <c r="C288" s="18" t="s">
        <v>58</v>
      </c>
      <c r="D288" s="18" t="s">
        <v>8</v>
      </c>
      <c r="E288" s="9">
        <v>1.0</v>
      </c>
    </row>
    <row r="289">
      <c r="A289" s="28">
        <v>288.0</v>
      </c>
      <c r="B289" s="29" t="s">
        <v>205</v>
      </c>
      <c r="C289" s="18" t="s">
        <v>15</v>
      </c>
      <c r="D289" s="18" t="s">
        <v>8</v>
      </c>
      <c r="E289" s="9">
        <v>1.0</v>
      </c>
    </row>
    <row r="290">
      <c r="A290" s="28">
        <v>289.0</v>
      </c>
      <c r="B290" s="29" t="s">
        <v>144</v>
      </c>
      <c r="C290" s="18" t="s">
        <v>30</v>
      </c>
      <c r="D290" s="18" t="s">
        <v>8</v>
      </c>
      <c r="E290" s="9">
        <v>1.0</v>
      </c>
    </row>
    <row r="291">
      <c r="A291" s="28">
        <v>290.0</v>
      </c>
      <c r="B291" s="29" t="s">
        <v>213</v>
      </c>
      <c r="C291" s="18" t="s">
        <v>25</v>
      </c>
      <c r="D291" s="18" t="s">
        <v>8</v>
      </c>
      <c r="E291" s="9">
        <v>1.0</v>
      </c>
    </row>
    <row r="292">
      <c r="A292" s="28">
        <v>291.0</v>
      </c>
      <c r="B292" s="29" t="s">
        <v>206</v>
      </c>
      <c r="C292" s="18" t="s">
        <v>17</v>
      </c>
      <c r="D292" s="18" t="s">
        <v>8</v>
      </c>
      <c r="E292" s="9">
        <v>1.0</v>
      </c>
    </row>
    <row r="293">
      <c r="A293" s="28">
        <v>292.0</v>
      </c>
      <c r="B293" s="29" t="s">
        <v>139</v>
      </c>
      <c r="C293" s="18" t="s">
        <v>824</v>
      </c>
      <c r="D293" s="18" t="s">
        <v>8</v>
      </c>
      <c r="E293" s="9">
        <v>1.0</v>
      </c>
    </row>
    <row r="294">
      <c r="A294" s="28">
        <v>293.0</v>
      </c>
      <c r="B294" s="29" t="s">
        <v>833</v>
      </c>
      <c r="C294" s="18" t="s">
        <v>62</v>
      </c>
      <c r="D294" s="18" t="s">
        <v>8</v>
      </c>
      <c r="E294" s="9">
        <v>1.0</v>
      </c>
    </row>
    <row r="295">
      <c r="A295" s="28">
        <v>294.0</v>
      </c>
      <c r="B295" s="29" t="s">
        <v>220</v>
      </c>
      <c r="C295" s="18" t="s">
        <v>89</v>
      </c>
      <c r="D295" s="18" t="s">
        <v>8</v>
      </c>
      <c r="E295" s="9">
        <v>1.0</v>
      </c>
    </row>
    <row r="296">
      <c r="A296" s="28">
        <v>295.0</v>
      </c>
      <c r="B296" s="29" t="s">
        <v>216</v>
      </c>
      <c r="C296" s="18" t="s">
        <v>81</v>
      </c>
      <c r="D296" s="18" t="s">
        <v>8</v>
      </c>
      <c r="E296" s="9">
        <v>1.0</v>
      </c>
    </row>
    <row r="297">
      <c r="A297" s="28">
        <v>296.0</v>
      </c>
      <c r="B297" s="29" t="s">
        <v>163</v>
      </c>
      <c r="C297" s="18" t="s">
        <v>39</v>
      </c>
      <c r="D297" s="18" t="s">
        <v>8</v>
      </c>
      <c r="E297" s="9">
        <v>1.0</v>
      </c>
    </row>
    <row r="298">
      <c r="A298" s="28">
        <v>297.0</v>
      </c>
      <c r="B298" s="29" t="s">
        <v>832</v>
      </c>
      <c r="C298" s="18" t="s">
        <v>73</v>
      </c>
      <c r="D298" s="18" t="s">
        <v>8</v>
      </c>
      <c r="E298" s="9">
        <v>1.0</v>
      </c>
    </row>
    <row r="299">
      <c r="A299" s="28">
        <v>298.0</v>
      </c>
      <c r="B299" s="29" t="s">
        <v>231</v>
      </c>
      <c r="C299" s="18" t="s">
        <v>21</v>
      </c>
      <c r="D299" s="18" t="s">
        <v>8</v>
      </c>
      <c r="E299" s="9">
        <v>1.0</v>
      </c>
    </row>
    <row r="300">
      <c r="A300" s="28">
        <v>299.0</v>
      </c>
      <c r="B300" s="29" t="s">
        <v>222</v>
      </c>
      <c r="C300" s="18" t="s">
        <v>55</v>
      </c>
      <c r="D300" s="18" t="s">
        <v>8</v>
      </c>
      <c r="E300" s="9">
        <v>1.0</v>
      </c>
    </row>
    <row r="301">
      <c r="A301" s="28">
        <v>300.0</v>
      </c>
      <c r="B301" s="29" t="s">
        <v>226</v>
      </c>
      <c r="C301" s="18" t="s">
        <v>53</v>
      </c>
      <c r="D301" s="18" t="s">
        <v>8</v>
      </c>
      <c r="E301" s="9">
        <v>1.0</v>
      </c>
    </row>
    <row r="302">
      <c r="A302" s="28">
        <v>301.0</v>
      </c>
      <c r="B302" s="29" t="s">
        <v>210</v>
      </c>
      <c r="C302" s="18" t="s">
        <v>89</v>
      </c>
      <c r="D302" s="18" t="s">
        <v>8</v>
      </c>
      <c r="E302" s="9">
        <v>1.0</v>
      </c>
    </row>
    <row r="303">
      <c r="A303" s="28">
        <v>302.0</v>
      </c>
      <c r="B303" s="29" t="s">
        <v>164</v>
      </c>
      <c r="C303" s="18" t="s">
        <v>81</v>
      </c>
      <c r="D303" s="18" t="s">
        <v>8</v>
      </c>
      <c r="E303" s="9">
        <v>1.0</v>
      </c>
    </row>
    <row r="304">
      <c r="A304" s="28">
        <v>303.0</v>
      </c>
      <c r="B304" s="29" t="s">
        <v>227</v>
      </c>
      <c r="C304" s="18" t="s">
        <v>64</v>
      </c>
      <c r="D304" s="18" t="s">
        <v>8</v>
      </c>
      <c r="E304" s="9">
        <v>1.0</v>
      </c>
    </row>
    <row r="305">
      <c r="A305" s="28">
        <v>304.0</v>
      </c>
      <c r="B305" s="29" t="s">
        <v>238</v>
      </c>
      <c r="C305" s="18" t="s">
        <v>28</v>
      </c>
      <c r="D305" s="18" t="s">
        <v>8</v>
      </c>
      <c r="E305" s="9">
        <v>1.0</v>
      </c>
    </row>
    <row r="306">
      <c r="A306" s="28">
        <v>305.0</v>
      </c>
      <c r="B306" s="29" t="s">
        <v>211</v>
      </c>
      <c r="C306" s="18" t="s">
        <v>39</v>
      </c>
      <c r="D306" s="18" t="s">
        <v>8</v>
      </c>
      <c r="E306" s="9">
        <v>1.0</v>
      </c>
    </row>
    <row r="307">
      <c r="A307" s="28">
        <v>306.0</v>
      </c>
      <c r="B307" s="29" t="s">
        <v>233</v>
      </c>
      <c r="C307" s="18" t="s">
        <v>28</v>
      </c>
      <c r="D307" s="18" t="s">
        <v>8</v>
      </c>
      <c r="E307" s="9">
        <v>1.0</v>
      </c>
    </row>
    <row r="308">
      <c r="A308" s="28">
        <v>307.0</v>
      </c>
      <c r="B308" s="29" t="s">
        <v>209</v>
      </c>
      <c r="C308" s="18" t="s">
        <v>62</v>
      </c>
      <c r="D308" s="18" t="s">
        <v>8</v>
      </c>
      <c r="E308" s="9">
        <v>1.0</v>
      </c>
    </row>
    <row r="309">
      <c r="A309" s="28">
        <v>308.0</v>
      </c>
      <c r="B309" s="29" t="s">
        <v>230</v>
      </c>
      <c r="C309" s="18" t="s">
        <v>19</v>
      </c>
      <c r="D309" s="18" t="s">
        <v>8</v>
      </c>
      <c r="E309" s="9">
        <v>1.0</v>
      </c>
    </row>
    <row r="310">
      <c r="A310" s="28">
        <v>309.0</v>
      </c>
      <c r="B310" s="29" t="s">
        <v>243</v>
      </c>
      <c r="C310" s="18" t="s">
        <v>58</v>
      </c>
      <c r="D310" s="18" t="s">
        <v>8</v>
      </c>
      <c r="E310" s="9">
        <v>1.0</v>
      </c>
    </row>
    <row r="311">
      <c r="A311" s="28">
        <v>310.0</v>
      </c>
      <c r="B311" s="29" t="s">
        <v>346</v>
      </c>
      <c r="C311" s="18" t="s">
        <v>66</v>
      </c>
      <c r="D311" s="18" t="s">
        <v>8</v>
      </c>
      <c r="E311" s="9">
        <v>1.0</v>
      </c>
    </row>
    <row r="312">
      <c r="A312" s="28">
        <v>311.0</v>
      </c>
      <c r="B312" s="29" t="s">
        <v>235</v>
      </c>
      <c r="C312" s="18" t="s">
        <v>45</v>
      </c>
      <c r="D312" s="18" t="s">
        <v>8</v>
      </c>
      <c r="E312" s="9">
        <v>1.0</v>
      </c>
    </row>
    <row r="313">
      <c r="A313" s="28">
        <v>312.0</v>
      </c>
      <c r="B313" s="29" t="s">
        <v>345</v>
      </c>
      <c r="C313" s="18" t="s">
        <v>28</v>
      </c>
      <c r="D313" s="18" t="s">
        <v>8</v>
      </c>
      <c r="E313" s="9">
        <v>1.0</v>
      </c>
    </row>
    <row r="314">
      <c r="A314" s="28">
        <v>313.0</v>
      </c>
      <c r="B314" s="29" t="s">
        <v>225</v>
      </c>
      <c r="C314" s="18" t="s">
        <v>25</v>
      </c>
      <c r="D314" s="18" t="s">
        <v>8</v>
      </c>
      <c r="E314" s="9">
        <v>1.0</v>
      </c>
    </row>
    <row r="315">
      <c r="A315" s="28">
        <v>314.0</v>
      </c>
      <c r="B315" s="29" t="s">
        <v>236</v>
      </c>
      <c r="C315" s="18" t="s">
        <v>23</v>
      </c>
      <c r="D315" s="18" t="s">
        <v>8</v>
      </c>
      <c r="E315" s="9">
        <v>1.0</v>
      </c>
    </row>
    <row r="316">
      <c r="A316" s="28">
        <v>315.0</v>
      </c>
      <c r="B316" s="29" t="s">
        <v>357</v>
      </c>
      <c r="C316" s="18" t="s">
        <v>58</v>
      </c>
      <c r="D316" s="18" t="s">
        <v>8</v>
      </c>
      <c r="E316" s="9">
        <v>1.0</v>
      </c>
    </row>
    <row r="317">
      <c r="A317" s="28">
        <v>316.0</v>
      </c>
      <c r="B317" s="29" t="s">
        <v>348</v>
      </c>
      <c r="C317" s="18" t="s">
        <v>62</v>
      </c>
      <c r="D317" s="18" t="s">
        <v>8</v>
      </c>
      <c r="E317" s="9">
        <v>1.0</v>
      </c>
    </row>
    <row r="318">
      <c r="A318" s="28">
        <v>317.0</v>
      </c>
      <c r="B318" s="29" t="s">
        <v>280</v>
      </c>
      <c r="C318" s="18" t="s">
        <v>41</v>
      </c>
      <c r="D318" s="18" t="s">
        <v>77</v>
      </c>
      <c r="E318" s="9">
        <v>1.0</v>
      </c>
    </row>
    <row r="319">
      <c r="A319" s="28">
        <v>318.0</v>
      </c>
      <c r="B319" s="29" t="s">
        <v>279</v>
      </c>
      <c r="C319" s="18" t="s">
        <v>21</v>
      </c>
      <c r="D319" s="18" t="s">
        <v>77</v>
      </c>
      <c r="E319" s="9">
        <v>1.0</v>
      </c>
    </row>
    <row r="320">
      <c r="A320" s="28">
        <v>319.0</v>
      </c>
      <c r="B320" s="29" t="s">
        <v>277</v>
      </c>
      <c r="C320" s="18" t="s">
        <v>73</v>
      </c>
      <c r="D320" s="18" t="s">
        <v>77</v>
      </c>
      <c r="E320" s="9">
        <v>1.0</v>
      </c>
    </row>
    <row r="321">
      <c r="A321" s="28">
        <v>320.0</v>
      </c>
      <c r="B321" s="29" t="s">
        <v>472</v>
      </c>
      <c r="C321" s="18" t="s">
        <v>23</v>
      </c>
      <c r="D321" s="18" t="s">
        <v>77</v>
      </c>
      <c r="E321" s="9">
        <v>1.0</v>
      </c>
    </row>
    <row r="322">
      <c r="A322" s="28">
        <v>321.0</v>
      </c>
      <c r="B322" s="29" t="s">
        <v>283</v>
      </c>
      <c r="C322" s="18" t="s">
        <v>35</v>
      </c>
      <c r="D322" s="18" t="s">
        <v>77</v>
      </c>
      <c r="E322" s="9">
        <v>1.0</v>
      </c>
    </row>
    <row r="323">
      <c r="A323" s="28">
        <v>322.0</v>
      </c>
      <c r="B323" s="29" t="s">
        <v>278</v>
      </c>
      <c r="C323" s="18" t="s">
        <v>69</v>
      </c>
      <c r="D323" s="18" t="s">
        <v>77</v>
      </c>
      <c r="E323" s="9">
        <v>1.0</v>
      </c>
    </row>
    <row r="324">
      <c r="A324" s="28">
        <v>323.0</v>
      </c>
      <c r="B324" s="29" t="s">
        <v>284</v>
      </c>
      <c r="C324" s="18" t="s">
        <v>10</v>
      </c>
      <c r="D324" s="18" t="s">
        <v>77</v>
      </c>
      <c r="E324" s="9">
        <v>1.0</v>
      </c>
    </row>
    <row r="325">
      <c r="A325" s="28">
        <v>324.0</v>
      </c>
      <c r="B325" s="29" t="s">
        <v>286</v>
      </c>
      <c r="C325" s="18" t="s">
        <v>89</v>
      </c>
      <c r="D325" s="18" t="s">
        <v>77</v>
      </c>
      <c r="E325" s="9">
        <v>1.0</v>
      </c>
    </row>
    <row r="326">
      <c r="A326" s="28">
        <v>325.0</v>
      </c>
      <c r="B326" s="29" t="s">
        <v>293</v>
      </c>
      <c r="C326" s="18" t="s">
        <v>85</v>
      </c>
      <c r="D326" s="18" t="s">
        <v>77</v>
      </c>
      <c r="E326" s="9">
        <v>1.0</v>
      </c>
    </row>
    <row r="327">
      <c r="A327" s="28">
        <v>326.0</v>
      </c>
      <c r="B327" s="29" t="s">
        <v>285</v>
      </c>
      <c r="C327" s="18" t="s">
        <v>81</v>
      </c>
      <c r="D327" s="18" t="s">
        <v>77</v>
      </c>
      <c r="E327" s="9">
        <v>1.0</v>
      </c>
    </row>
    <row r="328">
      <c r="A328" s="28">
        <v>327.0</v>
      </c>
      <c r="B328" s="29" t="s">
        <v>274</v>
      </c>
      <c r="C328" s="18" t="s">
        <v>66</v>
      </c>
      <c r="D328" s="18" t="s">
        <v>77</v>
      </c>
      <c r="E328" s="9">
        <v>1.0</v>
      </c>
    </row>
    <row r="329">
      <c r="A329" s="28">
        <v>328.0</v>
      </c>
      <c r="B329" s="29" t="s">
        <v>287</v>
      </c>
      <c r="C329" s="18" t="s">
        <v>23</v>
      </c>
      <c r="D329" s="18" t="s">
        <v>77</v>
      </c>
      <c r="E329" s="9">
        <v>1.0</v>
      </c>
    </row>
    <row r="330">
      <c r="A330" s="28">
        <v>329.0</v>
      </c>
      <c r="B330" s="29" t="s">
        <v>290</v>
      </c>
      <c r="C330" s="18" t="s">
        <v>66</v>
      </c>
      <c r="D330" s="18" t="s">
        <v>77</v>
      </c>
      <c r="E330" s="9">
        <v>1.0</v>
      </c>
    </row>
    <row r="331">
      <c r="A331" s="31"/>
    </row>
    <row r="332">
      <c r="A332" s="31"/>
    </row>
    <row r="333">
      <c r="A333" s="31"/>
    </row>
    <row r="334">
      <c r="A334" s="31"/>
    </row>
    <row r="335">
      <c r="A335" s="31"/>
    </row>
    <row r="336">
      <c r="A336" s="31"/>
    </row>
    <row r="337">
      <c r="A337" s="31"/>
    </row>
    <row r="338">
      <c r="A338" s="31"/>
    </row>
    <row r="339">
      <c r="A339" s="31"/>
    </row>
    <row r="340">
      <c r="A340" s="31"/>
    </row>
    <row r="341">
      <c r="A341" s="31"/>
    </row>
    <row r="342">
      <c r="A342" s="31"/>
    </row>
    <row r="343">
      <c r="A343" s="31"/>
    </row>
    <row r="344">
      <c r="A344" s="31"/>
    </row>
    <row r="345">
      <c r="A345" s="31"/>
    </row>
    <row r="346">
      <c r="A346" s="31"/>
    </row>
    <row r="347">
      <c r="A347" s="31"/>
    </row>
    <row r="348">
      <c r="A348" s="31"/>
    </row>
    <row r="349">
      <c r="A349" s="31"/>
    </row>
    <row r="350">
      <c r="A350" s="31"/>
    </row>
    <row r="351">
      <c r="A351" s="31"/>
    </row>
    <row r="352">
      <c r="A352" s="31"/>
    </row>
    <row r="353">
      <c r="A353" s="31"/>
    </row>
    <row r="354">
      <c r="A354" s="31"/>
    </row>
    <row r="355">
      <c r="A355" s="31"/>
    </row>
    <row r="356">
      <c r="A356" s="31"/>
    </row>
    <row r="357">
      <c r="A357" s="31"/>
    </row>
    <row r="358">
      <c r="A358" s="31"/>
    </row>
    <row r="359">
      <c r="A359" s="31"/>
    </row>
    <row r="360">
      <c r="A360" s="31"/>
    </row>
    <row r="361">
      <c r="A361" s="31"/>
    </row>
    <row r="362">
      <c r="A362" s="31"/>
    </row>
    <row r="363">
      <c r="A363" s="31"/>
    </row>
    <row r="364">
      <c r="A364" s="31"/>
    </row>
    <row r="365">
      <c r="A365" s="31"/>
    </row>
    <row r="366">
      <c r="A366" s="31"/>
    </row>
    <row r="367">
      <c r="A367" s="31"/>
    </row>
    <row r="368">
      <c r="A368" s="31"/>
    </row>
    <row r="369">
      <c r="A369" s="31"/>
    </row>
    <row r="370">
      <c r="A370" s="31"/>
    </row>
    <row r="371">
      <c r="A371" s="31"/>
    </row>
    <row r="372">
      <c r="A372" s="31"/>
    </row>
    <row r="373">
      <c r="A373" s="31"/>
    </row>
    <row r="374">
      <c r="A374" s="31"/>
    </row>
    <row r="375">
      <c r="A375" s="31"/>
    </row>
    <row r="376">
      <c r="A376" s="31"/>
    </row>
    <row r="377">
      <c r="A377" s="31"/>
    </row>
    <row r="378">
      <c r="A378" s="31"/>
    </row>
    <row r="379">
      <c r="A379" s="31"/>
    </row>
    <row r="380">
      <c r="A380" s="31"/>
    </row>
    <row r="381">
      <c r="A381" s="31"/>
    </row>
    <row r="382">
      <c r="A382" s="31"/>
    </row>
    <row r="383">
      <c r="A383" s="31"/>
    </row>
    <row r="384">
      <c r="A384" s="31"/>
    </row>
    <row r="385">
      <c r="A385" s="31"/>
    </row>
    <row r="386">
      <c r="A386" s="31"/>
    </row>
    <row r="387">
      <c r="A387" s="31"/>
    </row>
    <row r="388">
      <c r="A388" s="31"/>
    </row>
    <row r="389">
      <c r="A389" s="31"/>
    </row>
    <row r="390">
      <c r="A390" s="31"/>
    </row>
    <row r="391">
      <c r="A391" s="31"/>
    </row>
    <row r="392">
      <c r="A392" s="31"/>
    </row>
    <row r="393">
      <c r="A393" s="31"/>
    </row>
    <row r="394">
      <c r="A394" s="31"/>
    </row>
    <row r="395">
      <c r="A395" s="31"/>
    </row>
    <row r="396">
      <c r="A396" s="31"/>
    </row>
    <row r="397">
      <c r="A397" s="31"/>
    </row>
    <row r="398">
      <c r="A398" s="31"/>
    </row>
    <row r="399">
      <c r="A399" s="31"/>
    </row>
    <row r="400">
      <c r="A400" s="31"/>
    </row>
    <row r="401">
      <c r="A401" s="31"/>
    </row>
    <row r="402">
      <c r="A402" s="31"/>
    </row>
    <row r="403">
      <c r="A403" s="31"/>
    </row>
    <row r="404">
      <c r="A404" s="31"/>
    </row>
    <row r="405">
      <c r="A405" s="31"/>
    </row>
    <row r="406">
      <c r="A406" s="31"/>
    </row>
    <row r="407">
      <c r="A407" s="31"/>
    </row>
    <row r="408">
      <c r="A408" s="31"/>
    </row>
    <row r="409">
      <c r="A409" s="31"/>
    </row>
    <row r="410">
      <c r="A410" s="31"/>
    </row>
    <row r="411">
      <c r="A411" s="31"/>
    </row>
    <row r="412">
      <c r="A412" s="31"/>
    </row>
    <row r="413">
      <c r="A413" s="31"/>
    </row>
    <row r="414">
      <c r="A414" s="31"/>
    </row>
    <row r="415">
      <c r="A415" s="31"/>
    </row>
    <row r="416">
      <c r="A416" s="31"/>
    </row>
    <row r="417">
      <c r="A417" s="31"/>
    </row>
    <row r="418">
      <c r="A418" s="31"/>
    </row>
    <row r="419">
      <c r="A419" s="31"/>
    </row>
    <row r="420">
      <c r="A420" s="31"/>
    </row>
    <row r="421">
      <c r="A421" s="31"/>
    </row>
    <row r="422">
      <c r="A422" s="31"/>
    </row>
    <row r="423">
      <c r="A423" s="31"/>
    </row>
    <row r="424">
      <c r="A424" s="31"/>
    </row>
    <row r="425">
      <c r="A425" s="31"/>
    </row>
    <row r="426">
      <c r="A426" s="31"/>
    </row>
    <row r="427">
      <c r="A427" s="31"/>
    </row>
    <row r="428">
      <c r="A428" s="31"/>
    </row>
    <row r="429">
      <c r="A429" s="31"/>
    </row>
    <row r="430">
      <c r="A430" s="31"/>
    </row>
    <row r="431">
      <c r="A431" s="31"/>
    </row>
    <row r="432">
      <c r="A432" s="31"/>
    </row>
    <row r="433">
      <c r="A433" s="31"/>
    </row>
    <row r="434">
      <c r="A434" s="31"/>
    </row>
    <row r="435">
      <c r="A435" s="31"/>
    </row>
    <row r="436">
      <c r="A436" s="31"/>
    </row>
    <row r="437">
      <c r="A437" s="31"/>
    </row>
    <row r="438">
      <c r="A438" s="31"/>
    </row>
    <row r="439">
      <c r="A439" s="31"/>
    </row>
    <row r="440">
      <c r="A440" s="31"/>
    </row>
    <row r="441">
      <c r="A441" s="31"/>
    </row>
    <row r="442">
      <c r="A442" s="31"/>
    </row>
    <row r="443">
      <c r="A443" s="31"/>
    </row>
    <row r="444">
      <c r="A444" s="31"/>
    </row>
    <row r="445">
      <c r="A445" s="31"/>
    </row>
    <row r="446">
      <c r="A446" s="31"/>
    </row>
    <row r="447">
      <c r="A447" s="31"/>
    </row>
    <row r="448">
      <c r="A448" s="31"/>
    </row>
    <row r="449">
      <c r="A449" s="31"/>
    </row>
    <row r="450">
      <c r="A450" s="31"/>
    </row>
    <row r="451">
      <c r="A451" s="31"/>
    </row>
    <row r="452">
      <c r="A452" s="31"/>
    </row>
    <row r="453">
      <c r="A453" s="31"/>
    </row>
    <row r="454">
      <c r="A454" s="31"/>
    </row>
    <row r="455">
      <c r="A455" s="31"/>
    </row>
    <row r="456">
      <c r="A456" s="31"/>
    </row>
    <row r="457">
      <c r="A457" s="31"/>
    </row>
    <row r="458">
      <c r="A458" s="31"/>
    </row>
    <row r="459">
      <c r="A459" s="31"/>
    </row>
    <row r="460">
      <c r="A460" s="31"/>
    </row>
    <row r="461">
      <c r="A461" s="31"/>
    </row>
    <row r="462">
      <c r="A462" s="31"/>
    </row>
    <row r="463">
      <c r="A463" s="31"/>
    </row>
    <row r="464">
      <c r="A464" s="31"/>
    </row>
    <row r="465">
      <c r="A465" s="31"/>
    </row>
    <row r="466">
      <c r="A466" s="31"/>
    </row>
    <row r="467">
      <c r="A467" s="31"/>
    </row>
    <row r="468">
      <c r="A468" s="31"/>
    </row>
    <row r="469">
      <c r="A469" s="31"/>
    </row>
    <row r="470">
      <c r="A470" s="31"/>
    </row>
    <row r="471">
      <c r="A471" s="31"/>
    </row>
    <row r="472">
      <c r="A472" s="31"/>
    </row>
    <row r="473">
      <c r="A473" s="31"/>
    </row>
    <row r="474">
      <c r="A474" s="31"/>
    </row>
    <row r="475">
      <c r="A475" s="31"/>
    </row>
    <row r="476">
      <c r="A476" s="31"/>
    </row>
    <row r="477">
      <c r="A477" s="31"/>
    </row>
    <row r="478">
      <c r="A478" s="31"/>
    </row>
    <row r="479">
      <c r="A479" s="31"/>
    </row>
    <row r="480">
      <c r="A480" s="31"/>
    </row>
    <row r="481">
      <c r="A481" s="31"/>
    </row>
    <row r="482">
      <c r="A482" s="31"/>
    </row>
    <row r="483">
      <c r="A483" s="31"/>
    </row>
    <row r="484">
      <c r="A484" s="31"/>
    </row>
    <row r="485">
      <c r="A485" s="31"/>
    </row>
    <row r="486">
      <c r="A486" s="31"/>
    </row>
    <row r="487">
      <c r="A487" s="31"/>
    </row>
    <row r="488">
      <c r="A488" s="31"/>
    </row>
    <row r="489">
      <c r="A489" s="31"/>
    </row>
    <row r="490">
      <c r="A490" s="31"/>
    </row>
    <row r="491">
      <c r="A491" s="31"/>
    </row>
    <row r="492">
      <c r="A492" s="31"/>
    </row>
    <row r="493">
      <c r="A493" s="31"/>
    </row>
    <row r="494">
      <c r="A494" s="31"/>
    </row>
    <row r="495">
      <c r="A495" s="31"/>
    </row>
    <row r="496">
      <c r="A496" s="31"/>
    </row>
    <row r="497">
      <c r="A497" s="31"/>
    </row>
    <row r="498">
      <c r="A498" s="31"/>
    </row>
    <row r="499">
      <c r="A499" s="31"/>
    </row>
    <row r="500">
      <c r="A500" s="31"/>
    </row>
    <row r="501">
      <c r="A501" s="31"/>
    </row>
    <row r="502">
      <c r="A502" s="31"/>
    </row>
    <row r="503">
      <c r="A503" s="31"/>
    </row>
    <row r="504">
      <c r="A504" s="31"/>
    </row>
    <row r="505">
      <c r="A505" s="31"/>
    </row>
    <row r="506">
      <c r="A506" s="31"/>
    </row>
    <row r="507">
      <c r="A507" s="31"/>
    </row>
    <row r="508">
      <c r="A508" s="31"/>
    </row>
    <row r="509">
      <c r="A509" s="31"/>
    </row>
    <row r="510">
      <c r="A510" s="31"/>
    </row>
    <row r="511">
      <c r="A511" s="31"/>
    </row>
    <row r="512">
      <c r="A512" s="31"/>
    </row>
    <row r="513">
      <c r="A513" s="31"/>
    </row>
    <row r="514">
      <c r="A514" s="31"/>
    </row>
    <row r="515">
      <c r="A515" s="31"/>
    </row>
    <row r="516">
      <c r="A516" s="31"/>
    </row>
    <row r="517">
      <c r="A517" s="31"/>
    </row>
    <row r="518">
      <c r="A518" s="31"/>
    </row>
    <row r="519">
      <c r="A519" s="31"/>
    </row>
    <row r="520">
      <c r="A520" s="31"/>
    </row>
    <row r="521">
      <c r="A521" s="31"/>
    </row>
    <row r="522">
      <c r="A522" s="31"/>
    </row>
    <row r="523">
      <c r="A523" s="31"/>
    </row>
    <row r="524">
      <c r="A524" s="31"/>
    </row>
    <row r="525">
      <c r="A525" s="31"/>
    </row>
    <row r="526">
      <c r="A526" s="31"/>
    </row>
    <row r="527">
      <c r="A527" s="31"/>
    </row>
    <row r="528">
      <c r="A528" s="31"/>
    </row>
    <row r="529">
      <c r="A529" s="31"/>
    </row>
    <row r="530">
      <c r="A530" s="31"/>
    </row>
    <row r="531">
      <c r="A531" s="31"/>
    </row>
    <row r="532">
      <c r="A532" s="31"/>
    </row>
    <row r="533">
      <c r="A533" s="31"/>
    </row>
    <row r="534">
      <c r="A534" s="31"/>
    </row>
    <row r="535">
      <c r="A535" s="31"/>
    </row>
    <row r="536">
      <c r="A536" s="31"/>
    </row>
    <row r="537">
      <c r="A537" s="31"/>
    </row>
    <row r="538">
      <c r="A538" s="31"/>
    </row>
    <row r="539">
      <c r="A539" s="31"/>
    </row>
    <row r="540">
      <c r="A540" s="31"/>
    </row>
    <row r="541">
      <c r="A541" s="31"/>
    </row>
    <row r="542">
      <c r="A542" s="31"/>
    </row>
    <row r="543">
      <c r="A543" s="31"/>
    </row>
    <row r="544">
      <c r="A544" s="31"/>
    </row>
    <row r="545">
      <c r="A545" s="31"/>
    </row>
    <row r="546">
      <c r="A546" s="31"/>
    </row>
    <row r="547">
      <c r="A547" s="31"/>
    </row>
    <row r="548">
      <c r="A548" s="31"/>
    </row>
    <row r="549">
      <c r="A549" s="31"/>
    </row>
    <row r="550">
      <c r="A550" s="31"/>
    </row>
    <row r="551">
      <c r="A551" s="31"/>
    </row>
    <row r="552">
      <c r="A552" s="31"/>
    </row>
    <row r="553">
      <c r="A553" s="31"/>
    </row>
    <row r="554">
      <c r="A554" s="31"/>
    </row>
    <row r="555">
      <c r="A555" s="31"/>
    </row>
    <row r="556">
      <c r="A556" s="31"/>
    </row>
    <row r="557">
      <c r="A557" s="31"/>
    </row>
    <row r="558">
      <c r="A558" s="31"/>
    </row>
    <row r="559">
      <c r="A559" s="31"/>
    </row>
    <row r="560">
      <c r="A560" s="31"/>
    </row>
    <row r="561">
      <c r="A561" s="31"/>
    </row>
    <row r="562">
      <c r="A562" s="31"/>
    </row>
    <row r="563">
      <c r="A563" s="31"/>
    </row>
    <row r="564">
      <c r="A564" s="31"/>
    </row>
    <row r="565">
      <c r="A565" s="31"/>
    </row>
    <row r="566">
      <c r="A566" s="31"/>
    </row>
    <row r="567">
      <c r="A567" s="31"/>
    </row>
    <row r="568">
      <c r="A568" s="31"/>
    </row>
    <row r="569">
      <c r="A569" s="31"/>
    </row>
    <row r="570">
      <c r="A570" s="31"/>
    </row>
    <row r="571">
      <c r="A571" s="31"/>
    </row>
    <row r="572">
      <c r="A572" s="31"/>
    </row>
    <row r="573">
      <c r="A573" s="31"/>
    </row>
    <row r="574">
      <c r="A574" s="31"/>
    </row>
    <row r="575">
      <c r="A575" s="31"/>
    </row>
    <row r="576">
      <c r="A576" s="31"/>
    </row>
    <row r="577">
      <c r="A577" s="31"/>
    </row>
    <row r="578">
      <c r="A578" s="31"/>
    </row>
    <row r="579">
      <c r="A579" s="31"/>
    </row>
    <row r="580">
      <c r="A580" s="31"/>
    </row>
    <row r="581">
      <c r="A581" s="31"/>
    </row>
    <row r="582">
      <c r="A582" s="31"/>
    </row>
    <row r="583">
      <c r="A583" s="31"/>
    </row>
    <row r="584">
      <c r="A584" s="31"/>
    </row>
    <row r="585">
      <c r="A585" s="31"/>
    </row>
    <row r="586">
      <c r="A586" s="31"/>
    </row>
    <row r="587">
      <c r="A587" s="31"/>
    </row>
    <row r="588">
      <c r="A588" s="31"/>
    </row>
    <row r="589">
      <c r="A589" s="31"/>
    </row>
    <row r="590">
      <c r="A590" s="31"/>
    </row>
    <row r="591">
      <c r="A591" s="31"/>
    </row>
    <row r="592">
      <c r="A592" s="31"/>
    </row>
    <row r="593">
      <c r="A593" s="31"/>
    </row>
    <row r="594">
      <c r="A594" s="31"/>
    </row>
    <row r="595">
      <c r="A595" s="31"/>
    </row>
    <row r="596">
      <c r="A596" s="31"/>
    </row>
    <row r="597">
      <c r="A597" s="31"/>
    </row>
    <row r="598">
      <c r="A598" s="31"/>
    </row>
    <row r="599">
      <c r="A599" s="31"/>
    </row>
    <row r="600">
      <c r="A600" s="31"/>
    </row>
    <row r="601">
      <c r="A601" s="31"/>
    </row>
    <row r="602">
      <c r="A602" s="31"/>
    </row>
    <row r="603">
      <c r="A603" s="31"/>
    </row>
    <row r="604">
      <c r="A604" s="31"/>
    </row>
    <row r="605">
      <c r="A605" s="31"/>
    </row>
    <row r="606">
      <c r="A606" s="31"/>
    </row>
    <row r="607">
      <c r="A607" s="31"/>
    </row>
    <row r="608">
      <c r="A608" s="31"/>
    </row>
    <row r="609">
      <c r="A609" s="31"/>
    </row>
    <row r="610">
      <c r="A610" s="31"/>
    </row>
    <row r="611">
      <c r="A611" s="31"/>
    </row>
    <row r="612">
      <c r="A612" s="31"/>
    </row>
    <row r="613">
      <c r="A613" s="31"/>
    </row>
    <row r="614">
      <c r="A614" s="31"/>
    </row>
    <row r="615">
      <c r="A615" s="31"/>
    </row>
    <row r="616">
      <c r="A616" s="31"/>
    </row>
    <row r="617">
      <c r="A617" s="31"/>
    </row>
    <row r="618">
      <c r="A618" s="31"/>
    </row>
    <row r="619">
      <c r="A619" s="31"/>
    </row>
    <row r="620">
      <c r="A620" s="31"/>
    </row>
    <row r="621">
      <c r="A621" s="31"/>
    </row>
    <row r="622">
      <c r="A622" s="31"/>
    </row>
    <row r="623">
      <c r="A623" s="31"/>
    </row>
    <row r="624">
      <c r="A624" s="31"/>
    </row>
    <row r="625">
      <c r="A625" s="31"/>
    </row>
    <row r="626">
      <c r="A626" s="31"/>
    </row>
    <row r="627">
      <c r="A627" s="31"/>
    </row>
    <row r="628">
      <c r="A628" s="31"/>
    </row>
    <row r="629">
      <c r="A629" s="31"/>
    </row>
    <row r="630">
      <c r="A630" s="31"/>
    </row>
    <row r="631">
      <c r="A631" s="31"/>
    </row>
    <row r="632">
      <c r="A632" s="31"/>
    </row>
    <row r="633">
      <c r="A633" s="31"/>
    </row>
    <row r="634">
      <c r="A634" s="31"/>
    </row>
    <row r="635">
      <c r="A635" s="31"/>
    </row>
    <row r="636">
      <c r="A636" s="31"/>
    </row>
    <row r="637">
      <c r="A637" s="31"/>
    </row>
    <row r="638">
      <c r="A638" s="31"/>
    </row>
    <row r="639">
      <c r="A639" s="31"/>
    </row>
    <row r="640">
      <c r="A640" s="31"/>
    </row>
    <row r="641">
      <c r="A641" s="31"/>
    </row>
    <row r="642">
      <c r="A642" s="31"/>
    </row>
    <row r="643">
      <c r="A643" s="31"/>
    </row>
    <row r="644">
      <c r="A644" s="31"/>
    </row>
    <row r="645">
      <c r="A645" s="31"/>
    </row>
    <row r="646">
      <c r="A646" s="31"/>
    </row>
    <row r="647">
      <c r="A647" s="31"/>
    </row>
    <row r="648">
      <c r="A648" s="31"/>
    </row>
    <row r="649">
      <c r="A649" s="31"/>
    </row>
    <row r="650">
      <c r="A650" s="31"/>
    </row>
    <row r="651">
      <c r="A651" s="31"/>
    </row>
    <row r="652">
      <c r="A652" s="31"/>
    </row>
    <row r="653">
      <c r="A653" s="31"/>
    </row>
    <row r="654">
      <c r="A654" s="31"/>
    </row>
    <row r="655">
      <c r="A655" s="31"/>
    </row>
    <row r="656">
      <c r="A656" s="31"/>
    </row>
    <row r="657">
      <c r="A657" s="31"/>
    </row>
    <row r="658">
      <c r="A658" s="31"/>
    </row>
    <row r="659">
      <c r="A659" s="31"/>
    </row>
    <row r="660">
      <c r="A660" s="31"/>
    </row>
    <row r="661">
      <c r="A661" s="31"/>
    </row>
    <row r="662">
      <c r="A662" s="31"/>
    </row>
    <row r="663">
      <c r="A663" s="31"/>
    </row>
    <row r="664">
      <c r="A664" s="31"/>
    </row>
    <row r="665">
      <c r="A665" s="31"/>
    </row>
    <row r="666">
      <c r="A666" s="31"/>
    </row>
    <row r="667">
      <c r="A667" s="31"/>
    </row>
    <row r="668">
      <c r="A668" s="31"/>
    </row>
    <row r="669">
      <c r="A669" s="31"/>
    </row>
    <row r="670">
      <c r="A670" s="31"/>
    </row>
    <row r="671">
      <c r="A671" s="31"/>
    </row>
    <row r="672">
      <c r="A672" s="31"/>
    </row>
    <row r="673">
      <c r="A673" s="31"/>
    </row>
    <row r="674">
      <c r="A674" s="31"/>
    </row>
    <row r="675">
      <c r="A675" s="31"/>
    </row>
    <row r="676">
      <c r="A676" s="31"/>
    </row>
    <row r="677">
      <c r="A677" s="31"/>
    </row>
    <row r="678">
      <c r="A678" s="31"/>
    </row>
    <row r="679">
      <c r="A679" s="31"/>
    </row>
    <row r="680">
      <c r="A680" s="31"/>
    </row>
    <row r="681">
      <c r="A681" s="31"/>
    </row>
    <row r="682">
      <c r="A682" s="31"/>
    </row>
    <row r="683">
      <c r="A683" s="31"/>
    </row>
    <row r="684">
      <c r="A684" s="31"/>
    </row>
    <row r="685">
      <c r="A685" s="31"/>
    </row>
    <row r="686">
      <c r="A686" s="31"/>
    </row>
    <row r="687">
      <c r="A687" s="31"/>
    </row>
    <row r="688">
      <c r="A688" s="31"/>
    </row>
    <row r="689">
      <c r="A689" s="31"/>
    </row>
    <row r="690">
      <c r="A690" s="31"/>
    </row>
    <row r="691">
      <c r="A691" s="31"/>
    </row>
    <row r="692">
      <c r="A692" s="31"/>
    </row>
    <row r="693">
      <c r="A693" s="31"/>
    </row>
    <row r="694">
      <c r="A694" s="31"/>
    </row>
    <row r="695">
      <c r="A695" s="31"/>
    </row>
    <row r="696">
      <c r="A696" s="31"/>
    </row>
    <row r="697">
      <c r="A697" s="31"/>
    </row>
    <row r="698">
      <c r="A698" s="31"/>
    </row>
    <row r="699">
      <c r="A699" s="31"/>
    </row>
    <row r="700">
      <c r="A700" s="31"/>
    </row>
    <row r="701">
      <c r="A701" s="31"/>
    </row>
    <row r="702">
      <c r="A702" s="31"/>
    </row>
    <row r="703">
      <c r="A703" s="31"/>
    </row>
    <row r="704">
      <c r="A704" s="31"/>
    </row>
    <row r="705">
      <c r="A705" s="31"/>
    </row>
    <row r="706">
      <c r="A706" s="31"/>
    </row>
    <row r="707">
      <c r="A707" s="31"/>
    </row>
    <row r="708">
      <c r="A708" s="31"/>
    </row>
    <row r="709">
      <c r="A709" s="31"/>
    </row>
    <row r="710">
      <c r="A710" s="31"/>
    </row>
    <row r="711">
      <c r="A711" s="31"/>
    </row>
    <row r="712">
      <c r="A712" s="31"/>
    </row>
    <row r="713">
      <c r="A713" s="31"/>
    </row>
    <row r="714">
      <c r="A714" s="31"/>
    </row>
    <row r="715">
      <c r="A715" s="31"/>
    </row>
    <row r="716">
      <c r="A716" s="31"/>
    </row>
    <row r="717">
      <c r="A717" s="31"/>
    </row>
    <row r="718">
      <c r="A718" s="31"/>
    </row>
    <row r="719">
      <c r="A719" s="31"/>
    </row>
    <row r="720">
      <c r="A720" s="31"/>
    </row>
    <row r="721">
      <c r="A721" s="31"/>
    </row>
    <row r="722">
      <c r="A722" s="31"/>
    </row>
    <row r="723">
      <c r="A723" s="31"/>
    </row>
    <row r="724">
      <c r="A724" s="31"/>
    </row>
    <row r="725">
      <c r="A725" s="31"/>
    </row>
    <row r="726">
      <c r="A726" s="31"/>
    </row>
    <row r="727">
      <c r="A727" s="31"/>
    </row>
    <row r="728">
      <c r="A728" s="31"/>
    </row>
    <row r="729">
      <c r="A729" s="31"/>
    </row>
    <row r="730">
      <c r="A730" s="31"/>
    </row>
    <row r="731">
      <c r="A731" s="31"/>
    </row>
    <row r="732">
      <c r="A732" s="31"/>
    </row>
    <row r="733">
      <c r="A733" s="31"/>
    </row>
    <row r="734">
      <c r="A734" s="31"/>
    </row>
    <row r="735">
      <c r="A735" s="31"/>
    </row>
    <row r="736">
      <c r="A736" s="31"/>
    </row>
    <row r="737">
      <c r="A737" s="31"/>
    </row>
    <row r="738">
      <c r="A738" s="31"/>
    </row>
    <row r="739">
      <c r="A739" s="31"/>
    </row>
    <row r="740">
      <c r="A740" s="31"/>
    </row>
    <row r="741">
      <c r="A741" s="31"/>
    </row>
    <row r="742">
      <c r="A742" s="31"/>
    </row>
    <row r="743">
      <c r="A743" s="31"/>
    </row>
    <row r="744">
      <c r="A744" s="31"/>
    </row>
    <row r="745">
      <c r="A745" s="31"/>
    </row>
    <row r="746">
      <c r="A746" s="31"/>
    </row>
    <row r="747">
      <c r="A747" s="31"/>
    </row>
    <row r="748">
      <c r="A748" s="31"/>
    </row>
    <row r="749">
      <c r="A749" s="31"/>
    </row>
    <row r="750">
      <c r="A750" s="31"/>
    </row>
    <row r="751">
      <c r="A751" s="31"/>
    </row>
    <row r="752">
      <c r="A752" s="31"/>
    </row>
    <row r="753">
      <c r="A753" s="31"/>
    </row>
    <row r="754">
      <c r="A754" s="31"/>
    </row>
    <row r="755">
      <c r="A755" s="31"/>
    </row>
    <row r="756">
      <c r="A756" s="31"/>
    </row>
    <row r="757">
      <c r="A757" s="31"/>
    </row>
    <row r="758">
      <c r="A758" s="31"/>
    </row>
    <row r="759">
      <c r="A759" s="31"/>
    </row>
    <row r="760">
      <c r="A760" s="31"/>
    </row>
    <row r="761">
      <c r="A761" s="31"/>
    </row>
    <row r="762">
      <c r="A762" s="31"/>
    </row>
    <row r="763">
      <c r="A763" s="31"/>
    </row>
    <row r="764">
      <c r="A764" s="31"/>
    </row>
    <row r="765">
      <c r="A765" s="31"/>
    </row>
    <row r="766">
      <c r="A766" s="31"/>
    </row>
    <row r="767">
      <c r="A767" s="31"/>
    </row>
    <row r="768">
      <c r="A768" s="31"/>
    </row>
    <row r="769">
      <c r="A769" s="31"/>
    </row>
    <row r="770">
      <c r="A770" s="31"/>
    </row>
    <row r="771">
      <c r="A771" s="31"/>
    </row>
    <row r="772">
      <c r="A772" s="31"/>
    </row>
    <row r="773">
      <c r="A773" s="31"/>
    </row>
    <row r="774">
      <c r="A774" s="31"/>
    </row>
    <row r="775">
      <c r="A775" s="31"/>
    </row>
    <row r="776">
      <c r="A776" s="31"/>
    </row>
    <row r="777">
      <c r="A777" s="31"/>
    </row>
    <row r="778">
      <c r="A778" s="31"/>
    </row>
    <row r="779">
      <c r="A779" s="31"/>
    </row>
    <row r="780">
      <c r="A780" s="31"/>
    </row>
    <row r="781">
      <c r="A781" s="31"/>
    </row>
    <row r="782">
      <c r="A782" s="31"/>
    </row>
    <row r="783">
      <c r="A783" s="31"/>
    </row>
    <row r="784">
      <c r="A784" s="31"/>
    </row>
    <row r="785">
      <c r="A785" s="31"/>
    </row>
    <row r="786">
      <c r="A786" s="31"/>
    </row>
    <row r="787">
      <c r="A787" s="31"/>
    </row>
    <row r="788">
      <c r="A788" s="31"/>
    </row>
    <row r="789">
      <c r="A789" s="31"/>
    </row>
    <row r="790">
      <c r="A790" s="31"/>
    </row>
    <row r="791">
      <c r="A791" s="31"/>
    </row>
    <row r="792">
      <c r="A792" s="31"/>
    </row>
    <row r="793">
      <c r="A793" s="31"/>
    </row>
    <row r="794">
      <c r="A794" s="31"/>
    </row>
    <row r="795">
      <c r="A795" s="31"/>
    </row>
    <row r="796">
      <c r="A796" s="31"/>
    </row>
    <row r="797">
      <c r="A797" s="31"/>
    </row>
    <row r="798">
      <c r="A798" s="31"/>
    </row>
    <row r="799">
      <c r="A799" s="31"/>
    </row>
    <row r="800">
      <c r="A800" s="31"/>
    </row>
    <row r="801">
      <c r="A801" s="31"/>
    </row>
    <row r="802">
      <c r="A802" s="31"/>
    </row>
    <row r="803">
      <c r="A803" s="31"/>
    </row>
    <row r="804">
      <c r="A804" s="31"/>
    </row>
    <row r="805">
      <c r="A805" s="31"/>
    </row>
    <row r="806">
      <c r="A806" s="31"/>
    </row>
    <row r="807">
      <c r="A807" s="31"/>
    </row>
    <row r="808">
      <c r="A808" s="31"/>
    </row>
    <row r="809">
      <c r="A809" s="31"/>
    </row>
    <row r="810">
      <c r="A810" s="31"/>
    </row>
    <row r="811">
      <c r="A811" s="31"/>
    </row>
    <row r="812">
      <c r="A812" s="31"/>
    </row>
    <row r="813">
      <c r="A813" s="31"/>
    </row>
    <row r="814">
      <c r="A814" s="31"/>
    </row>
    <row r="815">
      <c r="A815" s="31"/>
    </row>
    <row r="816">
      <c r="A816" s="31"/>
    </row>
    <row r="817">
      <c r="A817" s="31"/>
    </row>
    <row r="818">
      <c r="A818" s="31"/>
    </row>
    <row r="819">
      <c r="A819" s="31"/>
    </row>
    <row r="820">
      <c r="A820" s="31"/>
    </row>
    <row r="821">
      <c r="A821" s="31"/>
    </row>
    <row r="822">
      <c r="A822" s="31"/>
    </row>
    <row r="823">
      <c r="A823" s="31"/>
    </row>
    <row r="824">
      <c r="A824" s="31"/>
    </row>
    <row r="825">
      <c r="A825" s="31"/>
    </row>
    <row r="826">
      <c r="A826" s="31"/>
    </row>
    <row r="827">
      <c r="A827" s="31"/>
    </row>
    <row r="828">
      <c r="A828" s="31"/>
    </row>
    <row r="829">
      <c r="A829" s="31"/>
    </row>
    <row r="830">
      <c r="A830" s="31"/>
    </row>
    <row r="831">
      <c r="A831" s="31"/>
    </row>
    <row r="832">
      <c r="A832" s="31"/>
    </row>
    <row r="833">
      <c r="A833" s="31"/>
    </row>
    <row r="834">
      <c r="A834" s="31"/>
    </row>
    <row r="835">
      <c r="A835" s="31"/>
    </row>
    <row r="836">
      <c r="A836" s="31"/>
    </row>
    <row r="837">
      <c r="A837" s="31"/>
    </row>
    <row r="838">
      <c r="A838" s="31"/>
    </row>
    <row r="839">
      <c r="A839" s="31"/>
    </row>
    <row r="840">
      <c r="A840" s="31"/>
    </row>
    <row r="841">
      <c r="A841" s="31"/>
    </row>
    <row r="842">
      <c r="A842" s="31"/>
    </row>
    <row r="843">
      <c r="A843" s="31"/>
    </row>
    <row r="844">
      <c r="A844" s="31"/>
    </row>
    <row r="845">
      <c r="A845" s="31"/>
    </row>
    <row r="846">
      <c r="A846" s="31"/>
    </row>
    <row r="847">
      <c r="A847" s="31"/>
    </row>
    <row r="848">
      <c r="A848" s="31"/>
    </row>
    <row r="849">
      <c r="A849" s="31"/>
    </row>
    <row r="850">
      <c r="A850" s="31"/>
    </row>
    <row r="851">
      <c r="A851" s="31"/>
    </row>
    <row r="852">
      <c r="A852" s="31"/>
    </row>
    <row r="853">
      <c r="A853" s="31"/>
    </row>
    <row r="854">
      <c r="A854" s="31"/>
    </row>
    <row r="855">
      <c r="A855" s="31"/>
    </row>
    <row r="856">
      <c r="A856" s="31"/>
    </row>
    <row r="857">
      <c r="A857" s="31"/>
    </row>
    <row r="858">
      <c r="A858" s="31"/>
    </row>
    <row r="859">
      <c r="A859" s="31"/>
    </row>
    <row r="860">
      <c r="A860" s="31"/>
    </row>
    <row r="861">
      <c r="A861" s="31"/>
    </row>
    <row r="862">
      <c r="A862" s="31"/>
    </row>
    <row r="863">
      <c r="A863" s="31"/>
    </row>
    <row r="864">
      <c r="A864" s="31"/>
    </row>
    <row r="865">
      <c r="A865" s="31"/>
    </row>
    <row r="866">
      <c r="A866" s="31"/>
    </row>
    <row r="867">
      <c r="A867" s="31"/>
    </row>
    <row r="868">
      <c r="A868" s="31"/>
    </row>
    <row r="869">
      <c r="A869" s="31"/>
    </row>
    <row r="870">
      <c r="A870" s="31"/>
    </row>
    <row r="871">
      <c r="A871" s="31"/>
    </row>
    <row r="872">
      <c r="A872" s="31"/>
    </row>
    <row r="873">
      <c r="A873" s="31"/>
    </row>
    <row r="874">
      <c r="A874" s="31"/>
    </row>
    <row r="875">
      <c r="A875" s="31"/>
    </row>
    <row r="876">
      <c r="A876" s="31"/>
    </row>
    <row r="877">
      <c r="A877" s="31"/>
    </row>
    <row r="878">
      <c r="A878" s="31"/>
    </row>
    <row r="879">
      <c r="A879" s="31"/>
    </row>
    <row r="880">
      <c r="A880" s="31"/>
    </row>
    <row r="881">
      <c r="A881" s="31"/>
    </row>
    <row r="882">
      <c r="A882" s="31"/>
    </row>
    <row r="883">
      <c r="A883" s="31"/>
    </row>
    <row r="884">
      <c r="A884" s="31"/>
    </row>
    <row r="885">
      <c r="A885" s="31"/>
    </row>
    <row r="886">
      <c r="A886" s="31"/>
    </row>
    <row r="887">
      <c r="A887" s="31"/>
    </row>
    <row r="888">
      <c r="A888" s="31"/>
    </row>
    <row r="889">
      <c r="A889" s="31"/>
    </row>
    <row r="890">
      <c r="A890" s="31"/>
    </row>
    <row r="891">
      <c r="A891" s="31"/>
    </row>
    <row r="892">
      <c r="A892" s="31"/>
    </row>
    <row r="893">
      <c r="A893" s="31"/>
    </row>
    <row r="894">
      <c r="A894" s="31"/>
    </row>
    <row r="895">
      <c r="A895" s="31"/>
    </row>
    <row r="896">
      <c r="A896" s="31"/>
    </row>
    <row r="897">
      <c r="A897" s="31"/>
    </row>
    <row r="898">
      <c r="A898" s="31"/>
    </row>
    <row r="899">
      <c r="A899" s="31"/>
    </row>
    <row r="900">
      <c r="A900" s="31"/>
    </row>
    <row r="901">
      <c r="A901" s="31"/>
    </row>
    <row r="902">
      <c r="A902" s="31"/>
    </row>
    <row r="903">
      <c r="A903" s="31"/>
    </row>
    <row r="904">
      <c r="A904" s="31"/>
    </row>
    <row r="905">
      <c r="A905" s="31"/>
    </row>
    <row r="906">
      <c r="A906" s="31"/>
    </row>
    <row r="907">
      <c r="A907" s="31"/>
    </row>
    <row r="908">
      <c r="A908" s="31"/>
    </row>
    <row r="909">
      <c r="A909" s="31"/>
    </row>
    <row r="910">
      <c r="A910" s="31"/>
    </row>
    <row r="911">
      <c r="A911" s="31"/>
    </row>
    <row r="912">
      <c r="A912" s="31"/>
    </row>
    <row r="913">
      <c r="A913" s="31"/>
    </row>
    <row r="914">
      <c r="A914" s="31"/>
    </row>
    <row r="915">
      <c r="A915" s="31"/>
    </row>
    <row r="916">
      <c r="A916" s="31"/>
    </row>
    <row r="917">
      <c r="A917" s="31"/>
    </row>
    <row r="918">
      <c r="A918" s="31"/>
    </row>
    <row r="919">
      <c r="A919" s="31"/>
    </row>
    <row r="920">
      <c r="A920" s="31"/>
    </row>
    <row r="921">
      <c r="A921" s="31"/>
    </row>
    <row r="922">
      <c r="A922" s="31"/>
    </row>
    <row r="923">
      <c r="A923" s="31"/>
    </row>
    <row r="924">
      <c r="A924" s="31"/>
    </row>
    <row r="925">
      <c r="A925" s="31"/>
    </row>
    <row r="926">
      <c r="A926" s="31"/>
    </row>
    <row r="927">
      <c r="A927" s="31"/>
    </row>
    <row r="928">
      <c r="A928" s="31"/>
    </row>
    <row r="929">
      <c r="A929" s="31"/>
    </row>
    <row r="930">
      <c r="A930" s="31"/>
    </row>
    <row r="931">
      <c r="A931" s="31"/>
    </row>
    <row r="932">
      <c r="A932" s="31"/>
    </row>
    <row r="933">
      <c r="A933" s="31"/>
    </row>
    <row r="934">
      <c r="A934" s="31"/>
    </row>
    <row r="935">
      <c r="A935" s="31"/>
    </row>
    <row r="936">
      <c r="A936" s="31"/>
    </row>
    <row r="937">
      <c r="A937" s="31"/>
    </row>
    <row r="938">
      <c r="A938" s="31"/>
    </row>
    <row r="939">
      <c r="A939" s="31"/>
    </row>
    <row r="940">
      <c r="A940" s="31"/>
    </row>
    <row r="941">
      <c r="A941" s="31"/>
    </row>
    <row r="942">
      <c r="A942" s="31"/>
    </row>
    <row r="943">
      <c r="A943" s="31"/>
    </row>
    <row r="944">
      <c r="A944" s="31"/>
    </row>
    <row r="945">
      <c r="A945" s="31"/>
    </row>
    <row r="946">
      <c r="A946" s="31"/>
    </row>
    <row r="947">
      <c r="A947" s="31"/>
    </row>
    <row r="948">
      <c r="A948" s="31"/>
    </row>
    <row r="949">
      <c r="A949" s="31"/>
    </row>
    <row r="950">
      <c r="A950" s="31"/>
    </row>
    <row r="951">
      <c r="A951" s="31"/>
    </row>
    <row r="952">
      <c r="A952" s="31"/>
    </row>
    <row r="953">
      <c r="A953" s="31"/>
    </row>
    <row r="954">
      <c r="A954" s="31"/>
    </row>
    <row r="955">
      <c r="A955" s="31"/>
    </row>
    <row r="956">
      <c r="A956" s="31"/>
    </row>
    <row r="957">
      <c r="A957" s="31"/>
    </row>
    <row r="958">
      <c r="A958" s="31"/>
    </row>
    <row r="959">
      <c r="A959" s="31"/>
    </row>
    <row r="960">
      <c r="A960" s="31"/>
    </row>
    <row r="961">
      <c r="A961" s="31"/>
    </row>
    <row r="962">
      <c r="A962" s="31"/>
    </row>
    <row r="963">
      <c r="A963" s="31"/>
    </row>
    <row r="964">
      <c r="A964" s="31"/>
    </row>
    <row r="965">
      <c r="A965" s="31"/>
    </row>
    <row r="966">
      <c r="A966" s="31"/>
    </row>
    <row r="967">
      <c r="A967" s="31"/>
    </row>
    <row r="968">
      <c r="A968" s="31"/>
    </row>
    <row r="969">
      <c r="A969" s="31"/>
    </row>
    <row r="970">
      <c r="A970" s="31"/>
    </row>
    <row r="971">
      <c r="A971" s="31"/>
    </row>
    <row r="972">
      <c r="A972" s="31"/>
    </row>
    <row r="973">
      <c r="A973" s="31"/>
    </row>
    <row r="974">
      <c r="A974" s="31"/>
    </row>
    <row r="975">
      <c r="A975" s="31"/>
    </row>
    <row r="976">
      <c r="A976" s="31"/>
    </row>
    <row r="977">
      <c r="A977" s="31"/>
    </row>
    <row r="978">
      <c r="A978" s="31"/>
    </row>
    <row r="979">
      <c r="A979" s="31"/>
    </row>
    <row r="980">
      <c r="A980" s="31"/>
    </row>
    <row r="981">
      <c r="A981" s="31"/>
    </row>
    <row r="982">
      <c r="A982" s="31"/>
    </row>
    <row r="983">
      <c r="A983" s="31"/>
    </row>
    <row r="984">
      <c r="A984" s="31"/>
    </row>
    <row r="985">
      <c r="A985" s="31"/>
    </row>
    <row r="986">
      <c r="A986" s="31"/>
    </row>
    <row r="987">
      <c r="A987" s="31"/>
    </row>
    <row r="988">
      <c r="A988" s="31"/>
    </row>
    <row r="989">
      <c r="A989" s="31"/>
    </row>
    <row r="990">
      <c r="A990" s="31"/>
    </row>
    <row r="991">
      <c r="A991" s="31"/>
    </row>
    <row r="992">
      <c r="A992" s="31"/>
    </row>
    <row r="993">
      <c r="A993" s="31"/>
    </row>
    <row r="994">
      <c r="A994" s="31"/>
    </row>
    <row r="995">
      <c r="A995" s="31"/>
    </row>
    <row r="996">
      <c r="A996" s="31"/>
    </row>
    <row r="997">
      <c r="A997" s="31"/>
    </row>
    <row r="998">
      <c r="A998" s="31"/>
    </row>
    <row r="999">
      <c r="A999" s="31"/>
    </row>
    <row r="1000">
      <c r="A1000" s="31"/>
    </row>
    <row r="1001">
      <c r="A1001" s="31"/>
    </row>
    <row r="1002">
      <c r="A1002" s="31"/>
    </row>
    <row r="1003">
      <c r="A1003" s="31"/>
    </row>
    <row r="1004">
      <c r="A1004" s="31"/>
    </row>
    <row r="1005">
      <c r="A1005" s="31"/>
    </row>
    <row r="1006">
      <c r="A1006" s="31"/>
    </row>
  </sheetData>
  <conditionalFormatting sqref="B1">
    <cfRule type="expression" dxfId="0" priority="1">
      <formula> $C1 = "Yes"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25"/>
    <col customWidth="1" min="2" max="4" width="8.63"/>
    <col customWidth="1" min="5" max="5" width="9.88"/>
    <col customWidth="1" min="6" max="6" width="10.38"/>
    <col customWidth="1" min="9" max="9" width="11.88"/>
    <col customWidth="1" min="13" max="13" width="15.88"/>
  </cols>
  <sheetData>
    <row r="1">
      <c r="A1" s="27" t="s">
        <v>1</v>
      </c>
      <c r="B1" s="27" t="s">
        <v>1246</v>
      </c>
      <c r="C1" s="27" t="s">
        <v>1247</v>
      </c>
      <c r="D1" s="27" t="s">
        <v>2</v>
      </c>
      <c r="E1" s="27" t="s">
        <v>1248</v>
      </c>
      <c r="F1" s="27" t="s">
        <v>1249</v>
      </c>
      <c r="G1" s="32" t="s">
        <v>1250</v>
      </c>
      <c r="H1" s="27" t="s">
        <v>1251</v>
      </c>
      <c r="I1" s="27" t="s">
        <v>1252</v>
      </c>
      <c r="J1" s="32" t="s">
        <v>1253</v>
      </c>
      <c r="K1" s="27" t="s">
        <v>1254</v>
      </c>
      <c r="L1" s="27" t="s">
        <v>1255</v>
      </c>
      <c r="M1" s="33" t="s">
        <v>1256</v>
      </c>
      <c r="N1" s="27" t="s">
        <v>1257</v>
      </c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</row>
    <row r="2">
      <c r="A2" s="17" t="s">
        <v>6</v>
      </c>
      <c r="B2" s="35" t="s">
        <v>1258</v>
      </c>
      <c r="C2" s="35">
        <v>1.0</v>
      </c>
      <c r="D2" s="36" t="s">
        <v>7</v>
      </c>
      <c r="E2" s="36" t="s">
        <v>8</v>
      </c>
      <c r="F2" s="36">
        <f>vlookup(D2,'Team Bye List'!$A$1:$B$33,2,False)</f>
        <v>14</v>
      </c>
      <c r="G2" s="37">
        <f>if(ISNA(vlookup($A2, Sleeper!$B$2:$E$330, 4, false)), 0, vlookup($A2, Sleeper!$B$2:$E$330, 4, false))</f>
        <v>78</v>
      </c>
      <c r="H2" s="37">
        <f>if(ISNA(vlookup($A2, ESPN!$B$2:$E$297, 4, false)), 0, vlookup($A2, ESPN!$B$2:$E$297, 4, false))</f>
        <v>61</v>
      </c>
      <c r="I2" s="37">
        <f>if(ISNA(vlookup($A2,'Ultimate Draft Kit'!$B$2:$E$324,4, false)), 0, vlookup($A2,'Ultimate Draft Kit'!$B$2:$E$324, 4, false))</f>
        <v>67</v>
      </c>
      <c r="J2" s="38">
        <f>if(ISNA(vlookup($A2,Rotowire!$B$2:$E$1075,4, false)), 0, vlookup($A2,Rotowire!$B$2:$E$1075, 4, false))</f>
        <v>91</v>
      </c>
      <c r="K2" s="37">
        <f>if(ISNA(vlookup($A2, FantasyPro!$B$2:$E$341,4,false)),0,vlookup($A2,FantasyPro!$B$2:$E$341,4,false))</f>
        <v>76</v>
      </c>
      <c r="L2" s="37">
        <f>if(ISNA(vlookup($A2, FFToolbox!$B$2:$E$414, 4, false)), 0, vlookup($A2, FFToolbox!$B$2:$E$414, 4, false))</f>
        <v>62</v>
      </c>
      <c r="M2" s="39">
        <f t="shared" ref="M2:M1076" si="1">Average(G2:L2)</f>
        <v>72.5</v>
      </c>
      <c r="N2" s="39">
        <f t="shared" ref="N2:N1076" si="2">max(G2:L2)-min(G2:L2)</f>
        <v>30</v>
      </c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</row>
    <row r="3">
      <c r="A3" s="17" t="s">
        <v>11</v>
      </c>
      <c r="B3" s="35" t="s">
        <v>1258</v>
      </c>
      <c r="C3" s="35">
        <v>1.0</v>
      </c>
      <c r="D3" s="36" t="s">
        <v>12</v>
      </c>
      <c r="E3" s="36" t="s">
        <v>13</v>
      </c>
      <c r="F3" s="36">
        <f>vlookup(D3,'Team Bye List'!$A$1:$B$33,2,False)</f>
        <v>8</v>
      </c>
      <c r="G3" s="37">
        <f>if(ISNA(vlookup($A3, Sleeper!$B$2:$E$330, 4, false)), 0, vlookup($A3, Sleeper!$B$2:$E$330, 4, false))</f>
        <v>52</v>
      </c>
      <c r="H3" s="37">
        <f>if(ISNA(vlookup($A3, ESPN!$B$2:$E$297, 4, false)), 0, vlookup($A3, ESPN!$B$2:$E$297, 4, false))</f>
        <v>59</v>
      </c>
      <c r="I3" s="37">
        <f>if(ISNA(vlookup($A3,'Ultimate Draft Kit'!$B$2:$E$324,4, false)), 0, vlookup($A3,'Ultimate Draft Kit'!$B$2:$E$324, 4, false))</f>
        <v>70</v>
      </c>
      <c r="J3" s="38">
        <f>if(ISNA(vlookup($A3,Rotowire!$B$2:$E$1075,4, false)), 0, vlookup($A3,Rotowire!$B$2:$E$1075, 4, false))</f>
        <v>62</v>
      </c>
      <c r="K3" s="37">
        <f>if(ISNA(vlookup($A3, FantasyPro!$B$2:$E$341,4,false)),0,vlookup($A3,FantasyPro!$B$2:$E$341,4,false))</f>
        <v>50</v>
      </c>
      <c r="L3" s="37">
        <f>if(ISNA(vlookup($A3, FFToolbox!$B$2:$E$414, 4, false)), 0, vlookup($A3, FFToolbox!$B$2:$E$414, 4, false))</f>
        <v>54</v>
      </c>
      <c r="M3" s="39">
        <f t="shared" si="1"/>
        <v>57.83333333</v>
      </c>
      <c r="N3" s="39">
        <f t="shared" si="2"/>
        <v>20</v>
      </c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</row>
    <row r="4">
      <c r="A4" s="17" t="s">
        <v>16</v>
      </c>
      <c r="B4" s="35" t="s">
        <v>1258</v>
      </c>
      <c r="C4" s="35">
        <v>1.0</v>
      </c>
      <c r="D4" s="36" t="s">
        <v>17</v>
      </c>
      <c r="E4" s="36" t="s">
        <v>13</v>
      </c>
      <c r="F4" s="36">
        <f>vlookup(D4,'Team Bye List'!$A$1:$B$33,2,False)</f>
        <v>7</v>
      </c>
      <c r="G4" s="37">
        <f>if(ISNA(vlookup($A4, Sleeper!$B$2:$E$330, 4, false)), 0, vlookup($A4, Sleeper!$B$2:$E$330, 4, false))</f>
        <v>54</v>
      </c>
      <c r="H4" s="37">
        <f>if(ISNA(vlookup($A4, ESPN!$B$2:$E$297, 4, false)), 0, vlookup($A4, ESPN!$B$2:$E$297, 4, false))</f>
        <v>55</v>
      </c>
      <c r="I4" s="37">
        <f>if(ISNA(vlookup($A4,'Ultimate Draft Kit'!$B$2:$E$324,4, false)), 0, vlookup($A4,'Ultimate Draft Kit'!$B$2:$E$324, 4, false))</f>
        <v>69</v>
      </c>
      <c r="J4" s="38">
        <f>if(ISNA(vlookup($A4,Rotowire!$B$2:$E$1075,4, false)), 0, vlookup($A4,Rotowire!$B$2:$E$1075, 4, false))</f>
        <v>56</v>
      </c>
      <c r="K4" s="37">
        <f>if(ISNA(vlookup($A4, FantasyPro!$B$2:$E$341,4,false)),0,vlookup($A4,FantasyPro!$B$2:$E$341,4,false))</f>
        <v>56</v>
      </c>
      <c r="L4" s="37">
        <f>if(ISNA(vlookup($A4, FFToolbox!$B$2:$E$414, 4, false)), 0, vlookup($A4, FFToolbox!$B$2:$E$414, 4, false))</f>
        <v>59</v>
      </c>
      <c r="M4" s="39">
        <f t="shared" si="1"/>
        <v>58.16666667</v>
      </c>
      <c r="N4" s="39">
        <f t="shared" si="2"/>
        <v>15</v>
      </c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</row>
    <row r="5">
      <c r="A5" s="17" t="s">
        <v>9</v>
      </c>
      <c r="B5" s="35" t="s">
        <v>1258</v>
      </c>
      <c r="C5" s="35">
        <v>1.0</v>
      </c>
      <c r="D5" s="36" t="s">
        <v>10</v>
      </c>
      <c r="E5" s="36" t="s">
        <v>8</v>
      </c>
      <c r="F5" s="36">
        <f>vlookup(D5,'Team Bye List'!$A$1:$B$33,2,False)</f>
        <v>13</v>
      </c>
      <c r="G5" s="37">
        <f>if(ISNA(vlookup($A5, Sleeper!$B$2:$E$330, 4, false)), 0, vlookup($A5, Sleeper!$B$2:$E$330, 4, false))</f>
        <v>64</v>
      </c>
      <c r="H5" s="37">
        <f>if(ISNA(vlookup($A5, ESPN!$B$2:$E$297, 4, false)), 0, vlookup($A5, ESPN!$B$2:$E$297, 4, false))</f>
        <v>59</v>
      </c>
      <c r="I5" s="37">
        <f>if(ISNA(vlookup($A5,'Ultimate Draft Kit'!$B$2:$E$324,4, false)), 0, vlookup($A5,'Ultimate Draft Kit'!$B$2:$E$324, 4, false))</f>
        <v>58</v>
      </c>
      <c r="J5" s="38">
        <f>if(ISNA(vlookup($A5,Rotowire!$B$2:$E$1075,4, false)), 0, vlookup($A5,Rotowire!$B$2:$E$1075, 4, false))</f>
        <v>35</v>
      </c>
      <c r="K5" s="37">
        <f>if(ISNA(vlookup($A5, FantasyPro!$B$2:$E$341,4,false)),0,vlookup($A5,FantasyPro!$B$2:$E$341,4,false))</f>
        <v>64</v>
      </c>
      <c r="L5" s="37">
        <f>if(ISNA(vlookup($A5, FFToolbox!$B$2:$E$414, 4, false)), 0, vlookup($A5, FFToolbox!$B$2:$E$414, 4, false))</f>
        <v>60</v>
      </c>
      <c r="M5" s="39">
        <f t="shared" si="1"/>
        <v>56.66666667</v>
      </c>
      <c r="N5" s="39">
        <f t="shared" si="2"/>
        <v>29</v>
      </c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</row>
    <row r="6">
      <c r="A6" s="17" t="s">
        <v>14</v>
      </c>
      <c r="B6" s="35" t="s">
        <v>1258</v>
      </c>
      <c r="C6" s="35">
        <v>2.0</v>
      </c>
      <c r="D6" s="36" t="s">
        <v>15</v>
      </c>
      <c r="E6" s="36" t="s">
        <v>8</v>
      </c>
      <c r="F6" s="36">
        <f>vlookup(D6,'Team Bye List'!$A$1:$B$33,2,False)</f>
        <v>6</v>
      </c>
      <c r="G6" s="37">
        <f>if(ISNA(vlookup($A6, Sleeper!$B$2:$E$330, 4, false)), 0, vlookup($A6, Sleeper!$B$2:$E$330, 4, false))</f>
        <v>57</v>
      </c>
      <c r="H6" s="37">
        <f>if(ISNA(vlookup($A6, ESPN!$B$2:$E$297, 4, false)), 0, vlookup($A6, ESPN!$B$2:$E$297, 4, false))</f>
        <v>58</v>
      </c>
      <c r="I6" s="37">
        <f>if(ISNA(vlookup($A6,'Ultimate Draft Kit'!$B$2:$E$324,4, false)), 0, vlookup($A6,'Ultimate Draft Kit'!$B$2:$E$324, 4, false))</f>
        <v>47</v>
      </c>
      <c r="J6" s="38">
        <f>if(ISNA(vlookup($A6,Rotowire!$B$2:$E$1075,4, false)), 0, vlookup($A6,Rotowire!$B$2:$E$1075, 4, false))</f>
        <v>58</v>
      </c>
      <c r="K6" s="37">
        <f>if(ISNA(vlookup($A6, FantasyPro!$B$2:$E$341,4,false)),0,vlookup($A6,FantasyPro!$B$2:$E$341,4,false))</f>
        <v>63</v>
      </c>
      <c r="L6" s="37">
        <f>if(ISNA(vlookup($A6, FFToolbox!$B$2:$E$414, 4, false)), 0, vlookup($A6, FFToolbox!$B$2:$E$414, 4, false))</f>
        <v>47</v>
      </c>
      <c r="M6" s="39">
        <f t="shared" si="1"/>
        <v>55</v>
      </c>
      <c r="N6" s="39">
        <f t="shared" si="2"/>
        <v>16</v>
      </c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</row>
    <row r="7">
      <c r="A7" s="17" t="s">
        <v>18</v>
      </c>
      <c r="B7" s="35" t="s">
        <v>1258</v>
      </c>
      <c r="C7" s="35">
        <v>2.0</v>
      </c>
      <c r="D7" s="36" t="s">
        <v>19</v>
      </c>
      <c r="E7" s="36" t="s">
        <v>13</v>
      </c>
      <c r="F7" s="36">
        <f>vlookup(D7,'Team Bye List'!$A$1:$B$33,2,False)</f>
        <v>10</v>
      </c>
      <c r="G7" s="37">
        <f>if(ISNA(vlookup($A7, Sleeper!$B$2:$E$330, 4, false)), 0, vlookup($A7, Sleeper!$B$2:$E$330, 4, false))</f>
        <v>46</v>
      </c>
      <c r="H7" s="37">
        <f>if(ISNA(vlookup($A7, ESPN!$B$2:$E$297, 4, false)), 0, vlookup($A7, ESPN!$B$2:$E$297, 4, false))</f>
        <v>54</v>
      </c>
      <c r="I7" s="37">
        <f>if(ISNA(vlookup($A7,'Ultimate Draft Kit'!$B$2:$E$324,4, false)), 0, vlookup($A7,'Ultimate Draft Kit'!$B$2:$E$324, 4, false))</f>
        <v>44</v>
      </c>
      <c r="J7" s="38">
        <f>if(ISNA(vlookup($A7,Rotowire!$B$2:$E$1075,4, false)), 0, vlookup($A7,Rotowire!$B$2:$E$1075, 4, false))</f>
        <v>58</v>
      </c>
      <c r="K7" s="37">
        <f>if(ISNA(vlookup($A7, FantasyPro!$B$2:$E$341,4,false)),0,vlookup($A7,FantasyPro!$B$2:$E$341,4,false))</f>
        <v>44</v>
      </c>
      <c r="L7" s="37">
        <f>if(ISNA(vlookup($A7, FFToolbox!$B$2:$E$414, 4, false)), 0, vlookup($A7, FFToolbox!$B$2:$E$414, 4, false))</f>
        <v>48</v>
      </c>
      <c r="M7" s="39">
        <f t="shared" si="1"/>
        <v>49</v>
      </c>
      <c r="N7" s="39">
        <f t="shared" si="2"/>
        <v>14</v>
      </c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</row>
    <row r="8">
      <c r="A8" s="17" t="s">
        <v>20</v>
      </c>
      <c r="B8" s="35" t="s">
        <v>1258</v>
      </c>
      <c r="C8" s="35">
        <v>2.0</v>
      </c>
      <c r="D8" s="36" t="s">
        <v>21</v>
      </c>
      <c r="E8" s="36" t="s">
        <v>8</v>
      </c>
      <c r="F8" s="36">
        <f>vlookup(D8,'Team Bye List'!$A$1:$B$33,2,False)</f>
        <v>6</v>
      </c>
      <c r="G8" s="37">
        <f>if(ISNA(vlookup($A8, Sleeper!$B$2:$E$330, 4, false)), 0, vlookup($A8, Sleeper!$B$2:$E$330, 4, false))</f>
        <v>61</v>
      </c>
      <c r="H8" s="37">
        <f>if(ISNA(vlookup($A8, ESPN!$B$2:$E$297, 4, false)), 0, vlookup($A8, ESPN!$B$2:$E$297, 4, false))</f>
        <v>52</v>
      </c>
      <c r="I8" s="37">
        <f>if(ISNA(vlookup($A8,'Ultimate Draft Kit'!$B$2:$E$324,4, false)), 0, vlookup($A8,'Ultimate Draft Kit'!$B$2:$E$324, 4, false))</f>
        <v>43</v>
      </c>
      <c r="J8" s="38">
        <f>if(ISNA(vlookup($A8,Rotowire!$B$2:$E$1075,4, false)), 0, vlookup($A8,Rotowire!$B$2:$E$1075, 4, false))</f>
        <v>58</v>
      </c>
      <c r="K8" s="37">
        <f>if(ISNA(vlookup($A8, FantasyPro!$B$2:$E$341,4,false)),0,vlookup($A8,FantasyPro!$B$2:$E$341,4,false))</f>
        <v>51</v>
      </c>
      <c r="L8" s="37">
        <f>if(ISNA(vlookup($A8, FFToolbox!$B$2:$E$414, 4, false)), 0, vlookup($A8, FFToolbox!$B$2:$E$414, 4, false))</f>
        <v>39</v>
      </c>
      <c r="M8" s="39">
        <f t="shared" si="1"/>
        <v>50.66666667</v>
      </c>
      <c r="N8" s="39">
        <f t="shared" si="2"/>
        <v>22</v>
      </c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</row>
    <row r="9">
      <c r="A9" s="17" t="s">
        <v>76</v>
      </c>
      <c r="B9" s="35" t="s">
        <v>1258</v>
      </c>
      <c r="C9" s="35">
        <v>1.0</v>
      </c>
      <c r="D9" s="36" t="s">
        <v>30</v>
      </c>
      <c r="E9" s="36" t="s">
        <v>77</v>
      </c>
      <c r="F9" s="36">
        <f>vlookup(D9,'Team Bye List'!$A$1:$B$33,2,False)</f>
        <v>7</v>
      </c>
      <c r="G9" s="37">
        <f>if(ISNA(vlookup($A9, Sleeper!$B$2:$E$330, 4, false)), 0, vlookup($A9, Sleeper!$B$2:$E$330, 4, false))</f>
        <v>39</v>
      </c>
      <c r="H9" s="37">
        <f>if(ISNA(vlookup($A9, ESPN!$B$2:$E$297, 4, false)), 0, vlookup($A9, ESPN!$B$2:$E$297, 4, false))</f>
        <v>19</v>
      </c>
      <c r="I9" s="37">
        <f>if(ISNA(vlookup($A9,'Ultimate Draft Kit'!$B$2:$E$324,4, false)), 0, vlookup($A9,'Ultimate Draft Kit'!$B$2:$E$324, 4, false))</f>
        <v>55</v>
      </c>
      <c r="J9" s="38">
        <f>if(ISNA(vlookup($A9,Rotowire!$B$2:$E$1075,4, false)), 0, vlookup($A9,Rotowire!$B$2:$E$1075, 4, false))</f>
        <v>95</v>
      </c>
      <c r="K9" s="37">
        <f>if(ISNA(vlookup($A9, FantasyPro!$B$2:$E$341,4,false)),0,vlookup($A9,FantasyPro!$B$2:$E$341,4,false))</f>
        <v>25</v>
      </c>
      <c r="L9" s="37">
        <f>if(ISNA(vlookup($A9, FFToolbox!$B$2:$E$414, 4, false)), 0, vlookup($A9, FFToolbox!$B$2:$E$414, 4, false))</f>
        <v>24</v>
      </c>
      <c r="M9" s="39">
        <f t="shared" si="1"/>
        <v>42.83333333</v>
      </c>
      <c r="N9" s="39">
        <f t="shared" si="2"/>
        <v>76</v>
      </c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>
      <c r="A10" s="17" t="s">
        <v>27</v>
      </c>
      <c r="B10" s="35" t="s">
        <v>1258</v>
      </c>
      <c r="C10" s="35">
        <v>3.0</v>
      </c>
      <c r="D10" s="36" t="s">
        <v>28</v>
      </c>
      <c r="E10" s="36" t="s">
        <v>13</v>
      </c>
      <c r="F10" s="36">
        <f>vlookup(D10,'Team Bye List'!$A$1:$B$33,2,False)</f>
        <v>11</v>
      </c>
      <c r="G10" s="37">
        <f>if(ISNA(vlookup($A10, Sleeper!$B$2:$E$330, 4, false)), 0, vlookup($A10, Sleeper!$B$2:$E$330, 4, false))</f>
        <v>33</v>
      </c>
      <c r="H10" s="37">
        <f>if(ISNA(vlookup($A10, ESPN!$B$2:$E$297, 4, false)), 0, vlookup($A10, ESPN!$B$2:$E$297, 4, false))</f>
        <v>45</v>
      </c>
      <c r="I10" s="37">
        <f>if(ISNA(vlookup($A10,'Ultimate Draft Kit'!$B$2:$E$324,4, false)), 0, vlookup($A10,'Ultimate Draft Kit'!$B$2:$E$324, 4, false))</f>
        <v>33</v>
      </c>
      <c r="J10" s="38">
        <f>if(ISNA(vlookup($A10,Rotowire!$B$2:$E$1075,4, false)), 0, vlookup($A10,Rotowire!$B$2:$E$1075, 4, false))</f>
        <v>61</v>
      </c>
      <c r="K10" s="37">
        <f>if(ISNA(vlookup($A10, FantasyPro!$B$2:$E$341,4,false)),0,vlookup($A10,FantasyPro!$B$2:$E$341,4,false))</f>
        <v>34</v>
      </c>
      <c r="L10" s="37">
        <f>if(ISNA(vlookup($A10, FFToolbox!$B$2:$E$414, 4, false)), 0, vlookup($A10, FFToolbox!$B$2:$E$414, 4, false))</f>
        <v>33</v>
      </c>
      <c r="M10" s="39">
        <f t="shared" si="1"/>
        <v>39.83333333</v>
      </c>
      <c r="N10" s="39">
        <f t="shared" si="2"/>
        <v>28</v>
      </c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>
      <c r="A11" s="17" t="s">
        <v>24</v>
      </c>
      <c r="B11" s="35" t="s">
        <v>1258</v>
      </c>
      <c r="C11" s="35">
        <v>2.0</v>
      </c>
      <c r="D11" s="36" t="s">
        <v>25</v>
      </c>
      <c r="E11" s="36" t="s">
        <v>13</v>
      </c>
      <c r="F11" s="36">
        <f>vlookup(D11,'Team Bye List'!$A$1:$B$33,2,False)</f>
        <v>7</v>
      </c>
      <c r="G11" s="37">
        <f>if(ISNA(vlookup($A11, Sleeper!$B$2:$E$330, 4, false)), 0, vlookup($A11, Sleeper!$B$2:$E$330, 4, false))</f>
        <v>34</v>
      </c>
      <c r="H11" s="37">
        <f>if(ISNA(vlookup($A11, ESPN!$B$2:$E$297, 4, false)), 0, vlookup($A11, ESPN!$B$2:$E$297, 4, false))</f>
        <v>49</v>
      </c>
      <c r="I11" s="37">
        <f>if(ISNA(vlookup($A11,'Ultimate Draft Kit'!$B$2:$E$324,4, false)), 0, vlookup($A11,'Ultimate Draft Kit'!$B$2:$E$324, 4, false))</f>
        <v>44</v>
      </c>
      <c r="J11" s="38">
        <f>if(ISNA(vlookup($A11,Rotowire!$B$2:$E$1075,4, false)), 0, vlookup($A11,Rotowire!$B$2:$E$1075, 4, false))</f>
        <v>33</v>
      </c>
      <c r="K11" s="37">
        <f>if(ISNA(vlookup($A11, FantasyPro!$B$2:$E$341,4,false)),0,vlookup($A11,FantasyPro!$B$2:$E$341,4,false))</f>
        <v>39</v>
      </c>
      <c r="L11" s="37">
        <f>if(ISNA(vlookup($A11, FFToolbox!$B$2:$E$414, 4, false)), 0, vlookup($A11, FFToolbox!$B$2:$E$414, 4, false))</f>
        <v>43</v>
      </c>
      <c r="M11" s="39">
        <f t="shared" si="1"/>
        <v>40.33333333</v>
      </c>
      <c r="N11" s="39">
        <f t="shared" si="2"/>
        <v>16</v>
      </c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>
      <c r="A12" s="17" t="s">
        <v>29</v>
      </c>
      <c r="B12" s="35" t="s">
        <v>1258</v>
      </c>
      <c r="C12" s="35">
        <v>2.0</v>
      </c>
      <c r="D12" s="36" t="s">
        <v>30</v>
      </c>
      <c r="E12" s="36" t="s">
        <v>13</v>
      </c>
      <c r="F12" s="36">
        <f>vlookup(D12,'Team Bye List'!$A$1:$B$33,2,False)</f>
        <v>7</v>
      </c>
      <c r="G12" s="37">
        <f>if(ISNA(vlookup($A12, Sleeper!$B$2:$E$330, 4, false)), 0, vlookup($A12, Sleeper!$B$2:$E$330, 4, false))</f>
        <v>35</v>
      </c>
      <c r="H12" s="37">
        <f>if(ISNA(vlookup($A12, ESPN!$B$2:$E$297, 4, false)), 0, vlookup($A12, ESPN!$B$2:$E$297, 4, false))</f>
        <v>44</v>
      </c>
      <c r="I12" s="37">
        <f>if(ISNA(vlookup($A12,'Ultimate Draft Kit'!$B$2:$E$324,4, false)), 0, vlookup($A12,'Ultimate Draft Kit'!$B$2:$E$324, 4, false))</f>
        <v>45</v>
      </c>
      <c r="J12" s="38">
        <f>if(ISNA(vlookup($A12,Rotowire!$B$2:$E$1075,4, false)), 0, vlookup($A12,Rotowire!$B$2:$E$1075, 4, false))</f>
        <v>38</v>
      </c>
      <c r="K12" s="37">
        <f>if(ISNA(vlookup($A12, FantasyPro!$B$2:$E$341,4,false)),0,vlookup($A12,FantasyPro!$B$2:$E$341,4,false))</f>
        <v>41</v>
      </c>
      <c r="L12" s="37">
        <f>if(ISNA(vlookup($A12, FFToolbox!$B$2:$E$414, 4, false)), 0, vlookup($A12, FFToolbox!$B$2:$E$414, 4, false))</f>
        <v>44</v>
      </c>
      <c r="M12" s="39">
        <f t="shared" si="1"/>
        <v>41.16666667</v>
      </c>
      <c r="N12" s="39">
        <f t="shared" si="2"/>
        <v>10</v>
      </c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>
      <c r="A13" s="17" t="s">
        <v>26</v>
      </c>
      <c r="B13" s="35" t="s">
        <v>1258</v>
      </c>
      <c r="C13" s="35">
        <v>2.0</v>
      </c>
      <c r="D13" s="36" t="s">
        <v>17</v>
      </c>
      <c r="E13" s="36" t="s">
        <v>8</v>
      </c>
      <c r="F13" s="36">
        <f>vlookup(D13,'Team Bye List'!$A$1:$B$33,2,False)</f>
        <v>7</v>
      </c>
      <c r="G13" s="37">
        <f>if(ISNA(vlookup($A13, Sleeper!$B$2:$E$330, 4, false)), 0, vlookup($A13, Sleeper!$B$2:$E$330, 4, false))</f>
        <v>58</v>
      </c>
      <c r="H13" s="37">
        <f>if(ISNA(vlookup($A13, ESPN!$B$2:$E$297, 4, false)), 0, vlookup($A13, ESPN!$B$2:$E$297, 4, false))</f>
        <v>46</v>
      </c>
      <c r="I13" s="37">
        <f>if(ISNA(vlookup($A13,'Ultimate Draft Kit'!$B$2:$E$324,4, false)), 0, vlookup($A13,'Ultimate Draft Kit'!$B$2:$E$324, 4, false))</f>
        <v>39</v>
      </c>
      <c r="J13" s="38">
        <f>if(ISNA(vlookup($A13,Rotowire!$B$2:$E$1075,4, false)), 0, vlookup($A13,Rotowire!$B$2:$E$1075, 4, false))</f>
        <v>36</v>
      </c>
      <c r="K13" s="37">
        <f>if(ISNA(vlookup($A13, FantasyPro!$B$2:$E$341,4,false)),0,vlookup($A13,FantasyPro!$B$2:$E$341,4,false))</f>
        <v>58</v>
      </c>
      <c r="L13" s="37">
        <f>if(ISNA(vlookup($A13, FFToolbox!$B$2:$E$414, 4, false)), 0, vlookup($A13, FFToolbox!$B$2:$E$414, 4, false))</f>
        <v>42</v>
      </c>
      <c r="M13" s="39">
        <f t="shared" si="1"/>
        <v>46.5</v>
      </c>
      <c r="N13" s="39">
        <f t="shared" si="2"/>
        <v>22</v>
      </c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</row>
    <row r="14">
      <c r="A14" s="17" t="s">
        <v>33</v>
      </c>
      <c r="B14" s="35" t="s">
        <v>1258</v>
      </c>
      <c r="C14" s="35">
        <v>2.0</v>
      </c>
      <c r="D14" s="36" t="s">
        <v>19</v>
      </c>
      <c r="E14" s="36" t="s">
        <v>8</v>
      </c>
      <c r="F14" s="36">
        <f>vlookup(D14,'Team Bye List'!$A$1:$B$33,2,False)</f>
        <v>10</v>
      </c>
      <c r="G14" s="37">
        <f>if(ISNA(vlookup($A14, Sleeper!$B$2:$E$330, 4, false)), 0, vlookup($A14, Sleeper!$B$2:$E$330, 4, false))</f>
        <v>56</v>
      </c>
      <c r="H14" s="37">
        <f>if(ISNA(vlookup($A14, ESPN!$B$2:$E$297, 4, false)), 0, vlookup($A14, ESPN!$B$2:$E$297, 4, false))</f>
        <v>43</v>
      </c>
      <c r="I14" s="37">
        <f>if(ISNA(vlookup($A14,'Ultimate Draft Kit'!$B$2:$E$324,4, false)), 0, vlookup($A14,'Ultimate Draft Kit'!$B$2:$E$324, 4, false))</f>
        <v>39</v>
      </c>
      <c r="J14" s="38">
        <f>if(ISNA(vlookup($A14,Rotowire!$B$2:$E$1075,4, false)), 0, vlookup($A14,Rotowire!$B$2:$E$1075, 4, false))</f>
        <v>43</v>
      </c>
      <c r="K14" s="37">
        <f>if(ISNA(vlookup($A14, FantasyPro!$B$2:$E$341,4,false)),0,vlookup($A14,FantasyPro!$B$2:$E$341,4,false))</f>
        <v>43</v>
      </c>
      <c r="L14" s="37">
        <f>if(ISNA(vlookup($A14, FFToolbox!$B$2:$E$414, 4, false)), 0, vlookup($A14, FFToolbox!$B$2:$E$414, 4, false))</f>
        <v>35</v>
      </c>
      <c r="M14" s="39">
        <f t="shared" si="1"/>
        <v>43.16666667</v>
      </c>
      <c r="N14" s="39">
        <f t="shared" si="2"/>
        <v>21</v>
      </c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>
      <c r="A15" s="17" t="s">
        <v>61</v>
      </c>
      <c r="B15" s="35" t="s">
        <v>1258</v>
      </c>
      <c r="C15" s="35">
        <v>1.0</v>
      </c>
      <c r="D15" s="36" t="s">
        <v>62</v>
      </c>
      <c r="E15" s="36" t="s">
        <v>59</v>
      </c>
      <c r="F15" s="36">
        <f>vlookup(D15,'Team Bye List'!$A$1:$B$33,2,False)</f>
        <v>8</v>
      </c>
      <c r="G15" s="37">
        <f>if(ISNA(vlookup($A15, Sleeper!$B$2:$E$330, 4, false)), 0, vlookup($A15, Sleeper!$B$2:$E$330, 4, false))</f>
        <v>45</v>
      </c>
      <c r="H15" s="37">
        <f>if(ISNA(vlookup($A15, ESPN!$B$2:$E$297, 4, false)), 0, vlookup($A15, ESPN!$B$2:$E$297, 4, false))</f>
        <v>26</v>
      </c>
      <c r="I15" s="37">
        <f>if(ISNA(vlookup($A15,'Ultimate Draft Kit'!$B$2:$E$324,4, false)), 0, vlookup($A15,'Ultimate Draft Kit'!$B$2:$E$324, 4, false))</f>
        <v>35</v>
      </c>
      <c r="J15" s="38">
        <f>if(ISNA(vlookup($A15,Rotowire!$B$2:$E$1075,4, false)), 0, vlookup($A15,Rotowire!$B$2:$E$1075, 4, false))</f>
        <v>54</v>
      </c>
      <c r="K15" s="37">
        <f>if(ISNA(vlookup($A15, FantasyPro!$B$2:$E$341,4,false)),0,vlookup($A15,FantasyPro!$B$2:$E$341,4,false))</f>
        <v>39</v>
      </c>
      <c r="L15" s="37">
        <f>if(ISNA(vlookup($A15, FFToolbox!$B$2:$E$414, 4, false)), 0, vlookup($A15, FFToolbox!$B$2:$E$414, 4, false))</f>
        <v>35</v>
      </c>
      <c r="M15" s="39">
        <f t="shared" si="1"/>
        <v>39</v>
      </c>
      <c r="N15" s="39">
        <f t="shared" si="2"/>
        <v>28</v>
      </c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>
      <c r="A16" s="17" t="s">
        <v>22</v>
      </c>
      <c r="B16" s="35" t="s">
        <v>1258</v>
      </c>
      <c r="C16" s="35">
        <v>3.0</v>
      </c>
      <c r="D16" s="36" t="s">
        <v>23</v>
      </c>
      <c r="E16" s="36" t="s">
        <v>8</v>
      </c>
      <c r="F16" s="36">
        <f>vlookup(D16,'Team Bye List'!$A$1:$B$33,2,False)</f>
        <v>9</v>
      </c>
      <c r="G16" s="37">
        <f>if(ISNA(vlookup($A16, Sleeper!$B$2:$E$330, 4, false)), 0, vlookup($A16, Sleeper!$B$2:$E$330, 4, false))</f>
        <v>54</v>
      </c>
      <c r="H16" s="37">
        <f>if(ISNA(vlookup($A16, ESPN!$B$2:$E$297, 4, false)), 0, vlookup($A16, ESPN!$B$2:$E$297, 4, false))</f>
        <v>50</v>
      </c>
      <c r="I16" s="37">
        <f>if(ISNA(vlookup($A16,'Ultimate Draft Kit'!$B$2:$E$324,4, false)), 0, vlookup($A16,'Ultimate Draft Kit'!$B$2:$E$324, 4, false))</f>
        <v>33</v>
      </c>
      <c r="J16" s="38">
        <f>if(ISNA(vlookup($A16,Rotowire!$B$2:$E$1075,4, false)), 0, vlookup($A16,Rotowire!$B$2:$E$1075, 4, false))</f>
        <v>34</v>
      </c>
      <c r="K16" s="37">
        <f>if(ISNA(vlookup($A16, FantasyPro!$B$2:$E$341,4,false)),0,vlookup($A16,FantasyPro!$B$2:$E$341,4,false))</f>
        <v>45</v>
      </c>
      <c r="L16" s="37">
        <f>if(ISNA(vlookup($A16, FFToolbox!$B$2:$E$414, 4, false)), 0, vlookup($A16, FFToolbox!$B$2:$E$414, 4, false))</f>
        <v>41</v>
      </c>
      <c r="M16" s="39">
        <f t="shared" si="1"/>
        <v>42.83333333</v>
      </c>
      <c r="N16" s="39">
        <f t="shared" si="2"/>
        <v>21</v>
      </c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>
      <c r="A17" s="17" t="s">
        <v>57</v>
      </c>
      <c r="B17" s="35" t="s">
        <v>1258</v>
      </c>
      <c r="C17" s="35">
        <v>1.0</v>
      </c>
      <c r="D17" s="36" t="s">
        <v>58</v>
      </c>
      <c r="E17" s="36" t="s">
        <v>59</v>
      </c>
      <c r="F17" s="36">
        <f>vlookup(D17,'Team Bye List'!$A$1:$B$33,2,False)</f>
        <v>10</v>
      </c>
      <c r="G17" s="37">
        <f>if(ISNA(vlookup($A17, Sleeper!$B$2:$E$330, 4, false)), 0, vlookup($A17, Sleeper!$B$2:$E$330, 4, false))</f>
        <v>35</v>
      </c>
      <c r="H17" s="37">
        <f>if(ISNA(vlookup($A17, ESPN!$B$2:$E$297, 4, false)), 0, vlookup($A17, ESPN!$B$2:$E$297, 4, false))</f>
        <v>28</v>
      </c>
      <c r="I17" s="37">
        <f>if(ISNA(vlookup($A17,'Ultimate Draft Kit'!$B$2:$E$324,4, false)), 0, vlookup($A17,'Ultimate Draft Kit'!$B$2:$E$324, 4, false))</f>
        <v>38</v>
      </c>
      <c r="J17" s="38">
        <f>if(ISNA(vlookup($A17,Rotowire!$B$2:$E$1075,4, false)), 0, vlookup($A17,Rotowire!$B$2:$E$1075, 4, false))</f>
        <v>56</v>
      </c>
      <c r="K17" s="37">
        <f>if(ISNA(vlookup($A17, FantasyPro!$B$2:$E$341,4,false)),0,vlookup($A17,FantasyPro!$B$2:$E$341,4,false))</f>
        <v>33</v>
      </c>
      <c r="L17" s="37">
        <f>if(ISNA(vlookup($A17, FFToolbox!$B$2:$E$414, 4, false)), 0, vlookup($A17, FFToolbox!$B$2:$E$414, 4, false))</f>
        <v>25</v>
      </c>
      <c r="M17" s="39">
        <f t="shared" si="1"/>
        <v>35.83333333</v>
      </c>
      <c r="N17" s="39">
        <f t="shared" si="2"/>
        <v>31</v>
      </c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>
      <c r="A18" s="17" t="s">
        <v>31</v>
      </c>
      <c r="B18" s="35" t="s">
        <v>1258</v>
      </c>
      <c r="C18" s="35">
        <v>3.0</v>
      </c>
      <c r="D18" s="36" t="s">
        <v>32</v>
      </c>
      <c r="E18" s="36" t="s">
        <v>13</v>
      </c>
      <c r="F18" s="36">
        <f>vlookup(D18,'Team Bye List'!$A$1:$B$33,2,False)</f>
        <v>9</v>
      </c>
      <c r="G18" s="37">
        <f>if(ISNA(vlookup($A18, Sleeper!$B$2:$E$330, 4, false)), 0, vlookup($A18, Sleeper!$B$2:$E$330, 4, false))</f>
        <v>34</v>
      </c>
      <c r="H18" s="37">
        <f>if(ISNA(vlookup($A18, ESPN!$B$2:$E$297, 4, false)), 0, vlookup($A18, ESPN!$B$2:$E$297, 4, false))</f>
        <v>44</v>
      </c>
      <c r="I18" s="37">
        <f>if(ISNA(vlookup($A18,'Ultimate Draft Kit'!$B$2:$E$324,4, false)), 0, vlookup($A18,'Ultimate Draft Kit'!$B$2:$E$324, 4, false))</f>
        <v>32</v>
      </c>
      <c r="J18" s="38">
        <f>if(ISNA(vlookup($A18,Rotowire!$B$2:$E$1075,4, false)), 0, vlookup($A18,Rotowire!$B$2:$E$1075, 4, false))</f>
        <v>38</v>
      </c>
      <c r="K18" s="37">
        <f>if(ISNA(vlookup($A18, FantasyPro!$B$2:$E$341,4,false)),0,vlookup($A18,FantasyPro!$B$2:$E$341,4,false))</f>
        <v>38</v>
      </c>
      <c r="L18" s="37">
        <f>if(ISNA(vlookup($A18, FFToolbox!$B$2:$E$414, 4, false)), 0, vlookup($A18, FFToolbox!$B$2:$E$414, 4, false))</f>
        <v>41</v>
      </c>
      <c r="M18" s="39">
        <f t="shared" si="1"/>
        <v>37.83333333</v>
      </c>
      <c r="N18" s="39">
        <f t="shared" si="2"/>
        <v>12</v>
      </c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>
      <c r="A19" s="17" t="s">
        <v>34</v>
      </c>
      <c r="B19" s="35" t="s">
        <v>1258</v>
      </c>
      <c r="C19" s="35">
        <v>3.0</v>
      </c>
      <c r="D19" s="36" t="s">
        <v>35</v>
      </c>
      <c r="E19" s="36" t="s">
        <v>8</v>
      </c>
      <c r="F19" s="36">
        <f>vlookup(D19,'Team Bye List'!$A$1:$B$33,2,False)</f>
        <v>6</v>
      </c>
      <c r="G19" s="37">
        <f>if(ISNA(vlookup($A19, Sleeper!$B$2:$E$330, 4, false)), 0, vlookup($A19, Sleeper!$B$2:$E$330, 4, false))</f>
        <v>41</v>
      </c>
      <c r="H19" s="37">
        <f>if(ISNA(vlookup($A19, ESPN!$B$2:$E$297, 4, false)), 0, vlookup($A19, ESPN!$B$2:$E$297, 4, false))</f>
        <v>42</v>
      </c>
      <c r="I19" s="37">
        <f>if(ISNA(vlookup($A19,'Ultimate Draft Kit'!$B$2:$E$324,4, false)), 0, vlookup($A19,'Ultimate Draft Kit'!$B$2:$E$324, 4, false))</f>
        <v>31</v>
      </c>
      <c r="J19" s="38">
        <f>if(ISNA(vlookup($A19,Rotowire!$B$2:$E$1075,4, false)), 0, vlookup($A19,Rotowire!$B$2:$E$1075, 4, false))</f>
        <v>24</v>
      </c>
      <c r="K19" s="37">
        <f>if(ISNA(vlookup($A19, FantasyPro!$B$2:$E$341,4,false)),0,vlookup($A19,FantasyPro!$B$2:$E$341,4,false))</f>
        <v>40</v>
      </c>
      <c r="L19" s="37">
        <f>if(ISNA(vlookup($A19, FFToolbox!$B$2:$E$414, 4, false)), 0, vlookup($A19, FFToolbox!$B$2:$E$414, 4, false))</f>
        <v>43</v>
      </c>
      <c r="M19" s="39">
        <f t="shared" si="1"/>
        <v>36.83333333</v>
      </c>
      <c r="N19" s="39">
        <f t="shared" si="2"/>
        <v>19</v>
      </c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>
      <c r="A20" s="17" t="s">
        <v>36</v>
      </c>
      <c r="B20" s="35" t="s">
        <v>1258</v>
      </c>
      <c r="C20" s="35">
        <v>3.0</v>
      </c>
      <c r="D20" s="36" t="s">
        <v>37</v>
      </c>
      <c r="E20" s="36" t="s">
        <v>8</v>
      </c>
      <c r="F20" s="36">
        <f>vlookup(D20,'Team Bye List'!$A$1:$B$33,2,False)</f>
        <v>11</v>
      </c>
      <c r="G20" s="37">
        <f>if(ISNA(vlookup($A20, Sleeper!$B$2:$E$330, 4, false)), 0, vlookup($A20, Sleeper!$B$2:$E$330, 4, false))</f>
        <v>40</v>
      </c>
      <c r="H20" s="37">
        <f>if(ISNA(vlookup($A20, ESPN!$B$2:$E$297, 4, false)), 0, vlookup($A20, ESPN!$B$2:$E$297, 4, false))</f>
        <v>40</v>
      </c>
      <c r="I20" s="37">
        <f>if(ISNA(vlookup($A20,'Ultimate Draft Kit'!$B$2:$E$324,4, false)), 0, vlookup($A20,'Ultimate Draft Kit'!$B$2:$E$324, 4, false))</f>
        <v>32</v>
      </c>
      <c r="J20" s="38">
        <f>if(ISNA(vlookup($A20,Rotowire!$B$2:$E$1075,4, false)), 0, vlookup($A20,Rotowire!$B$2:$E$1075, 4, false))</f>
        <v>30</v>
      </c>
      <c r="K20" s="37">
        <f>if(ISNA(vlookup($A20, FantasyPro!$B$2:$E$341,4,false)),0,vlookup($A20,FantasyPro!$B$2:$E$341,4,false))</f>
        <v>35</v>
      </c>
      <c r="L20" s="37">
        <f>if(ISNA(vlookup($A20, FFToolbox!$B$2:$E$414, 4, false)), 0, vlookup($A20, FFToolbox!$B$2:$E$414, 4, false))</f>
        <v>35</v>
      </c>
      <c r="M20" s="39">
        <f t="shared" si="1"/>
        <v>35.33333333</v>
      </c>
      <c r="N20" s="39">
        <f t="shared" si="2"/>
        <v>10</v>
      </c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>
      <c r="A21" s="17" t="s">
        <v>40</v>
      </c>
      <c r="B21" s="35" t="s">
        <v>1258</v>
      </c>
      <c r="C21" s="35">
        <v>2.0</v>
      </c>
      <c r="D21" s="36" t="s">
        <v>41</v>
      </c>
      <c r="E21" s="36" t="s">
        <v>8</v>
      </c>
      <c r="F21" s="36">
        <f>vlookup(D21,'Team Bye List'!$A$1:$B$33,2,False)</f>
        <v>14</v>
      </c>
      <c r="G21" s="37">
        <f>if(ISNA(vlookup($A21, Sleeper!$B$2:$E$330, 4, false)), 0, vlookup($A21, Sleeper!$B$2:$E$330, 4, false))</f>
        <v>44</v>
      </c>
      <c r="H21" s="37">
        <f>if(ISNA(vlookup($A21, ESPN!$B$2:$E$297, 4, false)), 0, vlookup($A21, ESPN!$B$2:$E$297, 4, false))</f>
        <v>37</v>
      </c>
      <c r="I21" s="37">
        <f>if(ISNA(vlookup($A21,'Ultimate Draft Kit'!$B$2:$E$324,4, false)), 0, vlookup($A21,'Ultimate Draft Kit'!$B$2:$E$324, 4, false))</f>
        <v>38</v>
      </c>
      <c r="J21" s="38">
        <f>if(ISNA(vlookup($A21,Rotowire!$B$2:$E$1075,4, false)), 0, vlookup($A21,Rotowire!$B$2:$E$1075, 4, false))</f>
        <v>30</v>
      </c>
      <c r="K21" s="37">
        <f>if(ISNA(vlookup($A21, FantasyPro!$B$2:$E$341,4,false)),0,vlookup($A21,FantasyPro!$B$2:$E$341,4,false))</f>
        <v>36</v>
      </c>
      <c r="L21" s="37">
        <f>if(ISNA(vlookup($A21, FFToolbox!$B$2:$E$414, 4, false)), 0, vlookup($A21, FFToolbox!$B$2:$E$414, 4, false))</f>
        <v>33</v>
      </c>
      <c r="M21" s="39">
        <f t="shared" si="1"/>
        <v>36.33333333</v>
      </c>
      <c r="N21" s="39">
        <f t="shared" si="2"/>
        <v>14</v>
      </c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</row>
    <row r="22">
      <c r="A22" s="17" t="s">
        <v>96</v>
      </c>
      <c r="B22" s="35" t="s">
        <v>1258</v>
      </c>
      <c r="C22" s="35">
        <v>2.0</v>
      </c>
      <c r="D22" s="36" t="s">
        <v>15</v>
      </c>
      <c r="E22" s="36" t="s">
        <v>77</v>
      </c>
      <c r="F22" s="36">
        <f>vlookup(D22,'Team Bye List'!$A$1:$B$33,2,False)</f>
        <v>6</v>
      </c>
      <c r="G22" s="37">
        <f>if(ISNA(vlookup($A22, Sleeper!$B$2:$E$330, 4, false)), 0, vlookup($A22, Sleeper!$B$2:$E$330, 4, false))</f>
        <v>35</v>
      </c>
      <c r="H22" s="37">
        <f>if(ISNA(vlookup($A22, ESPN!$B$2:$E$297, 4, false)), 0, vlookup($A22, ESPN!$B$2:$E$297, 4, false))</f>
        <v>10</v>
      </c>
      <c r="I22" s="37">
        <f>if(ISNA(vlookup($A22,'Ultimate Draft Kit'!$B$2:$E$324,4, false)), 0, vlookup($A22,'Ultimate Draft Kit'!$B$2:$E$324, 4, false))</f>
        <v>45</v>
      </c>
      <c r="J22" s="38">
        <f>if(ISNA(vlookup($A22,Rotowire!$B$2:$E$1075,4, false)), 0, vlookup($A22,Rotowire!$B$2:$E$1075, 4, false))</f>
        <v>60</v>
      </c>
      <c r="K22" s="37">
        <f>if(ISNA(vlookup($A22, FantasyPro!$B$2:$E$341,4,false)),0,vlookup($A22,FantasyPro!$B$2:$E$341,4,false))</f>
        <v>21</v>
      </c>
      <c r="L22" s="37">
        <f>if(ISNA(vlookup($A22, FFToolbox!$B$2:$E$414, 4, false)), 0, vlookup($A22, FFToolbox!$B$2:$E$414, 4, false))</f>
        <v>22</v>
      </c>
      <c r="M22" s="39">
        <f t="shared" si="1"/>
        <v>32.16666667</v>
      </c>
      <c r="N22" s="39">
        <f t="shared" si="2"/>
        <v>50</v>
      </c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</row>
    <row r="23">
      <c r="A23" s="17" t="s">
        <v>56</v>
      </c>
      <c r="B23" s="35" t="s">
        <v>1258</v>
      </c>
      <c r="C23" s="35">
        <v>3.0</v>
      </c>
      <c r="D23" s="36" t="s">
        <v>37</v>
      </c>
      <c r="E23" s="36" t="s">
        <v>13</v>
      </c>
      <c r="F23" s="36">
        <f>vlookup(D23,'Team Bye List'!$A$1:$B$33,2,False)</f>
        <v>11</v>
      </c>
      <c r="G23" s="37">
        <f>if(ISNA(vlookup($A23, Sleeper!$B$2:$E$330, 4, false)), 0, vlookup($A23, Sleeper!$B$2:$E$330, 4, false))</f>
        <v>25</v>
      </c>
      <c r="H23" s="37">
        <f>if(ISNA(vlookup($A23, ESPN!$B$2:$E$297, 4, false)), 0, vlookup($A23, ESPN!$B$2:$E$297, 4, false))</f>
        <v>29</v>
      </c>
      <c r="I23" s="37">
        <f>if(ISNA(vlookup($A23,'Ultimate Draft Kit'!$B$2:$E$324,4, false)), 0, vlookup($A23,'Ultimate Draft Kit'!$B$2:$E$324, 4, false))</f>
        <v>35</v>
      </c>
      <c r="J23" s="38">
        <f>if(ISNA(vlookup($A23,Rotowire!$B$2:$E$1075,4, false)), 0, vlookup($A23,Rotowire!$B$2:$E$1075, 4, false))</f>
        <v>36</v>
      </c>
      <c r="K23" s="37">
        <f>if(ISNA(vlookup($A23, FantasyPro!$B$2:$E$341,4,false)),0,vlookup($A23,FantasyPro!$B$2:$E$341,4,false))</f>
        <v>31</v>
      </c>
      <c r="L23" s="37">
        <f>if(ISNA(vlookup($A23, FFToolbox!$B$2:$E$414, 4, false)), 0, vlookup($A23, FFToolbox!$B$2:$E$414, 4, false))</f>
        <v>35</v>
      </c>
      <c r="M23" s="39">
        <f t="shared" si="1"/>
        <v>31.83333333</v>
      </c>
      <c r="N23" s="39">
        <f t="shared" si="2"/>
        <v>11</v>
      </c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>
      <c r="A24" s="17" t="s">
        <v>38</v>
      </c>
      <c r="B24" s="35" t="s">
        <v>1258</v>
      </c>
      <c r="C24" s="35">
        <v>4.0</v>
      </c>
      <c r="D24" s="36" t="s">
        <v>39</v>
      </c>
      <c r="E24" s="36" t="s">
        <v>13</v>
      </c>
      <c r="F24" s="36">
        <f>vlookup(D24,'Team Bye List'!$A$1:$B$33,2,False)</f>
        <v>11</v>
      </c>
      <c r="G24" s="37">
        <f>if(ISNA(vlookup($A24, Sleeper!$B$2:$E$330, 4, false)), 0, vlookup($A24, Sleeper!$B$2:$E$330, 4, false))</f>
        <v>27</v>
      </c>
      <c r="H24" s="37">
        <f>if(ISNA(vlookup($A24, ESPN!$B$2:$E$297, 4, false)), 0, vlookup($A24, ESPN!$B$2:$E$297, 4, false))</f>
        <v>38</v>
      </c>
      <c r="I24" s="37">
        <f>if(ISNA(vlookup($A24,'Ultimate Draft Kit'!$B$2:$E$324,4, false)), 0, vlookup($A24,'Ultimate Draft Kit'!$B$2:$E$324, 4, false))</f>
        <v>27</v>
      </c>
      <c r="J24" s="38">
        <f>if(ISNA(vlookup($A24,Rotowire!$B$2:$E$1075,4, false)), 0, vlookup($A24,Rotowire!$B$2:$E$1075, 4, false))</f>
        <v>33</v>
      </c>
      <c r="K24" s="37">
        <f>if(ISNA(vlookup($A24, FantasyPro!$B$2:$E$341,4,false)),0,vlookup($A24,FantasyPro!$B$2:$E$341,4,false))</f>
        <v>29</v>
      </c>
      <c r="L24" s="37">
        <f>if(ISNA(vlookup($A24, FFToolbox!$B$2:$E$414, 4, false)), 0, vlookup($A24, FFToolbox!$B$2:$E$414, 4, false))</f>
        <v>34</v>
      </c>
      <c r="M24" s="39">
        <f t="shared" si="1"/>
        <v>31.33333333</v>
      </c>
      <c r="N24" s="39">
        <f t="shared" si="2"/>
        <v>11</v>
      </c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>
      <c r="A25" s="17" t="s">
        <v>86</v>
      </c>
      <c r="B25" s="35" t="s">
        <v>1258</v>
      </c>
      <c r="C25" s="35">
        <v>3.0</v>
      </c>
      <c r="D25" s="36" t="s">
        <v>62</v>
      </c>
      <c r="E25" s="36" t="s">
        <v>77</v>
      </c>
      <c r="F25" s="36">
        <f>vlookup(D25,'Team Bye List'!$A$1:$B$33,2,False)</f>
        <v>8</v>
      </c>
      <c r="G25" s="37">
        <f>if(ISNA(vlookup($A25, Sleeper!$B$2:$E$330, 4, false)), 0, vlookup($A25, Sleeper!$B$2:$E$330, 4, false))</f>
        <v>29</v>
      </c>
      <c r="H25" s="37">
        <f>if(ISNA(vlookup($A25, ESPN!$B$2:$E$297, 4, false)), 0, vlookup($A25, ESPN!$B$2:$E$297, 4, false))</f>
        <v>14</v>
      </c>
      <c r="I25" s="37">
        <f>if(ISNA(vlookup($A25,'Ultimate Draft Kit'!$B$2:$E$324,4, false)), 0, vlookup($A25,'Ultimate Draft Kit'!$B$2:$E$324, 4, false))</f>
        <v>37</v>
      </c>
      <c r="J25" s="38">
        <f>if(ISNA(vlookup($A25,Rotowire!$B$2:$E$1075,4, false)), 0, vlookup($A25,Rotowire!$B$2:$E$1075, 4, false))</f>
        <v>77</v>
      </c>
      <c r="K25" s="37">
        <f>if(ISNA(vlookup($A25, FantasyPro!$B$2:$E$341,4,false)),0,vlookup($A25,FantasyPro!$B$2:$E$341,4,false))</f>
        <v>0</v>
      </c>
      <c r="L25" s="37">
        <f>if(ISNA(vlookup($A25, FFToolbox!$B$2:$E$414, 4, false)), 0, vlookup($A25, FFToolbox!$B$2:$E$414, 4, false))</f>
        <v>22</v>
      </c>
      <c r="M25" s="39">
        <f t="shared" si="1"/>
        <v>29.83333333</v>
      </c>
      <c r="N25" s="39">
        <f t="shared" si="2"/>
        <v>77</v>
      </c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>
      <c r="A26" s="17" t="s">
        <v>44</v>
      </c>
      <c r="B26" s="35" t="s">
        <v>1258</v>
      </c>
      <c r="C26" s="35">
        <v>3.0</v>
      </c>
      <c r="D26" s="36" t="s">
        <v>45</v>
      </c>
      <c r="E26" s="36" t="s">
        <v>8</v>
      </c>
      <c r="F26" s="36">
        <f>vlookup(D26,'Team Bye List'!$A$1:$B$33,2,False)</f>
        <v>13</v>
      </c>
      <c r="G26" s="37">
        <f>if(ISNA(vlookup($A26, Sleeper!$B$2:$E$330, 4, false)), 0, vlookup($A26, Sleeper!$B$2:$E$330, 4, false))</f>
        <v>45</v>
      </c>
      <c r="H26" s="37">
        <f>if(ISNA(vlookup($A26, ESPN!$B$2:$E$297, 4, false)), 0, vlookup($A26, ESPN!$B$2:$E$297, 4, false))</f>
        <v>35</v>
      </c>
      <c r="I26" s="37">
        <f>if(ISNA(vlookup($A26,'Ultimate Draft Kit'!$B$2:$E$324,4, false)), 0, vlookup($A26,'Ultimate Draft Kit'!$B$2:$E$324, 4, false))</f>
        <v>30</v>
      </c>
      <c r="J26" s="38">
        <f>if(ISNA(vlookup($A26,Rotowire!$B$2:$E$1075,4, false)), 0, vlookup($A26,Rotowire!$B$2:$E$1075, 4, false))</f>
        <v>26</v>
      </c>
      <c r="K26" s="37">
        <f>if(ISNA(vlookup($A26, FantasyPro!$B$2:$E$341,4,false)),0,vlookup($A26,FantasyPro!$B$2:$E$341,4,false))</f>
        <v>26</v>
      </c>
      <c r="L26" s="37">
        <f>if(ISNA(vlookup($A26, FFToolbox!$B$2:$E$414, 4, false)), 0, vlookup($A26, FFToolbox!$B$2:$E$414, 4, false))</f>
        <v>30</v>
      </c>
      <c r="M26" s="39">
        <f t="shared" si="1"/>
        <v>32</v>
      </c>
      <c r="N26" s="39">
        <f t="shared" si="2"/>
        <v>19</v>
      </c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</row>
    <row r="27">
      <c r="A27" s="17" t="s">
        <v>46</v>
      </c>
      <c r="B27" s="35" t="s">
        <v>1258</v>
      </c>
      <c r="C27" s="35">
        <v>3.0</v>
      </c>
      <c r="D27" s="36" t="s">
        <v>47</v>
      </c>
      <c r="E27" s="36" t="s">
        <v>8</v>
      </c>
      <c r="F27" s="36">
        <f>vlookup(D27,'Team Bye List'!$A$1:$B$33,2,False)</f>
        <v>14</v>
      </c>
      <c r="G27" s="37">
        <f>if(ISNA(vlookup($A27, Sleeper!$B$2:$E$330, 4, false)), 0, vlookup($A27, Sleeper!$B$2:$E$330, 4, false))</f>
        <v>40</v>
      </c>
      <c r="H27" s="37">
        <f>if(ISNA(vlookup($A27, ESPN!$B$2:$E$297, 4, false)), 0, vlookup($A27, ESPN!$B$2:$E$297, 4, false))</f>
        <v>34</v>
      </c>
      <c r="I27" s="37">
        <f>if(ISNA(vlookup($A27,'Ultimate Draft Kit'!$B$2:$E$324,4, false)), 0, vlookup($A27,'Ultimate Draft Kit'!$B$2:$E$324, 4, false))</f>
        <v>33</v>
      </c>
      <c r="J27" s="38">
        <f>if(ISNA(vlookup($A27,Rotowire!$B$2:$E$1075,4, false)), 0, vlookup($A27,Rotowire!$B$2:$E$1075, 4, false))</f>
        <v>16</v>
      </c>
      <c r="K27" s="37">
        <f>if(ISNA(vlookup($A27, FantasyPro!$B$2:$E$341,4,false)),0,vlookup($A27,FantasyPro!$B$2:$E$341,4,false))</f>
        <v>35</v>
      </c>
      <c r="L27" s="37">
        <f>if(ISNA(vlookup($A27, FFToolbox!$B$2:$E$414, 4, false)), 0, vlookup($A27, FFToolbox!$B$2:$E$414, 4, false))</f>
        <v>32</v>
      </c>
      <c r="M27" s="39">
        <f t="shared" si="1"/>
        <v>31.66666667</v>
      </c>
      <c r="N27" s="39">
        <f t="shared" si="2"/>
        <v>24</v>
      </c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>
      <c r="A28" s="17" t="s">
        <v>50</v>
      </c>
      <c r="B28" s="35" t="s">
        <v>1258</v>
      </c>
      <c r="C28" s="35">
        <v>4.0</v>
      </c>
      <c r="D28" s="36" t="s">
        <v>19</v>
      </c>
      <c r="E28" s="36" t="s">
        <v>13</v>
      </c>
      <c r="F28" s="36">
        <f>vlookup(D28,'Team Bye List'!$A$1:$B$33,2,False)</f>
        <v>10</v>
      </c>
      <c r="G28" s="37">
        <f>if(ISNA(vlookup($A28, Sleeper!$B$2:$E$330, 4, false)), 0, vlookup($A28, Sleeper!$B$2:$E$330, 4, false))</f>
        <v>25</v>
      </c>
      <c r="H28" s="37">
        <f>if(ISNA(vlookup($A28, ESPN!$B$2:$E$297, 4, false)), 0, vlookup($A28, ESPN!$B$2:$E$297, 4, false))</f>
        <v>32</v>
      </c>
      <c r="I28" s="37">
        <f>if(ISNA(vlookup($A28,'Ultimate Draft Kit'!$B$2:$E$324,4, false)), 0, vlookup($A28,'Ultimate Draft Kit'!$B$2:$E$324, 4, false))</f>
        <v>26</v>
      </c>
      <c r="J28" s="38">
        <f>if(ISNA(vlookup($A28,Rotowire!$B$2:$E$1075,4, false)), 0, vlookup($A28,Rotowire!$B$2:$E$1075, 4, false))</f>
        <v>31</v>
      </c>
      <c r="K28" s="37">
        <f>if(ISNA(vlookup($A28, FantasyPro!$B$2:$E$341,4,false)),0,vlookup($A28,FantasyPro!$B$2:$E$341,4,false))</f>
        <v>26</v>
      </c>
      <c r="L28" s="37">
        <f>if(ISNA(vlookup($A28, FFToolbox!$B$2:$E$414, 4, false)), 0, vlookup($A28, FFToolbox!$B$2:$E$414, 4, false))</f>
        <v>27</v>
      </c>
      <c r="M28" s="39">
        <f t="shared" si="1"/>
        <v>27.83333333</v>
      </c>
      <c r="N28" s="39">
        <f t="shared" si="2"/>
        <v>7</v>
      </c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>
      <c r="A29" s="17" t="s">
        <v>42</v>
      </c>
      <c r="B29" s="35" t="s">
        <v>1258</v>
      </c>
      <c r="C29" s="35">
        <v>4.0</v>
      </c>
      <c r="D29" s="36" t="s">
        <v>43</v>
      </c>
      <c r="E29" s="36" t="s">
        <v>8</v>
      </c>
      <c r="F29" s="36">
        <f>vlookup(D29,'Team Bye List'!$A$1:$B$33,2,False)</f>
        <v>9</v>
      </c>
      <c r="G29" s="37">
        <f>if(ISNA(vlookup($A29, Sleeper!$B$2:$E$330, 4, false)), 0, vlookup($A29, Sleeper!$B$2:$E$330, 4, false))</f>
        <v>38</v>
      </c>
      <c r="H29" s="37">
        <f>if(ISNA(vlookup($A29, ESPN!$B$2:$E$297, 4, false)), 0, vlookup($A29, ESPN!$B$2:$E$297, 4, false))</f>
        <v>36</v>
      </c>
      <c r="I29" s="37">
        <f>if(ISNA(vlookup($A29,'Ultimate Draft Kit'!$B$2:$E$324,4, false)), 0, vlookup($A29,'Ultimate Draft Kit'!$B$2:$E$324, 4, false))</f>
        <v>26</v>
      </c>
      <c r="J29" s="38">
        <f>if(ISNA(vlookup($A29,Rotowire!$B$2:$E$1075,4, false)), 0, vlookup($A29,Rotowire!$B$2:$E$1075, 4, false))</f>
        <v>21</v>
      </c>
      <c r="K29" s="37">
        <f>if(ISNA(vlookup($A29, FantasyPro!$B$2:$E$341,4,false)),0,vlookup($A29,FantasyPro!$B$2:$E$341,4,false))</f>
        <v>33</v>
      </c>
      <c r="L29" s="37">
        <f>if(ISNA(vlookup($A29, FFToolbox!$B$2:$E$414, 4, false)), 0, vlookup($A29, FFToolbox!$B$2:$E$414, 4, false))</f>
        <v>32</v>
      </c>
      <c r="M29" s="39">
        <f t="shared" si="1"/>
        <v>31</v>
      </c>
      <c r="N29" s="39">
        <f t="shared" si="2"/>
        <v>17</v>
      </c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>
      <c r="A30" s="17" t="s">
        <v>122</v>
      </c>
      <c r="B30" s="35" t="s">
        <v>1258</v>
      </c>
      <c r="C30" s="35">
        <v>3.0</v>
      </c>
      <c r="D30" s="36" t="s">
        <v>64</v>
      </c>
      <c r="E30" s="36" t="s">
        <v>77</v>
      </c>
      <c r="F30" s="36">
        <f>vlookup(D30,'Team Bye List'!$A$1:$B$33,2,False)</f>
        <v>7</v>
      </c>
      <c r="G30" s="37">
        <f>if(ISNA(vlookup($A30, Sleeper!$B$2:$E$330, 4, false)), 0, vlookup($A30, Sleeper!$B$2:$E$330, 4, false))</f>
        <v>22</v>
      </c>
      <c r="H30" s="37">
        <f>if(ISNA(vlookup($A30, ESPN!$B$2:$E$297, 4, false)), 0, vlookup($A30, ESPN!$B$2:$E$297, 4, false))</f>
        <v>4</v>
      </c>
      <c r="I30" s="37">
        <f>if(ISNA(vlookup($A30,'Ultimate Draft Kit'!$B$2:$E$324,4, false)), 0, vlookup($A30,'Ultimate Draft Kit'!$B$2:$E$324, 4, false))</f>
        <v>39</v>
      </c>
      <c r="J30" s="38">
        <f>if(ISNA(vlookup($A30,Rotowire!$B$2:$E$1075,4, false)), 0, vlookup($A30,Rotowire!$B$2:$E$1075, 4, false))</f>
        <v>52</v>
      </c>
      <c r="K30" s="37">
        <f>if(ISNA(vlookup($A30, FantasyPro!$B$2:$E$341,4,false)),0,vlookup($A30,FantasyPro!$B$2:$E$341,4,false))</f>
        <v>14</v>
      </c>
      <c r="L30" s="37">
        <f>if(ISNA(vlookup($A30, FFToolbox!$B$2:$E$414, 4, false)), 0, vlookup($A30, FFToolbox!$B$2:$E$414, 4, false))</f>
        <v>15</v>
      </c>
      <c r="M30" s="39">
        <f t="shared" si="1"/>
        <v>24.33333333</v>
      </c>
      <c r="N30" s="39">
        <f t="shared" si="2"/>
        <v>48</v>
      </c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>
      <c r="A31" s="17" t="s">
        <v>120</v>
      </c>
      <c r="B31" s="35" t="s">
        <v>1258</v>
      </c>
      <c r="C31" s="35">
        <v>2.0</v>
      </c>
      <c r="D31" s="36" t="s">
        <v>45</v>
      </c>
      <c r="E31" s="36" t="s">
        <v>77</v>
      </c>
      <c r="F31" s="36">
        <f>vlookup(D31,'Team Bye List'!$A$1:$B$33,2,False)</f>
        <v>13</v>
      </c>
      <c r="G31" s="37">
        <f>if(ISNA(vlookup($A31, Sleeper!$B$2:$E$330, 4, false)), 0, vlookup($A31, Sleeper!$B$2:$E$330, 4, false))</f>
        <v>26</v>
      </c>
      <c r="H31" s="37">
        <f>if(ISNA(vlookup($A31, ESPN!$B$2:$E$297, 4, false)), 0, vlookup($A31, ESPN!$B$2:$E$297, 4, false))</f>
        <v>4</v>
      </c>
      <c r="I31" s="37">
        <f>if(ISNA(vlookup($A31,'Ultimate Draft Kit'!$B$2:$E$324,4, false)), 0, vlookup($A31,'Ultimate Draft Kit'!$B$2:$E$324, 4, false))</f>
        <v>37</v>
      </c>
      <c r="J31" s="38">
        <f>if(ISNA(vlookup($A31,Rotowire!$B$2:$E$1075,4, false)), 0, vlookup($A31,Rotowire!$B$2:$E$1075, 4, false))</f>
        <v>44</v>
      </c>
      <c r="K31" s="37">
        <f>if(ISNA(vlookup($A31, FantasyPro!$B$2:$E$341,4,false)),0,vlookup($A31,FantasyPro!$B$2:$E$341,4,false))</f>
        <v>15</v>
      </c>
      <c r="L31" s="37">
        <f>if(ISNA(vlookup($A31, FFToolbox!$B$2:$E$414, 4, false)), 0, vlookup($A31, FFToolbox!$B$2:$E$414, 4, false))</f>
        <v>19</v>
      </c>
      <c r="M31" s="39">
        <f t="shared" si="1"/>
        <v>24.16666667</v>
      </c>
      <c r="N31" s="39">
        <f t="shared" si="2"/>
        <v>40</v>
      </c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</row>
    <row r="32">
      <c r="A32" s="17" t="s">
        <v>49</v>
      </c>
      <c r="B32" s="35" t="s">
        <v>1258</v>
      </c>
      <c r="C32" s="35">
        <v>4.0</v>
      </c>
      <c r="D32" s="36" t="s">
        <v>15</v>
      </c>
      <c r="E32" s="36" t="s">
        <v>13</v>
      </c>
      <c r="F32" s="36">
        <f>vlookup(D32,'Team Bye List'!$A$1:$B$33,2,False)</f>
        <v>6</v>
      </c>
      <c r="G32" s="37">
        <f>if(ISNA(vlookup($A32, Sleeper!$B$2:$E$330, 4, false)), 0, vlookup($A32, Sleeper!$B$2:$E$330, 4, false))</f>
        <v>22</v>
      </c>
      <c r="H32" s="37">
        <f>if(ISNA(vlookup($A32, ESPN!$B$2:$E$297, 4, false)), 0, vlookup($A32, ESPN!$B$2:$E$297, 4, false))</f>
        <v>32</v>
      </c>
      <c r="I32" s="37">
        <f>if(ISNA(vlookup($A32,'Ultimate Draft Kit'!$B$2:$E$324,4, false)), 0, vlookup($A32,'Ultimate Draft Kit'!$B$2:$E$324, 4, false))</f>
        <v>24</v>
      </c>
      <c r="J32" s="38">
        <f>if(ISNA(vlookup($A32,Rotowire!$B$2:$E$1075,4, false)), 0, vlookup($A32,Rotowire!$B$2:$E$1075, 4, false))</f>
        <v>22</v>
      </c>
      <c r="K32" s="37">
        <f>if(ISNA(vlookup($A32, FantasyPro!$B$2:$E$341,4,false)),0,vlookup($A32,FantasyPro!$B$2:$E$341,4,false))</f>
        <v>29</v>
      </c>
      <c r="L32" s="37">
        <f>if(ISNA(vlookup($A32, FFToolbox!$B$2:$E$414, 4, false)), 0, vlookup($A32, FFToolbox!$B$2:$E$414, 4, false))</f>
        <v>26</v>
      </c>
      <c r="M32" s="39">
        <f t="shared" si="1"/>
        <v>25.83333333</v>
      </c>
      <c r="N32" s="39">
        <f t="shared" si="2"/>
        <v>10</v>
      </c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</row>
    <row r="33">
      <c r="A33" s="17" t="s">
        <v>112</v>
      </c>
      <c r="B33" s="35" t="s">
        <v>1258</v>
      </c>
      <c r="C33" s="35">
        <v>3.0</v>
      </c>
      <c r="D33" s="36" t="s">
        <v>58</v>
      </c>
      <c r="E33" s="36" t="s">
        <v>77</v>
      </c>
      <c r="F33" s="36">
        <f>vlookup(D33,'Team Bye List'!$A$1:$B$33,2,False)</f>
        <v>10</v>
      </c>
      <c r="G33" s="37">
        <f>if(ISNA(vlookup($A33, Sleeper!$B$2:$E$330, 4, false)), 0, vlookup($A33, Sleeper!$B$2:$E$330, 4, false))</f>
        <v>27</v>
      </c>
      <c r="H33" s="37">
        <f>if(ISNA(vlookup($A33, ESPN!$B$2:$E$297, 4, false)), 0, vlookup($A33, ESPN!$B$2:$E$297, 4, false))</f>
        <v>6</v>
      </c>
      <c r="I33" s="37">
        <f>if(ISNA(vlookup($A33,'Ultimate Draft Kit'!$B$2:$E$324,4, false)), 0, vlookup($A33,'Ultimate Draft Kit'!$B$2:$E$324, 4, false))</f>
        <v>37</v>
      </c>
      <c r="J33" s="38">
        <f>if(ISNA(vlookup($A33,Rotowire!$B$2:$E$1075,4, false)), 0, vlookup($A33,Rotowire!$B$2:$E$1075, 4, false))</f>
        <v>43</v>
      </c>
      <c r="K33" s="37">
        <f>if(ISNA(vlookup($A33, FantasyPro!$B$2:$E$341,4,false)),0,vlookup($A33,FantasyPro!$B$2:$E$341,4,false))</f>
        <v>16</v>
      </c>
      <c r="L33" s="37">
        <f>if(ISNA(vlookup($A33, FFToolbox!$B$2:$E$414, 4, false)), 0, vlookup($A33, FFToolbox!$B$2:$E$414, 4, false))</f>
        <v>19</v>
      </c>
      <c r="M33" s="39">
        <f t="shared" si="1"/>
        <v>24.66666667</v>
      </c>
      <c r="N33" s="39">
        <f t="shared" si="2"/>
        <v>37</v>
      </c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</row>
    <row r="34">
      <c r="A34" s="17" t="s">
        <v>52</v>
      </c>
      <c r="B34" s="35" t="s">
        <v>1258</v>
      </c>
      <c r="C34" s="35">
        <v>4.0</v>
      </c>
      <c r="D34" s="36" t="s">
        <v>53</v>
      </c>
      <c r="E34" s="36" t="s">
        <v>8</v>
      </c>
      <c r="F34" s="36">
        <f>vlookup(D34,'Team Bye List'!$A$1:$B$33,2,False)</f>
        <v>9</v>
      </c>
      <c r="G34" s="37">
        <f>if(ISNA(vlookup($A34, Sleeper!$B$2:$E$330, 4, false)), 0, vlookup($A34, Sleeper!$B$2:$E$330, 4, false))</f>
        <v>45</v>
      </c>
      <c r="H34" s="37">
        <f>if(ISNA(vlookup($A34, ESPN!$B$2:$E$297, 4, false)), 0, vlookup($A34, ESPN!$B$2:$E$297, 4, false))</f>
        <v>30</v>
      </c>
      <c r="I34" s="37">
        <f>if(ISNA(vlookup($A34,'Ultimate Draft Kit'!$B$2:$E$324,4, false)), 0, vlookup($A34,'Ultimate Draft Kit'!$B$2:$E$324, 4, false))</f>
        <v>25</v>
      </c>
      <c r="J34" s="38">
        <f>if(ISNA(vlookup($A34,Rotowire!$B$2:$E$1075,4, false)), 0, vlookup($A34,Rotowire!$B$2:$E$1075, 4, false))</f>
        <v>9</v>
      </c>
      <c r="K34" s="37">
        <f>if(ISNA(vlookup($A34, FantasyPro!$B$2:$E$341,4,false)),0,vlookup($A34,FantasyPro!$B$2:$E$341,4,false))</f>
        <v>37</v>
      </c>
      <c r="L34" s="37">
        <f>if(ISNA(vlookup($A34, FFToolbox!$B$2:$E$414, 4, false)), 0, vlookup($A34, FFToolbox!$B$2:$E$414, 4, false))</f>
        <v>38</v>
      </c>
      <c r="M34" s="39">
        <f t="shared" si="1"/>
        <v>30.66666667</v>
      </c>
      <c r="N34" s="39">
        <f t="shared" si="2"/>
        <v>36</v>
      </c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</row>
    <row r="35">
      <c r="A35" s="17" t="s">
        <v>63</v>
      </c>
      <c r="B35" s="35" t="s">
        <v>1258</v>
      </c>
      <c r="C35" s="35">
        <v>4.0</v>
      </c>
      <c r="D35" s="36" t="s">
        <v>64</v>
      </c>
      <c r="E35" s="36" t="s">
        <v>13</v>
      </c>
      <c r="F35" s="36">
        <f>vlookup(D35,'Team Bye List'!$A$1:$B$33,2,False)</f>
        <v>7</v>
      </c>
      <c r="G35" s="37">
        <f>if(ISNA(vlookup($A35, Sleeper!$B$2:$E$330, 4, false)), 0, vlookup($A35, Sleeper!$B$2:$E$330, 4, false))</f>
        <v>27</v>
      </c>
      <c r="H35" s="37">
        <f>if(ISNA(vlookup($A35, ESPN!$B$2:$E$297, 4, false)), 0, vlookup($A35, ESPN!$B$2:$E$297, 4, false))</f>
        <v>25</v>
      </c>
      <c r="I35" s="37">
        <f>if(ISNA(vlookup($A35,'Ultimate Draft Kit'!$B$2:$E$324,4, false)), 0, vlookup($A35,'Ultimate Draft Kit'!$B$2:$E$324, 4, false))</f>
        <v>23</v>
      </c>
      <c r="J35" s="38">
        <f>if(ISNA(vlookup($A35,Rotowire!$B$2:$E$1075,4, false)), 0, vlookup($A35,Rotowire!$B$2:$E$1075, 4, false))</f>
        <v>25</v>
      </c>
      <c r="K35" s="37">
        <f>if(ISNA(vlookup($A35, FantasyPro!$B$2:$E$341,4,false)),0,vlookup($A35,FantasyPro!$B$2:$E$341,4,false))</f>
        <v>28</v>
      </c>
      <c r="L35" s="37">
        <f>if(ISNA(vlookup($A35, FFToolbox!$B$2:$E$414, 4, false)), 0, vlookup($A35, FFToolbox!$B$2:$E$414, 4, false))</f>
        <v>26</v>
      </c>
      <c r="M35" s="39">
        <f t="shared" si="1"/>
        <v>25.66666667</v>
      </c>
      <c r="N35" s="39">
        <f t="shared" si="2"/>
        <v>5</v>
      </c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36">
      <c r="A36" s="17" t="s">
        <v>65</v>
      </c>
      <c r="B36" s="35" t="s">
        <v>1258</v>
      </c>
      <c r="C36" s="35">
        <v>4.0</v>
      </c>
      <c r="D36" s="36" t="s">
        <v>66</v>
      </c>
      <c r="E36" s="36" t="s">
        <v>8</v>
      </c>
      <c r="F36" s="36">
        <f>vlookup(D36,'Team Bye List'!$A$1:$B$33,2,False)</f>
        <v>9</v>
      </c>
      <c r="G36" s="37">
        <f>if(ISNA(vlookup($A36, Sleeper!$B$2:$E$330, 4, false)), 0, vlookup($A36, Sleeper!$B$2:$E$330, 4, false))</f>
        <v>44</v>
      </c>
      <c r="H36" s="37">
        <f>if(ISNA(vlookup($A36, ESPN!$B$2:$E$297, 4, false)), 0, vlookup($A36, ESPN!$B$2:$E$297, 4, false))</f>
        <v>24</v>
      </c>
      <c r="I36" s="37">
        <f>if(ISNA(vlookup($A36,'Ultimate Draft Kit'!$B$2:$E$324,4, false)), 0, vlookup($A36,'Ultimate Draft Kit'!$B$2:$E$324, 4, false))</f>
        <v>27</v>
      </c>
      <c r="J36" s="38">
        <f>if(ISNA(vlookup($A36,Rotowire!$B$2:$E$1075,4, false)), 0, vlookup($A36,Rotowire!$B$2:$E$1075, 4, false))</f>
        <v>21</v>
      </c>
      <c r="K36" s="37">
        <f>if(ISNA(vlookup($A36, FantasyPro!$B$2:$E$341,4,false)),0,vlookup($A36,FantasyPro!$B$2:$E$341,4,false))</f>
        <v>35</v>
      </c>
      <c r="L36" s="37">
        <f>if(ISNA(vlookup($A36, FFToolbox!$B$2:$E$414, 4, false)), 0, vlookup($A36, FFToolbox!$B$2:$E$414, 4, false))</f>
        <v>25</v>
      </c>
      <c r="M36" s="39">
        <f t="shared" si="1"/>
        <v>29.33333333</v>
      </c>
      <c r="N36" s="39">
        <f t="shared" si="2"/>
        <v>23</v>
      </c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</row>
    <row r="37">
      <c r="A37" s="17" t="s">
        <v>79</v>
      </c>
      <c r="B37" s="35" t="s">
        <v>1258</v>
      </c>
      <c r="C37" s="35">
        <v>4.0</v>
      </c>
      <c r="D37" s="36" t="s">
        <v>15</v>
      </c>
      <c r="E37" s="36" t="s">
        <v>13</v>
      </c>
      <c r="F37" s="36">
        <f>vlookup(D37,'Team Bye List'!$A$1:$B$33,2,False)</f>
        <v>6</v>
      </c>
      <c r="G37" s="37">
        <f>if(ISNA(vlookup($A37, Sleeper!$B$2:$E$330, 4, false)), 0, vlookup($A37, Sleeper!$B$2:$E$330, 4, false))</f>
        <v>20</v>
      </c>
      <c r="H37" s="37">
        <f>if(ISNA(vlookup($A37, ESPN!$B$2:$E$297, 4, false)), 0, vlookup($A37, ESPN!$B$2:$E$297, 4, false))</f>
        <v>18</v>
      </c>
      <c r="I37" s="37">
        <f>if(ISNA(vlookup($A37,'Ultimate Draft Kit'!$B$2:$E$324,4, false)), 0, vlookup($A37,'Ultimate Draft Kit'!$B$2:$E$324, 4, false))</f>
        <v>29</v>
      </c>
      <c r="J37" s="38">
        <f>if(ISNA(vlookup($A37,Rotowire!$B$2:$E$1075,4, false)), 0, vlookup($A37,Rotowire!$B$2:$E$1075, 4, false))</f>
        <v>25</v>
      </c>
      <c r="K37" s="37">
        <f>if(ISNA(vlookup($A37, FantasyPro!$B$2:$E$341,4,false)),0,vlookup($A37,FantasyPro!$B$2:$E$341,4,false))</f>
        <v>19</v>
      </c>
      <c r="L37" s="37">
        <f>if(ISNA(vlookup($A37, FFToolbox!$B$2:$E$414, 4, false)), 0, vlookup($A37, FFToolbox!$B$2:$E$414, 4, false))</f>
        <v>22</v>
      </c>
      <c r="M37" s="39">
        <f t="shared" si="1"/>
        <v>22.16666667</v>
      </c>
      <c r="N37" s="39">
        <f t="shared" si="2"/>
        <v>11</v>
      </c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</row>
    <row r="38">
      <c r="A38" s="17" t="s">
        <v>121</v>
      </c>
      <c r="B38" s="35" t="s">
        <v>1258</v>
      </c>
      <c r="C38" s="35">
        <v>4.0</v>
      </c>
      <c r="D38" s="36" t="s">
        <v>32</v>
      </c>
      <c r="E38" s="36" t="s">
        <v>77</v>
      </c>
      <c r="F38" s="36">
        <f>vlookup(D38,'Team Bye List'!$A$1:$B$33,2,False)</f>
        <v>9</v>
      </c>
      <c r="G38" s="37">
        <f>if(ISNA(vlookup($A38, Sleeper!$B$2:$E$330, 4, false)), 0, vlookup($A38, Sleeper!$B$2:$E$330, 4, false))</f>
        <v>10</v>
      </c>
      <c r="H38" s="37">
        <f>if(ISNA(vlookup($A38, ESPN!$B$2:$E$297, 4, false)), 0, vlookup($A38, ESPN!$B$2:$E$297, 4, false))</f>
        <v>4</v>
      </c>
      <c r="I38" s="37">
        <f>if(ISNA(vlookup($A38,'Ultimate Draft Kit'!$B$2:$E$324,4, false)), 0, vlookup($A38,'Ultimate Draft Kit'!$B$2:$E$324, 4, false))</f>
        <v>23</v>
      </c>
      <c r="J38" s="38">
        <f>if(ISNA(vlookup($A38,Rotowire!$B$2:$E$1075,4, false)), 0, vlookup($A38,Rotowire!$B$2:$E$1075, 4, false))</f>
        <v>47</v>
      </c>
      <c r="K38" s="37">
        <f>if(ISNA(vlookup($A38, FantasyPro!$B$2:$E$341,4,false)),0,vlookup($A38,FantasyPro!$B$2:$E$341,4,false))</f>
        <v>9</v>
      </c>
      <c r="L38" s="37">
        <f>if(ISNA(vlookup($A38, FFToolbox!$B$2:$E$414, 4, false)), 0, vlookup($A38, FFToolbox!$B$2:$E$414, 4, false))</f>
        <v>17</v>
      </c>
      <c r="M38" s="39">
        <f t="shared" si="1"/>
        <v>18.33333333</v>
      </c>
      <c r="N38" s="39">
        <f t="shared" si="2"/>
        <v>43</v>
      </c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</row>
    <row r="39">
      <c r="A39" s="17" t="s">
        <v>123</v>
      </c>
      <c r="B39" s="35" t="s">
        <v>1258</v>
      </c>
      <c r="C39" s="35">
        <v>4.0</v>
      </c>
      <c r="D39" s="36" t="s">
        <v>37</v>
      </c>
      <c r="E39" s="36" t="s">
        <v>77</v>
      </c>
      <c r="F39" s="36">
        <f>vlookup(D39,'Team Bye List'!$A$1:$B$33,2,False)</f>
        <v>11</v>
      </c>
      <c r="G39" s="37">
        <f>if(ISNA(vlookup($A39, Sleeper!$B$2:$E$330, 4, false)), 0, vlookup($A39, Sleeper!$B$2:$E$330, 4, false))</f>
        <v>19</v>
      </c>
      <c r="H39" s="37">
        <f>if(ISNA(vlookup($A39, ESPN!$B$2:$E$297, 4, false)), 0, vlookup($A39, ESPN!$B$2:$E$297, 4, false))</f>
        <v>4</v>
      </c>
      <c r="I39" s="37">
        <f>if(ISNA(vlookup($A39,'Ultimate Draft Kit'!$B$2:$E$324,4, false)), 0, vlookup($A39,'Ultimate Draft Kit'!$B$2:$E$324, 4, false))</f>
        <v>33</v>
      </c>
      <c r="J39" s="38">
        <f>if(ISNA(vlookup($A39,Rotowire!$B$2:$E$1075,4, false)), 0, vlookup($A39,Rotowire!$B$2:$E$1075, 4, false))</f>
        <v>42</v>
      </c>
      <c r="K39" s="37">
        <f>if(ISNA(vlookup($A39, FantasyPro!$B$2:$E$341,4,false)),0,vlookup($A39,FantasyPro!$B$2:$E$341,4,false))</f>
        <v>10</v>
      </c>
      <c r="L39" s="37">
        <f>if(ISNA(vlookup($A39, FFToolbox!$B$2:$E$414, 4, false)), 0, vlookup($A39, FFToolbox!$B$2:$E$414, 4, false))</f>
        <v>15</v>
      </c>
      <c r="M39" s="39">
        <f t="shared" si="1"/>
        <v>20.5</v>
      </c>
      <c r="N39" s="39">
        <f t="shared" si="2"/>
        <v>38</v>
      </c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</row>
    <row r="40">
      <c r="A40" s="17" t="s">
        <v>54</v>
      </c>
      <c r="B40" s="35" t="s">
        <v>1258</v>
      </c>
      <c r="C40" s="35">
        <v>5.0</v>
      </c>
      <c r="D40" s="36" t="s">
        <v>55</v>
      </c>
      <c r="E40" s="36" t="s">
        <v>8</v>
      </c>
      <c r="F40" s="36">
        <f>vlookup(D40,'Team Bye List'!$A$1:$B$33,2,False)</f>
        <v>14</v>
      </c>
      <c r="G40" s="37">
        <f>if(ISNA(vlookup($A40, Sleeper!$B$2:$E$330, 4, false)), 0, vlookup($A40, Sleeper!$B$2:$E$330, 4, false))</f>
        <v>28</v>
      </c>
      <c r="H40" s="37">
        <f>if(ISNA(vlookup($A40, ESPN!$B$2:$E$297, 4, false)), 0, vlookup($A40, ESPN!$B$2:$E$297, 4, false))</f>
        <v>30</v>
      </c>
      <c r="I40" s="37">
        <f>if(ISNA(vlookup($A40,'Ultimate Draft Kit'!$B$2:$E$324,4, false)), 0, vlookup($A40,'Ultimate Draft Kit'!$B$2:$E$324, 4, false))</f>
        <v>20</v>
      </c>
      <c r="J40" s="38">
        <f>if(ISNA(vlookup($A40,Rotowire!$B$2:$E$1075,4, false)), 0, vlookup($A40,Rotowire!$B$2:$E$1075, 4, false))</f>
        <v>19</v>
      </c>
      <c r="K40" s="37">
        <f>if(ISNA(vlookup($A40, FantasyPro!$B$2:$E$341,4,false)),0,vlookup($A40,FantasyPro!$B$2:$E$341,4,false))</f>
        <v>23</v>
      </c>
      <c r="L40" s="37">
        <f>if(ISNA(vlookup($A40, FFToolbox!$B$2:$E$414, 4, false)), 0, vlookup($A40, FFToolbox!$B$2:$E$414, 4, false))</f>
        <v>17</v>
      </c>
      <c r="M40" s="39">
        <f t="shared" si="1"/>
        <v>22.83333333</v>
      </c>
      <c r="N40" s="39">
        <f t="shared" si="2"/>
        <v>13</v>
      </c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</row>
    <row r="41">
      <c r="A41" s="17" t="s">
        <v>70</v>
      </c>
      <c r="B41" s="35" t="s">
        <v>1258</v>
      </c>
      <c r="C41" s="35">
        <v>3.0</v>
      </c>
      <c r="D41" s="36" t="s">
        <v>32</v>
      </c>
      <c r="E41" s="36" t="s">
        <v>8</v>
      </c>
      <c r="F41" s="36">
        <f>vlookup(D41,'Team Bye List'!$A$1:$B$33,2,False)</f>
        <v>9</v>
      </c>
      <c r="G41" s="37">
        <f>if(ISNA(vlookup($A41, Sleeper!$B$2:$E$330, 4, false)), 0, vlookup($A41, Sleeper!$B$2:$E$330, 4, false))</f>
        <v>33</v>
      </c>
      <c r="H41" s="37">
        <f>if(ISNA(vlookup($A41, ESPN!$B$2:$E$297, 4, false)), 0, vlookup($A41, ESPN!$B$2:$E$297, 4, false))</f>
        <v>22</v>
      </c>
      <c r="I41" s="37">
        <f>if(ISNA(vlookup($A41,'Ultimate Draft Kit'!$B$2:$E$324,4, false)), 0, vlookup($A41,'Ultimate Draft Kit'!$B$2:$E$324, 4, false))</f>
        <v>31</v>
      </c>
      <c r="J41" s="38">
        <f>if(ISNA(vlookup($A41,Rotowire!$B$2:$E$1075,4, false)), 0, vlookup($A41,Rotowire!$B$2:$E$1075, 4, false))</f>
        <v>16</v>
      </c>
      <c r="K41" s="37">
        <f>if(ISNA(vlookup($A41, FantasyPro!$B$2:$E$341,4,false)),0,vlookup($A41,FantasyPro!$B$2:$E$341,4,false))</f>
        <v>25</v>
      </c>
      <c r="L41" s="37">
        <f>if(ISNA(vlookup($A41, FFToolbox!$B$2:$E$414, 4, false)), 0, vlookup($A41, FFToolbox!$B$2:$E$414, 4, false))</f>
        <v>21</v>
      </c>
      <c r="M41" s="39">
        <f t="shared" si="1"/>
        <v>24.66666667</v>
      </c>
      <c r="N41" s="39">
        <f t="shared" si="2"/>
        <v>17</v>
      </c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</row>
    <row r="42">
      <c r="A42" s="17" t="s">
        <v>48</v>
      </c>
      <c r="B42" s="35" t="s">
        <v>1258</v>
      </c>
      <c r="C42" s="35">
        <v>6.0</v>
      </c>
      <c r="D42" s="36" t="s">
        <v>12</v>
      </c>
      <c r="E42" s="36" t="s">
        <v>8</v>
      </c>
      <c r="F42" s="36">
        <f>vlookup(D42,'Team Bye List'!$A$1:$B$33,2,False)</f>
        <v>8</v>
      </c>
      <c r="G42" s="37">
        <f>if(ISNA(vlookup($A42, Sleeper!$B$2:$E$330, 4, false)), 0, vlookup($A42, Sleeper!$B$2:$E$330, 4, false))</f>
        <v>36</v>
      </c>
      <c r="H42" s="37">
        <f>if(ISNA(vlookup($A42, ESPN!$B$2:$E$297, 4, false)), 0, vlookup($A42, ESPN!$B$2:$E$297, 4, false))</f>
        <v>33</v>
      </c>
      <c r="I42" s="37">
        <f>if(ISNA(vlookup($A42,'Ultimate Draft Kit'!$B$2:$E$324,4, false)), 0, vlookup($A42,'Ultimate Draft Kit'!$B$2:$E$324, 4, false))</f>
        <v>12</v>
      </c>
      <c r="J42" s="38">
        <f>if(ISNA(vlookup($A42,Rotowire!$B$2:$E$1075,4, false)), 0, vlookup($A42,Rotowire!$B$2:$E$1075, 4, false))</f>
        <v>24</v>
      </c>
      <c r="K42" s="37">
        <f>if(ISNA(vlookup($A42, FantasyPro!$B$2:$E$341,4,false)),0,vlookup($A42,FantasyPro!$B$2:$E$341,4,false))</f>
        <v>23</v>
      </c>
      <c r="L42" s="37">
        <f>if(ISNA(vlookup($A42, FFToolbox!$B$2:$E$414, 4, false)), 0, vlookup($A42, FFToolbox!$B$2:$E$414, 4, false))</f>
        <v>22</v>
      </c>
      <c r="M42" s="39">
        <f t="shared" si="1"/>
        <v>25</v>
      </c>
      <c r="N42" s="39">
        <f t="shared" si="2"/>
        <v>24</v>
      </c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</row>
    <row r="43">
      <c r="A43" s="17" t="s">
        <v>88</v>
      </c>
      <c r="B43" s="35" t="s">
        <v>1258</v>
      </c>
      <c r="C43" s="35">
        <v>2.0</v>
      </c>
      <c r="D43" s="36" t="s">
        <v>89</v>
      </c>
      <c r="E43" s="36" t="s">
        <v>59</v>
      </c>
      <c r="F43" s="36">
        <f>vlookup(D43,'Team Bye List'!$A$1:$B$33,2,False)</f>
        <v>14</v>
      </c>
      <c r="G43" s="37">
        <f>if(ISNA(vlookup($A43, Sleeper!$B$2:$E$330, 4, false)), 0, vlookup($A43, Sleeper!$B$2:$E$330, 4, false))</f>
        <v>30</v>
      </c>
      <c r="H43" s="37">
        <f>if(ISNA(vlookup($A43, ESPN!$B$2:$E$297, 4, false)), 0, vlookup($A43, ESPN!$B$2:$E$297, 4, false))</f>
        <v>13</v>
      </c>
      <c r="I43" s="37">
        <f>if(ISNA(vlookup($A43,'Ultimate Draft Kit'!$B$2:$E$324,4, false)), 0, vlookup($A43,'Ultimate Draft Kit'!$B$2:$E$324, 4, false))</f>
        <v>17</v>
      </c>
      <c r="J43" s="38">
        <f>if(ISNA(vlookup($A43,Rotowire!$B$2:$E$1075,4, false)), 0, vlookup($A43,Rotowire!$B$2:$E$1075, 4, false))</f>
        <v>34</v>
      </c>
      <c r="K43" s="37">
        <f>if(ISNA(vlookup($A43, FantasyPro!$B$2:$E$341,4,false)),0,vlookup($A43,FantasyPro!$B$2:$E$341,4,false))</f>
        <v>24</v>
      </c>
      <c r="L43" s="37">
        <f>if(ISNA(vlookup($A43, FFToolbox!$B$2:$E$414, 4, false)), 0, vlookup($A43, FFToolbox!$B$2:$E$414, 4, false))</f>
        <v>19</v>
      </c>
      <c r="M43" s="39">
        <f t="shared" si="1"/>
        <v>22.83333333</v>
      </c>
      <c r="N43" s="39">
        <f t="shared" si="2"/>
        <v>21</v>
      </c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</row>
    <row r="44">
      <c r="A44" s="17" t="s">
        <v>51</v>
      </c>
      <c r="B44" s="35" t="s">
        <v>1258</v>
      </c>
      <c r="C44" s="35">
        <v>4.0</v>
      </c>
      <c r="D44" s="36" t="s">
        <v>10</v>
      </c>
      <c r="E44" s="36" t="s">
        <v>13</v>
      </c>
      <c r="F44" s="36">
        <f>vlookup(D44,'Team Bye List'!$A$1:$B$33,2,False)</f>
        <v>13</v>
      </c>
      <c r="G44" s="37">
        <f>if(ISNA(vlookup($A44, Sleeper!$B$2:$E$330, 4, false)), 0, vlookup($A44, Sleeper!$B$2:$E$330, 4, false))</f>
        <v>20</v>
      </c>
      <c r="H44" s="37">
        <f>if(ISNA(vlookup($A44, ESPN!$B$2:$E$297, 4, false)), 0, vlookup($A44, ESPN!$B$2:$E$297, 4, false))</f>
        <v>31</v>
      </c>
      <c r="I44" s="37">
        <f>if(ISNA(vlookup($A44,'Ultimate Draft Kit'!$B$2:$E$324,4, false)), 0, vlookup($A44,'Ultimate Draft Kit'!$B$2:$E$324, 4, false))</f>
        <v>25</v>
      </c>
      <c r="J44" s="38">
        <f>if(ISNA(vlookup($A44,Rotowire!$B$2:$E$1075,4, false)), 0, vlookup($A44,Rotowire!$B$2:$E$1075, 4, false))</f>
        <v>23</v>
      </c>
      <c r="K44" s="37">
        <f>if(ISNA(vlookup($A44, FantasyPro!$B$2:$E$341,4,false)),0,vlookup($A44,FantasyPro!$B$2:$E$341,4,false))</f>
        <v>24</v>
      </c>
      <c r="L44" s="37">
        <f>if(ISNA(vlookup($A44, FFToolbox!$B$2:$E$414, 4, false)), 0, vlookup($A44, FFToolbox!$B$2:$E$414, 4, false))</f>
        <v>0</v>
      </c>
      <c r="M44" s="39">
        <f t="shared" si="1"/>
        <v>20.5</v>
      </c>
      <c r="N44" s="39">
        <f t="shared" si="2"/>
        <v>31</v>
      </c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</row>
    <row r="45">
      <c r="A45" s="17" t="s">
        <v>60</v>
      </c>
      <c r="B45" s="35" t="s">
        <v>1258</v>
      </c>
      <c r="C45" s="35">
        <v>5.0</v>
      </c>
      <c r="D45" s="36" t="s">
        <v>39</v>
      </c>
      <c r="E45" s="36" t="s">
        <v>13</v>
      </c>
      <c r="F45" s="36">
        <f>vlookup(D45,'Team Bye List'!$A$1:$B$33,2,False)</f>
        <v>11</v>
      </c>
      <c r="G45" s="37">
        <f>if(ISNA(vlookup($A45, Sleeper!$B$2:$E$330, 4, false)), 0, vlookup($A45, Sleeper!$B$2:$E$330, 4, false))</f>
        <v>21</v>
      </c>
      <c r="H45" s="37">
        <f>if(ISNA(vlookup($A45, ESPN!$B$2:$E$297, 4, false)), 0, vlookup($A45, ESPN!$B$2:$E$297, 4, false))</f>
        <v>26</v>
      </c>
      <c r="I45" s="37">
        <f>if(ISNA(vlookup($A45,'Ultimate Draft Kit'!$B$2:$E$324,4, false)), 0, vlookup($A45,'Ultimate Draft Kit'!$B$2:$E$324, 4, false))</f>
        <v>20</v>
      </c>
      <c r="J45" s="38">
        <f>if(ISNA(vlookup($A45,Rotowire!$B$2:$E$1075,4, false)), 0, vlookup($A45,Rotowire!$B$2:$E$1075, 4, false))</f>
        <v>17</v>
      </c>
      <c r="K45" s="37">
        <f>if(ISNA(vlookup($A45, FantasyPro!$B$2:$E$341,4,false)),0,vlookup($A45,FantasyPro!$B$2:$E$341,4,false))</f>
        <v>22</v>
      </c>
      <c r="L45" s="37">
        <f>if(ISNA(vlookup($A45, FFToolbox!$B$2:$E$414, 4, false)), 0, vlookup($A45, FFToolbox!$B$2:$E$414, 4, false))</f>
        <v>20</v>
      </c>
      <c r="M45" s="39">
        <f t="shared" si="1"/>
        <v>21</v>
      </c>
      <c r="N45" s="39">
        <f t="shared" si="2"/>
        <v>9</v>
      </c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</row>
    <row r="46">
      <c r="A46" s="17" t="s">
        <v>74</v>
      </c>
      <c r="B46" s="35" t="s">
        <v>1258</v>
      </c>
      <c r="C46" s="35">
        <v>5.0</v>
      </c>
      <c r="D46" s="36" t="s">
        <v>23</v>
      </c>
      <c r="E46" s="36" t="s">
        <v>13</v>
      </c>
      <c r="F46" s="36">
        <f>vlookup(D46,'Team Bye List'!$A$1:$B$33,2,False)</f>
        <v>9</v>
      </c>
      <c r="G46" s="37">
        <f>if(ISNA(vlookup($A46, Sleeper!$B$2:$E$330, 4, false)), 0, vlookup($A46, Sleeper!$B$2:$E$330, 4, false))</f>
        <v>15</v>
      </c>
      <c r="H46" s="37">
        <f>if(ISNA(vlookup($A46, ESPN!$B$2:$E$297, 4, false)), 0, vlookup($A46, ESPN!$B$2:$E$297, 4, false))</f>
        <v>21</v>
      </c>
      <c r="I46" s="37">
        <f>if(ISNA(vlookup($A46,'Ultimate Draft Kit'!$B$2:$E$324,4, false)), 0, vlookup($A46,'Ultimate Draft Kit'!$B$2:$E$324, 4, false))</f>
        <v>18</v>
      </c>
      <c r="J46" s="38">
        <f>if(ISNA(vlookup($A46,Rotowire!$B$2:$E$1075,4, false)), 0, vlookup($A46,Rotowire!$B$2:$E$1075, 4, false))</f>
        <v>12</v>
      </c>
      <c r="K46" s="37">
        <f>if(ISNA(vlookup($A46, FantasyPro!$B$2:$E$341,4,false)),0,vlookup($A46,FantasyPro!$B$2:$E$341,4,false))</f>
        <v>22</v>
      </c>
      <c r="L46" s="37">
        <f>if(ISNA(vlookup($A46, FFToolbox!$B$2:$E$414, 4, false)), 0, vlookup($A46, FFToolbox!$B$2:$E$414, 4, false))</f>
        <v>24</v>
      </c>
      <c r="M46" s="39">
        <f t="shared" si="1"/>
        <v>18.66666667</v>
      </c>
      <c r="N46" s="39">
        <f t="shared" si="2"/>
        <v>12</v>
      </c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</row>
    <row r="47">
      <c r="A47" s="17" t="s">
        <v>80</v>
      </c>
      <c r="B47" s="35" t="s">
        <v>1258</v>
      </c>
      <c r="C47" s="35">
        <v>4.0</v>
      </c>
      <c r="D47" s="36" t="s">
        <v>81</v>
      </c>
      <c r="E47" s="36" t="s">
        <v>13</v>
      </c>
      <c r="F47" s="36">
        <f>vlookup(D47,'Team Bye List'!$A$1:$B$33,2,False)</f>
        <v>6</v>
      </c>
      <c r="G47" s="37">
        <f>if(ISNA(vlookup($A47, Sleeper!$B$2:$E$330, 4, false)), 0, vlookup($A47, Sleeper!$B$2:$E$330, 4, false))</f>
        <v>11</v>
      </c>
      <c r="H47" s="37">
        <f>if(ISNA(vlookup($A47, ESPN!$B$2:$E$297, 4, false)), 0, vlookup($A47, ESPN!$B$2:$E$297, 4, false))</f>
        <v>17</v>
      </c>
      <c r="I47" s="37">
        <f>if(ISNA(vlookup($A47,'Ultimate Draft Kit'!$B$2:$E$324,4, false)), 0, vlookup($A47,'Ultimate Draft Kit'!$B$2:$E$324, 4, false))</f>
        <v>24</v>
      </c>
      <c r="J47" s="38">
        <f>if(ISNA(vlookup($A47,Rotowire!$B$2:$E$1075,4, false)), 0, vlookup($A47,Rotowire!$B$2:$E$1075, 4, false))</f>
        <v>11</v>
      </c>
      <c r="K47" s="37">
        <f>if(ISNA(vlookup($A47, FantasyPro!$B$2:$E$341,4,false)),0,vlookup($A47,FantasyPro!$B$2:$E$341,4,false))</f>
        <v>18</v>
      </c>
      <c r="L47" s="37">
        <f>if(ISNA(vlookup($A47, FFToolbox!$B$2:$E$414, 4, false)), 0, vlookup($A47, FFToolbox!$B$2:$E$414, 4, false))</f>
        <v>20</v>
      </c>
      <c r="M47" s="39">
        <f t="shared" si="1"/>
        <v>16.83333333</v>
      </c>
      <c r="N47" s="39">
        <f t="shared" si="2"/>
        <v>13</v>
      </c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</row>
    <row r="48">
      <c r="A48" s="17" t="s">
        <v>71</v>
      </c>
      <c r="B48" s="35" t="s">
        <v>1258</v>
      </c>
      <c r="C48" s="35">
        <v>4.0</v>
      </c>
      <c r="D48" s="36" t="s">
        <v>7</v>
      </c>
      <c r="E48" s="36" t="s">
        <v>13</v>
      </c>
      <c r="F48" s="36">
        <f>vlookup(D48,'Team Bye List'!$A$1:$B$33,2,False)</f>
        <v>14</v>
      </c>
      <c r="G48" s="37">
        <f>if(ISNA(vlookup($A48, Sleeper!$B$2:$E$330, 4, false)), 0, vlookup($A48, Sleeper!$B$2:$E$330, 4, false))</f>
        <v>21</v>
      </c>
      <c r="H48" s="37">
        <f>if(ISNA(vlookup($A48, ESPN!$B$2:$E$297, 4, false)), 0, vlookup($A48, ESPN!$B$2:$E$297, 4, false))</f>
        <v>22</v>
      </c>
      <c r="I48" s="37">
        <f>if(ISNA(vlookup($A48,'Ultimate Draft Kit'!$B$2:$E$324,4, false)), 0, vlookup($A48,'Ultimate Draft Kit'!$B$2:$E$324, 4, false))</f>
        <v>27</v>
      </c>
      <c r="J48" s="38">
        <f>if(ISNA(vlookup($A48,Rotowire!$B$2:$E$1075,4, false)), 0, vlookup($A48,Rotowire!$B$2:$E$1075, 4, false))</f>
        <v>19</v>
      </c>
      <c r="K48" s="37">
        <f>if(ISNA(vlookup($A48, FantasyPro!$B$2:$E$341,4,false)),0,vlookup($A48,FantasyPro!$B$2:$E$341,4,false))</f>
        <v>25</v>
      </c>
      <c r="L48" s="37">
        <f>if(ISNA(vlookup($A48, FFToolbox!$B$2:$E$414, 4, false)), 0, vlookup($A48, FFToolbox!$B$2:$E$414, 4, false))</f>
        <v>0</v>
      </c>
      <c r="M48" s="39">
        <f t="shared" si="1"/>
        <v>19</v>
      </c>
      <c r="N48" s="39">
        <f t="shared" si="2"/>
        <v>27</v>
      </c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</row>
    <row r="49">
      <c r="A49" s="17" t="s">
        <v>103</v>
      </c>
      <c r="B49" s="35" t="s">
        <v>1258</v>
      </c>
      <c r="C49" s="35">
        <v>2.0</v>
      </c>
      <c r="D49" s="36" t="s">
        <v>25</v>
      </c>
      <c r="E49" s="36" t="s">
        <v>59</v>
      </c>
      <c r="F49" s="36">
        <f>vlookup(D49,'Team Bye List'!$A$1:$B$33,2,False)</f>
        <v>7</v>
      </c>
      <c r="G49" s="37">
        <f>if(ISNA(vlookup($A49, Sleeper!$B$2:$E$330, 4, false)), 0, vlookup($A49, Sleeper!$B$2:$E$330, 4, false))</f>
        <v>27</v>
      </c>
      <c r="H49" s="37">
        <f>if(ISNA(vlookup($A49, ESPN!$B$2:$E$297, 4, false)), 0, vlookup($A49, ESPN!$B$2:$E$297, 4, false))</f>
        <v>8</v>
      </c>
      <c r="I49" s="37">
        <f>if(ISNA(vlookup($A49,'Ultimate Draft Kit'!$B$2:$E$324,4, false)), 0, vlookup($A49,'Ultimate Draft Kit'!$B$2:$E$324, 4, false))</f>
        <v>15</v>
      </c>
      <c r="J49" s="38">
        <f>if(ISNA(vlookup($A49,Rotowire!$B$2:$E$1075,4, false)), 0, vlookup($A49,Rotowire!$B$2:$E$1075, 4, false))</f>
        <v>32</v>
      </c>
      <c r="K49" s="37">
        <f>if(ISNA(vlookup($A49, FantasyPro!$B$2:$E$341,4,false)),0,vlookup($A49,FantasyPro!$B$2:$E$341,4,false))</f>
        <v>16</v>
      </c>
      <c r="L49" s="37">
        <f>if(ISNA(vlookup($A49, FFToolbox!$B$2:$E$414, 4, false)), 0, vlookup($A49, FFToolbox!$B$2:$E$414, 4, false))</f>
        <v>16</v>
      </c>
      <c r="M49" s="39">
        <f t="shared" si="1"/>
        <v>19</v>
      </c>
      <c r="N49" s="39">
        <f t="shared" si="2"/>
        <v>24</v>
      </c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</row>
    <row r="50">
      <c r="A50" s="17" t="s">
        <v>72</v>
      </c>
      <c r="B50" s="35" t="s">
        <v>1258</v>
      </c>
      <c r="C50" s="35">
        <v>6.0</v>
      </c>
      <c r="D50" s="36" t="s">
        <v>73</v>
      </c>
      <c r="E50" s="36" t="s">
        <v>13</v>
      </c>
      <c r="F50" s="36">
        <f>vlookup(D50,'Team Bye List'!$A$1:$B$33,2,False)</f>
        <v>14</v>
      </c>
      <c r="G50" s="37">
        <f>if(ISNA(vlookup($A50, Sleeper!$B$2:$E$330, 4, false)), 0, vlookup($A50, Sleeper!$B$2:$E$330, 4, false))</f>
        <v>20</v>
      </c>
      <c r="H50" s="37">
        <f>if(ISNA(vlookup($A50, ESPN!$B$2:$E$297, 4, false)), 0, vlookup($A50, ESPN!$B$2:$E$297, 4, false))</f>
        <v>21</v>
      </c>
      <c r="I50" s="37">
        <f>if(ISNA(vlookup($A50,'Ultimate Draft Kit'!$B$2:$E$324,4, false)), 0, vlookup($A50,'Ultimate Draft Kit'!$B$2:$E$324, 4, false))</f>
        <v>16</v>
      </c>
      <c r="J50" s="38">
        <f>if(ISNA(vlookup($A50,Rotowire!$B$2:$E$1075,4, false)), 0, vlookup($A50,Rotowire!$B$2:$E$1075, 4, false))</f>
        <v>21</v>
      </c>
      <c r="K50" s="37">
        <f>if(ISNA(vlookup($A50, FantasyPro!$B$2:$E$341,4,false)),0,vlookup($A50,FantasyPro!$B$2:$E$341,4,false))</f>
        <v>22</v>
      </c>
      <c r="L50" s="37">
        <f>if(ISNA(vlookup($A50, FFToolbox!$B$2:$E$414, 4, false)), 0, vlookup($A50, FFToolbox!$B$2:$E$414, 4, false))</f>
        <v>17</v>
      </c>
      <c r="M50" s="39">
        <f t="shared" si="1"/>
        <v>19.5</v>
      </c>
      <c r="N50" s="39">
        <f t="shared" si="2"/>
        <v>6</v>
      </c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</row>
    <row r="51">
      <c r="A51" s="17" t="s">
        <v>126</v>
      </c>
      <c r="B51" s="35" t="s">
        <v>1258</v>
      </c>
      <c r="C51" s="35">
        <v>4.0</v>
      </c>
      <c r="D51" s="36" t="s">
        <v>43</v>
      </c>
      <c r="E51" s="36" t="s">
        <v>77</v>
      </c>
      <c r="F51" s="36">
        <f>vlookup(D51,'Team Bye List'!$A$1:$B$33,2,False)</f>
        <v>9</v>
      </c>
      <c r="G51" s="37">
        <f>if(ISNA(vlookup($A51, Sleeper!$B$2:$E$330, 4, false)), 0, vlookup($A51, Sleeper!$B$2:$E$330, 4, false))</f>
        <v>11</v>
      </c>
      <c r="H51" s="37">
        <f>if(ISNA(vlookup($A51, ESPN!$B$2:$E$297, 4, false)), 0, vlookup($A51, ESPN!$B$2:$E$297, 4, false))</f>
        <v>4</v>
      </c>
      <c r="I51" s="37">
        <f>if(ISNA(vlookup($A51,'Ultimate Draft Kit'!$B$2:$E$324,4, false)), 0, vlookup($A51,'Ultimate Draft Kit'!$B$2:$E$324, 4, false))</f>
        <v>29</v>
      </c>
      <c r="J51" s="38">
        <f>if(ISNA(vlookup($A51,Rotowire!$B$2:$E$1075,4, false)), 0, vlookup($A51,Rotowire!$B$2:$E$1075, 4, false))</f>
        <v>39</v>
      </c>
      <c r="K51" s="37">
        <f>if(ISNA(vlookup($A51, FantasyPro!$B$2:$E$341,4,false)),0,vlookup($A51,FantasyPro!$B$2:$E$341,4,false))</f>
        <v>8</v>
      </c>
      <c r="L51" s="37">
        <f>if(ISNA(vlookup($A51, FFToolbox!$B$2:$E$414, 4, false)), 0, vlookup($A51, FFToolbox!$B$2:$E$414, 4, false))</f>
        <v>7</v>
      </c>
      <c r="M51" s="39">
        <f t="shared" si="1"/>
        <v>16.33333333</v>
      </c>
      <c r="N51" s="39">
        <f t="shared" si="2"/>
        <v>35</v>
      </c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</row>
    <row r="52">
      <c r="A52" s="17" t="s">
        <v>125</v>
      </c>
      <c r="B52" s="35" t="s">
        <v>1258</v>
      </c>
      <c r="C52" s="35">
        <v>4.0</v>
      </c>
      <c r="D52" s="36" t="s">
        <v>19</v>
      </c>
      <c r="E52" s="36" t="s">
        <v>77</v>
      </c>
      <c r="F52" s="36">
        <f>vlookup(D52,'Team Bye List'!$A$1:$B$33,2,False)</f>
        <v>10</v>
      </c>
      <c r="G52" s="37">
        <f>if(ISNA(vlookup($A52, Sleeper!$B$2:$E$330, 4, false)), 0, vlookup($A52, Sleeper!$B$2:$E$330, 4, false))</f>
        <v>16</v>
      </c>
      <c r="H52" s="37">
        <f>if(ISNA(vlookup($A52, ESPN!$B$2:$E$297, 4, false)), 0, vlookup($A52, ESPN!$B$2:$E$297, 4, false))</f>
        <v>4</v>
      </c>
      <c r="I52" s="37">
        <f>if(ISNA(vlookup($A52,'Ultimate Draft Kit'!$B$2:$E$324,4, false)), 0, vlookup($A52,'Ultimate Draft Kit'!$B$2:$E$324, 4, false))</f>
        <v>27</v>
      </c>
      <c r="J52" s="38">
        <f>if(ISNA(vlookup($A52,Rotowire!$B$2:$E$1075,4, false)), 0, vlookup($A52,Rotowire!$B$2:$E$1075, 4, false))</f>
        <v>31</v>
      </c>
      <c r="K52" s="37">
        <f>if(ISNA(vlookup($A52, FantasyPro!$B$2:$E$341,4,false)),0,vlookup($A52,FantasyPro!$B$2:$E$341,4,false))</f>
        <v>11</v>
      </c>
      <c r="L52" s="37">
        <f>if(ISNA(vlookup($A52, FFToolbox!$B$2:$E$414, 4, false)), 0, vlookup($A52, FFToolbox!$B$2:$E$414, 4, false))</f>
        <v>13</v>
      </c>
      <c r="M52" s="39">
        <f t="shared" si="1"/>
        <v>17</v>
      </c>
      <c r="N52" s="39">
        <f t="shared" si="2"/>
        <v>27</v>
      </c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</row>
    <row r="53">
      <c r="A53" s="17" t="s">
        <v>124</v>
      </c>
      <c r="B53" s="35" t="s">
        <v>1258</v>
      </c>
      <c r="C53" s="35">
        <v>5.0</v>
      </c>
      <c r="D53" s="36" t="s">
        <v>47</v>
      </c>
      <c r="E53" s="36" t="s">
        <v>77</v>
      </c>
      <c r="F53" s="36">
        <f>vlookup(D53,'Team Bye List'!$A$1:$B$33,2,False)</f>
        <v>14</v>
      </c>
      <c r="G53" s="37">
        <f>if(ISNA(vlookup($A53, Sleeper!$B$2:$E$330, 4, false)), 0, vlookup($A53, Sleeper!$B$2:$E$330, 4, false))</f>
        <v>9</v>
      </c>
      <c r="H53" s="37">
        <f>if(ISNA(vlookup($A53, ESPN!$B$2:$E$297, 4, false)), 0, vlookup($A53, ESPN!$B$2:$E$297, 4, false))</f>
        <v>4</v>
      </c>
      <c r="I53" s="37">
        <f>if(ISNA(vlookup($A53,'Ultimate Draft Kit'!$B$2:$E$324,4, false)), 0, vlookup($A53,'Ultimate Draft Kit'!$B$2:$E$324, 4, false))</f>
        <v>17</v>
      </c>
      <c r="J53" s="38">
        <f>if(ISNA(vlookup($A53,Rotowire!$B$2:$E$1075,4, false)), 0, vlookup($A53,Rotowire!$B$2:$E$1075, 4, false))</f>
        <v>45</v>
      </c>
      <c r="K53" s="37">
        <f>if(ISNA(vlookup($A53, FantasyPro!$B$2:$E$341,4,false)),0,vlookup($A53,FantasyPro!$B$2:$E$341,4,false))</f>
        <v>6</v>
      </c>
      <c r="L53" s="37">
        <f>if(ISNA(vlookup($A53, FFToolbox!$B$2:$E$414, 4, false)), 0, vlookup($A53, FFToolbox!$B$2:$E$414, 4, false))</f>
        <v>8</v>
      </c>
      <c r="M53" s="39">
        <f t="shared" si="1"/>
        <v>14.83333333</v>
      </c>
      <c r="N53" s="39">
        <f t="shared" si="2"/>
        <v>41</v>
      </c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</row>
    <row r="54">
      <c r="A54" s="17" t="s">
        <v>107</v>
      </c>
      <c r="B54" s="35" t="s">
        <v>1258</v>
      </c>
      <c r="C54" s="35">
        <v>2.0</v>
      </c>
      <c r="D54" s="36" t="s">
        <v>28</v>
      </c>
      <c r="E54" s="36" t="s">
        <v>59</v>
      </c>
      <c r="F54" s="36">
        <f>vlookup(D54,'Team Bye List'!$A$1:$B$33,2,False)</f>
        <v>11</v>
      </c>
      <c r="G54" s="37">
        <f>if(ISNA(vlookup($A54, Sleeper!$B$2:$E$330, 4, false)), 0, vlookup($A54, Sleeper!$B$2:$E$330, 4, false))</f>
        <v>22</v>
      </c>
      <c r="H54" s="37">
        <f>if(ISNA(vlookup($A54, ESPN!$B$2:$E$297, 4, false)), 0, vlookup($A54, ESPN!$B$2:$E$297, 4, false))</f>
        <v>7</v>
      </c>
      <c r="I54" s="37">
        <f>if(ISNA(vlookup($A54,'Ultimate Draft Kit'!$B$2:$E$324,4, false)), 0, vlookup($A54,'Ultimate Draft Kit'!$B$2:$E$324, 4, false))</f>
        <v>15</v>
      </c>
      <c r="J54" s="38">
        <f>if(ISNA(vlookup($A54,Rotowire!$B$2:$E$1075,4, false)), 0, vlookup($A54,Rotowire!$B$2:$E$1075, 4, false))</f>
        <v>26</v>
      </c>
      <c r="K54" s="37">
        <f>if(ISNA(vlookup($A54, FantasyPro!$B$2:$E$341,4,false)),0,vlookup($A54,FantasyPro!$B$2:$E$341,4,false))</f>
        <v>17</v>
      </c>
      <c r="L54" s="37">
        <f>if(ISNA(vlookup($A54, FFToolbox!$B$2:$E$414, 4, false)), 0, vlookup($A54, FFToolbox!$B$2:$E$414, 4, false))</f>
        <v>18</v>
      </c>
      <c r="M54" s="39">
        <f t="shared" si="1"/>
        <v>17.5</v>
      </c>
      <c r="N54" s="39">
        <f t="shared" si="2"/>
        <v>19</v>
      </c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</row>
    <row r="55">
      <c r="A55" s="17" t="s">
        <v>84</v>
      </c>
      <c r="B55" s="35" t="s">
        <v>1258</v>
      </c>
      <c r="C55" s="35">
        <v>6.0</v>
      </c>
      <c r="D55" s="36" t="s">
        <v>85</v>
      </c>
      <c r="E55" s="36" t="s">
        <v>13</v>
      </c>
      <c r="F55" s="36">
        <f>vlookup(D55,'Team Bye List'!$A$1:$B$33,2,False)</f>
        <v>9</v>
      </c>
      <c r="G55" s="37">
        <f>if(ISNA(vlookup($A55, Sleeper!$B$2:$E$330, 4, false)), 0, vlookup($A55, Sleeper!$B$2:$E$330, 4, false))</f>
        <v>11</v>
      </c>
      <c r="H55" s="37">
        <f>if(ISNA(vlookup($A55, ESPN!$B$2:$E$297, 4, false)), 0, vlookup($A55, ESPN!$B$2:$E$297, 4, false))</f>
        <v>15</v>
      </c>
      <c r="I55" s="37">
        <f>if(ISNA(vlookup($A55,'Ultimate Draft Kit'!$B$2:$E$324,4, false)), 0, vlookup($A55,'Ultimate Draft Kit'!$B$2:$E$324, 4, false))</f>
        <v>16</v>
      </c>
      <c r="J55" s="38">
        <f>if(ISNA(vlookup($A55,Rotowire!$B$2:$E$1075,4, false)), 0, vlookup($A55,Rotowire!$B$2:$E$1075, 4, false))</f>
        <v>16</v>
      </c>
      <c r="K55" s="37">
        <f>if(ISNA(vlookup($A55, FantasyPro!$B$2:$E$341,4,false)),0,vlookup($A55,FantasyPro!$B$2:$E$341,4,false))</f>
        <v>18</v>
      </c>
      <c r="L55" s="37">
        <f>if(ISNA(vlookup($A55, FFToolbox!$B$2:$E$414, 4, false)), 0, vlookup($A55, FFToolbox!$B$2:$E$414, 4, false))</f>
        <v>19</v>
      </c>
      <c r="M55" s="39">
        <f t="shared" si="1"/>
        <v>15.83333333</v>
      </c>
      <c r="N55" s="39">
        <f t="shared" si="2"/>
        <v>8</v>
      </c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</row>
    <row r="56">
      <c r="A56" s="17" t="s">
        <v>82</v>
      </c>
      <c r="B56" s="35" t="s">
        <v>1259</v>
      </c>
      <c r="C56" s="35">
        <v>5.0</v>
      </c>
      <c r="D56" s="36" t="s">
        <v>45</v>
      </c>
      <c r="E56" s="36" t="s">
        <v>13</v>
      </c>
      <c r="F56" s="36">
        <f>vlookup(D56,'Team Bye List'!$A$1:$B$33,2,False)</f>
        <v>13</v>
      </c>
      <c r="G56" s="37">
        <f>if(ISNA(vlookup($A56, Sleeper!$B$2:$E$330, 4, false)), 0, vlookup($A56, Sleeper!$B$2:$E$330, 4, false))</f>
        <v>8</v>
      </c>
      <c r="H56" s="37">
        <f>if(ISNA(vlookup($A56, ESPN!$B$2:$E$297, 4, false)), 0, vlookup($A56, ESPN!$B$2:$E$297, 4, false))</f>
        <v>17</v>
      </c>
      <c r="I56" s="37">
        <f>if(ISNA(vlookup($A56,'Ultimate Draft Kit'!$B$2:$E$324,4, false)), 0, vlookup($A56,'Ultimate Draft Kit'!$B$2:$E$324, 4, false))</f>
        <v>22</v>
      </c>
      <c r="J56" s="38">
        <f>if(ISNA(vlookup($A56,Rotowire!$B$2:$E$1075,4, false)), 0, vlookup($A56,Rotowire!$B$2:$E$1075, 4, false))</f>
        <v>14</v>
      </c>
      <c r="K56" s="37">
        <f>if(ISNA(vlookup($A56, FantasyPro!$B$2:$E$341,4,false)),0,vlookup($A56,FantasyPro!$B$2:$E$341,4,false))</f>
        <v>15</v>
      </c>
      <c r="L56" s="37">
        <f>if(ISNA(vlookup($A56, FFToolbox!$B$2:$E$414, 4, false)), 0, vlookup($A56, FFToolbox!$B$2:$E$414, 4, false))</f>
        <v>18</v>
      </c>
      <c r="M56" s="39">
        <f t="shared" si="1"/>
        <v>15.66666667</v>
      </c>
      <c r="N56" s="39">
        <f t="shared" si="2"/>
        <v>14</v>
      </c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</row>
    <row r="57">
      <c r="A57" s="17" t="s">
        <v>75</v>
      </c>
      <c r="B57" s="35" t="s">
        <v>1258</v>
      </c>
      <c r="C57" s="35">
        <v>5.0</v>
      </c>
      <c r="D57" s="36" t="s">
        <v>25</v>
      </c>
      <c r="E57" s="36" t="s">
        <v>8</v>
      </c>
      <c r="F57" s="36">
        <f>vlookup(D57,'Team Bye List'!$A$1:$B$33,2,False)</f>
        <v>7</v>
      </c>
      <c r="G57" s="37">
        <f>if(ISNA(vlookup($A57, Sleeper!$B$2:$E$330, 4, false)), 0, vlookup($A57, Sleeper!$B$2:$E$330, 4, false))</f>
        <v>22</v>
      </c>
      <c r="H57" s="37">
        <f>if(ISNA(vlookup($A57, ESPN!$B$2:$E$297, 4, false)), 0, vlookup($A57, ESPN!$B$2:$E$297, 4, false))</f>
        <v>20</v>
      </c>
      <c r="I57" s="37">
        <f>if(ISNA(vlookup($A57,'Ultimate Draft Kit'!$B$2:$E$324,4, false)), 0, vlookup($A57,'Ultimate Draft Kit'!$B$2:$E$324, 4, false))</f>
        <v>17</v>
      </c>
      <c r="J57" s="38">
        <f>if(ISNA(vlookup($A57,Rotowire!$B$2:$E$1075,4, false)), 0, vlookup($A57,Rotowire!$B$2:$E$1075, 4, false))</f>
        <v>12</v>
      </c>
      <c r="K57" s="37">
        <f>if(ISNA(vlookup($A57, FantasyPro!$B$2:$E$341,4,false)),0,vlookup($A57,FantasyPro!$B$2:$E$341,4,false))</f>
        <v>16</v>
      </c>
      <c r="L57" s="37">
        <f>if(ISNA(vlookup($A57, FFToolbox!$B$2:$E$414, 4, false)), 0, vlookup($A57, FFToolbox!$B$2:$E$414, 4, false))</f>
        <v>15</v>
      </c>
      <c r="M57" s="39">
        <f t="shared" si="1"/>
        <v>17</v>
      </c>
      <c r="N57" s="39">
        <f t="shared" si="2"/>
        <v>10</v>
      </c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</row>
    <row r="58">
      <c r="A58" s="17" t="s">
        <v>93</v>
      </c>
      <c r="B58" s="35" t="s">
        <v>1258</v>
      </c>
      <c r="C58" s="35">
        <v>4.0</v>
      </c>
      <c r="D58" s="36" t="s">
        <v>43</v>
      </c>
      <c r="E58" s="36" t="s">
        <v>13</v>
      </c>
      <c r="F58" s="36">
        <f>vlookup(D58,'Team Bye List'!$A$1:$B$33,2,False)</f>
        <v>9</v>
      </c>
      <c r="G58" s="37">
        <f>if(ISNA(vlookup($A58, Sleeper!$B$2:$E$330, 4, false)), 0, vlookup($A58, Sleeper!$B$2:$E$330, 4, false))</f>
        <v>17</v>
      </c>
      <c r="H58" s="37">
        <f>if(ISNA(vlookup($A58, ESPN!$B$2:$E$297, 4, false)), 0, vlookup($A58, ESPN!$B$2:$E$297, 4, false))</f>
        <v>10</v>
      </c>
      <c r="I58" s="37">
        <f>if(ISNA(vlookup($A58,'Ultimate Draft Kit'!$B$2:$E$324,4, false)), 0, vlookup($A58,'Ultimate Draft Kit'!$B$2:$E$324, 4, false))</f>
        <v>25</v>
      </c>
      <c r="J58" s="38">
        <f>if(ISNA(vlookup($A58,Rotowire!$B$2:$E$1075,4, false)), 0, vlookup($A58,Rotowire!$B$2:$E$1075, 4, false))</f>
        <v>20</v>
      </c>
      <c r="K58" s="37">
        <f>if(ISNA(vlookup($A58, FantasyPro!$B$2:$E$341,4,false)),0,vlookup($A58,FantasyPro!$B$2:$E$341,4,false))</f>
        <v>19</v>
      </c>
      <c r="L58" s="37">
        <f>if(ISNA(vlookup($A58, FFToolbox!$B$2:$E$414, 4, false)), 0, vlookup($A58, FFToolbox!$B$2:$E$414, 4, false))</f>
        <v>16</v>
      </c>
      <c r="M58" s="39">
        <f t="shared" si="1"/>
        <v>17.83333333</v>
      </c>
      <c r="N58" s="39">
        <f t="shared" si="2"/>
        <v>15</v>
      </c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</row>
    <row r="59">
      <c r="A59" s="17" t="s">
        <v>78</v>
      </c>
      <c r="B59" s="35" t="s">
        <v>1258</v>
      </c>
      <c r="C59" s="35">
        <v>6.0</v>
      </c>
      <c r="D59" s="36" t="s">
        <v>73</v>
      </c>
      <c r="E59" s="36" t="s">
        <v>8</v>
      </c>
      <c r="F59" s="36">
        <f>vlookup(D59,'Team Bye List'!$A$1:$B$33,2,False)</f>
        <v>14</v>
      </c>
      <c r="G59" s="37">
        <f>if(ISNA(vlookup($A59, Sleeper!$B$2:$E$330, 4, false)), 0, vlookup($A59, Sleeper!$B$2:$E$330, 4, false))</f>
        <v>22</v>
      </c>
      <c r="H59" s="37">
        <f>if(ISNA(vlookup($A59, ESPN!$B$2:$E$297, 4, false)), 0, vlookup($A59, ESPN!$B$2:$E$297, 4, false))</f>
        <v>19</v>
      </c>
      <c r="I59" s="37">
        <f>if(ISNA(vlookup($A59,'Ultimate Draft Kit'!$B$2:$E$324,4, false)), 0, vlookup($A59,'Ultimate Draft Kit'!$B$2:$E$324, 4, false))</f>
        <v>12</v>
      </c>
      <c r="J59" s="38">
        <f>if(ISNA(vlookup($A59,Rotowire!$B$2:$E$1075,4, false)), 0, vlookup($A59,Rotowire!$B$2:$E$1075, 4, false))</f>
        <v>11</v>
      </c>
      <c r="K59" s="37">
        <f>if(ISNA(vlookup($A59, FantasyPro!$B$2:$E$341,4,false)),0,vlookup($A59,FantasyPro!$B$2:$E$341,4,false))</f>
        <v>17</v>
      </c>
      <c r="L59" s="37">
        <f>if(ISNA(vlookup($A59, FFToolbox!$B$2:$E$414, 4, false)), 0, vlookup($A59, FFToolbox!$B$2:$E$414, 4, false))</f>
        <v>17</v>
      </c>
      <c r="M59" s="39">
        <f t="shared" si="1"/>
        <v>16.33333333</v>
      </c>
      <c r="N59" s="39">
        <f t="shared" si="2"/>
        <v>11</v>
      </c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</row>
    <row r="60">
      <c r="A60" s="17" t="s">
        <v>68</v>
      </c>
      <c r="B60" s="35" t="s">
        <v>1258</v>
      </c>
      <c r="C60" s="35">
        <v>5.0</v>
      </c>
      <c r="D60" s="36" t="s">
        <v>69</v>
      </c>
      <c r="E60" s="36" t="s">
        <v>8</v>
      </c>
      <c r="F60" s="36">
        <f>vlookup(D60,'Team Bye List'!$A$1:$B$33,2,False)</f>
        <v>10</v>
      </c>
      <c r="G60" s="37">
        <f>if(ISNA(vlookup($A60, Sleeper!$B$2:$E$330, 4, false)), 0, vlookup($A60, Sleeper!$B$2:$E$330, 4, false))</f>
        <v>27</v>
      </c>
      <c r="H60" s="37">
        <f>if(ISNA(vlookup($A60, ESPN!$B$2:$E$297, 4, false)), 0, vlookup($A60, ESPN!$B$2:$E$297, 4, false))</f>
        <v>22</v>
      </c>
      <c r="I60" s="37">
        <f>if(ISNA(vlookup($A60,'Ultimate Draft Kit'!$B$2:$E$324,4, false)), 0, vlookup($A60,'Ultimate Draft Kit'!$B$2:$E$324, 4, false))</f>
        <v>17</v>
      </c>
      <c r="J60" s="38">
        <f>if(ISNA(vlookup($A60,Rotowire!$B$2:$E$1075,4, false)), 0, vlookup($A60,Rotowire!$B$2:$E$1075, 4, false))</f>
        <v>7</v>
      </c>
      <c r="K60" s="37">
        <f>if(ISNA(vlookup($A60, FantasyPro!$B$2:$E$341,4,false)),0,vlookup($A60,FantasyPro!$B$2:$E$341,4,false))</f>
        <v>23</v>
      </c>
      <c r="L60" s="37">
        <f>if(ISNA(vlookup($A60, FFToolbox!$B$2:$E$414, 4, false)), 0, vlookup($A60, FFToolbox!$B$2:$E$414, 4, false))</f>
        <v>20</v>
      </c>
      <c r="M60" s="39">
        <f t="shared" si="1"/>
        <v>19.33333333</v>
      </c>
      <c r="N60" s="39">
        <f t="shared" si="2"/>
        <v>20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</row>
    <row r="61">
      <c r="A61" s="17" t="s">
        <v>91</v>
      </c>
      <c r="B61" s="35" t="s">
        <v>1259</v>
      </c>
      <c r="C61" s="35">
        <v>5.0</v>
      </c>
      <c r="D61" s="36" t="s">
        <v>55</v>
      </c>
      <c r="E61" s="36" t="s">
        <v>13</v>
      </c>
      <c r="F61" s="36">
        <f>vlookup(D61,'Team Bye List'!$A$1:$B$33,2,False)</f>
        <v>14</v>
      </c>
      <c r="G61" s="37">
        <f>if(ISNA(vlookup($A61, Sleeper!$B$2:$E$330, 4, false)), 0, vlookup($A61, Sleeper!$B$2:$E$330, 4, false))</f>
        <v>9</v>
      </c>
      <c r="H61" s="37">
        <f>if(ISNA(vlookup($A61, ESPN!$B$2:$E$297, 4, false)), 0, vlookup($A61, ESPN!$B$2:$E$297, 4, false))</f>
        <v>11</v>
      </c>
      <c r="I61" s="37">
        <f>if(ISNA(vlookup($A61,'Ultimate Draft Kit'!$B$2:$E$324,4, false)), 0, vlookup($A61,'Ultimate Draft Kit'!$B$2:$E$324, 4, false))</f>
        <v>18</v>
      </c>
      <c r="J61" s="38">
        <f>if(ISNA(vlookup($A61,Rotowire!$B$2:$E$1075,4, false)), 0, vlookup($A61,Rotowire!$B$2:$E$1075, 4, false))</f>
        <v>15</v>
      </c>
      <c r="K61" s="37">
        <f>if(ISNA(vlookup($A61, FantasyPro!$B$2:$E$341,4,false)),0,vlookup($A61,FantasyPro!$B$2:$E$341,4,false))</f>
        <v>15</v>
      </c>
      <c r="L61" s="37">
        <f>if(ISNA(vlookup($A61, FFToolbox!$B$2:$E$414, 4, false)), 0, vlookup($A61, FFToolbox!$B$2:$E$414, 4, false))</f>
        <v>19</v>
      </c>
      <c r="M61" s="39">
        <f t="shared" si="1"/>
        <v>14.5</v>
      </c>
      <c r="N61" s="39">
        <f t="shared" si="2"/>
        <v>10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</row>
    <row r="62">
      <c r="A62" s="17" t="s">
        <v>92</v>
      </c>
      <c r="B62" s="35" t="s">
        <v>1258</v>
      </c>
      <c r="C62" s="35">
        <v>5.0</v>
      </c>
      <c r="D62" s="36" t="s">
        <v>43</v>
      </c>
      <c r="E62" s="36" t="s">
        <v>13</v>
      </c>
      <c r="F62" s="36">
        <f>vlookup(D62,'Team Bye List'!$A$1:$B$33,2,False)</f>
        <v>9</v>
      </c>
      <c r="G62" s="37">
        <f>if(ISNA(vlookup($A62, Sleeper!$B$2:$E$330, 4, false)), 0, vlookup($A62, Sleeper!$B$2:$E$330, 4, false))</f>
        <v>10</v>
      </c>
      <c r="H62" s="37">
        <f>if(ISNA(vlookup($A62, ESPN!$B$2:$E$297, 4, false)), 0, vlookup($A62, ESPN!$B$2:$E$297, 4, false))</f>
        <v>11</v>
      </c>
      <c r="I62" s="37">
        <f>if(ISNA(vlookup($A62,'Ultimate Draft Kit'!$B$2:$E$324,4, false)), 0, vlookup($A62,'Ultimate Draft Kit'!$B$2:$E$324, 4, false))</f>
        <v>17</v>
      </c>
      <c r="J62" s="38">
        <f>if(ISNA(vlookup($A62,Rotowire!$B$2:$E$1075,4, false)), 0, vlookup($A62,Rotowire!$B$2:$E$1075, 4, false))</f>
        <v>17</v>
      </c>
      <c r="K62" s="37">
        <f>if(ISNA(vlookup($A62, FantasyPro!$B$2:$E$341,4,false)),0,vlookup($A62,FantasyPro!$B$2:$E$341,4,false))</f>
        <v>15</v>
      </c>
      <c r="L62" s="37">
        <f>if(ISNA(vlookup($A62, FFToolbox!$B$2:$E$414, 4, false)), 0, vlookup($A62, FFToolbox!$B$2:$E$414, 4, false))</f>
        <v>16</v>
      </c>
      <c r="M62" s="39">
        <f t="shared" si="1"/>
        <v>14.33333333</v>
      </c>
      <c r="N62" s="39">
        <f t="shared" si="2"/>
        <v>7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</row>
    <row r="63">
      <c r="A63" s="17" t="s">
        <v>113</v>
      </c>
      <c r="B63" s="35" t="s">
        <v>1258</v>
      </c>
      <c r="C63" s="35">
        <v>2.0</v>
      </c>
      <c r="D63" s="36" t="s">
        <v>32</v>
      </c>
      <c r="E63" s="36" t="s">
        <v>59</v>
      </c>
      <c r="F63" s="36">
        <f>vlookup(D63,'Team Bye List'!$A$1:$B$33,2,False)</f>
        <v>9</v>
      </c>
      <c r="G63" s="37">
        <f>if(ISNA(vlookup($A63, Sleeper!$B$2:$E$330, 4, false)), 0, vlookup($A63, Sleeper!$B$2:$E$330, 4, false))</f>
        <v>17</v>
      </c>
      <c r="H63" s="37">
        <f>if(ISNA(vlookup($A63, ESPN!$B$2:$E$297, 4, false)), 0, vlookup($A63, ESPN!$B$2:$E$297, 4, false))</f>
        <v>6</v>
      </c>
      <c r="I63" s="37">
        <f>if(ISNA(vlookup($A63,'Ultimate Draft Kit'!$B$2:$E$324,4, false)), 0, vlookup($A63,'Ultimate Draft Kit'!$B$2:$E$324, 4, false))</f>
        <v>15</v>
      </c>
      <c r="J63" s="38">
        <f>if(ISNA(vlookup($A63,Rotowire!$B$2:$E$1075,4, false)), 0, vlookup($A63,Rotowire!$B$2:$E$1075, 4, false))</f>
        <v>16</v>
      </c>
      <c r="K63" s="37">
        <f>if(ISNA(vlookup($A63, FantasyPro!$B$2:$E$341,4,false)),0,vlookup($A63,FantasyPro!$B$2:$E$341,4,false))</f>
        <v>14</v>
      </c>
      <c r="L63" s="37">
        <f>if(ISNA(vlookup($A63, FFToolbox!$B$2:$E$414, 4, false)), 0, vlookup($A63, FFToolbox!$B$2:$E$414, 4, false))</f>
        <v>15</v>
      </c>
      <c r="M63" s="39">
        <f t="shared" si="1"/>
        <v>13.83333333</v>
      </c>
      <c r="N63" s="39">
        <f t="shared" si="2"/>
        <v>11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</row>
    <row r="64">
      <c r="A64" s="17" t="s">
        <v>87</v>
      </c>
      <c r="B64" s="35" t="s">
        <v>1258</v>
      </c>
      <c r="C64" s="35">
        <v>5.0</v>
      </c>
      <c r="D64" s="36" t="s">
        <v>35</v>
      </c>
      <c r="E64" s="36" t="s">
        <v>13</v>
      </c>
      <c r="F64" s="36">
        <f>vlookup(D64,'Team Bye List'!$A$1:$B$33,2,False)</f>
        <v>6</v>
      </c>
      <c r="G64" s="37">
        <f>if(ISNA(vlookup($A64, Sleeper!$B$2:$E$330, 4, false)), 0, vlookup($A64, Sleeper!$B$2:$E$330, 4, false))</f>
        <v>8</v>
      </c>
      <c r="H64" s="37">
        <f>if(ISNA(vlookup($A64, ESPN!$B$2:$E$297, 4, false)), 0, vlookup($A64, ESPN!$B$2:$E$297, 4, false))</f>
        <v>13</v>
      </c>
      <c r="I64" s="37">
        <f>if(ISNA(vlookup($A64,'Ultimate Draft Kit'!$B$2:$E$324,4, false)), 0, vlookup($A64,'Ultimate Draft Kit'!$B$2:$E$324, 4, false))</f>
        <v>17</v>
      </c>
      <c r="J64" s="38">
        <f>if(ISNA(vlookup($A64,Rotowire!$B$2:$E$1075,4, false)), 0, vlookup($A64,Rotowire!$B$2:$E$1075, 4, false))</f>
        <v>10</v>
      </c>
      <c r="K64" s="37">
        <f>if(ISNA(vlookup($A64, FantasyPro!$B$2:$E$341,4,false)),0,vlookup($A64,FantasyPro!$B$2:$E$341,4,false))</f>
        <v>13</v>
      </c>
      <c r="L64" s="37">
        <f>if(ISNA(vlookup($A64, FFToolbox!$B$2:$E$414, 4, false)), 0, vlookup($A64, FFToolbox!$B$2:$E$414, 4, false))</f>
        <v>18</v>
      </c>
      <c r="M64" s="39">
        <f t="shared" si="1"/>
        <v>13.16666667</v>
      </c>
      <c r="N64" s="39">
        <f t="shared" si="2"/>
        <v>10</v>
      </c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</row>
    <row r="65">
      <c r="A65" s="17" t="s">
        <v>67</v>
      </c>
      <c r="B65" s="35" t="s">
        <v>1258</v>
      </c>
      <c r="C65" s="35">
        <v>7.0</v>
      </c>
      <c r="D65" s="36" t="s">
        <v>58</v>
      </c>
      <c r="E65" s="36" t="s">
        <v>8</v>
      </c>
      <c r="F65" s="36">
        <f>vlookup(D65,'Team Bye List'!$A$1:$B$33,2,False)</f>
        <v>10</v>
      </c>
      <c r="G65" s="37">
        <f>if(ISNA(vlookup($A65, Sleeper!$B$2:$E$330, 4, false)), 0, vlookup($A65, Sleeper!$B$2:$E$330, 4, false))</f>
        <v>22</v>
      </c>
      <c r="H65" s="37">
        <f>if(ISNA(vlookup($A65, ESPN!$B$2:$E$297, 4, false)), 0, vlookup($A65, ESPN!$B$2:$E$297, 4, false))</f>
        <v>23</v>
      </c>
      <c r="I65" s="37">
        <f>if(ISNA(vlookup($A65,'Ultimate Draft Kit'!$B$2:$E$324,4, false)), 0, vlookup($A65,'Ultimate Draft Kit'!$B$2:$E$324, 4, false))</f>
        <v>6</v>
      </c>
      <c r="J65" s="38">
        <f>if(ISNA(vlookup($A65,Rotowire!$B$2:$E$1075,4, false)), 0, vlookup($A65,Rotowire!$B$2:$E$1075, 4, false))</f>
        <v>13</v>
      </c>
      <c r="K65" s="37">
        <f>if(ISNA(vlookup($A65, FantasyPro!$B$2:$E$341,4,false)),0,vlookup($A65,FantasyPro!$B$2:$E$341,4,false))</f>
        <v>19</v>
      </c>
      <c r="L65" s="37">
        <f>if(ISNA(vlookup($A65, FFToolbox!$B$2:$E$414, 4, false)), 0, vlookup($A65, FFToolbox!$B$2:$E$414, 4, false))</f>
        <v>15</v>
      </c>
      <c r="M65" s="39">
        <f t="shared" si="1"/>
        <v>16.33333333</v>
      </c>
      <c r="N65" s="39">
        <f t="shared" si="2"/>
        <v>17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</row>
    <row r="66">
      <c r="A66" s="17" t="s">
        <v>95</v>
      </c>
      <c r="B66" s="35" t="s">
        <v>1259</v>
      </c>
      <c r="C66" s="35">
        <v>7.0</v>
      </c>
      <c r="D66" s="36" t="s">
        <v>30</v>
      </c>
      <c r="E66" s="36" t="s">
        <v>13</v>
      </c>
      <c r="F66" s="36">
        <f>vlookup(D66,'Team Bye List'!$A$1:$B$33,2,False)</f>
        <v>7</v>
      </c>
      <c r="G66" s="37">
        <f>if(ISNA(vlookup($A66, Sleeper!$B$2:$E$330, 4, false)), 0, vlookup($A66, Sleeper!$B$2:$E$330, 4, false))</f>
        <v>12</v>
      </c>
      <c r="H66" s="37">
        <f>if(ISNA(vlookup($A66, ESPN!$B$2:$E$297, 4, false)), 0, vlookup($A66, ESPN!$B$2:$E$297, 4, false))</f>
        <v>10</v>
      </c>
      <c r="I66" s="37">
        <f>if(ISNA(vlookup($A66,'Ultimate Draft Kit'!$B$2:$E$324,4, false)), 0, vlookup($A66,'Ultimate Draft Kit'!$B$2:$E$324, 4, false))</f>
        <v>0</v>
      </c>
      <c r="J66" s="38">
        <f>if(ISNA(vlookup($A66,Rotowire!$B$2:$E$1075,4, false)), 0, vlookup($A66,Rotowire!$B$2:$E$1075, 4, false))</f>
        <v>21</v>
      </c>
      <c r="K66" s="37">
        <f>if(ISNA(vlookup($A66, FantasyPro!$B$2:$E$341,4,false)),0,vlookup($A66,FantasyPro!$B$2:$E$341,4,false))</f>
        <v>13</v>
      </c>
      <c r="L66" s="37">
        <f>if(ISNA(vlookup($A66, FFToolbox!$B$2:$E$414, 4, false)), 0, vlookup($A66, FFToolbox!$B$2:$E$414, 4, false))</f>
        <v>16</v>
      </c>
      <c r="M66" s="39">
        <f t="shared" si="1"/>
        <v>12</v>
      </c>
      <c r="N66" s="39">
        <f t="shared" si="2"/>
        <v>21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</row>
    <row r="67">
      <c r="A67" s="17" t="s">
        <v>154</v>
      </c>
      <c r="B67" s="35" t="s">
        <v>1259</v>
      </c>
      <c r="C67" s="35">
        <v>5.0</v>
      </c>
      <c r="D67" s="36" t="s">
        <v>12</v>
      </c>
      <c r="E67" s="36" t="s">
        <v>77</v>
      </c>
      <c r="F67" s="36">
        <f>vlookup(D67,'Team Bye List'!$A$1:$B$33,2,False)</f>
        <v>8</v>
      </c>
      <c r="G67" s="37">
        <f>if(ISNA(vlookup($A67, Sleeper!$B$2:$E$330, 4, false)), 0, vlookup($A67, Sleeper!$B$2:$E$330, 4, false))</f>
        <v>8</v>
      </c>
      <c r="H67" s="37">
        <f>if(ISNA(vlookup($A67, ESPN!$B$2:$E$297, 4, false)), 0, vlookup($A67, ESPN!$B$2:$E$297, 4, false))</f>
        <v>2</v>
      </c>
      <c r="I67" s="37">
        <f>if(ISNA(vlookup($A67,'Ultimate Draft Kit'!$B$2:$E$324,4, false)), 0, vlookup($A67,'Ultimate Draft Kit'!$B$2:$E$324, 4, false))</f>
        <v>21</v>
      </c>
      <c r="J67" s="38">
        <f>if(ISNA(vlookup($A67,Rotowire!$B$2:$E$1075,4, false)), 0, vlookup($A67,Rotowire!$B$2:$E$1075, 4, false))</f>
        <v>26</v>
      </c>
      <c r="K67" s="37">
        <f>if(ISNA(vlookup($A67, FantasyPro!$B$2:$E$341,4,false)),0,vlookup($A67,FantasyPro!$B$2:$E$341,4,false))</f>
        <v>6</v>
      </c>
      <c r="L67" s="37">
        <f>if(ISNA(vlookup($A67, FFToolbox!$B$2:$E$414, 4, false)), 0, vlookup($A67, FFToolbox!$B$2:$E$414, 4, false))</f>
        <v>8</v>
      </c>
      <c r="M67" s="39">
        <f t="shared" si="1"/>
        <v>11.83333333</v>
      </c>
      <c r="N67" s="39">
        <f t="shared" si="2"/>
        <v>24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</row>
    <row r="68">
      <c r="A68" s="17" t="s">
        <v>155</v>
      </c>
      <c r="B68" s="35" t="s">
        <v>1258</v>
      </c>
      <c r="C68" s="35">
        <v>4.0</v>
      </c>
      <c r="D68" s="36" t="s">
        <v>28</v>
      </c>
      <c r="E68" s="36" t="s">
        <v>77</v>
      </c>
      <c r="F68" s="36">
        <f>vlookup(D68,'Team Bye List'!$A$1:$B$33,2,False)</f>
        <v>11</v>
      </c>
      <c r="G68" s="37">
        <f>if(ISNA(vlookup($A68, Sleeper!$B$2:$E$330, 4, false)), 0, vlookup($A68, Sleeper!$B$2:$E$330, 4, false))</f>
        <v>12</v>
      </c>
      <c r="H68" s="37">
        <f>if(ISNA(vlookup($A68, ESPN!$B$2:$E$297, 4, false)), 0, vlookup($A68, ESPN!$B$2:$E$297, 4, false))</f>
        <v>2</v>
      </c>
      <c r="I68" s="37">
        <f>if(ISNA(vlookup($A68,'Ultimate Draft Kit'!$B$2:$E$324,4, false)), 0, vlookup($A68,'Ultimate Draft Kit'!$B$2:$E$324, 4, false))</f>
        <v>23</v>
      </c>
      <c r="J68" s="38">
        <f>if(ISNA(vlookup($A68,Rotowire!$B$2:$E$1075,4, false)), 0, vlookup($A68,Rotowire!$B$2:$E$1075, 4, false))</f>
        <v>23</v>
      </c>
      <c r="K68" s="37">
        <f>if(ISNA(vlookup($A68, FantasyPro!$B$2:$E$341,4,false)),0,vlookup($A68,FantasyPro!$B$2:$E$341,4,false))</f>
        <v>7</v>
      </c>
      <c r="L68" s="37">
        <f>if(ISNA(vlookup($A68, FFToolbox!$B$2:$E$414, 4, false)), 0, vlookup($A68, FFToolbox!$B$2:$E$414, 4, false))</f>
        <v>8</v>
      </c>
      <c r="M68" s="39">
        <f t="shared" si="1"/>
        <v>12.5</v>
      </c>
      <c r="N68" s="39">
        <f t="shared" si="2"/>
        <v>21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</row>
    <row r="69">
      <c r="A69" s="17" t="s">
        <v>90</v>
      </c>
      <c r="B69" s="35" t="s">
        <v>1258</v>
      </c>
      <c r="C69" s="35">
        <v>7.0</v>
      </c>
      <c r="D69" s="36" t="s">
        <v>28</v>
      </c>
      <c r="E69" s="36" t="s">
        <v>8</v>
      </c>
      <c r="F69" s="36">
        <f>vlookup(D69,'Team Bye List'!$A$1:$B$33,2,False)</f>
        <v>11</v>
      </c>
      <c r="G69" s="37">
        <f>if(ISNA(vlookup($A69, Sleeper!$B$2:$E$330, 4, false)), 0, vlookup($A69, Sleeper!$B$2:$E$330, 4, false))</f>
        <v>22</v>
      </c>
      <c r="H69" s="37">
        <f>if(ISNA(vlookup($A69, ESPN!$B$2:$E$297, 4, false)), 0, vlookup($A69, ESPN!$B$2:$E$297, 4, false))</f>
        <v>12</v>
      </c>
      <c r="I69" s="37">
        <f>if(ISNA(vlookup($A69,'Ultimate Draft Kit'!$B$2:$E$324,4, false)), 0, vlookup($A69,'Ultimate Draft Kit'!$B$2:$E$324, 4, false))</f>
        <v>9</v>
      </c>
      <c r="J69" s="38">
        <f>if(ISNA(vlookup($A69,Rotowire!$B$2:$E$1075,4, false)), 0, vlookup($A69,Rotowire!$B$2:$E$1075, 4, false))</f>
        <v>8</v>
      </c>
      <c r="K69" s="37">
        <f>if(ISNA(vlookup($A69, FantasyPro!$B$2:$E$341,4,false)),0,vlookup($A69,FantasyPro!$B$2:$E$341,4,false))</f>
        <v>19</v>
      </c>
      <c r="L69" s="37">
        <f>if(ISNA(vlookup($A69, FFToolbox!$B$2:$E$414, 4, false)), 0, vlookup($A69, FFToolbox!$B$2:$E$414, 4, false))</f>
        <v>17</v>
      </c>
      <c r="M69" s="39">
        <f t="shared" si="1"/>
        <v>14.5</v>
      </c>
      <c r="N69" s="39">
        <f t="shared" si="2"/>
        <v>14</v>
      </c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</row>
    <row r="70">
      <c r="A70" s="17" t="s">
        <v>94</v>
      </c>
      <c r="B70" s="35" t="s">
        <v>1258</v>
      </c>
      <c r="C70" s="35">
        <v>7.0</v>
      </c>
      <c r="D70" s="36" t="s">
        <v>66</v>
      </c>
      <c r="E70" s="36" t="s">
        <v>13</v>
      </c>
      <c r="F70" s="36">
        <f>vlookup(D70,'Team Bye List'!$A$1:$B$33,2,False)</f>
        <v>9</v>
      </c>
      <c r="G70" s="37">
        <f>if(ISNA(vlookup($A70, Sleeper!$B$2:$E$330, 4, false)), 0, vlookup($A70, Sleeper!$B$2:$E$330, 4, false))</f>
        <v>7</v>
      </c>
      <c r="H70" s="37">
        <f>if(ISNA(vlookup($A70, ESPN!$B$2:$E$297, 4, false)), 0, vlookup($A70, ESPN!$B$2:$E$297, 4, false))</f>
        <v>10</v>
      </c>
      <c r="I70" s="37">
        <f>if(ISNA(vlookup($A70,'Ultimate Draft Kit'!$B$2:$E$324,4, false)), 0, vlookup($A70,'Ultimate Draft Kit'!$B$2:$E$324, 4, false))</f>
        <v>12</v>
      </c>
      <c r="J70" s="38">
        <f>if(ISNA(vlookup($A70,Rotowire!$B$2:$E$1075,4, false)), 0, vlookup($A70,Rotowire!$B$2:$E$1075, 4, false))</f>
        <v>8</v>
      </c>
      <c r="K70" s="37">
        <f>if(ISNA(vlookup($A70, FantasyPro!$B$2:$E$341,4,false)),0,vlookup($A70,FantasyPro!$B$2:$E$341,4,false))</f>
        <v>15</v>
      </c>
      <c r="L70" s="37">
        <f>if(ISNA(vlookup($A70, FFToolbox!$B$2:$E$414, 4, false)), 0, vlookup($A70, FFToolbox!$B$2:$E$414, 4, false))</f>
        <v>11</v>
      </c>
      <c r="M70" s="39">
        <f t="shared" si="1"/>
        <v>10.5</v>
      </c>
      <c r="N70" s="39">
        <f t="shared" si="2"/>
        <v>8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</row>
    <row r="71">
      <c r="A71" s="17" t="s">
        <v>83</v>
      </c>
      <c r="B71" s="35" t="s">
        <v>1258</v>
      </c>
      <c r="C71" s="35">
        <v>7.0</v>
      </c>
      <c r="D71" s="36" t="s">
        <v>37</v>
      </c>
      <c r="E71" s="36" t="s">
        <v>13</v>
      </c>
      <c r="F71" s="36">
        <f>vlookup(D71,'Team Bye List'!$A$1:$B$33,2,False)</f>
        <v>11</v>
      </c>
      <c r="G71" s="37">
        <f>if(ISNA(vlookup($A71, Sleeper!$B$2:$E$330, 4, false)), 0, vlookup($A71, Sleeper!$B$2:$E$330, 4, false))</f>
        <v>10</v>
      </c>
      <c r="H71" s="37">
        <f>if(ISNA(vlookup($A71, ESPN!$B$2:$E$297, 4, false)), 0, vlookup($A71, ESPN!$B$2:$E$297, 4, false))</f>
        <v>15</v>
      </c>
      <c r="I71" s="37">
        <f>if(ISNA(vlookup($A71,'Ultimate Draft Kit'!$B$2:$E$324,4, false)), 0, vlookup($A71,'Ultimate Draft Kit'!$B$2:$E$324, 4, false))</f>
        <v>7</v>
      </c>
      <c r="J71" s="38">
        <f>if(ISNA(vlookup($A71,Rotowire!$B$2:$E$1075,4, false)), 0, vlookup($A71,Rotowire!$B$2:$E$1075, 4, false))</f>
        <v>2</v>
      </c>
      <c r="K71" s="37">
        <f>if(ISNA(vlookup($A71, FantasyPro!$B$2:$E$341,4,false)),0,vlookup($A71,FantasyPro!$B$2:$E$341,4,false))</f>
        <v>14</v>
      </c>
      <c r="L71" s="37">
        <f>if(ISNA(vlookup($A71, FFToolbox!$B$2:$E$414, 4, false)), 0, vlookup($A71, FFToolbox!$B$2:$E$414, 4, false))</f>
        <v>15</v>
      </c>
      <c r="M71" s="39">
        <f t="shared" si="1"/>
        <v>10.5</v>
      </c>
      <c r="N71" s="39">
        <f t="shared" si="2"/>
        <v>13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</row>
    <row r="72">
      <c r="A72" s="17" t="s">
        <v>100</v>
      </c>
      <c r="B72" s="35" t="s">
        <v>1259</v>
      </c>
      <c r="C72" s="35">
        <v>7.0</v>
      </c>
      <c r="D72" s="36" t="s">
        <v>85</v>
      </c>
      <c r="E72" s="36" t="s">
        <v>13</v>
      </c>
      <c r="F72" s="36">
        <f>vlookup(D72,'Team Bye List'!$A$1:$B$33,2,False)</f>
        <v>9</v>
      </c>
      <c r="G72" s="37">
        <f>if(ISNA(vlookup($A72, Sleeper!$B$2:$E$330, 4, false)), 0, vlookup($A72, Sleeper!$B$2:$E$330, 4, false))</f>
        <v>1</v>
      </c>
      <c r="H72" s="37">
        <f>if(ISNA(vlookup($A72, ESPN!$B$2:$E$297, 4, false)), 0, vlookup($A72, ESPN!$B$2:$E$297, 4, false))</f>
        <v>9</v>
      </c>
      <c r="I72" s="37">
        <f>if(ISNA(vlookup($A72,'Ultimate Draft Kit'!$B$2:$E$324,4, false)), 0, vlookup($A72,'Ultimate Draft Kit'!$B$2:$E$324, 4, false))</f>
        <v>6</v>
      </c>
      <c r="J72" s="38">
        <f>if(ISNA(vlookup($A72,Rotowire!$B$2:$E$1075,4, false)), 0, vlookup($A72,Rotowire!$B$2:$E$1075, 4, false))</f>
        <v>5</v>
      </c>
      <c r="K72" s="37">
        <f>if(ISNA(vlookup($A72, FantasyPro!$B$2:$E$341,4,false)),0,vlookup($A72,FantasyPro!$B$2:$E$341,4,false))</f>
        <v>7</v>
      </c>
      <c r="L72" s="37">
        <f>if(ISNA(vlookup($A72, FFToolbox!$B$2:$E$414, 4, false)), 0, vlookup($A72, FFToolbox!$B$2:$E$414, 4, false))</f>
        <v>14</v>
      </c>
      <c r="M72" s="39">
        <f t="shared" si="1"/>
        <v>7</v>
      </c>
      <c r="N72" s="39">
        <f t="shared" si="2"/>
        <v>13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</row>
    <row r="73">
      <c r="A73" s="17" t="s">
        <v>130</v>
      </c>
      <c r="B73" s="35" t="s">
        <v>1258</v>
      </c>
      <c r="C73" s="35">
        <v>6.0</v>
      </c>
      <c r="D73" s="36" t="s">
        <v>69</v>
      </c>
      <c r="E73" s="36" t="s">
        <v>13</v>
      </c>
      <c r="F73" s="36">
        <f>vlookup(D73,'Team Bye List'!$A$1:$B$33,2,False)</f>
        <v>10</v>
      </c>
      <c r="G73" s="37">
        <f>if(ISNA(vlookup($A73, Sleeper!$B$2:$E$330, 4, false)), 0, vlookup($A73, Sleeper!$B$2:$E$330, 4, false))</f>
        <v>9</v>
      </c>
      <c r="H73" s="37">
        <f>if(ISNA(vlookup($A73, ESPN!$B$2:$E$297, 4, false)), 0, vlookup($A73, ESPN!$B$2:$E$297, 4, false))</f>
        <v>3</v>
      </c>
      <c r="I73" s="37">
        <f>if(ISNA(vlookup($A73,'Ultimate Draft Kit'!$B$2:$E$324,4, false)), 0, vlookup($A73,'Ultimate Draft Kit'!$B$2:$E$324, 4, false))</f>
        <v>14</v>
      </c>
      <c r="J73" s="38">
        <f>if(ISNA(vlookup($A73,Rotowire!$B$2:$E$1075,4, false)), 0, vlookup($A73,Rotowire!$B$2:$E$1075, 4, false))</f>
        <v>5</v>
      </c>
      <c r="K73" s="37">
        <f>if(ISNA(vlookup($A73, FantasyPro!$B$2:$E$341,4,false)),0,vlookup($A73,FantasyPro!$B$2:$E$341,4,false))</f>
        <v>13</v>
      </c>
      <c r="L73" s="37">
        <f>if(ISNA(vlookup($A73, FFToolbox!$B$2:$E$414, 4, false)), 0, vlookup($A73, FFToolbox!$B$2:$E$414, 4, false))</f>
        <v>16</v>
      </c>
      <c r="M73" s="39">
        <f t="shared" si="1"/>
        <v>10</v>
      </c>
      <c r="N73" s="39">
        <f t="shared" si="2"/>
        <v>13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</row>
    <row r="74">
      <c r="A74" s="17" t="s">
        <v>104</v>
      </c>
      <c r="B74" s="35" t="s">
        <v>1258</v>
      </c>
      <c r="C74" s="35">
        <v>7.0</v>
      </c>
      <c r="D74" s="36" t="s">
        <v>41</v>
      </c>
      <c r="E74" s="36" t="s">
        <v>13</v>
      </c>
      <c r="F74" s="36">
        <f>vlookup(D74,'Team Bye List'!$A$1:$B$33,2,False)</f>
        <v>14</v>
      </c>
      <c r="G74" s="37">
        <f>if(ISNA(vlookup($A74, Sleeper!$B$2:$E$330, 4, false)), 0, vlookup($A74, Sleeper!$B$2:$E$330, 4, false))</f>
        <v>8</v>
      </c>
      <c r="H74" s="37">
        <f>if(ISNA(vlookup($A74, ESPN!$B$2:$E$297, 4, false)), 0, vlookup($A74, ESPN!$B$2:$E$297, 4, false))</f>
        <v>7</v>
      </c>
      <c r="I74" s="37">
        <f>if(ISNA(vlookup($A74,'Ultimate Draft Kit'!$B$2:$E$324,4, false)), 0, vlookup($A74,'Ultimate Draft Kit'!$B$2:$E$324, 4, false))</f>
        <v>12</v>
      </c>
      <c r="J74" s="38">
        <f>if(ISNA(vlookup($A74,Rotowire!$B$2:$E$1075,4, false)), 0, vlookup($A74,Rotowire!$B$2:$E$1075, 4, false))</f>
        <v>0</v>
      </c>
      <c r="K74" s="37">
        <f>if(ISNA(vlookup($A74, FantasyPro!$B$2:$E$341,4,false)),0,vlookup($A74,FantasyPro!$B$2:$E$341,4,false))</f>
        <v>15</v>
      </c>
      <c r="L74" s="37">
        <f>if(ISNA(vlookup($A74, FFToolbox!$B$2:$E$414, 4, false)), 0, vlookup($A74, FFToolbox!$B$2:$E$414, 4, false))</f>
        <v>16</v>
      </c>
      <c r="M74" s="39">
        <f t="shared" si="1"/>
        <v>9.666666667</v>
      </c>
      <c r="N74" s="39">
        <f t="shared" si="2"/>
        <v>16</v>
      </c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</row>
    <row r="75">
      <c r="A75" s="17" t="s">
        <v>127</v>
      </c>
      <c r="B75" s="35" t="s">
        <v>1258</v>
      </c>
      <c r="C75" s="35">
        <v>3.0</v>
      </c>
      <c r="D75" s="36" t="s">
        <v>35</v>
      </c>
      <c r="E75" s="36" t="s">
        <v>59</v>
      </c>
      <c r="F75" s="36">
        <f>vlookup(D75,'Team Bye List'!$A$1:$B$33,2,False)</f>
        <v>6</v>
      </c>
      <c r="G75" s="37">
        <f>if(ISNA(vlookup($A75, Sleeper!$B$2:$E$330, 4, false)), 0, vlookup($A75, Sleeper!$B$2:$E$330, 4, false))</f>
        <v>13</v>
      </c>
      <c r="H75" s="37">
        <f>if(ISNA(vlookup($A75, ESPN!$B$2:$E$297, 4, false)), 0, vlookup($A75, ESPN!$B$2:$E$297, 4, false))</f>
        <v>4</v>
      </c>
      <c r="I75" s="37">
        <f>if(ISNA(vlookup($A75,'Ultimate Draft Kit'!$B$2:$E$324,4, false)), 0, vlookup($A75,'Ultimate Draft Kit'!$B$2:$E$324, 4, false))</f>
        <v>10</v>
      </c>
      <c r="J75" s="38">
        <f>if(ISNA(vlookup($A75,Rotowire!$B$2:$E$1075,4, false)), 0, vlookup($A75,Rotowire!$B$2:$E$1075, 4, false))</f>
        <v>16</v>
      </c>
      <c r="K75" s="37">
        <f>if(ISNA(vlookup($A75, FantasyPro!$B$2:$E$341,4,false)),0,vlookup($A75,FantasyPro!$B$2:$E$341,4,false))</f>
        <v>11</v>
      </c>
      <c r="L75" s="37">
        <f>if(ISNA(vlookup($A75, FFToolbox!$B$2:$E$414, 4, false)), 0, vlookup($A75, FFToolbox!$B$2:$E$414, 4, false))</f>
        <v>8</v>
      </c>
      <c r="M75" s="39">
        <f t="shared" si="1"/>
        <v>10.33333333</v>
      </c>
      <c r="N75" s="39">
        <f t="shared" si="2"/>
        <v>12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</row>
    <row r="76">
      <c r="A76" s="17" t="s">
        <v>97</v>
      </c>
      <c r="B76" s="35" t="s">
        <v>1258</v>
      </c>
      <c r="C76" s="35">
        <v>7.0</v>
      </c>
      <c r="D76" s="36" t="s">
        <v>64</v>
      </c>
      <c r="E76" s="36" t="s">
        <v>8</v>
      </c>
      <c r="F76" s="36">
        <f>vlookup(D76,'Team Bye List'!$A$1:$B$33,2,False)</f>
        <v>7</v>
      </c>
      <c r="G76" s="37">
        <f>if(ISNA(vlookup($A76, Sleeper!$B$2:$E$330, 4, false)), 0, vlookup($A76, Sleeper!$B$2:$E$330, 4, false))</f>
        <v>13</v>
      </c>
      <c r="H76" s="37">
        <f>if(ISNA(vlookup($A76, ESPN!$B$2:$E$297, 4, false)), 0, vlookup($A76, ESPN!$B$2:$E$297, 4, false))</f>
        <v>9</v>
      </c>
      <c r="I76" s="37">
        <f>if(ISNA(vlookup($A76,'Ultimate Draft Kit'!$B$2:$E$324,4, false)), 0, vlookup($A76,'Ultimate Draft Kit'!$B$2:$E$324, 4, false))</f>
        <v>8</v>
      </c>
      <c r="J76" s="38">
        <f>if(ISNA(vlookup($A76,Rotowire!$B$2:$E$1075,4, false)), 0, vlookup($A76,Rotowire!$B$2:$E$1075, 4, false))</f>
        <v>1</v>
      </c>
      <c r="K76" s="37">
        <f>if(ISNA(vlookup($A76, FantasyPro!$B$2:$E$341,4,false)),0,vlookup($A76,FantasyPro!$B$2:$E$341,4,false))</f>
        <v>14</v>
      </c>
      <c r="L76" s="37">
        <f>if(ISNA(vlookup($A76, FFToolbox!$B$2:$E$414, 4, false)), 0, vlookup($A76, FFToolbox!$B$2:$E$414, 4, false))</f>
        <v>16</v>
      </c>
      <c r="M76" s="39">
        <f t="shared" si="1"/>
        <v>10.16666667</v>
      </c>
      <c r="N76" s="39">
        <f t="shared" si="2"/>
        <v>15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</row>
    <row r="77">
      <c r="A77" s="17" t="s">
        <v>110</v>
      </c>
      <c r="B77" s="35" t="s">
        <v>1258</v>
      </c>
      <c r="C77" s="35">
        <v>6.0</v>
      </c>
      <c r="D77" s="36" t="s">
        <v>62</v>
      </c>
      <c r="E77" s="36" t="s">
        <v>13</v>
      </c>
      <c r="F77" s="36">
        <f>vlookup(D77,'Team Bye List'!$A$1:$B$33,2,False)</f>
        <v>8</v>
      </c>
      <c r="G77" s="37">
        <f>if(ISNA(vlookup($A77, Sleeper!$B$2:$E$330, 4, false)), 0, vlookup($A77, Sleeper!$B$2:$E$330, 4, false))</f>
        <v>7</v>
      </c>
      <c r="H77" s="37">
        <f>if(ISNA(vlookup($A77, ESPN!$B$2:$E$297, 4, false)), 0, vlookup($A77, ESPN!$B$2:$E$297, 4, false))</f>
        <v>6</v>
      </c>
      <c r="I77" s="37">
        <f>if(ISNA(vlookup($A77,'Ultimate Draft Kit'!$B$2:$E$324,4, false)), 0, vlookup($A77,'Ultimate Draft Kit'!$B$2:$E$324, 4, false))</f>
        <v>14</v>
      </c>
      <c r="J77" s="38">
        <f>if(ISNA(vlookup($A77,Rotowire!$B$2:$E$1075,4, false)), 0, vlookup($A77,Rotowire!$B$2:$E$1075, 4, false))</f>
        <v>5</v>
      </c>
      <c r="K77" s="37">
        <f>if(ISNA(vlookup($A77, FantasyPro!$B$2:$E$341,4,false)),0,vlookup($A77,FantasyPro!$B$2:$E$341,4,false))</f>
        <v>11</v>
      </c>
      <c r="L77" s="37">
        <f>if(ISNA(vlookup($A77, FFToolbox!$B$2:$E$414, 4, false)), 0, vlookup($A77, FFToolbox!$B$2:$E$414, 4, false))</f>
        <v>15</v>
      </c>
      <c r="M77" s="39">
        <f t="shared" si="1"/>
        <v>9.666666667</v>
      </c>
      <c r="N77" s="39">
        <f t="shared" si="2"/>
        <v>10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</row>
    <row r="78">
      <c r="A78" s="17" t="s">
        <v>106</v>
      </c>
      <c r="B78" s="35" t="s">
        <v>1258</v>
      </c>
      <c r="C78" s="35">
        <v>5.0</v>
      </c>
      <c r="D78" s="36" t="s">
        <v>12</v>
      </c>
      <c r="E78" s="36" t="s">
        <v>13</v>
      </c>
      <c r="F78" s="36">
        <f>vlookup(D78,'Team Bye List'!$A$1:$B$33,2,False)</f>
        <v>8</v>
      </c>
      <c r="G78" s="37">
        <f>if(ISNA(vlookup($A78, Sleeper!$B$2:$E$330, 4, false)), 0, vlookup($A78, Sleeper!$B$2:$E$330, 4, false))</f>
        <v>8</v>
      </c>
      <c r="H78" s="37">
        <f>if(ISNA(vlookup($A78, ESPN!$B$2:$E$297, 4, false)), 0, vlookup($A78, ESPN!$B$2:$E$297, 4, false))</f>
        <v>7</v>
      </c>
      <c r="I78" s="37">
        <f>if(ISNA(vlookup($A78,'Ultimate Draft Kit'!$B$2:$E$324,4, false)), 0, vlookup($A78,'Ultimate Draft Kit'!$B$2:$E$324, 4, false))</f>
        <v>20</v>
      </c>
      <c r="J78" s="38">
        <f>if(ISNA(vlookup($A78,Rotowire!$B$2:$E$1075,4, false)), 0, vlookup($A78,Rotowire!$B$2:$E$1075, 4, false))</f>
        <v>8</v>
      </c>
      <c r="K78" s="37">
        <f>if(ISNA(vlookup($A78, FantasyPro!$B$2:$E$341,4,false)),0,vlookup($A78,FantasyPro!$B$2:$E$341,4,false))</f>
        <v>15</v>
      </c>
      <c r="L78" s="37">
        <f>if(ISNA(vlookup($A78, FFToolbox!$B$2:$E$414, 4, false)), 0, vlookup($A78, FFToolbox!$B$2:$E$414, 4, false))</f>
        <v>0</v>
      </c>
      <c r="M78" s="39">
        <f t="shared" si="1"/>
        <v>9.666666667</v>
      </c>
      <c r="N78" s="39">
        <f t="shared" si="2"/>
        <v>20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</row>
    <row r="79">
      <c r="A79" s="17" t="s">
        <v>105</v>
      </c>
      <c r="B79" s="35" t="s">
        <v>1259</v>
      </c>
      <c r="C79" s="35">
        <v>7.0</v>
      </c>
      <c r="D79" s="36" t="s">
        <v>25</v>
      </c>
      <c r="E79" s="36" t="s">
        <v>13</v>
      </c>
      <c r="F79" s="36">
        <f>vlookup(D79,'Team Bye List'!$A$1:$B$33,2,False)</f>
        <v>7</v>
      </c>
      <c r="G79" s="37">
        <f>if(ISNA(vlookup($A79, Sleeper!$B$2:$E$330, 4, false)), 0, vlookup($A79, Sleeper!$B$2:$E$330, 4, false))</f>
        <v>4</v>
      </c>
      <c r="H79" s="37">
        <f>if(ISNA(vlookup($A79, ESPN!$B$2:$E$297, 4, false)), 0, vlookup($A79, ESPN!$B$2:$E$297, 4, false))</f>
        <v>7</v>
      </c>
      <c r="I79" s="37">
        <f>if(ISNA(vlookup($A79,'Ultimate Draft Kit'!$B$2:$E$324,4, false)), 0, vlookup($A79,'Ultimate Draft Kit'!$B$2:$E$324, 4, false))</f>
        <v>14</v>
      </c>
      <c r="J79" s="38">
        <f>if(ISNA(vlookup($A79,Rotowire!$B$2:$E$1075,4, false)), 0, vlookup($A79,Rotowire!$B$2:$E$1075, 4, false))</f>
        <v>3</v>
      </c>
      <c r="K79" s="37">
        <f>if(ISNA(vlookup($A79, FantasyPro!$B$2:$E$341,4,false)),0,vlookup($A79,FantasyPro!$B$2:$E$341,4,false))</f>
        <v>8</v>
      </c>
      <c r="L79" s="37">
        <f>if(ISNA(vlookup($A79, FFToolbox!$B$2:$E$414, 4, false)), 0, vlookup($A79, FFToolbox!$B$2:$E$414, 4, false))</f>
        <v>10</v>
      </c>
      <c r="M79" s="39">
        <f t="shared" si="1"/>
        <v>7.666666667</v>
      </c>
      <c r="N79" s="39">
        <f t="shared" si="2"/>
        <v>11</v>
      </c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</row>
    <row r="80">
      <c r="A80" s="17" t="s">
        <v>108</v>
      </c>
      <c r="B80" s="35" t="s">
        <v>1258</v>
      </c>
      <c r="C80" s="35">
        <v>6.0</v>
      </c>
      <c r="D80" s="36" t="s">
        <v>17</v>
      </c>
      <c r="E80" s="36" t="s">
        <v>13</v>
      </c>
      <c r="F80" s="36">
        <f>vlookup(D80,'Team Bye List'!$A$1:$B$33,2,False)</f>
        <v>7</v>
      </c>
      <c r="G80" s="37">
        <f>if(ISNA(vlookup($A80, Sleeper!$B$2:$E$330, 4, false)), 0, vlookup($A80, Sleeper!$B$2:$E$330, 4, false))</f>
        <v>6</v>
      </c>
      <c r="H80" s="37">
        <f>if(ISNA(vlookup($A80, ESPN!$B$2:$E$297, 4, false)), 0, vlookup($A80, ESPN!$B$2:$E$297, 4, false))</f>
        <v>6</v>
      </c>
      <c r="I80" s="37">
        <f>if(ISNA(vlookup($A80,'Ultimate Draft Kit'!$B$2:$E$324,4, false)), 0, vlookup($A80,'Ultimate Draft Kit'!$B$2:$E$324, 4, false))</f>
        <v>17</v>
      </c>
      <c r="J80" s="38">
        <f>if(ISNA(vlookup($A80,Rotowire!$B$2:$E$1075,4, false)), 0, vlookup($A80,Rotowire!$B$2:$E$1075, 4, false))</f>
        <v>2</v>
      </c>
      <c r="K80" s="37">
        <f>if(ISNA(vlookup($A80, FantasyPro!$B$2:$E$341,4,false)),0,vlookup($A80,FantasyPro!$B$2:$E$341,4,false))</f>
        <v>10</v>
      </c>
      <c r="L80" s="37">
        <f>if(ISNA(vlookup($A80, FFToolbox!$B$2:$E$414, 4, false)), 0, vlookup($A80, FFToolbox!$B$2:$E$414, 4, false))</f>
        <v>9</v>
      </c>
      <c r="M80" s="39">
        <f t="shared" si="1"/>
        <v>8.333333333</v>
      </c>
      <c r="N80" s="39">
        <f t="shared" si="2"/>
        <v>15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</row>
    <row r="81">
      <c r="A81" s="17" t="s">
        <v>116</v>
      </c>
      <c r="B81" s="35" t="s">
        <v>1259</v>
      </c>
      <c r="C81" s="35">
        <v>6.0</v>
      </c>
      <c r="D81" s="36" t="s">
        <v>58</v>
      </c>
      <c r="E81" s="36" t="s">
        <v>13</v>
      </c>
      <c r="F81" s="36">
        <f>vlookup(D81,'Team Bye List'!$A$1:$B$33,2,False)</f>
        <v>10</v>
      </c>
      <c r="G81" s="37">
        <f>if(ISNA(vlookup($A81, Sleeper!$B$2:$E$330, 4, false)), 0, vlookup($A81, Sleeper!$B$2:$E$330, 4, false))</f>
        <v>7</v>
      </c>
      <c r="H81" s="37">
        <f>if(ISNA(vlookup($A81, ESPN!$B$2:$E$297, 4, false)), 0, vlookup($A81, ESPN!$B$2:$E$297, 4, false))</f>
        <v>5</v>
      </c>
      <c r="I81" s="37">
        <f>if(ISNA(vlookup($A81,'Ultimate Draft Kit'!$B$2:$E$324,4, false)), 0, vlookup($A81,'Ultimate Draft Kit'!$B$2:$E$324, 4, false))</f>
        <v>15</v>
      </c>
      <c r="J81" s="38">
        <f>if(ISNA(vlookup($A81,Rotowire!$B$2:$E$1075,4, false)), 0, vlookup($A81,Rotowire!$B$2:$E$1075, 4, false))</f>
        <v>0</v>
      </c>
      <c r="K81" s="37">
        <f>if(ISNA(vlookup($A81, FantasyPro!$B$2:$E$341,4,false)),0,vlookup($A81,FantasyPro!$B$2:$E$341,4,false))</f>
        <v>14</v>
      </c>
      <c r="L81" s="37">
        <f>if(ISNA(vlookup($A81, FFToolbox!$B$2:$E$414, 4, false)), 0, vlookup($A81, FFToolbox!$B$2:$E$414, 4, false))</f>
        <v>16</v>
      </c>
      <c r="M81" s="39">
        <f t="shared" si="1"/>
        <v>9.5</v>
      </c>
      <c r="N81" s="39">
        <f t="shared" si="2"/>
        <v>16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</row>
    <row r="82">
      <c r="A82" s="17" t="s">
        <v>174</v>
      </c>
      <c r="B82" s="35" t="s">
        <v>1258</v>
      </c>
      <c r="C82" s="35">
        <v>5.0</v>
      </c>
      <c r="D82" s="36" t="s">
        <v>17</v>
      </c>
      <c r="E82" s="36" t="s">
        <v>77</v>
      </c>
      <c r="F82" s="36">
        <f>vlookup(D82,'Team Bye List'!$A$1:$B$33,2,False)</f>
        <v>7</v>
      </c>
      <c r="G82" s="37">
        <f>if(ISNA(vlookup($A82, Sleeper!$B$2:$E$330, 4, false)), 0, vlookup($A82, Sleeper!$B$2:$E$330, 4, false))</f>
        <v>3</v>
      </c>
      <c r="H82" s="37">
        <f>if(ISNA(vlookup($A82, ESPN!$B$2:$E$297, 4, false)), 0, vlookup($A82, ESPN!$B$2:$E$297, 4, false))</f>
        <v>1</v>
      </c>
      <c r="I82" s="37">
        <f>if(ISNA(vlookup($A82,'Ultimate Draft Kit'!$B$2:$E$324,4, false)), 0, vlookup($A82,'Ultimate Draft Kit'!$B$2:$E$324, 4, false))</f>
        <v>20</v>
      </c>
      <c r="J82" s="38">
        <f>if(ISNA(vlookup($A82,Rotowire!$B$2:$E$1075,4, false)), 0, vlookup($A82,Rotowire!$B$2:$E$1075, 4, false))</f>
        <v>9</v>
      </c>
      <c r="K82" s="37">
        <f>if(ISNA(vlookup($A82, FantasyPro!$B$2:$E$341,4,false)),0,vlookup($A82,FantasyPro!$B$2:$E$341,4,false))</f>
        <v>5</v>
      </c>
      <c r="L82" s="37">
        <f>if(ISNA(vlookup($A82, FFToolbox!$B$2:$E$414, 4, false)), 0, vlookup($A82, FFToolbox!$B$2:$E$414, 4, false))</f>
        <v>4</v>
      </c>
      <c r="M82" s="39">
        <f t="shared" si="1"/>
        <v>7</v>
      </c>
      <c r="N82" s="39">
        <f t="shared" si="2"/>
        <v>19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</row>
    <row r="83">
      <c r="A83" s="17" t="s">
        <v>156</v>
      </c>
      <c r="B83" s="35" t="s">
        <v>1258</v>
      </c>
      <c r="C83" s="35">
        <v>3.0</v>
      </c>
      <c r="D83" s="36" t="s">
        <v>64</v>
      </c>
      <c r="E83" s="36" t="s">
        <v>59</v>
      </c>
      <c r="F83" s="36">
        <f>vlookup(D83,'Team Bye List'!$A$1:$B$33,2,False)</f>
        <v>7</v>
      </c>
      <c r="G83" s="37">
        <f>if(ISNA(vlookup($A83, Sleeper!$B$2:$E$330, 4, false)), 0, vlookup($A83, Sleeper!$B$2:$E$330, 4, false))</f>
        <v>13</v>
      </c>
      <c r="H83" s="37">
        <f>if(ISNA(vlookup($A83, ESPN!$B$2:$E$297, 4, false)), 0, vlookup($A83, ESPN!$B$2:$E$297, 4, false))</f>
        <v>2</v>
      </c>
      <c r="I83" s="37">
        <f>if(ISNA(vlookup($A83,'Ultimate Draft Kit'!$B$2:$E$324,4, false)), 0, vlookup($A83,'Ultimate Draft Kit'!$B$2:$E$324, 4, false))</f>
        <v>9</v>
      </c>
      <c r="J83" s="38">
        <f>if(ISNA(vlookup($A83,Rotowire!$B$2:$E$1075,4, false)), 0, vlookup($A83,Rotowire!$B$2:$E$1075, 4, false))</f>
        <v>10</v>
      </c>
      <c r="K83" s="37">
        <f>if(ISNA(vlookup($A83, FantasyPro!$B$2:$E$341,4,false)),0,vlookup($A83,FantasyPro!$B$2:$E$341,4,false))</f>
        <v>9</v>
      </c>
      <c r="L83" s="37">
        <f>if(ISNA(vlookup($A83, FFToolbox!$B$2:$E$414, 4, false)), 0, vlookup($A83, FFToolbox!$B$2:$E$414, 4, false))</f>
        <v>7</v>
      </c>
      <c r="M83" s="39">
        <f t="shared" si="1"/>
        <v>8.333333333</v>
      </c>
      <c r="N83" s="39">
        <f t="shared" si="2"/>
        <v>11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</row>
    <row r="84">
      <c r="A84" s="17" t="s">
        <v>111</v>
      </c>
      <c r="B84" s="35" t="s">
        <v>1259</v>
      </c>
      <c r="C84" s="35">
        <v>7.0</v>
      </c>
      <c r="D84" s="36" t="s">
        <v>64</v>
      </c>
      <c r="E84" s="36" t="s">
        <v>13</v>
      </c>
      <c r="F84" s="36">
        <f>vlookup(D84,'Team Bye List'!$A$1:$B$33,2,False)</f>
        <v>7</v>
      </c>
      <c r="G84" s="37">
        <f>if(ISNA(vlookup($A84, Sleeper!$B$2:$E$330, 4, false)), 0, vlookup($A84, Sleeper!$B$2:$E$330, 4, false))</f>
        <v>3</v>
      </c>
      <c r="H84" s="37">
        <f>if(ISNA(vlookup($A84, ESPN!$B$2:$E$297, 4, false)), 0, vlookup($A84, ESPN!$B$2:$E$297, 4, false))</f>
        <v>6</v>
      </c>
      <c r="I84" s="37">
        <f>if(ISNA(vlookup($A84,'Ultimate Draft Kit'!$B$2:$E$324,4, false)), 0, vlookup($A84,'Ultimate Draft Kit'!$B$2:$E$324, 4, false))</f>
        <v>10</v>
      </c>
      <c r="J84" s="38">
        <f>if(ISNA(vlookup($A84,Rotowire!$B$2:$E$1075,4, false)), 0, vlookup($A84,Rotowire!$B$2:$E$1075, 4, false))</f>
        <v>8</v>
      </c>
      <c r="K84" s="37">
        <f>if(ISNA(vlookup($A84, FantasyPro!$B$2:$E$341,4,false)),0,vlookup($A84,FantasyPro!$B$2:$E$341,4,false))</f>
        <v>8</v>
      </c>
      <c r="L84" s="37">
        <f>if(ISNA(vlookup($A84, FFToolbox!$B$2:$E$414, 4, false)), 0, vlookup($A84, FFToolbox!$B$2:$E$414, 4, false))</f>
        <v>9</v>
      </c>
      <c r="M84" s="39">
        <f t="shared" si="1"/>
        <v>7.333333333</v>
      </c>
      <c r="N84" s="39">
        <f t="shared" si="2"/>
        <v>7</v>
      </c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</row>
    <row r="85">
      <c r="A85" s="17" t="s">
        <v>98</v>
      </c>
      <c r="B85" s="35" t="s">
        <v>1258</v>
      </c>
      <c r="C85" s="35">
        <v>6.0</v>
      </c>
      <c r="D85" s="36" t="s">
        <v>99</v>
      </c>
      <c r="E85" s="36" t="s">
        <v>8</v>
      </c>
      <c r="F85" s="36">
        <f>vlookup(D85,'Team Bye List'!$A$1:$B$33,2,False)</f>
        <v>11</v>
      </c>
      <c r="G85" s="37">
        <f>if(ISNA(vlookup($A85, Sleeper!$B$2:$E$330, 4, false)), 0, vlookup($A85, Sleeper!$B$2:$E$330, 4, false))</f>
        <v>28</v>
      </c>
      <c r="H85" s="37">
        <f>if(ISNA(vlookup($A85, ESPN!$B$2:$E$297, 4, false)), 0, vlookup($A85, ESPN!$B$2:$E$297, 4, false))</f>
        <v>9</v>
      </c>
      <c r="I85" s="37">
        <f>if(ISNA(vlookup($A85,'Ultimate Draft Kit'!$B$2:$E$324,4, false)), 0, vlookup($A85,'Ultimate Draft Kit'!$B$2:$E$324, 4, false))</f>
        <v>14</v>
      </c>
      <c r="J85" s="38">
        <f>if(ISNA(vlookup($A85,Rotowire!$B$2:$E$1075,4, false)), 0, vlookup($A85,Rotowire!$B$2:$E$1075, 4, false))</f>
        <v>0</v>
      </c>
      <c r="K85" s="37">
        <f>if(ISNA(vlookup($A85, FantasyPro!$B$2:$E$341,4,false)),0,vlookup($A85,FantasyPro!$B$2:$E$341,4,false))</f>
        <v>22</v>
      </c>
      <c r="L85" s="37">
        <f>if(ISNA(vlookup($A85, FFToolbox!$B$2:$E$414, 4, false)), 0, vlookup($A85, FFToolbox!$B$2:$E$414, 4, false))</f>
        <v>0</v>
      </c>
      <c r="M85" s="39">
        <f t="shared" si="1"/>
        <v>12.16666667</v>
      </c>
      <c r="N85" s="39">
        <f t="shared" si="2"/>
        <v>28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</row>
    <row r="86">
      <c r="A86" s="17" t="s">
        <v>101</v>
      </c>
      <c r="B86" s="35" t="s">
        <v>1258</v>
      </c>
      <c r="C86" s="35">
        <v>5.0</v>
      </c>
      <c r="D86" s="36" t="s">
        <v>89</v>
      </c>
      <c r="E86" s="36" t="s">
        <v>8</v>
      </c>
      <c r="F86" s="36">
        <f>vlookup(D86,'Team Bye List'!$A$1:$B$33,2,False)</f>
        <v>14</v>
      </c>
      <c r="G86" s="37">
        <f>if(ISNA(vlookup($A86, Sleeper!$B$2:$E$330, 4, false)), 0, vlookup($A86, Sleeper!$B$2:$E$330, 4, false))</f>
        <v>10</v>
      </c>
      <c r="H86" s="37">
        <f>if(ISNA(vlookup($A86, ESPN!$B$2:$E$297, 4, false)), 0, vlookup($A86, ESPN!$B$2:$E$297, 4, false))</f>
        <v>8</v>
      </c>
      <c r="I86" s="37">
        <f>if(ISNA(vlookup($A86,'Ultimate Draft Kit'!$B$2:$E$324,4, false)), 0, vlookup($A86,'Ultimate Draft Kit'!$B$2:$E$324, 4, false))</f>
        <v>16</v>
      </c>
      <c r="J86" s="38">
        <f>if(ISNA(vlookup($A86,Rotowire!$B$2:$E$1075,4, false)), 0, vlookup($A86,Rotowire!$B$2:$E$1075, 4, false))</f>
        <v>0</v>
      </c>
      <c r="K86" s="37">
        <f>if(ISNA(vlookup($A86, FantasyPro!$B$2:$E$341,4,false)),0,vlookup($A86,FantasyPro!$B$2:$E$341,4,false))</f>
        <v>9</v>
      </c>
      <c r="L86" s="37">
        <f>if(ISNA(vlookup($A86, FFToolbox!$B$2:$E$414, 4, false)), 0, vlookup($A86, FFToolbox!$B$2:$E$414, 4, false))</f>
        <v>5</v>
      </c>
      <c r="M86" s="39">
        <f t="shared" si="1"/>
        <v>8</v>
      </c>
      <c r="N86" s="39">
        <f t="shared" si="2"/>
        <v>16</v>
      </c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</row>
    <row r="87">
      <c r="A87" s="17" t="s">
        <v>137</v>
      </c>
      <c r="B87" s="35" t="s">
        <v>1258</v>
      </c>
      <c r="C87" s="35">
        <v>6.0</v>
      </c>
      <c r="D87" s="36" t="s">
        <v>47</v>
      </c>
      <c r="E87" s="36" t="s">
        <v>8</v>
      </c>
      <c r="F87" s="36">
        <f>vlookup(D87,'Team Bye List'!$A$1:$B$33,2,False)</f>
        <v>14</v>
      </c>
      <c r="G87" s="37">
        <f>if(ISNA(vlookup($A87, Sleeper!$B$2:$E$330, 4, false)), 0, vlookup($A87, Sleeper!$B$2:$E$330, 4, false))</f>
        <v>15</v>
      </c>
      <c r="H87" s="37">
        <f>if(ISNA(vlookup($A87, ESPN!$B$2:$E$297, 4, false)), 0, vlookup($A87, ESPN!$B$2:$E$297, 4, false))</f>
        <v>2</v>
      </c>
      <c r="I87" s="37">
        <f>if(ISNA(vlookup($A87,'Ultimate Draft Kit'!$B$2:$E$324,4, false)), 0, vlookup($A87,'Ultimate Draft Kit'!$B$2:$E$324, 4, false))</f>
        <v>12</v>
      </c>
      <c r="J87" s="38">
        <f>if(ISNA(vlookup($A87,Rotowire!$B$2:$E$1075,4, false)), 0, vlookup($A87,Rotowire!$B$2:$E$1075, 4, false))</f>
        <v>0</v>
      </c>
      <c r="K87" s="37">
        <f>if(ISNA(vlookup($A87, FantasyPro!$B$2:$E$341,4,false)),0,vlookup($A87,FantasyPro!$B$2:$E$341,4,false))</f>
        <v>16</v>
      </c>
      <c r="L87" s="37">
        <f>if(ISNA(vlookup($A87, FFToolbox!$B$2:$E$414, 4, false)), 0, vlookup($A87, FFToolbox!$B$2:$E$414, 4, false))</f>
        <v>16</v>
      </c>
      <c r="M87" s="39">
        <f t="shared" si="1"/>
        <v>10.16666667</v>
      </c>
      <c r="N87" s="39">
        <f t="shared" si="2"/>
        <v>16</v>
      </c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</row>
    <row r="88">
      <c r="A88" s="17" t="s">
        <v>109</v>
      </c>
      <c r="B88" s="35" t="s">
        <v>1258</v>
      </c>
      <c r="C88" s="35">
        <v>7.0</v>
      </c>
      <c r="D88" s="36" t="s">
        <v>89</v>
      </c>
      <c r="E88" s="36" t="s">
        <v>13</v>
      </c>
      <c r="F88" s="36">
        <f>vlookup(D88,'Team Bye List'!$A$1:$B$33,2,False)</f>
        <v>14</v>
      </c>
      <c r="G88" s="37">
        <f>if(ISNA(vlookup($A88, Sleeper!$B$2:$E$330, 4, false)), 0, vlookup($A88, Sleeper!$B$2:$E$330, 4, false))</f>
        <v>1</v>
      </c>
      <c r="H88" s="37">
        <f>if(ISNA(vlookup($A88, ESPN!$B$2:$E$297, 4, false)), 0, vlookup($A88, ESPN!$B$2:$E$297, 4, false))</f>
        <v>6</v>
      </c>
      <c r="I88" s="37">
        <f>if(ISNA(vlookup($A88,'Ultimate Draft Kit'!$B$2:$E$324,4, false)), 0, vlookup($A88,'Ultimate Draft Kit'!$B$2:$E$324, 4, false))</f>
        <v>6</v>
      </c>
      <c r="J88" s="38">
        <f>if(ISNA(vlookup($A88,Rotowire!$B$2:$E$1075,4, false)), 0, vlookup($A88,Rotowire!$B$2:$E$1075, 4, false))</f>
        <v>2</v>
      </c>
      <c r="K88" s="37">
        <f>if(ISNA(vlookup($A88, FantasyPro!$B$2:$E$341,4,false)),0,vlookup($A88,FantasyPro!$B$2:$E$341,4,false))</f>
        <v>7</v>
      </c>
      <c r="L88" s="37">
        <f>if(ISNA(vlookup($A88, FFToolbox!$B$2:$E$414, 4, false)), 0, vlookup($A88, FFToolbox!$B$2:$E$414, 4, false))</f>
        <v>15</v>
      </c>
      <c r="M88" s="39">
        <f t="shared" si="1"/>
        <v>6.166666667</v>
      </c>
      <c r="N88" s="39">
        <f t="shared" si="2"/>
        <v>14</v>
      </c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</row>
    <row r="89">
      <c r="A89" s="17" t="s">
        <v>117</v>
      </c>
      <c r="B89" s="35" t="s">
        <v>1258</v>
      </c>
      <c r="C89" s="35">
        <v>6.0</v>
      </c>
      <c r="D89" s="36" t="s">
        <v>99</v>
      </c>
      <c r="E89" s="36" t="s">
        <v>13</v>
      </c>
      <c r="F89" s="36">
        <f>vlookup(D89,'Team Bye List'!$A$1:$B$33,2,False)</f>
        <v>11</v>
      </c>
      <c r="G89" s="37">
        <f>if(ISNA(vlookup($A89, Sleeper!$B$2:$E$330, 4, false)), 0, vlookup($A89, Sleeper!$B$2:$E$330, 4, false))</f>
        <v>1</v>
      </c>
      <c r="H89" s="37">
        <f>if(ISNA(vlookup($A89, ESPN!$B$2:$E$297, 4, false)), 0, vlookup($A89, ESPN!$B$2:$E$297, 4, false))</f>
        <v>5</v>
      </c>
      <c r="I89" s="37">
        <f>if(ISNA(vlookup($A89,'Ultimate Draft Kit'!$B$2:$E$324,4, false)), 0, vlookup($A89,'Ultimate Draft Kit'!$B$2:$E$324, 4, false))</f>
        <v>14</v>
      </c>
      <c r="J89" s="38">
        <f>if(ISNA(vlookup($A89,Rotowire!$B$2:$E$1075,4, false)), 0, vlookup($A89,Rotowire!$B$2:$E$1075, 4, false))</f>
        <v>0</v>
      </c>
      <c r="K89" s="37">
        <f>if(ISNA(vlookup($A89, FantasyPro!$B$2:$E$341,4,false)),0,vlookup($A89,FantasyPro!$B$2:$E$341,4,false))</f>
        <v>6</v>
      </c>
      <c r="L89" s="37">
        <f>if(ISNA(vlookup($A89, FFToolbox!$B$2:$E$414, 4, false)), 0, vlookup($A89, FFToolbox!$B$2:$E$414, 4, false))</f>
        <v>11</v>
      </c>
      <c r="M89" s="39">
        <f t="shared" si="1"/>
        <v>6.166666667</v>
      </c>
      <c r="N89" s="39">
        <f t="shared" si="2"/>
        <v>14</v>
      </c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</row>
    <row r="90">
      <c r="A90" s="17" t="s">
        <v>115</v>
      </c>
      <c r="B90" s="35" t="s">
        <v>1259</v>
      </c>
      <c r="C90" s="35">
        <v>6.0</v>
      </c>
      <c r="D90" s="36" t="s">
        <v>62</v>
      </c>
      <c r="E90" s="36" t="s">
        <v>8</v>
      </c>
      <c r="F90" s="36">
        <f>vlookup(D90,'Team Bye List'!$A$1:$B$33,2,False)</f>
        <v>8</v>
      </c>
      <c r="G90" s="37">
        <f>if(ISNA(vlookup($A90, Sleeper!$B$2:$E$330, 4, false)), 0, vlookup($A90, Sleeper!$B$2:$E$330, 4, false))</f>
        <v>15</v>
      </c>
      <c r="H90" s="37">
        <f>if(ISNA(vlookup($A90, ESPN!$B$2:$E$297, 4, false)), 0, vlookup($A90, ESPN!$B$2:$E$297, 4, false))</f>
        <v>5</v>
      </c>
      <c r="I90" s="37">
        <f>if(ISNA(vlookup($A90,'Ultimate Draft Kit'!$B$2:$E$324,4, false)), 0, vlookup($A90,'Ultimate Draft Kit'!$B$2:$E$324, 4, false))</f>
        <v>11</v>
      </c>
      <c r="J90" s="38">
        <f>if(ISNA(vlookup($A90,Rotowire!$B$2:$E$1075,4, false)), 0, vlookup($A90,Rotowire!$B$2:$E$1075, 4, false))</f>
        <v>0</v>
      </c>
      <c r="K90" s="37">
        <f>if(ISNA(vlookup($A90, FantasyPro!$B$2:$E$341,4,false)),0,vlookup($A90,FantasyPro!$B$2:$E$341,4,false))</f>
        <v>14</v>
      </c>
      <c r="L90" s="37">
        <f>if(ISNA(vlookup($A90, FFToolbox!$B$2:$E$414, 4, false)), 0, vlookup($A90, FFToolbox!$B$2:$E$414, 4, false))</f>
        <v>9</v>
      </c>
      <c r="M90" s="39">
        <f t="shared" si="1"/>
        <v>9</v>
      </c>
      <c r="N90" s="39">
        <f t="shared" si="2"/>
        <v>15</v>
      </c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</row>
    <row r="91">
      <c r="A91" s="17" t="s">
        <v>140</v>
      </c>
      <c r="B91" s="35" t="s">
        <v>1259</v>
      </c>
      <c r="C91" s="35">
        <v>6.0</v>
      </c>
      <c r="D91" s="36" t="s">
        <v>39</v>
      </c>
      <c r="E91" s="36" t="s">
        <v>8</v>
      </c>
      <c r="F91" s="36">
        <f>vlookup(D91,'Team Bye List'!$A$1:$B$33,2,False)</f>
        <v>11</v>
      </c>
      <c r="G91" s="37">
        <f>if(ISNA(vlookup($A91, Sleeper!$B$2:$E$330, 4, false)), 0, vlookup($A91, Sleeper!$B$2:$E$330, 4, false))</f>
        <v>6</v>
      </c>
      <c r="H91" s="37">
        <f>if(ISNA(vlookup($A91, ESPN!$B$2:$E$297, 4, false)), 0, vlookup($A91, ESPN!$B$2:$E$297, 4, false))</f>
        <v>2</v>
      </c>
      <c r="I91" s="37">
        <f>if(ISNA(vlookup($A91,'Ultimate Draft Kit'!$B$2:$E$324,4, false)), 0, vlookup($A91,'Ultimate Draft Kit'!$B$2:$E$324, 4, false))</f>
        <v>12</v>
      </c>
      <c r="J91" s="38">
        <f>if(ISNA(vlookup($A91,Rotowire!$B$2:$E$1075,4, false)), 0, vlookup($A91,Rotowire!$B$2:$E$1075, 4, false))</f>
        <v>0</v>
      </c>
      <c r="K91" s="37">
        <f>if(ISNA(vlookup($A91, FantasyPro!$B$2:$E$341,4,false)),0,vlookup($A91,FantasyPro!$B$2:$E$341,4,false))</f>
        <v>13</v>
      </c>
      <c r="L91" s="37">
        <f>if(ISNA(vlookup($A91, FFToolbox!$B$2:$E$414, 4, false)), 0, vlookup($A91, FFToolbox!$B$2:$E$414, 4, false))</f>
        <v>12</v>
      </c>
      <c r="M91" s="39">
        <f t="shared" si="1"/>
        <v>7.5</v>
      </c>
      <c r="N91" s="39">
        <f t="shared" si="2"/>
        <v>13</v>
      </c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</row>
    <row r="92">
      <c r="A92" s="17" t="s">
        <v>148</v>
      </c>
      <c r="B92" s="35" t="s">
        <v>1259</v>
      </c>
      <c r="C92" s="35">
        <v>7.0</v>
      </c>
      <c r="D92" s="36" t="s">
        <v>21</v>
      </c>
      <c r="E92" s="36" t="s">
        <v>13</v>
      </c>
      <c r="F92" s="36">
        <f>vlookup(D92,'Team Bye List'!$A$1:$B$33,2,False)</f>
        <v>6</v>
      </c>
      <c r="G92" s="37">
        <f>if(ISNA(vlookup($A92, Sleeper!$B$2:$E$330, 4, false)), 0, vlookup($A92, Sleeper!$B$2:$E$330, 4, false))</f>
        <v>1</v>
      </c>
      <c r="H92" s="37">
        <f>if(ISNA(vlookup($A92, ESPN!$B$2:$E$297, 4, false)), 0, vlookup($A92, ESPN!$B$2:$E$297, 4, false))</f>
        <v>2</v>
      </c>
      <c r="I92" s="37">
        <f>if(ISNA(vlookup($A92,'Ultimate Draft Kit'!$B$2:$E$324,4, false)), 0, vlookup($A92,'Ultimate Draft Kit'!$B$2:$E$324, 4, false))</f>
        <v>11</v>
      </c>
      <c r="J92" s="38">
        <f>if(ISNA(vlookup($A92,Rotowire!$B$2:$E$1075,4, false)), 0, vlookup($A92,Rotowire!$B$2:$E$1075, 4, false))</f>
        <v>0</v>
      </c>
      <c r="K92" s="37">
        <f>if(ISNA(vlookup($A92, FantasyPro!$B$2:$E$341,4,false)),0,vlookup($A92,FantasyPro!$B$2:$E$341,4,false))</f>
        <v>5</v>
      </c>
      <c r="L92" s="37">
        <f>if(ISNA(vlookup($A92, FFToolbox!$B$2:$E$414, 4, false)), 0, vlookup($A92, FFToolbox!$B$2:$E$414, 4, false))</f>
        <v>8</v>
      </c>
      <c r="M92" s="39">
        <f t="shared" si="1"/>
        <v>4.5</v>
      </c>
      <c r="N92" s="39">
        <f t="shared" si="2"/>
        <v>11</v>
      </c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</row>
    <row r="93">
      <c r="A93" s="17" t="s">
        <v>135</v>
      </c>
      <c r="B93" s="35" t="s">
        <v>1259</v>
      </c>
      <c r="C93" s="35">
        <v>8.0</v>
      </c>
      <c r="D93" s="36" t="s">
        <v>23</v>
      </c>
      <c r="E93" s="36" t="s">
        <v>13</v>
      </c>
      <c r="F93" s="36">
        <f>vlookup(D93,'Team Bye List'!$A$1:$B$33,2,False)</f>
        <v>9</v>
      </c>
      <c r="G93" s="37">
        <f>if(ISNA(vlookup($A93, Sleeper!$B$2:$E$330, 4, false)), 0, vlookup($A93, Sleeper!$B$2:$E$330, 4, false))</f>
        <v>1</v>
      </c>
      <c r="H93" s="37">
        <f>if(ISNA(vlookup($A93, ESPN!$B$2:$E$297, 4, false)), 0, vlookup($A93, ESPN!$B$2:$E$297, 4, false))</f>
        <v>3</v>
      </c>
      <c r="I93" s="37">
        <f>if(ISNA(vlookup($A93,'Ultimate Draft Kit'!$B$2:$E$324,4, false)), 0, vlookup($A93,'Ultimate Draft Kit'!$B$2:$E$324, 4, false))</f>
        <v>2</v>
      </c>
      <c r="J93" s="38">
        <f>if(ISNA(vlookup($A93,Rotowire!$B$2:$E$1075,4, false)), 0, vlookup($A93,Rotowire!$B$2:$E$1075, 4, false))</f>
        <v>4</v>
      </c>
      <c r="K93" s="37">
        <f>if(ISNA(vlookup($A93, FantasyPro!$B$2:$E$341,4,false)),0,vlookup($A93,FantasyPro!$B$2:$E$341,4,false))</f>
        <v>5</v>
      </c>
      <c r="L93" s="37">
        <f>if(ISNA(vlookup($A93, FFToolbox!$B$2:$E$414, 4, false)), 0, vlookup($A93, FFToolbox!$B$2:$E$414, 4, false))</f>
        <v>8</v>
      </c>
      <c r="M93" s="39">
        <f t="shared" si="1"/>
        <v>3.833333333</v>
      </c>
      <c r="N93" s="39">
        <f t="shared" si="2"/>
        <v>7</v>
      </c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</row>
    <row r="94">
      <c r="A94" s="17" t="s">
        <v>102</v>
      </c>
      <c r="B94" s="35" t="s">
        <v>1258</v>
      </c>
      <c r="C94" s="35">
        <v>8.0</v>
      </c>
      <c r="D94" s="36" t="s">
        <v>30</v>
      </c>
      <c r="E94" s="36" t="s">
        <v>8</v>
      </c>
      <c r="F94" s="36">
        <f>vlookup(D94,'Team Bye List'!$A$1:$B$33,2,False)</f>
        <v>7</v>
      </c>
      <c r="G94" s="37">
        <f>if(ISNA(vlookup($A94, Sleeper!$B$2:$E$330, 4, false)), 0, vlookup($A94, Sleeper!$B$2:$E$330, 4, false))</f>
        <v>1</v>
      </c>
      <c r="H94" s="37">
        <f>if(ISNA(vlookup($A94, ESPN!$B$2:$E$297, 4, false)), 0, vlookup($A94, ESPN!$B$2:$E$297, 4, false))</f>
        <v>8</v>
      </c>
      <c r="I94" s="37">
        <f>if(ISNA(vlookup($A94,'Ultimate Draft Kit'!$B$2:$E$324,4, false)), 0, vlookup($A94,'Ultimate Draft Kit'!$B$2:$E$324, 4, false))</f>
        <v>2</v>
      </c>
      <c r="J94" s="38">
        <f>if(ISNA(vlookup($A94,Rotowire!$B$2:$E$1075,4, false)), 0, vlookup($A94,Rotowire!$B$2:$E$1075, 4, false))</f>
        <v>0</v>
      </c>
      <c r="K94" s="37">
        <f>if(ISNA(vlookup($A94, FantasyPro!$B$2:$E$341,4,false)),0,vlookup($A94,FantasyPro!$B$2:$E$341,4,false))</f>
        <v>10</v>
      </c>
      <c r="L94" s="37">
        <f>if(ISNA(vlookup($A94, FFToolbox!$B$2:$E$414, 4, false)), 0, vlookup($A94, FFToolbox!$B$2:$E$414, 4, false))</f>
        <v>10</v>
      </c>
      <c r="M94" s="39">
        <f t="shared" si="1"/>
        <v>5.166666667</v>
      </c>
      <c r="N94" s="39">
        <f t="shared" si="2"/>
        <v>10</v>
      </c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</row>
    <row r="95">
      <c r="A95" s="17" t="s">
        <v>157</v>
      </c>
      <c r="B95" s="35" t="s">
        <v>1259</v>
      </c>
      <c r="C95" s="35">
        <v>3.0</v>
      </c>
      <c r="D95" s="36" t="s">
        <v>45</v>
      </c>
      <c r="E95" s="36" t="s">
        <v>59</v>
      </c>
      <c r="F95" s="36">
        <f>vlookup(D95,'Team Bye List'!$A$1:$B$33,2,False)</f>
        <v>13</v>
      </c>
      <c r="G95" s="37">
        <f>if(ISNA(vlookup($A95, Sleeper!$B$2:$E$330, 4, false)), 0, vlookup($A95, Sleeper!$B$2:$E$330, 4, false))</f>
        <v>10</v>
      </c>
      <c r="H95" s="37">
        <f>if(ISNA(vlookup($A95, ESPN!$B$2:$E$297, 4, false)), 0, vlookup($A95, ESPN!$B$2:$E$297, 4, false))</f>
        <v>2</v>
      </c>
      <c r="I95" s="37">
        <f>if(ISNA(vlookup($A95,'Ultimate Draft Kit'!$B$2:$E$324,4, false)), 0, vlookup($A95,'Ultimate Draft Kit'!$B$2:$E$324, 4, false))</f>
        <v>6</v>
      </c>
      <c r="J95" s="38">
        <f>if(ISNA(vlookup($A95,Rotowire!$B$2:$E$1075,4, false)), 0, vlookup($A95,Rotowire!$B$2:$E$1075, 4, false))</f>
        <v>6</v>
      </c>
      <c r="K95" s="37">
        <f>if(ISNA(vlookup($A95, FantasyPro!$B$2:$E$341,4,false)),0,vlookup($A95,FantasyPro!$B$2:$E$341,4,false))</f>
        <v>7</v>
      </c>
      <c r="L95" s="37">
        <f>if(ISNA(vlookup($A95, FFToolbox!$B$2:$E$414, 4, false)), 0, vlookup($A95, FFToolbox!$B$2:$E$414, 4, false))</f>
        <v>7</v>
      </c>
      <c r="M95" s="39">
        <f t="shared" si="1"/>
        <v>6.333333333</v>
      </c>
      <c r="N95" s="39">
        <f t="shared" si="2"/>
        <v>8</v>
      </c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</row>
    <row r="96">
      <c r="A96" s="17" t="s">
        <v>118</v>
      </c>
      <c r="B96" s="35" t="s">
        <v>1258</v>
      </c>
      <c r="C96" s="35">
        <v>7.0</v>
      </c>
      <c r="D96" s="36" t="s">
        <v>119</v>
      </c>
      <c r="E96" s="36" t="s">
        <v>8</v>
      </c>
      <c r="F96" s="36">
        <f>vlookup(D96,'Team Bye List'!$A$1:$B$33,2,False)</f>
        <v>10</v>
      </c>
      <c r="G96" s="37">
        <f>if(ISNA(vlookup($A96, Sleeper!$B$2:$E$330, 4, false)), 0, vlookup($A96, Sleeper!$B$2:$E$330, 4, false))</f>
        <v>15</v>
      </c>
      <c r="H96" s="37">
        <f>if(ISNA(vlookup($A96, ESPN!$B$2:$E$297, 4, false)), 0, vlookup($A96, ESPN!$B$2:$E$297, 4, false))</f>
        <v>4</v>
      </c>
      <c r="I96" s="37">
        <f>if(ISNA(vlookup($A96,'Ultimate Draft Kit'!$B$2:$E$324,4, false)), 0, vlookup($A96,'Ultimate Draft Kit'!$B$2:$E$324, 4, false))</f>
        <v>6</v>
      </c>
      <c r="J96" s="38">
        <f>if(ISNA(vlookup($A96,Rotowire!$B$2:$E$1075,4, false)), 0, vlookup($A96,Rotowire!$B$2:$E$1075, 4, false))</f>
        <v>0</v>
      </c>
      <c r="K96" s="37">
        <f>if(ISNA(vlookup($A96, FantasyPro!$B$2:$E$341,4,false)),0,vlookup($A96,FantasyPro!$B$2:$E$341,4,false))</f>
        <v>14</v>
      </c>
      <c r="L96" s="37">
        <f>if(ISNA(vlookup($A96, FFToolbox!$B$2:$E$414, 4, false)), 0, vlookup($A96, FFToolbox!$B$2:$E$414, 4, false))</f>
        <v>8</v>
      </c>
      <c r="M96" s="39">
        <f t="shared" si="1"/>
        <v>7.833333333</v>
      </c>
      <c r="N96" s="39">
        <f t="shared" si="2"/>
        <v>15</v>
      </c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</row>
    <row r="97">
      <c r="A97" s="17" t="s">
        <v>114</v>
      </c>
      <c r="B97" s="35" t="s">
        <v>1259</v>
      </c>
      <c r="C97" s="35">
        <v>7.0</v>
      </c>
      <c r="D97" s="36" t="s">
        <v>66</v>
      </c>
      <c r="E97" s="36" t="s">
        <v>8</v>
      </c>
      <c r="F97" s="36">
        <f>vlookup(D97,'Team Bye List'!$A$1:$B$33,2,False)</f>
        <v>9</v>
      </c>
      <c r="G97" s="37">
        <f>if(ISNA(vlookup($A97, Sleeper!$B$2:$E$330, 4, false)), 0, vlookup($A97, Sleeper!$B$2:$E$330, 4, false))</f>
        <v>6</v>
      </c>
      <c r="H97" s="37">
        <f>if(ISNA(vlookup($A97, ESPN!$B$2:$E$297, 4, false)), 0, vlookup($A97, ESPN!$B$2:$E$297, 4, false))</f>
        <v>5</v>
      </c>
      <c r="I97" s="37">
        <f>if(ISNA(vlookup($A97,'Ultimate Draft Kit'!$B$2:$E$324,4, false)), 0, vlookup($A97,'Ultimate Draft Kit'!$B$2:$E$324, 4, false))</f>
        <v>9</v>
      </c>
      <c r="J97" s="38">
        <f>if(ISNA(vlookup($A97,Rotowire!$B$2:$E$1075,4, false)), 0, vlookup($A97,Rotowire!$B$2:$E$1075, 4, false))</f>
        <v>0</v>
      </c>
      <c r="K97" s="37">
        <f>if(ISNA(vlookup($A97, FantasyPro!$B$2:$E$341,4,false)),0,vlookup($A97,FantasyPro!$B$2:$E$341,4,false))</f>
        <v>12</v>
      </c>
      <c r="L97" s="37">
        <f>if(ISNA(vlookup($A97, FFToolbox!$B$2:$E$414, 4, false)), 0, vlookup($A97, FFToolbox!$B$2:$E$414, 4, false))</f>
        <v>8</v>
      </c>
      <c r="M97" s="39">
        <f t="shared" si="1"/>
        <v>6.666666667</v>
      </c>
      <c r="N97" s="39">
        <f t="shared" si="2"/>
        <v>12</v>
      </c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</row>
    <row r="98">
      <c r="A98" s="17" t="s">
        <v>141</v>
      </c>
      <c r="B98" s="35" t="s">
        <v>1258</v>
      </c>
      <c r="C98" s="35">
        <v>8.0</v>
      </c>
      <c r="D98" s="36" t="s">
        <v>85</v>
      </c>
      <c r="E98" s="36" t="s">
        <v>8</v>
      </c>
      <c r="F98" s="36">
        <f>vlookup(D98,'Team Bye List'!$A$1:$B$33,2,False)</f>
        <v>9</v>
      </c>
      <c r="G98" s="37">
        <f>if(ISNA(vlookup($A98, Sleeper!$B$2:$E$330, 4, false)), 0, vlookup($A98, Sleeper!$B$2:$E$330, 4, false))</f>
        <v>13</v>
      </c>
      <c r="H98" s="37">
        <f>if(ISNA(vlookup($A98, ESPN!$B$2:$E$297, 4, false)), 0, vlookup($A98, ESPN!$B$2:$E$297, 4, false))</f>
        <v>2</v>
      </c>
      <c r="I98" s="37">
        <f>if(ISNA(vlookup($A98,'Ultimate Draft Kit'!$B$2:$E$324,4, false)), 0, vlookup($A98,'Ultimate Draft Kit'!$B$2:$E$324, 4, false))</f>
        <v>1</v>
      </c>
      <c r="J98" s="38">
        <f>if(ISNA(vlookup($A98,Rotowire!$B$2:$E$1075,4, false)), 0, vlookup($A98,Rotowire!$B$2:$E$1075, 4, false))</f>
        <v>0</v>
      </c>
      <c r="K98" s="37">
        <f>if(ISNA(vlookup($A98, FantasyPro!$B$2:$E$341,4,false)),0,vlookup($A98,FantasyPro!$B$2:$E$341,4,false))</f>
        <v>11</v>
      </c>
      <c r="L98" s="37">
        <f>if(ISNA(vlookup($A98, FFToolbox!$B$2:$E$414, 4, false)), 0, vlookup($A98, FFToolbox!$B$2:$E$414, 4, false))</f>
        <v>7</v>
      </c>
      <c r="M98" s="39">
        <f t="shared" si="1"/>
        <v>5.666666667</v>
      </c>
      <c r="N98" s="39">
        <f t="shared" si="2"/>
        <v>13</v>
      </c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</row>
    <row r="99">
      <c r="A99" s="17" t="s">
        <v>173</v>
      </c>
      <c r="B99" s="35" t="s">
        <v>1258</v>
      </c>
      <c r="C99" s="35">
        <v>5.0</v>
      </c>
      <c r="D99" s="36" t="s">
        <v>25</v>
      </c>
      <c r="E99" s="36" t="s">
        <v>77</v>
      </c>
      <c r="F99" s="36">
        <f>vlookup(D99,'Team Bye List'!$A$1:$B$33,2,False)</f>
        <v>7</v>
      </c>
      <c r="G99" s="37">
        <f>if(ISNA(vlookup($A99, Sleeper!$B$2:$E$330, 4, false)), 0, vlookup($A99, Sleeper!$B$2:$E$330, 4, false))</f>
        <v>1</v>
      </c>
      <c r="H99" s="37">
        <f>if(ISNA(vlookup($A99, ESPN!$B$2:$E$297, 4, false)), 0, vlookup($A99, ESPN!$B$2:$E$297, 4, false))</f>
        <v>1</v>
      </c>
      <c r="I99" s="37">
        <f>if(ISNA(vlookup($A99,'Ultimate Draft Kit'!$B$2:$E$324,4, false)), 0, vlookup($A99,'Ultimate Draft Kit'!$B$2:$E$324, 4, false))</f>
        <v>10</v>
      </c>
      <c r="J99" s="38">
        <f>if(ISNA(vlookup($A99,Rotowire!$B$2:$E$1075,4, false)), 0, vlookup($A99,Rotowire!$B$2:$E$1075, 4, false))</f>
        <v>5</v>
      </c>
      <c r="K99" s="37">
        <f>if(ISNA(vlookup($A99, FantasyPro!$B$2:$E$341,4,false)),0,vlookup($A99,FantasyPro!$B$2:$E$341,4,false))</f>
        <v>5</v>
      </c>
      <c r="L99" s="37">
        <f>if(ISNA(vlookup($A99, FFToolbox!$B$2:$E$414, 4, false)), 0, vlookup($A99, FFToolbox!$B$2:$E$414, 4, false))</f>
        <v>6</v>
      </c>
      <c r="M99" s="39">
        <f t="shared" si="1"/>
        <v>4.666666667</v>
      </c>
      <c r="N99" s="39">
        <f t="shared" si="2"/>
        <v>9</v>
      </c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</row>
    <row r="100">
      <c r="A100" s="17" t="s">
        <v>128</v>
      </c>
      <c r="B100" s="35" t="s">
        <v>1258</v>
      </c>
      <c r="C100" s="35">
        <v>8.0</v>
      </c>
      <c r="D100" s="36" t="s">
        <v>32</v>
      </c>
      <c r="E100" s="36" t="s">
        <v>8</v>
      </c>
      <c r="F100" s="36">
        <f>vlookup(D100,'Team Bye List'!$A$1:$B$33,2,False)</f>
        <v>9</v>
      </c>
      <c r="G100" s="37">
        <f>if(ISNA(vlookup($A100, Sleeper!$B$2:$E$330, 4, false)), 0, vlookup($A100, Sleeper!$B$2:$E$330, 4, false))</f>
        <v>7</v>
      </c>
      <c r="H100" s="37">
        <f>if(ISNA(vlookup($A100, ESPN!$B$2:$E$297, 4, false)), 0, vlookup($A100, ESPN!$B$2:$E$297, 4, false))</f>
        <v>3</v>
      </c>
      <c r="I100" s="37">
        <f>if(ISNA(vlookup($A100,'Ultimate Draft Kit'!$B$2:$E$324,4, false)), 0, vlookup($A100,'Ultimate Draft Kit'!$B$2:$E$324, 4, false))</f>
        <v>2</v>
      </c>
      <c r="J100" s="38">
        <f>if(ISNA(vlookup($A100,Rotowire!$B$2:$E$1075,4, false)), 0, vlookup($A100,Rotowire!$B$2:$E$1075, 4, false))</f>
        <v>0</v>
      </c>
      <c r="K100" s="37">
        <f>if(ISNA(vlookup($A100, FantasyPro!$B$2:$E$341,4,false)),0,vlookup($A100,FantasyPro!$B$2:$E$341,4,false))</f>
        <v>11</v>
      </c>
      <c r="L100" s="37">
        <f>if(ISNA(vlookup($A100, FFToolbox!$B$2:$E$414, 4, false)), 0, vlookup($A100, FFToolbox!$B$2:$E$414, 4, false))</f>
        <v>14</v>
      </c>
      <c r="M100" s="39">
        <f t="shared" si="1"/>
        <v>6.166666667</v>
      </c>
      <c r="N100" s="39">
        <f t="shared" si="2"/>
        <v>14</v>
      </c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</row>
    <row r="101">
      <c r="A101" s="17" t="s">
        <v>132</v>
      </c>
      <c r="B101" s="35" t="s">
        <v>1258</v>
      </c>
      <c r="C101" s="35">
        <v>8.0</v>
      </c>
      <c r="D101" s="36" t="s">
        <v>21</v>
      </c>
      <c r="E101" s="36" t="s">
        <v>13</v>
      </c>
      <c r="F101" s="36">
        <f>vlookup(D101,'Team Bye List'!$A$1:$B$33,2,False)</f>
        <v>6</v>
      </c>
      <c r="G101" s="37">
        <f>if(ISNA(vlookup($A101, Sleeper!$B$2:$E$330, 4, false)), 0, vlookup($A101, Sleeper!$B$2:$E$330, 4, false))</f>
        <v>1</v>
      </c>
      <c r="H101" s="37">
        <f>if(ISNA(vlookup($A101, ESPN!$B$2:$E$297, 4, false)), 0, vlookup($A101, ESPN!$B$2:$E$297, 4, false))</f>
        <v>3</v>
      </c>
      <c r="I101" s="37">
        <f>if(ISNA(vlookup($A101,'Ultimate Draft Kit'!$B$2:$E$324,4, false)), 0, vlookup($A101,'Ultimate Draft Kit'!$B$2:$E$324, 4, false))</f>
        <v>3</v>
      </c>
      <c r="J101" s="38">
        <f>if(ISNA(vlookup($A101,Rotowire!$B$2:$E$1075,4, false)), 0, vlookup($A101,Rotowire!$B$2:$E$1075, 4, false))</f>
        <v>4</v>
      </c>
      <c r="K101" s="37">
        <f>if(ISNA(vlookup($A101, FantasyPro!$B$2:$E$341,4,false)),0,vlookup($A101,FantasyPro!$B$2:$E$341,4,false))</f>
        <v>5</v>
      </c>
      <c r="L101" s="37">
        <f>if(ISNA(vlookup($A101, FFToolbox!$B$2:$E$414, 4, false)), 0, vlookup($A101, FFToolbox!$B$2:$E$414, 4, false))</f>
        <v>8</v>
      </c>
      <c r="M101" s="39">
        <f t="shared" si="1"/>
        <v>4</v>
      </c>
      <c r="N101" s="39">
        <f t="shared" si="2"/>
        <v>7</v>
      </c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</row>
    <row r="102">
      <c r="A102" s="17" t="s">
        <v>134</v>
      </c>
      <c r="B102" s="35" t="s">
        <v>1258</v>
      </c>
      <c r="C102" s="35">
        <v>7.0</v>
      </c>
      <c r="D102" s="36" t="s">
        <v>47</v>
      </c>
      <c r="E102" s="36" t="s">
        <v>13</v>
      </c>
      <c r="F102" s="36">
        <f>vlookup(D102,'Team Bye List'!$A$1:$B$33,2,False)</f>
        <v>14</v>
      </c>
      <c r="G102" s="37">
        <f>if(ISNA(vlookup($A102, Sleeper!$B$2:$E$330, 4, false)), 0, vlookup($A102, Sleeper!$B$2:$E$330, 4, false))</f>
        <v>1</v>
      </c>
      <c r="H102" s="37">
        <f>if(ISNA(vlookup($A102, ESPN!$B$2:$E$297, 4, false)), 0, vlookup($A102, ESPN!$B$2:$E$297, 4, false))</f>
        <v>3</v>
      </c>
      <c r="I102" s="37">
        <f>if(ISNA(vlookup($A102,'Ultimate Draft Kit'!$B$2:$E$324,4, false)), 0, vlookup($A102,'Ultimate Draft Kit'!$B$2:$E$324, 4, false))</f>
        <v>7</v>
      </c>
      <c r="J102" s="38">
        <f>if(ISNA(vlookup($A102,Rotowire!$B$2:$E$1075,4, false)), 0, vlookup($A102,Rotowire!$B$2:$E$1075, 4, false))</f>
        <v>0</v>
      </c>
      <c r="K102" s="37">
        <f>if(ISNA(vlookup($A102, FantasyPro!$B$2:$E$341,4,false)),0,vlookup($A102,FantasyPro!$B$2:$E$341,4,false))</f>
        <v>7</v>
      </c>
      <c r="L102" s="37">
        <f>if(ISNA(vlookup($A102, FFToolbox!$B$2:$E$414, 4, false)), 0, vlookup($A102, FFToolbox!$B$2:$E$414, 4, false))</f>
        <v>9</v>
      </c>
      <c r="M102" s="39">
        <f t="shared" si="1"/>
        <v>4.5</v>
      </c>
      <c r="N102" s="39">
        <f t="shared" si="2"/>
        <v>9</v>
      </c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</row>
    <row r="103">
      <c r="A103" s="17" t="s">
        <v>160</v>
      </c>
      <c r="B103" s="35" t="s">
        <v>1259</v>
      </c>
      <c r="C103" s="35">
        <v>4.0</v>
      </c>
      <c r="D103" s="36" t="s">
        <v>119</v>
      </c>
      <c r="E103" s="36" t="s">
        <v>59</v>
      </c>
      <c r="F103" s="36">
        <f>vlookup(D103,'Team Bye List'!$A$1:$B$33,2,False)</f>
        <v>10</v>
      </c>
      <c r="G103" s="37">
        <f>if(ISNA(vlookup($A103, Sleeper!$B$2:$E$330, 4, false)), 0, vlookup($A103, Sleeper!$B$2:$E$330, 4, false))</f>
        <v>1</v>
      </c>
      <c r="H103" s="37">
        <f>if(ISNA(vlookup($A103, ESPN!$B$2:$E$297, 4, false)), 0, vlookup($A103, ESPN!$B$2:$E$297, 4, false))</f>
        <v>2</v>
      </c>
      <c r="I103" s="37">
        <f>if(ISNA(vlookup($A103,'Ultimate Draft Kit'!$B$2:$E$324,4, false)), 0, vlookup($A103,'Ultimate Draft Kit'!$B$2:$E$324, 4, false))</f>
        <v>1</v>
      </c>
      <c r="J103" s="38">
        <f>if(ISNA(vlookup($A103,Rotowire!$B$2:$E$1075,4, false)), 0, vlookup($A103,Rotowire!$B$2:$E$1075, 4, false))</f>
        <v>10</v>
      </c>
      <c r="K103" s="37">
        <f>if(ISNA(vlookup($A103, FantasyPro!$B$2:$E$341,4,false)),0,vlookup($A103,FantasyPro!$B$2:$E$341,4,false))</f>
        <v>2</v>
      </c>
      <c r="L103" s="37">
        <f>if(ISNA(vlookup($A103, FFToolbox!$B$2:$E$414, 4, false)), 0, vlookup($A103, FFToolbox!$B$2:$E$414, 4, false))</f>
        <v>2</v>
      </c>
      <c r="M103" s="39">
        <f t="shared" si="1"/>
        <v>3</v>
      </c>
      <c r="N103" s="39">
        <f t="shared" si="2"/>
        <v>9</v>
      </c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</row>
    <row r="104">
      <c r="A104" s="17" t="s">
        <v>161</v>
      </c>
      <c r="B104" s="35" t="s">
        <v>1259</v>
      </c>
      <c r="C104" s="35">
        <v>3.0</v>
      </c>
      <c r="D104" s="36" t="s">
        <v>30</v>
      </c>
      <c r="E104" s="36" t="s">
        <v>59</v>
      </c>
      <c r="F104" s="36">
        <f>vlookup(D104,'Team Bye List'!$A$1:$B$33,2,False)</f>
        <v>7</v>
      </c>
      <c r="G104" s="37">
        <f>if(ISNA(vlookup($A104, Sleeper!$B$2:$E$330, 4, false)), 0, vlookup($A104, Sleeper!$B$2:$E$330, 4, false))</f>
        <v>6</v>
      </c>
      <c r="H104" s="37">
        <f>if(ISNA(vlookup($A104, ESPN!$B$2:$E$297, 4, false)), 0, vlookup($A104, ESPN!$B$2:$E$297, 4, false))</f>
        <v>2</v>
      </c>
      <c r="I104" s="37">
        <f>if(ISNA(vlookup($A104,'Ultimate Draft Kit'!$B$2:$E$324,4, false)), 0, vlookup($A104,'Ultimate Draft Kit'!$B$2:$E$324, 4, false))</f>
        <v>5</v>
      </c>
      <c r="J104" s="38">
        <f>if(ISNA(vlookup($A104,Rotowire!$B$2:$E$1075,4, false)), 0, vlookup($A104,Rotowire!$B$2:$E$1075, 4, false))</f>
        <v>7</v>
      </c>
      <c r="K104" s="37">
        <f>if(ISNA(vlookup($A104, FantasyPro!$B$2:$E$341,4,false)),0,vlookup($A104,FantasyPro!$B$2:$E$341,4,false))</f>
        <v>6</v>
      </c>
      <c r="L104" s="37">
        <f>if(ISNA(vlookup($A104, FFToolbox!$B$2:$E$414, 4, false)), 0, vlookup($A104, FFToolbox!$B$2:$E$414, 4, false))</f>
        <v>3</v>
      </c>
      <c r="M104" s="39">
        <f t="shared" si="1"/>
        <v>4.833333333</v>
      </c>
      <c r="N104" s="39">
        <f t="shared" si="2"/>
        <v>5</v>
      </c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</row>
    <row r="105">
      <c r="A105" s="17" t="s">
        <v>133</v>
      </c>
      <c r="B105" s="35" t="s">
        <v>1258</v>
      </c>
      <c r="C105" s="35">
        <v>7.0</v>
      </c>
      <c r="D105" s="36" t="s">
        <v>53</v>
      </c>
      <c r="E105" s="36" t="s">
        <v>13</v>
      </c>
      <c r="F105" s="36">
        <f>vlookup(D105,'Team Bye List'!$A$1:$B$33,2,False)</f>
        <v>9</v>
      </c>
      <c r="G105" s="37">
        <f>if(ISNA(vlookup($A105, Sleeper!$B$2:$E$330, 4, false)), 0, vlookup($A105, Sleeper!$B$2:$E$330, 4, false))</f>
        <v>1</v>
      </c>
      <c r="H105" s="37">
        <f>if(ISNA(vlookup($A105, ESPN!$B$2:$E$297, 4, false)), 0, vlookup($A105, ESPN!$B$2:$E$297, 4, false))</f>
        <v>3</v>
      </c>
      <c r="I105" s="37">
        <f>if(ISNA(vlookup($A105,'Ultimate Draft Kit'!$B$2:$E$324,4, false)), 0, vlookup($A105,'Ultimate Draft Kit'!$B$2:$E$324, 4, false))</f>
        <v>5</v>
      </c>
      <c r="J105" s="38">
        <f>if(ISNA(vlookup($A105,Rotowire!$B$2:$E$1075,4, false)), 0, vlookup($A105,Rotowire!$B$2:$E$1075, 4, false))</f>
        <v>0</v>
      </c>
      <c r="K105" s="37">
        <f>if(ISNA(vlookup($A105, FantasyPro!$B$2:$E$341,4,false)),0,vlookup($A105,FantasyPro!$B$2:$E$341,4,false))</f>
        <v>5</v>
      </c>
      <c r="L105" s="37">
        <f>if(ISNA(vlookup($A105, FFToolbox!$B$2:$E$414, 4, false)), 0, vlookup($A105, FFToolbox!$B$2:$E$414, 4, false))</f>
        <v>10</v>
      </c>
      <c r="M105" s="39">
        <f t="shared" si="1"/>
        <v>4</v>
      </c>
      <c r="N105" s="39">
        <f t="shared" si="2"/>
        <v>10</v>
      </c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</row>
    <row r="106">
      <c r="A106" s="17" t="s">
        <v>147</v>
      </c>
      <c r="B106" s="35" t="s">
        <v>1259</v>
      </c>
      <c r="C106" s="35">
        <v>8.0</v>
      </c>
      <c r="D106" s="36" t="s">
        <v>28</v>
      </c>
      <c r="E106" s="36" t="s">
        <v>13</v>
      </c>
      <c r="F106" s="36">
        <f>vlookup(D106,'Team Bye List'!$A$1:$B$33,2,False)</f>
        <v>11</v>
      </c>
      <c r="G106" s="37">
        <f>if(ISNA(vlookup($A106, Sleeper!$B$2:$E$330, 4, false)), 0, vlookup($A106, Sleeper!$B$2:$E$330, 4, false))</f>
        <v>1</v>
      </c>
      <c r="H106" s="37">
        <f>if(ISNA(vlookup($A106, ESPN!$B$2:$E$297, 4, false)), 0, vlookup($A106, ESPN!$B$2:$E$297, 4, false))</f>
        <v>2</v>
      </c>
      <c r="I106" s="37">
        <f>if(ISNA(vlookup($A106,'Ultimate Draft Kit'!$B$2:$E$324,4, false)), 0, vlookup($A106,'Ultimate Draft Kit'!$B$2:$E$324, 4, false))</f>
        <v>2</v>
      </c>
      <c r="J106" s="38">
        <f>if(ISNA(vlookup($A106,Rotowire!$B$2:$E$1075,4, false)), 0, vlookup($A106,Rotowire!$B$2:$E$1075, 4, false))</f>
        <v>0</v>
      </c>
      <c r="K106" s="37">
        <f>if(ISNA(vlookup($A106, FantasyPro!$B$2:$E$341,4,false)),0,vlookup($A106,FantasyPro!$B$2:$E$341,4,false))</f>
        <v>8</v>
      </c>
      <c r="L106" s="37">
        <f>if(ISNA(vlookup($A106, FFToolbox!$B$2:$E$414, 4, false)), 0, vlookup($A106, FFToolbox!$B$2:$E$414, 4, false))</f>
        <v>12</v>
      </c>
      <c r="M106" s="39">
        <f t="shared" si="1"/>
        <v>4.166666667</v>
      </c>
      <c r="N106" s="39">
        <f t="shared" si="2"/>
        <v>12</v>
      </c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</row>
    <row r="107">
      <c r="A107" s="17" t="s">
        <v>158</v>
      </c>
      <c r="B107" s="35" t="s">
        <v>1259</v>
      </c>
      <c r="C107" s="35">
        <v>5.0</v>
      </c>
      <c r="D107" s="36" t="s">
        <v>39</v>
      </c>
      <c r="E107" s="36" t="s">
        <v>59</v>
      </c>
      <c r="F107" s="36">
        <f>vlookup(D107,'Team Bye List'!$A$1:$B$33,2,False)</f>
        <v>11</v>
      </c>
      <c r="G107" s="37">
        <f>if(ISNA(vlookup($A107, Sleeper!$B$2:$E$330, 4, false)), 0, vlookup($A107, Sleeper!$B$2:$E$330, 4, false))</f>
        <v>11</v>
      </c>
      <c r="H107" s="37">
        <f>if(ISNA(vlookup($A107, ESPN!$B$2:$E$297, 4, false)), 0, vlookup($A107, ESPN!$B$2:$E$297, 4, false))</f>
        <v>2</v>
      </c>
      <c r="I107" s="37">
        <f>if(ISNA(vlookup($A107,'Ultimate Draft Kit'!$B$2:$E$324,4, false)), 0, vlookup($A107,'Ultimate Draft Kit'!$B$2:$E$324, 4, false))</f>
        <v>1</v>
      </c>
      <c r="J107" s="38">
        <f>if(ISNA(vlookup($A107,Rotowire!$B$2:$E$1075,4, false)), 0, vlookup($A107,Rotowire!$B$2:$E$1075, 4, false))</f>
        <v>7</v>
      </c>
      <c r="K107" s="37">
        <f>if(ISNA(vlookup($A107, FantasyPro!$B$2:$E$341,4,false)),0,vlookup($A107,FantasyPro!$B$2:$E$341,4,false))</f>
        <v>3</v>
      </c>
      <c r="L107" s="37">
        <f>if(ISNA(vlookup($A107, FFToolbox!$B$2:$E$414, 4, false)), 0, vlookup($A107, FFToolbox!$B$2:$E$414, 4, false))</f>
        <v>4</v>
      </c>
      <c r="M107" s="39">
        <f t="shared" si="1"/>
        <v>4.666666667</v>
      </c>
      <c r="N107" s="39">
        <f t="shared" si="2"/>
        <v>10</v>
      </c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</row>
    <row r="108">
      <c r="A108" s="17" t="s">
        <v>136</v>
      </c>
      <c r="B108" s="35" t="s">
        <v>1259</v>
      </c>
      <c r="C108" s="35">
        <v>7.0</v>
      </c>
      <c r="D108" s="36" t="s">
        <v>41</v>
      </c>
      <c r="E108" s="36" t="s">
        <v>13</v>
      </c>
      <c r="F108" s="36">
        <f>vlookup(D108,'Team Bye List'!$A$1:$B$33,2,False)</f>
        <v>14</v>
      </c>
      <c r="G108" s="37">
        <f>if(ISNA(vlookup($A108, Sleeper!$B$2:$E$330, 4, false)), 0, vlookup($A108, Sleeper!$B$2:$E$330, 4, false))</f>
        <v>1</v>
      </c>
      <c r="H108" s="37">
        <f>if(ISNA(vlookup($A108, ESPN!$B$2:$E$297, 4, false)), 0, vlookup($A108, ESPN!$B$2:$E$297, 4, false))</f>
        <v>3</v>
      </c>
      <c r="I108" s="37">
        <f>if(ISNA(vlookup($A108,'Ultimate Draft Kit'!$B$2:$E$324,4, false)), 0, vlookup($A108,'Ultimate Draft Kit'!$B$2:$E$324, 4, false))</f>
        <v>4</v>
      </c>
      <c r="J108" s="38">
        <f>if(ISNA(vlookup($A108,Rotowire!$B$2:$E$1075,4, false)), 0, vlookup($A108,Rotowire!$B$2:$E$1075, 4, false))</f>
        <v>1</v>
      </c>
      <c r="K108" s="37">
        <f>if(ISNA(vlookup($A108, FantasyPro!$B$2:$E$341,4,false)),0,vlookup($A108,FantasyPro!$B$2:$E$341,4,false))</f>
        <v>4</v>
      </c>
      <c r="L108" s="37">
        <f>if(ISNA(vlookup($A108, FFToolbox!$B$2:$E$414, 4, false)), 0, vlookup($A108, FFToolbox!$B$2:$E$414, 4, false))</f>
        <v>9</v>
      </c>
      <c r="M108" s="39">
        <f t="shared" si="1"/>
        <v>3.666666667</v>
      </c>
      <c r="N108" s="39">
        <f t="shared" si="2"/>
        <v>8</v>
      </c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</row>
    <row r="109">
      <c r="A109" s="17" t="s">
        <v>138</v>
      </c>
      <c r="B109" s="35" t="s">
        <v>1259</v>
      </c>
      <c r="C109" s="35">
        <v>8.0</v>
      </c>
      <c r="D109" s="36" t="s">
        <v>119</v>
      </c>
      <c r="E109" s="36" t="s">
        <v>8</v>
      </c>
      <c r="F109" s="36">
        <f>vlookup(D109,'Team Bye List'!$A$1:$B$33,2,False)</f>
        <v>10</v>
      </c>
      <c r="G109" s="37">
        <f>if(ISNA(vlookup($A109, Sleeper!$B$2:$E$330, 4, false)), 0, vlookup($A109, Sleeper!$B$2:$E$330, 4, false))</f>
        <v>1</v>
      </c>
      <c r="H109" s="37">
        <f>if(ISNA(vlookup($A109, ESPN!$B$2:$E$297, 4, false)), 0, vlookup($A109, ESPN!$B$2:$E$297, 4, false))</f>
        <v>2</v>
      </c>
      <c r="I109" s="37">
        <f>if(ISNA(vlookup($A109,'Ultimate Draft Kit'!$B$2:$E$324,4, false)), 0, vlookup($A109,'Ultimate Draft Kit'!$B$2:$E$324, 4, false))</f>
        <v>1</v>
      </c>
      <c r="J109" s="38">
        <f>if(ISNA(vlookup($A109,Rotowire!$B$2:$E$1075,4, false)), 0, vlookup($A109,Rotowire!$B$2:$E$1075, 4, false))</f>
        <v>0</v>
      </c>
      <c r="K109" s="37">
        <f>if(ISNA(vlookup($A109, FantasyPro!$B$2:$E$341,4,false)),0,vlookup($A109,FantasyPro!$B$2:$E$341,4,false))</f>
        <v>10</v>
      </c>
      <c r="L109" s="37">
        <f>if(ISNA(vlookup($A109, FFToolbox!$B$2:$E$414, 4, false)), 0, vlookup($A109, FFToolbox!$B$2:$E$414, 4, false))</f>
        <v>9</v>
      </c>
      <c r="M109" s="39">
        <f t="shared" si="1"/>
        <v>3.833333333</v>
      </c>
      <c r="N109" s="39">
        <f t="shared" si="2"/>
        <v>10</v>
      </c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</row>
    <row r="110">
      <c r="A110" s="17" t="s">
        <v>244</v>
      </c>
      <c r="B110" s="35" t="s">
        <v>1259</v>
      </c>
      <c r="C110" s="35">
        <v>7.0</v>
      </c>
      <c r="D110" s="36" t="s">
        <v>119</v>
      </c>
      <c r="E110" s="36" t="s">
        <v>13</v>
      </c>
      <c r="F110" s="36">
        <f>vlookup(D110,'Team Bye List'!$A$1:$B$33,2,False)</f>
        <v>10</v>
      </c>
      <c r="G110" s="37">
        <f>if(ISNA(vlookup($A110, Sleeper!$B$2:$E$330, 4, false)), 0, vlookup($A110, Sleeper!$B$2:$E$330, 4, false))</f>
        <v>1</v>
      </c>
      <c r="H110" s="37">
        <f>if(ISNA(vlookup($A110, ESPN!$B$2:$E$297, 4, false)), 0, vlookup($A110, ESPN!$B$2:$E$297, 4, false))</f>
        <v>0</v>
      </c>
      <c r="I110" s="37">
        <f>if(ISNA(vlookup($A110,'Ultimate Draft Kit'!$B$2:$E$324,4, false)), 0, vlookup($A110,'Ultimate Draft Kit'!$B$2:$E$324, 4, false))</f>
        <v>5</v>
      </c>
      <c r="J110" s="38">
        <f>if(ISNA(vlookup($A110,Rotowire!$B$2:$E$1075,4, false)), 0, vlookup($A110,Rotowire!$B$2:$E$1075, 4, false))</f>
        <v>0</v>
      </c>
      <c r="K110" s="37">
        <f>if(ISNA(vlookup($A110, FantasyPro!$B$2:$E$341,4,false)),0,vlookup($A110,FantasyPro!$B$2:$E$341,4,false))</f>
        <v>1</v>
      </c>
      <c r="L110" s="37">
        <f>if(ISNA(vlookup($A110, FFToolbox!$B$2:$E$414, 4, false)), 0, vlookup($A110, FFToolbox!$B$2:$E$414, 4, false))</f>
        <v>4</v>
      </c>
      <c r="M110" s="39">
        <f t="shared" si="1"/>
        <v>1.833333333</v>
      </c>
      <c r="N110" s="39">
        <f t="shared" si="2"/>
        <v>5</v>
      </c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</row>
    <row r="111">
      <c r="A111" s="17" t="s">
        <v>129</v>
      </c>
      <c r="B111" s="35" t="s">
        <v>1259</v>
      </c>
      <c r="C111" s="35">
        <v>7.0</v>
      </c>
      <c r="D111" s="36" t="s">
        <v>69</v>
      </c>
      <c r="E111" s="36" t="s">
        <v>13</v>
      </c>
      <c r="F111" s="36">
        <f>vlookup(D111,'Team Bye List'!$A$1:$B$33,2,False)</f>
        <v>10</v>
      </c>
      <c r="G111" s="37">
        <f>if(ISNA(vlookup($A111, Sleeper!$B$2:$E$330, 4, false)), 0, vlookup($A111, Sleeper!$B$2:$E$330, 4, false))</f>
        <v>1</v>
      </c>
      <c r="H111" s="37">
        <f>if(ISNA(vlookup($A111, ESPN!$B$2:$E$297, 4, false)), 0, vlookup($A111, ESPN!$B$2:$E$297, 4, false))</f>
        <v>3</v>
      </c>
      <c r="I111" s="37">
        <f>if(ISNA(vlookup($A111,'Ultimate Draft Kit'!$B$2:$E$324,4, false)), 0, vlookup($A111,'Ultimate Draft Kit'!$B$2:$E$324, 4, false))</f>
        <v>5</v>
      </c>
      <c r="J111" s="38">
        <f>if(ISNA(vlookup($A111,Rotowire!$B$2:$E$1075,4, false)), 0, vlookup($A111,Rotowire!$B$2:$E$1075, 4, false))</f>
        <v>3</v>
      </c>
      <c r="K111" s="37">
        <f>if(ISNA(vlookup($A111, FantasyPro!$B$2:$E$341,4,false)),0,vlookup($A111,FantasyPro!$B$2:$E$341,4,false))</f>
        <v>2</v>
      </c>
      <c r="L111" s="37">
        <f>if(ISNA(vlookup($A111, FFToolbox!$B$2:$E$414, 4, false)), 0, vlookup($A111, FFToolbox!$B$2:$E$414, 4, false))</f>
        <v>2</v>
      </c>
      <c r="M111" s="39">
        <f t="shared" si="1"/>
        <v>2.666666667</v>
      </c>
      <c r="N111" s="39">
        <f t="shared" si="2"/>
        <v>4</v>
      </c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</row>
    <row r="112">
      <c r="A112" s="17" t="s">
        <v>178</v>
      </c>
      <c r="B112" s="35" t="s">
        <v>1259</v>
      </c>
      <c r="C112" s="35">
        <v>3.0</v>
      </c>
      <c r="D112" s="36" t="s">
        <v>55</v>
      </c>
      <c r="E112" s="36" t="s">
        <v>59</v>
      </c>
      <c r="F112" s="36">
        <f>vlookup(D112,'Team Bye List'!$A$1:$B$33,2,False)</f>
        <v>14</v>
      </c>
      <c r="G112" s="37">
        <f>if(ISNA(vlookup($A112, Sleeper!$B$2:$E$330, 4, false)), 0, vlookup($A112, Sleeper!$B$2:$E$330, 4, false))</f>
        <v>3</v>
      </c>
      <c r="H112" s="37">
        <f>if(ISNA(vlookup($A112, ESPN!$B$2:$E$297, 4, false)), 0, vlookup($A112, ESPN!$B$2:$E$297, 4, false))</f>
        <v>1</v>
      </c>
      <c r="I112" s="37">
        <f>if(ISNA(vlookup($A112,'Ultimate Draft Kit'!$B$2:$E$324,4, false)), 0, vlookup($A112,'Ultimate Draft Kit'!$B$2:$E$324, 4, false))</f>
        <v>7</v>
      </c>
      <c r="J112" s="38">
        <f>if(ISNA(vlookup($A112,Rotowire!$B$2:$E$1075,4, false)), 0, vlookup($A112,Rotowire!$B$2:$E$1075, 4, false))</f>
        <v>1</v>
      </c>
      <c r="K112" s="37">
        <f>if(ISNA(vlookup($A112, FantasyPro!$B$2:$E$341,4,false)),0,vlookup($A112,FantasyPro!$B$2:$E$341,4,false))</f>
        <v>5</v>
      </c>
      <c r="L112" s="37">
        <f>if(ISNA(vlookup($A112, FFToolbox!$B$2:$E$414, 4, false)), 0, vlookup($A112, FFToolbox!$B$2:$E$414, 4, false))</f>
        <v>5</v>
      </c>
      <c r="M112" s="39">
        <f t="shared" si="1"/>
        <v>3.666666667</v>
      </c>
      <c r="N112" s="39">
        <f t="shared" si="2"/>
        <v>6</v>
      </c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</row>
    <row r="113">
      <c r="A113" s="17" t="s">
        <v>144</v>
      </c>
      <c r="B113" s="35" t="s">
        <v>1258</v>
      </c>
      <c r="C113" s="35">
        <v>9.0</v>
      </c>
      <c r="D113" s="36" t="s">
        <v>30</v>
      </c>
      <c r="E113" s="36" t="s">
        <v>8</v>
      </c>
      <c r="F113" s="36">
        <f>vlookup(D113,'Team Bye List'!$A$1:$B$33,2,False)</f>
        <v>7</v>
      </c>
      <c r="G113" s="37">
        <f>if(ISNA(vlookup($A113, Sleeper!$B$2:$E$330, 4, false)), 0, vlookup($A113, Sleeper!$B$2:$E$330, 4, false))</f>
        <v>1</v>
      </c>
      <c r="H113" s="37">
        <f>if(ISNA(vlookup($A113, ESPN!$B$2:$E$297, 4, false)), 0, vlookup($A113, ESPN!$B$2:$E$297, 4, false))</f>
        <v>2</v>
      </c>
      <c r="I113" s="37">
        <f>if(ISNA(vlookup($A113,'Ultimate Draft Kit'!$B$2:$E$324,4, false)), 0, vlookup($A113,'Ultimate Draft Kit'!$B$2:$E$324, 4, false))</f>
        <v>1</v>
      </c>
      <c r="J113" s="38">
        <f>if(ISNA(vlookup($A113,Rotowire!$B$2:$E$1075,4, false)), 0, vlookup($A113,Rotowire!$B$2:$E$1075, 4, false))</f>
        <v>0</v>
      </c>
      <c r="K113" s="37">
        <f>if(ISNA(vlookup($A113, FantasyPro!$B$2:$E$341,4,false)),0,vlookup($A113,FantasyPro!$B$2:$E$341,4,false))</f>
        <v>5</v>
      </c>
      <c r="L113" s="37">
        <f>if(ISNA(vlookup($A113, FFToolbox!$B$2:$E$414, 4, false)), 0, vlookup($A113, FFToolbox!$B$2:$E$414, 4, false))</f>
        <v>9</v>
      </c>
      <c r="M113" s="39">
        <f t="shared" si="1"/>
        <v>3</v>
      </c>
      <c r="N113" s="39">
        <f t="shared" si="2"/>
        <v>9</v>
      </c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</row>
    <row r="114">
      <c r="A114" s="17" t="s">
        <v>176</v>
      </c>
      <c r="B114" s="35" t="s">
        <v>1259</v>
      </c>
      <c r="C114" s="35">
        <v>6.0</v>
      </c>
      <c r="D114" s="36" t="s">
        <v>39</v>
      </c>
      <c r="E114" s="36" t="s">
        <v>77</v>
      </c>
      <c r="F114" s="36">
        <f>vlookup(D114,'Team Bye List'!$A$1:$B$33,2,False)</f>
        <v>11</v>
      </c>
      <c r="G114" s="37">
        <f>if(ISNA(vlookup($A114, Sleeper!$B$2:$E$330, 4, false)), 0, vlookup($A114, Sleeper!$B$2:$E$330, 4, false))</f>
        <v>1</v>
      </c>
      <c r="H114" s="37">
        <f>if(ISNA(vlookup($A114, ESPN!$B$2:$E$297, 4, false)), 0, vlookup($A114, ESPN!$B$2:$E$297, 4, false))</f>
        <v>1</v>
      </c>
      <c r="I114" s="37">
        <f>if(ISNA(vlookup($A114,'Ultimate Draft Kit'!$B$2:$E$324,4, false)), 0, vlookup($A114,'Ultimate Draft Kit'!$B$2:$E$324, 4, false))</f>
        <v>5</v>
      </c>
      <c r="J114" s="38">
        <f>if(ISNA(vlookup($A114,Rotowire!$B$2:$E$1075,4, false)), 0, vlookup($A114,Rotowire!$B$2:$E$1075, 4, false))</f>
        <v>1</v>
      </c>
      <c r="K114" s="37">
        <f>if(ISNA(vlookup($A114, FantasyPro!$B$2:$E$341,4,false)),0,vlookup($A114,FantasyPro!$B$2:$E$341,4,false))</f>
        <v>2</v>
      </c>
      <c r="L114" s="37">
        <f>if(ISNA(vlookup($A114, FFToolbox!$B$2:$E$414, 4, false)), 0, vlookup($A114, FFToolbox!$B$2:$E$414, 4, false))</f>
        <v>3</v>
      </c>
      <c r="M114" s="39">
        <f t="shared" si="1"/>
        <v>2.166666667</v>
      </c>
      <c r="N114" s="39">
        <f t="shared" si="2"/>
        <v>4</v>
      </c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</row>
    <row r="115">
      <c r="A115" s="17" t="s">
        <v>131</v>
      </c>
      <c r="B115" s="35" t="s">
        <v>1258</v>
      </c>
      <c r="C115" s="35">
        <v>9.0</v>
      </c>
      <c r="D115" s="36" t="s">
        <v>45</v>
      </c>
      <c r="E115" s="36" t="s">
        <v>13</v>
      </c>
      <c r="F115" s="36">
        <f>vlookup(D115,'Team Bye List'!$A$1:$B$33,2,False)</f>
        <v>13</v>
      </c>
      <c r="G115" s="37">
        <f>if(ISNA(vlookup($A115, Sleeper!$B$2:$E$330, 4, false)), 0, vlookup($A115, Sleeper!$B$2:$E$330, 4, false))</f>
        <v>1</v>
      </c>
      <c r="H115" s="37">
        <f>if(ISNA(vlookup($A115, ESPN!$B$2:$E$297, 4, false)), 0, vlookup($A115, ESPN!$B$2:$E$297, 4, false))</f>
        <v>3</v>
      </c>
      <c r="I115" s="37">
        <f>if(ISNA(vlookup($A115,'Ultimate Draft Kit'!$B$2:$E$324,4, false)), 0, vlookup($A115,'Ultimate Draft Kit'!$B$2:$E$324, 4, false))</f>
        <v>1</v>
      </c>
      <c r="J115" s="38">
        <f>if(ISNA(vlookup($A115,Rotowire!$B$2:$E$1075,4, false)), 0, vlookup($A115,Rotowire!$B$2:$E$1075, 4, false))</f>
        <v>0</v>
      </c>
      <c r="K115" s="37">
        <f>if(ISNA(vlookup($A115, FantasyPro!$B$2:$E$341,4,false)),0,vlookup($A115,FantasyPro!$B$2:$E$341,4,false))</f>
        <v>6</v>
      </c>
      <c r="L115" s="37">
        <f>if(ISNA(vlookup($A115, FFToolbox!$B$2:$E$414, 4, false)), 0, vlookup($A115, FFToolbox!$B$2:$E$414, 4, false))</f>
        <v>8</v>
      </c>
      <c r="M115" s="39">
        <f t="shared" si="1"/>
        <v>3.166666667</v>
      </c>
      <c r="N115" s="39">
        <f t="shared" si="2"/>
        <v>8</v>
      </c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</row>
    <row r="116">
      <c r="A116" s="17" t="s">
        <v>170</v>
      </c>
      <c r="B116" s="35" t="s">
        <v>1259</v>
      </c>
      <c r="C116" s="35">
        <v>8.0</v>
      </c>
      <c r="D116" s="36" t="s">
        <v>62</v>
      </c>
      <c r="E116" s="36" t="s">
        <v>13</v>
      </c>
      <c r="F116" s="36">
        <f>vlookup(D116,'Team Bye List'!$A$1:$B$33,2,False)</f>
        <v>8</v>
      </c>
      <c r="G116" s="37">
        <f>if(ISNA(vlookup($A116, Sleeper!$B$2:$E$330, 4, false)), 0, vlookup($A116, Sleeper!$B$2:$E$330, 4, false))</f>
        <v>1</v>
      </c>
      <c r="H116" s="37">
        <f>if(ISNA(vlookup($A116, ESPN!$B$2:$E$297, 4, false)), 0, vlookup($A116, ESPN!$B$2:$E$297, 4, false))</f>
        <v>1</v>
      </c>
      <c r="I116" s="37">
        <f>if(ISNA(vlookup($A116,'Ultimate Draft Kit'!$B$2:$E$324,4, false)), 0, vlookup($A116,'Ultimate Draft Kit'!$B$2:$E$324, 4, false))</f>
        <v>3</v>
      </c>
      <c r="J116" s="38">
        <f>if(ISNA(vlookup($A116,Rotowire!$B$2:$E$1075,4, false)), 0, vlookup($A116,Rotowire!$B$2:$E$1075, 4, false))</f>
        <v>0</v>
      </c>
      <c r="K116" s="37">
        <f>if(ISNA(vlookup($A116, FantasyPro!$B$2:$E$341,4,false)),0,vlookup($A116,FantasyPro!$B$2:$E$341,4,false))</f>
        <v>2</v>
      </c>
      <c r="L116" s="37">
        <f>if(ISNA(vlookup($A116, FFToolbox!$B$2:$E$414, 4, false)), 0, vlookup($A116, FFToolbox!$B$2:$E$414, 4, false))</f>
        <v>6</v>
      </c>
      <c r="M116" s="39">
        <f t="shared" si="1"/>
        <v>2.166666667</v>
      </c>
      <c r="N116" s="39">
        <f t="shared" si="2"/>
        <v>6</v>
      </c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</row>
    <row r="117">
      <c r="A117" s="17" t="s">
        <v>159</v>
      </c>
      <c r="B117" s="35" t="s">
        <v>1259</v>
      </c>
      <c r="C117" s="35">
        <v>4.0</v>
      </c>
      <c r="D117" s="36" t="s">
        <v>23</v>
      </c>
      <c r="E117" s="36" t="s">
        <v>59</v>
      </c>
      <c r="F117" s="36">
        <f>vlookup(D117,'Team Bye List'!$A$1:$B$33,2,False)</f>
        <v>9</v>
      </c>
      <c r="G117" s="37">
        <f>if(ISNA(vlookup($A117, Sleeper!$B$2:$E$330, 4, false)), 0, vlookup($A117, Sleeper!$B$2:$E$330, 4, false))</f>
        <v>10</v>
      </c>
      <c r="H117" s="37">
        <f>if(ISNA(vlookup($A117, ESPN!$B$2:$E$297, 4, false)), 0, vlookup($A117, ESPN!$B$2:$E$297, 4, false))</f>
        <v>2</v>
      </c>
      <c r="I117" s="37">
        <f>if(ISNA(vlookup($A117,'Ultimate Draft Kit'!$B$2:$E$324,4, false)), 0, vlookup($A117,'Ultimate Draft Kit'!$B$2:$E$324, 4, false))</f>
        <v>2</v>
      </c>
      <c r="J117" s="38">
        <f>if(ISNA(vlookup($A117,Rotowire!$B$2:$E$1075,4, false)), 0, vlookup($A117,Rotowire!$B$2:$E$1075, 4, false))</f>
        <v>1</v>
      </c>
      <c r="K117" s="37">
        <f>if(ISNA(vlookup($A117, FantasyPro!$B$2:$E$341,4,false)),0,vlookup($A117,FantasyPro!$B$2:$E$341,4,false))</f>
        <v>5</v>
      </c>
      <c r="L117" s="37">
        <f>if(ISNA(vlookup($A117, FFToolbox!$B$2:$E$414, 4, false)), 0, vlookup($A117, FFToolbox!$B$2:$E$414, 4, false))</f>
        <v>4</v>
      </c>
      <c r="M117" s="39">
        <f t="shared" si="1"/>
        <v>4</v>
      </c>
      <c r="N117" s="39">
        <f t="shared" si="2"/>
        <v>9</v>
      </c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</row>
    <row r="118">
      <c r="A118" s="17" t="s">
        <v>153</v>
      </c>
      <c r="B118" s="35" t="s">
        <v>1259</v>
      </c>
      <c r="C118" s="35">
        <v>9.0</v>
      </c>
      <c r="D118" s="36" t="s">
        <v>37</v>
      </c>
      <c r="E118" s="36" t="s">
        <v>13</v>
      </c>
      <c r="F118" s="36">
        <f>vlookup(D118,'Team Bye List'!$A$1:$B$33,2,False)</f>
        <v>11</v>
      </c>
      <c r="G118" s="37">
        <f>if(ISNA(vlookup($A118, Sleeper!$B$2:$E$330, 4, false)), 0, vlookup($A118, Sleeper!$B$2:$E$330, 4, false))</f>
        <v>1</v>
      </c>
      <c r="H118" s="37">
        <f>if(ISNA(vlookup($A118, ESPN!$B$2:$E$297, 4, false)), 0, vlookup($A118, ESPN!$B$2:$E$297, 4, false))</f>
        <v>2</v>
      </c>
      <c r="I118" s="37">
        <f>if(ISNA(vlookup($A118,'Ultimate Draft Kit'!$B$2:$E$324,4, false)), 0, vlookup($A118,'Ultimate Draft Kit'!$B$2:$E$324, 4, false))</f>
        <v>1</v>
      </c>
      <c r="J118" s="38">
        <f>if(ISNA(vlookup($A118,Rotowire!$B$2:$E$1075,4, false)), 0, vlookup($A118,Rotowire!$B$2:$E$1075, 4, false))</f>
        <v>0</v>
      </c>
      <c r="K118" s="37">
        <f>if(ISNA(vlookup($A118, FantasyPro!$B$2:$E$341,4,false)),0,vlookup($A118,FantasyPro!$B$2:$E$341,4,false))</f>
        <v>4</v>
      </c>
      <c r="L118" s="37">
        <f>if(ISNA(vlookup($A118, FFToolbox!$B$2:$E$414, 4, false)), 0, vlookup($A118, FFToolbox!$B$2:$E$414, 4, false))</f>
        <v>9</v>
      </c>
      <c r="M118" s="39">
        <f t="shared" si="1"/>
        <v>2.833333333</v>
      </c>
      <c r="N118" s="39">
        <f t="shared" si="2"/>
        <v>9</v>
      </c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</row>
    <row r="119">
      <c r="A119" s="17" t="s">
        <v>152</v>
      </c>
      <c r="B119" s="35" t="s">
        <v>1259</v>
      </c>
      <c r="C119" s="35">
        <v>8.0</v>
      </c>
      <c r="D119" s="36" t="s">
        <v>53</v>
      </c>
      <c r="E119" s="36" t="s">
        <v>13</v>
      </c>
      <c r="F119" s="36">
        <f>vlookup(D119,'Team Bye List'!$A$1:$B$33,2,False)</f>
        <v>9</v>
      </c>
      <c r="G119" s="37">
        <f>if(ISNA(vlookup($A119, Sleeper!$B$2:$E$330, 4, false)), 0, vlookup($A119, Sleeper!$B$2:$E$330, 4, false))</f>
        <v>1</v>
      </c>
      <c r="H119" s="37">
        <f>if(ISNA(vlookup($A119, ESPN!$B$2:$E$297, 4, false)), 0, vlookup($A119, ESPN!$B$2:$E$297, 4, false))</f>
        <v>2</v>
      </c>
      <c r="I119" s="37">
        <f>if(ISNA(vlookup($A119,'Ultimate Draft Kit'!$B$2:$E$324,4, false)), 0, vlookup($A119,'Ultimate Draft Kit'!$B$2:$E$324, 4, false))</f>
        <v>3</v>
      </c>
      <c r="J119" s="38">
        <f>if(ISNA(vlookup($A119,Rotowire!$B$2:$E$1075,4, false)), 0, vlookup($A119,Rotowire!$B$2:$E$1075, 4, false))</f>
        <v>0</v>
      </c>
      <c r="K119" s="37">
        <f>if(ISNA(vlookup($A119, FantasyPro!$B$2:$E$341,4,false)),0,vlookup($A119,FantasyPro!$B$2:$E$341,4,false))</f>
        <v>2</v>
      </c>
      <c r="L119" s="37">
        <f>if(ISNA(vlookup($A119, FFToolbox!$B$2:$E$414, 4, false)), 0, vlookup($A119, FFToolbox!$B$2:$E$414, 4, false))</f>
        <v>4</v>
      </c>
      <c r="M119" s="39">
        <f t="shared" si="1"/>
        <v>2</v>
      </c>
      <c r="N119" s="39">
        <f t="shared" si="2"/>
        <v>4</v>
      </c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</row>
    <row r="120">
      <c r="A120" s="17" t="s">
        <v>165</v>
      </c>
      <c r="B120" s="35" t="s">
        <v>1259</v>
      </c>
      <c r="C120" s="35">
        <v>8.0</v>
      </c>
      <c r="D120" s="36" t="s">
        <v>19</v>
      </c>
      <c r="E120" s="36" t="s">
        <v>13</v>
      </c>
      <c r="F120" s="36">
        <f>vlookup(D120,'Team Bye List'!$A$1:$B$33,2,False)</f>
        <v>10</v>
      </c>
      <c r="G120" s="37">
        <f>if(ISNA(vlookup($A120, Sleeper!$B$2:$E$330, 4, false)), 0, vlookup($A120, Sleeper!$B$2:$E$330, 4, false))</f>
        <v>1</v>
      </c>
      <c r="H120" s="37">
        <f>if(ISNA(vlookup($A120, ESPN!$B$2:$E$297, 4, false)), 0, vlookup($A120, ESPN!$B$2:$E$297, 4, false))</f>
        <v>1</v>
      </c>
      <c r="I120" s="37">
        <f>if(ISNA(vlookup($A120,'Ultimate Draft Kit'!$B$2:$E$324,4, false)), 0, vlookup($A120,'Ultimate Draft Kit'!$B$2:$E$324, 4, false))</f>
        <v>2</v>
      </c>
      <c r="J120" s="38">
        <f>if(ISNA(vlookup($A120,Rotowire!$B$2:$E$1075,4, false)), 0, vlookup($A120,Rotowire!$B$2:$E$1075, 4, false))</f>
        <v>0</v>
      </c>
      <c r="K120" s="37">
        <f>if(ISNA(vlookup($A120, FantasyPro!$B$2:$E$341,4,false)),0,vlookup($A120,FantasyPro!$B$2:$E$341,4,false))</f>
        <v>4</v>
      </c>
      <c r="L120" s="37">
        <f>if(ISNA(vlookup($A120, FFToolbox!$B$2:$E$414, 4, false)), 0, vlookup($A120, FFToolbox!$B$2:$E$414, 4, false))</f>
        <v>4</v>
      </c>
      <c r="M120" s="39">
        <f t="shared" si="1"/>
        <v>2</v>
      </c>
      <c r="N120" s="39">
        <f t="shared" si="2"/>
        <v>4</v>
      </c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</row>
    <row r="121">
      <c r="A121" s="17" t="s">
        <v>151</v>
      </c>
      <c r="B121" s="35" t="s">
        <v>1259</v>
      </c>
      <c r="C121" s="35">
        <v>9.0</v>
      </c>
      <c r="D121" s="36" t="s">
        <v>119</v>
      </c>
      <c r="E121" s="36" t="s">
        <v>13</v>
      </c>
      <c r="F121" s="36">
        <f>vlookup(D121,'Team Bye List'!$A$1:$B$33,2,False)</f>
        <v>10</v>
      </c>
      <c r="G121" s="37">
        <f>if(ISNA(vlookup($A121, Sleeper!$B$2:$E$330, 4, false)), 0, vlookup($A121, Sleeper!$B$2:$E$330, 4, false))</f>
        <v>1</v>
      </c>
      <c r="H121" s="37">
        <f>if(ISNA(vlookup($A121, ESPN!$B$2:$E$297, 4, false)), 0, vlookup($A121, ESPN!$B$2:$E$297, 4, false))</f>
        <v>2</v>
      </c>
      <c r="I121" s="37">
        <f>if(ISNA(vlookup($A121,'Ultimate Draft Kit'!$B$2:$E$324,4, false)), 0, vlookup($A121,'Ultimate Draft Kit'!$B$2:$E$324, 4, false))</f>
        <v>1</v>
      </c>
      <c r="J121" s="38">
        <f>if(ISNA(vlookup($A121,Rotowire!$B$2:$E$1075,4, false)), 0, vlookup($A121,Rotowire!$B$2:$E$1075, 4, false))</f>
        <v>0</v>
      </c>
      <c r="K121" s="37">
        <f>if(ISNA(vlookup($A121, FantasyPro!$B$2:$E$341,4,false)),0,vlookup($A121,FantasyPro!$B$2:$E$341,4,false))</f>
        <v>2</v>
      </c>
      <c r="L121" s="37">
        <f>if(ISNA(vlookup($A121, FFToolbox!$B$2:$E$414, 4, false)), 0, vlookup($A121, FFToolbox!$B$2:$E$414, 4, false))</f>
        <v>6</v>
      </c>
      <c r="M121" s="39">
        <f t="shared" si="1"/>
        <v>2</v>
      </c>
      <c r="N121" s="39">
        <f t="shared" si="2"/>
        <v>6</v>
      </c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</row>
    <row r="122">
      <c r="A122" s="17" t="s">
        <v>246</v>
      </c>
      <c r="B122" s="35" t="s">
        <v>1259</v>
      </c>
      <c r="C122" s="35">
        <v>8.0</v>
      </c>
      <c r="D122" s="36" t="s">
        <v>32</v>
      </c>
      <c r="E122" s="36" t="s">
        <v>13</v>
      </c>
      <c r="F122" s="36">
        <f>vlookup(D122,'Team Bye List'!$A$1:$B$33,2,False)</f>
        <v>9</v>
      </c>
      <c r="G122" s="37">
        <f>if(ISNA(vlookup($A122, Sleeper!$B$2:$E$330, 4, false)), 0, vlookup($A122, Sleeper!$B$2:$E$330, 4, false))</f>
        <v>1</v>
      </c>
      <c r="H122" s="37">
        <f>if(ISNA(vlookup($A122, ESPN!$B$2:$E$297, 4, false)), 0, vlookup($A122, ESPN!$B$2:$E$297, 4, false))</f>
        <v>0</v>
      </c>
      <c r="I122" s="37">
        <f>if(ISNA(vlookup($A122,'Ultimate Draft Kit'!$B$2:$E$324,4, false)), 0, vlookup($A122,'Ultimate Draft Kit'!$B$2:$E$324, 4, false))</f>
        <v>1</v>
      </c>
      <c r="J122" s="38">
        <f>if(ISNA(vlookup($A122,Rotowire!$B$2:$E$1075,4, false)), 0, vlookup($A122,Rotowire!$B$2:$E$1075, 4, false))</f>
        <v>0</v>
      </c>
      <c r="K122" s="37">
        <f>if(ISNA(vlookup($A122, FantasyPro!$B$2:$E$341,4,false)),0,vlookup($A122,FantasyPro!$B$2:$E$341,4,false))</f>
        <v>1</v>
      </c>
      <c r="L122" s="37">
        <f>if(ISNA(vlookup($A122, FFToolbox!$B$2:$E$414, 4, false)), 0, vlookup($A122, FFToolbox!$B$2:$E$414, 4, false))</f>
        <v>5</v>
      </c>
      <c r="M122" s="39">
        <f t="shared" si="1"/>
        <v>1.333333333</v>
      </c>
      <c r="N122" s="39">
        <f t="shared" si="2"/>
        <v>5</v>
      </c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</row>
    <row r="123">
      <c r="A123" s="17" t="s">
        <v>139</v>
      </c>
      <c r="B123" s="35" t="s">
        <v>1259</v>
      </c>
      <c r="C123" s="35">
        <v>10.0</v>
      </c>
      <c r="D123" s="36" t="s">
        <v>99</v>
      </c>
      <c r="E123" s="36" t="s">
        <v>8</v>
      </c>
      <c r="F123" s="36">
        <f>vlookup(D123,'Team Bye List'!$A$1:$B$33,2,False)</f>
        <v>11</v>
      </c>
      <c r="G123" s="37">
        <f>if(ISNA(vlookup($A123, Sleeper!$B$2:$E$330, 4, false)), 0, vlookup($A123, Sleeper!$B$2:$E$330, 4, false))</f>
        <v>1</v>
      </c>
      <c r="H123" s="37">
        <f>if(ISNA(vlookup($A123, ESPN!$B$2:$E$297, 4, false)), 0, vlookup($A123, ESPN!$B$2:$E$297, 4, false))</f>
        <v>2</v>
      </c>
      <c r="I123" s="37">
        <f>if(ISNA(vlookup($A123,'Ultimate Draft Kit'!$B$2:$E$324,4, false)), 0, vlookup($A123,'Ultimate Draft Kit'!$B$2:$E$324, 4, false))</f>
        <v>1</v>
      </c>
      <c r="J123" s="38">
        <f>if(ISNA(vlookup($A123,Rotowire!$B$2:$E$1075,4, false)), 0, vlookup($A123,Rotowire!$B$2:$E$1075, 4, false))</f>
        <v>0</v>
      </c>
      <c r="K123" s="37">
        <f>if(ISNA(vlookup($A123, FantasyPro!$B$2:$E$341,4,false)),0,vlookup($A123,FantasyPro!$B$2:$E$341,4,false))</f>
        <v>4</v>
      </c>
      <c r="L123" s="37">
        <f>if(ISNA(vlookup($A123, FFToolbox!$B$2:$E$414, 4, false)), 0, vlookup($A123, FFToolbox!$B$2:$E$414, 4, false))</f>
        <v>4</v>
      </c>
      <c r="M123" s="39">
        <f t="shared" si="1"/>
        <v>2</v>
      </c>
      <c r="N123" s="39">
        <f t="shared" si="2"/>
        <v>4</v>
      </c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</row>
    <row r="124">
      <c r="A124" s="17" t="s">
        <v>180</v>
      </c>
      <c r="B124" s="35" t="s">
        <v>1259</v>
      </c>
      <c r="C124" s="35">
        <v>5.0</v>
      </c>
      <c r="D124" s="36" t="s">
        <v>66</v>
      </c>
      <c r="E124" s="36" t="s">
        <v>59</v>
      </c>
      <c r="F124" s="36">
        <f>vlookup(D124,'Team Bye List'!$A$1:$B$33,2,False)</f>
        <v>9</v>
      </c>
      <c r="G124" s="37">
        <f>if(ISNA(vlookup($A124, Sleeper!$B$2:$E$330, 4, false)), 0, vlookup($A124, Sleeper!$B$2:$E$330, 4, false))</f>
        <v>1</v>
      </c>
      <c r="H124" s="37">
        <f>if(ISNA(vlookup($A124, ESPN!$B$2:$E$297, 4, false)), 0, vlookup($A124, ESPN!$B$2:$E$297, 4, false))</f>
        <v>1</v>
      </c>
      <c r="I124" s="37">
        <f>if(ISNA(vlookup($A124,'Ultimate Draft Kit'!$B$2:$E$324,4, false)), 0, vlookup($A124,'Ultimate Draft Kit'!$B$2:$E$324, 4, false))</f>
        <v>1</v>
      </c>
      <c r="J124" s="38">
        <f>if(ISNA(vlookup($A124,Rotowire!$B$2:$E$1075,4, false)), 0, vlookup($A124,Rotowire!$B$2:$E$1075, 4, false))</f>
        <v>5</v>
      </c>
      <c r="K124" s="37">
        <f>if(ISNA(vlookup($A124, FantasyPro!$B$2:$E$341,4,false)),0,vlookup($A124,FantasyPro!$B$2:$E$341,4,false))</f>
        <v>1</v>
      </c>
      <c r="L124" s="37">
        <f>if(ISNA(vlookup($A124, FFToolbox!$B$2:$E$414, 4, false)), 0, vlookup($A124, FFToolbox!$B$2:$E$414, 4, false))</f>
        <v>1</v>
      </c>
      <c r="M124" s="39">
        <f t="shared" si="1"/>
        <v>1.666666667</v>
      </c>
      <c r="N124" s="39">
        <f t="shared" si="2"/>
        <v>4</v>
      </c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</row>
    <row r="125">
      <c r="A125" s="17" t="s">
        <v>169</v>
      </c>
      <c r="B125" s="35" t="s">
        <v>1259</v>
      </c>
      <c r="C125" s="35">
        <v>10.0</v>
      </c>
      <c r="D125" s="36" t="s">
        <v>62</v>
      </c>
      <c r="E125" s="36" t="s">
        <v>13</v>
      </c>
      <c r="F125" s="36">
        <f>vlookup(D125,'Team Bye List'!$A$1:$B$33,2,False)</f>
        <v>8</v>
      </c>
      <c r="G125" s="37">
        <f>if(ISNA(vlookup($A125, Sleeper!$B$2:$E$330, 4, false)), 0, vlookup($A125, Sleeper!$B$2:$E$330, 4, false))</f>
        <v>1</v>
      </c>
      <c r="H125" s="37">
        <f>if(ISNA(vlookup($A125, ESPN!$B$2:$E$297, 4, false)), 0, vlookup($A125, ESPN!$B$2:$E$297, 4, false))</f>
        <v>1</v>
      </c>
      <c r="I125" s="37">
        <f>if(ISNA(vlookup($A125,'Ultimate Draft Kit'!$B$2:$E$324,4, false)), 0, vlookup($A125,'Ultimate Draft Kit'!$B$2:$E$324, 4, false))</f>
        <v>1</v>
      </c>
      <c r="J125" s="38">
        <f>if(ISNA(vlookup($A125,Rotowire!$B$2:$E$1075,4, false)), 0, vlookup($A125,Rotowire!$B$2:$E$1075, 4, false))</f>
        <v>0</v>
      </c>
      <c r="K125" s="37">
        <f>if(ISNA(vlookup($A125, FantasyPro!$B$2:$E$341,4,false)),0,vlookup($A125,FantasyPro!$B$2:$E$341,4,false))</f>
        <v>1</v>
      </c>
      <c r="L125" s="37">
        <f>if(ISNA(vlookup($A125, FFToolbox!$B$2:$E$414, 4, false)), 0, vlookup($A125, FFToolbox!$B$2:$E$414, 4, false))</f>
        <v>5</v>
      </c>
      <c r="M125" s="39">
        <f t="shared" si="1"/>
        <v>1.5</v>
      </c>
      <c r="N125" s="39">
        <f t="shared" si="2"/>
        <v>5</v>
      </c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</row>
    <row r="126">
      <c r="A126" s="17" t="s">
        <v>145</v>
      </c>
      <c r="B126" s="35" t="s">
        <v>1258</v>
      </c>
      <c r="C126" s="35">
        <v>8.0</v>
      </c>
      <c r="D126" s="36" t="s">
        <v>43</v>
      </c>
      <c r="E126" s="36" t="s">
        <v>8</v>
      </c>
      <c r="F126" s="36">
        <f>vlookup(D126,'Team Bye List'!$A$1:$B$33,2,False)</f>
        <v>9</v>
      </c>
      <c r="G126" s="37">
        <f>if(ISNA(vlookup($A126, Sleeper!$B$2:$E$330, 4, false)), 0, vlookup($A126, Sleeper!$B$2:$E$330, 4, false))</f>
        <v>1</v>
      </c>
      <c r="H126" s="37">
        <f>if(ISNA(vlookup($A126, ESPN!$B$2:$E$297, 4, false)), 0, vlookup($A126, ESPN!$B$2:$E$297, 4, false))</f>
        <v>2</v>
      </c>
      <c r="I126" s="37">
        <f>if(ISNA(vlookup($A126,'Ultimate Draft Kit'!$B$2:$E$324,4, false)), 0, vlookup($A126,'Ultimate Draft Kit'!$B$2:$E$324, 4, false))</f>
        <v>1</v>
      </c>
      <c r="J126" s="38">
        <f>if(ISNA(vlookup($A126,Rotowire!$B$2:$E$1075,4, false)), 0, vlookup($A126,Rotowire!$B$2:$E$1075, 4, false))</f>
        <v>0</v>
      </c>
      <c r="K126" s="37">
        <f>if(ISNA(vlookup($A126, FantasyPro!$B$2:$E$341,4,false)),0,vlookup($A126,FantasyPro!$B$2:$E$341,4,false))</f>
        <v>8</v>
      </c>
      <c r="L126" s="37">
        <f>if(ISNA(vlookup($A126, FFToolbox!$B$2:$E$414, 4, false)), 0, vlookup($A126, FFToolbox!$B$2:$E$414, 4, false))</f>
        <v>0</v>
      </c>
      <c r="M126" s="39">
        <f t="shared" si="1"/>
        <v>2</v>
      </c>
      <c r="N126" s="39">
        <f t="shared" si="2"/>
        <v>8</v>
      </c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</row>
    <row r="127">
      <c r="A127" s="17" t="s">
        <v>143</v>
      </c>
      <c r="B127" s="35" t="s">
        <v>1259</v>
      </c>
      <c r="C127" s="35">
        <v>9.0</v>
      </c>
      <c r="D127" s="36" t="s">
        <v>69</v>
      </c>
      <c r="E127" s="36" t="s">
        <v>8</v>
      </c>
      <c r="F127" s="36">
        <f>vlookup(D127,'Team Bye List'!$A$1:$B$33,2,False)</f>
        <v>10</v>
      </c>
      <c r="G127" s="37">
        <f>if(ISNA(vlookup($A127, Sleeper!$B$2:$E$330, 4, false)), 0, vlookup($A127, Sleeper!$B$2:$E$330, 4, false))</f>
        <v>1</v>
      </c>
      <c r="H127" s="37">
        <f>if(ISNA(vlookup($A127, ESPN!$B$2:$E$297, 4, false)), 0, vlookup($A127, ESPN!$B$2:$E$297, 4, false))</f>
        <v>2</v>
      </c>
      <c r="I127" s="37">
        <f>if(ISNA(vlookup($A127,'Ultimate Draft Kit'!$B$2:$E$324,4, false)), 0, vlookup($A127,'Ultimate Draft Kit'!$B$2:$E$324, 4, false))</f>
        <v>1</v>
      </c>
      <c r="J127" s="38">
        <f>if(ISNA(vlookup($A127,Rotowire!$B$2:$E$1075,4, false)), 0, vlookup($A127,Rotowire!$B$2:$E$1075, 4, false))</f>
        <v>0</v>
      </c>
      <c r="K127" s="37">
        <f>if(ISNA(vlookup($A127, FantasyPro!$B$2:$E$341,4,false)),0,vlookup($A127,FantasyPro!$B$2:$E$341,4,false))</f>
        <v>5</v>
      </c>
      <c r="L127" s="37">
        <f>if(ISNA(vlookup($A127, FFToolbox!$B$2:$E$414, 4, false)), 0, vlookup($A127, FFToolbox!$B$2:$E$414, 4, false))</f>
        <v>4</v>
      </c>
      <c r="M127" s="39">
        <f t="shared" si="1"/>
        <v>2.166666667</v>
      </c>
      <c r="N127" s="39">
        <f t="shared" si="2"/>
        <v>5</v>
      </c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</row>
    <row r="128">
      <c r="A128" s="17" t="s">
        <v>276</v>
      </c>
      <c r="B128" s="35" t="s">
        <v>1259</v>
      </c>
      <c r="C128" s="35">
        <v>6.0</v>
      </c>
      <c r="D128" s="36" t="s">
        <v>53</v>
      </c>
      <c r="E128" s="36" t="s">
        <v>77</v>
      </c>
      <c r="F128" s="36">
        <f>vlookup(D128,'Team Bye List'!$A$1:$B$33,2,False)</f>
        <v>9</v>
      </c>
      <c r="G128" s="37">
        <f>if(ISNA(vlookup($A128, Sleeper!$B$2:$E$330, 4, false)), 0, vlookup($A128, Sleeper!$B$2:$E$330, 4, false))</f>
        <v>1</v>
      </c>
      <c r="H128" s="37">
        <f>if(ISNA(vlookup($A128, ESPN!$B$2:$E$297, 4, false)), 0, vlookup($A128, ESPN!$B$2:$E$297, 4, false))</f>
        <v>0</v>
      </c>
      <c r="I128" s="37">
        <f>if(ISNA(vlookup($A128,'Ultimate Draft Kit'!$B$2:$E$324,4, false)), 0, vlookup($A128,'Ultimate Draft Kit'!$B$2:$E$324, 4, false))</f>
        <v>5</v>
      </c>
      <c r="J128" s="38">
        <f>if(ISNA(vlookup($A128,Rotowire!$B$2:$E$1075,4, false)), 0, vlookup($A128,Rotowire!$B$2:$E$1075, 4, false))</f>
        <v>1</v>
      </c>
      <c r="K128" s="37">
        <f>if(ISNA(vlookup($A128, FantasyPro!$B$2:$E$341,4,false)),0,vlookup($A128,FantasyPro!$B$2:$E$341,4,false))</f>
        <v>1</v>
      </c>
      <c r="L128" s="37">
        <f>if(ISNA(vlookup($A128, FFToolbox!$B$2:$E$414, 4, false)), 0, vlookup($A128, FFToolbox!$B$2:$E$414, 4, false))</f>
        <v>1</v>
      </c>
      <c r="M128" s="39">
        <f t="shared" si="1"/>
        <v>1.5</v>
      </c>
      <c r="N128" s="39">
        <f t="shared" si="2"/>
        <v>5</v>
      </c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</row>
    <row r="129">
      <c r="A129" s="17" t="s">
        <v>175</v>
      </c>
      <c r="B129" s="35" t="s">
        <v>1258</v>
      </c>
      <c r="C129" s="35">
        <v>6.0</v>
      </c>
      <c r="D129" s="36" t="s">
        <v>99</v>
      </c>
      <c r="E129" s="36" t="s">
        <v>77</v>
      </c>
      <c r="F129" s="36">
        <f>vlookup(D129,'Team Bye List'!$A$1:$B$33,2,False)</f>
        <v>11</v>
      </c>
      <c r="G129" s="37">
        <f>if(ISNA(vlookup($A129, Sleeper!$B$2:$E$330, 4, false)), 0, vlookup($A129, Sleeper!$B$2:$E$330, 4, false))</f>
        <v>1</v>
      </c>
      <c r="H129" s="37">
        <f>if(ISNA(vlookup($A129, ESPN!$B$2:$E$297, 4, false)), 0, vlookup($A129, ESPN!$B$2:$E$297, 4, false))</f>
        <v>1</v>
      </c>
      <c r="I129" s="37">
        <f>if(ISNA(vlookup($A129,'Ultimate Draft Kit'!$B$2:$E$324,4, false)), 0, vlookup($A129,'Ultimate Draft Kit'!$B$2:$E$324, 4, false))</f>
        <v>4</v>
      </c>
      <c r="J129" s="38">
        <f>if(ISNA(vlookup($A129,Rotowire!$B$2:$E$1075,4, false)), 0, vlookup($A129,Rotowire!$B$2:$E$1075, 4, false))</f>
        <v>1</v>
      </c>
      <c r="K129" s="37">
        <f>if(ISNA(vlookup($A129, FantasyPro!$B$2:$E$341,4,false)),0,vlookup($A129,FantasyPro!$B$2:$E$341,4,false))</f>
        <v>2</v>
      </c>
      <c r="L129" s="37">
        <f>if(ISNA(vlookup($A129, FFToolbox!$B$2:$E$414, 4, false)), 0, vlookup($A129, FFToolbox!$B$2:$E$414, 4, false))</f>
        <v>1</v>
      </c>
      <c r="M129" s="39">
        <f t="shared" si="1"/>
        <v>1.666666667</v>
      </c>
      <c r="N129" s="39">
        <f t="shared" si="2"/>
        <v>3</v>
      </c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</row>
    <row r="130">
      <c r="A130" s="17" t="s">
        <v>177</v>
      </c>
      <c r="B130" s="35" t="s">
        <v>1259</v>
      </c>
      <c r="C130" s="35">
        <v>4.0</v>
      </c>
      <c r="D130" s="36" t="s">
        <v>85</v>
      </c>
      <c r="E130" s="36" t="s">
        <v>59</v>
      </c>
      <c r="F130" s="36">
        <f>vlookup(D130,'Team Bye List'!$A$1:$B$33,2,False)</f>
        <v>9</v>
      </c>
      <c r="G130" s="37">
        <f>if(ISNA(vlookup($A130, Sleeper!$B$2:$E$330, 4, false)), 0, vlookup($A130, Sleeper!$B$2:$E$330, 4, false))</f>
        <v>1</v>
      </c>
      <c r="H130" s="37">
        <f>if(ISNA(vlookup($A130, ESPN!$B$2:$E$297, 4, false)), 0, vlookup($A130, ESPN!$B$2:$E$297, 4, false))</f>
        <v>1</v>
      </c>
      <c r="I130" s="37">
        <f>if(ISNA(vlookup($A130,'Ultimate Draft Kit'!$B$2:$E$324,4, false)), 0, vlookup($A130,'Ultimate Draft Kit'!$B$2:$E$324, 4, false))</f>
        <v>1</v>
      </c>
      <c r="J130" s="38">
        <f>if(ISNA(vlookup($A130,Rotowire!$B$2:$E$1075,4, false)), 0, vlookup($A130,Rotowire!$B$2:$E$1075, 4, false))</f>
        <v>0</v>
      </c>
      <c r="K130" s="37">
        <f>if(ISNA(vlookup($A130, FantasyPro!$B$2:$E$341,4,false)),0,vlookup($A130,FantasyPro!$B$2:$E$341,4,false))</f>
        <v>2</v>
      </c>
      <c r="L130" s="37">
        <f>if(ISNA(vlookup($A130, FFToolbox!$B$2:$E$414, 4, false)), 0, vlookup($A130, FFToolbox!$B$2:$E$414, 4, false))</f>
        <v>2</v>
      </c>
      <c r="M130" s="39">
        <f t="shared" si="1"/>
        <v>1.166666667</v>
      </c>
      <c r="N130" s="39">
        <f t="shared" si="2"/>
        <v>2</v>
      </c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</row>
    <row r="131">
      <c r="A131" s="17" t="s">
        <v>181</v>
      </c>
      <c r="B131" s="35" t="s">
        <v>1259</v>
      </c>
      <c r="C131" s="35">
        <v>5.0</v>
      </c>
      <c r="D131" s="36" t="s">
        <v>12</v>
      </c>
      <c r="E131" s="36" t="s">
        <v>59</v>
      </c>
      <c r="F131" s="36">
        <f>vlookup(D131,'Team Bye List'!$A$1:$B$33,2,False)</f>
        <v>8</v>
      </c>
      <c r="G131" s="37">
        <f>if(ISNA(vlookup($A131, Sleeper!$B$2:$E$330, 4, false)), 0, vlookup($A131, Sleeper!$B$2:$E$330, 4, false))</f>
        <v>1</v>
      </c>
      <c r="H131" s="37">
        <f>if(ISNA(vlookup($A131, ESPN!$B$2:$E$297, 4, false)), 0, vlookup($A131, ESPN!$B$2:$E$297, 4, false))</f>
        <v>1</v>
      </c>
      <c r="I131" s="37">
        <f>if(ISNA(vlookup($A131,'Ultimate Draft Kit'!$B$2:$E$324,4, false)), 0, vlookup($A131,'Ultimate Draft Kit'!$B$2:$E$324, 4, false))</f>
        <v>1</v>
      </c>
      <c r="J131" s="38">
        <f>if(ISNA(vlookup($A131,Rotowire!$B$2:$E$1075,4, false)), 0, vlookup($A131,Rotowire!$B$2:$E$1075, 4, false))</f>
        <v>0</v>
      </c>
      <c r="K131" s="37">
        <f>if(ISNA(vlookup($A131, FantasyPro!$B$2:$E$341,4,false)),0,vlookup($A131,FantasyPro!$B$2:$E$341,4,false))</f>
        <v>1</v>
      </c>
      <c r="L131" s="37">
        <f>if(ISNA(vlookup($A131, FFToolbox!$B$2:$E$414, 4, false)), 0, vlookup($A131, FFToolbox!$B$2:$E$414, 4, false))</f>
        <v>2</v>
      </c>
      <c r="M131" s="39">
        <f t="shared" si="1"/>
        <v>1</v>
      </c>
      <c r="N131" s="39">
        <f t="shared" si="2"/>
        <v>2</v>
      </c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</row>
    <row r="132">
      <c r="A132" s="17" t="s">
        <v>150</v>
      </c>
      <c r="B132" s="35" t="s">
        <v>1259</v>
      </c>
      <c r="C132" s="35">
        <v>9.0</v>
      </c>
      <c r="D132" s="36" t="s">
        <v>41</v>
      </c>
      <c r="E132" s="36" t="s">
        <v>13</v>
      </c>
      <c r="F132" s="36">
        <f>vlookup(D132,'Team Bye List'!$A$1:$B$33,2,False)</f>
        <v>14</v>
      </c>
      <c r="G132" s="37">
        <f>if(ISNA(vlookup($A132, Sleeper!$B$2:$E$330, 4, false)), 0, vlookup($A132, Sleeper!$B$2:$E$330, 4, false))</f>
        <v>1</v>
      </c>
      <c r="H132" s="37">
        <f>if(ISNA(vlookup($A132, ESPN!$B$2:$E$297, 4, false)), 0, vlookup($A132, ESPN!$B$2:$E$297, 4, false))</f>
        <v>2</v>
      </c>
      <c r="I132" s="37">
        <f>if(ISNA(vlookup($A132,'Ultimate Draft Kit'!$B$2:$E$324,4, false)), 0, vlookup($A132,'Ultimate Draft Kit'!$B$2:$E$324, 4, false))</f>
        <v>1</v>
      </c>
      <c r="J132" s="38">
        <f>if(ISNA(vlookup($A132,Rotowire!$B$2:$E$1075,4, false)), 0, vlookup($A132,Rotowire!$B$2:$E$1075, 4, false))</f>
        <v>0</v>
      </c>
      <c r="K132" s="37">
        <f>if(ISNA(vlookup($A132, FantasyPro!$B$2:$E$341,4,false)),0,vlookup($A132,FantasyPro!$B$2:$E$341,4,false))</f>
        <v>2</v>
      </c>
      <c r="L132" s="37">
        <f>if(ISNA(vlookup($A132, FFToolbox!$B$2:$E$414, 4, false)), 0, vlookup($A132, FFToolbox!$B$2:$E$414, 4, false))</f>
        <v>4</v>
      </c>
      <c r="M132" s="39">
        <f t="shared" si="1"/>
        <v>1.666666667</v>
      </c>
      <c r="N132" s="39">
        <f t="shared" si="2"/>
        <v>4</v>
      </c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</row>
    <row r="133">
      <c r="A133" s="17" t="s">
        <v>149</v>
      </c>
      <c r="B133" s="35" t="s">
        <v>1259</v>
      </c>
      <c r="C133" s="35">
        <v>10.0</v>
      </c>
      <c r="D133" s="36" t="s">
        <v>62</v>
      </c>
      <c r="E133" s="36" t="s">
        <v>13</v>
      </c>
      <c r="F133" s="36">
        <f>vlookup(D133,'Team Bye List'!$A$1:$B$33,2,False)</f>
        <v>8</v>
      </c>
      <c r="G133" s="37">
        <f>if(ISNA(vlookup($A133, Sleeper!$B$2:$E$330, 4, false)), 0, vlookup($A133, Sleeper!$B$2:$E$330, 4, false))</f>
        <v>1</v>
      </c>
      <c r="H133" s="37">
        <f>if(ISNA(vlookup($A133, ESPN!$B$2:$E$297, 4, false)), 0, vlookup($A133, ESPN!$B$2:$E$297, 4, false))</f>
        <v>2</v>
      </c>
      <c r="I133" s="37">
        <f>if(ISNA(vlookup($A133,'Ultimate Draft Kit'!$B$2:$E$324,4, false)), 0, vlookup($A133,'Ultimate Draft Kit'!$B$2:$E$324, 4, false))</f>
        <v>1</v>
      </c>
      <c r="J133" s="38">
        <f>if(ISNA(vlookup($A133,Rotowire!$B$2:$E$1075,4, false)), 0, vlookup($A133,Rotowire!$B$2:$E$1075, 4, false))</f>
        <v>0</v>
      </c>
      <c r="K133" s="37">
        <f>if(ISNA(vlookup($A133, FantasyPro!$B$2:$E$341,4,false)),0,vlookup($A133,FantasyPro!$B$2:$E$341,4,false))</f>
        <v>4</v>
      </c>
      <c r="L133" s="37">
        <f>if(ISNA(vlookup($A133, FFToolbox!$B$2:$E$414, 4, false)), 0, vlookup($A133, FFToolbox!$B$2:$E$414, 4, false))</f>
        <v>7</v>
      </c>
      <c r="M133" s="39">
        <f t="shared" si="1"/>
        <v>2.5</v>
      </c>
      <c r="N133" s="39">
        <f t="shared" si="2"/>
        <v>7</v>
      </c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</row>
    <row r="134">
      <c r="A134" s="17" t="s">
        <v>164</v>
      </c>
      <c r="B134" s="35" t="s">
        <v>1259</v>
      </c>
      <c r="C134" s="35">
        <v>11.0</v>
      </c>
      <c r="D134" s="36" t="s">
        <v>81</v>
      </c>
      <c r="E134" s="36" t="s">
        <v>8</v>
      </c>
      <c r="F134" s="36">
        <f>vlookup(D134,'Team Bye List'!$A$1:$B$33,2,False)</f>
        <v>6</v>
      </c>
      <c r="G134" s="37">
        <f>if(ISNA(vlookup($A134, Sleeper!$B$2:$E$330, 4, false)), 0, vlookup($A134, Sleeper!$B$2:$E$330, 4, false))</f>
        <v>1</v>
      </c>
      <c r="H134" s="37">
        <f>if(ISNA(vlookup($A134, ESPN!$B$2:$E$297, 4, false)), 0, vlookup($A134, ESPN!$B$2:$E$297, 4, false))</f>
        <v>1</v>
      </c>
      <c r="I134" s="37">
        <f>if(ISNA(vlookup($A134,'Ultimate Draft Kit'!$B$2:$E$324,4, false)), 0, vlookup($A134,'Ultimate Draft Kit'!$B$2:$E$324, 4, false))</f>
        <v>1</v>
      </c>
      <c r="J134" s="38">
        <f>if(ISNA(vlookup($A134,Rotowire!$B$2:$E$1075,4, false)), 0, vlookup($A134,Rotowire!$B$2:$E$1075, 4, false))</f>
        <v>0</v>
      </c>
      <c r="K134" s="37">
        <f>if(ISNA(vlookup($A134, FantasyPro!$B$2:$E$341,4,false)),0,vlookup($A134,FantasyPro!$B$2:$E$341,4,false))</f>
        <v>1</v>
      </c>
      <c r="L134" s="37">
        <f>if(ISNA(vlookup($A134, FFToolbox!$B$2:$E$414, 4, false)), 0, vlookup($A134, FFToolbox!$B$2:$E$414, 4, false))</f>
        <v>3</v>
      </c>
      <c r="M134" s="39">
        <f t="shared" si="1"/>
        <v>1.166666667</v>
      </c>
      <c r="N134" s="39">
        <f t="shared" si="2"/>
        <v>3</v>
      </c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</row>
    <row r="135">
      <c r="A135" s="17" t="s">
        <v>172</v>
      </c>
      <c r="B135" s="35" t="s">
        <v>1259</v>
      </c>
      <c r="C135" s="35">
        <v>8.0</v>
      </c>
      <c r="D135" s="36" t="s">
        <v>99</v>
      </c>
      <c r="E135" s="36" t="s">
        <v>13</v>
      </c>
      <c r="F135" s="36">
        <f>vlookup(D135,'Team Bye List'!$A$1:$B$33,2,False)</f>
        <v>11</v>
      </c>
      <c r="G135" s="37">
        <f>if(ISNA(vlookup($A135, Sleeper!$B$2:$E$330, 4, false)), 0, vlookup($A135, Sleeper!$B$2:$E$330, 4, false))</f>
        <v>1</v>
      </c>
      <c r="H135" s="37">
        <f>if(ISNA(vlookup($A135, ESPN!$B$2:$E$297, 4, false)), 0, vlookup($A135, ESPN!$B$2:$E$297, 4, false))</f>
        <v>1</v>
      </c>
      <c r="I135" s="37">
        <f>if(ISNA(vlookup($A135,'Ultimate Draft Kit'!$B$2:$E$324,4, false)), 0, vlookup($A135,'Ultimate Draft Kit'!$B$2:$E$324, 4, false))</f>
        <v>2</v>
      </c>
      <c r="J135" s="38">
        <f>if(ISNA(vlookup($A135,Rotowire!$B$2:$E$1075,4, false)), 0, vlookup($A135,Rotowire!$B$2:$E$1075, 4, false))</f>
        <v>0</v>
      </c>
      <c r="K135" s="37">
        <f>if(ISNA(vlookup($A135, FantasyPro!$B$2:$E$341,4,false)),0,vlookup($A135,FantasyPro!$B$2:$E$341,4,false))</f>
        <v>1</v>
      </c>
      <c r="L135" s="37">
        <f>if(ISNA(vlookup($A135, FFToolbox!$B$2:$E$414, 4, false)), 0, vlookup($A135, FFToolbox!$B$2:$E$414, 4, false))</f>
        <v>0</v>
      </c>
      <c r="M135" s="39">
        <f t="shared" si="1"/>
        <v>0.8333333333</v>
      </c>
      <c r="N135" s="39">
        <f t="shared" si="2"/>
        <v>2</v>
      </c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</row>
    <row r="136">
      <c r="A136" s="17" t="s">
        <v>247</v>
      </c>
      <c r="B136" s="35" t="s">
        <v>1259</v>
      </c>
      <c r="C136" s="35">
        <v>10.0</v>
      </c>
      <c r="D136" s="36" t="s">
        <v>32</v>
      </c>
      <c r="E136" s="36" t="s">
        <v>13</v>
      </c>
      <c r="F136" s="36">
        <f>vlookup(D136,'Team Bye List'!$A$1:$B$33,2,False)</f>
        <v>9</v>
      </c>
      <c r="G136" s="37">
        <f>if(ISNA(vlookup($A136, Sleeper!$B$2:$E$330, 4, false)), 0, vlookup($A136, Sleeper!$B$2:$E$330, 4, false))</f>
        <v>1</v>
      </c>
      <c r="H136" s="37">
        <f>if(ISNA(vlookup($A136, ESPN!$B$2:$E$297, 4, false)), 0, vlookup($A136, ESPN!$B$2:$E$297, 4, false))</f>
        <v>0</v>
      </c>
      <c r="I136" s="37">
        <f>if(ISNA(vlookup($A136,'Ultimate Draft Kit'!$B$2:$E$324,4, false)), 0, vlookup($A136,'Ultimate Draft Kit'!$B$2:$E$324, 4, false))</f>
        <v>1</v>
      </c>
      <c r="J136" s="38">
        <f>if(ISNA(vlookup($A136,Rotowire!$B$2:$E$1075,4, false)), 0, vlookup($A136,Rotowire!$B$2:$E$1075, 4, false))</f>
        <v>0</v>
      </c>
      <c r="K136" s="37">
        <f>if(ISNA(vlookup($A136, FantasyPro!$B$2:$E$341,4,false)),0,vlookup($A136,FantasyPro!$B$2:$E$341,4,false))</f>
        <v>0</v>
      </c>
      <c r="L136" s="37">
        <f>if(ISNA(vlookup($A136, FFToolbox!$B$2:$E$414, 4, false)), 0, vlookup($A136, FFToolbox!$B$2:$E$414, 4, false))</f>
        <v>7</v>
      </c>
      <c r="M136" s="39">
        <f t="shared" si="1"/>
        <v>1.5</v>
      </c>
      <c r="N136" s="39">
        <f t="shared" si="2"/>
        <v>7</v>
      </c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</row>
    <row r="137">
      <c r="A137" s="17" t="s">
        <v>281</v>
      </c>
      <c r="B137" s="35" t="s">
        <v>1259</v>
      </c>
      <c r="C137" s="35">
        <v>7.0</v>
      </c>
      <c r="D137" s="36" t="s">
        <v>119</v>
      </c>
      <c r="E137" s="36" t="s">
        <v>77</v>
      </c>
      <c r="F137" s="36">
        <f>vlookup(D137,'Team Bye List'!$A$1:$B$33,2,False)</f>
        <v>10</v>
      </c>
      <c r="G137" s="37">
        <f>if(ISNA(vlookup($A137, Sleeper!$B$2:$E$330, 4, false)), 0, vlookup($A137, Sleeper!$B$2:$E$330, 4, false))</f>
        <v>1</v>
      </c>
      <c r="H137" s="37">
        <f>if(ISNA(vlookup($A137, ESPN!$B$2:$E$297, 4, false)), 0, vlookup($A137, ESPN!$B$2:$E$297, 4, false))</f>
        <v>0</v>
      </c>
      <c r="I137" s="37">
        <f>if(ISNA(vlookup($A137,'Ultimate Draft Kit'!$B$2:$E$324,4, false)), 0, vlookup($A137,'Ultimate Draft Kit'!$B$2:$E$324, 4, false))</f>
        <v>3</v>
      </c>
      <c r="J137" s="38">
        <f>if(ISNA(vlookup($A137,Rotowire!$B$2:$E$1075,4, false)), 0, vlookup($A137,Rotowire!$B$2:$E$1075, 4, false))</f>
        <v>0</v>
      </c>
      <c r="K137" s="37">
        <f>if(ISNA(vlookup($A137, FantasyPro!$B$2:$E$341,4,false)),0,vlookup($A137,FantasyPro!$B$2:$E$341,4,false))</f>
        <v>1</v>
      </c>
      <c r="L137" s="37">
        <f>if(ISNA(vlookup($A137, FFToolbox!$B$2:$E$414, 4, false)), 0, vlookup($A137, FFToolbox!$B$2:$E$414, 4, false))</f>
        <v>1</v>
      </c>
      <c r="M137" s="39">
        <f t="shared" si="1"/>
        <v>1</v>
      </c>
      <c r="N137" s="39">
        <f t="shared" si="2"/>
        <v>3</v>
      </c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</row>
    <row r="138">
      <c r="A138" s="17" t="s">
        <v>142</v>
      </c>
      <c r="B138" s="35" t="s">
        <v>1258</v>
      </c>
      <c r="C138" s="35">
        <v>8.0</v>
      </c>
      <c r="D138" s="36" t="s">
        <v>85</v>
      </c>
      <c r="E138" s="36" t="s">
        <v>8</v>
      </c>
      <c r="F138" s="36">
        <f>vlookup(D138,'Team Bye List'!$A$1:$B$33,2,False)</f>
        <v>9</v>
      </c>
      <c r="G138" s="37">
        <f>if(ISNA(vlookup($A138, Sleeper!$B$2:$E$330, 4, false)), 0, vlookup($A138, Sleeper!$B$2:$E$330, 4, false))</f>
        <v>10</v>
      </c>
      <c r="H138" s="37">
        <f>if(ISNA(vlookup($A138, ESPN!$B$2:$E$297, 4, false)), 0, vlookup($A138, ESPN!$B$2:$E$297, 4, false))</f>
        <v>2</v>
      </c>
      <c r="I138" s="37">
        <f>if(ISNA(vlookup($A138,'Ultimate Draft Kit'!$B$2:$E$324,4, false)), 0, vlookup($A138,'Ultimate Draft Kit'!$B$2:$E$324, 4, false))</f>
        <v>0</v>
      </c>
      <c r="J138" s="38">
        <f>if(ISNA(vlookup($A138,Rotowire!$B$2:$E$1075,4, false)), 0, vlookup($A138,Rotowire!$B$2:$E$1075, 4, false))</f>
        <v>0</v>
      </c>
      <c r="K138" s="37">
        <f>if(ISNA(vlookup($A138, FantasyPro!$B$2:$E$341,4,false)),0,vlookup($A138,FantasyPro!$B$2:$E$341,4,false))</f>
        <v>8</v>
      </c>
      <c r="L138" s="37">
        <f>if(ISNA(vlookup($A138, FFToolbox!$B$2:$E$414, 4, false)), 0, vlookup($A138, FFToolbox!$B$2:$E$414, 4, false))</f>
        <v>0</v>
      </c>
      <c r="M138" s="39">
        <f t="shared" si="1"/>
        <v>3.333333333</v>
      </c>
      <c r="N138" s="39">
        <f t="shared" si="2"/>
        <v>10</v>
      </c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</row>
    <row r="139">
      <c r="A139" s="17" t="s">
        <v>182</v>
      </c>
      <c r="B139" s="35" t="s">
        <v>1258</v>
      </c>
      <c r="C139" s="35">
        <v>4.0</v>
      </c>
      <c r="D139" s="36" t="s">
        <v>19</v>
      </c>
      <c r="E139" s="36" t="s">
        <v>183</v>
      </c>
      <c r="F139" s="36">
        <f>vlookup(D139,'Team Bye List'!$A$1:$B$33,2,False)</f>
        <v>10</v>
      </c>
      <c r="G139" s="37">
        <f>if(ISNA(vlookup($A139, Sleeper!$B$2:$E$330, 4, false)), 0, vlookup($A139, Sleeper!$B$2:$E$330, 4, false))</f>
        <v>3</v>
      </c>
      <c r="H139" s="37">
        <f>if(ISNA(vlookup($A139, ESPN!$B$2:$E$297, 4, false)), 0, vlookup($A139, ESPN!$B$2:$E$297, 4, false))</f>
        <v>1</v>
      </c>
      <c r="I139" s="37">
        <f>if(ISNA(vlookup($A139,'Ultimate Draft Kit'!$B$2:$E$324,4, false)), 0, vlookup($A139,'Ultimate Draft Kit'!$B$2:$E$324, 4, false))</f>
        <v>1</v>
      </c>
      <c r="J139" s="38">
        <f>if(ISNA(vlookup($A139,Rotowire!$B$2:$E$1075,4, false)), 0, vlookup($A139,Rotowire!$B$2:$E$1075, 4, false))</f>
        <v>3</v>
      </c>
      <c r="K139" s="37">
        <f>if(ISNA(vlookup($A139, FantasyPro!$B$2:$E$341,4,false)),0,vlookup($A139,FantasyPro!$B$2:$E$341,4,false))</f>
        <v>0</v>
      </c>
      <c r="L139" s="37">
        <f>if(ISNA(vlookup($A139, FFToolbox!$B$2:$E$414, 4, false)), 0, vlookup($A139, FFToolbox!$B$2:$E$414, 4, false))</f>
        <v>1</v>
      </c>
      <c r="M139" s="39">
        <f t="shared" si="1"/>
        <v>1.5</v>
      </c>
      <c r="N139" s="39">
        <f t="shared" si="2"/>
        <v>3</v>
      </c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</row>
    <row r="140">
      <c r="A140" s="17" t="s">
        <v>184</v>
      </c>
      <c r="B140" s="35" t="s">
        <v>1258</v>
      </c>
      <c r="C140" s="35">
        <v>6.0</v>
      </c>
      <c r="D140" s="36" t="s">
        <v>12</v>
      </c>
      <c r="E140" s="36" t="s">
        <v>183</v>
      </c>
      <c r="F140" s="36">
        <f>vlookup(D140,'Team Bye List'!$A$1:$B$33,2,False)</f>
        <v>8</v>
      </c>
      <c r="G140" s="37">
        <f>if(ISNA(vlookup($A140, Sleeper!$B$2:$E$330, 4, false)), 0, vlookup($A140, Sleeper!$B$2:$E$330, 4, false))</f>
        <v>2</v>
      </c>
      <c r="H140" s="37">
        <f>if(ISNA(vlookup($A140, ESPN!$B$2:$E$297, 4, false)), 0, vlookup($A140, ESPN!$B$2:$E$297, 4, false))</f>
        <v>1</v>
      </c>
      <c r="I140" s="37">
        <f>if(ISNA(vlookup($A140,'Ultimate Draft Kit'!$B$2:$E$324,4, false)), 0, vlookup($A140,'Ultimate Draft Kit'!$B$2:$E$324, 4, false))</f>
        <v>1</v>
      </c>
      <c r="J140" s="38">
        <f>if(ISNA(vlookup($A140,Rotowire!$B$2:$E$1075,4, false)), 0, vlookup($A140,Rotowire!$B$2:$E$1075, 4, false))</f>
        <v>3</v>
      </c>
      <c r="K140" s="37">
        <f>if(ISNA(vlookup($A140, FantasyPro!$B$2:$E$341,4,false)),0,vlookup($A140,FantasyPro!$B$2:$E$341,4,false))</f>
        <v>0</v>
      </c>
      <c r="L140" s="37">
        <f>if(ISNA(vlookup($A140, FFToolbox!$B$2:$E$414, 4, false)), 0, vlookup($A140, FFToolbox!$B$2:$E$414, 4, false))</f>
        <v>1</v>
      </c>
      <c r="M140" s="39">
        <f t="shared" si="1"/>
        <v>1.333333333</v>
      </c>
      <c r="N140" s="39">
        <f t="shared" si="2"/>
        <v>3</v>
      </c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</row>
    <row r="141">
      <c r="A141" s="17" t="s">
        <v>179</v>
      </c>
      <c r="B141" s="35" t="s">
        <v>1258</v>
      </c>
      <c r="C141" s="35">
        <v>4.0</v>
      </c>
      <c r="D141" s="36" t="s">
        <v>17</v>
      </c>
      <c r="E141" s="36" t="s">
        <v>59</v>
      </c>
      <c r="F141" s="36">
        <f>vlookup(D141,'Team Bye List'!$A$1:$B$33,2,False)</f>
        <v>7</v>
      </c>
      <c r="G141" s="37">
        <f>if(ISNA(vlookup($A141, Sleeper!$B$2:$E$330, 4, false)), 0, vlookup($A141, Sleeper!$B$2:$E$330, 4, false))</f>
        <v>2</v>
      </c>
      <c r="H141" s="37">
        <f>if(ISNA(vlookup($A141, ESPN!$B$2:$E$297, 4, false)), 0, vlookup($A141, ESPN!$B$2:$E$297, 4, false))</f>
        <v>1</v>
      </c>
      <c r="I141" s="37">
        <f>if(ISNA(vlookup($A141,'Ultimate Draft Kit'!$B$2:$E$324,4, false)), 0, vlookup($A141,'Ultimate Draft Kit'!$B$2:$E$324, 4, false))</f>
        <v>1</v>
      </c>
      <c r="J141" s="38">
        <f>if(ISNA(vlookup($A141,Rotowire!$B$2:$E$1075,4, false)), 0, vlookup($A141,Rotowire!$B$2:$E$1075, 4, false))</f>
        <v>2</v>
      </c>
      <c r="K141" s="37">
        <f>if(ISNA(vlookup($A141, FantasyPro!$B$2:$E$341,4,false)),0,vlookup($A141,FantasyPro!$B$2:$E$341,4,false))</f>
        <v>1</v>
      </c>
      <c r="L141" s="37">
        <f>if(ISNA(vlookup($A141, FFToolbox!$B$2:$E$414, 4, false)), 0, vlookup($A141, FFToolbox!$B$2:$E$414, 4, false))</f>
        <v>0</v>
      </c>
      <c r="M141" s="39">
        <f t="shared" si="1"/>
        <v>1.166666667</v>
      </c>
      <c r="N141" s="39">
        <f t="shared" si="2"/>
        <v>2</v>
      </c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</row>
    <row r="142">
      <c r="A142" s="17" t="s">
        <v>192</v>
      </c>
      <c r="B142" s="35" t="s">
        <v>1258</v>
      </c>
      <c r="C142" s="35">
        <v>1.0</v>
      </c>
      <c r="D142" s="36" t="s">
        <v>30</v>
      </c>
      <c r="E142" s="36" t="s">
        <v>193</v>
      </c>
      <c r="F142" s="36">
        <f>vlookup(D142,'Team Bye List'!$A$1:$B$33,2,False)</f>
        <v>7</v>
      </c>
      <c r="G142" s="37">
        <f>if(ISNA(vlookup($A142, Sleeper!$B$2:$E$330, 4, false)), 0, vlookup($A142, Sleeper!$B$2:$E$330, 4, false))</f>
        <v>1</v>
      </c>
      <c r="H142" s="37">
        <f>if(ISNA(vlookup($A142, ESPN!$B$2:$E$297, 4, false)), 0, vlookup($A142, ESPN!$B$2:$E$297, 4, false))</f>
        <v>1</v>
      </c>
      <c r="I142" s="37">
        <f>if(ISNA(vlookup($A142,'Ultimate Draft Kit'!$B$2:$E$324,4, false)), 0, vlookup($A142,'Ultimate Draft Kit'!$B$2:$E$324, 4, false))</f>
        <v>3</v>
      </c>
      <c r="J142" s="38">
        <f>if(ISNA(vlookup($A142,Rotowire!$B$2:$E$1075,4, false)), 0, vlookup($A142,Rotowire!$B$2:$E$1075, 4, false))</f>
        <v>0</v>
      </c>
      <c r="K142" s="37">
        <f>if(ISNA(vlookup($A142, FantasyPro!$B$2:$E$341,4,false)),0,vlookup($A142,FantasyPro!$B$2:$E$341,4,false))</f>
        <v>1</v>
      </c>
      <c r="L142" s="37">
        <f>if(ISNA(vlookup($A142, FFToolbox!$B$2:$E$414, 4, false)), 0, vlookup($A142, FFToolbox!$B$2:$E$414, 4, false))</f>
        <v>0</v>
      </c>
      <c r="M142" s="39">
        <f t="shared" si="1"/>
        <v>1</v>
      </c>
      <c r="N142" s="39">
        <f t="shared" si="2"/>
        <v>3</v>
      </c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</row>
    <row r="143">
      <c r="A143" s="17" t="s">
        <v>197</v>
      </c>
      <c r="B143" s="35" t="s">
        <v>1258</v>
      </c>
      <c r="C143" s="35">
        <v>2.0</v>
      </c>
      <c r="D143" s="36" t="s">
        <v>37</v>
      </c>
      <c r="E143" s="36" t="s">
        <v>193</v>
      </c>
      <c r="F143" s="36">
        <f>vlookup(D143,'Team Bye List'!$A$1:$B$33,2,False)</f>
        <v>11</v>
      </c>
      <c r="G143" s="37">
        <f>if(ISNA(vlookup($A143, Sleeper!$B$2:$E$330, 4, false)), 0, vlookup($A143, Sleeper!$B$2:$E$330, 4, false))</f>
        <v>1</v>
      </c>
      <c r="H143" s="37">
        <f>if(ISNA(vlookup($A143, ESPN!$B$2:$E$297, 4, false)), 0, vlookup($A143, ESPN!$B$2:$E$297, 4, false))</f>
        <v>1</v>
      </c>
      <c r="I143" s="37">
        <f>if(ISNA(vlookup($A143,'Ultimate Draft Kit'!$B$2:$E$324,4, false)), 0, vlookup($A143,'Ultimate Draft Kit'!$B$2:$E$324, 4, false))</f>
        <v>3</v>
      </c>
      <c r="J143" s="38">
        <f>if(ISNA(vlookup($A143,Rotowire!$B$2:$E$1075,4, false)), 0, vlookup($A143,Rotowire!$B$2:$E$1075, 4, false))</f>
        <v>0</v>
      </c>
      <c r="K143" s="37">
        <f>if(ISNA(vlookup($A143, FantasyPro!$B$2:$E$341,4,false)),0,vlookup($A143,FantasyPro!$B$2:$E$341,4,false))</f>
        <v>1</v>
      </c>
      <c r="L143" s="37">
        <f>if(ISNA(vlookup($A143, FFToolbox!$B$2:$E$414, 4, false)), 0, vlookup($A143, FFToolbox!$B$2:$E$414, 4, false))</f>
        <v>0</v>
      </c>
      <c r="M143" s="39">
        <f t="shared" si="1"/>
        <v>1</v>
      </c>
      <c r="N143" s="39">
        <f t="shared" si="2"/>
        <v>3</v>
      </c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</row>
    <row r="144">
      <c r="A144" s="17" t="s">
        <v>171</v>
      </c>
      <c r="B144" s="35" t="s">
        <v>1259</v>
      </c>
      <c r="C144" s="35">
        <v>9.0</v>
      </c>
      <c r="D144" s="36" t="s">
        <v>10</v>
      </c>
      <c r="E144" s="36" t="s">
        <v>13</v>
      </c>
      <c r="F144" s="36">
        <f>vlookup(D144,'Team Bye List'!$A$1:$B$33,2,False)</f>
        <v>13</v>
      </c>
      <c r="G144" s="37">
        <f>if(ISNA(vlookup($A144, Sleeper!$B$2:$E$330, 4, false)), 0, vlookup($A144, Sleeper!$B$2:$E$330, 4, false))</f>
        <v>1</v>
      </c>
      <c r="H144" s="37">
        <f>if(ISNA(vlookup($A144, ESPN!$B$2:$E$297, 4, false)), 0, vlookup($A144, ESPN!$B$2:$E$297, 4, false))</f>
        <v>1</v>
      </c>
      <c r="I144" s="37">
        <f>if(ISNA(vlookup($A144,'Ultimate Draft Kit'!$B$2:$E$324,4, false)), 0, vlookup($A144,'Ultimate Draft Kit'!$B$2:$E$324, 4, false))</f>
        <v>1</v>
      </c>
      <c r="J144" s="38">
        <f>if(ISNA(vlookup($A144,Rotowire!$B$2:$E$1075,4, false)), 0, vlookup($A144,Rotowire!$B$2:$E$1075, 4, false))</f>
        <v>0</v>
      </c>
      <c r="K144" s="37">
        <f>if(ISNA(vlookup($A144, FantasyPro!$B$2:$E$341,4,false)),0,vlookup($A144,FantasyPro!$B$2:$E$341,4,false))</f>
        <v>1</v>
      </c>
      <c r="L144" s="37">
        <f>if(ISNA(vlookup($A144, FFToolbox!$B$2:$E$414, 4, false)), 0, vlookup($A144, FFToolbox!$B$2:$E$414, 4, false))</f>
        <v>3</v>
      </c>
      <c r="M144" s="39">
        <f t="shared" si="1"/>
        <v>1.166666667</v>
      </c>
      <c r="N144" s="39">
        <f t="shared" si="2"/>
        <v>3</v>
      </c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</row>
    <row r="145">
      <c r="A145" s="17" t="s">
        <v>146</v>
      </c>
      <c r="B145" s="35" t="s">
        <v>1259</v>
      </c>
      <c r="C145" s="35">
        <v>9.0</v>
      </c>
      <c r="D145" s="36" t="s">
        <v>7</v>
      </c>
      <c r="E145" s="36" t="s">
        <v>8</v>
      </c>
      <c r="F145" s="36">
        <f>vlookup(D145,'Team Bye List'!$A$1:$B$33,2,False)</f>
        <v>14</v>
      </c>
      <c r="G145" s="37">
        <f>if(ISNA(vlookup($A145, Sleeper!$B$2:$E$330, 4, false)), 0, vlookup($A145, Sleeper!$B$2:$E$330, 4, false))</f>
        <v>1</v>
      </c>
      <c r="H145" s="37">
        <f>if(ISNA(vlookup($A145, ESPN!$B$2:$E$297, 4, false)), 0, vlookup($A145, ESPN!$B$2:$E$297, 4, false))</f>
        <v>2</v>
      </c>
      <c r="I145" s="37">
        <f>if(ISNA(vlookup($A145,'Ultimate Draft Kit'!$B$2:$E$324,4, false)), 0, vlookup($A145,'Ultimate Draft Kit'!$B$2:$E$324, 4, false))</f>
        <v>1</v>
      </c>
      <c r="J145" s="38">
        <f>if(ISNA(vlookup($A145,Rotowire!$B$2:$E$1075,4, false)), 0, vlookup($A145,Rotowire!$B$2:$E$1075, 4, false))</f>
        <v>0</v>
      </c>
      <c r="K145" s="37">
        <f>if(ISNA(vlookup($A145, FantasyPro!$B$2:$E$341,4,false)),0,vlookup($A145,FantasyPro!$B$2:$E$341,4,false))</f>
        <v>4</v>
      </c>
      <c r="L145" s="37">
        <f>if(ISNA(vlookup($A145, FFToolbox!$B$2:$E$414, 4, false)), 0, vlookup($A145, FFToolbox!$B$2:$E$414, 4, false))</f>
        <v>3</v>
      </c>
      <c r="M145" s="39">
        <f t="shared" si="1"/>
        <v>1.833333333</v>
      </c>
      <c r="N145" s="39">
        <f t="shared" si="2"/>
        <v>4</v>
      </c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</row>
    <row r="146">
      <c r="A146" s="17" t="s">
        <v>185</v>
      </c>
      <c r="B146" s="35" t="s">
        <v>1258</v>
      </c>
      <c r="C146" s="35">
        <v>7.0</v>
      </c>
      <c r="D146" s="36" t="s">
        <v>62</v>
      </c>
      <c r="E146" s="36" t="s">
        <v>183</v>
      </c>
      <c r="F146" s="36">
        <f>vlookup(D146,'Team Bye List'!$A$1:$B$33,2,False)</f>
        <v>8</v>
      </c>
      <c r="G146" s="37">
        <f>if(ISNA(vlookup($A146, Sleeper!$B$2:$E$330, 4, false)), 0, vlookup($A146, Sleeper!$B$2:$E$330, 4, false))</f>
        <v>1</v>
      </c>
      <c r="H146" s="37">
        <f>if(ISNA(vlookup($A146, ESPN!$B$2:$E$297, 4, false)), 0, vlookup($A146, ESPN!$B$2:$E$297, 4, false))</f>
        <v>1</v>
      </c>
      <c r="I146" s="37">
        <f>if(ISNA(vlookup($A146,'Ultimate Draft Kit'!$B$2:$E$324,4, false)), 0, vlookup($A146,'Ultimate Draft Kit'!$B$2:$E$324, 4, false))</f>
        <v>1</v>
      </c>
      <c r="J146" s="38">
        <f>if(ISNA(vlookup($A146,Rotowire!$B$2:$E$1075,4, false)), 0, vlookup($A146,Rotowire!$B$2:$E$1075, 4, false))</f>
        <v>2</v>
      </c>
      <c r="K146" s="37">
        <f>if(ISNA(vlookup($A146, FantasyPro!$B$2:$E$341,4,false)),0,vlookup($A146,FantasyPro!$B$2:$E$341,4,false))</f>
        <v>0</v>
      </c>
      <c r="L146" s="37">
        <f>if(ISNA(vlookup($A146, FFToolbox!$B$2:$E$414, 4, false)), 0, vlookup($A146, FFToolbox!$B$2:$E$414, 4, false))</f>
        <v>1</v>
      </c>
      <c r="M146" s="39">
        <f t="shared" si="1"/>
        <v>1</v>
      </c>
      <c r="N146" s="39">
        <f t="shared" si="2"/>
        <v>2</v>
      </c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</row>
    <row r="147">
      <c r="A147" s="17" t="s">
        <v>279</v>
      </c>
      <c r="B147" s="35" t="s">
        <v>1259</v>
      </c>
      <c r="C147" s="35">
        <v>7.0</v>
      </c>
      <c r="D147" s="36" t="s">
        <v>21</v>
      </c>
      <c r="E147" s="36" t="s">
        <v>77</v>
      </c>
      <c r="F147" s="36">
        <f>vlookup(D147,'Team Bye List'!$A$1:$B$33,2,False)</f>
        <v>6</v>
      </c>
      <c r="G147" s="37">
        <f>if(ISNA(vlookup($A147, Sleeper!$B$2:$E$330, 4, false)), 0, vlookup($A147, Sleeper!$B$2:$E$330, 4, false))</f>
        <v>1</v>
      </c>
      <c r="H147" s="37">
        <f>if(ISNA(vlookup($A147, ESPN!$B$2:$E$297, 4, false)), 0, vlookup($A147, ESPN!$B$2:$E$297, 4, false))</f>
        <v>0</v>
      </c>
      <c r="I147" s="37">
        <f>if(ISNA(vlookup($A147,'Ultimate Draft Kit'!$B$2:$E$324,4, false)), 0, vlookup($A147,'Ultimate Draft Kit'!$B$2:$E$324, 4, false))</f>
        <v>1</v>
      </c>
      <c r="J147" s="38">
        <f>if(ISNA(vlookup($A147,Rotowire!$B$2:$E$1075,4, false)), 0, vlookup($A147,Rotowire!$B$2:$E$1075, 4, false))</f>
        <v>0</v>
      </c>
      <c r="K147" s="37">
        <f>if(ISNA(vlookup($A147, FantasyPro!$B$2:$E$341,4,false)),0,vlookup($A147,FantasyPro!$B$2:$E$341,4,false))</f>
        <v>1</v>
      </c>
      <c r="L147" s="37">
        <f>if(ISNA(vlookup($A147, FFToolbox!$B$2:$E$414, 4, false)), 0, vlookup($A147, FFToolbox!$B$2:$E$414, 4, false))</f>
        <v>2</v>
      </c>
      <c r="M147" s="39">
        <f t="shared" si="1"/>
        <v>0.8333333333</v>
      </c>
      <c r="N147" s="39">
        <f t="shared" si="2"/>
        <v>2</v>
      </c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</row>
    <row r="148">
      <c r="A148" s="17" t="s">
        <v>163</v>
      </c>
      <c r="B148" s="35" t="s">
        <v>1259</v>
      </c>
      <c r="C148" s="35">
        <v>11.0</v>
      </c>
      <c r="D148" s="36" t="s">
        <v>39</v>
      </c>
      <c r="E148" s="36" t="s">
        <v>8</v>
      </c>
      <c r="F148" s="36">
        <f>vlookup(D148,'Team Bye List'!$A$1:$B$33,2,False)</f>
        <v>11</v>
      </c>
      <c r="G148" s="37">
        <f>if(ISNA(vlookup($A148, Sleeper!$B$2:$E$330, 4, false)), 0, vlookup($A148, Sleeper!$B$2:$E$330, 4, false))</f>
        <v>1</v>
      </c>
      <c r="H148" s="37">
        <f>if(ISNA(vlookup($A148, ESPN!$B$2:$E$297, 4, false)), 0, vlookup($A148, ESPN!$B$2:$E$297, 4, false))</f>
        <v>1</v>
      </c>
      <c r="I148" s="37">
        <f>if(ISNA(vlookup($A148,'Ultimate Draft Kit'!$B$2:$E$324,4, false)), 0, vlookup($A148,'Ultimate Draft Kit'!$B$2:$E$324, 4, false))</f>
        <v>1</v>
      </c>
      <c r="J148" s="38">
        <f>if(ISNA(vlookup($A148,Rotowire!$B$2:$E$1075,4, false)), 0, vlookup($A148,Rotowire!$B$2:$E$1075, 4, false))</f>
        <v>0</v>
      </c>
      <c r="K148" s="37">
        <f>if(ISNA(vlookup($A148, FantasyPro!$B$2:$E$341,4,false)),0,vlookup($A148,FantasyPro!$B$2:$E$341,4,false))</f>
        <v>2</v>
      </c>
      <c r="L148" s="37">
        <f>if(ISNA(vlookup($A148, FFToolbox!$B$2:$E$414, 4, false)), 0, vlookup($A148, FFToolbox!$B$2:$E$414, 4, false))</f>
        <v>2</v>
      </c>
      <c r="M148" s="39">
        <f t="shared" si="1"/>
        <v>1.166666667</v>
      </c>
      <c r="N148" s="39">
        <f t="shared" si="2"/>
        <v>2</v>
      </c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</row>
    <row r="149">
      <c r="A149" s="17" t="s">
        <v>212</v>
      </c>
      <c r="B149" s="35" t="s">
        <v>1259</v>
      </c>
      <c r="C149" s="35">
        <v>9.0</v>
      </c>
      <c r="D149" s="36" t="s">
        <v>35</v>
      </c>
      <c r="E149" s="36" t="s">
        <v>8</v>
      </c>
      <c r="F149" s="36">
        <f>vlookup(D149,'Team Bye List'!$A$1:$B$33,2,False)</f>
        <v>6</v>
      </c>
      <c r="G149" s="37">
        <f>if(ISNA(vlookup($A149, Sleeper!$B$2:$E$330, 4, false)), 0, vlookup($A149, Sleeper!$B$2:$E$330, 4, false))</f>
        <v>1</v>
      </c>
      <c r="H149" s="37">
        <f>if(ISNA(vlookup($A149, ESPN!$B$2:$E$297, 4, false)), 0, vlookup($A149, ESPN!$B$2:$E$297, 4, false))</f>
        <v>0</v>
      </c>
      <c r="I149" s="37">
        <f>if(ISNA(vlookup($A149,'Ultimate Draft Kit'!$B$2:$E$324,4, false)), 0, vlookup($A149,'Ultimate Draft Kit'!$B$2:$E$324, 4, false))</f>
        <v>1</v>
      </c>
      <c r="J149" s="38">
        <f>if(ISNA(vlookup($A149,Rotowire!$B$2:$E$1075,4, false)), 0, vlookup($A149,Rotowire!$B$2:$E$1075, 4, false))</f>
        <v>0</v>
      </c>
      <c r="K149" s="37">
        <f>if(ISNA(vlookup($A149, FantasyPro!$B$2:$E$341,4,false)),0,vlookup($A149,FantasyPro!$B$2:$E$341,4,false))</f>
        <v>2</v>
      </c>
      <c r="L149" s="37">
        <f>if(ISNA(vlookup($A149, FFToolbox!$B$2:$E$414, 4, false)), 0, vlookup($A149, FFToolbox!$B$2:$E$414, 4, false))</f>
        <v>2</v>
      </c>
      <c r="M149" s="39">
        <f t="shared" si="1"/>
        <v>1</v>
      </c>
      <c r="N149" s="39">
        <f t="shared" si="2"/>
        <v>2</v>
      </c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</row>
    <row r="150">
      <c r="A150" s="17" t="s">
        <v>203</v>
      </c>
      <c r="B150" s="35" t="s">
        <v>1258</v>
      </c>
      <c r="C150" s="35">
        <v>9.0</v>
      </c>
      <c r="D150" s="36" t="s">
        <v>81</v>
      </c>
      <c r="E150" s="36" t="s">
        <v>8</v>
      </c>
      <c r="F150" s="36">
        <f>vlookup(D150,'Team Bye List'!$A$1:$B$33,2,False)</f>
        <v>6</v>
      </c>
      <c r="G150" s="37">
        <f>if(ISNA(vlookup($A150, Sleeper!$B$2:$E$330, 4, false)), 0, vlookup($A150, Sleeper!$B$2:$E$330, 4, false))</f>
        <v>1</v>
      </c>
      <c r="H150" s="37">
        <f>if(ISNA(vlookup($A150, ESPN!$B$2:$E$297, 4, false)), 0, vlookup($A150, ESPN!$B$2:$E$297, 4, false))</f>
        <v>0</v>
      </c>
      <c r="I150" s="37">
        <f>if(ISNA(vlookup($A150,'Ultimate Draft Kit'!$B$2:$E$324,4, false)), 0, vlookup($A150,'Ultimate Draft Kit'!$B$2:$E$324, 4, false))</f>
        <v>1</v>
      </c>
      <c r="J150" s="38">
        <f>if(ISNA(vlookup($A150,Rotowire!$B$2:$E$1075,4, false)), 0, vlookup($A150,Rotowire!$B$2:$E$1075, 4, false))</f>
        <v>0</v>
      </c>
      <c r="K150" s="37">
        <f>if(ISNA(vlookup($A150, FantasyPro!$B$2:$E$341,4,false)),0,vlookup($A150,FantasyPro!$B$2:$E$341,4,false))</f>
        <v>4</v>
      </c>
      <c r="L150" s="37">
        <f>if(ISNA(vlookup($A150, FFToolbox!$B$2:$E$414, 4, false)), 0, vlookup($A150, FFToolbox!$B$2:$E$414, 4, false))</f>
        <v>4</v>
      </c>
      <c r="M150" s="39">
        <f t="shared" si="1"/>
        <v>1.666666667</v>
      </c>
      <c r="N150" s="39">
        <f t="shared" si="2"/>
        <v>4</v>
      </c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</row>
    <row r="151">
      <c r="A151" s="17" t="s">
        <v>162</v>
      </c>
      <c r="B151" s="35" t="s">
        <v>1259</v>
      </c>
      <c r="C151" s="35">
        <v>9.0</v>
      </c>
      <c r="D151" s="36" t="s">
        <v>73</v>
      </c>
      <c r="E151" s="36" t="s">
        <v>8</v>
      </c>
      <c r="F151" s="36">
        <f>vlookup(D151,'Team Bye List'!$A$1:$B$33,2,False)</f>
        <v>14</v>
      </c>
      <c r="G151" s="37">
        <f>if(ISNA(vlookup($A151, Sleeper!$B$2:$E$330, 4, false)), 0, vlookup($A151, Sleeper!$B$2:$E$330, 4, false))</f>
        <v>1</v>
      </c>
      <c r="H151" s="37">
        <f>if(ISNA(vlookup($A151, ESPN!$B$2:$E$297, 4, false)), 0, vlookup($A151, ESPN!$B$2:$E$297, 4, false))</f>
        <v>1</v>
      </c>
      <c r="I151" s="37">
        <f>if(ISNA(vlookup($A151,'Ultimate Draft Kit'!$B$2:$E$324,4, false)), 0, vlookup($A151,'Ultimate Draft Kit'!$B$2:$E$324, 4, false))</f>
        <v>1</v>
      </c>
      <c r="J151" s="38">
        <f>if(ISNA(vlookup($A151,Rotowire!$B$2:$E$1075,4, false)), 0, vlookup($A151,Rotowire!$B$2:$E$1075, 4, false))</f>
        <v>0</v>
      </c>
      <c r="K151" s="37">
        <f>if(ISNA(vlookup($A151, FantasyPro!$B$2:$E$341,4,false)),0,vlookup($A151,FantasyPro!$B$2:$E$341,4,false))</f>
        <v>2</v>
      </c>
      <c r="L151" s="37">
        <f>if(ISNA(vlookup($A151, FFToolbox!$B$2:$E$414, 4, false)), 0, vlookup($A151, FFToolbox!$B$2:$E$414, 4, false))</f>
        <v>3</v>
      </c>
      <c r="M151" s="39">
        <f t="shared" si="1"/>
        <v>1.333333333</v>
      </c>
      <c r="N151" s="39">
        <f t="shared" si="2"/>
        <v>3</v>
      </c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</row>
    <row r="152">
      <c r="A152" s="17" t="s">
        <v>343</v>
      </c>
      <c r="B152" s="35" t="s">
        <v>1258</v>
      </c>
      <c r="C152" s="35">
        <v>2.0</v>
      </c>
      <c r="D152" s="36" t="s">
        <v>58</v>
      </c>
      <c r="E152" s="36" t="s">
        <v>183</v>
      </c>
      <c r="F152" s="36">
        <f>vlookup(D152,'Team Bye List'!$A$1:$B$33,2,False)</f>
        <v>10</v>
      </c>
      <c r="G152" s="37">
        <f>if(ISNA(vlookup($A152, Sleeper!$B$2:$E$330, 4, false)), 0, vlookup($A152, Sleeper!$B$2:$E$330, 4, false))</f>
        <v>2</v>
      </c>
      <c r="H152" s="37">
        <f>if(ISNA(vlookup($A152, ESPN!$B$2:$E$297, 4, false)), 0, vlookup($A152, ESPN!$B$2:$E$297, 4, false))</f>
        <v>0</v>
      </c>
      <c r="I152" s="37">
        <f>if(ISNA(vlookup($A152,'Ultimate Draft Kit'!$B$2:$E$324,4, false)), 0, vlookup($A152,'Ultimate Draft Kit'!$B$2:$E$324, 4, false))</f>
        <v>1</v>
      </c>
      <c r="J152" s="38">
        <f>if(ISNA(vlookup($A152,Rotowire!$B$2:$E$1075,4, false)), 0, vlookup($A152,Rotowire!$B$2:$E$1075, 4, false))</f>
        <v>2</v>
      </c>
      <c r="K152" s="37">
        <f>if(ISNA(vlookup($A152, FantasyPro!$B$2:$E$341,4,false)),0,vlookup($A152,FantasyPro!$B$2:$E$341,4,false))</f>
        <v>1</v>
      </c>
      <c r="L152" s="37">
        <f>if(ISNA(vlookup($A152, FFToolbox!$B$2:$E$414, 4, false)), 0, vlookup($A152, FFToolbox!$B$2:$E$414, 4, false))</f>
        <v>1</v>
      </c>
      <c r="M152" s="39">
        <f t="shared" si="1"/>
        <v>1.166666667</v>
      </c>
      <c r="N152" s="39">
        <f t="shared" si="2"/>
        <v>2</v>
      </c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</row>
    <row r="153">
      <c r="A153" s="17" t="s">
        <v>186</v>
      </c>
      <c r="B153" s="35" t="s">
        <v>1258</v>
      </c>
      <c r="C153" s="35">
        <v>10.0</v>
      </c>
      <c r="D153" s="36" t="s">
        <v>25</v>
      </c>
      <c r="E153" s="36" t="s">
        <v>183</v>
      </c>
      <c r="F153" s="36">
        <f>vlookup(D153,'Team Bye List'!$A$1:$B$33,2,False)</f>
        <v>7</v>
      </c>
      <c r="G153" s="37">
        <f>if(ISNA(vlookup($A153, Sleeper!$B$2:$E$330, 4, false)), 0, vlookup($A153, Sleeper!$B$2:$E$330, 4, false))</f>
        <v>1</v>
      </c>
      <c r="H153" s="37">
        <f>if(ISNA(vlookup($A153, ESPN!$B$2:$E$297, 4, false)), 0, vlookup($A153, ESPN!$B$2:$E$297, 4, false))</f>
        <v>1</v>
      </c>
      <c r="I153" s="37">
        <f>if(ISNA(vlookup($A153,'Ultimate Draft Kit'!$B$2:$E$324,4, false)), 0, vlookup($A153,'Ultimate Draft Kit'!$B$2:$E$324, 4, false))</f>
        <v>1</v>
      </c>
      <c r="J153" s="38">
        <f>if(ISNA(vlookup($A153,Rotowire!$B$2:$E$1075,4, false)), 0, vlookup($A153,Rotowire!$B$2:$E$1075, 4, false))</f>
        <v>1</v>
      </c>
      <c r="K153" s="37">
        <f>if(ISNA(vlookup($A153, FantasyPro!$B$2:$E$341,4,false)),0,vlookup($A153,FantasyPro!$B$2:$E$341,4,false))</f>
        <v>0</v>
      </c>
      <c r="L153" s="37">
        <f>if(ISNA(vlookup($A153, FFToolbox!$B$2:$E$414, 4, false)), 0, vlookup($A153, FFToolbox!$B$2:$E$414, 4, false))</f>
        <v>1</v>
      </c>
      <c r="M153" s="39">
        <f t="shared" si="1"/>
        <v>0.8333333333</v>
      </c>
      <c r="N153" s="39">
        <f t="shared" si="2"/>
        <v>1</v>
      </c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</row>
    <row r="154">
      <c r="A154" s="17" t="s">
        <v>188</v>
      </c>
      <c r="B154" s="35" t="s">
        <v>1258</v>
      </c>
      <c r="C154" s="35">
        <v>13.0</v>
      </c>
      <c r="D154" s="36" t="s">
        <v>119</v>
      </c>
      <c r="E154" s="36" t="s">
        <v>183</v>
      </c>
      <c r="F154" s="36">
        <f>vlookup(D154,'Team Bye List'!$A$1:$B$33,2,False)</f>
        <v>10</v>
      </c>
      <c r="G154" s="37">
        <f>if(ISNA(vlookup($A154, Sleeper!$B$2:$E$330, 4, false)), 0, vlookup($A154, Sleeper!$B$2:$E$330, 4, false))</f>
        <v>1</v>
      </c>
      <c r="H154" s="37">
        <f>if(ISNA(vlookup($A154, ESPN!$B$2:$E$297, 4, false)), 0, vlookup($A154, ESPN!$B$2:$E$297, 4, false))</f>
        <v>1</v>
      </c>
      <c r="I154" s="37">
        <f>if(ISNA(vlookup($A154,'Ultimate Draft Kit'!$B$2:$E$324,4, false)), 0, vlookup($A154,'Ultimate Draft Kit'!$B$2:$E$324, 4, false))</f>
        <v>1</v>
      </c>
      <c r="J154" s="38">
        <f>if(ISNA(vlookup($A154,Rotowire!$B$2:$E$1075,4, false)), 0, vlookup($A154,Rotowire!$B$2:$E$1075, 4, false))</f>
        <v>1</v>
      </c>
      <c r="K154" s="37">
        <f>if(ISNA(vlookup($A154, FantasyPro!$B$2:$E$341,4,false)),0,vlookup($A154,FantasyPro!$B$2:$E$341,4,false))</f>
        <v>0</v>
      </c>
      <c r="L154" s="37">
        <f>if(ISNA(vlookup($A154, FFToolbox!$B$2:$E$414, 4, false)), 0, vlookup($A154, FFToolbox!$B$2:$E$414, 4, false))</f>
        <v>1</v>
      </c>
      <c r="M154" s="39">
        <f t="shared" si="1"/>
        <v>0.8333333333</v>
      </c>
      <c r="N154" s="39">
        <f t="shared" si="2"/>
        <v>1</v>
      </c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</row>
    <row r="155">
      <c r="A155" s="17" t="s">
        <v>190</v>
      </c>
      <c r="B155" s="35" t="s">
        <v>1258</v>
      </c>
      <c r="C155" s="35">
        <v>12.0</v>
      </c>
      <c r="D155" s="36" t="s">
        <v>45</v>
      </c>
      <c r="E155" s="36" t="s">
        <v>183</v>
      </c>
      <c r="F155" s="36">
        <f>vlookup(D155,'Team Bye List'!$A$1:$B$33,2,False)</f>
        <v>13</v>
      </c>
      <c r="G155" s="37">
        <f>if(ISNA(vlookup($A155, Sleeper!$B$2:$E$330, 4, false)), 0, vlookup($A155, Sleeper!$B$2:$E$330, 4, false))</f>
        <v>2</v>
      </c>
      <c r="H155" s="37">
        <f>if(ISNA(vlookup($A155, ESPN!$B$2:$E$297, 4, false)), 0, vlookup($A155, ESPN!$B$2:$E$297, 4, false))</f>
        <v>1</v>
      </c>
      <c r="I155" s="37">
        <f>if(ISNA(vlookup($A155,'Ultimate Draft Kit'!$B$2:$E$324,4, false)), 0, vlookup($A155,'Ultimate Draft Kit'!$B$2:$E$324, 4, false))</f>
        <v>1</v>
      </c>
      <c r="J155" s="38">
        <f>if(ISNA(vlookup($A155,Rotowire!$B$2:$E$1075,4, false)), 0, vlookup($A155,Rotowire!$B$2:$E$1075, 4, false))</f>
        <v>1</v>
      </c>
      <c r="K155" s="37">
        <f>if(ISNA(vlookup($A155, FantasyPro!$B$2:$E$341,4,false)),0,vlookup($A155,FantasyPro!$B$2:$E$341,4,false))</f>
        <v>0</v>
      </c>
      <c r="L155" s="37">
        <f>if(ISNA(vlookup($A155, FFToolbox!$B$2:$E$414, 4, false)), 0, vlookup($A155, FFToolbox!$B$2:$E$414, 4, false))</f>
        <v>1</v>
      </c>
      <c r="M155" s="39">
        <f t="shared" si="1"/>
        <v>1</v>
      </c>
      <c r="N155" s="39">
        <f t="shared" si="2"/>
        <v>2</v>
      </c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</row>
    <row r="156">
      <c r="A156" s="17" t="s">
        <v>189</v>
      </c>
      <c r="B156" s="35" t="s">
        <v>1258</v>
      </c>
      <c r="C156" s="35">
        <v>1.0</v>
      </c>
      <c r="D156" s="36" t="s">
        <v>30</v>
      </c>
      <c r="E156" s="36" t="s">
        <v>183</v>
      </c>
      <c r="F156" s="36">
        <f>vlookup(D156,'Team Bye List'!$A$1:$B$33,2,False)</f>
        <v>7</v>
      </c>
      <c r="G156" s="37">
        <f>if(ISNA(vlookup($A156, Sleeper!$B$2:$E$330, 4, false)), 0, vlookup($A156, Sleeper!$B$2:$E$330, 4, false))</f>
        <v>2</v>
      </c>
      <c r="H156" s="37">
        <f>if(ISNA(vlookup($A156, ESPN!$B$2:$E$297, 4, false)), 0, vlookup($A156, ESPN!$B$2:$E$297, 4, false))</f>
        <v>1</v>
      </c>
      <c r="I156" s="37">
        <f>if(ISNA(vlookup($A156,'Ultimate Draft Kit'!$B$2:$E$324,4, false)), 0, vlookup($A156,'Ultimate Draft Kit'!$B$2:$E$324, 4, false))</f>
        <v>1</v>
      </c>
      <c r="J156" s="38">
        <f>if(ISNA(vlookup($A156,Rotowire!$B$2:$E$1075,4, false)), 0, vlookup($A156,Rotowire!$B$2:$E$1075, 4, false))</f>
        <v>1</v>
      </c>
      <c r="K156" s="37">
        <f>if(ISNA(vlookup($A156, FantasyPro!$B$2:$E$341,4,false)),0,vlookup($A156,FantasyPro!$B$2:$E$341,4,false))</f>
        <v>1</v>
      </c>
      <c r="L156" s="37">
        <f>if(ISNA(vlookup($A156, FFToolbox!$B$2:$E$414, 4, false)), 0, vlookup($A156, FFToolbox!$B$2:$E$414, 4, false))</f>
        <v>1</v>
      </c>
      <c r="M156" s="39">
        <f t="shared" si="1"/>
        <v>1.166666667</v>
      </c>
      <c r="N156" s="39">
        <f t="shared" si="2"/>
        <v>1</v>
      </c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</row>
    <row r="157">
      <c r="A157" s="17" t="s">
        <v>194</v>
      </c>
      <c r="B157" s="35" t="s">
        <v>1258</v>
      </c>
      <c r="C157" s="35">
        <v>5.0</v>
      </c>
      <c r="D157" s="36" t="s">
        <v>41</v>
      </c>
      <c r="E157" s="36" t="s">
        <v>193</v>
      </c>
      <c r="F157" s="36">
        <f>vlookup(D157,'Team Bye List'!$A$1:$B$33,2,False)</f>
        <v>14</v>
      </c>
      <c r="G157" s="37">
        <f>if(ISNA(vlookup($A157, Sleeper!$B$2:$E$330, 4, false)), 0, vlookup($A157, Sleeper!$B$2:$E$330, 4, false))</f>
        <v>1</v>
      </c>
      <c r="H157" s="37">
        <f>if(ISNA(vlookup($A157, ESPN!$B$2:$E$297, 4, false)), 0, vlookup($A157, ESPN!$B$2:$E$297, 4, false))</f>
        <v>1</v>
      </c>
      <c r="I157" s="37">
        <f>if(ISNA(vlookup($A157,'Ultimate Draft Kit'!$B$2:$E$324,4, false)), 0, vlookup($A157,'Ultimate Draft Kit'!$B$2:$E$324, 4, false))</f>
        <v>2</v>
      </c>
      <c r="J157" s="38">
        <f>if(ISNA(vlookup($A157,Rotowire!$B$2:$E$1075,4, false)), 0, vlookup($A157,Rotowire!$B$2:$E$1075, 4, false))</f>
        <v>0</v>
      </c>
      <c r="K157" s="37">
        <f>if(ISNA(vlookup($A157, FantasyPro!$B$2:$E$341,4,false)),0,vlookup($A157,FantasyPro!$B$2:$E$341,4,false))</f>
        <v>1</v>
      </c>
      <c r="L157" s="37">
        <f>if(ISNA(vlookup($A157, FFToolbox!$B$2:$E$414, 4, false)), 0, vlookup($A157, FFToolbox!$B$2:$E$414, 4, false))</f>
        <v>0</v>
      </c>
      <c r="M157" s="39">
        <f t="shared" si="1"/>
        <v>0.8333333333</v>
      </c>
      <c r="N157" s="39">
        <f t="shared" si="2"/>
        <v>2</v>
      </c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</row>
    <row r="158">
      <c r="A158" s="17" t="s">
        <v>198</v>
      </c>
      <c r="B158" s="35" t="s">
        <v>1258</v>
      </c>
      <c r="C158" s="35">
        <v>4.0</v>
      </c>
      <c r="D158" s="36" t="s">
        <v>28</v>
      </c>
      <c r="E158" s="36" t="s">
        <v>193</v>
      </c>
      <c r="F158" s="36">
        <f>vlookup(D158,'Team Bye List'!$A$1:$B$33,2,False)</f>
        <v>11</v>
      </c>
      <c r="G158" s="37">
        <f>if(ISNA(vlookup($A158, Sleeper!$B$2:$E$330, 4, false)), 0, vlookup($A158, Sleeper!$B$2:$E$330, 4, false))</f>
        <v>1</v>
      </c>
      <c r="H158" s="37">
        <f>if(ISNA(vlookup($A158, ESPN!$B$2:$E$297, 4, false)), 0, vlookup($A158, ESPN!$B$2:$E$297, 4, false))</f>
        <v>1</v>
      </c>
      <c r="I158" s="37">
        <f>if(ISNA(vlookup($A158,'Ultimate Draft Kit'!$B$2:$E$324,4, false)), 0, vlookup($A158,'Ultimate Draft Kit'!$B$2:$E$324, 4, false))</f>
        <v>2</v>
      </c>
      <c r="J158" s="38">
        <f>if(ISNA(vlookup($A158,Rotowire!$B$2:$E$1075,4, false)), 0, vlookup($A158,Rotowire!$B$2:$E$1075, 4, false))</f>
        <v>0</v>
      </c>
      <c r="K158" s="37">
        <f>if(ISNA(vlookup($A158, FantasyPro!$B$2:$E$341,4,false)),0,vlookup($A158,FantasyPro!$B$2:$E$341,4,false))</f>
        <v>1</v>
      </c>
      <c r="L158" s="37">
        <f>if(ISNA(vlookup($A158, FFToolbox!$B$2:$E$414, 4, false)), 0, vlookup($A158, FFToolbox!$B$2:$E$414, 4, false))</f>
        <v>0</v>
      </c>
      <c r="M158" s="39">
        <f t="shared" si="1"/>
        <v>0.8333333333</v>
      </c>
      <c r="N158" s="39">
        <f t="shared" si="2"/>
        <v>2</v>
      </c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</row>
    <row r="159">
      <c r="A159" s="17" t="s">
        <v>202</v>
      </c>
      <c r="B159" s="35" t="s">
        <v>1258</v>
      </c>
      <c r="C159" s="35">
        <v>11.0</v>
      </c>
      <c r="D159" s="36" t="s">
        <v>23</v>
      </c>
      <c r="E159" s="36" t="s">
        <v>193</v>
      </c>
      <c r="F159" s="36">
        <f>vlookup(D159,'Team Bye List'!$A$1:$B$33,2,False)</f>
        <v>9</v>
      </c>
      <c r="G159" s="37">
        <f>if(ISNA(vlookup($A159, Sleeper!$B$2:$E$330, 4, false)), 0, vlookup($A159, Sleeper!$B$2:$E$330, 4, false))</f>
        <v>1</v>
      </c>
      <c r="H159" s="37">
        <f>if(ISNA(vlookup($A159, ESPN!$B$2:$E$297, 4, false)), 0, vlookup($A159, ESPN!$B$2:$E$297, 4, false))</f>
        <v>1</v>
      </c>
      <c r="I159" s="37">
        <f>if(ISNA(vlookup($A159,'Ultimate Draft Kit'!$B$2:$E$324,4, false)), 0, vlookup($A159,'Ultimate Draft Kit'!$B$2:$E$324, 4, false))</f>
        <v>1</v>
      </c>
      <c r="J159" s="38">
        <f>if(ISNA(vlookup($A159,Rotowire!$B$2:$E$1075,4, false)), 0, vlookup($A159,Rotowire!$B$2:$E$1075, 4, false))</f>
        <v>0</v>
      </c>
      <c r="K159" s="37">
        <f>if(ISNA(vlookup($A159, FantasyPro!$B$2:$E$341,4,false)),0,vlookup($A159,FantasyPro!$B$2:$E$341,4,false))</f>
        <v>0</v>
      </c>
      <c r="L159" s="37">
        <f>if(ISNA(vlookup($A159, FFToolbox!$B$2:$E$414, 4, false)), 0, vlookup($A159, FFToolbox!$B$2:$E$414, 4, false))</f>
        <v>0</v>
      </c>
      <c r="M159" s="39">
        <f t="shared" si="1"/>
        <v>0.5</v>
      </c>
      <c r="N159" s="39">
        <f t="shared" si="2"/>
        <v>1</v>
      </c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</row>
    <row r="160">
      <c r="A160" s="17" t="s">
        <v>302</v>
      </c>
      <c r="B160" s="35" t="s">
        <v>1259</v>
      </c>
      <c r="C160" s="35">
        <v>4.0</v>
      </c>
      <c r="D160" s="36" t="s">
        <v>12</v>
      </c>
      <c r="E160" s="36" t="s">
        <v>59</v>
      </c>
      <c r="F160" s="36">
        <f>vlookup(D160,'Team Bye List'!$A$1:$B$33,2,False)</f>
        <v>8</v>
      </c>
      <c r="G160" s="37">
        <f>if(ISNA(vlookup($A160, Sleeper!$B$2:$E$330, 4, false)), 0, vlookup($A160, Sleeper!$B$2:$E$330, 4, false))</f>
        <v>1</v>
      </c>
      <c r="H160" s="37">
        <f>if(ISNA(vlookup($A160, ESPN!$B$2:$E$297, 4, false)), 0, vlookup($A160, ESPN!$B$2:$E$297, 4, false))</f>
        <v>0</v>
      </c>
      <c r="I160" s="37">
        <f>if(ISNA(vlookup($A160,'Ultimate Draft Kit'!$B$2:$E$324,4, false)), 0, vlookup($A160,'Ultimate Draft Kit'!$B$2:$E$324, 4, false))</f>
        <v>1</v>
      </c>
      <c r="J160" s="38">
        <f>if(ISNA(vlookup($A160,Rotowire!$B$2:$E$1075,4, false)), 0, vlookup($A160,Rotowire!$B$2:$E$1075, 4, false))</f>
        <v>0</v>
      </c>
      <c r="K160" s="37">
        <f>if(ISNA(vlookup($A160, FantasyPro!$B$2:$E$341,4,false)),0,vlookup($A160,FantasyPro!$B$2:$E$341,4,false))</f>
        <v>1</v>
      </c>
      <c r="L160" s="37">
        <f>if(ISNA(vlookup($A160, FFToolbox!$B$2:$E$414, 4, false)), 0, vlookup($A160, FFToolbox!$B$2:$E$414, 4, false))</f>
        <v>2</v>
      </c>
      <c r="M160" s="39">
        <f t="shared" si="1"/>
        <v>0.8333333333</v>
      </c>
      <c r="N160" s="39">
        <f t="shared" si="2"/>
        <v>2</v>
      </c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</row>
    <row r="161">
      <c r="A161" s="17" t="s">
        <v>275</v>
      </c>
      <c r="B161" s="35" t="s">
        <v>1259</v>
      </c>
      <c r="C161" s="35">
        <v>7.0</v>
      </c>
      <c r="D161" s="36" t="s">
        <v>55</v>
      </c>
      <c r="E161" s="36" t="s">
        <v>77</v>
      </c>
      <c r="F161" s="36">
        <f>vlookup(D161,'Team Bye List'!$A$1:$B$33,2,False)</f>
        <v>14</v>
      </c>
      <c r="G161" s="37">
        <f>if(ISNA(vlookup($A161, Sleeper!$B$2:$E$330, 4, false)), 0, vlookup($A161, Sleeper!$B$2:$E$330, 4, false))</f>
        <v>1</v>
      </c>
      <c r="H161" s="37">
        <f>if(ISNA(vlookup($A161, ESPN!$B$2:$E$297, 4, false)), 0, vlookup($A161, ESPN!$B$2:$E$297, 4, false))</f>
        <v>0</v>
      </c>
      <c r="I161" s="37">
        <f>if(ISNA(vlookup($A161,'Ultimate Draft Kit'!$B$2:$E$324,4, false)), 0, vlookup($A161,'Ultimate Draft Kit'!$B$2:$E$324, 4, false))</f>
        <v>2</v>
      </c>
      <c r="J161" s="38">
        <f>if(ISNA(vlookup($A161,Rotowire!$B$2:$E$1075,4, false)), 0, vlookup($A161,Rotowire!$B$2:$E$1075, 4, false))</f>
        <v>0</v>
      </c>
      <c r="K161" s="37">
        <f>if(ISNA(vlookup($A161, FantasyPro!$B$2:$E$341,4,false)),0,vlookup($A161,FantasyPro!$B$2:$E$341,4,false))</f>
        <v>2</v>
      </c>
      <c r="L161" s="37">
        <f>if(ISNA(vlookup($A161, FFToolbox!$B$2:$E$414, 4, false)), 0, vlookup($A161, FFToolbox!$B$2:$E$414, 4, false))</f>
        <v>1</v>
      </c>
      <c r="M161" s="39">
        <f t="shared" si="1"/>
        <v>1</v>
      </c>
      <c r="N161" s="39">
        <f t="shared" si="2"/>
        <v>2</v>
      </c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</row>
    <row r="162">
      <c r="A162" s="17" t="s">
        <v>282</v>
      </c>
      <c r="B162" s="35" t="s">
        <v>1258</v>
      </c>
      <c r="C162" s="35">
        <v>7.0</v>
      </c>
      <c r="D162" s="36" t="s">
        <v>7</v>
      </c>
      <c r="E162" s="36" t="s">
        <v>77</v>
      </c>
      <c r="F162" s="36">
        <f>vlookup(D162,'Team Bye List'!$A$1:$B$33,2,False)</f>
        <v>14</v>
      </c>
      <c r="G162" s="37">
        <f>if(ISNA(vlookup($A162, Sleeper!$B$2:$E$330, 4, false)), 0, vlookup($A162, Sleeper!$B$2:$E$330, 4, false))</f>
        <v>1</v>
      </c>
      <c r="H162" s="37">
        <f>if(ISNA(vlookup($A162, ESPN!$B$2:$E$297, 4, false)), 0, vlookup($A162, ESPN!$B$2:$E$297, 4, false))</f>
        <v>0</v>
      </c>
      <c r="I162" s="37">
        <f>if(ISNA(vlookup($A162,'Ultimate Draft Kit'!$B$2:$E$324,4, false)), 0, vlookup($A162,'Ultimate Draft Kit'!$B$2:$E$324, 4, false))</f>
        <v>3</v>
      </c>
      <c r="J162" s="38">
        <f>if(ISNA(vlookup($A162,Rotowire!$B$2:$E$1075,4, false)), 0, vlookup($A162,Rotowire!$B$2:$E$1075, 4, false))</f>
        <v>0</v>
      </c>
      <c r="K162" s="37">
        <f>if(ISNA(vlookup($A162, FantasyPro!$B$2:$E$341,4,false)),0,vlookup($A162,FantasyPro!$B$2:$E$341,4,false))</f>
        <v>1</v>
      </c>
      <c r="L162" s="37">
        <f>if(ISNA(vlookup($A162, FFToolbox!$B$2:$E$414, 4, false)), 0, vlookup($A162, FFToolbox!$B$2:$E$414, 4, false))</f>
        <v>1</v>
      </c>
      <c r="M162" s="39">
        <f t="shared" si="1"/>
        <v>1</v>
      </c>
      <c r="N162" s="39">
        <f t="shared" si="2"/>
        <v>3</v>
      </c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</row>
    <row r="163">
      <c r="A163" s="17" t="s">
        <v>218</v>
      </c>
      <c r="B163" s="35" t="s">
        <v>1259</v>
      </c>
      <c r="C163" s="35">
        <v>9.0</v>
      </c>
      <c r="D163" s="36" t="s">
        <v>64</v>
      </c>
      <c r="E163" s="36" t="s">
        <v>8</v>
      </c>
      <c r="F163" s="36">
        <f>vlookup(D163,'Team Bye List'!$A$1:$B$33,2,False)</f>
        <v>7</v>
      </c>
      <c r="G163" s="37">
        <f>if(ISNA(vlookup($A163, Sleeper!$B$2:$E$330, 4, false)), 0, vlookup($A163, Sleeper!$B$2:$E$330, 4, false))</f>
        <v>1</v>
      </c>
      <c r="H163" s="37">
        <f>if(ISNA(vlookup($A163, ESPN!$B$2:$E$297, 4, false)), 0, vlookup($A163, ESPN!$B$2:$E$297, 4, false))</f>
        <v>0</v>
      </c>
      <c r="I163" s="37">
        <f>if(ISNA(vlookup($A163,'Ultimate Draft Kit'!$B$2:$E$324,4, false)), 0, vlookup($A163,'Ultimate Draft Kit'!$B$2:$E$324, 4, false))</f>
        <v>1</v>
      </c>
      <c r="J163" s="38">
        <f>if(ISNA(vlookup($A163,Rotowire!$B$2:$E$1075,4, false)), 0, vlookup($A163,Rotowire!$B$2:$E$1075, 4, false))</f>
        <v>0</v>
      </c>
      <c r="K163" s="37">
        <f>if(ISNA(vlookup($A163, FantasyPro!$B$2:$E$341,4,false)),0,vlookup($A163,FantasyPro!$B$2:$E$341,4,false))</f>
        <v>3</v>
      </c>
      <c r="L163" s="37">
        <f>if(ISNA(vlookup($A163, FFToolbox!$B$2:$E$414, 4, false)), 0, vlookup($A163, FFToolbox!$B$2:$E$414, 4, false))</f>
        <v>2</v>
      </c>
      <c r="M163" s="39">
        <f t="shared" si="1"/>
        <v>1.166666667</v>
      </c>
      <c r="N163" s="39">
        <f t="shared" si="2"/>
        <v>3</v>
      </c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</row>
    <row r="164">
      <c r="A164" s="17" t="s">
        <v>187</v>
      </c>
      <c r="B164" s="35" t="s">
        <v>1258</v>
      </c>
      <c r="C164" s="35">
        <v>5.0</v>
      </c>
      <c r="D164" s="36" t="s">
        <v>43</v>
      </c>
      <c r="E164" s="36" t="s">
        <v>183</v>
      </c>
      <c r="F164" s="36">
        <f>vlookup(D164,'Team Bye List'!$A$1:$B$33,2,False)</f>
        <v>9</v>
      </c>
      <c r="G164" s="37">
        <f>if(ISNA(vlookup($A164, Sleeper!$B$2:$E$330, 4, false)), 0, vlookup($A164, Sleeper!$B$2:$E$330, 4, false))</f>
        <v>1</v>
      </c>
      <c r="H164" s="37">
        <f>if(ISNA(vlookup($A164, ESPN!$B$2:$E$297, 4, false)), 0, vlookup($A164, ESPN!$B$2:$E$297, 4, false))</f>
        <v>1</v>
      </c>
      <c r="I164" s="37">
        <f>if(ISNA(vlookup($A164,'Ultimate Draft Kit'!$B$2:$E$324,4, false)), 0, vlookup($A164,'Ultimate Draft Kit'!$B$2:$E$324, 4, false))</f>
        <v>1</v>
      </c>
      <c r="J164" s="38">
        <f>if(ISNA(vlookup($A164,Rotowire!$B$2:$E$1075,4, false)), 0, vlookup($A164,Rotowire!$B$2:$E$1075, 4, false))</f>
        <v>1</v>
      </c>
      <c r="K164" s="37">
        <f>if(ISNA(vlookup($A164, FantasyPro!$B$2:$E$341,4,false)),0,vlookup($A164,FantasyPro!$B$2:$E$341,4,false))</f>
        <v>0</v>
      </c>
      <c r="L164" s="37">
        <f>if(ISNA(vlookup($A164, FFToolbox!$B$2:$E$414, 4, false)), 0, vlookup($A164, FFToolbox!$B$2:$E$414, 4, false))</f>
        <v>1</v>
      </c>
      <c r="M164" s="39">
        <f t="shared" si="1"/>
        <v>0.8333333333</v>
      </c>
      <c r="N164" s="39">
        <f t="shared" si="2"/>
        <v>1</v>
      </c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</row>
    <row r="165">
      <c r="A165" s="17" t="s">
        <v>191</v>
      </c>
      <c r="B165" s="35" t="s">
        <v>1259</v>
      </c>
      <c r="C165" s="35">
        <v>29.0</v>
      </c>
      <c r="D165" s="36" t="s">
        <v>53</v>
      </c>
      <c r="E165" s="36" t="s">
        <v>183</v>
      </c>
      <c r="F165" s="36">
        <f>vlookup(D165,'Team Bye List'!$A$1:$B$33,2,False)</f>
        <v>9</v>
      </c>
      <c r="G165" s="37">
        <f>if(ISNA(vlookup($A165, Sleeper!$B$2:$E$330, 4, false)), 0, vlookup($A165, Sleeper!$B$2:$E$330, 4, false))</f>
        <v>1</v>
      </c>
      <c r="H165" s="37">
        <f>if(ISNA(vlookup($A165, ESPN!$B$2:$E$297, 4, false)), 0, vlookup($A165, ESPN!$B$2:$E$297, 4, false))</f>
        <v>1</v>
      </c>
      <c r="I165" s="37">
        <f>if(ISNA(vlookup($A165,'Ultimate Draft Kit'!$B$2:$E$324,4, false)), 0, vlookup($A165,'Ultimate Draft Kit'!$B$2:$E$324, 4, false))</f>
        <v>1</v>
      </c>
      <c r="J165" s="38">
        <f>if(ISNA(vlookup($A165,Rotowire!$B$2:$E$1075,4, false)), 0, vlookup($A165,Rotowire!$B$2:$E$1075, 4, false))</f>
        <v>1</v>
      </c>
      <c r="K165" s="37">
        <f>if(ISNA(vlookup($A165, FantasyPro!$B$2:$E$341,4,false)),0,vlookup($A165,FantasyPro!$B$2:$E$341,4,false))</f>
        <v>0</v>
      </c>
      <c r="L165" s="37">
        <f>if(ISNA(vlookup($A165, FFToolbox!$B$2:$E$414, 4, false)), 0, vlookup($A165, FFToolbox!$B$2:$E$414, 4, false))</f>
        <v>1</v>
      </c>
      <c r="M165" s="39">
        <f t="shared" si="1"/>
        <v>0.8333333333</v>
      </c>
      <c r="N165" s="39">
        <f t="shared" si="2"/>
        <v>1</v>
      </c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</row>
    <row r="166">
      <c r="A166" s="17" t="s">
        <v>318</v>
      </c>
      <c r="B166" s="35" t="s">
        <v>1259</v>
      </c>
      <c r="C166" s="35">
        <v>9.0</v>
      </c>
      <c r="D166" s="36" t="s">
        <v>17</v>
      </c>
      <c r="E166" s="36" t="s">
        <v>183</v>
      </c>
      <c r="F166" s="36">
        <f>vlookup(D166,'Team Bye List'!$A$1:$B$33,2,False)</f>
        <v>7</v>
      </c>
      <c r="G166" s="37">
        <f>if(ISNA(vlookup($A166, Sleeper!$B$2:$E$330, 4, false)), 0, vlookup($A166, Sleeper!$B$2:$E$330, 4, false))</f>
        <v>1</v>
      </c>
      <c r="H166" s="37">
        <f>if(ISNA(vlookup($A166, ESPN!$B$2:$E$297, 4, false)), 0, vlookup($A166, ESPN!$B$2:$E$297, 4, false))</f>
        <v>0</v>
      </c>
      <c r="I166" s="37">
        <f>if(ISNA(vlookup($A166,'Ultimate Draft Kit'!$B$2:$E$324,4, false)), 0, vlookup($A166,'Ultimate Draft Kit'!$B$2:$E$324, 4, false))</f>
        <v>1</v>
      </c>
      <c r="J166" s="38">
        <f>if(ISNA(vlookup($A166,Rotowire!$B$2:$E$1075,4, false)), 0, vlookup($A166,Rotowire!$B$2:$E$1075, 4, false))</f>
        <v>1</v>
      </c>
      <c r="K166" s="37">
        <f>if(ISNA(vlookup($A166, FantasyPro!$B$2:$E$341,4,false)),0,vlookup($A166,FantasyPro!$B$2:$E$341,4,false))</f>
        <v>0</v>
      </c>
      <c r="L166" s="37">
        <f>if(ISNA(vlookup($A166, FFToolbox!$B$2:$E$414, 4, false)), 0, vlookup($A166, FFToolbox!$B$2:$E$414, 4, false))</f>
        <v>1</v>
      </c>
      <c r="M166" s="39">
        <f t="shared" si="1"/>
        <v>0.6666666667</v>
      </c>
      <c r="N166" s="39">
        <f t="shared" si="2"/>
        <v>1</v>
      </c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</row>
    <row r="167">
      <c r="A167" s="17" t="s">
        <v>316</v>
      </c>
      <c r="B167" s="35" t="s">
        <v>1258</v>
      </c>
      <c r="C167" s="35">
        <v>3.0</v>
      </c>
      <c r="D167" s="36" t="s">
        <v>37</v>
      </c>
      <c r="E167" s="36" t="s">
        <v>183</v>
      </c>
      <c r="F167" s="36">
        <f>vlookup(D167,'Team Bye List'!$A$1:$B$33,2,False)</f>
        <v>11</v>
      </c>
      <c r="G167" s="37">
        <f>if(ISNA(vlookup($A167, Sleeper!$B$2:$E$330, 4, false)), 0, vlookup($A167, Sleeper!$B$2:$E$330, 4, false))</f>
        <v>1</v>
      </c>
      <c r="H167" s="37">
        <f>if(ISNA(vlookup($A167, ESPN!$B$2:$E$297, 4, false)), 0, vlookup($A167, ESPN!$B$2:$E$297, 4, false))</f>
        <v>0</v>
      </c>
      <c r="I167" s="37">
        <f>if(ISNA(vlookup($A167,'Ultimate Draft Kit'!$B$2:$E$324,4, false)), 0, vlookup($A167,'Ultimate Draft Kit'!$B$2:$E$324, 4, false))</f>
        <v>1</v>
      </c>
      <c r="J167" s="38">
        <f>if(ISNA(vlookup($A167,Rotowire!$B$2:$E$1075,4, false)), 0, vlookup($A167,Rotowire!$B$2:$E$1075, 4, false))</f>
        <v>1</v>
      </c>
      <c r="K167" s="37">
        <f>if(ISNA(vlookup($A167, FantasyPro!$B$2:$E$341,4,false)),0,vlookup($A167,FantasyPro!$B$2:$E$341,4,false))</f>
        <v>0</v>
      </c>
      <c r="L167" s="37">
        <f>if(ISNA(vlookup($A167, FFToolbox!$B$2:$E$414, 4, false)), 0, vlookup($A167, FFToolbox!$B$2:$E$414, 4, false))</f>
        <v>1</v>
      </c>
      <c r="M167" s="39">
        <f t="shared" si="1"/>
        <v>0.6666666667</v>
      </c>
      <c r="N167" s="39">
        <f t="shared" si="2"/>
        <v>1</v>
      </c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</row>
    <row r="168">
      <c r="A168" s="17" t="s">
        <v>195</v>
      </c>
      <c r="B168" s="35" t="s">
        <v>1259</v>
      </c>
      <c r="C168" s="35">
        <v>9.0</v>
      </c>
      <c r="D168" s="36" t="s">
        <v>47</v>
      </c>
      <c r="E168" s="36" t="s">
        <v>193</v>
      </c>
      <c r="F168" s="36">
        <f>vlookup(D168,'Team Bye List'!$A$1:$B$33,2,False)</f>
        <v>14</v>
      </c>
      <c r="G168" s="37">
        <f>if(ISNA(vlookup($A168, Sleeper!$B$2:$E$330, 4, false)), 0, vlookup($A168, Sleeper!$B$2:$E$330, 4, false))</f>
        <v>1</v>
      </c>
      <c r="H168" s="37">
        <f>if(ISNA(vlookup($A168, ESPN!$B$2:$E$297, 4, false)), 0, vlookup($A168, ESPN!$B$2:$E$297, 4, false))</f>
        <v>1</v>
      </c>
      <c r="I168" s="37">
        <f>if(ISNA(vlookup($A168,'Ultimate Draft Kit'!$B$2:$E$324,4, false)), 0, vlookup($A168,'Ultimate Draft Kit'!$B$2:$E$324, 4, false))</f>
        <v>1</v>
      </c>
      <c r="J168" s="38">
        <f>if(ISNA(vlookup($A168,Rotowire!$B$2:$E$1075,4, false)), 0, vlookup($A168,Rotowire!$B$2:$E$1075, 4, false))</f>
        <v>0</v>
      </c>
      <c r="K168" s="37">
        <f>if(ISNA(vlookup($A168, FantasyPro!$B$2:$E$341,4,false)),0,vlookup($A168,FantasyPro!$B$2:$E$341,4,false))</f>
        <v>0</v>
      </c>
      <c r="L168" s="37">
        <f>if(ISNA(vlookup($A168, FFToolbox!$B$2:$E$414, 4, false)), 0, vlookup($A168, FFToolbox!$B$2:$E$414, 4, false))</f>
        <v>0</v>
      </c>
      <c r="M168" s="39">
        <f t="shared" si="1"/>
        <v>0.5</v>
      </c>
      <c r="N168" s="39">
        <f t="shared" si="2"/>
        <v>1</v>
      </c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</row>
    <row r="169">
      <c r="A169" s="17" t="s">
        <v>199</v>
      </c>
      <c r="B169" s="35" t="s">
        <v>1259</v>
      </c>
      <c r="C169" s="35">
        <v>10.0</v>
      </c>
      <c r="D169" s="36" t="s">
        <v>32</v>
      </c>
      <c r="E169" s="36" t="s">
        <v>193</v>
      </c>
      <c r="F169" s="36">
        <f>vlookup(D169,'Team Bye List'!$A$1:$B$33,2,False)</f>
        <v>9</v>
      </c>
      <c r="G169" s="37">
        <f>if(ISNA(vlookup($A169, Sleeper!$B$2:$E$330, 4, false)), 0, vlookup($A169, Sleeper!$B$2:$E$330, 4, false))</f>
        <v>1</v>
      </c>
      <c r="H169" s="37">
        <f>if(ISNA(vlookup($A169, ESPN!$B$2:$E$297, 4, false)), 0, vlookup($A169, ESPN!$B$2:$E$297, 4, false))</f>
        <v>1</v>
      </c>
      <c r="I169" s="37">
        <f>if(ISNA(vlookup($A169,'Ultimate Draft Kit'!$B$2:$E$324,4, false)), 0, vlookup($A169,'Ultimate Draft Kit'!$B$2:$E$324, 4, false))</f>
        <v>1</v>
      </c>
      <c r="J169" s="38">
        <f>if(ISNA(vlookup($A169,Rotowire!$B$2:$E$1075,4, false)), 0, vlookup($A169,Rotowire!$B$2:$E$1075, 4, false))</f>
        <v>0</v>
      </c>
      <c r="K169" s="37">
        <f>if(ISNA(vlookup($A169, FantasyPro!$B$2:$E$341,4,false)),0,vlookup($A169,FantasyPro!$B$2:$E$341,4,false))</f>
        <v>0</v>
      </c>
      <c r="L169" s="37">
        <f>if(ISNA(vlookup($A169, FFToolbox!$B$2:$E$414, 4, false)), 0, vlookup($A169, FFToolbox!$B$2:$E$414, 4, false))</f>
        <v>0</v>
      </c>
      <c r="M169" s="39">
        <f t="shared" si="1"/>
        <v>0.5</v>
      </c>
      <c r="N169" s="39">
        <f t="shared" si="2"/>
        <v>1</v>
      </c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</row>
    <row r="170">
      <c r="A170" s="17" t="s">
        <v>325</v>
      </c>
      <c r="B170" s="35" t="s">
        <v>1258</v>
      </c>
      <c r="C170" s="35">
        <v>3.0</v>
      </c>
      <c r="D170" s="36" t="s">
        <v>12</v>
      </c>
      <c r="E170" s="36" t="s">
        <v>193</v>
      </c>
      <c r="F170" s="36">
        <f>vlookup(D170,'Team Bye List'!$A$1:$B$33,2,False)</f>
        <v>8</v>
      </c>
      <c r="G170" s="37">
        <f>if(ISNA(vlookup($A170, Sleeper!$B$2:$E$330, 4, false)), 0, vlookup($A170, Sleeper!$B$2:$E$330, 4, false))</f>
        <v>1</v>
      </c>
      <c r="H170" s="37">
        <f>if(ISNA(vlookup($A170, ESPN!$B$2:$E$297, 4, false)), 0, vlookup($A170, ESPN!$B$2:$E$297, 4, false))</f>
        <v>0</v>
      </c>
      <c r="I170" s="37">
        <f>if(ISNA(vlookup($A170,'Ultimate Draft Kit'!$B$2:$E$324,4, false)), 0, vlookup($A170,'Ultimate Draft Kit'!$B$2:$E$324, 4, false))</f>
        <v>2</v>
      </c>
      <c r="J170" s="38">
        <f>if(ISNA(vlookup($A170,Rotowire!$B$2:$E$1075,4, false)), 0, vlookup($A170,Rotowire!$B$2:$E$1075, 4, false))</f>
        <v>0</v>
      </c>
      <c r="K170" s="37">
        <f>if(ISNA(vlookup($A170, FantasyPro!$B$2:$E$341,4,false)),0,vlookup($A170,FantasyPro!$B$2:$E$341,4,false))</f>
        <v>1</v>
      </c>
      <c r="L170" s="37">
        <f>if(ISNA(vlookup($A170, FFToolbox!$B$2:$E$414, 4, false)), 0, vlookup($A170, FFToolbox!$B$2:$E$414, 4, false))</f>
        <v>0</v>
      </c>
      <c r="M170" s="39">
        <f t="shared" si="1"/>
        <v>0.6666666667</v>
      </c>
      <c r="N170" s="39">
        <f t="shared" si="2"/>
        <v>2</v>
      </c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</row>
    <row r="171">
      <c r="A171" s="17" t="s">
        <v>200</v>
      </c>
      <c r="B171" s="35" t="s">
        <v>1258</v>
      </c>
      <c r="C171" s="35">
        <v>12.0</v>
      </c>
      <c r="D171" s="36" t="s">
        <v>7</v>
      </c>
      <c r="E171" s="36" t="s">
        <v>193</v>
      </c>
      <c r="F171" s="36">
        <f>vlookup(D171,'Team Bye List'!$A$1:$B$33,2,False)</f>
        <v>14</v>
      </c>
      <c r="G171" s="37">
        <f>if(ISNA(vlookup($A171, Sleeper!$B$2:$E$330, 4, false)), 0, vlookup($A171, Sleeper!$B$2:$E$330, 4, false))</f>
        <v>1</v>
      </c>
      <c r="H171" s="37">
        <f>if(ISNA(vlookup($A171, ESPN!$B$2:$E$297, 4, false)), 0, vlookup($A171, ESPN!$B$2:$E$297, 4, false))</f>
        <v>1</v>
      </c>
      <c r="I171" s="37">
        <f>if(ISNA(vlookup($A171,'Ultimate Draft Kit'!$B$2:$E$324,4, false)), 0, vlookup($A171,'Ultimate Draft Kit'!$B$2:$E$324, 4, false))</f>
        <v>1</v>
      </c>
      <c r="J171" s="38">
        <f>if(ISNA(vlookup($A171,Rotowire!$B$2:$E$1075,4, false)), 0, vlookup($A171,Rotowire!$B$2:$E$1075, 4, false))</f>
        <v>0</v>
      </c>
      <c r="K171" s="37">
        <f>if(ISNA(vlookup($A171, FantasyPro!$B$2:$E$341,4,false)),0,vlookup($A171,FantasyPro!$B$2:$E$341,4,false))</f>
        <v>1</v>
      </c>
      <c r="L171" s="37">
        <f>if(ISNA(vlookup($A171, FFToolbox!$B$2:$E$414, 4, false)), 0, vlookup($A171, FFToolbox!$B$2:$E$414, 4, false))</f>
        <v>0</v>
      </c>
      <c r="M171" s="39">
        <f t="shared" si="1"/>
        <v>0.6666666667</v>
      </c>
      <c r="N171" s="39">
        <f t="shared" si="2"/>
        <v>1</v>
      </c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</row>
    <row r="172">
      <c r="A172" s="17" t="s">
        <v>299</v>
      </c>
      <c r="B172" s="35" t="s">
        <v>1259</v>
      </c>
      <c r="C172" s="35">
        <v>5.0</v>
      </c>
      <c r="D172" s="36" t="s">
        <v>73</v>
      </c>
      <c r="E172" s="36" t="s">
        <v>59</v>
      </c>
      <c r="F172" s="36">
        <f>vlookup(D172,'Team Bye List'!$A$1:$B$33,2,False)</f>
        <v>14</v>
      </c>
      <c r="G172" s="37">
        <f>if(ISNA(vlookup($A172, Sleeper!$B$2:$E$330, 4, false)), 0, vlookup($A172, Sleeper!$B$2:$E$330, 4, false))</f>
        <v>1</v>
      </c>
      <c r="H172" s="37">
        <f>if(ISNA(vlookup($A172, ESPN!$B$2:$E$297, 4, false)), 0, vlookup($A172, ESPN!$B$2:$E$297, 4, false))</f>
        <v>0</v>
      </c>
      <c r="I172" s="37">
        <f>if(ISNA(vlookup($A172,'Ultimate Draft Kit'!$B$2:$E$324,4, false)), 0, vlookup($A172,'Ultimate Draft Kit'!$B$2:$E$324, 4, false))</f>
        <v>1</v>
      </c>
      <c r="J172" s="38">
        <f>if(ISNA(vlookup($A172,Rotowire!$B$2:$E$1075,4, false)), 0, vlookup($A172,Rotowire!$B$2:$E$1075, 4, false))</f>
        <v>0</v>
      </c>
      <c r="K172" s="37">
        <f>if(ISNA(vlookup($A172, FantasyPro!$B$2:$E$341,4,false)),0,vlookup($A172,FantasyPro!$B$2:$E$341,4,false))</f>
        <v>1</v>
      </c>
      <c r="L172" s="37">
        <f>if(ISNA(vlookup($A172, FFToolbox!$B$2:$E$414, 4, false)), 0, vlookup($A172, FFToolbox!$B$2:$E$414, 4, false))</f>
        <v>1</v>
      </c>
      <c r="M172" s="39">
        <f t="shared" si="1"/>
        <v>0.6666666667</v>
      </c>
      <c r="N172" s="39">
        <f t="shared" si="2"/>
        <v>1</v>
      </c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</row>
    <row r="173">
      <c r="A173" s="17" t="s">
        <v>885</v>
      </c>
      <c r="B173" s="35" t="s">
        <v>1259</v>
      </c>
      <c r="C173" s="35">
        <v>10.0</v>
      </c>
      <c r="D173" s="36" t="s">
        <v>43</v>
      </c>
      <c r="E173" s="36" t="s">
        <v>13</v>
      </c>
      <c r="F173" s="36">
        <f>vlookup(D173,'Team Bye List'!$A$1:$B$33,2,False)</f>
        <v>9</v>
      </c>
      <c r="G173" s="37">
        <f>if(ISNA(vlookup($A173, Sleeper!$B$2:$E$330, 4, false)), 0, vlookup($A173, Sleeper!$B$2:$E$330, 4, false))</f>
        <v>1</v>
      </c>
      <c r="H173" s="37">
        <f>if(ISNA(vlookup($A173, ESPN!$B$2:$E$297, 4, false)), 0, vlookup($A173, ESPN!$B$2:$E$297, 4, false))</f>
        <v>0</v>
      </c>
      <c r="I173" s="37">
        <f>if(ISNA(vlookup($A173,'Ultimate Draft Kit'!$B$2:$E$324,4, false)), 0, vlookup($A173,'Ultimate Draft Kit'!$B$2:$E$324, 4, false))</f>
        <v>1</v>
      </c>
      <c r="J173" s="38">
        <f>if(ISNA(vlookup($A173,Rotowire!$B$2:$E$1075,4, false)), 0, vlookup($A173,Rotowire!$B$2:$E$1075, 4, false))</f>
        <v>0</v>
      </c>
      <c r="K173" s="37">
        <f>if(ISNA(vlookup($A173, FantasyPro!$B$2:$E$341,4,false)),0,vlookup($A173,FantasyPro!$B$2:$E$341,4,false))</f>
        <v>0</v>
      </c>
      <c r="L173" s="37">
        <f>if(ISNA(vlookup($A173, FFToolbox!$B$2:$E$414, 4, false)), 0, vlookup($A173, FFToolbox!$B$2:$E$414, 4, false))</f>
        <v>0</v>
      </c>
      <c r="M173" s="39">
        <f t="shared" si="1"/>
        <v>0.3333333333</v>
      </c>
      <c r="N173" s="39">
        <f t="shared" si="2"/>
        <v>1</v>
      </c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</row>
    <row r="174">
      <c r="A174" s="17" t="s">
        <v>168</v>
      </c>
      <c r="B174" s="35" t="s">
        <v>1259</v>
      </c>
      <c r="C174" s="35">
        <v>9.0</v>
      </c>
      <c r="D174" s="36" t="s">
        <v>73</v>
      </c>
      <c r="E174" s="36" t="s">
        <v>13</v>
      </c>
      <c r="F174" s="36">
        <f>vlookup(D174,'Team Bye List'!$A$1:$B$33,2,False)</f>
        <v>14</v>
      </c>
      <c r="G174" s="37">
        <f>if(ISNA(vlookup($A174, Sleeper!$B$2:$E$330, 4, false)), 0, vlookup($A174, Sleeper!$B$2:$E$330, 4, false))</f>
        <v>1</v>
      </c>
      <c r="H174" s="37">
        <f>if(ISNA(vlookup($A174, ESPN!$B$2:$E$297, 4, false)), 0, vlookup($A174, ESPN!$B$2:$E$297, 4, false))</f>
        <v>1</v>
      </c>
      <c r="I174" s="37">
        <f>if(ISNA(vlookup($A174,'Ultimate Draft Kit'!$B$2:$E$324,4, false)), 0, vlookup($A174,'Ultimate Draft Kit'!$B$2:$E$324, 4, false))</f>
        <v>1</v>
      </c>
      <c r="J174" s="38">
        <f>if(ISNA(vlookup($A174,Rotowire!$B$2:$E$1075,4, false)), 0, vlookup($A174,Rotowire!$B$2:$E$1075, 4, false))</f>
        <v>0</v>
      </c>
      <c r="K174" s="37">
        <f>if(ISNA(vlookup($A174, FantasyPro!$B$2:$E$341,4,false)),0,vlookup($A174,FantasyPro!$B$2:$E$341,4,false))</f>
        <v>1</v>
      </c>
      <c r="L174" s="37">
        <f>if(ISNA(vlookup($A174, FFToolbox!$B$2:$E$414, 4, false)), 0, vlookup($A174, FFToolbox!$B$2:$E$414, 4, false))</f>
        <v>3</v>
      </c>
      <c r="M174" s="39">
        <f t="shared" si="1"/>
        <v>1.166666667</v>
      </c>
      <c r="N174" s="39">
        <f t="shared" si="2"/>
        <v>3</v>
      </c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</row>
    <row r="175">
      <c r="A175" s="17" t="s">
        <v>258</v>
      </c>
      <c r="B175" s="35" t="s">
        <v>1259</v>
      </c>
      <c r="C175" s="35">
        <v>10.0</v>
      </c>
      <c r="D175" s="36" t="s">
        <v>23</v>
      </c>
      <c r="E175" s="36" t="s">
        <v>13</v>
      </c>
      <c r="F175" s="36">
        <f>vlookup(D175,'Team Bye List'!$A$1:$B$33,2,False)</f>
        <v>9</v>
      </c>
      <c r="G175" s="37">
        <f>if(ISNA(vlookup($A175, Sleeper!$B$2:$E$330, 4, false)), 0, vlookup($A175, Sleeper!$B$2:$E$330, 4, false))</f>
        <v>1</v>
      </c>
      <c r="H175" s="37">
        <f>if(ISNA(vlookup($A175, ESPN!$B$2:$E$297, 4, false)), 0, vlookup($A175, ESPN!$B$2:$E$297, 4, false))</f>
        <v>0</v>
      </c>
      <c r="I175" s="37">
        <f>if(ISNA(vlookup($A175,'Ultimate Draft Kit'!$B$2:$E$324,4, false)), 0, vlookup($A175,'Ultimate Draft Kit'!$B$2:$E$324, 4, false))</f>
        <v>1</v>
      </c>
      <c r="J175" s="38">
        <f>if(ISNA(vlookup($A175,Rotowire!$B$2:$E$1075,4, false)), 0, vlookup($A175,Rotowire!$B$2:$E$1075, 4, false))</f>
        <v>0</v>
      </c>
      <c r="K175" s="37">
        <f>if(ISNA(vlookup($A175, FantasyPro!$B$2:$E$341,4,false)),0,vlookup($A175,FantasyPro!$B$2:$E$341,4,false))</f>
        <v>1</v>
      </c>
      <c r="L175" s="37">
        <f>if(ISNA(vlookup($A175, FFToolbox!$B$2:$E$414, 4, false)), 0, vlookup($A175, FFToolbox!$B$2:$E$414, 4, false))</f>
        <v>4</v>
      </c>
      <c r="M175" s="39">
        <f t="shared" si="1"/>
        <v>1.166666667</v>
      </c>
      <c r="N175" s="39">
        <f t="shared" si="2"/>
        <v>4</v>
      </c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</row>
    <row r="176">
      <c r="A176" s="17" t="s">
        <v>204</v>
      </c>
      <c r="B176" s="35" t="s">
        <v>1259</v>
      </c>
      <c r="C176" s="35">
        <v>10.0</v>
      </c>
      <c r="D176" s="36" t="s">
        <v>62</v>
      </c>
      <c r="E176" s="36" t="s">
        <v>8</v>
      </c>
      <c r="F176" s="36">
        <f>vlookup(D176,'Team Bye List'!$A$1:$B$33,2,False)</f>
        <v>8</v>
      </c>
      <c r="G176" s="37">
        <f>if(ISNA(vlookup($A176, Sleeper!$B$2:$E$330, 4, false)), 0, vlookup($A176, Sleeper!$B$2:$E$330, 4, false))</f>
        <v>0</v>
      </c>
      <c r="H176" s="37">
        <f>if(ISNA(vlookup($A176, ESPN!$B$2:$E$297, 4, false)), 0, vlookup($A176, ESPN!$B$2:$E$297, 4, false))</f>
        <v>0</v>
      </c>
      <c r="I176" s="37">
        <f>if(ISNA(vlookup($A176,'Ultimate Draft Kit'!$B$2:$E$324,4, false)), 0, vlookup($A176,'Ultimate Draft Kit'!$B$2:$E$324, 4, false))</f>
        <v>0</v>
      </c>
      <c r="J176" s="38">
        <f>if(ISNA(vlookup($A176,Rotowire!$B$2:$E$1075,4, false)), 0, vlookup($A176,Rotowire!$B$2:$E$1075, 4, false))</f>
        <v>0</v>
      </c>
      <c r="K176" s="37">
        <f>if(ISNA(vlookup($A176, FantasyPro!$B$2:$E$341,4,false)),0,vlookup($A176,FantasyPro!$B$2:$E$341,4,false))</f>
        <v>1</v>
      </c>
      <c r="L176" s="37">
        <f>if(ISNA(vlookup($A176, FFToolbox!$B$2:$E$414, 4, false)), 0, vlookup($A176, FFToolbox!$B$2:$E$414, 4, false))</f>
        <v>0</v>
      </c>
      <c r="M176" s="39">
        <f t="shared" si="1"/>
        <v>0.1666666667</v>
      </c>
      <c r="N176" s="39">
        <f t="shared" si="2"/>
        <v>1</v>
      </c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</row>
    <row r="177">
      <c r="A177" s="17" t="s">
        <v>206</v>
      </c>
      <c r="B177" s="35" t="s">
        <v>1259</v>
      </c>
      <c r="C177" s="35">
        <v>10.0</v>
      </c>
      <c r="D177" s="36" t="s">
        <v>17</v>
      </c>
      <c r="E177" s="36" t="s">
        <v>8</v>
      </c>
      <c r="F177" s="36">
        <f>vlookup(D177,'Team Bye List'!$A$1:$B$33,2,False)</f>
        <v>7</v>
      </c>
      <c r="G177" s="37">
        <f>if(ISNA(vlookup($A177, Sleeper!$B$2:$E$330, 4, false)), 0, vlookup($A177, Sleeper!$B$2:$E$330, 4, false))</f>
        <v>1</v>
      </c>
      <c r="H177" s="37">
        <f>if(ISNA(vlookup($A177, ESPN!$B$2:$E$297, 4, false)), 0, vlookup($A177, ESPN!$B$2:$E$297, 4, false))</f>
        <v>0</v>
      </c>
      <c r="I177" s="37">
        <f>if(ISNA(vlookup($A177,'Ultimate Draft Kit'!$B$2:$E$324,4, false)), 0, vlookup($A177,'Ultimate Draft Kit'!$B$2:$E$324, 4, false))</f>
        <v>1</v>
      </c>
      <c r="J177" s="38">
        <f>if(ISNA(vlookup($A177,Rotowire!$B$2:$E$1075,4, false)), 0, vlookup($A177,Rotowire!$B$2:$E$1075, 4, false))</f>
        <v>0</v>
      </c>
      <c r="K177" s="37">
        <f>if(ISNA(vlookup($A177, FantasyPro!$B$2:$E$341,4,false)),0,vlookup($A177,FantasyPro!$B$2:$E$341,4,false))</f>
        <v>4</v>
      </c>
      <c r="L177" s="37">
        <f>if(ISNA(vlookup($A177, FFToolbox!$B$2:$E$414, 4, false)), 0, vlookup($A177, FFToolbox!$B$2:$E$414, 4, false))</f>
        <v>2</v>
      </c>
      <c r="M177" s="39">
        <f t="shared" si="1"/>
        <v>1.333333333</v>
      </c>
      <c r="N177" s="39">
        <f t="shared" si="2"/>
        <v>4</v>
      </c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</row>
    <row r="178">
      <c r="A178" s="17" t="s">
        <v>208</v>
      </c>
      <c r="B178" s="35" t="s">
        <v>1259</v>
      </c>
      <c r="C178" s="35">
        <v>9.0</v>
      </c>
      <c r="D178" s="36" t="s">
        <v>12</v>
      </c>
      <c r="E178" s="36" t="s">
        <v>8</v>
      </c>
      <c r="F178" s="36">
        <f>vlookup(D178,'Team Bye List'!$A$1:$B$33,2,False)</f>
        <v>8</v>
      </c>
      <c r="G178" s="37">
        <f>if(ISNA(vlookup($A178, Sleeper!$B$2:$E$330, 4, false)), 0, vlookup($A178, Sleeper!$B$2:$E$330, 4, false))</f>
        <v>1</v>
      </c>
      <c r="H178" s="37">
        <f>if(ISNA(vlookup($A178, ESPN!$B$2:$E$297, 4, false)), 0, vlookup($A178, ESPN!$B$2:$E$297, 4, false))</f>
        <v>0</v>
      </c>
      <c r="I178" s="37">
        <f>if(ISNA(vlookup($A178,'Ultimate Draft Kit'!$B$2:$E$324,4, false)), 0, vlookup($A178,'Ultimate Draft Kit'!$B$2:$E$324, 4, false))</f>
        <v>1</v>
      </c>
      <c r="J178" s="38">
        <f>if(ISNA(vlookup($A178,Rotowire!$B$2:$E$1075,4, false)), 0, vlookup($A178,Rotowire!$B$2:$E$1075, 4, false))</f>
        <v>0</v>
      </c>
      <c r="K178" s="37">
        <f>if(ISNA(vlookup($A178, FantasyPro!$B$2:$E$341,4,false)),0,vlookup($A178,FantasyPro!$B$2:$E$341,4,false))</f>
        <v>5</v>
      </c>
      <c r="L178" s="37">
        <f>if(ISNA(vlookup($A178, FFToolbox!$B$2:$E$414, 4, false)), 0, vlookup($A178, FFToolbox!$B$2:$E$414, 4, false))</f>
        <v>0</v>
      </c>
      <c r="M178" s="39">
        <f t="shared" si="1"/>
        <v>1.166666667</v>
      </c>
      <c r="N178" s="39">
        <f t="shared" si="2"/>
        <v>5</v>
      </c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</row>
    <row r="179">
      <c r="A179" s="17" t="s">
        <v>214</v>
      </c>
      <c r="B179" s="35" t="s">
        <v>1259</v>
      </c>
      <c r="C179" s="35">
        <v>9.0</v>
      </c>
      <c r="D179" s="36" t="s">
        <v>41</v>
      </c>
      <c r="E179" s="36" t="s">
        <v>8</v>
      </c>
      <c r="F179" s="36">
        <f>vlookup(D179,'Team Bye List'!$A$1:$B$33,2,False)</f>
        <v>14</v>
      </c>
      <c r="G179" s="37">
        <f>if(ISNA(vlookup($A179, Sleeper!$B$2:$E$330, 4, false)), 0, vlookup($A179, Sleeper!$B$2:$E$330, 4, false))</f>
        <v>1</v>
      </c>
      <c r="H179" s="37">
        <f>if(ISNA(vlookup($A179, ESPN!$B$2:$E$297, 4, false)), 0, vlookup($A179, ESPN!$B$2:$E$297, 4, false))</f>
        <v>0</v>
      </c>
      <c r="I179" s="37">
        <f>if(ISNA(vlookup($A179,'Ultimate Draft Kit'!$B$2:$E$324,4, false)), 0, vlookup($A179,'Ultimate Draft Kit'!$B$2:$E$324, 4, false))</f>
        <v>1</v>
      </c>
      <c r="J179" s="38">
        <f>if(ISNA(vlookup($A179,Rotowire!$B$2:$E$1075,4, false)), 0, vlookup($A179,Rotowire!$B$2:$E$1075, 4, false))</f>
        <v>0</v>
      </c>
      <c r="K179" s="37">
        <f>if(ISNA(vlookup($A179, FantasyPro!$B$2:$E$341,4,false)),0,vlookup($A179,FantasyPro!$B$2:$E$341,4,false))</f>
        <v>1</v>
      </c>
      <c r="L179" s="37">
        <f>if(ISNA(vlookup($A179, FFToolbox!$B$2:$E$414, 4, false)), 0, vlookup($A179, FFToolbox!$B$2:$E$414, 4, false))</f>
        <v>0</v>
      </c>
      <c r="M179" s="39">
        <f t="shared" si="1"/>
        <v>0.5</v>
      </c>
      <c r="N179" s="39">
        <f t="shared" si="2"/>
        <v>1</v>
      </c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</row>
    <row r="180">
      <c r="A180" s="17" t="s">
        <v>538</v>
      </c>
      <c r="B180" s="35" t="s">
        <v>1259</v>
      </c>
      <c r="C180" s="35">
        <v>10.0</v>
      </c>
      <c r="D180" s="36" t="s">
        <v>47</v>
      </c>
      <c r="E180" s="36" t="s">
        <v>13</v>
      </c>
      <c r="F180" s="36">
        <f>vlookup(D180,'Team Bye List'!$A$1:$B$33,2,False)</f>
        <v>14</v>
      </c>
      <c r="G180" s="37">
        <f>if(ISNA(vlookup($A180, Sleeper!$B$2:$E$330, 4, false)), 0, vlookup($A180, Sleeper!$B$2:$E$330, 4, false))</f>
        <v>1</v>
      </c>
      <c r="H180" s="37">
        <f>if(ISNA(vlookup($A180, ESPN!$B$2:$E$297, 4, false)), 0, vlookup($A180, ESPN!$B$2:$E$297, 4, false))</f>
        <v>0</v>
      </c>
      <c r="I180" s="37">
        <f>if(ISNA(vlookup($A180,'Ultimate Draft Kit'!$B$2:$E$324,4, false)), 0, vlookup($A180,'Ultimate Draft Kit'!$B$2:$E$324, 4, false))</f>
        <v>1</v>
      </c>
      <c r="J180" s="38">
        <f>if(ISNA(vlookup($A180,Rotowire!$B$2:$E$1075,4, false)), 0, vlookup($A180,Rotowire!$B$2:$E$1075, 4, false))</f>
        <v>0</v>
      </c>
      <c r="K180" s="37">
        <f>if(ISNA(vlookup($A180, FantasyPro!$B$2:$E$341,4,false)),0,vlookup($A180,FantasyPro!$B$2:$E$341,4,false))</f>
        <v>0</v>
      </c>
      <c r="L180" s="37">
        <f>if(ISNA(vlookup($A180, FFToolbox!$B$2:$E$414, 4, false)), 0, vlookup($A180, FFToolbox!$B$2:$E$414, 4, false))</f>
        <v>4</v>
      </c>
      <c r="M180" s="39">
        <f t="shared" si="1"/>
        <v>1</v>
      </c>
      <c r="N180" s="39">
        <f t="shared" si="2"/>
        <v>4</v>
      </c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</row>
    <row r="181">
      <c r="A181" s="17" t="s">
        <v>225</v>
      </c>
      <c r="B181" s="35" t="s">
        <v>1259</v>
      </c>
      <c r="C181" s="35">
        <v>11.0</v>
      </c>
      <c r="D181" s="36" t="s">
        <v>25</v>
      </c>
      <c r="E181" s="36" t="s">
        <v>8</v>
      </c>
      <c r="F181" s="36">
        <f>vlookup(D181,'Team Bye List'!$A$1:$B$33,2,False)</f>
        <v>7</v>
      </c>
      <c r="G181" s="37">
        <f>if(ISNA(vlookup($A181, Sleeper!$B$2:$E$330, 4, false)), 0, vlookup($A181, Sleeper!$B$2:$E$330, 4, false))</f>
        <v>1</v>
      </c>
      <c r="H181" s="37">
        <f>if(ISNA(vlookup($A181, ESPN!$B$2:$E$297, 4, false)), 0, vlookup($A181, ESPN!$B$2:$E$297, 4, false))</f>
        <v>0</v>
      </c>
      <c r="I181" s="37">
        <f>if(ISNA(vlookup($A181,'Ultimate Draft Kit'!$B$2:$E$324,4, false)), 0, vlookup($A181,'Ultimate Draft Kit'!$B$2:$E$324, 4, false))</f>
        <v>1</v>
      </c>
      <c r="J181" s="38">
        <f>if(ISNA(vlookup($A181,Rotowire!$B$2:$E$1075,4, false)), 0, vlookup($A181,Rotowire!$B$2:$E$1075, 4, false))</f>
        <v>0</v>
      </c>
      <c r="K181" s="37">
        <f>if(ISNA(vlookup($A181, FantasyPro!$B$2:$E$341,4,false)),0,vlookup($A181,FantasyPro!$B$2:$E$341,4,false))</f>
        <v>0</v>
      </c>
      <c r="L181" s="37">
        <f>if(ISNA(vlookup($A181, FFToolbox!$B$2:$E$414, 4, false)), 0, vlookup($A181, FFToolbox!$B$2:$E$414, 4, false))</f>
        <v>4</v>
      </c>
      <c r="M181" s="39">
        <f t="shared" si="1"/>
        <v>1</v>
      </c>
      <c r="N181" s="39">
        <f t="shared" si="2"/>
        <v>4</v>
      </c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</row>
    <row r="182">
      <c r="A182" s="17" t="s">
        <v>314</v>
      </c>
      <c r="B182" s="35" t="s">
        <v>1259</v>
      </c>
      <c r="C182" s="35">
        <v>14.0</v>
      </c>
      <c r="D182" s="36" t="s">
        <v>64</v>
      </c>
      <c r="E182" s="36" t="s">
        <v>183</v>
      </c>
      <c r="F182" s="36">
        <f>vlookup(D182,'Team Bye List'!$A$1:$B$33,2,False)</f>
        <v>7</v>
      </c>
      <c r="G182" s="37">
        <f>if(ISNA(vlookup($A182, Sleeper!$B$2:$E$330, 4, false)), 0, vlookup($A182, Sleeper!$B$2:$E$330, 4, false))</f>
        <v>1</v>
      </c>
      <c r="H182" s="37">
        <f>if(ISNA(vlookup($A182, ESPN!$B$2:$E$297, 4, false)), 0, vlookup($A182, ESPN!$B$2:$E$297, 4, false))</f>
        <v>0</v>
      </c>
      <c r="I182" s="37">
        <f>if(ISNA(vlookup($A182,'Ultimate Draft Kit'!$B$2:$E$324,4, false)), 0, vlookup($A182,'Ultimate Draft Kit'!$B$2:$E$324, 4, false))</f>
        <v>1</v>
      </c>
      <c r="J182" s="38">
        <f>if(ISNA(vlookup($A182,Rotowire!$B$2:$E$1075,4, false)), 0, vlookup($A182,Rotowire!$B$2:$E$1075, 4, false))</f>
        <v>1</v>
      </c>
      <c r="K182" s="37">
        <f>if(ISNA(vlookup($A182, FantasyPro!$B$2:$E$341,4,false)),0,vlookup($A182,FantasyPro!$B$2:$E$341,4,false))</f>
        <v>0</v>
      </c>
      <c r="L182" s="37">
        <f>if(ISNA(vlookup($A182, FFToolbox!$B$2:$E$414, 4, false)), 0, vlookup($A182, FFToolbox!$B$2:$E$414, 4, false))</f>
        <v>1</v>
      </c>
      <c r="M182" s="39">
        <f t="shared" si="1"/>
        <v>0.6666666667</v>
      </c>
      <c r="N182" s="39">
        <f t="shared" si="2"/>
        <v>1</v>
      </c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</row>
    <row r="183">
      <c r="A183" s="17" t="s">
        <v>315</v>
      </c>
      <c r="B183" s="35" t="s">
        <v>1259</v>
      </c>
      <c r="C183" s="35">
        <v>17.0</v>
      </c>
      <c r="D183" s="36" t="s">
        <v>66</v>
      </c>
      <c r="E183" s="36" t="s">
        <v>183</v>
      </c>
      <c r="F183" s="36">
        <f>vlookup(D183,'Team Bye List'!$A$1:$B$33,2,False)</f>
        <v>9</v>
      </c>
      <c r="G183" s="37">
        <f>if(ISNA(vlookup($A183, Sleeper!$B$2:$E$330, 4, false)), 0, vlookup($A183, Sleeper!$B$2:$E$330, 4, false))</f>
        <v>1</v>
      </c>
      <c r="H183" s="37">
        <f>if(ISNA(vlookup($A183, ESPN!$B$2:$E$297, 4, false)), 0, vlookup($A183, ESPN!$B$2:$E$297, 4, false))</f>
        <v>0</v>
      </c>
      <c r="I183" s="37">
        <f>if(ISNA(vlookup($A183,'Ultimate Draft Kit'!$B$2:$E$324,4, false)), 0, vlookup($A183,'Ultimate Draft Kit'!$B$2:$E$324, 4, false))</f>
        <v>1</v>
      </c>
      <c r="J183" s="38">
        <f>if(ISNA(vlookup($A183,Rotowire!$B$2:$E$1075,4, false)), 0, vlookup($A183,Rotowire!$B$2:$E$1075, 4, false))</f>
        <v>1</v>
      </c>
      <c r="K183" s="37">
        <f>if(ISNA(vlookup($A183, FantasyPro!$B$2:$E$341,4,false)),0,vlookup($A183,FantasyPro!$B$2:$E$341,4,false))</f>
        <v>0</v>
      </c>
      <c r="L183" s="37">
        <f>if(ISNA(vlookup($A183, FFToolbox!$B$2:$E$414, 4, false)), 0, vlookup($A183, FFToolbox!$B$2:$E$414, 4, false))</f>
        <v>1</v>
      </c>
      <c r="M183" s="39">
        <f t="shared" si="1"/>
        <v>0.6666666667</v>
      </c>
      <c r="N183" s="39">
        <f t="shared" si="2"/>
        <v>1</v>
      </c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</row>
    <row r="184">
      <c r="A184" s="17" t="s">
        <v>317</v>
      </c>
      <c r="B184" s="35" t="s">
        <v>1259</v>
      </c>
      <c r="C184" s="35">
        <v>15.0</v>
      </c>
      <c r="D184" s="36" t="s">
        <v>28</v>
      </c>
      <c r="E184" s="36" t="s">
        <v>183</v>
      </c>
      <c r="F184" s="36">
        <f>vlookup(D184,'Team Bye List'!$A$1:$B$33,2,False)</f>
        <v>11</v>
      </c>
      <c r="G184" s="37">
        <f>if(ISNA(vlookup($A184, Sleeper!$B$2:$E$330, 4, false)), 0, vlookup($A184, Sleeper!$B$2:$E$330, 4, false))</f>
        <v>1</v>
      </c>
      <c r="H184" s="37">
        <f>if(ISNA(vlookup($A184, ESPN!$B$2:$E$297, 4, false)), 0, vlookup($A184, ESPN!$B$2:$E$297, 4, false))</f>
        <v>0</v>
      </c>
      <c r="I184" s="37">
        <f>if(ISNA(vlookup($A184,'Ultimate Draft Kit'!$B$2:$E$324,4, false)), 0, vlookup($A184,'Ultimate Draft Kit'!$B$2:$E$324, 4, false))</f>
        <v>1</v>
      </c>
      <c r="J184" s="38">
        <f>if(ISNA(vlookup($A184,Rotowire!$B$2:$E$1075,4, false)), 0, vlookup($A184,Rotowire!$B$2:$E$1075, 4, false))</f>
        <v>1</v>
      </c>
      <c r="K184" s="37">
        <f>if(ISNA(vlookup($A184, FantasyPro!$B$2:$E$341,4,false)),0,vlookup($A184,FantasyPro!$B$2:$E$341,4,false))</f>
        <v>0</v>
      </c>
      <c r="L184" s="37">
        <f>if(ISNA(vlookup($A184, FFToolbox!$B$2:$E$414, 4, false)), 0, vlookup($A184, FFToolbox!$B$2:$E$414, 4, false))</f>
        <v>1</v>
      </c>
      <c r="M184" s="39">
        <f t="shared" si="1"/>
        <v>0.6666666667</v>
      </c>
      <c r="N184" s="39">
        <f t="shared" si="2"/>
        <v>1</v>
      </c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</row>
    <row r="185">
      <c r="A185" s="17" t="s">
        <v>196</v>
      </c>
      <c r="B185" s="35" t="s">
        <v>1258</v>
      </c>
      <c r="C185" s="35">
        <v>17.0</v>
      </c>
      <c r="D185" s="36" t="s">
        <v>58</v>
      </c>
      <c r="E185" s="36" t="s">
        <v>193</v>
      </c>
      <c r="F185" s="36">
        <f>vlookup(D185,'Team Bye List'!$A$1:$B$33,2,False)</f>
        <v>10</v>
      </c>
      <c r="G185" s="37">
        <f>if(ISNA(vlookup($A185, Sleeper!$B$2:$E$330, 4, false)), 0, vlookup($A185, Sleeper!$B$2:$E$330, 4, false))</f>
        <v>1</v>
      </c>
      <c r="H185" s="37">
        <f>if(ISNA(vlookup($A185, ESPN!$B$2:$E$297, 4, false)), 0, vlookup($A185, ESPN!$B$2:$E$297, 4, false))</f>
        <v>1</v>
      </c>
      <c r="I185" s="37">
        <f>if(ISNA(vlookup($A185,'Ultimate Draft Kit'!$B$2:$E$324,4, false)), 0, vlookup($A185,'Ultimate Draft Kit'!$B$2:$E$324, 4, false))</f>
        <v>1</v>
      </c>
      <c r="J185" s="38">
        <f>if(ISNA(vlookup($A185,Rotowire!$B$2:$E$1075,4, false)), 0, vlookup($A185,Rotowire!$B$2:$E$1075, 4, false))</f>
        <v>0</v>
      </c>
      <c r="K185" s="37">
        <f>if(ISNA(vlookup($A185, FantasyPro!$B$2:$E$341,4,false)),0,vlookup($A185,FantasyPro!$B$2:$E$341,4,false))</f>
        <v>0</v>
      </c>
      <c r="L185" s="37">
        <f>if(ISNA(vlookup($A185, FFToolbox!$B$2:$E$414, 4, false)), 0, vlookup($A185, FFToolbox!$B$2:$E$414, 4, false))</f>
        <v>0</v>
      </c>
      <c r="M185" s="39">
        <f t="shared" si="1"/>
        <v>0.5</v>
      </c>
      <c r="N185" s="39">
        <f t="shared" si="2"/>
        <v>1</v>
      </c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</row>
    <row r="186">
      <c r="A186" s="17" t="s">
        <v>320</v>
      </c>
      <c r="B186" s="35" t="s">
        <v>1259</v>
      </c>
      <c r="C186" s="35">
        <v>7.0</v>
      </c>
      <c r="D186" s="36" t="s">
        <v>15</v>
      </c>
      <c r="E186" s="36" t="s">
        <v>193</v>
      </c>
      <c r="F186" s="36">
        <f>vlookup(D186,'Team Bye List'!$A$1:$B$33,2,False)</f>
        <v>6</v>
      </c>
      <c r="G186" s="37">
        <f>if(ISNA(vlookup($A186, Sleeper!$B$2:$E$330, 4, false)), 0, vlookup($A186, Sleeper!$B$2:$E$330, 4, false))</f>
        <v>1</v>
      </c>
      <c r="H186" s="37">
        <f>if(ISNA(vlookup($A186, ESPN!$B$2:$E$297, 4, false)), 0, vlookup($A186, ESPN!$B$2:$E$297, 4, false))</f>
        <v>0</v>
      </c>
      <c r="I186" s="37">
        <f>if(ISNA(vlookup($A186,'Ultimate Draft Kit'!$B$2:$E$324,4, false)), 0, vlookup($A186,'Ultimate Draft Kit'!$B$2:$E$324, 4, false))</f>
        <v>1</v>
      </c>
      <c r="J186" s="38">
        <f>if(ISNA(vlookup($A186,Rotowire!$B$2:$E$1075,4, false)), 0, vlookup($A186,Rotowire!$B$2:$E$1075, 4, false))</f>
        <v>0</v>
      </c>
      <c r="K186" s="37">
        <f>if(ISNA(vlookup($A186, FantasyPro!$B$2:$E$341,4,false)),0,vlookup($A186,FantasyPro!$B$2:$E$341,4,false))</f>
        <v>0</v>
      </c>
      <c r="L186" s="37">
        <f>if(ISNA(vlookup($A186, FFToolbox!$B$2:$E$414, 4, false)), 0, vlookup($A186, FFToolbox!$B$2:$E$414, 4, false))</f>
        <v>0</v>
      </c>
      <c r="M186" s="39">
        <f t="shared" si="1"/>
        <v>0.3333333333</v>
      </c>
      <c r="N186" s="39">
        <f t="shared" si="2"/>
        <v>1</v>
      </c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</row>
    <row r="187">
      <c r="A187" s="17" t="s">
        <v>201</v>
      </c>
      <c r="B187" s="35" t="s">
        <v>1259</v>
      </c>
      <c r="C187" s="35">
        <v>23.0</v>
      </c>
      <c r="D187" s="36" t="s">
        <v>73</v>
      </c>
      <c r="E187" s="36" t="s">
        <v>193</v>
      </c>
      <c r="F187" s="36">
        <f>vlookup(D187,'Team Bye List'!$A$1:$B$33,2,False)</f>
        <v>14</v>
      </c>
      <c r="G187" s="37">
        <f>if(ISNA(vlookup($A187, Sleeper!$B$2:$E$330, 4, false)), 0, vlookup($A187, Sleeper!$B$2:$E$330, 4, false))</f>
        <v>1</v>
      </c>
      <c r="H187" s="37">
        <f>if(ISNA(vlookup($A187, ESPN!$B$2:$E$297, 4, false)), 0, vlookup($A187, ESPN!$B$2:$E$297, 4, false))</f>
        <v>1</v>
      </c>
      <c r="I187" s="37">
        <f>if(ISNA(vlookup($A187,'Ultimate Draft Kit'!$B$2:$E$324,4, false)), 0, vlookup($A187,'Ultimate Draft Kit'!$B$2:$E$324, 4, false))</f>
        <v>1</v>
      </c>
      <c r="J187" s="38">
        <f>if(ISNA(vlookup($A187,Rotowire!$B$2:$E$1075,4, false)), 0, vlookup($A187,Rotowire!$B$2:$E$1075, 4, false))</f>
        <v>0</v>
      </c>
      <c r="K187" s="37">
        <f>if(ISNA(vlookup($A187, FantasyPro!$B$2:$E$341,4,false)),0,vlookup($A187,FantasyPro!$B$2:$E$341,4,false))</f>
        <v>0</v>
      </c>
      <c r="L187" s="37">
        <f>if(ISNA(vlookup($A187, FFToolbox!$B$2:$E$414, 4, false)), 0, vlookup($A187, FFToolbox!$B$2:$E$414, 4, false))</f>
        <v>0</v>
      </c>
      <c r="M187" s="39">
        <f t="shared" si="1"/>
        <v>0.5</v>
      </c>
      <c r="N187" s="39">
        <f t="shared" si="2"/>
        <v>1</v>
      </c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</row>
    <row r="188">
      <c r="A188" s="17" t="s">
        <v>326</v>
      </c>
      <c r="B188" s="35" t="s">
        <v>1259</v>
      </c>
      <c r="C188" s="35">
        <v>16.0</v>
      </c>
      <c r="D188" s="36" t="s">
        <v>17</v>
      </c>
      <c r="E188" s="36" t="s">
        <v>193</v>
      </c>
      <c r="F188" s="36">
        <f>vlookup(D188,'Team Bye List'!$A$1:$B$33,2,False)</f>
        <v>7</v>
      </c>
      <c r="G188" s="37">
        <f>if(ISNA(vlookup($A188, Sleeper!$B$2:$E$330, 4, false)), 0, vlookup($A188, Sleeper!$B$2:$E$330, 4, false))</f>
        <v>1</v>
      </c>
      <c r="H188" s="37">
        <f>if(ISNA(vlookup($A188, ESPN!$B$2:$E$297, 4, false)), 0, vlookup($A188, ESPN!$B$2:$E$297, 4, false))</f>
        <v>0</v>
      </c>
      <c r="I188" s="37">
        <f>if(ISNA(vlookup($A188,'Ultimate Draft Kit'!$B$2:$E$324,4, false)), 0, vlookup($A188,'Ultimate Draft Kit'!$B$2:$E$324, 4, false))</f>
        <v>1</v>
      </c>
      <c r="J188" s="38">
        <f>if(ISNA(vlookup($A188,Rotowire!$B$2:$E$1075,4, false)), 0, vlookup($A188,Rotowire!$B$2:$E$1075, 4, false))</f>
        <v>0</v>
      </c>
      <c r="K188" s="37">
        <f>if(ISNA(vlookup($A188, FantasyPro!$B$2:$E$341,4,false)),0,vlookup($A188,FantasyPro!$B$2:$E$341,4,false))</f>
        <v>0</v>
      </c>
      <c r="L188" s="37">
        <f>if(ISNA(vlookup($A188, FFToolbox!$B$2:$E$414, 4, false)), 0, vlookup($A188, FFToolbox!$B$2:$E$414, 4, false))</f>
        <v>0</v>
      </c>
      <c r="M188" s="39">
        <f t="shared" si="1"/>
        <v>0.3333333333</v>
      </c>
      <c r="N188" s="39">
        <f t="shared" si="2"/>
        <v>1</v>
      </c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</row>
    <row r="189">
      <c r="A189" s="17" t="s">
        <v>321</v>
      </c>
      <c r="B189" s="35" t="s">
        <v>1259</v>
      </c>
      <c r="C189" s="35">
        <v>24.0</v>
      </c>
      <c r="D189" s="36" t="s">
        <v>39</v>
      </c>
      <c r="E189" s="36" t="s">
        <v>193</v>
      </c>
      <c r="F189" s="36">
        <f>vlookup(D189,'Team Bye List'!$A$1:$B$33,2,False)</f>
        <v>11</v>
      </c>
      <c r="G189" s="37">
        <f>if(ISNA(vlookup($A189, Sleeper!$B$2:$E$330, 4, false)), 0, vlookup($A189, Sleeper!$B$2:$E$330, 4, false))</f>
        <v>1</v>
      </c>
      <c r="H189" s="37">
        <f>if(ISNA(vlookup($A189, ESPN!$B$2:$E$297, 4, false)), 0, vlookup($A189, ESPN!$B$2:$E$297, 4, false))</f>
        <v>0</v>
      </c>
      <c r="I189" s="37">
        <f>if(ISNA(vlookup($A189,'Ultimate Draft Kit'!$B$2:$E$324,4, false)), 0, vlookup($A189,'Ultimate Draft Kit'!$B$2:$E$324, 4, false))</f>
        <v>1</v>
      </c>
      <c r="J189" s="38">
        <f>if(ISNA(vlookup($A189,Rotowire!$B$2:$E$1075,4, false)), 0, vlookup($A189,Rotowire!$B$2:$E$1075, 4, false))</f>
        <v>0</v>
      </c>
      <c r="K189" s="37">
        <f>if(ISNA(vlookup($A189, FantasyPro!$B$2:$E$341,4,false)),0,vlookup($A189,FantasyPro!$B$2:$E$341,4,false))</f>
        <v>0</v>
      </c>
      <c r="L189" s="37">
        <f>if(ISNA(vlookup($A189, FFToolbox!$B$2:$E$414, 4, false)), 0, vlookup($A189, FFToolbox!$B$2:$E$414, 4, false))</f>
        <v>0</v>
      </c>
      <c r="M189" s="39">
        <f t="shared" si="1"/>
        <v>0.3333333333</v>
      </c>
      <c r="N189" s="39">
        <f t="shared" si="2"/>
        <v>1</v>
      </c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</row>
    <row r="190">
      <c r="A190" s="17" t="s">
        <v>804</v>
      </c>
      <c r="B190" s="35" t="s">
        <v>1259</v>
      </c>
      <c r="C190" s="35" t="s">
        <v>1260</v>
      </c>
      <c r="D190" s="36" t="s">
        <v>32</v>
      </c>
      <c r="E190" s="36" t="s">
        <v>183</v>
      </c>
      <c r="F190" s="36">
        <f>vlookup(D190,'Team Bye List'!$A$1:$B$33,2,False)</f>
        <v>9</v>
      </c>
      <c r="G190" s="37">
        <f>if(ISNA(vlookup($A190, Sleeper!$B$2:$E$330, 4, false)), 0, vlookup($A190, Sleeper!$B$2:$E$330, 4, false))</f>
        <v>1</v>
      </c>
      <c r="H190" s="37">
        <f>if(ISNA(vlookup($A190, ESPN!$B$2:$E$297, 4, false)), 0, vlookup($A190, ESPN!$B$2:$E$297, 4, false))</f>
        <v>0</v>
      </c>
      <c r="I190" s="37">
        <f>if(ISNA(vlookup($A190,'Ultimate Draft Kit'!$B$2:$E$324,4, false)), 0, vlookup($A190,'Ultimate Draft Kit'!$B$2:$E$324, 4, false))</f>
        <v>0</v>
      </c>
      <c r="J190" s="38">
        <f>if(ISNA(vlookup($A190,Rotowire!$B$2:$E$1075,4, false)), 0, vlookup($A190,Rotowire!$B$2:$E$1075, 4, false))</f>
        <v>0</v>
      </c>
      <c r="K190" s="37">
        <f>if(ISNA(vlookup($A190, FantasyPro!$B$2:$E$341,4,false)),0,vlookup($A190,FantasyPro!$B$2:$E$341,4,false))</f>
        <v>0</v>
      </c>
      <c r="L190" s="37">
        <f>if(ISNA(vlookup($A190, FFToolbox!$B$2:$E$414, 4, false)), 0, vlookup($A190, FFToolbox!$B$2:$E$414, 4, false))</f>
        <v>0</v>
      </c>
      <c r="M190" s="39">
        <f t="shared" si="1"/>
        <v>0.1666666667</v>
      </c>
      <c r="N190" s="39">
        <f t="shared" si="2"/>
        <v>1</v>
      </c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</row>
    <row r="191">
      <c r="A191" s="17" t="s">
        <v>797</v>
      </c>
      <c r="B191" s="35" t="s">
        <v>1259</v>
      </c>
      <c r="C191" s="35">
        <v>19.0</v>
      </c>
      <c r="D191" s="36" t="s">
        <v>47</v>
      </c>
      <c r="E191" s="36" t="s">
        <v>183</v>
      </c>
      <c r="F191" s="36">
        <f>vlookup(D191,'Team Bye List'!$A$1:$B$33,2,False)</f>
        <v>14</v>
      </c>
      <c r="G191" s="37">
        <f>if(ISNA(vlookup($A191, Sleeper!$B$2:$E$330, 4, false)), 0, vlookup($A191, Sleeper!$B$2:$E$330, 4, false))</f>
        <v>1</v>
      </c>
      <c r="H191" s="37">
        <f>if(ISNA(vlookup($A191, ESPN!$B$2:$E$297, 4, false)), 0, vlookup($A191, ESPN!$B$2:$E$297, 4, false))</f>
        <v>0</v>
      </c>
      <c r="I191" s="37">
        <f>if(ISNA(vlookup($A191,'Ultimate Draft Kit'!$B$2:$E$324,4, false)), 0, vlookup($A191,'Ultimate Draft Kit'!$B$2:$E$324, 4, false))</f>
        <v>1</v>
      </c>
      <c r="J191" s="38">
        <f>if(ISNA(vlookup($A191,Rotowire!$B$2:$E$1075,4, false)), 0, vlookup($A191,Rotowire!$B$2:$E$1075, 4, false))</f>
        <v>0</v>
      </c>
      <c r="K191" s="37">
        <f>if(ISNA(vlookup($A191, FantasyPro!$B$2:$E$341,4,false)),0,vlookup($A191,FantasyPro!$B$2:$E$341,4,false))</f>
        <v>0</v>
      </c>
      <c r="L191" s="37">
        <f>if(ISNA(vlookup($A191, FFToolbox!$B$2:$E$414, 4, false)), 0, vlookup($A191, FFToolbox!$B$2:$E$414, 4, false))</f>
        <v>1</v>
      </c>
      <c r="M191" s="39">
        <f t="shared" si="1"/>
        <v>0.5</v>
      </c>
      <c r="N191" s="39">
        <f t="shared" si="2"/>
        <v>1</v>
      </c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</row>
    <row r="192">
      <c r="A192" s="17" t="s">
        <v>301</v>
      </c>
      <c r="B192" s="35" t="s">
        <v>1259</v>
      </c>
      <c r="C192" s="35">
        <v>5.0</v>
      </c>
      <c r="D192" s="36" t="s">
        <v>43</v>
      </c>
      <c r="E192" s="36" t="s">
        <v>59</v>
      </c>
      <c r="F192" s="36">
        <f>vlookup(D192,'Team Bye List'!$A$1:$B$33,2,False)</f>
        <v>9</v>
      </c>
      <c r="G192" s="37">
        <f>if(ISNA(vlookup($A192, Sleeper!$B$2:$E$330, 4, false)), 0, vlookup($A192, Sleeper!$B$2:$E$330, 4, false))</f>
        <v>7</v>
      </c>
      <c r="H192" s="37">
        <f>if(ISNA(vlookup($A192, ESPN!$B$2:$E$297, 4, false)), 0, vlookup($A192, ESPN!$B$2:$E$297, 4, false))</f>
        <v>0</v>
      </c>
      <c r="I192" s="37">
        <f>if(ISNA(vlookup($A192,'Ultimate Draft Kit'!$B$2:$E$324,4, false)), 0, vlookup($A192,'Ultimate Draft Kit'!$B$2:$E$324, 4, false))</f>
        <v>1</v>
      </c>
      <c r="J192" s="38">
        <f>if(ISNA(vlookup($A192,Rotowire!$B$2:$E$1075,4, false)), 0, vlookup($A192,Rotowire!$B$2:$E$1075, 4, false))</f>
        <v>0</v>
      </c>
      <c r="K192" s="37">
        <f>if(ISNA(vlookup($A192, FantasyPro!$B$2:$E$341,4,false)),0,vlookup($A192,FantasyPro!$B$2:$E$341,4,false))</f>
        <v>1</v>
      </c>
      <c r="L192" s="37">
        <f>if(ISNA(vlookup($A192, FFToolbox!$B$2:$E$414, 4, false)), 0, vlookup($A192, FFToolbox!$B$2:$E$414, 4, false))</f>
        <v>3</v>
      </c>
      <c r="M192" s="39">
        <f t="shared" si="1"/>
        <v>2</v>
      </c>
      <c r="N192" s="39">
        <f t="shared" si="2"/>
        <v>7</v>
      </c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</row>
    <row r="193">
      <c r="A193" s="17" t="s">
        <v>303</v>
      </c>
      <c r="B193" s="35" t="s">
        <v>1259</v>
      </c>
      <c r="C193" s="35">
        <v>6.0</v>
      </c>
      <c r="D193" s="36" t="s">
        <v>47</v>
      </c>
      <c r="E193" s="36" t="s">
        <v>59</v>
      </c>
      <c r="F193" s="36">
        <f>vlookup(D193,'Team Bye List'!$A$1:$B$33,2,False)</f>
        <v>14</v>
      </c>
      <c r="G193" s="37">
        <f>if(ISNA(vlookup($A193, Sleeper!$B$2:$E$330, 4, false)), 0, vlookup($A193, Sleeper!$B$2:$E$330, 4, false))</f>
        <v>1</v>
      </c>
      <c r="H193" s="37">
        <f>if(ISNA(vlookup($A193, ESPN!$B$2:$E$297, 4, false)), 0, vlookup($A193, ESPN!$B$2:$E$297, 4, false))</f>
        <v>0</v>
      </c>
      <c r="I193" s="37">
        <f>if(ISNA(vlookup($A193,'Ultimate Draft Kit'!$B$2:$E$324,4, false)), 0, vlookup($A193,'Ultimate Draft Kit'!$B$2:$E$324, 4, false))</f>
        <v>1</v>
      </c>
      <c r="J193" s="38">
        <f>if(ISNA(vlookup($A193,Rotowire!$B$2:$E$1075,4, false)), 0, vlookup($A193,Rotowire!$B$2:$E$1075, 4, false))</f>
        <v>0</v>
      </c>
      <c r="K193" s="37">
        <f>if(ISNA(vlookup($A193, FantasyPro!$B$2:$E$341,4,false)),0,vlookup($A193,FantasyPro!$B$2:$E$341,4,false))</f>
        <v>1</v>
      </c>
      <c r="L193" s="37">
        <f>if(ISNA(vlookup($A193, FFToolbox!$B$2:$E$414, 4, false)), 0, vlookup($A193, FFToolbox!$B$2:$E$414, 4, false))</f>
        <v>1</v>
      </c>
      <c r="M193" s="39">
        <f t="shared" si="1"/>
        <v>0.6666666667</v>
      </c>
      <c r="N193" s="39">
        <f t="shared" si="2"/>
        <v>1</v>
      </c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</row>
    <row r="194">
      <c r="A194" s="17" t="s">
        <v>298</v>
      </c>
      <c r="B194" s="35" t="s">
        <v>1259</v>
      </c>
      <c r="C194" s="35">
        <v>6.0</v>
      </c>
      <c r="D194" s="36" t="s">
        <v>21</v>
      </c>
      <c r="E194" s="36" t="s">
        <v>59</v>
      </c>
      <c r="F194" s="36">
        <f>vlookup(D194,'Team Bye List'!$A$1:$B$33,2,False)</f>
        <v>6</v>
      </c>
      <c r="G194" s="37">
        <f>if(ISNA(vlookup($A194, Sleeper!$B$2:$E$330, 4, false)), 0, vlookup($A194, Sleeper!$B$2:$E$330, 4, false))</f>
        <v>1</v>
      </c>
      <c r="H194" s="37">
        <f>if(ISNA(vlookup($A194, ESPN!$B$2:$E$297, 4, false)), 0, vlookup($A194, ESPN!$B$2:$E$297, 4, false))</f>
        <v>0</v>
      </c>
      <c r="I194" s="37">
        <f>if(ISNA(vlookup($A194,'Ultimate Draft Kit'!$B$2:$E$324,4, false)), 0, vlookup($A194,'Ultimate Draft Kit'!$B$2:$E$324, 4, false))</f>
        <v>1</v>
      </c>
      <c r="J194" s="38">
        <f>if(ISNA(vlookup($A194,Rotowire!$B$2:$E$1075,4, false)), 0, vlookup($A194,Rotowire!$B$2:$E$1075, 4, false))</f>
        <v>0</v>
      </c>
      <c r="K194" s="37">
        <f>if(ISNA(vlookup($A194, FantasyPro!$B$2:$E$341,4,false)),0,vlookup($A194,FantasyPro!$B$2:$E$341,4,false))</f>
        <v>1</v>
      </c>
      <c r="L194" s="37">
        <f>if(ISNA(vlookup($A194, FFToolbox!$B$2:$E$414, 4, false)), 0, vlookup($A194, FFToolbox!$B$2:$E$414, 4, false))</f>
        <v>1</v>
      </c>
      <c r="M194" s="39">
        <f t="shared" si="1"/>
        <v>0.6666666667</v>
      </c>
      <c r="N194" s="39">
        <f t="shared" si="2"/>
        <v>1</v>
      </c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</row>
    <row r="195">
      <c r="A195" s="17" t="s">
        <v>297</v>
      </c>
      <c r="B195" s="35" t="s">
        <v>1259</v>
      </c>
      <c r="C195" s="35">
        <v>5.0</v>
      </c>
      <c r="D195" s="36" t="s">
        <v>99</v>
      </c>
      <c r="E195" s="36" t="s">
        <v>59</v>
      </c>
      <c r="F195" s="36">
        <f>vlookup(D195,'Team Bye List'!$A$1:$B$33,2,False)</f>
        <v>11</v>
      </c>
      <c r="G195" s="37">
        <f>if(ISNA(vlookup($A195, Sleeper!$B$2:$E$330, 4, false)), 0, vlookup($A195, Sleeper!$B$2:$E$330, 4, false))</f>
        <v>1</v>
      </c>
      <c r="H195" s="37">
        <f>if(ISNA(vlookup($A195, ESPN!$B$2:$E$297, 4, false)), 0, vlookup($A195, ESPN!$B$2:$E$297, 4, false))</f>
        <v>0</v>
      </c>
      <c r="I195" s="37">
        <f>if(ISNA(vlookup($A195,'Ultimate Draft Kit'!$B$2:$E$324,4, false)), 0, vlookup($A195,'Ultimate Draft Kit'!$B$2:$E$324, 4, false))</f>
        <v>1</v>
      </c>
      <c r="J195" s="38">
        <f>if(ISNA(vlookup($A195,Rotowire!$B$2:$E$1075,4, false)), 0, vlookup($A195,Rotowire!$B$2:$E$1075, 4, false))</f>
        <v>0</v>
      </c>
      <c r="K195" s="37">
        <f>if(ISNA(vlookup($A195, FantasyPro!$B$2:$E$341,4,false)),0,vlookup($A195,FantasyPro!$B$2:$E$341,4,false))</f>
        <v>1</v>
      </c>
      <c r="L195" s="37">
        <f>if(ISNA(vlookup($A195, FFToolbox!$B$2:$E$414, 4, false)), 0, vlookup($A195, FFToolbox!$B$2:$E$414, 4, false))</f>
        <v>1</v>
      </c>
      <c r="M195" s="39">
        <f t="shared" si="1"/>
        <v>0.6666666667</v>
      </c>
      <c r="N195" s="39">
        <f t="shared" si="2"/>
        <v>1</v>
      </c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</row>
    <row r="196">
      <c r="A196" s="17" t="s">
        <v>207</v>
      </c>
      <c r="B196" s="35" t="s">
        <v>1259</v>
      </c>
      <c r="C196" s="35">
        <v>9.0</v>
      </c>
      <c r="D196" s="36" t="s">
        <v>58</v>
      </c>
      <c r="E196" s="36" t="s">
        <v>8</v>
      </c>
      <c r="F196" s="36">
        <f>vlookup(D196,'Team Bye List'!$A$1:$B$33,2,False)</f>
        <v>10</v>
      </c>
      <c r="G196" s="37">
        <f>if(ISNA(vlookup($A196, Sleeper!$B$2:$E$330, 4, false)), 0, vlookup($A196, Sleeper!$B$2:$E$330, 4, false))</f>
        <v>1</v>
      </c>
      <c r="H196" s="37">
        <f>if(ISNA(vlookup($A196, ESPN!$B$2:$E$297, 4, false)), 0, vlookup($A196, ESPN!$B$2:$E$297, 4, false))</f>
        <v>0</v>
      </c>
      <c r="I196" s="37">
        <f>if(ISNA(vlookup($A196,'Ultimate Draft Kit'!$B$2:$E$324,4, false)), 0, vlookup($A196,'Ultimate Draft Kit'!$B$2:$E$324, 4, false))</f>
        <v>1</v>
      </c>
      <c r="J196" s="38">
        <f>if(ISNA(vlookup($A196,Rotowire!$B$2:$E$1075,4, false)), 0, vlookup($A196,Rotowire!$B$2:$E$1075, 4, false))</f>
        <v>0</v>
      </c>
      <c r="K196" s="37">
        <f>if(ISNA(vlookup($A196, FantasyPro!$B$2:$E$341,4,false)),0,vlookup($A196,FantasyPro!$B$2:$E$341,4,false))</f>
        <v>1</v>
      </c>
      <c r="L196" s="37">
        <f>if(ISNA(vlookup($A196, FFToolbox!$B$2:$E$414, 4, false)), 0, vlookup($A196, FFToolbox!$B$2:$E$414, 4, false))</f>
        <v>1</v>
      </c>
      <c r="M196" s="39">
        <f t="shared" si="1"/>
        <v>0.6666666667</v>
      </c>
      <c r="N196" s="39">
        <f t="shared" si="2"/>
        <v>1</v>
      </c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</row>
    <row r="197">
      <c r="A197" s="17" t="s">
        <v>205</v>
      </c>
      <c r="B197" s="35" t="s">
        <v>1259</v>
      </c>
      <c r="C197" s="35">
        <v>9.0</v>
      </c>
      <c r="D197" s="36" t="s">
        <v>15</v>
      </c>
      <c r="E197" s="36" t="s">
        <v>8</v>
      </c>
      <c r="F197" s="36">
        <f>vlookup(D197,'Team Bye List'!$A$1:$B$33,2,False)</f>
        <v>6</v>
      </c>
      <c r="G197" s="37">
        <f>if(ISNA(vlookup($A197, Sleeper!$B$2:$E$330, 4, false)), 0, vlookup($A197, Sleeper!$B$2:$E$330, 4, false))</f>
        <v>1</v>
      </c>
      <c r="H197" s="37">
        <f>if(ISNA(vlookup($A197, ESPN!$B$2:$E$297, 4, false)), 0, vlookup($A197, ESPN!$B$2:$E$297, 4, false))</f>
        <v>0</v>
      </c>
      <c r="I197" s="37">
        <f>if(ISNA(vlookup($A197,'Ultimate Draft Kit'!$B$2:$E$324,4, false)), 0, vlookup($A197,'Ultimate Draft Kit'!$B$2:$E$324, 4, false))</f>
        <v>1</v>
      </c>
      <c r="J197" s="38">
        <f>if(ISNA(vlookup($A197,Rotowire!$B$2:$E$1075,4, false)), 0, vlookup($A197,Rotowire!$B$2:$E$1075, 4, false))</f>
        <v>0</v>
      </c>
      <c r="K197" s="37">
        <f>if(ISNA(vlookup($A197, FantasyPro!$B$2:$E$341,4,false)),0,vlookup($A197,FantasyPro!$B$2:$E$341,4,false))</f>
        <v>2</v>
      </c>
      <c r="L197" s="37">
        <f>if(ISNA(vlookup($A197, FFToolbox!$B$2:$E$414, 4, false)), 0, vlookup($A197, FFToolbox!$B$2:$E$414, 4, false))</f>
        <v>2</v>
      </c>
      <c r="M197" s="39">
        <f t="shared" si="1"/>
        <v>1</v>
      </c>
      <c r="N197" s="39">
        <f t="shared" si="2"/>
        <v>2</v>
      </c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</row>
    <row r="198">
      <c r="A198" s="17" t="s">
        <v>811</v>
      </c>
      <c r="B198" s="35" t="s">
        <v>1259</v>
      </c>
      <c r="C198" s="35" t="s">
        <v>1260</v>
      </c>
      <c r="D198" s="36" t="s">
        <v>35</v>
      </c>
      <c r="E198" s="36" t="s">
        <v>183</v>
      </c>
      <c r="F198" s="36">
        <f>vlookup(D198,'Team Bye List'!$A$1:$B$33,2,False)</f>
        <v>6</v>
      </c>
      <c r="G198" s="37">
        <f>if(ISNA(vlookup($A198, Sleeper!$B$2:$E$330, 4, false)), 0, vlookup($A198, Sleeper!$B$2:$E$330, 4, false))</f>
        <v>0</v>
      </c>
      <c r="H198" s="37">
        <f>if(ISNA(vlookup($A198, ESPN!$B$2:$E$297, 4, false)), 0, vlookup($A198, ESPN!$B$2:$E$297, 4, false))</f>
        <v>0</v>
      </c>
      <c r="I198" s="37">
        <f>if(ISNA(vlookup($A198,'Ultimate Draft Kit'!$B$2:$E$324,4, false)), 0, vlookup($A198,'Ultimate Draft Kit'!$B$2:$E$324, 4, false))</f>
        <v>0</v>
      </c>
      <c r="J198" s="38">
        <f>if(ISNA(vlookup($A198,Rotowire!$B$2:$E$1075,4, false)), 0, vlookup($A198,Rotowire!$B$2:$E$1075, 4, false))</f>
        <v>1</v>
      </c>
      <c r="K198" s="37">
        <f>if(ISNA(vlookup($A198, FantasyPro!$B$2:$E$341,4,false)),0,vlookup($A198,FantasyPro!$B$2:$E$341,4,false))</f>
        <v>0</v>
      </c>
      <c r="L198" s="37">
        <f>if(ISNA(vlookup($A198, FFToolbox!$B$2:$E$414, 4, false)), 0, vlookup($A198, FFToolbox!$B$2:$E$414, 4, false))</f>
        <v>0</v>
      </c>
      <c r="M198" s="39">
        <f t="shared" si="1"/>
        <v>0.1666666667</v>
      </c>
      <c r="N198" s="39">
        <f t="shared" si="2"/>
        <v>1</v>
      </c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</row>
    <row r="199">
      <c r="A199" s="17" t="s">
        <v>323</v>
      </c>
      <c r="B199" s="35" t="s">
        <v>1259</v>
      </c>
      <c r="C199" s="35">
        <v>20.0</v>
      </c>
      <c r="D199" s="36" t="s">
        <v>19</v>
      </c>
      <c r="E199" s="36" t="s">
        <v>193</v>
      </c>
      <c r="F199" s="36">
        <f>vlookup(D199,'Team Bye List'!$A$1:$B$33,2,False)</f>
        <v>10</v>
      </c>
      <c r="G199" s="37">
        <f>if(ISNA(vlookup($A199, Sleeper!$B$2:$E$330, 4, false)), 0, vlookup($A199, Sleeper!$B$2:$E$330, 4, false))</f>
        <v>1</v>
      </c>
      <c r="H199" s="37">
        <f>if(ISNA(vlookup($A199, ESPN!$B$2:$E$297, 4, false)), 0, vlookup($A199, ESPN!$B$2:$E$297, 4, false))</f>
        <v>0</v>
      </c>
      <c r="I199" s="37">
        <f>if(ISNA(vlookup($A199,'Ultimate Draft Kit'!$B$2:$E$324,4, false)), 0, vlookup($A199,'Ultimate Draft Kit'!$B$2:$E$324, 4, false))</f>
        <v>1</v>
      </c>
      <c r="J199" s="38">
        <f>if(ISNA(vlookup($A199,Rotowire!$B$2:$E$1075,4, false)), 0, vlookup($A199,Rotowire!$B$2:$E$1075, 4, false))</f>
        <v>0</v>
      </c>
      <c r="K199" s="37">
        <f>if(ISNA(vlookup($A199, FantasyPro!$B$2:$E$341,4,false)),0,vlookup($A199,FantasyPro!$B$2:$E$341,4,false))</f>
        <v>0</v>
      </c>
      <c r="L199" s="37">
        <f>if(ISNA(vlookup($A199, FFToolbox!$B$2:$E$414, 4, false)), 0, vlookup($A199, FFToolbox!$B$2:$E$414, 4, false))</f>
        <v>0</v>
      </c>
      <c r="M199" s="39">
        <f t="shared" si="1"/>
        <v>0.3333333333</v>
      </c>
      <c r="N199" s="39">
        <f t="shared" si="2"/>
        <v>1</v>
      </c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</row>
    <row r="200">
      <c r="A200" s="17" t="s">
        <v>324</v>
      </c>
      <c r="B200" s="35" t="s">
        <v>1259</v>
      </c>
      <c r="C200" s="35">
        <v>18.0</v>
      </c>
      <c r="D200" s="36" t="s">
        <v>64</v>
      </c>
      <c r="E200" s="36" t="s">
        <v>193</v>
      </c>
      <c r="F200" s="36">
        <f>vlookup(D200,'Team Bye List'!$A$1:$B$33,2,False)</f>
        <v>7</v>
      </c>
      <c r="G200" s="37">
        <f>if(ISNA(vlookup($A200, Sleeper!$B$2:$E$330, 4, false)), 0, vlookup($A200, Sleeper!$B$2:$E$330, 4, false))</f>
        <v>1</v>
      </c>
      <c r="H200" s="37">
        <f>if(ISNA(vlookup($A200, ESPN!$B$2:$E$297, 4, false)), 0, vlookup($A200, ESPN!$B$2:$E$297, 4, false))</f>
        <v>0</v>
      </c>
      <c r="I200" s="37">
        <f>if(ISNA(vlookup($A200,'Ultimate Draft Kit'!$B$2:$E$324,4, false)), 0, vlookup($A200,'Ultimate Draft Kit'!$B$2:$E$324, 4, false))</f>
        <v>1</v>
      </c>
      <c r="J200" s="38">
        <f>if(ISNA(vlookup($A200,Rotowire!$B$2:$E$1075,4, false)), 0, vlookup($A200,Rotowire!$B$2:$E$1075, 4, false))</f>
        <v>0</v>
      </c>
      <c r="K200" s="37">
        <f>if(ISNA(vlookup($A200, FantasyPro!$B$2:$E$341,4,false)),0,vlookup($A200,FantasyPro!$B$2:$E$341,4,false))</f>
        <v>0</v>
      </c>
      <c r="L200" s="37">
        <f>if(ISNA(vlookup($A200, FFToolbox!$B$2:$E$414, 4, false)), 0, vlookup($A200, FFToolbox!$B$2:$E$414, 4, false))</f>
        <v>0</v>
      </c>
      <c r="M200" s="39">
        <f t="shared" si="1"/>
        <v>0.3333333333</v>
      </c>
      <c r="N200" s="39">
        <f t="shared" si="2"/>
        <v>1</v>
      </c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</row>
    <row r="201">
      <c r="A201" s="17" t="s">
        <v>319</v>
      </c>
      <c r="B201" s="35" t="s">
        <v>1259</v>
      </c>
      <c r="C201" s="35">
        <v>13.0</v>
      </c>
      <c r="D201" s="36" t="s">
        <v>66</v>
      </c>
      <c r="E201" s="36" t="s">
        <v>193</v>
      </c>
      <c r="F201" s="36">
        <f>vlookup(D201,'Team Bye List'!$A$1:$B$33,2,False)</f>
        <v>9</v>
      </c>
      <c r="G201" s="37">
        <f>if(ISNA(vlookup($A201, Sleeper!$B$2:$E$330, 4, false)), 0, vlookup($A201, Sleeper!$B$2:$E$330, 4, false))</f>
        <v>1</v>
      </c>
      <c r="H201" s="37">
        <f>if(ISNA(vlookup($A201, ESPN!$B$2:$E$297, 4, false)), 0, vlookup($A201, ESPN!$B$2:$E$297, 4, false))</f>
        <v>0</v>
      </c>
      <c r="I201" s="37">
        <f>if(ISNA(vlookup($A201,'Ultimate Draft Kit'!$B$2:$E$324,4, false)), 0, vlookup($A201,'Ultimate Draft Kit'!$B$2:$E$324, 4, false))</f>
        <v>1</v>
      </c>
      <c r="J201" s="38">
        <f>if(ISNA(vlookup($A201,Rotowire!$B$2:$E$1075,4, false)), 0, vlookup($A201,Rotowire!$B$2:$E$1075, 4, false))</f>
        <v>0</v>
      </c>
      <c r="K201" s="37">
        <f>if(ISNA(vlookup($A201, FantasyPro!$B$2:$E$341,4,false)),0,vlookup($A201,FantasyPro!$B$2:$E$341,4,false))</f>
        <v>0</v>
      </c>
      <c r="L201" s="37">
        <f>if(ISNA(vlookup($A201, FFToolbox!$B$2:$E$414, 4, false)), 0, vlookup($A201, FFToolbox!$B$2:$E$414, 4, false))</f>
        <v>0</v>
      </c>
      <c r="M201" s="39">
        <f t="shared" si="1"/>
        <v>0.3333333333</v>
      </c>
      <c r="N201" s="39">
        <f t="shared" si="2"/>
        <v>1</v>
      </c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</row>
    <row r="202">
      <c r="A202" s="17" t="s">
        <v>322</v>
      </c>
      <c r="B202" s="35" t="s">
        <v>1259</v>
      </c>
      <c r="C202" s="35">
        <v>21.0</v>
      </c>
      <c r="D202" s="36" t="s">
        <v>119</v>
      </c>
      <c r="E202" s="36" t="s">
        <v>193</v>
      </c>
      <c r="F202" s="36">
        <f>vlookup(D202,'Team Bye List'!$A$1:$B$33,2,False)</f>
        <v>10</v>
      </c>
      <c r="G202" s="37">
        <f>if(ISNA(vlookup($A202, Sleeper!$B$2:$E$330, 4, false)), 0, vlookup($A202, Sleeper!$B$2:$E$330, 4, false))</f>
        <v>1</v>
      </c>
      <c r="H202" s="37">
        <f>if(ISNA(vlookup($A202, ESPN!$B$2:$E$297, 4, false)), 0, vlookup($A202, ESPN!$B$2:$E$297, 4, false))</f>
        <v>0</v>
      </c>
      <c r="I202" s="37">
        <f>if(ISNA(vlookup($A202,'Ultimate Draft Kit'!$B$2:$E$324,4, false)), 0, vlookup($A202,'Ultimate Draft Kit'!$B$2:$E$324, 4, false))</f>
        <v>1</v>
      </c>
      <c r="J202" s="38">
        <f>if(ISNA(vlookup($A202,Rotowire!$B$2:$E$1075,4, false)), 0, vlookup($A202,Rotowire!$B$2:$E$1075, 4, false))</f>
        <v>0</v>
      </c>
      <c r="K202" s="37">
        <f>if(ISNA(vlookup($A202, FantasyPro!$B$2:$E$341,4,false)),0,vlookup($A202,FantasyPro!$B$2:$E$341,4,false))</f>
        <v>1</v>
      </c>
      <c r="L202" s="37">
        <f>if(ISNA(vlookup($A202, FFToolbox!$B$2:$E$414, 4, false)), 0, vlookup($A202, FFToolbox!$B$2:$E$414, 4, false))</f>
        <v>0</v>
      </c>
      <c r="M202" s="39">
        <f t="shared" si="1"/>
        <v>0.5</v>
      </c>
      <c r="N202" s="39">
        <f t="shared" si="2"/>
        <v>1</v>
      </c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</row>
    <row r="203">
      <c r="A203" s="17" t="s">
        <v>327</v>
      </c>
      <c r="B203" s="35" t="s">
        <v>1259</v>
      </c>
      <c r="C203" s="35">
        <v>15.0</v>
      </c>
      <c r="D203" s="36" t="s">
        <v>45</v>
      </c>
      <c r="E203" s="36" t="s">
        <v>193</v>
      </c>
      <c r="F203" s="36">
        <f>vlookup(D203,'Team Bye List'!$A$1:$B$33,2,False)</f>
        <v>13</v>
      </c>
      <c r="G203" s="37">
        <f>if(ISNA(vlookup($A203, Sleeper!$B$2:$E$330, 4, false)), 0, vlookup($A203, Sleeper!$B$2:$E$330, 4, false))</f>
        <v>1</v>
      </c>
      <c r="H203" s="37">
        <f>if(ISNA(vlookup($A203, ESPN!$B$2:$E$297, 4, false)), 0, vlookup($A203, ESPN!$B$2:$E$297, 4, false))</f>
        <v>0</v>
      </c>
      <c r="I203" s="37">
        <f>if(ISNA(vlookup($A203,'Ultimate Draft Kit'!$B$2:$E$324,4, false)), 0, vlookup($A203,'Ultimate Draft Kit'!$B$2:$E$324, 4, false))</f>
        <v>1</v>
      </c>
      <c r="J203" s="38">
        <f>if(ISNA(vlookup($A203,Rotowire!$B$2:$E$1075,4, false)), 0, vlookup($A203,Rotowire!$B$2:$E$1075, 4, false))</f>
        <v>0</v>
      </c>
      <c r="K203" s="37">
        <f>if(ISNA(vlookup($A203, FantasyPro!$B$2:$E$341,4,false)),0,vlookup($A203,FantasyPro!$B$2:$E$341,4,false))</f>
        <v>0</v>
      </c>
      <c r="L203" s="37">
        <f>if(ISNA(vlookup($A203, FFToolbox!$B$2:$E$414, 4, false)), 0, vlookup($A203, FFToolbox!$B$2:$E$414, 4, false))</f>
        <v>0</v>
      </c>
      <c r="M203" s="39">
        <f t="shared" si="1"/>
        <v>0.3333333333</v>
      </c>
      <c r="N203" s="39">
        <f t="shared" si="2"/>
        <v>1</v>
      </c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</row>
    <row r="204">
      <c r="A204" s="17" t="s">
        <v>328</v>
      </c>
      <c r="B204" s="35" t="s">
        <v>1258</v>
      </c>
      <c r="C204" s="35">
        <v>6.0</v>
      </c>
      <c r="D204" s="36" t="s">
        <v>43</v>
      </c>
      <c r="E204" s="36" t="s">
        <v>193</v>
      </c>
      <c r="F204" s="36">
        <f>vlookup(D204,'Team Bye List'!$A$1:$B$33,2,False)</f>
        <v>9</v>
      </c>
      <c r="G204" s="37">
        <f>if(ISNA(vlookup($A204, Sleeper!$B$2:$E$330, 4, false)), 0, vlookup($A204, Sleeper!$B$2:$E$330, 4, false))</f>
        <v>1</v>
      </c>
      <c r="H204" s="37">
        <f>if(ISNA(vlookup($A204, ESPN!$B$2:$E$297, 4, false)), 0, vlookup($A204, ESPN!$B$2:$E$297, 4, false))</f>
        <v>0</v>
      </c>
      <c r="I204" s="37">
        <f>if(ISNA(vlookup($A204,'Ultimate Draft Kit'!$B$2:$E$324,4, false)), 0, vlookup($A204,'Ultimate Draft Kit'!$B$2:$E$324, 4, false))</f>
        <v>1</v>
      </c>
      <c r="J204" s="38">
        <f>if(ISNA(vlookup($A204,Rotowire!$B$2:$E$1075,4, false)), 0, vlookup($A204,Rotowire!$B$2:$E$1075, 4, false))</f>
        <v>0</v>
      </c>
      <c r="K204" s="37">
        <f>if(ISNA(vlookup($A204, FantasyPro!$B$2:$E$341,4,false)),0,vlookup($A204,FantasyPro!$B$2:$E$341,4,false))</f>
        <v>1</v>
      </c>
      <c r="L204" s="37">
        <f>if(ISNA(vlookup($A204, FFToolbox!$B$2:$E$414, 4, false)), 0, vlookup($A204, FFToolbox!$B$2:$E$414, 4, false))</f>
        <v>0</v>
      </c>
      <c r="M204" s="39">
        <f t="shared" si="1"/>
        <v>0.5</v>
      </c>
      <c r="N204" s="39">
        <f t="shared" si="2"/>
        <v>1</v>
      </c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</row>
    <row r="205">
      <c r="A205" s="17" t="s">
        <v>329</v>
      </c>
      <c r="B205" s="35" t="s">
        <v>1259</v>
      </c>
      <c r="C205" s="35">
        <v>22.0</v>
      </c>
      <c r="D205" s="36" t="s">
        <v>21</v>
      </c>
      <c r="E205" s="36" t="s">
        <v>193</v>
      </c>
      <c r="F205" s="36">
        <f>vlookup(D205,'Team Bye List'!$A$1:$B$33,2,False)</f>
        <v>6</v>
      </c>
      <c r="G205" s="37">
        <f>if(ISNA(vlookup($A205, Sleeper!$B$2:$E$330, 4, false)), 0, vlookup($A205, Sleeper!$B$2:$E$330, 4, false))</f>
        <v>1</v>
      </c>
      <c r="H205" s="37">
        <f>if(ISNA(vlookup($A205, ESPN!$B$2:$E$297, 4, false)), 0, vlookup($A205, ESPN!$B$2:$E$297, 4, false))</f>
        <v>0</v>
      </c>
      <c r="I205" s="37">
        <f>if(ISNA(vlookup($A205,'Ultimate Draft Kit'!$B$2:$E$324,4, false)), 0, vlookup($A205,'Ultimate Draft Kit'!$B$2:$E$324, 4, false))</f>
        <v>1</v>
      </c>
      <c r="J205" s="38">
        <f>if(ISNA(vlookup($A205,Rotowire!$B$2:$E$1075,4, false)), 0, vlookup($A205,Rotowire!$B$2:$E$1075, 4, false))</f>
        <v>0</v>
      </c>
      <c r="K205" s="37">
        <f>if(ISNA(vlookup($A205, FantasyPro!$B$2:$E$341,4,false)),0,vlookup($A205,FantasyPro!$B$2:$E$341,4,false))</f>
        <v>0</v>
      </c>
      <c r="L205" s="37">
        <f>if(ISNA(vlookup($A205, FFToolbox!$B$2:$E$414, 4, false)), 0, vlookup($A205, FFToolbox!$B$2:$E$414, 4, false))</f>
        <v>0</v>
      </c>
      <c r="M205" s="39">
        <f t="shared" si="1"/>
        <v>0.3333333333</v>
      </c>
      <c r="N205" s="39">
        <f t="shared" si="2"/>
        <v>1</v>
      </c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</row>
    <row r="206">
      <c r="A206" s="17" t="s">
        <v>330</v>
      </c>
      <c r="B206" s="35" t="s">
        <v>1259</v>
      </c>
      <c r="C206" s="35">
        <v>14.0</v>
      </c>
      <c r="D206" s="36" t="s">
        <v>62</v>
      </c>
      <c r="E206" s="36" t="s">
        <v>193</v>
      </c>
      <c r="F206" s="36">
        <f>vlookup(D206,'Team Bye List'!$A$1:$B$33,2,False)</f>
        <v>8</v>
      </c>
      <c r="G206" s="37">
        <f>if(ISNA(vlookup($A206, Sleeper!$B$2:$E$330, 4, false)), 0, vlookup($A206, Sleeper!$B$2:$E$330, 4, false))</f>
        <v>1</v>
      </c>
      <c r="H206" s="37">
        <f>if(ISNA(vlookup($A206, ESPN!$B$2:$E$297, 4, false)), 0, vlookup($A206, ESPN!$B$2:$E$297, 4, false))</f>
        <v>0</v>
      </c>
      <c r="I206" s="37">
        <f>if(ISNA(vlookup($A206,'Ultimate Draft Kit'!$B$2:$E$324,4, false)), 0, vlookup($A206,'Ultimate Draft Kit'!$B$2:$E$324, 4, false))</f>
        <v>1</v>
      </c>
      <c r="J206" s="38">
        <f>if(ISNA(vlookup($A206,Rotowire!$B$2:$E$1075,4, false)), 0, vlookup($A206,Rotowire!$B$2:$E$1075, 4, false))</f>
        <v>0</v>
      </c>
      <c r="K206" s="37">
        <f>if(ISNA(vlookup($A206, FantasyPro!$B$2:$E$341,4,false)),0,vlookup($A206,FantasyPro!$B$2:$E$341,4,false))</f>
        <v>0</v>
      </c>
      <c r="L206" s="37">
        <f>if(ISNA(vlookup($A206, FFToolbox!$B$2:$E$414, 4, false)), 0, vlookup($A206, FFToolbox!$B$2:$E$414, 4, false))</f>
        <v>0</v>
      </c>
      <c r="M206" s="39">
        <f t="shared" si="1"/>
        <v>0.3333333333</v>
      </c>
      <c r="N206" s="39">
        <f t="shared" si="2"/>
        <v>1</v>
      </c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</row>
    <row r="207">
      <c r="A207" s="17" t="s">
        <v>331</v>
      </c>
      <c r="B207" s="35" t="s">
        <v>1259</v>
      </c>
      <c r="C207" s="35">
        <v>8.0</v>
      </c>
      <c r="D207" s="36" t="s">
        <v>53</v>
      </c>
      <c r="E207" s="36" t="s">
        <v>193</v>
      </c>
      <c r="F207" s="36">
        <f>vlookup(D207,'Team Bye List'!$A$1:$B$33,2,False)</f>
        <v>9</v>
      </c>
      <c r="G207" s="37">
        <f>if(ISNA(vlookup($A207, Sleeper!$B$2:$E$330, 4, false)), 0, vlookup($A207, Sleeper!$B$2:$E$330, 4, false))</f>
        <v>1</v>
      </c>
      <c r="H207" s="37">
        <f>if(ISNA(vlookup($A207, ESPN!$B$2:$E$297, 4, false)), 0, vlookup($A207, ESPN!$B$2:$E$297, 4, false))</f>
        <v>0</v>
      </c>
      <c r="I207" s="37">
        <f>if(ISNA(vlookup($A207,'Ultimate Draft Kit'!$B$2:$E$324,4, false)), 0, vlookup($A207,'Ultimate Draft Kit'!$B$2:$E$324, 4, false))</f>
        <v>1</v>
      </c>
      <c r="J207" s="38">
        <f>if(ISNA(vlookup($A207,Rotowire!$B$2:$E$1075,4, false)), 0, vlookup($A207,Rotowire!$B$2:$E$1075, 4, false))</f>
        <v>0</v>
      </c>
      <c r="K207" s="37">
        <f>if(ISNA(vlookup($A207, FantasyPro!$B$2:$E$341,4,false)),0,vlookup($A207,FantasyPro!$B$2:$E$341,4,false))</f>
        <v>0</v>
      </c>
      <c r="L207" s="37">
        <f>if(ISNA(vlookup($A207, FFToolbox!$B$2:$E$414, 4, false)), 0, vlookup($A207, FFToolbox!$B$2:$E$414, 4, false))</f>
        <v>0</v>
      </c>
      <c r="M207" s="39">
        <f t="shared" si="1"/>
        <v>0.3333333333</v>
      </c>
      <c r="N207" s="39">
        <f t="shared" si="2"/>
        <v>1</v>
      </c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</row>
    <row r="208">
      <c r="A208" s="17" t="s">
        <v>332</v>
      </c>
      <c r="B208" s="35" t="s">
        <v>1259</v>
      </c>
      <c r="C208" s="35">
        <v>27.0</v>
      </c>
      <c r="D208" s="36" t="s">
        <v>25</v>
      </c>
      <c r="E208" s="36" t="s">
        <v>193</v>
      </c>
      <c r="F208" s="36">
        <f>vlookup(D208,'Team Bye List'!$A$1:$B$33,2,False)</f>
        <v>7</v>
      </c>
      <c r="G208" s="37">
        <f>if(ISNA(vlookup($A208, Sleeper!$B$2:$E$330, 4, false)), 0, vlookup($A208, Sleeper!$B$2:$E$330, 4, false))</f>
        <v>1</v>
      </c>
      <c r="H208" s="37">
        <f>if(ISNA(vlookup($A208, ESPN!$B$2:$E$297, 4, false)), 0, vlookup($A208, ESPN!$B$2:$E$297, 4, false))</f>
        <v>0</v>
      </c>
      <c r="I208" s="37">
        <f>if(ISNA(vlookup($A208,'Ultimate Draft Kit'!$B$2:$E$324,4, false)), 0, vlookup($A208,'Ultimate Draft Kit'!$B$2:$E$324, 4, false))</f>
        <v>1</v>
      </c>
      <c r="J208" s="38">
        <f>if(ISNA(vlookup($A208,Rotowire!$B$2:$E$1075,4, false)), 0, vlookup($A208,Rotowire!$B$2:$E$1075, 4, false))</f>
        <v>0</v>
      </c>
      <c r="K208" s="37">
        <f>if(ISNA(vlookup($A208, FantasyPro!$B$2:$E$341,4,false)),0,vlookup($A208,FantasyPro!$B$2:$E$341,4,false))</f>
        <v>0</v>
      </c>
      <c r="L208" s="37">
        <f>if(ISNA(vlookup($A208, FFToolbox!$B$2:$E$414, 4, false)), 0, vlookup($A208, FFToolbox!$B$2:$E$414, 4, false))</f>
        <v>0</v>
      </c>
      <c r="M208" s="39">
        <f t="shared" si="1"/>
        <v>0.3333333333</v>
      </c>
      <c r="N208" s="39">
        <f t="shared" si="2"/>
        <v>1</v>
      </c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</row>
    <row r="209">
      <c r="A209" s="17" t="s">
        <v>333</v>
      </c>
      <c r="B209" s="35" t="s">
        <v>1259</v>
      </c>
      <c r="C209" s="35">
        <v>25.0</v>
      </c>
      <c r="D209" s="36" t="s">
        <v>69</v>
      </c>
      <c r="E209" s="36" t="s">
        <v>193</v>
      </c>
      <c r="F209" s="36">
        <f>vlookup(D209,'Team Bye List'!$A$1:$B$33,2,False)</f>
        <v>10</v>
      </c>
      <c r="G209" s="37">
        <f>if(ISNA(vlookup($A209, Sleeper!$B$2:$E$330, 4, false)), 0, vlookup($A209, Sleeper!$B$2:$E$330, 4, false))</f>
        <v>1</v>
      </c>
      <c r="H209" s="37">
        <f>if(ISNA(vlookup($A209, ESPN!$B$2:$E$297, 4, false)), 0, vlookup($A209, ESPN!$B$2:$E$297, 4, false))</f>
        <v>0</v>
      </c>
      <c r="I209" s="37">
        <f>if(ISNA(vlookup($A209,'Ultimate Draft Kit'!$B$2:$E$324,4, false)), 0, vlookup($A209,'Ultimate Draft Kit'!$B$2:$E$324, 4, false))</f>
        <v>1</v>
      </c>
      <c r="J209" s="38">
        <f>if(ISNA(vlookup($A209,Rotowire!$B$2:$E$1075,4, false)), 0, vlookup($A209,Rotowire!$B$2:$E$1075, 4, false))</f>
        <v>0</v>
      </c>
      <c r="K209" s="37">
        <f>if(ISNA(vlookup($A209, FantasyPro!$B$2:$E$341,4,false)),0,vlookup($A209,FantasyPro!$B$2:$E$341,4,false))</f>
        <v>0</v>
      </c>
      <c r="L209" s="37">
        <f>if(ISNA(vlookup($A209, FFToolbox!$B$2:$E$414, 4, false)), 0, vlookup($A209, FFToolbox!$B$2:$E$414, 4, false))</f>
        <v>0</v>
      </c>
      <c r="M209" s="39">
        <f t="shared" si="1"/>
        <v>0.3333333333</v>
      </c>
      <c r="N209" s="39">
        <f t="shared" si="2"/>
        <v>1</v>
      </c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</row>
    <row r="210">
      <c r="A210" s="17" t="s">
        <v>335</v>
      </c>
      <c r="B210" s="35" t="s">
        <v>1259</v>
      </c>
      <c r="C210" s="35">
        <v>19.0</v>
      </c>
      <c r="D210" s="36" t="s">
        <v>10</v>
      </c>
      <c r="E210" s="36" t="s">
        <v>193</v>
      </c>
      <c r="F210" s="36">
        <f>vlookup(D210,'Team Bye List'!$A$1:$B$33,2,False)</f>
        <v>13</v>
      </c>
      <c r="G210" s="37">
        <f>if(ISNA(vlookup($A210, Sleeper!$B$2:$E$330, 4, false)), 0, vlookup($A210, Sleeper!$B$2:$E$330, 4, false))</f>
        <v>1</v>
      </c>
      <c r="H210" s="37">
        <f>if(ISNA(vlookup($A210, ESPN!$B$2:$E$297, 4, false)), 0, vlookup($A210, ESPN!$B$2:$E$297, 4, false))</f>
        <v>0</v>
      </c>
      <c r="I210" s="37">
        <f>if(ISNA(vlookup($A210,'Ultimate Draft Kit'!$B$2:$E$324,4, false)), 0, vlookup($A210,'Ultimate Draft Kit'!$B$2:$E$324, 4, false))</f>
        <v>1</v>
      </c>
      <c r="J210" s="38">
        <f>if(ISNA(vlookup($A210,Rotowire!$B$2:$E$1075,4, false)), 0, vlookup($A210,Rotowire!$B$2:$E$1075, 4, false))</f>
        <v>0</v>
      </c>
      <c r="K210" s="37">
        <f>if(ISNA(vlookup($A210, FantasyPro!$B$2:$E$341,4,false)),0,vlookup($A210,FantasyPro!$B$2:$E$341,4,false))</f>
        <v>0</v>
      </c>
      <c r="L210" s="37">
        <f>if(ISNA(vlookup($A210, FFToolbox!$B$2:$E$414, 4, false)), 0, vlookup($A210, FFToolbox!$B$2:$E$414, 4, false))</f>
        <v>0</v>
      </c>
      <c r="M210" s="39">
        <f t="shared" si="1"/>
        <v>0.3333333333</v>
      </c>
      <c r="N210" s="39">
        <f t="shared" si="2"/>
        <v>1</v>
      </c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</row>
    <row r="211">
      <c r="A211" s="17" t="s">
        <v>336</v>
      </c>
      <c r="B211" s="35" t="s">
        <v>1259</v>
      </c>
      <c r="C211" s="35">
        <v>31.0</v>
      </c>
      <c r="D211" s="36" t="s">
        <v>89</v>
      </c>
      <c r="E211" s="36" t="s">
        <v>193</v>
      </c>
      <c r="F211" s="36">
        <f>vlookup(D211,'Team Bye List'!$A$1:$B$33,2,False)</f>
        <v>14</v>
      </c>
      <c r="G211" s="37">
        <f>if(ISNA(vlookup($A211, Sleeper!$B$2:$E$330, 4, false)), 0, vlookup($A211, Sleeper!$B$2:$E$330, 4, false))</f>
        <v>1</v>
      </c>
      <c r="H211" s="37">
        <f>if(ISNA(vlookup($A211, ESPN!$B$2:$E$297, 4, false)), 0, vlookup($A211, ESPN!$B$2:$E$297, 4, false))</f>
        <v>0</v>
      </c>
      <c r="I211" s="37">
        <f>if(ISNA(vlookup($A211,'Ultimate Draft Kit'!$B$2:$E$324,4, false)), 0, vlookup($A211,'Ultimate Draft Kit'!$B$2:$E$324, 4, false))</f>
        <v>1</v>
      </c>
      <c r="J211" s="38">
        <f>if(ISNA(vlookup($A211,Rotowire!$B$2:$E$1075,4, false)), 0, vlookup($A211,Rotowire!$B$2:$E$1075, 4, false))</f>
        <v>0</v>
      </c>
      <c r="K211" s="37">
        <f>if(ISNA(vlookup($A211, FantasyPro!$B$2:$E$341,4,false)),0,vlookup($A211,FantasyPro!$B$2:$E$341,4,false))</f>
        <v>0</v>
      </c>
      <c r="L211" s="37">
        <f>if(ISNA(vlookup($A211, FFToolbox!$B$2:$E$414, 4, false)), 0, vlookup($A211, FFToolbox!$B$2:$E$414, 4, false))</f>
        <v>0</v>
      </c>
      <c r="M211" s="39">
        <f t="shared" si="1"/>
        <v>0.3333333333</v>
      </c>
      <c r="N211" s="39">
        <f t="shared" si="2"/>
        <v>1</v>
      </c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</row>
    <row r="212">
      <c r="A212" s="17" t="s">
        <v>337</v>
      </c>
      <c r="B212" s="35" t="s">
        <v>1259</v>
      </c>
      <c r="C212" s="35">
        <v>30.0</v>
      </c>
      <c r="D212" s="36" t="s">
        <v>55</v>
      </c>
      <c r="E212" s="36" t="s">
        <v>193</v>
      </c>
      <c r="F212" s="36">
        <f>vlookup(D212,'Team Bye List'!$A$1:$B$33,2,False)</f>
        <v>14</v>
      </c>
      <c r="G212" s="37">
        <f>if(ISNA(vlookup($A212, Sleeper!$B$2:$E$330, 4, false)), 0, vlookup($A212, Sleeper!$B$2:$E$330, 4, false))</f>
        <v>1</v>
      </c>
      <c r="H212" s="37">
        <f>if(ISNA(vlookup($A212, ESPN!$B$2:$E$297, 4, false)), 0, vlookup($A212, ESPN!$B$2:$E$297, 4, false))</f>
        <v>0</v>
      </c>
      <c r="I212" s="37">
        <f>if(ISNA(vlookup($A212,'Ultimate Draft Kit'!$B$2:$E$324,4, false)), 0, vlookup($A212,'Ultimate Draft Kit'!$B$2:$E$324, 4, false))</f>
        <v>1</v>
      </c>
      <c r="J212" s="38">
        <f>if(ISNA(vlookup($A212,Rotowire!$B$2:$E$1075,4, false)), 0, vlookup($A212,Rotowire!$B$2:$E$1075, 4, false))</f>
        <v>0</v>
      </c>
      <c r="K212" s="37">
        <f>if(ISNA(vlookup($A212, FantasyPro!$B$2:$E$341,4,false)),0,vlookup($A212,FantasyPro!$B$2:$E$341,4,false))</f>
        <v>0</v>
      </c>
      <c r="L212" s="37">
        <f>if(ISNA(vlookup($A212, FFToolbox!$B$2:$E$414, 4, false)), 0, vlookup($A212, FFToolbox!$B$2:$E$414, 4, false))</f>
        <v>0</v>
      </c>
      <c r="M212" s="39">
        <f t="shared" si="1"/>
        <v>0.3333333333</v>
      </c>
      <c r="N212" s="39">
        <f t="shared" si="2"/>
        <v>1</v>
      </c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</row>
    <row r="213">
      <c r="A213" s="17" t="s">
        <v>338</v>
      </c>
      <c r="B213" s="35" t="s">
        <v>1259</v>
      </c>
      <c r="C213" s="35">
        <v>28.0</v>
      </c>
      <c r="D213" s="36" t="s">
        <v>85</v>
      </c>
      <c r="E213" s="36" t="s">
        <v>193</v>
      </c>
      <c r="F213" s="36">
        <f>vlookup(D213,'Team Bye List'!$A$1:$B$33,2,False)</f>
        <v>9</v>
      </c>
      <c r="G213" s="37">
        <f>if(ISNA(vlookup($A213, Sleeper!$B$2:$E$330, 4, false)), 0, vlookup($A213, Sleeper!$B$2:$E$330, 4, false))</f>
        <v>1</v>
      </c>
      <c r="H213" s="37">
        <f>if(ISNA(vlookup($A213, ESPN!$B$2:$E$297, 4, false)), 0, vlookup($A213, ESPN!$B$2:$E$297, 4, false))</f>
        <v>0</v>
      </c>
      <c r="I213" s="37">
        <f>if(ISNA(vlookup($A213,'Ultimate Draft Kit'!$B$2:$E$324,4, false)), 0, vlookup($A213,'Ultimate Draft Kit'!$B$2:$E$324, 4, false))</f>
        <v>1</v>
      </c>
      <c r="J213" s="38">
        <f>if(ISNA(vlookup($A213,Rotowire!$B$2:$E$1075,4, false)), 0, vlookup($A213,Rotowire!$B$2:$E$1075, 4, false))</f>
        <v>0</v>
      </c>
      <c r="K213" s="37">
        <f>if(ISNA(vlookup($A213, FantasyPro!$B$2:$E$341,4,false)),0,vlookup($A213,FantasyPro!$B$2:$E$341,4,false))</f>
        <v>0</v>
      </c>
      <c r="L213" s="37">
        <f>if(ISNA(vlookup($A213, FFToolbox!$B$2:$E$414, 4, false)), 0, vlookup($A213, FFToolbox!$B$2:$E$414, 4, false))</f>
        <v>0</v>
      </c>
      <c r="M213" s="39">
        <f t="shared" si="1"/>
        <v>0.3333333333</v>
      </c>
      <c r="N213" s="39">
        <f t="shared" si="2"/>
        <v>1</v>
      </c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</row>
    <row r="214">
      <c r="A214" s="17" t="s">
        <v>339</v>
      </c>
      <c r="B214" s="35" t="s">
        <v>1259</v>
      </c>
      <c r="C214" s="35">
        <v>29.0</v>
      </c>
      <c r="D214" s="36" t="s">
        <v>35</v>
      </c>
      <c r="E214" s="36" t="s">
        <v>193</v>
      </c>
      <c r="F214" s="36">
        <f>vlookup(D214,'Team Bye List'!$A$1:$B$33,2,False)</f>
        <v>6</v>
      </c>
      <c r="G214" s="37">
        <f>if(ISNA(vlookup($A214, Sleeper!$B$2:$E$330, 4, false)), 0, vlookup($A214, Sleeper!$B$2:$E$330, 4, false))</f>
        <v>1</v>
      </c>
      <c r="H214" s="37">
        <f>if(ISNA(vlookup($A214, ESPN!$B$2:$E$297, 4, false)), 0, vlookup($A214, ESPN!$B$2:$E$297, 4, false))</f>
        <v>0</v>
      </c>
      <c r="I214" s="37">
        <f>if(ISNA(vlookup($A214,'Ultimate Draft Kit'!$B$2:$E$324,4, false)), 0, vlookup($A214,'Ultimate Draft Kit'!$B$2:$E$324, 4, false))</f>
        <v>1</v>
      </c>
      <c r="J214" s="38">
        <f>if(ISNA(vlookup($A214,Rotowire!$B$2:$E$1075,4, false)), 0, vlookup($A214,Rotowire!$B$2:$E$1075, 4, false))</f>
        <v>0</v>
      </c>
      <c r="K214" s="37">
        <f>if(ISNA(vlookup($A214, FantasyPro!$B$2:$E$341,4,false)),0,vlookup($A214,FantasyPro!$B$2:$E$341,4,false))</f>
        <v>0</v>
      </c>
      <c r="L214" s="37">
        <f>if(ISNA(vlookup($A214, FFToolbox!$B$2:$E$414, 4, false)), 0, vlookup($A214, FFToolbox!$B$2:$E$414, 4, false))</f>
        <v>0</v>
      </c>
      <c r="M214" s="39">
        <f t="shared" si="1"/>
        <v>0.3333333333</v>
      </c>
      <c r="N214" s="39">
        <f t="shared" si="2"/>
        <v>1</v>
      </c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</row>
    <row r="215">
      <c r="A215" s="17" t="s">
        <v>340</v>
      </c>
      <c r="B215" s="35" t="s">
        <v>1259</v>
      </c>
      <c r="C215" s="35">
        <v>32.0</v>
      </c>
      <c r="D215" s="36" t="s">
        <v>81</v>
      </c>
      <c r="E215" s="36" t="s">
        <v>193</v>
      </c>
      <c r="F215" s="36">
        <f>vlookup(D215,'Team Bye List'!$A$1:$B$33,2,False)</f>
        <v>6</v>
      </c>
      <c r="G215" s="37">
        <f>if(ISNA(vlookup($A215, Sleeper!$B$2:$E$330, 4, false)), 0, vlookup($A215, Sleeper!$B$2:$E$330, 4, false))</f>
        <v>1</v>
      </c>
      <c r="H215" s="37">
        <f>if(ISNA(vlookup($A215, ESPN!$B$2:$E$297, 4, false)), 0, vlookup($A215, ESPN!$B$2:$E$297, 4, false))</f>
        <v>0</v>
      </c>
      <c r="I215" s="37">
        <f>if(ISNA(vlookup($A215,'Ultimate Draft Kit'!$B$2:$E$324,4, false)), 0, vlookup($A215,'Ultimate Draft Kit'!$B$2:$E$324, 4, false))</f>
        <v>1</v>
      </c>
      <c r="J215" s="38">
        <f>if(ISNA(vlookup($A215,Rotowire!$B$2:$E$1075,4, false)), 0, vlookup($A215,Rotowire!$B$2:$E$1075, 4, false))</f>
        <v>0</v>
      </c>
      <c r="K215" s="37">
        <f>if(ISNA(vlookup($A215, FantasyPro!$B$2:$E$341,4,false)),0,vlookup($A215,FantasyPro!$B$2:$E$341,4,false))</f>
        <v>0</v>
      </c>
      <c r="L215" s="37">
        <f>if(ISNA(vlookup($A215, FFToolbox!$B$2:$E$414, 4, false)), 0, vlookup($A215, FFToolbox!$B$2:$E$414, 4, false))</f>
        <v>0</v>
      </c>
      <c r="M215" s="39">
        <f t="shared" si="1"/>
        <v>0.3333333333</v>
      </c>
      <c r="N215" s="39">
        <f t="shared" si="2"/>
        <v>1</v>
      </c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</row>
    <row r="216">
      <c r="A216" s="17" t="s">
        <v>795</v>
      </c>
      <c r="B216" s="35" t="s">
        <v>1259</v>
      </c>
      <c r="C216" s="35">
        <v>31.0</v>
      </c>
      <c r="D216" s="36" t="s">
        <v>23</v>
      </c>
      <c r="E216" s="36" t="s">
        <v>183</v>
      </c>
      <c r="F216" s="36">
        <f>vlookup(D216,'Team Bye List'!$A$1:$B$33,2,False)</f>
        <v>9</v>
      </c>
      <c r="G216" s="37">
        <f>if(ISNA(vlookup($A216, Sleeper!$B$2:$E$330, 4, false)), 0, vlookup($A216, Sleeper!$B$2:$E$330, 4, false))</f>
        <v>1</v>
      </c>
      <c r="H216" s="37">
        <f>if(ISNA(vlookup($A216, ESPN!$B$2:$E$297, 4, false)), 0, vlookup($A216, ESPN!$B$2:$E$297, 4, false))</f>
        <v>0</v>
      </c>
      <c r="I216" s="37">
        <f>if(ISNA(vlookup($A216,'Ultimate Draft Kit'!$B$2:$E$324,4, false)), 0, vlookup($A216,'Ultimate Draft Kit'!$B$2:$E$324, 4, false))</f>
        <v>1</v>
      </c>
      <c r="J216" s="38">
        <f>if(ISNA(vlookup($A216,Rotowire!$B$2:$E$1075,4, false)), 0, vlookup($A216,Rotowire!$B$2:$E$1075, 4, false))</f>
        <v>0</v>
      </c>
      <c r="K216" s="37">
        <f>if(ISNA(vlookup($A216, FantasyPro!$B$2:$E$341,4,false)),0,vlookup($A216,FantasyPro!$B$2:$E$341,4,false))</f>
        <v>0</v>
      </c>
      <c r="L216" s="37">
        <f>if(ISNA(vlookup($A216, FFToolbox!$B$2:$E$414, 4, false)), 0, vlookup($A216, FFToolbox!$B$2:$E$414, 4, false))</f>
        <v>1</v>
      </c>
      <c r="M216" s="39">
        <f t="shared" si="1"/>
        <v>0.5</v>
      </c>
      <c r="N216" s="39">
        <f t="shared" si="2"/>
        <v>1</v>
      </c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</row>
    <row r="217">
      <c r="A217" s="17" t="s">
        <v>793</v>
      </c>
      <c r="B217" s="35" t="s">
        <v>1259</v>
      </c>
      <c r="C217" s="35">
        <v>8.0</v>
      </c>
      <c r="D217" s="36" t="s">
        <v>15</v>
      </c>
      <c r="E217" s="36" t="s">
        <v>183</v>
      </c>
      <c r="F217" s="36">
        <f>vlookup(D217,'Team Bye List'!$A$1:$B$33,2,False)</f>
        <v>6</v>
      </c>
      <c r="G217" s="37">
        <f>if(ISNA(vlookup($A217, Sleeper!$B$2:$E$330, 4, false)), 0, vlookup($A217, Sleeper!$B$2:$E$330, 4, false))</f>
        <v>1</v>
      </c>
      <c r="H217" s="37">
        <f>if(ISNA(vlookup($A217, ESPN!$B$2:$E$297, 4, false)), 0, vlookup($A217, ESPN!$B$2:$E$297, 4, false))</f>
        <v>0</v>
      </c>
      <c r="I217" s="37">
        <f>if(ISNA(vlookup($A217,'Ultimate Draft Kit'!$B$2:$E$324,4, false)), 0, vlookup($A217,'Ultimate Draft Kit'!$B$2:$E$324, 4, false))</f>
        <v>1</v>
      </c>
      <c r="J217" s="38">
        <f>if(ISNA(vlookup($A217,Rotowire!$B$2:$E$1075,4, false)), 0, vlookup($A217,Rotowire!$B$2:$E$1075, 4, false))</f>
        <v>0</v>
      </c>
      <c r="K217" s="37">
        <f>if(ISNA(vlookup($A217, FantasyPro!$B$2:$E$341,4,false)),0,vlookup($A217,FantasyPro!$B$2:$E$341,4,false))</f>
        <v>0</v>
      </c>
      <c r="L217" s="37">
        <f>if(ISNA(vlookup($A217, FFToolbox!$B$2:$E$414, 4, false)), 0, vlookup($A217, FFToolbox!$B$2:$E$414, 4, false))</f>
        <v>1</v>
      </c>
      <c r="M217" s="39">
        <f t="shared" si="1"/>
        <v>0.5</v>
      </c>
      <c r="N217" s="39">
        <f t="shared" si="2"/>
        <v>1</v>
      </c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</row>
    <row r="218">
      <c r="A218" s="17" t="s">
        <v>790</v>
      </c>
      <c r="B218" s="35" t="s">
        <v>1259</v>
      </c>
      <c r="C218" s="35">
        <v>16.0</v>
      </c>
      <c r="D218" s="36" t="s">
        <v>89</v>
      </c>
      <c r="E218" s="36" t="s">
        <v>183</v>
      </c>
      <c r="F218" s="36">
        <f>vlookup(D218,'Team Bye List'!$A$1:$B$33,2,False)</f>
        <v>14</v>
      </c>
      <c r="G218" s="37">
        <f>if(ISNA(vlookup($A218, Sleeper!$B$2:$E$330, 4, false)), 0, vlookup($A218, Sleeper!$B$2:$E$330, 4, false))</f>
        <v>1</v>
      </c>
      <c r="H218" s="37">
        <f>if(ISNA(vlookup($A218, ESPN!$B$2:$E$297, 4, false)), 0, vlookup($A218, ESPN!$B$2:$E$297, 4, false))</f>
        <v>0</v>
      </c>
      <c r="I218" s="37">
        <f>if(ISNA(vlookup($A218,'Ultimate Draft Kit'!$B$2:$E$324,4, false)), 0, vlookup($A218,'Ultimate Draft Kit'!$B$2:$E$324, 4, false))</f>
        <v>1</v>
      </c>
      <c r="J218" s="38">
        <f>if(ISNA(vlookup($A218,Rotowire!$B$2:$E$1075,4, false)), 0, vlookup($A218,Rotowire!$B$2:$E$1075, 4, false))</f>
        <v>0</v>
      </c>
      <c r="K218" s="37">
        <f>if(ISNA(vlookup($A218, FantasyPro!$B$2:$E$341,4,false)),0,vlookup($A218,FantasyPro!$B$2:$E$341,4,false))</f>
        <v>0</v>
      </c>
      <c r="L218" s="37">
        <f>if(ISNA(vlookup($A218, FFToolbox!$B$2:$E$414, 4, false)), 0, vlookup($A218, FFToolbox!$B$2:$E$414, 4, false))</f>
        <v>1</v>
      </c>
      <c r="M218" s="39">
        <f t="shared" si="1"/>
        <v>0.5</v>
      </c>
      <c r="N218" s="39">
        <f t="shared" si="2"/>
        <v>1</v>
      </c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</row>
    <row r="219">
      <c r="A219" s="17" t="s">
        <v>805</v>
      </c>
      <c r="B219" s="35" t="s">
        <v>1259</v>
      </c>
      <c r="C219" s="35">
        <v>22.0</v>
      </c>
      <c r="D219" s="36" t="s">
        <v>73</v>
      </c>
      <c r="E219" s="36" t="s">
        <v>183</v>
      </c>
      <c r="F219" s="36">
        <f>vlookup(D219,'Team Bye List'!$A$1:$B$33,2,False)</f>
        <v>14</v>
      </c>
      <c r="G219" s="37">
        <f>if(ISNA(vlookup($A219, Sleeper!$B$2:$E$330, 4, false)), 0, vlookup($A219, Sleeper!$B$2:$E$330, 4, false))</f>
        <v>1</v>
      </c>
      <c r="H219" s="37">
        <f>if(ISNA(vlookup($A219, ESPN!$B$2:$E$297, 4, false)), 0, vlookup($A219, ESPN!$B$2:$E$297, 4, false))</f>
        <v>0</v>
      </c>
      <c r="I219" s="37">
        <f>if(ISNA(vlookup($A219,'Ultimate Draft Kit'!$B$2:$E$324,4, false)), 0, vlookup($A219,'Ultimate Draft Kit'!$B$2:$E$324, 4, false))</f>
        <v>1</v>
      </c>
      <c r="J219" s="38">
        <f>if(ISNA(vlookup($A219,Rotowire!$B$2:$E$1075,4, false)), 0, vlookup($A219,Rotowire!$B$2:$E$1075, 4, false))</f>
        <v>0</v>
      </c>
      <c r="K219" s="37">
        <f>if(ISNA(vlookup($A219, FantasyPro!$B$2:$E$341,4,false)),0,vlookup($A219,FantasyPro!$B$2:$E$341,4,false))</f>
        <v>0</v>
      </c>
      <c r="L219" s="37">
        <f>if(ISNA(vlookup($A219, FFToolbox!$B$2:$E$414, 4, false)), 0, vlookup($A219, FFToolbox!$B$2:$E$414, 4, false))</f>
        <v>0</v>
      </c>
      <c r="M219" s="39">
        <f t="shared" si="1"/>
        <v>0.3333333333</v>
      </c>
      <c r="N219" s="39">
        <f t="shared" si="2"/>
        <v>1</v>
      </c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</row>
    <row r="220">
      <c r="A220" s="17" t="s">
        <v>810</v>
      </c>
      <c r="B220" s="35" t="s">
        <v>1259</v>
      </c>
      <c r="C220" s="35">
        <v>26.0</v>
      </c>
      <c r="D220" s="36" t="s">
        <v>99</v>
      </c>
      <c r="E220" s="36" t="s">
        <v>183</v>
      </c>
      <c r="F220" s="36">
        <f>vlookup(D220,'Team Bye List'!$A$1:$B$33,2,False)</f>
        <v>11</v>
      </c>
      <c r="G220" s="37">
        <f>if(ISNA(vlookup($A220, Sleeper!$B$2:$E$330, 4, false)), 0, vlookup($A220, Sleeper!$B$2:$E$330, 4, false))</f>
        <v>1</v>
      </c>
      <c r="H220" s="37">
        <f>if(ISNA(vlookup($A220, ESPN!$B$2:$E$297, 4, false)), 0, vlookup($A220, ESPN!$B$2:$E$297, 4, false))</f>
        <v>0</v>
      </c>
      <c r="I220" s="37">
        <f>if(ISNA(vlookup($A220,'Ultimate Draft Kit'!$B$2:$E$324,4, false)), 0, vlookup($A220,'Ultimate Draft Kit'!$B$2:$E$324, 4, false))</f>
        <v>1</v>
      </c>
      <c r="J220" s="38">
        <f>if(ISNA(vlookup($A220,Rotowire!$B$2:$E$1075,4, false)), 0, vlookup($A220,Rotowire!$B$2:$E$1075, 4, false))</f>
        <v>0</v>
      </c>
      <c r="K220" s="37">
        <f>if(ISNA(vlookup($A220, FantasyPro!$B$2:$E$341,4,false)),0,vlookup($A220,FantasyPro!$B$2:$E$341,4,false))</f>
        <v>0</v>
      </c>
      <c r="L220" s="37">
        <f>if(ISNA(vlookup($A220, FFToolbox!$B$2:$E$414, 4, false)), 0, vlookup($A220, FFToolbox!$B$2:$E$414, 4, false))</f>
        <v>0</v>
      </c>
      <c r="M220" s="39">
        <f t="shared" si="1"/>
        <v>0.3333333333</v>
      </c>
      <c r="N220" s="39">
        <f t="shared" si="2"/>
        <v>1</v>
      </c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</row>
    <row r="221">
      <c r="A221" s="17" t="s">
        <v>799</v>
      </c>
      <c r="B221" s="35" t="s">
        <v>1259</v>
      </c>
      <c r="C221" s="35">
        <v>25.0</v>
      </c>
      <c r="D221" s="36" t="s">
        <v>21</v>
      </c>
      <c r="E221" s="36" t="s">
        <v>183</v>
      </c>
      <c r="F221" s="36">
        <f>vlookup(D221,'Team Bye List'!$A$1:$B$33,2,False)</f>
        <v>6</v>
      </c>
      <c r="G221" s="37">
        <f>if(ISNA(vlookup($A221, Sleeper!$B$2:$E$330, 4, false)), 0, vlookup($A221, Sleeper!$B$2:$E$330, 4, false))</f>
        <v>1</v>
      </c>
      <c r="H221" s="37">
        <f>if(ISNA(vlookup($A221, ESPN!$B$2:$E$297, 4, false)), 0, vlookup($A221, ESPN!$B$2:$E$297, 4, false))</f>
        <v>0</v>
      </c>
      <c r="I221" s="37">
        <f>if(ISNA(vlookup($A221,'Ultimate Draft Kit'!$B$2:$E$324,4, false)), 0, vlookup($A221,'Ultimate Draft Kit'!$B$2:$E$324, 4, false))</f>
        <v>1</v>
      </c>
      <c r="J221" s="38">
        <f>if(ISNA(vlookup($A221,Rotowire!$B$2:$E$1075,4, false)), 0, vlookup($A221,Rotowire!$B$2:$E$1075, 4, false))</f>
        <v>0</v>
      </c>
      <c r="K221" s="37">
        <f>if(ISNA(vlookup($A221, FantasyPro!$B$2:$E$341,4,false)),0,vlookup($A221,FantasyPro!$B$2:$E$341,4,false))</f>
        <v>0</v>
      </c>
      <c r="L221" s="37">
        <f>if(ISNA(vlookup($A221, FFToolbox!$B$2:$E$414, 4, false)), 0, vlookup($A221, FFToolbox!$B$2:$E$414, 4, false))</f>
        <v>1</v>
      </c>
      <c r="M221" s="39">
        <f t="shared" si="1"/>
        <v>0.5</v>
      </c>
      <c r="N221" s="39">
        <f t="shared" si="2"/>
        <v>1</v>
      </c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</row>
    <row r="222">
      <c r="A222" s="17" t="s">
        <v>796</v>
      </c>
      <c r="B222" s="35" t="s">
        <v>1259</v>
      </c>
      <c r="C222" s="35">
        <v>11.0</v>
      </c>
      <c r="D222" s="36" t="s">
        <v>41</v>
      </c>
      <c r="E222" s="36" t="s">
        <v>183</v>
      </c>
      <c r="F222" s="36">
        <f>vlookup(D222,'Team Bye List'!$A$1:$B$33,2,False)</f>
        <v>14</v>
      </c>
      <c r="G222" s="37">
        <f>if(ISNA(vlookup($A222, Sleeper!$B$2:$E$330, 4, false)), 0, vlookup($A222, Sleeper!$B$2:$E$330, 4, false))</f>
        <v>1</v>
      </c>
      <c r="H222" s="37">
        <f>if(ISNA(vlookup($A222, ESPN!$B$2:$E$297, 4, false)), 0, vlookup($A222, ESPN!$B$2:$E$297, 4, false))</f>
        <v>0</v>
      </c>
      <c r="I222" s="37">
        <f>if(ISNA(vlookup($A222,'Ultimate Draft Kit'!$B$2:$E$324,4, false)), 0, vlookup($A222,'Ultimate Draft Kit'!$B$2:$E$324, 4, false))</f>
        <v>1</v>
      </c>
      <c r="J222" s="38">
        <f>if(ISNA(vlookup($A222,Rotowire!$B$2:$E$1075,4, false)), 0, vlookup($A222,Rotowire!$B$2:$E$1075, 4, false))</f>
        <v>0</v>
      </c>
      <c r="K222" s="37">
        <f>if(ISNA(vlookup($A222, FantasyPro!$B$2:$E$341,4,false)),0,vlookup($A222,FantasyPro!$B$2:$E$341,4,false))</f>
        <v>0</v>
      </c>
      <c r="L222" s="37">
        <f>if(ISNA(vlookup($A222, FFToolbox!$B$2:$E$414, 4, false)), 0, vlookup($A222, FFToolbox!$B$2:$E$414, 4, false))</f>
        <v>1</v>
      </c>
      <c r="M222" s="39">
        <f t="shared" si="1"/>
        <v>0.5</v>
      </c>
      <c r="N222" s="39">
        <f t="shared" si="2"/>
        <v>1</v>
      </c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</row>
    <row r="223">
      <c r="A223" s="17" t="s">
        <v>794</v>
      </c>
      <c r="B223" s="35" t="s">
        <v>1259</v>
      </c>
      <c r="C223" s="35" t="s">
        <v>1260</v>
      </c>
      <c r="D223" s="36" t="s">
        <v>69</v>
      </c>
      <c r="E223" s="36" t="s">
        <v>183</v>
      </c>
      <c r="F223" s="36">
        <f>vlookup(D223,'Team Bye List'!$A$1:$B$33,2,False)</f>
        <v>10</v>
      </c>
      <c r="G223" s="37">
        <f>if(ISNA(vlookup($A223, Sleeper!$B$2:$E$330, 4, false)), 0, vlookup($A223, Sleeper!$B$2:$E$330, 4, false))</f>
        <v>1</v>
      </c>
      <c r="H223" s="37">
        <f>if(ISNA(vlookup($A223, ESPN!$B$2:$E$297, 4, false)), 0, vlookup($A223, ESPN!$B$2:$E$297, 4, false))</f>
        <v>0</v>
      </c>
      <c r="I223" s="37">
        <f>if(ISNA(vlookup($A223,'Ultimate Draft Kit'!$B$2:$E$324,4, false)), 0, vlookup($A223,'Ultimate Draft Kit'!$B$2:$E$324, 4, false))</f>
        <v>1</v>
      </c>
      <c r="J223" s="38">
        <f>if(ISNA(vlookup($A223,Rotowire!$B$2:$E$1075,4, false)), 0, vlookup($A223,Rotowire!$B$2:$E$1075, 4, false))</f>
        <v>0</v>
      </c>
      <c r="K223" s="37">
        <f>if(ISNA(vlookup($A223, FantasyPro!$B$2:$E$341,4,false)),0,vlookup($A223,FantasyPro!$B$2:$E$341,4,false))</f>
        <v>0</v>
      </c>
      <c r="L223" s="37">
        <f>if(ISNA(vlookup($A223, FFToolbox!$B$2:$E$414, 4, false)), 0, vlookup($A223, FFToolbox!$B$2:$E$414, 4, false))</f>
        <v>0</v>
      </c>
      <c r="M223" s="39">
        <f t="shared" si="1"/>
        <v>0.3333333333</v>
      </c>
      <c r="N223" s="39">
        <f t="shared" si="2"/>
        <v>1</v>
      </c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</row>
    <row r="224">
      <c r="A224" s="17" t="s">
        <v>791</v>
      </c>
      <c r="B224" s="35" t="s">
        <v>1259</v>
      </c>
      <c r="C224" s="35">
        <v>18.0</v>
      </c>
      <c r="D224" s="36" t="s">
        <v>7</v>
      </c>
      <c r="E224" s="36" t="s">
        <v>183</v>
      </c>
      <c r="F224" s="36">
        <f>vlookup(D224,'Team Bye List'!$A$1:$B$33,2,False)</f>
        <v>14</v>
      </c>
      <c r="G224" s="37">
        <f>if(ISNA(vlookup($A224, Sleeper!$B$2:$E$330, 4, false)), 0, vlookup($A224, Sleeper!$B$2:$E$330, 4, false))</f>
        <v>1</v>
      </c>
      <c r="H224" s="37">
        <f>if(ISNA(vlookup($A224, ESPN!$B$2:$E$297, 4, false)), 0, vlookup($A224, ESPN!$B$2:$E$297, 4, false))</f>
        <v>0</v>
      </c>
      <c r="I224" s="37">
        <f>if(ISNA(vlookup($A224,'Ultimate Draft Kit'!$B$2:$E$324,4, false)), 0, vlookup($A224,'Ultimate Draft Kit'!$B$2:$E$324, 4, false))</f>
        <v>1</v>
      </c>
      <c r="J224" s="38">
        <f>if(ISNA(vlookup($A224,Rotowire!$B$2:$E$1075,4, false)), 0, vlookup($A224,Rotowire!$B$2:$E$1075, 4, false))</f>
        <v>0</v>
      </c>
      <c r="K224" s="37">
        <f>if(ISNA(vlookup($A224, FantasyPro!$B$2:$E$341,4,false)),0,vlookup($A224,FantasyPro!$B$2:$E$341,4,false))</f>
        <v>0</v>
      </c>
      <c r="L224" s="37">
        <f>if(ISNA(vlookup($A224, FFToolbox!$B$2:$E$414, 4, false)), 0, vlookup($A224, FFToolbox!$B$2:$E$414, 4, false))</f>
        <v>1</v>
      </c>
      <c r="M224" s="39">
        <f t="shared" si="1"/>
        <v>0.5</v>
      </c>
      <c r="N224" s="39">
        <f t="shared" si="2"/>
        <v>1</v>
      </c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</row>
    <row r="225">
      <c r="A225" s="17" t="s">
        <v>800</v>
      </c>
      <c r="B225" s="35" t="s">
        <v>1259</v>
      </c>
      <c r="C225" s="35">
        <v>28.0</v>
      </c>
      <c r="D225" s="36" t="s">
        <v>55</v>
      </c>
      <c r="E225" s="36" t="s">
        <v>183</v>
      </c>
      <c r="F225" s="36">
        <f>vlookup(D225,'Team Bye List'!$A$1:$B$33,2,False)</f>
        <v>14</v>
      </c>
      <c r="G225" s="37">
        <f>if(ISNA(vlookup($A225, Sleeper!$B$2:$E$330, 4, false)), 0, vlookup($A225, Sleeper!$B$2:$E$330, 4, false))</f>
        <v>1</v>
      </c>
      <c r="H225" s="37">
        <f>if(ISNA(vlookup($A225, ESPN!$B$2:$E$297, 4, false)), 0, vlookup($A225, ESPN!$B$2:$E$297, 4, false))</f>
        <v>0</v>
      </c>
      <c r="I225" s="37">
        <f>if(ISNA(vlookup($A225,'Ultimate Draft Kit'!$B$2:$E$324,4, false)), 0, vlookup($A225,'Ultimate Draft Kit'!$B$2:$E$324, 4, false))</f>
        <v>1</v>
      </c>
      <c r="J225" s="38">
        <f>if(ISNA(vlookup($A225,Rotowire!$B$2:$E$1075,4, false)), 0, vlookup($A225,Rotowire!$B$2:$E$1075, 4, false))</f>
        <v>0</v>
      </c>
      <c r="K225" s="37">
        <f>if(ISNA(vlookup($A225, FantasyPro!$B$2:$E$341,4,false)),0,vlookup($A225,FantasyPro!$B$2:$E$341,4,false))</f>
        <v>0</v>
      </c>
      <c r="L225" s="37">
        <f>if(ISNA(vlookup($A225, FFToolbox!$B$2:$E$414, 4, false)), 0, vlookup($A225, FFToolbox!$B$2:$E$414, 4, false))</f>
        <v>1</v>
      </c>
      <c r="M225" s="39">
        <f t="shared" si="1"/>
        <v>0.5</v>
      </c>
      <c r="N225" s="39">
        <f t="shared" si="2"/>
        <v>1</v>
      </c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</row>
    <row r="226">
      <c r="A226" s="17" t="s">
        <v>798</v>
      </c>
      <c r="B226" s="35" t="s">
        <v>1259</v>
      </c>
      <c r="C226" s="35">
        <v>27.0</v>
      </c>
      <c r="D226" s="36" t="s">
        <v>85</v>
      </c>
      <c r="E226" s="36" t="s">
        <v>183</v>
      </c>
      <c r="F226" s="36">
        <f>vlookup(D226,'Team Bye List'!$A$1:$B$33,2,False)</f>
        <v>9</v>
      </c>
      <c r="G226" s="37">
        <f>if(ISNA(vlookup($A226, Sleeper!$B$2:$E$330, 4, false)), 0, vlookup($A226, Sleeper!$B$2:$E$330, 4, false))</f>
        <v>1</v>
      </c>
      <c r="H226" s="37">
        <f>if(ISNA(vlookup($A226, ESPN!$B$2:$E$297, 4, false)), 0, vlookup($A226, ESPN!$B$2:$E$297, 4, false))</f>
        <v>0</v>
      </c>
      <c r="I226" s="37">
        <f>if(ISNA(vlookup($A226,'Ultimate Draft Kit'!$B$2:$E$324,4, false)), 0, vlookup($A226,'Ultimate Draft Kit'!$B$2:$E$324, 4, false))</f>
        <v>1</v>
      </c>
      <c r="J226" s="38">
        <f>if(ISNA(vlookup($A226,Rotowire!$B$2:$E$1075,4, false)), 0, vlookup($A226,Rotowire!$B$2:$E$1075, 4, false))</f>
        <v>0</v>
      </c>
      <c r="K226" s="37">
        <f>if(ISNA(vlookup($A226, FantasyPro!$B$2:$E$341,4,false)),0,vlookup($A226,FantasyPro!$B$2:$E$341,4,false))</f>
        <v>0</v>
      </c>
      <c r="L226" s="37">
        <f>if(ISNA(vlookup($A226, FFToolbox!$B$2:$E$414, 4, false)), 0, vlookup($A226, FFToolbox!$B$2:$E$414, 4, false))</f>
        <v>0</v>
      </c>
      <c r="M226" s="39">
        <f t="shared" si="1"/>
        <v>0.3333333333</v>
      </c>
      <c r="N226" s="39">
        <f t="shared" si="2"/>
        <v>1</v>
      </c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</row>
    <row r="227">
      <c r="A227" s="17" t="s">
        <v>806</v>
      </c>
      <c r="B227" s="35" t="s">
        <v>1259</v>
      </c>
      <c r="C227" s="35">
        <v>30.0</v>
      </c>
      <c r="D227" s="36" t="s">
        <v>10</v>
      </c>
      <c r="E227" s="36" t="s">
        <v>183</v>
      </c>
      <c r="F227" s="36">
        <f>vlookup(D227,'Team Bye List'!$A$1:$B$33,2,False)</f>
        <v>13</v>
      </c>
      <c r="G227" s="37">
        <f>if(ISNA(vlookup($A227, Sleeper!$B$2:$E$330, 4, false)), 0, vlookup($A227, Sleeper!$B$2:$E$330, 4, false))</f>
        <v>1</v>
      </c>
      <c r="H227" s="37">
        <f>if(ISNA(vlookup($A227, ESPN!$B$2:$E$297, 4, false)), 0, vlookup($A227, ESPN!$B$2:$E$297, 4, false))</f>
        <v>0</v>
      </c>
      <c r="I227" s="37">
        <f>if(ISNA(vlookup($A227,'Ultimate Draft Kit'!$B$2:$E$324,4, false)), 0, vlookup($A227,'Ultimate Draft Kit'!$B$2:$E$324, 4, false))</f>
        <v>1</v>
      </c>
      <c r="J227" s="38">
        <f>if(ISNA(vlookup($A227,Rotowire!$B$2:$E$1075,4, false)), 0, vlookup($A227,Rotowire!$B$2:$E$1075, 4, false))</f>
        <v>0</v>
      </c>
      <c r="K227" s="37">
        <f>if(ISNA(vlookup($A227, FantasyPro!$B$2:$E$341,4,false)),0,vlookup($A227,FantasyPro!$B$2:$E$341,4,false))</f>
        <v>0</v>
      </c>
      <c r="L227" s="37">
        <f>if(ISNA(vlookup($A227, FFToolbox!$B$2:$E$414, 4, false)), 0, vlookup($A227, FFToolbox!$B$2:$E$414, 4, false))</f>
        <v>1</v>
      </c>
      <c r="M227" s="39">
        <f t="shared" si="1"/>
        <v>0.5</v>
      </c>
      <c r="N227" s="39">
        <f t="shared" si="2"/>
        <v>1</v>
      </c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</row>
    <row r="228">
      <c r="A228" s="17" t="s">
        <v>801</v>
      </c>
      <c r="B228" s="35" t="s">
        <v>1259</v>
      </c>
      <c r="C228" s="35">
        <v>32.0</v>
      </c>
      <c r="D228" s="36" t="s">
        <v>81</v>
      </c>
      <c r="E228" s="36" t="s">
        <v>183</v>
      </c>
      <c r="F228" s="36">
        <f>vlookup(D228,'Team Bye List'!$A$1:$B$33,2,False)</f>
        <v>6</v>
      </c>
      <c r="G228" s="37">
        <f>if(ISNA(vlookup($A228, Sleeper!$B$2:$E$330, 4, false)), 0, vlookup($A228, Sleeper!$B$2:$E$330, 4, false))</f>
        <v>1</v>
      </c>
      <c r="H228" s="37">
        <f>if(ISNA(vlookup($A228, ESPN!$B$2:$E$297, 4, false)), 0, vlookup($A228, ESPN!$B$2:$E$297, 4, false))</f>
        <v>0</v>
      </c>
      <c r="I228" s="37">
        <f>if(ISNA(vlookup($A228,'Ultimate Draft Kit'!$B$2:$E$324,4, false)), 0, vlookup($A228,'Ultimate Draft Kit'!$B$2:$E$324, 4, false))</f>
        <v>0</v>
      </c>
      <c r="J228" s="38">
        <f>if(ISNA(vlookup($A228,Rotowire!$B$2:$E$1075,4, false)), 0, vlookup($A228,Rotowire!$B$2:$E$1075, 4, false))</f>
        <v>0</v>
      </c>
      <c r="K228" s="37">
        <f>if(ISNA(vlookup($A228, FantasyPro!$B$2:$E$341,4,false)),0,vlookup($A228,FantasyPro!$B$2:$E$341,4,false))</f>
        <v>0</v>
      </c>
      <c r="L228" s="37">
        <f>if(ISNA(vlookup($A228, FFToolbox!$B$2:$E$414, 4, false)), 0, vlookup($A228, FFToolbox!$B$2:$E$414, 4, false))</f>
        <v>0</v>
      </c>
      <c r="M228" s="39">
        <f t="shared" si="1"/>
        <v>0.1666666667</v>
      </c>
      <c r="N228" s="39">
        <f t="shared" si="2"/>
        <v>1</v>
      </c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</row>
    <row r="229">
      <c r="A229" s="17" t="s">
        <v>300</v>
      </c>
      <c r="B229" s="35" t="s">
        <v>1259</v>
      </c>
      <c r="C229" s="35">
        <v>6.0</v>
      </c>
      <c r="D229" s="36" t="s">
        <v>19</v>
      </c>
      <c r="E229" s="36" t="s">
        <v>59</v>
      </c>
      <c r="F229" s="36">
        <f>vlookup(D229,'Team Bye List'!$A$1:$B$33,2,False)</f>
        <v>10</v>
      </c>
      <c r="G229" s="37">
        <f>if(ISNA(vlookup($A229, Sleeper!$B$2:$E$330, 4, false)), 0, vlookup($A229, Sleeper!$B$2:$E$330, 4, false))</f>
        <v>1</v>
      </c>
      <c r="H229" s="37">
        <f>if(ISNA(vlookup($A229, ESPN!$B$2:$E$297, 4, false)), 0, vlookup($A229, ESPN!$B$2:$E$297, 4, false))</f>
        <v>0</v>
      </c>
      <c r="I229" s="37">
        <f>if(ISNA(vlookup($A229,'Ultimate Draft Kit'!$B$2:$E$324,4, false)), 0, vlookup($A229,'Ultimate Draft Kit'!$B$2:$E$324, 4, false))</f>
        <v>1</v>
      </c>
      <c r="J229" s="38">
        <f>if(ISNA(vlookup($A229,Rotowire!$B$2:$E$1075,4, false)), 0, vlookup($A229,Rotowire!$B$2:$E$1075, 4, false))</f>
        <v>0</v>
      </c>
      <c r="K229" s="37">
        <f>if(ISNA(vlookup($A229, FantasyPro!$B$2:$E$341,4,false)),0,vlookup($A229,FantasyPro!$B$2:$E$341,4,false))</f>
        <v>1</v>
      </c>
      <c r="L229" s="37">
        <f>if(ISNA(vlookup($A229, FFToolbox!$B$2:$E$414, 4, false)), 0, vlookup($A229, FFToolbox!$B$2:$E$414, 4, false))</f>
        <v>1</v>
      </c>
      <c r="M229" s="39">
        <f t="shared" si="1"/>
        <v>0.6666666667</v>
      </c>
      <c r="N229" s="39">
        <f t="shared" si="2"/>
        <v>1</v>
      </c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</row>
    <row r="230">
      <c r="A230" s="17" t="s">
        <v>792</v>
      </c>
      <c r="B230" s="35" t="s">
        <v>1259</v>
      </c>
      <c r="C230" s="35">
        <v>20.0</v>
      </c>
      <c r="D230" s="36" t="s">
        <v>39</v>
      </c>
      <c r="E230" s="36" t="s">
        <v>183</v>
      </c>
      <c r="F230" s="36">
        <f>vlookup(D230,'Team Bye List'!$A$1:$B$33,2,False)</f>
        <v>11</v>
      </c>
      <c r="G230" s="37">
        <f>if(ISNA(vlookup($A230, Sleeper!$B$2:$E$330, 4, false)), 0, vlookup($A230, Sleeper!$B$2:$E$330, 4, false))</f>
        <v>1</v>
      </c>
      <c r="H230" s="37">
        <f>if(ISNA(vlookup($A230, ESPN!$B$2:$E$297, 4, false)), 0, vlookup($A230, ESPN!$B$2:$E$297, 4, false))</f>
        <v>0</v>
      </c>
      <c r="I230" s="37">
        <f>if(ISNA(vlookup($A230,'Ultimate Draft Kit'!$B$2:$E$324,4, false)), 0, vlookup($A230,'Ultimate Draft Kit'!$B$2:$E$324, 4, false))</f>
        <v>1</v>
      </c>
      <c r="J230" s="38">
        <f>if(ISNA(vlookup($A230,Rotowire!$B$2:$E$1075,4, false)), 0, vlookup($A230,Rotowire!$B$2:$E$1075, 4, false))</f>
        <v>0</v>
      </c>
      <c r="K230" s="37">
        <f>if(ISNA(vlookup($A230, FantasyPro!$B$2:$E$341,4,false)),0,vlookup($A230,FantasyPro!$B$2:$E$341,4,false))</f>
        <v>0</v>
      </c>
      <c r="L230" s="37">
        <f>if(ISNA(vlookup($A230, FFToolbox!$B$2:$E$414, 4, false)), 0, vlookup($A230, FFToolbox!$B$2:$E$414, 4, false))</f>
        <v>1</v>
      </c>
      <c r="M230" s="39">
        <f t="shared" si="1"/>
        <v>0.5</v>
      </c>
      <c r="N230" s="39">
        <f t="shared" si="2"/>
        <v>1</v>
      </c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</row>
    <row r="231">
      <c r="A231" s="17" t="s">
        <v>166</v>
      </c>
      <c r="B231" s="35" t="s">
        <v>1259</v>
      </c>
      <c r="C231" s="35">
        <v>10.0</v>
      </c>
      <c r="D231" s="36" t="s">
        <v>47</v>
      </c>
      <c r="E231" s="36" t="s">
        <v>13</v>
      </c>
      <c r="F231" s="36">
        <f>vlookup(D231,'Team Bye List'!$A$1:$B$33,2,False)</f>
        <v>14</v>
      </c>
      <c r="G231" s="37">
        <f>if(ISNA(vlookup($A231, Sleeper!$B$2:$E$330, 4, false)), 0, vlookup($A231, Sleeper!$B$2:$E$330, 4, false))</f>
        <v>1</v>
      </c>
      <c r="H231" s="37">
        <f>if(ISNA(vlookup($A231, ESPN!$B$2:$E$297, 4, false)), 0, vlookup($A231, ESPN!$B$2:$E$297, 4, false))</f>
        <v>1</v>
      </c>
      <c r="I231" s="37">
        <f>if(ISNA(vlookup($A231,'Ultimate Draft Kit'!$B$2:$E$324,4, false)), 0, vlookup($A231,'Ultimate Draft Kit'!$B$2:$E$324, 4, false))</f>
        <v>1</v>
      </c>
      <c r="J231" s="38">
        <f>if(ISNA(vlookup($A231,Rotowire!$B$2:$E$1075,4, false)), 0, vlookup($A231,Rotowire!$B$2:$E$1075, 4, false))</f>
        <v>0</v>
      </c>
      <c r="K231" s="37">
        <f>if(ISNA(vlookup($A231, FantasyPro!$B$2:$E$341,4,false)),0,vlookup($A231,FantasyPro!$B$2:$E$341,4,false))</f>
        <v>1</v>
      </c>
      <c r="L231" s="37">
        <f>if(ISNA(vlookup($A231, FFToolbox!$B$2:$E$414, 4, false)), 0, vlookup($A231, FFToolbox!$B$2:$E$414, 4, false))</f>
        <v>1</v>
      </c>
      <c r="M231" s="39">
        <f t="shared" si="1"/>
        <v>0.8333333333</v>
      </c>
      <c r="N231" s="39">
        <f t="shared" si="2"/>
        <v>1</v>
      </c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</row>
    <row r="232">
      <c r="A232" s="17" t="s">
        <v>306</v>
      </c>
      <c r="B232" s="35" t="s">
        <v>1258</v>
      </c>
      <c r="C232" s="35">
        <v>6.0</v>
      </c>
      <c r="D232" s="36" t="s">
        <v>7</v>
      </c>
      <c r="E232" s="36" t="s">
        <v>59</v>
      </c>
      <c r="F232" s="36">
        <f>vlookup(D232,'Team Bye List'!$A$1:$B$33,2,False)</f>
        <v>14</v>
      </c>
      <c r="G232" s="37">
        <f>if(ISNA(vlookup($A232, Sleeper!$B$2:$E$330, 4, false)), 0, vlookup($A232, Sleeper!$B$2:$E$330, 4, false))</f>
        <v>1</v>
      </c>
      <c r="H232" s="37">
        <f>if(ISNA(vlookup($A232, ESPN!$B$2:$E$297, 4, false)), 0, vlookup($A232, ESPN!$B$2:$E$297, 4, false))</f>
        <v>0</v>
      </c>
      <c r="I232" s="37">
        <f>if(ISNA(vlookup($A232,'Ultimate Draft Kit'!$B$2:$E$324,4, false)), 0, vlookup($A232,'Ultimate Draft Kit'!$B$2:$E$324, 4, false))</f>
        <v>1</v>
      </c>
      <c r="J232" s="38">
        <f>if(ISNA(vlookup($A232,Rotowire!$B$2:$E$1075,4, false)), 0, vlookup($A232,Rotowire!$B$2:$E$1075, 4, false))</f>
        <v>0</v>
      </c>
      <c r="K232" s="37">
        <f>if(ISNA(vlookup($A232, FantasyPro!$B$2:$E$341,4,false)),0,vlookup($A232,FantasyPro!$B$2:$E$341,4,false))</f>
        <v>0</v>
      </c>
      <c r="L232" s="37">
        <f>if(ISNA(vlookup($A232, FFToolbox!$B$2:$E$414, 4, false)), 0, vlookup($A232, FFToolbox!$B$2:$E$414, 4, false))</f>
        <v>1</v>
      </c>
      <c r="M232" s="39">
        <f t="shared" si="1"/>
        <v>0.5</v>
      </c>
      <c r="N232" s="39">
        <f t="shared" si="2"/>
        <v>1</v>
      </c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</row>
    <row r="233">
      <c r="A233" s="17" t="s">
        <v>304</v>
      </c>
      <c r="B233" s="35" t="s">
        <v>1259</v>
      </c>
      <c r="C233" s="35">
        <v>6.0</v>
      </c>
      <c r="D233" s="36" t="s">
        <v>81</v>
      </c>
      <c r="E233" s="36" t="s">
        <v>59</v>
      </c>
      <c r="F233" s="36">
        <f>vlookup(D233,'Team Bye List'!$A$1:$B$33,2,False)</f>
        <v>6</v>
      </c>
      <c r="G233" s="37">
        <f>if(ISNA(vlookup($A233, Sleeper!$B$2:$E$330, 4, false)), 0, vlookup($A233, Sleeper!$B$2:$E$330, 4, false))</f>
        <v>1</v>
      </c>
      <c r="H233" s="37">
        <f>if(ISNA(vlookup($A233, ESPN!$B$2:$E$297, 4, false)), 0, vlookup($A233, ESPN!$B$2:$E$297, 4, false))</f>
        <v>0</v>
      </c>
      <c r="I233" s="37">
        <f>if(ISNA(vlookup($A233,'Ultimate Draft Kit'!$B$2:$E$324,4, false)), 0, vlookup($A233,'Ultimate Draft Kit'!$B$2:$E$324, 4, false))</f>
        <v>1</v>
      </c>
      <c r="J233" s="38">
        <f>if(ISNA(vlookup($A233,Rotowire!$B$2:$E$1075,4, false)), 0, vlookup($A233,Rotowire!$B$2:$E$1075, 4, false))</f>
        <v>0</v>
      </c>
      <c r="K233" s="37">
        <f>if(ISNA(vlookup($A233, FantasyPro!$B$2:$E$341,4,false)),0,vlookup($A233,FantasyPro!$B$2:$E$341,4,false))</f>
        <v>0</v>
      </c>
      <c r="L233" s="37">
        <f>if(ISNA(vlookup($A233, FFToolbox!$B$2:$E$414, 4, false)), 0, vlookup($A233, FFToolbox!$B$2:$E$414, 4, false))</f>
        <v>1</v>
      </c>
      <c r="M233" s="39">
        <f t="shared" si="1"/>
        <v>0.5</v>
      </c>
      <c r="N233" s="39">
        <f t="shared" si="2"/>
        <v>1</v>
      </c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</row>
    <row r="234">
      <c r="A234" s="17" t="s">
        <v>305</v>
      </c>
      <c r="B234" s="35" t="s">
        <v>1259</v>
      </c>
      <c r="C234" s="35">
        <v>8.0</v>
      </c>
      <c r="D234" s="36" t="s">
        <v>69</v>
      </c>
      <c r="E234" s="36" t="s">
        <v>59</v>
      </c>
      <c r="F234" s="36">
        <f>vlookup(D234,'Team Bye List'!$A$1:$B$33,2,False)</f>
        <v>10</v>
      </c>
      <c r="G234" s="37">
        <f>if(ISNA(vlookup($A234, Sleeper!$B$2:$E$330, 4, false)), 0, vlookup($A234, Sleeper!$B$2:$E$330, 4, false))</f>
        <v>1</v>
      </c>
      <c r="H234" s="37">
        <f>if(ISNA(vlookup($A234, ESPN!$B$2:$E$297, 4, false)), 0, vlookup($A234, ESPN!$B$2:$E$297, 4, false))</f>
        <v>0</v>
      </c>
      <c r="I234" s="37">
        <f>if(ISNA(vlookup($A234,'Ultimate Draft Kit'!$B$2:$E$324,4, false)), 0, vlookup($A234,'Ultimate Draft Kit'!$B$2:$E$324, 4, false))</f>
        <v>1</v>
      </c>
      <c r="J234" s="38">
        <f>if(ISNA(vlookup($A234,Rotowire!$B$2:$E$1075,4, false)), 0, vlookup($A234,Rotowire!$B$2:$E$1075, 4, false))</f>
        <v>0</v>
      </c>
      <c r="K234" s="37">
        <f>if(ISNA(vlookup($A234, FantasyPro!$B$2:$E$341,4,false)),0,vlookup($A234,FantasyPro!$B$2:$E$341,4,false))</f>
        <v>0</v>
      </c>
      <c r="L234" s="37">
        <f>if(ISNA(vlookup($A234, FFToolbox!$B$2:$E$414, 4, false)), 0, vlookup($A234, FFToolbox!$B$2:$E$414, 4, false))</f>
        <v>1</v>
      </c>
      <c r="M234" s="39">
        <f t="shared" si="1"/>
        <v>0.5</v>
      </c>
      <c r="N234" s="39">
        <f t="shared" si="2"/>
        <v>1</v>
      </c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</row>
    <row r="235">
      <c r="A235" s="17" t="s">
        <v>896</v>
      </c>
      <c r="B235" s="35" t="s">
        <v>1259</v>
      </c>
      <c r="C235" s="35" t="s">
        <v>1260</v>
      </c>
      <c r="D235" s="36" t="s">
        <v>262</v>
      </c>
      <c r="E235" s="36" t="s">
        <v>183</v>
      </c>
      <c r="F235" s="36" t="str">
        <f>vlookup(D235,'Team Bye List'!$A$1:$B$33,2,False)</f>
        <v>#N/A</v>
      </c>
      <c r="G235" s="37">
        <f>if(ISNA(vlookup($A235, Sleeper!$B$2:$E$330, 4, false)), 0, vlookup($A235, Sleeper!$B$2:$E$330, 4, false))</f>
        <v>1</v>
      </c>
      <c r="H235" s="37">
        <f>if(ISNA(vlookup($A235, ESPN!$B$2:$E$297, 4, false)), 0, vlookup($A235, ESPN!$B$2:$E$297, 4, false))</f>
        <v>0</v>
      </c>
      <c r="I235" s="37">
        <f>if(ISNA(vlookup($A235,'Ultimate Draft Kit'!$B$2:$E$324,4, false)), 0, vlookup($A235,'Ultimate Draft Kit'!$B$2:$E$324, 4, false))</f>
        <v>0</v>
      </c>
      <c r="J235" s="38">
        <f>if(ISNA(vlookup($A235,Rotowire!$B$2:$E$1075,4, false)), 0, vlookup($A235,Rotowire!$B$2:$E$1075, 4, false))</f>
        <v>0</v>
      </c>
      <c r="K235" s="37">
        <f>if(ISNA(vlookup($A235, FantasyPro!$B$2:$E$341,4,false)),0,vlookup($A235,FantasyPro!$B$2:$E$341,4,false))</f>
        <v>0</v>
      </c>
      <c r="L235" s="37">
        <f>if(ISNA(vlookup($A235, FFToolbox!$B$2:$E$414, 4, false)), 0, vlookup($A235, FFToolbox!$B$2:$E$414, 4, false))</f>
        <v>0</v>
      </c>
      <c r="M235" s="39">
        <f t="shared" si="1"/>
        <v>0.1666666667</v>
      </c>
      <c r="N235" s="39">
        <f t="shared" si="2"/>
        <v>1</v>
      </c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</row>
    <row r="236">
      <c r="A236" s="17" t="s">
        <v>251</v>
      </c>
      <c r="B236" s="35" t="s">
        <v>1259</v>
      </c>
      <c r="C236" s="35">
        <v>10.0</v>
      </c>
      <c r="D236" s="36" t="s">
        <v>35</v>
      </c>
      <c r="E236" s="36" t="s">
        <v>13</v>
      </c>
      <c r="F236" s="36">
        <f>vlookup(D236,'Team Bye List'!$A$1:$B$33,2,False)</f>
        <v>6</v>
      </c>
      <c r="G236" s="37">
        <f>if(ISNA(vlookup($A236, Sleeper!$B$2:$E$330, 4, false)), 0, vlookup($A236, Sleeper!$B$2:$E$330, 4, false))</f>
        <v>0</v>
      </c>
      <c r="H236" s="37">
        <f>if(ISNA(vlookup($A236, ESPN!$B$2:$E$297, 4, false)), 0, vlookup($A236, ESPN!$B$2:$E$297, 4, false))</f>
        <v>0</v>
      </c>
      <c r="I236" s="37">
        <f>if(ISNA(vlookup($A236,'Ultimate Draft Kit'!$B$2:$E$324,4, false)), 0, vlookup($A236,'Ultimate Draft Kit'!$B$2:$E$324, 4, false))</f>
        <v>0</v>
      </c>
      <c r="J236" s="38">
        <f>if(ISNA(vlookup($A236,Rotowire!$B$2:$E$1075,4, false)), 0, vlookup($A236,Rotowire!$B$2:$E$1075, 4, false))</f>
        <v>0</v>
      </c>
      <c r="K236" s="37">
        <f>if(ISNA(vlookup($A236, FantasyPro!$B$2:$E$341,4,false)),0,vlookup($A236,FantasyPro!$B$2:$E$341,4,false))</f>
        <v>1</v>
      </c>
      <c r="L236" s="37">
        <f>if(ISNA(vlookup($A236, FFToolbox!$B$2:$E$414, 4, false)), 0, vlookup($A236, FFToolbox!$B$2:$E$414, 4, false))</f>
        <v>0</v>
      </c>
      <c r="M236" s="39">
        <f t="shared" si="1"/>
        <v>0.1666666667</v>
      </c>
      <c r="N236" s="39">
        <f t="shared" si="2"/>
        <v>1</v>
      </c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</row>
    <row r="237">
      <c r="A237" s="17" t="s">
        <v>254</v>
      </c>
      <c r="B237" s="35" t="s">
        <v>1259</v>
      </c>
      <c r="C237" s="35">
        <v>10.0</v>
      </c>
      <c r="D237" s="36" t="s">
        <v>7</v>
      </c>
      <c r="E237" s="36" t="s">
        <v>13</v>
      </c>
      <c r="F237" s="36">
        <f>vlookup(D237,'Team Bye List'!$A$1:$B$33,2,False)</f>
        <v>14</v>
      </c>
      <c r="G237" s="37">
        <f>if(ISNA(vlookup($A237, Sleeper!$B$2:$E$330, 4, false)), 0, vlookup($A237, Sleeper!$B$2:$E$330, 4, false))</f>
        <v>1</v>
      </c>
      <c r="H237" s="37">
        <f>if(ISNA(vlookup($A237, ESPN!$B$2:$E$297, 4, false)), 0, vlookup($A237, ESPN!$B$2:$E$297, 4, false))</f>
        <v>0</v>
      </c>
      <c r="I237" s="37">
        <f>if(ISNA(vlookup($A237,'Ultimate Draft Kit'!$B$2:$E$324,4, false)), 0, vlookup($A237,'Ultimate Draft Kit'!$B$2:$E$324, 4, false))</f>
        <v>1</v>
      </c>
      <c r="J237" s="38">
        <f>if(ISNA(vlookup($A237,Rotowire!$B$2:$E$1075,4, false)), 0, vlookup($A237,Rotowire!$B$2:$E$1075, 4, false))</f>
        <v>0</v>
      </c>
      <c r="K237" s="37">
        <f>if(ISNA(vlookup($A237, FantasyPro!$B$2:$E$341,4,false)),0,vlookup($A237,FantasyPro!$B$2:$E$341,4,false))</f>
        <v>0</v>
      </c>
      <c r="L237" s="37">
        <f>if(ISNA(vlookup($A237, FFToolbox!$B$2:$E$414, 4, false)), 0, vlookup($A237, FFToolbox!$B$2:$E$414, 4, false))</f>
        <v>2</v>
      </c>
      <c r="M237" s="39">
        <f t="shared" si="1"/>
        <v>0.6666666667</v>
      </c>
      <c r="N237" s="39">
        <f t="shared" si="2"/>
        <v>2</v>
      </c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</row>
    <row r="238">
      <c r="A238" s="17" t="s">
        <v>307</v>
      </c>
      <c r="B238" s="35" t="s">
        <v>1259</v>
      </c>
      <c r="C238" s="35">
        <v>7.0</v>
      </c>
      <c r="D238" s="36" t="s">
        <v>41</v>
      </c>
      <c r="E238" s="36" t="s">
        <v>59</v>
      </c>
      <c r="F238" s="36">
        <f>vlookup(D238,'Team Bye List'!$A$1:$B$33,2,False)</f>
        <v>14</v>
      </c>
      <c r="G238" s="37">
        <f>if(ISNA(vlookup($A238, Sleeper!$B$2:$E$330, 4, false)), 0, vlookup($A238, Sleeper!$B$2:$E$330, 4, false))</f>
        <v>1</v>
      </c>
      <c r="H238" s="37">
        <f>if(ISNA(vlookup($A238, ESPN!$B$2:$E$297, 4, false)), 0, vlookup($A238, ESPN!$B$2:$E$297, 4, false))</f>
        <v>0</v>
      </c>
      <c r="I238" s="37">
        <f>if(ISNA(vlookup($A238,'Ultimate Draft Kit'!$B$2:$E$324,4, false)), 0, vlookup($A238,'Ultimate Draft Kit'!$B$2:$E$324, 4, false))</f>
        <v>1</v>
      </c>
      <c r="J238" s="38">
        <f>if(ISNA(vlookup($A238,Rotowire!$B$2:$E$1075,4, false)), 0, vlookup($A238,Rotowire!$B$2:$E$1075, 4, false))</f>
        <v>0</v>
      </c>
      <c r="K238" s="37">
        <f>if(ISNA(vlookup($A238, FantasyPro!$B$2:$E$341,4,false)),0,vlookup($A238,FantasyPro!$B$2:$E$341,4,false))</f>
        <v>0</v>
      </c>
      <c r="L238" s="37">
        <f>if(ISNA(vlookup($A238, FFToolbox!$B$2:$E$414, 4, false)), 0, vlookup($A238, FFToolbox!$B$2:$E$414, 4, false))</f>
        <v>1</v>
      </c>
      <c r="M238" s="39">
        <f t="shared" si="1"/>
        <v>0.5</v>
      </c>
      <c r="N238" s="39">
        <f t="shared" si="2"/>
        <v>1</v>
      </c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</row>
    <row r="239">
      <c r="A239" s="17" t="s">
        <v>250</v>
      </c>
      <c r="B239" s="35" t="s">
        <v>1259</v>
      </c>
      <c r="C239" s="35">
        <v>10.0</v>
      </c>
      <c r="D239" s="36" t="s">
        <v>81</v>
      </c>
      <c r="E239" s="36" t="s">
        <v>13</v>
      </c>
      <c r="F239" s="36">
        <f>vlookup(D239,'Team Bye List'!$A$1:$B$33,2,False)</f>
        <v>6</v>
      </c>
      <c r="G239" s="37">
        <f>if(ISNA(vlookup($A239, Sleeper!$B$2:$E$330, 4, false)), 0, vlookup($A239, Sleeper!$B$2:$E$330, 4, false))</f>
        <v>1</v>
      </c>
      <c r="H239" s="37">
        <f>if(ISNA(vlookup($A239, ESPN!$B$2:$E$297, 4, false)), 0, vlookup($A239, ESPN!$B$2:$E$297, 4, false))</f>
        <v>0</v>
      </c>
      <c r="I239" s="37">
        <f>if(ISNA(vlookup($A239,'Ultimate Draft Kit'!$B$2:$E$324,4, false)), 0, vlookup($A239,'Ultimate Draft Kit'!$B$2:$E$324, 4, false))</f>
        <v>1</v>
      </c>
      <c r="J239" s="38">
        <f>if(ISNA(vlookup($A239,Rotowire!$B$2:$E$1075,4, false)), 0, vlookup($A239,Rotowire!$B$2:$E$1075, 4, false))</f>
        <v>0</v>
      </c>
      <c r="K239" s="37">
        <f>if(ISNA(vlookup($A239, FantasyPro!$B$2:$E$341,4,false)),0,vlookup($A239,FantasyPro!$B$2:$E$341,4,false))</f>
        <v>1</v>
      </c>
      <c r="L239" s="37">
        <f>if(ISNA(vlookup($A239, FFToolbox!$B$2:$E$414, 4, false)), 0, vlookup($A239, FFToolbox!$B$2:$E$414, 4, false))</f>
        <v>1</v>
      </c>
      <c r="M239" s="39">
        <f t="shared" si="1"/>
        <v>0.6666666667</v>
      </c>
      <c r="N239" s="39">
        <f t="shared" si="2"/>
        <v>1</v>
      </c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</row>
    <row r="240">
      <c r="A240" s="17" t="s">
        <v>167</v>
      </c>
      <c r="B240" s="35" t="s">
        <v>1259</v>
      </c>
      <c r="C240" s="35">
        <v>10.0</v>
      </c>
      <c r="D240" s="36" t="s">
        <v>35</v>
      </c>
      <c r="E240" s="36" t="s">
        <v>13</v>
      </c>
      <c r="F240" s="36">
        <f>vlookup(D240,'Team Bye List'!$A$1:$B$33,2,False)</f>
        <v>6</v>
      </c>
      <c r="G240" s="37">
        <f>if(ISNA(vlookup($A240, Sleeper!$B$2:$E$330, 4, false)), 0, vlookup($A240, Sleeper!$B$2:$E$330, 4, false))</f>
        <v>1</v>
      </c>
      <c r="H240" s="37">
        <f>if(ISNA(vlookup($A240, ESPN!$B$2:$E$297, 4, false)), 0, vlookup($A240, ESPN!$B$2:$E$297, 4, false))</f>
        <v>1</v>
      </c>
      <c r="I240" s="37">
        <f>if(ISNA(vlookup($A240,'Ultimate Draft Kit'!$B$2:$E$324,4, false)), 0, vlookup($A240,'Ultimate Draft Kit'!$B$2:$E$324, 4, false))</f>
        <v>1</v>
      </c>
      <c r="J240" s="38">
        <f>if(ISNA(vlookup($A240,Rotowire!$B$2:$E$1075,4, false)), 0, vlookup($A240,Rotowire!$B$2:$E$1075, 4, false))</f>
        <v>0</v>
      </c>
      <c r="K240" s="37">
        <f>if(ISNA(vlookup($A240, FantasyPro!$B$2:$E$341,4,false)),0,vlookup($A240,FantasyPro!$B$2:$E$341,4,false))</f>
        <v>1</v>
      </c>
      <c r="L240" s="37">
        <f>if(ISNA(vlookup($A240, FFToolbox!$B$2:$E$414, 4, false)), 0, vlookup($A240, FFToolbox!$B$2:$E$414, 4, false))</f>
        <v>1</v>
      </c>
      <c r="M240" s="39">
        <f t="shared" si="1"/>
        <v>0.8333333333</v>
      </c>
      <c r="N240" s="39">
        <f t="shared" si="2"/>
        <v>1</v>
      </c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</row>
    <row r="241">
      <c r="A241" s="17" t="s">
        <v>265</v>
      </c>
      <c r="B241" s="35" t="s">
        <v>1259</v>
      </c>
      <c r="C241" s="35">
        <v>9.0</v>
      </c>
      <c r="D241" s="36" t="s">
        <v>69</v>
      </c>
      <c r="E241" s="36" t="s">
        <v>13</v>
      </c>
      <c r="F241" s="36">
        <f>vlookup(D241,'Team Bye List'!$A$1:$B$33,2,False)</f>
        <v>10</v>
      </c>
      <c r="G241" s="37">
        <f>if(ISNA(vlookup($A241, Sleeper!$B$2:$E$330, 4, false)), 0, vlookup($A241, Sleeper!$B$2:$E$330, 4, false))</f>
        <v>1</v>
      </c>
      <c r="H241" s="37">
        <f>if(ISNA(vlookup($A241, ESPN!$B$2:$E$297, 4, false)), 0, vlookup($A241, ESPN!$B$2:$E$297, 4, false))</f>
        <v>0</v>
      </c>
      <c r="I241" s="37">
        <f>if(ISNA(vlookup($A241,'Ultimate Draft Kit'!$B$2:$E$324,4, false)), 0, vlookup($A241,'Ultimate Draft Kit'!$B$2:$E$324, 4, false))</f>
        <v>1</v>
      </c>
      <c r="J241" s="38">
        <f>if(ISNA(vlookup($A241,Rotowire!$B$2:$E$1075,4, false)), 0, vlookup($A241,Rotowire!$B$2:$E$1075, 4, false))</f>
        <v>0</v>
      </c>
      <c r="K241" s="37">
        <f>if(ISNA(vlookup($A241, FantasyPro!$B$2:$E$341,4,false)),0,vlookup($A241,FantasyPro!$B$2:$E$341,4,false))</f>
        <v>1</v>
      </c>
      <c r="L241" s="37">
        <f>if(ISNA(vlookup($A241, FFToolbox!$B$2:$E$414, 4, false)), 0, vlookup($A241, FFToolbox!$B$2:$E$414, 4, false))</f>
        <v>1</v>
      </c>
      <c r="M241" s="39">
        <f t="shared" si="1"/>
        <v>0.6666666667</v>
      </c>
      <c r="N241" s="39">
        <f t="shared" si="2"/>
        <v>1</v>
      </c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</row>
    <row r="242">
      <c r="A242" s="17" t="s">
        <v>213</v>
      </c>
      <c r="B242" s="35" t="s">
        <v>1259</v>
      </c>
      <c r="C242" s="35">
        <v>10.0</v>
      </c>
      <c r="D242" s="36" t="s">
        <v>25</v>
      </c>
      <c r="E242" s="36" t="s">
        <v>8</v>
      </c>
      <c r="F242" s="36">
        <f>vlookup(D242,'Team Bye List'!$A$1:$B$33,2,False)</f>
        <v>7</v>
      </c>
      <c r="G242" s="37">
        <f>if(ISNA(vlookup($A242, Sleeper!$B$2:$E$330, 4, false)), 0, vlookup($A242, Sleeper!$B$2:$E$330, 4, false))</f>
        <v>1</v>
      </c>
      <c r="H242" s="37">
        <f>if(ISNA(vlookup($A242, ESPN!$B$2:$E$297, 4, false)), 0, vlookup($A242, ESPN!$B$2:$E$297, 4, false))</f>
        <v>0</v>
      </c>
      <c r="I242" s="37">
        <f>if(ISNA(vlookup($A242,'Ultimate Draft Kit'!$B$2:$E$324,4, false)), 0, vlookup($A242,'Ultimate Draft Kit'!$B$2:$E$324, 4, false))</f>
        <v>1</v>
      </c>
      <c r="J242" s="38">
        <f>if(ISNA(vlookup($A242,Rotowire!$B$2:$E$1075,4, false)), 0, vlookup($A242,Rotowire!$B$2:$E$1075, 4, false))</f>
        <v>0</v>
      </c>
      <c r="K242" s="37">
        <f>if(ISNA(vlookup($A242, FantasyPro!$B$2:$E$341,4,false)),0,vlookup($A242,FantasyPro!$B$2:$E$341,4,false))</f>
        <v>0</v>
      </c>
      <c r="L242" s="37">
        <f>if(ISNA(vlookup($A242, FFToolbox!$B$2:$E$414, 4, false)), 0, vlookup($A242, FFToolbox!$B$2:$E$414, 4, false))</f>
        <v>1</v>
      </c>
      <c r="M242" s="39">
        <f t="shared" si="1"/>
        <v>0.5</v>
      </c>
      <c r="N242" s="39">
        <f t="shared" si="2"/>
        <v>1</v>
      </c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</row>
    <row r="243">
      <c r="A243" s="17" t="s">
        <v>311</v>
      </c>
      <c r="B243" s="35" t="s">
        <v>1259</v>
      </c>
      <c r="C243" s="35">
        <v>7.0</v>
      </c>
      <c r="D243" s="36" t="s">
        <v>262</v>
      </c>
      <c r="E243" s="36" t="s">
        <v>59</v>
      </c>
      <c r="F243" s="36" t="str">
        <f>vlookup(D243,'Team Bye List'!$A$1:$B$33,2,False)</f>
        <v>#N/A</v>
      </c>
      <c r="G243" s="37">
        <f>if(ISNA(vlookup($A243, Sleeper!$B$2:$E$330, 4, false)), 0, vlookup($A243, Sleeper!$B$2:$E$330, 4, false))</f>
        <v>1</v>
      </c>
      <c r="H243" s="37">
        <f>if(ISNA(vlookup($A243, ESPN!$B$2:$E$297, 4, false)), 0, vlookup($A243, ESPN!$B$2:$E$297, 4, false))</f>
        <v>0</v>
      </c>
      <c r="I243" s="37">
        <f>if(ISNA(vlookup($A243,'Ultimate Draft Kit'!$B$2:$E$324,4, false)), 0, vlookup($A243,'Ultimate Draft Kit'!$B$2:$E$324, 4, false))</f>
        <v>1</v>
      </c>
      <c r="J243" s="38">
        <f>if(ISNA(vlookup($A243,Rotowire!$B$2:$E$1075,4, false)), 0, vlookup($A243,Rotowire!$B$2:$E$1075, 4, false))</f>
        <v>0</v>
      </c>
      <c r="K243" s="37">
        <f>if(ISNA(vlookup($A243, FantasyPro!$B$2:$E$341,4,false)),0,vlookup($A243,FantasyPro!$B$2:$E$341,4,false))</f>
        <v>0</v>
      </c>
      <c r="L243" s="37">
        <f>if(ISNA(vlookup($A243, FFToolbox!$B$2:$E$414, 4, false)), 0, vlookup($A243, FFToolbox!$B$2:$E$414, 4, false))</f>
        <v>1</v>
      </c>
      <c r="M243" s="39">
        <f t="shared" si="1"/>
        <v>0.5</v>
      </c>
      <c r="N243" s="39">
        <f t="shared" si="2"/>
        <v>1</v>
      </c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</row>
    <row r="244">
      <c r="A244" s="17" t="s">
        <v>216</v>
      </c>
      <c r="B244" s="35" t="s">
        <v>1259</v>
      </c>
      <c r="C244" s="35">
        <v>11.0</v>
      </c>
      <c r="D244" s="36" t="s">
        <v>81</v>
      </c>
      <c r="E244" s="36" t="s">
        <v>8</v>
      </c>
      <c r="F244" s="36">
        <f>vlookup(D244,'Team Bye List'!$A$1:$B$33,2,False)</f>
        <v>6</v>
      </c>
      <c r="G244" s="37">
        <f>if(ISNA(vlookup($A244, Sleeper!$B$2:$E$330, 4, false)), 0, vlookup($A244, Sleeper!$B$2:$E$330, 4, false))</f>
        <v>1</v>
      </c>
      <c r="H244" s="37">
        <f>if(ISNA(vlookup($A244, ESPN!$B$2:$E$297, 4, false)), 0, vlookup($A244, ESPN!$B$2:$E$297, 4, false))</f>
        <v>0</v>
      </c>
      <c r="I244" s="37">
        <f>if(ISNA(vlookup($A244,'Ultimate Draft Kit'!$B$2:$E$324,4, false)), 0, vlookup($A244,'Ultimate Draft Kit'!$B$2:$E$324, 4, false))</f>
        <v>1</v>
      </c>
      <c r="J244" s="38">
        <f>if(ISNA(vlookup($A244,Rotowire!$B$2:$E$1075,4, false)), 0, vlookup($A244,Rotowire!$B$2:$E$1075, 4, false))</f>
        <v>0</v>
      </c>
      <c r="K244" s="37">
        <f>if(ISNA(vlookup($A244, FantasyPro!$B$2:$E$341,4,false)),0,vlookup($A244,FantasyPro!$B$2:$E$341,4,false))</f>
        <v>0</v>
      </c>
      <c r="L244" s="37">
        <f>if(ISNA(vlookup($A244, FFToolbox!$B$2:$E$414, 4, false)), 0, vlookup($A244, FFToolbox!$B$2:$E$414, 4, false))</f>
        <v>1</v>
      </c>
      <c r="M244" s="39">
        <f t="shared" si="1"/>
        <v>0.5</v>
      </c>
      <c r="N244" s="39">
        <f t="shared" si="2"/>
        <v>1</v>
      </c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</row>
    <row r="245">
      <c r="A245" s="17" t="s">
        <v>222</v>
      </c>
      <c r="B245" s="35" t="s">
        <v>1259</v>
      </c>
      <c r="C245" s="35">
        <v>11.0</v>
      </c>
      <c r="D245" s="36" t="s">
        <v>55</v>
      </c>
      <c r="E245" s="36" t="s">
        <v>8</v>
      </c>
      <c r="F245" s="36">
        <f>vlookup(D245,'Team Bye List'!$A$1:$B$33,2,False)</f>
        <v>14</v>
      </c>
      <c r="G245" s="37">
        <f>if(ISNA(vlookup($A245, Sleeper!$B$2:$E$330, 4, false)), 0, vlookup($A245, Sleeper!$B$2:$E$330, 4, false))</f>
        <v>1</v>
      </c>
      <c r="H245" s="37">
        <f>if(ISNA(vlookup($A245, ESPN!$B$2:$E$297, 4, false)), 0, vlookup($A245, ESPN!$B$2:$E$297, 4, false))</f>
        <v>0</v>
      </c>
      <c r="I245" s="37">
        <f>if(ISNA(vlookup($A245,'Ultimate Draft Kit'!$B$2:$E$324,4, false)), 0, vlookup($A245,'Ultimate Draft Kit'!$B$2:$E$324, 4, false))</f>
        <v>1</v>
      </c>
      <c r="J245" s="38">
        <f>if(ISNA(vlookup($A245,Rotowire!$B$2:$E$1075,4, false)), 0, vlookup($A245,Rotowire!$B$2:$E$1075, 4, false))</f>
        <v>0</v>
      </c>
      <c r="K245" s="37">
        <f>if(ISNA(vlookup($A245, FantasyPro!$B$2:$E$341,4,false)),0,vlookup($A245,FantasyPro!$B$2:$E$341,4,false))</f>
        <v>1</v>
      </c>
      <c r="L245" s="37">
        <f>if(ISNA(vlookup($A245, FFToolbox!$B$2:$E$414, 4, false)), 0, vlookup($A245, FFToolbox!$B$2:$E$414, 4, false))</f>
        <v>2</v>
      </c>
      <c r="M245" s="39">
        <f t="shared" si="1"/>
        <v>0.8333333333</v>
      </c>
      <c r="N245" s="39">
        <f t="shared" si="2"/>
        <v>2</v>
      </c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</row>
    <row r="246">
      <c r="A246" s="17" t="s">
        <v>215</v>
      </c>
      <c r="B246" s="35" t="s">
        <v>1259</v>
      </c>
      <c r="C246" s="35">
        <v>9.0</v>
      </c>
      <c r="D246" s="36" t="s">
        <v>37</v>
      </c>
      <c r="E246" s="36" t="s">
        <v>8</v>
      </c>
      <c r="F246" s="36">
        <f>vlookup(D246,'Team Bye List'!$A$1:$B$33,2,False)</f>
        <v>11</v>
      </c>
      <c r="G246" s="37">
        <f>if(ISNA(vlookup($A246, Sleeper!$B$2:$E$330, 4, false)), 0, vlookup($A246, Sleeper!$B$2:$E$330, 4, false))</f>
        <v>1</v>
      </c>
      <c r="H246" s="37">
        <f>if(ISNA(vlookup($A246, ESPN!$B$2:$E$297, 4, false)), 0, vlookup($A246, ESPN!$B$2:$E$297, 4, false))</f>
        <v>0</v>
      </c>
      <c r="I246" s="37">
        <f>if(ISNA(vlookup($A246,'Ultimate Draft Kit'!$B$2:$E$324,4, false)), 0, vlookup($A246,'Ultimate Draft Kit'!$B$2:$E$324, 4, false))</f>
        <v>1</v>
      </c>
      <c r="J246" s="38">
        <f>if(ISNA(vlookup($A246,Rotowire!$B$2:$E$1075,4, false)), 0, vlookup($A246,Rotowire!$B$2:$E$1075, 4, false))</f>
        <v>0</v>
      </c>
      <c r="K246" s="37">
        <f>if(ISNA(vlookup($A246, FantasyPro!$B$2:$E$341,4,false)),0,vlookup($A246,FantasyPro!$B$2:$E$341,4,false))</f>
        <v>1</v>
      </c>
      <c r="L246" s="37">
        <f>if(ISNA(vlookup($A246, FFToolbox!$B$2:$E$414, 4, false)), 0, vlookup($A246, FFToolbox!$B$2:$E$414, 4, false))</f>
        <v>1</v>
      </c>
      <c r="M246" s="39">
        <f t="shared" si="1"/>
        <v>0.6666666667</v>
      </c>
      <c r="N246" s="39">
        <f t="shared" si="2"/>
        <v>1</v>
      </c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</row>
    <row r="247">
      <c r="A247" s="17" t="s">
        <v>334</v>
      </c>
      <c r="B247" s="35" t="s">
        <v>1259</v>
      </c>
      <c r="C247" s="35">
        <v>26.0</v>
      </c>
      <c r="D247" s="36" t="s">
        <v>99</v>
      </c>
      <c r="E247" s="36" t="s">
        <v>193</v>
      </c>
      <c r="F247" s="36">
        <f>vlookup(D247,'Team Bye List'!$A$1:$B$33,2,False)</f>
        <v>11</v>
      </c>
      <c r="G247" s="37">
        <f>if(ISNA(vlookup($A247, Sleeper!$B$2:$E$330, 4, false)), 0, vlookup($A247, Sleeper!$B$2:$E$330, 4, false))</f>
        <v>0</v>
      </c>
      <c r="H247" s="37">
        <f>if(ISNA(vlookup($A247, ESPN!$B$2:$E$297, 4, false)), 0, vlookup($A247, ESPN!$B$2:$E$297, 4, false))</f>
        <v>0</v>
      </c>
      <c r="I247" s="37">
        <f>if(ISNA(vlookup($A247,'Ultimate Draft Kit'!$B$2:$E$324,4, false)), 0, vlookup($A247,'Ultimate Draft Kit'!$B$2:$E$324, 4, false))</f>
        <v>0</v>
      </c>
      <c r="J247" s="38">
        <f>if(ISNA(vlookup($A247,Rotowire!$B$2:$E$1075,4, false)), 0, vlookup($A247,Rotowire!$B$2:$E$1075, 4, false))</f>
        <v>0</v>
      </c>
      <c r="K247" s="37">
        <f>if(ISNA(vlookup($A247, FantasyPro!$B$2:$E$341,4,false)),0,vlookup($A247,FantasyPro!$B$2:$E$341,4,false))</f>
        <v>0</v>
      </c>
      <c r="L247" s="37">
        <f>if(ISNA(vlookup($A247, FFToolbox!$B$2:$E$414, 4, false)), 0, vlookup($A247, FFToolbox!$B$2:$E$414, 4, false))</f>
        <v>0</v>
      </c>
      <c r="M247" s="39">
        <f t="shared" si="1"/>
        <v>0</v>
      </c>
      <c r="N247" s="39">
        <f t="shared" si="2"/>
        <v>0</v>
      </c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</row>
    <row r="248">
      <c r="A248" s="17" t="s">
        <v>277</v>
      </c>
      <c r="B248" s="35" t="s">
        <v>1259</v>
      </c>
      <c r="C248" s="35">
        <v>7.0</v>
      </c>
      <c r="D248" s="36" t="s">
        <v>73</v>
      </c>
      <c r="E248" s="36" t="s">
        <v>77</v>
      </c>
      <c r="F248" s="36">
        <f>vlookup(D248,'Team Bye List'!$A$1:$B$33,2,False)</f>
        <v>14</v>
      </c>
      <c r="G248" s="37">
        <f>if(ISNA(vlookup($A248, Sleeper!$B$2:$E$330, 4, false)), 0, vlookup($A248, Sleeper!$B$2:$E$330, 4, false))</f>
        <v>1</v>
      </c>
      <c r="H248" s="37">
        <f>if(ISNA(vlookup($A248, ESPN!$B$2:$E$297, 4, false)), 0, vlookup($A248, ESPN!$B$2:$E$297, 4, false))</f>
        <v>0</v>
      </c>
      <c r="I248" s="37">
        <f>if(ISNA(vlookup($A248,'Ultimate Draft Kit'!$B$2:$E$324,4, false)), 0, vlookup($A248,'Ultimate Draft Kit'!$B$2:$E$324, 4, false))</f>
        <v>1</v>
      </c>
      <c r="J248" s="38">
        <f>if(ISNA(vlookup($A248,Rotowire!$B$2:$E$1075,4, false)), 0, vlookup($A248,Rotowire!$B$2:$E$1075, 4, false))</f>
        <v>0</v>
      </c>
      <c r="K248" s="37">
        <f>if(ISNA(vlookup($A248, FantasyPro!$B$2:$E$341,4,false)),0,vlookup($A248,FantasyPro!$B$2:$E$341,4,false))</f>
        <v>0</v>
      </c>
      <c r="L248" s="37">
        <f>if(ISNA(vlookup($A248, FFToolbox!$B$2:$E$414, 4, false)), 0, vlookup($A248, FFToolbox!$B$2:$E$414, 4, false))</f>
        <v>1</v>
      </c>
      <c r="M248" s="39">
        <f t="shared" si="1"/>
        <v>0.5</v>
      </c>
      <c r="N248" s="39">
        <f t="shared" si="2"/>
        <v>1</v>
      </c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</row>
    <row r="249">
      <c r="A249" s="17" t="s">
        <v>278</v>
      </c>
      <c r="B249" s="35" t="s">
        <v>1259</v>
      </c>
      <c r="C249" s="35">
        <v>8.0</v>
      </c>
      <c r="D249" s="36" t="s">
        <v>69</v>
      </c>
      <c r="E249" s="36" t="s">
        <v>77</v>
      </c>
      <c r="F249" s="36">
        <f>vlookup(D249,'Team Bye List'!$A$1:$B$33,2,False)</f>
        <v>10</v>
      </c>
      <c r="G249" s="37">
        <f>if(ISNA(vlookup($A249, Sleeper!$B$2:$E$330, 4, false)), 0, vlookup($A249, Sleeper!$B$2:$E$330, 4, false))</f>
        <v>1</v>
      </c>
      <c r="H249" s="37">
        <f>if(ISNA(vlookup($A249, ESPN!$B$2:$E$297, 4, false)), 0, vlookup($A249, ESPN!$B$2:$E$297, 4, false))</f>
        <v>0</v>
      </c>
      <c r="I249" s="37">
        <f>if(ISNA(vlookup($A249,'Ultimate Draft Kit'!$B$2:$E$324,4, false)), 0, vlookup($A249,'Ultimate Draft Kit'!$B$2:$E$324, 4, false))</f>
        <v>1</v>
      </c>
      <c r="J249" s="38">
        <f>if(ISNA(vlookup($A249,Rotowire!$B$2:$E$1075,4, false)), 0, vlookup($A249,Rotowire!$B$2:$E$1075, 4, false))</f>
        <v>0</v>
      </c>
      <c r="K249" s="37">
        <f>if(ISNA(vlookup($A249, FantasyPro!$B$2:$E$341,4,false)),0,vlookup($A249,FantasyPro!$B$2:$E$341,4,false))</f>
        <v>0</v>
      </c>
      <c r="L249" s="37">
        <f>if(ISNA(vlookup($A249, FFToolbox!$B$2:$E$414, 4, false)), 0, vlookup($A249, FFToolbox!$B$2:$E$414, 4, false))</f>
        <v>1</v>
      </c>
      <c r="M249" s="39">
        <f t="shared" si="1"/>
        <v>0.5</v>
      </c>
      <c r="N249" s="39">
        <f t="shared" si="2"/>
        <v>1</v>
      </c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</row>
    <row r="250">
      <c r="A250" s="17" t="s">
        <v>248</v>
      </c>
      <c r="B250" s="35" t="s">
        <v>1259</v>
      </c>
      <c r="C250" s="35">
        <v>10.0</v>
      </c>
      <c r="D250" s="36" t="s">
        <v>15</v>
      </c>
      <c r="E250" s="36" t="s">
        <v>13</v>
      </c>
      <c r="F250" s="36">
        <f>vlookup(D250,'Team Bye List'!$A$1:$B$33,2,False)</f>
        <v>6</v>
      </c>
      <c r="G250" s="37">
        <f>if(ISNA(vlookup($A250, Sleeper!$B$2:$E$330, 4, false)), 0, vlookup($A250, Sleeper!$B$2:$E$330, 4, false))</f>
        <v>1</v>
      </c>
      <c r="H250" s="37">
        <f>if(ISNA(vlookup($A250, ESPN!$B$2:$E$297, 4, false)), 0, vlookup($A250, ESPN!$B$2:$E$297, 4, false))</f>
        <v>0</v>
      </c>
      <c r="I250" s="37">
        <f>if(ISNA(vlookup($A250,'Ultimate Draft Kit'!$B$2:$E$324,4, false)), 0, vlookup($A250,'Ultimate Draft Kit'!$B$2:$E$324, 4, false))</f>
        <v>1</v>
      </c>
      <c r="J250" s="38">
        <f>if(ISNA(vlookup($A250,Rotowire!$B$2:$E$1075,4, false)), 0, vlookup($A250,Rotowire!$B$2:$E$1075, 4, false))</f>
        <v>0</v>
      </c>
      <c r="K250" s="37">
        <f>if(ISNA(vlookup($A250, FantasyPro!$B$2:$E$341,4,false)),0,vlookup($A250,FantasyPro!$B$2:$E$341,4,false))</f>
        <v>1</v>
      </c>
      <c r="L250" s="37">
        <f>if(ISNA(vlookup($A250, FFToolbox!$B$2:$E$414, 4, false)), 0, vlookup($A250, FFToolbox!$B$2:$E$414, 4, false))</f>
        <v>1</v>
      </c>
      <c r="M250" s="39">
        <f t="shared" si="1"/>
        <v>0.6666666667</v>
      </c>
      <c r="N250" s="39">
        <f t="shared" si="2"/>
        <v>1</v>
      </c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</row>
    <row r="251">
      <c r="A251" s="17" t="s">
        <v>312</v>
      </c>
      <c r="B251" s="35" t="s">
        <v>1259</v>
      </c>
      <c r="C251" s="35">
        <v>8.0</v>
      </c>
      <c r="D251" s="36" t="s">
        <v>37</v>
      </c>
      <c r="E251" s="36" t="s">
        <v>59</v>
      </c>
      <c r="F251" s="36">
        <f>vlookup(D251,'Team Bye List'!$A$1:$B$33,2,False)</f>
        <v>11</v>
      </c>
      <c r="G251" s="37">
        <f>if(ISNA(vlookup($A251, Sleeper!$B$2:$E$330, 4, false)), 0, vlookup($A251, Sleeper!$B$2:$E$330, 4, false))</f>
        <v>1</v>
      </c>
      <c r="H251" s="37">
        <f>if(ISNA(vlookup($A251, ESPN!$B$2:$E$297, 4, false)), 0, vlookup($A251, ESPN!$B$2:$E$297, 4, false))</f>
        <v>0</v>
      </c>
      <c r="I251" s="37">
        <f>if(ISNA(vlookup($A251,'Ultimate Draft Kit'!$B$2:$E$324,4, false)), 0, vlookup($A251,'Ultimate Draft Kit'!$B$2:$E$324, 4, false))</f>
        <v>1</v>
      </c>
      <c r="J251" s="38">
        <f>if(ISNA(vlookup($A251,Rotowire!$B$2:$E$1075,4, false)), 0, vlookup($A251,Rotowire!$B$2:$E$1075, 4, false))</f>
        <v>0</v>
      </c>
      <c r="K251" s="37">
        <f>if(ISNA(vlookup($A251, FantasyPro!$B$2:$E$341,4,false)),0,vlookup($A251,FantasyPro!$B$2:$E$341,4,false))</f>
        <v>0</v>
      </c>
      <c r="L251" s="37">
        <f>if(ISNA(vlookup($A251, FFToolbox!$B$2:$E$414, 4, false)), 0, vlookup($A251, FFToolbox!$B$2:$E$414, 4, false))</f>
        <v>1</v>
      </c>
      <c r="M251" s="39">
        <f t="shared" si="1"/>
        <v>0.5</v>
      </c>
      <c r="N251" s="39">
        <f t="shared" si="2"/>
        <v>1</v>
      </c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</row>
    <row r="252">
      <c r="A252" s="17" t="s">
        <v>280</v>
      </c>
      <c r="B252" s="35" t="s">
        <v>1259</v>
      </c>
      <c r="C252" s="35">
        <v>7.0</v>
      </c>
      <c r="D252" s="36" t="s">
        <v>41</v>
      </c>
      <c r="E252" s="36" t="s">
        <v>77</v>
      </c>
      <c r="F252" s="36">
        <f>vlookup(D252,'Team Bye List'!$A$1:$B$33,2,False)</f>
        <v>14</v>
      </c>
      <c r="G252" s="37">
        <f>if(ISNA(vlookup($A252, Sleeper!$B$2:$E$330, 4, false)), 0, vlookup($A252, Sleeper!$B$2:$E$330, 4, false))</f>
        <v>1</v>
      </c>
      <c r="H252" s="37">
        <f>if(ISNA(vlookup($A252, ESPN!$B$2:$E$297, 4, false)), 0, vlookup($A252, ESPN!$B$2:$E$297, 4, false))</f>
        <v>0</v>
      </c>
      <c r="I252" s="37">
        <f>if(ISNA(vlookup($A252,'Ultimate Draft Kit'!$B$2:$E$324,4, false)), 0, vlookup($A252,'Ultimate Draft Kit'!$B$2:$E$324, 4, false))</f>
        <v>1</v>
      </c>
      <c r="J252" s="38">
        <f>if(ISNA(vlookup($A252,Rotowire!$B$2:$E$1075,4, false)), 0, vlookup($A252,Rotowire!$B$2:$E$1075, 4, false))</f>
        <v>0</v>
      </c>
      <c r="K252" s="37">
        <f>if(ISNA(vlookup($A252, FantasyPro!$B$2:$E$341,4,false)),0,vlookup($A252,FantasyPro!$B$2:$E$341,4,false))</f>
        <v>1</v>
      </c>
      <c r="L252" s="37">
        <f>if(ISNA(vlookup($A252, FFToolbox!$B$2:$E$414, 4, false)), 0, vlookup($A252, FFToolbox!$B$2:$E$414, 4, false))</f>
        <v>1</v>
      </c>
      <c r="M252" s="39">
        <f t="shared" si="1"/>
        <v>0.6666666667</v>
      </c>
      <c r="N252" s="39">
        <f t="shared" si="2"/>
        <v>1</v>
      </c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</row>
    <row r="253">
      <c r="A253" s="17" t="s">
        <v>283</v>
      </c>
      <c r="B253" s="35" t="s">
        <v>1259</v>
      </c>
      <c r="C253" s="35">
        <v>8.0</v>
      </c>
      <c r="D253" s="36" t="s">
        <v>35</v>
      </c>
      <c r="E253" s="36" t="s">
        <v>77</v>
      </c>
      <c r="F253" s="36">
        <f>vlookup(D253,'Team Bye List'!$A$1:$B$33,2,False)</f>
        <v>6</v>
      </c>
      <c r="G253" s="37">
        <f>if(ISNA(vlookup($A253, Sleeper!$B$2:$E$330, 4, false)), 0, vlookup($A253, Sleeper!$B$2:$E$330, 4, false))</f>
        <v>1</v>
      </c>
      <c r="H253" s="37">
        <f>if(ISNA(vlookup($A253, ESPN!$B$2:$E$297, 4, false)), 0, vlookup($A253, ESPN!$B$2:$E$297, 4, false))</f>
        <v>0</v>
      </c>
      <c r="I253" s="37">
        <f>if(ISNA(vlookup($A253,'Ultimate Draft Kit'!$B$2:$E$324,4, false)), 0, vlookup($A253,'Ultimate Draft Kit'!$B$2:$E$324, 4, false))</f>
        <v>1</v>
      </c>
      <c r="J253" s="38">
        <f>if(ISNA(vlookup($A253,Rotowire!$B$2:$E$1075,4, false)), 0, vlookup($A253,Rotowire!$B$2:$E$1075, 4, false))</f>
        <v>0</v>
      </c>
      <c r="K253" s="37">
        <f>if(ISNA(vlookup($A253, FantasyPro!$B$2:$E$341,4,false)),0,vlookup($A253,FantasyPro!$B$2:$E$341,4,false))</f>
        <v>0</v>
      </c>
      <c r="L253" s="37">
        <f>if(ISNA(vlookup($A253, FFToolbox!$B$2:$E$414, 4, false)), 0, vlookup($A253, FFToolbox!$B$2:$E$414, 4, false))</f>
        <v>1</v>
      </c>
      <c r="M253" s="39">
        <f t="shared" si="1"/>
        <v>0.5</v>
      </c>
      <c r="N253" s="39">
        <f t="shared" si="2"/>
        <v>1</v>
      </c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</row>
    <row r="254">
      <c r="A254" s="17" t="s">
        <v>342</v>
      </c>
      <c r="B254" s="35" t="s">
        <v>1259</v>
      </c>
      <c r="C254" s="35">
        <v>10.0</v>
      </c>
      <c r="D254" s="36" t="s">
        <v>15</v>
      </c>
      <c r="E254" s="36" t="s">
        <v>13</v>
      </c>
      <c r="F254" s="36">
        <f>vlookup(D254,'Team Bye List'!$A$1:$B$33,2,False)</f>
        <v>6</v>
      </c>
      <c r="G254" s="37">
        <f>if(ISNA(vlookup($A254, Sleeper!$B$2:$E$330, 4, false)), 0, vlookup($A254, Sleeper!$B$2:$E$330, 4, false))</f>
        <v>1</v>
      </c>
      <c r="H254" s="37">
        <f>if(ISNA(vlookup($A254, ESPN!$B$2:$E$297, 4, false)), 0, vlookup($A254, ESPN!$B$2:$E$297, 4, false))</f>
        <v>0</v>
      </c>
      <c r="I254" s="37">
        <f>if(ISNA(vlookup($A254,'Ultimate Draft Kit'!$B$2:$E$324,4, false)), 0, vlookup($A254,'Ultimate Draft Kit'!$B$2:$E$324, 4, false))</f>
        <v>1</v>
      </c>
      <c r="J254" s="38">
        <f>if(ISNA(vlookup($A254,Rotowire!$B$2:$E$1075,4, false)), 0, vlookup($A254,Rotowire!$B$2:$E$1075, 4, false))</f>
        <v>0</v>
      </c>
      <c r="K254" s="37">
        <f>if(ISNA(vlookup($A254, FantasyPro!$B$2:$E$341,4,false)),0,vlookup($A254,FantasyPro!$B$2:$E$341,4,false))</f>
        <v>1</v>
      </c>
      <c r="L254" s="37">
        <f>if(ISNA(vlookup($A254, FFToolbox!$B$2:$E$414, 4, false)), 0, vlookup($A254, FFToolbox!$B$2:$E$414, 4, false))</f>
        <v>0</v>
      </c>
      <c r="M254" s="39">
        <f t="shared" si="1"/>
        <v>0.5</v>
      </c>
      <c r="N254" s="39">
        <f t="shared" si="2"/>
        <v>1</v>
      </c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</row>
    <row r="255">
      <c r="A255" s="17" t="s">
        <v>886</v>
      </c>
      <c r="B255" s="35" t="s">
        <v>1259</v>
      </c>
      <c r="C255" s="35" t="s">
        <v>1260</v>
      </c>
      <c r="D255" s="36" t="s">
        <v>21</v>
      </c>
      <c r="E255" s="36" t="s">
        <v>183</v>
      </c>
      <c r="F255" s="36">
        <f>vlookup(D255,'Team Bye List'!$A$1:$B$33,2,False)</f>
        <v>6</v>
      </c>
      <c r="G255" s="37">
        <f>if(ISNA(vlookup($A255, Sleeper!$B$2:$E$330, 4, false)), 0, vlookup($A255, Sleeper!$B$2:$E$330, 4, false))</f>
        <v>0</v>
      </c>
      <c r="H255" s="37">
        <f>if(ISNA(vlookup($A255, ESPN!$B$2:$E$297, 4, false)), 0, vlookup($A255, ESPN!$B$2:$E$297, 4, false))</f>
        <v>0</v>
      </c>
      <c r="I255" s="37">
        <f>if(ISNA(vlookup($A255,'Ultimate Draft Kit'!$B$2:$E$324,4, false)), 0, vlookup($A255,'Ultimate Draft Kit'!$B$2:$E$324, 4, false))</f>
        <v>0</v>
      </c>
      <c r="J255" s="38">
        <f>if(ISNA(vlookup($A255,Rotowire!$B$2:$E$1075,4, false)), 0, vlookup($A255,Rotowire!$B$2:$E$1075, 4, false))</f>
        <v>0</v>
      </c>
      <c r="K255" s="37">
        <f>if(ISNA(vlookup($A255, FantasyPro!$B$2:$E$341,4,false)),0,vlookup($A255,FantasyPro!$B$2:$E$341,4,false))</f>
        <v>0</v>
      </c>
      <c r="L255" s="37">
        <f>if(ISNA(vlookup($A255, FFToolbox!$B$2:$E$414, 4, false)), 0, vlookup($A255, FFToolbox!$B$2:$E$414, 4, false))</f>
        <v>0</v>
      </c>
      <c r="M255" s="39">
        <f t="shared" si="1"/>
        <v>0</v>
      </c>
      <c r="N255" s="39">
        <f t="shared" si="2"/>
        <v>0</v>
      </c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</row>
    <row r="256">
      <c r="A256" s="17" t="s">
        <v>809</v>
      </c>
      <c r="B256" s="35" t="s">
        <v>1259</v>
      </c>
      <c r="C256" s="35">
        <v>21.0</v>
      </c>
      <c r="D256" s="36" t="s">
        <v>262</v>
      </c>
      <c r="E256" s="36" t="s">
        <v>183</v>
      </c>
      <c r="F256" s="36" t="str">
        <f>vlookup(D256,'Team Bye List'!$A$1:$B$33,2,False)</f>
        <v>#N/A</v>
      </c>
      <c r="G256" s="37">
        <f>if(ISNA(vlookup($A256, Sleeper!$B$2:$E$330, 4, false)), 0, vlookup($A256, Sleeper!$B$2:$E$330, 4, false))</f>
        <v>0</v>
      </c>
      <c r="H256" s="37">
        <f>if(ISNA(vlookup($A256, ESPN!$B$2:$E$297, 4, false)), 0, vlookup($A256, ESPN!$B$2:$E$297, 4, false))</f>
        <v>0</v>
      </c>
      <c r="I256" s="37">
        <f>if(ISNA(vlookup($A256,'Ultimate Draft Kit'!$B$2:$E$324,4, false)), 0, vlookup($A256,'Ultimate Draft Kit'!$B$2:$E$324, 4, false))</f>
        <v>1</v>
      </c>
      <c r="J256" s="38">
        <f>if(ISNA(vlookup($A256,Rotowire!$B$2:$E$1075,4, false)), 0, vlookup($A256,Rotowire!$B$2:$E$1075, 4, false))</f>
        <v>0</v>
      </c>
      <c r="K256" s="37">
        <f>if(ISNA(vlookup($A256, FantasyPro!$B$2:$E$341,4,false)),0,vlookup($A256,FantasyPro!$B$2:$E$341,4,false))</f>
        <v>0</v>
      </c>
      <c r="L256" s="37">
        <f>if(ISNA(vlookup($A256, FFToolbox!$B$2:$E$414, 4, false)), 0, vlookup($A256, FFToolbox!$B$2:$E$414, 4, false))</f>
        <v>0</v>
      </c>
      <c r="M256" s="39">
        <f t="shared" si="1"/>
        <v>0.1666666667</v>
      </c>
      <c r="N256" s="39">
        <f t="shared" si="2"/>
        <v>1</v>
      </c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</row>
    <row r="257">
      <c r="A257" s="17" t="s">
        <v>887</v>
      </c>
      <c r="B257" s="35" t="s">
        <v>1259</v>
      </c>
      <c r="C257" s="35" t="s">
        <v>1260</v>
      </c>
      <c r="D257" s="36" t="s">
        <v>262</v>
      </c>
      <c r="E257" s="36" t="s">
        <v>183</v>
      </c>
      <c r="F257" s="36" t="str">
        <f>vlookup(D257,'Team Bye List'!$A$1:$B$33,2,False)</f>
        <v>#N/A</v>
      </c>
      <c r="G257" s="37">
        <f>if(ISNA(vlookup($A257, Sleeper!$B$2:$E$330, 4, false)), 0, vlookup($A257, Sleeper!$B$2:$E$330, 4, false))</f>
        <v>0</v>
      </c>
      <c r="H257" s="37">
        <f>if(ISNA(vlookup($A257, ESPN!$B$2:$E$297, 4, false)), 0, vlookup($A257, ESPN!$B$2:$E$297, 4, false))</f>
        <v>0</v>
      </c>
      <c r="I257" s="37">
        <f>if(ISNA(vlookup($A257,'Ultimate Draft Kit'!$B$2:$E$324,4, false)), 0, vlookup($A257,'Ultimate Draft Kit'!$B$2:$E$324, 4, false))</f>
        <v>0</v>
      </c>
      <c r="J257" s="38">
        <f>if(ISNA(vlookup($A257,Rotowire!$B$2:$E$1075,4, false)), 0, vlookup($A257,Rotowire!$B$2:$E$1075, 4, false))</f>
        <v>0</v>
      </c>
      <c r="K257" s="37">
        <f>if(ISNA(vlookup($A257, FantasyPro!$B$2:$E$341,4,false)),0,vlookup($A257,FantasyPro!$B$2:$E$341,4,false))</f>
        <v>0</v>
      </c>
      <c r="L257" s="37">
        <f>if(ISNA(vlookup($A257, FFToolbox!$B$2:$E$414, 4, false)), 0, vlookup($A257, FFToolbox!$B$2:$E$414, 4, false))</f>
        <v>0</v>
      </c>
      <c r="M257" s="39">
        <f t="shared" si="1"/>
        <v>0</v>
      </c>
      <c r="N257" s="39">
        <f t="shared" si="2"/>
        <v>0</v>
      </c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</row>
    <row r="258">
      <c r="A258" s="17" t="s">
        <v>888</v>
      </c>
      <c r="B258" s="35" t="s">
        <v>1259</v>
      </c>
      <c r="C258" s="35" t="s">
        <v>1260</v>
      </c>
      <c r="D258" s="36" t="s">
        <v>262</v>
      </c>
      <c r="E258" s="36" t="s">
        <v>183</v>
      </c>
      <c r="F258" s="36" t="str">
        <f>vlookup(D258,'Team Bye List'!$A$1:$B$33,2,False)</f>
        <v>#N/A</v>
      </c>
      <c r="G258" s="37">
        <f>if(ISNA(vlookup($A258, Sleeper!$B$2:$E$330, 4, false)), 0, vlookup($A258, Sleeper!$B$2:$E$330, 4, false))</f>
        <v>0</v>
      </c>
      <c r="H258" s="37">
        <f>if(ISNA(vlookup($A258, ESPN!$B$2:$E$297, 4, false)), 0, vlookup($A258, ESPN!$B$2:$E$297, 4, false))</f>
        <v>0</v>
      </c>
      <c r="I258" s="37">
        <f>if(ISNA(vlookup($A258,'Ultimate Draft Kit'!$B$2:$E$324,4, false)), 0, vlookup($A258,'Ultimate Draft Kit'!$B$2:$E$324, 4, false))</f>
        <v>0</v>
      </c>
      <c r="J258" s="38">
        <f>if(ISNA(vlookup($A258,Rotowire!$B$2:$E$1075,4, false)), 0, vlookup($A258,Rotowire!$B$2:$E$1075, 4, false))</f>
        <v>0</v>
      </c>
      <c r="K258" s="37">
        <f>if(ISNA(vlookup($A258, FantasyPro!$B$2:$E$341,4,false)),0,vlookup($A258,FantasyPro!$B$2:$E$341,4,false))</f>
        <v>0</v>
      </c>
      <c r="L258" s="37">
        <f>if(ISNA(vlookup($A258, FFToolbox!$B$2:$E$414, 4, false)), 0, vlookup($A258, FFToolbox!$B$2:$E$414, 4, false))</f>
        <v>0</v>
      </c>
      <c r="M258" s="39">
        <f t="shared" si="1"/>
        <v>0</v>
      </c>
      <c r="N258" s="39">
        <f t="shared" si="2"/>
        <v>0</v>
      </c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</row>
    <row r="259">
      <c r="A259" s="17" t="s">
        <v>889</v>
      </c>
      <c r="B259" s="35" t="s">
        <v>1259</v>
      </c>
      <c r="C259" s="35" t="s">
        <v>1260</v>
      </c>
      <c r="D259" s="36" t="s">
        <v>262</v>
      </c>
      <c r="E259" s="36" t="s">
        <v>183</v>
      </c>
      <c r="F259" s="36" t="str">
        <f>vlookup(D259,'Team Bye List'!$A$1:$B$33,2,False)</f>
        <v>#N/A</v>
      </c>
      <c r="G259" s="37">
        <f>if(ISNA(vlookup($A259, Sleeper!$B$2:$E$330, 4, false)), 0, vlookup($A259, Sleeper!$B$2:$E$330, 4, false))</f>
        <v>0</v>
      </c>
      <c r="H259" s="37">
        <f>if(ISNA(vlookup($A259, ESPN!$B$2:$E$297, 4, false)), 0, vlookup($A259, ESPN!$B$2:$E$297, 4, false))</f>
        <v>0</v>
      </c>
      <c r="I259" s="37">
        <f>if(ISNA(vlookup($A259,'Ultimate Draft Kit'!$B$2:$E$324,4, false)), 0, vlookup($A259,'Ultimate Draft Kit'!$B$2:$E$324, 4, false))</f>
        <v>0</v>
      </c>
      <c r="J259" s="38">
        <f>if(ISNA(vlookup($A259,Rotowire!$B$2:$E$1075,4, false)), 0, vlookup($A259,Rotowire!$B$2:$E$1075, 4, false))</f>
        <v>0</v>
      </c>
      <c r="K259" s="37">
        <f>if(ISNA(vlookup($A259, FantasyPro!$B$2:$E$341,4,false)),0,vlookup($A259,FantasyPro!$B$2:$E$341,4,false))</f>
        <v>0</v>
      </c>
      <c r="L259" s="37">
        <f>if(ISNA(vlookup($A259, FFToolbox!$B$2:$E$414, 4, false)), 0, vlookup($A259, FFToolbox!$B$2:$E$414, 4, false))</f>
        <v>0</v>
      </c>
      <c r="M259" s="39">
        <f t="shared" si="1"/>
        <v>0</v>
      </c>
      <c r="N259" s="39">
        <f t="shared" si="2"/>
        <v>0</v>
      </c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</row>
    <row r="260">
      <c r="A260" s="17" t="s">
        <v>890</v>
      </c>
      <c r="B260" s="35" t="s">
        <v>1259</v>
      </c>
      <c r="C260" s="35" t="s">
        <v>1260</v>
      </c>
      <c r="D260" s="36" t="s">
        <v>262</v>
      </c>
      <c r="E260" s="36" t="s">
        <v>183</v>
      </c>
      <c r="F260" s="36" t="str">
        <f>vlookup(D260,'Team Bye List'!$A$1:$B$33,2,False)</f>
        <v>#N/A</v>
      </c>
      <c r="G260" s="37">
        <f>if(ISNA(vlookup($A260, Sleeper!$B$2:$E$330, 4, false)), 0, vlookup($A260, Sleeper!$B$2:$E$330, 4, false))</f>
        <v>0</v>
      </c>
      <c r="H260" s="37">
        <f>if(ISNA(vlookup($A260, ESPN!$B$2:$E$297, 4, false)), 0, vlookup($A260, ESPN!$B$2:$E$297, 4, false))</f>
        <v>0</v>
      </c>
      <c r="I260" s="37">
        <f>if(ISNA(vlookup($A260,'Ultimate Draft Kit'!$B$2:$E$324,4, false)), 0, vlookup($A260,'Ultimate Draft Kit'!$B$2:$E$324, 4, false))</f>
        <v>0</v>
      </c>
      <c r="J260" s="38">
        <f>if(ISNA(vlookup($A260,Rotowire!$B$2:$E$1075,4, false)), 0, vlookup($A260,Rotowire!$B$2:$E$1075, 4, false))</f>
        <v>0</v>
      </c>
      <c r="K260" s="37">
        <f>if(ISNA(vlookup($A260, FantasyPro!$B$2:$E$341,4,false)),0,vlookup($A260,FantasyPro!$B$2:$E$341,4,false))</f>
        <v>0</v>
      </c>
      <c r="L260" s="37">
        <f>if(ISNA(vlookup($A260, FFToolbox!$B$2:$E$414, 4, false)), 0, vlookup($A260, FFToolbox!$B$2:$E$414, 4, false))</f>
        <v>0</v>
      </c>
      <c r="M260" s="39">
        <f t="shared" si="1"/>
        <v>0</v>
      </c>
      <c r="N260" s="39">
        <f t="shared" si="2"/>
        <v>0</v>
      </c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</row>
    <row r="261">
      <c r="A261" s="17" t="s">
        <v>891</v>
      </c>
      <c r="B261" s="35" t="s">
        <v>1259</v>
      </c>
      <c r="C261" s="35" t="s">
        <v>1260</v>
      </c>
      <c r="D261" s="36" t="s">
        <v>262</v>
      </c>
      <c r="E261" s="36" t="s">
        <v>183</v>
      </c>
      <c r="F261" s="36" t="str">
        <f>vlookup(D261,'Team Bye List'!$A$1:$B$33,2,False)</f>
        <v>#N/A</v>
      </c>
      <c r="G261" s="37">
        <f>if(ISNA(vlookup($A261, Sleeper!$B$2:$E$330, 4, false)), 0, vlookup($A261, Sleeper!$B$2:$E$330, 4, false))</f>
        <v>0</v>
      </c>
      <c r="H261" s="37">
        <f>if(ISNA(vlookup($A261, ESPN!$B$2:$E$297, 4, false)), 0, vlookup($A261, ESPN!$B$2:$E$297, 4, false))</f>
        <v>0</v>
      </c>
      <c r="I261" s="37">
        <f>if(ISNA(vlookup($A261,'Ultimate Draft Kit'!$B$2:$E$324,4, false)), 0, vlookup($A261,'Ultimate Draft Kit'!$B$2:$E$324, 4, false))</f>
        <v>0</v>
      </c>
      <c r="J261" s="38">
        <f>if(ISNA(vlookup($A261,Rotowire!$B$2:$E$1075,4, false)), 0, vlookup($A261,Rotowire!$B$2:$E$1075, 4, false))</f>
        <v>0</v>
      </c>
      <c r="K261" s="37">
        <f>if(ISNA(vlookup($A261, FantasyPro!$B$2:$E$341,4,false)),0,vlookup($A261,FantasyPro!$B$2:$E$341,4,false))</f>
        <v>0</v>
      </c>
      <c r="L261" s="37">
        <f>if(ISNA(vlookup($A261, FFToolbox!$B$2:$E$414, 4, false)), 0, vlookup($A261, FFToolbox!$B$2:$E$414, 4, false))</f>
        <v>0</v>
      </c>
      <c r="M261" s="39">
        <f t="shared" si="1"/>
        <v>0</v>
      </c>
      <c r="N261" s="39">
        <f t="shared" si="2"/>
        <v>0</v>
      </c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</row>
    <row r="262">
      <c r="A262" s="17" t="s">
        <v>892</v>
      </c>
      <c r="B262" s="35" t="s">
        <v>1259</v>
      </c>
      <c r="C262" s="35" t="s">
        <v>1260</v>
      </c>
      <c r="D262" s="36" t="s">
        <v>262</v>
      </c>
      <c r="E262" s="36" t="s">
        <v>183</v>
      </c>
      <c r="F262" s="36" t="str">
        <f>vlookup(D262,'Team Bye List'!$A$1:$B$33,2,False)</f>
        <v>#N/A</v>
      </c>
      <c r="G262" s="37">
        <f>if(ISNA(vlookup($A262, Sleeper!$B$2:$E$330, 4, false)), 0, vlookup($A262, Sleeper!$B$2:$E$330, 4, false))</f>
        <v>0</v>
      </c>
      <c r="H262" s="37">
        <f>if(ISNA(vlookup($A262, ESPN!$B$2:$E$297, 4, false)), 0, vlookup($A262, ESPN!$B$2:$E$297, 4, false))</f>
        <v>0</v>
      </c>
      <c r="I262" s="37">
        <f>if(ISNA(vlookup($A262,'Ultimate Draft Kit'!$B$2:$E$324,4, false)), 0, vlookup($A262,'Ultimate Draft Kit'!$B$2:$E$324, 4, false))</f>
        <v>0</v>
      </c>
      <c r="J262" s="38">
        <f>if(ISNA(vlookup($A262,Rotowire!$B$2:$E$1075,4, false)), 0, vlookup($A262,Rotowire!$B$2:$E$1075, 4, false))</f>
        <v>0</v>
      </c>
      <c r="K262" s="37">
        <f>if(ISNA(vlookup($A262, FantasyPro!$B$2:$E$341,4,false)),0,vlookup($A262,FantasyPro!$B$2:$E$341,4,false))</f>
        <v>0</v>
      </c>
      <c r="L262" s="37">
        <f>if(ISNA(vlookup($A262, FFToolbox!$B$2:$E$414, 4, false)), 0, vlookup($A262, FFToolbox!$B$2:$E$414, 4, false))</f>
        <v>0</v>
      </c>
      <c r="M262" s="39">
        <f t="shared" si="1"/>
        <v>0</v>
      </c>
      <c r="N262" s="39">
        <f t="shared" si="2"/>
        <v>0</v>
      </c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</row>
    <row r="263">
      <c r="A263" s="17" t="s">
        <v>893</v>
      </c>
      <c r="B263" s="35" t="s">
        <v>1259</v>
      </c>
      <c r="C263" s="35" t="s">
        <v>1260</v>
      </c>
      <c r="D263" s="36" t="s">
        <v>262</v>
      </c>
      <c r="E263" s="36" t="s">
        <v>183</v>
      </c>
      <c r="F263" s="36" t="str">
        <f>vlookup(D263,'Team Bye List'!$A$1:$B$33,2,False)</f>
        <v>#N/A</v>
      </c>
      <c r="G263" s="37">
        <f>if(ISNA(vlookup($A263, Sleeper!$B$2:$E$330, 4, false)), 0, vlookup($A263, Sleeper!$B$2:$E$330, 4, false))</f>
        <v>0</v>
      </c>
      <c r="H263" s="37">
        <f>if(ISNA(vlookup($A263, ESPN!$B$2:$E$297, 4, false)), 0, vlookup($A263, ESPN!$B$2:$E$297, 4, false))</f>
        <v>0</v>
      </c>
      <c r="I263" s="37">
        <f>if(ISNA(vlookup($A263,'Ultimate Draft Kit'!$B$2:$E$324,4, false)), 0, vlookup($A263,'Ultimate Draft Kit'!$B$2:$E$324, 4, false))</f>
        <v>0</v>
      </c>
      <c r="J263" s="38">
        <f>if(ISNA(vlookup($A263,Rotowire!$B$2:$E$1075,4, false)), 0, vlookup($A263,Rotowire!$B$2:$E$1075, 4, false))</f>
        <v>0</v>
      </c>
      <c r="K263" s="37">
        <f>if(ISNA(vlookup($A263, FantasyPro!$B$2:$E$341,4,false)),0,vlookup($A263,FantasyPro!$B$2:$E$341,4,false))</f>
        <v>0</v>
      </c>
      <c r="L263" s="37">
        <f>if(ISNA(vlookup($A263, FFToolbox!$B$2:$E$414, 4, false)), 0, vlookup($A263, FFToolbox!$B$2:$E$414, 4, false))</f>
        <v>0</v>
      </c>
      <c r="M263" s="39">
        <f t="shared" si="1"/>
        <v>0</v>
      </c>
      <c r="N263" s="39">
        <f t="shared" si="2"/>
        <v>0</v>
      </c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</row>
    <row r="264">
      <c r="A264" s="17" t="s">
        <v>894</v>
      </c>
      <c r="B264" s="35" t="s">
        <v>1259</v>
      </c>
      <c r="C264" s="35" t="s">
        <v>1260</v>
      </c>
      <c r="D264" s="36" t="s">
        <v>262</v>
      </c>
      <c r="E264" s="36" t="s">
        <v>183</v>
      </c>
      <c r="F264" s="36" t="str">
        <f>vlookup(D264,'Team Bye List'!$A$1:$B$33,2,False)</f>
        <v>#N/A</v>
      </c>
      <c r="G264" s="37">
        <f>if(ISNA(vlookup($A264, Sleeper!$B$2:$E$330, 4, false)), 0, vlookup($A264, Sleeper!$B$2:$E$330, 4, false))</f>
        <v>0</v>
      </c>
      <c r="H264" s="37">
        <f>if(ISNA(vlookup($A264, ESPN!$B$2:$E$297, 4, false)), 0, vlookup($A264, ESPN!$B$2:$E$297, 4, false))</f>
        <v>0</v>
      </c>
      <c r="I264" s="37">
        <f>if(ISNA(vlookup($A264,'Ultimate Draft Kit'!$B$2:$E$324,4, false)), 0, vlookup($A264,'Ultimate Draft Kit'!$B$2:$E$324, 4, false))</f>
        <v>0</v>
      </c>
      <c r="J264" s="38">
        <f>if(ISNA(vlookup($A264,Rotowire!$B$2:$E$1075,4, false)), 0, vlookup($A264,Rotowire!$B$2:$E$1075, 4, false))</f>
        <v>0</v>
      </c>
      <c r="K264" s="37">
        <f>if(ISNA(vlookup($A264, FantasyPro!$B$2:$E$341,4,false)),0,vlookup($A264,FantasyPro!$B$2:$E$341,4,false))</f>
        <v>0</v>
      </c>
      <c r="L264" s="37">
        <f>if(ISNA(vlookup($A264, FFToolbox!$B$2:$E$414, 4, false)), 0, vlookup($A264, FFToolbox!$B$2:$E$414, 4, false))</f>
        <v>0</v>
      </c>
      <c r="M264" s="39">
        <f t="shared" si="1"/>
        <v>0</v>
      </c>
      <c r="N264" s="39">
        <f t="shared" si="2"/>
        <v>0</v>
      </c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</row>
    <row r="265">
      <c r="A265" s="17" t="s">
        <v>895</v>
      </c>
      <c r="B265" s="35" t="s">
        <v>1259</v>
      </c>
      <c r="C265" s="35" t="s">
        <v>1260</v>
      </c>
      <c r="D265" s="36" t="s">
        <v>262</v>
      </c>
      <c r="E265" s="36" t="s">
        <v>183</v>
      </c>
      <c r="F265" s="36" t="str">
        <f>vlookup(D265,'Team Bye List'!$A$1:$B$33,2,False)</f>
        <v>#N/A</v>
      </c>
      <c r="G265" s="37">
        <f>if(ISNA(vlookup($A265, Sleeper!$B$2:$E$330, 4, false)), 0, vlookup($A265, Sleeper!$B$2:$E$330, 4, false))</f>
        <v>0</v>
      </c>
      <c r="H265" s="37">
        <f>if(ISNA(vlookup($A265, ESPN!$B$2:$E$297, 4, false)), 0, vlookup($A265, ESPN!$B$2:$E$297, 4, false))</f>
        <v>0</v>
      </c>
      <c r="I265" s="37">
        <f>if(ISNA(vlookup($A265,'Ultimate Draft Kit'!$B$2:$E$324,4, false)), 0, vlookup($A265,'Ultimate Draft Kit'!$B$2:$E$324, 4, false))</f>
        <v>0</v>
      </c>
      <c r="J265" s="38">
        <f>if(ISNA(vlookup($A265,Rotowire!$B$2:$E$1075,4, false)), 0, vlookup($A265,Rotowire!$B$2:$E$1075, 4, false))</f>
        <v>0</v>
      </c>
      <c r="K265" s="37">
        <f>if(ISNA(vlookup($A265, FantasyPro!$B$2:$E$341,4,false)),0,vlookup($A265,FantasyPro!$B$2:$E$341,4,false))</f>
        <v>0</v>
      </c>
      <c r="L265" s="37">
        <f>if(ISNA(vlookup($A265, FFToolbox!$B$2:$E$414, 4, false)), 0, vlookup($A265, FFToolbox!$B$2:$E$414, 4, false))</f>
        <v>0</v>
      </c>
      <c r="M265" s="39">
        <f t="shared" si="1"/>
        <v>0</v>
      </c>
      <c r="N265" s="39">
        <f t="shared" si="2"/>
        <v>0</v>
      </c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</row>
    <row r="266">
      <c r="A266" s="17" t="s">
        <v>803</v>
      </c>
      <c r="B266" s="35" t="s">
        <v>1259</v>
      </c>
      <c r="C266" s="35" t="s">
        <v>1260</v>
      </c>
      <c r="D266" s="36" t="s">
        <v>262</v>
      </c>
      <c r="E266" s="36" t="s">
        <v>183</v>
      </c>
      <c r="F266" s="36" t="str">
        <f>vlookup(D266,'Team Bye List'!$A$1:$B$33,2,False)</f>
        <v>#N/A</v>
      </c>
      <c r="G266" s="37">
        <f>if(ISNA(vlookup($A266, Sleeper!$B$2:$E$330, 4, false)), 0, vlookup($A266, Sleeper!$B$2:$E$330, 4, false))</f>
        <v>0</v>
      </c>
      <c r="H266" s="37">
        <f>if(ISNA(vlookup($A266, ESPN!$B$2:$E$297, 4, false)), 0, vlookup($A266, ESPN!$B$2:$E$297, 4, false))</f>
        <v>0</v>
      </c>
      <c r="I266" s="37">
        <f>if(ISNA(vlookup($A266,'Ultimate Draft Kit'!$B$2:$E$324,4, false)), 0, vlookup($A266,'Ultimate Draft Kit'!$B$2:$E$324, 4, false))</f>
        <v>0</v>
      </c>
      <c r="J266" s="38">
        <f>if(ISNA(vlookup($A266,Rotowire!$B$2:$E$1075,4, false)), 0, vlookup($A266,Rotowire!$B$2:$E$1075, 4, false))</f>
        <v>0</v>
      </c>
      <c r="K266" s="37">
        <f>if(ISNA(vlookup($A266, FantasyPro!$B$2:$E$341,4,false)),0,vlookup($A266,FantasyPro!$B$2:$E$341,4,false))</f>
        <v>0</v>
      </c>
      <c r="L266" s="37">
        <f>if(ISNA(vlookup($A266, FFToolbox!$B$2:$E$414, 4, false)), 0, vlookup($A266, FFToolbox!$B$2:$E$414, 4, false))</f>
        <v>0</v>
      </c>
      <c r="M266" s="39">
        <f t="shared" si="1"/>
        <v>0</v>
      </c>
      <c r="N266" s="39">
        <f t="shared" si="2"/>
        <v>0</v>
      </c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</row>
    <row r="267">
      <c r="A267" s="17" t="s">
        <v>897</v>
      </c>
      <c r="B267" s="35" t="s">
        <v>1259</v>
      </c>
      <c r="C267" s="35" t="s">
        <v>1260</v>
      </c>
      <c r="D267" s="36" t="s">
        <v>262</v>
      </c>
      <c r="E267" s="36" t="s">
        <v>183</v>
      </c>
      <c r="F267" s="36" t="str">
        <f>vlookup(D267,'Team Bye List'!$A$1:$B$33,2,False)</f>
        <v>#N/A</v>
      </c>
      <c r="G267" s="37">
        <f>if(ISNA(vlookup($A267, Sleeper!$B$2:$E$330, 4, false)), 0, vlookup($A267, Sleeper!$B$2:$E$330, 4, false))</f>
        <v>0</v>
      </c>
      <c r="H267" s="37">
        <f>if(ISNA(vlookup($A267, ESPN!$B$2:$E$297, 4, false)), 0, vlookup($A267, ESPN!$B$2:$E$297, 4, false))</f>
        <v>0</v>
      </c>
      <c r="I267" s="37">
        <f>if(ISNA(vlookup($A267,'Ultimate Draft Kit'!$B$2:$E$324,4, false)), 0, vlookup($A267,'Ultimate Draft Kit'!$B$2:$E$324, 4, false))</f>
        <v>0</v>
      </c>
      <c r="J267" s="38">
        <f>if(ISNA(vlookup($A267,Rotowire!$B$2:$E$1075,4, false)), 0, vlookup($A267,Rotowire!$B$2:$E$1075, 4, false))</f>
        <v>0</v>
      </c>
      <c r="K267" s="37">
        <f>if(ISNA(vlookup($A267, FantasyPro!$B$2:$E$341,4,false)),0,vlookup($A267,FantasyPro!$B$2:$E$341,4,false))</f>
        <v>0</v>
      </c>
      <c r="L267" s="37">
        <f>if(ISNA(vlookup($A267, FFToolbox!$B$2:$E$414, 4, false)), 0, vlookup($A267, FFToolbox!$B$2:$E$414, 4, false))</f>
        <v>0</v>
      </c>
      <c r="M267" s="39">
        <f t="shared" si="1"/>
        <v>0</v>
      </c>
      <c r="N267" s="39">
        <f t="shared" si="2"/>
        <v>0</v>
      </c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</row>
    <row r="268">
      <c r="A268" s="17" t="s">
        <v>898</v>
      </c>
      <c r="B268" s="35" t="s">
        <v>1259</v>
      </c>
      <c r="C268" s="35" t="s">
        <v>1260</v>
      </c>
      <c r="D268" s="36" t="s">
        <v>262</v>
      </c>
      <c r="E268" s="36" t="s">
        <v>183</v>
      </c>
      <c r="F268" s="36" t="str">
        <f>vlookup(D268,'Team Bye List'!$A$1:$B$33,2,False)</f>
        <v>#N/A</v>
      </c>
      <c r="G268" s="37">
        <f>if(ISNA(vlookup($A268, Sleeper!$B$2:$E$330, 4, false)), 0, vlookup($A268, Sleeper!$B$2:$E$330, 4, false))</f>
        <v>0</v>
      </c>
      <c r="H268" s="37">
        <f>if(ISNA(vlookup($A268, ESPN!$B$2:$E$297, 4, false)), 0, vlookup($A268, ESPN!$B$2:$E$297, 4, false))</f>
        <v>0</v>
      </c>
      <c r="I268" s="37">
        <f>if(ISNA(vlookup($A268,'Ultimate Draft Kit'!$B$2:$E$324,4, false)), 0, vlookup($A268,'Ultimate Draft Kit'!$B$2:$E$324, 4, false))</f>
        <v>0</v>
      </c>
      <c r="J268" s="38">
        <f>if(ISNA(vlookup($A268,Rotowire!$B$2:$E$1075,4, false)), 0, vlookup($A268,Rotowire!$B$2:$E$1075, 4, false))</f>
        <v>0</v>
      </c>
      <c r="K268" s="37">
        <f>if(ISNA(vlookup($A268, FantasyPro!$B$2:$E$341,4,false)),0,vlookup($A268,FantasyPro!$B$2:$E$341,4,false))</f>
        <v>0</v>
      </c>
      <c r="L268" s="37">
        <f>if(ISNA(vlookup($A268, FFToolbox!$B$2:$E$414, 4, false)), 0, vlookup($A268, FFToolbox!$B$2:$E$414, 4, false))</f>
        <v>0</v>
      </c>
      <c r="M268" s="39">
        <f t="shared" si="1"/>
        <v>0</v>
      </c>
      <c r="N268" s="39">
        <f t="shared" si="2"/>
        <v>0</v>
      </c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</row>
    <row r="269">
      <c r="A269" s="17" t="s">
        <v>899</v>
      </c>
      <c r="B269" s="35" t="s">
        <v>1259</v>
      </c>
      <c r="C269" s="35" t="s">
        <v>1260</v>
      </c>
      <c r="D269" s="36" t="s">
        <v>262</v>
      </c>
      <c r="E269" s="36" t="s">
        <v>183</v>
      </c>
      <c r="F269" s="36" t="str">
        <f>vlookup(D269,'Team Bye List'!$A$1:$B$33,2,False)</f>
        <v>#N/A</v>
      </c>
      <c r="G269" s="37">
        <f>if(ISNA(vlookup($A269, Sleeper!$B$2:$E$330, 4, false)), 0, vlookup($A269, Sleeper!$B$2:$E$330, 4, false))</f>
        <v>0</v>
      </c>
      <c r="H269" s="37">
        <f>if(ISNA(vlookup($A269, ESPN!$B$2:$E$297, 4, false)), 0, vlookup($A269, ESPN!$B$2:$E$297, 4, false))</f>
        <v>0</v>
      </c>
      <c r="I269" s="37">
        <f>if(ISNA(vlookup($A269,'Ultimate Draft Kit'!$B$2:$E$324,4, false)), 0, vlookup($A269,'Ultimate Draft Kit'!$B$2:$E$324, 4, false))</f>
        <v>0</v>
      </c>
      <c r="J269" s="38">
        <f>if(ISNA(vlookup($A269,Rotowire!$B$2:$E$1075,4, false)), 0, vlookup($A269,Rotowire!$B$2:$E$1075, 4, false))</f>
        <v>0</v>
      </c>
      <c r="K269" s="37">
        <f>if(ISNA(vlookup($A269, FantasyPro!$B$2:$E$341,4,false)),0,vlookup($A269,FantasyPro!$B$2:$E$341,4,false))</f>
        <v>0</v>
      </c>
      <c r="L269" s="37">
        <f>if(ISNA(vlookup($A269, FFToolbox!$B$2:$E$414, 4, false)), 0, vlookup($A269, FFToolbox!$B$2:$E$414, 4, false))</f>
        <v>0</v>
      </c>
      <c r="M269" s="39">
        <f t="shared" si="1"/>
        <v>0</v>
      </c>
      <c r="N269" s="39">
        <f t="shared" si="2"/>
        <v>0</v>
      </c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</row>
    <row r="270">
      <c r="A270" s="17" t="s">
        <v>900</v>
      </c>
      <c r="B270" s="35" t="s">
        <v>1259</v>
      </c>
      <c r="C270" s="35" t="s">
        <v>1260</v>
      </c>
      <c r="D270" s="36" t="s">
        <v>262</v>
      </c>
      <c r="E270" s="36" t="s">
        <v>183</v>
      </c>
      <c r="F270" s="36" t="str">
        <f>vlookup(D270,'Team Bye List'!$A$1:$B$33,2,False)</f>
        <v>#N/A</v>
      </c>
      <c r="G270" s="37">
        <f>if(ISNA(vlookup($A270, Sleeper!$B$2:$E$330, 4, false)), 0, vlookup($A270, Sleeper!$B$2:$E$330, 4, false))</f>
        <v>0</v>
      </c>
      <c r="H270" s="37">
        <f>if(ISNA(vlookup($A270, ESPN!$B$2:$E$297, 4, false)), 0, vlookup($A270, ESPN!$B$2:$E$297, 4, false))</f>
        <v>0</v>
      </c>
      <c r="I270" s="37">
        <f>if(ISNA(vlookup($A270,'Ultimate Draft Kit'!$B$2:$E$324,4, false)), 0, vlookup($A270,'Ultimate Draft Kit'!$B$2:$E$324, 4, false))</f>
        <v>0</v>
      </c>
      <c r="J270" s="38">
        <f>if(ISNA(vlookup($A270,Rotowire!$B$2:$E$1075,4, false)), 0, vlookup($A270,Rotowire!$B$2:$E$1075, 4, false))</f>
        <v>0</v>
      </c>
      <c r="K270" s="37">
        <f>if(ISNA(vlookup($A270, FantasyPro!$B$2:$E$341,4,false)),0,vlookup($A270,FantasyPro!$B$2:$E$341,4,false))</f>
        <v>0</v>
      </c>
      <c r="L270" s="37">
        <f>if(ISNA(vlookup($A270, FFToolbox!$B$2:$E$414, 4, false)), 0, vlookup($A270, FFToolbox!$B$2:$E$414, 4, false))</f>
        <v>0</v>
      </c>
      <c r="M270" s="39">
        <f t="shared" si="1"/>
        <v>0</v>
      </c>
      <c r="N270" s="39">
        <f t="shared" si="2"/>
        <v>0</v>
      </c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</row>
    <row r="271">
      <c r="A271" s="17" t="s">
        <v>815</v>
      </c>
      <c r="B271" s="35" t="s">
        <v>1259</v>
      </c>
      <c r="C271" s="35" t="s">
        <v>1260</v>
      </c>
      <c r="D271" s="36" t="s">
        <v>69</v>
      </c>
      <c r="E271" s="36" t="s">
        <v>183</v>
      </c>
      <c r="F271" s="36">
        <f>vlookup(D271,'Team Bye List'!$A$1:$B$33,2,False)</f>
        <v>10</v>
      </c>
      <c r="G271" s="37">
        <f>if(ISNA(vlookup($A271, Sleeper!$B$2:$E$330, 4, false)), 0, vlookup($A271, Sleeper!$B$2:$E$330, 4, false))</f>
        <v>0</v>
      </c>
      <c r="H271" s="37">
        <f>if(ISNA(vlookup($A271, ESPN!$B$2:$E$297, 4, false)), 0, vlookup($A271, ESPN!$B$2:$E$297, 4, false))</f>
        <v>0</v>
      </c>
      <c r="I271" s="37">
        <f>if(ISNA(vlookup($A271,'Ultimate Draft Kit'!$B$2:$E$324,4, false)), 0, vlookup($A271,'Ultimate Draft Kit'!$B$2:$E$324, 4, false))</f>
        <v>0</v>
      </c>
      <c r="J271" s="38">
        <f>if(ISNA(vlookup($A271,Rotowire!$B$2:$E$1075,4, false)), 0, vlookup($A271,Rotowire!$B$2:$E$1075, 4, false))</f>
        <v>0</v>
      </c>
      <c r="K271" s="37">
        <f>if(ISNA(vlookup($A271, FantasyPro!$B$2:$E$341,4,false)),0,vlookup($A271,FantasyPro!$B$2:$E$341,4,false))</f>
        <v>0</v>
      </c>
      <c r="L271" s="37">
        <f>if(ISNA(vlookup($A271, FFToolbox!$B$2:$E$414, 4, false)), 0, vlookup($A271, FFToolbox!$B$2:$E$414, 4, false))</f>
        <v>0</v>
      </c>
      <c r="M271" s="39">
        <f t="shared" si="1"/>
        <v>0</v>
      </c>
      <c r="N271" s="39">
        <f t="shared" si="2"/>
        <v>0</v>
      </c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</row>
    <row r="272">
      <c r="A272" s="17" t="s">
        <v>901</v>
      </c>
      <c r="B272" s="35" t="s">
        <v>1259</v>
      </c>
      <c r="C272" s="35" t="s">
        <v>1260</v>
      </c>
      <c r="D272" s="36" t="s">
        <v>262</v>
      </c>
      <c r="E272" s="36" t="s">
        <v>183</v>
      </c>
      <c r="F272" s="36" t="str">
        <f>vlookup(D272,'Team Bye List'!$A$1:$B$33,2,False)</f>
        <v>#N/A</v>
      </c>
      <c r="G272" s="37">
        <f>if(ISNA(vlookup($A272, Sleeper!$B$2:$E$330, 4, false)), 0, vlookup($A272, Sleeper!$B$2:$E$330, 4, false))</f>
        <v>0</v>
      </c>
      <c r="H272" s="37">
        <f>if(ISNA(vlookup($A272, ESPN!$B$2:$E$297, 4, false)), 0, vlookup($A272, ESPN!$B$2:$E$297, 4, false))</f>
        <v>0</v>
      </c>
      <c r="I272" s="37">
        <f>if(ISNA(vlookup($A272,'Ultimate Draft Kit'!$B$2:$E$324,4, false)), 0, vlookup($A272,'Ultimate Draft Kit'!$B$2:$E$324, 4, false))</f>
        <v>0</v>
      </c>
      <c r="J272" s="38">
        <f>if(ISNA(vlookup($A272,Rotowire!$B$2:$E$1075,4, false)), 0, vlookup($A272,Rotowire!$B$2:$E$1075, 4, false))</f>
        <v>0</v>
      </c>
      <c r="K272" s="37">
        <f>if(ISNA(vlookup($A272, FantasyPro!$B$2:$E$341,4,false)),0,vlookup($A272,FantasyPro!$B$2:$E$341,4,false))</f>
        <v>0</v>
      </c>
      <c r="L272" s="37">
        <f>if(ISNA(vlookup($A272, FFToolbox!$B$2:$E$414, 4, false)), 0, vlookup($A272, FFToolbox!$B$2:$E$414, 4, false))</f>
        <v>0</v>
      </c>
      <c r="M272" s="39">
        <f t="shared" si="1"/>
        <v>0</v>
      </c>
      <c r="N272" s="39">
        <f t="shared" si="2"/>
        <v>0</v>
      </c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</row>
    <row r="273">
      <c r="A273" s="17" t="s">
        <v>902</v>
      </c>
      <c r="B273" s="35" t="s">
        <v>1259</v>
      </c>
      <c r="C273" s="35" t="s">
        <v>1260</v>
      </c>
      <c r="D273" s="36" t="s">
        <v>262</v>
      </c>
      <c r="E273" s="36" t="s">
        <v>183</v>
      </c>
      <c r="F273" s="36" t="str">
        <f>vlookup(D273,'Team Bye List'!$A$1:$B$33,2,False)</f>
        <v>#N/A</v>
      </c>
      <c r="G273" s="37">
        <f>if(ISNA(vlookup($A273, Sleeper!$B$2:$E$330, 4, false)), 0, vlookup($A273, Sleeper!$B$2:$E$330, 4, false))</f>
        <v>0</v>
      </c>
      <c r="H273" s="37">
        <f>if(ISNA(vlookup($A273, ESPN!$B$2:$E$297, 4, false)), 0, vlookup($A273, ESPN!$B$2:$E$297, 4, false))</f>
        <v>0</v>
      </c>
      <c r="I273" s="37">
        <f>if(ISNA(vlookup($A273,'Ultimate Draft Kit'!$B$2:$E$324,4, false)), 0, vlookup($A273,'Ultimate Draft Kit'!$B$2:$E$324, 4, false))</f>
        <v>0</v>
      </c>
      <c r="J273" s="38">
        <f>if(ISNA(vlookup($A273,Rotowire!$B$2:$E$1075,4, false)), 0, vlookup($A273,Rotowire!$B$2:$E$1075, 4, false))</f>
        <v>0</v>
      </c>
      <c r="K273" s="37">
        <f>if(ISNA(vlookup($A273, FantasyPro!$B$2:$E$341,4,false)),0,vlookup($A273,FantasyPro!$B$2:$E$341,4,false))</f>
        <v>0</v>
      </c>
      <c r="L273" s="37">
        <f>if(ISNA(vlookup($A273, FFToolbox!$B$2:$E$414, 4, false)), 0, vlookup($A273, FFToolbox!$B$2:$E$414, 4, false))</f>
        <v>0</v>
      </c>
      <c r="M273" s="39">
        <f t="shared" si="1"/>
        <v>0</v>
      </c>
      <c r="N273" s="39">
        <f t="shared" si="2"/>
        <v>0</v>
      </c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</row>
    <row r="274">
      <c r="A274" s="17" t="s">
        <v>903</v>
      </c>
      <c r="B274" s="35" t="s">
        <v>1259</v>
      </c>
      <c r="C274" s="35" t="s">
        <v>1260</v>
      </c>
      <c r="D274" s="36" t="s">
        <v>262</v>
      </c>
      <c r="E274" s="36" t="s">
        <v>183</v>
      </c>
      <c r="F274" s="36" t="str">
        <f>vlookup(D274,'Team Bye List'!$A$1:$B$33,2,False)</f>
        <v>#N/A</v>
      </c>
      <c r="G274" s="37">
        <f>if(ISNA(vlookup($A274, Sleeper!$B$2:$E$330, 4, false)), 0, vlookup($A274, Sleeper!$B$2:$E$330, 4, false))</f>
        <v>0</v>
      </c>
      <c r="H274" s="37">
        <f>if(ISNA(vlookup($A274, ESPN!$B$2:$E$297, 4, false)), 0, vlookup($A274, ESPN!$B$2:$E$297, 4, false))</f>
        <v>0</v>
      </c>
      <c r="I274" s="37">
        <f>if(ISNA(vlookup($A274,'Ultimate Draft Kit'!$B$2:$E$324,4, false)), 0, vlookup($A274,'Ultimate Draft Kit'!$B$2:$E$324, 4, false))</f>
        <v>0</v>
      </c>
      <c r="J274" s="38">
        <f>if(ISNA(vlookup($A274,Rotowire!$B$2:$E$1075,4, false)), 0, vlookup($A274,Rotowire!$B$2:$E$1075, 4, false))</f>
        <v>0</v>
      </c>
      <c r="K274" s="37">
        <f>if(ISNA(vlookup($A274, FantasyPro!$B$2:$E$341,4,false)),0,vlookup($A274,FantasyPro!$B$2:$E$341,4,false))</f>
        <v>0</v>
      </c>
      <c r="L274" s="37">
        <f>if(ISNA(vlookup($A274, FFToolbox!$B$2:$E$414, 4, false)), 0, vlookup($A274, FFToolbox!$B$2:$E$414, 4, false))</f>
        <v>0</v>
      </c>
      <c r="M274" s="39">
        <f t="shared" si="1"/>
        <v>0</v>
      </c>
      <c r="N274" s="39">
        <f t="shared" si="2"/>
        <v>0</v>
      </c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</row>
    <row r="275">
      <c r="A275" s="17" t="s">
        <v>807</v>
      </c>
      <c r="B275" s="35" t="s">
        <v>1259</v>
      </c>
      <c r="C275" s="35" t="s">
        <v>1260</v>
      </c>
      <c r="D275" s="36" t="s">
        <v>119</v>
      </c>
      <c r="E275" s="36" t="s">
        <v>183</v>
      </c>
      <c r="F275" s="36">
        <f>vlookup(D275,'Team Bye List'!$A$1:$B$33,2,False)</f>
        <v>10</v>
      </c>
      <c r="G275" s="37">
        <f>if(ISNA(vlookup($A275, Sleeper!$B$2:$E$330, 4, false)), 0, vlookup($A275, Sleeper!$B$2:$E$330, 4, false))</f>
        <v>0</v>
      </c>
      <c r="H275" s="37">
        <f>if(ISNA(vlookup($A275, ESPN!$B$2:$E$297, 4, false)), 0, vlookup($A275, ESPN!$B$2:$E$297, 4, false))</f>
        <v>0</v>
      </c>
      <c r="I275" s="37">
        <f>if(ISNA(vlookup($A275,'Ultimate Draft Kit'!$B$2:$E$324,4, false)), 0, vlookup($A275,'Ultimate Draft Kit'!$B$2:$E$324, 4, false))</f>
        <v>0</v>
      </c>
      <c r="J275" s="38">
        <f>if(ISNA(vlookup($A275,Rotowire!$B$2:$E$1075,4, false)), 0, vlookup($A275,Rotowire!$B$2:$E$1075, 4, false))</f>
        <v>0</v>
      </c>
      <c r="K275" s="37">
        <f>if(ISNA(vlookup($A275, FantasyPro!$B$2:$E$341,4,false)),0,vlookup($A275,FantasyPro!$B$2:$E$341,4,false))</f>
        <v>0</v>
      </c>
      <c r="L275" s="37">
        <f>if(ISNA(vlookup($A275, FFToolbox!$B$2:$E$414, 4, false)), 0, vlookup($A275, FFToolbox!$B$2:$E$414, 4, false))</f>
        <v>0</v>
      </c>
      <c r="M275" s="39">
        <f t="shared" si="1"/>
        <v>0</v>
      </c>
      <c r="N275" s="39">
        <f t="shared" si="2"/>
        <v>0</v>
      </c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</row>
    <row r="276">
      <c r="A276" s="17" t="s">
        <v>904</v>
      </c>
      <c r="B276" s="35" t="s">
        <v>1259</v>
      </c>
      <c r="C276" s="35" t="s">
        <v>1260</v>
      </c>
      <c r="D276" s="36" t="s">
        <v>262</v>
      </c>
      <c r="E276" s="36" t="s">
        <v>183</v>
      </c>
      <c r="F276" s="36" t="str">
        <f>vlookup(D276,'Team Bye List'!$A$1:$B$33,2,False)</f>
        <v>#N/A</v>
      </c>
      <c r="G276" s="37">
        <f>if(ISNA(vlookup($A276, Sleeper!$B$2:$E$330, 4, false)), 0, vlookup($A276, Sleeper!$B$2:$E$330, 4, false))</f>
        <v>0</v>
      </c>
      <c r="H276" s="37">
        <f>if(ISNA(vlookup($A276, ESPN!$B$2:$E$297, 4, false)), 0, vlookup($A276, ESPN!$B$2:$E$297, 4, false))</f>
        <v>0</v>
      </c>
      <c r="I276" s="37">
        <f>if(ISNA(vlookup($A276,'Ultimate Draft Kit'!$B$2:$E$324,4, false)), 0, vlookup($A276,'Ultimate Draft Kit'!$B$2:$E$324, 4, false))</f>
        <v>0</v>
      </c>
      <c r="J276" s="38">
        <f>if(ISNA(vlookup($A276,Rotowire!$B$2:$E$1075,4, false)), 0, vlookup($A276,Rotowire!$B$2:$E$1075, 4, false))</f>
        <v>0</v>
      </c>
      <c r="K276" s="37">
        <f>if(ISNA(vlookup($A276, FantasyPro!$B$2:$E$341,4,false)),0,vlookup($A276,FantasyPro!$B$2:$E$341,4,false))</f>
        <v>0</v>
      </c>
      <c r="L276" s="37">
        <f>if(ISNA(vlookup($A276, FFToolbox!$B$2:$E$414, 4, false)), 0, vlookup($A276, FFToolbox!$B$2:$E$414, 4, false))</f>
        <v>0</v>
      </c>
      <c r="M276" s="39">
        <f t="shared" si="1"/>
        <v>0</v>
      </c>
      <c r="N276" s="39">
        <f t="shared" si="2"/>
        <v>0</v>
      </c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</row>
    <row r="277">
      <c r="A277" s="17" t="s">
        <v>808</v>
      </c>
      <c r="B277" s="35" t="s">
        <v>1259</v>
      </c>
      <c r="C277" s="35" t="s">
        <v>1260</v>
      </c>
      <c r="D277" s="36" t="s">
        <v>35</v>
      </c>
      <c r="E277" s="36" t="s">
        <v>183</v>
      </c>
      <c r="F277" s="36">
        <f>vlookup(D277,'Team Bye List'!$A$1:$B$33,2,False)</f>
        <v>6</v>
      </c>
      <c r="G277" s="37">
        <f>if(ISNA(vlookup($A277, Sleeper!$B$2:$E$330, 4, false)), 0, vlookup($A277, Sleeper!$B$2:$E$330, 4, false))</f>
        <v>0</v>
      </c>
      <c r="H277" s="37">
        <f>if(ISNA(vlookup($A277, ESPN!$B$2:$E$297, 4, false)), 0, vlookup($A277, ESPN!$B$2:$E$297, 4, false))</f>
        <v>0</v>
      </c>
      <c r="I277" s="37">
        <f>if(ISNA(vlookup($A277,'Ultimate Draft Kit'!$B$2:$E$324,4, false)), 0, vlookup($A277,'Ultimate Draft Kit'!$B$2:$E$324, 4, false))</f>
        <v>1</v>
      </c>
      <c r="J277" s="38">
        <f>if(ISNA(vlookup($A277,Rotowire!$B$2:$E$1075,4, false)), 0, vlookup($A277,Rotowire!$B$2:$E$1075, 4, false))</f>
        <v>0</v>
      </c>
      <c r="K277" s="37">
        <f>if(ISNA(vlookup($A277, FantasyPro!$B$2:$E$341,4,false)),0,vlookup($A277,FantasyPro!$B$2:$E$341,4,false))</f>
        <v>0</v>
      </c>
      <c r="L277" s="37">
        <f>if(ISNA(vlookup($A277, FFToolbox!$B$2:$E$414, 4, false)), 0, vlookup($A277, FFToolbox!$B$2:$E$414, 4, false))</f>
        <v>1</v>
      </c>
      <c r="M277" s="39">
        <f t="shared" si="1"/>
        <v>0.3333333333</v>
      </c>
      <c r="N277" s="39">
        <f t="shared" si="2"/>
        <v>1</v>
      </c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</row>
    <row r="278">
      <c r="A278" s="17" t="s">
        <v>802</v>
      </c>
      <c r="B278" s="35" t="s">
        <v>1259</v>
      </c>
      <c r="C278" s="35" t="s">
        <v>1260</v>
      </c>
      <c r="D278" s="36" t="s">
        <v>262</v>
      </c>
      <c r="E278" s="36" t="s">
        <v>183</v>
      </c>
      <c r="F278" s="36" t="str">
        <f>vlookup(D278,'Team Bye List'!$A$1:$B$33,2,False)</f>
        <v>#N/A</v>
      </c>
      <c r="G278" s="37">
        <f>if(ISNA(vlookup($A278, Sleeper!$B$2:$E$330, 4, false)), 0, vlookup($A278, Sleeper!$B$2:$E$330, 4, false))</f>
        <v>0</v>
      </c>
      <c r="H278" s="37">
        <f>if(ISNA(vlookup($A278, ESPN!$B$2:$E$297, 4, false)), 0, vlookup($A278, ESPN!$B$2:$E$297, 4, false))</f>
        <v>0</v>
      </c>
      <c r="I278" s="37">
        <f>if(ISNA(vlookup($A278,'Ultimate Draft Kit'!$B$2:$E$324,4, false)), 0, vlookup($A278,'Ultimate Draft Kit'!$B$2:$E$324, 4, false))</f>
        <v>0</v>
      </c>
      <c r="J278" s="38">
        <f>if(ISNA(vlookup($A278,Rotowire!$B$2:$E$1075,4, false)), 0, vlookup($A278,Rotowire!$B$2:$E$1075, 4, false))</f>
        <v>0</v>
      </c>
      <c r="K278" s="37">
        <f>if(ISNA(vlookup($A278, FantasyPro!$B$2:$E$341,4,false)),0,vlookup($A278,FantasyPro!$B$2:$E$341,4,false))</f>
        <v>0</v>
      </c>
      <c r="L278" s="37">
        <f>if(ISNA(vlookup($A278, FFToolbox!$B$2:$E$414, 4, false)), 0, vlookup($A278, FFToolbox!$B$2:$E$414, 4, false))</f>
        <v>0</v>
      </c>
      <c r="M278" s="39">
        <f t="shared" si="1"/>
        <v>0</v>
      </c>
      <c r="N278" s="39">
        <f t="shared" si="2"/>
        <v>0</v>
      </c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</row>
    <row r="279">
      <c r="A279" s="17" t="s">
        <v>905</v>
      </c>
      <c r="B279" s="35" t="s">
        <v>1259</v>
      </c>
      <c r="C279" s="35" t="s">
        <v>1260</v>
      </c>
      <c r="D279" s="36" t="s">
        <v>262</v>
      </c>
      <c r="E279" s="36" t="s">
        <v>183</v>
      </c>
      <c r="F279" s="36" t="str">
        <f>vlookup(D279,'Team Bye List'!$A$1:$B$33,2,False)</f>
        <v>#N/A</v>
      </c>
      <c r="G279" s="37">
        <f>if(ISNA(vlookup($A279, Sleeper!$B$2:$E$330, 4, false)), 0, vlookup($A279, Sleeper!$B$2:$E$330, 4, false))</f>
        <v>0</v>
      </c>
      <c r="H279" s="37">
        <f>if(ISNA(vlookup($A279, ESPN!$B$2:$E$297, 4, false)), 0, vlookup($A279, ESPN!$B$2:$E$297, 4, false))</f>
        <v>0</v>
      </c>
      <c r="I279" s="37">
        <f>if(ISNA(vlookup($A279,'Ultimate Draft Kit'!$B$2:$E$324,4, false)), 0, vlookup($A279,'Ultimate Draft Kit'!$B$2:$E$324, 4, false))</f>
        <v>0</v>
      </c>
      <c r="J279" s="38">
        <f>if(ISNA(vlookup($A279,Rotowire!$B$2:$E$1075,4, false)), 0, vlookup($A279,Rotowire!$B$2:$E$1075, 4, false))</f>
        <v>0</v>
      </c>
      <c r="K279" s="37">
        <f>if(ISNA(vlookup($A279, FantasyPro!$B$2:$E$341,4,false)),0,vlookup($A279,FantasyPro!$B$2:$E$341,4,false))</f>
        <v>0</v>
      </c>
      <c r="L279" s="37">
        <f>if(ISNA(vlookup($A279, FFToolbox!$B$2:$E$414, 4, false)), 0, vlookup($A279, FFToolbox!$B$2:$E$414, 4, false))</f>
        <v>0</v>
      </c>
      <c r="M279" s="39">
        <f t="shared" si="1"/>
        <v>0</v>
      </c>
      <c r="N279" s="39">
        <f t="shared" si="2"/>
        <v>0</v>
      </c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</row>
    <row r="280">
      <c r="A280" s="17" t="s">
        <v>818</v>
      </c>
      <c r="B280" s="35" t="s">
        <v>1259</v>
      </c>
      <c r="C280" s="35" t="s">
        <v>1260</v>
      </c>
      <c r="D280" s="36" t="s">
        <v>262</v>
      </c>
      <c r="E280" s="36" t="s">
        <v>183</v>
      </c>
      <c r="F280" s="36" t="str">
        <f>vlookup(D280,'Team Bye List'!$A$1:$B$33,2,False)</f>
        <v>#N/A</v>
      </c>
      <c r="G280" s="37">
        <f>if(ISNA(vlookup($A280, Sleeper!$B$2:$E$330, 4, false)), 0, vlookup($A280, Sleeper!$B$2:$E$330, 4, false))</f>
        <v>0</v>
      </c>
      <c r="H280" s="37">
        <f>if(ISNA(vlookup($A280, ESPN!$B$2:$E$297, 4, false)), 0, vlookup($A280, ESPN!$B$2:$E$297, 4, false))</f>
        <v>0</v>
      </c>
      <c r="I280" s="37">
        <f>if(ISNA(vlookup($A280,'Ultimate Draft Kit'!$B$2:$E$324,4, false)), 0, vlookup($A280,'Ultimate Draft Kit'!$B$2:$E$324, 4, false))</f>
        <v>0</v>
      </c>
      <c r="J280" s="38">
        <f>if(ISNA(vlookup($A280,Rotowire!$B$2:$E$1075,4, false)), 0, vlookup($A280,Rotowire!$B$2:$E$1075, 4, false))</f>
        <v>0</v>
      </c>
      <c r="K280" s="37">
        <f>if(ISNA(vlookup($A280, FantasyPro!$B$2:$E$341,4,false)),0,vlookup($A280,FantasyPro!$B$2:$E$341,4,false))</f>
        <v>0</v>
      </c>
      <c r="L280" s="37">
        <f>if(ISNA(vlookup($A280, FFToolbox!$B$2:$E$414, 4, false)), 0, vlookup($A280, FFToolbox!$B$2:$E$414, 4, false))</f>
        <v>0</v>
      </c>
      <c r="M280" s="39">
        <f t="shared" si="1"/>
        <v>0</v>
      </c>
      <c r="N280" s="39">
        <f t="shared" si="2"/>
        <v>0</v>
      </c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</row>
    <row r="281">
      <c r="A281" s="17" t="s">
        <v>812</v>
      </c>
      <c r="B281" s="35" t="s">
        <v>1259</v>
      </c>
      <c r="C281" s="35" t="s">
        <v>1260</v>
      </c>
      <c r="D281" s="36" t="s">
        <v>119</v>
      </c>
      <c r="E281" s="36" t="s">
        <v>183</v>
      </c>
      <c r="F281" s="36">
        <f>vlookup(D281,'Team Bye List'!$A$1:$B$33,2,False)</f>
        <v>10</v>
      </c>
      <c r="G281" s="37">
        <f>if(ISNA(vlookup($A281, Sleeper!$B$2:$E$330, 4, false)), 0, vlookup($A281, Sleeper!$B$2:$E$330, 4, false))</f>
        <v>0</v>
      </c>
      <c r="H281" s="37">
        <f>if(ISNA(vlookup($A281, ESPN!$B$2:$E$297, 4, false)), 0, vlookup($A281, ESPN!$B$2:$E$297, 4, false))</f>
        <v>0</v>
      </c>
      <c r="I281" s="37">
        <f>if(ISNA(vlookup($A281,'Ultimate Draft Kit'!$B$2:$E$324,4, false)), 0, vlookup($A281,'Ultimate Draft Kit'!$B$2:$E$324, 4, false))</f>
        <v>0</v>
      </c>
      <c r="J281" s="38">
        <f>if(ISNA(vlookup($A281,Rotowire!$B$2:$E$1075,4, false)), 0, vlookup($A281,Rotowire!$B$2:$E$1075, 4, false))</f>
        <v>0</v>
      </c>
      <c r="K281" s="37">
        <f>if(ISNA(vlookup($A281, FantasyPro!$B$2:$E$341,4,false)),0,vlookup($A281,FantasyPro!$B$2:$E$341,4,false))</f>
        <v>0</v>
      </c>
      <c r="L281" s="37">
        <f>if(ISNA(vlookup($A281, FFToolbox!$B$2:$E$414, 4, false)), 0, vlookup($A281, FFToolbox!$B$2:$E$414, 4, false))</f>
        <v>0</v>
      </c>
      <c r="M281" s="39">
        <f t="shared" si="1"/>
        <v>0</v>
      </c>
      <c r="N281" s="39">
        <f t="shared" si="2"/>
        <v>0</v>
      </c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</row>
    <row r="282">
      <c r="A282" s="17" t="s">
        <v>906</v>
      </c>
      <c r="B282" s="35" t="s">
        <v>1259</v>
      </c>
      <c r="C282" s="35" t="s">
        <v>1260</v>
      </c>
      <c r="D282" s="36" t="s">
        <v>262</v>
      </c>
      <c r="E282" s="36" t="s">
        <v>183</v>
      </c>
      <c r="F282" s="36" t="str">
        <f>vlookup(D282,'Team Bye List'!$A$1:$B$33,2,False)</f>
        <v>#N/A</v>
      </c>
      <c r="G282" s="37">
        <f>if(ISNA(vlookup($A282, Sleeper!$B$2:$E$330, 4, false)), 0, vlookup($A282, Sleeper!$B$2:$E$330, 4, false))</f>
        <v>0</v>
      </c>
      <c r="H282" s="37">
        <f>if(ISNA(vlookup($A282, ESPN!$B$2:$E$297, 4, false)), 0, vlookup($A282, ESPN!$B$2:$E$297, 4, false))</f>
        <v>0</v>
      </c>
      <c r="I282" s="37">
        <f>if(ISNA(vlookup($A282,'Ultimate Draft Kit'!$B$2:$E$324,4, false)), 0, vlookup($A282,'Ultimate Draft Kit'!$B$2:$E$324, 4, false))</f>
        <v>0</v>
      </c>
      <c r="J282" s="38">
        <f>if(ISNA(vlookup($A282,Rotowire!$B$2:$E$1075,4, false)), 0, vlookup($A282,Rotowire!$B$2:$E$1075, 4, false))</f>
        <v>0</v>
      </c>
      <c r="K282" s="37">
        <f>if(ISNA(vlookup($A282, FantasyPro!$B$2:$E$341,4,false)),0,vlookup($A282,FantasyPro!$B$2:$E$341,4,false))</f>
        <v>0</v>
      </c>
      <c r="L282" s="37">
        <f>if(ISNA(vlookup($A282, FFToolbox!$B$2:$E$414, 4, false)), 0, vlookup($A282, FFToolbox!$B$2:$E$414, 4, false))</f>
        <v>0</v>
      </c>
      <c r="M282" s="39">
        <f t="shared" si="1"/>
        <v>0</v>
      </c>
      <c r="N282" s="39">
        <f t="shared" si="2"/>
        <v>0</v>
      </c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</row>
    <row r="283">
      <c r="A283" s="17" t="s">
        <v>907</v>
      </c>
      <c r="B283" s="35" t="s">
        <v>1259</v>
      </c>
      <c r="C283" s="35" t="s">
        <v>1260</v>
      </c>
      <c r="D283" s="36" t="s">
        <v>262</v>
      </c>
      <c r="E283" s="36" t="s">
        <v>183</v>
      </c>
      <c r="F283" s="36" t="str">
        <f>vlookup(D283,'Team Bye List'!$A$1:$B$33,2,False)</f>
        <v>#N/A</v>
      </c>
      <c r="G283" s="37">
        <f>if(ISNA(vlookup($A283, Sleeper!$B$2:$E$330, 4, false)), 0, vlookup($A283, Sleeper!$B$2:$E$330, 4, false))</f>
        <v>0</v>
      </c>
      <c r="H283" s="37">
        <f>if(ISNA(vlookup($A283, ESPN!$B$2:$E$297, 4, false)), 0, vlookup($A283, ESPN!$B$2:$E$297, 4, false))</f>
        <v>0</v>
      </c>
      <c r="I283" s="37">
        <f>if(ISNA(vlookup($A283,'Ultimate Draft Kit'!$B$2:$E$324,4, false)), 0, vlookup($A283,'Ultimate Draft Kit'!$B$2:$E$324, 4, false))</f>
        <v>0</v>
      </c>
      <c r="J283" s="38">
        <f>if(ISNA(vlookup($A283,Rotowire!$B$2:$E$1075,4, false)), 0, vlookup($A283,Rotowire!$B$2:$E$1075, 4, false))</f>
        <v>0</v>
      </c>
      <c r="K283" s="37">
        <f>if(ISNA(vlookup($A283, FantasyPro!$B$2:$E$341,4,false)),0,vlookup($A283,FantasyPro!$B$2:$E$341,4,false))</f>
        <v>0</v>
      </c>
      <c r="L283" s="37">
        <f>if(ISNA(vlookup($A283, FFToolbox!$B$2:$E$414, 4, false)), 0, vlookup($A283, FFToolbox!$B$2:$E$414, 4, false))</f>
        <v>0</v>
      </c>
      <c r="M283" s="39">
        <f t="shared" si="1"/>
        <v>0</v>
      </c>
      <c r="N283" s="39">
        <f t="shared" si="2"/>
        <v>0</v>
      </c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</row>
    <row r="284">
      <c r="A284" s="17" t="s">
        <v>908</v>
      </c>
      <c r="B284" s="35" t="s">
        <v>1259</v>
      </c>
      <c r="C284" s="35" t="s">
        <v>1260</v>
      </c>
      <c r="D284" s="36" t="s">
        <v>262</v>
      </c>
      <c r="E284" s="36" t="s">
        <v>183</v>
      </c>
      <c r="F284" s="36" t="str">
        <f>vlookup(D284,'Team Bye List'!$A$1:$B$33,2,False)</f>
        <v>#N/A</v>
      </c>
      <c r="G284" s="37">
        <f>if(ISNA(vlookup($A284, Sleeper!$B$2:$E$330, 4, false)), 0, vlookup($A284, Sleeper!$B$2:$E$330, 4, false))</f>
        <v>0</v>
      </c>
      <c r="H284" s="37">
        <f>if(ISNA(vlookup($A284, ESPN!$B$2:$E$297, 4, false)), 0, vlookup($A284, ESPN!$B$2:$E$297, 4, false))</f>
        <v>0</v>
      </c>
      <c r="I284" s="37">
        <f>if(ISNA(vlookup($A284,'Ultimate Draft Kit'!$B$2:$E$324,4, false)), 0, vlookup($A284,'Ultimate Draft Kit'!$B$2:$E$324, 4, false))</f>
        <v>0</v>
      </c>
      <c r="J284" s="38">
        <f>if(ISNA(vlookup($A284,Rotowire!$B$2:$E$1075,4, false)), 0, vlookup($A284,Rotowire!$B$2:$E$1075, 4, false))</f>
        <v>0</v>
      </c>
      <c r="K284" s="37">
        <f>if(ISNA(vlookup($A284, FantasyPro!$B$2:$E$341,4,false)),0,vlookup($A284,FantasyPro!$B$2:$E$341,4,false))</f>
        <v>0</v>
      </c>
      <c r="L284" s="37">
        <f>if(ISNA(vlookup($A284, FFToolbox!$B$2:$E$414, 4, false)), 0, vlookup($A284, FFToolbox!$B$2:$E$414, 4, false))</f>
        <v>0</v>
      </c>
      <c r="M284" s="39">
        <f t="shared" si="1"/>
        <v>0</v>
      </c>
      <c r="N284" s="39">
        <f t="shared" si="2"/>
        <v>0</v>
      </c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</row>
    <row r="285">
      <c r="A285" s="17" t="s">
        <v>813</v>
      </c>
      <c r="B285" s="35" t="s">
        <v>1259</v>
      </c>
      <c r="C285" s="35" t="s">
        <v>1260</v>
      </c>
      <c r="D285" s="36" t="s">
        <v>32</v>
      </c>
      <c r="E285" s="36" t="s">
        <v>183</v>
      </c>
      <c r="F285" s="36">
        <f>vlookup(D285,'Team Bye List'!$A$1:$B$33,2,False)</f>
        <v>9</v>
      </c>
      <c r="G285" s="37">
        <f>if(ISNA(vlookup($A285, Sleeper!$B$2:$E$330, 4, false)), 0, vlookup($A285, Sleeper!$B$2:$E$330, 4, false))</f>
        <v>0</v>
      </c>
      <c r="H285" s="37">
        <f>if(ISNA(vlookup($A285, ESPN!$B$2:$E$297, 4, false)), 0, vlookup($A285, ESPN!$B$2:$E$297, 4, false))</f>
        <v>0</v>
      </c>
      <c r="I285" s="37">
        <f>if(ISNA(vlookup($A285,'Ultimate Draft Kit'!$B$2:$E$324,4, false)), 0, vlookup($A285,'Ultimate Draft Kit'!$B$2:$E$324, 4, false))</f>
        <v>0</v>
      </c>
      <c r="J285" s="38">
        <f>if(ISNA(vlookup($A285,Rotowire!$B$2:$E$1075,4, false)), 0, vlookup($A285,Rotowire!$B$2:$E$1075, 4, false))</f>
        <v>0</v>
      </c>
      <c r="K285" s="37">
        <f>if(ISNA(vlookup($A285, FantasyPro!$B$2:$E$341,4,false)),0,vlookup($A285,FantasyPro!$B$2:$E$341,4,false))</f>
        <v>0</v>
      </c>
      <c r="L285" s="37">
        <f>if(ISNA(vlookup($A285, FFToolbox!$B$2:$E$414, 4, false)), 0, vlookup($A285, FFToolbox!$B$2:$E$414, 4, false))</f>
        <v>1</v>
      </c>
      <c r="M285" s="39">
        <f t="shared" si="1"/>
        <v>0.1666666667</v>
      </c>
      <c r="N285" s="39">
        <f t="shared" si="2"/>
        <v>1</v>
      </c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</row>
    <row r="286">
      <c r="A286" s="17" t="s">
        <v>308</v>
      </c>
      <c r="B286" s="35" t="s">
        <v>1259</v>
      </c>
      <c r="C286" s="36"/>
      <c r="D286" s="36" t="s">
        <v>99</v>
      </c>
      <c r="E286" s="36" t="s">
        <v>59</v>
      </c>
      <c r="F286" s="36">
        <f>vlookup(D286,'Team Bye List'!$A$1:$B$33,2,False)</f>
        <v>11</v>
      </c>
      <c r="G286" s="37">
        <f>if(ISNA(vlookup($A286, Sleeper!$B$2:$E$330, 4, false)), 0, vlookup($A286, Sleeper!$B$2:$E$330, 4, false))</f>
        <v>0</v>
      </c>
      <c r="H286" s="37">
        <f>if(ISNA(vlookup($A286, ESPN!$B$2:$E$297, 4, false)), 0, vlookup($A286, ESPN!$B$2:$E$297, 4, false))</f>
        <v>0</v>
      </c>
      <c r="I286" s="37">
        <f>if(ISNA(vlookup($A286,'Ultimate Draft Kit'!$B$2:$E$324,4, false)), 0, vlookup($A286,'Ultimate Draft Kit'!$B$2:$E$324, 4, false))</f>
        <v>0</v>
      </c>
      <c r="J286" s="38">
        <f>if(ISNA(vlookup($A286,Rotowire!$B$2:$E$1075,4, false)), 0, vlookup($A286,Rotowire!$B$2:$E$1075, 4, false))</f>
        <v>0</v>
      </c>
      <c r="K286" s="37">
        <f>if(ISNA(vlookup($A286, FantasyPro!$B$2:$E$341,4,false)),0,vlookup($A286,FantasyPro!$B$2:$E$341,4,false))</f>
        <v>0</v>
      </c>
      <c r="L286" s="37">
        <f>if(ISNA(vlookup($A286, FFToolbox!$B$2:$E$414, 4, false)), 0, vlookup($A286, FFToolbox!$B$2:$E$414, 4, false))</f>
        <v>1</v>
      </c>
      <c r="M286" s="39">
        <f t="shared" si="1"/>
        <v>0.1666666667</v>
      </c>
      <c r="N286" s="39">
        <f t="shared" si="2"/>
        <v>1</v>
      </c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</row>
    <row r="287">
      <c r="A287" s="17" t="s">
        <v>544</v>
      </c>
      <c r="B287" s="35" t="s">
        <v>1259</v>
      </c>
      <c r="C287" s="35">
        <v>10.0</v>
      </c>
      <c r="D287" s="36" t="s">
        <v>39</v>
      </c>
      <c r="E287" s="36" t="s">
        <v>13</v>
      </c>
      <c r="F287" s="36">
        <f>vlookup(D287,'Team Bye List'!$A$1:$B$33,2,False)</f>
        <v>11</v>
      </c>
      <c r="G287" s="37">
        <f>if(ISNA(vlookup($A287, Sleeper!$B$2:$E$330, 4, false)), 0, vlookup($A287, Sleeper!$B$2:$E$330, 4, false))</f>
        <v>1</v>
      </c>
      <c r="H287" s="37">
        <f>if(ISNA(vlookup($A287, ESPN!$B$2:$E$297, 4, false)), 0, vlookup($A287, ESPN!$B$2:$E$297, 4, false))</f>
        <v>0</v>
      </c>
      <c r="I287" s="37">
        <f>if(ISNA(vlookup($A287,'Ultimate Draft Kit'!$B$2:$E$324,4, false)), 0, vlookup($A287,'Ultimate Draft Kit'!$B$2:$E$324, 4, false))</f>
        <v>1</v>
      </c>
      <c r="J287" s="38">
        <f>if(ISNA(vlookup($A287,Rotowire!$B$2:$E$1075,4, false)), 0, vlookup($A287,Rotowire!$B$2:$E$1075, 4, false))</f>
        <v>0</v>
      </c>
      <c r="K287" s="37">
        <f>if(ISNA(vlookup($A287, FantasyPro!$B$2:$E$341,4,false)),0,vlookup($A287,FantasyPro!$B$2:$E$341,4,false))</f>
        <v>0</v>
      </c>
      <c r="L287" s="37">
        <f>if(ISNA(vlookup($A287, FFToolbox!$B$2:$E$414, 4, false)), 0, vlookup($A287, FFToolbox!$B$2:$E$414, 4, false))</f>
        <v>0</v>
      </c>
      <c r="M287" s="39">
        <f t="shared" si="1"/>
        <v>0.3333333333</v>
      </c>
      <c r="N287" s="39">
        <f t="shared" si="2"/>
        <v>1</v>
      </c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</row>
    <row r="288">
      <c r="A288" s="17" t="s">
        <v>309</v>
      </c>
      <c r="B288" s="35" t="s">
        <v>1259</v>
      </c>
      <c r="C288" s="35">
        <v>7.0</v>
      </c>
      <c r="D288" s="36" t="s">
        <v>10</v>
      </c>
      <c r="E288" s="36" t="s">
        <v>59</v>
      </c>
      <c r="F288" s="36">
        <f>vlookup(D288,'Team Bye List'!$A$1:$B$33,2,False)</f>
        <v>13</v>
      </c>
      <c r="G288" s="37">
        <f>if(ISNA(vlookup($A288, Sleeper!$B$2:$E$330, 4, false)), 0, vlookup($A288, Sleeper!$B$2:$E$330, 4, false))</f>
        <v>1</v>
      </c>
      <c r="H288" s="37">
        <f>if(ISNA(vlookup($A288, ESPN!$B$2:$E$297, 4, false)), 0, vlookup($A288, ESPN!$B$2:$E$297, 4, false))</f>
        <v>0</v>
      </c>
      <c r="I288" s="37">
        <f>if(ISNA(vlookup($A288,'Ultimate Draft Kit'!$B$2:$E$324,4, false)), 0, vlookup($A288,'Ultimate Draft Kit'!$B$2:$E$324, 4, false))</f>
        <v>1</v>
      </c>
      <c r="J288" s="38">
        <f>if(ISNA(vlookup($A288,Rotowire!$B$2:$E$1075,4, false)), 0, vlookup($A288,Rotowire!$B$2:$E$1075, 4, false))</f>
        <v>0</v>
      </c>
      <c r="K288" s="37">
        <f>if(ISNA(vlookup($A288, FantasyPro!$B$2:$E$341,4,false)),0,vlookup($A288,FantasyPro!$B$2:$E$341,4,false))</f>
        <v>0</v>
      </c>
      <c r="L288" s="37">
        <f>if(ISNA(vlookup($A288, FFToolbox!$B$2:$E$414, 4, false)), 0, vlookup($A288, FFToolbox!$B$2:$E$414, 4, false))</f>
        <v>1</v>
      </c>
      <c r="M288" s="39">
        <f t="shared" si="1"/>
        <v>0.5</v>
      </c>
      <c r="N288" s="39">
        <f t="shared" si="2"/>
        <v>1</v>
      </c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</row>
    <row r="289">
      <c r="A289" s="17" t="s">
        <v>257</v>
      </c>
      <c r="B289" s="35" t="s">
        <v>1259</v>
      </c>
      <c r="C289" s="35">
        <v>10.0</v>
      </c>
      <c r="D289" s="36" t="s">
        <v>21</v>
      </c>
      <c r="E289" s="36" t="s">
        <v>13</v>
      </c>
      <c r="F289" s="36">
        <f>vlookup(D289,'Team Bye List'!$A$1:$B$33,2,False)</f>
        <v>6</v>
      </c>
      <c r="G289" s="37">
        <f>if(ISNA(vlookup($A289, Sleeper!$B$2:$E$330, 4, false)), 0, vlookup($A289, Sleeper!$B$2:$E$330, 4, false))</f>
        <v>1</v>
      </c>
      <c r="H289" s="37">
        <f>if(ISNA(vlookup($A289, ESPN!$B$2:$E$297, 4, false)), 0, vlookup($A289, ESPN!$B$2:$E$297, 4, false))</f>
        <v>0</v>
      </c>
      <c r="I289" s="37">
        <f>if(ISNA(vlookup($A289,'Ultimate Draft Kit'!$B$2:$E$324,4, false)), 0, vlookup($A289,'Ultimate Draft Kit'!$B$2:$E$324, 4, false))</f>
        <v>1</v>
      </c>
      <c r="J289" s="38">
        <f>if(ISNA(vlookup($A289,Rotowire!$B$2:$E$1075,4, false)), 0, vlookup($A289,Rotowire!$B$2:$E$1075, 4, false))</f>
        <v>0</v>
      </c>
      <c r="K289" s="37">
        <f>if(ISNA(vlookup($A289, FantasyPro!$B$2:$E$341,4,false)),0,vlookup($A289,FantasyPro!$B$2:$E$341,4,false))</f>
        <v>0</v>
      </c>
      <c r="L289" s="37">
        <f>if(ISNA(vlookup($A289, FFToolbox!$B$2:$E$414, 4, false)), 0, vlookup($A289, FFToolbox!$B$2:$E$414, 4, false))</f>
        <v>1</v>
      </c>
      <c r="M289" s="39">
        <f t="shared" si="1"/>
        <v>0.5</v>
      </c>
      <c r="N289" s="39">
        <f t="shared" si="2"/>
        <v>1</v>
      </c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</row>
    <row r="290">
      <c r="A290" s="17" t="s">
        <v>249</v>
      </c>
      <c r="B290" s="35" t="s">
        <v>1259</v>
      </c>
      <c r="C290" s="35">
        <v>9.0</v>
      </c>
      <c r="D290" s="36" t="s">
        <v>45</v>
      </c>
      <c r="E290" s="36" t="s">
        <v>13</v>
      </c>
      <c r="F290" s="36">
        <f>vlookup(D290,'Team Bye List'!$A$1:$B$33,2,False)</f>
        <v>13</v>
      </c>
      <c r="G290" s="37">
        <f>if(ISNA(vlookup($A290, Sleeper!$B$2:$E$330, 4, false)), 0, vlookup($A290, Sleeper!$B$2:$E$330, 4, false))</f>
        <v>1</v>
      </c>
      <c r="H290" s="37">
        <f>if(ISNA(vlookup($A290, ESPN!$B$2:$E$297, 4, false)), 0, vlookup($A290, ESPN!$B$2:$E$297, 4, false))</f>
        <v>0</v>
      </c>
      <c r="I290" s="37">
        <f>if(ISNA(vlookup($A290,'Ultimate Draft Kit'!$B$2:$E$324,4, false)), 0, vlookup($A290,'Ultimate Draft Kit'!$B$2:$E$324, 4, false))</f>
        <v>1</v>
      </c>
      <c r="J290" s="38">
        <f>if(ISNA(vlookup($A290,Rotowire!$B$2:$E$1075,4, false)), 0, vlookup($A290,Rotowire!$B$2:$E$1075, 4, false))</f>
        <v>0</v>
      </c>
      <c r="K290" s="37">
        <f>if(ISNA(vlookup($A290, FantasyPro!$B$2:$E$341,4,false)),0,vlookup($A290,FantasyPro!$B$2:$E$341,4,false))</f>
        <v>1</v>
      </c>
      <c r="L290" s="37">
        <f>if(ISNA(vlookup($A290, FFToolbox!$B$2:$E$414, 4, false)), 0, vlookup($A290, FFToolbox!$B$2:$E$414, 4, false))</f>
        <v>1</v>
      </c>
      <c r="M290" s="39">
        <f t="shared" si="1"/>
        <v>0.6666666667</v>
      </c>
      <c r="N290" s="39">
        <f t="shared" si="2"/>
        <v>1</v>
      </c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</row>
    <row r="291">
      <c r="A291" s="17" t="s">
        <v>256</v>
      </c>
      <c r="B291" s="35" t="s">
        <v>1259</v>
      </c>
      <c r="C291" s="35">
        <v>10.0</v>
      </c>
      <c r="D291" s="36" t="s">
        <v>73</v>
      </c>
      <c r="E291" s="36" t="s">
        <v>13</v>
      </c>
      <c r="F291" s="36">
        <f>vlookup(D291,'Team Bye List'!$A$1:$B$33,2,False)</f>
        <v>14</v>
      </c>
      <c r="G291" s="37">
        <f>if(ISNA(vlookup($A291, Sleeper!$B$2:$E$330, 4, false)), 0, vlookup($A291, Sleeper!$B$2:$E$330, 4, false))</f>
        <v>1</v>
      </c>
      <c r="H291" s="37">
        <f>if(ISNA(vlookup($A291, ESPN!$B$2:$E$297, 4, false)), 0, vlookup($A291, ESPN!$B$2:$E$297, 4, false))</f>
        <v>0</v>
      </c>
      <c r="I291" s="37">
        <f>if(ISNA(vlookup($A291,'Ultimate Draft Kit'!$B$2:$E$324,4, false)), 0, vlookup($A291,'Ultimate Draft Kit'!$B$2:$E$324, 4, false))</f>
        <v>1</v>
      </c>
      <c r="J291" s="38">
        <f>if(ISNA(vlookup($A291,Rotowire!$B$2:$E$1075,4, false)), 0, vlookup($A291,Rotowire!$B$2:$E$1075, 4, false))</f>
        <v>0</v>
      </c>
      <c r="K291" s="37">
        <f>if(ISNA(vlookup($A291, FantasyPro!$B$2:$E$341,4,false)),0,vlookup($A291,FantasyPro!$B$2:$E$341,4,false))</f>
        <v>0</v>
      </c>
      <c r="L291" s="37">
        <f>if(ISNA(vlookup($A291, FFToolbox!$B$2:$E$414, 4, false)), 0, vlookup($A291, FFToolbox!$B$2:$E$414, 4, false))</f>
        <v>1</v>
      </c>
      <c r="M291" s="39">
        <f t="shared" si="1"/>
        <v>0.5</v>
      </c>
      <c r="N291" s="39">
        <f t="shared" si="2"/>
        <v>1</v>
      </c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</row>
    <row r="292">
      <c r="A292" s="17" t="s">
        <v>259</v>
      </c>
      <c r="B292" s="35" t="s">
        <v>1259</v>
      </c>
      <c r="C292" s="35">
        <v>10.0</v>
      </c>
      <c r="D292" s="36" t="s">
        <v>55</v>
      </c>
      <c r="E292" s="36" t="s">
        <v>13</v>
      </c>
      <c r="F292" s="36">
        <f>vlookup(D292,'Team Bye List'!$A$1:$B$33,2,False)</f>
        <v>14</v>
      </c>
      <c r="G292" s="37">
        <f>if(ISNA(vlookup($A292, Sleeper!$B$2:$E$330, 4, false)), 0, vlookup($A292, Sleeper!$B$2:$E$330, 4, false))</f>
        <v>1</v>
      </c>
      <c r="H292" s="37">
        <f>if(ISNA(vlookup($A292, ESPN!$B$2:$E$297, 4, false)), 0, vlookup($A292, ESPN!$B$2:$E$297, 4, false))</f>
        <v>0</v>
      </c>
      <c r="I292" s="37">
        <f>if(ISNA(vlookup($A292,'Ultimate Draft Kit'!$B$2:$E$324,4, false)), 0, vlookup($A292,'Ultimate Draft Kit'!$B$2:$E$324, 4, false))</f>
        <v>1</v>
      </c>
      <c r="J292" s="38">
        <f>if(ISNA(vlookup($A292,Rotowire!$B$2:$E$1075,4, false)), 0, vlookup($A292,Rotowire!$B$2:$E$1075, 4, false))</f>
        <v>0</v>
      </c>
      <c r="K292" s="37">
        <f>if(ISNA(vlookup($A292, FantasyPro!$B$2:$E$341,4,false)),0,vlookup($A292,FantasyPro!$B$2:$E$341,4,false))</f>
        <v>0</v>
      </c>
      <c r="L292" s="37">
        <f>if(ISNA(vlookup($A292, FFToolbox!$B$2:$E$414, 4, false)), 0, vlookup($A292, FFToolbox!$B$2:$E$414, 4, false))</f>
        <v>0</v>
      </c>
      <c r="M292" s="39">
        <f t="shared" si="1"/>
        <v>0.3333333333</v>
      </c>
      <c r="N292" s="39">
        <f t="shared" si="2"/>
        <v>1</v>
      </c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</row>
    <row r="293">
      <c r="A293" s="17" t="s">
        <v>253</v>
      </c>
      <c r="B293" s="35" t="s">
        <v>1259</v>
      </c>
      <c r="C293" s="35">
        <v>10.0</v>
      </c>
      <c r="D293" s="36" t="s">
        <v>30</v>
      </c>
      <c r="E293" s="36" t="s">
        <v>13</v>
      </c>
      <c r="F293" s="36">
        <f>vlookup(D293,'Team Bye List'!$A$1:$B$33,2,False)</f>
        <v>7</v>
      </c>
      <c r="G293" s="37">
        <f>if(ISNA(vlookup($A293, Sleeper!$B$2:$E$330, 4, false)), 0, vlookup($A293, Sleeper!$B$2:$E$330, 4, false))</f>
        <v>1</v>
      </c>
      <c r="H293" s="37">
        <f>if(ISNA(vlookup($A293, ESPN!$B$2:$E$297, 4, false)), 0, vlookup($A293, ESPN!$B$2:$E$297, 4, false))</f>
        <v>0</v>
      </c>
      <c r="I293" s="37">
        <f>if(ISNA(vlookup($A293,'Ultimate Draft Kit'!$B$2:$E$324,4, false)), 0, vlookup($A293,'Ultimate Draft Kit'!$B$2:$E$324, 4, false))</f>
        <v>1</v>
      </c>
      <c r="J293" s="38">
        <f>if(ISNA(vlookup($A293,Rotowire!$B$2:$E$1075,4, false)), 0, vlookup($A293,Rotowire!$B$2:$E$1075, 4, false))</f>
        <v>0</v>
      </c>
      <c r="K293" s="37">
        <f>if(ISNA(vlookup($A293, FantasyPro!$B$2:$E$341,4,false)),0,vlookup($A293,FantasyPro!$B$2:$E$341,4,false))</f>
        <v>0</v>
      </c>
      <c r="L293" s="37">
        <f>if(ISNA(vlookup($A293, FFToolbox!$B$2:$E$414, 4, false)), 0, vlookup($A293, FFToolbox!$B$2:$E$414, 4, false))</f>
        <v>1</v>
      </c>
      <c r="M293" s="39">
        <f t="shared" si="1"/>
        <v>0.5</v>
      </c>
      <c r="N293" s="39">
        <f t="shared" si="2"/>
        <v>1</v>
      </c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</row>
    <row r="294">
      <c r="A294" s="17" t="s">
        <v>310</v>
      </c>
      <c r="B294" s="35" t="s">
        <v>1259</v>
      </c>
      <c r="C294" s="35">
        <v>8.0</v>
      </c>
      <c r="D294" s="36" t="s">
        <v>119</v>
      </c>
      <c r="E294" s="36" t="s">
        <v>59</v>
      </c>
      <c r="F294" s="36">
        <f>vlookup(D294,'Team Bye List'!$A$1:$B$33,2,False)</f>
        <v>10</v>
      </c>
      <c r="G294" s="37">
        <f>if(ISNA(vlookup($A294, Sleeper!$B$2:$E$330, 4, false)), 0, vlookup($A294, Sleeper!$B$2:$E$330, 4, false))</f>
        <v>1</v>
      </c>
      <c r="H294" s="37">
        <f>if(ISNA(vlookup($A294, ESPN!$B$2:$E$297, 4, false)), 0, vlookup($A294, ESPN!$B$2:$E$297, 4, false))</f>
        <v>0</v>
      </c>
      <c r="I294" s="37">
        <f>if(ISNA(vlookup($A294,'Ultimate Draft Kit'!$B$2:$E$324,4, false)), 0, vlookup($A294,'Ultimate Draft Kit'!$B$2:$E$324, 4, false))</f>
        <v>1</v>
      </c>
      <c r="J294" s="38">
        <f>if(ISNA(vlookup($A294,Rotowire!$B$2:$E$1075,4, false)), 0, vlookup($A294,Rotowire!$B$2:$E$1075, 4, false))</f>
        <v>0</v>
      </c>
      <c r="K294" s="37">
        <f>if(ISNA(vlookup($A294, FantasyPro!$B$2:$E$341,4,false)),0,vlookup($A294,FantasyPro!$B$2:$E$341,4,false))</f>
        <v>0</v>
      </c>
      <c r="L294" s="37">
        <f>if(ISNA(vlookup($A294, FFToolbox!$B$2:$E$414, 4, false)), 0, vlookup($A294, FFToolbox!$B$2:$E$414, 4, false))</f>
        <v>1</v>
      </c>
      <c r="M294" s="39">
        <f t="shared" si="1"/>
        <v>0.5</v>
      </c>
      <c r="N294" s="39">
        <f t="shared" si="2"/>
        <v>1</v>
      </c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</row>
    <row r="295">
      <c r="A295" s="17" t="s">
        <v>263</v>
      </c>
      <c r="B295" s="35" t="s">
        <v>1259</v>
      </c>
      <c r="C295" s="35">
        <v>10.0</v>
      </c>
      <c r="D295" s="36" t="s">
        <v>53</v>
      </c>
      <c r="E295" s="36" t="s">
        <v>13</v>
      </c>
      <c r="F295" s="36">
        <f>vlookup(D295,'Team Bye List'!$A$1:$B$33,2,False)</f>
        <v>9</v>
      </c>
      <c r="G295" s="37">
        <f>if(ISNA(vlookup($A295, Sleeper!$B$2:$E$330, 4, false)), 0, vlookup($A295, Sleeper!$B$2:$E$330, 4, false))</f>
        <v>1</v>
      </c>
      <c r="H295" s="37">
        <f>if(ISNA(vlookup($A295, ESPN!$B$2:$E$297, 4, false)), 0, vlookup($A295, ESPN!$B$2:$E$297, 4, false))</f>
        <v>0</v>
      </c>
      <c r="I295" s="37">
        <f>if(ISNA(vlookup($A295,'Ultimate Draft Kit'!$B$2:$E$324,4, false)), 0, vlookup($A295,'Ultimate Draft Kit'!$B$2:$E$324, 4, false))</f>
        <v>1</v>
      </c>
      <c r="J295" s="38">
        <f>if(ISNA(vlookup($A295,Rotowire!$B$2:$E$1075,4, false)), 0, vlookup($A295,Rotowire!$B$2:$E$1075, 4, false))</f>
        <v>0</v>
      </c>
      <c r="K295" s="37">
        <f>if(ISNA(vlookup($A295, FantasyPro!$B$2:$E$341,4,false)),0,vlookup($A295,FantasyPro!$B$2:$E$341,4,false))</f>
        <v>0</v>
      </c>
      <c r="L295" s="37">
        <f>if(ISNA(vlookup($A295, FFToolbox!$B$2:$E$414, 4, false)), 0, vlookup($A295, FFToolbox!$B$2:$E$414, 4, false))</f>
        <v>1</v>
      </c>
      <c r="M295" s="39">
        <f t="shared" si="1"/>
        <v>0.5</v>
      </c>
      <c r="N295" s="39">
        <f t="shared" si="2"/>
        <v>1</v>
      </c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</row>
    <row r="296">
      <c r="A296" s="17" t="s">
        <v>267</v>
      </c>
      <c r="B296" s="35" t="s">
        <v>1259</v>
      </c>
      <c r="C296" s="35">
        <v>9.0</v>
      </c>
      <c r="D296" s="36" t="s">
        <v>17</v>
      </c>
      <c r="E296" s="36" t="s">
        <v>13</v>
      </c>
      <c r="F296" s="36">
        <f>vlookup(D296,'Team Bye List'!$A$1:$B$33,2,False)</f>
        <v>7</v>
      </c>
      <c r="G296" s="37">
        <f>if(ISNA(vlookup($A296, Sleeper!$B$2:$E$330, 4, false)), 0, vlookup($A296, Sleeper!$B$2:$E$330, 4, false))</f>
        <v>1</v>
      </c>
      <c r="H296" s="37">
        <f>if(ISNA(vlookup($A296, ESPN!$B$2:$E$297, 4, false)), 0, vlookup($A296, ESPN!$B$2:$E$297, 4, false))</f>
        <v>0</v>
      </c>
      <c r="I296" s="37">
        <f>if(ISNA(vlookup($A296,'Ultimate Draft Kit'!$B$2:$E$324,4, false)), 0, vlookup($A296,'Ultimate Draft Kit'!$B$2:$E$324, 4, false))</f>
        <v>1</v>
      </c>
      <c r="J296" s="38">
        <f>if(ISNA(vlookup($A296,Rotowire!$B$2:$E$1075,4, false)), 0, vlookup($A296,Rotowire!$B$2:$E$1075, 4, false))</f>
        <v>0</v>
      </c>
      <c r="K296" s="37">
        <f>if(ISNA(vlookup($A296, FantasyPro!$B$2:$E$341,4,false)),0,vlookup($A296,FantasyPro!$B$2:$E$341,4,false))</f>
        <v>1</v>
      </c>
      <c r="L296" s="37">
        <f>if(ISNA(vlookup($A296, FFToolbox!$B$2:$E$414, 4, false)), 0, vlookup($A296, FFToolbox!$B$2:$E$414, 4, false))</f>
        <v>1</v>
      </c>
      <c r="M296" s="39">
        <f t="shared" si="1"/>
        <v>0.6666666667</v>
      </c>
      <c r="N296" s="39">
        <f t="shared" si="2"/>
        <v>1</v>
      </c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</row>
    <row r="297">
      <c r="A297" s="17" t="s">
        <v>561</v>
      </c>
      <c r="B297" s="35" t="s">
        <v>1259</v>
      </c>
      <c r="C297" s="35">
        <v>10.0</v>
      </c>
      <c r="D297" s="36" t="s">
        <v>81</v>
      </c>
      <c r="E297" s="36" t="s">
        <v>13</v>
      </c>
      <c r="F297" s="36">
        <f>vlookup(D297,'Team Bye List'!$A$1:$B$33,2,False)</f>
        <v>6</v>
      </c>
      <c r="G297" s="37">
        <f>if(ISNA(vlookup($A297, Sleeper!$B$2:$E$330, 4, false)), 0, vlookup($A297, Sleeper!$B$2:$E$330, 4, false))</f>
        <v>1</v>
      </c>
      <c r="H297" s="37">
        <f>if(ISNA(vlookup($A297, ESPN!$B$2:$E$297, 4, false)), 0, vlookup($A297, ESPN!$B$2:$E$297, 4, false))</f>
        <v>0</v>
      </c>
      <c r="I297" s="37">
        <f>if(ISNA(vlookup($A297,'Ultimate Draft Kit'!$B$2:$E$324,4, false)), 0, vlookup($A297,'Ultimate Draft Kit'!$B$2:$E$324, 4, false))</f>
        <v>1</v>
      </c>
      <c r="J297" s="38">
        <f>if(ISNA(vlookup($A297,Rotowire!$B$2:$E$1075,4, false)), 0, vlookup($A297,Rotowire!$B$2:$E$1075, 4, false))</f>
        <v>0</v>
      </c>
      <c r="K297" s="37">
        <f>if(ISNA(vlookup($A297, FantasyPro!$B$2:$E$341,4,false)),0,vlookup($A297,FantasyPro!$B$2:$E$341,4,false))</f>
        <v>0</v>
      </c>
      <c r="L297" s="37">
        <f>if(ISNA(vlookup($A297, FFToolbox!$B$2:$E$414, 4, false)), 0, vlookup($A297, FFToolbox!$B$2:$E$414, 4, false))</f>
        <v>0</v>
      </c>
      <c r="M297" s="39">
        <f t="shared" si="1"/>
        <v>0.3333333333</v>
      </c>
      <c r="N297" s="39">
        <f t="shared" si="2"/>
        <v>1</v>
      </c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</row>
    <row r="298">
      <c r="A298" s="17" t="s">
        <v>268</v>
      </c>
      <c r="B298" s="35" t="s">
        <v>1259</v>
      </c>
      <c r="C298" s="35">
        <v>10.0</v>
      </c>
      <c r="D298" s="36" t="s">
        <v>45</v>
      </c>
      <c r="E298" s="36" t="s">
        <v>13</v>
      </c>
      <c r="F298" s="36">
        <f>vlookup(D298,'Team Bye List'!$A$1:$B$33,2,False)</f>
        <v>13</v>
      </c>
      <c r="G298" s="37">
        <f>if(ISNA(vlookup($A298, Sleeper!$B$2:$E$330, 4, false)), 0, vlookup($A298, Sleeper!$B$2:$E$330, 4, false))</f>
        <v>1</v>
      </c>
      <c r="H298" s="37">
        <f>if(ISNA(vlookup($A298, ESPN!$B$2:$E$297, 4, false)), 0, vlookup($A298, ESPN!$B$2:$E$297, 4, false))</f>
        <v>0</v>
      </c>
      <c r="I298" s="37">
        <f>if(ISNA(vlookup($A298,'Ultimate Draft Kit'!$B$2:$E$324,4, false)), 0, vlookup($A298,'Ultimate Draft Kit'!$B$2:$E$324, 4, false))</f>
        <v>1</v>
      </c>
      <c r="J298" s="38">
        <f>if(ISNA(vlookup($A298,Rotowire!$B$2:$E$1075,4, false)), 0, vlookup($A298,Rotowire!$B$2:$E$1075, 4, false))</f>
        <v>0</v>
      </c>
      <c r="K298" s="37">
        <f>if(ISNA(vlookup($A298, FantasyPro!$B$2:$E$341,4,false)),0,vlookup($A298,FantasyPro!$B$2:$E$341,4,false))</f>
        <v>0</v>
      </c>
      <c r="L298" s="37">
        <f>if(ISNA(vlookup($A298, FFToolbox!$B$2:$E$414, 4, false)), 0, vlookup($A298, FFToolbox!$B$2:$E$414, 4, false))</f>
        <v>1</v>
      </c>
      <c r="M298" s="39">
        <f t="shared" si="1"/>
        <v>0.5</v>
      </c>
      <c r="N298" s="39">
        <f t="shared" si="2"/>
        <v>1</v>
      </c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</row>
    <row r="299">
      <c r="A299" s="17" t="s">
        <v>313</v>
      </c>
      <c r="B299" s="35" t="s">
        <v>1259</v>
      </c>
      <c r="C299" s="36"/>
      <c r="D299" s="36" t="s">
        <v>66</v>
      </c>
      <c r="E299" s="36" t="s">
        <v>59</v>
      </c>
      <c r="F299" s="36">
        <f>vlookup(D299,'Team Bye List'!$A$1:$B$33,2,False)</f>
        <v>9</v>
      </c>
      <c r="G299" s="37">
        <f>if(ISNA(vlookup($A299, Sleeper!$B$2:$E$330, 4, false)), 0, vlookup($A299, Sleeper!$B$2:$E$330, 4, false))</f>
        <v>0</v>
      </c>
      <c r="H299" s="37">
        <f>if(ISNA(vlookup($A299, ESPN!$B$2:$E$297, 4, false)), 0, vlookup($A299, ESPN!$B$2:$E$297, 4, false))</f>
        <v>0</v>
      </c>
      <c r="I299" s="37">
        <f>if(ISNA(vlookup($A299,'Ultimate Draft Kit'!$B$2:$E$324,4, false)), 0, vlookup($A299,'Ultimate Draft Kit'!$B$2:$E$324, 4, false))</f>
        <v>0</v>
      </c>
      <c r="J299" s="38">
        <f>if(ISNA(vlookup($A299,Rotowire!$B$2:$E$1075,4, false)), 0, vlookup($A299,Rotowire!$B$2:$E$1075, 4, false))</f>
        <v>0</v>
      </c>
      <c r="K299" s="37">
        <f>if(ISNA(vlookup($A299, FantasyPro!$B$2:$E$341,4,false)),0,vlookup($A299,FantasyPro!$B$2:$E$341,4,false))</f>
        <v>0</v>
      </c>
      <c r="L299" s="37">
        <f>if(ISNA(vlookup($A299, FFToolbox!$B$2:$E$414, 4, false)), 0, vlookup($A299, FFToolbox!$B$2:$E$414, 4, false))</f>
        <v>1</v>
      </c>
      <c r="M299" s="39">
        <f t="shared" si="1"/>
        <v>0.1666666667</v>
      </c>
      <c r="N299" s="39">
        <f t="shared" si="2"/>
        <v>1</v>
      </c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</row>
    <row r="300">
      <c r="A300" s="17" t="s">
        <v>266</v>
      </c>
      <c r="B300" s="35" t="s">
        <v>1259</v>
      </c>
      <c r="C300" s="35">
        <v>9.0</v>
      </c>
      <c r="D300" s="36" t="s">
        <v>47</v>
      </c>
      <c r="E300" s="36" t="s">
        <v>13</v>
      </c>
      <c r="F300" s="36">
        <f>vlookup(D300,'Team Bye List'!$A$1:$B$33,2,False)</f>
        <v>14</v>
      </c>
      <c r="G300" s="37">
        <f>if(ISNA(vlookup($A300, Sleeper!$B$2:$E$330, 4, false)), 0, vlookup($A300, Sleeper!$B$2:$E$330, 4, false))</f>
        <v>1</v>
      </c>
      <c r="H300" s="37">
        <f>if(ISNA(vlookup($A300, ESPN!$B$2:$E$297, 4, false)), 0, vlookup($A300, ESPN!$B$2:$E$297, 4, false))</f>
        <v>0</v>
      </c>
      <c r="I300" s="37">
        <f>if(ISNA(vlookup($A300,'Ultimate Draft Kit'!$B$2:$E$324,4, false)), 0, vlookup($A300,'Ultimate Draft Kit'!$B$2:$E$324, 4, false))</f>
        <v>1</v>
      </c>
      <c r="J300" s="38">
        <f>if(ISNA(vlookup($A300,Rotowire!$B$2:$E$1075,4, false)), 0, vlookup($A300,Rotowire!$B$2:$E$1075, 4, false))</f>
        <v>0</v>
      </c>
      <c r="K300" s="37">
        <f>if(ISNA(vlookup($A300, FantasyPro!$B$2:$E$341,4,false)),0,vlookup($A300,FantasyPro!$B$2:$E$341,4,false))</f>
        <v>0</v>
      </c>
      <c r="L300" s="37">
        <f>if(ISNA(vlookup($A300, FFToolbox!$B$2:$E$414, 4, false)), 0, vlookup($A300, FFToolbox!$B$2:$E$414, 4, false))</f>
        <v>1</v>
      </c>
      <c r="M300" s="39">
        <f t="shared" si="1"/>
        <v>0.5</v>
      </c>
      <c r="N300" s="39">
        <f t="shared" si="2"/>
        <v>1</v>
      </c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</row>
    <row r="301">
      <c r="A301" s="17" t="s">
        <v>706</v>
      </c>
      <c r="B301" s="35" t="s">
        <v>1259</v>
      </c>
      <c r="C301" s="36"/>
      <c r="D301" s="36" t="s">
        <v>15</v>
      </c>
      <c r="E301" s="36" t="s">
        <v>59</v>
      </c>
      <c r="F301" s="36">
        <f>vlookup(D301,'Team Bye List'!$A$1:$B$33,2,False)</f>
        <v>6</v>
      </c>
      <c r="G301" s="37">
        <f>if(ISNA(vlookup($A301, Sleeper!$B$2:$E$330, 4, false)), 0, vlookup($A301, Sleeper!$B$2:$E$330, 4, false))</f>
        <v>0</v>
      </c>
      <c r="H301" s="37">
        <f>if(ISNA(vlookup($A301, ESPN!$B$2:$E$297, 4, false)), 0, vlookup($A301, ESPN!$B$2:$E$297, 4, false))</f>
        <v>0</v>
      </c>
      <c r="I301" s="37">
        <f>if(ISNA(vlookup($A301,'Ultimate Draft Kit'!$B$2:$E$324,4, false)), 0, vlookup($A301,'Ultimate Draft Kit'!$B$2:$E$324, 4, false))</f>
        <v>0</v>
      </c>
      <c r="J301" s="38">
        <f>if(ISNA(vlookup($A301,Rotowire!$B$2:$E$1075,4, false)), 0, vlookup($A301,Rotowire!$B$2:$E$1075, 4, false))</f>
        <v>0</v>
      </c>
      <c r="K301" s="37">
        <f>if(ISNA(vlookup($A301, FantasyPro!$B$2:$E$341,4,false)),0,vlookup($A301,FantasyPro!$B$2:$E$341,4,false))</f>
        <v>0</v>
      </c>
      <c r="L301" s="37">
        <f>if(ISNA(vlookup($A301, FFToolbox!$B$2:$E$414, 4, false)), 0, vlookup($A301, FFToolbox!$B$2:$E$414, 4, false))</f>
        <v>0</v>
      </c>
      <c r="M301" s="39">
        <f t="shared" si="1"/>
        <v>0</v>
      </c>
      <c r="N301" s="39">
        <f t="shared" si="2"/>
        <v>0</v>
      </c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</row>
    <row r="302">
      <c r="A302" s="17" t="s">
        <v>707</v>
      </c>
      <c r="B302" s="35" t="s">
        <v>1259</v>
      </c>
      <c r="C302" s="36"/>
      <c r="D302" s="36" t="s">
        <v>37</v>
      </c>
      <c r="E302" s="36" t="s">
        <v>59</v>
      </c>
      <c r="F302" s="36">
        <f>vlookup(D302,'Team Bye List'!$A$1:$B$33,2,False)</f>
        <v>11</v>
      </c>
      <c r="G302" s="37">
        <f>if(ISNA(vlookup($A302, Sleeper!$B$2:$E$330, 4, false)), 0, vlookup($A302, Sleeper!$B$2:$E$330, 4, false))</f>
        <v>0</v>
      </c>
      <c r="H302" s="37">
        <f>if(ISNA(vlookup($A302, ESPN!$B$2:$E$297, 4, false)), 0, vlookup($A302, ESPN!$B$2:$E$297, 4, false))</f>
        <v>0</v>
      </c>
      <c r="I302" s="37">
        <f>if(ISNA(vlookup($A302,'Ultimate Draft Kit'!$B$2:$E$324,4, false)), 0, vlookup($A302,'Ultimate Draft Kit'!$B$2:$E$324, 4, false))</f>
        <v>0</v>
      </c>
      <c r="J302" s="38">
        <f>if(ISNA(vlookup($A302,Rotowire!$B$2:$E$1075,4, false)), 0, vlookup($A302,Rotowire!$B$2:$E$1075, 4, false))</f>
        <v>0</v>
      </c>
      <c r="K302" s="37">
        <f>if(ISNA(vlookup($A302, FantasyPro!$B$2:$E$341,4,false)),0,vlookup($A302,FantasyPro!$B$2:$E$341,4,false))</f>
        <v>0</v>
      </c>
      <c r="L302" s="37">
        <f>if(ISNA(vlookup($A302, FFToolbox!$B$2:$E$414, 4, false)), 0, vlookup($A302, FFToolbox!$B$2:$E$414, 4, false))</f>
        <v>1</v>
      </c>
      <c r="M302" s="39">
        <f t="shared" si="1"/>
        <v>0.1666666667</v>
      </c>
      <c r="N302" s="39">
        <f t="shared" si="2"/>
        <v>1</v>
      </c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</row>
    <row r="303">
      <c r="A303" s="17" t="s">
        <v>271</v>
      </c>
      <c r="B303" s="35" t="s">
        <v>1259</v>
      </c>
      <c r="C303" s="35">
        <v>10.0</v>
      </c>
      <c r="D303" s="36" t="s">
        <v>58</v>
      </c>
      <c r="E303" s="36" t="s">
        <v>13</v>
      </c>
      <c r="F303" s="36">
        <f>vlookup(D303,'Team Bye List'!$A$1:$B$33,2,False)</f>
        <v>10</v>
      </c>
      <c r="G303" s="37">
        <f>if(ISNA(vlookup($A303, Sleeper!$B$2:$E$330, 4, false)), 0, vlookup($A303, Sleeper!$B$2:$E$330, 4, false))</f>
        <v>1</v>
      </c>
      <c r="H303" s="37">
        <f>if(ISNA(vlookup($A303, ESPN!$B$2:$E$297, 4, false)), 0, vlookup($A303, ESPN!$B$2:$E$297, 4, false))</f>
        <v>0</v>
      </c>
      <c r="I303" s="37">
        <f>if(ISNA(vlookup($A303,'Ultimate Draft Kit'!$B$2:$E$324,4, false)), 0, vlookup($A303,'Ultimate Draft Kit'!$B$2:$E$324, 4, false))</f>
        <v>1</v>
      </c>
      <c r="J303" s="38">
        <f>if(ISNA(vlookup($A303,Rotowire!$B$2:$E$1075,4, false)), 0, vlookup($A303,Rotowire!$B$2:$E$1075, 4, false))</f>
        <v>0</v>
      </c>
      <c r="K303" s="37">
        <f>if(ISNA(vlookup($A303, FantasyPro!$B$2:$E$341,4,false)),0,vlookup($A303,FantasyPro!$B$2:$E$341,4,false))</f>
        <v>0</v>
      </c>
      <c r="L303" s="37">
        <f>if(ISNA(vlookup($A303, FFToolbox!$B$2:$E$414, 4, false)), 0, vlookup($A303, FFToolbox!$B$2:$E$414, 4, false))</f>
        <v>1</v>
      </c>
      <c r="M303" s="39">
        <f t="shared" si="1"/>
        <v>0.5</v>
      </c>
      <c r="N303" s="39">
        <f t="shared" si="2"/>
        <v>1</v>
      </c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</row>
    <row r="304">
      <c r="A304" s="17" t="s">
        <v>562</v>
      </c>
      <c r="B304" s="35" t="s">
        <v>1259</v>
      </c>
      <c r="C304" s="35">
        <v>10.0</v>
      </c>
      <c r="D304" s="36" t="s">
        <v>32</v>
      </c>
      <c r="E304" s="36" t="s">
        <v>13</v>
      </c>
      <c r="F304" s="36">
        <f>vlookup(D304,'Team Bye List'!$A$1:$B$33,2,False)</f>
        <v>9</v>
      </c>
      <c r="G304" s="37">
        <f>if(ISNA(vlookup($A304, Sleeper!$B$2:$E$330, 4, false)), 0, vlookup($A304, Sleeper!$B$2:$E$330, 4, false))</f>
        <v>1</v>
      </c>
      <c r="H304" s="37">
        <f>if(ISNA(vlookup($A304, ESPN!$B$2:$E$297, 4, false)), 0, vlookup($A304, ESPN!$B$2:$E$297, 4, false))</f>
        <v>0</v>
      </c>
      <c r="I304" s="37">
        <f>if(ISNA(vlookup($A304,'Ultimate Draft Kit'!$B$2:$E$324,4, false)), 0, vlookup($A304,'Ultimate Draft Kit'!$B$2:$E$324, 4, false))</f>
        <v>1</v>
      </c>
      <c r="J304" s="38">
        <f>if(ISNA(vlookup($A304,Rotowire!$B$2:$E$1075,4, false)), 0, vlookup($A304,Rotowire!$B$2:$E$1075, 4, false))</f>
        <v>0</v>
      </c>
      <c r="K304" s="37">
        <f>if(ISNA(vlookup($A304, FantasyPro!$B$2:$E$341,4,false)),0,vlookup($A304,FantasyPro!$B$2:$E$341,4,false))</f>
        <v>0</v>
      </c>
      <c r="L304" s="37">
        <f>if(ISNA(vlookup($A304, FFToolbox!$B$2:$E$414, 4, false)), 0, vlookup($A304, FFToolbox!$B$2:$E$414, 4, false))</f>
        <v>1</v>
      </c>
      <c r="M304" s="39">
        <f t="shared" si="1"/>
        <v>0.5</v>
      </c>
      <c r="N304" s="39">
        <f t="shared" si="2"/>
        <v>1</v>
      </c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</row>
    <row r="305">
      <c r="A305" s="17" t="s">
        <v>702</v>
      </c>
      <c r="B305" s="35" t="s">
        <v>1259</v>
      </c>
      <c r="C305" s="35">
        <v>7.0</v>
      </c>
      <c r="D305" s="36" t="s">
        <v>53</v>
      </c>
      <c r="E305" s="36" t="s">
        <v>59</v>
      </c>
      <c r="F305" s="36">
        <f>vlookup(D305,'Team Bye List'!$A$1:$B$33,2,False)</f>
        <v>9</v>
      </c>
      <c r="G305" s="37">
        <f>if(ISNA(vlookup($A305, Sleeper!$B$2:$E$330, 4, false)), 0, vlookup($A305, Sleeper!$B$2:$E$330, 4, false))</f>
        <v>1</v>
      </c>
      <c r="H305" s="37">
        <f>if(ISNA(vlookup($A305, ESPN!$B$2:$E$297, 4, false)), 0, vlookup($A305, ESPN!$B$2:$E$297, 4, false))</f>
        <v>0</v>
      </c>
      <c r="I305" s="37">
        <f>if(ISNA(vlookup($A305,'Ultimate Draft Kit'!$B$2:$E$324,4, false)), 0, vlookup($A305,'Ultimate Draft Kit'!$B$2:$E$324, 4, false))</f>
        <v>1</v>
      </c>
      <c r="J305" s="38">
        <f>if(ISNA(vlookup($A305,Rotowire!$B$2:$E$1075,4, false)), 0, vlookup($A305,Rotowire!$B$2:$E$1075, 4, false))</f>
        <v>0</v>
      </c>
      <c r="K305" s="37">
        <f>if(ISNA(vlookup($A305, FantasyPro!$B$2:$E$341,4,false)),0,vlookup($A305,FantasyPro!$B$2:$E$341,4,false))</f>
        <v>0</v>
      </c>
      <c r="L305" s="37">
        <f>if(ISNA(vlookup($A305, FFToolbox!$B$2:$E$414, 4, false)), 0, vlookup($A305, FFToolbox!$B$2:$E$414, 4, false))</f>
        <v>1</v>
      </c>
      <c r="M305" s="39">
        <f t="shared" si="1"/>
        <v>0.5</v>
      </c>
      <c r="N305" s="39">
        <f t="shared" si="2"/>
        <v>1</v>
      </c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</row>
    <row r="306">
      <c r="A306" s="17" t="s">
        <v>711</v>
      </c>
      <c r="B306" s="35" t="s">
        <v>1259</v>
      </c>
      <c r="C306" s="36"/>
      <c r="D306" s="36" t="s">
        <v>7</v>
      </c>
      <c r="E306" s="36" t="s">
        <v>59</v>
      </c>
      <c r="F306" s="36">
        <f>vlookup(D306,'Team Bye List'!$A$1:$B$33,2,False)</f>
        <v>14</v>
      </c>
      <c r="G306" s="37">
        <f>if(ISNA(vlookup($A306, Sleeper!$B$2:$E$330, 4, false)), 0, vlookup($A306, Sleeper!$B$2:$E$330, 4, false))</f>
        <v>0</v>
      </c>
      <c r="H306" s="37">
        <f>if(ISNA(vlookup($A306, ESPN!$B$2:$E$297, 4, false)), 0, vlookup($A306, ESPN!$B$2:$E$297, 4, false))</f>
        <v>0</v>
      </c>
      <c r="I306" s="37">
        <f>if(ISNA(vlookup($A306,'Ultimate Draft Kit'!$B$2:$E$324,4, false)), 0, vlookup($A306,'Ultimate Draft Kit'!$B$2:$E$324, 4, false))</f>
        <v>0</v>
      </c>
      <c r="J306" s="38">
        <f>if(ISNA(vlookup($A306,Rotowire!$B$2:$E$1075,4, false)), 0, vlookup($A306,Rotowire!$B$2:$E$1075, 4, false))</f>
        <v>0</v>
      </c>
      <c r="K306" s="37">
        <f>if(ISNA(vlookup($A306, FantasyPro!$B$2:$E$341,4,false)),0,vlookup($A306,FantasyPro!$B$2:$E$341,4,false))</f>
        <v>0</v>
      </c>
      <c r="L306" s="37">
        <f>if(ISNA(vlookup($A306, FFToolbox!$B$2:$E$414, 4, false)), 0, vlookup($A306, FFToolbox!$B$2:$E$414, 4, false))</f>
        <v>0</v>
      </c>
      <c r="M306" s="39">
        <f t="shared" si="1"/>
        <v>0</v>
      </c>
      <c r="N306" s="39">
        <f t="shared" si="2"/>
        <v>0</v>
      </c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</row>
    <row r="307">
      <c r="A307" s="17" t="s">
        <v>699</v>
      </c>
      <c r="B307" s="35" t="s">
        <v>1259</v>
      </c>
      <c r="C307" s="36"/>
      <c r="D307" s="36" t="s">
        <v>30</v>
      </c>
      <c r="E307" s="36" t="s">
        <v>59</v>
      </c>
      <c r="F307" s="36">
        <f>vlookup(D307,'Team Bye List'!$A$1:$B$33,2,False)</f>
        <v>7</v>
      </c>
      <c r="G307" s="37">
        <f>if(ISNA(vlookup($A307, Sleeper!$B$2:$E$330, 4, false)), 0, vlookup($A307, Sleeper!$B$2:$E$330, 4, false))</f>
        <v>0</v>
      </c>
      <c r="H307" s="37">
        <f>if(ISNA(vlookup($A307, ESPN!$B$2:$E$297, 4, false)), 0, vlookup($A307, ESPN!$B$2:$E$297, 4, false))</f>
        <v>0</v>
      </c>
      <c r="I307" s="37">
        <f>if(ISNA(vlookup($A307,'Ultimate Draft Kit'!$B$2:$E$324,4, false)), 0, vlookup($A307,'Ultimate Draft Kit'!$B$2:$E$324, 4, false))</f>
        <v>0</v>
      </c>
      <c r="J307" s="38">
        <f>if(ISNA(vlookup($A307,Rotowire!$B$2:$E$1075,4, false)), 0, vlookup($A307,Rotowire!$B$2:$E$1075, 4, false))</f>
        <v>0</v>
      </c>
      <c r="K307" s="37">
        <f>if(ISNA(vlookup($A307, FantasyPro!$B$2:$E$341,4,false)),0,vlookup($A307,FantasyPro!$B$2:$E$341,4,false))</f>
        <v>0</v>
      </c>
      <c r="L307" s="37">
        <f>if(ISNA(vlookup($A307, FFToolbox!$B$2:$E$414, 4, false)), 0, vlookup($A307, FFToolbox!$B$2:$E$414, 4, false))</f>
        <v>1</v>
      </c>
      <c r="M307" s="39">
        <f t="shared" si="1"/>
        <v>0.1666666667</v>
      </c>
      <c r="N307" s="39">
        <f t="shared" si="2"/>
        <v>1</v>
      </c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</row>
    <row r="308">
      <c r="A308" s="17" t="s">
        <v>712</v>
      </c>
      <c r="B308" s="35" t="s">
        <v>1259</v>
      </c>
      <c r="C308" s="36"/>
      <c r="D308" s="36" t="s">
        <v>47</v>
      </c>
      <c r="E308" s="36" t="s">
        <v>59</v>
      </c>
      <c r="F308" s="36">
        <f>vlookup(D308,'Team Bye List'!$A$1:$B$33,2,False)</f>
        <v>14</v>
      </c>
      <c r="G308" s="37">
        <f>if(ISNA(vlookup($A308, Sleeper!$B$2:$E$330, 4, false)), 0, vlookup($A308, Sleeper!$B$2:$E$330, 4, false))</f>
        <v>0</v>
      </c>
      <c r="H308" s="37">
        <f>if(ISNA(vlookup($A308, ESPN!$B$2:$E$297, 4, false)), 0, vlookup($A308, ESPN!$B$2:$E$297, 4, false))</f>
        <v>0</v>
      </c>
      <c r="I308" s="37">
        <f>if(ISNA(vlookup($A308,'Ultimate Draft Kit'!$B$2:$E$324,4, false)), 0, vlookup($A308,'Ultimate Draft Kit'!$B$2:$E$324, 4, false))</f>
        <v>0</v>
      </c>
      <c r="J308" s="38">
        <f>if(ISNA(vlookup($A308,Rotowire!$B$2:$E$1075,4, false)), 0, vlookup($A308,Rotowire!$B$2:$E$1075, 4, false))</f>
        <v>0</v>
      </c>
      <c r="K308" s="37">
        <f>if(ISNA(vlookup($A308, FantasyPro!$B$2:$E$341,4,false)),0,vlookup($A308,FantasyPro!$B$2:$E$341,4,false))</f>
        <v>0</v>
      </c>
      <c r="L308" s="37">
        <f>if(ISNA(vlookup($A308, FFToolbox!$B$2:$E$414, 4, false)), 0, vlookup($A308, FFToolbox!$B$2:$E$414, 4, false))</f>
        <v>0</v>
      </c>
      <c r="M308" s="39">
        <f t="shared" si="1"/>
        <v>0</v>
      </c>
      <c r="N308" s="39">
        <f t="shared" si="2"/>
        <v>0</v>
      </c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</row>
    <row r="309">
      <c r="A309" s="17" t="s">
        <v>571</v>
      </c>
      <c r="B309" s="35" t="s">
        <v>1259</v>
      </c>
      <c r="C309" s="35" t="s">
        <v>1260</v>
      </c>
      <c r="D309" s="36" t="s">
        <v>85</v>
      </c>
      <c r="E309" s="36" t="s">
        <v>13</v>
      </c>
      <c r="F309" s="36">
        <f>vlookup(D309,'Team Bye List'!$A$1:$B$33,2,False)</f>
        <v>9</v>
      </c>
      <c r="G309" s="37">
        <f>if(ISNA(vlookup($A309, Sleeper!$B$2:$E$330, 4, false)), 0, vlookup($A309, Sleeper!$B$2:$E$330, 4, false))</f>
        <v>0</v>
      </c>
      <c r="H309" s="37">
        <f>if(ISNA(vlookup($A309, ESPN!$B$2:$E$297, 4, false)), 0, vlookup($A309, ESPN!$B$2:$E$297, 4, false))</f>
        <v>0</v>
      </c>
      <c r="I309" s="37">
        <f>if(ISNA(vlookup($A309,'Ultimate Draft Kit'!$B$2:$E$324,4, false)), 0, vlookup($A309,'Ultimate Draft Kit'!$B$2:$E$324, 4, false))</f>
        <v>0</v>
      </c>
      <c r="J309" s="38">
        <f>if(ISNA(vlookup($A309,Rotowire!$B$2:$E$1075,4, false)), 0, vlookup($A309,Rotowire!$B$2:$E$1075, 4, false))</f>
        <v>0</v>
      </c>
      <c r="K309" s="37">
        <f>if(ISNA(vlookup($A309, FantasyPro!$B$2:$E$341,4,false)),0,vlookup($A309,FantasyPro!$B$2:$E$341,4,false))</f>
        <v>0</v>
      </c>
      <c r="L309" s="37">
        <f>if(ISNA(vlookup($A309, FFToolbox!$B$2:$E$414, 4, false)), 0, vlookup($A309, FFToolbox!$B$2:$E$414, 4, false))</f>
        <v>0</v>
      </c>
      <c r="M309" s="39">
        <f t="shared" si="1"/>
        <v>0</v>
      </c>
      <c r="N309" s="39">
        <f t="shared" si="2"/>
        <v>0</v>
      </c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</row>
    <row r="310">
      <c r="A310" s="17" t="s">
        <v>719</v>
      </c>
      <c r="B310" s="35" t="s">
        <v>1259</v>
      </c>
      <c r="C310" s="36"/>
      <c r="D310" s="36" t="s">
        <v>21</v>
      </c>
      <c r="E310" s="36" t="s">
        <v>59</v>
      </c>
      <c r="F310" s="36">
        <f>vlookup(D310,'Team Bye List'!$A$1:$B$33,2,False)</f>
        <v>6</v>
      </c>
      <c r="G310" s="37">
        <f>if(ISNA(vlookup($A310, Sleeper!$B$2:$E$330, 4, false)), 0, vlookup($A310, Sleeper!$B$2:$E$330, 4, false))</f>
        <v>0</v>
      </c>
      <c r="H310" s="37">
        <f>if(ISNA(vlookup($A310, ESPN!$B$2:$E$297, 4, false)), 0, vlookup($A310, ESPN!$B$2:$E$297, 4, false))</f>
        <v>0</v>
      </c>
      <c r="I310" s="37">
        <f>if(ISNA(vlookup($A310,'Ultimate Draft Kit'!$B$2:$E$324,4, false)), 0, vlookup($A310,'Ultimate Draft Kit'!$B$2:$E$324, 4, false))</f>
        <v>0</v>
      </c>
      <c r="J310" s="38">
        <f>if(ISNA(vlookup($A310,Rotowire!$B$2:$E$1075,4, false)), 0, vlookup($A310,Rotowire!$B$2:$E$1075, 4, false))</f>
        <v>0</v>
      </c>
      <c r="K310" s="37">
        <f>if(ISNA(vlookup($A310, FantasyPro!$B$2:$E$341,4,false)),0,vlookup($A310,FantasyPro!$B$2:$E$341,4,false))</f>
        <v>0</v>
      </c>
      <c r="L310" s="37">
        <f>if(ISNA(vlookup($A310, FFToolbox!$B$2:$E$414, 4, false)), 0, vlookup($A310, FFToolbox!$B$2:$E$414, 4, false))</f>
        <v>1</v>
      </c>
      <c r="M310" s="39">
        <f t="shared" si="1"/>
        <v>0.1666666667</v>
      </c>
      <c r="N310" s="39">
        <f t="shared" si="2"/>
        <v>1</v>
      </c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</row>
    <row r="311">
      <c r="A311" s="17" t="s">
        <v>708</v>
      </c>
      <c r="B311" s="35" t="s">
        <v>1259</v>
      </c>
      <c r="C311" s="36"/>
      <c r="D311" s="36" t="s">
        <v>25</v>
      </c>
      <c r="E311" s="36" t="s">
        <v>59</v>
      </c>
      <c r="F311" s="36">
        <f>vlookup(D311,'Team Bye List'!$A$1:$B$33,2,False)</f>
        <v>7</v>
      </c>
      <c r="G311" s="37">
        <f>if(ISNA(vlookup($A311, Sleeper!$B$2:$E$330, 4, false)), 0, vlookup($A311, Sleeper!$B$2:$E$330, 4, false))</f>
        <v>0</v>
      </c>
      <c r="H311" s="37">
        <f>if(ISNA(vlookup($A311, ESPN!$B$2:$E$297, 4, false)), 0, vlookup($A311, ESPN!$B$2:$E$297, 4, false))</f>
        <v>0</v>
      </c>
      <c r="I311" s="37">
        <f>if(ISNA(vlookup($A311,'Ultimate Draft Kit'!$B$2:$E$324,4, false)), 0, vlookup($A311,'Ultimate Draft Kit'!$B$2:$E$324, 4, false))</f>
        <v>0</v>
      </c>
      <c r="J311" s="38">
        <f>if(ISNA(vlookup($A311,Rotowire!$B$2:$E$1075,4, false)), 0, vlookup($A311,Rotowire!$B$2:$E$1075, 4, false))</f>
        <v>0</v>
      </c>
      <c r="K311" s="37">
        <f>if(ISNA(vlookup($A311, FantasyPro!$B$2:$E$341,4,false)),0,vlookup($A311,FantasyPro!$B$2:$E$341,4,false))</f>
        <v>0</v>
      </c>
      <c r="L311" s="37">
        <f>if(ISNA(vlookup($A311, FFToolbox!$B$2:$E$414, 4, false)), 0, vlookup($A311, FFToolbox!$B$2:$E$414, 4, false))</f>
        <v>1</v>
      </c>
      <c r="M311" s="39">
        <f t="shared" si="1"/>
        <v>0.1666666667</v>
      </c>
      <c r="N311" s="39">
        <f t="shared" si="2"/>
        <v>1</v>
      </c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</row>
    <row r="312">
      <c r="A312" s="17" t="s">
        <v>734</v>
      </c>
      <c r="B312" s="35" t="s">
        <v>1259</v>
      </c>
      <c r="C312" s="36"/>
      <c r="D312" s="36" t="s">
        <v>55</v>
      </c>
      <c r="E312" s="36" t="s">
        <v>59</v>
      </c>
      <c r="F312" s="36">
        <f>vlookup(D312,'Team Bye List'!$A$1:$B$33,2,False)</f>
        <v>14</v>
      </c>
      <c r="G312" s="37">
        <f>if(ISNA(vlookup($A312, Sleeper!$B$2:$E$330, 4, false)), 0, vlookup($A312, Sleeper!$B$2:$E$330, 4, false))</f>
        <v>0</v>
      </c>
      <c r="H312" s="37">
        <f>if(ISNA(vlookup($A312, ESPN!$B$2:$E$297, 4, false)), 0, vlookup($A312, ESPN!$B$2:$E$297, 4, false))</f>
        <v>0</v>
      </c>
      <c r="I312" s="37">
        <f>if(ISNA(vlookup($A312,'Ultimate Draft Kit'!$B$2:$E$324,4, false)), 0, vlookup($A312,'Ultimate Draft Kit'!$B$2:$E$324, 4, false))</f>
        <v>0</v>
      </c>
      <c r="J312" s="38">
        <f>if(ISNA(vlookup($A312,Rotowire!$B$2:$E$1075,4, false)), 0, vlookup($A312,Rotowire!$B$2:$E$1075, 4, false))</f>
        <v>0</v>
      </c>
      <c r="K312" s="37">
        <f>if(ISNA(vlookup($A312, FantasyPro!$B$2:$E$341,4,false)),0,vlookup($A312,FantasyPro!$B$2:$E$341,4,false))</f>
        <v>0</v>
      </c>
      <c r="L312" s="37">
        <f>if(ISNA(vlookup($A312, FFToolbox!$B$2:$E$414, 4, false)), 0, vlookup($A312, FFToolbox!$B$2:$E$414, 4, false))</f>
        <v>1</v>
      </c>
      <c r="M312" s="39">
        <f t="shared" si="1"/>
        <v>0.1666666667</v>
      </c>
      <c r="N312" s="39">
        <f t="shared" si="2"/>
        <v>1</v>
      </c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</row>
    <row r="313">
      <c r="A313" s="17" t="s">
        <v>473</v>
      </c>
      <c r="B313" s="35" t="s">
        <v>1259</v>
      </c>
      <c r="C313" s="36"/>
      <c r="D313" s="36" t="s">
        <v>41</v>
      </c>
      <c r="E313" s="36" t="s">
        <v>59</v>
      </c>
      <c r="F313" s="36">
        <f>vlookup(D313,'Team Bye List'!$A$1:$B$33,2,False)</f>
        <v>14</v>
      </c>
      <c r="G313" s="37">
        <f>if(ISNA(vlookup($A313, Sleeper!$B$2:$E$330, 4, false)), 0, vlookup($A313, Sleeper!$B$2:$E$330, 4, false))</f>
        <v>0</v>
      </c>
      <c r="H313" s="37">
        <f>if(ISNA(vlookup($A313, ESPN!$B$2:$E$297, 4, false)), 0, vlookup($A313, ESPN!$B$2:$E$297, 4, false))</f>
        <v>0</v>
      </c>
      <c r="I313" s="37">
        <f>if(ISNA(vlookup($A313,'Ultimate Draft Kit'!$B$2:$E$324,4, false)), 0, vlookup($A313,'Ultimate Draft Kit'!$B$2:$E$324, 4, false))</f>
        <v>0</v>
      </c>
      <c r="J313" s="38">
        <f>if(ISNA(vlookup($A313,Rotowire!$B$2:$E$1075,4, false)), 0, vlookup($A313,Rotowire!$B$2:$E$1075, 4, false))</f>
        <v>0</v>
      </c>
      <c r="K313" s="37">
        <f>if(ISNA(vlookup($A313, FantasyPro!$B$2:$E$341,4,false)),0,vlookup($A313,FantasyPro!$B$2:$E$341,4,false))</f>
        <v>0</v>
      </c>
      <c r="L313" s="37">
        <f>if(ISNA(vlookup($A313, FFToolbox!$B$2:$E$414, 4, false)), 0, vlookup($A313, FFToolbox!$B$2:$E$414, 4, false))</f>
        <v>0</v>
      </c>
      <c r="M313" s="39">
        <f t="shared" si="1"/>
        <v>0</v>
      </c>
      <c r="N313" s="39">
        <f t="shared" si="2"/>
        <v>0</v>
      </c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</row>
    <row r="314">
      <c r="A314" s="17" t="s">
        <v>269</v>
      </c>
      <c r="B314" s="35" t="s">
        <v>1259</v>
      </c>
      <c r="C314" s="35">
        <v>8.0</v>
      </c>
      <c r="D314" s="36" t="s">
        <v>119</v>
      </c>
      <c r="E314" s="36" t="s">
        <v>13</v>
      </c>
      <c r="F314" s="36">
        <f>vlookup(D314,'Team Bye List'!$A$1:$B$33,2,False)</f>
        <v>10</v>
      </c>
      <c r="G314" s="37">
        <f>if(ISNA(vlookup($A314, Sleeper!$B$2:$E$330, 4, false)), 0, vlookup($A314, Sleeper!$B$2:$E$330, 4, false))</f>
        <v>1</v>
      </c>
      <c r="H314" s="37">
        <f>if(ISNA(vlookup($A314, ESPN!$B$2:$E$297, 4, false)), 0, vlookup($A314, ESPN!$B$2:$E$297, 4, false))</f>
        <v>0</v>
      </c>
      <c r="I314" s="37">
        <f>if(ISNA(vlookup($A314,'Ultimate Draft Kit'!$B$2:$E$324,4, false)), 0, vlookup($A314,'Ultimate Draft Kit'!$B$2:$E$324, 4, false))</f>
        <v>1</v>
      </c>
      <c r="J314" s="38">
        <f>if(ISNA(vlookup($A314,Rotowire!$B$2:$E$1075,4, false)), 0, vlookup($A314,Rotowire!$B$2:$E$1075, 4, false))</f>
        <v>0</v>
      </c>
      <c r="K314" s="37">
        <f>if(ISNA(vlookup($A314, FantasyPro!$B$2:$E$341,4,false)),0,vlookup($A314,FantasyPro!$B$2:$E$341,4,false))</f>
        <v>1</v>
      </c>
      <c r="L314" s="37">
        <f>if(ISNA(vlookup($A314, FFToolbox!$B$2:$E$414, 4, false)), 0, vlookup($A314, FFToolbox!$B$2:$E$414, 4, false))</f>
        <v>1</v>
      </c>
      <c r="M314" s="39">
        <f t="shared" si="1"/>
        <v>0.6666666667</v>
      </c>
      <c r="N314" s="39">
        <f t="shared" si="2"/>
        <v>1</v>
      </c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</row>
    <row r="315">
      <c r="A315" s="17" t="s">
        <v>285</v>
      </c>
      <c r="B315" s="35" t="s">
        <v>1259</v>
      </c>
      <c r="C315" s="35">
        <v>9.0</v>
      </c>
      <c r="D315" s="36" t="s">
        <v>81</v>
      </c>
      <c r="E315" s="36" t="s">
        <v>77</v>
      </c>
      <c r="F315" s="36">
        <f>vlookup(D315,'Team Bye List'!$A$1:$B$33,2,False)</f>
        <v>6</v>
      </c>
      <c r="G315" s="37">
        <f>if(ISNA(vlookup($A315, Sleeper!$B$2:$E$330, 4, false)), 0, vlookup($A315, Sleeper!$B$2:$E$330, 4, false))</f>
        <v>1</v>
      </c>
      <c r="H315" s="37">
        <f>if(ISNA(vlookup($A315, ESPN!$B$2:$E$297, 4, false)), 0, vlookup($A315, ESPN!$B$2:$E$297, 4, false))</f>
        <v>0</v>
      </c>
      <c r="I315" s="37">
        <f>if(ISNA(vlookup($A315,'Ultimate Draft Kit'!$B$2:$E$324,4, false)), 0, vlookup($A315,'Ultimate Draft Kit'!$B$2:$E$324, 4, false))</f>
        <v>1</v>
      </c>
      <c r="J315" s="38">
        <f>if(ISNA(vlookup($A315,Rotowire!$B$2:$E$1075,4, false)), 0, vlookup($A315,Rotowire!$B$2:$E$1075, 4, false))</f>
        <v>0</v>
      </c>
      <c r="K315" s="37">
        <f>if(ISNA(vlookup($A315, FantasyPro!$B$2:$E$341,4,false)),0,vlookup($A315,FantasyPro!$B$2:$E$341,4,false))</f>
        <v>0</v>
      </c>
      <c r="L315" s="37">
        <f>if(ISNA(vlookup($A315, FFToolbox!$B$2:$E$414, 4, false)), 0, vlookup($A315, FFToolbox!$B$2:$E$414, 4, false))</f>
        <v>1</v>
      </c>
      <c r="M315" s="39">
        <f t="shared" si="1"/>
        <v>0.5</v>
      </c>
      <c r="N315" s="39">
        <f t="shared" si="2"/>
        <v>1</v>
      </c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</row>
    <row r="316">
      <c r="A316" s="17" t="s">
        <v>721</v>
      </c>
      <c r="B316" s="35" t="s">
        <v>1259</v>
      </c>
      <c r="C316" s="35">
        <v>8.0</v>
      </c>
      <c r="D316" s="36" t="s">
        <v>85</v>
      </c>
      <c r="E316" s="36" t="s">
        <v>59</v>
      </c>
      <c r="F316" s="36">
        <f>vlookup(D316,'Team Bye List'!$A$1:$B$33,2,False)</f>
        <v>9</v>
      </c>
      <c r="G316" s="37">
        <f>if(ISNA(vlookup($A316, Sleeper!$B$2:$E$330, 4, false)), 0, vlookup($A316, Sleeper!$B$2:$E$330, 4, false))</f>
        <v>1</v>
      </c>
      <c r="H316" s="37">
        <f>if(ISNA(vlookup($A316, ESPN!$B$2:$E$297, 4, false)), 0, vlookup($A316, ESPN!$B$2:$E$297, 4, false))</f>
        <v>0</v>
      </c>
      <c r="I316" s="37">
        <f>if(ISNA(vlookup($A316,'Ultimate Draft Kit'!$B$2:$E$324,4, false)), 0, vlookup($A316,'Ultimate Draft Kit'!$B$2:$E$324, 4, false))</f>
        <v>1</v>
      </c>
      <c r="J316" s="38">
        <f>if(ISNA(vlookup($A316,Rotowire!$B$2:$E$1075,4, false)), 0, vlookup($A316,Rotowire!$B$2:$E$1075, 4, false))</f>
        <v>0</v>
      </c>
      <c r="K316" s="37">
        <f>if(ISNA(vlookup($A316, FantasyPro!$B$2:$E$341,4,false)),0,vlookup($A316,FantasyPro!$B$2:$E$341,4,false))</f>
        <v>0</v>
      </c>
      <c r="L316" s="37">
        <f>if(ISNA(vlookup($A316, FFToolbox!$B$2:$E$414, 4, false)), 0, vlookup($A316, FFToolbox!$B$2:$E$414, 4, false))</f>
        <v>1</v>
      </c>
      <c r="M316" s="39">
        <f t="shared" si="1"/>
        <v>0.5</v>
      </c>
      <c r="N316" s="39">
        <f t="shared" si="2"/>
        <v>1</v>
      </c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</row>
    <row r="317">
      <c r="A317" s="17" t="s">
        <v>710</v>
      </c>
      <c r="B317" s="35" t="s">
        <v>1259</v>
      </c>
      <c r="C317" s="36"/>
      <c r="D317" s="36" t="s">
        <v>73</v>
      </c>
      <c r="E317" s="36" t="s">
        <v>59</v>
      </c>
      <c r="F317" s="36">
        <f>vlookup(D317,'Team Bye List'!$A$1:$B$33,2,False)</f>
        <v>14</v>
      </c>
      <c r="G317" s="37">
        <f>if(ISNA(vlookup($A317, Sleeper!$B$2:$E$330, 4, false)), 0, vlookup($A317, Sleeper!$B$2:$E$330, 4, false))</f>
        <v>0</v>
      </c>
      <c r="H317" s="37">
        <f>if(ISNA(vlookup($A317, ESPN!$B$2:$E$297, 4, false)), 0, vlookup($A317, ESPN!$B$2:$E$297, 4, false))</f>
        <v>0</v>
      </c>
      <c r="I317" s="37">
        <f>if(ISNA(vlookup($A317,'Ultimate Draft Kit'!$B$2:$E$324,4, false)), 0, vlookup($A317,'Ultimate Draft Kit'!$B$2:$E$324, 4, false))</f>
        <v>0</v>
      </c>
      <c r="J317" s="38">
        <f>if(ISNA(vlookup($A317,Rotowire!$B$2:$E$1075,4, false)), 0, vlookup($A317,Rotowire!$B$2:$E$1075, 4, false))</f>
        <v>0</v>
      </c>
      <c r="K317" s="37">
        <f>if(ISNA(vlookup($A317, FantasyPro!$B$2:$E$341,4,false)),0,vlookup($A317,FantasyPro!$B$2:$E$341,4,false))</f>
        <v>0</v>
      </c>
      <c r="L317" s="37">
        <f>if(ISNA(vlookup($A317, FFToolbox!$B$2:$E$414, 4, false)), 0, vlookup($A317, FFToolbox!$B$2:$E$414, 4, false))</f>
        <v>0</v>
      </c>
      <c r="M317" s="39">
        <f t="shared" si="1"/>
        <v>0</v>
      </c>
      <c r="N317" s="39">
        <f t="shared" si="2"/>
        <v>0</v>
      </c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</row>
    <row r="318">
      <c r="A318" s="17" t="s">
        <v>541</v>
      </c>
      <c r="B318" s="35" t="s">
        <v>1259</v>
      </c>
      <c r="C318" s="35">
        <v>10.0</v>
      </c>
      <c r="D318" s="36" t="s">
        <v>89</v>
      </c>
      <c r="E318" s="36" t="s">
        <v>13</v>
      </c>
      <c r="F318" s="36">
        <f>vlookup(D318,'Team Bye List'!$A$1:$B$33,2,False)</f>
        <v>14</v>
      </c>
      <c r="G318" s="37">
        <f>if(ISNA(vlookup($A318, Sleeper!$B$2:$E$330, 4, false)), 0, vlookup($A318, Sleeper!$B$2:$E$330, 4, false))</f>
        <v>1</v>
      </c>
      <c r="H318" s="37">
        <f>if(ISNA(vlookup($A318, ESPN!$B$2:$E$297, 4, false)), 0, vlookup($A318, ESPN!$B$2:$E$297, 4, false))</f>
        <v>0</v>
      </c>
      <c r="I318" s="37">
        <f>if(ISNA(vlookup($A318,'Ultimate Draft Kit'!$B$2:$E$324,4, false)), 0, vlookup($A318,'Ultimate Draft Kit'!$B$2:$E$324, 4, false))</f>
        <v>1</v>
      </c>
      <c r="J318" s="38">
        <f>if(ISNA(vlookup($A318,Rotowire!$B$2:$E$1075,4, false)), 0, vlookup($A318,Rotowire!$B$2:$E$1075, 4, false))</f>
        <v>0</v>
      </c>
      <c r="K318" s="37">
        <f>if(ISNA(vlookup($A318, FantasyPro!$B$2:$E$341,4,false)),0,vlookup($A318,FantasyPro!$B$2:$E$341,4,false))</f>
        <v>0</v>
      </c>
      <c r="L318" s="37">
        <f>if(ISNA(vlookup($A318, FFToolbox!$B$2:$E$414, 4, false)), 0, vlookup($A318, FFToolbox!$B$2:$E$414, 4, false))</f>
        <v>1</v>
      </c>
      <c r="M318" s="39">
        <f t="shared" si="1"/>
        <v>0.5</v>
      </c>
      <c r="N318" s="39">
        <f t="shared" si="2"/>
        <v>1</v>
      </c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</row>
    <row r="319">
      <c r="A319" s="17" t="s">
        <v>715</v>
      </c>
      <c r="B319" s="35" t="s">
        <v>1259</v>
      </c>
      <c r="C319" s="36"/>
      <c r="D319" s="36" t="s">
        <v>81</v>
      </c>
      <c r="E319" s="36" t="s">
        <v>59</v>
      </c>
      <c r="F319" s="36">
        <f>vlookup(D319,'Team Bye List'!$A$1:$B$33,2,False)</f>
        <v>6</v>
      </c>
      <c r="G319" s="37">
        <f>if(ISNA(vlookup($A319, Sleeper!$B$2:$E$330, 4, false)), 0, vlookup($A319, Sleeper!$B$2:$E$330, 4, false))</f>
        <v>0</v>
      </c>
      <c r="H319" s="37">
        <f>if(ISNA(vlookup($A319, ESPN!$B$2:$E$297, 4, false)), 0, vlookup($A319, ESPN!$B$2:$E$297, 4, false))</f>
        <v>0</v>
      </c>
      <c r="I319" s="37">
        <f>if(ISNA(vlookup($A319,'Ultimate Draft Kit'!$B$2:$E$324,4, false)), 0, vlookup($A319,'Ultimate Draft Kit'!$B$2:$E$324, 4, false))</f>
        <v>0</v>
      </c>
      <c r="J319" s="38">
        <f>if(ISNA(vlookup($A319,Rotowire!$B$2:$E$1075,4, false)), 0, vlookup($A319,Rotowire!$B$2:$E$1075, 4, false))</f>
        <v>0</v>
      </c>
      <c r="K319" s="37">
        <f>if(ISNA(vlookup($A319, FantasyPro!$B$2:$E$341,4,false)),0,vlookup($A319,FantasyPro!$B$2:$E$341,4,false))</f>
        <v>0</v>
      </c>
      <c r="L319" s="37">
        <f>if(ISNA(vlookup($A319, FFToolbox!$B$2:$E$414, 4, false)), 0, vlookup($A319, FFToolbox!$B$2:$E$414, 4, false))</f>
        <v>1</v>
      </c>
      <c r="M319" s="39">
        <f t="shared" si="1"/>
        <v>0.1666666667</v>
      </c>
      <c r="N319" s="39">
        <f t="shared" si="2"/>
        <v>1</v>
      </c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</row>
    <row r="320">
      <c r="A320" s="17" t="s">
        <v>539</v>
      </c>
      <c r="B320" s="35" t="s">
        <v>1259</v>
      </c>
      <c r="C320" s="35" t="s">
        <v>1260</v>
      </c>
      <c r="D320" s="36" t="s">
        <v>69</v>
      </c>
      <c r="E320" s="36" t="s">
        <v>13</v>
      </c>
      <c r="F320" s="36">
        <f>vlookup(D320,'Team Bye List'!$A$1:$B$33,2,False)</f>
        <v>10</v>
      </c>
      <c r="G320" s="37">
        <f>if(ISNA(vlookup($A320, Sleeper!$B$2:$E$330, 4, false)), 0, vlookup($A320, Sleeper!$B$2:$E$330, 4, false))</f>
        <v>0</v>
      </c>
      <c r="H320" s="37">
        <f>if(ISNA(vlookup($A320, ESPN!$B$2:$E$297, 4, false)), 0, vlookup($A320, ESPN!$B$2:$E$297, 4, false))</f>
        <v>0</v>
      </c>
      <c r="I320" s="37">
        <f>if(ISNA(vlookup($A320,'Ultimate Draft Kit'!$B$2:$E$324,4, false)), 0, vlookup($A320,'Ultimate Draft Kit'!$B$2:$E$324, 4, false))</f>
        <v>0</v>
      </c>
      <c r="J320" s="38">
        <f>if(ISNA(vlookup($A320,Rotowire!$B$2:$E$1075,4, false)), 0, vlookup($A320,Rotowire!$B$2:$E$1075, 4, false))</f>
        <v>0</v>
      </c>
      <c r="K320" s="37">
        <f>if(ISNA(vlookup($A320, FantasyPro!$B$2:$E$341,4,false)),0,vlookup($A320,FantasyPro!$B$2:$E$341,4,false))</f>
        <v>0</v>
      </c>
      <c r="L320" s="37">
        <f>if(ISNA(vlookup($A320, FFToolbox!$B$2:$E$414, 4, false)), 0, vlookup($A320, FFToolbox!$B$2:$E$414, 4, false))</f>
        <v>1</v>
      </c>
      <c r="M320" s="39">
        <f t="shared" si="1"/>
        <v>0.1666666667</v>
      </c>
      <c r="N320" s="39">
        <f t="shared" si="2"/>
        <v>1</v>
      </c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</row>
    <row r="321">
      <c r="A321" s="17" t="s">
        <v>543</v>
      </c>
      <c r="B321" s="35" t="s">
        <v>1259</v>
      </c>
      <c r="C321" s="35">
        <v>10.0</v>
      </c>
      <c r="D321" s="36" t="s">
        <v>47</v>
      </c>
      <c r="E321" s="36" t="s">
        <v>13</v>
      </c>
      <c r="F321" s="36">
        <f>vlookup(D321,'Team Bye List'!$A$1:$B$33,2,False)</f>
        <v>14</v>
      </c>
      <c r="G321" s="37">
        <f>if(ISNA(vlookup($A321, Sleeper!$B$2:$E$330, 4, false)), 0, vlookup($A321, Sleeper!$B$2:$E$330, 4, false))</f>
        <v>1</v>
      </c>
      <c r="H321" s="37">
        <f>if(ISNA(vlookup($A321, ESPN!$B$2:$E$297, 4, false)), 0, vlookup($A321, ESPN!$B$2:$E$297, 4, false))</f>
        <v>0</v>
      </c>
      <c r="I321" s="37">
        <f>if(ISNA(vlookup($A321,'Ultimate Draft Kit'!$B$2:$E$324,4, false)), 0, vlookup($A321,'Ultimate Draft Kit'!$B$2:$E$324, 4, false))</f>
        <v>1</v>
      </c>
      <c r="J321" s="38">
        <f>if(ISNA(vlookup($A321,Rotowire!$B$2:$E$1075,4, false)), 0, vlookup($A321,Rotowire!$B$2:$E$1075, 4, false))</f>
        <v>0</v>
      </c>
      <c r="K321" s="37">
        <f>if(ISNA(vlookup($A321, FantasyPro!$B$2:$E$341,4,false)),0,vlookup($A321,FantasyPro!$B$2:$E$341,4,false))</f>
        <v>0</v>
      </c>
      <c r="L321" s="37">
        <f>if(ISNA(vlookup($A321, FFToolbox!$B$2:$E$414, 4, false)), 0, vlookup($A321, FFToolbox!$B$2:$E$414, 4, false))</f>
        <v>1</v>
      </c>
      <c r="M321" s="39">
        <f t="shared" si="1"/>
        <v>0.5</v>
      </c>
      <c r="N321" s="39">
        <f t="shared" si="2"/>
        <v>1</v>
      </c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</row>
    <row r="322">
      <c r="A322" s="17" t="s">
        <v>723</v>
      </c>
      <c r="B322" s="35" t="s">
        <v>1259</v>
      </c>
      <c r="C322" s="36"/>
      <c r="D322" s="36" t="s">
        <v>10</v>
      </c>
      <c r="E322" s="36" t="s">
        <v>59</v>
      </c>
      <c r="F322" s="36">
        <f>vlookup(D322,'Team Bye List'!$A$1:$B$33,2,False)</f>
        <v>13</v>
      </c>
      <c r="G322" s="37">
        <f>if(ISNA(vlookup($A322, Sleeper!$B$2:$E$330, 4, false)), 0, vlookup($A322, Sleeper!$B$2:$E$330, 4, false))</f>
        <v>0</v>
      </c>
      <c r="H322" s="37">
        <f>if(ISNA(vlookup($A322, ESPN!$B$2:$E$297, 4, false)), 0, vlookup($A322, ESPN!$B$2:$E$297, 4, false))</f>
        <v>0</v>
      </c>
      <c r="I322" s="37">
        <f>if(ISNA(vlookup($A322,'Ultimate Draft Kit'!$B$2:$E$324,4, false)), 0, vlookup($A322,'Ultimate Draft Kit'!$B$2:$E$324, 4, false))</f>
        <v>0</v>
      </c>
      <c r="J322" s="38">
        <f>if(ISNA(vlookup($A322,Rotowire!$B$2:$E$1075,4, false)), 0, vlookup($A322,Rotowire!$B$2:$E$1075, 4, false))</f>
        <v>0</v>
      </c>
      <c r="K322" s="37">
        <f>if(ISNA(vlookup($A322, FantasyPro!$B$2:$E$341,4,false)),0,vlookup($A322,FantasyPro!$B$2:$E$341,4,false))</f>
        <v>0</v>
      </c>
      <c r="L322" s="37">
        <f>if(ISNA(vlookup($A322, FFToolbox!$B$2:$E$414, 4, false)), 0, vlookup($A322, FFToolbox!$B$2:$E$414, 4, false))</f>
        <v>0</v>
      </c>
      <c r="M322" s="39">
        <f t="shared" si="1"/>
        <v>0</v>
      </c>
      <c r="N322" s="39">
        <f t="shared" si="2"/>
        <v>0</v>
      </c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</row>
    <row r="323">
      <c r="A323" s="17" t="s">
        <v>720</v>
      </c>
      <c r="B323" s="35" t="s">
        <v>1259</v>
      </c>
      <c r="C323" s="36"/>
      <c r="D323" s="36" t="s">
        <v>53</v>
      </c>
      <c r="E323" s="36" t="s">
        <v>59</v>
      </c>
      <c r="F323" s="36">
        <f>vlookup(D323,'Team Bye List'!$A$1:$B$33,2,False)</f>
        <v>9</v>
      </c>
      <c r="G323" s="37">
        <f>if(ISNA(vlookup($A323, Sleeper!$B$2:$E$330, 4, false)), 0, vlookup($A323, Sleeper!$B$2:$E$330, 4, false))</f>
        <v>0</v>
      </c>
      <c r="H323" s="37">
        <f>if(ISNA(vlookup($A323, ESPN!$B$2:$E$297, 4, false)), 0, vlookup($A323, ESPN!$B$2:$E$297, 4, false))</f>
        <v>0</v>
      </c>
      <c r="I323" s="37">
        <f>if(ISNA(vlookup($A323,'Ultimate Draft Kit'!$B$2:$E$324,4, false)), 0, vlookup($A323,'Ultimate Draft Kit'!$B$2:$E$324, 4, false))</f>
        <v>0</v>
      </c>
      <c r="J323" s="38">
        <f>if(ISNA(vlookup($A323,Rotowire!$B$2:$E$1075,4, false)), 0, vlookup($A323,Rotowire!$B$2:$E$1075, 4, false))</f>
        <v>0</v>
      </c>
      <c r="K323" s="37">
        <f>if(ISNA(vlookup($A323, FantasyPro!$B$2:$E$341,4,false)),0,vlookup($A323,FantasyPro!$B$2:$E$341,4,false))</f>
        <v>0</v>
      </c>
      <c r="L323" s="37">
        <f>if(ISNA(vlookup($A323, FFToolbox!$B$2:$E$414, 4, false)), 0, vlookup($A323, FFToolbox!$B$2:$E$414, 4, false))</f>
        <v>0</v>
      </c>
      <c r="M323" s="39">
        <f t="shared" si="1"/>
        <v>0</v>
      </c>
      <c r="N323" s="39">
        <f t="shared" si="2"/>
        <v>0</v>
      </c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</row>
    <row r="324">
      <c r="A324" s="17" t="s">
        <v>272</v>
      </c>
      <c r="B324" s="35" t="s">
        <v>1259</v>
      </c>
      <c r="C324" s="35">
        <v>10.0</v>
      </c>
      <c r="D324" s="36" t="s">
        <v>7</v>
      </c>
      <c r="E324" s="36" t="s">
        <v>13</v>
      </c>
      <c r="F324" s="36">
        <f>vlookup(D324,'Team Bye List'!$A$1:$B$33,2,False)</f>
        <v>14</v>
      </c>
      <c r="G324" s="37">
        <f>if(ISNA(vlookup($A324, Sleeper!$B$2:$E$330, 4, false)), 0, vlookup($A324, Sleeper!$B$2:$E$330, 4, false))</f>
        <v>1</v>
      </c>
      <c r="H324" s="37">
        <f>if(ISNA(vlookup($A324, ESPN!$B$2:$E$297, 4, false)), 0, vlookup($A324, ESPN!$B$2:$E$297, 4, false))</f>
        <v>0</v>
      </c>
      <c r="I324" s="37">
        <f>if(ISNA(vlookup($A324,'Ultimate Draft Kit'!$B$2:$E$324,4, false)), 0, vlookup($A324,'Ultimate Draft Kit'!$B$2:$E$324, 4, false))</f>
        <v>1</v>
      </c>
      <c r="J324" s="38">
        <f>if(ISNA(vlookup($A324,Rotowire!$B$2:$E$1075,4, false)), 0, vlookup($A324,Rotowire!$B$2:$E$1075, 4, false))</f>
        <v>0</v>
      </c>
      <c r="K324" s="37">
        <f>if(ISNA(vlookup($A324, FantasyPro!$B$2:$E$341,4,false)),0,vlookup($A324,FantasyPro!$B$2:$E$341,4,false))</f>
        <v>0</v>
      </c>
      <c r="L324" s="37">
        <f>if(ISNA(vlookup($A324, FFToolbox!$B$2:$E$414, 4, false)), 0, vlookup($A324, FFToolbox!$B$2:$E$414, 4, false))</f>
        <v>1</v>
      </c>
      <c r="M324" s="39">
        <f t="shared" si="1"/>
        <v>0.5</v>
      </c>
      <c r="N324" s="39">
        <f t="shared" si="2"/>
        <v>1</v>
      </c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</row>
    <row r="325">
      <c r="A325" s="17" t="s">
        <v>701</v>
      </c>
      <c r="B325" s="35" t="s">
        <v>1259</v>
      </c>
      <c r="C325" s="36"/>
      <c r="D325" s="36" t="s">
        <v>69</v>
      </c>
      <c r="E325" s="36" t="s">
        <v>59</v>
      </c>
      <c r="F325" s="36">
        <f>vlookup(D325,'Team Bye List'!$A$1:$B$33,2,False)</f>
        <v>10</v>
      </c>
      <c r="G325" s="37">
        <f>if(ISNA(vlookup($A325, Sleeper!$B$2:$E$330, 4, false)), 0, vlookup($A325, Sleeper!$B$2:$E$330, 4, false))</f>
        <v>0</v>
      </c>
      <c r="H325" s="37">
        <f>if(ISNA(vlookup($A325, ESPN!$B$2:$E$297, 4, false)), 0, vlookup($A325, ESPN!$B$2:$E$297, 4, false))</f>
        <v>0</v>
      </c>
      <c r="I325" s="37">
        <f>if(ISNA(vlookup($A325,'Ultimate Draft Kit'!$B$2:$E$324,4, false)), 0, vlookup($A325,'Ultimate Draft Kit'!$B$2:$E$324, 4, false))</f>
        <v>0</v>
      </c>
      <c r="J325" s="38">
        <f>if(ISNA(vlookup($A325,Rotowire!$B$2:$E$1075,4, false)), 0, vlookup($A325,Rotowire!$B$2:$E$1075, 4, false))</f>
        <v>0</v>
      </c>
      <c r="K325" s="37">
        <f>if(ISNA(vlookup($A325, FantasyPro!$B$2:$E$341,4,false)),0,vlookup($A325,FantasyPro!$B$2:$E$341,4,false))</f>
        <v>0</v>
      </c>
      <c r="L325" s="37">
        <f>if(ISNA(vlookup($A325, FFToolbox!$B$2:$E$414, 4, false)), 0, vlookup($A325, FFToolbox!$B$2:$E$414, 4, false))</f>
        <v>1</v>
      </c>
      <c r="M325" s="39">
        <f t="shared" si="1"/>
        <v>0.1666666667</v>
      </c>
      <c r="N325" s="39">
        <f t="shared" si="2"/>
        <v>1</v>
      </c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</row>
    <row r="326">
      <c r="A326" s="17" t="s">
        <v>709</v>
      </c>
      <c r="B326" s="35" t="s">
        <v>1259</v>
      </c>
      <c r="C326" s="35">
        <v>8.0</v>
      </c>
      <c r="D326" s="36" t="s">
        <v>7</v>
      </c>
      <c r="E326" s="36" t="s">
        <v>59</v>
      </c>
      <c r="F326" s="36">
        <f>vlookup(D326,'Team Bye List'!$A$1:$B$33,2,False)</f>
        <v>14</v>
      </c>
      <c r="G326" s="37">
        <f>if(ISNA(vlookup($A326, Sleeper!$B$2:$E$330, 4, false)), 0, vlookup($A326, Sleeper!$B$2:$E$330, 4, false))</f>
        <v>1</v>
      </c>
      <c r="H326" s="37">
        <f>if(ISNA(vlookup($A326, ESPN!$B$2:$E$297, 4, false)), 0, vlookup($A326, ESPN!$B$2:$E$297, 4, false))</f>
        <v>0</v>
      </c>
      <c r="I326" s="37">
        <f>if(ISNA(vlookup($A326,'Ultimate Draft Kit'!$B$2:$E$324,4, false)), 0, vlookup($A326,'Ultimate Draft Kit'!$B$2:$E$324, 4, false))</f>
        <v>1</v>
      </c>
      <c r="J326" s="38">
        <f>if(ISNA(vlookup($A326,Rotowire!$B$2:$E$1075,4, false)), 0, vlookup($A326,Rotowire!$B$2:$E$1075, 4, false))</f>
        <v>0</v>
      </c>
      <c r="K326" s="37">
        <f>if(ISNA(vlookup($A326, FantasyPro!$B$2:$E$341,4,false)),0,vlookup($A326,FantasyPro!$B$2:$E$341,4,false))</f>
        <v>0</v>
      </c>
      <c r="L326" s="37">
        <f>if(ISNA(vlookup($A326, FFToolbox!$B$2:$E$414, 4, false)), 0, vlookup($A326, FFToolbox!$B$2:$E$414, 4, false))</f>
        <v>1</v>
      </c>
      <c r="M326" s="39">
        <f t="shared" si="1"/>
        <v>0.5</v>
      </c>
      <c r="N326" s="39">
        <f t="shared" si="2"/>
        <v>1</v>
      </c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</row>
    <row r="327">
      <c r="A327" s="17" t="s">
        <v>535</v>
      </c>
      <c r="B327" s="35" t="s">
        <v>1259</v>
      </c>
      <c r="C327" s="35">
        <v>10.0</v>
      </c>
      <c r="D327" s="36" t="s">
        <v>10</v>
      </c>
      <c r="E327" s="36" t="s">
        <v>13</v>
      </c>
      <c r="F327" s="36">
        <f>vlookup(D327,'Team Bye List'!$A$1:$B$33,2,False)</f>
        <v>13</v>
      </c>
      <c r="G327" s="37">
        <f>if(ISNA(vlookup($A327, Sleeper!$B$2:$E$330, 4, false)), 0, vlookup($A327, Sleeper!$B$2:$E$330, 4, false))</f>
        <v>1</v>
      </c>
      <c r="H327" s="37">
        <f>if(ISNA(vlookup($A327, ESPN!$B$2:$E$297, 4, false)), 0, vlookup($A327, ESPN!$B$2:$E$297, 4, false))</f>
        <v>0</v>
      </c>
      <c r="I327" s="37">
        <f>if(ISNA(vlookup($A327,'Ultimate Draft Kit'!$B$2:$E$324,4, false)), 0, vlookup($A327,'Ultimate Draft Kit'!$B$2:$E$324, 4, false))</f>
        <v>1</v>
      </c>
      <c r="J327" s="38">
        <f>if(ISNA(vlookup($A327,Rotowire!$B$2:$E$1075,4, false)), 0, vlookup($A327,Rotowire!$B$2:$E$1075, 4, false))</f>
        <v>0</v>
      </c>
      <c r="K327" s="37">
        <f>if(ISNA(vlookup($A327, FantasyPro!$B$2:$E$341,4,false)),0,vlookup($A327,FantasyPro!$B$2:$E$341,4,false))</f>
        <v>0</v>
      </c>
      <c r="L327" s="37">
        <f>if(ISNA(vlookup($A327, FFToolbox!$B$2:$E$414, 4, false)), 0, vlookup($A327, FFToolbox!$B$2:$E$414, 4, false))</f>
        <v>0</v>
      </c>
      <c r="M327" s="39">
        <f t="shared" si="1"/>
        <v>0.3333333333</v>
      </c>
      <c r="N327" s="39">
        <f t="shared" si="2"/>
        <v>1</v>
      </c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</row>
    <row r="328">
      <c r="A328" s="17" t="s">
        <v>698</v>
      </c>
      <c r="B328" s="35" t="s">
        <v>1259</v>
      </c>
      <c r="C328" s="35">
        <v>8.0</v>
      </c>
      <c r="D328" s="36" t="s">
        <v>45</v>
      </c>
      <c r="E328" s="36" t="s">
        <v>59</v>
      </c>
      <c r="F328" s="36">
        <f>vlookup(D328,'Team Bye List'!$A$1:$B$33,2,False)</f>
        <v>13</v>
      </c>
      <c r="G328" s="37">
        <f>if(ISNA(vlookup($A328, Sleeper!$B$2:$E$330, 4, false)), 0, vlookup($A328, Sleeper!$B$2:$E$330, 4, false))</f>
        <v>1</v>
      </c>
      <c r="H328" s="37">
        <f>if(ISNA(vlookup($A328, ESPN!$B$2:$E$297, 4, false)), 0, vlookup($A328, ESPN!$B$2:$E$297, 4, false))</f>
        <v>0</v>
      </c>
      <c r="I328" s="37">
        <f>if(ISNA(vlookup($A328,'Ultimate Draft Kit'!$B$2:$E$324,4, false)), 0, vlookup($A328,'Ultimate Draft Kit'!$B$2:$E$324, 4, false))</f>
        <v>1</v>
      </c>
      <c r="J328" s="38">
        <f>if(ISNA(vlookup($A328,Rotowire!$B$2:$E$1075,4, false)), 0, vlookup($A328,Rotowire!$B$2:$E$1075, 4, false))</f>
        <v>0</v>
      </c>
      <c r="K328" s="37">
        <f>if(ISNA(vlookup($A328, FantasyPro!$B$2:$E$341,4,false)),0,vlookup($A328,FantasyPro!$B$2:$E$341,4,false))</f>
        <v>0</v>
      </c>
      <c r="L328" s="37">
        <f>if(ISNA(vlookup($A328, FFToolbox!$B$2:$E$414, 4, false)), 0, vlookup($A328, FFToolbox!$B$2:$E$414, 4, false))</f>
        <v>1</v>
      </c>
      <c r="M328" s="39">
        <f t="shared" si="1"/>
        <v>0.5</v>
      </c>
      <c r="N328" s="39">
        <f t="shared" si="2"/>
        <v>1</v>
      </c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</row>
    <row r="329">
      <c r="A329" s="17" t="s">
        <v>570</v>
      </c>
      <c r="B329" s="35" t="s">
        <v>1259</v>
      </c>
      <c r="C329" s="35">
        <v>10.0</v>
      </c>
      <c r="D329" s="36" t="s">
        <v>66</v>
      </c>
      <c r="E329" s="36" t="s">
        <v>13</v>
      </c>
      <c r="F329" s="36">
        <f>vlookup(D329,'Team Bye List'!$A$1:$B$33,2,False)</f>
        <v>9</v>
      </c>
      <c r="G329" s="37">
        <f>if(ISNA(vlookup($A329, Sleeper!$B$2:$E$330, 4, false)), 0, vlookup($A329, Sleeper!$B$2:$E$330, 4, false))</f>
        <v>1</v>
      </c>
      <c r="H329" s="37">
        <f>if(ISNA(vlookup($A329, ESPN!$B$2:$E$297, 4, false)), 0, vlookup($A329, ESPN!$B$2:$E$297, 4, false))</f>
        <v>0</v>
      </c>
      <c r="I329" s="37">
        <f>if(ISNA(vlookup($A329,'Ultimate Draft Kit'!$B$2:$E$324,4, false)), 0, vlookup($A329,'Ultimate Draft Kit'!$B$2:$E$324, 4, false))</f>
        <v>1</v>
      </c>
      <c r="J329" s="38">
        <f>if(ISNA(vlookup($A329,Rotowire!$B$2:$E$1075,4, false)), 0, vlookup($A329,Rotowire!$B$2:$E$1075, 4, false))</f>
        <v>0</v>
      </c>
      <c r="K329" s="37">
        <f>if(ISNA(vlookup($A329, FantasyPro!$B$2:$E$341,4,false)),0,vlookup($A329,FantasyPro!$B$2:$E$341,4,false))</f>
        <v>0</v>
      </c>
      <c r="L329" s="37">
        <f>if(ISNA(vlookup($A329, FFToolbox!$B$2:$E$414, 4, false)), 0, vlookup($A329, FFToolbox!$B$2:$E$414, 4, false))</f>
        <v>1</v>
      </c>
      <c r="M329" s="39">
        <f t="shared" si="1"/>
        <v>0.5</v>
      </c>
      <c r="N329" s="39">
        <f t="shared" si="2"/>
        <v>1</v>
      </c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</row>
    <row r="330">
      <c r="A330" s="17" t="s">
        <v>537</v>
      </c>
      <c r="B330" s="35" t="s">
        <v>1259</v>
      </c>
      <c r="C330" s="35">
        <v>10.0</v>
      </c>
      <c r="D330" s="36" t="s">
        <v>99</v>
      </c>
      <c r="E330" s="36" t="s">
        <v>13</v>
      </c>
      <c r="F330" s="36">
        <f>vlookup(D330,'Team Bye List'!$A$1:$B$33,2,False)</f>
        <v>11</v>
      </c>
      <c r="G330" s="37">
        <f>if(ISNA(vlookup($A330, Sleeper!$B$2:$E$330, 4, false)), 0, vlookup($A330, Sleeper!$B$2:$E$330, 4, false))</f>
        <v>1</v>
      </c>
      <c r="H330" s="37">
        <f>if(ISNA(vlookup($A330, ESPN!$B$2:$E$297, 4, false)), 0, vlookup($A330, ESPN!$B$2:$E$297, 4, false))</f>
        <v>0</v>
      </c>
      <c r="I330" s="37">
        <f>if(ISNA(vlookup($A330,'Ultimate Draft Kit'!$B$2:$E$324,4, false)), 0, vlookup($A330,'Ultimate Draft Kit'!$B$2:$E$324, 4, false))</f>
        <v>1</v>
      </c>
      <c r="J330" s="38">
        <f>if(ISNA(vlookup($A330,Rotowire!$B$2:$E$1075,4, false)), 0, vlookup($A330,Rotowire!$B$2:$E$1075, 4, false))</f>
        <v>0</v>
      </c>
      <c r="K330" s="37">
        <f>if(ISNA(vlookup($A330, FantasyPro!$B$2:$E$341,4,false)),0,vlookup($A330,FantasyPro!$B$2:$E$341,4,false))</f>
        <v>0</v>
      </c>
      <c r="L330" s="37">
        <f>if(ISNA(vlookup($A330, FFToolbox!$B$2:$E$414, 4, false)), 0, vlookup($A330, FFToolbox!$B$2:$E$414, 4, false))</f>
        <v>1</v>
      </c>
      <c r="M330" s="39">
        <f t="shared" si="1"/>
        <v>0.5</v>
      </c>
      <c r="N330" s="39">
        <f t="shared" si="2"/>
        <v>1</v>
      </c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</row>
    <row r="331">
      <c r="A331" s="17" t="s">
        <v>700</v>
      </c>
      <c r="B331" s="35" t="s">
        <v>1259</v>
      </c>
      <c r="C331" s="35">
        <v>8.0</v>
      </c>
      <c r="D331" s="36" t="s">
        <v>43</v>
      </c>
      <c r="E331" s="36" t="s">
        <v>59</v>
      </c>
      <c r="F331" s="36">
        <f>vlookup(D331,'Team Bye List'!$A$1:$B$33,2,False)</f>
        <v>9</v>
      </c>
      <c r="G331" s="37">
        <f>if(ISNA(vlookup($A331, Sleeper!$B$2:$E$330, 4, false)), 0, vlookup($A331, Sleeper!$B$2:$E$330, 4, false))</f>
        <v>1</v>
      </c>
      <c r="H331" s="37">
        <f>if(ISNA(vlookup($A331, ESPN!$B$2:$E$297, 4, false)), 0, vlookup($A331, ESPN!$B$2:$E$297, 4, false))</f>
        <v>0</v>
      </c>
      <c r="I331" s="37">
        <f>if(ISNA(vlookup($A331,'Ultimate Draft Kit'!$B$2:$E$324,4, false)), 0, vlookup($A331,'Ultimate Draft Kit'!$B$2:$E$324, 4, false))</f>
        <v>1</v>
      </c>
      <c r="J331" s="38">
        <f>if(ISNA(vlookup($A331,Rotowire!$B$2:$E$1075,4, false)), 0, vlookup($A331,Rotowire!$B$2:$E$1075, 4, false))</f>
        <v>0</v>
      </c>
      <c r="K331" s="37">
        <f>if(ISNA(vlookup($A331, FantasyPro!$B$2:$E$341,4,false)),0,vlookup($A331,FantasyPro!$B$2:$E$341,4,false))</f>
        <v>0</v>
      </c>
      <c r="L331" s="37">
        <f>if(ISNA(vlookup($A331, FFToolbox!$B$2:$E$414, 4, false)), 0, vlookup($A331, FFToolbox!$B$2:$E$414, 4, false))</f>
        <v>0</v>
      </c>
      <c r="M331" s="39">
        <f t="shared" si="1"/>
        <v>0.3333333333</v>
      </c>
      <c r="N331" s="39">
        <f t="shared" si="2"/>
        <v>1</v>
      </c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</row>
    <row r="332">
      <c r="A332" s="17" t="s">
        <v>704</v>
      </c>
      <c r="B332" s="35" t="s">
        <v>1259</v>
      </c>
      <c r="C332" s="35">
        <v>8.0</v>
      </c>
      <c r="D332" s="36" t="s">
        <v>53</v>
      </c>
      <c r="E332" s="36" t="s">
        <v>59</v>
      </c>
      <c r="F332" s="36">
        <f>vlookup(D332,'Team Bye List'!$A$1:$B$33,2,False)</f>
        <v>9</v>
      </c>
      <c r="G332" s="37">
        <f>if(ISNA(vlookup($A332, Sleeper!$B$2:$E$330, 4, false)), 0, vlookup($A332, Sleeper!$B$2:$E$330, 4, false))</f>
        <v>1</v>
      </c>
      <c r="H332" s="37">
        <f>if(ISNA(vlookup($A332, ESPN!$B$2:$E$297, 4, false)), 0, vlookup($A332, ESPN!$B$2:$E$297, 4, false))</f>
        <v>0</v>
      </c>
      <c r="I332" s="37">
        <f>if(ISNA(vlookup($A332,'Ultimate Draft Kit'!$B$2:$E$324,4, false)), 0, vlookup($A332,'Ultimate Draft Kit'!$B$2:$E$324, 4, false))</f>
        <v>1</v>
      </c>
      <c r="J332" s="38">
        <f>if(ISNA(vlookup($A332,Rotowire!$B$2:$E$1075,4, false)), 0, vlookup($A332,Rotowire!$B$2:$E$1075, 4, false))</f>
        <v>0</v>
      </c>
      <c r="K332" s="37">
        <f>if(ISNA(vlookup($A332, FantasyPro!$B$2:$E$341,4,false)),0,vlookup($A332,FantasyPro!$B$2:$E$341,4,false))</f>
        <v>0</v>
      </c>
      <c r="L332" s="37">
        <f>if(ISNA(vlookup($A332, FFToolbox!$B$2:$E$414, 4, false)), 0, vlookup($A332, FFToolbox!$B$2:$E$414, 4, false))</f>
        <v>1</v>
      </c>
      <c r="M332" s="39">
        <f t="shared" si="1"/>
        <v>0.5</v>
      </c>
      <c r="N332" s="39">
        <f t="shared" si="2"/>
        <v>1</v>
      </c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</row>
    <row r="333">
      <c r="A333" s="17" t="s">
        <v>705</v>
      </c>
      <c r="B333" s="35" t="s">
        <v>1259</v>
      </c>
      <c r="C333" s="36"/>
      <c r="D333" s="36" t="s">
        <v>89</v>
      </c>
      <c r="E333" s="36" t="s">
        <v>59</v>
      </c>
      <c r="F333" s="36">
        <f>vlookup(D333,'Team Bye List'!$A$1:$B$33,2,False)</f>
        <v>14</v>
      </c>
      <c r="G333" s="37">
        <f>if(ISNA(vlookup($A333, Sleeper!$B$2:$E$330, 4, false)), 0, vlookup($A333, Sleeper!$B$2:$E$330, 4, false))</f>
        <v>0</v>
      </c>
      <c r="H333" s="37">
        <f>if(ISNA(vlookup($A333, ESPN!$B$2:$E$297, 4, false)), 0, vlookup($A333, ESPN!$B$2:$E$297, 4, false))</f>
        <v>0</v>
      </c>
      <c r="I333" s="37">
        <f>if(ISNA(vlookup($A333,'Ultimate Draft Kit'!$B$2:$E$324,4, false)), 0, vlookup($A333,'Ultimate Draft Kit'!$B$2:$E$324, 4, false))</f>
        <v>0</v>
      </c>
      <c r="J333" s="38">
        <f>if(ISNA(vlookup($A333,Rotowire!$B$2:$E$1075,4, false)), 0, vlookup($A333,Rotowire!$B$2:$E$1075, 4, false))</f>
        <v>0</v>
      </c>
      <c r="K333" s="37">
        <f>if(ISNA(vlookup($A333, FantasyPro!$B$2:$E$341,4,false)),0,vlookup($A333,FantasyPro!$B$2:$E$341,4,false))</f>
        <v>0</v>
      </c>
      <c r="L333" s="37">
        <f>if(ISNA(vlookup($A333, FFToolbox!$B$2:$E$414, 4, false)), 0, vlookup($A333, FFToolbox!$B$2:$E$414, 4, false))</f>
        <v>1</v>
      </c>
      <c r="M333" s="39">
        <f t="shared" si="1"/>
        <v>0.1666666667</v>
      </c>
      <c r="N333" s="39">
        <f t="shared" si="2"/>
        <v>1</v>
      </c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</row>
    <row r="334">
      <c r="A334" s="17" t="s">
        <v>744</v>
      </c>
      <c r="B334" s="35" t="s">
        <v>1259</v>
      </c>
      <c r="C334" s="36"/>
      <c r="D334" s="36" t="s">
        <v>62</v>
      </c>
      <c r="E334" s="36" t="s">
        <v>59</v>
      </c>
      <c r="F334" s="36">
        <f>vlookup(D334,'Team Bye List'!$A$1:$B$33,2,False)</f>
        <v>8</v>
      </c>
      <c r="G334" s="37">
        <f>if(ISNA(vlookup($A334, Sleeper!$B$2:$E$330, 4, false)), 0, vlookup($A334, Sleeper!$B$2:$E$330, 4, false))</f>
        <v>0</v>
      </c>
      <c r="H334" s="37">
        <f>if(ISNA(vlookup($A334, ESPN!$B$2:$E$297, 4, false)), 0, vlookup($A334, ESPN!$B$2:$E$297, 4, false))</f>
        <v>0</v>
      </c>
      <c r="I334" s="37">
        <f>if(ISNA(vlookup($A334,'Ultimate Draft Kit'!$B$2:$E$324,4, false)), 0, vlookup($A334,'Ultimate Draft Kit'!$B$2:$E$324, 4, false))</f>
        <v>0</v>
      </c>
      <c r="J334" s="38">
        <f>if(ISNA(vlookup($A334,Rotowire!$B$2:$E$1075,4, false)), 0, vlookup($A334,Rotowire!$B$2:$E$1075, 4, false))</f>
        <v>0</v>
      </c>
      <c r="K334" s="37">
        <f>if(ISNA(vlookup($A334, FantasyPro!$B$2:$E$341,4,false)),0,vlookup($A334,FantasyPro!$B$2:$E$341,4,false))</f>
        <v>0</v>
      </c>
      <c r="L334" s="37">
        <f>if(ISNA(vlookup($A334, FFToolbox!$B$2:$E$414, 4, false)), 0, vlookup($A334, FFToolbox!$B$2:$E$414, 4, false))</f>
        <v>0</v>
      </c>
      <c r="M334" s="39">
        <f t="shared" si="1"/>
        <v>0</v>
      </c>
      <c r="N334" s="39">
        <f t="shared" si="2"/>
        <v>0</v>
      </c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</row>
    <row r="335">
      <c r="A335" s="17" t="s">
        <v>531</v>
      </c>
      <c r="B335" s="35" t="s">
        <v>1259</v>
      </c>
      <c r="C335" s="35">
        <v>9.0</v>
      </c>
      <c r="D335" s="36" t="s">
        <v>66</v>
      </c>
      <c r="E335" s="36" t="s">
        <v>13</v>
      </c>
      <c r="F335" s="36">
        <f>vlookup(D335,'Team Bye List'!$A$1:$B$33,2,False)</f>
        <v>9</v>
      </c>
      <c r="G335" s="37">
        <f>if(ISNA(vlookup($A335, Sleeper!$B$2:$E$330, 4, false)), 0, vlookup($A335, Sleeper!$B$2:$E$330, 4, false))</f>
        <v>1</v>
      </c>
      <c r="H335" s="37">
        <f>if(ISNA(vlookup($A335, ESPN!$B$2:$E$297, 4, false)), 0, vlookup($A335, ESPN!$B$2:$E$297, 4, false))</f>
        <v>0</v>
      </c>
      <c r="I335" s="37">
        <f>if(ISNA(vlookup($A335,'Ultimate Draft Kit'!$B$2:$E$324,4, false)), 0, vlookup($A335,'Ultimate Draft Kit'!$B$2:$E$324, 4, false))</f>
        <v>1</v>
      </c>
      <c r="J335" s="38">
        <f>if(ISNA(vlookup($A335,Rotowire!$B$2:$E$1075,4, false)), 0, vlookup($A335,Rotowire!$B$2:$E$1075, 4, false))</f>
        <v>0</v>
      </c>
      <c r="K335" s="37">
        <f>if(ISNA(vlookup($A335, FantasyPro!$B$2:$E$341,4,false)),0,vlookup($A335,FantasyPro!$B$2:$E$341,4,false))</f>
        <v>0</v>
      </c>
      <c r="L335" s="37">
        <f>if(ISNA(vlookup($A335, FFToolbox!$B$2:$E$414, 4, false)), 0, vlookup($A335, FFToolbox!$B$2:$E$414, 4, false))</f>
        <v>1</v>
      </c>
      <c r="M335" s="39">
        <f t="shared" si="1"/>
        <v>0.5</v>
      </c>
      <c r="N335" s="39">
        <f t="shared" si="2"/>
        <v>1</v>
      </c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</row>
    <row r="336">
      <c r="A336" s="17" t="s">
        <v>270</v>
      </c>
      <c r="B336" s="35" t="s">
        <v>1259</v>
      </c>
      <c r="C336" s="35" t="s">
        <v>1260</v>
      </c>
      <c r="D336" s="36" t="s">
        <v>81</v>
      </c>
      <c r="E336" s="36" t="s">
        <v>13</v>
      </c>
      <c r="F336" s="36">
        <f>vlookup(D336,'Team Bye List'!$A$1:$B$33,2,False)</f>
        <v>6</v>
      </c>
      <c r="G336" s="37">
        <f>if(ISNA(vlookup($A336, Sleeper!$B$2:$E$330, 4, false)), 0, vlookup($A336, Sleeper!$B$2:$E$330, 4, false))</f>
        <v>0</v>
      </c>
      <c r="H336" s="37">
        <f>if(ISNA(vlookup($A336, ESPN!$B$2:$E$297, 4, false)), 0, vlookup($A336, ESPN!$B$2:$E$297, 4, false))</f>
        <v>0</v>
      </c>
      <c r="I336" s="37">
        <f>if(ISNA(vlookup($A336,'Ultimate Draft Kit'!$B$2:$E$324,4, false)), 0, vlookup($A336,'Ultimate Draft Kit'!$B$2:$E$324, 4, false))</f>
        <v>0</v>
      </c>
      <c r="J336" s="38">
        <f>if(ISNA(vlookup($A336,Rotowire!$B$2:$E$1075,4, false)), 0, vlookup($A336,Rotowire!$B$2:$E$1075, 4, false))</f>
        <v>0</v>
      </c>
      <c r="K336" s="37">
        <f>if(ISNA(vlookup($A336, FantasyPro!$B$2:$E$341,4,false)),0,vlookup($A336,FantasyPro!$B$2:$E$341,4,false))</f>
        <v>0</v>
      </c>
      <c r="L336" s="37">
        <f>if(ISNA(vlookup($A336, FFToolbox!$B$2:$E$414, 4, false)), 0, vlookup($A336, FFToolbox!$B$2:$E$414, 4, false))</f>
        <v>1</v>
      </c>
      <c r="M336" s="39">
        <f t="shared" si="1"/>
        <v>0.1666666667</v>
      </c>
      <c r="N336" s="39">
        <f t="shared" si="2"/>
        <v>1</v>
      </c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</row>
    <row r="337">
      <c r="A337" s="17" t="s">
        <v>573</v>
      </c>
      <c r="B337" s="35" t="s">
        <v>1259</v>
      </c>
      <c r="C337" s="35" t="s">
        <v>1260</v>
      </c>
      <c r="D337" s="36" t="s">
        <v>28</v>
      </c>
      <c r="E337" s="36" t="s">
        <v>13</v>
      </c>
      <c r="F337" s="36">
        <f>vlookup(D337,'Team Bye List'!$A$1:$B$33,2,False)</f>
        <v>11</v>
      </c>
      <c r="G337" s="37">
        <f>if(ISNA(vlookup($A337, Sleeper!$B$2:$E$330, 4, false)), 0, vlookup($A337, Sleeper!$B$2:$E$330, 4, false))</f>
        <v>0</v>
      </c>
      <c r="H337" s="37">
        <f>if(ISNA(vlookup($A337, ESPN!$B$2:$E$297, 4, false)), 0, vlookup($A337, ESPN!$B$2:$E$297, 4, false))</f>
        <v>0</v>
      </c>
      <c r="I337" s="37">
        <f>if(ISNA(vlookup($A337,'Ultimate Draft Kit'!$B$2:$E$324,4, false)), 0, vlookup($A337,'Ultimate Draft Kit'!$B$2:$E$324, 4, false))</f>
        <v>0</v>
      </c>
      <c r="J337" s="38">
        <f>if(ISNA(vlookup($A337,Rotowire!$B$2:$E$1075,4, false)), 0, vlookup($A337,Rotowire!$B$2:$E$1075, 4, false))</f>
        <v>0</v>
      </c>
      <c r="K337" s="37">
        <f>if(ISNA(vlookup($A337, FantasyPro!$B$2:$E$341,4,false)),0,vlookup($A337,FantasyPro!$B$2:$E$341,4,false))</f>
        <v>0</v>
      </c>
      <c r="L337" s="37">
        <f>if(ISNA(vlookup($A337, FFToolbox!$B$2:$E$414, 4, false)), 0, vlookup($A337, FFToolbox!$B$2:$E$414, 4, false))</f>
        <v>1</v>
      </c>
      <c r="M337" s="39">
        <f t="shared" si="1"/>
        <v>0.1666666667</v>
      </c>
      <c r="N337" s="39">
        <f t="shared" si="2"/>
        <v>1</v>
      </c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</row>
    <row r="338">
      <c r="A338" s="17" t="s">
        <v>741</v>
      </c>
      <c r="B338" s="35" t="s">
        <v>1259</v>
      </c>
      <c r="C338" s="36"/>
      <c r="D338" s="36" t="s">
        <v>58</v>
      </c>
      <c r="E338" s="36" t="s">
        <v>59</v>
      </c>
      <c r="F338" s="36">
        <f>vlookup(D338,'Team Bye List'!$A$1:$B$33,2,False)</f>
        <v>10</v>
      </c>
      <c r="G338" s="37">
        <f>if(ISNA(vlookup($A338, Sleeper!$B$2:$E$330, 4, false)), 0, vlookup($A338, Sleeper!$B$2:$E$330, 4, false))</f>
        <v>0</v>
      </c>
      <c r="H338" s="37">
        <f>if(ISNA(vlookup($A338, ESPN!$B$2:$E$297, 4, false)), 0, vlookup($A338, ESPN!$B$2:$E$297, 4, false))</f>
        <v>0</v>
      </c>
      <c r="I338" s="37">
        <f>if(ISNA(vlookup($A338,'Ultimate Draft Kit'!$B$2:$E$324,4, false)), 0, vlookup($A338,'Ultimate Draft Kit'!$B$2:$E$324, 4, false))</f>
        <v>0</v>
      </c>
      <c r="J338" s="38">
        <f>if(ISNA(vlookup($A338,Rotowire!$B$2:$E$1075,4, false)), 0, vlookup($A338,Rotowire!$B$2:$E$1075, 4, false))</f>
        <v>0</v>
      </c>
      <c r="K338" s="37">
        <f>if(ISNA(vlookup($A338, FantasyPro!$B$2:$E$341,4,false)),0,vlookup($A338,FantasyPro!$B$2:$E$341,4,false))</f>
        <v>0</v>
      </c>
      <c r="L338" s="37">
        <f>if(ISNA(vlookup($A338, FFToolbox!$B$2:$E$414, 4, false)), 0, vlookup($A338, FFToolbox!$B$2:$E$414, 4, false))</f>
        <v>0</v>
      </c>
      <c r="M338" s="39">
        <f t="shared" si="1"/>
        <v>0</v>
      </c>
      <c r="N338" s="39">
        <f t="shared" si="2"/>
        <v>0</v>
      </c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</row>
    <row r="339">
      <c r="A339" s="17" t="s">
        <v>783</v>
      </c>
      <c r="B339" s="35" t="s">
        <v>1259</v>
      </c>
      <c r="C339" s="36"/>
      <c r="D339" s="36" t="s">
        <v>23</v>
      </c>
      <c r="E339" s="36" t="s">
        <v>59</v>
      </c>
      <c r="F339" s="36">
        <f>vlookup(D339,'Team Bye List'!$A$1:$B$33,2,False)</f>
        <v>9</v>
      </c>
      <c r="G339" s="37">
        <f>if(ISNA(vlookup($A339, Sleeper!$B$2:$E$330, 4, false)), 0, vlookup($A339, Sleeper!$B$2:$E$330, 4, false))</f>
        <v>0</v>
      </c>
      <c r="H339" s="37">
        <f>if(ISNA(vlookup($A339, ESPN!$B$2:$E$297, 4, false)), 0, vlookup($A339, ESPN!$B$2:$E$297, 4, false))</f>
        <v>0</v>
      </c>
      <c r="I339" s="37">
        <f>if(ISNA(vlookup($A339,'Ultimate Draft Kit'!$B$2:$E$324,4, false)), 0, vlookup($A339,'Ultimate Draft Kit'!$B$2:$E$324, 4, false))</f>
        <v>0</v>
      </c>
      <c r="J339" s="38">
        <f>if(ISNA(vlookup($A339,Rotowire!$B$2:$E$1075,4, false)), 0, vlookup($A339,Rotowire!$B$2:$E$1075, 4, false))</f>
        <v>0</v>
      </c>
      <c r="K339" s="37">
        <f>if(ISNA(vlookup($A339, FantasyPro!$B$2:$E$341,4,false)),0,vlookup($A339,FantasyPro!$B$2:$E$341,4,false))</f>
        <v>0</v>
      </c>
      <c r="L339" s="37">
        <f>if(ISNA(vlookup($A339, FFToolbox!$B$2:$E$414, 4, false)), 0, vlookup($A339, FFToolbox!$B$2:$E$414, 4, false))</f>
        <v>0</v>
      </c>
      <c r="M339" s="39">
        <f t="shared" si="1"/>
        <v>0</v>
      </c>
      <c r="N339" s="39">
        <f t="shared" si="2"/>
        <v>0</v>
      </c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</row>
    <row r="340">
      <c r="A340" s="17" t="s">
        <v>763</v>
      </c>
      <c r="B340" s="35" t="s">
        <v>1259</v>
      </c>
      <c r="C340" s="36"/>
      <c r="D340" s="36" t="s">
        <v>64</v>
      </c>
      <c r="E340" s="36" t="s">
        <v>59</v>
      </c>
      <c r="F340" s="36">
        <f>vlookup(D340,'Team Bye List'!$A$1:$B$33,2,False)</f>
        <v>7</v>
      </c>
      <c r="G340" s="37">
        <f>if(ISNA(vlookup($A340, Sleeper!$B$2:$E$330, 4, false)), 0, vlookup($A340, Sleeper!$B$2:$E$330, 4, false))</f>
        <v>0</v>
      </c>
      <c r="H340" s="37">
        <f>if(ISNA(vlookup($A340, ESPN!$B$2:$E$297, 4, false)), 0, vlookup($A340, ESPN!$B$2:$E$297, 4, false))</f>
        <v>0</v>
      </c>
      <c r="I340" s="37">
        <f>if(ISNA(vlookup($A340,'Ultimate Draft Kit'!$B$2:$E$324,4, false)), 0, vlookup($A340,'Ultimate Draft Kit'!$B$2:$E$324, 4, false))</f>
        <v>0</v>
      </c>
      <c r="J340" s="38">
        <f>if(ISNA(vlookup($A340,Rotowire!$B$2:$E$1075,4, false)), 0, vlookup($A340,Rotowire!$B$2:$E$1075, 4, false))</f>
        <v>0</v>
      </c>
      <c r="K340" s="37">
        <f>if(ISNA(vlookup($A340, FantasyPro!$B$2:$E$341,4,false)),0,vlookup($A340,FantasyPro!$B$2:$E$341,4,false))</f>
        <v>0</v>
      </c>
      <c r="L340" s="37">
        <f>if(ISNA(vlookup($A340, FFToolbox!$B$2:$E$414, 4, false)), 0, vlookup($A340, FFToolbox!$B$2:$E$414, 4, false))</f>
        <v>0</v>
      </c>
      <c r="M340" s="39">
        <f t="shared" si="1"/>
        <v>0</v>
      </c>
      <c r="N340" s="39">
        <f t="shared" si="2"/>
        <v>0</v>
      </c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</row>
    <row r="341">
      <c r="A341" s="17" t="s">
        <v>736</v>
      </c>
      <c r="B341" s="35" t="s">
        <v>1259</v>
      </c>
      <c r="C341" s="36"/>
      <c r="D341" s="36" t="s">
        <v>15</v>
      </c>
      <c r="E341" s="36" t="s">
        <v>59</v>
      </c>
      <c r="F341" s="36">
        <f>vlookup(D341,'Team Bye List'!$A$1:$B$33,2,False)</f>
        <v>6</v>
      </c>
      <c r="G341" s="37">
        <f>if(ISNA(vlookup($A341, Sleeper!$B$2:$E$330, 4, false)), 0, vlookup($A341, Sleeper!$B$2:$E$330, 4, false))</f>
        <v>0</v>
      </c>
      <c r="H341" s="37">
        <f>if(ISNA(vlookup($A341, ESPN!$B$2:$E$297, 4, false)), 0, vlookup($A341, ESPN!$B$2:$E$297, 4, false))</f>
        <v>0</v>
      </c>
      <c r="I341" s="37">
        <f>if(ISNA(vlookup($A341,'Ultimate Draft Kit'!$B$2:$E$324,4, false)), 0, vlookup($A341,'Ultimate Draft Kit'!$B$2:$E$324, 4, false))</f>
        <v>0</v>
      </c>
      <c r="J341" s="38">
        <f>if(ISNA(vlookup($A341,Rotowire!$B$2:$E$1075,4, false)), 0, vlookup($A341,Rotowire!$B$2:$E$1075, 4, false))</f>
        <v>0</v>
      </c>
      <c r="K341" s="37">
        <f>if(ISNA(vlookup($A341, FantasyPro!$B$2:$E$341,4,false)),0,vlookup($A341,FantasyPro!$B$2:$E$341,4,false))</f>
        <v>0</v>
      </c>
      <c r="L341" s="37">
        <f>if(ISNA(vlookup($A341, FFToolbox!$B$2:$E$414, 4, false)), 0, vlookup($A341, FFToolbox!$B$2:$E$414, 4, false))</f>
        <v>0</v>
      </c>
      <c r="M341" s="39">
        <f t="shared" si="1"/>
        <v>0</v>
      </c>
      <c r="N341" s="39">
        <f t="shared" si="2"/>
        <v>0</v>
      </c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</row>
    <row r="342">
      <c r="A342" s="17" t="s">
        <v>788</v>
      </c>
      <c r="B342" s="35" t="s">
        <v>1259</v>
      </c>
      <c r="C342" s="36"/>
      <c r="D342" s="36" t="s">
        <v>37</v>
      </c>
      <c r="E342" s="36" t="s">
        <v>59</v>
      </c>
      <c r="F342" s="36">
        <f>vlookup(D342,'Team Bye List'!$A$1:$B$33,2,False)</f>
        <v>11</v>
      </c>
      <c r="G342" s="37">
        <f>if(ISNA(vlookup($A342, Sleeper!$B$2:$E$330, 4, false)), 0, vlookup($A342, Sleeper!$B$2:$E$330, 4, false))</f>
        <v>0</v>
      </c>
      <c r="H342" s="37">
        <f>if(ISNA(vlookup($A342, ESPN!$B$2:$E$297, 4, false)), 0, vlookup($A342, ESPN!$B$2:$E$297, 4, false))</f>
        <v>0</v>
      </c>
      <c r="I342" s="37">
        <f>if(ISNA(vlookup($A342,'Ultimate Draft Kit'!$B$2:$E$324,4, false)), 0, vlookup($A342,'Ultimate Draft Kit'!$B$2:$E$324, 4, false))</f>
        <v>0</v>
      </c>
      <c r="J342" s="38">
        <f>if(ISNA(vlookup($A342,Rotowire!$B$2:$E$1075,4, false)), 0, vlookup($A342,Rotowire!$B$2:$E$1075, 4, false))</f>
        <v>0</v>
      </c>
      <c r="K342" s="37">
        <f>if(ISNA(vlookup($A342, FantasyPro!$B$2:$E$341,4,false)),0,vlookup($A342,FantasyPro!$B$2:$E$341,4,false))</f>
        <v>0</v>
      </c>
      <c r="L342" s="37">
        <f>if(ISNA(vlookup($A342, FFToolbox!$B$2:$E$414, 4, false)), 0, vlookup($A342, FFToolbox!$B$2:$E$414, 4, false))</f>
        <v>0</v>
      </c>
      <c r="M342" s="39">
        <f t="shared" si="1"/>
        <v>0</v>
      </c>
      <c r="N342" s="39">
        <f t="shared" si="2"/>
        <v>0</v>
      </c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</row>
    <row r="343">
      <c r="A343" s="17" t="s">
        <v>536</v>
      </c>
      <c r="B343" s="35" t="s">
        <v>1259</v>
      </c>
      <c r="C343" s="35">
        <v>10.0</v>
      </c>
      <c r="D343" s="36" t="s">
        <v>55</v>
      </c>
      <c r="E343" s="36" t="s">
        <v>13</v>
      </c>
      <c r="F343" s="36">
        <f>vlookup(D343,'Team Bye List'!$A$1:$B$33,2,False)</f>
        <v>14</v>
      </c>
      <c r="G343" s="37">
        <f>if(ISNA(vlookup($A343, Sleeper!$B$2:$E$330, 4, false)), 0, vlookup($A343, Sleeper!$B$2:$E$330, 4, false))</f>
        <v>1</v>
      </c>
      <c r="H343" s="37">
        <f>if(ISNA(vlookup($A343, ESPN!$B$2:$E$297, 4, false)), 0, vlookup($A343, ESPN!$B$2:$E$297, 4, false))</f>
        <v>0</v>
      </c>
      <c r="I343" s="37">
        <f>if(ISNA(vlookup($A343,'Ultimate Draft Kit'!$B$2:$E$324,4, false)), 0, vlookup($A343,'Ultimate Draft Kit'!$B$2:$E$324, 4, false))</f>
        <v>1</v>
      </c>
      <c r="J343" s="38">
        <f>if(ISNA(vlookup($A343,Rotowire!$B$2:$E$1075,4, false)), 0, vlookup($A343,Rotowire!$B$2:$E$1075, 4, false))</f>
        <v>0</v>
      </c>
      <c r="K343" s="37">
        <f>if(ISNA(vlookup($A343, FantasyPro!$B$2:$E$341,4,false)),0,vlookup($A343,FantasyPro!$B$2:$E$341,4,false))</f>
        <v>0</v>
      </c>
      <c r="L343" s="37">
        <f>if(ISNA(vlookup($A343, FFToolbox!$B$2:$E$414, 4, false)), 0, vlookup($A343, FFToolbox!$B$2:$E$414, 4, false))</f>
        <v>1</v>
      </c>
      <c r="M343" s="39">
        <f t="shared" si="1"/>
        <v>0.5</v>
      </c>
      <c r="N343" s="39">
        <f t="shared" si="2"/>
        <v>1</v>
      </c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</row>
    <row r="344">
      <c r="A344" s="17" t="s">
        <v>731</v>
      </c>
      <c r="B344" s="35" t="s">
        <v>1259</v>
      </c>
      <c r="C344" s="36"/>
      <c r="D344" s="36" t="s">
        <v>41</v>
      </c>
      <c r="E344" s="36" t="s">
        <v>59</v>
      </c>
      <c r="F344" s="36">
        <f>vlookup(D344,'Team Bye List'!$A$1:$B$33,2,False)</f>
        <v>14</v>
      </c>
      <c r="G344" s="37">
        <f>if(ISNA(vlookup($A344, Sleeper!$B$2:$E$330, 4, false)), 0, vlookup($A344, Sleeper!$B$2:$E$330, 4, false))</f>
        <v>0</v>
      </c>
      <c r="H344" s="37">
        <f>if(ISNA(vlookup($A344, ESPN!$B$2:$E$297, 4, false)), 0, vlookup($A344, ESPN!$B$2:$E$297, 4, false))</f>
        <v>0</v>
      </c>
      <c r="I344" s="37">
        <f>if(ISNA(vlookup($A344,'Ultimate Draft Kit'!$B$2:$E$324,4, false)), 0, vlookup($A344,'Ultimate Draft Kit'!$B$2:$E$324, 4, false))</f>
        <v>0</v>
      </c>
      <c r="J344" s="38">
        <f>if(ISNA(vlookup($A344,Rotowire!$B$2:$E$1075,4, false)), 0, vlookup($A344,Rotowire!$B$2:$E$1075, 4, false))</f>
        <v>0</v>
      </c>
      <c r="K344" s="37">
        <f>if(ISNA(vlookup($A344, FantasyPro!$B$2:$E$341,4,false)),0,vlookup($A344,FantasyPro!$B$2:$E$341,4,false))</f>
        <v>0</v>
      </c>
      <c r="L344" s="37">
        <f>if(ISNA(vlookup($A344, FFToolbox!$B$2:$E$414, 4, false)), 0, vlookup($A344, FFToolbox!$B$2:$E$414, 4, false))</f>
        <v>0</v>
      </c>
      <c r="M344" s="39">
        <f t="shared" si="1"/>
        <v>0</v>
      </c>
      <c r="N344" s="39">
        <f t="shared" si="2"/>
        <v>0</v>
      </c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</row>
    <row r="345">
      <c r="A345" s="17" t="s">
        <v>778</v>
      </c>
      <c r="B345" s="35" t="s">
        <v>1259</v>
      </c>
      <c r="C345" s="36"/>
      <c r="D345" s="36" t="s">
        <v>32</v>
      </c>
      <c r="E345" s="36" t="s">
        <v>59</v>
      </c>
      <c r="F345" s="36">
        <f>vlookup(D345,'Team Bye List'!$A$1:$B$33,2,False)</f>
        <v>9</v>
      </c>
      <c r="G345" s="37">
        <f>if(ISNA(vlookup($A345, Sleeper!$B$2:$E$330, 4, false)), 0, vlookup($A345, Sleeper!$B$2:$E$330, 4, false))</f>
        <v>0</v>
      </c>
      <c r="H345" s="37">
        <f>if(ISNA(vlookup($A345, ESPN!$B$2:$E$297, 4, false)), 0, vlookup($A345, ESPN!$B$2:$E$297, 4, false))</f>
        <v>0</v>
      </c>
      <c r="I345" s="37">
        <f>if(ISNA(vlookup($A345,'Ultimate Draft Kit'!$B$2:$E$324,4, false)), 0, vlookup($A345,'Ultimate Draft Kit'!$B$2:$E$324, 4, false))</f>
        <v>0</v>
      </c>
      <c r="J345" s="38">
        <f>if(ISNA(vlookup($A345,Rotowire!$B$2:$E$1075,4, false)), 0, vlookup($A345,Rotowire!$B$2:$E$1075, 4, false))</f>
        <v>0</v>
      </c>
      <c r="K345" s="37">
        <f>if(ISNA(vlookup($A345, FantasyPro!$B$2:$E$341,4,false)),0,vlookup($A345,FantasyPro!$B$2:$E$341,4,false))</f>
        <v>0</v>
      </c>
      <c r="L345" s="37">
        <f>if(ISNA(vlookup($A345, FFToolbox!$B$2:$E$414, 4, false)), 0, vlookup($A345, FFToolbox!$B$2:$E$414, 4, false))</f>
        <v>0</v>
      </c>
      <c r="M345" s="39">
        <f t="shared" si="1"/>
        <v>0</v>
      </c>
      <c r="N345" s="39">
        <f t="shared" si="2"/>
        <v>0</v>
      </c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</row>
    <row r="346">
      <c r="A346" s="17" t="s">
        <v>730</v>
      </c>
      <c r="B346" s="35" t="s">
        <v>1259</v>
      </c>
      <c r="C346" s="36"/>
      <c r="D346" s="36" t="s">
        <v>15</v>
      </c>
      <c r="E346" s="36" t="s">
        <v>59</v>
      </c>
      <c r="F346" s="36">
        <f>vlookup(D346,'Team Bye List'!$A$1:$B$33,2,False)</f>
        <v>6</v>
      </c>
      <c r="G346" s="37">
        <f>if(ISNA(vlookup($A346, Sleeper!$B$2:$E$330, 4, false)), 0, vlookup($A346, Sleeper!$B$2:$E$330, 4, false))</f>
        <v>0</v>
      </c>
      <c r="H346" s="37">
        <f>if(ISNA(vlookup($A346, ESPN!$B$2:$E$297, 4, false)), 0, vlookup($A346, ESPN!$B$2:$E$297, 4, false))</f>
        <v>0</v>
      </c>
      <c r="I346" s="37">
        <f>if(ISNA(vlookup($A346,'Ultimate Draft Kit'!$B$2:$E$324,4, false)), 0, vlookup($A346,'Ultimate Draft Kit'!$B$2:$E$324, 4, false))</f>
        <v>0</v>
      </c>
      <c r="J346" s="38">
        <f>if(ISNA(vlookup($A346,Rotowire!$B$2:$E$1075,4, false)), 0, vlookup($A346,Rotowire!$B$2:$E$1075, 4, false))</f>
        <v>0</v>
      </c>
      <c r="K346" s="37">
        <f>if(ISNA(vlookup($A346, FantasyPro!$B$2:$E$341,4,false)),0,vlookup($A346,FantasyPro!$B$2:$E$341,4,false))</f>
        <v>0</v>
      </c>
      <c r="L346" s="37">
        <f>if(ISNA(vlookup($A346, FFToolbox!$B$2:$E$414, 4, false)), 0, vlookup($A346, FFToolbox!$B$2:$E$414, 4, false))</f>
        <v>0</v>
      </c>
      <c r="M346" s="39">
        <f t="shared" si="1"/>
        <v>0</v>
      </c>
      <c r="N346" s="39">
        <f t="shared" si="2"/>
        <v>0</v>
      </c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</row>
    <row r="347">
      <c r="A347" s="17" t="s">
        <v>738</v>
      </c>
      <c r="B347" s="35" t="s">
        <v>1259</v>
      </c>
      <c r="C347" s="36"/>
      <c r="D347" s="36" t="s">
        <v>47</v>
      </c>
      <c r="E347" s="36" t="s">
        <v>59</v>
      </c>
      <c r="F347" s="36">
        <f>vlookup(D347,'Team Bye List'!$A$1:$B$33,2,False)</f>
        <v>14</v>
      </c>
      <c r="G347" s="37">
        <f>if(ISNA(vlookup($A347, Sleeper!$B$2:$E$330, 4, false)), 0, vlookup($A347, Sleeper!$B$2:$E$330, 4, false))</f>
        <v>0</v>
      </c>
      <c r="H347" s="37">
        <f>if(ISNA(vlookup($A347, ESPN!$B$2:$E$297, 4, false)), 0, vlookup($A347, ESPN!$B$2:$E$297, 4, false))</f>
        <v>0</v>
      </c>
      <c r="I347" s="37">
        <f>if(ISNA(vlookup($A347,'Ultimate Draft Kit'!$B$2:$E$324,4, false)), 0, vlookup($A347,'Ultimate Draft Kit'!$B$2:$E$324, 4, false))</f>
        <v>0</v>
      </c>
      <c r="J347" s="38">
        <f>if(ISNA(vlookup($A347,Rotowire!$B$2:$E$1075,4, false)), 0, vlookup($A347,Rotowire!$B$2:$E$1075, 4, false))</f>
        <v>0</v>
      </c>
      <c r="K347" s="37">
        <f>if(ISNA(vlookup($A347, FantasyPro!$B$2:$E$341,4,false)),0,vlookup($A347,FantasyPro!$B$2:$E$341,4,false))</f>
        <v>0</v>
      </c>
      <c r="L347" s="37">
        <f>if(ISNA(vlookup($A347, FFToolbox!$B$2:$E$414, 4, false)), 0, vlookup($A347, FFToolbox!$B$2:$E$414, 4, false))</f>
        <v>0</v>
      </c>
      <c r="M347" s="39">
        <f t="shared" si="1"/>
        <v>0</v>
      </c>
      <c r="N347" s="39">
        <f t="shared" si="2"/>
        <v>0</v>
      </c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</row>
    <row r="348">
      <c r="A348" s="17" t="s">
        <v>733</v>
      </c>
      <c r="B348" s="35" t="s">
        <v>1259</v>
      </c>
      <c r="C348" s="36"/>
      <c r="D348" s="36" t="s">
        <v>62</v>
      </c>
      <c r="E348" s="36" t="s">
        <v>59</v>
      </c>
      <c r="F348" s="36">
        <f>vlookup(D348,'Team Bye List'!$A$1:$B$33,2,False)</f>
        <v>8</v>
      </c>
      <c r="G348" s="37">
        <f>if(ISNA(vlookup($A348, Sleeper!$B$2:$E$330, 4, false)), 0, vlookup($A348, Sleeper!$B$2:$E$330, 4, false))</f>
        <v>0</v>
      </c>
      <c r="H348" s="37">
        <f>if(ISNA(vlookup($A348, ESPN!$B$2:$E$297, 4, false)), 0, vlookup($A348, ESPN!$B$2:$E$297, 4, false))</f>
        <v>0</v>
      </c>
      <c r="I348" s="37">
        <f>if(ISNA(vlookup($A348,'Ultimate Draft Kit'!$B$2:$E$324,4, false)), 0, vlookup($A348,'Ultimate Draft Kit'!$B$2:$E$324, 4, false))</f>
        <v>0</v>
      </c>
      <c r="J348" s="38">
        <f>if(ISNA(vlookup($A348,Rotowire!$B$2:$E$1075,4, false)), 0, vlookup($A348,Rotowire!$B$2:$E$1075, 4, false))</f>
        <v>0</v>
      </c>
      <c r="K348" s="37">
        <f>if(ISNA(vlookup($A348, FantasyPro!$B$2:$E$341,4,false)),0,vlookup($A348,FantasyPro!$B$2:$E$341,4,false))</f>
        <v>0</v>
      </c>
      <c r="L348" s="37">
        <f>if(ISNA(vlookup($A348, FFToolbox!$B$2:$E$414, 4, false)), 0, vlookup($A348, FFToolbox!$B$2:$E$414, 4, false))</f>
        <v>1</v>
      </c>
      <c r="M348" s="39">
        <f t="shared" si="1"/>
        <v>0.1666666667</v>
      </c>
      <c r="N348" s="39">
        <f t="shared" si="2"/>
        <v>1</v>
      </c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</row>
    <row r="349">
      <c r="A349" s="17" t="s">
        <v>747</v>
      </c>
      <c r="B349" s="35" t="s">
        <v>1259</v>
      </c>
      <c r="C349" s="36"/>
      <c r="D349" s="36" t="s">
        <v>17</v>
      </c>
      <c r="E349" s="36" t="s">
        <v>59</v>
      </c>
      <c r="F349" s="36">
        <f>vlookup(D349,'Team Bye List'!$A$1:$B$33,2,False)</f>
        <v>7</v>
      </c>
      <c r="G349" s="37">
        <f>if(ISNA(vlookup($A349, Sleeper!$B$2:$E$330, 4, false)), 0, vlookup($A349, Sleeper!$B$2:$E$330, 4, false))</f>
        <v>0</v>
      </c>
      <c r="H349" s="37">
        <f>if(ISNA(vlookup($A349, ESPN!$B$2:$E$297, 4, false)), 0, vlookup($A349, ESPN!$B$2:$E$297, 4, false))</f>
        <v>0</v>
      </c>
      <c r="I349" s="37">
        <f>if(ISNA(vlookup($A349,'Ultimate Draft Kit'!$B$2:$E$324,4, false)), 0, vlookup($A349,'Ultimate Draft Kit'!$B$2:$E$324, 4, false))</f>
        <v>0</v>
      </c>
      <c r="J349" s="38">
        <f>if(ISNA(vlookup($A349,Rotowire!$B$2:$E$1075,4, false)), 0, vlookup($A349,Rotowire!$B$2:$E$1075, 4, false))</f>
        <v>0</v>
      </c>
      <c r="K349" s="37">
        <f>if(ISNA(vlookup($A349, FantasyPro!$B$2:$E$341,4,false)),0,vlookup($A349,FantasyPro!$B$2:$E$341,4,false))</f>
        <v>0</v>
      </c>
      <c r="L349" s="37">
        <f>if(ISNA(vlookup($A349, FFToolbox!$B$2:$E$414, 4, false)), 0, vlookup($A349, FFToolbox!$B$2:$E$414, 4, false))</f>
        <v>0</v>
      </c>
      <c r="M349" s="39">
        <f t="shared" si="1"/>
        <v>0</v>
      </c>
      <c r="N349" s="39">
        <f t="shared" si="2"/>
        <v>0</v>
      </c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</row>
    <row r="350">
      <c r="A350" s="17" t="s">
        <v>725</v>
      </c>
      <c r="B350" s="35" t="s">
        <v>1259</v>
      </c>
      <c r="C350" s="36"/>
      <c r="D350" s="36" t="s">
        <v>45</v>
      </c>
      <c r="E350" s="36" t="s">
        <v>59</v>
      </c>
      <c r="F350" s="36">
        <f>vlookup(D350,'Team Bye List'!$A$1:$B$33,2,False)</f>
        <v>13</v>
      </c>
      <c r="G350" s="37">
        <f>if(ISNA(vlookup($A350, Sleeper!$B$2:$E$330, 4, false)), 0, vlookup($A350, Sleeper!$B$2:$E$330, 4, false))</f>
        <v>0</v>
      </c>
      <c r="H350" s="37">
        <f>if(ISNA(vlookup($A350, ESPN!$B$2:$E$297, 4, false)), 0, vlookup($A350, ESPN!$B$2:$E$297, 4, false))</f>
        <v>0</v>
      </c>
      <c r="I350" s="37">
        <f>if(ISNA(vlookup($A350,'Ultimate Draft Kit'!$B$2:$E$324,4, false)), 0, vlookup($A350,'Ultimate Draft Kit'!$B$2:$E$324, 4, false))</f>
        <v>0</v>
      </c>
      <c r="J350" s="38">
        <f>if(ISNA(vlookup($A350,Rotowire!$B$2:$E$1075,4, false)), 0, vlookup($A350,Rotowire!$B$2:$E$1075, 4, false))</f>
        <v>0</v>
      </c>
      <c r="K350" s="37">
        <f>if(ISNA(vlookup($A350, FantasyPro!$B$2:$E$341,4,false)),0,vlookup($A350,FantasyPro!$B$2:$E$341,4,false))</f>
        <v>0</v>
      </c>
      <c r="L350" s="37">
        <f>if(ISNA(vlookup($A350, FFToolbox!$B$2:$E$414, 4, false)), 0, vlookup($A350, FFToolbox!$B$2:$E$414, 4, false))</f>
        <v>0</v>
      </c>
      <c r="M350" s="39">
        <f t="shared" si="1"/>
        <v>0</v>
      </c>
      <c r="N350" s="39">
        <f t="shared" si="2"/>
        <v>0</v>
      </c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</row>
    <row r="351">
      <c r="A351" s="17" t="s">
        <v>560</v>
      </c>
      <c r="B351" s="35" t="s">
        <v>1259</v>
      </c>
      <c r="C351" s="35" t="s">
        <v>1260</v>
      </c>
      <c r="D351" s="36" t="s">
        <v>25</v>
      </c>
      <c r="E351" s="36" t="s">
        <v>13</v>
      </c>
      <c r="F351" s="36">
        <f>vlookup(D351,'Team Bye List'!$A$1:$B$33,2,False)</f>
        <v>7</v>
      </c>
      <c r="G351" s="37">
        <f>if(ISNA(vlookup($A351, Sleeper!$B$2:$E$330, 4, false)), 0, vlookup($A351, Sleeper!$B$2:$E$330, 4, false))</f>
        <v>0</v>
      </c>
      <c r="H351" s="37">
        <f>if(ISNA(vlookup($A351, ESPN!$B$2:$E$297, 4, false)), 0, vlookup($A351, ESPN!$B$2:$E$297, 4, false))</f>
        <v>0</v>
      </c>
      <c r="I351" s="37">
        <f>if(ISNA(vlookup($A351,'Ultimate Draft Kit'!$B$2:$E$324,4, false)), 0, vlookup($A351,'Ultimate Draft Kit'!$B$2:$E$324, 4, false))</f>
        <v>0</v>
      </c>
      <c r="J351" s="38">
        <f>if(ISNA(vlookup($A351,Rotowire!$B$2:$E$1075,4, false)), 0, vlookup($A351,Rotowire!$B$2:$E$1075, 4, false))</f>
        <v>0</v>
      </c>
      <c r="K351" s="37">
        <f>if(ISNA(vlookup($A351, FantasyPro!$B$2:$E$341,4,false)),0,vlookup($A351,FantasyPro!$B$2:$E$341,4,false))</f>
        <v>0</v>
      </c>
      <c r="L351" s="37">
        <f>if(ISNA(vlookup($A351, FFToolbox!$B$2:$E$414, 4, false)), 0, vlookup($A351, FFToolbox!$B$2:$E$414, 4, false))</f>
        <v>0</v>
      </c>
      <c r="M351" s="39">
        <f t="shared" si="1"/>
        <v>0</v>
      </c>
      <c r="N351" s="39">
        <f t="shared" si="2"/>
        <v>0</v>
      </c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</row>
    <row r="352">
      <c r="A352" s="17" t="s">
        <v>743</v>
      </c>
      <c r="B352" s="35" t="s">
        <v>1259</v>
      </c>
      <c r="C352" s="36"/>
      <c r="D352" s="36" t="s">
        <v>99</v>
      </c>
      <c r="E352" s="36" t="s">
        <v>59</v>
      </c>
      <c r="F352" s="36">
        <f>vlookup(D352,'Team Bye List'!$A$1:$B$33,2,False)</f>
        <v>11</v>
      </c>
      <c r="G352" s="37">
        <f>if(ISNA(vlookup($A352, Sleeper!$B$2:$E$330, 4, false)), 0, vlookup($A352, Sleeper!$B$2:$E$330, 4, false))</f>
        <v>0</v>
      </c>
      <c r="H352" s="37">
        <f>if(ISNA(vlookup($A352, ESPN!$B$2:$E$297, 4, false)), 0, vlookup($A352, ESPN!$B$2:$E$297, 4, false))</f>
        <v>0</v>
      </c>
      <c r="I352" s="37">
        <f>if(ISNA(vlookup($A352,'Ultimate Draft Kit'!$B$2:$E$324,4, false)), 0, vlookup($A352,'Ultimate Draft Kit'!$B$2:$E$324, 4, false))</f>
        <v>0</v>
      </c>
      <c r="J352" s="38">
        <f>if(ISNA(vlookup($A352,Rotowire!$B$2:$E$1075,4, false)), 0, vlookup($A352,Rotowire!$B$2:$E$1075, 4, false))</f>
        <v>0</v>
      </c>
      <c r="K352" s="37">
        <f>if(ISNA(vlookup($A352, FantasyPro!$B$2:$E$341,4,false)),0,vlookup($A352,FantasyPro!$B$2:$E$341,4,false))</f>
        <v>0</v>
      </c>
      <c r="L352" s="37">
        <f>if(ISNA(vlookup($A352, FFToolbox!$B$2:$E$414, 4, false)), 0, vlookup($A352, FFToolbox!$B$2:$E$414, 4, false))</f>
        <v>0</v>
      </c>
      <c r="M352" s="39">
        <f t="shared" si="1"/>
        <v>0</v>
      </c>
      <c r="N352" s="39">
        <f t="shared" si="2"/>
        <v>0</v>
      </c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</row>
    <row r="353">
      <c r="A353" s="17" t="s">
        <v>768</v>
      </c>
      <c r="B353" s="35" t="s">
        <v>1259</v>
      </c>
      <c r="C353" s="36"/>
      <c r="D353" s="36" t="s">
        <v>99</v>
      </c>
      <c r="E353" s="36" t="s">
        <v>59</v>
      </c>
      <c r="F353" s="36">
        <f>vlookup(D353,'Team Bye List'!$A$1:$B$33,2,False)</f>
        <v>11</v>
      </c>
      <c r="G353" s="37">
        <f>if(ISNA(vlookup($A353, Sleeper!$B$2:$E$330, 4, false)), 0, vlookup($A353, Sleeper!$B$2:$E$330, 4, false))</f>
        <v>0</v>
      </c>
      <c r="H353" s="37">
        <f>if(ISNA(vlookup($A353, ESPN!$B$2:$E$297, 4, false)), 0, vlookup($A353, ESPN!$B$2:$E$297, 4, false))</f>
        <v>0</v>
      </c>
      <c r="I353" s="37">
        <f>if(ISNA(vlookup($A353,'Ultimate Draft Kit'!$B$2:$E$324,4, false)), 0, vlookup($A353,'Ultimate Draft Kit'!$B$2:$E$324, 4, false))</f>
        <v>0</v>
      </c>
      <c r="J353" s="38">
        <f>if(ISNA(vlookup($A353,Rotowire!$B$2:$E$1075,4, false)), 0, vlookup($A353,Rotowire!$B$2:$E$1075, 4, false))</f>
        <v>0</v>
      </c>
      <c r="K353" s="37">
        <f>if(ISNA(vlookup($A353, FantasyPro!$B$2:$E$341,4,false)),0,vlookup($A353,FantasyPro!$B$2:$E$341,4,false))</f>
        <v>0</v>
      </c>
      <c r="L353" s="37">
        <f>if(ISNA(vlookup($A353, FFToolbox!$B$2:$E$414, 4, false)), 0, vlookup($A353, FFToolbox!$B$2:$E$414, 4, false))</f>
        <v>0</v>
      </c>
      <c r="M353" s="39">
        <f t="shared" si="1"/>
        <v>0</v>
      </c>
      <c r="N353" s="39">
        <f t="shared" si="2"/>
        <v>0</v>
      </c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</row>
    <row r="354">
      <c r="A354" s="17" t="s">
        <v>728</v>
      </c>
      <c r="B354" s="35" t="s">
        <v>1259</v>
      </c>
      <c r="C354" s="36"/>
      <c r="D354" s="36" t="s">
        <v>58</v>
      </c>
      <c r="E354" s="36" t="s">
        <v>59</v>
      </c>
      <c r="F354" s="36">
        <f>vlookup(D354,'Team Bye List'!$A$1:$B$33,2,False)</f>
        <v>10</v>
      </c>
      <c r="G354" s="37">
        <f>if(ISNA(vlookup($A354, Sleeper!$B$2:$E$330, 4, false)), 0, vlookup($A354, Sleeper!$B$2:$E$330, 4, false))</f>
        <v>0</v>
      </c>
      <c r="H354" s="37">
        <f>if(ISNA(vlookup($A354, ESPN!$B$2:$E$297, 4, false)), 0, vlookup($A354, ESPN!$B$2:$E$297, 4, false))</f>
        <v>0</v>
      </c>
      <c r="I354" s="37">
        <f>if(ISNA(vlookup($A354,'Ultimate Draft Kit'!$B$2:$E$324,4, false)), 0, vlookup($A354,'Ultimate Draft Kit'!$B$2:$E$324, 4, false))</f>
        <v>0</v>
      </c>
      <c r="J354" s="38">
        <f>if(ISNA(vlookup($A354,Rotowire!$B$2:$E$1075,4, false)), 0, vlookup($A354,Rotowire!$B$2:$E$1075, 4, false))</f>
        <v>0</v>
      </c>
      <c r="K354" s="37">
        <f>if(ISNA(vlookup($A354, FantasyPro!$B$2:$E$341,4,false)),0,vlookup($A354,FantasyPro!$B$2:$E$341,4,false))</f>
        <v>0</v>
      </c>
      <c r="L354" s="37">
        <f>if(ISNA(vlookup($A354, FFToolbox!$B$2:$E$414, 4, false)), 0, vlookup($A354, FFToolbox!$B$2:$E$414, 4, false))</f>
        <v>0</v>
      </c>
      <c r="M354" s="39">
        <f t="shared" si="1"/>
        <v>0</v>
      </c>
      <c r="N354" s="39">
        <f t="shared" si="2"/>
        <v>0</v>
      </c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</row>
    <row r="355">
      <c r="A355" s="17" t="s">
        <v>727</v>
      </c>
      <c r="B355" s="35" t="s">
        <v>1259</v>
      </c>
      <c r="C355" s="36"/>
      <c r="D355" s="36" t="s">
        <v>19</v>
      </c>
      <c r="E355" s="36" t="s">
        <v>59</v>
      </c>
      <c r="F355" s="36">
        <f>vlookup(D355,'Team Bye List'!$A$1:$B$33,2,False)</f>
        <v>10</v>
      </c>
      <c r="G355" s="37">
        <f>if(ISNA(vlookup($A355, Sleeper!$B$2:$E$330, 4, false)), 0, vlookup($A355, Sleeper!$B$2:$E$330, 4, false))</f>
        <v>0</v>
      </c>
      <c r="H355" s="37">
        <f>if(ISNA(vlookup($A355, ESPN!$B$2:$E$297, 4, false)), 0, vlookup($A355, ESPN!$B$2:$E$297, 4, false))</f>
        <v>0</v>
      </c>
      <c r="I355" s="37">
        <f>if(ISNA(vlookup($A355,'Ultimate Draft Kit'!$B$2:$E$324,4, false)), 0, vlookup($A355,'Ultimate Draft Kit'!$B$2:$E$324, 4, false))</f>
        <v>0</v>
      </c>
      <c r="J355" s="38">
        <f>if(ISNA(vlookup($A355,Rotowire!$B$2:$E$1075,4, false)), 0, vlookup($A355,Rotowire!$B$2:$E$1075, 4, false))</f>
        <v>0</v>
      </c>
      <c r="K355" s="37">
        <f>if(ISNA(vlookup($A355, FantasyPro!$B$2:$E$341,4,false)),0,vlookup($A355,FantasyPro!$B$2:$E$341,4,false))</f>
        <v>0</v>
      </c>
      <c r="L355" s="37">
        <f>if(ISNA(vlookup($A355, FFToolbox!$B$2:$E$414, 4, false)), 0, vlookup($A355, FFToolbox!$B$2:$E$414, 4, false))</f>
        <v>0</v>
      </c>
      <c r="M355" s="39">
        <f t="shared" si="1"/>
        <v>0</v>
      </c>
      <c r="N355" s="39">
        <f t="shared" si="2"/>
        <v>0</v>
      </c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</row>
    <row r="356">
      <c r="A356" s="17" t="s">
        <v>713</v>
      </c>
      <c r="B356" s="35" t="s">
        <v>1259</v>
      </c>
      <c r="C356" s="36"/>
      <c r="D356" s="36" t="s">
        <v>58</v>
      </c>
      <c r="E356" s="36" t="s">
        <v>59</v>
      </c>
      <c r="F356" s="36">
        <f>vlookup(D356,'Team Bye List'!$A$1:$B$33,2,False)</f>
        <v>10</v>
      </c>
      <c r="G356" s="37">
        <f>if(ISNA(vlookup($A356, Sleeper!$B$2:$E$330, 4, false)), 0, vlookup($A356, Sleeper!$B$2:$E$330, 4, false))</f>
        <v>0</v>
      </c>
      <c r="H356" s="37">
        <f>if(ISNA(vlookup($A356, ESPN!$B$2:$E$297, 4, false)), 0, vlookup($A356, ESPN!$B$2:$E$297, 4, false))</f>
        <v>0</v>
      </c>
      <c r="I356" s="37">
        <f>if(ISNA(vlookup($A356,'Ultimate Draft Kit'!$B$2:$E$324,4, false)), 0, vlookup($A356,'Ultimate Draft Kit'!$B$2:$E$324, 4, false))</f>
        <v>0</v>
      </c>
      <c r="J356" s="38">
        <f>if(ISNA(vlookup($A356,Rotowire!$B$2:$E$1075,4, false)), 0, vlookup($A356,Rotowire!$B$2:$E$1075, 4, false))</f>
        <v>0</v>
      </c>
      <c r="K356" s="37">
        <f>if(ISNA(vlookup($A356, FantasyPro!$B$2:$E$341,4,false)),0,vlookup($A356,FantasyPro!$B$2:$E$341,4,false))</f>
        <v>0</v>
      </c>
      <c r="L356" s="37">
        <f>if(ISNA(vlookup($A356, FFToolbox!$B$2:$E$414, 4, false)), 0, vlookup($A356, FFToolbox!$B$2:$E$414, 4, false))</f>
        <v>0</v>
      </c>
      <c r="M356" s="39">
        <f t="shared" si="1"/>
        <v>0</v>
      </c>
      <c r="N356" s="39">
        <f t="shared" si="2"/>
        <v>0</v>
      </c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</row>
    <row r="357">
      <c r="A357" s="17" t="s">
        <v>762</v>
      </c>
      <c r="B357" s="35" t="s">
        <v>1259</v>
      </c>
      <c r="C357" s="36"/>
      <c r="D357" s="36" t="s">
        <v>81</v>
      </c>
      <c r="E357" s="36" t="s">
        <v>59</v>
      </c>
      <c r="F357" s="36">
        <f>vlookup(D357,'Team Bye List'!$A$1:$B$33,2,False)</f>
        <v>6</v>
      </c>
      <c r="G357" s="37">
        <f>if(ISNA(vlookup($A357, Sleeper!$B$2:$E$330, 4, false)), 0, vlookup($A357, Sleeper!$B$2:$E$330, 4, false))</f>
        <v>0</v>
      </c>
      <c r="H357" s="37">
        <f>if(ISNA(vlookup($A357, ESPN!$B$2:$E$297, 4, false)), 0, vlookup($A357, ESPN!$B$2:$E$297, 4, false))</f>
        <v>0</v>
      </c>
      <c r="I357" s="37">
        <f>if(ISNA(vlookup($A357,'Ultimate Draft Kit'!$B$2:$E$324,4, false)), 0, vlookup($A357,'Ultimate Draft Kit'!$B$2:$E$324, 4, false))</f>
        <v>0</v>
      </c>
      <c r="J357" s="38">
        <f>if(ISNA(vlookup($A357,Rotowire!$B$2:$E$1075,4, false)), 0, vlookup($A357,Rotowire!$B$2:$E$1075, 4, false))</f>
        <v>0</v>
      </c>
      <c r="K357" s="37">
        <f>if(ISNA(vlookup($A357, FantasyPro!$B$2:$E$341,4,false)),0,vlookup($A357,FantasyPro!$B$2:$E$341,4,false))</f>
        <v>0</v>
      </c>
      <c r="L357" s="37">
        <f>if(ISNA(vlookup($A357, FFToolbox!$B$2:$E$414, 4, false)), 0, vlookup($A357, FFToolbox!$B$2:$E$414, 4, false))</f>
        <v>0</v>
      </c>
      <c r="M357" s="39">
        <f t="shared" si="1"/>
        <v>0</v>
      </c>
      <c r="N357" s="39">
        <f t="shared" si="2"/>
        <v>0</v>
      </c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</row>
    <row r="358">
      <c r="A358" s="17" t="s">
        <v>909</v>
      </c>
      <c r="B358" s="35" t="s">
        <v>1259</v>
      </c>
      <c r="C358" s="36"/>
      <c r="D358" s="36" t="s">
        <v>62</v>
      </c>
      <c r="E358" s="36" t="s">
        <v>59</v>
      </c>
      <c r="F358" s="36">
        <f>vlookup(D358,'Team Bye List'!$A$1:$B$33,2,False)</f>
        <v>8</v>
      </c>
      <c r="G358" s="37">
        <f>if(ISNA(vlookup($A358, Sleeper!$B$2:$E$330, 4, false)), 0, vlookup($A358, Sleeper!$B$2:$E$330, 4, false))</f>
        <v>0</v>
      </c>
      <c r="H358" s="37">
        <f>if(ISNA(vlookup($A358, ESPN!$B$2:$E$297, 4, false)), 0, vlookup($A358, ESPN!$B$2:$E$297, 4, false))</f>
        <v>0</v>
      </c>
      <c r="I358" s="37">
        <f>if(ISNA(vlookup($A358,'Ultimate Draft Kit'!$B$2:$E$324,4, false)), 0, vlookup($A358,'Ultimate Draft Kit'!$B$2:$E$324, 4, false))</f>
        <v>0</v>
      </c>
      <c r="J358" s="38">
        <f>if(ISNA(vlookup($A358,Rotowire!$B$2:$E$1075,4, false)), 0, vlookup($A358,Rotowire!$B$2:$E$1075, 4, false))</f>
        <v>0</v>
      </c>
      <c r="K358" s="37">
        <f>if(ISNA(vlookup($A358, FantasyPro!$B$2:$E$341,4,false)),0,vlookup($A358,FantasyPro!$B$2:$E$341,4,false))</f>
        <v>0</v>
      </c>
      <c r="L358" s="37">
        <f>if(ISNA(vlookup($A358, FFToolbox!$B$2:$E$414, 4, false)), 0, vlookup($A358, FFToolbox!$B$2:$E$414, 4, false))</f>
        <v>0</v>
      </c>
      <c r="M358" s="39">
        <f t="shared" si="1"/>
        <v>0</v>
      </c>
      <c r="N358" s="39">
        <f t="shared" si="2"/>
        <v>0</v>
      </c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</row>
    <row r="359">
      <c r="A359" s="17" t="s">
        <v>779</v>
      </c>
      <c r="B359" s="35" t="s">
        <v>1259</v>
      </c>
      <c r="C359" s="36"/>
      <c r="D359" s="36" t="s">
        <v>85</v>
      </c>
      <c r="E359" s="36" t="s">
        <v>59</v>
      </c>
      <c r="F359" s="36">
        <f>vlookup(D359,'Team Bye List'!$A$1:$B$33,2,False)</f>
        <v>9</v>
      </c>
      <c r="G359" s="37">
        <f>if(ISNA(vlookup($A359, Sleeper!$B$2:$E$330, 4, false)), 0, vlookup($A359, Sleeper!$B$2:$E$330, 4, false))</f>
        <v>0</v>
      </c>
      <c r="H359" s="37">
        <f>if(ISNA(vlookup($A359, ESPN!$B$2:$E$297, 4, false)), 0, vlookup($A359, ESPN!$B$2:$E$297, 4, false))</f>
        <v>0</v>
      </c>
      <c r="I359" s="37">
        <f>if(ISNA(vlookup($A359,'Ultimate Draft Kit'!$B$2:$E$324,4, false)), 0, vlookup($A359,'Ultimate Draft Kit'!$B$2:$E$324, 4, false))</f>
        <v>0</v>
      </c>
      <c r="J359" s="38">
        <f>if(ISNA(vlookup($A359,Rotowire!$B$2:$E$1075,4, false)), 0, vlookup($A359,Rotowire!$B$2:$E$1075, 4, false))</f>
        <v>0</v>
      </c>
      <c r="K359" s="37">
        <f>if(ISNA(vlookup($A359, FantasyPro!$B$2:$E$341,4,false)),0,vlookup($A359,FantasyPro!$B$2:$E$341,4,false))</f>
        <v>0</v>
      </c>
      <c r="L359" s="37">
        <f>if(ISNA(vlookup($A359, FFToolbox!$B$2:$E$414, 4, false)), 0, vlookup($A359, FFToolbox!$B$2:$E$414, 4, false))</f>
        <v>0</v>
      </c>
      <c r="M359" s="39">
        <f t="shared" si="1"/>
        <v>0</v>
      </c>
      <c r="N359" s="39">
        <f t="shared" si="2"/>
        <v>0</v>
      </c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</row>
    <row r="360">
      <c r="A360" s="17" t="s">
        <v>532</v>
      </c>
      <c r="B360" s="35" t="s">
        <v>1259</v>
      </c>
      <c r="C360" s="35" t="s">
        <v>1260</v>
      </c>
      <c r="D360" s="36" t="s">
        <v>66</v>
      </c>
      <c r="E360" s="36" t="s">
        <v>13</v>
      </c>
      <c r="F360" s="36">
        <f>vlookup(D360,'Team Bye List'!$A$1:$B$33,2,False)</f>
        <v>9</v>
      </c>
      <c r="G360" s="37">
        <f>if(ISNA(vlookup($A360, Sleeper!$B$2:$E$330, 4, false)), 0, vlookup($A360, Sleeper!$B$2:$E$330, 4, false))</f>
        <v>1</v>
      </c>
      <c r="H360" s="37">
        <f>if(ISNA(vlookup($A360, ESPN!$B$2:$E$297, 4, false)), 0, vlookup($A360, ESPN!$B$2:$E$297, 4, false))</f>
        <v>0</v>
      </c>
      <c r="I360" s="37">
        <f>if(ISNA(vlookup($A360,'Ultimate Draft Kit'!$B$2:$E$324,4, false)), 0, vlookup($A360,'Ultimate Draft Kit'!$B$2:$E$324, 4, false))</f>
        <v>1</v>
      </c>
      <c r="J360" s="38">
        <f>if(ISNA(vlookup($A360,Rotowire!$B$2:$E$1075,4, false)), 0, vlookup($A360,Rotowire!$B$2:$E$1075, 4, false))</f>
        <v>0</v>
      </c>
      <c r="K360" s="37">
        <f>if(ISNA(vlookup($A360, FantasyPro!$B$2:$E$341,4,false)),0,vlookup($A360,FantasyPro!$B$2:$E$341,4,false))</f>
        <v>0</v>
      </c>
      <c r="L360" s="37">
        <f>if(ISNA(vlookup($A360, FFToolbox!$B$2:$E$414, 4, false)), 0, vlookup($A360, FFToolbox!$B$2:$E$414, 4, false))</f>
        <v>1</v>
      </c>
      <c r="M360" s="39">
        <f t="shared" si="1"/>
        <v>0.5</v>
      </c>
      <c r="N360" s="39">
        <f t="shared" si="2"/>
        <v>1</v>
      </c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</row>
    <row r="361">
      <c r="A361" s="17" t="s">
        <v>751</v>
      </c>
      <c r="B361" s="35" t="s">
        <v>1259</v>
      </c>
      <c r="C361" s="36"/>
      <c r="D361" s="36" t="s">
        <v>66</v>
      </c>
      <c r="E361" s="36" t="s">
        <v>59</v>
      </c>
      <c r="F361" s="36">
        <f>vlookup(D361,'Team Bye List'!$A$1:$B$33,2,False)</f>
        <v>9</v>
      </c>
      <c r="G361" s="37">
        <f>if(ISNA(vlookup($A361, Sleeper!$B$2:$E$330, 4, false)), 0, vlookup($A361, Sleeper!$B$2:$E$330, 4, false))</f>
        <v>0</v>
      </c>
      <c r="H361" s="37">
        <f>if(ISNA(vlookup($A361, ESPN!$B$2:$E$297, 4, false)), 0, vlookup($A361, ESPN!$B$2:$E$297, 4, false))</f>
        <v>0</v>
      </c>
      <c r="I361" s="37">
        <f>if(ISNA(vlookup($A361,'Ultimate Draft Kit'!$B$2:$E$324,4, false)), 0, vlookup($A361,'Ultimate Draft Kit'!$B$2:$E$324, 4, false))</f>
        <v>0</v>
      </c>
      <c r="J361" s="38">
        <f>if(ISNA(vlookup($A361,Rotowire!$B$2:$E$1075,4, false)), 0, vlookup($A361,Rotowire!$B$2:$E$1075, 4, false))</f>
        <v>0</v>
      </c>
      <c r="K361" s="37">
        <f>if(ISNA(vlookup($A361, FantasyPro!$B$2:$E$341,4,false)),0,vlookup($A361,FantasyPro!$B$2:$E$341,4,false))</f>
        <v>0</v>
      </c>
      <c r="L361" s="37">
        <f>if(ISNA(vlookup($A361, FFToolbox!$B$2:$E$414, 4, false)), 0, vlookup($A361, FFToolbox!$B$2:$E$414, 4, false))</f>
        <v>0</v>
      </c>
      <c r="M361" s="39">
        <f t="shared" si="1"/>
        <v>0</v>
      </c>
      <c r="N361" s="39">
        <f t="shared" si="2"/>
        <v>0</v>
      </c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</row>
    <row r="362">
      <c r="A362" s="17" t="s">
        <v>255</v>
      </c>
      <c r="B362" s="35" t="s">
        <v>1259</v>
      </c>
      <c r="C362" s="35">
        <v>9.0</v>
      </c>
      <c r="D362" s="36" t="s">
        <v>43</v>
      </c>
      <c r="E362" s="36" t="s">
        <v>13</v>
      </c>
      <c r="F362" s="36">
        <f>vlookup(D362,'Team Bye List'!$A$1:$B$33,2,False)</f>
        <v>9</v>
      </c>
      <c r="G362" s="37">
        <f>if(ISNA(vlookup($A362, Sleeper!$B$2:$E$330, 4, false)), 0, vlookup($A362, Sleeper!$B$2:$E$330, 4, false))</f>
        <v>1</v>
      </c>
      <c r="H362" s="37">
        <f>if(ISNA(vlookup($A362, ESPN!$B$2:$E$297, 4, false)), 0, vlookup($A362, ESPN!$B$2:$E$297, 4, false))</f>
        <v>0</v>
      </c>
      <c r="I362" s="37">
        <f>if(ISNA(vlookup($A362,'Ultimate Draft Kit'!$B$2:$E$324,4, false)), 0, vlookup($A362,'Ultimate Draft Kit'!$B$2:$E$324, 4, false))</f>
        <v>1</v>
      </c>
      <c r="J362" s="38">
        <f>if(ISNA(vlookup($A362,Rotowire!$B$2:$E$1075,4, false)), 0, vlookup($A362,Rotowire!$B$2:$E$1075, 4, false))</f>
        <v>0</v>
      </c>
      <c r="K362" s="37">
        <f>if(ISNA(vlookup($A362, FantasyPro!$B$2:$E$341,4,false)),0,vlookup($A362,FantasyPro!$B$2:$E$341,4,false))</f>
        <v>0</v>
      </c>
      <c r="L362" s="37">
        <f>if(ISNA(vlookup($A362, FFToolbox!$B$2:$E$414, 4, false)), 0, vlookup($A362, FFToolbox!$B$2:$E$414, 4, false))</f>
        <v>1</v>
      </c>
      <c r="M362" s="39">
        <f t="shared" si="1"/>
        <v>0.5</v>
      </c>
      <c r="N362" s="39">
        <f t="shared" si="2"/>
        <v>1</v>
      </c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</row>
    <row r="363">
      <c r="A363" s="17" t="s">
        <v>722</v>
      </c>
      <c r="B363" s="35" t="s">
        <v>1259</v>
      </c>
      <c r="C363" s="36"/>
      <c r="D363" s="36" t="s">
        <v>32</v>
      </c>
      <c r="E363" s="36" t="s">
        <v>59</v>
      </c>
      <c r="F363" s="36">
        <f>vlookup(D363,'Team Bye List'!$A$1:$B$33,2,False)</f>
        <v>9</v>
      </c>
      <c r="G363" s="37">
        <f>if(ISNA(vlookup($A363, Sleeper!$B$2:$E$330, 4, false)), 0, vlookup($A363, Sleeper!$B$2:$E$330, 4, false))</f>
        <v>0</v>
      </c>
      <c r="H363" s="37">
        <f>if(ISNA(vlookup($A363, ESPN!$B$2:$E$297, 4, false)), 0, vlookup($A363, ESPN!$B$2:$E$297, 4, false))</f>
        <v>0</v>
      </c>
      <c r="I363" s="37">
        <f>if(ISNA(vlookup($A363,'Ultimate Draft Kit'!$B$2:$E$324,4, false)), 0, vlookup($A363,'Ultimate Draft Kit'!$B$2:$E$324, 4, false))</f>
        <v>0</v>
      </c>
      <c r="J363" s="38">
        <f>if(ISNA(vlookup($A363,Rotowire!$B$2:$E$1075,4, false)), 0, vlookup($A363,Rotowire!$B$2:$E$1075, 4, false))</f>
        <v>0</v>
      </c>
      <c r="K363" s="37">
        <f>if(ISNA(vlookup($A363, FantasyPro!$B$2:$E$341,4,false)),0,vlookup($A363,FantasyPro!$B$2:$E$341,4,false))</f>
        <v>0</v>
      </c>
      <c r="L363" s="37">
        <f>if(ISNA(vlookup($A363, FFToolbox!$B$2:$E$414, 4, false)), 0, vlookup($A363, FFToolbox!$B$2:$E$414, 4, false))</f>
        <v>0</v>
      </c>
      <c r="M363" s="39">
        <f t="shared" si="1"/>
        <v>0</v>
      </c>
      <c r="N363" s="39">
        <f t="shared" si="2"/>
        <v>0</v>
      </c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</row>
    <row r="364">
      <c r="A364" s="17" t="s">
        <v>575</v>
      </c>
      <c r="B364" s="35" t="s">
        <v>1259</v>
      </c>
      <c r="C364" s="35">
        <v>10.0</v>
      </c>
      <c r="D364" s="36" t="s">
        <v>15</v>
      </c>
      <c r="E364" s="36" t="s">
        <v>13</v>
      </c>
      <c r="F364" s="36">
        <f>vlookup(D364,'Team Bye List'!$A$1:$B$33,2,False)</f>
        <v>6</v>
      </c>
      <c r="G364" s="37">
        <f>if(ISNA(vlookup($A364, Sleeper!$B$2:$E$330, 4, false)), 0, vlookup($A364, Sleeper!$B$2:$E$330, 4, false))</f>
        <v>1</v>
      </c>
      <c r="H364" s="37">
        <f>if(ISNA(vlookup($A364, ESPN!$B$2:$E$297, 4, false)), 0, vlookup($A364, ESPN!$B$2:$E$297, 4, false))</f>
        <v>0</v>
      </c>
      <c r="I364" s="37">
        <f>if(ISNA(vlookup($A364,'Ultimate Draft Kit'!$B$2:$E$324,4, false)), 0, vlookup($A364,'Ultimate Draft Kit'!$B$2:$E$324, 4, false))</f>
        <v>1</v>
      </c>
      <c r="J364" s="38">
        <f>if(ISNA(vlookup($A364,Rotowire!$B$2:$E$1075,4, false)), 0, vlookup($A364,Rotowire!$B$2:$E$1075, 4, false))</f>
        <v>0</v>
      </c>
      <c r="K364" s="37">
        <f>if(ISNA(vlookup($A364, FantasyPro!$B$2:$E$341,4,false)),0,vlookup($A364,FantasyPro!$B$2:$E$341,4,false))</f>
        <v>0</v>
      </c>
      <c r="L364" s="37">
        <f>if(ISNA(vlookup($A364, FFToolbox!$B$2:$E$414, 4, false)), 0, vlookup($A364, FFToolbox!$B$2:$E$414, 4, false))</f>
        <v>1</v>
      </c>
      <c r="M364" s="39">
        <f t="shared" si="1"/>
        <v>0.5</v>
      </c>
      <c r="N364" s="39">
        <f t="shared" si="2"/>
        <v>1</v>
      </c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</row>
    <row r="365">
      <c r="A365" s="17" t="s">
        <v>732</v>
      </c>
      <c r="B365" s="35" t="s">
        <v>1259</v>
      </c>
      <c r="C365" s="36"/>
      <c r="D365" s="36" t="s">
        <v>28</v>
      </c>
      <c r="E365" s="36" t="s">
        <v>59</v>
      </c>
      <c r="F365" s="36">
        <f>vlookup(D365,'Team Bye List'!$A$1:$B$33,2,False)</f>
        <v>11</v>
      </c>
      <c r="G365" s="37">
        <f>if(ISNA(vlookup($A365, Sleeper!$B$2:$E$330, 4, false)), 0, vlookup($A365, Sleeper!$B$2:$E$330, 4, false))</f>
        <v>0</v>
      </c>
      <c r="H365" s="37">
        <f>if(ISNA(vlookup($A365, ESPN!$B$2:$E$297, 4, false)), 0, vlookup($A365, ESPN!$B$2:$E$297, 4, false))</f>
        <v>0</v>
      </c>
      <c r="I365" s="37">
        <f>if(ISNA(vlookup($A365,'Ultimate Draft Kit'!$B$2:$E$324,4, false)), 0, vlookup($A365,'Ultimate Draft Kit'!$B$2:$E$324, 4, false))</f>
        <v>0</v>
      </c>
      <c r="J365" s="38">
        <f>if(ISNA(vlookup($A365,Rotowire!$B$2:$E$1075,4, false)), 0, vlookup($A365,Rotowire!$B$2:$E$1075, 4, false))</f>
        <v>0</v>
      </c>
      <c r="K365" s="37">
        <f>if(ISNA(vlookup($A365, FantasyPro!$B$2:$E$341,4,false)),0,vlookup($A365,FantasyPro!$B$2:$E$341,4,false))</f>
        <v>0</v>
      </c>
      <c r="L365" s="37">
        <f>if(ISNA(vlookup($A365, FFToolbox!$B$2:$E$414, 4, false)), 0, vlookup($A365, FFToolbox!$B$2:$E$414, 4, false))</f>
        <v>0</v>
      </c>
      <c r="M365" s="39">
        <f t="shared" si="1"/>
        <v>0</v>
      </c>
      <c r="N365" s="39">
        <f t="shared" si="2"/>
        <v>0</v>
      </c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</row>
    <row r="366">
      <c r="A366" s="17" t="s">
        <v>605</v>
      </c>
      <c r="B366" s="35" t="s">
        <v>1259</v>
      </c>
      <c r="C366" s="36"/>
      <c r="D366" s="36" t="s">
        <v>15</v>
      </c>
      <c r="E366" s="36" t="s">
        <v>59</v>
      </c>
      <c r="F366" s="36">
        <f>vlookup(D366,'Team Bye List'!$A$1:$B$33,2,False)</f>
        <v>6</v>
      </c>
      <c r="G366" s="37">
        <f>if(ISNA(vlookup($A366, Sleeper!$B$2:$E$330, 4, false)), 0, vlookup($A366, Sleeper!$B$2:$E$330, 4, false))</f>
        <v>0</v>
      </c>
      <c r="H366" s="37">
        <f>if(ISNA(vlookup($A366, ESPN!$B$2:$E$297, 4, false)), 0, vlookup($A366, ESPN!$B$2:$E$297, 4, false))</f>
        <v>0</v>
      </c>
      <c r="I366" s="37">
        <f>if(ISNA(vlookup($A366,'Ultimate Draft Kit'!$B$2:$E$324,4, false)), 0, vlookup($A366,'Ultimate Draft Kit'!$B$2:$E$324, 4, false))</f>
        <v>0</v>
      </c>
      <c r="J366" s="38">
        <f>if(ISNA(vlookup($A366,Rotowire!$B$2:$E$1075,4, false)), 0, vlookup($A366,Rotowire!$B$2:$E$1075, 4, false))</f>
        <v>0</v>
      </c>
      <c r="K366" s="37">
        <f>if(ISNA(vlookup($A366, FantasyPro!$B$2:$E$341,4,false)),0,vlookup($A366,FantasyPro!$B$2:$E$341,4,false))</f>
        <v>0</v>
      </c>
      <c r="L366" s="37">
        <f>if(ISNA(vlookup($A366, FFToolbox!$B$2:$E$414, 4, false)), 0, vlookup($A366, FFToolbox!$B$2:$E$414, 4, false))</f>
        <v>0</v>
      </c>
      <c r="M366" s="39">
        <f t="shared" si="1"/>
        <v>0</v>
      </c>
      <c r="N366" s="39">
        <f t="shared" si="2"/>
        <v>0</v>
      </c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</row>
    <row r="367">
      <c r="A367" s="17" t="s">
        <v>264</v>
      </c>
      <c r="B367" s="35" t="s">
        <v>1259</v>
      </c>
      <c r="C367" s="35">
        <v>10.0</v>
      </c>
      <c r="D367" s="36" t="s">
        <v>53</v>
      </c>
      <c r="E367" s="36" t="s">
        <v>13</v>
      </c>
      <c r="F367" s="36">
        <f>vlookup(D367,'Team Bye List'!$A$1:$B$33,2,False)</f>
        <v>9</v>
      </c>
      <c r="G367" s="37">
        <f>if(ISNA(vlookup($A367, Sleeper!$B$2:$E$330, 4, false)), 0, vlookup($A367, Sleeper!$B$2:$E$330, 4, false))</f>
        <v>1</v>
      </c>
      <c r="H367" s="37">
        <f>if(ISNA(vlookup($A367, ESPN!$B$2:$E$297, 4, false)), 0, vlookup($A367, ESPN!$B$2:$E$297, 4, false))</f>
        <v>0</v>
      </c>
      <c r="I367" s="37">
        <f>if(ISNA(vlookup($A367,'Ultimate Draft Kit'!$B$2:$E$324,4, false)), 0, vlookup($A367,'Ultimate Draft Kit'!$B$2:$E$324, 4, false))</f>
        <v>1</v>
      </c>
      <c r="J367" s="38">
        <f>if(ISNA(vlookup($A367,Rotowire!$B$2:$E$1075,4, false)), 0, vlookup($A367,Rotowire!$B$2:$E$1075, 4, false))</f>
        <v>0</v>
      </c>
      <c r="K367" s="37">
        <f>if(ISNA(vlookup($A367, FantasyPro!$B$2:$E$341,4,false)),0,vlookup($A367,FantasyPro!$B$2:$E$341,4,false))</f>
        <v>0</v>
      </c>
      <c r="L367" s="37">
        <f>if(ISNA(vlookup($A367, FFToolbox!$B$2:$E$414, 4, false)), 0, vlookup($A367, FFToolbox!$B$2:$E$414, 4, false))</f>
        <v>1</v>
      </c>
      <c r="M367" s="39">
        <f t="shared" si="1"/>
        <v>0.5</v>
      </c>
      <c r="N367" s="39">
        <f t="shared" si="2"/>
        <v>1</v>
      </c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</row>
    <row r="368">
      <c r="A368" s="17" t="s">
        <v>545</v>
      </c>
      <c r="B368" s="35" t="s">
        <v>1259</v>
      </c>
      <c r="C368" s="35">
        <v>10.0</v>
      </c>
      <c r="D368" s="36" t="s">
        <v>119</v>
      </c>
      <c r="E368" s="36" t="s">
        <v>13</v>
      </c>
      <c r="F368" s="36">
        <f>vlookup(D368,'Team Bye List'!$A$1:$B$33,2,False)</f>
        <v>10</v>
      </c>
      <c r="G368" s="37">
        <f>if(ISNA(vlookup($A368, Sleeper!$B$2:$E$330, 4, false)), 0, vlookup($A368, Sleeper!$B$2:$E$330, 4, false))</f>
        <v>1</v>
      </c>
      <c r="H368" s="37">
        <f>if(ISNA(vlookup($A368, ESPN!$B$2:$E$297, 4, false)), 0, vlookup($A368, ESPN!$B$2:$E$297, 4, false))</f>
        <v>0</v>
      </c>
      <c r="I368" s="37">
        <f>if(ISNA(vlookup($A368,'Ultimate Draft Kit'!$B$2:$E$324,4, false)), 0, vlookup($A368,'Ultimate Draft Kit'!$B$2:$E$324, 4, false))</f>
        <v>1</v>
      </c>
      <c r="J368" s="38">
        <f>if(ISNA(vlookup($A368,Rotowire!$B$2:$E$1075,4, false)), 0, vlookup($A368,Rotowire!$B$2:$E$1075, 4, false))</f>
        <v>0</v>
      </c>
      <c r="K368" s="37">
        <f>if(ISNA(vlookup($A368, FantasyPro!$B$2:$E$341,4,false)),0,vlookup($A368,FantasyPro!$B$2:$E$341,4,false))</f>
        <v>0</v>
      </c>
      <c r="L368" s="37">
        <f>if(ISNA(vlookup($A368, FFToolbox!$B$2:$E$414, 4, false)), 0, vlookup($A368, FFToolbox!$B$2:$E$414, 4, false))</f>
        <v>1</v>
      </c>
      <c r="M368" s="39">
        <f t="shared" si="1"/>
        <v>0.5</v>
      </c>
      <c r="N368" s="39">
        <f t="shared" si="2"/>
        <v>1</v>
      </c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</row>
    <row r="369">
      <c r="A369" s="17" t="s">
        <v>757</v>
      </c>
      <c r="B369" s="35" t="s">
        <v>1259</v>
      </c>
      <c r="C369" s="36"/>
      <c r="D369" s="36" t="s">
        <v>17</v>
      </c>
      <c r="E369" s="36" t="s">
        <v>59</v>
      </c>
      <c r="F369" s="36">
        <f>vlookup(D369,'Team Bye List'!$A$1:$B$33,2,False)</f>
        <v>7</v>
      </c>
      <c r="G369" s="37">
        <f>if(ISNA(vlookup($A369, Sleeper!$B$2:$E$330, 4, false)), 0, vlookup($A369, Sleeper!$B$2:$E$330, 4, false))</f>
        <v>0</v>
      </c>
      <c r="H369" s="37">
        <f>if(ISNA(vlookup($A369, ESPN!$B$2:$E$297, 4, false)), 0, vlookup($A369, ESPN!$B$2:$E$297, 4, false))</f>
        <v>0</v>
      </c>
      <c r="I369" s="37">
        <f>if(ISNA(vlookup($A369,'Ultimate Draft Kit'!$B$2:$E$324,4, false)), 0, vlookup($A369,'Ultimate Draft Kit'!$B$2:$E$324, 4, false))</f>
        <v>0</v>
      </c>
      <c r="J369" s="38">
        <f>if(ISNA(vlookup($A369,Rotowire!$B$2:$E$1075,4, false)), 0, vlookup($A369,Rotowire!$B$2:$E$1075, 4, false))</f>
        <v>0</v>
      </c>
      <c r="K369" s="37">
        <f>if(ISNA(vlookup($A369, FantasyPro!$B$2:$E$341,4,false)),0,vlookup($A369,FantasyPro!$B$2:$E$341,4,false))</f>
        <v>0</v>
      </c>
      <c r="L369" s="37">
        <f>if(ISNA(vlookup($A369, FFToolbox!$B$2:$E$414, 4, false)), 0, vlookup($A369, FFToolbox!$B$2:$E$414, 4, false))</f>
        <v>1</v>
      </c>
      <c r="M369" s="39">
        <f t="shared" si="1"/>
        <v>0.1666666667</v>
      </c>
      <c r="N369" s="39">
        <f t="shared" si="2"/>
        <v>1</v>
      </c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</row>
    <row r="370">
      <c r="A370" s="17" t="s">
        <v>748</v>
      </c>
      <c r="B370" s="35" t="s">
        <v>1259</v>
      </c>
      <c r="C370" s="36"/>
      <c r="D370" s="36" t="s">
        <v>35</v>
      </c>
      <c r="E370" s="36" t="s">
        <v>59</v>
      </c>
      <c r="F370" s="36">
        <f>vlookup(D370,'Team Bye List'!$A$1:$B$33,2,False)</f>
        <v>6</v>
      </c>
      <c r="G370" s="37">
        <f>if(ISNA(vlookup($A370, Sleeper!$B$2:$E$330, 4, false)), 0, vlookup($A370, Sleeper!$B$2:$E$330, 4, false))</f>
        <v>0</v>
      </c>
      <c r="H370" s="37">
        <f>if(ISNA(vlookup($A370, ESPN!$B$2:$E$297, 4, false)), 0, vlookup($A370, ESPN!$B$2:$E$297, 4, false))</f>
        <v>0</v>
      </c>
      <c r="I370" s="37">
        <f>if(ISNA(vlookup($A370,'Ultimate Draft Kit'!$B$2:$E$324,4, false)), 0, vlookup($A370,'Ultimate Draft Kit'!$B$2:$E$324, 4, false))</f>
        <v>0</v>
      </c>
      <c r="J370" s="38">
        <f>if(ISNA(vlookup($A370,Rotowire!$B$2:$E$1075,4, false)), 0, vlookup($A370,Rotowire!$B$2:$E$1075, 4, false))</f>
        <v>0</v>
      </c>
      <c r="K370" s="37">
        <f>if(ISNA(vlookup($A370, FantasyPro!$B$2:$E$341,4,false)),0,vlookup($A370,FantasyPro!$B$2:$E$341,4,false))</f>
        <v>0</v>
      </c>
      <c r="L370" s="37">
        <f>if(ISNA(vlookup($A370, FFToolbox!$B$2:$E$414, 4, false)), 0, vlookup($A370, FFToolbox!$B$2:$E$414, 4, false))</f>
        <v>1</v>
      </c>
      <c r="M370" s="39">
        <f t="shared" si="1"/>
        <v>0.1666666667</v>
      </c>
      <c r="N370" s="39">
        <f t="shared" si="2"/>
        <v>1</v>
      </c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</row>
    <row r="371">
      <c r="A371" s="17" t="s">
        <v>533</v>
      </c>
      <c r="B371" s="35" t="s">
        <v>1259</v>
      </c>
      <c r="C371" s="35">
        <v>10.0</v>
      </c>
      <c r="D371" s="36" t="s">
        <v>30</v>
      </c>
      <c r="E371" s="36" t="s">
        <v>13</v>
      </c>
      <c r="F371" s="36">
        <f>vlookup(D371,'Team Bye List'!$A$1:$B$33,2,False)</f>
        <v>7</v>
      </c>
      <c r="G371" s="37">
        <f>if(ISNA(vlookup($A371, Sleeper!$B$2:$E$330, 4, false)), 0, vlookup($A371, Sleeper!$B$2:$E$330, 4, false))</f>
        <v>1</v>
      </c>
      <c r="H371" s="37">
        <f>if(ISNA(vlookup($A371, ESPN!$B$2:$E$297, 4, false)), 0, vlookup($A371, ESPN!$B$2:$E$297, 4, false))</f>
        <v>0</v>
      </c>
      <c r="I371" s="37">
        <f>if(ISNA(vlookup($A371,'Ultimate Draft Kit'!$B$2:$E$324,4, false)), 0, vlookup($A371,'Ultimate Draft Kit'!$B$2:$E$324, 4, false))</f>
        <v>1</v>
      </c>
      <c r="J371" s="38">
        <f>if(ISNA(vlookup($A371,Rotowire!$B$2:$E$1075,4, false)), 0, vlookup($A371,Rotowire!$B$2:$E$1075, 4, false))</f>
        <v>0</v>
      </c>
      <c r="K371" s="37">
        <f>if(ISNA(vlookup($A371, FantasyPro!$B$2:$E$341,4,false)),0,vlookup($A371,FantasyPro!$B$2:$E$341,4,false))</f>
        <v>0</v>
      </c>
      <c r="L371" s="37">
        <f>if(ISNA(vlookup($A371, FFToolbox!$B$2:$E$414, 4, false)), 0, vlookup($A371, FFToolbox!$B$2:$E$414, 4, false))</f>
        <v>1</v>
      </c>
      <c r="M371" s="39">
        <f t="shared" si="1"/>
        <v>0.5</v>
      </c>
      <c r="N371" s="39">
        <f t="shared" si="2"/>
        <v>1</v>
      </c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</row>
    <row r="372">
      <c r="A372" s="17" t="s">
        <v>729</v>
      </c>
      <c r="B372" s="35" t="s">
        <v>1259</v>
      </c>
      <c r="C372" s="36"/>
      <c r="D372" s="36" t="s">
        <v>39</v>
      </c>
      <c r="E372" s="36" t="s">
        <v>59</v>
      </c>
      <c r="F372" s="36">
        <f>vlookup(D372,'Team Bye List'!$A$1:$B$33,2,False)</f>
        <v>11</v>
      </c>
      <c r="G372" s="37">
        <f>if(ISNA(vlookup($A372, Sleeper!$B$2:$E$330, 4, false)), 0, vlookup($A372, Sleeper!$B$2:$E$330, 4, false))</f>
        <v>0</v>
      </c>
      <c r="H372" s="37">
        <f>if(ISNA(vlookup($A372, ESPN!$B$2:$E$297, 4, false)), 0, vlookup($A372, ESPN!$B$2:$E$297, 4, false))</f>
        <v>0</v>
      </c>
      <c r="I372" s="37">
        <f>if(ISNA(vlookup($A372,'Ultimate Draft Kit'!$B$2:$E$324,4, false)), 0, vlookup($A372,'Ultimate Draft Kit'!$B$2:$E$324, 4, false))</f>
        <v>0</v>
      </c>
      <c r="J372" s="38">
        <f>if(ISNA(vlookup($A372,Rotowire!$B$2:$E$1075,4, false)), 0, vlookup($A372,Rotowire!$B$2:$E$1075, 4, false))</f>
        <v>0</v>
      </c>
      <c r="K372" s="37">
        <f>if(ISNA(vlookup($A372, FantasyPro!$B$2:$E$341,4,false)),0,vlookup($A372,FantasyPro!$B$2:$E$341,4,false))</f>
        <v>0</v>
      </c>
      <c r="L372" s="37">
        <f>if(ISNA(vlookup($A372, FFToolbox!$B$2:$E$414, 4, false)), 0, vlookup($A372, FFToolbox!$B$2:$E$414, 4, false))</f>
        <v>0</v>
      </c>
      <c r="M372" s="39">
        <f t="shared" si="1"/>
        <v>0</v>
      </c>
      <c r="N372" s="39">
        <f t="shared" si="2"/>
        <v>0</v>
      </c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</row>
    <row r="373">
      <c r="A373" s="17" t="s">
        <v>769</v>
      </c>
      <c r="B373" s="35" t="s">
        <v>1259</v>
      </c>
      <c r="C373" s="36"/>
      <c r="D373" s="36" t="s">
        <v>21</v>
      </c>
      <c r="E373" s="36" t="s">
        <v>59</v>
      </c>
      <c r="F373" s="36">
        <f>vlookup(D373,'Team Bye List'!$A$1:$B$33,2,False)</f>
        <v>6</v>
      </c>
      <c r="G373" s="37">
        <f>if(ISNA(vlookup($A373, Sleeper!$B$2:$E$330, 4, false)), 0, vlookup($A373, Sleeper!$B$2:$E$330, 4, false))</f>
        <v>0</v>
      </c>
      <c r="H373" s="37">
        <f>if(ISNA(vlookup($A373, ESPN!$B$2:$E$297, 4, false)), 0, vlookup($A373, ESPN!$B$2:$E$297, 4, false))</f>
        <v>0</v>
      </c>
      <c r="I373" s="37">
        <f>if(ISNA(vlookup($A373,'Ultimate Draft Kit'!$B$2:$E$324,4, false)), 0, vlookup($A373,'Ultimate Draft Kit'!$B$2:$E$324, 4, false))</f>
        <v>0</v>
      </c>
      <c r="J373" s="38">
        <f>if(ISNA(vlookup($A373,Rotowire!$B$2:$E$1075,4, false)), 0, vlookup($A373,Rotowire!$B$2:$E$1075, 4, false))</f>
        <v>0</v>
      </c>
      <c r="K373" s="37">
        <f>if(ISNA(vlookup($A373, FantasyPro!$B$2:$E$341,4,false)),0,vlookup($A373,FantasyPro!$B$2:$E$341,4,false))</f>
        <v>0</v>
      </c>
      <c r="L373" s="37">
        <f>if(ISNA(vlookup($A373, FFToolbox!$B$2:$E$414, 4, false)), 0, vlookup($A373, FFToolbox!$B$2:$E$414, 4, false))</f>
        <v>0</v>
      </c>
      <c r="M373" s="39">
        <f t="shared" si="1"/>
        <v>0</v>
      </c>
      <c r="N373" s="39">
        <f t="shared" si="2"/>
        <v>0</v>
      </c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</row>
    <row r="374">
      <c r="A374" s="17" t="s">
        <v>910</v>
      </c>
      <c r="B374" s="35" t="s">
        <v>1259</v>
      </c>
      <c r="C374" s="36"/>
      <c r="D374" s="36" t="s">
        <v>73</v>
      </c>
      <c r="E374" s="36" t="s">
        <v>59</v>
      </c>
      <c r="F374" s="36">
        <f>vlookup(D374,'Team Bye List'!$A$1:$B$33,2,False)</f>
        <v>14</v>
      </c>
      <c r="G374" s="37">
        <f>if(ISNA(vlookup($A374, Sleeper!$B$2:$E$330, 4, false)), 0, vlookup($A374, Sleeper!$B$2:$E$330, 4, false))</f>
        <v>0</v>
      </c>
      <c r="H374" s="37">
        <f>if(ISNA(vlookup($A374, ESPN!$B$2:$E$297, 4, false)), 0, vlookup($A374, ESPN!$B$2:$E$297, 4, false))</f>
        <v>0</v>
      </c>
      <c r="I374" s="37">
        <f>if(ISNA(vlookup($A374,'Ultimate Draft Kit'!$B$2:$E$324,4, false)), 0, vlookup($A374,'Ultimate Draft Kit'!$B$2:$E$324, 4, false))</f>
        <v>0</v>
      </c>
      <c r="J374" s="38">
        <f>if(ISNA(vlookup($A374,Rotowire!$B$2:$E$1075,4, false)), 0, vlookup($A374,Rotowire!$B$2:$E$1075, 4, false))</f>
        <v>0</v>
      </c>
      <c r="K374" s="37">
        <f>if(ISNA(vlookup($A374, FantasyPro!$B$2:$E$341,4,false)),0,vlookup($A374,FantasyPro!$B$2:$E$341,4,false))</f>
        <v>0</v>
      </c>
      <c r="L374" s="37">
        <f>if(ISNA(vlookup($A374, FFToolbox!$B$2:$E$414, 4, false)), 0, vlookup($A374, FFToolbox!$B$2:$E$414, 4, false))</f>
        <v>0</v>
      </c>
      <c r="M374" s="39">
        <f t="shared" si="1"/>
        <v>0</v>
      </c>
      <c r="N374" s="39">
        <f t="shared" si="2"/>
        <v>0</v>
      </c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</row>
    <row r="375">
      <c r="A375" s="17" t="s">
        <v>758</v>
      </c>
      <c r="B375" s="35" t="s">
        <v>1259</v>
      </c>
      <c r="C375" s="36"/>
      <c r="D375" s="36" t="s">
        <v>89</v>
      </c>
      <c r="E375" s="36" t="s">
        <v>59</v>
      </c>
      <c r="F375" s="36">
        <f>vlookup(D375,'Team Bye List'!$A$1:$B$33,2,False)</f>
        <v>14</v>
      </c>
      <c r="G375" s="37">
        <f>if(ISNA(vlookup($A375, Sleeper!$B$2:$E$330, 4, false)), 0, vlookup($A375, Sleeper!$B$2:$E$330, 4, false))</f>
        <v>0</v>
      </c>
      <c r="H375" s="37">
        <f>if(ISNA(vlookup($A375, ESPN!$B$2:$E$297, 4, false)), 0, vlookup($A375, ESPN!$B$2:$E$297, 4, false))</f>
        <v>0</v>
      </c>
      <c r="I375" s="37">
        <f>if(ISNA(vlookup($A375,'Ultimate Draft Kit'!$B$2:$E$324,4, false)), 0, vlookup($A375,'Ultimate Draft Kit'!$B$2:$E$324, 4, false))</f>
        <v>0</v>
      </c>
      <c r="J375" s="38">
        <f>if(ISNA(vlookup($A375,Rotowire!$B$2:$E$1075,4, false)), 0, vlookup($A375,Rotowire!$B$2:$E$1075, 4, false))</f>
        <v>0</v>
      </c>
      <c r="K375" s="37">
        <f>if(ISNA(vlookup($A375, FantasyPro!$B$2:$E$341,4,false)),0,vlookup($A375,FantasyPro!$B$2:$E$341,4,false))</f>
        <v>0</v>
      </c>
      <c r="L375" s="37">
        <f>if(ISNA(vlookup($A375, FFToolbox!$B$2:$E$414, 4, false)), 0, vlookup($A375, FFToolbox!$B$2:$E$414, 4, false))</f>
        <v>0</v>
      </c>
      <c r="M375" s="39">
        <f t="shared" si="1"/>
        <v>0</v>
      </c>
      <c r="N375" s="39">
        <f t="shared" si="2"/>
        <v>0</v>
      </c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</row>
    <row r="376">
      <c r="A376" s="17" t="s">
        <v>911</v>
      </c>
      <c r="B376" s="35" t="s">
        <v>1259</v>
      </c>
      <c r="C376" s="36"/>
      <c r="D376" s="36" t="s">
        <v>37</v>
      </c>
      <c r="E376" s="36" t="s">
        <v>59</v>
      </c>
      <c r="F376" s="36">
        <f>vlookup(D376,'Team Bye List'!$A$1:$B$33,2,False)</f>
        <v>11</v>
      </c>
      <c r="G376" s="37">
        <f>if(ISNA(vlookup($A376, Sleeper!$B$2:$E$330, 4, false)), 0, vlookup($A376, Sleeper!$B$2:$E$330, 4, false))</f>
        <v>0</v>
      </c>
      <c r="H376" s="37">
        <f>if(ISNA(vlookup($A376, ESPN!$B$2:$E$297, 4, false)), 0, vlookup($A376, ESPN!$B$2:$E$297, 4, false))</f>
        <v>0</v>
      </c>
      <c r="I376" s="37">
        <f>if(ISNA(vlookup($A376,'Ultimate Draft Kit'!$B$2:$E$324,4, false)), 0, vlookup($A376,'Ultimate Draft Kit'!$B$2:$E$324, 4, false))</f>
        <v>0</v>
      </c>
      <c r="J376" s="38">
        <f>if(ISNA(vlookup($A376,Rotowire!$B$2:$E$1075,4, false)), 0, vlookup($A376,Rotowire!$B$2:$E$1075, 4, false))</f>
        <v>0</v>
      </c>
      <c r="K376" s="37">
        <f>if(ISNA(vlookup($A376, FantasyPro!$B$2:$E$341,4,false)),0,vlookup($A376,FantasyPro!$B$2:$E$341,4,false))</f>
        <v>0</v>
      </c>
      <c r="L376" s="37">
        <f>if(ISNA(vlookup($A376, FFToolbox!$B$2:$E$414, 4, false)), 0, vlookup($A376, FFToolbox!$B$2:$E$414, 4, false))</f>
        <v>0</v>
      </c>
      <c r="M376" s="39">
        <f t="shared" si="1"/>
        <v>0</v>
      </c>
      <c r="N376" s="39">
        <f t="shared" si="2"/>
        <v>0</v>
      </c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</row>
    <row r="377">
      <c r="A377" s="17" t="s">
        <v>850</v>
      </c>
      <c r="B377" s="35" t="s">
        <v>1259</v>
      </c>
      <c r="C377" s="36"/>
      <c r="D377" s="36" t="s">
        <v>39</v>
      </c>
      <c r="E377" s="36" t="s">
        <v>59</v>
      </c>
      <c r="F377" s="36">
        <f>vlookup(D377,'Team Bye List'!$A$1:$B$33,2,False)</f>
        <v>11</v>
      </c>
      <c r="G377" s="37">
        <f>if(ISNA(vlookup($A377, Sleeper!$B$2:$E$330, 4, false)), 0, vlookup($A377, Sleeper!$B$2:$E$330, 4, false))</f>
        <v>0</v>
      </c>
      <c r="H377" s="37">
        <f>if(ISNA(vlookup($A377, ESPN!$B$2:$E$297, 4, false)), 0, vlookup($A377, ESPN!$B$2:$E$297, 4, false))</f>
        <v>0</v>
      </c>
      <c r="I377" s="37">
        <f>if(ISNA(vlookup($A377,'Ultimate Draft Kit'!$B$2:$E$324,4, false)), 0, vlookup($A377,'Ultimate Draft Kit'!$B$2:$E$324, 4, false))</f>
        <v>0</v>
      </c>
      <c r="J377" s="38">
        <f>if(ISNA(vlookup($A377,Rotowire!$B$2:$E$1075,4, false)), 0, vlookup($A377,Rotowire!$B$2:$E$1075, 4, false))</f>
        <v>0</v>
      </c>
      <c r="K377" s="37">
        <f>if(ISNA(vlookup($A377, FantasyPro!$B$2:$E$341,4,false)),0,vlookup($A377,FantasyPro!$B$2:$E$341,4,false))</f>
        <v>0</v>
      </c>
      <c r="L377" s="37">
        <f>if(ISNA(vlookup($A377, FFToolbox!$B$2:$E$414, 4, false)), 0, vlookup($A377, FFToolbox!$B$2:$E$414, 4, false))</f>
        <v>1</v>
      </c>
      <c r="M377" s="39">
        <f t="shared" si="1"/>
        <v>0.1666666667</v>
      </c>
      <c r="N377" s="39">
        <f t="shared" si="2"/>
        <v>1</v>
      </c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</row>
    <row r="378">
      <c r="A378" s="17" t="s">
        <v>912</v>
      </c>
      <c r="B378" s="35" t="s">
        <v>1259</v>
      </c>
      <c r="C378" s="36"/>
      <c r="D378" s="36" t="s">
        <v>15</v>
      </c>
      <c r="E378" s="36" t="s">
        <v>59</v>
      </c>
      <c r="F378" s="36">
        <f>vlookup(D378,'Team Bye List'!$A$1:$B$33,2,False)</f>
        <v>6</v>
      </c>
      <c r="G378" s="37">
        <f>if(ISNA(vlookup($A378, Sleeper!$B$2:$E$330, 4, false)), 0, vlookup($A378, Sleeper!$B$2:$E$330, 4, false))</f>
        <v>0</v>
      </c>
      <c r="H378" s="37">
        <f>if(ISNA(vlookup($A378, ESPN!$B$2:$E$297, 4, false)), 0, vlookup($A378, ESPN!$B$2:$E$297, 4, false))</f>
        <v>0</v>
      </c>
      <c r="I378" s="37">
        <f>if(ISNA(vlookup($A378,'Ultimate Draft Kit'!$B$2:$E$324,4, false)), 0, vlookup($A378,'Ultimate Draft Kit'!$B$2:$E$324, 4, false))</f>
        <v>0</v>
      </c>
      <c r="J378" s="38">
        <f>if(ISNA(vlookup($A378,Rotowire!$B$2:$E$1075,4, false)), 0, vlookup($A378,Rotowire!$B$2:$E$1075, 4, false))</f>
        <v>0</v>
      </c>
      <c r="K378" s="37">
        <f>if(ISNA(vlookup($A378, FantasyPro!$B$2:$E$341,4,false)),0,vlookup($A378,FantasyPro!$B$2:$E$341,4,false))</f>
        <v>0</v>
      </c>
      <c r="L378" s="37">
        <f>if(ISNA(vlookup($A378, FFToolbox!$B$2:$E$414, 4, false)), 0, vlookup($A378, FFToolbox!$B$2:$E$414, 4, false))</f>
        <v>0</v>
      </c>
      <c r="M378" s="39">
        <f t="shared" si="1"/>
        <v>0</v>
      </c>
      <c r="N378" s="39">
        <f t="shared" si="2"/>
        <v>0</v>
      </c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</row>
    <row r="379">
      <c r="A379" s="17" t="s">
        <v>770</v>
      </c>
      <c r="B379" s="35" t="s">
        <v>1259</v>
      </c>
      <c r="C379" s="36"/>
      <c r="D379" s="36" t="s">
        <v>47</v>
      </c>
      <c r="E379" s="36" t="s">
        <v>59</v>
      </c>
      <c r="F379" s="36">
        <f>vlookup(D379,'Team Bye List'!$A$1:$B$33,2,False)</f>
        <v>14</v>
      </c>
      <c r="G379" s="37">
        <f>if(ISNA(vlookup($A379, Sleeper!$B$2:$E$330, 4, false)), 0, vlookup($A379, Sleeper!$B$2:$E$330, 4, false))</f>
        <v>0</v>
      </c>
      <c r="H379" s="37">
        <f>if(ISNA(vlookup($A379, ESPN!$B$2:$E$297, 4, false)), 0, vlookup($A379, ESPN!$B$2:$E$297, 4, false))</f>
        <v>0</v>
      </c>
      <c r="I379" s="37">
        <f>if(ISNA(vlookup($A379,'Ultimate Draft Kit'!$B$2:$E$324,4, false)), 0, vlookup($A379,'Ultimate Draft Kit'!$B$2:$E$324, 4, false))</f>
        <v>0</v>
      </c>
      <c r="J379" s="38">
        <f>if(ISNA(vlookup($A379,Rotowire!$B$2:$E$1075,4, false)), 0, vlookup($A379,Rotowire!$B$2:$E$1075, 4, false))</f>
        <v>0</v>
      </c>
      <c r="K379" s="37">
        <f>if(ISNA(vlookup($A379, FantasyPro!$B$2:$E$341,4,false)),0,vlookup($A379,FantasyPro!$B$2:$E$341,4,false))</f>
        <v>0</v>
      </c>
      <c r="L379" s="37">
        <f>if(ISNA(vlookup($A379, FFToolbox!$B$2:$E$414, 4, false)), 0, vlookup($A379, FFToolbox!$B$2:$E$414, 4, false))</f>
        <v>0</v>
      </c>
      <c r="M379" s="39">
        <f t="shared" si="1"/>
        <v>0</v>
      </c>
      <c r="N379" s="39">
        <f t="shared" si="2"/>
        <v>0</v>
      </c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</row>
    <row r="380">
      <c r="A380" s="17" t="s">
        <v>766</v>
      </c>
      <c r="B380" s="35" t="s">
        <v>1259</v>
      </c>
      <c r="C380" s="36"/>
      <c r="D380" s="36" t="s">
        <v>81</v>
      </c>
      <c r="E380" s="36" t="s">
        <v>59</v>
      </c>
      <c r="F380" s="36">
        <f>vlookup(D380,'Team Bye List'!$A$1:$B$33,2,False)</f>
        <v>6</v>
      </c>
      <c r="G380" s="37">
        <f>if(ISNA(vlookup($A380, Sleeper!$B$2:$E$330, 4, false)), 0, vlookup($A380, Sleeper!$B$2:$E$330, 4, false))</f>
        <v>0</v>
      </c>
      <c r="H380" s="37">
        <f>if(ISNA(vlookup($A380, ESPN!$B$2:$E$297, 4, false)), 0, vlookup($A380, ESPN!$B$2:$E$297, 4, false))</f>
        <v>0</v>
      </c>
      <c r="I380" s="37">
        <f>if(ISNA(vlookup($A380,'Ultimate Draft Kit'!$B$2:$E$324,4, false)), 0, vlookup($A380,'Ultimate Draft Kit'!$B$2:$E$324, 4, false))</f>
        <v>0</v>
      </c>
      <c r="J380" s="38">
        <f>if(ISNA(vlookup($A380,Rotowire!$B$2:$E$1075,4, false)), 0, vlookup($A380,Rotowire!$B$2:$E$1075, 4, false))</f>
        <v>0</v>
      </c>
      <c r="K380" s="37">
        <f>if(ISNA(vlookup($A380, FantasyPro!$B$2:$E$341,4,false)),0,vlookup($A380,FantasyPro!$B$2:$E$341,4,false))</f>
        <v>0</v>
      </c>
      <c r="L380" s="37">
        <f>if(ISNA(vlookup($A380, FFToolbox!$B$2:$E$414, 4, false)), 0, vlookup($A380, FFToolbox!$B$2:$E$414, 4, false))</f>
        <v>0</v>
      </c>
      <c r="M380" s="39">
        <f t="shared" si="1"/>
        <v>0</v>
      </c>
      <c r="N380" s="39">
        <f t="shared" si="2"/>
        <v>0</v>
      </c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</row>
    <row r="381">
      <c r="A381" s="17" t="s">
        <v>780</v>
      </c>
      <c r="B381" s="35" t="s">
        <v>1259</v>
      </c>
      <c r="C381" s="36"/>
      <c r="D381" s="36" t="s">
        <v>30</v>
      </c>
      <c r="E381" s="36" t="s">
        <v>59</v>
      </c>
      <c r="F381" s="36">
        <f>vlookup(D381,'Team Bye List'!$A$1:$B$33,2,False)</f>
        <v>7</v>
      </c>
      <c r="G381" s="37">
        <f>if(ISNA(vlookup($A381, Sleeper!$B$2:$E$330, 4, false)), 0, vlookup($A381, Sleeper!$B$2:$E$330, 4, false))</f>
        <v>0</v>
      </c>
      <c r="H381" s="37">
        <f>if(ISNA(vlookup($A381, ESPN!$B$2:$E$297, 4, false)), 0, vlookup($A381, ESPN!$B$2:$E$297, 4, false))</f>
        <v>0</v>
      </c>
      <c r="I381" s="37">
        <f>if(ISNA(vlookup($A381,'Ultimate Draft Kit'!$B$2:$E$324,4, false)), 0, vlookup($A381,'Ultimate Draft Kit'!$B$2:$E$324, 4, false))</f>
        <v>0</v>
      </c>
      <c r="J381" s="38">
        <f>if(ISNA(vlookup($A381,Rotowire!$B$2:$E$1075,4, false)), 0, vlookup($A381,Rotowire!$B$2:$E$1075, 4, false))</f>
        <v>0</v>
      </c>
      <c r="K381" s="37">
        <f>if(ISNA(vlookup($A381, FantasyPro!$B$2:$E$341,4,false)),0,vlookup($A381,FantasyPro!$B$2:$E$341,4,false))</f>
        <v>0</v>
      </c>
      <c r="L381" s="37">
        <f>if(ISNA(vlookup($A381, FFToolbox!$B$2:$E$414, 4, false)), 0, vlookup($A381, FFToolbox!$B$2:$E$414, 4, false))</f>
        <v>0</v>
      </c>
      <c r="M381" s="39">
        <f t="shared" si="1"/>
        <v>0</v>
      </c>
      <c r="N381" s="39">
        <f t="shared" si="2"/>
        <v>0</v>
      </c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</row>
    <row r="382">
      <c r="A382" s="17" t="s">
        <v>737</v>
      </c>
      <c r="B382" s="35" t="s">
        <v>1259</v>
      </c>
      <c r="C382" s="36"/>
      <c r="D382" s="36" t="s">
        <v>55</v>
      </c>
      <c r="E382" s="36" t="s">
        <v>59</v>
      </c>
      <c r="F382" s="36">
        <f>vlookup(D382,'Team Bye List'!$A$1:$B$33,2,False)</f>
        <v>14</v>
      </c>
      <c r="G382" s="37">
        <f>if(ISNA(vlookup($A382, Sleeper!$B$2:$E$330, 4, false)), 0, vlookup($A382, Sleeper!$B$2:$E$330, 4, false))</f>
        <v>0</v>
      </c>
      <c r="H382" s="37">
        <f>if(ISNA(vlookup($A382, ESPN!$B$2:$E$297, 4, false)), 0, vlookup($A382, ESPN!$B$2:$E$297, 4, false))</f>
        <v>0</v>
      </c>
      <c r="I382" s="37">
        <f>if(ISNA(vlookup($A382,'Ultimate Draft Kit'!$B$2:$E$324,4, false)), 0, vlookup($A382,'Ultimate Draft Kit'!$B$2:$E$324, 4, false))</f>
        <v>0</v>
      </c>
      <c r="J382" s="38">
        <f>if(ISNA(vlookup($A382,Rotowire!$B$2:$E$1075,4, false)), 0, vlookup($A382,Rotowire!$B$2:$E$1075, 4, false))</f>
        <v>0</v>
      </c>
      <c r="K382" s="37">
        <f>if(ISNA(vlookup($A382, FantasyPro!$B$2:$E$341,4,false)),0,vlookup($A382,FantasyPro!$B$2:$E$341,4,false))</f>
        <v>0</v>
      </c>
      <c r="L382" s="37">
        <f>if(ISNA(vlookup($A382, FFToolbox!$B$2:$E$414, 4, false)), 0, vlookup($A382, FFToolbox!$B$2:$E$414, 4, false))</f>
        <v>0</v>
      </c>
      <c r="M382" s="39">
        <f t="shared" si="1"/>
        <v>0</v>
      </c>
      <c r="N382" s="39">
        <f t="shared" si="2"/>
        <v>0</v>
      </c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</row>
    <row r="383">
      <c r="A383" s="17" t="s">
        <v>773</v>
      </c>
      <c r="B383" s="35" t="s">
        <v>1259</v>
      </c>
      <c r="C383" s="36"/>
      <c r="D383" s="36" t="s">
        <v>43</v>
      </c>
      <c r="E383" s="36" t="s">
        <v>59</v>
      </c>
      <c r="F383" s="36">
        <f>vlookup(D383,'Team Bye List'!$A$1:$B$33,2,False)</f>
        <v>9</v>
      </c>
      <c r="G383" s="37">
        <f>if(ISNA(vlookup($A383, Sleeper!$B$2:$E$330, 4, false)), 0, vlookup($A383, Sleeper!$B$2:$E$330, 4, false))</f>
        <v>0</v>
      </c>
      <c r="H383" s="37">
        <f>if(ISNA(vlookup($A383, ESPN!$B$2:$E$297, 4, false)), 0, vlookup($A383, ESPN!$B$2:$E$297, 4, false))</f>
        <v>0</v>
      </c>
      <c r="I383" s="37">
        <f>if(ISNA(vlookup($A383,'Ultimate Draft Kit'!$B$2:$E$324,4, false)), 0, vlookup($A383,'Ultimate Draft Kit'!$B$2:$E$324, 4, false))</f>
        <v>0</v>
      </c>
      <c r="J383" s="38">
        <f>if(ISNA(vlookup($A383,Rotowire!$B$2:$E$1075,4, false)), 0, vlookup($A383,Rotowire!$B$2:$E$1075, 4, false))</f>
        <v>0</v>
      </c>
      <c r="K383" s="37">
        <f>if(ISNA(vlookup($A383, FantasyPro!$B$2:$E$341,4,false)),0,vlookup($A383,FantasyPro!$B$2:$E$341,4,false))</f>
        <v>0</v>
      </c>
      <c r="L383" s="37">
        <f>if(ISNA(vlookup($A383, FFToolbox!$B$2:$E$414, 4, false)), 0, vlookup($A383, FFToolbox!$B$2:$E$414, 4, false))</f>
        <v>0</v>
      </c>
      <c r="M383" s="39">
        <f t="shared" si="1"/>
        <v>0</v>
      </c>
      <c r="N383" s="39">
        <f t="shared" si="2"/>
        <v>0</v>
      </c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</row>
    <row r="384">
      <c r="A384" s="17" t="s">
        <v>759</v>
      </c>
      <c r="B384" s="35" t="s">
        <v>1259</v>
      </c>
      <c r="C384" s="36"/>
      <c r="D384" s="36" t="s">
        <v>19</v>
      </c>
      <c r="E384" s="36" t="s">
        <v>59</v>
      </c>
      <c r="F384" s="36">
        <f>vlookup(D384,'Team Bye List'!$A$1:$B$33,2,False)</f>
        <v>10</v>
      </c>
      <c r="G384" s="37">
        <f>if(ISNA(vlookup($A384, Sleeper!$B$2:$E$330, 4, false)), 0, vlookup($A384, Sleeper!$B$2:$E$330, 4, false))</f>
        <v>0</v>
      </c>
      <c r="H384" s="37">
        <f>if(ISNA(vlookup($A384, ESPN!$B$2:$E$297, 4, false)), 0, vlookup($A384, ESPN!$B$2:$E$297, 4, false))</f>
        <v>0</v>
      </c>
      <c r="I384" s="37">
        <f>if(ISNA(vlookup($A384,'Ultimate Draft Kit'!$B$2:$E$324,4, false)), 0, vlookup($A384,'Ultimate Draft Kit'!$B$2:$E$324, 4, false))</f>
        <v>0</v>
      </c>
      <c r="J384" s="38">
        <f>if(ISNA(vlookup($A384,Rotowire!$B$2:$E$1075,4, false)), 0, vlookup($A384,Rotowire!$B$2:$E$1075, 4, false))</f>
        <v>0</v>
      </c>
      <c r="K384" s="37">
        <f>if(ISNA(vlookup($A384, FantasyPro!$B$2:$E$341,4,false)),0,vlookup($A384,FantasyPro!$B$2:$E$341,4,false))</f>
        <v>0</v>
      </c>
      <c r="L384" s="37">
        <f>if(ISNA(vlookup($A384, FFToolbox!$B$2:$E$414, 4, false)), 0, vlookup($A384, FFToolbox!$B$2:$E$414, 4, false))</f>
        <v>0</v>
      </c>
      <c r="M384" s="39">
        <f t="shared" si="1"/>
        <v>0</v>
      </c>
      <c r="N384" s="39">
        <f t="shared" si="2"/>
        <v>0</v>
      </c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</row>
    <row r="385">
      <c r="A385" s="17" t="s">
        <v>742</v>
      </c>
      <c r="B385" s="35" t="s">
        <v>1259</v>
      </c>
      <c r="C385" s="36"/>
      <c r="D385" s="36" t="s">
        <v>25</v>
      </c>
      <c r="E385" s="36" t="s">
        <v>59</v>
      </c>
      <c r="F385" s="36">
        <f>vlookup(D385,'Team Bye List'!$A$1:$B$33,2,False)</f>
        <v>7</v>
      </c>
      <c r="G385" s="37">
        <f>if(ISNA(vlookup($A385, Sleeper!$B$2:$E$330, 4, false)), 0, vlookup($A385, Sleeper!$B$2:$E$330, 4, false))</f>
        <v>0</v>
      </c>
      <c r="H385" s="37">
        <f>if(ISNA(vlookup($A385, ESPN!$B$2:$E$297, 4, false)), 0, vlookup($A385, ESPN!$B$2:$E$297, 4, false))</f>
        <v>0</v>
      </c>
      <c r="I385" s="37">
        <f>if(ISNA(vlookup($A385,'Ultimate Draft Kit'!$B$2:$E$324,4, false)), 0, vlookup($A385,'Ultimate Draft Kit'!$B$2:$E$324, 4, false))</f>
        <v>0</v>
      </c>
      <c r="J385" s="38">
        <f>if(ISNA(vlookup($A385,Rotowire!$B$2:$E$1075,4, false)), 0, vlookup($A385,Rotowire!$B$2:$E$1075, 4, false))</f>
        <v>0</v>
      </c>
      <c r="K385" s="37">
        <f>if(ISNA(vlookup($A385, FantasyPro!$B$2:$E$341,4,false)),0,vlookup($A385,FantasyPro!$B$2:$E$341,4,false))</f>
        <v>0</v>
      </c>
      <c r="L385" s="37">
        <f>if(ISNA(vlookup($A385, FFToolbox!$B$2:$E$414, 4, false)), 0, vlookup($A385, FFToolbox!$B$2:$E$414, 4, false))</f>
        <v>0</v>
      </c>
      <c r="M385" s="39">
        <f t="shared" si="1"/>
        <v>0</v>
      </c>
      <c r="N385" s="39">
        <f t="shared" si="2"/>
        <v>0</v>
      </c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</row>
    <row r="386">
      <c r="A386" s="17" t="s">
        <v>716</v>
      </c>
      <c r="B386" s="35" t="s">
        <v>1259</v>
      </c>
      <c r="C386" s="36"/>
      <c r="D386" s="36" t="s">
        <v>69</v>
      </c>
      <c r="E386" s="36" t="s">
        <v>59</v>
      </c>
      <c r="F386" s="36">
        <f>vlookup(D386,'Team Bye List'!$A$1:$B$33,2,False)</f>
        <v>10</v>
      </c>
      <c r="G386" s="37">
        <f>if(ISNA(vlookup($A386, Sleeper!$B$2:$E$330, 4, false)), 0, vlookup($A386, Sleeper!$B$2:$E$330, 4, false))</f>
        <v>0</v>
      </c>
      <c r="H386" s="37">
        <f>if(ISNA(vlookup($A386, ESPN!$B$2:$E$297, 4, false)), 0, vlookup($A386, ESPN!$B$2:$E$297, 4, false))</f>
        <v>0</v>
      </c>
      <c r="I386" s="37">
        <f>if(ISNA(vlookup($A386,'Ultimate Draft Kit'!$B$2:$E$324,4, false)), 0, vlookup($A386,'Ultimate Draft Kit'!$B$2:$E$324, 4, false))</f>
        <v>0</v>
      </c>
      <c r="J386" s="38">
        <f>if(ISNA(vlookup($A386,Rotowire!$B$2:$E$1075,4, false)), 0, vlookup($A386,Rotowire!$B$2:$E$1075, 4, false))</f>
        <v>0</v>
      </c>
      <c r="K386" s="37">
        <f>if(ISNA(vlookup($A386, FantasyPro!$B$2:$E$341,4,false)),0,vlookup($A386,FantasyPro!$B$2:$E$341,4,false))</f>
        <v>0</v>
      </c>
      <c r="L386" s="37">
        <f>if(ISNA(vlookup($A386, FFToolbox!$B$2:$E$414, 4, false)), 0, vlookup($A386, FFToolbox!$B$2:$E$414, 4, false))</f>
        <v>0</v>
      </c>
      <c r="M386" s="39">
        <f t="shared" si="1"/>
        <v>0</v>
      </c>
      <c r="N386" s="39">
        <f t="shared" si="2"/>
        <v>0</v>
      </c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</row>
    <row r="387">
      <c r="A387" s="17" t="s">
        <v>735</v>
      </c>
      <c r="B387" s="35" t="s">
        <v>1259</v>
      </c>
      <c r="C387" s="36"/>
      <c r="D387" s="36" t="s">
        <v>23</v>
      </c>
      <c r="E387" s="36" t="s">
        <v>59</v>
      </c>
      <c r="F387" s="36">
        <f>vlookup(D387,'Team Bye List'!$A$1:$B$33,2,False)</f>
        <v>9</v>
      </c>
      <c r="G387" s="37">
        <f>if(ISNA(vlookup($A387, Sleeper!$B$2:$E$330, 4, false)), 0, vlookup($A387, Sleeper!$B$2:$E$330, 4, false))</f>
        <v>0</v>
      </c>
      <c r="H387" s="37">
        <f>if(ISNA(vlookup($A387, ESPN!$B$2:$E$297, 4, false)), 0, vlookup($A387, ESPN!$B$2:$E$297, 4, false))</f>
        <v>0</v>
      </c>
      <c r="I387" s="37">
        <f>if(ISNA(vlookup($A387,'Ultimate Draft Kit'!$B$2:$E$324,4, false)), 0, vlookup($A387,'Ultimate Draft Kit'!$B$2:$E$324, 4, false))</f>
        <v>0</v>
      </c>
      <c r="J387" s="38">
        <f>if(ISNA(vlookup($A387,Rotowire!$B$2:$E$1075,4, false)), 0, vlookup($A387,Rotowire!$B$2:$E$1075, 4, false))</f>
        <v>0</v>
      </c>
      <c r="K387" s="37">
        <f>if(ISNA(vlookup($A387, FantasyPro!$B$2:$E$341,4,false)),0,vlookup($A387,FantasyPro!$B$2:$E$341,4,false))</f>
        <v>0</v>
      </c>
      <c r="L387" s="37">
        <f>if(ISNA(vlookup($A387, FFToolbox!$B$2:$E$414, 4, false)), 0, vlookup($A387, FFToolbox!$B$2:$E$414, 4, false))</f>
        <v>1</v>
      </c>
      <c r="M387" s="39">
        <f t="shared" si="1"/>
        <v>0.1666666667</v>
      </c>
      <c r="N387" s="39">
        <f t="shared" si="2"/>
        <v>1</v>
      </c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</row>
    <row r="388">
      <c r="A388" s="17" t="s">
        <v>755</v>
      </c>
      <c r="B388" s="35" t="s">
        <v>1259</v>
      </c>
      <c r="C388" s="36"/>
      <c r="D388" s="36" t="s">
        <v>64</v>
      </c>
      <c r="E388" s="36" t="s">
        <v>59</v>
      </c>
      <c r="F388" s="36">
        <f>vlookup(D388,'Team Bye List'!$A$1:$B$33,2,False)</f>
        <v>7</v>
      </c>
      <c r="G388" s="37">
        <f>if(ISNA(vlookup($A388, Sleeper!$B$2:$E$330, 4, false)), 0, vlookup($A388, Sleeper!$B$2:$E$330, 4, false))</f>
        <v>0</v>
      </c>
      <c r="H388" s="37">
        <f>if(ISNA(vlookup($A388, ESPN!$B$2:$E$297, 4, false)), 0, vlookup($A388, ESPN!$B$2:$E$297, 4, false))</f>
        <v>0</v>
      </c>
      <c r="I388" s="37">
        <f>if(ISNA(vlookup($A388,'Ultimate Draft Kit'!$B$2:$E$324,4, false)), 0, vlookup($A388,'Ultimate Draft Kit'!$B$2:$E$324, 4, false))</f>
        <v>0</v>
      </c>
      <c r="J388" s="38">
        <f>if(ISNA(vlookup($A388,Rotowire!$B$2:$E$1075,4, false)), 0, vlookup($A388,Rotowire!$B$2:$E$1075, 4, false))</f>
        <v>0</v>
      </c>
      <c r="K388" s="37">
        <f>if(ISNA(vlookup($A388, FantasyPro!$B$2:$E$341,4,false)),0,vlookup($A388,FantasyPro!$B$2:$E$341,4,false))</f>
        <v>0</v>
      </c>
      <c r="L388" s="37">
        <f>if(ISNA(vlookup($A388, FFToolbox!$B$2:$E$414, 4, false)), 0, vlookup($A388, FFToolbox!$B$2:$E$414, 4, false))</f>
        <v>0</v>
      </c>
      <c r="M388" s="39">
        <f t="shared" si="1"/>
        <v>0</v>
      </c>
      <c r="N388" s="39">
        <f t="shared" si="2"/>
        <v>0</v>
      </c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</row>
    <row r="389">
      <c r="A389" s="17" t="s">
        <v>913</v>
      </c>
      <c r="B389" s="35" t="s">
        <v>1259</v>
      </c>
      <c r="C389" s="36"/>
      <c r="D389" s="36" t="s">
        <v>85</v>
      </c>
      <c r="E389" s="36" t="s">
        <v>59</v>
      </c>
      <c r="F389" s="36">
        <f>vlookup(D389,'Team Bye List'!$A$1:$B$33,2,False)</f>
        <v>9</v>
      </c>
      <c r="G389" s="37">
        <f>if(ISNA(vlookup($A389, Sleeper!$B$2:$E$330, 4, false)), 0, vlookup($A389, Sleeper!$B$2:$E$330, 4, false))</f>
        <v>0</v>
      </c>
      <c r="H389" s="37">
        <f>if(ISNA(vlookup($A389, ESPN!$B$2:$E$297, 4, false)), 0, vlookup($A389, ESPN!$B$2:$E$297, 4, false))</f>
        <v>0</v>
      </c>
      <c r="I389" s="37">
        <f>if(ISNA(vlookup($A389,'Ultimate Draft Kit'!$B$2:$E$324,4, false)), 0, vlookup($A389,'Ultimate Draft Kit'!$B$2:$E$324, 4, false))</f>
        <v>0</v>
      </c>
      <c r="J389" s="38">
        <f>if(ISNA(vlookup($A389,Rotowire!$B$2:$E$1075,4, false)), 0, vlookup($A389,Rotowire!$B$2:$E$1075, 4, false))</f>
        <v>0</v>
      </c>
      <c r="K389" s="37">
        <f>if(ISNA(vlookup($A389, FantasyPro!$B$2:$E$341,4,false)),0,vlookup($A389,FantasyPro!$B$2:$E$341,4,false))</f>
        <v>0</v>
      </c>
      <c r="L389" s="37">
        <f>if(ISNA(vlookup($A389, FFToolbox!$B$2:$E$414, 4, false)), 0, vlookup($A389, FFToolbox!$B$2:$E$414, 4, false))</f>
        <v>0</v>
      </c>
      <c r="M389" s="39">
        <f t="shared" si="1"/>
        <v>0</v>
      </c>
      <c r="N389" s="39">
        <f t="shared" si="2"/>
        <v>0</v>
      </c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</row>
    <row r="390">
      <c r="A390" s="17" t="s">
        <v>914</v>
      </c>
      <c r="B390" s="35" t="s">
        <v>1259</v>
      </c>
      <c r="C390" s="36"/>
      <c r="D390" s="36" t="s">
        <v>10</v>
      </c>
      <c r="E390" s="36" t="s">
        <v>59</v>
      </c>
      <c r="F390" s="36">
        <f>vlookup(D390,'Team Bye List'!$A$1:$B$33,2,False)</f>
        <v>13</v>
      </c>
      <c r="G390" s="37">
        <f>if(ISNA(vlookup($A390, Sleeper!$B$2:$E$330, 4, false)), 0, vlookup($A390, Sleeper!$B$2:$E$330, 4, false))</f>
        <v>0</v>
      </c>
      <c r="H390" s="37">
        <f>if(ISNA(vlookup($A390, ESPN!$B$2:$E$297, 4, false)), 0, vlookup($A390, ESPN!$B$2:$E$297, 4, false))</f>
        <v>0</v>
      </c>
      <c r="I390" s="37">
        <f>if(ISNA(vlookup($A390,'Ultimate Draft Kit'!$B$2:$E$324,4, false)), 0, vlookup($A390,'Ultimate Draft Kit'!$B$2:$E$324, 4, false))</f>
        <v>0</v>
      </c>
      <c r="J390" s="38">
        <f>if(ISNA(vlookup($A390,Rotowire!$B$2:$E$1075,4, false)), 0, vlookup($A390,Rotowire!$B$2:$E$1075, 4, false))</f>
        <v>0</v>
      </c>
      <c r="K390" s="37">
        <f>if(ISNA(vlookup($A390, FantasyPro!$B$2:$E$341,4,false)),0,vlookup($A390,FantasyPro!$B$2:$E$341,4,false))</f>
        <v>0</v>
      </c>
      <c r="L390" s="37">
        <f>if(ISNA(vlookup($A390, FFToolbox!$B$2:$E$414, 4, false)), 0, vlookup($A390, FFToolbox!$B$2:$E$414, 4, false))</f>
        <v>0</v>
      </c>
      <c r="M390" s="39">
        <f t="shared" si="1"/>
        <v>0</v>
      </c>
      <c r="N390" s="39">
        <f t="shared" si="2"/>
        <v>0</v>
      </c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</row>
    <row r="391">
      <c r="A391" s="17" t="s">
        <v>753</v>
      </c>
      <c r="B391" s="35" t="s">
        <v>1259</v>
      </c>
      <c r="C391" s="36"/>
      <c r="D391" s="36" t="s">
        <v>64</v>
      </c>
      <c r="E391" s="36" t="s">
        <v>59</v>
      </c>
      <c r="F391" s="36">
        <f>vlookup(D391,'Team Bye List'!$A$1:$B$33,2,False)</f>
        <v>7</v>
      </c>
      <c r="G391" s="37">
        <f>if(ISNA(vlookup($A391, Sleeper!$B$2:$E$330, 4, false)), 0, vlookup($A391, Sleeper!$B$2:$E$330, 4, false))</f>
        <v>0</v>
      </c>
      <c r="H391" s="37">
        <f>if(ISNA(vlookup($A391, ESPN!$B$2:$E$297, 4, false)), 0, vlookup($A391, ESPN!$B$2:$E$297, 4, false))</f>
        <v>0</v>
      </c>
      <c r="I391" s="37">
        <f>if(ISNA(vlookup($A391,'Ultimate Draft Kit'!$B$2:$E$324,4, false)), 0, vlookup($A391,'Ultimate Draft Kit'!$B$2:$E$324, 4, false))</f>
        <v>0</v>
      </c>
      <c r="J391" s="38">
        <f>if(ISNA(vlookup($A391,Rotowire!$B$2:$E$1075,4, false)), 0, vlookup($A391,Rotowire!$B$2:$E$1075, 4, false))</f>
        <v>0</v>
      </c>
      <c r="K391" s="37">
        <f>if(ISNA(vlookup($A391, FantasyPro!$B$2:$E$341,4,false)),0,vlookup($A391,FantasyPro!$B$2:$E$341,4,false))</f>
        <v>0</v>
      </c>
      <c r="L391" s="37">
        <f>if(ISNA(vlookup($A391, FFToolbox!$B$2:$E$414, 4, false)), 0, vlookup($A391, FFToolbox!$B$2:$E$414, 4, false))</f>
        <v>0</v>
      </c>
      <c r="M391" s="39">
        <f t="shared" si="1"/>
        <v>0</v>
      </c>
      <c r="N391" s="39">
        <f t="shared" si="2"/>
        <v>0</v>
      </c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</row>
    <row r="392">
      <c r="A392" s="17" t="s">
        <v>915</v>
      </c>
      <c r="B392" s="35" t="s">
        <v>1259</v>
      </c>
      <c r="C392" s="36"/>
      <c r="D392" s="36" t="s">
        <v>66</v>
      </c>
      <c r="E392" s="36" t="s">
        <v>59</v>
      </c>
      <c r="F392" s="36">
        <f>vlookup(D392,'Team Bye List'!$A$1:$B$33,2,False)</f>
        <v>9</v>
      </c>
      <c r="G392" s="37">
        <f>if(ISNA(vlookup($A392, Sleeper!$B$2:$E$330, 4, false)), 0, vlookup($A392, Sleeper!$B$2:$E$330, 4, false))</f>
        <v>0</v>
      </c>
      <c r="H392" s="37">
        <f>if(ISNA(vlookup($A392, ESPN!$B$2:$E$297, 4, false)), 0, vlookup($A392, ESPN!$B$2:$E$297, 4, false))</f>
        <v>0</v>
      </c>
      <c r="I392" s="37">
        <f>if(ISNA(vlookup($A392,'Ultimate Draft Kit'!$B$2:$E$324,4, false)), 0, vlookup($A392,'Ultimate Draft Kit'!$B$2:$E$324, 4, false))</f>
        <v>0</v>
      </c>
      <c r="J392" s="38">
        <f>if(ISNA(vlookup($A392,Rotowire!$B$2:$E$1075,4, false)), 0, vlookup($A392,Rotowire!$B$2:$E$1075, 4, false))</f>
        <v>0</v>
      </c>
      <c r="K392" s="37">
        <f>if(ISNA(vlookup($A392, FantasyPro!$B$2:$E$341,4,false)),0,vlookup($A392,FantasyPro!$B$2:$E$341,4,false))</f>
        <v>0</v>
      </c>
      <c r="L392" s="37">
        <f>if(ISNA(vlookup($A392, FFToolbox!$B$2:$E$414, 4, false)), 0, vlookup($A392, FFToolbox!$B$2:$E$414, 4, false))</f>
        <v>0</v>
      </c>
      <c r="M392" s="39">
        <f t="shared" si="1"/>
        <v>0</v>
      </c>
      <c r="N392" s="39">
        <f t="shared" si="2"/>
        <v>0</v>
      </c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</row>
    <row r="393">
      <c r="A393" s="17" t="s">
        <v>746</v>
      </c>
      <c r="B393" s="35" t="s">
        <v>1259</v>
      </c>
      <c r="C393" s="36"/>
      <c r="D393" s="36" t="s">
        <v>28</v>
      </c>
      <c r="E393" s="36" t="s">
        <v>59</v>
      </c>
      <c r="F393" s="36">
        <f>vlookup(D393,'Team Bye List'!$A$1:$B$33,2,False)</f>
        <v>11</v>
      </c>
      <c r="G393" s="37">
        <f>if(ISNA(vlookup($A393, Sleeper!$B$2:$E$330, 4, false)), 0, vlookup($A393, Sleeper!$B$2:$E$330, 4, false))</f>
        <v>0</v>
      </c>
      <c r="H393" s="37">
        <f>if(ISNA(vlookup($A393, ESPN!$B$2:$E$297, 4, false)), 0, vlookup($A393, ESPN!$B$2:$E$297, 4, false))</f>
        <v>0</v>
      </c>
      <c r="I393" s="37">
        <f>if(ISNA(vlookup($A393,'Ultimate Draft Kit'!$B$2:$E$324,4, false)), 0, vlookup($A393,'Ultimate Draft Kit'!$B$2:$E$324, 4, false))</f>
        <v>0</v>
      </c>
      <c r="J393" s="38">
        <f>if(ISNA(vlookup($A393,Rotowire!$B$2:$E$1075,4, false)), 0, vlookup($A393,Rotowire!$B$2:$E$1075, 4, false))</f>
        <v>0</v>
      </c>
      <c r="K393" s="37">
        <f>if(ISNA(vlookup($A393, FantasyPro!$B$2:$E$341,4,false)),0,vlookup($A393,FantasyPro!$B$2:$E$341,4,false))</f>
        <v>0</v>
      </c>
      <c r="L393" s="37">
        <f>if(ISNA(vlookup($A393, FFToolbox!$B$2:$E$414, 4, false)), 0, vlookup($A393, FFToolbox!$B$2:$E$414, 4, false))</f>
        <v>0</v>
      </c>
      <c r="M393" s="39">
        <f t="shared" si="1"/>
        <v>0</v>
      </c>
      <c r="N393" s="39">
        <f t="shared" si="2"/>
        <v>0</v>
      </c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</row>
    <row r="394">
      <c r="A394" s="17" t="s">
        <v>559</v>
      </c>
      <c r="B394" s="35" t="s">
        <v>1259</v>
      </c>
      <c r="C394" s="35" t="s">
        <v>1260</v>
      </c>
      <c r="D394" s="36" t="s">
        <v>58</v>
      </c>
      <c r="E394" s="36" t="s">
        <v>13</v>
      </c>
      <c r="F394" s="36">
        <f>vlookup(D394,'Team Bye List'!$A$1:$B$33,2,False)</f>
        <v>10</v>
      </c>
      <c r="G394" s="37">
        <f>if(ISNA(vlookup($A394, Sleeper!$B$2:$E$330, 4, false)), 0, vlookup($A394, Sleeper!$B$2:$E$330, 4, false))</f>
        <v>0</v>
      </c>
      <c r="H394" s="37">
        <f>if(ISNA(vlookup($A394, ESPN!$B$2:$E$297, 4, false)), 0, vlookup($A394, ESPN!$B$2:$E$297, 4, false))</f>
        <v>0</v>
      </c>
      <c r="I394" s="37">
        <f>if(ISNA(vlookup($A394,'Ultimate Draft Kit'!$B$2:$E$324,4, false)), 0, vlookup($A394,'Ultimate Draft Kit'!$B$2:$E$324, 4, false))</f>
        <v>0</v>
      </c>
      <c r="J394" s="38">
        <f>if(ISNA(vlookup($A394,Rotowire!$B$2:$E$1075,4, false)), 0, vlookup($A394,Rotowire!$B$2:$E$1075, 4, false))</f>
        <v>0</v>
      </c>
      <c r="K394" s="37">
        <f>if(ISNA(vlookup($A394, FantasyPro!$B$2:$E$341,4,false)),0,vlookup($A394,FantasyPro!$B$2:$E$341,4,false))</f>
        <v>0</v>
      </c>
      <c r="L394" s="37">
        <f>if(ISNA(vlookup($A394, FFToolbox!$B$2:$E$414, 4, false)), 0, vlookup($A394, FFToolbox!$B$2:$E$414, 4, false))</f>
        <v>0</v>
      </c>
      <c r="M394" s="39">
        <f t="shared" si="1"/>
        <v>0</v>
      </c>
      <c r="N394" s="39">
        <f t="shared" si="2"/>
        <v>0</v>
      </c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</row>
    <row r="395">
      <c r="A395" s="17" t="s">
        <v>752</v>
      </c>
      <c r="B395" s="35" t="s">
        <v>1259</v>
      </c>
      <c r="C395" s="36"/>
      <c r="D395" s="36" t="s">
        <v>32</v>
      </c>
      <c r="E395" s="36" t="s">
        <v>59</v>
      </c>
      <c r="F395" s="36">
        <f>vlookup(D395,'Team Bye List'!$A$1:$B$33,2,False)</f>
        <v>9</v>
      </c>
      <c r="G395" s="37">
        <f>if(ISNA(vlookup($A395, Sleeper!$B$2:$E$330, 4, false)), 0, vlookup($A395, Sleeper!$B$2:$E$330, 4, false))</f>
        <v>0</v>
      </c>
      <c r="H395" s="37">
        <f>if(ISNA(vlookup($A395, ESPN!$B$2:$E$297, 4, false)), 0, vlookup($A395, ESPN!$B$2:$E$297, 4, false))</f>
        <v>0</v>
      </c>
      <c r="I395" s="37">
        <f>if(ISNA(vlookup($A395,'Ultimate Draft Kit'!$B$2:$E$324,4, false)), 0, vlookup($A395,'Ultimate Draft Kit'!$B$2:$E$324, 4, false))</f>
        <v>0</v>
      </c>
      <c r="J395" s="38">
        <f>if(ISNA(vlookup($A395,Rotowire!$B$2:$E$1075,4, false)), 0, vlookup($A395,Rotowire!$B$2:$E$1075, 4, false))</f>
        <v>0</v>
      </c>
      <c r="K395" s="37">
        <f>if(ISNA(vlookup($A395, FantasyPro!$B$2:$E$341,4,false)),0,vlookup($A395,FantasyPro!$B$2:$E$341,4,false))</f>
        <v>0</v>
      </c>
      <c r="L395" s="37">
        <f>if(ISNA(vlookup($A395, FFToolbox!$B$2:$E$414, 4, false)), 0, vlookup($A395, FFToolbox!$B$2:$E$414, 4, false))</f>
        <v>0</v>
      </c>
      <c r="M395" s="39">
        <f t="shared" si="1"/>
        <v>0</v>
      </c>
      <c r="N395" s="39">
        <f t="shared" si="2"/>
        <v>0</v>
      </c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</row>
    <row r="396">
      <c r="A396" s="17" t="s">
        <v>916</v>
      </c>
      <c r="B396" s="35" t="s">
        <v>1259</v>
      </c>
      <c r="C396" s="36"/>
      <c r="D396" s="36" t="s">
        <v>25</v>
      </c>
      <c r="E396" s="36" t="s">
        <v>59</v>
      </c>
      <c r="F396" s="36">
        <f>vlookup(D396,'Team Bye List'!$A$1:$B$33,2,False)</f>
        <v>7</v>
      </c>
      <c r="G396" s="37">
        <f>if(ISNA(vlookup($A396, Sleeper!$B$2:$E$330, 4, false)), 0, vlookup($A396, Sleeper!$B$2:$E$330, 4, false))</f>
        <v>0</v>
      </c>
      <c r="H396" s="37">
        <f>if(ISNA(vlookup($A396, ESPN!$B$2:$E$297, 4, false)), 0, vlookup($A396, ESPN!$B$2:$E$297, 4, false))</f>
        <v>0</v>
      </c>
      <c r="I396" s="37">
        <f>if(ISNA(vlookup($A396,'Ultimate Draft Kit'!$B$2:$E$324,4, false)), 0, vlookup($A396,'Ultimate Draft Kit'!$B$2:$E$324, 4, false))</f>
        <v>0</v>
      </c>
      <c r="J396" s="38">
        <f>if(ISNA(vlookup($A396,Rotowire!$B$2:$E$1075,4, false)), 0, vlookup($A396,Rotowire!$B$2:$E$1075, 4, false))</f>
        <v>0</v>
      </c>
      <c r="K396" s="37">
        <f>if(ISNA(vlookup($A396, FantasyPro!$B$2:$E$341,4,false)),0,vlookup($A396,FantasyPro!$B$2:$E$341,4,false))</f>
        <v>0</v>
      </c>
      <c r="L396" s="37">
        <f>if(ISNA(vlookup($A396, FFToolbox!$B$2:$E$414, 4, false)), 0, vlookup($A396, FFToolbox!$B$2:$E$414, 4, false))</f>
        <v>0</v>
      </c>
      <c r="M396" s="39">
        <f t="shared" si="1"/>
        <v>0</v>
      </c>
      <c r="N396" s="39">
        <f t="shared" si="2"/>
        <v>0</v>
      </c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</row>
    <row r="397">
      <c r="A397" s="17" t="s">
        <v>782</v>
      </c>
      <c r="B397" s="35" t="s">
        <v>1259</v>
      </c>
      <c r="C397" s="36"/>
      <c r="D397" s="36" t="s">
        <v>17</v>
      </c>
      <c r="E397" s="36" t="s">
        <v>59</v>
      </c>
      <c r="F397" s="36">
        <f>vlookup(D397,'Team Bye List'!$A$1:$B$33,2,False)</f>
        <v>7</v>
      </c>
      <c r="G397" s="37">
        <f>if(ISNA(vlookup($A397, Sleeper!$B$2:$E$330, 4, false)), 0, vlookup($A397, Sleeper!$B$2:$E$330, 4, false))</f>
        <v>0</v>
      </c>
      <c r="H397" s="37">
        <f>if(ISNA(vlookup($A397, ESPN!$B$2:$E$297, 4, false)), 0, vlookup($A397, ESPN!$B$2:$E$297, 4, false))</f>
        <v>0</v>
      </c>
      <c r="I397" s="37">
        <f>if(ISNA(vlookup($A397,'Ultimate Draft Kit'!$B$2:$E$324,4, false)), 0, vlookup($A397,'Ultimate Draft Kit'!$B$2:$E$324, 4, false))</f>
        <v>0</v>
      </c>
      <c r="J397" s="38">
        <f>if(ISNA(vlookup($A397,Rotowire!$B$2:$E$1075,4, false)), 0, vlookup($A397,Rotowire!$B$2:$E$1075, 4, false))</f>
        <v>0</v>
      </c>
      <c r="K397" s="37">
        <f>if(ISNA(vlookup($A397, FantasyPro!$B$2:$E$341,4,false)),0,vlookup($A397,FantasyPro!$B$2:$E$341,4,false))</f>
        <v>0</v>
      </c>
      <c r="L397" s="37">
        <f>if(ISNA(vlookup($A397, FFToolbox!$B$2:$E$414, 4, false)), 0, vlookup($A397, FFToolbox!$B$2:$E$414, 4, false))</f>
        <v>0</v>
      </c>
      <c r="M397" s="39">
        <f t="shared" si="1"/>
        <v>0</v>
      </c>
      <c r="N397" s="39">
        <f t="shared" si="2"/>
        <v>0</v>
      </c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</row>
    <row r="398">
      <c r="A398" s="17" t="s">
        <v>745</v>
      </c>
      <c r="B398" s="35" t="s">
        <v>1259</v>
      </c>
      <c r="C398" s="36"/>
      <c r="D398" s="36" t="s">
        <v>39</v>
      </c>
      <c r="E398" s="36" t="s">
        <v>59</v>
      </c>
      <c r="F398" s="36">
        <f>vlookup(D398,'Team Bye List'!$A$1:$B$33,2,False)</f>
        <v>11</v>
      </c>
      <c r="G398" s="37">
        <f>if(ISNA(vlookup($A398, Sleeper!$B$2:$E$330, 4, false)), 0, vlookup($A398, Sleeper!$B$2:$E$330, 4, false))</f>
        <v>0</v>
      </c>
      <c r="H398" s="37">
        <f>if(ISNA(vlookup($A398, ESPN!$B$2:$E$297, 4, false)), 0, vlookup($A398, ESPN!$B$2:$E$297, 4, false))</f>
        <v>0</v>
      </c>
      <c r="I398" s="37">
        <f>if(ISNA(vlookup($A398,'Ultimate Draft Kit'!$B$2:$E$324,4, false)), 0, vlookup($A398,'Ultimate Draft Kit'!$B$2:$E$324, 4, false))</f>
        <v>0</v>
      </c>
      <c r="J398" s="38">
        <f>if(ISNA(vlookup($A398,Rotowire!$B$2:$E$1075,4, false)), 0, vlookup($A398,Rotowire!$B$2:$E$1075, 4, false))</f>
        <v>0</v>
      </c>
      <c r="K398" s="37">
        <f>if(ISNA(vlookup($A398, FantasyPro!$B$2:$E$341,4,false)),0,vlookup($A398,FantasyPro!$B$2:$E$341,4,false))</f>
        <v>0</v>
      </c>
      <c r="L398" s="37">
        <f>if(ISNA(vlookup($A398, FFToolbox!$B$2:$E$414, 4, false)), 0, vlookup($A398, FFToolbox!$B$2:$E$414, 4, false))</f>
        <v>0</v>
      </c>
      <c r="M398" s="39">
        <f t="shared" si="1"/>
        <v>0</v>
      </c>
      <c r="N398" s="39">
        <f t="shared" si="2"/>
        <v>0</v>
      </c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</row>
    <row r="399">
      <c r="A399" s="17" t="s">
        <v>580</v>
      </c>
      <c r="B399" s="35" t="s">
        <v>1259</v>
      </c>
      <c r="C399" s="36"/>
      <c r="D399" s="36" t="s">
        <v>41</v>
      </c>
      <c r="E399" s="36" t="s">
        <v>59</v>
      </c>
      <c r="F399" s="36">
        <f>vlookup(D399,'Team Bye List'!$A$1:$B$33,2,False)</f>
        <v>14</v>
      </c>
      <c r="G399" s="37">
        <f>if(ISNA(vlookup($A399, Sleeper!$B$2:$E$330, 4, false)), 0, vlookup($A399, Sleeper!$B$2:$E$330, 4, false))</f>
        <v>0</v>
      </c>
      <c r="H399" s="37">
        <f>if(ISNA(vlookup($A399, ESPN!$B$2:$E$297, 4, false)), 0, vlookup($A399, ESPN!$B$2:$E$297, 4, false))</f>
        <v>0</v>
      </c>
      <c r="I399" s="37">
        <f>if(ISNA(vlookup($A399,'Ultimate Draft Kit'!$B$2:$E$324,4, false)), 0, vlookup($A399,'Ultimate Draft Kit'!$B$2:$E$324, 4, false))</f>
        <v>0</v>
      </c>
      <c r="J399" s="38">
        <f>if(ISNA(vlookup($A399,Rotowire!$B$2:$E$1075,4, false)), 0, vlookup($A399,Rotowire!$B$2:$E$1075, 4, false))</f>
        <v>0</v>
      </c>
      <c r="K399" s="37">
        <f>if(ISNA(vlookup($A399, FantasyPro!$B$2:$E$341,4,false)),0,vlookup($A399,FantasyPro!$B$2:$E$341,4,false))</f>
        <v>0</v>
      </c>
      <c r="L399" s="37">
        <f>if(ISNA(vlookup($A399, FFToolbox!$B$2:$E$414, 4, false)), 0, vlookup($A399, FFToolbox!$B$2:$E$414, 4, false))</f>
        <v>0</v>
      </c>
      <c r="M399" s="39">
        <f t="shared" si="1"/>
        <v>0</v>
      </c>
      <c r="N399" s="39">
        <f t="shared" si="2"/>
        <v>0</v>
      </c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</row>
    <row r="400">
      <c r="A400" s="17" t="s">
        <v>760</v>
      </c>
      <c r="B400" s="35" t="s">
        <v>1259</v>
      </c>
      <c r="C400" s="36"/>
      <c r="D400" s="36" t="s">
        <v>35</v>
      </c>
      <c r="E400" s="36" t="s">
        <v>59</v>
      </c>
      <c r="F400" s="36">
        <f>vlookup(D400,'Team Bye List'!$A$1:$B$33,2,False)</f>
        <v>6</v>
      </c>
      <c r="G400" s="37">
        <f>if(ISNA(vlookup($A400, Sleeper!$B$2:$E$330, 4, false)), 0, vlookup($A400, Sleeper!$B$2:$E$330, 4, false))</f>
        <v>0</v>
      </c>
      <c r="H400" s="37">
        <f>if(ISNA(vlookup($A400, ESPN!$B$2:$E$297, 4, false)), 0, vlookup($A400, ESPN!$B$2:$E$297, 4, false))</f>
        <v>0</v>
      </c>
      <c r="I400" s="37">
        <f>if(ISNA(vlookup($A400,'Ultimate Draft Kit'!$B$2:$E$324,4, false)), 0, vlookup($A400,'Ultimate Draft Kit'!$B$2:$E$324, 4, false))</f>
        <v>0</v>
      </c>
      <c r="J400" s="38">
        <f>if(ISNA(vlookup($A400,Rotowire!$B$2:$E$1075,4, false)), 0, vlookup($A400,Rotowire!$B$2:$E$1075, 4, false))</f>
        <v>0</v>
      </c>
      <c r="K400" s="37">
        <f>if(ISNA(vlookup($A400, FantasyPro!$B$2:$E$341,4,false)),0,vlookup($A400,FantasyPro!$B$2:$E$341,4,false))</f>
        <v>0</v>
      </c>
      <c r="L400" s="37">
        <f>if(ISNA(vlookup($A400, FFToolbox!$B$2:$E$414, 4, false)), 0, vlookup($A400, FFToolbox!$B$2:$E$414, 4, false))</f>
        <v>0</v>
      </c>
      <c r="M400" s="39">
        <f t="shared" si="1"/>
        <v>0</v>
      </c>
      <c r="N400" s="39">
        <f t="shared" si="2"/>
        <v>0</v>
      </c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</row>
    <row r="401">
      <c r="A401" s="17" t="s">
        <v>761</v>
      </c>
      <c r="B401" s="35" t="s">
        <v>1259</v>
      </c>
      <c r="C401" s="36"/>
      <c r="D401" s="36" t="s">
        <v>119</v>
      </c>
      <c r="E401" s="36" t="s">
        <v>59</v>
      </c>
      <c r="F401" s="36">
        <f>vlookup(D401,'Team Bye List'!$A$1:$B$33,2,False)</f>
        <v>10</v>
      </c>
      <c r="G401" s="37">
        <f>if(ISNA(vlookup($A401, Sleeper!$B$2:$E$330, 4, false)), 0, vlookup($A401, Sleeper!$B$2:$E$330, 4, false))</f>
        <v>0</v>
      </c>
      <c r="H401" s="37">
        <f>if(ISNA(vlookup($A401, ESPN!$B$2:$E$297, 4, false)), 0, vlookup($A401, ESPN!$B$2:$E$297, 4, false))</f>
        <v>0</v>
      </c>
      <c r="I401" s="37">
        <f>if(ISNA(vlookup($A401,'Ultimate Draft Kit'!$B$2:$E$324,4, false)), 0, vlookup($A401,'Ultimate Draft Kit'!$B$2:$E$324, 4, false))</f>
        <v>0</v>
      </c>
      <c r="J401" s="38">
        <f>if(ISNA(vlookup($A401,Rotowire!$B$2:$E$1075,4, false)), 0, vlookup($A401,Rotowire!$B$2:$E$1075, 4, false))</f>
        <v>0</v>
      </c>
      <c r="K401" s="37">
        <f>if(ISNA(vlookup($A401, FantasyPro!$B$2:$E$341,4,false)),0,vlookup($A401,FantasyPro!$B$2:$E$341,4,false))</f>
        <v>0</v>
      </c>
      <c r="L401" s="37">
        <f>if(ISNA(vlookup($A401, FFToolbox!$B$2:$E$414, 4, false)), 0, vlookup($A401, FFToolbox!$B$2:$E$414, 4, false))</f>
        <v>0</v>
      </c>
      <c r="M401" s="39">
        <f t="shared" si="1"/>
        <v>0</v>
      </c>
      <c r="N401" s="39">
        <f t="shared" si="2"/>
        <v>0</v>
      </c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</row>
    <row r="402">
      <c r="A402" s="17" t="s">
        <v>765</v>
      </c>
      <c r="B402" s="35" t="s">
        <v>1259</v>
      </c>
      <c r="C402" s="36"/>
      <c r="D402" s="36" t="s">
        <v>119</v>
      </c>
      <c r="E402" s="36" t="s">
        <v>59</v>
      </c>
      <c r="F402" s="36">
        <f>vlookup(D402,'Team Bye List'!$A$1:$B$33,2,False)</f>
        <v>10</v>
      </c>
      <c r="G402" s="37">
        <f>if(ISNA(vlookup($A402, Sleeper!$B$2:$E$330, 4, false)), 0, vlookup($A402, Sleeper!$B$2:$E$330, 4, false))</f>
        <v>0</v>
      </c>
      <c r="H402" s="37">
        <f>if(ISNA(vlookup($A402, ESPN!$B$2:$E$297, 4, false)), 0, vlookup($A402, ESPN!$B$2:$E$297, 4, false))</f>
        <v>0</v>
      </c>
      <c r="I402" s="37">
        <f>if(ISNA(vlookup($A402,'Ultimate Draft Kit'!$B$2:$E$324,4, false)), 0, vlookup($A402,'Ultimate Draft Kit'!$B$2:$E$324, 4, false))</f>
        <v>0</v>
      </c>
      <c r="J402" s="38">
        <f>if(ISNA(vlookup($A402,Rotowire!$B$2:$E$1075,4, false)), 0, vlookup($A402,Rotowire!$B$2:$E$1075, 4, false))</f>
        <v>0</v>
      </c>
      <c r="K402" s="37">
        <f>if(ISNA(vlookup($A402, FantasyPro!$B$2:$E$341,4,false)),0,vlookup($A402,FantasyPro!$B$2:$E$341,4,false))</f>
        <v>0</v>
      </c>
      <c r="L402" s="37">
        <f>if(ISNA(vlookup($A402, FFToolbox!$B$2:$E$414, 4, false)), 0, vlookup($A402, FFToolbox!$B$2:$E$414, 4, false))</f>
        <v>0</v>
      </c>
      <c r="M402" s="39">
        <f t="shared" si="1"/>
        <v>0</v>
      </c>
      <c r="N402" s="39">
        <f t="shared" si="2"/>
        <v>0</v>
      </c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</row>
    <row r="403">
      <c r="A403" s="17" t="s">
        <v>917</v>
      </c>
      <c r="B403" s="35" t="s">
        <v>1259</v>
      </c>
      <c r="C403" s="36"/>
      <c r="D403" s="36" t="s">
        <v>7</v>
      </c>
      <c r="E403" s="36" t="s">
        <v>59</v>
      </c>
      <c r="F403" s="36">
        <f>vlookup(D403,'Team Bye List'!$A$1:$B$33,2,False)</f>
        <v>14</v>
      </c>
      <c r="G403" s="37">
        <f>if(ISNA(vlookup($A403, Sleeper!$B$2:$E$330, 4, false)), 0, vlookup($A403, Sleeper!$B$2:$E$330, 4, false))</f>
        <v>0</v>
      </c>
      <c r="H403" s="37">
        <f>if(ISNA(vlookup($A403, ESPN!$B$2:$E$297, 4, false)), 0, vlookup($A403, ESPN!$B$2:$E$297, 4, false))</f>
        <v>0</v>
      </c>
      <c r="I403" s="37">
        <f>if(ISNA(vlookup($A403,'Ultimate Draft Kit'!$B$2:$E$324,4, false)), 0, vlookup($A403,'Ultimate Draft Kit'!$B$2:$E$324, 4, false))</f>
        <v>0</v>
      </c>
      <c r="J403" s="38">
        <f>if(ISNA(vlookup($A403,Rotowire!$B$2:$E$1075,4, false)), 0, vlookup($A403,Rotowire!$B$2:$E$1075, 4, false))</f>
        <v>0</v>
      </c>
      <c r="K403" s="37">
        <f>if(ISNA(vlookup($A403, FantasyPro!$B$2:$E$341,4,false)),0,vlookup($A403,FantasyPro!$B$2:$E$341,4,false))</f>
        <v>0</v>
      </c>
      <c r="L403" s="37">
        <f>if(ISNA(vlookup($A403, FFToolbox!$B$2:$E$414, 4, false)), 0, vlookup($A403, FFToolbox!$B$2:$E$414, 4, false))</f>
        <v>0</v>
      </c>
      <c r="M403" s="39">
        <f t="shared" si="1"/>
        <v>0</v>
      </c>
      <c r="N403" s="39">
        <f t="shared" si="2"/>
        <v>0</v>
      </c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</row>
    <row r="404">
      <c r="A404" s="17" t="s">
        <v>739</v>
      </c>
      <c r="B404" s="35" t="s">
        <v>1259</v>
      </c>
      <c r="C404" s="36"/>
      <c r="D404" s="36" t="s">
        <v>21</v>
      </c>
      <c r="E404" s="36" t="s">
        <v>59</v>
      </c>
      <c r="F404" s="36">
        <f>vlookup(D404,'Team Bye List'!$A$1:$B$33,2,False)</f>
        <v>6</v>
      </c>
      <c r="G404" s="37">
        <f>if(ISNA(vlookup($A404, Sleeper!$B$2:$E$330, 4, false)), 0, vlookup($A404, Sleeper!$B$2:$E$330, 4, false))</f>
        <v>0</v>
      </c>
      <c r="H404" s="37">
        <f>if(ISNA(vlookup($A404, ESPN!$B$2:$E$297, 4, false)), 0, vlookup($A404, ESPN!$B$2:$E$297, 4, false))</f>
        <v>0</v>
      </c>
      <c r="I404" s="37">
        <f>if(ISNA(vlookup($A404,'Ultimate Draft Kit'!$B$2:$E$324,4, false)), 0, vlookup($A404,'Ultimate Draft Kit'!$B$2:$E$324, 4, false))</f>
        <v>0</v>
      </c>
      <c r="J404" s="38">
        <f>if(ISNA(vlookup($A404,Rotowire!$B$2:$E$1075,4, false)), 0, vlookup($A404,Rotowire!$B$2:$E$1075, 4, false))</f>
        <v>0</v>
      </c>
      <c r="K404" s="37">
        <f>if(ISNA(vlookup($A404, FantasyPro!$B$2:$E$341,4,false)),0,vlookup($A404,FantasyPro!$B$2:$E$341,4,false))</f>
        <v>0</v>
      </c>
      <c r="L404" s="37">
        <f>if(ISNA(vlookup($A404, FFToolbox!$B$2:$E$414, 4, false)), 0, vlookup($A404, FFToolbox!$B$2:$E$414, 4, false))</f>
        <v>0</v>
      </c>
      <c r="M404" s="39">
        <f t="shared" si="1"/>
        <v>0</v>
      </c>
      <c r="N404" s="39">
        <f t="shared" si="2"/>
        <v>0</v>
      </c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</row>
    <row r="405">
      <c r="A405" s="17" t="s">
        <v>740</v>
      </c>
      <c r="B405" s="35" t="s">
        <v>1259</v>
      </c>
      <c r="C405" s="36"/>
      <c r="D405" s="36" t="s">
        <v>73</v>
      </c>
      <c r="E405" s="36" t="s">
        <v>59</v>
      </c>
      <c r="F405" s="36">
        <f>vlookup(D405,'Team Bye List'!$A$1:$B$33,2,False)</f>
        <v>14</v>
      </c>
      <c r="G405" s="37">
        <f>if(ISNA(vlookup($A405, Sleeper!$B$2:$E$330, 4, false)), 0, vlookup($A405, Sleeper!$B$2:$E$330, 4, false))</f>
        <v>0</v>
      </c>
      <c r="H405" s="37">
        <f>if(ISNA(vlookup($A405, ESPN!$B$2:$E$297, 4, false)), 0, vlookup($A405, ESPN!$B$2:$E$297, 4, false))</f>
        <v>0</v>
      </c>
      <c r="I405" s="37">
        <f>if(ISNA(vlookup($A405,'Ultimate Draft Kit'!$B$2:$E$324,4, false)), 0, vlookup($A405,'Ultimate Draft Kit'!$B$2:$E$324, 4, false))</f>
        <v>0</v>
      </c>
      <c r="J405" s="38">
        <f>if(ISNA(vlookup($A405,Rotowire!$B$2:$E$1075,4, false)), 0, vlookup($A405,Rotowire!$B$2:$E$1075, 4, false))</f>
        <v>0</v>
      </c>
      <c r="K405" s="37">
        <f>if(ISNA(vlookup($A405, FantasyPro!$B$2:$E$341,4,false)),0,vlookup($A405,FantasyPro!$B$2:$E$341,4,false))</f>
        <v>0</v>
      </c>
      <c r="L405" s="37">
        <f>if(ISNA(vlookup($A405, FFToolbox!$B$2:$E$414, 4, false)), 0, vlookup($A405, FFToolbox!$B$2:$E$414, 4, false))</f>
        <v>0</v>
      </c>
      <c r="M405" s="39">
        <f t="shared" si="1"/>
        <v>0</v>
      </c>
      <c r="N405" s="39">
        <f t="shared" si="2"/>
        <v>0</v>
      </c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</row>
    <row r="406">
      <c r="A406" s="17" t="s">
        <v>784</v>
      </c>
      <c r="B406" s="35" t="s">
        <v>1259</v>
      </c>
      <c r="C406" s="36"/>
      <c r="D406" s="36" t="s">
        <v>89</v>
      </c>
      <c r="E406" s="36" t="s">
        <v>59</v>
      </c>
      <c r="F406" s="36">
        <f>vlookup(D406,'Team Bye List'!$A$1:$B$33,2,False)</f>
        <v>14</v>
      </c>
      <c r="G406" s="37">
        <f>if(ISNA(vlookup($A406, Sleeper!$B$2:$E$330, 4, false)), 0, vlookup($A406, Sleeper!$B$2:$E$330, 4, false))</f>
        <v>0</v>
      </c>
      <c r="H406" s="37">
        <f>if(ISNA(vlookup($A406, ESPN!$B$2:$E$297, 4, false)), 0, vlookup($A406, ESPN!$B$2:$E$297, 4, false))</f>
        <v>0</v>
      </c>
      <c r="I406" s="37">
        <f>if(ISNA(vlookup($A406,'Ultimate Draft Kit'!$B$2:$E$324,4, false)), 0, vlookup($A406,'Ultimate Draft Kit'!$B$2:$E$324, 4, false))</f>
        <v>0</v>
      </c>
      <c r="J406" s="38">
        <f>if(ISNA(vlookup($A406,Rotowire!$B$2:$E$1075,4, false)), 0, vlookup($A406,Rotowire!$B$2:$E$1075, 4, false))</f>
        <v>0</v>
      </c>
      <c r="K406" s="37">
        <f>if(ISNA(vlookup($A406, FantasyPro!$B$2:$E$341,4,false)),0,vlookup($A406,FantasyPro!$B$2:$E$341,4,false))</f>
        <v>0</v>
      </c>
      <c r="L406" s="37">
        <f>if(ISNA(vlookup($A406, FFToolbox!$B$2:$E$414, 4, false)), 0, vlookup($A406, FFToolbox!$B$2:$E$414, 4, false))</f>
        <v>0</v>
      </c>
      <c r="M406" s="39">
        <f t="shared" si="1"/>
        <v>0</v>
      </c>
      <c r="N406" s="39">
        <f t="shared" si="2"/>
        <v>0</v>
      </c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</row>
    <row r="407">
      <c r="A407" s="17" t="s">
        <v>564</v>
      </c>
      <c r="B407" s="35" t="s">
        <v>1259</v>
      </c>
      <c r="C407" s="35" t="s">
        <v>1260</v>
      </c>
      <c r="D407" s="36" t="s">
        <v>47</v>
      </c>
      <c r="E407" s="36" t="s">
        <v>13</v>
      </c>
      <c r="F407" s="36">
        <f>vlookup(D407,'Team Bye List'!$A$1:$B$33,2,False)</f>
        <v>14</v>
      </c>
      <c r="G407" s="37">
        <f>if(ISNA(vlookup($A407, Sleeper!$B$2:$E$330, 4, false)), 0, vlookup($A407, Sleeper!$B$2:$E$330, 4, false))</f>
        <v>0</v>
      </c>
      <c r="H407" s="37">
        <f>if(ISNA(vlookup($A407, ESPN!$B$2:$E$297, 4, false)), 0, vlookup($A407, ESPN!$B$2:$E$297, 4, false))</f>
        <v>0</v>
      </c>
      <c r="I407" s="37">
        <f>if(ISNA(vlookup($A407,'Ultimate Draft Kit'!$B$2:$E$324,4, false)), 0, vlookup($A407,'Ultimate Draft Kit'!$B$2:$E$324, 4, false))</f>
        <v>0</v>
      </c>
      <c r="J407" s="38">
        <f>if(ISNA(vlookup($A407,Rotowire!$B$2:$E$1075,4, false)), 0, vlookup($A407,Rotowire!$B$2:$E$1075, 4, false))</f>
        <v>0</v>
      </c>
      <c r="K407" s="37">
        <f>if(ISNA(vlookup($A407, FantasyPro!$B$2:$E$341,4,false)),0,vlookup($A407,FantasyPro!$B$2:$E$341,4,false))</f>
        <v>0</v>
      </c>
      <c r="L407" s="37">
        <f>if(ISNA(vlookup($A407, FFToolbox!$B$2:$E$414, 4, false)), 0, vlookup($A407, FFToolbox!$B$2:$E$414, 4, false))</f>
        <v>1</v>
      </c>
      <c r="M407" s="39">
        <f t="shared" si="1"/>
        <v>0.1666666667</v>
      </c>
      <c r="N407" s="39">
        <f t="shared" si="2"/>
        <v>1</v>
      </c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</row>
    <row r="408">
      <c r="A408" s="17" t="s">
        <v>577</v>
      </c>
      <c r="B408" s="35" t="s">
        <v>1259</v>
      </c>
      <c r="C408" s="35" t="s">
        <v>1260</v>
      </c>
      <c r="D408" s="36" t="s">
        <v>58</v>
      </c>
      <c r="E408" s="36" t="s">
        <v>13</v>
      </c>
      <c r="F408" s="36">
        <f>vlookup(D408,'Team Bye List'!$A$1:$B$33,2,False)</f>
        <v>10</v>
      </c>
      <c r="G408" s="37">
        <f>if(ISNA(vlookup($A408, Sleeper!$B$2:$E$330, 4, false)), 0, vlookup($A408, Sleeper!$B$2:$E$330, 4, false))</f>
        <v>0</v>
      </c>
      <c r="H408" s="37">
        <f>if(ISNA(vlookup($A408, ESPN!$B$2:$E$297, 4, false)), 0, vlookup($A408, ESPN!$B$2:$E$297, 4, false))</f>
        <v>0</v>
      </c>
      <c r="I408" s="37">
        <f>if(ISNA(vlookup($A408,'Ultimate Draft Kit'!$B$2:$E$324,4, false)), 0, vlookup($A408,'Ultimate Draft Kit'!$B$2:$E$324, 4, false))</f>
        <v>0</v>
      </c>
      <c r="J408" s="38">
        <f>if(ISNA(vlookup($A408,Rotowire!$B$2:$E$1075,4, false)), 0, vlookup($A408,Rotowire!$B$2:$E$1075, 4, false))</f>
        <v>0</v>
      </c>
      <c r="K408" s="37">
        <f>if(ISNA(vlookup($A408, FantasyPro!$B$2:$E$341,4,false)),0,vlookup($A408,FantasyPro!$B$2:$E$341,4,false))</f>
        <v>0</v>
      </c>
      <c r="L408" s="37">
        <f>if(ISNA(vlookup($A408, FFToolbox!$B$2:$E$414, 4, false)), 0, vlookup($A408, FFToolbox!$B$2:$E$414, 4, false))</f>
        <v>1</v>
      </c>
      <c r="M408" s="39">
        <f t="shared" si="1"/>
        <v>0.1666666667</v>
      </c>
      <c r="N408" s="39">
        <f t="shared" si="2"/>
        <v>1</v>
      </c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</row>
    <row r="409">
      <c r="A409" s="17" t="s">
        <v>566</v>
      </c>
      <c r="B409" s="35" t="s">
        <v>1259</v>
      </c>
      <c r="C409" s="35">
        <v>10.0</v>
      </c>
      <c r="D409" s="36" t="s">
        <v>89</v>
      </c>
      <c r="E409" s="36" t="s">
        <v>13</v>
      </c>
      <c r="F409" s="36">
        <f>vlookup(D409,'Team Bye List'!$A$1:$B$33,2,False)</f>
        <v>14</v>
      </c>
      <c r="G409" s="37">
        <f>if(ISNA(vlookup($A409, Sleeper!$B$2:$E$330, 4, false)), 0, vlookup($A409, Sleeper!$B$2:$E$330, 4, false))</f>
        <v>1</v>
      </c>
      <c r="H409" s="37">
        <f>if(ISNA(vlookup($A409, ESPN!$B$2:$E$297, 4, false)), 0, vlookup($A409, ESPN!$B$2:$E$297, 4, false))</f>
        <v>0</v>
      </c>
      <c r="I409" s="37">
        <f>if(ISNA(vlookup($A409,'Ultimate Draft Kit'!$B$2:$E$324,4, false)), 0, vlookup($A409,'Ultimate Draft Kit'!$B$2:$E$324, 4, false))</f>
        <v>1</v>
      </c>
      <c r="J409" s="38">
        <f>if(ISNA(vlookup($A409,Rotowire!$B$2:$E$1075,4, false)), 0, vlookup($A409,Rotowire!$B$2:$E$1075, 4, false))</f>
        <v>0</v>
      </c>
      <c r="K409" s="37">
        <f>if(ISNA(vlookup($A409, FantasyPro!$B$2:$E$341,4,false)),0,vlookup($A409,FantasyPro!$B$2:$E$341,4,false))</f>
        <v>0</v>
      </c>
      <c r="L409" s="37">
        <f>if(ISNA(vlookup($A409, FFToolbox!$B$2:$E$414, 4, false)), 0, vlookup($A409, FFToolbox!$B$2:$E$414, 4, false))</f>
        <v>1</v>
      </c>
      <c r="M409" s="39">
        <f t="shared" si="1"/>
        <v>0.5</v>
      </c>
      <c r="N409" s="39">
        <f t="shared" si="2"/>
        <v>1</v>
      </c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</row>
    <row r="410">
      <c r="A410" s="17" t="s">
        <v>918</v>
      </c>
      <c r="B410" s="35" t="s">
        <v>1259</v>
      </c>
      <c r="C410" s="36"/>
      <c r="D410" s="36" t="s">
        <v>262</v>
      </c>
      <c r="E410" s="36" t="s">
        <v>59</v>
      </c>
      <c r="F410" s="36" t="str">
        <f>vlookup(D410,'Team Bye List'!$A$1:$B$33,2,False)</f>
        <v>#N/A</v>
      </c>
      <c r="G410" s="37">
        <f>if(ISNA(vlookup($A410, Sleeper!$B$2:$E$330, 4, false)), 0, vlookup($A410, Sleeper!$B$2:$E$330, 4, false))</f>
        <v>0</v>
      </c>
      <c r="H410" s="37">
        <f>if(ISNA(vlookup($A410, ESPN!$B$2:$E$297, 4, false)), 0, vlookup($A410, ESPN!$B$2:$E$297, 4, false))</f>
        <v>0</v>
      </c>
      <c r="I410" s="37">
        <f>if(ISNA(vlookup($A410,'Ultimate Draft Kit'!$B$2:$E$324,4, false)), 0, vlookup($A410,'Ultimate Draft Kit'!$B$2:$E$324, 4, false))</f>
        <v>0</v>
      </c>
      <c r="J410" s="38">
        <f>if(ISNA(vlookup($A410,Rotowire!$B$2:$E$1075,4, false)), 0, vlookup($A410,Rotowire!$B$2:$E$1075, 4, false))</f>
        <v>0</v>
      </c>
      <c r="K410" s="37">
        <f>if(ISNA(vlookup($A410, FantasyPro!$B$2:$E$341,4,false)),0,vlookup($A410,FantasyPro!$B$2:$E$341,4,false))</f>
        <v>0</v>
      </c>
      <c r="L410" s="37">
        <f>if(ISNA(vlookup($A410, FFToolbox!$B$2:$E$414, 4, false)), 0, vlookup($A410, FFToolbox!$B$2:$E$414, 4, false))</f>
        <v>0</v>
      </c>
      <c r="M410" s="39">
        <f t="shared" si="1"/>
        <v>0</v>
      </c>
      <c r="N410" s="39">
        <f t="shared" si="2"/>
        <v>0</v>
      </c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</row>
    <row r="411">
      <c r="A411" s="17" t="s">
        <v>919</v>
      </c>
      <c r="B411" s="35" t="s">
        <v>1259</v>
      </c>
      <c r="C411" s="36"/>
      <c r="D411" s="36" t="s">
        <v>10</v>
      </c>
      <c r="E411" s="36" t="s">
        <v>59</v>
      </c>
      <c r="F411" s="36">
        <f>vlookup(D411,'Team Bye List'!$A$1:$B$33,2,False)</f>
        <v>13</v>
      </c>
      <c r="G411" s="37">
        <f>if(ISNA(vlookup($A411, Sleeper!$B$2:$E$330, 4, false)), 0, vlookup($A411, Sleeper!$B$2:$E$330, 4, false))</f>
        <v>0</v>
      </c>
      <c r="H411" s="37">
        <f>if(ISNA(vlookup($A411, ESPN!$B$2:$E$297, 4, false)), 0, vlookup($A411, ESPN!$B$2:$E$297, 4, false))</f>
        <v>0</v>
      </c>
      <c r="I411" s="37">
        <f>if(ISNA(vlookup($A411,'Ultimate Draft Kit'!$B$2:$E$324,4, false)), 0, vlookup($A411,'Ultimate Draft Kit'!$B$2:$E$324, 4, false))</f>
        <v>0</v>
      </c>
      <c r="J411" s="38">
        <f>if(ISNA(vlookup($A411,Rotowire!$B$2:$E$1075,4, false)), 0, vlookup($A411,Rotowire!$B$2:$E$1075, 4, false))</f>
        <v>0</v>
      </c>
      <c r="K411" s="37">
        <f>if(ISNA(vlookup($A411, FantasyPro!$B$2:$E$341,4,false)),0,vlookup($A411,FantasyPro!$B$2:$E$341,4,false))</f>
        <v>0</v>
      </c>
      <c r="L411" s="37">
        <f>if(ISNA(vlookup($A411, FFToolbox!$B$2:$E$414, 4, false)), 0, vlookup($A411, FFToolbox!$B$2:$E$414, 4, false))</f>
        <v>0</v>
      </c>
      <c r="M411" s="39">
        <f t="shared" si="1"/>
        <v>0</v>
      </c>
      <c r="N411" s="39">
        <f t="shared" si="2"/>
        <v>0</v>
      </c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</row>
    <row r="412">
      <c r="A412" s="17" t="s">
        <v>717</v>
      </c>
      <c r="B412" s="35" t="s">
        <v>1259</v>
      </c>
      <c r="C412" s="36"/>
      <c r="D412" s="36" t="s">
        <v>32</v>
      </c>
      <c r="E412" s="36" t="s">
        <v>59</v>
      </c>
      <c r="F412" s="36">
        <f>vlookup(D412,'Team Bye List'!$A$1:$B$33,2,False)</f>
        <v>9</v>
      </c>
      <c r="G412" s="37">
        <f>if(ISNA(vlookup($A412, Sleeper!$B$2:$E$330, 4, false)), 0, vlookup($A412, Sleeper!$B$2:$E$330, 4, false))</f>
        <v>0</v>
      </c>
      <c r="H412" s="37">
        <f>if(ISNA(vlookup($A412, ESPN!$B$2:$E$297, 4, false)), 0, vlookup($A412, ESPN!$B$2:$E$297, 4, false))</f>
        <v>0</v>
      </c>
      <c r="I412" s="37">
        <f>if(ISNA(vlookup($A412,'Ultimate Draft Kit'!$B$2:$E$324,4, false)), 0, vlookup($A412,'Ultimate Draft Kit'!$B$2:$E$324, 4, false))</f>
        <v>0</v>
      </c>
      <c r="J412" s="38">
        <f>if(ISNA(vlookup($A412,Rotowire!$B$2:$E$1075,4, false)), 0, vlookup($A412,Rotowire!$B$2:$E$1075, 4, false))</f>
        <v>0</v>
      </c>
      <c r="K412" s="37">
        <f>if(ISNA(vlookup($A412, FantasyPro!$B$2:$E$341,4,false)),0,vlookup($A412,FantasyPro!$B$2:$E$341,4,false))</f>
        <v>0</v>
      </c>
      <c r="L412" s="37">
        <f>if(ISNA(vlookup($A412, FFToolbox!$B$2:$E$414, 4, false)), 0, vlookup($A412, FFToolbox!$B$2:$E$414, 4, false))</f>
        <v>0</v>
      </c>
      <c r="M412" s="39">
        <f t="shared" si="1"/>
        <v>0</v>
      </c>
      <c r="N412" s="39">
        <f t="shared" si="2"/>
        <v>0</v>
      </c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</row>
    <row r="413">
      <c r="A413" s="17" t="s">
        <v>920</v>
      </c>
      <c r="B413" s="35" t="s">
        <v>1259</v>
      </c>
      <c r="C413" s="36"/>
      <c r="D413" s="36" t="s">
        <v>35</v>
      </c>
      <c r="E413" s="36" t="s">
        <v>59</v>
      </c>
      <c r="F413" s="36">
        <f>vlookup(D413,'Team Bye List'!$A$1:$B$33,2,False)</f>
        <v>6</v>
      </c>
      <c r="G413" s="37">
        <f>if(ISNA(vlookup($A413, Sleeper!$B$2:$E$330, 4, false)), 0, vlookup($A413, Sleeper!$B$2:$E$330, 4, false))</f>
        <v>0</v>
      </c>
      <c r="H413" s="37">
        <f>if(ISNA(vlookup($A413, ESPN!$B$2:$E$297, 4, false)), 0, vlookup($A413, ESPN!$B$2:$E$297, 4, false))</f>
        <v>0</v>
      </c>
      <c r="I413" s="37">
        <f>if(ISNA(vlookup($A413,'Ultimate Draft Kit'!$B$2:$E$324,4, false)), 0, vlookup($A413,'Ultimate Draft Kit'!$B$2:$E$324, 4, false))</f>
        <v>0</v>
      </c>
      <c r="J413" s="38">
        <f>if(ISNA(vlookup($A413,Rotowire!$B$2:$E$1075,4, false)), 0, vlookup($A413,Rotowire!$B$2:$E$1075, 4, false))</f>
        <v>0</v>
      </c>
      <c r="K413" s="37">
        <f>if(ISNA(vlookup($A413, FantasyPro!$B$2:$E$341,4,false)),0,vlookup($A413,FantasyPro!$B$2:$E$341,4,false))</f>
        <v>0</v>
      </c>
      <c r="L413" s="37">
        <f>if(ISNA(vlookup($A413, FFToolbox!$B$2:$E$414, 4, false)), 0, vlookup($A413, FFToolbox!$B$2:$E$414, 4, false))</f>
        <v>0</v>
      </c>
      <c r="M413" s="39">
        <f t="shared" si="1"/>
        <v>0</v>
      </c>
      <c r="N413" s="39">
        <f t="shared" si="2"/>
        <v>0</v>
      </c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</row>
    <row r="414">
      <c r="A414" s="17" t="s">
        <v>921</v>
      </c>
      <c r="B414" s="35" t="s">
        <v>1259</v>
      </c>
      <c r="C414" s="36"/>
      <c r="D414" s="36" t="s">
        <v>262</v>
      </c>
      <c r="E414" s="36" t="s">
        <v>59</v>
      </c>
      <c r="F414" s="36" t="str">
        <f>vlookup(D414,'Team Bye List'!$A$1:$B$33,2,False)</f>
        <v>#N/A</v>
      </c>
      <c r="G414" s="37">
        <f>if(ISNA(vlookup($A414, Sleeper!$B$2:$E$330, 4, false)), 0, vlookup($A414, Sleeper!$B$2:$E$330, 4, false))</f>
        <v>0</v>
      </c>
      <c r="H414" s="37">
        <f>if(ISNA(vlookup($A414, ESPN!$B$2:$E$297, 4, false)), 0, vlookup($A414, ESPN!$B$2:$E$297, 4, false))</f>
        <v>0</v>
      </c>
      <c r="I414" s="37">
        <f>if(ISNA(vlookup($A414,'Ultimate Draft Kit'!$B$2:$E$324,4, false)), 0, vlookup($A414,'Ultimate Draft Kit'!$B$2:$E$324, 4, false))</f>
        <v>0</v>
      </c>
      <c r="J414" s="38">
        <f>if(ISNA(vlookup($A414,Rotowire!$B$2:$E$1075,4, false)), 0, vlookup($A414,Rotowire!$B$2:$E$1075, 4, false))</f>
        <v>0</v>
      </c>
      <c r="K414" s="37">
        <f>if(ISNA(vlookup($A414, FantasyPro!$B$2:$E$341,4,false)),0,vlookup($A414,FantasyPro!$B$2:$E$341,4,false))</f>
        <v>0</v>
      </c>
      <c r="L414" s="37">
        <f>if(ISNA(vlookup($A414, FFToolbox!$B$2:$E$414, 4, false)), 0, vlookup($A414, FFToolbox!$B$2:$E$414, 4, false))</f>
        <v>0</v>
      </c>
      <c r="M414" s="39">
        <f t="shared" si="1"/>
        <v>0</v>
      </c>
      <c r="N414" s="39">
        <f t="shared" si="2"/>
        <v>0</v>
      </c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</row>
    <row r="415">
      <c r="A415" s="17" t="s">
        <v>922</v>
      </c>
      <c r="B415" s="35" t="s">
        <v>1259</v>
      </c>
      <c r="C415" s="36"/>
      <c r="D415" s="36" t="s">
        <v>262</v>
      </c>
      <c r="E415" s="36" t="s">
        <v>59</v>
      </c>
      <c r="F415" s="36" t="str">
        <f>vlookup(D415,'Team Bye List'!$A$1:$B$33,2,False)</f>
        <v>#N/A</v>
      </c>
      <c r="G415" s="37">
        <f>if(ISNA(vlookup($A415, Sleeper!$B$2:$E$330, 4, false)), 0, vlookup($A415, Sleeper!$B$2:$E$330, 4, false))</f>
        <v>0</v>
      </c>
      <c r="H415" s="37">
        <f>if(ISNA(vlookup($A415, ESPN!$B$2:$E$297, 4, false)), 0, vlookup($A415, ESPN!$B$2:$E$297, 4, false))</f>
        <v>0</v>
      </c>
      <c r="I415" s="37">
        <f>if(ISNA(vlookup($A415,'Ultimate Draft Kit'!$B$2:$E$324,4, false)), 0, vlookup($A415,'Ultimate Draft Kit'!$B$2:$E$324, 4, false))</f>
        <v>0</v>
      </c>
      <c r="J415" s="38">
        <f>if(ISNA(vlookup($A415,Rotowire!$B$2:$E$1075,4, false)), 0, vlookup($A415,Rotowire!$B$2:$E$1075, 4, false))</f>
        <v>0</v>
      </c>
      <c r="K415" s="37">
        <f>if(ISNA(vlookup($A415, FantasyPro!$B$2:$E$341,4,false)),0,vlookup($A415,FantasyPro!$B$2:$E$341,4,false))</f>
        <v>0</v>
      </c>
      <c r="L415" s="37">
        <f>if(ISNA(vlookup($A415, FFToolbox!$B$2:$E$414, 4, false)), 0, vlookup($A415, FFToolbox!$B$2:$E$414, 4, false))</f>
        <v>0</v>
      </c>
      <c r="M415" s="39">
        <f t="shared" si="1"/>
        <v>0</v>
      </c>
      <c r="N415" s="39">
        <f t="shared" si="2"/>
        <v>0</v>
      </c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</row>
    <row r="416">
      <c r="A416" s="17" t="s">
        <v>923</v>
      </c>
      <c r="B416" s="35" t="s">
        <v>1259</v>
      </c>
      <c r="C416" s="36"/>
      <c r="D416" s="36" t="s">
        <v>262</v>
      </c>
      <c r="E416" s="36" t="s">
        <v>59</v>
      </c>
      <c r="F416" s="36" t="str">
        <f>vlookup(D416,'Team Bye List'!$A$1:$B$33,2,False)</f>
        <v>#N/A</v>
      </c>
      <c r="G416" s="37">
        <f>if(ISNA(vlookup($A416, Sleeper!$B$2:$E$330, 4, false)), 0, vlookup($A416, Sleeper!$B$2:$E$330, 4, false))</f>
        <v>0</v>
      </c>
      <c r="H416" s="37">
        <f>if(ISNA(vlookup($A416, ESPN!$B$2:$E$297, 4, false)), 0, vlookup($A416, ESPN!$B$2:$E$297, 4, false))</f>
        <v>0</v>
      </c>
      <c r="I416" s="37">
        <f>if(ISNA(vlookup($A416,'Ultimate Draft Kit'!$B$2:$E$324,4, false)), 0, vlookup($A416,'Ultimate Draft Kit'!$B$2:$E$324, 4, false))</f>
        <v>0</v>
      </c>
      <c r="J416" s="38">
        <f>if(ISNA(vlookup($A416,Rotowire!$B$2:$E$1075,4, false)), 0, vlookup($A416,Rotowire!$B$2:$E$1075, 4, false))</f>
        <v>0</v>
      </c>
      <c r="K416" s="37">
        <f>if(ISNA(vlookup($A416, FantasyPro!$B$2:$E$341,4,false)),0,vlookup($A416,FantasyPro!$B$2:$E$341,4,false))</f>
        <v>0</v>
      </c>
      <c r="L416" s="37">
        <f>if(ISNA(vlookup($A416, FFToolbox!$B$2:$E$414, 4, false)), 0, vlookup($A416, FFToolbox!$B$2:$E$414, 4, false))</f>
        <v>0</v>
      </c>
      <c r="M416" s="39">
        <f t="shared" si="1"/>
        <v>0</v>
      </c>
      <c r="N416" s="39">
        <f t="shared" si="2"/>
        <v>0</v>
      </c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</row>
    <row r="417">
      <c r="A417" s="17" t="s">
        <v>781</v>
      </c>
      <c r="B417" s="35" t="s">
        <v>1259</v>
      </c>
      <c r="C417" s="36"/>
      <c r="D417" s="36" t="s">
        <v>81</v>
      </c>
      <c r="E417" s="36" t="s">
        <v>59</v>
      </c>
      <c r="F417" s="36">
        <f>vlookup(D417,'Team Bye List'!$A$1:$B$33,2,False)</f>
        <v>6</v>
      </c>
      <c r="G417" s="37">
        <f>if(ISNA(vlookup($A417, Sleeper!$B$2:$E$330, 4, false)), 0, vlookup($A417, Sleeper!$B$2:$E$330, 4, false))</f>
        <v>0</v>
      </c>
      <c r="H417" s="37">
        <f>if(ISNA(vlookup($A417, ESPN!$B$2:$E$297, 4, false)), 0, vlookup($A417, ESPN!$B$2:$E$297, 4, false))</f>
        <v>0</v>
      </c>
      <c r="I417" s="37">
        <f>if(ISNA(vlookup($A417,'Ultimate Draft Kit'!$B$2:$E$324,4, false)), 0, vlookup($A417,'Ultimate Draft Kit'!$B$2:$E$324, 4, false))</f>
        <v>0</v>
      </c>
      <c r="J417" s="38">
        <f>if(ISNA(vlookup($A417,Rotowire!$B$2:$E$1075,4, false)), 0, vlookup($A417,Rotowire!$B$2:$E$1075, 4, false))</f>
        <v>0</v>
      </c>
      <c r="K417" s="37">
        <f>if(ISNA(vlookup($A417, FantasyPro!$B$2:$E$341,4,false)),0,vlookup($A417,FantasyPro!$B$2:$E$341,4,false))</f>
        <v>0</v>
      </c>
      <c r="L417" s="37">
        <f>if(ISNA(vlookup($A417, FFToolbox!$B$2:$E$414, 4, false)), 0, vlookup($A417, FFToolbox!$B$2:$E$414, 4, false))</f>
        <v>0</v>
      </c>
      <c r="M417" s="39">
        <f t="shared" si="1"/>
        <v>0</v>
      </c>
      <c r="N417" s="39">
        <f t="shared" si="2"/>
        <v>0</v>
      </c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</row>
    <row r="418">
      <c r="A418" s="17" t="s">
        <v>789</v>
      </c>
      <c r="B418" s="35" t="s">
        <v>1259</v>
      </c>
      <c r="C418" s="36"/>
      <c r="D418" s="36" t="s">
        <v>43</v>
      </c>
      <c r="E418" s="36" t="s">
        <v>59</v>
      </c>
      <c r="F418" s="36">
        <f>vlookup(D418,'Team Bye List'!$A$1:$B$33,2,False)</f>
        <v>9</v>
      </c>
      <c r="G418" s="37">
        <f>if(ISNA(vlookup($A418, Sleeper!$B$2:$E$330, 4, false)), 0, vlookup($A418, Sleeper!$B$2:$E$330, 4, false))</f>
        <v>0</v>
      </c>
      <c r="H418" s="37">
        <f>if(ISNA(vlookup($A418, ESPN!$B$2:$E$297, 4, false)), 0, vlookup($A418, ESPN!$B$2:$E$297, 4, false))</f>
        <v>0</v>
      </c>
      <c r="I418" s="37">
        <f>if(ISNA(vlookup($A418,'Ultimate Draft Kit'!$B$2:$E$324,4, false)), 0, vlookup($A418,'Ultimate Draft Kit'!$B$2:$E$324, 4, false))</f>
        <v>0</v>
      </c>
      <c r="J418" s="38">
        <f>if(ISNA(vlookup($A418,Rotowire!$B$2:$E$1075,4, false)), 0, vlookup($A418,Rotowire!$B$2:$E$1075, 4, false))</f>
        <v>0</v>
      </c>
      <c r="K418" s="37">
        <f>if(ISNA(vlookup($A418, FantasyPro!$B$2:$E$341,4,false)),0,vlookup($A418,FantasyPro!$B$2:$E$341,4,false))</f>
        <v>0</v>
      </c>
      <c r="L418" s="37">
        <f>if(ISNA(vlookup($A418, FFToolbox!$B$2:$E$414, 4, false)), 0, vlookup($A418, FFToolbox!$B$2:$E$414, 4, false))</f>
        <v>0</v>
      </c>
      <c r="M418" s="39">
        <f t="shared" si="1"/>
        <v>0</v>
      </c>
      <c r="N418" s="39">
        <f t="shared" si="2"/>
        <v>0</v>
      </c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</row>
    <row r="419">
      <c r="A419" s="17" t="s">
        <v>924</v>
      </c>
      <c r="B419" s="35" t="s">
        <v>1259</v>
      </c>
      <c r="C419" s="36"/>
      <c r="D419" s="36" t="s">
        <v>39</v>
      </c>
      <c r="E419" s="36" t="s">
        <v>59</v>
      </c>
      <c r="F419" s="36">
        <f>vlookup(D419,'Team Bye List'!$A$1:$B$33,2,False)</f>
        <v>11</v>
      </c>
      <c r="G419" s="37">
        <f>if(ISNA(vlookup($A419, Sleeper!$B$2:$E$330, 4, false)), 0, vlookup($A419, Sleeper!$B$2:$E$330, 4, false))</f>
        <v>0</v>
      </c>
      <c r="H419" s="37">
        <f>if(ISNA(vlookup($A419, ESPN!$B$2:$E$297, 4, false)), 0, vlookup($A419, ESPN!$B$2:$E$297, 4, false))</f>
        <v>0</v>
      </c>
      <c r="I419" s="37">
        <f>if(ISNA(vlookup($A419,'Ultimate Draft Kit'!$B$2:$E$324,4, false)), 0, vlookup($A419,'Ultimate Draft Kit'!$B$2:$E$324, 4, false))</f>
        <v>0</v>
      </c>
      <c r="J419" s="38">
        <f>if(ISNA(vlookup($A419,Rotowire!$B$2:$E$1075,4, false)), 0, vlookup($A419,Rotowire!$B$2:$E$1075, 4, false))</f>
        <v>0</v>
      </c>
      <c r="K419" s="37">
        <f>if(ISNA(vlookup($A419, FantasyPro!$B$2:$E$341,4,false)),0,vlookup($A419,FantasyPro!$B$2:$E$341,4,false))</f>
        <v>0</v>
      </c>
      <c r="L419" s="37">
        <f>if(ISNA(vlookup($A419, FFToolbox!$B$2:$E$414, 4, false)), 0, vlookup($A419, FFToolbox!$B$2:$E$414, 4, false))</f>
        <v>0</v>
      </c>
      <c r="M419" s="39">
        <f t="shared" si="1"/>
        <v>0</v>
      </c>
      <c r="N419" s="39">
        <f t="shared" si="2"/>
        <v>0</v>
      </c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</row>
    <row r="420">
      <c r="A420" s="17" t="s">
        <v>775</v>
      </c>
      <c r="B420" s="35" t="s">
        <v>1259</v>
      </c>
      <c r="C420" s="36"/>
      <c r="D420" s="36" t="s">
        <v>23</v>
      </c>
      <c r="E420" s="36" t="s">
        <v>59</v>
      </c>
      <c r="F420" s="36">
        <f>vlookup(D420,'Team Bye List'!$A$1:$B$33,2,False)</f>
        <v>9</v>
      </c>
      <c r="G420" s="37">
        <f>if(ISNA(vlookup($A420, Sleeper!$B$2:$E$330, 4, false)), 0, vlookup($A420, Sleeper!$B$2:$E$330, 4, false))</f>
        <v>0</v>
      </c>
      <c r="H420" s="37">
        <f>if(ISNA(vlookup($A420, ESPN!$B$2:$E$297, 4, false)), 0, vlookup($A420, ESPN!$B$2:$E$297, 4, false))</f>
        <v>0</v>
      </c>
      <c r="I420" s="37">
        <f>if(ISNA(vlookup($A420,'Ultimate Draft Kit'!$B$2:$E$324,4, false)), 0, vlookup($A420,'Ultimate Draft Kit'!$B$2:$E$324, 4, false))</f>
        <v>0</v>
      </c>
      <c r="J420" s="38">
        <f>if(ISNA(vlookup($A420,Rotowire!$B$2:$E$1075,4, false)), 0, vlookup($A420,Rotowire!$B$2:$E$1075, 4, false))</f>
        <v>0</v>
      </c>
      <c r="K420" s="37">
        <f>if(ISNA(vlookup($A420, FantasyPro!$B$2:$E$341,4,false)),0,vlookup($A420,FantasyPro!$B$2:$E$341,4,false))</f>
        <v>0</v>
      </c>
      <c r="L420" s="37">
        <f>if(ISNA(vlookup($A420, FFToolbox!$B$2:$E$414, 4, false)), 0, vlookup($A420, FFToolbox!$B$2:$E$414, 4, false))</f>
        <v>0</v>
      </c>
      <c r="M420" s="39">
        <f t="shared" si="1"/>
        <v>0</v>
      </c>
      <c r="N420" s="39">
        <f t="shared" si="2"/>
        <v>0</v>
      </c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</row>
    <row r="421">
      <c r="A421" s="17" t="s">
        <v>787</v>
      </c>
      <c r="B421" s="35" t="s">
        <v>1259</v>
      </c>
      <c r="C421" s="36"/>
      <c r="D421" s="36" t="s">
        <v>28</v>
      </c>
      <c r="E421" s="36" t="s">
        <v>59</v>
      </c>
      <c r="F421" s="36">
        <f>vlookup(D421,'Team Bye List'!$A$1:$B$33,2,False)</f>
        <v>11</v>
      </c>
      <c r="G421" s="37">
        <f>if(ISNA(vlookup($A421, Sleeper!$B$2:$E$330, 4, false)), 0, vlookup($A421, Sleeper!$B$2:$E$330, 4, false))</f>
        <v>0</v>
      </c>
      <c r="H421" s="37">
        <f>if(ISNA(vlookup($A421, ESPN!$B$2:$E$297, 4, false)), 0, vlookup($A421, ESPN!$B$2:$E$297, 4, false))</f>
        <v>0</v>
      </c>
      <c r="I421" s="37">
        <f>if(ISNA(vlookup($A421,'Ultimate Draft Kit'!$B$2:$E$324,4, false)), 0, vlookup($A421,'Ultimate Draft Kit'!$B$2:$E$324, 4, false))</f>
        <v>0</v>
      </c>
      <c r="J421" s="38">
        <f>if(ISNA(vlookup($A421,Rotowire!$B$2:$E$1075,4, false)), 0, vlookup($A421,Rotowire!$B$2:$E$1075, 4, false))</f>
        <v>0</v>
      </c>
      <c r="K421" s="37">
        <f>if(ISNA(vlookup($A421, FantasyPro!$B$2:$E$341,4,false)),0,vlookup($A421,FantasyPro!$B$2:$E$341,4,false))</f>
        <v>0</v>
      </c>
      <c r="L421" s="37">
        <f>if(ISNA(vlookup($A421, FFToolbox!$B$2:$E$414, 4, false)), 0, vlookup($A421, FFToolbox!$B$2:$E$414, 4, false))</f>
        <v>0</v>
      </c>
      <c r="M421" s="39">
        <f t="shared" si="1"/>
        <v>0</v>
      </c>
      <c r="N421" s="39">
        <f t="shared" si="2"/>
        <v>0</v>
      </c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</row>
    <row r="422">
      <c r="A422" s="17" t="s">
        <v>925</v>
      </c>
      <c r="B422" s="35" t="s">
        <v>1259</v>
      </c>
      <c r="C422" s="36"/>
      <c r="D422" s="36" t="s">
        <v>73</v>
      </c>
      <c r="E422" s="36" t="s">
        <v>59</v>
      </c>
      <c r="F422" s="36">
        <f>vlookup(D422,'Team Bye List'!$A$1:$B$33,2,False)</f>
        <v>14</v>
      </c>
      <c r="G422" s="37">
        <f>if(ISNA(vlookup($A422, Sleeper!$B$2:$E$330, 4, false)), 0, vlookup($A422, Sleeper!$B$2:$E$330, 4, false))</f>
        <v>0</v>
      </c>
      <c r="H422" s="37">
        <f>if(ISNA(vlookup($A422, ESPN!$B$2:$E$297, 4, false)), 0, vlookup($A422, ESPN!$B$2:$E$297, 4, false))</f>
        <v>0</v>
      </c>
      <c r="I422" s="37">
        <f>if(ISNA(vlookup($A422,'Ultimate Draft Kit'!$B$2:$E$324,4, false)), 0, vlookup($A422,'Ultimate Draft Kit'!$B$2:$E$324, 4, false))</f>
        <v>0</v>
      </c>
      <c r="J422" s="38">
        <f>if(ISNA(vlookup($A422,Rotowire!$B$2:$E$1075,4, false)), 0, vlookup($A422,Rotowire!$B$2:$E$1075, 4, false))</f>
        <v>0</v>
      </c>
      <c r="K422" s="37">
        <f>if(ISNA(vlookup($A422, FantasyPro!$B$2:$E$341,4,false)),0,vlookup($A422,FantasyPro!$B$2:$E$341,4,false))</f>
        <v>0</v>
      </c>
      <c r="L422" s="37">
        <f>if(ISNA(vlookup($A422, FFToolbox!$B$2:$E$414, 4, false)), 0, vlookup($A422, FFToolbox!$B$2:$E$414, 4, false))</f>
        <v>0</v>
      </c>
      <c r="M422" s="39">
        <f t="shared" si="1"/>
        <v>0</v>
      </c>
      <c r="N422" s="39">
        <f t="shared" si="2"/>
        <v>0</v>
      </c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</row>
    <row r="423">
      <c r="A423" s="17" t="s">
        <v>926</v>
      </c>
      <c r="B423" s="35" t="s">
        <v>1259</v>
      </c>
      <c r="C423" s="36"/>
      <c r="D423" s="36" t="s">
        <v>45</v>
      </c>
      <c r="E423" s="36" t="s">
        <v>59</v>
      </c>
      <c r="F423" s="36">
        <f>vlookup(D423,'Team Bye List'!$A$1:$B$33,2,False)</f>
        <v>13</v>
      </c>
      <c r="G423" s="37">
        <f>if(ISNA(vlookup($A423, Sleeper!$B$2:$E$330, 4, false)), 0, vlookup($A423, Sleeper!$B$2:$E$330, 4, false))</f>
        <v>0</v>
      </c>
      <c r="H423" s="37">
        <f>if(ISNA(vlookup($A423, ESPN!$B$2:$E$297, 4, false)), 0, vlookup($A423, ESPN!$B$2:$E$297, 4, false))</f>
        <v>0</v>
      </c>
      <c r="I423" s="37">
        <f>if(ISNA(vlookup($A423,'Ultimate Draft Kit'!$B$2:$E$324,4, false)), 0, vlookup($A423,'Ultimate Draft Kit'!$B$2:$E$324, 4, false))</f>
        <v>0</v>
      </c>
      <c r="J423" s="38">
        <f>if(ISNA(vlookup($A423,Rotowire!$B$2:$E$1075,4, false)), 0, vlookup($A423,Rotowire!$B$2:$E$1075, 4, false))</f>
        <v>0</v>
      </c>
      <c r="K423" s="37">
        <f>if(ISNA(vlookup($A423, FantasyPro!$B$2:$E$341,4,false)),0,vlookup($A423,FantasyPro!$B$2:$E$341,4,false))</f>
        <v>0</v>
      </c>
      <c r="L423" s="37">
        <f>if(ISNA(vlookup($A423, FFToolbox!$B$2:$E$414, 4, false)), 0, vlookup($A423, FFToolbox!$B$2:$E$414, 4, false))</f>
        <v>0</v>
      </c>
      <c r="M423" s="39">
        <f t="shared" si="1"/>
        <v>0</v>
      </c>
      <c r="N423" s="39">
        <f t="shared" si="2"/>
        <v>0</v>
      </c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</row>
    <row r="424">
      <c r="A424" s="17" t="s">
        <v>927</v>
      </c>
      <c r="B424" s="35" t="s">
        <v>1259</v>
      </c>
      <c r="C424" s="36"/>
      <c r="D424" s="36" t="s">
        <v>28</v>
      </c>
      <c r="E424" s="36" t="s">
        <v>59</v>
      </c>
      <c r="F424" s="36">
        <f>vlookup(D424,'Team Bye List'!$A$1:$B$33,2,False)</f>
        <v>11</v>
      </c>
      <c r="G424" s="37">
        <f>if(ISNA(vlookup($A424, Sleeper!$B$2:$E$330, 4, false)), 0, vlookup($A424, Sleeper!$B$2:$E$330, 4, false))</f>
        <v>0</v>
      </c>
      <c r="H424" s="37">
        <f>if(ISNA(vlookup($A424, ESPN!$B$2:$E$297, 4, false)), 0, vlookup($A424, ESPN!$B$2:$E$297, 4, false))</f>
        <v>0</v>
      </c>
      <c r="I424" s="37">
        <f>if(ISNA(vlookup($A424,'Ultimate Draft Kit'!$B$2:$E$324,4, false)), 0, vlookup($A424,'Ultimate Draft Kit'!$B$2:$E$324, 4, false))</f>
        <v>0</v>
      </c>
      <c r="J424" s="38">
        <f>if(ISNA(vlookup($A424,Rotowire!$B$2:$E$1075,4, false)), 0, vlookup($A424,Rotowire!$B$2:$E$1075, 4, false))</f>
        <v>0</v>
      </c>
      <c r="K424" s="37">
        <f>if(ISNA(vlookup($A424, FantasyPro!$B$2:$E$341,4,false)),0,vlookup($A424,FantasyPro!$B$2:$E$341,4,false))</f>
        <v>0</v>
      </c>
      <c r="L424" s="37">
        <f>if(ISNA(vlookup($A424, FFToolbox!$B$2:$E$414, 4, false)), 0, vlookup($A424, FFToolbox!$B$2:$E$414, 4, false))</f>
        <v>0</v>
      </c>
      <c r="M424" s="39">
        <f t="shared" si="1"/>
        <v>0</v>
      </c>
      <c r="N424" s="39">
        <f t="shared" si="2"/>
        <v>0</v>
      </c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</row>
    <row r="425">
      <c r="A425" s="17" t="s">
        <v>928</v>
      </c>
      <c r="B425" s="35" t="s">
        <v>1259</v>
      </c>
      <c r="C425" s="36"/>
      <c r="D425" s="36" t="s">
        <v>262</v>
      </c>
      <c r="E425" s="36" t="s">
        <v>59</v>
      </c>
      <c r="F425" s="36" t="str">
        <f>vlookup(D425,'Team Bye List'!$A$1:$B$33,2,False)</f>
        <v>#N/A</v>
      </c>
      <c r="G425" s="37">
        <f>if(ISNA(vlookup($A425, Sleeper!$B$2:$E$330, 4, false)), 0, vlookup($A425, Sleeper!$B$2:$E$330, 4, false))</f>
        <v>0</v>
      </c>
      <c r="H425" s="37">
        <f>if(ISNA(vlookup($A425, ESPN!$B$2:$E$297, 4, false)), 0, vlookup($A425, ESPN!$B$2:$E$297, 4, false))</f>
        <v>0</v>
      </c>
      <c r="I425" s="37">
        <f>if(ISNA(vlookup($A425,'Ultimate Draft Kit'!$B$2:$E$324,4, false)), 0, vlookup($A425,'Ultimate Draft Kit'!$B$2:$E$324, 4, false))</f>
        <v>0</v>
      </c>
      <c r="J425" s="38">
        <f>if(ISNA(vlookup($A425,Rotowire!$B$2:$E$1075,4, false)), 0, vlookup($A425,Rotowire!$B$2:$E$1075, 4, false))</f>
        <v>0</v>
      </c>
      <c r="K425" s="37">
        <f>if(ISNA(vlookup($A425, FantasyPro!$B$2:$E$341,4,false)),0,vlookup($A425,FantasyPro!$B$2:$E$341,4,false))</f>
        <v>0</v>
      </c>
      <c r="L425" s="37">
        <f>if(ISNA(vlookup($A425, FFToolbox!$B$2:$E$414, 4, false)), 0, vlookup($A425, FFToolbox!$B$2:$E$414, 4, false))</f>
        <v>0</v>
      </c>
      <c r="M425" s="39">
        <f t="shared" si="1"/>
        <v>0</v>
      </c>
      <c r="N425" s="39">
        <f t="shared" si="2"/>
        <v>0</v>
      </c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</row>
    <row r="426">
      <c r="A426" s="17" t="s">
        <v>929</v>
      </c>
      <c r="B426" s="35" t="s">
        <v>1259</v>
      </c>
      <c r="C426" s="36"/>
      <c r="D426" s="36" t="s">
        <v>262</v>
      </c>
      <c r="E426" s="36" t="s">
        <v>59</v>
      </c>
      <c r="F426" s="36" t="str">
        <f>vlookup(D426,'Team Bye List'!$A$1:$B$33,2,False)</f>
        <v>#N/A</v>
      </c>
      <c r="G426" s="37">
        <f>if(ISNA(vlookup($A426, Sleeper!$B$2:$E$330, 4, false)), 0, vlookup($A426, Sleeper!$B$2:$E$330, 4, false))</f>
        <v>0</v>
      </c>
      <c r="H426" s="37">
        <f>if(ISNA(vlookup($A426, ESPN!$B$2:$E$297, 4, false)), 0, vlookup($A426, ESPN!$B$2:$E$297, 4, false))</f>
        <v>0</v>
      </c>
      <c r="I426" s="37">
        <f>if(ISNA(vlookup($A426,'Ultimate Draft Kit'!$B$2:$E$324,4, false)), 0, vlookup($A426,'Ultimate Draft Kit'!$B$2:$E$324, 4, false))</f>
        <v>0</v>
      </c>
      <c r="J426" s="38">
        <f>if(ISNA(vlookup($A426,Rotowire!$B$2:$E$1075,4, false)), 0, vlookup($A426,Rotowire!$B$2:$E$1075, 4, false))</f>
        <v>0</v>
      </c>
      <c r="K426" s="37">
        <f>if(ISNA(vlookup($A426, FantasyPro!$B$2:$E$341,4,false)),0,vlookup($A426,FantasyPro!$B$2:$E$341,4,false))</f>
        <v>0</v>
      </c>
      <c r="L426" s="37">
        <f>if(ISNA(vlookup($A426, FFToolbox!$B$2:$E$414, 4, false)), 0, vlookup($A426, FFToolbox!$B$2:$E$414, 4, false))</f>
        <v>0</v>
      </c>
      <c r="M426" s="39">
        <f t="shared" si="1"/>
        <v>0</v>
      </c>
      <c r="N426" s="39">
        <f t="shared" si="2"/>
        <v>0</v>
      </c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</row>
    <row r="427">
      <c r="A427" s="17" t="s">
        <v>930</v>
      </c>
      <c r="B427" s="35" t="s">
        <v>1259</v>
      </c>
      <c r="C427" s="36"/>
      <c r="D427" s="36" t="s">
        <v>32</v>
      </c>
      <c r="E427" s="36" t="s">
        <v>59</v>
      </c>
      <c r="F427" s="36">
        <f>vlookup(D427,'Team Bye List'!$A$1:$B$33,2,False)</f>
        <v>9</v>
      </c>
      <c r="G427" s="37">
        <f>if(ISNA(vlookup($A427, Sleeper!$B$2:$E$330, 4, false)), 0, vlookup($A427, Sleeper!$B$2:$E$330, 4, false))</f>
        <v>0</v>
      </c>
      <c r="H427" s="37">
        <f>if(ISNA(vlookup($A427, ESPN!$B$2:$E$297, 4, false)), 0, vlookup($A427, ESPN!$B$2:$E$297, 4, false))</f>
        <v>0</v>
      </c>
      <c r="I427" s="37">
        <f>if(ISNA(vlookup($A427,'Ultimate Draft Kit'!$B$2:$E$324,4, false)), 0, vlookup($A427,'Ultimate Draft Kit'!$B$2:$E$324, 4, false))</f>
        <v>0</v>
      </c>
      <c r="J427" s="38">
        <f>if(ISNA(vlookup($A427,Rotowire!$B$2:$E$1075,4, false)), 0, vlookup($A427,Rotowire!$B$2:$E$1075, 4, false))</f>
        <v>0</v>
      </c>
      <c r="K427" s="37">
        <f>if(ISNA(vlookup($A427, FantasyPro!$B$2:$E$341,4,false)),0,vlookup($A427,FantasyPro!$B$2:$E$341,4,false))</f>
        <v>0</v>
      </c>
      <c r="L427" s="37">
        <f>if(ISNA(vlookup($A427, FFToolbox!$B$2:$E$414, 4, false)), 0, vlookup($A427, FFToolbox!$B$2:$E$414, 4, false))</f>
        <v>0</v>
      </c>
      <c r="M427" s="39">
        <f t="shared" si="1"/>
        <v>0</v>
      </c>
      <c r="N427" s="39">
        <f t="shared" si="2"/>
        <v>0</v>
      </c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</row>
    <row r="428">
      <c r="A428" s="17" t="s">
        <v>931</v>
      </c>
      <c r="B428" s="35" t="s">
        <v>1259</v>
      </c>
      <c r="C428" s="36"/>
      <c r="D428" s="36" t="s">
        <v>262</v>
      </c>
      <c r="E428" s="36" t="s">
        <v>59</v>
      </c>
      <c r="F428" s="36" t="str">
        <f>vlookup(D428,'Team Bye List'!$A$1:$B$33,2,False)</f>
        <v>#N/A</v>
      </c>
      <c r="G428" s="37">
        <f>if(ISNA(vlookup($A428, Sleeper!$B$2:$E$330, 4, false)), 0, vlookup($A428, Sleeper!$B$2:$E$330, 4, false))</f>
        <v>0</v>
      </c>
      <c r="H428" s="37">
        <f>if(ISNA(vlookup($A428, ESPN!$B$2:$E$297, 4, false)), 0, vlookup($A428, ESPN!$B$2:$E$297, 4, false))</f>
        <v>0</v>
      </c>
      <c r="I428" s="37">
        <f>if(ISNA(vlookup($A428,'Ultimate Draft Kit'!$B$2:$E$324,4, false)), 0, vlookup($A428,'Ultimate Draft Kit'!$B$2:$E$324, 4, false))</f>
        <v>0</v>
      </c>
      <c r="J428" s="38">
        <f>if(ISNA(vlookup($A428,Rotowire!$B$2:$E$1075,4, false)), 0, vlookup($A428,Rotowire!$B$2:$E$1075, 4, false))</f>
        <v>0</v>
      </c>
      <c r="K428" s="37">
        <f>if(ISNA(vlookup($A428, FantasyPro!$B$2:$E$341,4,false)),0,vlookup($A428,FantasyPro!$B$2:$E$341,4,false))</f>
        <v>0</v>
      </c>
      <c r="L428" s="37">
        <f>if(ISNA(vlookup($A428, FFToolbox!$B$2:$E$414, 4, false)), 0, vlookup($A428, FFToolbox!$B$2:$E$414, 4, false))</f>
        <v>0</v>
      </c>
      <c r="M428" s="39">
        <f t="shared" si="1"/>
        <v>0</v>
      </c>
      <c r="N428" s="39">
        <f t="shared" si="2"/>
        <v>0</v>
      </c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</row>
    <row r="429">
      <c r="A429" s="17" t="s">
        <v>932</v>
      </c>
      <c r="B429" s="35" t="s">
        <v>1259</v>
      </c>
      <c r="C429" s="36"/>
      <c r="D429" s="36" t="s">
        <v>262</v>
      </c>
      <c r="E429" s="36" t="s">
        <v>59</v>
      </c>
      <c r="F429" s="36" t="str">
        <f>vlookup(D429,'Team Bye List'!$A$1:$B$33,2,False)</f>
        <v>#N/A</v>
      </c>
      <c r="G429" s="37">
        <f>if(ISNA(vlookup($A429, Sleeper!$B$2:$E$330, 4, false)), 0, vlookup($A429, Sleeper!$B$2:$E$330, 4, false))</f>
        <v>0</v>
      </c>
      <c r="H429" s="37">
        <f>if(ISNA(vlookup($A429, ESPN!$B$2:$E$297, 4, false)), 0, vlookup($A429, ESPN!$B$2:$E$297, 4, false))</f>
        <v>0</v>
      </c>
      <c r="I429" s="37">
        <f>if(ISNA(vlookup($A429,'Ultimate Draft Kit'!$B$2:$E$324,4, false)), 0, vlookup($A429,'Ultimate Draft Kit'!$B$2:$E$324, 4, false))</f>
        <v>0</v>
      </c>
      <c r="J429" s="38">
        <f>if(ISNA(vlookup($A429,Rotowire!$B$2:$E$1075,4, false)), 0, vlookup($A429,Rotowire!$B$2:$E$1075, 4, false))</f>
        <v>0</v>
      </c>
      <c r="K429" s="37">
        <f>if(ISNA(vlookup($A429, FantasyPro!$B$2:$E$341,4,false)),0,vlookup($A429,FantasyPro!$B$2:$E$341,4,false))</f>
        <v>0</v>
      </c>
      <c r="L429" s="37">
        <f>if(ISNA(vlookup($A429, FFToolbox!$B$2:$E$414, 4, false)), 0, vlookup($A429, FFToolbox!$B$2:$E$414, 4, false))</f>
        <v>0</v>
      </c>
      <c r="M429" s="39">
        <f t="shared" si="1"/>
        <v>0</v>
      </c>
      <c r="N429" s="39">
        <f t="shared" si="2"/>
        <v>0</v>
      </c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</row>
    <row r="430">
      <c r="A430" s="17" t="s">
        <v>933</v>
      </c>
      <c r="B430" s="35" t="s">
        <v>1259</v>
      </c>
      <c r="C430" s="36"/>
      <c r="D430" s="36" t="s">
        <v>262</v>
      </c>
      <c r="E430" s="36" t="s">
        <v>59</v>
      </c>
      <c r="F430" s="36" t="str">
        <f>vlookup(D430,'Team Bye List'!$A$1:$B$33,2,False)</f>
        <v>#N/A</v>
      </c>
      <c r="G430" s="37">
        <f>if(ISNA(vlookup($A430, Sleeper!$B$2:$E$330, 4, false)), 0, vlookup($A430, Sleeper!$B$2:$E$330, 4, false))</f>
        <v>0</v>
      </c>
      <c r="H430" s="37">
        <f>if(ISNA(vlookup($A430, ESPN!$B$2:$E$297, 4, false)), 0, vlookup($A430, ESPN!$B$2:$E$297, 4, false))</f>
        <v>0</v>
      </c>
      <c r="I430" s="37">
        <f>if(ISNA(vlookup($A430,'Ultimate Draft Kit'!$B$2:$E$324,4, false)), 0, vlookup($A430,'Ultimate Draft Kit'!$B$2:$E$324, 4, false))</f>
        <v>0</v>
      </c>
      <c r="J430" s="38">
        <f>if(ISNA(vlookup($A430,Rotowire!$B$2:$E$1075,4, false)), 0, vlookup($A430,Rotowire!$B$2:$E$1075, 4, false))</f>
        <v>0</v>
      </c>
      <c r="K430" s="37">
        <f>if(ISNA(vlookup($A430, FantasyPro!$B$2:$E$341,4,false)),0,vlookup($A430,FantasyPro!$B$2:$E$341,4,false))</f>
        <v>0</v>
      </c>
      <c r="L430" s="37">
        <f>if(ISNA(vlookup($A430, FFToolbox!$B$2:$E$414, 4, false)), 0, vlookup($A430, FFToolbox!$B$2:$E$414, 4, false))</f>
        <v>0</v>
      </c>
      <c r="M430" s="39">
        <f t="shared" si="1"/>
        <v>0</v>
      </c>
      <c r="N430" s="39">
        <f t="shared" si="2"/>
        <v>0</v>
      </c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</row>
    <row r="431">
      <c r="A431" s="17" t="s">
        <v>934</v>
      </c>
      <c r="B431" s="35" t="s">
        <v>1259</v>
      </c>
      <c r="C431" s="36"/>
      <c r="D431" s="36" t="s">
        <v>119</v>
      </c>
      <c r="E431" s="36" t="s">
        <v>59</v>
      </c>
      <c r="F431" s="36">
        <f>vlookup(D431,'Team Bye List'!$A$1:$B$33,2,False)</f>
        <v>10</v>
      </c>
      <c r="G431" s="37">
        <f>if(ISNA(vlookup($A431, Sleeper!$B$2:$E$330, 4, false)), 0, vlookup($A431, Sleeper!$B$2:$E$330, 4, false))</f>
        <v>0</v>
      </c>
      <c r="H431" s="37">
        <f>if(ISNA(vlookup($A431, ESPN!$B$2:$E$297, 4, false)), 0, vlookup($A431, ESPN!$B$2:$E$297, 4, false))</f>
        <v>0</v>
      </c>
      <c r="I431" s="37">
        <f>if(ISNA(vlookup($A431,'Ultimate Draft Kit'!$B$2:$E$324,4, false)), 0, vlookup($A431,'Ultimate Draft Kit'!$B$2:$E$324, 4, false))</f>
        <v>0</v>
      </c>
      <c r="J431" s="38">
        <f>if(ISNA(vlookup($A431,Rotowire!$B$2:$E$1075,4, false)), 0, vlookup($A431,Rotowire!$B$2:$E$1075, 4, false))</f>
        <v>0</v>
      </c>
      <c r="K431" s="37">
        <f>if(ISNA(vlookup($A431, FantasyPro!$B$2:$E$341,4,false)),0,vlookup($A431,FantasyPro!$B$2:$E$341,4,false))</f>
        <v>0</v>
      </c>
      <c r="L431" s="37">
        <f>if(ISNA(vlookup($A431, FFToolbox!$B$2:$E$414, 4, false)), 0, vlookup($A431, FFToolbox!$B$2:$E$414, 4, false))</f>
        <v>0</v>
      </c>
      <c r="M431" s="39">
        <f t="shared" si="1"/>
        <v>0</v>
      </c>
      <c r="N431" s="39">
        <f t="shared" si="2"/>
        <v>0</v>
      </c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</row>
    <row r="432">
      <c r="A432" s="17" t="s">
        <v>935</v>
      </c>
      <c r="B432" s="35" t="s">
        <v>1259</v>
      </c>
      <c r="C432" s="36"/>
      <c r="D432" s="36" t="s">
        <v>262</v>
      </c>
      <c r="E432" s="36" t="s">
        <v>59</v>
      </c>
      <c r="F432" s="36" t="str">
        <f>vlookup(D432,'Team Bye List'!$A$1:$B$33,2,False)</f>
        <v>#N/A</v>
      </c>
      <c r="G432" s="37">
        <f>if(ISNA(vlookup($A432, Sleeper!$B$2:$E$330, 4, false)), 0, vlookup($A432, Sleeper!$B$2:$E$330, 4, false))</f>
        <v>0</v>
      </c>
      <c r="H432" s="37">
        <f>if(ISNA(vlookup($A432, ESPN!$B$2:$E$297, 4, false)), 0, vlookup($A432, ESPN!$B$2:$E$297, 4, false))</f>
        <v>0</v>
      </c>
      <c r="I432" s="37">
        <f>if(ISNA(vlookup($A432,'Ultimate Draft Kit'!$B$2:$E$324,4, false)), 0, vlookup($A432,'Ultimate Draft Kit'!$B$2:$E$324, 4, false))</f>
        <v>0</v>
      </c>
      <c r="J432" s="38">
        <f>if(ISNA(vlookup($A432,Rotowire!$B$2:$E$1075,4, false)), 0, vlookup($A432,Rotowire!$B$2:$E$1075, 4, false))</f>
        <v>0</v>
      </c>
      <c r="K432" s="37">
        <f>if(ISNA(vlookup($A432, FantasyPro!$B$2:$E$341,4,false)),0,vlookup($A432,FantasyPro!$B$2:$E$341,4,false))</f>
        <v>0</v>
      </c>
      <c r="L432" s="37">
        <f>if(ISNA(vlookup($A432, FFToolbox!$B$2:$E$414, 4, false)), 0, vlookup($A432, FFToolbox!$B$2:$E$414, 4, false))</f>
        <v>0</v>
      </c>
      <c r="M432" s="39">
        <f t="shared" si="1"/>
        <v>0</v>
      </c>
      <c r="N432" s="39">
        <f t="shared" si="2"/>
        <v>0</v>
      </c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</row>
    <row r="433">
      <c r="A433" s="17" t="s">
        <v>936</v>
      </c>
      <c r="B433" s="35" t="s">
        <v>1259</v>
      </c>
      <c r="C433" s="36"/>
      <c r="D433" s="36" t="s">
        <v>73</v>
      </c>
      <c r="E433" s="36" t="s">
        <v>59</v>
      </c>
      <c r="F433" s="36">
        <f>vlookup(D433,'Team Bye List'!$A$1:$B$33,2,False)</f>
        <v>14</v>
      </c>
      <c r="G433" s="37">
        <f>if(ISNA(vlookup($A433, Sleeper!$B$2:$E$330, 4, false)), 0, vlookup($A433, Sleeper!$B$2:$E$330, 4, false))</f>
        <v>0</v>
      </c>
      <c r="H433" s="37">
        <f>if(ISNA(vlookup($A433, ESPN!$B$2:$E$297, 4, false)), 0, vlookup($A433, ESPN!$B$2:$E$297, 4, false))</f>
        <v>0</v>
      </c>
      <c r="I433" s="37">
        <f>if(ISNA(vlookup($A433,'Ultimate Draft Kit'!$B$2:$E$324,4, false)), 0, vlookup($A433,'Ultimate Draft Kit'!$B$2:$E$324, 4, false))</f>
        <v>0</v>
      </c>
      <c r="J433" s="38">
        <f>if(ISNA(vlookup($A433,Rotowire!$B$2:$E$1075,4, false)), 0, vlookup($A433,Rotowire!$B$2:$E$1075, 4, false))</f>
        <v>0</v>
      </c>
      <c r="K433" s="37">
        <f>if(ISNA(vlookup($A433, FantasyPro!$B$2:$E$341,4,false)),0,vlookup($A433,FantasyPro!$B$2:$E$341,4,false))</f>
        <v>0</v>
      </c>
      <c r="L433" s="37">
        <f>if(ISNA(vlookup($A433, FFToolbox!$B$2:$E$414, 4, false)), 0, vlookup($A433, FFToolbox!$B$2:$E$414, 4, false))</f>
        <v>0</v>
      </c>
      <c r="M433" s="39">
        <f t="shared" si="1"/>
        <v>0</v>
      </c>
      <c r="N433" s="39">
        <f t="shared" si="2"/>
        <v>0</v>
      </c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</row>
    <row r="434">
      <c r="A434" s="17" t="s">
        <v>937</v>
      </c>
      <c r="B434" s="35" t="s">
        <v>1259</v>
      </c>
      <c r="C434" s="36"/>
      <c r="D434" s="36" t="s">
        <v>262</v>
      </c>
      <c r="E434" s="36" t="s">
        <v>59</v>
      </c>
      <c r="F434" s="36" t="str">
        <f>vlookup(D434,'Team Bye List'!$A$1:$B$33,2,False)</f>
        <v>#N/A</v>
      </c>
      <c r="G434" s="37">
        <f>if(ISNA(vlookup($A434, Sleeper!$B$2:$E$330, 4, false)), 0, vlookup($A434, Sleeper!$B$2:$E$330, 4, false))</f>
        <v>0</v>
      </c>
      <c r="H434" s="37">
        <f>if(ISNA(vlookup($A434, ESPN!$B$2:$E$297, 4, false)), 0, vlookup($A434, ESPN!$B$2:$E$297, 4, false))</f>
        <v>0</v>
      </c>
      <c r="I434" s="37">
        <f>if(ISNA(vlookup($A434,'Ultimate Draft Kit'!$B$2:$E$324,4, false)), 0, vlookup($A434,'Ultimate Draft Kit'!$B$2:$E$324, 4, false))</f>
        <v>0</v>
      </c>
      <c r="J434" s="38">
        <f>if(ISNA(vlookup($A434,Rotowire!$B$2:$E$1075,4, false)), 0, vlookup($A434,Rotowire!$B$2:$E$1075, 4, false))</f>
        <v>0</v>
      </c>
      <c r="K434" s="37">
        <f>if(ISNA(vlookup($A434, FantasyPro!$B$2:$E$341,4,false)),0,vlookup($A434,FantasyPro!$B$2:$E$341,4,false))</f>
        <v>0</v>
      </c>
      <c r="L434" s="37">
        <f>if(ISNA(vlookup($A434, FFToolbox!$B$2:$E$414, 4, false)), 0, vlookup($A434, FFToolbox!$B$2:$E$414, 4, false))</f>
        <v>0</v>
      </c>
      <c r="M434" s="39">
        <f t="shared" si="1"/>
        <v>0</v>
      </c>
      <c r="N434" s="39">
        <f t="shared" si="2"/>
        <v>0</v>
      </c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</row>
    <row r="435">
      <c r="A435" s="17" t="s">
        <v>938</v>
      </c>
      <c r="B435" s="35" t="s">
        <v>1259</v>
      </c>
      <c r="C435" s="36"/>
      <c r="D435" s="36" t="s">
        <v>45</v>
      </c>
      <c r="E435" s="36" t="s">
        <v>59</v>
      </c>
      <c r="F435" s="36">
        <f>vlookup(D435,'Team Bye List'!$A$1:$B$33,2,False)</f>
        <v>13</v>
      </c>
      <c r="G435" s="37">
        <f>if(ISNA(vlookup($A435, Sleeper!$B$2:$E$330, 4, false)), 0, vlookup($A435, Sleeper!$B$2:$E$330, 4, false))</f>
        <v>0</v>
      </c>
      <c r="H435" s="37">
        <f>if(ISNA(vlookup($A435, ESPN!$B$2:$E$297, 4, false)), 0, vlookup($A435, ESPN!$B$2:$E$297, 4, false))</f>
        <v>0</v>
      </c>
      <c r="I435" s="37">
        <f>if(ISNA(vlookup($A435,'Ultimate Draft Kit'!$B$2:$E$324,4, false)), 0, vlookup($A435,'Ultimate Draft Kit'!$B$2:$E$324, 4, false))</f>
        <v>0</v>
      </c>
      <c r="J435" s="38">
        <f>if(ISNA(vlookup($A435,Rotowire!$B$2:$E$1075,4, false)), 0, vlookup($A435,Rotowire!$B$2:$E$1075, 4, false))</f>
        <v>0</v>
      </c>
      <c r="K435" s="37">
        <f>if(ISNA(vlookup($A435, FantasyPro!$B$2:$E$341,4,false)),0,vlookup($A435,FantasyPro!$B$2:$E$341,4,false))</f>
        <v>0</v>
      </c>
      <c r="L435" s="37">
        <f>if(ISNA(vlookup($A435, FFToolbox!$B$2:$E$414, 4, false)), 0, vlookup($A435, FFToolbox!$B$2:$E$414, 4, false))</f>
        <v>0</v>
      </c>
      <c r="M435" s="39">
        <f t="shared" si="1"/>
        <v>0</v>
      </c>
      <c r="N435" s="39">
        <f t="shared" si="2"/>
        <v>0</v>
      </c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</row>
    <row r="436">
      <c r="A436" s="17" t="s">
        <v>939</v>
      </c>
      <c r="B436" s="35" t="s">
        <v>1259</v>
      </c>
      <c r="C436" s="36"/>
      <c r="D436" s="36" t="s">
        <v>262</v>
      </c>
      <c r="E436" s="36" t="s">
        <v>59</v>
      </c>
      <c r="F436" s="36" t="str">
        <f>vlookup(D436,'Team Bye List'!$A$1:$B$33,2,False)</f>
        <v>#N/A</v>
      </c>
      <c r="G436" s="37">
        <f>if(ISNA(vlookup($A436, Sleeper!$B$2:$E$330, 4, false)), 0, vlookup($A436, Sleeper!$B$2:$E$330, 4, false))</f>
        <v>0</v>
      </c>
      <c r="H436" s="37">
        <f>if(ISNA(vlookup($A436, ESPN!$B$2:$E$297, 4, false)), 0, vlookup($A436, ESPN!$B$2:$E$297, 4, false))</f>
        <v>0</v>
      </c>
      <c r="I436" s="37">
        <f>if(ISNA(vlookup($A436,'Ultimate Draft Kit'!$B$2:$E$324,4, false)), 0, vlookup($A436,'Ultimate Draft Kit'!$B$2:$E$324, 4, false))</f>
        <v>0</v>
      </c>
      <c r="J436" s="38">
        <f>if(ISNA(vlookup($A436,Rotowire!$B$2:$E$1075,4, false)), 0, vlookup($A436,Rotowire!$B$2:$E$1075, 4, false))</f>
        <v>0</v>
      </c>
      <c r="K436" s="37">
        <f>if(ISNA(vlookup($A436, FantasyPro!$B$2:$E$341,4,false)),0,vlookup($A436,FantasyPro!$B$2:$E$341,4,false))</f>
        <v>0</v>
      </c>
      <c r="L436" s="37">
        <f>if(ISNA(vlookup($A436, FFToolbox!$B$2:$E$414, 4, false)), 0, vlookup($A436, FFToolbox!$B$2:$E$414, 4, false))</f>
        <v>0</v>
      </c>
      <c r="M436" s="39">
        <f t="shared" si="1"/>
        <v>0</v>
      </c>
      <c r="N436" s="39">
        <f t="shared" si="2"/>
        <v>0</v>
      </c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</row>
    <row r="437">
      <c r="A437" s="17" t="s">
        <v>940</v>
      </c>
      <c r="B437" s="35" t="s">
        <v>1259</v>
      </c>
      <c r="C437" s="36"/>
      <c r="D437" s="36" t="s">
        <v>262</v>
      </c>
      <c r="E437" s="36" t="s">
        <v>59</v>
      </c>
      <c r="F437" s="36" t="str">
        <f>vlookup(D437,'Team Bye List'!$A$1:$B$33,2,False)</f>
        <v>#N/A</v>
      </c>
      <c r="G437" s="37">
        <f>if(ISNA(vlookup($A437, Sleeper!$B$2:$E$330, 4, false)), 0, vlookup($A437, Sleeper!$B$2:$E$330, 4, false))</f>
        <v>0</v>
      </c>
      <c r="H437" s="37">
        <f>if(ISNA(vlookup($A437, ESPN!$B$2:$E$297, 4, false)), 0, vlookup($A437, ESPN!$B$2:$E$297, 4, false))</f>
        <v>0</v>
      </c>
      <c r="I437" s="37">
        <f>if(ISNA(vlookup($A437,'Ultimate Draft Kit'!$B$2:$E$324,4, false)), 0, vlookup($A437,'Ultimate Draft Kit'!$B$2:$E$324, 4, false))</f>
        <v>0</v>
      </c>
      <c r="J437" s="38">
        <f>if(ISNA(vlookup($A437,Rotowire!$B$2:$E$1075,4, false)), 0, vlookup($A437,Rotowire!$B$2:$E$1075, 4, false))</f>
        <v>0</v>
      </c>
      <c r="K437" s="37">
        <f>if(ISNA(vlookup($A437, FantasyPro!$B$2:$E$341,4,false)),0,vlookup($A437,FantasyPro!$B$2:$E$341,4,false))</f>
        <v>0</v>
      </c>
      <c r="L437" s="37">
        <f>if(ISNA(vlookup($A437, FFToolbox!$B$2:$E$414, 4, false)), 0, vlookup($A437, FFToolbox!$B$2:$E$414, 4, false))</f>
        <v>0</v>
      </c>
      <c r="M437" s="39">
        <f t="shared" si="1"/>
        <v>0</v>
      </c>
      <c r="N437" s="39">
        <f t="shared" si="2"/>
        <v>0</v>
      </c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</row>
    <row r="438">
      <c r="A438" s="17" t="s">
        <v>941</v>
      </c>
      <c r="B438" s="35" t="s">
        <v>1259</v>
      </c>
      <c r="C438" s="36"/>
      <c r="D438" s="36" t="s">
        <v>262</v>
      </c>
      <c r="E438" s="36" t="s">
        <v>59</v>
      </c>
      <c r="F438" s="36" t="str">
        <f>vlookup(D438,'Team Bye List'!$A$1:$B$33,2,False)</f>
        <v>#N/A</v>
      </c>
      <c r="G438" s="37">
        <f>if(ISNA(vlookup($A438, Sleeper!$B$2:$E$330, 4, false)), 0, vlookup($A438, Sleeper!$B$2:$E$330, 4, false))</f>
        <v>0</v>
      </c>
      <c r="H438" s="37">
        <f>if(ISNA(vlookup($A438, ESPN!$B$2:$E$297, 4, false)), 0, vlookup($A438, ESPN!$B$2:$E$297, 4, false))</f>
        <v>0</v>
      </c>
      <c r="I438" s="37">
        <f>if(ISNA(vlookup($A438,'Ultimate Draft Kit'!$B$2:$E$324,4, false)), 0, vlookup($A438,'Ultimate Draft Kit'!$B$2:$E$324, 4, false))</f>
        <v>0</v>
      </c>
      <c r="J438" s="38">
        <f>if(ISNA(vlookup($A438,Rotowire!$B$2:$E$1075,4, false)), 0, vlookup($A438,Rotowire!$B$2:$E$1075, 4, false))</f>
        <v>0</v>
      </c>
      <c r="K438" s="37">
        <f>if(ISNA(vlookup($A438, FantasyPro!$B$2:$E$341,4,false)),0,vlookup($A438,FantasyPro!$B$2:$E$341,4,false))</f>
        <v>0</v>
      </c>
      <c r="L438" s="37">
        <f>if(ISNA(vlookup($A438, FFToolbox!$B$2:$E$414, 4, false)), 0, vlookup($A438, FFToolbox!$B$2:$E$414, 4, false))</f>
        <v>0</v>
      </c>
      <c r="M438" s="39">
        <f t="shared" si="1"/>
        <v>0</v>
      </c>
      <c r="N438" s="39">
        <f t="shared" si="2"/>
        <v>0</v>
      </c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</row>
    <row r="439">
      <c r="A439" s="17" t="s">
        <v>942</v>
      </c>
      <c r="B439" s="35" t="s">
        <v>1259</v>
      </c>
      <c r="C439" s="36"/>
      <c r="D439" s="36" t="s">
        <v>262</v>
      </c>
      <c r="E439" s="36" t="s">
        <v>59</v>
      </c>
      <c r="F439" s="36" t="str">
        <f>vlookup(D439,'Team Bye List'!$A$1:$B$33,2,False)</f>
        <v>#N/A</v>
      </c>
      <c r="G439" s="37">
        <f>if(ISNA(vlookup($A439, Sleeper!$B$2:$E$330, 4, false)), 0, vlookup($A439, Sleeper!$B$2:$E$330, 4, false))</f>
        <v>0</v>
      </c>
      <c r="H439" s="37">
        <f>if(ISNA(vlookup($A439, ESPN!$B$2:$E$297, 4, false)), 0, vlookup($A439, ESPN!$B$2:$E$297, 4, false))</f>
        <v>0</v>
      </c>
      <c r="I439" s="37">
        <f>if(ISNA(vlookup($A439,'Ultimate Draft Kit'!$B$2:$E$324,4, false)), 0, vlookup($A439,'Ultimate Draft Kit'!$B$2:$E$324, 4, false))</f>
        <v>0</v>
      </c>
      <c r="J439" s="38">
        <f>if(ISNA(vlookup($A439,Rotowire!$B$2:$E$1075,4, false)), 0, vlookup($A439,Rotowire!$B$2:$E$1075, 4, false))</f>
        <v>0</v>
      </c>
      <c r="K439" s="37">
        <f>if(ISNA(vlookup($A439, FantasyPro!$B$2:$E$341,4,false)),0,vlookup($A439,FantasyPro!$B$2:$E$341,4,false))</f>
        <v>0</v>
      </c>
      <c r="L439" s="37">
        <f>if(ISNA(vlookup($A439, FFToolbox!$B$2:$E$414, 4, false)), 0, vlookup($A439, FFToolbox!$B$2:$E$414, 4, false))</f>
        <v>0</v>
      </c>
      <c r="M439" s="39">
        <f t="shared" si="1"/>
        <v>0</v>
      </c>
      <c r="N439" s="39">
        <f t="shared" si="2"/>
        <v>0</v>
      </c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</row>
    <row r="440">
      <c r="A440" s="17" t="s">
        <v>714</v>
      </c>
      <c r="B440" s="35" t="s">
        <v>1259</v>
      </c>
      <c r="C440" s="36"/>
      <c r="D440" s="36" t="s">
        <v>262</v>
      </c>
      <c r="E440" s="36" t="s">
        <v>59</v>
      </c>
      <c r="F440" s="36" t="str">
        <f>vlookup(D440,'Team Bye List'!$A$1:$B$33,2,False)</f>
        <v>#N/A</v>
      </c>
      <c r="G440" s="37">
        <f>if(ISNA(vlookup($A440, Sleeper!$B$2:$E$330, 4, false)), 0, vlookup($A440, Sleeper!$B$2:$E$330, 4, false))</f>
        <v>0</v>
      </c>
      <c r="H440" s="37">
        <f>if(ISNA(vlookup($A440, ESPN!$B$2:$E$297, 4, false)), 0, vlookup($A440, ESPN!$B$2:$E$297, 4, false))</f>
        <v>0</v>
      </c>
      <c r="I440" s="37">
        <f>if(ISNA(vlookup($A440,'Ultimate Draft Kit'!$B$2:$E$324,4, false)), 0, vlookup($A440,'Ultimate Draft Kit'!$B$2:$E$324, 4, false))</f>
        <v>0</v>
      </c>
      <c r="J440" s="38">
        <f>if(ISNA(vlookup($A440,Rotowire!$B$2:$E$1075,4, false)), 0, vlookup($A440,Rotowire!$B$2:$E$1075, 4, false))</f>
        <v>0</v>
      </c>
      <c r="K440" s="37">
        <f>if(ISNA(vlookup($A440, FantasyPro!$B$2:$E$341,4,false)),0,vlookup($A440,FantasyPro!$B$2:$E$341,4,false))</f>
        <v>0</v>
      </c>
      <c r="L440" s="37">
        <f>if(ISNA(vlookup($A440, FFToolbox!$B$2:$E$414, 4, false)), 0, vlookup($A440, FFToolbox!$B$2:$E$414, 4, false))</f>
        <v>0</v>
      </c>
      <c r="M440" s="39">
        <f t="shared" si="1"/>
        <v>0</v>
      </c>
      <c r="N440" s="39">
        <f t="shared" si="2"/>
        <v>0</v>
      </c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</row>
    <row r="441">
      <c r="A441" s="17" t="s">
        <v>943</v>
      </c>
      <c r="B441" s="35" t="s">
        <v>1259</v>
      </c>
      <c r="C441" s="36"/>
      <c r="D441" s="36" t="s">
        <v>7</v>
      </c>
      <c r="E441" s="36" t="s">
        <v>59</v>
      </c>
      <c r="F441" s="36">
        <f>vlookup(D441,'Team Bye List'!$A$1:$B$33,2,False)</f>
        <v>14</v>
      </c>
      <c r="G441" s="37">
        <f>if(ISNA(vlookup($A441, Sleeper!$B$2:$E$330, 4, false)), 0, vlookup($A441, Sleeper!$B$2:$E$330, 4, false))</f>
        <v>0</v>
      </c>
      <c r="H441" s="37">
        <f>if(ISNA(vlookup($A441, ESPN!$B$2:$E$297, 4, false)), 0, vlookup($A441, ESPN!$B$2:$E$297, 4, false))</f>
        <v>0</v>
      </c>
      <c r="I441" s="37">
        <f>if(ISNA(vlookup($A441,'Ultimate Draft Kit'!$B$2:$E$324,4, false)), 0, vlookup($A441,'Ultimate Draft Kit'!$B$2:$E$324, 4, false))</f>
        <v>0</v>
      </c>
      <c r="J441" s="38">
        <f>if(ISNA(vlookup($A441,Rotowire!$B$2:$E$1075,4, false)), 0, vlookup($A441,Rotowire!$B$2:$E$1075, 4, false))</f>
        <v>0</v>
      </c>
      <c r="K441" s="37">
        <f>if(ISNA(vlookup($A441, FantasyPro!$B$2:$E$341,4,false)),0,vlookup($A441,FantasyPro!$B$2:$E$341,4,false))</f>
        <v>0</v>
      </c>
      <c r="L441" s="37">
        <f>if(ISNA(vlookup($A441, FFToolbox!$B$2:$E$414, 4, false)), 0, vlookup($A441, FFToolbox!$B$2:$E$414, 4, false))</f>
        <v>0</v>
      </c>
      <c r="M441" s="39">
        <f t="shared" si="1"/>
        <v>0</v>
      </c>
      <c r="N441" s="39">
        <f t="shared" si="2"/>
        <v>0</v>
      </c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</row>
    <row r="442">
      <c r="A442" s="17" t="s">
        <v>944</v>
      </c>
      <c r="B442" s="35" t="s">
        <v>1259</v>
      </c>
      <c r="C442" s="36"/>
      <c r="D442" s="36" t="s">
        <v>35</v>
      </c>
      <c r="E442" s="36" t="s">
        <v>59</v>
      </c>
      <c r="F442" s="36">
        <f>vlookup(D442,'Team Bye List'!$A$1:$B$33,2,False)</f>
        <v>6</v>
      </c>
      <c r="G442" s="37">
        <f>if(ISNA(vlookup($A442, Sleeper!$B$2:$E$330, 4, false)), 0, vlookup($A442, Sleeper!$B$2:$E$330, 4, false))</f>
        <v>0</v>
      </c>
      <c r="H442" s="37">
        <f>if(ISNA(vlookup($A442, ESPN!$B$2:$E$297, 4, false)), 0, vlookup($A442, ESPN!$B$2:$E$297, 4, false))</f>
        <v>0</v>
      </c>
      <c r="I442" s="37">
        <f>if(ISNA(vlookup($A442,'Ultimate Draft Kit'!$B$2:$E$324,4, false)), 0, vlookup($A442,'Ultimate Draft Kit'!$B$2:$E$324, 4, false))</f>
        <v>0</v>
      </c>
      <c r="J442" s="38">
        <f>if(ISNA(vlookup($A442,Rotowire!$B$2:$E$1075,4, false)), 0, vlookup($A442,Rotowire!$B$2:$E$1075, 4, false))</f>
        <v>0</v>
      </c>
      <c r="K442" s="37">
        <f>if(ISNA(vlookup($A442, FantasyPro!$B$2:$E$341,4,false)),0,vlookup($A442,FantasyPro!$B$2:$E$341,4,false))</f>
        <v>0</v>
      </c>
      <c r="L442" s="37">
        <f>if(ISNA(vlookup($A442, FFToolbox!$B$2:$E$414, 4, false)), 0, vlookup($A442, FFToolbox!$B$2:$E$414, 4, false))</f>
        <v>0</v>
      </c>
      <c r="M442" s="39">
        <f t="shared" si="1"/>
        <v>0</v>
      </c>
      <c r="N442" s="39">
        <f t="shared" si="2"/>
        <v>0</v>
      </c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</row>
    <row r="443">
      <c r="A443" s="17" t="s">
        <v>945</v>
      </c>
      <c r="B443" s="35" t="s">
        <v>1259</v>
      </c>
      <c r="C443" s="36"/>
      <c r="D443" s="36" t="s">
        <v>262</v>
      </c>
      <c r="E443" s="36" t="s">
        <v>59</v>
      </c>
      <c r="F443" s="36" t="str">
        <f>vlookup(D443,'Team Bye List'!$A$1:$B$33,2,False)</f>
        <v>#N/A</v>
      </c>
      <c r="G443" s="37">
        <f>if(ISNA(vlookup($A443, Sleeper!$B$2:$E$330, 4, false)), 0, vlookup($A443, Sleeper!$B$2:$E$330, 4, false))</f>
        <v>0</v>
      </c>
      <c r="H443" s="37">
        <f>if(ISNA(vlookup($A443, ESPN!$B$2:$E$297, 4, false)), 0, vlookup($A443, ESPN!$B$2:$E$297, 4, false))</f>
        <v>0</v>
      </c>
      <c r="I443" s="37">
        <f>if(ISNA(vlookup($A443,'Ultimate Draft Kit'!$B$2:$E$324,4, false)), 0, vlookup($A443,'Ultimate Draft Kit'!$B$2:$E$324, 4, false))</f>
        <v>0</v>
      </c>
      <c r="J443" s="38">
        <f>if(ISNA(vlookup($A443,Rotowire!$B$2:$E$1075,4, false)), 0, vlookup($A443,Rotowire!$B$2:$E$1075, 4, false))</f>
        <v>0</v>
      </c>
      <c r="K443" s="37">
        <f>if(ISNA(vlookup($A443, FantasyPro!$B$2:$E$341,4,false)),0,vlookup($A443,FantasyPro!$B$2:$E$341,4,false))</f>
        <v>0</v>
      </c>
      <c r="L443" s="37">
        <f>if(ISNA(vlookup($A443, FFToolbox!$B$2:$E$414, 4, false)), 0, vlookup($A443, FFToolbox!$B$2:$E$414, 4, false))</f>
        <v>0</v>
      </c>
      <c r="M443" s="39">
        <f t="shared" si="1"/>
        <v>0</v>
      </c>
      <c r="N443" s="39">
        <f t="shared" si="2"/>
        <v>0</v>
      </c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</row>
    <row r="444">
      <c r="A444" s="17" t="s">
        <v>946</v>
      </c>
      <c r="B444" s="35" t="s">
        <v>1259</v>
      </c>
      <c r="C444" s="36"/>
      <c r="D444" s="36" t="s">
        <v>28</v>
      </c>
      <c r="E444" s="36" t="s">
        <v>59</v>
      </c>
      <c r="F444" s="36">
        <f>vlookup(D444,'Team Bye List'!$A$1:$B$33,2,False)</f>
        <v>11</v>
      </c>
      <c r="G444" s="37">
        <f>if(ISNA(vlookup($A444, Sleeper!$B$2:$E$330, 4, false)), 0, vlookup($A444, Sleeper!$B$2:$E$330, 4, false))</f>
        <v>0</v>
      </c>
      <c r="H444" s="37">
        <f>if(ISNA(vlookup($A444, ESPN!$B$2:$E$297, 4, false)), 0, vlookup($A444, ESPN!$B$2:$E$297, 4, false))</f>
        <v>0</v>
      </c>
      <c r="I444" s="37">
        <f>if(ISNA(vlookup($A444,'Ultimate Draft Kit'!$B$2:$E$324,4, false)), 0, vlookup($A444,'Ultimate Draft Kit'!$B$2:$E$324, 4, false))</f>
        <v>0</v>
      </c>
      <c r="J444" s="38">
        <f>if(ISNA(vlookup($A444,Rotowire!$B$2:$E$1075,4, false)), 0, vlookup($A444,Rotowire!$B$2:$E$1075, 4, false))</f>
        <v>0</v>
      </c>
      <c r="K444" s="37">
        <f>if(ISNA(vlookup($A444, FantasyPro!$B$2:$E$341,4,false)),0,vlookup($A444,FantasyPro!$B$2:$E$341,4,false))</f>
        <v>0</v>
      </c>
      <c r="L444" s="37">
        <f>if(ISNA(vlookup($A444, FFToolbox!$B$2:$E$414, 4, false)), 0, vlookup($A444, FFToolbox!$B$2:$E$414, 4, false))</f>
        <v>0</v>
      </c>
      <c r="M444" s="39">
        <f t="shared" si="1"/>
        <v>0</v>
      </c>
      <c r="N444" s="39">
        <f t="shared" si="2"/>
        <v>0</v>
      </c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</row>
    <row r="445">
      <c r="A445" s="17" t="s">
        <v>785</v>
      </c>
      <c r="B445" s="35" t="s">
        <v>1259</v>
      </c>
      <c r="C445" s="36"/>
      <c r="D445" s="36" t="s">
        <v>64</v>
      </c>
      <c r="E445" s="36" t="s">
        <v>59</v>
      </c>
      <c r="F445" s="36">
        <f>vlookup(D445,'Team Bye List'!$A$1:$B$33,2,False)</f>
        <v>7</v>
      </c>
      <c r="G445" s="37">
        <f>if(ISNA(vlookup($A445, Sleeper!$B$2:$E$330, 4, false)), 0, vlookup($A445, Sleeper!$B$2:$E$330, 4, false))</f>
        <v>0</v>
      </c>
      <c r="H445" s="37">
        <f>if(ISNA(vlookup($A445, ESPN!$B$2:$E$297, 4, false)), 0, vlookup($A445, ESPN!$B$2:$E$297, 4, false))</f>
        <v>0</v>
      </c>
      <c r="I445" s="37">
        <f>if(ISNA(vlookup($A445,'Ultimate Draft Kit'!$B$2:$E$324,4, false)), 0, vlookup($A445,'Ultimate Draft Kit'!$B$2:$E$324, 4, false))</f>
        <v>0</v>
      </c>
      <c r="J445" s="38">
        <f>if(ISNA(vlookup($A445,Rotowire!$B$2:$E$1075,4, false)), 0, vlookup($A445,Rotowire!$B$2:$E$1075, 4, false))</f>
        <v>0</v>
      </c>
      <c r="K445" s="37">
        <f>if(ISNA(vlookup($A445, FantasyPro!$B$2:$E$341,4,false)),0,vlookup($A445,FantasyPro!$B$2:$E$341,4,false))</f>
        <v>0</v>
      </c>
      <c r="L445" s="37">
        <f>if(ISNA(vlookup($A445, FFToolbox!$B$2:$E$414, 4, false)), 0, vlookup($A445, FFToolbox!$B$2:$E$414, 4, false))</f>
        <v>0</v>
      </c>
      <c r="M445" s="39">
        <f t="shared" si="1"/>
        <v>0</v>
      </c>
      <c r="N445" s="39">
        <f t="shared" si="2"/>
        <v>0</v>
      </c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</row>
    <row r="446">
      <c r="A446" s="17" t="s">
        <v>947</v>
      </c>
      <c r="B446" s="35" t="s">
        <v>1259</v>
      </c>
      <c r="C446" s="36"/>
      <c r="D446" s="36" t="s">
        <v>262</v>
      </c>
      <c r="E446" s="36" t="s">
        <v>59</v>
      </c>
      <c r="F446" s="36" t="str">
        <f>vlookup(D446,'Team Bye List'!$A$1:$B$33,2,False)</f>
        <v>#N/A</v>
      </c>
      <c r="G446" s="37">
        <f>if(ISNA(vlookup($A446, Sleeper!$B$2:$E$330, 4, false)), 0, vlookup($A446, Sleeper!$B$2:$E$330, 4, false))</f>
        <v>0</v>
      </c>
      <c r="H446" s="37">
        <f>if(ISNA(vlookup($A446, ESPN!$B$2:$E$297, 4, false)), 0, vlookup($A446, ESPN!$B$2:$E$297, 4, false))</f>
        <v>0</v>
      </c>
      <c r="I446" s="37">
        <f>if(ISNA(vlookup($A446,'Ultimate Draft Kit'!$B$2:$E$324,4, false)), 0, vlookup($A446,'Ultimate Draft Kit'!$B$2:$E$324, 4, false))</f>
        <v>0</v>
      </c>
      <c r="J446" s="38">
        <f>if(ISNA(vlookup($A446,Rotowire!$B$2:$E$1075,4, false)), 0, vlookup($A446,Rotowire!$B$2:$E$1075, 4, false))</f>
        <v>0</v>
      </c>
      <c r="K446" s="37">
        <f>if(ISNA(vlookup($A446, FantasyPro!$B$2:$E$341,4,false)),0,vlookup($A446,FantasyPro!$B$2:$E$341,4,false))</f>
        <v>0</v>
      </c>
      <c r="L446" s="37">
        <f>if(ISNA(vlookup($A446, FFToolbox!$B$2:$E$414, 4, false)), 0, vlookup($A446, FFToolbox!$B$2:$E$414, 4, false))</f>
        <v>0</v>
      </c>
      <c r="M446" s="39">
        <f t="shared" si="1"/>
        <v>0</v>
      </c>
      <c r="N446" s="39">
        <f t="shared" si="2"/>
        <v>0</v>
      </c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</row>
    <row r="447">
      <c r="A447" s="17" t="s">
        <v>948</v>
      </c>
      <c r="B447" s="35" t="s">
        <v>1259</v>
      </c>
      <c r="C447" s="36"/>
      <c r="D447" s="36" t="s">
        <v>262</v>
      </c>
      <c r="E447" s="36" t="s">
        <v>59</v>
      </c>
      <c r="F447" s="36" t="str">
        <f>vlookup(D447,'Team Bye List'!$A$1:$B$33,2,False)</f>
        <v>#N/A</v>
      </c>
      <c r="G447" s="37">
        <f>if(ISNA(vlookup($A447, Sleeper!$B$2:$E$330, 4, false)), 0, vlookup($A447, Sleeper!$B$2:$E$330, 4, false))</f>
        <v>0</v>
      </c>
      <c r="H447" s="37">
        <f>if(ISNA(vlookup($A447, ESPN!$B$2:$E$297, 4, false)), 0, vlookup($A447, ESPN!$B$2:$E$297, 4, false))</f>
        <v>0</v>
      </c>
      <c r="I447" s="37">
        <f>if(ISNA(vlookup($A447,'Ultimate Draft Kit'!$B$2:$E$324,4, false)), 0, vlookup($A447,'Ultimate Draft Kit'!$B$2:$E$324, 4, false))</f>
        <v>0</v>
      </c>
      <c r="J447" s="38">
        <f>if(ISNA(vlookup($A447,Rotowire!$B$2:$E$1075,4, false)), 0, vlookup($A447,Rotowire!$B$2:$E$1075, 4, false))</f>
        <v>0</v>
      </c>
      <c r="K447" s="37">
        <f>if(ISNA(vlookup($A447, FantasyPro!$B$2:$E$341,4,false)),0,vlookup($A447,FantasyPro!$B$2:$E$341,4,false))</f>
        <v>0</v>
      </c>
      <c r="L447" s="37">
        <f>if(ISNA(vlookup($A447, FFToolbox!$B$2:$E$414, 4, false)), 0, vlookup($A447, FFToolbox!$B$2:$E$414, 4, false))</f>
        <v>0</v>
      </c>
      <c r="M447" s="39">
        <f t="shared" si="1"/>
        <v>0</v>
      </c>
      <c r="N447" s="39">
        <f t="shared" si="2"/>
        <v>0</v>
      </c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</row>
    <row r="448">
      <c r="A448" s="17" t="s">
        <v>949</v>
      </c>
      <c r="B448" s="35" t="s">
        <v>1259</v>
      </c>
      <c r="C448" s="36"/>
      <c r="D448" s="36" t="s">
        <v>81</v>
      </c>
      <c r="E448" s="36" t="s">
        <v>59</v>
      </c>
      <c r="F448" s="36">
        <f>vlookup(D448,'Team Bye List'!$A$1:$B$33,2,False)</f>
        <v>6</v>
      </c>
      <c r="G448" s="37">
        <f>if(ISNA(vlookup($A448, Sleeper!$B$2:$E$330, 4, false)), 0, vlookup($A448, Sleeper!$B$2:$E$330, 4, false))</f>
        <v>0</v>
      </c>
      <c r="H448" s="37">
        <f>if(ISNA(vlookup($A448, ESPN!$B$2:$E$297, 4, false)), 0, vlookup($A448, ESPN!$B$2:$E$297, 4, false))</f>
        <v>0</v>
      </c>
      <c r="I448" s="37">
        <f>if(ISNA(vlookup($A448,'Ultimate Draft Kit'!$B$2:$E$324,4, false)), 0, vlookup($A448,'Ultimate Draft Kit'!$B$2:$E$324, 4, false))</f>
        <v>0</v>
      </c>
      <c r="J448" s="38">
        <f>if(ISNA(vlookup($A448,Rotowire!$B$2:$E$1075,4, false)), 0, vlookup($A448,Rotowire!$B$2:$E$1075, 4, false))</f>
        <v>0</v>
      </c>
      <c r="K448" s="37">
        <f>if(ISNA(vlookup($A448, FantasyPro!$B$2:$E$341,4,false)),0,vlookup($A448,FantasyPro!$B$2:$E$341,4,false))</f>
        <v>0</v>
      </c>
      <c r="L448" s="37">
        <f>if(ISNA(vlookup($A448, FFToolbox!$B$2:$E$414, 4, false)), 0, vlookup($A448, FFToolbox!$B$2:$E$414, 4, false))</f>
        <v>0</v>
      </c>
      <c r="M448" s="39">
        <f t="shared" si="1"/>
        <v>0</v>
      </c>
      <c r="N448" s="39">
        <f t="shared" si="2"/>
        <v>0</v>
      </c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</row>
    <row r="449">
      <c r="A449" s="17" t="s">
        <v>764</v>
      </c>
      <c r="B449" s="35" t="s">
        <v>1259</v>
      </c>
      <c r="C449" s="36"/>
      <c r="D449" s="36" t="s">
        <v>45</v>
      </c>
      <c r="E449" s="36" t="s">
        <v>59</v>
      </c>
      <c r="F449" s="36">
        <f>vlookup(D449,'Team Bye List'!$A$1:$B$33,2,False)</f>
        <v>13</v>
      </c>
      <c r="G449" s="37">
        <f>if(ISNA(vlookup($A449, Sleeper!$B$2:$E$330, 4, false)), 0, vlookup($A449, Sleeper!$B$2:$E$330, 4, false))</f>
        <v>0</v>
      </c>
      <c r="H449" s="37">
        <f>if(ISNA(vlookup($A449, ESPN!$B$2:$E$297, 4, false)), 0, vlookup($A449, ESPN!$B$2:$E$297, 4, false))</f>
        <v>0</v>
      </c>
      <c r="I449" s="37">
        <f>if(ISNA(vlookup($A449,'Ultimate Draft Kit'!$B$2:$E$324,4, false)), 0, vlookup($A449,'Ultimate Draft Kit'!$B$2:$E$324, 4, false))</f>
        <v>0</v>
      </c>
      <c r="J449" s="38">
        <f>if(ISNA(vlookup($A449,Rotowire!$B$2:$E$1075,4, false)), 0, vlookup($A449,Rotowire!$B$2:$E$1075, 4, false))</f>
        <v>0</v>
      </c>
      <c r="K449" s="37">
        <f>if(ISNA(vlookup($A449, FantasyPro!$B$2:$E$341,4,false)),0,vlookup($A449,FantasyPro!$B$2:$E$341,4,false))</f>
        <v>0</v>
      </c>
      <c r="L449" s="37">
        <f>if(ISNA(vlookup($A449, FFToolbox!$B$2:$E$414, 4, false)), 0, vlookup($A449, FFToolbox!$B$2:$E$414, 4, false))</f>
        <v>0</v>
      </c>
      <c r="M449" s="39">
        <f t="shared" si="1"/>
        <v>0</v>
      </c>
      <c r="N449" s="39">
        <f t="shared" si="2"/>
        <v>0</v>
      </c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</row>
    <row r="450">
      <c r="A450" s="17" t="s">
        <v>950</v>
      </c>
      <c r="B450" s="35" t="s">
        <v>1259</v>
      </c>
      <c r="C450" s="36"/>
      <c r="D450" s="36" t="s">
        <v>262</v>
      </c>
      <c r="E450" s="36" t="s">
        <v>59</v>
      </c>
      <c r="F450" s="36" t="str">
        <f>vlookup(D450,'Team Bye List'!$A$1:$B$33,2,False)</f>
        <v>#N/A</v>
      </c>
      <c r="G450" s="37">
        <f>if(ISNA(vlookup($A450, Sleeper!$B$2:$E$330, 4, false)), 0, vlookup($A450, Sleeper!$B$2:$E$330, 4, false))</f>
        <v>0</v>
      </c>
      <c r="H450" s="37">
        <f>if(ISNA(vlookup($A450, ESPN!$B$2:$E$297, 4, false)), 0, vlookup($A450, ESPN!$B$2:$E$297, 4, false))</f>
        <v>0</v>
      </c>
      <c r="I450" s="37">
        <f>if(ISNA(vlookup($A450,'Ultimate Draft Kit'!$B$2:$E$324,4, false)), 0, vlookup($A450,'Ultimate Draft Kit'!$B$2:$E$324, 4, false))</f>
        <v>0</v>
      </c>
      <c r="J450" s="38">
        <f>if(ISNA(vlookup($A450,Rotowire!$B$2:$E$1075,4, false)), 0, vlookup($A450,Rotowire!$B$2:$E$1075, 4, false))</f>
        <v>0</v>
      </c>
      <c r="K450" s="37">
        <f>if(ISNA(vlookup($A450, FantasyPro!$B$2:$E$341,4,false)),0,vlookup($A450,FantasyPro!$B$2:$E$341,4,false))</f>
        <v>0</v>
      </c>
      <c r="L450" s="37">
        <f>if(ISNA(vlookup($A450, FFToolbox!$B$2:$E$414, 4, false)), 0, vlookup($A450, FFToolbox!$B$2:$E$414, 4, false))</f>
        <v>0</v>
      </c>
      <c r="M450" s="39">
        <f t="shared" si="1"/>
        <v>0</v>
      </c>
      <c r="N450" s="39">
        <f t="shared" si="2"/>
        <v>0</v>
      </c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</row>
    <row r="451">
      <c r="A451" s="17" t="s">
        <v>852</v>
      </c>
      <c r="B451" s="35" t="s">
        <v>1259</v>
      </c>
      <c r="C451" s="36"/>
      <c r="D451" s="36" t="s">
        <v>81</v>
      </c>
      <c r="E451" s="36" t="s">
        <v>59</v>
      </c>
      <c r="F451" s="36">
        <f>vlookup(D451,'Team Bye List'!$A$1:$B$33,2,False)</f>
        <v>6</v>
      </c>
      <c r="G451" s="37">
        <f>if(ISNA(vlookup($A451, Sleeper!$B$2:$E$330, 4, false)), 0, vlookup($A451, Sleeper!$B$2:$E$330, 4, false))</f>
        <v>0</v>
      </c>
      <c r="H451" s="37">
        <f>if(ISNA(vlookup($A451, ESPN!$B$2:$E$297, 4, false)), 0, vlookup($A451, ESPN!$B$2:$E$297, 4, false))</f>
        <v>0</v>
      </c>
      <c r="I451" s="37">
        <f>if(ISNA(vlookup($A451,'Ultimate Draft Kit'!$B$2:$E$324,4, false)), 0, vlookup($A451,'Ultimate Draft Kit'!$B$2:$E$324, 4, false))</f>
        <v>0</v>
      </c>
      <c r="J451" s="38">
        <f>if(ISNA(vlookup($A451,Rotowire!$B$2:$E$1075,4, false)), 0, vlookup($A451,Rotowire!$B$2:$E$1075, 4, false))</f>
        <v>0</v>
      </c>
      <c r="K451" s="37">
        <f>if(ISNA(vlookup($A451, FantasyPro!$B$2:$E$341,4,false)),0,vlookup($A451,FantasyPro!$B$2:$E$341,4,false))</f>
        <v>0</v>
      </c>
      <c r="L451" s="37">
        <f>if(ISNA(vlookup($A451, FFToolbox!$B$2:$E$414, 4, false)), 0, vlookup($A451, FFToolbox!$B$2:$E$414, 4, false))</f>
        <v>1</v>
      </c>
      <c r="M451" s="39">
        <f t="shared" si="1"/>
        <v>0.1666666667</v>
      </c>
      <c r="N451" s="39">
        <f t="shared" si="2"/>
        <v>1</v>
      </c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</row>
    <row r="452">
      <c r="A452" s="17" t="s">
        <v>951</v>
      </c>
      <c r="B452" s="35" t="s">
        <v>1259</v>
      </c>
      <c r="C452" s="36"/>
      <c r="D452" s="36" t="s">
        <v>262</v>
      </c>
      <c r="E452" s="36" t="s">
        <v>59</v>
      </c>
      <c r="F452" s="36" t="str">
        <f>vlookup(D452,'Team Bye List'!$A$1:$B$33,2,False)</f>
        <v>#N/A</v>
      </c>
      <c r="G452" s="37">
        <f>if(ISNA(vlookup($A452, Sleeper!$B$2:$E$330, 4, false)), 0, vlookup($A452, Sleeper!$B$2:$E$330, 4, false))</f>
        <v>0</v>
      </c>
      <c r="H452" s="37">
        <f>if(ISNA(vlookup($A452, ESPN!$B$2:$E$297, 4, false)), 0, vlookup($A452, ESPN!$B$2:$E$297, 4, false))</f>
        <v>0</v>
      </c>
      <c r="I452" s="37">
        <f>if(ISNA(vlookup($A452,'Ultimate Draft Kit'!$B$2:$E$324,4, false)), 0, vlookup($A452,'Ultimate Draft Kit'!$B$2:$E$324, 4, false))</f>
        <v>0</v>
      </c>
      <c r="J452" s="38">
        <f>if(ISNA(vlookup($A452,Rotowire!$B$2:$E$1075,4, false)), 0, vlookup($A452,Rotowire!$B$2:$E$1075, 4, false))</f>
        <v>0</v>
      </c>
      <c r="K452" s="37">
        <f>if(ISNA(vlookup($A452, FantasyPro!$B$2:$E$341,4,false)),0,vlookup($A452,FantasyPro!$B$2:$E$341,4,false))</f>
        <v>0</v>
      </c>
      <c r="L452" s="37">
        <f>if(ISNA(vlookup($A452, FFToolbox!$B$2:$E$414, 4, false)), 0, vlookup($A452, FFToolbox!$B$2:$E$414, 4, false))</f>
        <v>0</v>
      </c>
      <c r="M452" s="39">
        <f t="shared" si="1"/>
        <v>0</v>
      </c>
      <c r="N452" s="39">
        <f t="shared" si="2"/>
        <v>0</v>
      </c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</row>
    <row r="453">
      <c r="A453" s="17" t="s">
        <v>952</v>
      </c>
      <c r="B453" s="35" t="s">
        <v>1259</v>
      </c>
      <c r="C453" s="36"/>
      <c r="D453" s="36" t="s">
        <v>45</v>
      </c>
      <c r="E453" s="36" t="s">
        <v>59</v>
      </c>
      <c r="F453" s="36">
        <f>vlookup(D453,'Team Bye List'!$A$1:$B$33,2,False)</f>
        <v>13</v>
      </c>
      <c r="G453" s="37">
        <f>if(ISNA(vlookup($A453, Sleeper!$B$2:$E$330, 4, false)), 0, vlookup($A453, Sleeper!$B$2:$E$330, 4, false))</f>
        <v>0</v>
      </c>
      <c r="H453" s="37">
        <f>if(ISNA(vlookup($A453, ESPN!$B$2:$E$297, 4, false)), 0, vlookup($A453, ESPN!$B$2:$E$297, 4, false))</f>
        <v>0</v>
      </c>
      <c r="I453" s="37">
        <f>if(ISNA(vlookup($A453,'Ultimate Draft Kit'!$B$2:$E$324,4, false)), 0, vlookup($A453,'Ultimate Draft Kit'!$B$2:$E$324, 4, false))</f>
        <v>0</v>
      </c>
      <c r="J453" s="38">
        <f>if(ISNA(vlookup($A453,Rotowire!$B$2:$E$1075,4, false)), 0, vlookup($A453,Rotowire!$B$2:$E$1075, 4, false))</f>
        <v>0</v>
      </c>
      <c r="K453" s="37">
        <f>if(ISNA(vlookup($A453, FantasyPro!$B$2:$E$341,4,false)),0,vlookup($A453,FantasyPro!$B$2:$E$341,4,false))</f>
        <v>0</v>
      </c>
      <c r="L453" s="37">
        <f>if(ISNA(vlookup($A453, FFToolbox!$B$2:$E$414, 4, false)), 0, vlookup($A453, FFToolbox!$B$2:$E$414, 4, false))</f>
        <v>0</v>
      </c>
      <c r="M453" s="39">
        <f t="shared" si="1"/>
        <v>0</v>
      </c>
      <c r="N453" s="39">
        <f t="shared" si="2"/>
        <v>0</v>
      </c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</row>
    <row r="454">
      <c r="A454" s="17" t="s">
        <v>953</v>
      </c>
      <c r="B454" s="35" t="s">
        <v>1259</v>
      </c>
      <c r="C454" s="36"/>
      <c r="D454" s="36" t="s">
        <v>85</v>
      </c>
      <c r="E454" s="36" t="s">
        <v>59</v>
      </c>
      <c r="F454" s="36">
        <f>vlookup(D454,'Team Bye List'!$A$1:$B$33,2,False)</f>
        <v>9</v>
      </c>
      <c r="G454" s="37">
        <f>if(ISNA(vlookup($A454, Sleeper!$B$2:$E$330, 4, false)), 0, vlookup($A454, Sleeper!$B$2:$E$330, 4, false))</f>
        <v>0</v>
      </c>
      <c r="H454" s="37">
        <f>if(ISNA(vlookup($A454, ESPN!$B$2:$E$297, 4, false)), 0, vlookup($A454, ESPN!$B$2:$E$297, 4, false))</f>
        <v>0</v>
      </c>
      <c r="I454" s="37">
        <f>if(ISNA(vlookup($A454,'Ultimate Draft Kit'!$B$2:$E$324,4, false)), 0, vlookup($A454,'Ultimate Draft Kit'!$B$2:$E$324, 4, false))</f>
        <v>0</v>
      </c>
      <c r="J454" s="38">
        <f>if(ISNA(vlookup($A454,Rotowire!$B$2:$E$1075,4, false)), 0, vlookup($A454,Rotowire!$B$2:$E$1075, 4, false))</f>
        <v>0</v>
      </c>
      <c r="K454" s="37">
        <f>if(ISNA(vlookup($A454, FantasyPro!$B$2:$E$341,4,false)),0,vlookup($A454,FantasyPro!$B$2:$E$341,4,false))</f>
        <v>0</v>
      </c>
      <c r="L454" s="37">
        <f>if(ISNA(vlookup($A454, FFToolbox!$B$2:$E$414, 4, false)), 0, vlookup($A454, FFToolbox!$B$2:$E$414, 4, false))</f>
        <v>0</v>
      </c>
      <c r="M454" s="39">
        <f t="shared" si="1"/>
        <v>0</v>
      </c>
      <c r="N454" s="39">
        <f t="shared" si="2"/>
        <v>0</v>
      </c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</row>
    <row r="455">
      <c r="A455" s="17" t="s">
        <v>954</v>
      </c>
      <c r="B455" s="35" t="s">
        <v>1259</v>
      </c>
      <c r="C455" s="36"/>
      <c r="D455" s="36" t="s">
        <v>262</v>
      </c>
      <c r="E455" s="36" t="s">
        <v>59</v>
      </c>
      <c r="F455" s="36" t="str">
        <f>vlookup(D455,'Team Bye List'!$A$1:$B$33,2,False)</f>
        <v>#N/A</v>
      </c>
      <c r="G455" s="37">
        <f>if(ISNA(vlookup($A455, Sleeper!$B$2:$E$330, 4, false)), 0, vlookup($A455, Sleeper!$B$2:$E$330, 4, false))</f>
        <v>0</v>
      </c>
      <c r="H455" s="37">
        <f>if(ISNA(vlookup($A455, ESPN!$B$2:$E$297, 4, false)), 0, vlookup($A455, ESPN!$B$2:$E$297, 4, false))</f>
        <v>0</v>
      </c>
      <c r="I455" s="37">
        <f>if(ISNA(vlookup($A455,'Ultimate Draft Kit'!$B$2:$E$324,4, false)), 0, vlookup($A455,'Ultimate Draft Kit'!$B$2:$E$324, 4, false))</f>
        <v>0</v>
      </c>
      <c r="J455" s="38">
        <f>if(ISNA(vlookup($A455,Rotowire!$B$2:$E$1075,4, false)), 0, vlookup($A455,Rotowire!$B$2:$E$1075, 4, false))</f>
        <v>0</v>
      </c>
      <c r="K455" s="37">
        <f>if(ISNA(vlookup($A455, FantasyPro!$B$2:$E$341,4,false)),0,vlookup($A455,FantasyPro!$B$2:$E$341,4,false))</f>
        <v>0</v>
      </c>
      <c r="L455" s="37">
        <f>if(ISNA(vlookup($A455, FFToolbox!$B$2:$E$414, 4, false)), 0, vlookup($A455, FFToolbox!$B$2:$E$414, 4, false))</f>
        <v>0</v>
      </c>
      <c r="M455" s="39">
        <f t="shared" si="1"/>
        <v>0</v>
      </c>
      <c r="N455" s="39">
        <f t="shared" si="2"/>
        <v>0</v>
      </c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</row>
    <row r="456">
      <c r="A456" s="17" t="s">
        <v>955</v>
      </c>
      <c r="B456" s="35" t="s">
        <v>1259</v>
      </c>
      <c r="C456" s="36"/>
      <c r="D456" s="36" t="s">
        <v>37</v>
      </c>
      <c r="E456" s="36" t="s">
        <v>59</v>
      </c>
      <c r="F456" s="36">
        <f>vlookup(D456,'Team Bye List'!$A$1:$B$33,2,False)</f>
        <v>11</v>
      </c>
      <c r="G456" s="37">
        <f>if(ISNA(vlookup($A456, Sleeper!$B$2:$E$330, 4, false)), 0, vlookup($A456, Sleeper!$B$2:$E$330, 4, false))</f>
        <v>0</v>
      </c>
      <c r="H456" s="37">
        <f>if(ISNA(vlookup($A456, ESPN!$B$2:$E$297, 4, false)), 0, vlookup($A456, ESPN!$B$2:$E$297, 4, false))</f>
        <v>0</v>
      </c>
      <c r="I456" s="37">
        <f>if(ISNA(vlookup($A456,'Ultimate Draft Kit'!$B$2:$E$324,4, false)), 0, vlookup($A456,'Ultimate Draft Kit'!$B$2:$E$324, 4, false))</f>
        <v>0</v>
      </c>
      <c r="J456" s="38">
        <f>if(ISNA(vlookup($A456,Rotowire!$B$2:$E$1075,4, false)), 0, vlookup($A456,Rotowire!$B$2:$E$1075, 4, false))</f>
        <v>0</v>
      </c>
      <c r="K456" s="37">
        <f>if(ISNA(vlookup($A456, FantasyPro!$B$2:$E$341,4,false)),0,vlookup($A456,FantasyPro!$B$2:$E$341,4,false))</f>
        <v>0</v>
      </c>
      <c r="L456" s="37">
        <f>if(ISNA(vlookup($A456, FFToolbox!$B$2:$E$414, 4, false)), 0, vlookup($A456, FFToolbox!$B$2:$E$414, 4, false))</f>
        <v>0</v>
      </c>
      <c r="M456" s="39">
        <f t="shared" si="1"/>
        <v>0</v>
      </c>
      <c r="N456" s="39">
        <f t="shared" si="2"/>
        <v>0</v>
      </c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</row>
    <row r="457">
      <c r="A457" s="17" t="s">
        <v>956</v>
      </c>
      <c r="B457" s="35" t="s">
        <v>1259</v>
      </c>
      <c r="C457" s="36"/>
      <c r="D457" s="36" t="s">
        <v>262</v>
      </c>
      <c r="E457" s="36" t="s">
        <v>59</v>
      </c>
      <c r="F457" s="36" t="str">
        <f>vlookup(D457,'Team Bye List'!$A$1:$B$33,2,False)</f>
        <v>#N/A</v>
      </c>
      <c r="G457" s="37">
        <f>if(ISNA(vlookup($A457, Sleeper!$B$2:$E$330, 4, false)), 0, vlookup($A457, Sleeper!$B$2:$E$330, 4, false))</f>
        <v>0</v>
      </c>
      <c r="H457" s="37">
        <f>if(ISNA(vlookup($A457, ESPN!$B$2:$E$297, 4, false)), 0, vlookup($A457, ESPN!$B$2:$E$297, 4, false))</f>
        <v>0</v>
      </c>
      <c r="I457" s="37">
        <f>if(ISNA(vlookup($A457,'Ultimate Draft Kit'!$B$2:$E$324,4, false)), 0, vlookup($A457,'Ultimate Draft Kit'!$B$2:$E$324, 4, false))</f>
        <v>0</v>
      </c>
      <c r="J457" s="38">
        <f>if(ISNA(vlookup($A457,Rotowire!$B$2:$E$1075,4, false)), 0, vlookup($A457,Rotowire!$B$2:$E$1075, 4, false))</f>
        <v>0</v>
      </c>
      <c r="K457" s="37">
        <f>if(ISNA(vlookup($A457, FantasyPro!$B$2:$E$341,4,false)),0,vlookup($A457,FantasyPro!$B$2:$E$341,4,false))</f>
        <v>0</v>
      </c>
      <c r="L457" s="37">
        <f>if(ISNA(vlookup($A457, FFToolbox!$B$2:$E$414, 4, false)), 0, vlookup($A457, FFToolbox!$B$2:$E$414, 4, false))</f>
        <v>0</v>
      </c>
      <c r="M457" s="39">
        <f t="shared" si="1"/>
        <v>0</v>
      </c>
      <c r="N457" s="39">
        <f t="shared" si="2"/>
        <v>0</v>
      </c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</row>
    <row r="458">
      <c r="A458" s="17" t="s">
        <v>957</v>
      </c>
      <c r="B458" s="35" t="s">
        <v>1259</v>
      </c>
      <c r="C458" s="36"/>
      <c r="D458" s="36" t="s">
        <v>28</v>
      </c>
      <c r="E458" s="36" t="s">
        <v>59</v>
      </c>
      <c r="F458" s="36">
        <f>vlookup(D458,'Team Bye List'!$A$1:$B$33,2,False)</f>
        <v>11</v>
      </c>
      <c r="G458" s="37">
        <f>if(ISNA(vlookup($A458, Sleeper!$B$2:$E$330, 4, false)), 0, vlookup($A458, Sleeper!$B$2:$E$330, 4, false))</f>
        <v>0</v>
      </c>
      <c r="H458" s="37">
        <f>if(ISNA(vlookup($A458, ESPN!$B$2:$E$297, 4, false)), 0, vlookup($A458, ESPN!$B$2:$E$297, 4, false))</f>
        <v>0</v>
      </c>
      <c r="I458" s="37">
        <f>if(ISNA(vlookup($A458,'Ultimate Draft Kit'!$B$2:$E$324,4, false)), 0, vlookup($A458,'Ultimate Draft Kit'!$B$2:$E$324, 4, false))</f>
        <v>0</v>
      </c>
      <c r="J458" s="38">
        <f>if(ISNA(vlookup($A458,Rotowire!$B$2:$E$1075,4, false)), 0, vlookup($A458,Rotowire!$B$2:$E$1075, 4, false))</f>
        <v>0</v>
      </c>
      <c r="K458" s="37">
        <f>if(ISNA(vlookup($A458, FantasyPro!$B$2:$E$341,4,false)),0,vlookup($A458,FantasyPro!$B$2:$E$341,4,false))</f>
        <v>0</v>
      </c>
      <c r="L458" s="37">
        <f>if(ISNA(vlookup($A458, FFToolbox!$B$2:$E$414, 4, false)), 0, vlookup($A458, FFToolbox!$B$2:$E$414, 4, false))</f>
        <v>0</v>
      </c>
      <c r="M458" s="39">
        <f t="shared" si="1"/>
        <v>0</v>
      </c>
      <c r="N458" s="39">
        <f t="shared" si="2"/>
        <v>0</v>
      </c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</row>
    <row r="459">
      <c r="A459" s="17" t="s">
        <v>958</v>
      </c>
      <c r="B459" s="35" t="s">
        <v>1259</v>
      </c>
      <c r="C459" s="36"/>
      <c r="D459" s="36" t="s">
        <v>23</v>
      </c>
      <c r="E459" s="36" t="s">
        <v>59</v>
      </c>
      <c r="F459" s="36">
        <f>vlookup(D459,'Team Bye List'!$A$1:$B$33,2,False)</f>
        <v>9</v>
      </c>
      <c r="G459" s="37">
        <f>if(ISNA(vlookup($A459, Sleeper!$B$2:$E$330, 4, false)), 0, vlookup($A459, Sleeper!$B$2:$E$330, 4, false))</f>
        <v>0</v>
      </c>
      <c r="H459" s="37">
        <f>if(ISNA(vlookup($A459, ESPN!$B$2:$E$297, 4, false)), 0, vlookup($A459, ESPN!$B$2:$E$297, 4, false))</f>
        <v>0</v>
      </c>
      <c r="I459" s="37">
        <f>if(ISNA(vlookup($A459,'Ultimate Draft Kit'!$B$2:$E$324,4, false)), 0, vlookup($A459,'Ultimate Draft Kit'!$B$2:$E$324, 4, false))</f>
        <v>0</v>
      </c>
      <c r="J459" s="38">
        <f>if(ISNA(vlookup($A459,Rotowire!$B$2:$E$1075,4, false)), 0, vlookup($A459,Rotowire!$B$2:$E$1075, 4, false))</f>
        <v>0</v>
      </c>
      <c r="K459" s="37">
        <f>if(ISNA(vlookup($A459, FantasyPro!$B$2:$E$341,4,false)),0,vlookup($A459,FantasyPro!$B$2:$E$341,4,false))</f>
        <v>0</v>
      </c>
      <c r="L459" s="37">
        <f>if(ISNA(vlookup($A459, FFToolbox!$B$2:$E$414, 4, false)), 0, vlookup($A459, FFToolbox!$B$2:$E$414, 4, false))</f>
        <v>0</v>
      </c>
      <c r="M459" s="39">
        <f t="shared" si="1"/>
        <v>0</v>
      </c>
      <c r="N459" s="39">
        <f t="shared" si="2"/>
        <v>0</v>
      </c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</row>
    <row r="460">
      <c r="A460" s="17" t="s">
        <v>959</v>
      </c>
      <c r="B460" s="35" t="s">
        <v>1259</v>
      </c>
      <c r="C460" s="36"/>
      <c r="D460" s="36" t="s">
        <v>262</v>
      </c>
      <c r="E460" s="36" t="s">
        <v>59</v>
      </c>
      <c r="F460" s="36" t="str">
        <f>vlookup(D460,'Team Bye List'!$A$1:$B$33,2,False)</f>
        <v>#N/A</v>
      </c>
      <c r="G460" s="37">
        <f>if(ISNA(vlookup($A460, Sleeper!$B$2:$E$330, 4, false)), 0, vlookup($A460, Sleeper!$B$2:$E$330, 4, false))</f>
        <v>0</v>
      </c>
      <c r="H460" s="37">
        <f>if(ISNA(vlookup($A460, ESPN!$B$2:$E$297, 4, false)), 0, vlookup($A460, ESPN!$B$2:$E$297, 4, false))</f>
        <v>0</v>
      </c>
      <c r="I460" s="37">
        <f>if(ISNA(vlookup($A460,'Ultimate Draft Kit'!$B$2:$E$324,4, false)), 0, vlookup($A460,'Ultimate Draft Kit'!$B$2:$E$324, 4, false))</f>
        <v>0</v>
      </c>
      <c r="J460" s="38">
        <f>if(ISNA(vlookup($A460,Rotowire!$B$2:$E$1075,4, false)), 0, vlookup($A460,Rotowire!$B$2:$E$1075, 4, false))</f>
        <v>0</v>
      </c>
      <c r="K460" s="37">
        <f>if(ISNA(vlookup($A460, FantasyPro!$B$2:$E$341,4,false)),0,vlookup($A460,FantasyPro!$B$2:$E$341,4,false))</f>
        <v>0</v>
      </c>
      <c r="L460" s="37">
        <f>if(ISNA(vlookup($A460, FFToolbox!$B$2:$E$414, 4, false)), 0, vlookup($A460, FFToolbox!$B$2:$E$414, 4, false))</f>
        <v>0</v>
      </c>
      <c r="M460" s="39">
        <f t="shared" si="1"/>
        <v>0</v>
      </c>
      <c r="N460" s="39">
        <f t="shared" si="2"/>
        <v>0</v>
      </c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</row>
    <row r="461">
      <c r="A461" s="17" t="s">
        <v>960</v>
      </c>
      <c r="B461" s="35" t="s">
        <v>1259</v>
      </c>
      <c r="C461" s="36"/>
      <c r="D461" s="36" t="s">
        <v>262</v>
      </c>
      <c r="E461" s="36" t="s">
        <v>59</v>
      </c>
      <c r="F461" s="36" t="str">
        <f>vlookup(D461,'Team Bye List'!$A$1:$B$33,2,False)</f>
        <v>#N/A</v>
      </c>
      <c r="G461" s="37">
        <f>if(ISNA(vlookup($A461, Sleeper!$B$2:$E$330, 4, false)), 0, vlookup($A461, Sleeper!$B$2:$E$330, 4, false))</f>
        <v>0</v>
      </c>
      <c r="H461" s="37">
        <f>if(ISNA(vlookup($A461, ESPN!$B$2:$E$297, 4, false)), 0, vlookup($A461, ESPN!$B$2:$E$297, 4, false))</f>
        <v>0</v>
      </c>
      <c r="I461" s="37">
        <f>if(ISNA(vlookup($A461,'Ultimate Draft Kit'!$B$2:$E$324,4, false)), 0, vlookup($A461,'Ultimate Draft Kit'!$B$2:$E$324, 4, false))</f>
        <v>0</v>
      </c>
      <c r="J461" s="38">
        <f>if(ISNA(vlookup($A461,Rotowire!$B$2:$E$1075,4, false)), 0, vlookup($A461,Rotowire!$B$2:$E$1075, 4, false))</f>
        <v>0</v>
      </c>
      <c r="K461" s="37">
        <f>if(ISNA(vlookup($A461, FantasyPro!$B$2:$E$341,4,false)),0,vlookup($A461,FantasyPro!$B$2:$E$341,4,false))</f>
        <v>0</v>
      </c>
      <c r="L461" s="37">
        <f>if(ISNA(vlookup($A461, FFToolbox!$B$2:$E$414, 4, false)), 0, vlookup($A461, FFToolbox!$B$2:$E$414, 4, false))</f>
        <v>0</v>
      </c>
      <c r="M461" s="39">
        <f t="shared" si="1"/>
        <v>0</v>
      </c>
      <c r="N461" s="39">
        <f t="shared" si="2"/>
        <v>0</v>
      </c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</row>
    <row r="462">
      <c r="A462" s="17" t="s">
        <v>961</v>
      </c>
      <c r="B462" s="35" t="s">
        <v>1259</v>
      </c>
      <c r="C462" s="36"/>
      <c r="D462" s="36" t="s">
        <v>25</v>
      </c>
      <c r="E462" s="36" t="s">
        <v>59</v>
      </c>
      <c r="F462" s="36">
        <f>vlookup(D462,'Team Bye List'!$A$1:$B$33,2,False)</f>
        <v>7</v>
      </c>
      <c r="G462" s="37">
        <f>if(ISNA(vlookup($A462, Sleeper!$B$2:$E$330, 4, false)), 0, vlookup($A462, Sleeper!$B$2:$E$330, 4, false))</f>
        <v>0</v>
      </c>
      <c r="H462" s="37">
        <f>if(ISNA(vlookup($A462, ESPN!$B$2:$E$297, 4, false)), 0, vlookup($A462, ESPN!$B$2:$E$297, 4, false))</f>
        <v>0</v>
      </c>
      <c r="I462" s="37">
        <f>if(ISNA(vlookup($A462,'Ultimate Draft Kit'!$B$2:$E$324,4, false)), 0, vlookup($A462,'Ultimate Draft Kit'!$B$2:$E$324, 4, false))</f>
        <v>0</v>
      </c>
      <c r="J462" s="38">
        <f>if(ISNA(vlookup($A462,Rotowire!$B$2:$E$1075,4, false)), 0, vlookup($A462,Rotowire!$B$2:$E$1075, 4, false))</f>
        <v>0</v>
      </c>
      <c r="K462" s="37">
        <f>if(ISNA(vlookup($A462, FantasyPro!$B$2:$E$341,4,false)),0,vlookup($A462,FantasyPro!$B$2:$E$341,4,false))</f>
        <v>0</v>
      </c>
      <c r="L462" s="37">
        <f>if(ISNA(vlookup($A462, FFToolbox!$B$2:$E$414, 4, false)), 0, vlookup($A462, FFToolbox!$B$2:$E$414, 4, false))</f>
        <v>0</v>
      </c>
      <c r="M462" s="39">
        <f t="shared" si="1"/>
        <v>0</v>
      </c>
      <c r="N462" s="39">
        <f t="shared" si="2"/>
        <v>0</v>
      </c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</row>
    <row r="463">
      <c r="A463" s="17" t="s">
        <v>962</v>
      </c>
      <c r="B463" s="35" t="s">
        <v>1259</v>
      </c>
      <c r="C463" s="36"/>
      <c r="D463" s="36" t="s">
        <v>85</v>
      </c>
      <c r="E463" s="36" t="s">
        <v>59</v>
      </c>
      <c r="F463" s="36">
        <f>vlookup(D463,'Team Bye List'!$A$1:$B$33,2,False)</f>
        <v>9</v>
      </c>
      <c r="G463" s="37">
        <f>if(ISNA(vlookup($A463, Sleeper!$B$2:$E$330, 4, false)), 0, vlookup($A463, Sleeper!$B$2:$E$330, 4, false))</f>
        <v>0</v>
      </c>
      <c r="H463" s="37">
        <f>if(ISNA(vlookup($A463, ESPN!$B$2:$E$297, 4, false)), 0, vlookup($A463, ESPN!$B$2:$E$297, 4, false))</f>
        <v>0</v>
      </c>
      <c r="I463" s="37">
        <f>if(ISNA(vlookup($A463,'Ultimate Draft Kit'!$B$2:$E$324,4, false)), 0, vlookup($A463,'Ultimate Draft Kit'!$B$2:$E$324, 4, false))</f>
        <v>0</v>
      </c>
      <c r="J463" s="38">
        <f>if(ISNA(vlookup($A463,Rotowire!$B$2:$E$1075,4, false)), 0, vlookup($A463,Rotowire!$B$2:$E$1075, 4, false))</f>
        <v>0</v>
      </c>
      <c r="K463" s="37">
        <f>if(ISNA(vlookup($A463, FantasyPro!$B$2:$E$341,4,false)),0,vlookup($A463,FantasyPro!$B$2:$E$341,4,false))</f>
        <v>0</v>
      </c>
      <c r="L463" s="37">
        <f>if(ISNA(vlookup($A463, FFToolbox!$B$2:$E$414, 4, false)), 0, vlookup($A463, FFToolbox!$B$2:$E$414, 4, false))</f>
        <v>0</v>
      </c>
      <c r="M463" s="39">
        <f t="shared" si="1"/>
        <v>0</v>
      </c>
      <c r="N463" s="39">
        <f t="shared" si="2"/>
        <v>0</v>
      </c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</row>
    <row r="464">
      <c r="A464" s="17" t="s">
        <v>963</v>
      </c>
      <c r="B464" s="35" t="s">
        <v>1259</v>
      </c>
      <c r="C464" s="36"/>
      <c r="D464" s="36" t="s">
        <v>262</v>
      </c>
      <c r="E464" s="36" t="s">
        <v>59</v>
      </c>
      <c r="F464" s="36" t="str">
        <f>vlookup(D464,'Team Bye List'!$A$1:$B$33,2,False)</f>
        <v>#N/A</v>
      </c>
      <c r="G464" s="37">
        <f>if(ISNA(vlookup($A464, Sleeper!$B$2:$E$330, 4, false)), 0, vlookup($A464, Sleeper!$B$2:$E$330, 4, false))</f>
        <v>0</v>
      </c>
      <c r="H464" s="37">
        <f>if(ISNA(vlookup($A464, ESPN!$B$2:$E$297, 4, false)), 0, vlookup($A464, ESPN!$B$2:$E$297, 4, false))</f>
        <v>0</v>
      </c>
      <c r="I464" s="37">
        <f>if(ISNA(vlookup($A464,'Ultimate Draft Kit'!$B$2:$E$324,4, false)), 0, vlookup($A464,'Ultimate Draft Kit'!$B$2:$E$324, 4, false))</f>
        <v>0</v>
      </c>
      <c r="J464" s="38">
        <f>if(ISNA(vlookup($A464,Rotowire!$B$2:$E$1075,4, false)), 0, vlookup($A464,Rotowire!$B$2:$E$1075, 4, false))</f>
        <v>0</v>
      </c>
      <c r="K464" s="37">
        <f>if(ISNA(vlookup($A464, FantasyPro!$B$2:$E$341,4,false)),0,vlookup($A464,FantasyPro!$B$2:$E$341,4,false))</f>
        <v>0</v>
      </c>
      <c r="L464" s="37">
        <f>if(ISNA(vlookup($A464, FFToolbox!$B$2:$E$414, 4, false)), 0, vlookup($A464, FFToolbox!$B$2:$E$414, 4, false))</f>
        <v>0</v>
      </c>
      <c r="M464" s="39">
        <f t="shared" si="1"/>
        <v>0</v>
      </c>
      <c r="N464" s="39">
        <f t="shared" si="2"/>
        <v>0</v>
      </c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</row>
    <row r="465">
      <c r="A465" s="17" t="s">
        <v>964</v>
      </c>
      <c r="B465" s="35" t="s">
        <v>1259</v>
      </c>
      <c r="C465" s="36"/>
      <c r="D465" s="36" t="s">
        <v>262</v>
      </c>
      <c r="E465" s="36" t="s">
        <v>59</v>
      </c>
      <c r="F465" s="36" t="str">
        <f>vlookup(D465,'Team Bye List'!$A$1:$B$33,2,False)</f>
        <v>#N/A</v>
      </c>
      <c r="G465" s="37">
        <f>if(ISNA(vlookup($A465, Sleeper!$B$2:$E$330, 4, false)), 0, vlookup($A465, Sleeper!$B$2:$E$330, 4, false))</f>
        <v>0</v>
      </c>
      <c r="H465" s="37">
        <f>if(ISNA(vlookup($A465, ESPN!$B$2:$E$297, 4, false)), 0, vlookup($A465, ESPN!$B$2:$E$297, 4, false))</f>
        <v>0</v>
      </c>
      <c r="I465" s="37">
        <f>if(ISNA(vlookup($A465,'Ultimate Draft Kit'!$B$2:$E$324,4, false)), 0, vlookup($A465,'Ultimate Draft Kit'!$B$2:$E$324, 4, false))</f>
        <v>0</v>
      </c>
      <c r="J465" s="38">
        <f>if(ISNA(vlookup($A465,Rotowire!$B$2:$E$1075,4, false)), 0, vlookup($A465,Rotowire!$B$2:$E$1075, 4, false))</f>
        <v>0</v>
      </c>
      <c r="K465" s="37">
        <f>if(ISNA(vlookup($A465, FantasyPro!$B$2:$E$341,4,false)),0,vlookup($A465,FantasyPro!$B$2:$E$341,4,false))</f>
        <v>0</v>
      </c>
      <c r="L465" s="37">
        <f>if(ISNA(vlookup($A465, FFToolbox!$B$2:$E$414, 4, false)), 0, vlookup($A465, FFToolbox!$B$2:$E$414, 4, false))</f>
        <v>0</v>
      </c>
      <c r="M465" s="39">
        <f t="shared" si="1"/>
        <v>0</v>
      </c>
      <c r="N465" s="39">
        <f t="shared" si="2"/>
        <v>0</v>
      </c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</row>
    <row r="466">
      <c r="A466" s="17" t="s">
        <v>703</v>
      </c>
      <c r="B466" s="35" t="s">
        <v>1259</v>
      </c>
      <c r="C466" s="36"/>
      <c r="D466" s="36" t="s">
        <v>262</v>
      </c>
      <c r="E466" s="36" t="s">
        <v>59</v>
      </c>
      <c r="F466" s="36" t="str">
        <f>vlookup(D466,'Team Bye List'!$A$1:$B$33,2,False)</f>
        <v>#N/A</v>
      </c>
      <c r="G466" s="37">
        <f>if(ISNA(vlookup($A466, Sleeper!$B$2:$E$330, 4, false)), 0, vlookup($A466, Sleeper!$B$2:$E$330, 4, false))</f>
        <v>0</v>
      </c>
      <c r="H466" s="37">
        <f>if(ISNA(vlookup($A466, ESPN!$B$2:$E$297, 4, false)), 0, vlookup($A466, ESPN!$B$2:$E$297, 4, false))</f>
        <v>0</v>
      </c>
      <c r="I466" s="37">
        <f>if(ISNA(vlookup($A466,'Ultimate Draft Kit'!$B$2:$E$324,4, false)), 0, vlookup($A466,'Ultimate Draft Kit'!$B$2:$E$324, 4, false))</f>
        <v>0</v>
      </c>
      <c r="J466" s="38">
        <f>if(ISNA(vlookup($A466,Rotowire!$B$2:$E$1075,4, false)), 0, vlookup($A466,Rotowire!$B$2:$E$1075, 4, false))</f>
        <v>0</v>
      </c>
      <c r="K466" s="37">
        <f>if(ISNA(vlookup($A466, FantasyPro!$B$2:$E$341,4,false)),0,vlookup($A466,FantasyPro!$B$2:$E$341,4,false))</f>
        <v>0</v>
      </c>
      <c r="L466" s="37">
        <f>if(ISNA(vlookup($A466, FFToolbox!$B$2:$E$414, 4, false)), 0, vlookup($A466, FFToolbox!$B$2:$E$414, 4, false))</f>
        <v>0</v>
      </c>
      <c r="M466" s="39">
        <f t="shared" si="1"/>
        <v>0</v>
      </c>
      <c r="N466" s="39">
        <f t="shared" si="2"/>
        <v>0</v>
      </c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</row>
    <row r="467">
      <c r="A467" s="17" t="s">
        <v>965</v>
      </c>
      <c r="B467" s="35" t="s">
        <v>1259</v>
      </c>
      <c r="C467" s="36"/>
      <c r="D467" s="36" t="s">
        <v>262</v>
      </c>
      <c r="E467" s="36" t="s">
        <v>59</v>
      </c>
      <c r="F467" s="36" t="str">
        <f>vlookup(D467,'Team Bye List'!$A$1:$B$33,2,False)</f>
        <v>#N/A</v>
      </c>
      <c r="G467" s="37">
        <f>if(ISNA(vlookup($A467, Sleeper!$B$2:$E$330, 4, false)), 0, vlookup($A467, Sleeper!$B$2:$E$330, 4, false))</f>
        <v>0</v>
      </c>
      <c r="H467" s="37">
        <f>if(ISNA(vlookup($A467, ESPN!$B$2:$E$297, 4, false)), 0, vlookup($A467, ESPN!$B$2:$E$297, 4, false))</f>
        <v>0</v>
      </c>
      <c r="I467" s="37">
        <f>if(ISNA(vlookup($A467,'Ultimate Draft Kit'!$B$2:$E$324,4, false)), 0, vlookup($A467,'Ultimate Draft Kit'!$B$2:$E$324, 4, false))</f>
        <v>0</v>
      </c>
      <c r="J467" s="38">
        <f>if(ISNA(vlookup($A467,Rotowire!$B$2:$E$1075,4, false)), 0, vlookup($A467,Rotowire!$B$2:$E$1075, 4, false))</f>
        <v>0</v>
      </c>
      <c r="K467" s="37">
        <f>if(ISNA(vlookup($A467, FantasyPro!$B$2:$E$341,4,false)),0,vlookup($A467,FantasyPro!$B$2:$E$341,4,false))</f>
        <v>0</v>
      </c>
      <c r="L467" s="37">
        <f>if(ISNA(vlookup($A467, FFToolbox!$B$2:$E$414, 4, false)), 0, vlookup($A467, FFToolbox!$B$2:$E$414, 4, false))</f>
        <v>0</v>
      </c>
      <c r="M467" s="39">
        <f t="shared" si="1"/>
        <v>0</v>
      </c>
      <c r="N467" s="39">
        <f t="shared" si="2"/>
        <v>0</v>
      </c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</row>
    <row r="468">
      <c r="A468" s="17" t="s">
        <v>724</v>
      </c>
      <c r="B468" s="35" t="s">
        <v>1259</v>
      </c>
      <c r="C468" s="36"/>
      <c r="D468" s="36" t="s">
        <v>262</v>
      </c>
      <c r="E468" s="36" t="s">
        <v>59</v>
      </c>
      <c r="F468" s="36" t="str">
        <f>vlookup(D468,'Team Bye List'!$A$1:$B$33,2,False)</f>
        <v>#N/A</v>
      </c>
      <c r="G468" s="37">
        <f>if(ISNA(vlookup($A468, Sleeper!$B$2:$E$330, 4, false)), 0, vlookup($A468, Sleeper!$B$2:$E$330, 4, false))</f>
        <v>0</v>
      </c>
      <c r="H468" s="37">
        <f>if(ISNA(vlookup($A468, ESPN!$B$2:$E$297, 4, false)), 0, vlookup($A468, ESPN!$B$2:$E$297, 4, false))</f>
        <v>0</v>
      </c>
      <c r="I468" s="37">
        <f>if(ISNA(vlookup($A468,'Ultimate Draft Kit'!$B$2:$E$324,4, false)), 0, vlookup($A468,'Ultimate Draft Kit'!$B$2:$E$324, 4, false))</f>
        <v>0</v>
      </c>
      <c r="J468" s="38">
        <f>if(ISNA(vlookup($A468,Rotowire!$B$2:$E$1075,4, false)), 0, vlookup($A468,Rotowire!$B$2:$E$1075, 4, false))</f>
        <v>0</v>
      </c>
      <c r="K468" s="37">
        <f>if(ISNA(vlookup($A468, FantasyPro!$B$2:$E$341,4,false)),0,vlookup($A468,FantasyPro!$B$2:$E$341,4,false))</f>
        <v>0</v>
      </c>
      <c r="L468" s="37">
        <f>if(ISNA(vlookup($A468, FFToolbox!$B$2:$E$414, 4, false)), 0, vlookup($A468, FFToolbox!$B$2:$E$414, 4, false))</f>
        <v>0</v>
      </c>
      <c r="M468" s="39">
        <f t="shared" si="1"/>
        <v>0</v>
      </c>
      <c r="N468" s="39">
        <f t="shared" si="2"/>
        <v>0</v>
      </c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</row>
    <row r="469">
      <c r="A469" s="17" t="s">
        <v>966</v>
      </c>
      <c r="B469" s="35" t="s">
        <v>1259</v>
      </c>
      <c r="C469" s="36"/>
      <c r="D469" s="36" t="s">
        <v>262</v>
      </c>
      <c r="E469" s="36" t="s">
        <v>59</v>
      </c>
      <c r="F469" s="36" t="str">
        <f>vlookup(D469,'Team Bye List'!$A$1:$B$33,2,False)</f>
        <v>#N/A</v>
      </c>
      <c r="G469" s="37">
        <f>if(ISNA(vlookup($A469, Sleeper!$B$2:$E$330, 4, false)), 0, vlookup($A469, Sleeper!$B$2:$E$330, 4, false))</f>
        <v>0</v>
      </c>
      <c r="H469" s="37">
        <f>if(ISNA(vlookup($A469, ESPN!$B$2:$E$297, 4, false)), 0, vlookup($A469, ESPN!$B$2:$E$297, 4, false))</f>
        <v>0</v>
      </c>
      <c r="I469" s="37">
        <f>if(ISNA(vlookup($A469,'Ultimate Draft Kit'!$B$2:$E$324,4, false)), 0, vlookup($A469,'Ultimate Draft Kit'!$B$2:$E$324, 4, false))</f>
        <v>0</v>
      </c>
      <c r="J469" s="38">
        <f>if(ISNA(vlookup($A469,Rotowire!$B$2:$E$1075,4, false)), 0, vlookup($A469,Rotowire!$B$2:$E$1075, 4, false))</f>
        <v>0</v>
      </c>
      <c r="K469" s="37">
        <f>if(ISNA(vlookup($A469, FantasyPro!$B$2:$E$341,4,false)),0,vlookup($A469,FantasyPro!$B$2:$E$341,4,false))</f>
        <v>0</v>
      </c>
      <c r="L469" s="37">
        <f>if(ISNA(vlookup($A469, FFToolbox!$B$2:$E$414, 4, false)), 0, vlookup($A469, FFToolbox!$B$2:$E$414, 4, false))</f>
        <v>0</v>
      </c>
      <c r="M469" s="39">
        <f t="shared" si="1"/>
        <v>0</v>
      </c>
      <c r="N469" s="39">
        <f t="shared" si="2"/>
        <v>0</v>
      </c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</row>
    <row r="470">
      <c r="A470" s="17" t="s">
        <v>666</v>
      </c>
      <c r="B470" s="35" t="s">
        <v>1259</v>
      </c>
      <c r="C470" s="36"/>
      <c r="D470" s="36" t="s">
        <v>69</v>
      </c>
      <c r="E470" s="36" t="s">
        <v>59</v>
      </c>
      <c r="F470" s="36">
        <f>vlookup(D470,'Team Bye List'!$A$1:$B$33,2,False)</f>
        <v>10</v>
      </c>
      <c r="G470" s="37">
        <f>if(ISNA(vlookup($A470, Sleeper!$B$2:$E$330, 4, false)), 0, vlookup($A470, Sleeper!$B$2:$E$330, 4, false))</f>
        <v>0</v>
      </c>
      <c r="H470" s="37">
        <f>if(ISNA(vlookup($A470, ESPN!$B$2:$E$297, 4, false)), 0, vlookup($A470, ESPN!$B$2:$E$297, 4, false))</f>
        <v>0</v>
      </c>
      <c r="I470" s="37">
        <f>if(ISNA(vlookup($A470,'Ultimate Draft Kit'!$B$2:$E$324,4, false)), 0, vlookup($A470,'Ultimate Draft Kit'!$B$2:$E$324, 4, false))</f>
        <v>0</v>
      </c>
      <c r="J470" s="38">
        <f>if(ISNA(vlookup($A470,Rotowire!$B$2:$E$1075,4, false)), 0, vlookup($A470,Rotowire!$B$2:$E$1075, 4, false))</f>
        <v>0</v>
      </c>
      <c r="K470" s="37">
        <f>if(ISNA(vlookup($A470, FantasyPro!$B$2:$E$341,4,false)),0,vlookup($A470,FantasyPro!$B$2:$E$341,4,false))</f>
        <v>0</v>
      </c>
      <c r="L470" s="37">
        <f>if(ISNA(vlookup($A470, FFToolbox!$B$2:$E$414, 4, false)), 0, vlookup($A470, FFToolbox!$B$2:$E$414, 4, false))</f>
        <v>0</v>
      </c>
      <c r="M470" s="39">
        <f t="shared" si="1"/>
        <v>0</v>
      </c>
      <c r="N470" s="39">
        <f t="shared" si="2"/>
        <v>0</v>
      </c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</row>
    <row r="471">
      <c r="A471" s="17" t="s">
        <v>967</v>
      </c>
      <c r="B471" s="35" t="s">
        <v>1259</v>
      </c>
      <c r="C471" s="36"/>
      <c r="D471" s="36" t="s">
        <v>23</v>
      </c>
      <c r="E471" s="36" t="s">
        <v>59</v>
      </c>
      <c r="F471" s="36">
        <f>vlookup(D471,'Team Bye List'!$A$1:$B$33,2,False)</f>
        <v>9</v>
      </c>
      <c r="G471" s="37">
        <f>if(ISNA(vlookup($A471, Sleeper!$B$2:$E$330, 4, false)), 0, vlookup($A471, Sleeper!$B$2:$E$330, 4, false))</f>
        <v>0</v>
      </c>
      <c r="H471" s="37">
        <f>if(ISNA(vlookup($A471, ESPN!$B$2:$E$297, 4, false)), 0, vlookup($A471, ESPN!$B$2:$E$297, 4, false))</f>
        <v>0</v>
      </c>
      <c r="I471" s="37">
        <f>if(ISNA(vlookup($A471,'Ultimate Draft Kit'!$B$2:$E$324,4, false)), 0, vlookup($A471,'Ultimate Draft Kit'!$B$2:$E$324, 4, false))</f>
        <v>0</v>
      </c>
      <c r="J471" s="38">
        <f>if(ISNA(vlookup($A471,Rotowire!$B$2:$E$1075,4, false)), 0, vlookup($A471,Rotowire!$B$2:$E$1075, 4, false))</f>
        <v>0</v>
      </c>
      <c r="K471" s="37">
        <f>if(ISNA(vlookup($A471, FantasyPro!$B$2:$E$341,4,false)),0,vlookup($A471,FantasyPro!$B$2:$E$341,4,false))</f>
        <v>0</v>
      </c>
      <c r="L471" s="37">
        <f>if(ISNA(vlookup($A471, FFToolbox!$B$2:$E$414, 4, false)), 0, vlookup($A471, FFToolbox!$B$2:$E$414, 4, false))</f>
        <v>0</v>
      </c>
      <c r="M471" s="39">
        <f t="shared" si="1"/>
        <v>0</v>
      </c>
      <c r="N471" s="39">
        <f t="shared" si="2"/>
        <v>0</v>
      </c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</row>
    <row r="472">
      <c r="A472" s="17" t="s">
        <v>968</v>
      </c>
      <c r="B472" s="35" t="s">
        <v>1259</v>
      </c>
      <c r="C472" s="36"/>
      <c r="D472" s="36" t="s">
        <v>17</v>
      </c>
      <c r="E472" s="36" t="s">
        <v>59</v>
      </c>
      <c r="F472" s="36">
        <f>vlookup(D472,'Team Bye List'!$A$1:$B$33,2,False)</f>
        <v>7</v>
      </c>
      <c r="G472" s="37">
        <f>if(ISNA(vlookup($A472, Sleeper!$B$2:$E$330, 4, false)), 0, vlookup($A472, Sleeper!$B$2:$E$330, 4, false))</f>
        <v>0</v>
      </c>
      <c r="H472" s="37">
        <f>if(ISNA(vlookup($A472, ESPN!$B$2:$E$297, 4, false)), 0, vlookup($A472, ESPN!$B$2:$E$297, 4, false))</f>
        <v>0</v>
      </c>
      <c r="I472" s="37">
        <f>if(ISNA(vlookup($A472,'Ultimate Draft Kit'!$B$2:$E$324,4, false)), 0, vlookup($A472,'Ultimate Draft Kit'!$B$2:$E$324, 4, false))</f>
        <v>0</v>
      </c>
      <c r="J472" s="38">
        <f>if(ISNA(vlookup($A472,Rotowire!$B$2:$E$1075,4, false)), 0, vlookup($A472,Rotowire!$B$2:$E$1075, 4, false))</f>
        <v>0</v>
      </c>
      <c r="K472" s="37">
        <f>if(ISNA(vlookup($A472, FantasyPro!$B$2:$E$341,4,false)),0,vlookup($A472,FantasyPro!$B$2:$E$341,4,false))</f>
        <v>0</v>
      </c>
      <c r="L472" s="37">
        <f>if(ISNA(vlookup($A472, FFToolbox!$B$2:$E$414, 4, false)), 0, vlookup($A472, FFToolbox!$B$2:$E$414, 4, false))</f>
        <v>0</v>
      </c>
      <c r="M472" s="39">
        <f t="shared" si="1"/>
        <v>0</v>
      </c>
      <c r="N472" s="39">
        <f t="shared" si="2"/>
        <v>0</v>
      </c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</row>
    <row r="473">
      <c r="A473" s="17" t="s">
        <v>756</v>
      </c>
      <c r="B473" s="35" t="s">
        <v>1259</v>
      </c>
      <c r="C473" s="36"/>
      <c r="D473" s="36" t="s">
        <v>12</v>
      </c>
      <c r="E473" s="36" t="s">
        <v>59</v>
      </c>
      <c r="F473" s="36">
        <f>vlookup(D473,'Team Bye List'!$A$1:$B$33,2,False)</f>
        <v>8</v>
      </c>
      <c r="G473" s="37">
        <f>if(ISNA(vlookup($A473, Sleeper!$B$2:$E$330, 4, false)), 0, vlookup($A473, Sleeper!$B$2:$E$330, 4, false))</f>
        <v>0</v>
      </c>
      <c r="H473" s="37">
        <f>if(ISNA(vlookup($A473, ESPN!$B$2:$E$297, 4, false)), 0, vlookup($A473, ESPN!$B$2:$E$297, 4, false))</f>
        <v>0</v>
      </c>
      <c r="I473" s="37">
        <f>if(ISNA(vlookup($A473,'Ultimate Draft Kit'!$B$2:$E$324,4, false)), 0, vlookup($A473,'Ultimate Draft Kit'!$B$2:$E$324, 4, false))</f>
        <v>0</v>
      </c>
      <c r="J473" s="38">
        <f>if(ISNA(vlookup($A473,Rotowire!$B$2:$E$1075,4, false)), 0, vlookup($A473,Rotowire!$B$2:$E$1075, 4, false))</f>
        <v>0</v>
      </c>
      <c r="K473" s="37">
        <f>if(ISNA(vlookup($A473, FantasyPro!$B$2:$E$341,4,false)),0,vlookup($A473,FantasyPro!$B$2:$E$341,4,false))</f>
        <v>0</v>
      </c>
      <c r="L473" s="37">
        <f>if(ISNA(vlookup($A473, FFToolbox!$B$2:$E$414, 4, false)), 0, vlookup($A473, FFToolbox!$B$2:$E$414, 4, false))</f>
        <v>0</v>
      </c>
      <c r="M473" s="39">
        <f t="shared" si="1"/>
        <v>0</v>
      </c>
      <c r="N473" s="39">
        <f t="shared" si="2"/>
        <v>0</v>
      </c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</row>
    <row r="474">
      <c r="A474" s="17" t="s">
        <v>969</v>
      </c>
      <c r="B474" s="35" t="s">
        <v>1259</v>
      </c>
      <c r="C474" s="36"/>
      <c r="D474" s="36" t="s">
        <v>12</v>
      </c>
      <c r="E474" s="36" t="s">
        <v>59</v>
      </c>
      <c r="F474" s="36">
        <f>vlookup(D474,'Team Bye List'!$A$1:$B$33,2,False)</f>
        <v>8</v>
      </c>
      <c r="G474" s="37">
        <f>if(ISNA(vlookup($A474, Sleeper!$B$2:$E$330, 4, false)), 0, vlookup($A474, Sleeper!$B$2:$E$330, 4, false))</f>
        <v>0</v>
      </c>
      <c r="H474" s="37">
        <f>if(ISNA(vlookup($A474, ESPN!$B$2:$E$297, 4, false)), 0, vlookup($A474, ESPN!$B$2:$E$297, 4, false))</f>
        <v>0</v>
      </c>
      <c r="I474" s="37">
        <f>if(ISNA(vlookup($A474,'Ultimate Draft Kit'!$B$2:$E$324,4, false)), 0, vlookup($A474,'Ultimate Draft Kit'!$B$2:$E$324, 4, false))</f>
        <v>0</v>
      </c>
      <c r="J474" s="38">
        <f>if(ISNA(vlookup($A474,Rotowire!$B$2:$E$1075,4, false)), 0, vlookup($A474,Rotowire!$B$2:$E$1075, 4, false))</f>
        <v>0</v>
      </c>
      <c r="K474" s="37">
        <f>if(ISNA(vlookup($A474, FantasyPro!$B$2:$E$341,4,false)),0,vlookup($A474,FantasyPro!$B$2:$E$341,4,false))</f>
        <v>0</v>
      </c>
      <c r="L474" s="37">
        <f>if(ISNA(vlookup($A474, FFToolbox!$B$2:$E$414, 4, false)), 0, vlookup($A474, FFToolbox!$B$2:$E$414, 4, false))</f>
        <v>0</v>
      </c>
      <c r="M474" s="39">
        <f t="shared" si="1"/>
        <v>0</v>
      </c>
      <c r="N474" s="39">
        <f t="shared" si="2"/>
        <v>0</v>
      </c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</row>
    <row r="475">
      <c r="A475" s="17" t="s">
        <v>970</v>
      </c>
      <c r="B475" s="35" t="s">
        <v>1259</v>
      </c>
      <c r="C475" s="36"/>
      <c r="D475" s="36" t="s">
        <v>262</v>
      </c>
      <c r="E475" s="36" t="s">
        <v>59</v>
      </c>
      <c r="F475" s="36" t="str">
        <f>vlookup(D475,'Team Bye List'!$A$1:$B$33,2,False)</f>
        <v>#N/A</v>
      </c>
      <c r="G475" s="37">
        <f>if(ISNA(vlookup($A475, Sleeper!$B$2:$E$330, 4, false)), 0, vlookup($A475, Sleeper!$B$2:$E$330, 4, false))</f>
        <v>0</v>
      </c>
      <c r="H475" s="37">
        <f>if(ISNA(vlookup($A475, ESPN!$B$2:$E$297, 4, false)), 0, vlookup($A475, ESPN!$B$2:$E$297, 4, false))</f>
        <v>0</v>
      </c>
      <c r="I475" s="37">
        <f>if(ISNA(vlookup($A475,'Ultimate Draft Kit'!$B$2:$E$324,4, false)), 0, vlookup($A475,'Ultimate Draft Kit'!$B$2:$E$324, 4, false))</f>
        <v>0</v>
      </c>
      <c r="J475" s="38">
        <f>if(ISNA(vlookup($A475,Rotowire!$B$2:$E$1075,4, false)), 0, vlookup($A475,Rotowire!$B$2:$E$1075, 4, false))</f>
        <v>0</v>
      </c>
      <c r="K475" s="37">
        <f>if(ISNA(vlookup($A475, FantasyPro!$B$2:$E$341,4,false)),0,vlookup($A475,FantasyPro!$B$2:$E$341,4,false))</f>
        <v>0</v>
      </c>
      <c r="L475" s="37">
        <f>if(ISNA(vlookup($A475, FFToolbox!$B$2:$E$414, 4, false)), 0, vlookup($A475, FFToolbox!$B$2:$E$414, 4, false))</f>
        <v>0</v>
      </c>
      <c r="M475" s="39">
        <f t="shared" si="1"/>
        <v>0</v>
      </c>
      <c r="N475" s="39">
        <f t="shared" si="2"/>
        <v>0</v>
      </c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</row>
    <row r="476">
      <c r="A476" s="17" t="s">
        <v>971</v>
      </c>
      <c r="B476" s="35" t="s">
        <v>1259</v>
      </c>
      <c r="C476" s="36"/>
      <c r="D476" s="36" t="s">
        <v>25</v>
      </c>
      <c r="E476" s="36" t="s">
        <v>59</v>
      </c>
      <c r="F476" s="36">
        <f>vlookup(D476,'Team Bye List'!$A$1:$B$33,2,False)</f>
        <v>7</v>
      </c>
      <c r="G476" s="37">
        <f>if(ISNA(vlookup($A476, Sleeper!$B$2:$E$330, 4, false)), 0, vlookup($A476, Sleeper!$B$2:$E$330, 4, false))</f>
        <v>0</v>
      </c>
      <c r="H476" s="37">
        <f>if(ISNA(vlookup($A476, ESPN!$B$2:$E$297, 4, false)), 0, vlookup($A476, ESPN!$B$2:$E$297, 4, false))</f>
        <v>0</v>
      </c>
      <c r="I476" s="37">
        <f>if(ISNA(vlookup($A476,'Ultimate Draft Kit'!$B$2:$E$324,4, false)), 0, vlookup($A476,'Ultimate Draft Kit'!$B$2:$E$324, 4, false))</f>
        <v>0</v>
      </c>
      <c r="J476" s="38">
        <f>if(ISNA(vlookup($A476,Rotowire!$B$2:$E$1075,4, false)), 0, vlookup($A476,Rotowire!$B$2:$E$1075, 4, false))</f>
        <v>0</v>
      </c>
      <c r="K476" s="37">
        <f>if(ISNA(vlookup($A476, FantasyPro!$B$2:$E$341,4,false)),0,vlookup($A476,FantasyPro!$B$2:$E$341,4,false))</f>
        <v>0</v>
      </c>
      <c r="L476" s="37">
        <f>if(ISNA(vlookup($A476, FFToolbox!$B$2:$E$414, 4, false)), 0, vlookup($A476, FFToolbox!$B$2:$E$414, 4, false))</f>
        <v>0</v>
      </c>
      <c r="M476" s="39">
        <f t="shared" si="1"/>
        <v>0</v>
      </c>
      <c r="N476" s="39">
        <f t="shared" si="2"/>
        <v>0</v>
      </c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</row>
    <row r="477">
      <c r="A477" s="17" t="s">
        <v>750</v>
      </c>
      <c r="B477" s="35" t="s">
        <v>1259</v>
      </c>
      <c r="C477" s="36"/>
      <c r="D477" s="36" t="s">
        <v>58</v>
      </c>
      <c r="E477" s="36" t="s">
        <v>59</v>
      </c>
      <c r="F477" s="36">
        <f>vlookup(D477,'Team Bye List'!$A$1:$B$33,2,False)</f>
        <v>10</v>
      </c>
      <c r="G477" s="37">
        <f>if(ISNA(vlookup($A477, Sleeper!$B$2:$E$330, 4, false)), 0, vlookup($A477, Sleeper!$B$2:$E$330, 4, false))</f>
        <v>0</v>
      </c>
      <c r="H477" s="37">
        <f>if(ISNA(vlookup($A477, ESPN!$B$2:$E$297, 4, false)), 0, vlookup($A477, ESPN!$B$2:$E$297, 4, false))</f>
        <v>0</v>
      </c>
      <c r="I477" s="37">
        <f>if(ISNA(vlookup($A477,'Ultimate Draft Kit'!$B$2:$E$324,4, false)), 0, vlookup($A477,'Ultimate Draft Kit'!$B$2:$E$324, 4, false))</f>
        <v>0</v>
      </c>
      <c r="J477" s="38">
        <f>if(ISNA(vlookup($A477,Rotowire!$B$2:$E$1075,4, false)), 0, vlookup($A477,Rotowire!$B$2:$E$1075, 4, false))</f>
        <v>0</v>
      </c>
      <c r="K477" s="37">
        <f>if(ISNA(vlookup($A477, FantasyPro!$B$2:$E$341,4,false)),0,vlookup($A477,FantasyPro!$B$2:$E$341,4,false))</f>
        <v>0</v>
      </c>
      <c r="L477" s="37">
        <f>if(ISNA(vlookup($A477, FFToolbox!$B$2:$E$414, 4, false)), 0, vlookup($A477, FFToolbox!$B$2:$E$414, 4, false))</f>
        <v>0</v>
      </c>
      <c r="M477" s="39">
        <f t="shared" si="1"/>
        <v>0</v>
      </c>
      <c r="N477" s="39">
        <f t="shared" si="2"/>
        <v>0</v>
      </c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</row>
    <row r="478">
      <c r="A478" s="17" t="s">
        <v>972</v>
      </c>
      <c r="B478" s="35" t="s">
        <v>1259</v>
      </c>
      <c r="C478" s="36"/>
      <c r="D478" s="36" t="s">
        <v>262</v>
      </c>
      <c r="E478" s="36" t="s">
        <v>59</v>
      </c>
      <c r="F478" s="36" t="str">
        <f>vlookup(D478,'Team Bye List'!$A$1:$B$33,2,False)</f>
        <v>#N/A</v>
      </c>
      <c r="G478" s="37">
        <f>if(ISNA(vlookup($A478, Sleeper!$B$2:$E$330, 4, false)), 0, vlookup($A478, Sleeper!$B$2:$E$330, 4, false))</f>
        <v>0</v>
      </c>
      <c r="H478" s="37">
        <f>if(ISNA(vlookup($A478, ESPN!$B$2:$E$297, 4, false)), 0, vlookup($A478, ESPN!$B$2:$E$297, 4, false))</f>
        <v>0</v>
      </c>
      <c r="I478" s="37">
        <f>if(ISNA(vlookup($A478,'Ultimate Draft Kit'!$B$2:$E$324,4, false)), 0, vlookup($A478,'Ultimate Draft Kit'!$B$2:$E$324, 4, false))</f>
        <v>0</v>
      </c>
      <c r="J478" s="38">
        <f>if(ISNA(vlookup($A478,Rotowire!$B$2:$E$1075,4, false)), 0, vlookup($A478,Rotowire!$B$2:$E$1075, 4, false))</f>
        <v>0</v>
      </c>
      <c r="K478" s="37">
        <f>if(ISNA(vlookup($A478, FantasyPro!$B$2:$E$341,4,false)),0,vlookup($A478,FantasyPro!$B$2:$E$341,4,false))</f>
        <v>0</v>
      </c>
      <c r="L478" s="37">
        <f>if(ISNA(vlookup($A478, FFToolbox!$B$2:$E$414, 4, false)), 0, vlookup($A478, FFToolbox!$B$2:$E$414, 4, false))</f>
        <v>0</v>
      </c>
      <c r="M478" s="39">
        <f t="shared" si="1"/>
        <v>0</v>
      </c>
      <c r="N478" s="39">
        <f t="shared" si="2"/>
        <v>0</v>
      </c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</row>
    <row r="479">
      <c r="A479" s="17" t="s">
        <v>973</v>
      </c>
      <c r="B479" s="35" t="s">
        <v>1259</v>
      </c>
      <c r="C479" s="36"/>
      <c r="D479" s="36" t="s">
        <v>64</v>
      </c>
      <c r="E479" s="36" t="s">
        <v>59</v>
      </c>
      <c r="F479" s="36">
        <f>vlookup(D479,'Team Bye List'!$A$1:$B$33,2,False)</f>
        <v>7</v>
      </c>
      <c r="G479" s="37">
        <f>if(ISNA(vlookup($A479, Sleeper!$B$2:$E$330, 4, false)), 0, vlookup($A479, Sleeper!$B$2:$E$330, 4, false))</f>
        <v>0</v>
      </c>
      <c r="H479" s="37">
        <f>if(ISNA(vlookup($A479, ESPN!$B$2:$E$297, 4, false)), 0, vlookup($A479, ESPN!$B$2:$E$297, 4, false))</f>
        <v>0</v>
      </c>
      <c r="I479" s="37">
        <f>if(ISNA(vlookup($A479,'Ultimate Draft Kit'!$B$2:$E$324,4, false)), 0, vlookup($A479,'Ultimate Draft Kit'!$B$2:$E$324, 4, false))</f>
        <v>0</v>
      </c>
      <c r="J479" s="38">
        <f>if(ISNA(vlookup($A479,Rotowire!$B$2:$E$1075,4, false)), 0, vlookup($A479,Rotowire!$B$2:$E$1075, 4, false))</f>
        <v>0</v>
      </c>
      <c r="K479" s="37">
        <f>if(ISNA(vlookup($A479, FantasyPro!$B$2:$E$341,4,false)),0,vlookup($A479,FantasyPro!$B$2:$E$341,4,false))</f>
        <v>0</v>
      </c>
      <c r="L479" s="37">
        <f>if(ISNA(vlookup($A479, FFToolbox!$B$2:$E$414, 4, false)), 0, vlookup($A479, FFToolbox!$B$2:$E$414, 4, false))</f>
        <v>0</v>
      </c>
      <c r="M479" s="39">
        <f t="shared" si="1"/>
        <v>0</v>
      </c>
      <c r="N479" s="39">
        <f t="shared" si="2"/>
        <v>0</v>
      </c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</row>
    <row r="480">
      <c r="A480" s="17" t="s">
        <v>692</v>
      </c>
      <c r="B480" s="35" t="s">
        <v>1259</v>
      </c>
      <c r="C480" s="36"/>
      <c r="D480" s="36" t="s">
        <v>64</v>
      </c>
      <c r="E480" s="36" t="s">
        <v>59</v>
      </c>
      <c r="F480" s="36">
        <f>vlookup(D480,'Team Bye List'!$A$1:$B$33,2,False)</f>
        <v>7</v>
      </c>
      <c r="G480" s="37">
        <f>if(ISNA(vlookup($A480, Sleeper!$B$2:$E$330, 4, false)), 0, vlookup($A480, Sleeper!$B$2:$E$330, 4, false))</f>
        <v>0</v>
      </c>
      <c r="H480" s="37">
        <f>if(ISNA(vlookup($A480, ESPN!$B$2:$E$297, 4, false)), 0, vlookup($A480, ESPN!$B$2:$E$297, 4, false))</f>
        <v>0</v>
      </c>
      <c r="I480" s="37">
        <f>if(ISNA(vlookup($A480,'Ultimate Draft Kit'!$B$2:$E$324,4, false)), 0, vlookup($A480,'Ultimate Draft Kit'!$B$2:$E$324, 4, false))</f>
        <v>0</v>
      </c>
      <c r="J480" s="38">
        <f>if(ISNA(vlookup($A480,Rotowire!$B$2:$E$1075,4, false)), 0, vlookup($A480,Rotowire!$B$2:$E$1075, 4, false))</f>
        <v>0</v>
      </c>
      <c r="K480" s="37">
        <f>if(ISNA(vlookup($A480, FantasyPro!$B$2:$E$341,4,false)),0,vlookup($A480,FantasyPro!$B$2:$E$341,4,false))</f>
        <v>0</v>
      </c>
      <c r="L480" s="37">
        <f>if(ISNA(vlookup($A480, FFToolbox!$B$2:$E$414, 4, false)), 0, vlookup($A480, FFToolbox!$B$2:$E$414, 4, false))</f>
        <v>0</v>
      </c>
      <c r="M480" s="39">
        <f t="shared" si="1"/>
        <v>0</v>
      </c>
      <c r="N480" s="39">
        <f t="shared" si="2"/>
        <v>0</v>
      </c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</row>
    <row r="481">
      <c r="A481" s="17" t="s">
        <v>974</v>
      </c>
      <c r="B481" s="35" t="s">
        <v>1259</v>
      </c>
      <c r="C481" s="36"/>
      <c r="D481" s="36" t="s">
        <v>262</v>
      </c>
      <c r="E481" s="36" t="s">
        <v>59</v>
      </c>
      <c r="F481" s="36" t="str">
        <f>vlookup(D481,'Team Bye List'!$A$1:$B$33,2,False)</f>
        <v>#N/A</v>
      </c>
      <c r="G481" s="37">
        <f>if(ISNA(vlookup($A481, Sleeper!$B$2:$E$330, 4, false)), 0, vlookup($A481, Sleeper!$B$2:$E$330, 4, false))</f>
        <v>0</v>
      </c>
      <c r="H481" s="37">
        <f>if(ISNA(vlookup($A481, ESPN!$B$2:$E$297, 4, false)), 0, vlookup($A481, ESPN!$B$2:$E$297, 4, false))</f>
        <v>0</v>
      </c>
      <c r="I481" s="37">
        <f>if(ISNA(vlookup($A481,'Ultimate Draft Kit'!$B$2:$E$324,4, false)), 0, vlookup($A481,'Ultimate Draft Kit'!$B$2:$E$324, 4, false))</f>
        <v>0</v>
      </c>
      <c r="J481" s="38">
        <f>if(ISNA(vlookup($A481,Rotowire!$B$2:$E$1075,4, false)), 0, vlookup($A481,Rotowire!$B$2:$E$1075, 4, false))</f>
        <v>0</v>
      </c>
      <c r="K481" s="37">
        <f>if(ISNA(vlookup($A481, FantasyPro!$B$2:$E$341,4,false)),0,vlookup($A481,FantasyPro!$B$2:$E$341,4,false))</f>
        <v>0</v>
      </c>
      <c r="L481" s="37">
        <f>if(ISNA(vlookup($A481, FFToolbox!$B$2:$E$414, 4, false)), 0, vlookup($A481, FFToolbox!$B$2:$E$414, 4, false))</f>
        <v>0</v>
      </c>
      <c r="M481" s="39">
        <f t="shared" si="1"/>
        <v>0</v>
      </c>
      <c r="N481" s="39">
        <f t="shared" si="2"/>
        <v>0</v>
      </c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</row>
    <row r="482">
      <c r="A482" s="17" t="s">
        <v>975</v>
      </c>
      <c r="B482" s="35" t="s">
        <v>1259</v>
      </c>
      <c r="C482" s="36"/>
      <c r="D482" s="36" t="s">
        <v>262</v>
      </c>
      <c r="E482" s="36" t="s">
        <v>59</v>
      </c>
      <c r="F482" s="36" t="str">
        <f>vlookup(D482,'Team Bye List'!$A$1:$B$33,2,False)</f>
        <v>#N/A</v>
      </c>
      <c r="G482" s="37">
        <f>if(ISNA(vlookup($A482, Sleeper!$B$2:$E$330, 4, false)), 0, vlookup($A482, Sleeper!$B$2:$E$330, 4, false))</f>
        <v>0</v>
      </c>
      <c r="H482" s="37">
        <f>if(ISNA(vlookup($A482, ESPN!$B$2:$E$297, 4, false)), 0, vlookup($A482, ESPN!$B$2:$E$297, 4, false))</f>
        <v>0</v>
      </c>
      <c r="I482" s="37">
        <f>if(ISNA(vlookup($A482,'Ultimate Draft Kit'!$B$2:$E$324,4, false)), 0, vlookup($A482,'Ultimate Draft Kit'!$B$2:$E$324, 4, false))</f>
        <v>0</v>
      </c>
      <c r="J482" s="38">
        <f>if(ISNA(vlookup($A482,Rotowire!$B$2:$E$1075,4, false)), 0, vlookup($A482,Rotowire!$B$2:$E$1075, 4, false))</f>
        <v>0</v>
      </c>
      <c r="K482" s="37">
        <f>if(ISNA(vlookup($A482, FantasyPro!$B$2:$E$341,4,false)),0,vlookup($A482,FantasyPro!$B$2:$E$341,4,false))</f>
        <v>0</v>
      </c>
      <c r="L482" s="37">
        <f>if(ISNA(vlookup($A482, FFToolbox!$B$2:$E$414, 4, false)), 0, vlookup($A482, FFToolbox!$B$2:$E$414, 4, false))</f>
        <v>0</v>
      </c>
      <c r="M482" s="39">
        <f t="shared" si="1"/>
        <v>0</v>
      </c>
      <c r="N482" s="39">
        <f t="shared" si="2"/>
        <v>0</v>
      </c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</row>
    <row r="483">
      <c r="A483" s="17" t="s">
        <v>976</v>
      </c>
      <c r="B483" s="35" t="s">
        <v>1259</v>
      </c>
      <c r="C483" s="36"/>
      <c r="D483" s="36" t="s">
        <v>47</v>
      </c>
      <c r="E483" s="36" t="s">
        <v>59</v>
      </c>
      <c r="F483" s="36">
        <f>vlookup(D483,'Team Bye List'!$A$1:$B$33,2,False)</f>
        <v>14</v>
      </c>
      <c r="G483" s="37">
        <f>if(ISNA(vlookup($A483, Sleeper!$B$2:$E$330, 4, false)), 0, vlookup($A483, Sleeper!$B$2:$E$330, 4, false))</f>
        <v>0</v>
      </c>
      <c r="H483" s="37">
        <f>if(ISNA(vlookup($A483, ESPN!$B$2:$E$297, 4, false)), 0, vlookup($A483, ESPN!$B$2:$E$297, 4, false))</f>
        <v>0</v>
      </c>
      <c r="I483" s="37">
        <f>if(ISNA(vlookup($A483,'Ultimate Draft Kit'!$B$2:$E$324,4, false)), 0, vlookup($A483,'Ultimate Draft Kit'!$B$2:$E$324, 4, false))</f>
        <v>0</v>
      </c>
      <c r="J483" s="38">
        <f>if(ISNA(vlookup($A483,Rotowire!$B$2:$E$1075,4, false)), 0, vlookup($A483,Rotowire!$B$2:$E$1075, 4, false))</f>
        <v>0</v>
      </c>
      <c r="K483" s="37">
        <f>if(ISNA(vlookup($A483, FantasyPro!$B$2:$E$341,4,false)),0,vlookup($A483,FantasyPro!$B$2:$E$341,4,false))</f>
        <v>0</v>
      </c>
      <c r="L483" s="37">
        <f>if(ISNA(vlookup($A483, FFToolbox!$B$2:$E$414, 4, false)), 0, vlookup($A483, FFToolbox!$B$2:$E$414, 4, false))</f>
        <v>0</v>
      </c>
      <c r="M483" s="39">
        <f t="shared" si="1"/>
        <v>0</v>
      </c>
      <c r="N483" s="39">
        <f t="shared" si="2"/>
        <v>0</v>
      </c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</row>
    <row r="484">
      <c r="A484" s="17" t="s">
        <v>977</v>
      </c>
      <c r="B484" s="35" t="s">
        <v>1259</v>
      </c>
      <c r="C484" s="36"/>
      <c r="D484" s="36" t="s">
        <v>262</v>
      </c>
      <c r="E484" s="36" t="s">
        <v>59</v>
      </c>
      <c r="F484" s="36" t="str">
        <f>vlookup(D484,'Team Bye List'!$A$1:$B$33,2,False)</f>
        <v>#N/A</v>
      </c>
      <c r="G484" s="37">
        <f>if(ISNA(vlookup($A484, Sleeper!$B$2:$E$330, 4, false)), 0, vlookup($A484, Sleeper!$B$2:$E$330, 4, false))</f>
        <v>0</v>
      </c>
      <c r="H484" s="37">
        <f>if(ISNA(vlookup($A484, ESPN!$B$2:$E$297, 4, false)), 0, vlookup($A484, ESPN!$B$2:$E$297, 4, false))</f>
        <v>0</v>
      </c>
      <c r="I484" s="37">
        <f>if(ISNA(vlookup($A484,'Ultimate Draft Kit'!$B$2:$E$324,4, false)), 0, vlookup($A484,'Ultimate Draft Kit'!$B$2:$E$324, 4, false))</f>
        <v>0</v>
      </c>
      <c r="J484" s="38">
        <f>if(ISNA(vlookup($A484,Rotowire!$B$2:$E$1075,4, false)), 0, vlookup($A484,Rotowire!$B$2:$E$1075, 4, false))</f>
        <v>0</v>
      </c>
      <c r="K484" s="37">
        <f>if(ISNA(vlookup($A484, FantasyPro!$B$2:$E$341,4,false)),0,vlookup($A484,FantasyPro!$B$2:$E$341,4,false))</f>
        <v>0</v>
      </c>
      <c r="L484" s="37">
        <f>if(ISNA(vlookup($A484, FFToolbox!$B$2:$E$414, 4, false)), 0, vlookup($A484, FFToolbox!$B$2:$E$414, 4, false))</f>
        <v>0</v>
      </c>
      <c r="M484" s="39">
        <f t="shared" si="1"/>
        <v>0</v>
      </c>
      <c r="N484" s="39">
        <f t="shared" si="2"/>
        <v>0</v>
      </c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</row>
    <row r="485">
      <c r="A485" s="17" t="s">
        <v>978</v>
      </c>
      <c r="B485" s="35" t="s">
        <v>1259</v>
      </c>
      <c r="C485" s="36"/>
      <c r="D485" s="36" t="s">
        <v>262</v>
      </c>
      <c r="E485" s="36" t="s">
        <v>59</v>
      </c>
      <c r="F485" s="36" t="str">
        <f>vlookup(D485,'Team Bye List'!$A$1:$B$33,2,False)</f>
        <v>#N/A</v>
      </c>
      <c r="G485" s="37">
        <f>if(ISNA(vlookup($A485, Sleeper!$B$2:$E$330, 4, false)), 0, vlookup($A485, Sleeper!$B$2:$E$330, 4, false))</f>
        <v>0</v>
      </c>
      <c r="H485" s="37">
        <f>if(ISNA(vlookup($A485, ESPN!$B$2:$E$297, 4, false)), 0, vlookup($A485, ESPN!$B$2:$E$297, 4, false))</f>
        <v>0</v>
      </c>
      <c r="I485" s="37">
        <f>if(ISNA(vlookup($A485,'Ultimate Draft Kit'!$B$2:$E$324,4, false)), 0, vlookup($A485,'Ultimate Draft Kit'!$B$2:$E$324, 4, false))</f>
        <v>0</v>
      </c>
      <c r="J485" s="38">
        <f>if(ISNA(vlookup($A485,Rotowire!$B$2:$E$1075,4, false)), 0, vlookup($A485,Rotowire!$B$2:$E$1075, 4, false))</f>
        <v>0</v>
      </c>
      <c r="K485" s="37">
        <f>if(ISNA(vlookup($A485, FantasyPro!$B$2:$E$341,4,false)),0,vlookup($A485,FantasyPro!$B$2:$E$341,4,false))</f>
        <v>0</v>
      </c>
      <c r="L485" s="37">
        <f>if(ISNA(vlookup($A485, FFToolbox!$B$2:$E$414, 4, false)), 0, vlookup($A485, FFToolbox!$B$2:$E$414, 4, false))</f>
        <v>0</v>
      </c>
      <c r="M485" s="39">
        <f t="shared" si="1"/>
        <v>0</v>
      </c>
      <c r="N485" s="39">
        <f t="shared" si="2"/>
        <v>0</v>
      </c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</row>
    <row r="486">
      <c r="A486" s="17" t="s">
        <v>979</v>
      </c>
      <c r="B486" s="35" t="s">
        <v>1259</v>
      </c>
      <c r="C486" s="36"/>
      <c r="D486" s="36" t="s">
        <v>73</v>
      </c>
      <c r="E486" s="36" t="s">
        <v>59</v>
      </c>
      <c r="F486" s="36">
        <f>vlookup(D486,'Team Bye List'!$A$1:$B$33,2,False)</f>
        <v>14</v>
      </c>
      <c r="G486" s="37">
        <f>if(ISNA(vlookup($A486, Sleeper!$B$2:$E$330, 4, false)), 0, vlookup($A486, Sleeper!$B$2:$E$330, 4, false))</f>
        <v>0</v>
      </c>
      <c r="H486" s="37">
        <f>if(ISNA(vlookup($A486, ESPN!$B$2:$E$297, 4, false)), 0, vlookup($A486, ESPN!$B$2:$E$297, 4, false))</f>
        <v>0</v>
      </c>
      <c r="I486" s="37">
        <f>if(ISNA(vlookup($A486,'Ultimate Draft Kit'!$B$2:$E$324,4, false)), 0, vlookup($A486,'Ultimate Draft Kit'!$B$2:$E$324, 4, false))</f>
        <v>0</v>
      </c>
      <c r="J486" s="38">
        <f>if(ISNA(vlookup($A486,Rotowire!$B$2:$E$1075,4, false)), 0, vlookup($A486,Rotowire!$B$2:$E$1075, 4, false))</f>
        <v>0</v>
      </c>
      <c r="K486" s="37">
        <f>if(ISNA(vlookup($A486, FantasyPro!$B$2:$E$341,4,false)),0,vlookup($A486,FantasyPro!$B$2:$E$341,4,false))</f>
        <v>0</v>
      </c>
      <c r="L486" s="37">
        <f>if(ISNA(vlookup($A486, FFToolbox!$B$2:$E$414, 4, false)), 0, vlookup($A486, FFToolbox!$B$2:$E$414, 4, false))</f>
        <v>0</v>
      </c>
      <c r="M486" s="39">
        <f t="shared" si="1"/>
        <v>0</v>
      </c>
      <c r="N486" s="39">
        <f t="shared" si="2"/>
        <v>0</v>
      </c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</row>
    <row r="487">
      <c r="A487" s="17" t="s">
        <v>980</v>
      </c>
      <c r="B487" s="35" t="s">
        <v>1259</v>
      </c>
      <c r="C487" s="36"/>
      <c r="D487" s="36" t="s">
        <v>262</v>
      </c>
      <c r="E487" s="36" t="s">
        <v>59</v>
      </c>
      <c r="F487" s="36" t="str">
        <f>vlookup(D487,'Team Bye List'!$A$1:$B$33,2,False)</f>
        <v>#N/A</v>
      </c>
      <c r="G487" s="37">
        <f>if(ISNA(vlookup($A487, Sleeper!$B$2:$E$330, 4, false)), 0, vlookup($A487, Sleeper!$B$2:$E$330, 4, false))</f>
        <v>0</v>
      </c>
      <c r="H487" s="37">
        <f>if(ISNA(vlookup($A487, ESPN!$B$2:$E$297, 4, false)), 0, vlookup($A487, ESPN!$B$2:$E$297, 4, false))</f>
        <v>0</v>
      </c>
      <c r="I487" s="37">
        <f>if(ISNA(vlookup($A487,'Ultimate Draft Kit'!$B$2:$E$324,4, false)), 0, vlookup($A487,'Ultimate Draft Kit'!$B$2:$E$324, 4, false))</f>
        <v>0</v>
      </c>
      <c r="J487" s="38">
        <f>if(ISNA(vlookup($A487,Rotowire!$B$2:$E$1075,4, false)), 0, vlookup($A487,Rotowire!$B$2:$E$1075, 4, false))</f>
        <v>0</v>
      </c>
      <c r="K487" s="37">
        <f>if(ISNA(vlookup($A487, FantasyPro!$B$2:$E$341,4,false)),0,vlookup($A487,FantasyPro!$B$2:$E$341,4,false))</f>
        <v>0</v>
      </c>
      <c r="L487" s="37">
        <f>if(ISNA(vlookup($A487, FFToolbox!$B$2:$E$414, 4, false)), 0, vlookup($A487, FFToolbox!$B$2:$E$414, 4, false))</f>
        <v>0</v>
      </c>
      <c r="M487" s="39">
        <f t="shared" si="1"/>
        <v>0</v>
      </c>
      <c r="N487" s="39">
        <f t="shared" si="2"/>
        <v>0</v>
      </c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</row>
    <row r="488">
      <c r="A488" s="17" t="s">
        <v>767</v>
      </c>
      <c r="B488" s="35" t="s">
        <v>1259</v>
      </c>
      <c r="C488" s="36"/>
      <c r="D488" s="36" t="s">
        <v>28</v>
      </c>
      <c r="E488" s="36" t="s">
        <v>59</v>
      </c>
      <c r="F488" s="36">
        <f>vlookup(D488,'Team Bye List'!$A$1:$B$33,2,False)</f>
        <v>11</v>
      </c>
      <c r="G488" s="37">
        <f>if(ISNA(vlookup($A488, Sleeper!$B$2:$E$330, 4, false)), 0, vlookup($A488, Sleeper!$B$2:$E$330, 4, false))</f>
        <v>0</v>
      </c>
      <c r="H488" s="37">
        <f>if(ISNA(vlookup($A488, ESPN!$B$2:$E$297, 4, false)), 0, vlookup($A488, ESPN!$B$2:$E$297, 4, false))</f>
        <v>0</v>
      </c>
      <c r="I488" s="37">
        <f>if(ISNA(vlookup($A488,'Ultimate Draft Kit'!$B$2:$E$324,4, false)), 0, vlookup($A488,'Ultimate Draft Kit'!$B$2:$E$324, 4, false))</f>
        <v>0</v>
      </c>
      <c r="J488" s="38">
        <f>if(ISNA(vlookup($A488,Rotowire!$B$2:$E$1075,4, false)), 0, vlookup($A488,Rotowire!$B$2:$E$1075, 4, false))</f>
        <v>0</v>
      </c>
      <c r="K488" s="37">
        <f>if(ISNA(vlookup($A488, FantasyPro!$B$2:$E$341,4,false)),0,vlookup($A488,FantasyPro!$B$2:$E$341,4,false))</f>
        <v>0</v>
      </c>
      <c r="L488" s="37">
        <f>if(ISNA(vlookup($A488, FFToolbox!$B$2:$E$414, 4, false)), 0, vlookup($A488, FFToolbox!$B$2:$E$414, 4, false))</f>
        <v>0</v>
      </c>
      <c r="M488" s="39">
        <f t="shared" si="1"/>
        <v>0</v>
      </c>
      <c r="N488" s="39">
        <f t="shared" si="2"/>
        <v>0</v>
      </c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</row>
    <row r="489">
      <c r="A489" s="17" t="s">
        <v>981</v>
      </c>
      <c r="B489" s="35" t="s">
        <v>1259</v>
      </c>
      <c r="C489" s="36"/>
      <c r="D489" s="36" t="s">
        <v>35</v>
      </c>
      <c r="E489" s="36" t="s">
        <v>59</v>
      </c>
      <c r="F489" s="36">
        <f>vlookup(D489,'Team Bye List'!$A$1:$B$33,2,False)</f>
        <v>6</v>
      </c>
      <c r="G489" s="37">
        <f>if(ISNA(vlookup($A489, Sleeper!$B$2:$E$330, 4, false)), 0, vlookup($A489, Sleeper!$B$2:$E$330, 4, false))</f>
        <v>0</v>
      </c>
      <c r="H489" s="37">
        <f>if(ISNA(vlookup($A489, ESPN!$B$2:$E$297, 4, false)), 0, vlookup($A489, ESPN!$B$2:$E$297, 4, false))</f>
        <v>0</v>
      </c>
      <c r="I489" s="37">
        <f>if(ISNA(vlookup($A489,'Ultimate Draft Kit'!$B$2:$E$324,4, false)), 0, vlookup($A489,'Ultimate Draft Kit'!$B$2:$E$324, 4, false))</f>
        <v>0</v>
      </c>
      <c r="J489" s="38">
        <f>if(ISNA(vlookup($A489,Rotowire!$B$2:$E$1075,4, false)), 0, vlookup($A489,Rotowire!$B$2:$E$1075, 4, false))</f>
        <v>0</v>
      </c>
      <c r="K489" s="37">
        <f>if(ISNA(vlookup($A489, FantasyPro!$B$2:$E$341,4,false)),0,vlookup($A489,FantasyPro!$B$2:$E$341,4,false))</f>
        <v>0</v>
      </c>
      <c r="L489" s="37">
        <f>if(ISNA(vlookup($A489, FFToolbox!$B$2:$E$414, 4, false)), 0, vlookup($A489, FFToolbox!$B$2:$E$414, 4, false))</f>
        <v>0</v>
      </c>
      <c r="M489" s="39">
        <f t="shared" si="1"/>
        <v>0</v>
      </c>
      <c r="N489" s="39">
        <f t="shared" si="2"/>
        <v>0</v>
      </c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</row>
    <row r="490">
      <c r="A490" s="17" t="s">
        <v>982</v>
      </c>
      <c r="B490" s="35" t="s">
        <v>1259</v>
      </c>
      <c r="C490" s="36"/>
      <c r="D490" s="36" t="s">
        <v>262</v>
      </c>
      <c r="E490" s="36" t="s">
        <v>59</v>
      </c>
      <c r="F490" s="36" t="str">
        <f>vlookup(D490,'Team Bye List'!$A$1:$B$33,2,False)</f>
        <v>#N/A</v>
      </c>
      <c r="G490" s="37">
        <f>if(ISNA(vlookup($A490, Sleeper!$B$2:$E$330, 4, false)), 0, vlookup($A490, Sleeper!$B$2:$E$330, 4, false))</f>
        <v>0</v>
      </c>
      <c r="H490" s="37">
        <f>if(ISNA(vlookup($A490, ESPN!$B$2:$E$297, 4, false)), 0, vlookup($A490, ESPN!$B$2:$E$297, 4, false))</f>
        <v>0</v>
      </c>
      <c r="I490" s="37">
        <f>if(ISNA(vlookup($A490,'Ultimate Draft Kit'!$B$2:$E$324,4, false)), 0, vlookup($A490,'Ultimate Draft Kit'!$B$2:$E$324, 4, false))</f>
        <v>0</v>
      </c>
      <c r="J490" s="38">
        <f>if(ISNA(vlookup($A490,Rotowire!$B$2:$E$1075,4, false)), 0, vlookup($A490,Rotowire!$B$2:$E$1075, 4, false))</f>
        <v>0</v>
      </c>
      <c r="K490" s="37">
        <f>if(ISNA(vlookup($A490, FantasyPro!$B$2:$E$341,4,false)),0,vlookup($A490,FantasyPro!$B$2:$E$341,4,false))</f>
        <v>0</v>
      </c>
      <c r="L490" s="37">
        <f>if(ISNA(vlookup($A490, FFToolbox!$B$2:$E$414, 4, false)), 0, vlookup($A490, FFToolbox!$B$2:$E$414, 4, false))</f>
        <v>0</v>
      </c>
      <c r="M490" s="39">
        <f t="shared" si="1"/>
        <v>0</v>
      </c>
      <c r="N490" s="39">
        <f t="shared" si="2"/>
        <v>0</v>
      </c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</row>
    <row r="491">
      <c r="A491" s="17" t="s">
        <v>983</v>
      </c>
      <c r="B491" s="35" t="s">
        <v>1259</v>
      </c>
      <c r="C491" s="36"/>
      <c r="D491" s="36" t="s">
        <v>262</v>
      </c>
      <c r="E491" s="36" t="s">
        <v>59</v>
      </c>
      <c r="F491" s="36" t="str">
        <f>vlookup(D491,'Team Bye List'!$A$1:$B$33,2,False)</f>
        <v>#N/A</v>
      </c>
      <c r="G491" s="37">
        <f>if(ISNA(vlookup($A491, Sleeper!$B$2:$E$330, 4, false)), 0, vlookup($A491, Sleeper!$B$2:$E$330, 4, false))</f>
        <v>0</v>
      </c>
      <c r="H491" s="37">
        <f>if(ISNA(vlookup($A491, ESPN!$B$2:$E$297, 4, false)), 0, vlookup($A491, ESPN!$B$2:$E$297, 4, false))</f>
        <v>0</v>
      </c>
      <c r="I491" s="37">
        <f>if(ISNA(vlookup($A491,'Ultimate Draft Kit'!$B$2:$E$324,4, false)), 0, vlookup($A491,'Ultimate Draft Kit'!$B$2:$E$324, 4, false))</f>
        <v>0</v>
      </c>
      <c r="J491" s="38">
        <f>if(ISNA(vlookup($A491,Rotowire!$B$2:$E$1075,4, false)), 0, vlookup($A491,Rotowire!$B$2:$E$1075, 4, false))</f>
        <v>0</v>
      </c>
      <c r="K491" s="37">
        <f>if(ISNA(vlookup($A491, FantasyPro!$B$2:$E$341,4,false)),0,vlookup($A491,FantasyPro!$B$2:$E$341,4,false))</f>
        <v>0</v>
      </c>
      <c r="L491" s="37">
        <f>if(ISNA(vlookup($A491, FFToolbox!$B$2:$E$414, 4, false)), 0, vlookup($A491, FFToolbox!$B$2:$E$414, 4, false))</f>
        <v>0</v>
      </c>
      <c r="M491" s="39">
        <f t="shared" si="1"/>
        <v>0</v>
      </c>
      <c r="N491" s="39">
        <f t="shared" si="2"/>
        <v>0</v>
      </c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</row>
    <row r="492">
      <c r="A492" s="17" t="s">
        <v>777</v>
      </c>
      <c r="B492" s="35" t="s">
        <v>1259</v>
      </c>
      <c r="C492" s="36"/>
      <c r="D492" s="36" t="s">
        <v>53</v>
      </c>
      <c r="E492" s="36" t="s">
        <v>59</v>
      </c>
      <c r="F492" s="36">
        <f>vlookup(D492,'Team Bye List'!$A$1:$B$33,2,False)</f>
        <v>9</v>
      </c>
      <c r="G492" s="37">
        <f>if(ISNA(vlookup($A492, Sleeper!$B$2:$E$330, 4, false)), 0, vlookup($A492, Sleeper!$B$2:$E$330, 4, false))</f>
        <v>0</v>
      </c>
      <c r="H492" s="37">
        <f>if(ISNA(vlookup($A492, ESPN!$B$2:$E$297, 4, false)), 0, vlookup($A492, ESPN!$B$2:$E$297, 4, false))</f>
        <v>0</v>
      </c>
      <c r="I492" s="37">
        <f>if(ISNA(vlookup($A492,'Ultimate Draft Kit'!$B$2:$E$324,4, false)), 0, vlookup($A492,'Ultimate Draft Kit'!$B$2:$E$324, 4, false))</f>
        <v>0</v>
      </c>
      <c r="J492" s="38">
        <f>if(ISNA(vlookup($A492,Rotowire!$B$2:$E$1075,4, false)), 0, vlookup($A492,Rotowire!$B$2:$E$1075, 4, false))</f>
        <v>0</v>
      </c>
      <c r="K492" s="37">
        <f>if(ISNA(vlookup($A492, FantasyPro!$B$2:$E$341,4,false)),0,vlookup($A492,FantasyPro!$B$2:$E$341,4,false))</f>
        <v>0</v>
      </c>
      <c r="L492" s="37">
        <f>if(ISNA(vlookup($A492, FFToolbox!$B$2:$E$414, 4, false)), 0, vlookup($A492, FFToolbox!$B$2:$E$414, 4, false))</f>
        <v>0</v>
      </c>
      <c r="M492" s="39">
        <f t="shared" si="1"/>
        <v>0</v>
      </c>
      <c r="N492" s="39">
        <f t="shared" si="2"/>
        <v>0</v>
      </c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</row>
    <row r="493">
      <c r="A493" s="17" t="s">
        <v>776</v>
      </c>
      <c r="B493" s="35" t="s">
        <v>1259</v>
      </c>
      <c r="C493" s="36"/>
      <c r="D493" s="36" t="s">
        <v>62</v>
      </c>
      <c r="E493" s="36" t="s">
        <v>59</v>
      </c>
      <c r="F493" s="36">
        <f>vlookup(D493,'Team Bye List'!$A$1:$B$33,2,False)</f>
        <v>8</v>
      </c>
      <c r="G493" s="37">
        <f>if(ISNA(vlookup($A493, Sleeper!$B$2:$E$330, 4, false)), 0, vlookup($A493, Sleeper!$B$2:$E$330, 4, false))</f>
        <v>0</v>
      </c>
      <c r="H493" s="37">
        <f>if(ISNA(vlookup($A493, ESPN!$B$2:$E$297, 4, false)), 0, vlookup($A493, ESPN!$B$2:$E$297, 4, false))</f>
        <v>0</v>
      </c>
      <c r="I493" s="37">
        <f>if(ISNA(vlookup($A493,'Ultimate Draft Kit'!$B$2:$E$324,4, false)), 0, vlookup($A493,'Ultimate Draft Kit'!$B$2:$E$324, 4, false))</f>
        <v>0</v>
      </c>
      <c r="J493" s="38">
        <f>if(ISNA(vlookup($A493,Rotowire!$B$2:$E$1075,4, false)), 0, vlookup($A493,Rotowire!$B$2:$E$1075, 4, false))</f>
        <v>0</v>
      </c>
      <c r="K493" s="37">
        <f>if(ISNA(vlookup($A493, FantasyPro!$B$2:$E$341,4,false)),0,vlookup($A493,FantasyPro!$B$2:$E$341,4,false))</f>
        <v>0</v>
      </c>
      <c r="L493" s="37">
        <f>if(ISNA(vlookup($A493, FFToolbox!$B$2:$E$414, 4, false)), 0, vlookup($A493, FFToolbox!$B$2:$E$414, 4, false))</f>
        <v>0</v>
      </c>
      <c r="M493" s="39">
        <f t="shared" si="1"/>
        <v>0</v>
      </c>
      <c r="N493" s="39">
        <f t="shared" si="2"/>
        <v>0</v>
      </c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</row>
    <row r="494">
      <c r="A494" s="17" t="s">
        <v>984</v>
      </c>
      <c r="B494" s="35" t="s">
        <v>1259</v>
      </c>
      <c r="C494" s="36"/>
      <c r="D494" s="36" t="s">
        <v>262</v>
      </c>
      <c r="E494" s="36" t="s">
        <v>59</v>
      </c>
      <c r="F494" s="36" t="str">
        <f>vlookup(D494,'Team Bye List'!$A$1:$B$33,2,False)</f>
        <v>#N/A</v>
      </c>
      <c r="G494" s="37">
        <f>if(ISNA(vlookup($A494, Sleeper!$B$2:$E$330, 4, false)), 0, vlookup($A494, Sleeper!$B$2:$E$330, 4, false))</f>
        <v>0</v>
      </c>
      <c r="H494" s="37">
        <f>if(ISNA(vlookup($A494, ESPN!$B$2:$E$297, 4, false)), 0, vlookup($A494, ESPN!$B$2:$E$297, 4, false))</f>
        <v>0</v>
      </c>
      <c r="I494" s="37">
        <f>if(ISNA(vlookup($A494,'Ultimate Draft Kit'!$B$2:$E$324,4, false)), 0, vlookup($A494,'Ultimate Draft Kit'!$B$2:$E$324, 4, false))</f>
        <v>0</v>
      </c>
      <c r="J494" s="38">
        <f>if(ISNA(vlookup($A494,Rotowire!$B$2:$E$1075,4, false)), 0, vlookup($A494,Rotowire!$B$2:$E$1075, 4, false))</f>
        <v>0</v>
      </c>
      <c r="K494" s="37">
        <f>if(ISNA(vlookup($A494, FantasyPro!$B$2:$E$341,4,false)),0,vlookup($A494,FantasyPro!$B$2:$E$341,4,false))</f>
        <v>0</v>
      </c>
      <c r="L494" s="37">
        <f>if(ISNA(vlookup($A494, FFToolbox!$B$2:$E$414, 4, false)), 0, vlookup($A494, FFToolbox!$B$2:$E$414, 4, false))</f>
        <v>0</v>
      </c>
      <c r="M494" s="39">
        <f t="shared" si="1"/>
        <v>0</v>
      </c>
      <c r="N494" s="39">
        <f t="shared" si="2"/>
        <v>0</v>
      </c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</row>
    <row r="495">
      <c r="A495" s="17" t="s">
        <v>749</v>
      </c>
      <c r="B495" s="35" t="s">
        <v>1259</v>
      </c>
      <c r="C495" s="36"/>
      <c r="D495" s="36" t="s">
        <v>47</v>
      </c>
      <c r="E495" s="36" t="s">
        <v>59</v>
      </c>
      <c r="F495" s="36">
        <f>vlookup(D495,'Team Bye List'!$A$1:$B$33,2,False)</f>
        <v>14</v>
      </c>
      <c r="G495" s="37">
        <f>if(ISNA(vlookup($A495, Sleeper!$B$2:$E$330, 4, false)), 0, vlookup($A495, Sleeper!$B$2:$E$330, 4, false))</f>
        <v>0</v>
      </c>
      <c r="H495" s="37">
        <f>if(ISNA(vlookup($A495, ESPN!$B$2:$E$297, 4, false)), 0, vlookup($A495, ESPN!$B$2:$E$297, 4, false))</f>
        <v>0</v>
      </c>
      <c r="I495" s="37">
        <f>if(ISNA(vlookup($A495,'Ultimate Draft Kit'!$B$2:$E$324,4, false)), 0, vlookup($A495,'Ultimate Draft Kit'!$B$2:$E$324, 4, false))</f>
        <v>0</v>
      </c>
      <c r="J495" s="38">
        <f>if(ISNA(vlookup($A495,Rotowire!$B$2:$E$1075,4, false)), 0, vlookup($A495,Rotowire!$B$2:$E$1075, 4, false))</f>
        <v>0</v>
      </c>
      <c r="K495" s="37">
        <f>if(ISNA(vlookup($A495, FantasyPro!$B$2:$E$341,4,false)),0,vlookup($A495,FantasyPro!$B$2:$E$341,4,false))</f>
        <v>0</v>
      </c>
      <c r="L495" s="37">
        <f>if(ISNA(vlookup($A495, FFToolbox!$B$2:$E$414, 4, false)), 0, vlookup($A495, FFToolbox!$B$2:$E$414, 4, false))</f>
        <v>0</v>
      </c>
      <c r="M495" s="39">
        <f t="shared" si="1"/>
        <v>0</v>
      </c>
      <c r="N495" s="39">
        <f t="shared" si="2"/>
        <v>0</v>
      </c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</row>
    <row r="496">
      <c r="A496" s="17" t="s">
        <v>985</v>
      </c>
      <c r="B496" s="35" t="s">
        <v>1259</v>
      </c>
      <c r="C496" s="36"/>
      <c r="D496" s="36" t="s">
        <v>58</v>
      </c>
      <c r="E496" s="36" t="s">
        <v>59</v>
      </c>
      <c r="F496" s="36">
        <f>vlookup(D496,'Team Bye List'!$A$1:$B$33,2,False)</f>
        <v>10</v>
      </c>
      <c r="G496" s="37">
        <f>if(ISNA(vlookup($A496, Sleeper!$B$2:$E$330, 4, false)), 0, vlookup($A496, Sleeper!$B$2:$E$330, 4, false))</f>
        <v>0</v>
      </c>
      <c r="H496" s="37">
        <f>if(ISNA(vlookup($A496, ESPN!$B$2:$E$297, 4, false)), 0, vlookup($A496, ESPN!$B$2:$E$297, 4, false))</f>
        <v>0</v>
      </c>
      <c r="I496" s="37">
        <f>if(ISNA(vlookup($A496,'Ultimate Draft Kit'!$B$2:$E$324,4, false)), 0, vlookup($A496,'Ultimate Draft Kit'!$B$2:$E$324, 4, false))</f>
        <v>0</v>
      </c>
      <c r="J496" s="38">
        <f>if(ISNA(vlookup($A496,Rotowire!$B$2:$E$1075,4, false)), 0, vlookup($A496,Rotowire!$B$2:$E$1075, 4, false))</f>
        <v>0</v>
      </c>
      <c r="K496" s="37">
        <f>if(ISNA(vlookup($A496, FantasyPro!$B$2:$E$341,4,false)),0,vlookup($A496,FantasyPro!$B$2:$E$341,4,false))</f>
        <v>0</v>
      </c>
      <c r="L496" s="37">
        <f>if(ISNA(vlookup($A496, FFToolbox!$B$2:$E$414, 4, false)), 0, vlookup($A496, FFToolbox!$B$2:$E$414, 4, false))</f>
        <v>0</v>
      </c>
      <c r="M496" s="39">
        <f t="shared" si="1"/>
        <v>0</v>
      </c>
      <c r="N496" s="39">
        <f t="shared" si="2"/>
        <v>0</v>
      </c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</row>
    <row r="497">
      <c r="A497" s="17" t="s">
        <v>986</v>
      </c>
      <c r="B497" s="35" t="s">
        <v>1259</v>
      </c>
      <c r="C497" s="36"/>
      <c r="D497" s="36" t="s">
        <v>19</v>
      </c>
      <c r="E497" s="36" t="s">
        <v>59</v>
      </c>
      <c r="F497" s="36">
        <f>vlookup(D497,'Team Bye List'!$A$1:$B$33,2,False)</f>
        <v>10</v>
      </c>
      <c r="G497" s="37">
        <f>if(ISNA(vlookup($A497, Sleeper!$B$2:$E$330, 4, false)), 0, vlookup($A497, Sleeper!$B$2:$E$330, 4, false))</f>
        <v>0</v>
      </c>
      <c r="H497" s="37">
        <f>if(ISNA(vlookup($A497, ESPN!$B$2:$E$297, 4, false)), 0, vlookup($A497, ESPN!$B$2:$E$297, 4, false))</f>
        <v>0</v>
      </c>
      <c r="I497" s="37">
        <f>if(ISNA(vlookup($A497,'Ultimate Draft Kit'!$B$2:$E$324,4, false)), 0, vlookup($A497,'Ultimate Draft Kit'!$B$2:$E$324, 4, false))</f>
        <v>0</v>
      </c>
      <c r="J497" s="38">
        <f>if(ISNA(vlookup($A497,Rotowire!$B$2:$E$1075,4, false)), 0, vlookup($A497,Rotowire!$B$2:$E$1075, 4, false))</f>
        <v>0</v>
      </c>
      <c r="K497" s="37">
        <f>if(ISNA(vlookup($A497, FantasyPro!$B$2:$E$341,4,false)),0,vlookup($A497,FantasyPro!$B$2:$E$341,4,false))</f>
        <v>0</v>
      </c>
      <c r="L497" s="37">
        <f>if(ISNA(vlookup($A497, FFToolbox!$B$2:$E$414, 4, false)), 0, vlookup($A497, FFToolbox!$B$2:$E$414, 4, false))</f>
        <v>0</v>
      </c>
      <c r="M497" s="39">
        <f t="shared" si="1"/>
        <v>0</v>
      </c>
      <c r="N497" s="39">
        <f t="shared" si="2"/>
        <v>0</v>
      </c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</row>
    <row r="498">
      <c r="A498" s="17" t="s">
        <v>987</v>
      </c>
      <c r="B498" s="35" t="s">
        <v>1259</v>
      </c>
      <c r="C498" s="36"/>
      <c r="D498" s="36" t="s">
        <v>62</v>
      </c>
      <c r="E498" s="36" t="s">
        <v>59</v>
      </c>
      <c r="F498" s="36">
        <f>vlookup(D498,'Team Bye List'!$A$1:$B$33,2,False)</f>
        <v>8</v>
      </c>
      <c r="G498" s="37">
        <f>if(ISNA(vlookup($A498, Sleeper!$B$2:$E$330, 4, false)), 0, vlookup($A498, Sleeper!$B$2:$E$330, 4, false))</f>
        <v>0</v>
      </c>
      <c r="H498" s="37">
        <f>if(ISNA(vlookup($A498, ESPN!$B$2:$E$297, 4, false)), 0, vlookup($A498, ESPN!$B$2:$E$297, 4, false))</f>
        <v>0</v>
      </c>
      <c r="I498" s="37">
        <f>if(ISNA(vlookup($A498,'Ultimate Draft Kit'!$B$2:$E$324,4, false)), 0, vlookup($A498,'Ultimate Draft Kit'!$B$2:$E$324, 4, false))</f>
        <v>0</v>
      </c>
      <c r="J498" s="38">
        <f>if(ISNA(vlookup($A498,Rotowire!$B$2:$E$1075,4, false)), 0, vlookup($A498,Rotowire!$B$2:$E$1075, 4, false))</f>
        <v>0</v>
      </c>
      <c r="K498" s="37">
        <f>if(ISNA(vlookup($A498, FantasyPro!$B$2:$E$341,4,false)),0,vlookup($A498,FantasyPro!$B$2:$E$341,4,false))</f>
        <v>0</v>
      </c>
      <c r="L498" s="37">
        <f>if(ISNA(vlookup($A498, FFToolbox!$B$2:$E$414, 4, false)), 0, vlookup($A498, FFToolbox!$B$2:$E$414, 4, false))</f>
        <v>0</v>
      </c>
      <c r="M498" s="39">
        <f t="shared" si="1"/>
        <v>0</v>
      </c>
      <c r="N498" s="39">
        <f t="shared" si="2"/>
        <v>0</v>
      </c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</row>
    <row r="499">
      <c r="A499" s="17" t="s">
        <v>988</v>
      </c>
      <c r="B499" s="35" t="s">
        <v>1259</v>
      </c>
      <c r="C499" s="36"/>
      <c r="D499" s="36" t="s">
        <v>262</v>
      </c>
      <c r="E499" s="36" t="s">
        <v>59</v>
      </c>
      <c r="F499" s="36" t="str">
        <f>vlookup(D499,'Team Bye List'!$A$1:$B$33,2,False)</f>
        <v>#N/A</v>
      </c>
      <c r="G499" s="37">
        <f>if(ISNA(vlookup($A499, Sleeper!$B$2:$E$330, 4, false)), 0, vlookup($A499, Sleeper!$B$2:$E$330, 4, false))</f>
        <v>0</v>
      </c>
      <c r="H499" s="37">
        <f>if(ISNA(vlookup($A499, ESPN!$B$2:$E$297, 4, false)), 0, vlookup($A499, ESPN!$B$2:$E$297, 4, false))</f>
        <v>0</v>
      </c>
      <c r="I499" s="37">
        <f>if(ISNA(vlookup($A499,'Ultimate Draft Kit'!$B$2:$E$324,4, false)), 0, vlookup($A499,'Ultimate Draft Kit'!$B$2:$E$324, 4, false))</f>
        <v>0</v>
      </c>
      <c r="J499" s="38">
        <f>if(ISNA(vlookup($A499,Rotowire!$B$2:$E$1075,4, false)), 0, vlookup($A499,Rotowire!$B$2:$E$1075, 4, false))</f>
        <v>0</v>
      </c>
      <c r="K499" s="37">
        <f>if(ISNA(vlookup($A499, FantasyPro!$B$2:$E$341,4,false)),0,vlookup($A499,FantasyPro!$B$2:$E$341,4,false))</f>
        <v>0</v>
      </c>
      <c r="L499" s="37">
        <f>if(ISNA(vlookup($A499, FFToolbox!$B$2:$E$414, 4, false)), 0, vlookup($A499, FFToolbox!$B$2:$E$414, 4, false))</f>
        <v>0</v>
      </c>
      <c r="M499" s="39">
        <f t="shared" si="1"/>
        <v>0</v>
      </c>
      <c r="N499" s="39">
        <f t="shared" si="2"/>
        <v>0</v>
      </c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</row>
    <row r="500">
      <c r="A500" s="17" t="s">
        <v>772</v>
      </c>
      <c r="B500" s="35" t="s">
        <v>1259</v>
      </c>
      <c r="C500" s="36"/>
      <c r="D500" s="36" t="s">
        <v>69</v>
      </c>
      <c r="E500" s="36" t="s">
        <v>59</v>
      </c>
      <c r="F500" s="36">
        <f>vlookup(D500,'Team Bye List'!$A$1:$B$33,2,False)</f>
        <v>10</v>
      </c>
      <c r="G500" s="37">
        <f>if(ISNA(vlookup($A500, Sleeper!$B$2:$E$330, 4, false)), 0, vlookup($A500, Sleeper!$B$2:$E$330, 4, false))</f>
        <v>0</v>
      </c>
      <c r="H500" s="37">
        <f>if(ISNA(vlookup($A500, ESPN!$B$2:$E$297, 4, false)), 0, vlookup($A500, ESPN!$B$2:$E$297, 4, false))</f>
        <v>0</v>
      </c>
      <c r="I500" s="37">
        <f>if(ISNA(vlookup($A500,'Ultimate Draft Kit'!$B$2:$E$324,4, false)), 0, vlookup($A500,'Ultimate Draft Kit'!$B$2:$E$324, 4, false))</f>
        <v>0</v>
      </c>
      <c r="J500" s="38">
        <f>if(ISNA(vlookup($A500,Rotowire!$B$2:$E$1075,4, false)), 0, vlookup($A500,Rotowire!$B$2:$E$1075, 4, false))</f>
        <v>0</v>
      </c>
      <c r="K500" s="37">
        <f>if(ISNA(vlookup($A500, FantasyPro!$B$2:$E$341,4,false)),0,vlookup($A500,FantasyPro!$B$2:$E$341,4,false))</f>
        <v>0</v>
      </c>
      <c r="L500" s="37">
        <f>if(ISNA(vlookup($A500, FFToolbox!$B$2:$E$414, 4, false)), 0, vlookup($A500, FFToolbox!$B$2:$E$414, 4, false))</f>
        <v>0</v>
      </c>
      <c r="M500" s="39">
        <f t="shared" si="1"/>
        <v>0</v>
      </c>
      <c r="N500" s="39">
        <f t="shared" si="2"/>
        <v>0</v>
      </c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</row>
    <row r="501">
      <c r="A501" s="17" t="s">
        <v>989</v>
      </c>
      <c r="B501" s="35" t="s">
        <v>1259</v>
      </c>
      <c r="C501" s="36"/>
      <c r="D501" s="36" t="s">
        <v>53</v>
      </c>
      <c r="E501" s="36" t="s">
        <v>59</v>
      </c>
      <c r="F501" s="36">
        <f>vlookup(D501,'Team Bye List'!$A$1:$B$33,2,False)</f>
        <v>9</v>
      </c>
      <c r="G501" s="37">
        <f>if(ISNA(vlookup($A501, Sleeper!$B$2:$E$330, 4, false)), 0, vlookup($A501, Sleeper!$B$2:$E$330, 4, false))</f>
        <v>0</v>
      </c>
      <c r="H501" s="37">
        <f>if(ISNA(vlookup($A501, ESPN!$B$2:$E$297, 4, false)), 0, vlookup($A501, ESPN!$B$2:$E$297, 4, false))</f>
        <v>0</v>
      </c>
      <c r="I501" s="37">
        <f>if(ISNA(vlookup($A501,'Ultimate Draft Kit'!$B$2:$E$324,4, false)), 0, vlookup($A501,'Ultimate Draft Kit'!$B$2:$E$324, 4, false))</f>
        <v>0</v>
      </c>
      <c r="J501" s="38">
        <f>if(ISNA(vlookup($A501,Rotowire!$B$2:$E$1075,4, false)), 0, vlookup($A501,Rotowire!$B$2:$E$1075, 4, false))</f>
        <v>0</v>
      </c>
      <c r="K501" s="37">
        <f>if(ISNA(vlookup($A501, FantasyPro!$B$2:$E$341,4,false)),0,vlookup($A501,FantasyPro!$B$2:$E$341,4,false))</f>
        <v>0</v>
      </c>
      <c r="L501" s="37">
        <f>if(ISNA(vlookup($A501, FFToolbox!$B$2:$E$414, 4, false)), 0, vlookup($A501, FFToolbox!$B$2:$E$414, 4, false))</f>
        <v>0</v>
      </c>
      <c r="M501" s="39">
        <f t="shared" si="1"/>
        <v>0</v>
      </c>
      <c r="N501" s="39">
        <f t="shared" si="2"/>
        <v>0</v>
      </c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</row>
    <row r="502">
      <c r="A502" s="17" t="s">
        <v>990</v>
      </c>
      <c r="B502" s="35" t="s">
        <v>1259</v>
      </c>
      <c r="C502" s="36"/>
      <c r="D502" s="36" t="s">
        <v>41</v>
      </c>
      <c r="E502" s="36" t="s">
        <v>59</v>
      </c>
      <c r="F502" s="36">
        <f>vlookup(D502,'Team Bye List'!$A$1:$B$33,2,False)</f>
        <v>14</v>
      </c>
      <c r="G502" s="37">
        <f>if(ISNA(vlookup($A502, Sleeper!$B$2:$E$330, 4, false)), 0, vlookup($A502, Sleeper!$B$2:$E$330, 4, false))</f>
        <v>0</v>
      </c>
      <c r="H502" s="37">
        <f>if(ISNA(vlookup($A502, ESPN!$B$2:$E$297, 4, false)), 0, vlookup($A502, ESPN!$B$2:$E$297, 4, false))</f>
        <v>0</v>
      </c>
      <c r="I502" s="37">
        <f>if(ISNA(vlookup($A502,'Ultimate Draft Kit'!$B$2:$E$324,4, false)), 0, vlookup($A502,'Ultimate Draft Kit'!$B$2:$E$324, 4, false))</f>
        <v>0</v>
      </c>
      <c r="J502" s="38">
        <f>if(ISNA(vlookup($A502,Rotowire!$B$2:$E$1075,4, false)), 0, vlookup($A502,Rotowire!$B$2:$E$1075, 4, false))</f>
        <v>0</v>
      </c>
      <c r="K502" s="37">
        <f>if(ISNA(vlookup($A502, FantasyPro!$B$2:$E$341,4,false)),0,vlookup($A502,FantasyPro!$B$2:$E$341,4,false))</f>
        <v>0</v>
      </c>
      <c r="L502" s="37">
        <f>if(ISNA(vlookup($A502, FFToolbox!$B$2:$E$414, 4, false)), 0, vlookup($A502, FFToolbox!$B$2:$E$414, 4, false))</f>
        <v>0</v>
      </c>
      <c r="M502" s="39">
        <f t="shared" si="1"/>
        <v>0</v>
      </c>
      <c r="N502" s="39">
        <f t="shared" si="2"/>
        <v>0</v>
      </c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</row>
    <row r="503">
      <c r="A503" s="17" t="s">
        <v>726</v>
      </c>
      <c r="B503" s="35" t="s">
        <v>1259</v>
      </c>
      <c r="C503" s="36"/>
      <c r="D503" s="36" t="s">
        <v>30</v>
      </c>
      <c r="E503" s="36" t="s">
        <v>59</v>
      </c>
      <c r="F503" s="36">
        <f>vlookup(D503,'Team Bye List'!$A$1:$B$33,2,False)</f>
        <v>7</v>
      </c>
      <c r="G503" s="37">
        <f>if(ISNA(vlookup($A503, Sleeper!$B$2:$E$330, 4, false)), 0, vlookup($A503, Sleeper!$B$2:$E$330, 4, false))</f>
        <v>0</v>
      </c>
      <c r="H503" s="37">
        <f>if(ISNA(vlookup($A503, ESPN!$B$2:$E$297, 4, false)), 0, vlookup($A503, ESPN!$B$2:$E$297, 4, false))</f>
        <v>0</v>
      </c>
      <c r="I503" s="37">
        <f>if(ISNA(vlookup($A503,'Ultimate Draft Kit'!$B$2:$E$324,4, false)), 0, vlookup($A503,'Ultimate Draft Kit'!$B$2:$E$324, 4, false))</f>
        <v>0</v>
      </c>
      <c r="J503" s="38">
        <f>if(ISNA(vlookup($A503,Rotowire!$B$2:$E$1075,4, false)), 0, vlookup($A503,Rotowire!$B$2:$E$1075, 4, false))</f>
        <v>0</v>
      </c>
      <c r="K503" s="37">
        <f>if(ISNA(vlookup($A503, FantasyPro!$B$2:$E$341,4,false)),0,vlookup($A503,FantasyPro!$B$2:$E$341,4,false))</f>
        <v>0</v>
      </c>
      <c r="L503" s="37">
        <f>if(ISNA(vlookup($A503, FFToolbox!$B$2:$E$414, 4, false)), 0, vlookup($A503, FFToolbox!$B$2:$E$414, 4, false))</f>
        <v>0</v>
      </c>
      <c r="M503" s="39">
        <f t="shared" si="1"/>
        <v>0</v>
      </c>
      <c r="N503" s="39">
        <f t="shared" si="2"/>
        <v>0</v>
      </c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</row>
    <row r="504">
      <c r="A504" s="17" t="s">
        <v>754</v>
      </c>
      <c r="B504" s="35" t="s">
        <v>1259</v>
      </c>
      <c r="C504" s="36"/>
      <c r="D504" s="36" t="s">
        <v>35</v>
      </c>
      <c r="E504" s="36" t="s">
        <v>59</v>
      </c>
      <c r="F504" s="36">
        <f>vlookup(D504,'Team Bye List'!$A$1:$B$33,2,False)</f>
        <v>6</v>
      </c>
      <c r="G504" s="37">
        <f>if(ISNA(vlookup($A504, Sleeper!$B$2:$E$330, 4, false)), 0, vlookup($A504, Sleeper!$B$2:$E$330, 4, false))</f>
        <v>0</v>
      </c>
      <c r="H504" s="37">
        <f>if(ISNA(vlookup($A504, ESPN!$B$2:$E$297, 4, false)), 0, vlookup($A504, ESPN!$B$2:$E$297, 4, false))</f>
        <v>0</v>
      </c>
      <c r="I504" s="37">
        <f>if(ISNA(vlookup($A504,'Ultimate Draft Kit'!$B$2:$E$324,4, false)), 0, vlookup($A504,'Ultimate Draft Kit'!$B$2:$E$324, 4, false))</f>
        <v>0</v>
      </c>
      <c r="J504" s="38">
        <f>if(ISNA(vlookup($A504,Rotowire!$B$2:$E$1075,4, false)), 0, vlookup($A504,Rotowire!$B$2:$E$1075, 4, false))</f>
        <v>0</v>
      </c>
      <c r="K504" s="37">
        <f>if(ISNA(vlookup($A504, FantasyPro!$B$2:$E$341,4,false)),0,vlookup($A504,FantasyPro!$B$2:$E$341,4,false))</f>
        <v>0</v>
      </c>
      <c r="L504" s="37">
        <f>if(ISNA(vlookup($A504, FFToolbox!$B$2:$E$414, 4, false)), 0, vlookup($A504, FFToolbox!$B$2:$E$414, 4, false))</f>
        <v>0</v>
      </c>
      <c r="M504" s="39">
        <f t="shared" si="1"/>
        <v>0</v>
      </c>
      <c r="N504" s="39">
        <f t="shared" si="2"/>
        <v>0</v>
      </c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</row>
    <row r="505">
      <c r="A505" s="17" t="s">
        <v>991</v>
      </c>
      <c r="B505" s="35" t="s">
        <v>1259</v>
      </c>
      <c r="C505" s="36"/>
      <c r="D505" s="36" t="s">
        <v>62</v>
      </c>
      <c r="E505" s="36" t="s">
        <v>59</v>
      </c>
      <c r="F505" s="36">
        <f>vlookup(D505,'Team Bye List'!$A$1:$B$33,2,False)</f>
        <v>8</v>
      </c>
      <c r="G505" s="37">
        <f>if(ISNA(vlookup($A505, Sleeper!$B$2:$E$330, 4, false)), 0, vlookup($A505, Sleeper!$B$2:$E$330, 4, false))</f>
        <v>0</v>
      </c>
      <c r="H505" s="37">
        <f>if(ISNA(vlookup($A505, ESPN!$B$2:$E$297, 4, false)), 0, vlookup($A505, ESPN!$B$2:$E$297, 4, false))</f>
        <v>0</v>
      </c>
      <c r="I505" s="37">
        <f>if(ISNA(vlookup($A505,'Ultimate Draft Kit'!$B$2:$E$324,4, false)), 0, vlookup($A505,'Ultimate Draft Kit'!$B$2:$E$324, 4, false))</f>
        <v>0</v>
      </c>
      <c r="J505" s="38">
        <f>if(ISNA(vlookup($A505,Rotowire!$B$2:$E$1075,4, false)), 0, vlookup($A505,Rotowire!$B$2:$E$1075, 4, false))</f>
        <v>0</v>
      </c>
      <c r="K505" s="37">
        <f>if(ISNA(vlookup($A505, FantasyPro!$B$2:$E$341,4,false)),0,vlookup($A505,FantasyPro!$B$2:$E$341,4,false))</f>
        <v>0</v>
      </c>
      <c r="L505" s="37">
        <f>if(ISNA(vlookup($A505, FFToolbox!$B$2:$E$414, 4, false)), 0, vlookup($A505, FFToolbox!$B$2:$E$414, 4, false))</f>
        <v>0</v>
      </c>
      <c r="M505" s="39">
        <f t="shared" si="1"/>
        <v>0</v>
      </c>
      <c r="N505" s="39">
        <f t="shared" si="2"/>
        <v>0</v>
      </c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</row>
    <row r="506">
      <c r="A506" s="17" t="s">
        <v>992</v>
      </c>
      <c r="B506" s="35" t="s">
        <v>1259</v>
      </c>
      <c r="C506" s="36"/>
      <c r="D506" s="36" t="s">
        <v>17</v>
      </c>
      <c r="E506" s="36" t="s">
        <v>59</v>
      </c>
      <c r="F506" s="36">
        <f>vlookup(D506,'Team Bye List'!$A$1:$B$33,2,False)</f>
        <v>7</v>
      </c>
      <c r="G506" s="37">
        <f>if(ISNA(vlookup($A506, Sleeper!$B$2:$E$330, 4, false)), 0, vlookup($A506, Sleeper!$B$2:$E$330, 4, false))</f>
        <v>0</v>
      </c>
      <c r="H506" s="37">
        <f>if(ISNA(vlookup($A506, ESPN!$B$2:$E$297, 4, false)), 0, vlookup($A506, ESPN!$B$2:$E$297, 4, false))</f>
        <v>0</v>
      </c>
      <c r="I506" s="37">
        <f>if(ISNA(vlookup($A506,'Ultimate Draft Kit'!$B$2:$E$324,4, false)), 0, vlookup($A506,'Ultimate Draft Kit'!$B$2:$E$324, 4, false))</f>
        <v>0</v>
      </c>
      <c r="J506" s="38">
        <f>if(ISNA(vlookup($A506,Rotowire!$B$2:$E$1075,4, false)), 0, vlookup($A506,Rotowire!$B$2:$E$1075, 4, false))</f>
        <v>0</v>
      </c>
      <c r="K506" s="37">
        <f>if(ISNA(vlookup($A506, FantasyPro!$B$2:$E$341,4,false)),0,vlookup($A506,FantasyPro!$B$2:$E$341,4,false))</f>
        <v>0</v>
      </c>
      <c r="L506" s="37">
        <f>if(ISNA(vlookup($A506, FFToolbox!$B$2:$E$414, 4, false)), 0, vlookup($A506, FFToolbox!$B$2:$E$414, 4, false))</f>
        <v>0</v>
      </c>
      <c r="M506" s="39">
        <f t="shared" si="1"/>
        <v>0</v>
      </c>
      <c r="N506" s="39">
        <f t="shared" si="2"/>
        <v>0</v>
      </c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</row>
    <row r="507">
      <c r="A507" s="17" t="s">
        <v>557</v>
      </c>
      <c r="B507" s="35" t="s">
        <v>1259</v>
      </c>
      <c r="C507" s="35" t="s">
        <v>1260</v>
      </c>
      <c r="D507" s="36" t="s">
        <v>15</v>
      </c>
      <c r="E507" s="36" t="s">
        <v>13</v>
      </c>
      <c r="F507" s="36">
        <f>vlookup(D507,'Team Bye List'!$A$1:$B$33,2,False)</f>
        <v>6</v>
      </c>
      <c r="G507" s="37">
        <f>if(ISNA(vlookup($A507, Sleeper!$B$2:$E$330, 4, false)), 0, vlookup($A507, Sleeper!$B$2:$E$330, 4, false))</f>
        <v>0</v>
      </c>
      <c r="H507" s="37">
        <f>if(ISNA(vlookup($A507, ESPN!$B$2:$E$297, 4, false)), 0, vlookup($A507, ESPN!$B$2:$E$297, 4, false))</f>
        <v>0</v>
      </c>
      <c r="I507" s="37">
        <f>if(ISNA(vlookup($A507,'Ultimate Draft Kit'!$B$2:$E$324,4, false)), 0, vlookup($A507,'Ultimate Draft Kit'!$B$2:$E$324, 4, false))</f>
        <v>0</v>
      </c>
      <c r="J507" s="38">
        <f>if(ISNA(vlookup($A507,Rotowire!$B$2:$E$1075,4, false)), 0, vlookup($A507,Rotowire!$B$2:$E$1075, 4, false))</f>
        <v>0</v>
      </c>
      <c r="K507" s="37">
        <f>if(ISNA(vlookup($A507, FantasyPro!$B$2:$E$341,4,false)),0,vlookup($A507,FantasyPro!$B$2:$E$341,4,false))</f>
        <v>0</v>
      </c>
      <c r="L507" s="37">
        <f>if(ISNA(vlookup($A507, FFToolbox!$B$2:$E$414, 4, false)), 0, vlookup($A507, FFToolbox!$B$2:$E$414, 4, false))</f>
        <v>1</v>
      </c>
      <c r="M507" s="39">
        <f t="shared" si="1"/>
        <v>0.1666666667</v>
      </c>
      <c r="N507" s="39">
        <f t="shared" si="2"/>
        <v>1</v>
      </c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</row>
    <row r="508">
      <c r="A508" s="17" t="s">
        <v>217</v>
      </c>
      <c r="B508" s="35" t="s">
        <v>1259</v>
      </c>
      <c r="C508" s="35">
        <v>11.0</v>
      </c>
      <c r="D508" s="36" t="s">
        <v>45</v>
      </c>
      <c r="E508" s="36" t="s">
        <v>8</v>
      </c>
      <c r="F508" s="36">
        <f>vlookup(D508,'Team Bye List'!$A$1:$B$33,2,False)</f>
        <v>13</v>
      </c>
      <c r="G508" s="37">
        <f>if(ISNA(vlookup($A508, Sleeper!$B$2:$E$330, 4, false)), 0, vlookup($A508, Sleeper!$B$2:$E$330, 4, false))</f>
        <v>1</v>
      </c>
      <c r="H508" s="37">
        <f>if(ISNA(vlookup($A508, ESPN!$B$2:$E$297, 4, false)), 0, vlookup($A508, ESPN!$B$2:$E$297, 4, false))</f>
        <v>0</v>
      </c>
      <c r="I508" s="37">
        <f>if(ISNA(vlookup($A508,'Ultimate Draft Kit'!$B$2:$E$324,4, false)), 0, vlookup($A508,'Ultimate Draft Kit'!$B$2:$E$324, 4, false))</f>
        <v>1</v>
      </c>
      <c r="J508" s="38">
        <f>if(ISNA(vlookup($A508,Rotowire!$B$2:$E$1075,4, false)), 0, vlookup($A508,Rotowire!$B$2:$E$1075, 4, false))</f>
        <v>0</v>
      </c>
      <c r="K508" s="37">
        <f>if(ISNA(vlookup($A508, FantasyPro!$B$2:$E$341,4,false)),0,vlookup($A508,FantasyPro!$B$2:$E$341,4,false))</f>
        <v>1</v>
      </c>
      <c r="L508" s="37">
        <f>if(ISNA(vlookup($A508, FFToolbox!$B$2:$E$414, 4, false)), 0, vlookup($A508, FFToolbox!$B$2:$E$414, 4, false))</f>
        <v>1</v>
      </c>
      <c r="M508" s="39">
        <f t="shared" si="1"/>
        <v>0.6666666667</v>
      </c>
      <c r="N508" s="39">
        <f t="shared" si="2"/>
        <v>1</v>
      </c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</row>
    <row r="509">
      <c r="A509" s="17" t="s">
        <v>548</v>
      </c>
      <c r="B509" s="35" t="s">
        <v>1259</v>
      </c>
      <c r="C509" s="35" t="s">
        <v>1260</v>
      </c>
      <c r="D509" s="36" t="s">
        <v>53</v>
      </c>
      <c r="E509" s="36" t="s">
        <v>13</v>
      </c>
      <c r="F509" s="36">
        <f>vlookup(D509,'Team Bye List'!$A$1:$B$33,2,False)</f>
        <v>9</v>
      </c>
      <c r="G509" s="37">
        <f>if(ISNA(vlookup($A509, Sleeper!$B$2:$E$330, 4, false)), 0, vlookup($A509, Sleeper!$B$2:$E$330, 4, false))</f>
        <v>0</v>
      </c>
      <c r="H509" s="37">
        <f>if(ISNA(vlookup($A509, ESPN!$B$2:$E$297, 4, false)), 0, vlookup($A509, ESPN!$B$2:$E$297, 4, false))</f>
        <v>0</v>
      </c>
      <c r="I509" s="37">
        <f>if(ISNA(vlookup($A509,'Ultimate Draft Kit'!$B$2:$E$324,4, false)), 0, vlookup($A509,'Ultimate Draft Kit'!$B$2:$E$324, 4, false))</f>
        <v>0</v>
      </c>
      <c r="J509" s="38">
        <f>if(ISNA(vlookup($A509,Rotowire!$B$2:$E$1075,4, false)), 0, vlookup($A509,Rotowire!$B$2:$E$1075, 4, false))</f>
        <v>0</v>
      </c>
      <c r="K509" s="37">
        <f>if(ISNA(vlookup($A509, FantasyPro!$B$2:$E$341,4,false)),0,vlookup($A509,FantasyPro!$B$2:$E$341,4,false))</f>
        <v>0</v>
      </c>
      <c r="L509" s="37">
        <f>if(ISNA(vlookup($A509, FFToolbox!$B$2:$E$414, 4, false)), 0, vlookup($A509, FFToolbox!$B$2:$E$414, 4, false))</f>
        <v>1</v>
      </c>
      <c r="M509" s="39">
        <f t="shared" si="1"/>
        <v>0.1666666667</v>
      </c>
      <c r="N509" s="39">
        <f t="shared" si="2"/>
        <v>1</v>
      </c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</row>
    <row r="510">
      <c r="A510" s="17" t="s">
        <v>221</v>
      </c>
      <c r="B510" s="35" t="s">
        <v>1259</v>
      </c>
      <c r="C510" s="35">
        <v>10.0</v>
      </c>
      <c r="D510" s="36" t="s">
        <v>73</v>
      </c>
      <c r="E510" s="36" t="s">
        <v>8</v>
      </c>
      <c r="F510" s="36">
        <f>vlookup(D510,'Team Bye List'!$A$1:$B$33,2,False)</f>
        <v>14</v>
      </c>
      <c r="G510" s="37">
        <f>if(ISNA(vlookup($A510, Sleeper!$B$2:$E$330, 4, false)), 0, vlookup($A510, Sleeper!$B$2:$E$330, 4, false))</f>
        <v>0</v>
      </c>
      <c r="H510" s="37">
        <f>if(ISNA(vlookup($A510, ESPN!$B$2:$E$297, 4, false)), 0, vlookup($A510, ESPN!$B$2:$E$297, 4, false))</f>
        <v>0</v>
      </c>
      <c r="I510" s="37">
        <f>if(ISNA(vlookup($A510,'Ultimate Draft Kit'!$B$2:$E$324,4, false)), 0, vlookup($A510,'Ultimate Draft Kit'!$B$2:$E$324, 4, false))</f>
        <v>0</v>
      </c>
      <c r="J510" s="38">
        <f>if(ISNA(vlookup($A510,Rotowire!$B$2:$E$1075,4, false)), 0, vlookup($A510,Rotowire!$B$2:$E$1075, 4, false))</f>
        <v>0</v>
      </c>
      <c r="K510" s="37">
        <f>if(ISNA(vlookup($A510, FantasyPro!$B$2:$E$341,4,false)),0,vlookup($A510,FantasyPro!$B$2:$E$341,4,false))</f>
        <v>1</v>
      </c>
      <c r="L510" s="37">
        <f>if(ISNA(vlookup($A510, FFToolbox!$B$2:$E$414, 4, false)), 0, vlookup($A510, FFToolbox!$B$2:$E$414, 4, false))</f>
        <v>0</v>
      </c>
      <c r="M510" s="39">
        <f t="shared" si="1"/>
        <v>0.1666666667</v>
      </c>
      <c r="N510" s="39">
        <f t="shared" si="2"/>
        <v>1</v>
      </c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</row>
    <row r="511">
      <c r="A511" s="17" t="s">
        <v>547</v>
      </c>
      <c r="B511" s="35" t="s">
        <v>1259</v>
      </c>
      <c r="C511" s="35" t="s">
        <v>1260</v>
      </c>
      <c r="D511" s="36" t="s">
        <v>35</v>
      </c>
      <c r="E511" s="36" t="s">
        <v>13</v>
      </c>
      <c r="F511" s="36">
        <f>vlookup(D511,'Team Bye List'!$A$1:$B$33,2,False)</f>
        <v>6</v>
      </c>
      <c r="G511" s="37">
        <f>if(ISNA(vlookup($A511, Sleeper!$B$2:$E$330, 4, false)), 0, vlookup($A511, Sleeper!$B$2:$E$330, 4, false))</f>
        <v>0</v>
      </c>
      <c r="H511" s="37">
        <f>if(ISNA(vlookup($A511, ESPN!$B$2:$E$297, 4, false)), 0, vlookup($A511, ESPN!$B$2:$E$297, 4, false))</f>
        <v>0</v>
      </c>
      <c r="I511" s="37">
        <f>if(ISNA(vlookup($A511,'Ultimate Draft Kit'!$B$2:$E$324,4, false)), 0, vlookup($A511,'Ultimate Draft Kit'!$B$2:$E$324, 4, false))</f>
        <v>0</v>
      </c>
      <c r="J511" s="38">
        <f>if(ISNA(vlookup($A511,Rotowire!$B$2:$E$1075,4, false)), 0, vlookup($A511,Rotowire!$B$2:$E$1075, 4, false))</f>
        <v>0</v>
      </c>
      <c r="K511" s="37">
        <f>if(ISNA(vlookup($A511, FantasyPro!$B$2:$E$341,4,false)),0,vlookup($A511,FantasyPro!$B$2:$E$341,4,false))</f>
        <v>0</v>
      </c>
      <c r="L511" s="37">
        <f>if(ISNA(vlookup($A511, FFToolbox!$B$2:$E$414, 4, false)), 0, vlookup($A511, FFToolbox!$B$2:$E$414, 4, false))</f>
        <v>0</v>
      </c>
      <c r="M511" s="39">
        <f t="shared" si="1"/>
        <v>0</v>
      </c>
      <c r="N511" s="39">
        <f t="shared" si="2"/>
        <v>0</v>
      </c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</row>
    <row r="512">
      <c r="A512" s="17" t="s">
        <v>563</v>
      </c>
      <c r="B512" s="35" t="s">
        <v>1259</v>
      </c>
      <c r="C512" s="35">
        <v>10.0</v>
      </c>
      <c r="D512" s="36" t="s">
        <v>23</v>
      </c>
      <c r="E512" s="36" t="s">
        <v>13</v>
      </c>
      <c r="F512" s="36">
        <f>vlookup(D512,'Team Bye List'!$A$1:$B$33,2,False)</f>
        <v>9</v>
      </c>
      <c r="G512" s="37">
        <f>if(ISNA(vlookup($A512, Sleeper!$B$2:$E$330, 4, false)), 0, vlookup($A512, Sleeper!$B$2:$E$330, 4, false))</f>
        <v>1</v>
      </c>
      <c r="H512" s="37">
        <f>if(ISNA(vlookup($A512, ESPN!$B$2:$E$297, 4, false)), 0, vlookup($A512, ESPN!$B$2:$E$297, 4, false))</f>
        <v>0</v>
      </c>
      <c r="I512" s="37">
        <f>if(ISNA(vlookup($A512,'Ultimate Draft Kit'!$B$2:$E$324,4, false)), 0, vlookup($A512,'Ultimate Draft Kit'!$B$2:$E$324, 4, false))</f>
        <v>1</v>
      </c>
      <c r="J512" s="38">
        <f>if(ISNA(vlookup($A512,Rotowire!$B$2:$E$1075,4, false)), 0, vlookup($A512,Rotowire!$B$2:$E$1075, 4, false))</f>
        <v>0</v>
      </c>
      <c r="K512" s="37">
        <f>if(ISNA(vlookup($A512, FantasyPro!$B$2:$E$341,4,false)),0,vlookup($A512,FantasyPro!$B$2:$E$341,4,false))</f>
        <v>0</v>
      </c>
      <c r="L512" s="37">
        <f>if(ISNA(vlookup($A512, FFToolbox!$B$2:$E$414, 4, false)), 0, vlookup($A512, FFToolbox!$B$2:$E$414, 4, false))</f>
        <v>1</v>
      </c>
      <c r="M512" s="39">
        <f t="shared" si="1"/>
        <v>0.5</v>
      </c>
      <c r="N512" s="39">
        <f t="shared" si="2"/>
        <v>1</v>
      </c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</row>
    <row r="513">
      <c r="A513" s="17" t="s">
        <v>594</v>
      </c>
      <c r="B513" s="35" t="s">
        <v>1259</v>
      </c>
      <c r="C513" s="35" t="s">
        <v>1260</v>
      </c>
      <c r="D513" s="36" t="s">
        <v>17</v>
      </c>
      <c r="E513" s="36" t="s">
        <v>13</v>
      </c>
      <c r="F513" s="36">
        <f>vlookup(D513,'Team Bye List'!$A$1:$B$33,2,False)</f>
        <v>7</v>
      </c>
      <c r="G513" s="37">
        <f>if(ISNA(vlookup($A513, Sleeper!$B$2:$E$330, 4, false)), 0, vlookup($A513, Sleeper!$B$2:$E$330, 4, false))</f>
        <v>0</v>
      </c>
      <c r="H513" s="37">
        <f>if(ISNA(vlookup($A513, ESPN!$B$2:$E$297, 4, false)), 0, vlookup($A513, ESPN!$B$2:$E$297, 4, false))</f>
        <v>0</v>
      </c>
      <c r="I513" s="37">
        <f>if(ISNA(vlookup($A513,'Ultimate Draft Kit'!$B$2:$E$324,4, false)), 0, vlookup($A513,'Ultimate Draft Kit'!$B$2:$E$324, 4, false))</f>
        <v>0</v>
      </c>
      <c r="J513" s="38">
        <f>if(ISNA(vlookup($A513,Rotowire!$B$2:$E$1075,4, false)), 0, vlookup($A513,Rotowire!$B$2:$E$1075, 4, false))</f>
        <v>0</v>
      </c>
      <c r="K513" s="37">
        <f>if(ISNA(vlookup($A513, FantasyPro!$B$2:$E$341,4,false)),0,vlookup($A513,FantasyPro!$B$2:$E$341,4,false))</f>
        <v>0</v>
      </c>
      <c r="L513" s="37">
        <f>if(ISNA(vlookup($A513, FFToolbox!$B$2:$E$414, 4, false)), 0, vlookup($A513, FFToolbox!$B$2:$E$414, 4, false))</f>
        <v>0</v>
      </c>
      <c r="M513" s="39">
        <f t="shared" si="1"/>
        <v>0</v>
      </c>
      <c r="N513" s="39">
        <f t="shared" si="2"/>
        <v>0</v>
      </c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</row>
    <row r="514">
      <c r="A514" s="17" t="s">
        <v>568</v>
      </c>
      <c r="B514" s="35" t="s">
        <v>1259</v>
      </c>
      <c r="C514" s="35" t="s">
        <v>1260</v>
      </c>
      <c r="D514" s="36" t="s">
        <v>37</v>
      </c>
      <c r="E514" s="36" t="s">
        <v>13</v>
      </c>
      <c r="F514" s="36">
        <f>vlookup(D514,'Team Bye List'!$A$1:$B$33,2,False)</f>
        <v>11</v>
      </c>
      <c r="G514" s="37">
        <f>if(ISNA(vlookup($A514, Sleeper!$B$2:$E$330, 4, false)), 0, vlookup($A514, Sleeper!$B$2:$E$330, 4, false))</f>
        <v>0</v>
      </c>
      <c r="H514" s="37">
        <f>if(ISNA(vlookup($A514, ESPN!$B$2:$E$297, 4, false)), 0, vlookup($A514, ESPN!$B$2:$E$297, 4, false))</f>
        <v>0</v>
      </c>
      <c r="I514" s="37">
        <f>if(ISNA(vlookup($A514,'Ultimate Draft Kit'!$B$2:$E$324,4, false)), 0, vlookup($A514,'Ultimate Draft Kit'!$B$2:$E$324, 4, false))</f>
        <v>0</v>
      </c>
      <c r="J514" s="38">
        <f>if(ISNA(vlookup($A514,Rotowire!$B$2:$E$1075,4, false)), 0, vlookup($A514,Rotowire!$B$2:$E$1075, 4, false))</f>
        <v>0</v>
      </c>
      <c r="K514" s="37">
        <f>if(ISNA(vlookup($A514, FantasyPro!$B$2:$E$341,4,false)),0,vlookup($A514,FantasyPro!$B$2:$E$341,4,false))</f>
        <v>0</v>
      </c>
      <c r="L514" s="37">
        <f>if(ISNA(vlookup($A514, FFToolbox!$B$2:$E$414, 4, false)), 0, vlookup($A514, FFToolbox!$B$2:$E$414, 4, false))</f>
        <v>1</v>
      </c>
      <c r="M514" s="39">
        <f t="shared" si="1"/>
        <v>0.1666666667</v>
      </c>
      <c r="N514" s="39">
        <f t="shared" si="2"/>
        <v>1</v>
      </c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</row>
    <row r="515">
      <c r="A515" s="17" t="s">
        <v>220</v>
      </c>
      <c r="B515" s="35" t="s">
        <v>1259</v>
      </c>
      <c r="C515" s="35">
        <v>10.0</v>
      </c>
      <c r="D515" s="36" t="s">
        <v>89</v>
      </c>
      <c r="E515" s="36" t="s">
        <v>8</v>
      </c>
      <c r="F515" s="36">
        <f>vlookup(D515,'Team Bye List'!$A$1:$B$33,2,False)</f>
        <v>14</v>
      </c>
      <c r="G515" s="37">
        <f>if(ISNA(vlookup($A515, Sleeper!$B$2:$E$330, 4, false)), 0, vlookup($A515, Sleeper!$B$2:$E$330, 4, false))</f>
        <v>1</v>
      </c>
      <c r="H515" s="37">
        <f>if(ISNA(vlookup($A515, ESPN!$B$2:$E$297, 4, false)), 0, vlookup($A515, ESPN!$B$2:$E$297, 4, false))</f>
        <v>0</v>
      </c>
      <c r="I515" s="37">
        <f>if(ISNA(vlookup($A515,'Ultimate Draft Kit'!$B$2:$E$324,4, false)), 0, vlookup($A515,'Ultimate Draft Kit'!$B$2:$E$324, 4, false))</f>
        <v>1</v>
      </c>
      <c r="J515" s="38">
        <f>if(ISNA(vlookup($A515,Rotowire!$B$2:$E$1075,4, false)), 0, vlookup($A515,Rotowire!$B$2:$E$1075, 4, false))</f>
        <v>0</v>
      </c>
      <c r="K515" s="37">
        <f>if(ISNA(vlookup($A515, FantasyPro!$B$2:$E$341,4,false)),0,vlookup($A515,FantasyPro!$B$2:$E$341,4,false))</f>
        <v>0</v>
      </c>
      <c r="L515" s="37">
        <f>if(ISNA(vlookup($A515, FFToolbox!$B$2:$E$414, 4, false)), 0, vlookup($A515, FFToolbox!$B$2:$E$414, 4, false))</f>
        <v>1</v>
      </c>
      <c r="M515" s="39">
        <f t="shared" si="1"/>
        <v>0.5</v>
      </c>
      <c r="N515" s="39">
        <f t="shared" si="2"/>
        <v>1</v>
      </c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</row>
    <row r="516">
      <c r="A516" s="17" t="s">
        <v>592</v>
      </c>
      <c r="B516" s="35" t="s">
        <v>1259</v>
      </c>
      <c r="C516" s="35" t="s">
        <v>1260</v>
      </c>
      <c r="D516" s="36" t="s">
        <v>85</v>
      </c>
      <c r="E516" s="36" t="s">
        <v>13</v>
      </c>
      <c r="F516" s="36">
        <f>vlookup(D516,'Team Bye List'!$A$1:$B$33,2,False)</f>
        <v>9</v>
      </c>
      <c r="G516" s="37">
        <f>if(ISNA(vlookup($A516, Sleeper!$B$2:$E$330, 4, false)), 0, vlookup($A516, Sleeper!$B$2:$E$330, 4, false))</f>
        <v>0</v>
      </c>
      <c r="H516" s="37">
        <f>if(ISNA(vlookup($A516, ESPN!$B$2:$E$297, 4, false)), 0, vlookup($A516, ESPN!$B$2:$E$297, 4, false))</f>
        <v>0</v>
      </c>
      <c r="I516" s="37">
        <f>if(ISNA(vlookup($A516,'Ultimate Draft Kit'!$B$2:$E$324,4, false)), 0, vlookup($A516,'Ultimate Draft Kit'!$B$2:$E$324, 4, false))</f>
        <v>0</v>
      </c>
      <c r="J516" s="38">
        <f>if(ISNA(vlookup($A516,Rotowire!$B$2:$E$1075,4, false)), 0, vlookup($A516,Rotowire!$B$2:$E$1075, 4, false))</f>
        <v>0</v>
      </c>
      <c r="K516" s="37">
        <f>if(ISNA(vlookup($A516, FantasyPro!$B$2:$E$341,4,false)),0,vlookup($A516,FantasyPro!$B$2:$E$341,4,false))</f>
        <v>0</v>
      </c>
      <c r="L516" s="37">
        <f>if(ISNA(vlookup($A516, FFToolbox!$B$2:$E$414, 4, false)), 0, vlookup($A516, FFToolbox!$B$2:$E$414, 4, false))</f>
        <v>1</v>
      </c>
      <c r="M516" s="39">
        <f t="shared" si="1"/>
        <v>0.1666666667</v>
      </c>
      <c r="N516" s="39">
        <f t="shared" si="2"/>
        <v>1</v>
      </c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</row>
    <row r="517">
      <c r="A517" s="17" t="s">
        <v>211</v>
      </c>
      <c r="B517" s="35" t="s">
        <v>1259</v>
      </c>
      <c r="C517" s="35">
        <v>11.0</v>
      </c>
      <c r="D517" s="36" t="s">
        <v>39</v>
      </c>
      <c r="E517" s="36" t="s">
        <v>8</v>
      </c>
      <c r="F517" s="36">
        <f>vlookup(D517,'Team Bye List'!$A$1:$B$33,2,False)</f>
        <v>11</v>
      </c>
      <c r="G517" s="37">
        <f>if(ISNA(vlookup($A517, Sleeper!$B$2:$E$330, 4, false)), 0, vlookup($A517, Sleeper!$B$2:$E$330, 4, false))</f>
        <v>1</v>
      </c>
      <c r="H517" s="37">
        <f>if(ISNA(vlookup($A517, ESPN!$B$2:$E$297, 4, false)), 0, vlookup($A517, ESPN!$B$2:$E$297, 4, false))</f>
        <v>0</v>
      </c>
      <c r="I517" s="37">
        <f>if(ISNA(vlookup($A517,'Ultimate Draft Kit'!$B$2:$E$324,4, false)), 0, vlookup($A517,'Ultimate Draft Kit'!$B$2:$E$324, 4, false))</f>
        <v>1</v>
      </c>
      <c r="J517" s="38">
        <f>if(ISNA(vlookup($A517,Rotowire!$B$2:$E$1075,4, false)), 0, vlookup($A517,Rotowire!$B$2:$E$1075, 4, false))</f>
        <v>0</v>
      </c>
      <c r="K517" s="37">
        <f>if(ISNA(vlookup($A517, FantasyPro!$B$2:$E$341,4,false)),0,vlookup($A517,FantasyPro!$B$2:$E$341,4,false))</f>
        <v>1</v>
      </c>
      <c r="L517" s="37">
        <f>if(ISNA(vlookup($A517, FFToolbox!$B$2:$E$414, 4, false)), 0, vlookup($A517, FFToolbox!$B$2:$E$414, 4, false))</f>
        <v>1</v>
      </c>
      <c r="M517" s="39">
        <f t="shared" si="1"/>
        <v>0.6666666667</v>
      </c>
      <c r="N517" s="39">
        <f t="shared" si="2"/>
        <v>1</v>
      </c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</row>
    <row r="518">
      <c r="A518" s="17" t="s">
        <v>534</v>
      </c>
      <c r="B518" s="35" t="s">
        <v>1259</v>
      </c>
      <c r="C518" s="35">
        <v>10.0</v>
      </c>
      <c r="D518" s="36" t="s">
        <v>99</v>
      </c>
      <c r="E518" s="36" t="s">
        <v>13</v>
      </c>
      <c r="F518" s="36">
        <f>vlookup(D518,'Team Bye List'!$A$1:$B$33,2,False)</f>
        <v>11</v>
      </c>
      <c r="G518" s="37">
        <f>if(ISNA(vlookup($A518, Sleeper!$B$2:$E$330, 4, false)), 0, vlookup($A518, Sleeper!$B$2:$E$330, 4, false))</f>
        <v>1</v>
      </c>
      <c r="H518" s="37">
        <f>if(ISNA(vlookup($A518, ESPN!$B$2:$E$297, 4, false)), 0, vlookup($A518, ESPN!$B$2:$E$297, 4, false))</f>
        <v>0</v>
      </c>
      <c r="I518" s="37">
        <f>if(ISNA(vlookup($A518,'Ultimate Draft Kit'!$B$2:$E$324,4, false)), 0, vlookup($A518,'Ultimate Draft Kit'!$B$2:$E$324, 4, false))</f>
        <v>1</v>
      </c>
      <c r="J518" s="38">
        <f>if(ISNA(vlookup($A518,Rotowire!$B$2:$E$1075,4, false)), 0, vlookup($A518,Rotowire!$B$2:$E$1075, 4, false))</f>
        <v>0</v>
      </c>
      <c r="K518" s="37">
        <f>if(ISNA(vlookup($A518, FantasyPro!$B$2:$E$341,4,false)),0,vlookup($A518,FantasyPro!$B$2:$E$341,4,false))</f>
        <v>0</v>
      </c>
      <c r="L518" s="37">
        <f>if(ISNA(vlookup($A518, FFToolbox!$B$2:$E$414, 4, false)), 0, vlookup($A518, FFToolbox!$B$2:$E$414, 4, false))</f>
        <v>0</v>
      </c>
      <c r="M518" s="39">
        <f t="shared" si="1"/>
        <v>0.3333333333</v>
      </c>
      <c r="N518" s="39">
        <f t="shared" si="2"/>
        <v>1</v>
      </c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</row>
    <row r="519">
      <c r="A519" s="17" t="s">
        <v>555</v>
      </c>
      <c r="B519" s="35" t="s">
        <v>1259</v>
      </c>
      <c r="C519" s="35">
        <v>10.0</v>
      </c>
      <c r="D519" s="36" t="s">
        <v>119</v>
      </c>
      <c r="E519" s="36" t="s">
        <v>13</v>
      </c>
      <c r="F519" s="36">
        <f>vlookup(D519,'Team Bye List'!$A$1:$B$33,2,False)</f>
        <v>10</v>
      </c>
      <c r="G519" s="37">
        <f>if(ISNA(vlookup($A519, Sleeper!$B$2:$E$330, 4, false)), 0, vlookup($A519, Sleeper!$B$2:$E$330, 4, false))</f>
        <v>1</v>
      </c>
      <c r="H519" s="37">
        <f>if(ISNA(vlookup($A519, ESPN!$B$2:$E$297, 4, false)), 0, vlookup($A519, ESPN!$B$2:$E$297, 4, false))</f>
        <v>0</v>
      </c>
      <c r="I519" s="37">
        <f>if(ISNA(vlookup($A519,'Ultimate Draft Kit'!$B$2:$E$324,4, false)), 0, vlookup($A519,'Ultimate Draft Kit'!$B$2:$E$324, 4, false))</f>
        <v>1</v>
      </c>
      <c r="J519" s="38">
        <f>if(ISNA(vlookup($A519,Rotowire!$B$2:$E$1075,4, false)), 0, vlookup($A519,Rotowire!$B$2:$E$1075, 4, false))</f>
        <v>0</v>
      </c>
      <c r="K519" s="37">
        <f>if(ISNA(vlookup($A519, FantasyPro!$B$2:$E$341,4,false)),0,vlookup($A519,FantasyPro!$B$2:$E$341,4,false))</f>
        <v>0</v>
      </c>
      <c r="L519" s="37">
        <f>if(ISNA(vlookup($A519, FFToolbox!$B$2:$E$414, 4, false)), 0, vlookup($A519, FFToolbox!$B$2:$E$414, 4, false))</f>
        <v>1</v>
      </c>
      <c r="M519" s="39">
        <f t="shared" si="1"/>
        <v>0.5</v>
      </c>
      <c r="N519" s="39">
        <f t="shared" si="2"/>
        <v>1</v>
      </c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</row>
    <row r="520">
      <c r="A520" s="17" t="s">
        <v>601</v>
      </c>
      <c r="B520" s="35" t="s">
        <v>1259</v>
      </c>
      <c r="C520" s="35" t="s">
        <v>1260</v>
      </c>
      <c r="D520" s="36" t="s">
        <v>37</v>
      </c>
      <c r="E520" s="36" t="s">
        <v>13</v>
      </c>
      <c r="F520" s="36">
        <f>vlookup(D520,'Team Bye List'!$A$1:$B$33,2,False)</f>
        <v>11</v>
      </c>
      <c r="G520" s="37">
        <f>if(ISNA(vlookup($A520, Sleeper!$B$2:$E$330, 4, false)), 0, vlookup($A520, Sleeper!$B$2:$E$330, 4, false))</f>
        <v>0</v>
      </c>
      <c r="H520" s="37">
        <f>if(ISNA(vlookup($A520, ESPN!$B$2:$E$297, 4, false)), 0, vlookup($A520, ESPN!$B$2:$E$297, 4, false))</f>
        <v>0</v>
      </c>
      <c r="I520" s="37">
        <f>if(ISNA(vlookup($A520,'Ultimate Draft Kit'!$B$2:$E$324,4, false)), 0, vlookup($A520,'Ultimate Draft Kit'!$B$2:$E$324, 4, false))</f>
        <v>0</v>
      </c>
      <c r="J520" s="38">
        <f>if(ISNA(vlookup($A520,Rotowire!$B$2:$E$1075,4, false)), 0, vlookup($A520,Rotowire!$B$2:$E$1075, 4, false))</f>
        <v>0</v>
      </c>
      <c r="K520" s="37">
        <f>if(ISNA(vlookup($A520, FantasyPro!$B$2:$E$341,4,false)),0,vlookup($A520,FantasyPro!$B$2:$E$341,4,false))</f>
        <v>0</v>
      </c>
      <c r="L520" s="37">
        <f>if(ISNA(vlookup($A520, FFToolbox!$B$2:$E$414, 4, false)), 0, vlookup($A520, FFToolbox!$B$2:$E$414, 4, false))</f>
        <v>1</v>
      </c>
      <c r="M520" s="39">
        <f t="shared" si="1"/>
        <v>0.1666666667</v>
      </c>
      <c r="N520" s="39">
        <f t="shared" si="2"/>
        <v>1</v>
      </c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</row>
    <row r="521">
      <c r="A521" s="17" t="s">
        <v>582</v>
      </c>
      <c r="B521" s="35" t="s">
        <v>1259</v>
      </c>
      <c r="C521" s="35" t="s">
        <v>1260</v>
      </c>
      <c r="D521" s="36" t="s">
        <v>64</v>
      </c>
      <c r="E521" s="36" t="s">
        <v>13</v>
      </c>
      <c r="F521" s="36">
        <f>vlookup(D521,'Team Bye List'!$A$1:$B$33,2,False)</f>
        <v>7</v>
      </c>
      <c r="G521" s="37">
        <f>if(ISNA(vlookup($A521, Sleeper!$B$2:$E$330, 4, false)), 0, vlookup($A521, Sleeper!$B$2:$E$330, 4, false))</f>
        <v>0</v>
      </c>
      <c r="H521" s="37">
        <f>if(ISNA(vlookup($A521, ESPN!$B$2:$E$297, 4, false)), 0, vlookup($A521, ESPN!$B$2:$E$297, 4, false))</f>
        <v>0</v>
      </c>
      <c r="I521" s="37">
        <f>if(ISNA(vlookup($A521,'Ultimate Draft Kit'!$B$2:$E$324,4, false)), 0, vlookup($A521,'Ultimate Draft Kit'!$B$2:$E$324, 4, false))</f>
        <v>0</v>
      </c>
      <c r="J521" s="38">
        <f>if(ISNA(vlookup($A521,Rotowire!$B$2:$E$1075,4, false)), 0, vlookup($A521,Rotowire!$B$2:$E$1075, 4, false))</f>
        <v>0</v>
      </c>
      <c r="K521" s="37">
        <f>if(ISNA(vlookup($A521, FantasyPro!$B$2:$E$341,4,false)),0,vlookup($A521,FantasyPro!$B$2:$E$341,4,false))</f>
        <v>0</v>
      </c>
      <c r="L521" s="37">
        <f>if(ISNA(vlookup($A521, FFToolbox!$B$2:$E$414, 4, false)), 0, vlookup($A521, FFToolbox!$B$2:$E$414, 4, false))</f>
        <v>1</v>
      </c>
      <c r="M521" s="39">
        <f t="shared" si="1"/>
        <v>0.1666666667</v>
      </c>
      <c r="N521" s="39">
        <f t="shared" si="2"/>
        <v>1</v>
      </c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</row>
    <row r="522">
      <c r="A522" s="17" t="s">
        <v>581</v>
      </c>
      <c r="B522" s="35" t="s">
        <v>1259</v>
      </c>
      <c r="C522" s="35" t="s">
        <v>1260</v>
      </c>
      <c r="D522" s="36" t="s">
        <v>7</v>
      </c>
      <c r="E522" s="36" t="s">
        <v>13</v>
      </c>
      <c r="F522" s="36">
        <f>vlookup(D522,'Team Bye List'!$A$1:$B$33,2,False)</f>
        <v>14</v>
      </c>
      <c r="G522" s="37">
        <f>if(ISNA(vlookup($A522, Sleeper!$B$2:$E$330, 4, false)), 0, vlookup($A522, Sleeper!$B$2:$E$330, 4, false))</f>
        <v>0</v>
      </c>
      <c r="H522" s="37">
        <f>if(ISNA(vlookup($A522, ESPN!$B$2:$E$297, 4, false)), 0, vlookup($A522, ESPN!$B$2:$E$297, 4, false))</f>
        <v>0</v>
      </c>
      <c r="I522" s="37">
        <f>if(ISNA(vlookup($A522,'Ultimate Draft Kit'!$B$2:$E$324,4, false)), 0, vlookup($A522,'Ultimate Draft Kit'!$B$2:$E$324, 4, false))</f>
        <v>0</v>
      </c>
      <c r="J522" s="38">
        <f>if(ISNA(vlookup($A522,Rotowire!$B$2:$E$1075,4, false)), 0, vlookup($A522,Rotowire!$B$2:$E$1075, 4, false))</f>
        <v>0</v>
      </c>
      <c r="K522" s="37">
        <f>if(ISNA(vlookup($A522, FantasyPro!$B$2:$E$341,4,false)),0,vlookup($A522,FantasyPro!$B$2:$E$341,4,false))</f>
        <v>0</v>
      </c>
      <c r="L522" s="37">
        <f>if(ISNA(vlookup($A522, FFToolbox!$B$2:$E$414, 4, false)), 0, vlookup($A522, FFToolbox!$B$2:$E$414, 4, false))</f>
        <v>1</v>
      </c>
      <c r="M522" s="39">
        <f t="shared" si="1"/>
        <v>0.1666666667</v>
      </c>
      <c r="N522" s="39">
        <f t="shared" si="2"/>
        <v>1</v>
      </c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</row>
    <row r="523">
      <c r="A523" s="17" t="s">
        <v>569</v>
      </c>
      <c r="B523" s="35" t="s">
        <v>1259</v>
      </c>
      <c r="C523" s="35" t="s">
        <v>1260</v>
      </c>
      <c r="D523" s="36" t="s">
        <v>32</v>
      </c>
      <c r="E523" s="36" t="s">
        <v>13</v>
      </c>
      <c r="F523" s="36">
        <f>vlookup(D523,'Team Bye List'!$A$1:$B$33,2,False)</f>
        <v>9</v>
      </c>
      <c r="G523" s="37">
        <f>if(ISNA(vlookup($A523, Sleeper!$B$2:$E$330, 4, false)), 0, vlookup($A523, Sleeper!$B$2:$E$330, 4, false))</f>
        <v>0</v>
      </c>
      <c r="H523" s="37">
        <f>if(ISNA(vlookup($A523, ESPN!$B$2:$E$297, 4, false)), 0, vlookup($A523, ESPN!$B$2:$E$297, 4, false))</f>
        <v>0</v>
      </c>
      <c r="I523" s="37">
        <f>if(ISNA(vlookup($A523,'Ultimate Draft Kit'!$B$2:$E$324,4, false)), 0, vlookup($A523,'Ultimate Draft Kit'!$B$2:$E$324, 4, false))</f>
        <v>0</v>
      </c>
      <c r="J523" s="38">
        <f>if(ISNA(vlookup($A523,Rotowire!$B$2:$E$1075,4, false)), 0, vlookup($A523,Rotowire!$B$2:$E$1075, 4, false))</f>
        <v>0</v>
      </c>
      <c r="K523" s="37">
        <f>if(ISNA(vlookup($A523, FantasyPro!$B$2:$E$341,4,false)),0,vlookup($A523,FantasyPro!$B$2:$E$341,4,false))</f>
        <v>0</v>
      </c>
      <c r="L523" s="37">
        <f>if(ISNA(vlookup($A523, FFToolbox!$B$2:$E$414, 4, false)), 0, vlookup($A523, FFToolbox!$B$2:$E$414, 4, false))</f>
        <v>1</v>
      </c>
      <c r="M523" s="39">
        <f t="shared" si="1"/>
        <v>0.1666666667</v>
      </c>
      <c r="N523" s="39">
        <f t="shared" si="2"/>
        <v>1</v>
      </c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</row>
    <row r="524">
      <c r="A524" s="17" t="s">
        <v>841</v>
      </c>
      <c r="B524" s="35" t="s">
        <v>1259</v>
      </c>
      <c r="C524" s="35" t="s">
        <v>1260</v>
      </c>
      <c r="D524" s="36" t="s">
        <v>25</v>
      </c>
      <c r="E524" s="36" t="s">
        <v>13</v>
      </c>
      <c r="F524" s="36">
        <f>vlookup(D524,'Team Bye List'!$A$1:$B$33,2,False)</f>
        <v>7</v>
      </c>
      <c r="G524" s="37">
        <f>if(ISNA(vlookup($A524, Sleeper!$B$2:$E$330, 4, false)), 0, vlookup($A524, Sleeper!$B$2:$E$330, 4, false))</f>
        <v>0</v>
      </c>
      <c r="H524" s="37">
        <f>if(ISNA(vlookup($A524, ESPN!$B$2:$E$297, 4, false)), 0, vlookup($A524, ESPN!$B$2:$E$297, 4, false))</f>
        <v>0</v>
      </c>
      <c r="I524" s="37">
        <f>if(ISNA(vlookup($A524,'Ultimate Draft Kit'!$B$2:$E$324,4, false)), 0, vlookup($A524,'Ultimate Draft Kit'!$B$2:$E$324, 4, false))</f>
        <v>0</v>
      </c>
      <c r="J524" s="38">
        <f>if(ISNA(vlookup($A524,Rotowire!$B$2:$E$1075,4, false)), 0, vlookup($A524,Rotowire!$B$2:$E$1075, 4, false))</f>
        <v>0</v>
      </c>
      <c r="K524" s="37">
        <f>if(ISNA(vlookup($A524, FantasyPro!$B$2:$E$341,4,false)),0,vlookup($A524,FantasyPro!$B$2:$E$341,4,false))</f>
        <v>0</v>
      </c>
      <c r="L524" s="37">
        <f>if(ISNA(vlookup($A524, FFToolbox!$B$2:$E$414, 4, false)), 0, vlookup($A524, FFToolbox!$B$2:$E$414, 4, false))</f>
        <v>1</v>
      </c>
      <c r="M524" s="39">
        <f t="shared" si="1"/>
        <v>0.1666666667</v>
      </c>
      <c r="N524" s="39">
        <f t="shared" si="2"/>
        <v>1</v>
      </c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</row>
    <row r="525">
      <c r="A525" s="17" t="s">
        <v>219</v>
      </c>
      <c r="B525" s="35" t="s">
        <v>1259</v>
      </c>
      <c r="C525" s="35" t="s">
        <v>1260</v>
      </c>
      <c r="D525" s="36" t="s">
        <v>119</v>
      </c>
      <c r="E525" s="36" t="s">
        <v>8</v>
      </c>
      <c r="F525" s="36">
        <f>vlookup(D525,'Team Bye List'!$A$1:$B$33,2,False)</f>
        <v>10</v>
      </c>
      <c r="G525" s="37">
        <f>if(ISNA(vlookup($A525, Sleeper!$B$2:$E$330, 4, false)), 0, vlookup($A525, Sleeper!$B$2:$E$330, 4, false))</f>
        <v>0</v>
      </c>
      <c r="H525" s="37">
        <f>if(ISNA(vlookup($A525, ESPN!$B$2:$E$297, 4, false)), 0, vlookup($A525, ESPN!$B$2:$E$297, 4, false))</f>
        <v>0</v>
      </c>
      <c r="I525" s="37">
        <f>if(ISNA(vlookup($A525,'Ultimate Draft Kit'!$B$2:$E$324,4, false)), 0, vlookup($A525,'Ultimate Draft Kit'!$B$2:$E$324, 4, false))</f>
        <v>0</v>
      </c>
      <c r="J525" s="38">
        <f>if(ISNA(vlookup($A525,Rotowire!$B$2:$E$1075,4, false)), 0, vlookup($A525,Rotowire!$B$2:$E$1075, 4, false))</f>
        <v>0</v>
      </c>
      <c r="K525" s="37">
        <f>if(ISNA(vlookup($A525, FantasyPro!$B$2:$E$341,4,false)),0,vlookup($A525,FantasyPro!$B$2:$E$341,4,false))</f>
        <v>0</v>
      </c>
      <c r="L525" s="37">
        <f>if(ISNA(vlookup($A525, FFToolbox!$B$2:$E$414, 4, false)), 0, vlookup($A525, FFToolbox!$B$2:$E$414, 4, false))</f>
        <v>0</v>
      </c>
      <c r="M525" s="39">
        <f t="shared" si="1"/>
        <v>0</v>
      </c>
      <c r="N525" s="39">
        <f t="shared" si="2"/>
        <v>0</v>
      </c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</row>
    <row r="526">
      <c r="A526" s="17" t="s">
        <v>551</v>
      </c>
      <c r="B526" s="35" t="s">
        <v>1259</v>
      </c>
      <c r="C526" s="35">
        <v>10.0</v>
      </c>
      <c r="D526" s="36" t="s">
        <v>64</v>
      </c>
      <c r="E526" s="36" t="s">
        <v>13</v>
      </c>
      <c r="F526" s="36">
        <f>vlookup(D526,'Team Bye List'!$A$1:$B$33,2,False)</f>
        <v>7</v>
      </c>
      <c r="G526" s="37">
        <f>if(ISNA(vlookup($A526, Sleeper!$B$2:$E$330, 4, false)), 0, vlookup($A526, Sleeper!$B$2:$E$330, 4, false))</f>
        <v>1</v>
      </c>
      <c r="H526" s="37">
        <f>if(ISNA(vlookup($A526, ESPN!$B$2:$E$297, 4, false)), 0, vlookup($A526, ESPN!$B$2:$E$297, 4, false))</f>
        <v>0</v>
      </c>
      <c r="I526" s="37">
        <f>if(ISNA(vlookup($A526,'Ultimate Draft Kit'!$B$2:$E$324,4, false)), 0, vlookup($A526,'Ultimate Draft Kit'!$B$2:$E$324, 4, false))</f>
        <v>1</v>
      </c>
      <c r="J526" s="38">
        <f>if(ISNA(vlookup($A526,Rotowire!$B$2:$E$1075,4, false)), 0, vlookup($A526,Rotowire!$B$2:$E$1075, 4, false))</f>
        <v>0</v>
      </c>
      <c r="K526" s="37">
        <f>if(ISNA(vlookup($A526, FantasyPro!$B$2:$E$341,4,false)),0,vlookup($A526,FantasyPro!$B$2:$E$341,4,false))</f>
        <v>0</v>
      </c>
      <c r="L526" s="37">
        <f>if(ISNA(vlookup($A526, FFToolbox!$B$2:$E$414, 4, false)), 0, vlookup($A526, FFToolbox!$B$2:$E$414, 4, false))</f>
        <v>1</v>
      </c>
      <c r="M526" s="39">
        <f t="shared" si="1"/>
        <v>0.5</v>
      </c>
      <c r="N526" s="39">
        <f t="shared" si="2"/>
        <v>1</v>
      </c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</row>
    <row r="527">
      <c r="A527" s="17" t="s">
        <v>274</v>
      </c>
      <c r="B527" s="35" t="s">
        <v>1258</v>
      </c>
      <c r="C527" s="35">
        <v>9.0</v>
      </c>
      <c r="D527" s="36" t="s">
        <v>66</v>
      </c>
      <c r="E527" s="36" t="s">
        <v>77</v>
      </c>
      <c r="F527" s="36">
        <f>vlookup(D527,'Team Bye List'!$A$1:$B$33,2,False)</f>
        <v>9</v>
      </c>
      <c r="G527" s="37">
        <f>if(ISNA(vlookup($A527, Sleeper!$B$2:$E$330, 4, false)), 0, vlookup($A527, Sleeper!$B$2:$E$330, 4, false))</f>
        <v>1</v>
      </c>
      <c r="H527" s="37">
        <f>if(ISNA(vlookup($A527, ESPN!$B$2:$E$297, 4, false)), 0, vlookup($A527, ESPN!$B$2:$E$297, 4, false))</f>
        <v>0</v>
      </c>
      <c r="I527" s="37">
        <f>if(ISNA(vlookup($A527,'Ultimate Draft Kit'!$B$2:$E$324,4, false)), 0, vlookup($A527,'Ultimate Draft Kit'!$B$2:$E$324, 4, false))</f>
        <v>1</v>
      </c>
      <c r="J527" s="38">
        <f>if(ISNA(vlookup($A527,Rotowire!$B$2:$E$1075,4, false)), 0, vlookup($A527,Rotowire!$B$2:$E$1075, 4, false))</f>
        <v>0</v>
      </c>
      <c r="K527" s="37">
        <f>if(ISNA(vlookup($A527, FantasyPro!$B$2:$E$341,4,false)),0,vlookup($A527,FantasyPro!$B$2:$E$341,4,false))</f>
        <v>0</v>
      </c>
      <c r="L527" s="37">
        <f>if(ISNA(vlookup($A527, FFToolbox!$B$2:$E$414, 4, false)), 0, vlookup($A527, FFToolbox!$B$2:$E$414, 4, false))</f>
        <v>1</v>
      </c>
      <c r="M527" s="39">
        <f t="shared" si="1"/>
        <v>0.5</v>
      </c>
      <c r="N527" s="39">
        <f t="shared" si="2"/>
        <v>1</v>
      </c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</row>
    <row r="528">
      <c r="A528" s="17" t="s">
        <v>542</v>
      </c>
      <c r="B528" s="35" t="s">
        <v>1259</v>
      </c>
      <c r="C528" s="35" t="s">
        <v>1260</v>
      </c>
      <c r="D528" s="36" t="s">
        <v>41</v>
      </c>
      <c r="E528" s="36" t="s">
        <v>13</v>
      </c>
      <c r="F528" s="36">
        <f>vlookup(D528,'Team Bye List'!$A$1:$B$33,2,False)</f>
        <v>14</v>
      </c>
      <c r="G528" s="37">
        <f>if(ISNA(vlookup($A528, Sleeper!$B$2:$E$330, 4, false)), 0, vlookup($A528, Sleeper!$B$2:$E$330, 4, false))</f>
        <v>0</v>
      </c>
      <c r="H528" s="37">
        <f>if(ISNA(vlookup($A528, ESPN!$B$2:$E$297, 4, false)), 0, vlookup($A528, ESPN!$B$2:$E$297, 4, false))</f>
        <v>0</v>
      </c>
      <c r="I528" s="37">
        <f>if(ISNA(vlookup($A528,'Ultimate Draft Kit'!$B$2:$E$324,4, false)), 0, vlookup($A528,'Ultimate Draft Kit'!$B$2:$E$324, 4, false))</f>
        <v>0</v>
      </c>
      <c r="J528" s="38">
        <f>if(ISNA(vlookup($A528,Rotowire!$B$2:$E$1075,4, false)), 0, vlookup($A528,Rotowire!$B$2:$E$1075, 4, false))</f>
        <v>0</v>
      </c>
      <c r="K528" s="37">
        <f>if(ISNA(vlookup($A528, FantasyPro!$B$2:$E$341,4,false)),0,vlookup($A528,FantasyPro!$B$2:$E$341,4,false))</f>
        <v>0</v>
      </c>
      <c r="L528" s="37">
        <f>if(ISNA(vlookup($A528, FFToolbox!$B$2:$E$414, 4, false)), 0, vlookup($A528, FFToolbox!$B$2:$E$414, 4, false))</f>
        <v>1</v>
      </c>
      <c r="M528" s="39">
        <f t="shared" si="1"/>
        <v>0.1666666667</v>
      </c>
      <c r="N528" s="39">
        <f t="shared" si="2"/>
        <v>1</v>
      </c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</row>
    <row r="529">
      <c r="A529" s="17" t="s">
        <v>210</v>
      </c>
      <c r="B529" s="35" t="s">
        <v>1259</v>
      </c>
      <c r="C529" s="35">
        <v>11.0</v>
      </c>
      <c r="D529" s="36" t="s">
        <v>89</v>
      </c>
      <c r="E529" s="36" t="s">
        <v>8</v>
      </c>
      <c r="F529" s="36">
        <f>vlookup(D529,'Team Bye List'!$A$1:$B$33,2,False)</f>
        <v>14</v>
      </c>
      <c r="G529" s="37">
        <f>if(ISNA(vlookup($A529, Sleeper!$B$2:$E$330, 4, false)), 0, vlookup($A529, Sleeper!$B$2:$E$330, 4, false))</f>
        <v>1</v>
      </c>
      <c r="H529" s="37">
        <f>if(ISNA(vlookup($A529, ESPN!$B$2:$E$297, 4, false)), 0, vlookup($A529, ESPN!$B$2:$E$297, 4, false))</f>
        <v>0</v>
      </c>
      <c r="I529" s="37">
        <f>if(ISNA(vlookup($A529,'Ultimate Draft Kit'!$B$2:$E$324,4, false)), 0, vlookup($A529,'Ultimate Draft Kit'!$B$2:$E$324, 4, false))</f>
        <v>1</v>
      </c>
      <c r="J529" s="38">
        <f>if(ISNA(vlookup($A529,Rotowire!$B$2:$E$1075,4, false)), 0, vlookup($A529,Rotowire!$B$2:$E$1075, 4, false))</f>
        <v>0</v>
      </c>
      <c r="K529" s="37">
        <f>if(ISNA(vlookup($A529, FantasyPro!$B$2:$E$341,4,false)),0,vlookup($A529,FantasyPro!$B$2:$E$341,4,false))</f>
        <v>1</v>
      </c>
      <c r="L529" s="37">
        <f>if(ISNA(vlookup($A529, FFToolbox!$B$2:$E$414, 4, false)), 0, vlookup($A529, FFToolbox!$B$2:$E$414, 4, false))</f>
        <v>1</v>
      </c>
      <c r="M529" s="39">
        <f t="shared" si="1"/>
        <v>0.6666666667</v>
      </c>
      <c r="N529" s="39">
        <f t="shared" si="2"/>
        <v>1</v>
      </c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</row>
    <row r="530">
      <c r="A530" s="17" t="s">
        <v>600</v>
      </c>
      <c r="B530" s="35" t="s">
        <v>1259</v>
      </c>
      <c r="C530" s="35" t="s">
        <v>1260</v>
      </c>
      <c r="D530" s="36" t="s">
        <v>81</v>
      </c>
      <c r="E530" s="36" t="s">
        <v>13</v>
      </c>
      <c r="F530" s="36">
        <f>vlookup(D530,'Team Bye List'!$A$1:$B$33,2,False)</f>
        <v>6</v>
      </c>
      <c r="G530" s="37">
        <f>if(ISNA(vlookup($A530, Sleeper!$B$2:$E$330, 4, false)), 0, vlookup($A530, Sleeper!$B$2:$E$330, 4, false))</f>
        <v>0</v>
      </c>
      <c r="H530" s="37">
        <f>if(ISNA(vlookup($A530, ESPN!$B$2:$E$297, 4, false)), 0, vlookup($A530, ESPN!$B$2:$E$297, 4, false))</f>
        <v>0</v>
      </c>
      <c r="I530" s="37">
        <f>if(ISNA(vlookup($A530,'Ultimate Draft Kit'!$B$2:$E$324,4, false)), 0, vlookup($A530,'Ultimate Draft Kit'!$B$2:$E$324, 4, false))</f>
        <v>0</v>
      </c>
      <c r="J530" s="38">
        <f>if(ISNA(vlookup($A530,Rotowire!$B$2:$E$1075,4, false)), 0, vlookup($A530,Rotowire!$B$2:$E$1075, 4, false))</f>
        <v>0</v>
      </c>
      <c r="K530" s="37">
        <f>if(ISNA(vlookup($A530, FantasyPro!$B$2:$E$341,4,false)),0,vlookup($A530,FantasyPro!$B$2:$E$341,4,false))</f>
        <v>0</v>
      </c>
      <c r="L530" s="37">
        <f>if(ISNA(vlookup($A530, FFToolbox!$B$2:$E$414, 4, false)), 0, vlookup($A530, FFToolbox!$B$2:$E$414, 4, false))</f>
        <v>0</v>
      </c>
      <c r="M530" s="39">
        <f t="shared" si="1"/>
        <v>0</v>
      </c>
      <c r="N530" s="39">
        <f t="shared" si="2"/>
        <v>0</v>
      </c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</row>
    <row r="531">
      <c r="A531" s="17" t="s">
        <v>572</v>
      </c>
      <c r="B531" s="35" t="s">
        <v>1259</v>
      </c>
      <c r="C531" s="35" t="s">
        <v>1260</v>
      </c>
      <c r="D531" s="36" t="s">
        <v>99</v>
      </c>
      <c r="E531" s="36" t="s">
        <v>13</v>
      </c>
      <c r="F531" s="36">
        <f>vlookup(D531,'Team Bye List'!$A$1:$B$33,2,False)</f>
        <v>11</v>
      </c>
      <c r="G531" s="37">
        <f>if(ISNA(vlookup($A531, Sleeper!$B$2:$E$330, 4, false)), 0, vlookup($A531, Sleeper!$B$2:$E$330, 4, false))</f>
        <v>0</v>
      </c>
      <c r="H531" s="37">
        <f>if(ISNA(vlookup($A531, ESPN!$B$2:$E$297, 4, false)), 0, vlookup($A531, ESPN!$B$2:$E$297, 4, false))</f>
        <v>0</v>
      </c>
      <c r="I531" s="37">
        <f>if(ISNA(vlookup($A531,'Ultimate Draft Kit'!$B$2:$E$324,4, false)), 0, vlookup($A531,'Ultimate Draft Kit'!$B$2:$E$324, 4, false))</f>
        <v>0</v>
      </c>
      <c r="J531" s="38">
        <f>if(ISNA(vlookup($A531,Rotowire!$B$2:$E$1075,4, false)), 0, vlookup($A531,Rotowire!$B$2:$E$1075, 4, false))</f>
        <v>0</v>
      </c>
      <c r="K531" s="37">
        <f>if(ISNA(vlookup($A531, FantasyPro!$B$2:$E$341,4,false)),0,vlookup($A531,FantasyPro!$B$2:$E$341,4,false))</f>
        <v>0</v>
      </c>
      <c r="L531" s="37">
        <f>if(ISNA(vlookup($A531, FFToolbox!$B$2:$E$414, 4, false)), 0, vlookup($A531, FFToolbox!$B$2:$E$414, 4, false))</f>
        <v>0</v>
      </c>
      <c r="M531" s="39">
        <f t="shared" si="1"/>
        <v>0</v>
      </c>
      <c r="N531" s="39">
        <f t="shared" si="2"/>
        <v>0</v>
      </c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</row>
    <row r="532">
      <c r="A532" s="17" t="s">
        <v>633</v>
      </c>
      <c r="B532" s="35" t="s">
        <v>1259</v>
      </c>
      <c r="C532" s="35" t="s">
        <v>1260</v>
      </c>
      <c r="D532" s="36" t="s">
        <v>10</v>
      </c>
      <c r="E532" s="36" t="s">
        <v>13</v>
      </c>
      <c r="F532" s="36">
        <f>vlookup(D532,'Team Bye List'!$A$1:$B$33,2,False)</f>
        <v>13</v>
      </c>
      <c r="G532" s="37">
        <f>if(ISNA(vlookup($A532, Sleeper!$B$2:$E$330, 4, false)), 0, vlookup($A532, Sleeper!$B$2:$E$330, 4, false))</f>
        <v>0</v>
      </c>
      <c r="H532" s="37">
        <f>if(ISNA(vlookup($A532, ESPN!$B$2:$E$297, 4, false)), 0, vlookup($A532, ESPN!$B$2:$E$297, 4, false))</f>
        <v>0</v>
      </c>
      <c r="I532" s="37">
        <f>if(ISNA(vlookup($A532,'Ultimate Draft Kit'!$B$2:$E$324,4, false)), 0, vlookup($A532,'Ultimate Draft Kit'!$B$2:$E$324, 4, false))</f>
        <v>0</v>
      </c>
      <c r="J532" s="38">
        <f>if(ISNA(vlookup($A532,Rotowire!$B$2:$E$1075,4, false)), 0, vlookup($A532,Rotowire!$B$2:$E$1075, 4, false))</f>
        <v>0</v>
      </c>
      <c r="K532" s="37">
        <f>if(ISNA(vlookup($A532, FantasyPro!$B$2:$E$341,4,false)),0,vlookup($A532,FantasyPro!$B$2:$E$341,4,false))</f>
        <v>0</v>
      </c>
      <c r="L532" s="37">
        <f>if(ISNA(vlookup($A532, FFToolbox!$B$2:$E$414, 4, false)), 0, vlookup($A532, FFToolbox!$B$2:$E$414, 4, false))</f>
        <v>1</v>
      </c>
      <c r="M532" s="39">
        <f t="shared" si="1"/>
        <v>0.1666666667</v>
      </c>
      <c r="N532" s="39">
        <f t="shared" si="2"/>
        <v>1</v>
      </c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</row>
    <row r="533">
      <c r="A533" s="17" t="s">
        <v>634</v>
      </c>
      <c r="B533" s="35" t="s">
        <v>1259</v>
      </c>
      <c r="C533" s="35" t="s">
        <v>1260</v>
      </c>
      <c r="D533" s="36" t="s">
        <v>55</v>
      </c>
      <c r="E533" s="36" t="s">
        <v>13</v>
      </c>
      <c r="F533" s="36">
        <f>vlookup(D533,'Team Bye List'!$A$1:$B$33,2,False)</f>
        <v>14</v>
      </c>
      <c r="G533" s="37">
        <f>if(ISNA(vlookup($A533, Sleeper!$B$2:$E$330, 4, false)), 0, vlookup($A533, Sleeper!$B$2:$E$330, 4, false))</f>
        <v>0</v>
      </c>
      <c r="H533" s="37">
        <f>if(ISNA(vlookup($A533, ESPN!$B$2:$E$297, 4, false)), 0, vlookup($A533, ESPN!$B$2:$E$297, 4, false))</f>
        <v>0</v>
      </c>
      <c r="I533" s="37">
        <f>if(ISNA(vlookup($A533,'Ultimate Draft Kit'!$B$2:$E$324,4, false)), 0, vlookup($A533,'Ultimate Draft Kit'!$B$2:$E$324, 4, false))</f>
        <v>0</v>
      </c>
      <c r="J533" s="38">
        <f>if(ISNA(vlookup($A533,Rotowire!$B$2:$E$1075,4, false)), 0, vlookup($A533,Rotowire!$B$2:$E$1075, 4, false))</f>
        <v>0</v>
      </c>
      <c r="K533" s="37">
        <f>if(ISNA(vlookup($A533, FantasyPro!$B$2:$E$341,4,false)),0,vlookup($A533,FantasyPro!$B$2:$E$341,4,false))</f>
        <v>0</v>
      </c>
      <c r="L533" s="37">
        <f>if(ISNA(vlookup($A533, FFToolbox!$B$2:$E$414, 4, false)), 0, vlookup($A533, FFToolbox!$B$2:$E$414, 4, false))</f>
        <v>0</v>
      </c>
      <c r="M533" s="39">
        <f t="shared" si="1"/>
        <v>0</v>
      </c>
      <c r="N533" s="39">
        <f t="shared" si="2"/>
        <v>0</v>
      </c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</row>
    <row r="534">
      <c r="A534" s="17" t="s">
        <v>608</v>
      </c>
      <c r="B534" s="35" t="s">
        <v>1259</v>
      </c>
      <c r="C534" s="35" t="s">
        <v>1260</v>
      </c>
      <c r="D534" s="36" t="s">
        <v>39</v>
      </c>
      <c r="E534" s="36" t="s">
        <v>13</v>
      </c>
      <c r="F534" s="36">
        <f>vlookup(D534,'Team Bye List'!$A$1:$B$33,2,False)</f>
        <v>11</v>
      </c>
      <c r="G534" s="37">
        <f>if(ISNA(vlookup($A534, Sleeper!$B$2:$E$330, 4, false)), 0, vlookup($A534, Sleeper!$B$2:$E$330, 4, false))</f>
        <v>0</v>
      </c>
      <c r="H534" s="37">
        <f>if(ISNA(vlookup($A534, ESPN!$B$2:$E$297, 4, false)), 0, vlookup($A534, ESPN!$B$2:$E$297, 4, false))</f>
        <v>0</v>
      </c>
      <c r="I534" s="37">
        <f>if(ISNA(vlookup($A534,'Ultimate Draft Kit'!$B$2:$E$324,4, false)), 0, vlookup($A534,'Ultimate Draft Kit'!$B$2:$E$324, 4, false))</f>
        <v>0</v>
      </c>
      <c r="J534" s="38">
        <f>if(ISNA(vlookup($A534,Rotowire!$B$2:$E$1075,4, false)), 0, vlookup($A534,Rotowire!$B$2:$E$1075, 4, false))</f>
        <v>0</v>
      </c>
      <c r="K534" s="37">
        <f>if(ISNA(vlookup($A534, FantasyPro!$B$2:$E$341,4,false)),0,vlookup($A534,FantasyPro!$B$2:$E$341,4,false))</f>
        <v>0</v>
      </c>
      <c r="L534" s="37">
        <f>if(ISNA(vlookup($A534, FFToolbox!$B$2:$E$414, 4, false)), 0, vlookup($A534, FFToolbox!$B$2:$E$414, 4, false))</f>
        <v>0</v>
      </c>
      <c r="M534" s="39">
        <f t="shared" si="1"/>
        <v>0</v>
      </c>
      <c r="N534" s="39">
        <f t="shared" si="2"/>
        <v>0</v>
      </c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</row>
    <row r="535">
      <c r="A535" s="17" t="s">
        <v>567</v>
      </c>
      <c r="B535" s="35" t="s">
        <v>1259</v>
      </c>
      <c r="C535" s="35" t="s">
        <v>1260</v>
      </c>
      <c r="D535" s="36" t="s">
        <v>28</v>
      </c>
      <c r="E535" s="36" t="s">
        <v>13</v>
      </c>
      <c r="F535" s="36">
        <f>vlookup(D535,'Team Bye List'!$A$1:$B$33,2,False)</f>
        <v>11</v>
      </c>
      <c r="G535" s="37">
        <f>if(ISNA(vlookup($A535, Sleeper!$B$2:$E$330, 4, false)), 0, vlookup($A535, Sleeper!$B$2:$E$330, 4, false))</f>
        <v>0</v>
      </c>
      <c r="H535" s="37">
        <f>if(ISNA(vlookup($A535, ESPN!$B$2:$E$297, 4, false)), 0, vlookup($A535, ESPN!$B$2:$E$297, 4, false))</f>
        <v>0</v>
      </c>
      <c r="I535" s="37">
        <f>if(ISNA(vlookup($A535,'Ultimate Draft Kit'!$B$2:$E$324,4, false)), 0, vlookup($A535,'Ultimate Draft Kit'!$B$2:$E$324, 4, false))</f>
        <v>0</v>
      </c>
      <c r="J535" s="38">
        <f>if(ISNA(vlookup($A535,Rotowire!$B$2:$E$1075,4, false)), 0, vlookup($A535,Rotowire!$B$2:$E$1075, 4, false))</f>
        <v>0</v>
      </c>
      <c r="K535" s="37">
        <f>if(ISNA(vlookup($A535, FantasyPro!$B$2:$E$341,4,false)),0,vlookup($A535,FantasyPro!$B$2:$E$341,4,false))</f>
        <v>0</v>
      </c>
      <c r="L535" s="37">
        <f>if(ISNA(vlookup($A535, FFToolbox!$B$2:$E$414, 4, false)), 0, vlookup($A535, FFToolbox!$B$2:$E$414, 4, false))</f>
        <v>1</v>
      </c>
      <c r="M535" s="39">
        <f t="shared" si="1"/>
        <v>0.1666666667</v>
      </c>
      <c r="N535" s="39">
        <f t="shared" si="2"/>
        <v>1</v>
      </c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</row>
    <row r="536">
      <c r="A536" s="17" t="s">
        <v>628</v>
      </c>
      <c r="B536" s="35" t="s">
        <v>1259</v>
      </c>
      <c r="C536" s="35" t="s">
        <v>1260</v>
      </c>
      <c r="D536" s="36" t="s">
        <v>39</v>
      </c>
      <c r="E536" s="36" t="s">
        <v>13</v>
      </c>
      <c r="F536" s="36">
        <f>vlookup(D536,'Team Bye List'!$A$1:$B$33,2,False)</f>
        <v>11</v>
      </c>
      <c r="G536" s="37">
        <f>if(ISNA(vlookup($A536, Sleeper!$B$2:$E$330, 4, false)), 0, vlookup($A536, Sleeper!$B$2:$E$330, 4, false))</f>
        <v>0</v>
      </c>
      <c r="H536" s="37">
        <f>if(ISNA(vlookup($A536, ESPN!$B$2:$E$297, 4, false)), 0, vlookup($A536, ESPN!$B$2:$E$297, 4, false))</f>
        <v>0</v>
      </c>
      <c r="I536" s="37">
        <f>if(ISNA(vlookup($A536,'Ultimate Draft Kit'!$B$2:$E$324,4, false)), 0, vlookup($A536,'Ultimate Draft Kit'!$B$2:$E$324, 4, false))</f>
        <v>0</v>
      </c>
      <c r="J536" s="38">
        <f>if(ISNA(vlookup($A536,Rotowire!$B$2:$E$1075,4, false)), 0, vlookup($A536,Rotowire!$B$2:$E$1075, 4, false))</f>
        <v>0</v>
      </c>
      <c r="K536" s="37">
        <f>if(ISNA(vlookup($A536, FantasyPro!$B$2:$E$341,4,false)),0,vlookup($A536,FantasyPro!$B$2:$E$341,4,false))</f>
        <v>0</v>
      </c>
      <c r="L536" s="37">
        <f>if(ISNA(vlookup($A536, FFToolbox!$B$2:$E$414, 4, false)), 0, vlookup($A536, FFToolbox!$B$2:$E$414, 4, false))</f>
        <v>0</v>
      </c>
      <c r="M536" s="39">
        <f t="shared" si="1"/>
        <v>0</v>
      </c>
      <c r="N536" s="39">
        <f t="shared" si="2"/>
        <v>0</v>
      </c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</row>
    <row r="537">
      <c r="A537" s="17" t="s">
        <v>550</v>
      </c>
      <c r="B537" s="35" t="s">
        <v>1259</v>
      </c>
      <c r="C537" s="35" t="s">
        <v>1260</v>
      </c>
      <c r="D537" s="36" t="s">
        <v>64</v>
      </c>
      <c r="E537" s="36" t="s">
        <v>13</v>
      </c>
      <c r="F537" s="36">
        <f>vlookup(D537,'Team Bye List'!$A$1:$B$33,2,False)</f>
        <v>7</v>
      </c>
      <c r="G537" s="37">
        <f>if(ISNA(vlookup($A537, Sleeper!$B$2:$E$330, 4, false)), 0, vlookup($A537, Sleeper!$B$2:$E$330, 4, false))</f>
        <v>0</v>
      </c>
      <c r="H537" s="37">
        <f>if(ISNA(vlookup($A537, ESPN!$B$2:$E$297, 4, false)), 0, vlookup($A537, ESPN!$B$2:$E$297, 4, false))</f>
        <v>0</v>
      </c>
      <c r="I537" s="37">
        <f>if(ISNA(vlookup($A537,'Ultimate Draft Kit'!$B$2:$E$324,4, false)), 0, vlookup($A537,'Ultimate Draft Kit'!$B$2:$E$324, 4, false))</f>
        <v>0</v>
      </c>
      <c r="J537" s="38">
        <f>if(ISNA(vlookup($A537,Rotowire!$B$2:$E$1075,4, false)), 0, vlookup($A537,Rotowire!$B$2:$E$1075, 4, false))</f>
        <v>0</v>
      </c>
      <c r="K537" s="37">
        <f>if(ISNA(vlookup($A537, FantasyPro!$B$2:$E$341,4,false)),0,vlookup($A537,FantasyPro!$B$2:$E$341,4,false))</f>
        <v>0</v>
      </c>
      <c r="L537" s="37">
        <f>if(ISNA(vlookup($A537, FFToolbox!$B$2:$E$414, 4, false)), 0, vlookup($A537, FFToolbox!$B$2:$E$414, 4, false))</f>
        <v>0</v>
      </c>
      <c r="M537" s="39">
        <f t="shared" si="1"/>
        <v>0</v>
      </c>
      <c r="N537" s="39">
        <f t="shared" si="2"/>
        <v>0</v>
      </c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</row>
    <row r="538">
      <c r="A538" s="17" t="s">
        <v>618</v>
      </c>
      <c r="B538" s="35" t="s">
        <v>1259</v>
      </c>
      <c r="C538" s="35" t="s">
        <v>1260</v>
      </c>
      <c r="D538" s="36" t="s">
        <v>53</v>
      </c>
      <c r="E538" s="36" t="s">
        <v>13</v>
      </c>
      <c r="F538" s="36">
        <f>vlookup(D538,'Team Bye List'!$A$1:$B$33,2,False)</f>
        <v>9</v>
      </c>
      <c r="G538" s="37">
        <f>if(ISNA(vlookup($A538, Sleeper!$B$2:$E$330, 4, false)), 0, vlookup($A538, Sleeper!$B$2:$E$330, 4, false))</f>
        <v>0</v>
      </c>
      <c r="H538" s="37">
        <f>if(ISNA(vlookup($A538, ESPN!$B$2:$E$297, 4, false)), 0, vlookup($A538, ESPN!$B$2:$E$297, 4, false))</f>
        <v>0</v>
      </c>
      <c r="I538" s="37">
        <f>if(ISNA(vlookup($A538,'Ultimate Draft Kit'!$B$2:$E$324,4, false)), 0, vlookup($A538,'Ultimate Draft Kit'!$B$2:$E$324, 4, false))</f>
        <v>0</v>
      </c>
      <c r="J538" s="38">
        <f>if(ISNA(vlookup($A538,Rotowire!$B$2:$E$1075,4, false)), 0, vlookup($A538,Rotowire!$B$2:$E$1075, 4, false))</f>
        <v>0</v>
      </c>
      <c r="K538" s="37">
        <f>if(ISNA(vlookup($A538, FantasyPro!$B$2:$E$341,4,false)),0,vlookup($A538,FantasyPro!$B$2:$E$341,4,false))</f>
        <v>0</v>
      </c>
      <c r="L538" s="37">
        <f>if(ISNA(vlookup($A538, FFToolbox!$B$2:$E$414, 4, false)), 0, vlookup($A538, FFToolbox!$B$2:$E$414, 4, false))</f>
        <v>0</v>
      </c>
      <c r="M538" s="39">
        <f t="shared" si="1"/>
        <v>0</v>
      </c>
      <c r="N538" s="39">
        <f t="shared" si="2"/>
        <v>0</v>
      </c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</row>
    <row r="539">
      <c r="A539" s="17" t="s">
        <v>549</v>
      </c>
      <c r="B539" s="35" t="s">
        <v>1259</v>
      </c>
      <c r="C539" s="35" t="s">
        <v>1260</v>
      </c>
      <c r="D539" s="36" t="s">
        <v>73</v>
      </c>
      <c r="E539" s="36" t="s">
        <v>13</v>
      </c>
      <c r="F539" s="36">
        <f>vlookup(D539,'Team Bye List'!$A$1:$B$33,2,False)</f>
        <v>14</v>
      </c>
      <c r="G539" s="37">
        <f>if(ISNA(vlookup($A539, Sleeper!$B$2:$E$330, 4, false)), 0, vlookup($A539, Sleeper!$B$2:$E$330, 4, false))</f>
        <v>0</v>
      </c>
      <c r="H539" s="37">
        <f>if(ISNA(vlookup($A539, ESPN!$B$2:$E$297, 4, false)), 0, vlookup($A539, ESPN!$B$2:$E$297, 4, false))</f>
        <v>0</v>
      </c>
      <c r="I539" s="37">
        <f>if(ISNA(vlookup($A539,'Ultimate Draft Kit'!$B$2:$E$324,4, false)), 0, vlookup($A539,'Ultimate Draft Kit'!$B$2:$E$324, 4, false))</f>
        <v>0</v>
      </c>
      <c r="J539" s="38">
        <f>if(ISNA(vlookup($A539,Rotowire!$B$2:$E$1075,4, false)), 0, vlookup($A539,Rotowire!$B$2:$E$1075, 4, false))</f>
        <v>0</v>
      </c>
      <c r="K539" s="37">
        <f>if(ISNA(vlookup($A539, FantasyPro!$B$2:$E$341,4,false)),0,vlookup($A539,FantasyPro!$B$2:$E$341,4,false))</f>
        <v>0</v>
      </c>
      <c r="L539" s="37">
        <f>if(ISNA(vlookup($A539, FFToolbox!$B$2:$E$414, 4, false)), 0, vlookup($A539, FFToolbox!$B$2:$E$414, 4, false))</f>
        <v>0</v>
      </c>
      <c r="M539" s="39">
        <f t="shared" si="1"/>
        <v>0</v>
      </c>
      <c r="N539" s="39">
        <f t="shared" si="2"/>
        <v>0</v>
      </c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</row>
    <row r="540">
      <c r="A540" s="17" t="s">
        <v>993</v>
      </c>
      <c r="B540" s="35" t="s">
        <v>1259</v>
      </c>
      <c r="C540" s="35" t="s">
        <v>1260</v>
      </c>
      <c r="D540" s="36" t="s">
        <v>21</v>
      </c>
      <c r="E540" s="36" t="s">
        <v>13</v>
      </c>
      <c r="F540" s="36">
        <f>vlookup(D540,'Team Bye List'!$A$1:$B$33,2,False)</f>
        <v>6</v>
      </c>
      <c r="G540" s="37">
        <f>if(ISNA(vlookup($A540, Sleeper!$B$2:$E$330, 4, false)), 0, vlookup($A540, Sleeper!$B$2:$E$330, 4, false))</f>
        <v>0</v>
      </c>
      <c r="H540" s="37">
        <f>if(ISNA(vlookup($A540, ESPN!$B$2:$E$297, 4, false)), 0, vlookup($A540, ESPN!$B$2:$E$297, 4, false))</f>
        <v>0</v>
      </c>
      <c r="I540" s="37">
        <f>if(ISNA(vlookup($A540,'Ultimate Draft Kit'!$B$2:$E$324,4, false)), 0, vlookup($A540,'Ultimate Draft Kit'!$B$2:$E$324, 4, false))</f>
        <v>0</v>
      </c>
      <c r="J540" s="38">
        <f>if(ISNA(vlookup($A540,Rotowire!$B$2:$E$1075,4, false)), 0, vlookup($A540,Rotowire!$B$2:$E$1075, 4, false))</f>
        <v>0</v>
      </c>
      <c r="K540" s="37">
        <f>if(ISNA(vlookup($A540, FantasyPro!$B$2:$E$341,4,false)),0,vlookup($A540,FantasyPro!$B$2:$E$341,4,false))</f>
        <v>0</v>
      </c>
      <c r="L540" s="37">
        <f>if(ISNA(vlookup($A540, FFToolbox!$B$2:$E$414, 4, false)), 0, vlookup($A540, FFToolbox!$B$2:$E$414, 4, false))</f>
        <v>0</v>
      </c>
      <c r="M540" s="39">
        <f t="shared" si="1"/>
        <v>0</v>
      </c>
      <c r="N540" s="39">
        <f t="shared" si="2"/>
        <v>0</v>
      </c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</row>
    <row r="541">
      <c r="A541" s="17" t="s">
        <v>589</v>
      </c>
      <c r="B541" s="35" t="s">
        <v>1259</v>
      </c>
      <c r="C541" s="35" t="s">
        <v>1260</v>
      </c>
      <c r="D541" s="36" t="s">
        <v>99</v>
      </c>
      <c r="E541" s="36" t="s">
        <v>13</v>
      </c>
      <c r="F541" s="36">
        <f>vlookup(D541,'Team Bye List'!$A$1:$B$33,2,False)</f>
        <v>11</v>
      </c>
      <c r="G541" s="37">
        <f>if(ISNA(vlookup($A541, Sleeper!$B$2:$E$330, 4, false)), 0, vlookup($A541, Sleeper!$B$2:$E$330, 4, false))</f>
        <v>0</v>
      </c>
      <c r="H541" s="37">
        <f>if(ISNA(vlookup($A541, ESPN!$B$2:$E$297, 4, false)), 0, vlookup($A541, ESPN!$B$2:$E$297, 4, false))</f>
        <v>0</v>
      </c>
      <c r="I541" s="37">
        <f>if(ISNA(vlookup($A541,'Ultimate Draft Kit'!$B$2:$E$324,4, false)), 0, vlookup($A541,'Ultimate Draft Kit'!$B$2:$E$324, 4, false))</f>
        <v>0</v>
      </c>
      <c r="J541" s="38">
        <f>if(ISNA(vlookup($A541,Rotowire!$B$2:$E$1075,4, false)), 0, vlookup($A541,Rotowire!$B$2:$E$1075, 4, false))</f>
        <v>0</v>
      </c>
      <c r="K541" s="37">
        <f>if(ISNA(vlookup($A541, FantasyPro!$B$2:$E$341,4,false)),0,vlookup($A541,FantasyPro!$B$2:$E$341,4,false))</f>
        <v>0</v>
      </c>
      <c r="L541" s="37">
        <f>if(ISNA(vlookup($A541, FFToolbox!$B$2:$E$414, 4, false)), 0, vlookup($A541, FFToolbox!$B$2:$E$414, 4, false))</f>
        <v>0</v>
      </c>
      <c r="M541" s="39">
        <f t="shared" si="1"/>
        <v>0</v>
      </c>
      <c r="N541" s="39">
        <f t="shared" si="2"/>
        <v>0</v>
      </c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</row>
    <row r="542">
      <c r="A542" s="17" t="s">
        <v>574</v>
      </c>
      <c r="B542" s="35" t="s">
        <v>1259</v>
      </c>
      <c r="C542" s="35" t="s">
        <v>1260</v>
      </c>
      <c r="D542" s="36" t="s">
        <v>55</v>
      </c>
      <c r="E542" s="36" t="s">
        <v>13</v>
      </c>
      <c r="F542" s="36">
        <f>vlookup(D542,'Team Bye List'!$A$1:$B$33,2,False)</f>
        <v>14</v>
      </c>
      <c r="G542" s="37">
        <f>if(ISNA(vlookup($A542, Sleeper!$B$2:$E$330, 4, false)), 0, vlookup($A542, Sleeper!$B$2:$E$330, 4, false))</f>
        <v>0</v>
      </c>
      <c r="H542" s="37">
        <f>if(ISNA(vlookup($A542, ESPN!$B$2:$E$297, 4, false)), 0, vlookup($A542, ESPN!$B$2:$E$297, 4, false))</f>
        <v>0</v>
      </c>
      <c r="I542" s="37">
        <f>if(ISNA(vlookup($A542,'Ultimate Draft Kit'!$B$2:$E$324,4, false)), 0, vlookup($A542,'Ultimate Draft Kit'!$B$2:$E$324, 4, false))</f>
        <v>0</v>
      </c>
      <c r="J542" s="38">
        <f>if(ISNA(vlookup($A542,Rotowire!$B$2:$E$1075,4, false)), 0, vlookup($A542,Rotowire!$B$2:$E$1075, 4, false))</f>
        <v>0</v>
      </c>
      <c r="K542" s="37">
        <f>if(ISNA(vlookup($A542, FantasyPro!$B$2:$E$341,4,false)),0,vlookup($A542,FantasyPro!$B$2:$E$341,4,false))</f>
        <v>0</v>
      </c>
      <c r="L542" s="37">
        <f>if(ISNA(vlookup($A542, FFToolbox!$B$2:$E$414, 4, false)), 0, vlookup($A542, FFToolbox!$B$2:$E$414, 4, false))</f>
        <v>0</v>
      </c>
      <c r="M542" s="39">
        <f t="shared" si="1"/>
        <v>0</v>
      </c>
      <c r="N542" s="39">
        <f t="shared" si="2"/>
        <v>0</v>
      </c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</row>
    <row r="543">
      <c r="A543" s="17" t="s">
        <v>223</v>
      </c>
      <c r="B543" s="35" t="s">
        <v>1259</v>
      </c>
      <c r="C543" s="35" t="s">
        <v>1260</v>
      </c>
      <c r="D543" s="36" t="s">
        <v>19</v>
      </c>
      <c r="E543" s="36" t="s">
        <v>8</v>
      </c>
      <c r="F543" s="36">
        <f>vlookup(D543,'Team Bye List'!$A$1:$B$33,2,False)</f>
        <v>10</v>
      </c>
      <c r="G543" s="37">
        <f>if(ISNA(vlookup($A543, Sleeper!$B$2:$E$330, 4, false)), 0, vlookup($A543, Sleeper!$B$2:$E$330, 4, false))</f>
        <v>0</v>
      </c>
      <c r="H543" s="37">
        <f>if(ISNA(vlookup($A543, ESPN!$B$2:$E$297, 4, false)), 0, vlookup($A543, ESPN!$B$2:$E$297, 4, false))</f>
        <v>0</v>
      </c>
      <c r="I543" s="37">
        <f>if(ISNA(vlookup($A543,'Ultimate Draft Kit'!$B$2:$E$324,4, false)), 0, vlookup($A543,'Ultimate Draft Kit'!$B$2:$E$324, 4, false))</f>
        <v>0</v>
      </c>
      <c r="J543" s="38">
        <f>if(ISNA(vlookup($A543,Rotowire!$B$2:$E$1075,4, false)), 0, vlookup($A543,Rotowire!$B$2:$E$1075, 4, false))</f>
        <v>0</v>
      </c>
      <c r="K543" s="37">
        <f>if(ISNA(vlookup($A543, FantasyPro!$B$2:$E$341,4,false)),0,vlookup($A543,FantasyPro!$B$2:$E$341,4,false))</f>
        <v>0</v>
      </c>
      <c r="L543" s="37">
        <f>if(ISNA(vlookup($A543, FFToolbox!$B$2:$E$414, 4, false)), 0, vlookup($A543, FFToolbox!$B$2:$E$414, 4, false))</f>
        <v>1</v>
      </c>
      <c r="M543" s="39">
        <f t="shared" si="1"/>
        <v>0.1666666667</v>
      </c>
      <c r="N543" s="39">
        <f t="shared" si="2"/>
        <v>1</v>
      </c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</row>
    <row r="544">
      <c r="A544" s="17" t="s">
        <v>588</v>
      </c>
      <c r="B544" s="35" t="s">
        <v>1259</v>
      </c>
      <c r="C544" s="35" t="s">
        <v>1260</v>
      </c>
      <c r="D544" s="36" t="s">
        <v>35</v>
      </c>
      <c r="E544" s="36" t="s">
        <v>13</v>
      </c>
      <c r="F544" s="36">
        <f>vlookup(D544,'Team Bye List'!$A$1:$B$33,2,False)</f>
        <v>6</v>
      </c>
      <c r="G544" s="37">
        <f>if(ISNA(vlookup($A544, Sleeper!$B$2:$E$330, 4, false)), 0, vlookup($A544, Sleeper!$B$2:$E$330, 4, false))</f>
        <v>0</v>
      </c>
      <c r="H544" s="37">
        <f>if(ISNA(vlookup($A544, ESPN!$B$2:$E$297, 4, false)), 0, vlookup($A544, ESPN!$B$2:$E$297, 4, false))</f>
        <v>0</v>
      </c>
      <c r="I544" s="37">
        <f>if(ISNA(vlookup($A544,'Ultimate Draft Kit'!$B$2:$E$324,4, false)), 0, vlookup($A544,'Ultimate Draft Kit'!$B$2:$E$324, 4, false))</f>
        <v>0</v>
      </c>
      <c r="J544" s="38">
        <f>if(ISNA(vlookup($A544,Rotowire!$B$2:$E$1075,4, false)), 0, vlookup($A544,Rotowire!$B$2:$E$1075, 4, false))</f>
        <v>0</v>
      </c>
      <c r="K544" s="37">
        <f>if(ISNA(vlookup($A544, FantasyPro!$B$2:$E$341,4,false)),0,vlookup($A544,FantasyPro!$B$2:$E$341,4,false))</f>
        <v>0</v>
      </c>
      <c r="L544" s="37">
        <f>if(ISNA(vlookup($A544, FFToolbox!$B$2:$E$414, 4, false)), 0, vlookup($A544, FFToolbox!$B$2:$E$414, 4, false))</f>
        <v>0</v>
      </c>
      <c r="M544" s="39">
        <f t="shared" si="1"/>
        <v>0</v>
      </c>
      <c r="N544" s="39">
        <f t="shared" si="2"/>
        <v>0</v>
      </c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</row>
    <row r="545">
      <c r="A545" s="17" t="s">
        <v>576</v>
      </c>
      <c r="B545" s="35" t="s">
        <v>1259</v>
      </c>
      <c r="C545" s="35" t="s">
        <v>1260</v>
      </c>
      <c r="D545" s="36" t="s">
        <v>10</v>
      </c>
      <c r="E545" s="36" t="s">
        <v>13</v>
      </c>
      <c r="F545" s="36">
        <f>vlookup(D545,'Team Bye List'!$A$1:$B$33,2,False)</f>
        <v>13</v>
      </c>
      <c r="G545" s="37">
        <f>if(ISNA(vlookup($A545, Sleeper!$B$2:$E$330, 4, false)), 0, vlookup($A545, Sleeper!$B$2:$E$330, 4, false))</f>
        <v>0</v>
      </c>
      <c r="H545" s="37">
        <f>if(ISNA(vlookup($A545, ESPN!$B$2:$E$297, 4, false)), 0, vlookup($A545, ESPN!$B$2:$E$297, 4, false))</f>
        <v>0</v>
      </c>
      <c r="I545" s="37">
        <f>if(ISNA(vlookup($A545,'Ultimate Draft Kit'!$B$2:$E$324,4, false)), 0, vlookup($A545,'Ultimate Draft Kit'!$B$2:$E$324, 4, false))</f>
        <v>0</v>
      </c>
      <c r="J545" s="38">
        <f>if(ISNA(vlookup($A545,Rotowire!$B$2:$E$1075,4, false)), 0, vlookup($A545,Rotowire!$B$2:$E$1075, 4, false))</f>
        <v>0</v>
      </c>
      <c r="K545" s="37">
        <f>if(ISNA(vlookup($A545, FantasyPro!$B$2:$E$341,4,false)),0,vlookup($A545,FantasyPro!$B$2:$E$341,4,false))</f>
        <v>0</v>
      </c>
      <c r="L545" s="37">
        <f>if(ISNA(vlookup($A545, FFToolbox!$B$2:$E$414, 4, false)), 0, vlookup($A545, FFToolbox!$B$2:$E$414, 4, false))</f>
        <v>0</v>
      </c>
      <c r="M545" s="39">
        <f t="shared" si="1"/>
        <v>0</v>
      </c>
      <c r="N545" s="39">
        <f t="shared" si="2"/>
        <v>0</v>
      </c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</row>
    <row r="546">
      <c r="A546" s="17" t="s">
        <v>598</v>
      </c>
      <c r="B546" s="35" t="s">
        <v>1259</v>
      </c>
      <c r="C546" s="35" t="s">
        <v>1260</v>
      </c>
      <c r="D546" s="36" t="s">
        <v>89</v>
      </c>
      <c r="E546" s="36" t="s">
        <v>13</v>
      </c>
      <c r="F546" s="36">
        <f>vlookup(D546,'Team Bye List'!$A$1:$B$33,2,False)</f>
        <v>14</v>
      </c>
      <c r="G546" s="37">
        <f>if(ISNA(vlookup($A546, Sleeper!$B$2:$E$330, 4, false)), 0, vlookup($A546, Sleeper!$B$2:$E$330, 4, false))</f>
        <v>0</v>
      </c>
      <c r="H546" s="37">
        <f>if(ISNA(vlookup($A546, ESPN!$B$2:$E$297, 4, false)), 0, vlookup($A546, ESPN!$B$2:$E$297, 4, false))</f>
        <v>0</v>
      </c>
      <c r="I546" s="37">
        <f>if(ISNA(vlookup($A546,'Ultimate Draft Kit'!$B$2:$E$324,4, false)), 0, vlookup($A546,'Ultimate Draft Kit'!$B$2:$E$324, 4, false))</f>
        <v>0</v>
      </c>
      <c r="J546" s="38">
        <f>if(ISNA(vlookup($A546,Rotowire!$B$2:$E$1075,4, false)), 0, vlookup($A546,Rotowire!$B$2:$E$1075, 4, false))</f>
        <v>0</v>
      </c>
      <c r="K546" s="37">
        <f>if(ISNA(vlookup($A546, FantasyPro!$B$2:$E$341,4,false)),0,vlookup($A546,FantasyPro!$B$2:$E$341,4,false))</f>
        <v>0</v>
      </c>
      <c r="L546" s="37">
        <f>if(ISNA(vlookup($A546, FFToolbox!$B$2:$E$414, 4, false)), 0, vlookup($A546, FFToolbox!$B$2:$E$414, 4, false))</f>
        <v>1</v>
      </c>
      <c r="M546" s="39">
        <f t="shared" si="1"/>
        <v>0.1666666667</v>
      </c>
      <c r="N546" s="39">
        <f t="shared" si="2"/>
        <v>1</v>
      </c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</row>
    <row r="547">
      <c r="A547" s="17" t="s">
        <v>604</v>
      </c>
      <c r="B547" s="35" t="s">
        <v>1259</v>
      </c>
      <c r="C547" s="35" t="s">
        <v>1260</v>
      </c>
      <c r="D547" s="36" t="s">
        <v>37</v>
      </c>
      <c r="E547" s="36" t="s">
        <v>13</v>
      </c>
      <c r="F547" s="36">
        <f>vlookup(D547,'Team Bye List'!$A$1:$B$33,2,False)</f>
        <v>11</v>
      </c>
      <c r="G547" s="37">
        <f>if(ISNA(vlookup($A547, Sleeper!$B$2:$E$330, 4, false)), 0, vlookup($A547, Sleeper!$B$2:$E$330, 4, false))</f>
        <v>0</v>
      </c>
      <c r="H547" s="37">
        <f>if(ISNA(vlookup($A547, ESPN!$B$2:$E$297, 4, false)), 0, vlookup($A547, ESPN!$B$2:$E$297, 4, false))</f>
        <v>0</v>
      </c>
      <c r="I547" s="37">
        <f>if(ISNA(vlookup($A547,'Ultimate Draft Kit'!$B$2:$E$324,4, false)), 0, vlookup($A547,'Ultimate Draft Kit'!$B$2:$E$324, 4, false))</f>
        <v>0</v>
      </c>
      <c r="J547" s="38">
        <f>if(ISNA(vlookup($A547,Rotowire!$B$2:$E$1075,4, false)), 0, vlookup($A547,Rotowire!$B$2:$E$1075, 4, false))</f>
        <v>0</v>
      </c>
      <c r="K547" s="37">
        <f>if(ISNA(vlookup($A547, FantasyPro!$B$2:$E$341,4,false)),0,vlookup($A547,FantasyPro!$B$2:$E$341,4,false))</f>
        <v>0</v>
      </c>
      <c r="L547" s="37">
        <f>if(ISNA(vlookup($A547, FFToolbox!$B$2:$E$414, 4, false)), 0, vlookup($A547, FFToolbox!$B$2:$E$414, 4, false))</f>
        <v>0</v>
      </c>
      <c r="M547" s="39">
        <f t="shared" si="1"/>
        <v>0</v>
      </c>
      <c r="N547" s="39">
        <f t="shared" si="2"/>
        <v>0</v>
      </c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</row>
    <row r="548">
      <c r="A548" s="17" t="s">
        <v>584</v>
      </c>
      <c r="B548" s="35" t="s">
        <v>1259</v>
      </c>
      <c r="C548" s="35" t="s">
        <v>1260</v>
      </c>
      <c r="D548" s="36" t="s">
        <v>45</v>
      </c>
      <c r="E548" s="36" t="s">
        <v>13</v>
      </c>
      <c r="F548" s="36">
        <f>vlookup(D548,'Team Bye List'!$A$1:$B$33,2,False)</f>
        <v>13</v>
      </c>
      <c r="G548" s="37">
        <f>if(ISNA(vlookup($A548, Sleeper!$B$2:$E$330, 4, false)), 0, vlookup($A548, Sleeper!$B$2:$E$330, 4, false))</f>
        <v>0</v>
      </c>
      <c r="H548" s="37">
        <f>if(ISNA(vlookup($A548, ESPN!$B$2:$E$297, 4, false)), 0, vlookup($A548, ESPN!$B$2:$E$297, 4, false))</f>
        <v>0</v>
      </c>
      <c r="I548" s="37">
        <f>if(ISNA(vlookup($A548,'Ultimate Draft Kit'!$B$2:$E$324,4, false)), 0, vlookup($A548,'Ultimate Draft Kit'!$B$2:$E$324, 4, false))</f>
        <v>0</v>
      </c>
      <c r="J548" s="38">
        <f>if(ISNA(vlookup($A548,Rotowire!$B$2:$E$1075,4, false)), 0, vlookup($A548,Rotowire!$B$2:$E$1075, 4, false))</f>
        <v>0</v>
      </c>
      <c r="K548" s="37">
        <f>if(ISNA(vlookup($A548, FantasyPro!$B$2:$E$341,4,false)),0,vlookup($A548,FantasyPro!$B$2:$E$341,4,false))</f>
        <v>0</v>
      </c>
      <c r="L548" s="37">
        <f>if(ISNA(vlookup($A548, FFToolbox!$B$2:$E$414, 4, false)), 0, vlookup($A548, FFToolbox!$B$2:$E$414, 4, false))</f>
        <v>1</v>
      </c>
      <c r="M548" s="39">
        <f t="shared" si="1"/>
        <v>0.1666666667</v>
      </c>
      <c r="N548" s="39">
        <f t="shared" si="2"/>
        <v>1</v>
      </c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</row>
    <row r="549">
      <c r="A549" s="17" t="s">
        <v>590</v>
      </c>
      <c r="B549" s="35" t="s">
        <v>1259</v>
      </c>
      <c r="C549" s="35" t="s">
        <v>1260</v>
      </c>
      <c r="D549" s="36" t="s">
        <v>12</v>
      </c>
      <c r="E549" s="36" t="s">
        <v>13</v>
      </c>
      <c r="F549" s="36">
        <f>vlookup(D549,'Team Bye List'!$A$1:$B$33,2,False)</f>
        <v>8</v>
      </c>
      <c r="G549" s="37">
        <f>if(ISNA(vlookup($A549, Sleeper!$B$2:$E$330, 4, false)), 0, vlookup($A549, Sleeper!$B$2:$E$330, 4, false))</f>
        <v>0</v>
      </c>
      <c r="H549" s="37">
        <f>if(ISNA(vlookup($A549, ESPN!$B$2:$E$297, 4, false)), 0, vlookup($A549, ESPN!$B$2:$E$297, 4, false))</f>
        <v>0</v>
      </c>
      <c r="I549" s="37">
        <f>if(ISNA(vlookup($A549,'Ultimate Draft Kit'!$B$2:$E$324,4, false)), 0, vlookup($A549,'Ultimate Draft Kit'!$B$2:$E$324, 4, false))</f>
        <v>0</v>
      </c>
      <c r="J549" s="38">
        <f>if(ISNA(vlookup($A549,Rotowire!$B$2:$E$1075,4, false)), 0, vlookup($A549,Rotowire!$B$2:$E$1075, 4, false))</f>
        <v>0</v>
      </c>
      <c r="K549" s="37">
        <f>if(ISNA(vlookup($A549, FantasyPro!$B$2:$E$341,4,false)),0,vlookup($A549,FantasyPro!$B$2:$E$341,4,false))</f>
        <v>0</v>
      </c>
      <c r="L549" s="37">
        <f>if(ISNA(vlookup($A549, FFToolbox!$B$2:$E$414, 4, false)), 0, vlookup($A549, FFToolbox!$B$2:$E$414, 4, false))</f>
        <v>1</v>
      </c>
      <c r="M549" s="39">
        <f t="shared" si="1"/>
        <v>0.1666666667</v>
      </c>
      <c r="N549" s="39">
        <f t="shared" si="2"/>
        <v>1</v>
      </c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</row>
    <row r="550">
      <c r="A550" s="17" t="s">
        <v>654</v>
      </c>
      <c r="B550" s="35" t="s">
        <v>1259</v>
      </c>
      <c r="C550" s="35" t="s">
        <v>1260</v>
      </c>
      <c r="D550" s="36" t="s">
        <v>47</v>
      </c>
      <c r="E550" s="36" t="s">
        <v>13</v>
      </c>
      <c r="F550" s="36">
        <f>vlookup(D550,'Team Bye List'!$A$1:$B$33,2,False)</f>
        <v>14</v>
      </c>
      <c r="G550" s="37">
        <f>if(ISNA(vlookup($A550, Sleeper!$B$2:$E$330, 4, false)), 0, vlookup($A550, Sleeper!$B$2:$E$330, 4, false))</f>
        <v>0</v>
      </c>
      <c r="H550" s="37">
        <f>if(ISNA(vlookup($A550, ESPN!$B$2:$E$297, 4, false)), 0, vlookup($A550, ESPN!$B$2:$E$297, 4, false))</f>
        <v>0</v>
      </c>
      <c r="I550" s="37">
        <f>if(ISNA(vlookup($A550,'Ultimate Draft Kit'!$B$2:$E$324,4, false)), 0, vlookup($A550,'Ultimate Draft Kit'!$B$2:$E$324, 4, false))</f>
        <v>0</v>
      </c>
      <c r="J550" s="38">
        <f>if(ISNA(vlookup($A550,Rotowire!$B$2:$E$1075,4, false)), 0, vlookup($A550,Rotowire!$B$2:$E$1075, 4, false))</f>
        <v>0</v>
      </c>
      <c r="K550" s="37">
        <f>if(ISNA(vlookup($A550, FantasyPro!$B$2:$E$341,4,false)),0,vlookup($A550,FantasyPro!$B$2:$E$341,4,false))</f>
        <v>0</v>
      </c>
      <c r="L550" s="37">
        <f>if(ISNA(vlookup($A550, FFToolbox!$B$2:$E$414, 4, false)), 0, vlookup($A550, FFToolbox!$B$2:$E$414, 4, false))</f>
        <v>0</v>
      </c>
      <c r="M550" s="39">
        <f t="shared" si="1"/>
        <v>0</v>
      </c>
      <c r="N550" s="39">
        <f t="shared" si="2"/>
        <v>0</v>
      </c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</row>
    <row r="551">
      <c r="A551" s="17" t="s">
        <v>227</v>
      </c>
      <c r="B551" s="35" t="s">
        <v>1259</v>
      </c>
      <c r="C551" s="35">
        <v>11.0</v>
      </c>
      <c r="D551" s="36" t="s">
        <v>64</v>
      </c>
      <c r="E551" s="36" t="s">
        <v>8</v>
      </c>
      <c r="F551" s="36">
        <f>vlookup(D551,'Team Bye List'!$A$1:$B$33,2,False)</f>
        <v>7</v>
      </c>
      <c r="G551" s="37">
        <f>if(ISNA(vlookup($A551, Sleeper!$B$2:$E$330, 4, false)), 0, vlookup($A551, Sleeper!$B$2:$E$330, 4, false))</f>
        <v>1</v>
      </c>
      <c r="H551" s="37">
        <f>if(ISNA(vlookup($A551, ESPN!$B$2:$E$297, 4, false)), 0, vlookup($A551, ESPN!$B$2:$E$297, 4, false))</f>
        <v>0</v>
      </c>
      <c r="I551" s="37">
        <f>if(ISNA(vlookup($A551,'Ultimate Draft Kit'!$B$2:$E$324,4, false)), 0, vlookup($A551,'Ultimate Draft Kit'!$B$2:$E$324, 4, false))</f>
        <v>1</v>
      </c>
      <c r="J551" s="38">
        <f>if(ISNA(vlookup($A551,Rotowire!$B$2:$E$1075,4, false)), 0, vlookup($A551,Rotowire!$B$2:$E$1075, 4, false))</f>
        <v>0</v>
      </c>
      <c r="K551" s="37">
        <f>if(ISNA(vlookup($A551, FantasyPro!$B$2:$E$341,4,false)),0,vlookup($A551,FantasyPro!$B$2:$E$341,4,false))</f>
        <v>0</v>
      </c>
      <c r="L551" s="37">
        <f>if(ISNA(vlookup($A551, FFToolbox!$B$2:$E$414, 4, false)), 0, vlookup($A551, FFToolbox!$B$2:$E$414, 4, false))</f>
        <v>1</v>
      </c>
      <c r="M551" s="39">
        <f t="shared" si="1"/>
        <v>0.5</v>
      </c>
      <c r="N551" s="39">
        <f t="shared" si="2"/>
        <v>1</v>
      </c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</row>
    <row r="552">
      <c r="A552" s="17" t="s">
        <v>209</v>
      </c>
      <c r="B552" s="35" t="s">
        <v>1259</v>
      </c>
      <c r="C552" s="35">
        <v>11.0</v>
      </c>
      <c r="D552" s="36" t="s">
        <v>62</v>
      </c>
      <c r="E552" s="36" t="s">
        <v>8</v>
      </c>
      <c r="F552" s="36">
        <f>vlookup(D552,'Team Bye List'!$A$1:$B$33,2,False)</f>
        <v>8</v>
      </c>
      <c r="G552" s="37">
        <f>if(ISNA(vlookup($A552, Sleeper!$B$2:$E$330, 4, false)), 0, vlookup($A552, Sleeper!$B$2:$E$330, 4, false))</f>
        <v>1</v>
      </c>
      <c r="H552" s="37">
        <f>if(ISNA(vlookup($A552, ESPN!$B$2:$E$297, 4, false)), 0, vlookup($A552, ESPN!$B$2:$E$297, 4, false))</f>
        <v>0</v>
      </c>
      <c r="I552" s="37">
        <f>if(ISNA(vlookup($A552,'Ultimate Draft Kit'!$B$2:$E$324,4, false)), 0, vlookup($A552,'Ultimate Draft Kit'!$B$2:$E$324, 4, false))</f>
        <v>1</v>
      </c>
      <c r="J552" s="38">
        <f>if(ISNA(vlookup($A552,Rotowire!$B$2:$E$1075,4, false)), 0, vlookup($A552,Rotowire!$B$2:$E$1075, 4, false))</f>
        <v>0</v>
      </c>
      <c r="K552" s="37">
        <f>if(ISNA(vlookup($A552, FantasyPro!$B$2:$E$341,4,false)),0,vlookup($A552,FantasyPro!$B$2:$E$341,4,false))</f>
        <v>0</v>
      </c>
      <c r="L552" s="37">
        <f>if(ISNA(vlookup($A552, FFToolbox!$B$2:$E$414, 4, false)), 0, vlookup($A552, FFToolbox!$B$2:$E$414, 4, false))</f>
        <v>1</v>
      </c>
      <c r="M552" s="39">
        <f t="shared" si="1"/>
        <v>0.5</v>
      </c>
      <c r="N552" s="39">
        <f t="shared" si="2"/>
        <v>1</v>
      </c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</row>
    <row r="553">
      <c r="A553" s="17" t="s">
        <v>616</v>
      </c>
      <c r="B553" s="35" t="s">
        <v>1259</v>
      </c>
      <c r="C553" s="35" t="s">
        <v>1260</v>
      </c>
      <c r="D553" s="36" t="s">
        <v>17</v>
      </c>
      <c r="E553" s="36" t="s">
        <v>13</v>
      </c>
      <c r="F553" s="36">
        <f>vlookup(D553,'Team Bye List'!$A$1:$B$33,2,False)</f>
        <v>7</v>
      </c>
      <c r="G553" s="37">
        <f>if(ISNA(vlookup($A553, Sleeper!$B$2:$E$330, 4, false)), 0, vlookup($A553, Sleeper!$B$2:$E$330, 4, false))</f>
        <v>0</v>
      </c>
      <c r="H553" s="37">
        <f>if(ISNA(vlookup($A553, ESPN!$B$2:$E$297, 4, false)), 0, vlookup($A553, ESPN!$B$2:$E$297, 4, false))</f>
        <v>0</v>
      </c>
      <c r="I553" s="37">
        <f>if(ISNA(vlookup($A553,'Ultimate Draft Kit'!$B$2:$E$324,4, false)), 0, vlookup($A553,'Ultimate Draft Kit'!$B$2:$E$324, 4, false))</f>
        <v>0</v>
      </c>
      <c r="J553" s="38">
        <f>if(ISNA(vlookup($A553,Rotowire!$B$2:$E$1075,4, false)), 0, vlookup($A553,Rotowire!$B$2:$E$1075, 4, false))</f>
        <v>0</v>
      </c>
      <c r="K553" s="37">
        <f>if(ISNA(vlookup($A553, FantasyPro!$B$2:$E$341,4,false)),0,vlookup($A553,FantasyPro!$B$2:$E$341,4,false))</f>
        <v>0</v>
      </c>
      <c r="L553" s="37">
        <f>if(ISNA(vlookup($A553, FFToolbox!$B$2:$E$414, 4, false)), 0, vlookup($A553, FFToolbox!$B$2:$E$414, 4, false))</f>
        <v>0</v>
      </c>
      <c r="M553" s="39">
        <f t="shared" si="1"/>
        <v>0</v>
      </c>
      <c r="N553" s="39">
        <f t="shared" si="2"/>
        <v>0</v>
      </c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</row>
    <row r="554">
      <c r="A554" s="17" t="s">
        <v>546</v>
      </c>
      <c r="B554" s="35" t="s">
        <v>1259</v>
      </c>
      <c r="C554" s="35" t="s">
        <v>1260</v>
      </c>
      <c r="D554" s="36" t="s">
        <v>41</v>
      </c>
      <c r="E554" s="36" t="s">
        <v>13</v>
      </c>
      <c r="F554" s="36">
        <f>vlookup(D554,'Team Bye List'!$A$1:$B$33,2,False)</f>
        <v>14</v>
      </c>
      <c r="G554" s="37">
        <f>if(ISNA(vlookup($A554, Sleeper!$B$2:$E$330, 4, false)), 0, vlookup($A554, Sleeper!$B$2:$E$330, 4, false))</f>
        <v>0</v>
      </c>
      <c r="H554" s="37">
        <f>if(ISNA(vlookup($A554, ESPN!$B$2:$E$297, 4, false)), 0, vlookup($A554, ESPN!$B$2:$E$297, 4, false))</f>
        <v>0</v>
      </c>
      <c r="I554" s="37">
        <f>if(ISNA(vlookup($A554,'Ultimate Draft Kit'!$B$2:$E$324,4, false)), 0, vlookup($A554,'Ultimate Draft Kit'!$B$2:$E$324, 4, false))</f>
        <v>0</v>
      </c>
      <c r="J554" s="38">
        <f>if(ISNA(vlookup($A554,Rotowire!$B$2:$E$1075,4, false)), 0, vlookup($A554,Rotowire!$B$2:$E$1075, 4, false))</f>
        <v>0</v>
      </c>
      <c r="K554" s="37">
        <f>if(ISNA(vlookup($A554, FantasyPro!$B$2:$E$341,4,false)),0,vlookup($A554,FantasyPro!$B$2:$E$341,4,false))</f>
        <v>0</v>
      </c>
      <c r="L554" s="37">
        <f>if(ISNA(vlookup($A554, FFToolbox!$B$2:$E$414, 4, false)), 0, vlookup($A554, FFToolbox!$B$2:$E$414, 4, false))</f>
        <v>0</v>
      </c>
      <c r="M554" s="39">
        <f t="shared" si="1"/>
        <v>0</v>
      </c>
      <c r="N554" s="39">
        <f t="shared" si="2"/>
        <v>0</v>
      </c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</row>
    <row r="555">
      <c r="A555" s="17" t="s">
        <v>994</v>
      </c>
      <c r="B555" s="35" t="s">
        <v>1259</v>
      </c>
      <c r="C555" s="35" t="s">
        <v>1260</v>
      </c>
      <c r="D555" s="36" t="s">
        <v>66</v>
      </c>
      <c r="E555" s="36" t="s">
        <v>13</v>
      </c>
      <c r="F555" s="36">
        <f>vlookup(D555,'Team Bye List'!$A$1:$B$33,2,False)</f>
        <v>9</v>
      </c>
      <c r="G555" s="37">
        <f>if(ISNA(vlookup($A555, Sleeper!$B$2:$E$330, 4, false)), 0, vlookup($A555, Sleeper!$B$2:$E$330, 4, false))</f>
        <v>0</v>
      </c>
      <c r="H555" s="37">
        <f>if(ISNA(vlookup($A555, ESPN!$B$2:$E$297, 4, false)), 0, vlookup($A555, ESPN!$B$2:$E$297, 4, false))</f>
        <v>0</v>
      </c>
      <c r="I555" s="37">
        <f>if(ISNA(vlookup($A555,'Ultimate Draft Kit'!$B$2:$E$324,4, false)), 0, vlookup($A555,'Ultimate Draft Kit'!$B$2:$E$324, 4, false))</f>
        <v>0</v>
      </c>
      <c r="J555" s="38">
        <f>if(ISNA(vlookup($A555,Rotowire!$B$2:$E$1075,4, false)), 0, vlookup($A555,Rotowire!$B$2:$E$1075, 4, false))</f>
        <v>0</v>
      </c>
      <c r="K555" s="37">
        <f>if(ISNA(vlookup($A555, FantasyPro!$B$2:$E$341,4,false)),0,vlookup($A555,FantasyPro!$B$2:$E$341,4,false))</f>
        <v>0</v>
      </c>
      <c r="L555" s="37">
        <f>if(ISNA(vlookup($A555, FFToolbox!$B$2:$E$414, 4, false)), 0, vlookup($A555, FFToolbox!$B$2:$E$414, 4, false))</f>
        <v>0</v>
      </c>
      <c r="M555" s="39">
        <f t="shared" si="1"/>
        <v>0</v>
      </c>
      <c r="N555" s="39">
        <f t="shared" si="2"/>
        <v>0</v>
      </c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</row>
    <row r="556">
      <c r="A556" s="17" t="s">
        <v>558</v>
      </c>
      <c r="B556" s="35" t="s">
        <v>1259</v>
      </c>
      <c r="C556" s="35" t="s">
        <v>1260</v>
      </c>
      <c r="D556" s="36" t="s">
        <v>21</v>
      </c>
      <c r="E556" s="36" t="s">
        <v>13</v>
      </c>
      <c r="F556" s="36">
        <f>vlookup(D556,'Team Bye List'!$A$1:$B$33,2,False)</f>
        <v>6</v>
      </c>
      <c r="G556" s="37">
        <f>if(ISNA(vlookup($A556, Sleeper!$B$2:$E$330, 4, false)), 0, vlookup($A556, Sleeper!$B$2:$E$330, 4, false))</f>
        <v>0</v>
      </c>
      <c r="H556" s="37">
        <f>if(ISNA(vlookup($A556, ESPN!$B$2:$E$297, 4, false)), 0, vlookup($A556, ESPN!$B$2:$E$297, 4, false))</f>
        <v>0</v>
      </c>
      <c r="I556" s="37">
        <f>if(ISNA(vlookup($A556,'Ultimate Draft Kit'!$B$2:$E$324,4, false)), 0, vlookup($A556,'Ultimate Draft Kit'!$B$2:$E$324, 4, false))</f>
        <v>0</v>
      </c>
      <c r="J556" s="38">
        <f>if(ISNA(vlookup($A556,Rotowire!$B$2:$E$1075,4, false)), 0, vlookup($A556,Rotowire!$B$2:$E$1075, 4, false))</f>
        <v>0</v>
      </c>
      <c r="K556" s="37">
        <f>if(ISNA(vlookup($A556, FantasyPro!$B$2:$E$341,4,false)),0,vlookup($A556,FantasyPro!$B$2:$E$341,4,false))</f>
        <v>0</v>
      </c>
      <c r="L556" s="37">
        <f>if(ISNA(vlookup($A556, FFToolbox!$B$2:$E$414, 4, false)), 0, vlookup($A556, FFToolbox!$B$2:$E$414, 4, false))</f>
        <v>0</v>
      </c>
      <c r="M556" s="39">
        <f t="shared" si="1"/>
        <v>0</v>
      </c>
      <c r="N556" s="39">
        <f t="shared" si="2"/>
        <v>0</v>
      </c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</row>
    <row r="557">
      <c r="A557" s="17" t="s">
        <v>631</v>
      </c>
      <c r="B557" s="35" t="s">
        <v>1259</v>
      </c>
      <c r="C557" s="35" t="s">
        <v>1260</v>
      </c>
      <c r="D557" s="36" t="s">
        <v>15</v>
      </c>
      <c r="E557" s="36" t="s">
        <v>13</v>
      </c>
      <c r="F557" s="36">
        <f>vlookup(D557,'Team Bye List'!$A$1:$B$33,2,False)</f>
        <v>6</v>
      </c>
      <c r="G557" s="37">
        <f>if(ISNA(vlookup($A557, Sleeper!$B$2:$E$330, 4, false)), 0, vlookup($A557, Sleeper!$B$2:$E$330, 4, false))</f>
        <v>0</v>
      </c>
      <c r="H557" s="37">
        <f>if(ISNA(vlookup($A557, ESPN!$B$2:$E$297, 4, false)), 0, vlookup($A557, ESPN!$B$2:$E$297, 4, false))</f>
        <v>0</v>
      </c>
      <c r="I557" s="37">
        <f>if(ISNA(vlookup($A557,'Ultimate Draft Kit'!$B$2:$E$324,4, false)), 0, vlookup($A557,'Ultimate Draft Kit'!$B$2:$E$324, 4, false))</f>
        <v>0</v>
      </c>
      <c r="J557" s="38">
        <f>if(ISNA(vlookup($A557,Rotowire!$B$2:$E$1075,4, false)), 0, vlookup($A557,Rotowire!$B$2:$E$1075, 4, false))</f>
        <v>0</v>
      </c>
      <c r="K557" s="37">
        <f>if(ISNA(vlookup($A557, FantasyPro!$B$2:$E$341,4,false)),0,vlookup($A557,FantasyPro!$B$2:$E$341,4,false))</f>
        <v>0</v>
      </c>
      <c r="L557" s="37">
        <f>if(ISNA(vlookup($A557, FFToolbox!$B$2:$E$414, 4, false)), 0, vlookup($A557, FFToolbox!$B$2:$E$414, 4, false))</f>
        <v>1</v>
      </c>
      <c r="M557" s="39">
        <f t="shared" si="1"/>
        <v>0.1666666667</v>
      </c>
      <c r="N557" s="39">
        <f t="shared" si="2"/>
        <v>1</v>
      </c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</row>
    <row r="558">
      <c r="A558" s="17" t="s">
        <v>847</v>
      </c>
      <c r="B558" s="35" t="s">
        <v>1259</v>
      </c>
      <c r="C558" s="35" t="s">
        <v>1260</v>
      </c>
      <c r="D558" s="36" t="s">
        <v>37</v>
      </c>
      <c r="E558" s="36" t="s">
        <v>13</v>
      </c>
      <c r="F558" s="36">
        <f>vlookup(D558,'Team Bye List'!$A$1:$B$33,2,False)</f>
        <v>11</v>
      </c>
      <c r="G558" s="37">
        <f>if(ISNA(vlookup($A558, Sleeper!$B$2:$E$330, 4, false)), 0, vlookup($A558, Sleeper!$B$2:$E$330, 4, false))</f>
        <v>0</v>
      </c>
      <c r="H558" s="37">
        <f>if(ISNA(vlookup($A558, ESPN!$B$2:$E$297, 4, false)), 0, vlookup($A558, ESPN!$B$2:$E$297, 4, false))</f>
        <v>0</v>
      </c>
      <c r="I558" s="37">
        <f>if(ISNA(vlookup($A558,'Ultimate Draft Kit'!$B$2:$E$324,4, false)), 0, vlookup($A558,'Ultimate Draft Kit'!$B$2:$E$324, 4, false))</f>
        <v>0</v>
      </c>
      <c r="J558" s="38">
        <f>if(ISNA(vlookup($A558,Rotowire!$B$2:$E$1075,4, false)), 0, vlookup($A558,Rotowire!$B$2:$E$1075, 4, false))</f>
        <v>0</v>
      </c>
      <c r="K558" s="37">
        <f>if(ISNA(vlookup($A558, FantasyPro!$B$2:$E$341,4,false)),0,vlookup($A558,FantasyPro!$B$2:$E$341,4,false))</f>
        <v>0</v>
      </c>
      <c r="L558" s="37">
        <f>if(ISNA(vlookup($A558, FFToolbox!$B$2:$E$414, 4, false)), 0, vlookup($A558, FFToolbox!$B$2:$E$414, 4, false))</f>
        <v>1</v>
      </c>
      <c r="M558" s="39">
        <f t="shared" si="1"/>
        <v>0.1666666667</v>
      </c>
      <c r="N558" s="39">
        <f t="shared" si="2"/>
        <v>1</v>
      </c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</row>
    <row r="559">
      <c r="A559" s="17" t="s">
        <v>619</v>
      </c>
      <c r="B559" s="35" t="s">
        <v>1259</v>
      </c>
      <c r="C559" s="35" t="s">
        <v>1260</v>
      </c>
      <c r="D559" s="36" t="s">
        <v>81</v>
      </c>
      <c r="E559" s="36" t="s">
        <v>13</v>
      </c>
      <c r="F559" s="36">
        <f>vlookup(D559,'Team Bye List'!$A$1:$B$33,2,False)</f>
        <v>6</v>
      </c>
      <c r="G559" s="37">
        <f>if(ISNA(vlookup($A559, Sleeper!$B$2:$E$330, 4, false)), 0, vlookup($A559, Sleeper!$B$2:$E$330, 4, false))</f>
        <v>0</v>
      </c>
      <c r="H559" s="37">
        <f>if(ISNA(vlookup($A559, ESPN!$B$2:$E$297, 4, false)), 0, vlookup($A559, ESPN!$B$2:$E$297, 4, false))</f>
        <v>0</v>
      </c>
      <c r="I559" s="37">
        <f>if(ISNA(vlookup($A559,'Ultimate Draft Kit'!$B$2:$E$324,4, false)), 0, vlookup($A559,'Ultimate Draft Kit'!$B$2:$E$324, 4, false))</f>
        <v>0</v>
      </c>
      <c r="J559" s="38">
        <f>if(ISNA(vlookup($A559,Rotowire!$B$2:$E$1075,4, false)), 0, vlookup($A559,Rotowire!$B$2:$E$1075, 4, false))</f>
        <v>0</v>
      </c>
      <c r="K559" s="37">
        <f>if(ISNA(vlookup($A559, FantasyPro!$B$2:$E$341,4,false)),0,vlookup($A559,FantasyPro!$B$2:$E$341,4,false))</f>
        <v>0</v>
      </c>
      <c r="L559" s="37">
        <f>if(ISNA(vlookup($A559, FFToolbox!$B$2:$E$414, 4, false)), 0, vlookup($A559, FFToolbox!$B$2:$E$414, 4, false))</f>
        <v>1</v>
      </c>
      <c r="M559" s="39">
        <f t="shared" si="1"/>
        <v>0.1666666667</v>
      </c>
      <c r="N559" s="39">
        <f t="shared" si="2"/>
        <v>1</v>
      </c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</row>
    <row r="560">
      <c r="A560" s="17" t="s">
        <v>591</v>
      </c>
      <c r="B560" s="35" t="s">
        <v>1259</v>
      </c>
      <c r="C560" s="35" t="s">
        <v>1260</v>
      </c>
      <c r="D560" s="36" t="s">
        <v>25</v>
      </c>
      <c r="E560" s="36" t="s">
        <v>13</v>
      </c>
      <c r="F560" s="36">
        <f>vlookup(D560,'Team Bye List'!$A$1:$B$33,2,False)</f>
        <v>7</v>
      </c>
      <c r="G560" s="37">
        <f>if(ISNA(vlookup($A560, Sleeper!$B$2:$E$330, 4, false)), 0, vlookup($A560, Sleeper!$B$2:$E$330, 4, false))</f>
        <v>0</v>
      </c>
      <c r="H560" s="37">
        <f>if(ISNA(vlookup($A560, ESPN!$B$2:$E$297, 4, false)), 0, vlookup($A560, ESPN!$B$2:$E$297, 4, false))</f>
        <v>0</v>
      </c>
      <c r="I560" s="37">
        <f>if(ISNA(vlookup($A560,'Ultimate Draft Kit'!$B$2:$E$324,4, false)), 0, vlookup($A560,'Ultimate Draft Kit'!$B$2:$E$324, 4, false))</f>
        <v>0</v>
      </c>
      <c r="J560" s="38">
        <f>if(ISNA(vlookup($A560,Rotowire!$B$2:$E$1075,4, false)), 0, vlookup($A560,Rotowire!$B$2:$E$1075, 4, false))</f>
        <v>0</v>
      </c>
      <c r="K560" s="37">
        <f>if(ISNA(vlookup($A560, FantasyPro!$B$2:$E$341,4,false)),0,vlookup($A560,FantasyPro!$B$2:$E$341,4,false))</f>
        <v>0</v>
      </c>
      <c r="L560" s="37">
        <f>if(ISNA(vlookup($A560, FFToolbox!$B$2:$E$414, 4, false)), 0, vlookup($A560, FFToolbox!$B$2:$E$414, 4, false))</f>
        <v>0</v>
      </c>
      <c r="M560" s="39">
        <f t="shared" si="1"/>
        <v>0</v>
      </c>
      <c r="N560" s="39">
        <f t="shared" si="2"/>
        <v>0</v>
      </c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</row>
    <row r="561">
      <c r="A561" s="17" t="s">
        <v>652</v>
      </c>
      <c r="B561" s="35" t="s">
        <v>1259</v>
      </c>
      <c r="C561" s="35" t="s">
        <v>1260</v>
      </c>
      <c r="D561" s="36" t="s">
        <v>43</v>
      </c>
      <c r="E561" s="36" t="s">
        <v>13</v>
      </c>
      <c r="F561" s="36">
        <f>vlookup(D561,'Team Bye List'!$A$1:$B$33,2,False)</f>
        <v>9</v>
      </c>
      <c r="G561" s="37">
        <f>if(ISNA(vlookup($A561, Sleeper!$B$2:$E$330, 4, false)), 0, vlookup($A561, Sleeper!$B$2:$E$330, 4, false))</f>
        <v>0</v>
      </c>
      <c r="H561" s="37">
        <f>if(ISNA(vlookup($A561, ESPN!$B$2:$E$297, 4, false)), 0, vlookup($A561, ESPN!$B$2:$E$297, 4, false))</f>
        <v>0</v>
      </c>
      <c r="I561" s="37">
        <f>if(ISNA(vlookup($A561,'Ultimate Draft Kit'!$B$2:$E$324,4, false)), 0, vlookup($A561,'Ultimate Draft Kit'!$B$2:$E$324, 4, false))</f>
        <v>0</v>
      </c>
      <c r="J561" s="38">
        <f>if(ISNA(vlookup($A561,Rotowire!$B$2:$E$1075,4, false)), 0, vlookup($A561,Rotowire!$B$2:$E$1075, 4, false))</f>
        <v>0</v>
      </c>
      <c r="K561" s="37">
        <f>if(ISNA(vlookup($A561, FantasyPro!$B$2:$E$341,4,false)),0,vlookup($A561,FantasyPro!$B$2:$E$341,4,false))</f>
        <v>0</v>
      </c>
      <c r="L561" s="37">
        <f>if(ISNA(vlookup($A561, FFToolbox!$B$2:$E$414, 4, false)), 0, vlookup($A561, FFToolbox!$B$2:$E$414, 4, false))</f>
        <v>0</v>
      </c>
      <c r="M561" s="39">
        <f t="shared" si="1"/>
        <v>0</v>
      </c>
      <c r="N561" s="39">
        <f t="shared" si="2"/>
        <v>0</v>
      </c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</row>
    <row r="562">
      <c r="A562" s="17" t="s">
        <v>288</v>
      </c>
      <c r="B562" s="35" t="s">
        <v>1259</v>
      </c>
      <c r="C562" s="35" t="s">
        <v>1260</v>
      </c>
      <c r="D562" s="36" t="s">
        <v>85</v>
      </c>
      <c r="E562" s="36" t="s">
        <v>77</v>
      </c>
      <c r="F562" s="36">
        <f>vlookup(D562,'Team Bye List'!$A$1:$B$33,2,False)</f>
        <v>9</v>
      </c>
      <c r="G562" s="37">
        <f>if(ISNA(vlookup($A562, Sleeper!$B$2:$E$330, 4, false)), 0, vlookup($A562, Sleeper!$B$2:$E$330, 4, false))</f>
        <v>0</v>
      </c>
      <c r="H562" s="37">
        <f>if(ISNA(vlookup($A562, ESPN!$B$2:$E$297, 4, false)), 0, vlookup($A562, ESPN!$B$2:$E$297, 4, false))</f>
        <v>0</v>
      </c>
      <c r="I562" s="37">
        <f>if(ISNA(vlookup($A562,'Ultimate Draft Kit'!$B$2:$E$324,4, false)), 0, vlookup($A562,'Ultimate Draft Kit'!$B$2:$E$324, 4, false))</f>
        <v>0</v>
      </c>
      <c r="J562" s="38">
        <f>if(ISNA(vlookup($A562,Rotowire!$B$2:$E$1075,4, false)), 0, vlookup($A562,Rotowire!$B$2:$E$1075, 4, false))</f>
        <v>0</v>
      </c>
      <c r="K562" s="37">
        <f>if(ISNA(vlookup($A562, FantasyPro!$B$2:$E$341,4,false)),0,vlookup($A562,FantasyPro!$B$2:$E$341,4,false))</f>
        <v>0</v>
      </c>
      <c r="L562" s="37">
        <f>if(ISNA(vlookup($A562, FFToolbox!$B$2:$E$414, 4, false)), 0, vlookup($A562, FFToolbox!$B$2:$E$414, 4, false))</f>
        <v>1</v>
      </c>
      <c r="M562" s="39">
        <f t="shared" si="1"/>
        <v>0.1666666667</v>
      </c>
      <c r="N562" s="39">
        <f t="shared" si="2"/>
        <v>1</v>
      </c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</row>
    <row r="563">
      <c r="A563" s="17" t="s">
        <v>615</v>
      </c>
      <c r="B563" s="35" t="s">
        <v>1259</v>
      </c>
      <c r="C563" s="35" t="s">
        <v>1260</v>
      </c>
      <c r="D563" s="36" t="s">
        <v>32</v>
      </c>
      <c r="E563" s="36" t="s">
        <v>13</v>
      </c>
      <c r="F563" s="36">
        <f>vlookup(D563,'Team Bye List'!$A$1:$B$33,2,False)</f>
        <v>9</v>
      </c>
      <c r="G563" s="37">
        <f>if(ISNA(vlookup($A563, Sleeper!$B$2:$E$330, 4, false)), 0, vlookup($A563, Sleeper!$B$2:$E$330, 4, false))</f>
        <v>0</v>
      </c>
      <c r="H563" s="37">
        <f>if(ISNA(vlookup($A563, ESPN!$B$2:$E$297, 4, false)), 0, vlookup($A563, ESPN!$B$2:$E$297, 4, false))</f>
        <v>0</v>
      </c>
      <c r="I563" s="37">
        <f>if(ISNA(vlookup($A563,'Ultimate Draft Kit'!$B$2:$E$324,4, false)), 0, vlookup($A563,'Ultimate Draft Kit'!$B$2:$E$324, 4, false))</f>
        <v>0</v>
      </c>
      <c r="J563" s="38">
        <f>if(ISNA(vlookup($A563,Rotowire!$B$2:$E$1075,4, false)), 0, vlookup($A563,Rotowire!$B$2:$E$1075, 4, false))</f>
        <v>0</v>
      </c>
      <c r="K563" s="37">
        <f>if(ISNA(vlookup($A563, FantasyPro!$B$2:$E$341,4,false)),0,vlookup($A563,FantasyPro!$B$2:$E$341,4,false))</f>
        <v>0</v>
      </c>
      <c r="L563" s="37">
        <f>if(ISNA(vlookup($A563, FFToolbox!$B$2:$E$414, 4, false)), 0, vlookup($A563, FFToolbox!$B$2:$E$414, 4, false))</f>
        <v>0</v>
      </c>
      <c r="M563" s="39">
        <f t="shared" si="1"/>
        <v>0</v>
      </c>
      <c r="N563" s="39">
        <f t="shared" si="2"/>
        <v>0</v>
      </c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</row>
    <row r="564">
      <c r="A564" s="17" t="s">
        <v>632</v>
      </c>
      <c r="B564" s="35" t="s">
        <v>1259</v>
      </c>
      <c r="C564" s="35" t="s">
        <v>1260</v>
      </c>
      <c r="D564" s="36" t="s">
        <v>89</v>
      </c>
      <c r="E564" s="36" t="s">
        <v>13</v>
      </c>
      <c r="F564" s="36">
        <f>vlookup(D564,'Team Bye List'!$A$1:$B$33,2,False)</f>
        <v>14</v>
      </c>
      <c r="G564" s="37">
        <f>if(ISNA(vlookup($A564, Sleeper!$B$2:$E$330, 4, false)), 0, vlookup($A564, Sleeper!$B$2:$E$330, 4, false))</f>
        <v>0</v>
      </c>
      <c r="H564" s="37">
        <f>if(ISNA(vlookup($A564, ESPN!$B$2:$E$297, 4, false)), 0, vlookup($A564, ESPN!$B$2:$E$297, 4, false))</f>
        <v>0</v>
      </c>
      <c r="I564" s="37">
        <f>if(ISNA(vlookup($A564,'Ultimate Draft Kit'!$B$2:$E$324,4, false)), 0, vlookup($A564,'Ultimate Draft Kit'!$B$2:$E$324, 4, false))</f>
        <v>0</v>
      </c>
      <c r="J564" s="38">
        <f>if(ISNA(vlookup($A564,Rotowire!$B$2:$E$1075,4, false)), 0, vlookup($A564,Rotowire!$B$2:$E$1075, 4, false))</f>
        <v>0</v>
      </c>
      <c r="K564" s="37">
        <f>if(ISNA(vlookup($A564, FantasyPro!$B$2:$E$341,4,false)),0,vlookup($A564,FantasyPro!$B$2:$E$341,4,false))</f>
        <v>0</v>
      </c>
      <c r="L564" s="37">
        <f>if(ISNA(vlookup($A564, FFToolbox!$B$2:$E$414, 4, false)), 0, vlookup($A564, FFToolbox!$B$2:$E$414, 4, false))</f>
        <v>0</v>
      </c>
      <c r="M564" s="39">
        <f t="shared" si="1"/>
        <v>0</v>
      </c>
      <c r="N564" s="39">
        <f t="shared" si="2"/>
        <v>0</v>
      </c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</row>
    <row r="565">
      <c r="A565" s="17" t="s">
        <v>597</v>
      </c>
      <c r="B565" s="35" t="s">
        <v>1259</v>
      </c>
      <c r="C565" s="35" t="s">
        <v>1260</v>
      </c>
      <c r="D565" s="36" t="s">
        <v>55</v>
      </c>
      <c r="E565" s="36" t="s">
        <v>13</v>
      </c>
      <c r="F565" s="36">
        <f>vlookup(D565,'Team Bye List'!$A$1:$B$33,2,False)</f>
        <v>14</v>
      </c>
      <c r="G565" s="37">
        <f>if(ISNA(vlookup($A565, Sleeper!$B$2:$E$330, 4, false)), 0, vlookup($A565, Sleeper!$B$2:$E$330, 4, false))</f>
        <v>0</v>
      </c>
      <c r="H565" s="37">
        <f>if(ISNA(vlookup($A565, ESPN!$B$2:$E$297, 4, false)), 0, vlookup($A565, ESPN!$B$2:$E$297, 4, false))</f>
        <v>0</v>
      </c>
      <c r="I565" s="37">
        <f>if(ISNA(vlookup($A565,'Ultimate Draft Kit'!$B$2:$E$324,4, false)), 0, vlookup($A565,'Ultimate Draft Kit'!$B$2:$E$324, 4, false))</f>
        <v>0</v>
      </c>
      <c r="J565" s="38">
        <f>if(ISNA(vlookup($A565,Rotowire!$B$2:$E$1075,4, false)), 0, vlookup($A565,Rotowire!$B$2:$E$1075, 4, false))</f>
        <v>0</v>
      </c>
      <c r="K565" s="37">
        <f>if(ISNA(vlookup($A565, FantasyPro!$B$2:$E$341,4,false)),0,vlookup($A565,FantasyPro!$B$2:$E$341,4,false))</f>
        <v>0</v>
      </c>
      <c r="L565" s="37">
        <f>if(ISNA(vlookup($A565, FFToolbox!$B$2:$E$414, 4, false)), 0, vlookup($A565, FFToolbox!$B$2:$E$414, 4, false))</f>
        <v>0</v>
      </c>
      <c r="M565" s="39">
        <f t="shared" si="1"/>
        <v>0</v>
      </c>
      <c r="N565" s="39">
        <f t="shared" si="2"/>
        <v>0</v>
      </c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</row>
    <row r="566">
      <c r="A566" s="17" t="s">
        <v>635</v>
      </c>
      <c r="B566" s="35" t="s">
        <v>1259</v>
      </c>
      <c r="C566" s="35" t="s">
        <v>1260</v>
      </c>
      <c r="D566" s="36" t="s">
        <v>25</v>
      </c>
      <c r="E566" s="36" t="s">
        <v>13</v>
      </c>
      <c r="F566" s="36">
        <f>vlookup(D566,'Team Bye List'!$A$1:$B$33,2,False)</f>
        <v>7</v>
      </c>
      <c r="G566" s="37">
        <f>if(ISNA(vlookup($A566, Sleeper!$B$2:$E$330, 4, false)), 0, vlookup($A566, Sleeper!$B$2:$E$330, 4, false))</f>
        <v>0</v>
      </c>
      <c r="H566" s="37">
        <f>if(ISNA(vlookup($A566, ESPN!$B$2:$E$297, 4, false)), 0, vlookup($A566, ESPN!$B$2:$E$297, 4, false))</f>
        <v>0</v>
      </c>
      <c r="I566" s="37">
        <f>if(ISNA(vlookup($A566,'Ultimate Draft Kit'!$B$2:$E$324,4, false)), 0, vlookup($A566,'Ultimate Draft Kit'!$B$2:$E$324, 4, false))</f>
        <v>0</v>
      </c>
      <c r="J566" s="38">
        <f>if(ISNA(vlookup($A566,Rotowire!$B$2:$E$1075,4, false)), 0, vlookup($A566,Rotowire!$B$2:$E$1075, 4, false))</f>
        <v>0</v>
      </c>
      <c r="K566" s="37">
        <f>if(ISNA(vlookup($A566, FantasyPro!$B$2:$E$341,4,false)),0,vlookup($A566,FantasyPro!$B$2:$E$341,4,false))</f>
        <v>0</v>
      </c>
      <c r="L566" s="37">
        <f>if(ISNA(vlookup($A566, FFToolbox!$B$2:$E$414, 4, false)), 0, vlookup($A566, FFToolbox!$B$2:$E$414, 4, false))</f>
        <v>0</v>
      </c>
      <c r="M566" s="39">
        <f t="shared" si="1"/>
        <v>0</v>
      </c>
      <c r="N566" s="39">
        <f t="shared" si="2"/>
        <v>0</v>
      </c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</row>
    <row r="567">
      <c r="A567" s="17" t="s">
        <v>552</v>
      </c>
      <c r="B567" s="35" t="s">
        <v>1259</v>
      </c>
      <c r="C567" s="35" t="s">
        <v>1260</v>
      </c>
      <c r="D567" s="36" t="s">
        <v>35</v>
      </c>
      <c r="E567" s="36" t="s">
        <v>13</v>
      </c>
      <c r="F567" s="36">
        <f>vlookup(D567,'Team Bye List'!$A$1:$B$33,2,False)</f>
        <v>6</v>
      </c>
      <c r="G567" s="37">
        <f>if(ISNA(vlookup($A567, Sleeper!$B$2:$E$330, 4, false)), 0, vlookup($A567, Sleeper!$B$2:$E$330, 4, false))</f>
        <v>0</v>
      </c>
      <c r="H567" s="37">
        <f>if(ISNA(vlookup($A567, ESPN!$B$2:$E$297, 4, false)), 0, vlookup($A567, ESPN!$B$2:$E$297, 4, false))</f>
        <v>0</v>
      </c>
      <c r="I567" s="37">
        <f>if(ISNA(vlookup($A567,'Ultimate Draft Kit'!$B$2:$E$324,4, false)), 0, vlookup($A567,'Ultimate Draft Kit'!$B$2:$E$324, 4, false))</f>
        <v>0</v>
      </c>
      <c r="J567" s="38">
        <f>if(ISNA(vlookup($A567,Rotowire!$B$2:$E$1075,4, false)), 0, vlookup($A567,Rotowire!$B$2:$E$1075, 4, false))</f>
        <v>0</v>
      </c>
      <c r="K567" s="37">
        <f>if(ISNA(vlookup($A567, FantasyPro!$B$2:$E$341,4,false)),0,vlookup($A567,FantasyPro!$B$2:$E$341,4,false))</f>
        <v>0</v>
      </c>
      <c r="L567" s="37">
        <f>if(ISNA(vlookup($A567, FFToolbox!$B$2:$E$414, 4, false)), 0, vlookup($A567, FFToolbox!$B$2:$E$414, 4, false))</f>
        <v>0</v>
      </c>
      <c r="M567" s="39">
        <f t="shared" si="1"/>
        <v>0</v>
      </c>
      <c r="N567" s="39">
        <f t="shared" si="2"/>
        <v>0</v>
      </c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</row>
    <row r="568">
      <c r="A568" s="17" t="s">
        <v>232</v>
      </c>
      <c r="B568" s="35" t="s">
        <v>1259</v>
      </c>
      <c r="C568" s="35" t="s">
        <v>1260</v>
      </c>
      <c r="D568" s="36" t="s">
        <v>37</v>
      </c>
      <c r="E568" s="36" t="s">
        <v>8</v>
      </c>
      <c r="F568" s="36">
        <f>vlookup(D568,'Team Bye List'!$A$1:$B$33,2,False)</f>
        <v>11</v>
      </c>
      <c r="G568" s="37">
        <f>if(ISNA(vlookup($A568, Sleeper!$B$2:$E$330, 4, false)), 0, vlookup($A568, Sleeper!$B$2:$E$330, 4, false))</f>
        <v>0</v>
      </c>
      <c r="H568" s="37">
        <f>if(ISNA(vlookup($A568, ESPN!$B$2:$E$297, 4, false)), 0, vlookup($A568, ESPN!$B$2:$E$297, 4, false))</f>
        <v>0</v>
      </c>
      <c r="I568" s="37">
        <f>if(ISNA(vlookup($A568,'Ultimate Draft Kit'!$B$2:$E$324,4, false)), 0, vlookup($A568,'Ultimate Draft Kit'!$B$2:$E$324, 4, false))</f>
        <v>0</v>
      </c>
      <c r="J568" s="38">
        <f>if(ISNA(vlookup($A568,Rotowire!$B$2:$E$1075,4, false)), 0, vlookup($A568,Rotowire!$B$2:$E$1075, 4, false))</f>
        <v>0</v>
      </c>
      <c r="K568" s="37">
        <f>if(ISNA(vlookup($A568, FantasyPro!$B$2:$E$341,4,false)),0,vlookup($A568,FantasyPro!$B$2:$E$341,4,false))</f>
        <v>0</v>
      </c>
      <c r="L568" s="37">
        <f>if(ISNA(vlookup($A568, FFToolbox!$B$2:$E$414, 4, false)), 0, vlookup($A568, FFToolbox!$B$2:$E$414, 4, false))</f>
        <v>1</v>
      </c>
      <c r="M568" s="39">
        <f t="shared" si="1"/>
        <v>0.1666666667</v>
      </c>
      <c r="N568" s="39">
        <f t="shared" si="2"/>
        <v>1</v>
      </c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</row>
    <row r="569">
      <c r="A569" s="17" t="s">
        <v>578</v>
      </c>
      <c r="B569" s="35" t="s">
        <v>1259</v>
      </c>
      <c r="C569" s="35">
        <v>10.0</v>
      </c>
      <c r="D569" s="36" t="s">
        <v>41</v>
      </c>
      <c r="E569" s="36" t="s">
        <v>13</v>
      </c>
      <c r="F569" s="36">
        <f>vlookup(D569,'Team Bye List'!$A$1:$B$33,2,False)</f>
        <v>14</v>
      </c>
      <c r="G569" s="37">
        <f>if(ISNA(vlookup($A569, Sleeper!$B$2:$E$330, 4, false)), 0, vlookup($A569, Sleeper!$B$2:$E$330, 4, false))</f>
        <v>1</v>
      </c>
      <c r="H569" s="37">
        <f>if(ISNA(vlookup($A569, ESPN!$B$2:$E$297, 4, false)), 0, vlookup($A569, ESPN!$B$2:$E$297, 4, false))</f>
        <v>0</v>
      </c>
      <c r="I569" s="37">
        <f>if(ISNA(vlookup($A569,'Ultimate Draft Kit'!$B$2:$E$324,4, false)), 0, vlookup($A569,'Ultimate Draft Kit'!$B$2:$E$324, 4, false))</f>
        <v>1</v>
      </c>
      <c r="J569" s="38">
        <f>if(ISNA(vlookup($A569,Rotowire!$B$2:$E$1075,4, false)), 0, vlookup($A569,Rotowire!$B$2:$E$1075, 4, false))</f>
        <v>0</v>
      </c>
      <c r="K569" s="37">
        <f>if(ISNA(vlookup($A569, FantasyPro!$B$2:$E$341,4,false)),0,vlookup($A569,FantasyPro!$B$2:$E$341,4,false))</f>
        <v>0</v>
      </c>
      <c r="L569" s="37">
        <f>if(ISNA(vlookup($A569, FFToolbox!$B$2:$E$414, 4, false)), 0, vlookup($A569, FFToolbox!$B$2:$E$414, 4, false))</f>
        <v>1</v>
      </c>
      <c r="M569" s="39">
        <f t="shared" si="1"/>
        <v>0.5</v>
      </c>
      <c r="N569" s="39">
        <f t="shared" si="2"/>
        <v>1</v>
      </c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</row>
    <row r="570">
      <c r="A570" s="17" t="s">
        <v>640</v>
      </c>
      <c r="B570" s="35" t="s">
        <v>1259</v>
      </c>
      <c r="C570" s="35" t="s">
        <v>1260</v>
      </c>
      <c r="D570" s="36" t="s">
        <v>19</v>
      </c>
      <c r="E570" s="36" t="s">
        <v>13</v>
      </c>
      <c r="F570" s="36">
        <f>vlookup(D570,'Team Bye List'!$A$1:$B$33,2,False)</f>
        <v>10</v>
      </c>
      <c r="G570" s="37">
        <f>if(ISNA(vlookup($A570, Sleeper!$B$2:$E$330, 4, false)), 0, vlookup($A570, Sleeper!$B$2:$E$330, 4, false))</f>
        <v>0</v>
      </c>
      <c r="H570" s="37">
        <f>if(ISNA(vlookup($A570, ESPN!$B$2:$E$297, 4, false)), 0, vlookup($A570, ESPN!$B$2:$E$297, 4, false))</f>
        <v>0</v>
      </c>
      <c r="I570" s="37">
        <f>if(ISNA(vlookup($A570,'Ultimate Draft Kit'!$B$2:$E$324,4, false)), 0, vlookup($A570,'Ultimate Draft Kit'!$B$2:$E$324, 4, false))</f>
        <v>0</v>
      </c>
      <c r="J570" s="38">
        <f>if(ISNA(vlookup($A570,Rotowire!$B$2:$E$1075,4, false)), 0, vlookup($A570,Rotowire!$B$2:$E$1075, 4, false))</f>
        <v>0</v>
      </c>
      <c r="K570" s="37">
        <f>if(ISNA(vlookup($A570, FantasyPro!$B$2:$E$341,4,false)),0,vlookup($A570,FantasyPro!$B$2:$E$341,4,false))</f>
        <v>0</v>
      </c>
      <c r="L570" s="37">
        <f>if(ISNA(vlookup($A570, FFToolbox!$B$2:$E$414, 4, false)), 0, vlookup($A570, FFToolbox!$B$2:$E$414, 4, false))</f>
        <v>0</v>
      </c>
      <c r="M570" s="39">
        <f t="shared" si="1"/>
        <v>0</v>
      </c>
      <c r="N570" s="39">
        <f t="shared" si="2"/>
        <v>0</v>
      </c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</row>
    <row r="571">
      <c r="A571" s="17" t="s">
        <v>627</v>
      </c>
      <c r="B571" s="35" t="s">
        <v>1259</v>
      </c>
      <c r="C571" s="35" t="s">
        <v>1260</v>
      </c>
      <c r="D571" s="36" t="s">
        <v>28</v>
      </c>
      <c r="E571" s="36" t="s">
        <v>13</v>
      </c>
      <c r="F571" s="36">
        <f>vlookup(D571,'Team Bye List'!$A$1:$B$33,2,False)</f>
        <v>11</v>
      </c>
      <c r="G571" s="37">
        <f>if(ISNA(vlookup($A571, Sleeper!$B$2:$E$330, 4, false)), 0, vlookup($A571, Sleeper!$B$2:$E$330, 4, false))</f>
        <v>0</v>
      </c>
      <c r="H571" s="37">
        <f>if(ISNA(vlookup($A571, ESPN!$B$2:$E$297, 4, false)), 0, vlookup($A571, ESPN!$B$2:$E$297, 4, false))</f>
        <v>0</v>
      </c>
      <c r="I571" s="37">
        <f>if(ISNA(vlookup($A571,'Ultimate Draft Kit'!$B$2:$E$324,4, false)), 0, vlookup($A571,'Ultimate Draft Kit'!$B$2:$E$324, 4, false))</f>
        <v>0</v>
      </c>
      <c r="J571" s="38">
        <f>if(ISNA(vlookup($A571,Rotowire!$B$2:$E$1075,4, false)), 0, vlookup($A571,Rotowire!$B$2:$E$1075, 4, false))</f>
        <v>0</v>
      </c>
      <c r="K571" s="37">
        <f>if(ISNA(vlookup($A571, FantasyPro!$B$2:$E$341,4,false)),0,vlookup($A571,FantasyPro!$B$2:$E$341,4,false))</f>
        <v>0</v>
      </c>
      <c r="L571" s="37">
        <f>if(ISNA(vlookup($A571, FFToolbox!$B$2:$E$414, 4, false)), 0, vlookup($A571, FFToolbox!$B$2:$E$414, 4, false))</f>
        <v>0</v>
      </c>
      <c r="M571" s="39">
        <f t="shared" si="1"/>
        <v>0</v>
      </c>
      <c r="N571" s="39">
        <f t="shared" si="2"/>
        <v>0</v>
      </c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</row>
    <row r="572">
      <c r="A572" s="17" t="s">
        <v>565</v>
      </c>
      <c r="B572" s="35" t="s">
        <v>1259</v>
      </c>
      <c r="C572" s="35" t="s">
        <v>1260</v>
      </c>
      <c r="D572" s="36" t="s">
        <v>30</v>
      </c>
      <c r="E572" s="36" t="s">
        <v>13</v>
      </c>
      <c r="F572" s="36">
        <f>vlookup(D572,'Team Bye List'!$A$1:$B$33,2,False)</f>
        <v>7</v>
      </c>
      <c r="G572" s="37">
        <f>if(ISNA(vlookup($A572, Sleeper!$B$2:$E$330, 4, false)), 0, vlookup($A572, Sleeper!$B$2:$E$330, 4, false))</f>
        <v>0</v>
      </c>
      <c r="H572" s="37">
        <f>if(ISNA(vlookup($A572, ESPN!$B$2:$E$297, 4, false)), 0, vlookup($A572, ESPN!$B$2:$E$297, 4, false))</f>
        <v>0</v>
      </c>
      <c r="I572" s="37">
        <f>if(ISNA(vlookup($A572,'Ultimate Draft Kit'!$B$2:$E$324,4, false)), 0, vlookup($A572,'Ultimate Draft Kit'!$B$2:$E$324, 4, false))</f>
        <v>0</v>
      </c>
      <c r="J572" s="38">
        <f>if(ISNA(vlookup($A572,Rotowire!$B$2:$E$1075,4, false)), 0, vlookup($A572,Rotowire!$B$2:$E$1075, 4, false))</f>
        <v>0</v>
      </c>
      <c r="K572" s="37">
        <f>if(ISNA(vlookup($A572, FantasyPro!$B$2:$E$341,4,false)),0,vlookup($A572,FantasyPro!$B$2:$E$341,4,false))</f>
        <v>0</v>
      </c>
      <c r="L572" s="37">
        <f>if(ISNA(vlookup($A572, FFToolbox!$B$2:$E$414, 4, false)), 0, vlookup($A572, FFToolbox!$B$2:$E$414, 4, false))</f>
        <v>0</v>
      </c>
      <c r="M572" s="39">
        <f t="shared" si="1"/>
        <v>0</v>
      </c>
      <c r="N572" s="39">
        <f t="shared" si="2"/>
        <v>0</v>
      </c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</row>
    <row r="573">
      <c r="A573" s="17" t="s">
        <v>620</v>
      </c>
      <c r="B573" s="35" t="s">
        <v>1259</v>
      </c>
      <c r="C573" s="35" t="s">
        <v>1260</v>
      </c>
      <c r="D573" s="36" t="s">
        <v>73</v>
      </c>
      <c r="E573" s="36" t="s">
        <v>13</v>
      </c>
      <c r="F573" s="36">
        <f>vlookup(D573,'Team Bye List'!$A$1:$B$33,2,False)</f>
        <v>14</v>
      </c>
      <c r="G573" s="37">
        <f>if(ISNA(vlookup($A573, Sleeper!$B$2:$E$330, 4, false)), 0, vlookup($A573, Sleeper!$B$2:$E$330, 4, false))</f>
        <v>0</v>
      </c>
      <c r="H573" s="37">
        <f>if(ISNA(vlookup($A573, ESPN!$B$2:$E$297, 4, false)), 0, vlookup($A573, ESPN!$B$2:$E$297, 4, false))</f>
        <v>0</v>
      </c>
      <c r="I573" s="37">
        <f>if(ISNA(vlookup($A573,'Ultimate Draft Kit'!$B$2:$E$324,4, false)), 0, vlookup($A573,'Ultimate Draft Kit'!$B$2:$E$324, 4, false))</f>
        <v>0</v>
      </c>
      <c r="J573" s="38">
        <f>if(ISNA(vlookup($A573,Rotowire!$B$2:$E$1075,4, false)), 0, vlookup($A573,Rotowire!$B$2:$E$1075, 4, false))</f>
        <v>0</v>
      </c>
      <c r="K573" s="37">
        <f>if(ISNA(vlookup($A573, FantasyPro!$B$2:$E$341,4,false)),0,vlookup($A573,FantasyPro!$B$2:$E$341,4,false))</f>
        <v>0</v>
      </c>
      <c r="L573" s="37">
        <f>if(ISNA(vlookup($A573, FFToolbox!$B$2:$E$414, 4, false)), 0, vlookup($A573, FFToolbox!$B$2:$E$414, 4, false))</f>
        <v>1</v>
      </c>
      <c r="M573" s="39">
        <f t="shared" si="1"/>
        <v>0.1666666667</v>
      </c>
      <c r="N573" s="39">
        <f t="shared" si="2"/>
        <v>1</v>
      </c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</row>
    <row r="574">
      <c r="A574" s="17" t="s">
        <v>644</v>
      </c>
      <c r="B574" s="35" t="s">
        <v>1259</v>
      </c>
      <c r="C574" s="35" t="s">
        <v>1260</v>
      </c>
      <c r="D574" s="36" t="s">
        <v>7</v>
      </c>
      <c r="E574" s="36" t="s">
        <v>13</v>
      </c>
      <c r="F574" s="36">
        <f>vlookup(D574,'Team Bye List'!$A$1:$B$33,2,False)</f>
        <v>14</v>
      </c>
      <c r="G574" s="37">
        <f>if(ISNA(vlookup($A574, Sleeper!$B$2:$E$330, 4, false)), 0, vlookup($A574, Sleeper!$B$2:$E$330, 4, false))</f>
        <v>0</v>
      </c>
      <c r="H574" s="37">
        <f>if(ISNA(vlookup($A574, ESPN!$B$2:$E$297, 4, false)), 0, vlookup($A574, ESPN!$B$2:$E$297, 4, false))</f>
        <v>0</v>
      </c>
      <c r="I574" s="37">
        <f>if(ISNA(vlookup($A574,'Ultimate Draft Kit'!$B$2:$E$324,4, false)), 0, vlookup($A574,'Ultimate Draft Kit'!$B$2:$E$324, 4, false))</f>
        <v>0</v>
      </c>
      <c r="J574" s="38">
        <f>if(ISNA(vlookup($A574,Rotowire!$B$2:$E$1075,4, false)), 0, vlookup($A574,Rotowire!$B$2:$E$1075, 4, false))</f>
        <v>0</v>
      </c>
      <c r="K574" s="37">
        <f>if(ISNA(vlookup($A574, FantasyPro!$B$2:$E$341,4,false)),0,vlookup($A574,FantasyPro!$B$2:$E$341,4,false))</f>
        <v>0</v>
      </c>
      <c r="L574" s="37">
        <f>if(ISNA(vlookup($A574, FFToolbox!$B$2:$E$414, 4, false)), 0, vlookup($A574, FFToolbox!$B$2:$E$414, 4, false))</f>
        <v>0</v>
      </c>
      <c r="M574" s="39">
        <f t="shared" si="1"/>
        <v>0</v>
      </c>
      <c r="N574" s="39">
        <f t="shared" si="2"/>
        <v>0</v>
      </c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</row>
    <row r="575">
      <c r="A575" s="17" t="s">
        <v>623</v>
      </c>
      <c r="B575" s="35" t="s">
        <v>1259</v>
      </c>
      <c r="C575" s="35" t="s">
        <v>1260</v>
      </c>
      <c r="D575" s="36" t="s">
        <v>85</v>
      </c>
      <c r="E575" s="36" t="s">
        <v>13</v>
      </c>
      <c r="F575" s="36">
        <f>vlookup(D575,'Team Bye List'!$A$1:$B$33,2,False)</f>
        <v>9</v>
      </c>
      <c r="G575" s="37">
        <f>if(ISNA(vlookup($A575, Sleeper!$B$2:$E$330, 4, false)), 0, vlookup($A575, Sleeper!$B$2:$E$330, 4, false))</f>
        <v>0</v>
      </c>
      <c r="H575" s="37">
        <f>if(ISNA(vlookup($A575, ESPN!$B$2:$E$297, 4, false)), 0, vlookup($A575, ESPN!$B$2:$E$297, 4, false))</f>
        <v>0</v>
      </c>
      <c r="I575" s="37">
        <f>if(ISNA(vlookup($A575,'Ultimate Draft Kit'!$B$2:$E$324,4, false)), 0, vlookup($A575,'Ultimate Draft Kit'!$B$2:$E$324, 4, false))</f>
        <v>0</v>
      </c>
      <c r="J575" s="38">
        <f>if(ISNA(vlookup($A575,Rotowire!$B$2:$E$1075,4, false)), 0, vlookup($A575,Rotowire!$B$2:$E$1075, 4, false))</f>
        <v>0</v>
      </c>
      <c r="K575" s="37">
        <f>if(ISNA(vlookup($A575, FantasyPro!$B$2:$E$341,4,false)),0,vlookup($A575,FantasyPro!$B$2:$E$341,4,false))</f>
        <v>0</v>
      </c>
      <c r="L575" s="37">
        <f>if(ISNA(vlookup($A575, FFToolbox!$B$2:$E$414, 4, false)), 0, vlookup($A575, FFToolbox!$B$2:$E$414, 4, false))</f>
        <v>0</v>
      </c>
      <c r="M575" s="39">
        <f t="shared" si="1"/>
        <v>0</v>
      </c>
      <c r="N575" s="39">
        <f t="shared" si="2"/>
        <v>0</v>
      </c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</row>
    <row r="576">
      <c r="A576" s="17" t="s">
        <v>602</v>
      </c>
      <c r="B576" s="35" t="s">
        <v>1259</v>
      </c>
      <c r="C576" s="35" t="s">
        <v>1260</v>
      </c>
      <c r="D576" s="36" t="s">
        <v>23</v>
      </c>
      <c r="E576" s="36" t="s">
        <v>13</v>
      </c>
      <c r="F576" s="36">
        <f>vlookup(D576,'Team Bye List'!$A$1:$B$33,2,False)</f>
        <v>9</v>
      </c>
      <c r="G576" s="37">
        <f>if(ISNA(vlookup($A576, Sleeper!$B$2:$E$330, 4, false)), 0, vlookup($A576, Sleeper!$B$2:$E$330, 4, false))</f>
        <v>0</v>
      </c>
      <c r="H576" s="37">
        <f>if(ISNA(vlookup($A576, ESPN!$B$2:$E$297, 4, false)), 0, vlookup($A576, ESPN!$B$2:$E$297, 4, false))</f>
        <v>0</v>
      </c>
      <c r="I576" s="37">
        <f>if(ISNA(vlookup($A576,'Ultimate Draft Kit'!$B$2:$E$324,4, false)), 0, vlookup($A576,'Ultimate Draft Kit'!$B$2:$E$324, 4, false))</f>
        <v>0</v>
      </c>
      <c r="J576" s="38">
        <f>if(ISNA(vlookup($A576,Rotowire!$B$2:$E$1075,4, false)), 0, vlookup($A576,Rotowire!$B$2:$E$1075, 4, false))</f>
        <v>0</v>
      </c>
      <c r="K576" s="37">
        <f>if(ISNA(vlookup($A576, FantasyPro!$B$2:$E$341,4,false)),0,vlookup($A576,FantasyPro!$B$2:$E$341,4,false))</f>
        <v>0</v>
      </c>
      <c r="L576" s="37">
        <f>if(ISNA(vlookup($A576, FFToolbox!$B$2:$E$414, 4, false)), 0, vlookup($A576, FFToolbox!$B$2:$E$414, 4, false))</f>
        <v>0</v>
      </c>
      <c r="M576" s="39">
        <f t="shared" si="1"/>
        <v>0</v>
      </c>
      <c r="N576" s="39">
        <f t="shared" si="2"/>
        <v>0</v>
      </c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</row>
    <row r="577">
      <c r="A577" s="17" t="s">
        <v>657</v>
      </c>
      <c r="B577" s="35" t="s">
        <v>1259</v>
      </c>
      <c r="C577" s="35" t="s">
        <v>1260</v>
      </c>
      <c r="D577" s="36" t="s">
        <v>69</v>
      </c>
      <c r="E577" s="36" t="s">
        <v>13</v>
      </c>
      <c r="F577" s="36">
        <f>vlookup(D577,'Team Bye List'!$A$1:$B$33,2,False)</f>
        <v>10</v>
      </c>
      <c r="G577" s="37">
        <f>if(ISNA(vlookup($A577, Sleeper!$B$2:$E$330, 4, false)), 0, vlookup($A577, Sleeper!$B$2:$E$330, 4, false))</f>
        <v>0</v>
      </c>
      <c r="H577" s="37">
        <f>if(ISNA(vlookup($A577, ESPN!$B$2:$E$297, 4, false)), 0, vlookup($A577, ESPN!$B$2:$E$297, 4, false))</f>
        <v>0</v>
      </c>
      <c r="I577" s="37">
        <f>if(ISNA(vlookup($A577,'Ultimate Draft Kit'!$B$2:$E$324,4, false)), 0, vlookup($A577,'Ultimate Draft Kit'!$B$2:$E$324, 4, false))</f>
        <v>0</v>
      </c>
      <c r="J577" s="38">
        <f>if(ISNA(vlookup($A577,Rotowire!$B$2:$E$1075,4, false)), 0, vlookup($A577,Rotowire!$B$2:$E$1075, 4, false))</f>
        <v>0</v>
      </c>
      <c r="K577" s="37">
        <f>if(ISNA(vlookup($A577, FantasyPro!$B$2:$E$341,4,false)),0,vlookup($A577,FantasyPro!$B$2:$E$341,4,false))</f>
        <v>0</v>
      </c>
      <c r="L577" s="37">
        <f>if(ISNA(vlookup($A577, FFToolbox!$B$2:$E$414, 4, false)), 0, vlookup($A577, FFToolbox!$B$2:$E$414, 4, false))</f>
        <v>0</v>
      </c>
      <c r="M577" s="39">
        <f t="shared" si="1"/>
        <v>0</v>
      </c>
      <c r="N577" s="39">
        <f t="shared" si="2"/>
        <v>0</v>
      </c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</row>
    <row r="578">
      <c r="A578" s="17" t="s">
        <v>687</v>
      </c>
      <c r="B578" s="35" t="s">
        <v>1259</v>
      </c>
      <c r="C578" s="35" t="s">
        <v>1260</v>
      </c>
      <c r="D578" s="36" t="s">
        <v>12</v>
      </c>
      <c r="E578" s="36" t="s">
        <v>13</v>
      </c>
      <c r="F578" s="36">
        <f>vlookup(D578,'Team Bye List'!$A$1:$B$33,2,False)</f>
        <v>8</v>
      </c>
      <c r="G578" s="37">
        <f>if(ISNA(vlookup($A578, Sleeper!$B$2:$E$330, 4, false)), 0, vlookup($A578, Sleeper!$B$2:$E$330, 4, false))</f>
        <v>0</v>
      </c>
      <c r="H578" s="37">
        <f>if(ISNA(vlookup($A578, ESPN!$B$2:$E$297, 4, false)), 0, vlookup($A578, ESPN!$B$2:$E$297, 4, false))</f>
        <v>0</v>
      </c>
      <c r="I578" s="37">
        <f>if(ISNA(vlookup($A578,'Ultimate Draft Kit'!$B$2:$E$324,4, false)), 0, vlookup($A578,'Ultimate Draft Kit'!$B$2:$E$324, 4, false))</f>
        <v>0</v>
      </c>
      <c r="J578" s="38">
        <f>if(ISNA(vlookup($A578,Rotowire!$B$2:$E$1075,4, false)), 0, vlookup($A578,Rotowire!$B$2:$E$1075, 4, false))</f>
        <v>0</v>
      </c>
      <c r="K578" s="37">
        <f>if(ISNA(vlookup($A578, FantasyPro!$B$2:$E$341,4,false)),0,vlookup($A578,FantasyPro!$B$2:$E$341,4,false))</f>
        <v>0</v>
      </c>
      <c r="L578" s="37">
        <f>if(ISNA(vlookup($A578, FFToolbox!$B$2:$E$414, 4, false)), 0, vlookup($A578, FFToolbox!$B$2:$E$414, 4, false))</f>
        <v>1</v>
      </c>
      <c r="M578" s="39">
        <f t="shared" si="1"/>
        <v>0.1666666667</v>
      </c>
      <c r="N578" s="39">
        <f t="shared" si="2"/>
        <v>1</v>
      </c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</row>
    <row r="579">
      <c r="A579" s="17" t="s">
        <v>681</v>
      </c>
      <c r="B579" s="35" t="s">
        <v>1259</v>
      </c>
      <c r="C579" s="35" t="s">
        <v>1260</v>
      </c>
      <c r="D579" s="36" t="s">
        <v>30</v>
      </c>
      <c r="E579" s="36" t="s">
        <v>13</v>
      </c>
      <c r="F579" s="36">
        <f>vlookup(D579,'Team Bye List'!$A$1:$B$33,2,False)</f>
        <v>7</v>
      </c>
      <c r="G579" s="37">
        <f>if(ISNA(vlookup($A579, Sleeper!$B$2:$E$330, 4, false)), 0, vlookup($A579, Sleeper!$B$2:$E$330, 4, false))</f>
        <v>0</v>
      </c>
      <c r="H579" s="37">
        <f>if(ISNA(vlookup($A579, ESPN!$B$2:$E$297, 4, false)), 0, vlookup($A579, ESPN!$B$2:$E$297, 4, false))</f>
        <v>0</v>
      </c>
      <c r="I579" s="37">
        <f>if(ISNA(vlookup($A579,'Ultimate Draft Kit'!$B$2:$E$324,4, false)), 0, vlookup($A579,'Ultimate Draft Kit'!$B$2:$E$324, 4, false))</f>
        <v>0</v>
      </c>
      <c r="J579" s="38">
        <f>if(ISNA(vlookup($A579,Rotowire!$B$2:$E$1075,4, false)), 0, vlookup($A579,Rotowire!$B$2:$E$1075, 4, false))</f>
        <v>0</v>
      </c>
      <c r="K579" s="37">
        <f>if(ISNA(vlookup($A579, FantasyPro!$B$2:$E$341,4,false)),0,vlookup($A579,FantasyPro!$B$2:$E$341,4,false))</f>
        <v>0</v>
      </c>
      <c r="L579" s="37">
        <f>if(ISNA(vlookup($A579, FFToolbox!$B$2:$E$414, 4, false)), 0, vlookup($A579, FFToolbox!$B$2:$E$414, 4, false))</f>
        <v>0</v>
      </c>
      <c r="M579" s="39">
        <f t="shared" si="1"/>
        <v>0</v>
      </c>
      <c r="N579" s="39">
        <f t="shared" si="2"/>
        <v>0</v>
      </c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</row>
    <row r="580">
      <c r="A580" s="17" t="s">
        <v>621</v>
      </c>
      <c r="B580" s="35" t="s">
        <v>1259</v>
      </c>
      <c r="C580" s="35" t="s">
        <v>1260</v>
      </c>
      <c r="D580" s="36" t="s">
        <v>17</v>
      </c>
      <c r="E580" s="36" t="s">
        <v>13</v>
      </c>
      <c r="F580" s="36">
        <f>vlookup(D580,'Team Bye List'!$A$1:$B$33,2,False)</f>
        <v>7</v>
      </c>
      <c r="G580" s="37">
        <f>if(ISNA(vlookup($A580, Sleeper!$B$2:$E$330, 4, false)), 0, vlookup($A580, Sleeper!$B$2:$E$330, 4, false))</f>
        <v>0</v>
      </c>
      <c r="H580" s="37">
        <f>if(ISNA(vlookup($A580, ESPN!$B$2:$E$297, 4, false)), 0, vlookup($A580, ESPN!$B$2:$E$297, 4, false))</f>
        <v>0</v>
      </c>
      <c r="I580" s="37">
        <f>if(ISNA(vlookup($A580,'Ultimate Draft Kit'!$B$2:$E$324,4, false)), 0, vlookup($A580,'Ultimate Draft Kit'!$B$2:$E$324, 4, false))</f>
        <v>0</v>
      </c>
      <c r="J580" s="38">
        <f>if(ISNA(vlookup($A580,Rotowire!$B$2:$E$1075,4, false)), 0, vlookup($A580,Rotowire!$B$2:$E$1075, 4, false))</f>
        <v>0</v>
      </c>
      <c r="K580" s="37">
        <f>if(ISNA(vlookup($A580, FantasyPro!$B$2:$E$341,4,false)),0,vlookup($A580,FantasyPro!$B$2:$E$341,4,false))</f>
        <v>0</v>
      </c>
      <c r="L580" s="37">
        <f>if(ISNA(vlookup($A580, FFToolbox!$B$2:$E$414, 4, false)), 0, vlookup($A580, FFToolbox!$B$2:$E$414, 4, false))</f>
        <v>0</v>
      </c>
      <c r="M580" s="39">
        <f t="shared" si="1"/>
        <v>0</v>
      </c>
      <c r="N580" s="39">
        <f t="shared" si="2"/>
        <v>0</v>
      </c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</row>
    <row r="581">
      <c r="A581" s="17" t="s">
        <v>630</v>
      </c>
      <c r="B581" s="35" t="s">
        <v>1259</v>
      </c>
      <c r="C581" s="35" t="s">
        <v>1260</v>
      </c>
      <c r="D581" s="36" t="s">
        <v>19</v>
      </c>
      <c r="E581" s="36" t="s">
        <v>13</v>
      </c>
      <c r="F581" s="36">
        <f>vlookup(D581,'Team Bye List'!$A$1:$B$33,2,False)</f>
        <v>10</v>
      </c>
      <c r="G581" s="37">
        <f>if(ISNA(vlookup($A581, Sleeper!$B$2:$E$330, 4, false)), 0, vlookup($A581, Sleeper!$B$2:$E$330, 4, false))</f>
        <v>0</v>
      </c>
      <c r="H581" s="37">
        <f>if(ISNA(vlookup($A581, ESPN!$B$2:$E$297, 4, false)), 0, vlookup($A581, ESPN!$B$2:$E$297, 4, false))</f>
        <v>0</v>
      </c>
      <c r="I581" s="37">
        <f>if(ISNA(vlookup($A581,'Ultimate Draft Kit'!$B$2:$E$324,4, false)), 0, vlookup($A581,'Ultimate Draft Kit'!$B$2:$E$324, 4, false))</f>
        <v>0</v>
      </c>
      <c r="J581" s="38">
        <f>if(ISNA(vlookup($A581,Rotowire!$B$2:$E$1075,4, false)), 0, vlookup($A581,Rotowire!$B$2:$E$1075, 4, false))</f>
        <v>0</v>
      </c>
      <c r="K581" s="37">
        <f>if(ISNA(vlookup($A581, FantasyPro!$B$2:$E$341,4,false)),0,vlookup($A581,FantasyPro!$B$2:$E$341,4,false))</f>
        <v>0</v>
      </c>
      <c r="L581" s="37">
        <f>if(ISNA(vlookup($A581, FFToolbox!$B$2:$E$414, 4, false)), 0, vlookup($A581, FFToolbox!$B$2:$E$414, 4, false))</f>
        <v>0</v>
      </c>
      <c r="M581" s="39">
        <f t="shared" si="1"/>
        <v>0</v>
      </c>
      <c r="N581" s="39">
        <f t="shared" si="2"/>
        <v>0</v>
      </c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</row>
    <row r="582">
      <c r="A582" s="17" t="s">
        <v>226</v>
      </c>
      <c r="B582" s="35" t="s">
        <v>1259</v>
      </c>
      <c r="C582" s="35">
        <v>11.0</v>
      </c>
      <c r="D582" s="36" t="s">
        <v>53</v>
      </c>
      <c r="E582" s="36" t="s">
        <v>8</v>
      </c>
      <c r="F582" s="36">
        <f>vlookup(D582,'Team Bye List'!$A$1:$B$33,2,False)</f>
        <v>9</v>
      </c>
      <c r="G582" s="37">
        <f>if(ISNA(vlookup($A582, Sleeper!$B$2:$E$330, 4, false)), 0, vlookup($A582, Sleeper!$B$2:$E$330, 4, false))</f>
        <v>1</v>
      </c>
      <c r="H582" s="37">
        <f>if(ISNA(vlookup($A582, ESPN!$B$2:$E$297, 4, false)), 0, vlookup($A582, ESPN!$B$2:$E$297, 4, false))</f>
        <v>0</v>
      </c>
      <c r="I582" s="37">
        <f>if(ISNA(vlookup($A582,'Ultimate Draft Kit'!$B$2:$E$324,4, false)), 0, vlookup($A582,'Ultimate Draft Kit'!$B$2:$E$324, 4, false))</f>
        <v>1</v>
      </c>
      <c r="J582" s="38">
        <f>if(ISNA(vlookup($A582,Rotowire!$B$2:$E$1075,4, false)), 0, vlookup($A582,Rotowire!$B$2:$E$1075, 4, false))</f>
        <v>0</v>
      </c>
      <c r="K582" s="37">
        <f>if(ISNA(vlookup($A582, FantasyPro!$B$2:$E$341,4,false)),0,vlookup($A582,FantasyPro!$B$2:$E$341,4,false))</f>
        <v>0</v>
      </c>
      <c r="L582" s="37">
        <f>if(ISNA(vlookup($A582, FFToolbox!$B$2:$E$414, 4, false)), 0, vlookup($A582, FFToolbox!$B$2:$E$414, 4, false))</f>
        <v>1</v>
      </c>
      <c r="M582" s="39">
        <f t="shared" si="1"/>
        <v>0.5</v>
      </c>
      <c r="N582" s="39">
        <f t="shared" si="2"/>
        <v>1</v>
      </c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</row>
    <row r="583">
      <c r="A583" s="17" t="s">
        <v>662</v>
      </c>
      <c r="B583" s="35" t="s">
        <v>1259</v>
      </c>
      <c r="C583" s="35" t="s">
        <v>1260</v>
      </c>
      <c r="D583" s="36" t="s">
        <v>21</v>
      </c>
      <c r="E583" s="36" t="s">
        <v>13</v>
      </c>
      <c r="F583" s="36">
        <f>vlookup(D583,'Team Bye List'!$A$1:$B$33,2,False)</f>
        <v>6</v>
      </c>
      <c r="G583" s="37">
        <f>if(ISNA(vlookup($A583, Sleeper!$B$2:$E$330, 4, false)), 0, vlookup($A583, Sleeper!$B$2:$E$330, 4, false))</f>
        <v>0</v>
      </c>
      <c r="H583" s="37">
        <f>if(ISNA(vlookup($A583, ESPN!$B$2:$E$297, 4, false)), 0, vlookup($A583, ESPN!$B$2:$E$297, 4, false))</f>
        <v>0</v>
      </c>
      <c r="I583" s="37">
        <f>if(ISNA(vlookup($A583,'Ultimate Draft Kit'!$B$2:$E$324,4, false)), 0, vlookup($A583,'Ultimate Draft Kit'!$B$2:$E$324, 4, false))</f>
        <v>0</v>
      </c>
      <c r="J583" s="38">
        <f>if(ISNA(vlookup($A583,Rotowire!$B$2:$E$1075,4, false)), 0, vlookup($A583,Rotowire!$B$2:$E$1075, 4, false))</f>
        <v>0</v>
      </c>
      <c r="K583" s="37">
        <f>if(ISNA(vlookup($A583, FantasyPro!$B$2:$E$341,4,false)),0,vlookup($A583,FantasyPro!$B$2:$E$341,4,false))</f>
        <v>0</v>
      </c>
      <c r="L583" s="37">
        <f>if(ISNA(vlookup($A583, FFToolbox!$B$2:$E$414, 4, false)), 0, vlookup($A583, FFToolbox!$B$2:$E$414, 4, false))</f>
        <v>0</v>
      </c>
      <c r="M583" s="39">
        <f t="shared" si="1"/>
        <v>0</v>
      </c>
      <c r="N583" s="39">
        <f t="shared" si="2"/>
        <v>0</v>
      </c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</row>
    <row r="584">
      <c r="A584" s="17" t="s">
        <v>648</v>
      </c>
      <c r="B584" s="35" t="s">
        <v>1259</v>
      </c>
      <c r="C584" s="35" t="s">
        <v>1260</v>
      </c>
      <c r="D584" s="36" t="s">
        <v>10</v>
      </c>
      <c r="E584" s="36" t="s">
        <v>13</v>
      </c>
      <c r="F584" s="36">
        <f>vlookup(D584,'Team Bye List'!$A$1:$B$33,2,False)</f>
        <v>13</v>
      </c>
      <c r="G584" s="37">
        <f>if(ISNA(vlookup($A584, Sleeper!$B$2:$E$330, 4, false)), 0, vlookup($A584, Sleeper!$B$2:$E$330, 4, false))</f>
        <v>0</v>
      </c>
      <c r="H584" s="37">
        <f>if(ISNA(vlookup($A584, ESPN!$B$2:$E$297, 4, false)), 0, vlookup($A584, ESPN!$B$2:$E$297, 4, false))</f>
        <v>0</v>
      </c>
      <c r="I584" s="37">
        <f>if(ISNA(vlookup($A584,'Ultimate Draft Kit'!$B$2:$E$324,4, false)), 0, vlookup($A584,'Ultimate Draft Kit'!$B$2:$E$324, 4, false))</f>
        <v>0</v>
      </c>
      <c r="J584" s="38">
        <f>if(ISNA(vlookup($A584,Rotowire!$B$2:$E$1075,4, false)), 0, vlookup($A584,Rotowire!$B$2:$E$1075, 4, false))</f>
        <v>0</v>
      </c>
      <c r="K584" s="37">
        <f>if(ISNA(vlookup($A584, FantasyPro!$B$2:$E$341,4,false)),0,vlookup($A584,FantasyPro!$B$2:$E$341,4,false))</f>
        <v>0</v>
      </c>
      <c r="L584" s="37">
        <f>if(ISNA(vlookup($A584, FFToolbox!$B$2:$E$414, 4, false)), 0, vlookup($A584, FFToolbox!$B$2:$E$414, 4, false))</f>
        <v>0</v>
      </c>
      <c r="M584" s="39">
        <f t="shared" si="1"/>
        <v>0</v>
      </c>
      <c r="N584" s="39">
        <f t="shared" si="2"/>
        <v>0</v>
      </c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</row>
    <row r="585">
      <c r="A585" s="17" t="s">
        <v>586</v>
      </c>
      <c r="B585" s="35" t="s">
        <v>1259</v>
      </c>
      <c r="C585" s="35" t="s">
        <v>1260</v>
      </c>
      <c r="D585" s="36" t="s">
        <v>89</v>
      </c>
      <c r="E585" s="36" t="s">
        <v>13</v>
      </c>
      <c r="F585" s="36">
        <f>vlookup(D585,'Team Bye List'!$A$1:$B$33,2,False)</f>
        <v>14</v>
      </c>
      <c r="G585" s="37">
        <f>if(ISNA(vlookup($A585, Sleeper!$B$2:$E$330, 4, false)), 0, vlookup($A585, Sleeper!$B$2:$E$330, 4, false))</f>
        <v>0</v>
      </c>
      <c r="H585" s="37">
        <f>if(ISNA(vlookup($A585, ESPN!$B$2:$E$297, 4, false)), 0, vlookup($A585, ESPN!$B$2:$E$297, 4, false))</f>
        <v>0</v>
      </c>
      <c r="I585" s="37">
        <f>if(ISNA(vlookup($A585,'Ultimate Draft Kit'!$B$2:$E$324,4, false)), 0, vlookup($A585,'Ultimate Draft Kit'!$B$2:$E$324, 4, false))</f>
        <v>0</v>
      </c>
      <c r="J585" s="38">
        <f>if(ISNA(vlookup($A585,Rotowire!$B$2:$E$1075,4, false)), 0, vlookup($A585,Rotowire!$B$2:$E$1075, 4, false))</f>
        <v>0</v>
      </c>
      <c r="K585" s="37">
        <f>if(ISNA(vlookup($A585, FantasyPro!$B$2:$E$341,4,false)),0,vlookup($A585,FantasyPro!$B$2:$E$341,4,false))</f>
        <v>0</v>
      </c>
      <c r="L585" s="37">
        <f>if(ISNA(vlookup($A585, FFToolbox!$B$2:$E$414, 4, false)), 0, vlookup($A585, FFToolbox!$B$2:$E$414, 4, false))</f>
        <v>1</v>
      </c>
      <c r="M585" s="39">
        <f t="shared" si="1"/>
        <v>0.1666666667</v>
      </c>
      <c r="N585" s="39">
        <f t="shared" si="2"/>
        <v>1</v>
      </c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</row>
    <row r="586">
      <c r="A586" s="17" t="s">
        <v>286</v>
      </c>
      <c r="B586" s="35" t="s">
        <v>1259</v>
      </c>
      <c r="C586" s="35">
        <v>8.0</v>
      </c>
      <c r="D586" s="36" t="s">
        <v>89</v>
      </c>
      <c r="E586" s="36" t="s">
        <v>77</v>
      </c>
      <c r="F586" s="36">
        <f>vlookup(D586,'Team Bye List'!$A$1:$B$33,2,False)</f>
        <v>14</v>
      </c>
      <c r="G586" s="37">
        <f>if(ISNA(vlookup($A586, Sleeper!$B$2:$E$330, 4, false)), 0, vlookup($A586, Sleeper!$B$2:$E$330, 4, false))</f>
        <v>1</v>
      </c>
      <c r="H586" s="37">
        <f>if(ISNA(vlookup($A586, ESPN!$B$2:$E$297, 4, false)), 0, vlookup($A586, ESPN!$B$2:$E$297, 4, false))</f>
        <v>0</v>
      </c>
      <c r="I586" s="37">
        <f>if(ISNA(vlookup($A586,'Ultimate Draft Kit'!$B$2:$E$324,4, false)), 0, vlookup($A586,'Ultimate Draft Kit'!$B$2:$E$324, 4, false))</f>
        <v>1</v>
      </c>
      <c r="J586" s="38">
        <f>if(ISNA(vlookup($A586,Rotowire!$B$2:$E$1075,4, false)), 0, vlookup($A586,Rotowire!$B$2:$E$1075, 4, false))</f>
        <v>0</v>
      </c>
      <c r="K586" s="37">
        <f>if(ISNA(vlookup($A586, FantasyPro!$B$2:$E$341,4,false)),0,vlookup($A586,FantasyPro!$B$2:$E$341,4,false))</f>
        <v>0</v>
      </c>
      <c r="L586" s="37">
        <f>if(ISNA(vlookup($A586, FFToolbox!$B$2:$E$414, 4, false)), 0, vlookup($A586, FFToolbox!$B$2:$E$414, 4, false))</f>
        <v>1</v>
      </c>
      <c r="M586" s="39">
        <f t="shared" si="1"/>
        <v>0.5</v>
      </c>
      <c r="N586" s="39">
        <f t="shared" si="2"/>
        <v>1</v>
      </c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</row>
    <row r="587">
      <c r="A587" s="17" t="s">
        <v>650</v>
      </c>
      <c r="B587" s="35" t="s">
        <v>1259</v>
      </c>
      <c r="C587" s="35" t="s">
        <v>1260</v>
      </c>
      <c r="D587" s="36" t="s">
        <v>45</v>
      </c>
      <c r="E587" s="36" t="s">
        <v>13</v>
      </c>
      <c r="F587" s="36">
        <f>vlookup(D587,'Team Bye List'!$A$1:$B$33,2,False)</f>
        <v>13</v>
      </c>
      <c r="G587" s="37">
        <f>if(ISNA(vlookup($A587, Sleeper!$B$2:$E$330, 4, false)), 0, vlookup($A587, Sleeper!$B$2:$E$330, 4, false))</f>
        <v>0</v>
      </c>
      <c r="H587" s="37">
        <f>if(ISNA(vlookup($A587, ESPN!$B$2:$E$297, 4, false)), 0, vlookup($A587, ESPN!$B$2:$E$297, 4, false))</f>
        <v>0</v>
      </c>
      <c r="I587" s="37">
        <f>if(ISNA(vlookup($A587,'Ultimate Draft Kit'!$B$2:$E$324,4, false)), 0, vlookup($A587,'Ultimate Draft Kit'!$B$2:$E$324, 4, false))</f>
        <v>0</v>
      </c>
      <c r="J587" s="38">
        <f>if(ISNA(vlookup($A587,Rotowire!$B$2:$E$1075,4, false)), 0, vlookup($A587,Rotowire!$B$2:$E$1075, 4, false))</f>
        <v>0</v>
      </c>
      <c r="K587" s="37">
        <f>if(ISNA(vlookup($A587, FantasyPro!$B$2:$E$341,4,false)),0,vlookup($A587,FantasyPro!$B$2:$E$341,4,false))</f>
        <v>0</v>
      </c>
      <c r="L587" s="37">
        <f>if(ISNA(vlookup($A587, FFToolbox!$B$2:$E$414, 4, false)), 0, vlookup($A587, FFToolbox!$B$2:$E$414, 4, false))</f>
        <v>1</v>
      </c>
      <c r="M587" s="39">
        <f t="shared" si="1"/>
        <v>0.1666666667</v>
      </c>
      <c r="N587" s="39">
        <f t="shared" si="2"/>
        <v>1</v>
      </c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</row>
    <row r="588">
      <c r="A588" s="17" t="s">
        <v>625</v>
      </c>
      <c r="B588" s="35" t="s">
        <v>1259</v>
      </c>
      <c r="C588" s="35" t="s">
        <v>1260</v>
      </c>
      <c r="D588" s="36" t="s">
        <v>62</v>
      </c>
      <c r="E588" s="36" t="s">
        <v>13</v>
      </c>
      <c r="F588" s="36">
        <f>vlookup(D588,'Team Bye List'!$A$1:$B$33,2,False)</f>
        <v>8</v>
      </c>
      <c r="G588" s="37">
        <f>if(ISNA(vlookup($A588, Sleeper!$B$2:$E$330, 4, false)), 0, vlookup($A588, Sleeper!$B$2:$E$330, 4, false))</f>
        <v>0</v>
      </c>
      <c r="H588" s="37">
        <f>if(ISNA(vlookup($A588, ESPN!$B$2:$E$297, 4, false)), 0, vlookup($A588, ESPN!$B$2:$E$297, 4, false))</f>
        <v>0</v>
      </c>
      <c r="I588" s="37">
        <f>if(ISNA(vlookup($A588,'Ultimate Draft Kit'!$B$2:$E$324,4, false)), 0, vlookup($A588,'Ultimate Draft Kit'!$B$2:$E$324, 4, false))</f>
        <v>0</v>
      </c>
      <c r="J588" s="38">
        <f>if(ISNA(vlookup($A588,Rotowire!$B$2:$E$1075,4, false)), 0, vlookup($A588,Rotowire!$B$2:$E$1075, 4, false))</f>
        <v>0</v>
      </c>
      <c r="K588" s="37">
        <f>if(ISNA(vlookup($A588, FantasyPro!$B$2:$E$341,4,false)),0,vlookup($A588,FantasyPro!$B$2:$E$341,4,false))</f>
        <v>0</v>
      </c>
      <c r="L588" s="37">
        <f>if(ISNA(vlookup($A588, FFToolbox!$B$2:$E$414, 4, false)), 0, vlookup($A588, FFToolbox!$B$2:$E$414, 4, false))</f>
        <v>0</v>
      </c>
      <c r="M588" s="39">
        <f t="shared" si="1"/>
        <v>0</v>
      </c>
      <c r="N588" s="39">
        <f t="shared" si="2"/>
        <v>0</v>
      </c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</row>
    <row r="589">
      <c r="A589" s="17" t="s">
        <v>370</v>
      </c>
      <c r="B589" s="35" t="s">
        <v>1259</v>
      </c>
      <c r="C589" s="35" t="s">
        <v>1260</v>
      </c>
      <c r="D589" s="36" t="s">
        <v>119</v>
      </c>
      <c r="E589" s="36" t="s">
        <v>13</v>
      </c>
      <c r="F589" s="36">
        <f>vlookup(D589,'Team Bye List'!$A$1:$B$33,2,False)</f>
        <v>10</v>
      </c>
      <c r="G589" s="37">
        <f>if(ISNA(vlookup($A589, Sleeper!$B$2:$E$330, 4, false)), 0, vlookup($A589, Sleeper!$B$2:$E$330, 4, false))</f>
        <v>0</v>
      </c>
      <c r="H589" s="37">
        <f>if(ISNA(vlookup($A589, ESPN!$B$2:$E$297, 4, false)), 0, vlookup($A589, ESPN!$B$2:$E$297, 4, false))</f>
        <v>0</v>
      </c>
      <c r="I589" s="37">
        <f>if(ISNA(vlookup($A589,'Ultimate Draft Kit'!$B$2:$E$324,4, false)), 0, vlookup($A589,'Ultimate Draft Kit'!$B$2:$E$324, 4, false))</f>
        <v>0</v>
      </c>
      <c r="J589" s="38">
        <f>if(ISNA(vlookup($A589,Rotowire!$B$2:$E$1075,4, false)), 0, vlookup($A589,Rotowire!$B$2:$E$1075, 4, false))</f>
        <v>0</v>
      </c>
      <c r="K589" s="37">
        <f>if(ISNA(vlookup($A589, FantasyPro!$B$2:$E$341,4,false)),0,vlookup($A589,FantasyPro!$B$2:$E$341,4,false))</f>
        <v>0</v>
      </c>
      <c r="L589" s="37">
        <f>if(ISNA(vlookup($A589, FFToolbox!$B$2:$E$414, 4, false)), 0, vlookup($A589, FFToolbox!$B$2:$E$414, 4, false))</f>
        <v>0</v>
      </c>
      <c r="M589" s="39">
        <f t="shared" si="1"/>
        <v>0</v>
      </c>
      <c r="N589" s="39">
        <f t="shared" si="2"/>
        <v>0</v>
      </c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</row>
    <row r="590">
      <c r="A590" s="17" t="s">
        <v>596</v>
      </c>
      <c r="B590" s="35" t="s">
        <v>1259</v>
      </c>
      <c r="C590" s="35" t="s">
        <v>1260</v>
      </c>
      <c r="D590" s="36" t="s">
        <v>62</v>
      </c>
      <c r="E590" s="36" t="s">
        <v>13</v>
      </c>
      <c r="F590" s="36">
        <f>vlookup(D590,'Team Bye List'!$A$1:$B$33,2,False)</f>
        <v>8</v>
      </c>
      <c r="G590" s="37">
        <f>if(ISNA(vlookup($A590, Sleeper!$B$2:$E$330, 4, false)), 0, vlookup($A590, Sleeper!$B$2:$E$330, 4, false))</f>
        <v>0</v>
      </c>
      <c r="H590" s="37">
        <f>if(ISNA(vlookup($A590, ESPN!$B$2:$E$297, 4, false)), 0, vlookup($A590, ESPN!$B$2:$E$297, 4, false))</f>
        <v>0</v>
      </c>
      <c r="I590" s="37">
        <f>if(ISNA(vlookup($A590,'Ultimate Draft Kit'!$B$2:$E$324,4, false)), 0, vlookup($A590,'Ultimate Draft Kit'!$B$2:$E$324, 4, false))</f>
        <v>0</v>
      </c>
      <c r="J590" s="38">
        <f>if(ISNA(vlookup($A590,Rotowire!$B$2:$E$1075,4, false)), 0, vlookup($A590,Rotowire!$B$2:$E$1075, 4, false))</f>
        <v>0</v>
      </c>
      <c r="K590" s="37">
        <f>if(ISNA(vlookup($A590, FantasyPro!$B$2:$E$341,4,false)),0,vlookup($A590,FantasyPro!$B$2:$E$341,4,false))</f>
        <v>0</v>
      </c>
      <c r="L590" s="37">
        <f>if(ISNA(vlookup($A590, FFToolbox!$B$2:$E$414, 4, false)), 0, vlookup($A590, FFToolbox!$B$2:$E$414, 4, false))</f>
        <v>0</v>
      </c>
      <c r="M590" s="39">
        <f t="shared" si="1"/>
        <v>0</v>
      </c>
      <c r="N590" s="39">
        <f t="shared" si="2"/>
        <v>0</v>
      </c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</row>
    <row r="591">
      <c r="A591" s="17" t="s">
        <v>607</v>
      </c>
      <c r="B591" s="35" t="s">
        <v>1259</v>
      </c>
      <c r="C591" s="35" t="s">
        <v>1260</v>
      </c>
      <c r="D591" s="36" t="s">
        <v>39</v>
      </c>
      <c r="E591" s="36" t="s">
        <v>13</v>
      </c>
      <c r="F591" s="36">
        <f>vlookup(D591,'Team Bye List'!$A$1:$B$33,2,False)</f>
        <v>11</v>
      </c>
      <c r="G591" s="37">
        <f>if(ISNA(vlookup($A591, Sleeper!$B$2:$E$330, 4, false)), 0, vlookup($A591, Sleeper!$B$2:$E$330, 4, false))</f>
        <v>0</v>
      </c>
      <c r="H591" s="37">
        <f>if(ISNA(vlookup($A591, ESPN!$B$2:$E$297, 4, false)), 0, vlookup($A591, ESPN!$B$2:$E$297, 4, false))</f>
        <v>0</v>
      </c>
      <c r="I591" s="37">
        <f>if(ISNA(vlookup($A591,'Ultimate Draft Kit'!$B$2:$E$324,4, false)), 0, vlookup($A591,'Ultimate Draft Kit'!$B$2:$E$324, 4, false))</f>
        <v>0</v>
      </c>
      <c r="J591" s="38">
        <f>if(ISNA(vlookup($A591,Rotowire!$B$2:$E$1075,4, false)), 0, vlookup($A591,Rotowire!$B$2:$E$1075, 4, false))</f>
        <v>0</v>
      </c>
      <c r="K591" s="37">
        <f>if(ISNA(vlookup($A591, FantasyPro!$B$2:$E$341,4,false)),0,vlookup($A591,FantasyPro!$B$2:$E$341,4,false))</f>
        <v>0</v>
      </c>
      <c r="L591" s="37">
        <f>if(ISNA(vlookup($A591, FFToolbox!$B$2:$E$414, 4, false)), 0, vlookup($A591, FFToolbox!$B$2:$E$414, 4, false))</f>
        <v>0</v>
      </c>
      <c r="M591" s="39">
        <f t="shared" si="1"/>
        <v>0</v>
      </c>
      <c r="N591" s="39">
        <f t="shared" si="2"/>
        <v>0</v>
      </c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</row>
    <row r="592">
      <c r="A592" s="17" t="s">
        <v>995</v>
      </c>
      <c r="B592" s="35" t="s">
        <v>1259</v>
      </c>
      <c r="C592" s="35" t="s">
        <v>1260</v>
      </c>
      <c r="D592" s="36" t="s">
        <v>15</v>
      </c>
      <c r="E592" s="36" t="s">
        <v>13</v>
      </c>
      <c r="F592" s="36">
        <f>vlookup(D592,'Team Bye List'!$A$1:$B$33,2,False)</f>
        <v>6</v>
      </c>
      <c r="G592" s="37">
        <f>if(ISNA(vlookup($A592, Sleeper!$B$2:$E$330, 4, false)), 0, vlookup($A592, Sleeper!$B$2:$E$330, 4, false))</f>
        <v>0</v>
      </c>
      <c r="H592" s="37">
        <f>if(ISNA(vlookup($A592, ESPN!$B$2:$E$297, 4, false)), 0, vlookup($A592, ESPN!$B$2:$E$297, 4, false))</f>
        <v>0</v>
      </c>
      <c r="I592" s="37">
        <f>if(ISNA(vlookup($A592,'Ultimate Draft Kit'!$B$2:$E$324,4, false)), 0, vlookup($A592,'Ultimate Draft Kit'!$B$2:$E$324, 4, false))</f>
        <v>0</v>
      </c>
      <c r="J592" s="38">
        <f>if(ISNA(vlookup($A592,Rotowire!$B$2:$E$1075,4, false)), 0, vlookup($A592,Rotowire!$B$2:$E$1075, 4, false))</f>
        <v>0</v>
      </c>
      <c r="K592" s="37">
        <f>if(ISNA(vlookup($A592, FantasyPro!$B$2:$E$341,4,false)),0,vlookup($A592,FantasyPro!$B$2:$E$341,4,false))</f>
        <v>0</v>
      </c>
      <c r="L592" s="37">
        <f>if(ISNA(vlookup($A592, FFToolbox!$B$2:$E$414, 4, false)), 0, vlookup($A592, FFToolbox!$B$2:$E$414, 4, false))</f>
        <v>0</v>
      </c>
      <c r="M592" s="39">
        <f t="shared" si="1"/>
        <v>0</v>
      </c>
      <c r="N592" s="39">
        <f t="shared" si="2"/>
        <v>0</v>
      </c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</row>
    <row r="593">
      <c r="A593" s="17" t="s">
        <v>641</v>
      </c>
      <c r="B593" s="35" t="s">
        <v>1259</v>
      </c>
      <c r="C593" s="35" t="s">
        <v>1260</v>
      </c>
      <c r="D593" s="36" t="s">
        <v>43</v>
      </c>
      <c r="E593" s="36" t="s">
        <v>13</v>
      </c>
      <c r="F593" s="36">
        <f>vlookup(D593,'Team Bye List'!$A$1:$B$33,2,False)</f>
        <v>9</v>
      </c>
      <c r="G593" s="37">
        <f>if(ISNA(vlookup($A593, Sleeper!$B$2:$E$330, 4, false)), 0, vlookup($A593, Sleeper!$B$2:$E$330, 4, false))</f>
        <v>0</v>
      </c>
      <c r="H593" s="37">
        <f>if(ISNA(vlookup($A593, ESPN!$B$2:$E$297, 4, false)), 0, vlookup($A593, ESPN!$B$2:$E$297, 4, false))</f>
        <v>0</v>
      </c>
      <c r="I593" s="37">
        <f>if(ISNA(vlookup($A593,'Ultimate Draft Kit'!$B$2:$E$324,4, false)), 0, vlookup($A593,'Ultimate Draft Kit'!$B$2:$E$324, 4, false))</f>
        <v>0</v>
      </c>
      <c r="J593" s="38">
        <f>if(ISNA(vlookup($A593,Rotowire!$B$2:$E$1075,4, false)), 0, vlookup($A593,Rotowire!$B$2:$E$1075, 4, false))</f>
        <v>0</v>
      </c>
      <c r="K593" s="37">
        <f>if(ISNA(vlookup($A593, FantasyPro!$B$2:$E$341,4,false)),0,vlookup($A593,FantasyPro!$B$2:$E$341,4,false))</f>
        <v>0</v>
      </c>
      <c r="L593" s="37">
        <f>if(ISNA(vlookup($A593, FFToolbox!$B$2:$E$414, 4, false)), 0, vlookup($A593, FFToolbox!$B$2:$E$414, 4, false))</f>
        <v>0</v>
      </c>
      <c r="M593" s="39">
        <f t="shared" si="1"/>
        <v>0</v>
      </c>
      <c r="N593" s="39">
        <f t="shared" si="2"/>
        <v>0</v>
      </c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</row>
    <row r="594">
      <c r="A594" s="17" t="s">
        <v>996</v>
      </c>
      <c r="B594" s="35" t="s">
        <v>1259</v>
      </c>
      <c r="C594" s="35" t="s">
        <v>1260</v>
      </c>
      <c r="D594" s="36" t="s">
        <v>19</v>
      </c>
      <c r="E594" s="36" t="s">
        <v>13</v>
      </c>
      <c r="F594" s="36">
        <f>vlookup(D594,'Team Bye List'!$A$1:$B$33,2,False)</f>
        <v>10</v>
      </c>
      <c r="G594" s="37">
        <f>if(ISNA(vlookup($A594, Sleeper!$B$2:$E$330, 4, false)), 0, vlookup($A594, Sleeper!$B$2:$E$330, 4, false))</f>
        <v>0</v>
      </c>
      <c r="H594" s="37">
        <f>if(ISNA(vlookup($A594, ESPN!$B$2:$E$297, 4, false)), 0, vlookup($A594, ESPN!$B$2:$E$297, 4, false))</f>
        <v>0</v>
      </c>
      <c r="I594" s="37">
        <f>if(ISNA(vlookup($A594,'Ultimate Draft Kit'!$B$2:$E$324,4, false)), 0, vlookup($A594,'Ultimate Draft Kit'!$B$2:$E$324, 4, false))</f>
        <v>0</v>
      </c>
      <c r="J594" s="38">
        <f>if(ISNA(vlookup($A594,Rotowire!$B$2:$E$1075,4, false)), 0, vlookup($A594,Rotowire!$B$2:$E$1075, 4, false))</f>
        <v>0</v>
      </c>
      <c r="K594" s="37">
        <f>if(ISNA(vlookup($A594, FantasyPro!$B$2:$E$341,4,false)),0,vlookup($A594,FantasyPro!$B$2:$E$341,4,false))</f>
        <v>0</v>
      </c>
      <c r="L594" s="37">
        <f>if(ISNA(vlookup($A594, FFToolbox!$B$2:$E$414, 4, false)), 0, vlookup($A594, FFToolbox!$B$2:$E$414, 4, false))</f>
        <v>0</v>
      </c>
      <c r="M594" s="39">
        <f t="shared" si="1"/>
        <v>0</v>
      </c>
      <c r="N594" s="39">
        <f t="shared" si="2"/>
        <v>0</v>
      </c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</row>
    <row r="595">
      <c r="A595" s="17" t="s">
        <v>595</v>
      </c>
      <c r="B595" s="35" t="s">
        <v>1259</v>
      </c>
      <c r="C595" s="35" t="s">
        <v>1260</v>
      </c>
      <c r="D595" s="36" t="s">
        <v>69</v>
      </c>
      <c r="E595" s="36" t="s">
        <v>13</v>
      </c>
      <c r="F595" s="36">
        <f>vlookup(D595,'Team Bye List'!$A$1:$B$33,2,False)</f>
        <v>10</v>
      </c>
      <c r="G595" s="37">
        <f>if(ISNA(vlookup($A595, Sleeper!$B$2:$E$330, 4, false)), 0, vlookup($A595, Sleeper!$B$2:$E$330, 4, false))</f>
        <v>0</v>
      </c>
      <c r="H595" s="37">
        <f>if(ISNA(vlookup($A595, ESPN!$B$2:$E$297, 4, false)), 0, vlookup($A595, ESPN!$B$2:$E$297, 4, false))</f>
        <v>0</v>
      </c>
      <c r="I595" s="37">
        <f>if(ISNA(vlookup($A595,'Ultimate Draft Kit'!$B$2:$E$324,4, false)), 0, vlookup($A595,'Ultimate Draft Kit'!$B$2:$E$324, 4, false))</f>
        <v>0</v>
      </c>
      <c r="J595" s="38">
        <f>if(ISNA(vlookup($A595,Rotowire!$B$2:$E$1075,4, false)), 0, vlookup($A595,Rotowire!$B$2:$E$1075, 4, false))</f>
        <v>0</v>
      </c>
      <c r="K595" s="37">
        <f>if(ISNA(vlookup($A595, FantasyPro!$B$2:$E$341,4,false)),0,vlookup($A595,FantasyPro!$B$2:$E$341,4,false))</f>
        <v>0</v>
      </c>
      <c r="L595" s="37">
        <f>if(ISNA(vlookup($A595, FFToolbox!$B$2:$E$414, 4, false)), 0, vlookup($A595, FFToolbox!$B$2:$E$414, 4, false))</f>
        <v>1</v>
      </c>
      <c r="M595" s="39">
        <f t="shared" si="1"/>
        <v>0.1666666667</v>
      </c>
      <c r="N595" s="39">
        <f t="shared" si="2"/>
        <v>1</v>
      </c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</row>
    <row r="596">
      <c r="A596" s="17" t="s">
        <v>224</v>
      </c>
      <c r="B596" s="35" t="s">
        <v>1259</v>
      </c>
      <c r="C596" s="35" t="s">
        <v>1260</v>
      </c>
      <c r="D596" s="36" t="s">
        <v>21</v>
      </c>
      <c r="E596" s="36" t="s">
        <v>8</v>
      </c>
      <c r="F596" s="36">
        <f>vlookup(D596,'Team Bye List'!$A$1:$B$33,2,False)</f>
        <v>6</v>
      </c>
      <c r="G596" s="37">
        <f>if(ISNA(vlookup($A596, Sleeper!$B$2:$E$330, 4, false)), 0, vlookup($A596, Sleeper!$B$2:$E$330, 4, false))</f>
        <v>0</v>
      </c>
      <c r="H596" s="37">
        <f>if(ISNA(vlookup($A596, ESPN!$B$2:$E$297, 4, false)), 0, vlookup($A596, ESPN!$B$2:$E$297, 4, false))</f>
        <v>0</v>
      </c>
      <c r="I596" s="37">
        <f>if(ISNA(vlookup($A596,'Ultimate Draft Kit'!$B$2:$E$324,4, false)), 0, vlookup($A596,'Ultimate Draft Kit'!$B$2:$E$324, 4, false))</f>
        <v>0</v>
      </c>
      <c r="J596" s="38">
        <f>if(ISNA(vlookup($A596,Rotowire!$B$2:$E$1075,4, false)), 0, vlookup($A596,Rotowire!$B$2:$E$1075, 4, false))</f>
        <v>0</v>
      </c>
      <c r="K596" s="37">
        <f>if(ISNA(vlookup($A596, FantasyPro!$B$2:$E$341,4,false)),0,vlookup($A596,FantasyPro!$B$2:$E$341,4,false))</f>
        <v>0</v>
      </c>
      <c r="L596" s="37">
        <f>if(ISNA(vlookup($A596, FFToolbox!$B$2:$E$414, 4, false)), 0, vlookup($A596, FFToolbox!$B$2:$E$414, 4, false))</f>
        <v>1</v>
      </c>
      <c r="M596" s="39">
        <f t="shared" si="1"/>
        <v>0.1666666667</v>
      </c>
      <c r="N596" s="39">
        <f t="shared" si="2"/>
        <v>1</v>
      </c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</row>
    <row r="597">
      <c r="A597" s="17" t="s">
        <v>609</v>
      </c>
      <c r="B597" s="35" t="s">
        <v>1259</v>
      </c>
      <c r="C597" s="35" t="s">
        <v>1260</v>
      </c>
      <c r="D597" s="36" t="s">
        <v>7</v>
      </c>
      <c r="E597" s="36" t="s">
        <v>13</v>
      </c>
      <c r="F597" s="36">
        <f>vlookup(D597,'Team Bye List'!$A$1:$B$33,2,False)</f>
        <v>14</v>
      </c>
      <c r="G597" s="37">
        <f>if(ISNA(vlookup($A597, Sleeper!$B$2:$E$330, 4, false)), 0, vlookup($A597, Sleeper!$B$2:$E$330, 4, false))</f>
        <v>0</v>
      </c>
      <c r="H597" s="37">
        <f>if(ISNA(vlookup($A597, ESPN!$B$2:$E$297, 4, false)), 0, vlookup($A597, ESPN!$B$2:$E$297, 4, false))</f>
        <v>0</v>
      </c>
      <c r="I597" s="37">
        <f>if(ISNA(vlookup($A597,'Ultimate Draft Kit'!$B$2:$E$324,4, false)), 0, vlookup($A597,'Ultimate Draft Kit'!$B$2:$E$324, 4, false))</f>
        <v>0</v>
      </c>
      <c r="J597" s="38">
        <f>if(ISNA(vlookup($A597,Rotowire!$B$2:$E$1075,4, false)), 0, vlookup($A597,Rotowire!$B$2:$E$1075, 4, false))</f>
        <v>0</v>
      </c>
      <c r="K597" s="37">
        <f>if(ISNA(vlookup($A597, FantasyPro!$B$2:$E$341,4,false)),0,vlookup($A597,FantasyPro!$B$2:$E$341,4,false))</f>
        <v>0</v>
      </c>
      <c r="L597" s="37">
        <f>if(ISNA(vlookup($A597, FFToolbox!$B$2:$E$414, 4, false)), 0, vlookup($A597, FFToolbox!$B$2:$E$414, 4, false))</f>
        <v>0</v>
      </c>
      <c r="M597" s="39">
        <f t="shared" si="1"/>
        <v>0</v>
      </c>
      <c r="N597" s="39">
        <f t="shared" si="2"/>
        <v>0</v>
      </c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</row>
    <row r="598">
      <c r="A598" s="17" t="s">
        <v>655</v>
      </c>
      <c r="B598" s="35" t="s">
        <v>1259</v>
      </c>
      <c r="C598" s="35" t="s">
        <v>1260</v>
      </c>
      <c r="D598" s="36" t="s">
        <v>73</v>
      </c>
      <c r="E598" s="36" t="s">
        <v>13</v>
      </c>
      <c r="F598" s="36">
        <f>vlookup(D598,'Team Bye List'!$A$1:$B$33,2,False)</f>
        <v>14</v>
      </c>
      <c r="G598" s="37">
        <f>if(ISNA(vlookup($A598, Sleeper!$B$2:$E$330, 4, false)), 0, vlookup($A598, Sleeper!$B$2:$E$330, 4, false))</f>
        <v>0</v>
      </c>
      <c r="H598" s="37">
        <f>if(ISNA(vlookup($A598, ESPN!$B$2:$E$297, 4, false)), 0, vlookup($A598, ESPN!$B$2:$E$297, 4, false))</f>
        <v>0</v>
      </c>
      <c r="I598" s="37">
        <f>if(ISNA(vlookup($A598,'Ultimate Draft Kit'!$B$2:$E$324,4, false)), 0, vlookup($A598,'Ultimate Draft Kit'!$B$2:$E$324, 4, false))</f>
        <v>0</v>
      </c>
      <c r="J598" s="38">
        <f>if(ISNA(vlookup($A598,Rotowire!$B$2:$E$1075,4, false)), 0, vlookup($A598,Rotowire!$B$2:$E$1075, 4, false))</f>
        <v>0</v>
      </c>
      <c r="K598" s="37">
        <f>if(ISNA(vlookup($A598, FantasyPro!$B$2:$E$341,4,false)),0,vlookup($A598,FantasyPro!$B$2:$E$341,4,false))</f>
        <v>0</v>
      </c>
      <c r="L598" s="37">
        <f>if(ISNA(vlookup($A598, FFToolbox!$B$2:$E$414, 4, false)), 0, vlookup($A598, FFToolbox!$B$2:$E$414, 4, false))</f>
        <v>0</v>
      </c>
      <c r="M598" s="39">
        <f t="shared" si="1"/>
        <v>0</v>
      </c>
      <c r="N598" s="39">
        <f t="shared" si="2"/>
        <v>0</v>
      </c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</row>
    <row r="599">
      <c r="A599" s="17" t="s">
        <v>629</v>
      </c>
      <c r="B599" s="35" t="s">
        <v>1259</v>
      </c>
      <c r="C599" s="35" t="s">
        <v>1260</v>
      </c>
      <c r="D599" s="36" t="s">
        <v>85</v>
      </c>
      <c r="E599" s="36" t="s">
        <v>13</v>
      </c>
      <c r="F599" s="36">
        <f>vlookup(D599,'Team Bye List'!$A$1:$B$33,2,False)</f>
        <v>9</v>
      </c>
      <c r="G599" s="37">
        <f>if(ISNA(vlookup($A599, Sleeper!$B$2:$E$330, 4, false)), 0, vlookup($A599, Sleeper!$B$2:$E$330, 4, false))</f>
        <v>0</v>
      </c>
      <c r="H599" s="37">
        <f>if(ISNA(vlookup($A599, ESPN!$B$2:$E$297, 4, false)), 0, vlookup($A599, ESPN!$B$2:$E$297, 4, false))</f>
        <v>0</v>
      </c>
      <c r="I599" s="37">
        <f>if(ISNA(vlookup($A599,'Ultimate Draft Kit'!$B$2:$E$324,4, false)), 0, vlookup($A599,'Ultimate Draft Kit'!$B$2:$E$324, 4, false))</f>
        <v>0</v>
      </c>
      <c r="J599" s="38">
        <f>if(ISNA(vlookup($A599,Rotowire!$B$2:$E$1075,4, false)), 0, vlookup($A599,Rotowire!$B$2:$E$1075, 4, false))</f>
        <v>0</v>
      </c>
      <c r="K599" s="37">
        <f>if(ISNA(vlookup($A599, FantasyPro!$B$2:$E$341,4,false)),0,vlookup($A599,FantasyPro!$B$2:$E$341,4,false))</f>
        <v>0</v>
      </c>
      <c r="L599" s="37">
        <f>if(ISNA(vlookup($A599, FFToolbox!$B$2:$E$414, 4, false)), 0, vlookup($A599, FFToolbox!$B$2:$E$414, 4, false))</f>
        <v>0</v>
      </c>
      <c r="M599" s="39">
        <f t="shared" si="1"/>
        <v>0</v>
      </c>
      <c r="N599" s="39">
        <f t="shared" si="2"/>
        <v>0</v>
      </c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</row>
    <row r="600">
      <c r="A600" s="17" t="s">
        <v>682</v>
      </c>
      <c r="B600" s="35" t="s">
        <v>1259</v>
      </c>
      <c r="C600" s="35" t="s">
        <v>1260</v>
      </c>
      <c r="D600" s="36" t="s">
        <v>66</v>
      </c>
      <c r="E600" s="36" t="s">
        <v>13</v>
      </c>
      <c r="F600" s="36">
        <f>vlookup(D600,'Team Bye List'!$A$1:$B$33,2,False)</f>
        <v>9</v>
      </c>
      <c r="G600" s="37">
        <f>if(ISNA(vlookup($A600, Sleeper!$B$2:$E$330, 4, false)), 0, vlookup($A600, Sleeper!$B$2:$E$330, 4, false))</f>
        <v>0</v>
      </c>
      <c r="H600" s="37">
        <f>if(ISNA(vlookup($A600, ESPN!$B$2:$E$297, 4, false)), 0, vlookup($A600, ESPN!$B$2:$E$297, 4, false))</f>
        <v>0</v>
      </c>
      <c r="I600" s="37">
        <f>if(ISNA(vlookup($A600,'Ultimate Draft Kit'!$B$2:$E$324,4, false)), 0, vlookup($A600,'Ultimate Draft Kit'!$B$2:$E$324, 4, false))</f>
        <v>0</v>
      </c>
      <c r="J600" s="38">
        <f>if(ISNA(vlookup($A600,Rotowire!$B$2:$E$1075,4, false)), 0, vlookup($A600,Rotowire!$B$2:$E$1075, 4, false))</f>
        <v>0</v>
      </c>
      <c r="K600" s="37">
        <f>if(ISNA(vlookup($A600, FantasyPro!$B$2:$E$341,4,false)),0,vlookup($A600,FantasyPro!$B$2:$E$341,4,false))</f>
        <v>0</v>
      </c>
      <c r="L600" s="37">
        <f>if(ISNA(vlookup($A600, FFToolbox!$B$2:$E$414, 4, false)), 0, vlookup($A600, FFToolbox!$B$2:$E$414, 4, false))</f>
        <v>0</v>
      </c>
      <c r="M600" s="39">
        <f t="shared" si="1"/>
        <v>0</v>
      </c>
      <c r="N600" s="39">
        <f t="shared" si="2"/>
        <v>0</v>
      </c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</row>
    <row r="601">
      <c r="A601" s="17" t="s">
        <v>997</v>
      </c>
      <c r="B601" s="35" t="s">
        <v>1259</v>
      </c>
      <c r="C601" s="35" t="s">
        <v>1260</v>
      </c>
      <c r="D601" s="36" t="s">
        <v>23</v>
      </c>
      <c r="E601" s="36" t="s">
        <v>13</v>
      </c>
      <c r="F601" s="36">
        <f>vlookup(D601,'Team Bye List'!$A$1:$B$33,2,False)</f>
        <v>9</v>
      </c>
      <c r="G601" s="37">
        <f>if(ISNA(vlookup($A601, Sleeper!$B$2:$E$330, 4, false)), 0, vlookup($A601, Sleeper!$B$2:$E$330, 4, false))</f>
        <v>0</v>
      </c>
      <c r="H601" s="37">
        <f>if(ISNA(vlookup($A601, ESPN!$B$2:$E$297, 4, false)), 0, vlookup($A601, ESPN!$B$2:$E$297, 4, false))</f>
        <v>0</v>
      </c>
      <c r="I601" s="37">
        <f>if(ISNA(vlookup($A601,'Ultimate Draft Kit'!$B$2:$E$324,4, false)), 0, vlookup($A601,'Ultimate Draft Kit'!$B$2:$E$324, 4, false))</f>
        <v>0</v>
      </c>
      <c r="J601" s="38">
        <f>if(ISNA(vlookup($A601,Rotowire!$B$2:$E$1075,4, false)), 0, vlookup($A601,Rotowire!$B$2:$E$1075, 4, false))</f>
        <v>0</v>
      </c>
      <c r="K601" s="37">
        <f>if(ISNA(vlookup($A601, FantasyPro!$B$2:$E$341,4,false)),0,vlookup($A601,FantasyPro!$B$2:$E$341,4,false))</f>
        <v>0</v>
      </c>
      <c r="L601" s="37">
        <f>if(ISNA(vlookup($A601, FFToolbox!$B$2:$E$414, 4, false)), 0, vlookup($A601, FFToolbox!$B$2:$E$414, 4, false))</f>
        <v>0</v>
      </c>
      <c r="M601" s="39">
        <f t="shared" si="1"/>
        <v>0</v>
      </c>
      <c r="N601" s="39">
        <f t="shared" si="2"/>
        <v>0</v>
      </c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</row>
    <row r="602">
      <c r="A602" s="17" t="s">
        <v>637</v>
      </c>
      <c r="B602" s="35" t="s">
        <v>1259</v>
      </c>
      <c r="C602" s="35" t="s">
        <v>1260</v>
      </c>
      <c r="D602" s="36" t="s">
        <v>64</v>
      </c>
      <c r="E602" s="36" t="s">
        <v>13</v>
      </c>
      <c r="F602" s="36">
        <f>vlookup(D602,'Team Bye List'!$A$1:$B$33,2,False)</f>
        <v>7</v>
      </c>
      <c r="G602" s="37">
        <f>if(ISNA(vlookup($A602, Sleeper!$B$2:$E$330, 4, false)), 0, vlookup($A602, Sleeper!$B$2:$E$330, 4, false))</f>
        <v>0</v>
      </c>
      <c r="H602" s="37">
        <f>if(ISNA(vlookup($A602, ESPN!$B$2:$E$297, 4, false)), 0, vlookup($A602, ESPN!$B$2:$E$297, 4, false))</f>
        <v>0</v>
      </c>
      <c r="I602" s="37">
        <f>if(ISNA(vlookup($A602,'Ultimate Draft Kit'!$B$2:$E$324,4, false)), 0, vlookup($A602,'Ultimate Draft Kit'!$B$2:$E$324, 4, false))</f>
        <v>0</v>
      </c>
      <c r="J602" s="38">
        <f>if(ISNA(vlookup($A602,Rotowire!$B$2:$E$1075,4, false)), 0, vlookup($A602,Rotowire!$B$2:$E$1075, 4, false))</f>
        <v>0</v>
      </c>
      <c r="K602" s="37">
        <f>if(ISNA(vlookup($A602, FantasyPro!$B$2:$E$341,4,false)),0,vlookup($A602,FantasyPro!$B$2:$E$341,4,false))</f>
        <v>0</v>
      </c>
      <c r="L602" s="37">
        <f>if(ISNA(vlookup($A602, FFToolbox!$B$2:$E$414, 4, false)), 0, vlookup($A602, FFToolbox!$B$2:$E$414, 4, false))</f>
        <v>0</v>
      </c>
      <c r="M602" s="39">
        <f t="shared" si="1"/>
        <v>0</v>
      </c>
      <c r="N602" s="39">
        <f t="shared" si="2"/>
        <v>0</v>
      </c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</row>
    <row r="603">
      <c r="A603" s="17" t="s">
        <v>998</v>
      </c>
      <c r="B603" s="35" t="s">
        <v>1259</v>
      </c>
      <c r="C603" s="35" t="s">
        <v>1260</v>
      </c>
      <c r="D603" s="36" t="s">
        <v>53</v>
      </c>
      <c r="E603" s="36" t="s">
        <v>13</v>
      </c>
      <c r="F603" s="36">
        <f>vlookup(D603,'Team Bye List'!$A$1:$B$33,2,False)</f>
        <v>9</v>
      </c>
      <c r="G603" s="37">
        <f>if(ISNA(vlookup($A603, Sleeper!$B$2:$E$330, 4, false)), 0, vlookup($A603, Sleeper!$B$2:$E$330, 4, false))</f>
        <v>0</v>
      </c>
      <c r="H603" s="37">
        <f>if(ISNA(vlookup($A603, ESPN!$B$2:$E$297, 4, false)), 0, vlookup($A603, ESPN!$B$2:$E$297, 4, false))</f>
        <v>0</v>
      </c>
      <c r="I603" s="37">
        <f>if(ISNA(vlookup($A603,'Ultimate Draft Kit'!$B$2:$E$324,4, false)), 0, vlookup($A603,'Ultimate Draft Kit'!$B$2:$E$324, 4, false))</f>
        <v>0</v>
      </c>
      <c r="J603" s="38">
        <f>if(ISNA(vlookup($A603,Rotowire!$B$2:$E$1075,4, false)), 0, vlookup($A603,Rotowire!$B$2:$E$1075, 4, false))</f>
        <v>0</v>
      </c>
      <c r="K603" s="37">
        <f>if(ISNA(vlookup($A603, FantasyPro!$B$2:$E$341,4,false)),0,vlookup($A603,FantasyPro!$B$2:$E$341,4,false))</f>
        <v>0</v>
      </c>
      <c r="L603" s="37">
        <f>if(ISNA(vlookup($A603, FFToolbox!$B$2:$E$414, 4, false)), 0, vlookup($A603, FFToolbox!$B$2:$E$414, 4, false))</f>
        <v>0</v>
      </c>
      <c r="M603" s="39">
        <f t="shared" si="1"/>
        <v>0</v>
      </c>
      <c r="N603" s="39">
        <f t="shared" si="2"/>
        <v>0</v>
      </c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</row>
    <row r="604">
      <c r="A604" s="17" t="s">
        <v>678</v>
      </c>
      <c r="B604" s="35" t="s">
        <v>1259</v>
      </c>
      <c r="C604" s="35" t="s">
        <v>1260</v>
      </c>
      <c r="D604" s="36" t="s">
        <v>10</v>
      </c>
      <c r="E604" s="36" t="s">
        <v>13</v>
      </c>
      <c r="F604" s="36">
        <f>vlookup(D604,'Team Bye List'!$A$1:$B$33,2,False)</f>
        <v>13</v>
      </c>
      <c r="G604" s="37">
        <f>if(ISNA(vlookup($A604, Sleeper!$B$2:$E$330, 4, false)), 0, vlookup($A604, Sleeper!$B$2:$E$330, 4, false))</f>
        <v>0</v>
      </c>
      <c r="H604" s="37">
        <f>if(ISNA(vlookup($A604, ESPN!$B$2:$E$297, 4, false)), 0, vlookup($A604, ESPN!$B$2:$E$297, 4, false))</f>
        <v>0</v>
      </c>
      <c r="I604" s="37">
        <f>if(ISNA(vlookup($A604,'Ultimate Draft Kit'!$B$2:$E$324,4, false)), 0, vlookup($A604,'Ultimate Draft Kit'!$B$2:$E$324, 4, false))</f>
        <v>0</v>
      </c>
      <c r="J604" s="38">
        <f>if(ISNA(vlookup($A604,Rotowire!$B$2:$E$1075,4, false)), 0, vlookup($A604,Rotowire!$B$2:$E$1075, 4, false))</f>
        <v>0</v>
      </c>
      <c r="K604" s="37">
        <f>if(ISNA(vlookup($A604, FantasyPro!$B$2:$E$341,4,false)),0,vlookup($A604,FantasyPro!$B$2:$E$341,4,false))</f>
        <v>0</v>
      </c>
      <c r="L604" s="37">
        <f>if(ISNA(vlookup($A604, FFToolbox!$B$2:$E$414, 4, false)), 0, vlookup($A604, FFToolbox!$B$2:$E$414, 4, false))</f>
        <v>0</v>
      </c>
      <c r="M604" s="39">
        <f t="shared" si="1"/>
        <v>0</v>
      </c>
      <c r="N604" s="39">
        <f t="shared" si="2"/>
        <v>0</v>
      </c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</row>
    <row r="605">
      <c r="A605" s="17" t="s">
        <v>679</v>
      </c>
      <c r="B605" s="35" t="s">
        <v>1259</v>
      </c>
      <c r="C605" s="35" t="s">
        <v>1260</v>
      </c>
      <c r="D605" s="36" t="s">
        <v>23</v>
      </c>
      <c r="E605" s="36" t="s">
        <v>13</v>
      </c>
      <c r="F605" s="36">
        <f>vlookup(D605,'Team Bye List'!$A$1:$B$33,2,False)</f>
        <v>9</v>
      </c>
      <c r="G605" s="37">
        <f>if(ISNA(vlookup($A605, Sleeper!$B$2:$E$330, 4, false)), 0, vlookup($A605, Sleeper!$B$2:$E$330, 4, false))</f>
        <v>0</v>
      </c>
      <c r="H605" s="37">
        <f>if(ISNA(vlookup($A605, ESPN!$B$2:$E$297, 4, false)), 0, vlookup($A605, ESPN!$B$2:$E$297, 4, false))</f>
        <v>0</v>
      </c>
      <c r="I605" s="37">
        <f>if(ISNA(vlookup($A605,'Ultimate Draft Kit'!$B$2:$E$324,4, false)), 0, vlookup($A605,'Ultimate Draft Kit'!$B$2:$E$324, 4, false))</f>
        <v>0</v>
      </c>
      <c r="J605" s="38">
        <f>if(ISNA(vlookup($A605,Rotowire!$B$2:$E$1075,4, false)), 0, vlookup($A605,Rotowire!$B$2:$E$1075, 4, false))</f>
        <v>0</v>
      </c>
      <c r="K605" s="37">
        <f>if(ISNA(vlookup($A605, FantasyPro!$B$2:$E$341,4,false)),0,vlookup($A605,FantasyPro!$B$2:$E$341,4,false))</f>
        <v>0</v>
      </c>
      <c r="L605" s="37">
        <f>if(ISNA(vlookup($A605, FFToolbox!$B$2:$E$414, 4, false)), 0, vlookup($A605, FFToolbox!$B$2:$E$414, 4, false))</f>
        <v>0</v>
      </c>
      <c r="M605" s="39">
        <f t="shared" si="1"/>
        <v>0</v>
      </c>
      <c r="N605" s="39">
        <f t="shared" si="2"/>
        <v>0</v>
      </c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</row>
    <row r="606">
      <c r="A606" s="17" t="s">
        <v>671</v>
      </c>
      <c r="B606" s="35" t="s">
        <v>1259</v>
      </c>
      <c r="C606" s="35" t="s">
        <v>1260</v>
      </c>
      <c r="D606" s="36" t="s">
        <v>73</v>
      </c>
      <c r="E606" s="36" t="s">
        <v>13</v>
      </c>
      <c r="F606" s="36">
        <f>vlookup(D606,'Team Bye List'!$A$1:$B$33,2,False)</f>
        <v>14</v>
      </c>
      <c r="G606" s="37">
        <f>if(ISNA(vlookup($A606, Sleeper!$B$2:$E$330, 4, false)), 0, vlookup($A606, Sleeper!$B$2:$E$330, 4, false))</f>
        <v>0</v>
      </c>
      <c r="H606" s="37">
        <f>if(ISNA(vlookup($A606, ESPN!$B$2:$E$297, 4, false)), 0, vlookup($A606, ESPN!$B$2:$E$297, 4, false))</f>
        <v>0</v>
      </c>
      <c r="I606" s="37">
        <f>if(ISNA(vlookup($A606,'Ultimate Draft Kit'!$B$2:$E$324,4, false)), 0, vlookup($A606,'Ultimate Draft Kit'!$B$2:$E$324, 4, false))</f>
        <v>0</v>
      </c>
      <c r="J606" s="38">
        <f>if(ISNA(vlookup($A606,Rotowire!$B$2:$E$1075,4, false)), 0, vlookup($A606,Rotowire!$B$2:$E$1075, 4, false))</f>
        <v>0</v>
      </c>
      <c r="K606" s="37">
        <f>if(ISNA(vlookup($A606, FantasyPro!$B$2:$E$341,4,false)),0,vlookup($A606,FantasyPro!$B$2:$E$341,4,false))</f>
        <v>0</v>
      </c>
      <c r="L606" s="37">
        <f>if(ISNA(vlookup($A606, FFToolbox!$B$2:$E$414, 4, false)), 0, vlookup($A606, FFToolbox!$B$2:$E$414, 4, false))</f>
        <v>0</v>
      </c>
      <c r="M606" s="39">
        <f t="shared" si="1"/>
        <v>0</v>
      </c>
      <c r="N606" s="39">
        <f t="shared" si="2"/>
        <v>0</v>
      </c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</row>
    <row r="607">
      <c r="A607" s="17" t="s">
        <v>228</v>
      </c>
      <c r="B607" s="35" t="s">
        <v>1259</v>
      </c>
      <c r="C607" s="35" t="s">
        <v>1260</v>
      </c>
      <c r="D607" s="36" t="s">
        <v>10</v>
      </c>
      <c r="E607" s="36" t="s">
        <v>8</v>
      </c>
      <c r="F607" s="36">
        <f>vlookup(D607,'Team Bye List'!$A$1:$B$33,2,False)</f>
        <v>13</v>
      </c>
      <c r="G607" s="37">
        <f>if(ISNA(vlookup($A607, Sleeper!$B$2:$E$330, 4, false)), 0, vlookup($A607, Sleeper!$B$2:$E$330, 4, false))</f>
        <v>0</v>
      </c>
      <c r="H607" s="37">
        <f>if(ISNA(vlookup($A607, ESPN!$B$2:$E$297, 4, false)), 0, vlookup($A607, ESPN!$B$2:$E$297, 4, false))</f>
        <v>0</v>
      </c>
      <c r="I607" s="37">
        <f>if(ISNA(vlookup($A607,'Ultimate Draft Kit'!$B$2:$E$324,4, false)), 0, vlookup($A607,'Ultimate Draft Kit'!$B$2:$E$324, 4, false))</f>
        <v>0</v>
      </c>
      <c r="J607" s="38">
        <f>if(ISNA(vlookup($A607,Rotowire!$B$2:$E$1075,4, false)), 0, vlookup($A607,Rotowire!$B$2:$E$1075, 4, false))</f>
        <v>0</v>
      </c>
      <c r="K607" s="37">
        <f>if(ISNA(vlookup($A607, FantasyPro!$B$2:$E$341,4,false)),0,vlookup($A607,FantasyPro!$B$2:$E$341,4,false))</f>
        <v>0</v>
      </c>
      <c r="L607" s="37">
        <f>if(ISNA(vlookup($A607, FFToolbox!$B$2:$E$414, 4, false)), 0, vlookup($A607, FFToolbox!$B$2:$E$414, 4, false))</f>
        <v>1</v>
      </c>
      <c r="M607" s="39">
        <f t="shared" si="1"/>
        <v>0.1666666667</v>
      </c>
      <c r="N607" s="39">
        <f t="shared" si="2"/>
        <v>1</v>
      </c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</row>
    <row r="608">
      <c r="A608" s="17" t="s">
        <v>585</v>
      </c>
      <c r="B608" s="35" t="s">
        <v>1259</v>
      </c>
      <c r="C608" s="35">
        <v>10.0</v>
      </c>
      <c r="D608" s="36" t="s">
        <v>55</v>
      </c>
      <c r="E608" s="36" t="s">
        <v>13</v>
      </c>
      <c r="F608" s="36">
        <f>vlookup(D608,'Team Bye List'!$A$1:$B$33,2,False)</f>
        <v>14</v>
      </c>
      <c r="G608" s="37">
        <f>if(ISNA(vlookup($A608, Sleeper!$B$2:$E$330, 4, false)), 0, vlookup($A608, Sleeper!$B$2:$E$330, 4, false))</f>
        <v>1</v>
      </c>
      <c r="H608" s="37">
        <f>if(ISNA(vlookup($A608, ESPN!$B$2:$E$297, 4, false)), 0, vlookup($A608, ESPN!$B$2:$E$297, 4, false))</f>
        <v>0</v>
      </c>
      <c r="I608" s="37">
        <f>if(ISNA(vlookup($A608,'Ultimate Draft Kit'!$B$2:$E$324,4, false)), 0, vlookup($A608,'Ultimate Draft Kit'!$B$2:$E$324, 4, false))</f>
        <v>1</v>
      </c>
      <c r="J608" s="38">
        <f>if(ISNA(vlookup($A608,Rotowire!$B$2:$E$1075,4, false)), 0, vlookup($A608,Rotowire!$B$2:$E$1075, 4, false))</f>
        <v>0</v>
      </c>
      <c r="K608" s="37">
        <f>if(ISNA(vlookup($A608, FantasyPro!$B$2:$E$341,4,false)),0,vlookup($A608,FantasyPro!$B$2:$E$341,4,false))</f>
        <v>0</v>
      </c>
      <c r="L608" s="37">
        <f>if(ISNA(vlookup($A608, FFToolbox!$B$2:$E$414, 4, false)), 0, vlookup($A608, FFToolbox!$B$2:$E$414, 4, false))</f>
        <v>0</v>
      </c>
      <c r="M608" s="39">
        <f t="shared" si="1"/>
        <v>0.3333333333</v>
      </c>
      <c r="N608" s="39">
        <f t="shared" si="2"/>
        <v>1</v>
      </c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</row>
    <row r="609">
      <c r="A609" s="17" t="s">
        <v>999</v>
      </c>
      <c r="B609" s="35" t="s">
        <v>1259</v>
      </c>
      <c r="C609" s="35" t="s">
        <v>1260</v>
      </c>
      <c r="D609" s="36" t="s">
        <v>262</v>
      </c>
      <c r="E609" s="36" t="s">
        <v>13</v>
      </c>
      <c r="F609" s="36" t="str">
        <f>vlookup(D609,'Team Bye List'!$A$1:$B$33,2,False)</f>
        <v>#N/A</v>
      </c>
      <c r="G609" s="37">
        <f>if(ISNA(vlookup($A609, Sleeper!$B$2:$E$330, 4, false)), 0, vlookup($A609, Sleeper!$B$2:$E$330, 4, false))</f>
        <v>0</v>
      </c>
      <c r="H609" s="37">
        <f>if(ISNA(vlookup($A609, ESPN!$B$2:$E$297, 4, false)), 0, vlookup($A609, ESPN!$B$2:$E$297, 4, false))</f>
        <v>0</v>
      </c>
      <c r="I609" s="37">
        <f>if(ISNA(vlookup($A609,'Ultimate Draft Kit'!$B$2:$E$324,4, false)), 0, vlookup($A609,'Ultimate Draft Kit'!$B$2:$E$324, 4, false))</f>
        <v>0</v>
      </c>
      <c r="J609" s="38">
        <f>if(ISNA(vlookup($A609,Rotowire!$B$2:$E$1075,4, false)), 0, vlookup($A609,Rotowire!$B$2:$E$1075, 4, false))</f>
        <v>0</v>
      </c>
      <c r="K609" s="37">
        <f>if(ISNA(vlookup($A609, FantasyPro!$B$2:$E$341,4,false)),0,vlookup($A609,FantasyPro!$B$2:$E$341,4,false))</f>
        <v>0</v>
      </c>
      <c r="L609" s="37">
        <f>if(ISNA(vlookup($A609, FFToolbox!$B$2:$E$414, 4, false)), 0, vlookup($A609, FFToolbox!$B$2:$E$414, 4, false))</f>
        <v>0</v>
      </c>
      <c r="M609" s="39">
        <f t="shared" si="1"/>
        <v>0</v>
      </c>
      <c r="N609" s="39">
        <f t="shared" si="2"/>
        <v>0</v>
      </c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</row>
    <row r="610">
      <c r="A610" s="17" t="s">
        <v>1000</v>
      </c>
      <c r="B610" s="35" t="s">
        <v>1259</v>
      </c>
      <c r="C610" s="35" t="s">
        <v>1260</v>
      </c>
      <c r="D610" s="36" t="s">
        <v>262</v>
      </c>
      <c r="E610" s="36" t="s">
        <v>13</v>
      </c>
      <c r="F610" s="36" t="str">
        <f>vlookup(D610,'Team Bye List'!$A$1:$B$33,2,False)</f>
        <v>#N/A</v>
      </c>
      <c r="G610" s="37">
        <f>if(ISNA(vlookup($A610, Sleeper!$B$2:$E$330, 4, false)), 0, vlookup($A610, Sleeper!$B$2:$E$330, 4, false))</f>
        <v>0</v>
      </c>
      <c r="H610" s="37">
        <f>if(ISNA(vlookup($A610, ESPN!$B$2:$E$297, 4, false)), 0, vlookup($A610, ESPN!$B$2:$E$297, 4, false))</f>
        <v>0</v>
      </c>
      <c r="I610" s="37">
        <f>if(ISNA(vlookup($A610,'Ultimate Draft Kit'!$B$2:$E$324,4, false)), 0, vlookup($A610,'Ultimate Draft Kit'!$B$2:$E$324, 4, false))</f>
        <v>0</v>
      </c>
      <c r="J610" s="38">
        <f>if(ISNA(vlookup($A610,Rotowire!$B$2:$E$1075,4, false)), 0, vlookup($A610,Rotowire!$B$2:$E$1075, 4, false))</f>
        <v>0</v>
      </c>
      <c r="K610" s="37">
        <f>if(ISNA(vlookup($A610, FantasyPro!$B$2:$E$341,4,false)),0,vlookup($A610,FantasyPro!$B$2:$E$341,4,false))</f>
        <v>0</v>
      </c>
      <c r="L610" s="37">
        <f>if(ISNA(vlookup($A610, FFToolbox!$B$2:$E$414, 4, false)), 0, vlookup($A610, FFToolbox!$B$2:$E$414, 4, false))</f>
        <v>0</v>
      </c>
      <c r="M610" s="39">
        <f t="shared" si="1"/>
        <v>0</v>
      </c>
      <c r="N610" s="39">
        <f t="shared" si="2"/>
        <v>0</v>
      </c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</row>
    <row r="611">
      <c r="A611" s="17" t="s">
        <v>1001</v>
      </c>
      <c r="B611" s="35" t="s">
        <v>1259</v>
      </c>
      <c r="C611" s="35" t="s">
        <v>1260</v>
      </c>
      <c r="D611" s="36" t="s">
        <v>39</v>
      </c>
      <c r="E611" s="36" t="s">
        <v>13</v>
      </c>
      <c r="F611" s="36">
        <f>vlookup(D611,'Team Bye List'!$A$1:$B$33,2,False)</f>
        <v>11</v>
      </c>
      <c r="G611" s="37">
        <f>if(ISNA(vlookup($A611, Sleeper!$B$2:$E$330, 4, false)), 0, vlookup($A611, Sleeper!$B$2:$E$330, 4, false))</f>
        <v>0</v>
      </c>
      <c r="H611" s="37">
        <f>if(ISNA(vlookup($A611, ESPN!$B$2:$E$297, 4, false)), 0, vlookup($A611, ESPN!$B$2:$E$297, 4, false))</f>
        <v>0</v>
      </c>
      <c r="I611" s="37">
        <f>if(ISNA(vlookup($A611,'Ultimate Draft Kit'!$B$2:$E$324,4, false)), 0, vlookup($A611,'Ultimate Draft Kit'!$B$2:$E$324, 4, false))</f>
        <v>0</v>
      </c>
      <c r="J611" s="38">
        <f>if(ISNA(vlookup($A611,Rotowire!$B$2:$E$1075,4, false)), 0, vlookup($A611,Rotowire!$B$2:$E$1075, 4, false))</f>
        <v>0</v>
      </c>
      <c r="K611" s="37">
        <f>if(ISNA(vlookup($A611, FantasyPro!$B$2:$E$341,4,false)),0,vlookup($A611,FantasyPro!$B$2:$E$341,4,false))</f>
        <v>0</v>
      </c>
      <c r="L611" s="37">
        <f>if(ISNA(vlookup($A611, FFToolbox!$B$2:$E$414, 4, false)), 0, vlookup($A611, FFToolbox!$B$2:$E$414, 4, false))</f>
        <v>0</v>
      </c>
      <c r="M611" s="39">
        <f t="shared" si="1"/>
        <v>0</v>
      </c>
      <c r="N611" s="39">
        <f t="shared" si="2"/>
        <v>0</v>
      </c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</row>
    <row r="612">
      <c r="A612" s="17" t="s">
        <v>622</v>
      </c>
      <c r="B612" s="35" t="s">
        <v>1259</v>
      </c>
      <c r="C612" s="35" t="s">
        <v>1260</v>
      </c>
      <c r="D612" s="36" t="s">
        <v>262</v>
      </c>
      <c r="E612" s="36" t="s">
        <v>13</v>
      </c>
      <c r="F612" s="36" t="str">
        <f>vlookup(D612,'Team Bye List'!$A$1:$B$33,2,False)</f>
        <v>#N/A</v>
      </c>
      <c r="G612" s="37">
        <f>if(ISNA(vlookup($A612, Sleeper!$B$2:$E$330, 4, false)), 0, vlookup($A612, Sleeper!$B$2:$E$330, 4, false))</f>
        <v>0</v>
      </c>
      <c r="H612" s="37">
        <f>if(ISNA(vlookup($A612, ESPN!$B$2:$E$297, 4, false)), 0, vlookup($A612, ESPN!$B$2:$E$297, 4, false))</f>
        <v>0</v>
      </c>
      <c r="I612" s="37">
        <f>if(ISNA(vlookup($A612,'Ultimate Draft Kit'!$B$2:$E$324,4, false)), 0, vlookup($A612,'Ultimate Draft Kit'!$B$2:$E$324, 4, false))</f>
        <v>0</v>
      </c>
      <c r="J612" s="38">
        <f>if(ISNA(vlookup($A612,Rotowire!$B$2:$E$1075,4, false)), 0, vlookup($A612,Rotowire!$B$2:$E$1075, 4, false))</f>
        <v>0</v>
      </c>
      <c r="K612" s="37">
        <f>if(ISNA(vlookup($A612, FantasyPro!$B$2:$E$341,4,false)),0,vlookup($A612,FantasyPro!$B$2:$E$341,4,false))</f>
        <v>0</v>
      </c>
      <c r="L612" s="37">
        <f>if(ISNA(vlookup($A612, FFToolbox!$B$2:$E$414, 4, false)), 0, vlookup($A612, FFToolbox!$B$2:$E$414, 4, false))</f>
        <v>0</v>
      </c>
      <c r="M612" s="39">
        <f t="shared" si="1"/>
        <v>0</v>
      </c>
      <c r="N612" s="39">
        <f t="shared" si="2"/>
        <v>0</v>
      </c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</row>
    <row r="613">
      <c r="A613" s="17" t="s">
        <v>676</v>
      </c>
      <c r="B613" s="35" t="s">
        <v>1259</v>
      </c>
      <c r="C613" s="35" t="s">
        <v>1260</v>
      </c>
      <c r="D613" s="36" t="s">
        <v>53</v>
      </c>
      <c r="E613" s="36" t="s">
        <v>13</v>
      </c>
      <c r="F613" s="36">
        <f>vlookup(D613,'Team Bye List'!$A$1:$B$33,2,False)</f>
        <v>9</v>
      </c>
      <c r="G613" s="37">
        <f>if(ISNA(vlookup($A613, Sleeper!$B$2:$E$330, 4, false)), 0, vlookup($A613, Sleeper!$B$2:$E$330, 4, false))</f>
        <v>0</v>
      </c>
      <c r="H613" s="37">
        <f>if(ISNA(vlookup($A613, ESPN!$B$2:$E$297, 4, false)), 0, vlookup($A613, ESPN!$B$2:$E$297, 4, false))</f>
        <v>0</v>
      </c>
      <c r="I613" s="37">
        <f>if(ISNA(vlookup($A613,'Ultimate Draft Kit'!$B$2:$E$324,4, false)), 0, vlookup($A613,'Ultimate Draft Kit'!$B$2:$E$324, 4, false))</f>
        <v>0</v>
      </c>
      <c r="J613" s="38">
        <f>if(ISNA(vlookup($A613,Rotowire!$B$2:$E$1075,4, false)), 0, vlookup($A613,Rotowire!$B$2:$E$1075, 4, false))</f>
        <v>0</v>
      </c>
      <c r="K613" s="37">
        <f>if(ISNA(vlookup($A613, FantasyPro!$B$2:$E$341,4,false)),0,vlookup($A613,FantasyPro!$B$2:$E$341,4,false))</f>
        <v>0</v>
      </c>
      <c r="L613" s="37">
        <f>if(ISNA(vlookup($A613, FFToolbox!$B$2:$E$414, 4, false)), 0, vlookup($A613, FFToolbox!$B$2:$E$414, 4, false))</f>
        <v>0</v>
      </c>
      <c r="M613" s="39">
        <f t="shared" si="1"/>
        <v>0</v>
      </c>
      <c r="N613" s="39">
        <f t="shared" si="2"/>
        <v>0</v>
      </c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</row>
    <row r="614">
      <c r="A614" s="17" t="s">
        <v>1002</v>
      </c>
      <c r="B614" s="35" t="s">
        <v>1259</v>
      </c>
      <c r="C614" s="35" t="s">
        <v>1260</v>
      </c>
      <c r="D614" s="36" t="s">
        <v>262</v>
      </c>
      <c r="E614" s="36" t="s">
        <v>13</v>
      </c>
      <c r="F614" s="36" t="str">
        <f>vlookup(D614,'Team Bye List'!$A$1:$B$33,2,False)</f>
        <v>#N/A</v>
      </c>
      <c r="G614" s="37">
        <f>if(ISNA(vlookup($A614, Sleeper!$B$2:$E$330, 4, false)), 0, vlookup($A614, Sleeper!$B$2:$E$330, 4, false))</f>
        <v>0</v>
      </c>
      <c r="H614" s="37">
        <f>if(ISNA(vlookup($A614, ESPN!$B$2:$E$297, 4, false)), 0, vlookup($A614, ESPN!$B$2:$E$297, 4, false))</f>
        <v>0</v>
      </c>
      <c r="I614" s="37">
        <f>if(ISNA(vlookup($A614,'Ultimate Draft Kit'!$B$2:$E$324,4, false)), 0, vlookup($A614,'Ultimate Draft Kit'!$B$2:$E$324, 4, false))</f>
        <v>0</v>
      </c>
      <c r="J614" s="38">
        <f>if(ISNA(vlookup($A614,Rotowire!$B$2:$E$1075,4, false)), 0, vlookup($A614,Rotowire!$B$2:$E$1075, 4, false))</f>
        <v>0</v>
      </c>
      <c r="K614" s="37">
        <f>if(ISNA(vlookup($A614, FantasyPro!$B$2:$E$341,4,false)),0,vlookup($A614,FantasyPro!$B$2:$E$341,4,false))</f>
        <v>0</v>
      </c>
      <c r="L614" s="37">
        <f>if(ISNA(vlookup($A614, FFToolbox!$B$2:$E$414, 4, false)), 0, vlookup($A614, FFToolbox!$B$2:$E$414, 4, false))</f>
        <v>0</v>
      </c>
      <c r="M614" s="39">
        <f t="shared" si="1"/>
        <v>0</v>
      </c>
      <c r="N614" s="39">
        <f t="shared" si="2"/>
        <v>0</v>
      </c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</row>
    <row r="615">
      <c r="A615" s="17" t="s">
        <v>1003</v>
      </c>
      <c r="B615" s="35" t="s">
        <v>1259</v>
      </c>
      <c r="C615" s="35" t="s">
        <v>1260</v>
      </c>
      <c r="D615" s="36" t="s">
        <v>262</v>
      </c>
      <c r="E615" s="36" t="s">
        <v>13</v>
      </c>
      <c r="F615" s="36" t="str">
        <f>vlookup(D615,'Team Bye List'!$A$1:$B$33,2,False)</f>
        <v>#N/A</v>
      </c>
      <c r="G615" s="37">
        <f>if(ISNA(vlookup($A615, Sleeper!$B$2:$E$330, 4, false)), 0, vlookup($A615, Sleeper!$B$2:$E$330, 4, false))</f>
        <v>0</v>
      </c>
      <c r="H615" s="37">
        <f>if(ISNA(vlookup($A615, ESPN!$B$2:$E$297, 4, false)), 0, vlookup($A615, ESPN!$B$2:$E$297, 4, false))</f>
        <v>0</v>
      </c>
      <c r="I615" s="37">
        <f>if(ISNA(vlookup($A615,'Ultimate Draft Kit'!$B$2:$E$324,4, false)), 0, vlookup($A615,'Ultimate Draft Kit'!$B$2:$E$324, 4, false))</f>
        <v>0</v>
      </c>
      <c r="J615" s="38">
        <f>if(ISNA(vlookup($A615,Rotowire!$B$2:$E$1075,4, false)), 0, vlookup($A615,Rotowire!$B$2:$E$1075, 4, false))</f>
        <v>0</v>
      </c>
      <c r="K615" s="37">
        <f>if(ISNA(vlookup($A615, FantasyPro!$B$2:$E$341,4,false)),0,vlookup($A615,FantasyPro!$B$2:$E$341,4,false))</f>
        <v>0</v>
      </c>
      <c r="L615" s="37">
        <f>if(ISNA(vlookup($A615, FFToolbox!$B$2:$E$414, 4, false)), 0, vlookup($A615, FFToolbox!$B$2:$E$414, 4, false))</f>
        <v>0</v>
      </c>
      <c r="M615" s="39">
        <f t="shared" si="1"/>
        <v>0</v>
      </c>
      <c r="N615" s="39">
        <f t="shared" si="2"/>
        <v>0</v>
      </c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</row>
    <row r="616">
      <c r="A616" s="17" t="s">
        <v>612</v>
      </c>
      <c r="B616" s="35" t="s">
        <v>1259</v>
      </c>
      <c r="C616" s="35" t="s">
        <v>1260</v>
      </c>
      <c r="D616" s="36" t="s">
        <v>28</v>
      </c>
      <c r="E616" s="36" t="s">
        <v>13</v>
      </c>
      <c r="F616" s="36">
        <f>vlookup(D616,'Team Bye List'!$A$1:$B$33,2,False)</f>
        <v>11</v>
      </c>
      <c r="G616" s="37">
        <f>if(ISNA(vlookup($A616, Sleeper!$B$2:$E$330, 4, false)), 0, vlookup($A616, Sleeper!$B$2:$E$330, 4, false))</f>
        <v>0</v>
      </c>
      <c r="H616" s="37">
        <f>if(ISNA(vlookup($A616, ESPN!$B$2:$E$297, 4, false)), 0, vlookup($A616, ESPN!$B$2:$E$297, 4, false))</f>
        <v>0</v>
      </c>
      <c r="I616" s="37">
        <f>if(ISNA(vlookup($A616,'Ultimate Draft Kit'!$B$2:$E$324,4, false)), 0, vlookup($A616,'Ultimate Draft Kit'!$B$2:$E$324, 4, false))</f>
        <v>0</v>
      </c>
      <c r="J616" s="38">
        <f>if(ISNA(vlookup($A616,Rotowire!$B$2:$E$1075,4, false)), 0, vlookup($A616,Rotowire!$B$2:$E$1075, 4, false))</f>
        <v>0</v>
      </c>
      <c r="K616" s="37">
        <f>if(ISNA(vlookup($A616, FantasyPro!$B$2:$E$341,4,false)),0,vlookup($A616,FantasyPro!$B$2:$E$341,4,false))</f>
        <v>0</v>
      </c>
      <c r="L616" s="37">
        <f>if(ISNA(vlookup($A616, FFToolbox!$B$2:$E$414, 4, false)), 0, vlookup($A616, FFToolbox!$B$2:$E$414, 4, false))</f>
        <v>0</v>
      </c>
      <c r="M616" s="39">
        <f t="shared" si="1"/>
        <v>0</v>
      </c>
      <c r="N616" s="39">
        <f t="shared" si="2"/>
        <v>0</v>
      </c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</row>
    <row r="617">
      <c r="A617" s="17" t="s">
        <v>1004</v>
      </c>
      <c r="B617" s="35" t="s">
        <v>1259</v>
      </c>
      <c r="C617" s="35" t="s">
        <v>1260</v>
      </c>
      <c r="D617" s="36" t="s">
        <v>262</v>
      </c>
      <c r="E617" s="36" t="s">
        <v>13</v>
      </c>
      <c r="F617" s="36" t="str">
        <f>vlookup(D617,'Team Bye List'!$A$1:$B$33,2,False)</f>
        <v>#N/A</v>
      </c>
      <c r="G617" s="37">
        <f>if(ISNA(vlookup($A617, Sleeper!$B$2:$E$330, 4, false)), 0, vlookup($A617, Sleeper!$B$2:$E$330, 4, false))</f>
        <v>0</v>
      </c>
      <c r="H617" s="37">
        <f>if(ISNA(vlookup($A617, ESPN!$B$2:$E$297, 4, false)), 0, vlookup($A617, ESPN!$B$2:$E$297, 4, false))</f>
        <v>0</v>
      </c>
      <c r="I617" s="37">
        <f>if(ISNA(vlookup($A617,'Ultimate Draft Kit'!$B$2:$E$324,4, false)), 0, vlookup($A617,'Ultimate Draft Kit'!$B$2:$E$324, 4, false))</f>
        <v>0</v>
      </c>
      <c r="J617" s="38">
        <f>if(ISNA(vlookup($A617,Rotowire!$B$2:$E$1075,4, false)), 0, vlookup($A617,Rotowire!$B$2:$E$1075, 4, false))</f>
        <v>0</v>
      </c>
      <c r="K617" s="37">
        <f>if(ISNA(vlookup($A617, FantasyPro!$B$2:$E$341,4,false)),0,vlookup($A617,FantasyPro!$B$2:$E$341,4,false))</f>
        <v>0</v>
      </c>
      <c r="L617" s="37">
        <f>if(ISNA(vlookup($A617, FFToolbox!$B$2:$E$414, 4, false)), 0, vlookup($A617, FFToolbox!$B$2:$E$414, 4, false))</f>
        <v>0</v>
      </c>
      <c r="M617" s="39">
        <f t="shared" si="1"/>
        <v>0</v>
      </c>
      <c r="N617" s="39">
        <f t="shared" si="2"/>
        <v>0</v>
      </c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</row>
    <row r="618">
      <c r="A618" s="17" t="s">
        <v>1005</v>
      </c>
      <c r="B618" s="35" t="s">
        <v>1259</v>
      </c>
      <c r="C618" s="35" t="s">
        <v>1260</v>
      </c>
      <c r="D618" s="36" t="s">
        <v>262</v>
      </c>
      <c r="E618" s="36" t="s">
        <v>13</v>
      </c>
      <c r="F618" s="36" t="str">
        <f>vlookup(D618,'Team Bye List'!$A$1:$B$33,2,False)</f>
        <v>#N/A</v>
      </c>
      <c r="G618" s="37">
        <f>if(ISNA(vlookup($A618, Sleeper!$B$2:$E$330, 4, false)), 0, vlookup($A618, Sleeper!$B$2:$E$330, 4, false))</f>
        <v>0</v>
      </c>
      <c r="H618" s="37">
        <f>if(ISNA(vlookup($A618, ESPN!$B$2:$E$297, 4, false)), 0, vlookup($A618, ESPN!$B$2:$E$297, 4, false))</f>
        <v>0</v>
      </c>
      <c r="I618" s="37">
        <f>if(ISNA(vlookup($A618,'Ultimate Draft Kit'!$B$2:$E$324,4, false)), 0, vlookup($A618,'Ultimate Draft Kit'!$B$2:$E$324, 4, false))</f>
        <v>0</v>
      </c>
      <c r="J618" s="38">
        <f>if(ISNA(vlookup($A618,Rotowire!$B$2:$E$1075,4, false)), 0, vlookup($A618,Rotowire!$B$2:$E$1075, 4, false))</f>
        <v>0</v>
      </c>
      <c r="K618" s="37">
        <f>if(ISNA(vlookup($A618, FantasyPro!$B$2:$E$341,4,false)),0,vlookup($A618,FantasyPro!$B$2:$E$341,4,false))</f>
        <v>0</v>
      </c>
      <c r="L618" s="37">
        <f>if(ISNA(vlookup($A618, FFToolbox!$B$2:$E$414, 4, false)), 0, vlookup($A618, FFToolbox!$B$2:$E$414, 4, false))</f>
        <v>0</v>
      </c>
      <c r="M618" s="39">
        <f t="shared" si="1"/>
        <v>0</v>
      </c>
      <c r="N618" s="39">
        <f t="shared" si="2"/>
        <v>0</v>
      </c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</row>
    <row r="619">
      <c r="A619" s="17" t="s">
        <v>1006</v>
      </c>
      <c r="B619" s="35" t="s">
        <v>1259</v>
      </c>
      <c r="C619" s="35" t="s">
        <v>1260</v>
      </c>
      <c r="D619" s="36" t="s">
        <v>262</v>
      </c>
      <c r="E619" s="36" t="s">
        <v>13</v>
      </c>
      <c r="F619" s="36" t="str">
        <f>vlookup(D619,'Team Bye List'!$A$1:$B$33,2,False)</f>
        <v>#N/A</v>
      </c>
      <c r="G619" s="37">
        <f>if(ISNA(vlookup($A619, Sleeper!$B$2:$E$330, 4, false)), 0, vlookup($A619, Sleeper!$B$2:$E$330, 4, false))</f>
        <v>0</v>
      </c>
      <c r="H619" s="37">
        <f>if(ISNA(vlookup($A619, ESPN!$B$2:$E$297, 4, false)), 0, vlookup($A619, ESPN!$B$2:$E$297, 4, false))</f>
        <v>0</v>
      </c>
      <c r="I619" s="37">
        <f>if(ISNA(vlookup($A619,'Ultimate Draft Kit'!$B$2:$E$324,4, false)), 0, vlookup($A619,'Ultimate Draft Kit'!$B$2:$E$324, 4, false))</f>
        <v>0</v>
      </c>
      <c r="J619" s="38">
        <f>if(ISNA(vlookup($A619,Rotowire!$B$2:$E$1075,4, false)), 0, vlookup($A619,Rotowire!$B$2:$E$1075, 4, false))</f>
        <v>0</v>
      </c>
      <c r="K619" s="37">
        <f>if(ISNA(vlookup($A619, FantasyPro!$B$2:$E$341,4,false)),0,vlookup($A619,FantasyPro!$B$2:$E$341,4,false))</f>
        <v>0</v>
      </c>
      <c r="L619" s="37">
        <f>if(ISNA(vlookup($A619, FFToolbox!$B$2:$E$414, 4, false)), 0, vlookup($A619, FFToolbox!$B$2:$E$414, 4, false))</f>
        <v>0</v>
      </c>
      <c r="M619" s="39">
        <f t="shared" si="1"/>
        <v>0</v>
      </c>
      <c r="N619" s="39">
        <f t="shared" si="2"/>
        <v>0</v>
      </c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</row>
    <row r="620">
      <c r="A620" s="17" t="s">
        <v>1007</v>
      </c>
      <c r="B620" s="35" t="s">
        <v>1259</v>
      </c>
      <c r="C620" s="35" t="s">
        <v>1260</v>
      </c>
      <c r="D620" s="36" t="s">
        <v>262</v>
      </c>
      <c r="E620" s="36" t="s">
        <v>13</v>
      </c>
      <c r="F620" s="36" t="str">
        <f>vlookup(D620,'Team Bye List'!$A$1:$B$33,2,False)</f>
        <v>#N/A</v>
      </c>
      <c r="G620" s="37">
        <f>if(ISNA(vlookup($A620, Sleeper!$B$2:$E$330, 4, false)), 0, vlookup($A620, Sleeper!$B$2:$E$330, 4, false))</f>
        <v>0</v>
      </c>
      <c r="H620" s="37">
        <f>if(ISNA(vlookup($A620, ESPN!$B$2:$E$297, 4, false)), 0, vlookup($A620, ESPN!$B$2:$E$297, 4, false))</f>
        <v>0</v>
      </c>
      <c r="I620" s="37">
        <f>if(ISNA(vlookup($A620,'Ultimate Draft Kit'!$B$2:$E$324,4, false)), 0, vlookup($A620,'Ultimate Draft Kit'!$B$2:$E$324, 4, false))</f>
        <v>0</v>
      </c>
      <c r="J620" s="38">
        <f>if(ISNA(vlookup($A620,Rotowire!$B$2:$E$1075,4, false)), 0, vlookup($A620,Rotowire!$B$2:$E$1075, 4, false))</f>
        <v>0</v>
      </c>
      <c r="K620" s="37">
        <f>if(ISNA(vlookup($A620, FantasyPro!$B$2:$E$341,4,false)),0,vlookup($A620,FantasyPro!$B$2:$E$341,4,false))</f>
        <v>0</v>
      </c>
      <c r="L620" s="37">
        <f>if(ISNA(vlookup($A620, FFToolbox!$B$2:$E$414, 4, false)), 0, vlookup($A620, FFToolbox!$B$2:$E$414, 4, false))</f>
        <v>0</v>
      </c>
      <c r="M620" s="39">
        <f t="shared" si="1"/>
        <v>0</v>
      </c>
      <c r="N620" s="39">
        <f t="shared" si="2"/>
        <v>0</v>
      </c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</row>
    <row r="621">
      <c r="A621" s="17" t="s">
        <v>1008</v>
      </c>
      <c r="B621" s="35" t="s">
        <v>1259</v>
      </c>
      <c r="C621" s="35" t="s">
        <v>1260</v>
      </c>
      <c r="D621" s="36" t="s">
        <v>262</v>
      </c>
      <c r="E621" s="36" t="s">
        <v>13</v>
      </c>
      <c r="F621" s="36" t="str">
        <f>vlookup(D621,'Team Bye List'!$A$1:$B$33,2,False)</f>
        <v>#N/A</v>
      </c>
      <c r="G621" s="37">
        <f>if(ISNA(vlookup($A621, Sleeper!$B$2:$E$330, 4, false)), 0, vlookup($A621, Sleeper!$B$2:$E$330, 4, false))</f>
        <v>0</v>
      </c>
      <c r="H621" s="37">
        <f>if(ISNA(vlookup($A621, ESPN!$B$2:$E$297, 4, false)), 0, vlookup($A621, ESPN!$B$2:$E$297, 4, false))</f>
        <v>0</v>
      </c>
      <c r="I621" s="37">
        <f>if(ISNA(vlookup($A621,'Ultimate Draft Kit'!$B$2:$E$324,4, false)), 0, vlookup($A621,'Ultimate Draft Kit'!$B$2:$E$324, 4, false))</f>
        <v>0</v>
      </c>
      <c r="J621" s="38">
        <f>if(ISNA(vlookup($A621,Rotowire!$B$2:$E$1075,4, false)), 0, vlookup($A621,Rotowire!$B$2:$E$1075, 4, false))</f>
        <v>0</v>
      </c>
      <c r="K621" s="37">
        <f>if(ISNA(vlookup($A621, FantasyPro!$B$2:$E$341,4,false)),0,vlookup($A621,FantasyPro!$B$2:$E$341,4,false))</f>
        <v>0</v>
      </c>
      <c r="L621" s="37">
        <f>if(ISNA(vlookup($A621, FFToolbox!$B$2:$E$414, 4, false)), 0, vlookup($A621, FFToolbox!$B$2:$E$414, 4, false))</f>
        <v>0</v>
      </c>
      <c r="M621" s="39">
        <f t="shared" si="1"/>
        <v>0</v>
      </c>
      <c r="N621" s="39">
        <f t="shared" si="2"/>
        <v>0</v>
      </c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</row>
    <row r="622">
      <c r="A622" s="17" t="s">
        <v>1009</v>
      </c>
      <c r="B622" s="35" t="s">
        <v>1259</v>
      </c>
      <c r="C622" s="35" t="s">
        <v>1260</v>
      </c>
      <c r="D622" s="36" t="s">
        <v>41</v>
      </c>
      <c r="E622" s="36" t="s">
        <v>13</v>
      </c>
      <c r="F622" s="36">
        <f>vlookup(D622,'Team Bye List'!$A$1:$B$33,2,False)</f>
        <v>14</v>
      </c>
      <c r="G622" s="37">
        <f>if(ISNA(vlookup($A622, Sleeper!$B$2:$E$330, 4, false)), 0, vlookup($A622, Sleeper!$B$2:$E$330, 4, false))</f>
        <v>0</v>
      </c>
      <c r="H622" s="37">
        <f>if(ISNA(vlookup($A622, ESPN!$B$2:$E$297, 4, false)), 0, vlookup($A622, ESPN!$B$2:$E$297, 4, false))</f>
        <v>0</v>
      </c>
      <c r="I622" s="37">
        <f>if(ISNA(vlookup($A622,'Ultimate Draft Kit'!$B$2:$E$324,4, false)), 0, vlookup($A622,'Ultimate Draft Kit'!$B$2:$E$324, 4, false))</f>
        <v>0</v>
      </c>
      <c r="J622" s="38">
        <f>if(ISNA(vlookup($A622,Rotowire!$B$2:$E$1075,4, false)), 0, vlookup($A622,Rotowire!$B$2:$E$1075, 4, false))</f>
        <v>0</v>
      </c>
      <c r="K622" s="37">
        <f>if(ISNA(vlookup($A622, FantasyPro!$B$2:$E$341,4,false)),0,vlookup($A622,FantasyPro!$B$2:$E$341,4,false))</f>
        <v>0</v>
      </c>
      <c r="L622" s="37">
        <f>if(ISNA(vlookup($A622, FFToolbox!$B$2:$E$414, 4, false)), 0, vlookup($A622, FFToolbox!$B$2:$E$414, 4, false))</f>
        <v>0</v>
      </c>
      <c r="M622" s="39">
        <f t="shared" si="1"/>
        <v>0</v>
      </c>
      <c r="N622" s="39">
        <f t="shared" si="2"/>
        <v>0</v>
      </c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</row>
    <row r="623">
      <c r="A623" s="17" t="s">
        <v>1010</v>
      </c>
      <c r="B623" s="35" t="s">
        <v>1259</v>
      </c>
      <c r="C623" s="35" t="s">
        <v>1260</v>
      </c>
      <c r="D623" s="36" t="s">
        <v>262</v>
      </c>
      <c r="E623" s="36" t="s">
        <v>13</v>
      </c>
      <c r="F623" s="36" t="str">
        <f>vlookup(D623,'Team Bye List'!$A$1:$B$33,2,False)</f>
        <v>#N/A</v>
      </c>
      <c r="G623" s="37">
        <f>if(ISNA(vlookup($A623, Sleeper!$B$2:$E$330, 4, false)), 0, vlookup($A623, Sleeper!$B$2:$E$330, 4, false))</f>
        <v>0</v>
      </c>
      <c r="H623" s="37">
        <f>if(ISNA(vlookup($A623, ESPN!$B$2:$E$297, 4, false)), 0, vlookup($A623, ESPN!$B$2:$E$297, 4, false))</f>
        <v>0</v>
      </c>
      <c r="I623" s="37">
        <f>if(ISNA(vlookup($A623,'Ultimate Draft Kit'!$B$2:$E$324,4, false)), 0, vlookup($A623,'Ultimate Draft Kit'!$B$2:$E$324, 4, false))</f>
        <v>0</v>
      </c>
      <c r="J623" s="38">
        <f>if(ISNA(vlookup($A623,Rotowire!$B$2:$E$1075,4, false)), 0, vlookup($A623,Rotowire!$B$2:$E$1075, 4, false))</f>
        <v>0</v>
      </c>
      <c r="K623" s="37">
        <f>if(ISNA(vlookup($A623, FantasyPro!$B$2:$E$341,4,false)),0,vlookup($A623,FantasyPro!$B$2:$E$341,4,false))</f>
        <v>0</v>
      </c>
      <c r="L623" s="37">
        <f>if(ISNA(vlookup($A623, FFToolbox!$B$2:$E$414, 4, false)), 0, vlookup($A623, FFToolbox!$B$2:$E$414, 4, false))</f>
        <v>0</v>
      </c>
      <c r="M623" s="39">
        <f t="shared" si="1"/>
        <v>0</v>
      </c>
      <c r="N623" s="39">
        <f t="shared" si="2"/>
        <v>0</v>
      </c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</row>
    <row r="624">
      <c r="A624" s="17" t="s">
        <v>845</v>
      </c>
      <c r="B624" s="35" t="s">
        <v>1259</v>
      </c>
      <c r="C624" s="35" t="s">
        <v>1260</v>
      </c>
      <c r="D624" s="36" t="s">
        <v>23</v>
      </c>
      <c r="E624" s="36" t="s">
        <v>13</v>
      </c>
      <c r="F624" s="36">
        <f>vlookup(D624,'Team Bye List'!$A$1:$B$33,2,False)</f>
        <v>9</v>
      </c>
      <c r="G624" s="37">
        <f>if(ISNA(vlookup($A624, Sleeper!$B$2:$E$330, 4, false)), 0, vlookup($A624, Sleeper!$B$2:$E$330, 4, false))</f>
        <v>0</v>
      </c>
      <c r="H624" s="37">
        <f>if(ISNA(vlookup($A624, ESPN!$B$2:$E$297, 4, false)), 0, vlookup($A624, ESPN!$B$2:$E$297, 4, false))</f>
        <v>0</v>
      </c>
      <c r="I624" s="37">
        <f>if(ISNA(vlookup($A624,'Ultimate Draft Kit'!$B$2:$E$324,4, false)), 0, vlookup($A624,'Ultimate Draft Kit'!$B$2:$E$324, 4, false))</f>
        <v>0</v>
      </c>
      <c r="J624" s="38">
        <f>if(ISNA(vlookup($A624,Rotowire!$B$2:$E$1075,4, false)), 0, vlookup($A624,Rotowire!$B$2:$E$1075, 4, false))</f>
        <v>0</v>
      </c>
      <c r="K624" s="37">
        <f>if(ISNA(vlookup($A624, FantasyPro!$B$2:$E$341,4,false)),0,vlookup($A624,FantasyPro!$B$2:$E$341,4,false))</f>
        <v>0</v>
      </c>
      <c r="L624" s="37">
        <f>if(ISNA(vlookup($A624, FFToolbox!$B$2:$E$414, 4, false)), 0, vlookup($A624, FFToolbox!$B$2:$E$414, 4, false))</f>
        <v>1</v>
      </c>
      <c r="M624" s="39">
        <f t="shared" si="1"/>
        <v>0.1666666667</v>
      </c>
      <c r="N624" s="39">
        <f t="shared" si="2"/>
        <v>1</v>
      </c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</row>
    <row r="625">
      <c r="A625" s="17" t="s">
        <v>1011</v>
      </c>
      <c r="B625" s="35" t="s">
        <v>1259</v>
      </c>
      <c r="C625" s="35" t="s">
        <v>1260</v>
      </c>
      <c r="D625" s="36" t="s">
        <v>262</v>
      </c>
      <c r="E625" s="36" t="s">
        <v>13</v>
      </c>
      <c r="F625" s="36" t="str">
        <f>vlookup(D625,'Team Bye List'!$A$1:$B$33,2,False)</f>
        <v>#N/A</v>
      </c>
      <c r="G625" s="37">
        <f>if(ISNA(vlookup($A625, Sleeper!$B$2:$E$330, 4, false)), 0, vlookup($A625, Sleeper!$B$2:$E$330, 4, false))</f>
        <v>0</v>
      </c>
      <c r="H625" s="37">
        <f>if(ISNA(vlookup($A625, ESPN!$B$2:$E$297, 4, false)), 0, vlookup($A625, ESPN!$B$2:$E$297, 4, false))</f>
        <v>0</v>
      </c>
      <c r="I625" s="37">
        <f>if(ISNA(vlookup($A625,'Ultimate Draft Kit'!$B$2:$E$324,4, false)), 0, vlookup($A625,'Ultimate Draft Kit'!$B$2:$E$324, 4, false))</f>
        <v>0</v>
      </c>
      <c r="J625" s="38">
        <f>if(ISNA(vlookup($A625,Rotowire!$B$2:$E$1075,4, false)), 0, vlookup($A625,Rotowire!$B$2:$E$1075, 4, false))</f>
        <v>0</v>
      </c>
      <c r="K625" s="37">
        <f>if(ISNA(vlookup($A625, FantasyPro!$B$2:$E$341,4,false)),0,vlookup($A625,FantasyPro!$B$2:$E$341,4,false))</f>
        <v>0</v>
      </c>
      <c r="L625" s="37">
        <f>if(ISNA(vlookup($A625, FFToolbox!$B$2:$E$414, 4, false)), 0, vlookup($A625, FFToolbox!$B$2:$E$414, 4, false))</f>
        <v>0</v>
      </c>
      <c r="M625" s="39">
        <f t="shared" si="1"/>
        <v>0</v>
      </c>
      <c r="N625" s="39">
        <f t="shared" si="2"/>
        <v>0</v>
      </c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</row>
    <row r="626">
      <c r="A626" s="17" t="s">
        <v>1012</v>
      </c>
      <c r="B626" s="35" t="s">
        <v>1259</v>
      </c>
      <c r="C626" s="35" t="s">
        <v>1260</v>
      </c>
      <c r="D626" s="36" t="s">
        <v>81</v>
      </c>
      <c r="E626" s="36" t="s">
        <v>13</v>
      </c>
      <c r="F626" s="36">
        <f>vlookup(D626,'Team Bye List'!$A$1:$B$33,2,False)</f>
        <v>6</v>
      </c>
      <c r="G626" s="37">
        <f>if(ISNA(vlookup($A626, Sleeper!$B$2:$E$330, 4, false)), 0, vlookup($A626, Sleeper!$B$2:$E$330, 4, false))</f>
        <v>0</v>
      </c>
      <c r="H626" s="37">
        <f>if(ISNA(vlookup($A626, ESPN!$B$2:$E$297, 4, false)), 0, vlookup($A626, ESPN!$B$2:$E$297, 4, false))</f>
        <v>0</v>
      </c>
      <c r="I626" s="37">
        <f>if(ISNA(vlookup($A626,'Ultimate Draft Kit'!$B$2:$E$324,4, false)), 0, vlookup($A626,'Ultimate Draft Kit'!$B$2:$E$324, 4, false))</f>
        <v>0</v>
      </c>
      <c r="J626" s="38">
        <f>if(ISNA(vlookup($A626,Rotowire!$B$2:$E$1075,4, false)), 0, vlookup($A626,Rotowire!$B$2:$E$1075, 4, false))</f>
        <v>0</v>
      </c>
      <c r="K626" s="37">
        <f>if(ISNA(vlookup($A626, FantasyPro!$B$2:$E$341,4,false)),0,vlookup($A626,FantasyPro!$B$2:$E$341,4,false))</f>
        <v>0</v>
      </c>
      <c r="L626" s="37">
        <f>if(ISNA(vlookup($A626, FFToolbox!$B$2:$E$414, 4, false)), 0, vlookup($A626, FFToolbox!$B$2:$E$414, 4, false))</f>
        <v>0</v>
      </c>
      <c r="M626" s="39">
        <f t="shared" si="1"/>
        <v>0</v>
      </c>
      <c r="N626" s="39">
        <f t="shared" si="2"/>
        <v>0</v>
      </c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</row>
    <row r="627">
      <c r="A627" s="17" t="s">
        <v>695</v>
      </c>
      <c r="B627" s="35" t="s">
        <v>1259</v>
      </c>
      <c r="C627" s="35" t="s">
        <v>1260</v>
      </c>
      <c r="D627" s="36" t="s">
        <v>262</v>
      </c>
      <c r="E627" s="36" t="s">
        <v>13</v>
      </c>
      <c r="F627" s="36" t="str">
        <f>vlookup(D627,'Team Bye List'!$A$1:$B$33,2,False)</f>
        <v>#N/A</v>
      </c>
      <c r="G627" s="37">
        <f>if(ISNA(vlookup($A627, Sleeper!$B$2:$E$330, 4, false)), 0, vlookup($A627, Sleeper!$B$2:$E$330, 4, false))</f>
        <v>0</v>
      </c>
      <c r="H627" s="37">
        <f>if(ISNA(vlookup($A627, ESPN!$B$2:$E$297, 4, false)), 0, vlookup($A627, ESPN!$B$2:$E$297, 4, false))</f>
        <v>0</v>
      </c>
      <c r="I627" s="37">
        <f>if(ISNA(vlookup($A627,'Ultimate Draft Kit'!$B$2:$E$324,4, false)), 0, vlookup($A627,'Ultimate Draft Kit'!$B$2:$E$324, 4, false))</f>
        <v>0</v>
      </c>
      <c r="J627" s="38">
        <f>if(ISNA(vlookup($A627,Rotowire!$B$2:$E$1075,4, false)), 0, vlookup($A627,Rotowire!$B$2:$E$1075, 4, false))</f>
        <v>0</v>
      </c>
      <c r="K627" s="37">
        <f>if(ISNA(vlookup($A627, FantasyPro!$B$2:$E$341,4,false)),0,vlookup($A627,FantasyPro!$B$2:$E$341,4,false))</f>
        <v>0</v>
      </c>
      <c r="L627" s="37">
        <f>if(ISNA(vlookup($A627, FFToolbox!$B$2:$E$414, 4, false)), 0, vlookup($A627, FFToolbox!$B$2:$E$414, 4, false))</f>
        <v>0</v>
      </c>
      <c r="M627" s="39">
        <f t="shared" si="1"/>
        <v>0</v>
      </c>
      <c r="N627" s="39">
        <f t="shared" si="2"/>
        <v>0</v>
      </c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</row>
    <row r="628">
      <c r="A628" s="17" t="s">
        <v>1013</v>
      </c>
      <c r="B628" s="35" t="s">
        <v>1259</v>
      </c>
      <c r="C628" s="35" t="s">
        <v>1260</v>
      </c>
      <c r="D628" s="36" t="s">
        <v>10</v>
      </c>
      <c r="E628" s="36" t="s">
        <v>13</v>
      </c>
      <c r="F628" s="36">
        <f>vlookup(D628,'Team Bye List'!$A$1:$B$33,2,False)</f>
        <v>13</v>
      </c>
      <c r="G628" s="37">
        <f>if(ISNA(vlookup($A628, Sleeper!$B$2:$E$330, 4, false)), 0, vlookup($A628, Sleeper!$B$2:$E$330, 4, false))</f>
        <v>0</v>
      </c>
      <c r="H628" s="37">
        <f>if(ISNA(vlookup($A628, ESPN!$B$2:$E$297, 4, false)), 0, vlookup($A628, ESPN!$B$2:$E$297, 4, false))</f>
        <v>0</v>
      </c>
      <c r="I628" s="37">
        <f>if(ISNA(vlookup($A628,'Ultimate Draft Kit'!$B$2:$E$324,4, false)), 0, vlookup($A628,'Ultimate Draft Kit'!$B$2:$E$324, 4, false))</f>
        <v>0</v>
      </c>
      <c r="J628" s="38">
        <f>if(ISNA(vlookup($A628,Rotowire!$B$2:$E$1075,4, false)), 0, vlookup($A628,Rotowire!$B$2:$E$1075, 4, false))</f>
        <v>0</v>
      </c>
      <c r="K628" s="37">
        <f>if(ISNA(vlookup($A628, FantasyPro!$B$2:$E$341,4,false)),0,vlookup($A628,FantasyPro!$B$2:$E$341,4,false))</f>
        <v>0</v>
      </c>
      <c r="L628" s="37">
        <f>if(ISNA(vlookup($A628, FFToolbox!$B$2:$E$414, 4, false)), 0, vlookup($A628, FFToolbox!$B$2:$E$414, 4, false))</f>
        <v>0</v>
      </c>
      <c r="M628" s="39">
        <f t="shared" si="1"/>
        <v>0</v>
      </c>
      <c r="N628" s="39">
        <f t="shared" si="2"/>
        <v>0</v>
      </c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</row>
    <row r="629">
      <c r="A629" s="17" t="s">
        <v>1014</v>
      </c>
      <c r="B629" s="35" t="s">
        <v>1259</v>
      </c>
      <c r="C629" s="35" t="s">
        <v>1260</v>
      </c>
      <c r="D629" s="36" t="s">
        <v>99</v>
      </c>
      <c r="E629" s="36" t="s">
        <v>13</v>
      </c>
      <c r="F629" s="36">
        <f>vlookup(D629,'Team Bye List'!$A$1:$B$33,2,False)</f>
        <v>11</v>
      </c>
      <c r="G629" s="37">
        <f>if(ISNA(vlookup($A629, Sleeper!$B$2:$E$330, 4, false)), 0, vlookup($A629, Sleeper!$B$2:$E$330, 4, false))</f>
        <v>0</v>
      </c>
      <c r="H629" s="37">
        <f>if(ISNA(vlookup($A629, ESPN!$B$2:$E$297, 4, false)), 0, vlookup($A629, ESPN!$B$2:$E$297, 4, false))</f>
        <v>0</v>
      </c>
      <c r="I629" s="37">
        <f>if(ISNA(vlookup($A629,'Ultimate Draft Kit'!$B$2:$E$324,4, false)), 0, vlookup($A629,'Ultimate Draft Kit'!$B$2:$E$324, 4, false))</f>
        <v>0</v>
      </c>
      <c r="J629" s="38">
        <f>if(ISNA(vlookup($A629,Rotowire!$B$2:$E$1075,4, false)), 0, vlookup($A629,Rotowire!$B$2:$E$1075, 4, false))</f>
        <v>0</v>
      </c>
      <c r="K629" s="37">
        <f>if(ISNA(vlookup($A629, FantasyPro!$B$2:$E$341,4,false)),0,vlookup($A629,FantasyPro!$B$2:$E$341,4,false))</f>
        <v>0</v>
      </c>
      <c r="L629" s="37">
        <f>if(ISNA(vlookup($A629, FFToolbox!$B$2:$E$414, 4, false)), 0, vlookup($A629, FFToolbox!$B$2:$E$414, 4, false))</f>
        <v>0</v>
      </c>
      <c r="M629" s="39">
        <f t="shared" si="1"/>
        <v>0</v>
      </c>
      <c r="N629" s="39">
        <f t="shared" si="2"/>
        <v>0</v>
      </c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</row>
    <row r="630">
      <c r="A630" s="17" t="s">
        <v>848</v>
      </c>
      <c r="B630" s="35" t="s">
        <v>1259</v>
      </c>
      <c r="C630" s="35" t="s">
        <v>1260</v>
      </c>
      <c r="D630" s="36" t="s">
        <v>62</v>
      </c>
      <c r="E630" s="36" t="s">
        <v>13</v>
      </c>
      <c r="F630" s="36">
        <f>vlookup(D630,'Team Bye List'!$A$1:$B$33,2,False)</f>
        <v>8</v>
      </c>
      <c r="G630" s="37">
        <f>if(ISNA(vlookup($A630, Sleeper!$B$2:$E$330, 4, false)), 0, vlookup($A630, Sleeper!$B$2:$E$330, 4, false))</f>
        <v>0</v>
      </c>
      <c r="H630" s="37">
        <f>if(ISNA(vlookup($A630, ESPN!$B$2:$E$297, 4, false)), 0, vlookup($A630, ESPN!$B$2:$E$297, 4, false))</f>
        <v>0</v>
      </c>
      <c r="I630" s="37">
        <f>if(ISNA(vlookup($A630,'Ultimate Draft Kit'!$B$2:$E$324,4, false)), 0, vlookup($A630,'Ultimate Draft Kit'!$B$2:$E$324, 4, false))</f>
        <v>0</v>
      </c>
      <c r="J630" s="38">
        <f>if(ISNA(vlookup($A630,Rotowire!$B$2:$E$1075,4, false)), 0, vlookup($A630,Rotowire!$B$2:$E$1075, 4, false))</f>
        <v>0</v>
      </c>
      <c r="K630" s="37">
        <f>if(ISNA(vlookup($A630, FantasyPro!$B$2:$E$341,4,false)),0,vlookup($A630,FantasyPro!$B$2:$E$341,4,false))</f>
        <v>0</v>
      </c>
      <c r="L630" s="37">
        <f>if(ISNA(vlookup($A630, FFToolbox!$B$2:$E$414, 4, false)), 0, vlookup($A630, FFToolbox!$B$2:$E$414, 4, false))</f>
        <v>1</v>
      </c>
      <c r="M630" s="39">
        <f t="shared" si="1"/>
        <v>0.1666666667</v>
      </c>
      <c r="N630" s="39">
        <f t="shared" si="2"/>
        <v>1</v>
      </c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</row>
    <row r="631">
      <c r="A631" s="17" t="s">
        <v>1015</v>
      </c>
      <c r="B631" s="35" t="s">
        <v>1259</v>
      </c>
      <c r="C631" s="35" t="s">
        <v>1260</v>
      </c>
      <c r="D631" s="36" t="s">
        <v>53</v>
      </c>
      <c r="E631" s="36" t="s">
        <v>13</v>
      </c>
      <c r="F631" s="36">
        <f>vlookup(D631,'Team Bye List'!$A$1:$B$33,2,False)</f>
        <v>9</v>
      </c>
      <c r="G631" s="37">
        <f>if(ISNA(vlookup($A631, Sleeper!$B$2:$E$330, 4, false)), 0, vlookup($A631, Sleeper!$B$2:$E$330, 4, false))</f>
        <v>0</v>
      </c>
      <c r="H631" s="37">
        <f>if(ISNA(vlookup($A631, ESPN!$B$2:$E$297, 4, false)), 0, vlookup($A631, ESPN!$B$2:$E$297, 4, false))</f>
        <v>0</v>
      </c>
      <c r="I631" s="37">
        <f>if(ISNA(vlookup($A631,'Ultimate Draft Kit'!$B$2:$E$324,4, false)), 0, vlookup($A631,'Ultimate Draft Kit'!$B$2:$E$324, 4, false))</f>
        <v>0</v>
      </c>
      <c r="J631" s="38">
        <f>if(ISNA(vlookup($A631,Rotowire!$B$2:$E$1075,4, false)), 0, vlookup($A631,Rotowire!$B$2:$E$1075, 4, false))</f>
        <v>0</v>
      </c>
      <c r="K631" s="37">
        <f>if(ISNA(vlookup($A631, FantasyPro!$B$2:$E$341,4,false)),0,vlookup($A631,FantasyPro!$B$2:$E$341,4,false))</f>
        <v>0</v>
      </c>
      <c r="L631" s="37">
        <f>if(ISNA(vlookup($A631, FFToolbox!$B$2:$E$414, 4, false)), 0, vlookup($A631, FFToolbox!$B$2:$E$414, 4, false))</f>
        <v>0</v>
      </c>
      <c r="M631" s="39">
        <f t="shared" si="1"/>
        <v>0</v>
      </c>
      <c r="N631" s="39">
        <f t="shared" si="2"/>
        <v>0</v>
      </c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</row>
    <row r="632">
      <c r="A632" s="17" t="s">
        <v>649</v>
      </c>
      <c r="B632" s="35" t="s">
        <v>1259</v>
      </c>
      <c r="C632" s="35" t="s">
        <v>1260</v>
      </c>
      <c r="D632" s="36" t="s">
        <v>28</v>
      </c>
      <c r="E632" s="36" t="s">
        <v>13</v>
      </c>
      <c r="F632" s="36">
        <f>vlookup(D632,'Team Bye List'!$A$1:$B$33,2,False)</f>
        <v>11</v>
      </c>
      <c r="G632" s="37">
        <f>if(ISNA(vlookup($A632, Sleeper!$B$2:$E$330, 4, false)), 0, vlookup($A632, Sleeper!$B$2:$E$330, 4, false))</f>
        <v>0</v>
      </c>
      <c r="H632" s="37">
        <f>if(ISNA(vlookup($A632, ESPN!$B$2:$E$297, 4, false)), 0, vlookup($A632, ESPN!$B$2:$E$297, 4, false))</f>
        <v>0</v>
      </c>
      <c r="I632" s="37">
        <f>if(ISNA(vlookup($A632,'Ultimate Draft Kit'!$B$2:$E$324,4, false)), 0, vlookup($A632,'Ultimate Draft Kit'!$B$2:$E$324, 4, false))</f>
        <v>0</v>
      </c>
      <c r="J632" s="38">
        <f>if(ISNA(vlookup($A632,Rotowire!$B$2:$E$1075,4, false)), 0, vlookup($A632,Rotowire!$B$2:$E$1075, 4, false))</f>
        <v>0</v>
      </c>
      <c r="K632" s="37">
        <f>if(ISNA(vlookup($A632, FantasyPro!$B$2:$E$341,4,false)),0,vlookup($A632,FantasyPro!$B$2:$E$341,4,false))</f>
        <v>0</v>
      </c>
      <c r="L632" s="37">
        <f>if(ISNA(vlookup($A632, FFToolbox!$B$2:$E$414, 4, false)), 0, vlookup($A632, FFToolbox!$B$2:$E$414, 4, false))</f>
        <v>0</v>
      </c>
      <c r="M632" s="39">
        <f t="shared" si="1"/>
        <v>0</v>
      </c>
      <c r="N632" s="39">
        <f t="shared" si="2"/>
        <v>0</v>
      </c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</row>
    <row r="633">
      <c r="A633" s="17" t="s">
        <v>603</v>
      </c>
      <c r="B633" s="35" t="s">
        <v>1259</v>
      </c>
      <c r="C633" s="35" t="s">
        <v>1260</v>
      </c>
      <c r="D633" s="36" t="s">
        <v>62</v>
      </c>
      <c r="E633" s="36" t="s">
        <v>13</v>
      </c>
      <c r="F633" s="36">
        <f>vlookup(D633,'Team Bye List'!$A$1:$B$33,2,False)</f>
        <v>8</v>
      </c>
      <c r="G633" s="37">
        <f>if(ISNA(vlookup($A633, Sleeper!$B$2:$E$330, 4, false)), 0, vlookup($A633, Sleeper!$B$2:$E$330, 4, false))</f>
        <v>0</v>
      </c>
      <c r="H633" s="37">
        <f>if(ISNA(vlookup($A633, ESPN!$B$2:$E$297, 4, false)), 0, vlookup($A633, ESPN!$B$2:$E$297, 4, false))</f>
        <v>0</v>
      </c>
      <c r="I633" s="37">
        <f>if(ISNA(vlookup($A633,'Ultimate Draft Kit'!$B$2:$E$324,4, false)), 0, vlookup($A633,'Ultimate Draft Kit'!$B$2:$E$324, 4, false))</f>
        <v>0</v>
      </c>
      <c r="J633" s="38">
        <f>if(ISNA(vlookup($A633,Rotowire!$B$2:$E$1075,4, false)), 0, vlookup($A633,Rotowire!$B$2:$E$1075, 4, false))</f>
        <v>0</v>
      </c>
      <c r="K633" s="37">
        <f>if(ISNA(vlookup($A633, FantasyPro!$B$2:$E$341,4,false)),0,vlookup($A633,FantasyPro!$B$2:$E$341,4,false))</f>
        <v>0</v>
      </c>
      <c r="L633" s="37">
        <f>if(ISNA(vlookup($A633, FFToolbox!$B$2:$E$414, 4, false)), 0, vlookup($A633, FFToolbox!$B$2:$E$414, 4, false))</f>
        <v>0</v>
      </c>
      <c r="M633" s="39">
        <f t="shared" si="1"/>
        <v>0</v>
      </c>
      <c r="N633" s="39">
        <f t="shared" si="2"/>
        <v>0</v>
      </c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</row>
    <row r="634">
      <c r="A634" s="17" t="s">
        <v>1016</v>
      </c>
      <c r="B634" s="35" t="s">
        <v>1259</v>
      </c>
      <c r="C634" s="35" t="s">
        <v>1260</v>
      </c>
      <c r="D634" s="36" t="s">
        <v>262</v>
      </c>
      <c r="E634" s="36" t="s">
        <v>13</v>
      </c>
      <c r="F634" s="36" t="str">
        <f>vlookup(D634,'Team Bye List'!$A$1:$B$33,2,False)</f>
        <v>#N/A</v>
      </c>
      <c r="G634" s="37">
        <f>if(ISNA(vlookup($A634, Sleeper!$B$2:$E$330, 4, false)), 0, vlookup($A634, Sleeper!$B$2:$E$330, 4, false))</f>
        <v>0</v>
      </c>
      <c r="H634" s="37">
        <f>if(ISNA(vlookup($A634, ESPN!$B$2:$E$297, 4, false)), 0, vlookup($A634, ESPN!$B$2:$E$297, 4, false))</f>
        <v>0</v>
      </c>
      <c r="I634" s="37">
        <f>if(ISNA(vlookup($A634,'Ultimate Draft Kit'!$B$2:$E$324,4, false)), 0, vlookup($A634,'Ultimate Draft Kit'!$B$2:$E$324, 4, false))</f>
        <v>0</v>
      </c>
      <c r="J634" s="38">
        <f>if(ISNA(vlookup($A634,Rotowire!$B$2:$E$1075,4, false)), 0, vlookup($A634,Rotowire!$B$2:$E$1075, 4, false))</f>
        <v>0</v>
      </c>
      <c r="K634" s="37">
        <f>if(ISNA(vlookup($A634, FantasyPro!$B$2:$E$341,4,false)),0,vlookup($A634,FantasyPro!$B$2:$E$341,4,false))</f>
        <v>0</v>
      </c>
      <c r="L634" s="37">
        <f>if(ISNA(vlookup($A634, FFToolbox!$B$2:$E$414, 4, false)), 0, vlookup($A634, FFToolbox!$B$2:$E$414, 4, false))</f>
        <v>0</v>
      </c>
      <c r="M634" s="39">
        <f t="shared" si="1"/>
        <v>0</v>
      </c>
      <c r="N634" s="39">
        <f t="shared" si="2"/>
        <v>0</v>
      </c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</row>
    <row r="635">
      <c r="A635" s="17" t="s">
        <v>663</v>
      </c>
      <c r="B635" s="35" t="s">
        <v>1259</v>
      </c>
      <c r="C635" s="35" t="s">
        <v>1260</v>
      </c>
      <c r="D635" s="36" t="s">
        <v>55</v>
      </c>
      <c r="E635" s="36" t="s">
        <v>13</v>
      </c>
      <c r="F635" s="36">
        <f>vlookup(D635,'Team Bye List'!$A$1:$B$33,2,False)</f>
        <v>14</v>
      </c>
      <c r="G635" s="37">
        <f>if(ISNA(vlookup($A635, Sleeper!$B$2:$E$330, 4, false)), 0, vlookup($A635, Sleeper!$B$2:$E$330, 4, false))</f>
        <v>0</v>
      </c>
      <c r="H635" s="37">
        <f>if(ISNA(vlookup($A635, ESPN!$B$2:$E$297, 4, false)), 0, vlookup($A635, ESPN!$B$2:$E$297, 4, false))</f>
        <v>0</v>
      </c>
      <c r="I635" s="37">
        <f>if(ISNA(vlookup($A635,'Ultimate Draft Kit'!$B$2:$E$324,4, false)), 0, vlookup($A635,'Ultimate Draft Kit'!$B$2:$E$324, 4, false))</f>
        <v>0</v>
      </c>
      <c r="J635" s="38">
        <f>if(ISNA(vlookup($A635,Rotowire!$B$2:$E$1075,4, false)), 0, vlookup($A635,Rotowire!$B$2:$E$1075, 4, false))</f>
        <v>0</v>
      </c>
      <c r="K635" s="37">
        <f>if(ISNA(vlookup($A635, FantasyPro!$B$2:$E$341,4,false)),0,vlookup($A635,FantasyPro!$B$2:$E$341,4,false))</f>
        <v>0</v>
      </c>
      <c r="L635" s="37">
        <f>if(ISNA(vlookup($A635, FFToolbox!$B$2:$E$414, 4, false)), 0, vlookup($A635, FFToolbox!$B$2:$E$414, 4, false))</f>
        <v>0</v>
      </c>
      <c r="M635" s="39">
        <f t="shared" si="1"/>
        <v>0</v>
      </c>
      <c r="N635" s="39">
        <f t="shared" si="2"/>
        <v>0</v>
      </c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</row>
    <row r="636">
      <c r="A636" s="17" t="s">
        <v>1017</v>
      </c>
      <c r="B636" s="35" t="s">
        <v>1259</v>
      </c>
      <c r="C636" s="35" t="s">
        <v>1260</v>
      </c>
      <c r="D636" s="36" t="s">
        <v>262</v>
      </c>
      <c r="E636" s="36" t="s">
        <v>13</v>
      </c>
      <c r="F636" s="36" t="str">
        <f>vlookup(D636,'Team Bye List'!$A$1:$B$33,2,False)</f>
        <v>#N/A</v>
      </c>
      <c r="G636" s="37">
        <f>if(ISNA(vlookup($A636, Sleeper!$B$2:$E$330, 4, false)), 0, vlookup($A636, Sleeper!$B$2:$E$330, 4, false))</f>
        <v>0</v>
      </c>
      <c r="H636" s="37">
        <f>if(ISNA(vlookup($A636, ESPN!$B$2:$E$297, 4, false)), 0, vlookup($A636, ESPN!$B$2:$E$297, 4, false))</f>
        <v>0</v>
      </c>
      <c r="I636" s="37">
        <f>if(ISNA(vlookup($A636,'Ultimate Draft Kit'!$B$2:$E$324,4, false)), 0, vlookup($A636,'Ultimate Draft Kit'!$B$2:$E$324, 4, false))</f>
        <v>0</v>
      </c>
      <c r="J636" s="38">
        <f>if(ISNA(vlookup($A636,Rotowire!$B$2:$E$1075,4, false)), 0, vlookup($A636,Rotowire!$B$2:$E$1075, 4, false))</f>
        <v>0</v>
      </c>
      <c r="K636" s="37">
        <f>if(ISNA(vlookup($A636, FantasyPro!$B$2:$E$341,4,false)),0,vlookup($A636,FantasyPro!$B$2:$E$341,4,false))</f>
        <v>0</v>
      </c>
      <c r="L636" s="37">
        <f>if(ISNA(vlookup($A636, FFToolbox!$B$2:$E$414, 4, false)), 0, vlookup($A636, FFToolbox!$B$2:$E$414, 4, false))</f>
        <v>0</v>
      </c>
      <c r="M636" s="39">
        <f t="shared" si="1"/>
        <v>0</v>
      </c>
      <c r="N636" s="39">
        <f t="shared" si="2"/>
        <v>0</v>
      </c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</row>
    <row r="637">
      <c r="A637" s="17" t="s">
        <v>1018</v>
      </c>
      <c r="B637" s="35" t="s">
        <v>1259</v>
      </c>
      <c r="C637" s="35" t="s">
        <v>1260</v>
      </c>
      <c r="D637" s="36" t="s">
        <v>53</v>
      </c>
      <c r="E637" s="36" t="s">
        <v>13</v>
      </c>
      <c r="F637" s="36">
        <f>vlookup(D637,'Team Bye List'!$A$1:$B$33,2,False)</f>
        <v>9</v>
      </c>
      <c r="G637" s="37">
        <f>if(ISNA(vlookup($A637, Sleeper!$B$2:$E$330, 4, false)), 0, vlookup($A637, Sleeper!$B$2:$E$330, 4, false))</f>
        <v>0</v>
      </c>
      <c r="H637" s="37">
        <f>if(ISNA(vlookup($A637, ESPN!$B$2:$E$297, 4, false)), 0, vlookup($A637, ESPN!$B$2:$E$297, 4, false))</f>
        <v>0</v>
      </c>
      <c r="I637" s="37">
        <f>if(ISNA(vlookup($A637,'Ultimate Draft Kit'!$B$2:$E$324,4, false)), 0, vlookup($A637,'Ultimate Draft Kit'!$B$2:$E$324, 4, false))</f>
        <v>0</v>
      </c>
      <c r="J637" s="38">
        <f>if(ISNA(vlookup($A637,Rotowire!$B$2:$E$1075,4, false)), 0, vlookup($A637,Rotowire!$B$2:$E$1075, 4, false))</f>
        <v>0</v>
      </c>
      <c r="K637" s="37">
        <f>if(ISNA(vlookup($A637, FantasyPro!$B$2:$E$341,4,false)),0,vlookup($A637,FantasyPro!$B$2:$E$341,4,false))</f>
        <v>0</v>
      </c>
      <c r="L637" s="37">
        <f>if(ISNA(vlookup($A637, FFToolbox!$B$2:$E$414, 4, false)), 0, vlookup($A637, FFToolbox!$B$2:$E$414, 4, false))</f>
        <v>0</v>
      </c>
      <c r="M637" s="39">
        <f t="shared" si="1"/>
        <v>0</v>
      </c>
      <c r="N637" s="39">
        <f t="shared" si="2"/>
        <v>0</v>
      </c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</row>
    <row r="638">
      <c r="A638" s="17" t="s">
        <v>677</v>
      </c>
      <c r="B638" s="35" t="s">
        <v>1259</v>
      </c>
      <c r="C638" s="35" t="s">
        <v>1260</v>
      </c>
      <c r="D638" s="36" t="s">
        <v>89</v>
      </c>
      <c r="E638" s="36" t="s">
        <v>13</v>
      </c>
      <c r="F638" s="36">
        <f>vlookup(D638,'Team Bye List'!$A$1:$B$33,2,False)</f>
        <v>14</v>
      </c>
      <c r="G638" s="37">
        <f>if(ISNA(vlookup($A638, Sleeper!$B$2:$E$330, 4, false)), 0, vlookup($A638, Sleeper!$B$2:$E$330, 4, false))</f>
        <v>0</v>
      </c>
      <c r="H638" s="37">
        <f>if(ISNA(vlookup($A638, ESPN!$B$2:$E$297, 4, false)), 0, vlookup($A638, ESPN!$B$2:$E$297, 4, false))</f>
        <v>0</v>
      </c>
      <c r="I638" s="37">
        <f>if(ISNA(vlookup($A638,'Ultimate Draft Kit'!$B$2:$E$324,4, false)), 0, vlookup($A638,'Ultimate Draft Kit'!$B$2:$E$324, 4, false))</f>
        <v>0</v>
      </c>
      <c r="J638" s="38">
        <f>if(ISNA(vlookup($A638,Rotowire!$B$2:$E$1075,4, false)), 0, vlookup($A638,Rotowire!$B$2:$E$1075, 4, false))</f>
        <v>0</v>
      </c>
      <c r="K638" s="37">
        <f>if(ISNA(vlookup($A638, FantasyPro!$B$2:$E$341,4,false)),0,vlookup($A638,FantasyPro!$B$2:$E$341,4,false))</f>
        <v>0</v>
      </c>
      <c r="L638" s="37">
        <f>if(ISNA(vlookup($A638, FFToolbox!$B$2:$E$414, 4, false)), 0, vlookup($A638, FFToolbox!$B$2:$E$414, 4, false))</f>
        <v>0</v>
      </c>
      <c r="M638" s="39">
        <f t="shared" si="1"/>
        <v>0</v>
      </c>
      <c r="N638" s="39">
        <f t="shared" si="2"/>
        <v>0</v>
      </c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</row>
    <row r="639">
      <c r="A639" s="17" t="s">
        <v>1019</v>
      </c>
      <c r="B639" s="35" t="s">
        <v>1259</v>
      </c>
      <c r="C639" s="35" t="s">
        <v>1260</v>
      </c>
      <c r="D639" s="36" t="s">
        <v>43</v>
      </c>
      <c r="E639" s="36" t="s">
        <v>13</v>
      </c>
      <c r="F639" s="36">
        <f>vlookup(D639,'Team Bye List'!$A$1:$B$33,2,False)</f>
        <v>9</v>
      </c>
      <c r="G639" s="37">
        <f>if(ISNA(vlookup($A639, Sleeper!$B$2:$E$330, 4, false)), 0, vlookup($A639, Sleeper!$B$2:$E$330, 4, false))</f>
        <v>0</v>
      </c>
      <c r="H639" s="37">
        <f>if(ISNA(vlookup($A639, ESPN!$B$2:$E$297, 4, false)), 0, vlookup($A639, ESPN!$B$2:$E$297, 4, false))</f>
        <v>0</v>
      </c>
      <c r="I639" s="37">
        <f>if(ISNA(vlookup($A639,'Ultimate Draft Kit'!$B$2:$E$324,4, false)), 0, vlookup($A639,'Ultimate Draft Kit'!$B$2:$E$324, 4, false))</f>
        <v>0</v>
      </c>
      <c r="J639" s="38">
        <f>if(ISNA(vlookup($A639,Rotowire!$B$2:$E$1075,4, false)), 0, vlookup($A639,Rotowire!$B$2:$E$1075, 4, false))</f>
        <v>0</v>
      </c>
      <c r="K639" s="37">
        <f>if(ISNA(vlookup($A639, FantasyPro!$B$2:$E$341,4,false)),0,vlookup($A639,FantasyPro!$B$2:$E$341,4,false))</f>
        <v>0</v>
      </c>
      <c r="L639" s="37">
        <f>if(ISNA(vlookup($A639, FFToolbox!$B$2:$E$414, 4, false)), 0, vlookup($A639, FFToolbox!$B$2:$E$414, 4, false))</f>
        <v>0</v>
      </c>
      <c r="M639" s="39">
        <f t="shared" si="1"/>
        <v>0</v>
      </c>
      <c r="N639" s="39">
        <f t="shared" si="2"/>
        <v>0</v>
      </c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</row>
    <row r="640">
      <c r="A640" s="17" t="s">
        <v>1020</v>
      </c>
      <c r="B640" s="35" t="s">
        <v>1259</v>
      </c>
      <c r="C640" s="35" t="s">
        <v>1260</v>
      </c>
      <c r="D640" s="36" t="s">
        <v>262</v>
      </c>
      <c r="E640" s="36" t="s">
        <v>13</v>
      </c>
      <c r="F640" s="36" t="str">
        <f>vlookup(D640,'Team Bye List'!$A$1:$B$33,2,False)</f>
        <v>#N/A</v>
      </c>
      <c r="G640" s="37">
        <f>if(ISNA(vlookup($A640, Sleeper!$B$2:$E$330, 4, false)), 0, vlookup($A640, Sleeper!$B$2:$E$330, 4, false))</f>
        <v>0</v>
      </c>
      <c r="H640" s="37">
        <f>if(ISNA(vlookup($A640, ESPN!$B$2:$E$297, 4, false)), 0, vlookup($A640, ESPN!$B$2:$E$297, 4, false))</f>
        <v>0</v>
      </c>
      <c r="I640" s="37">
        <f>if(ISNA(vlookup($A640,'Ultimate Draft Kit'!$B$2:$E$324,4, false)), 0, vlookup($A640,'Ultimate Draft Kit'!$B$2:$E$324, 4, false))</f>
        <v>0</v>
      </c>
      <c r="J640" s="38">
        <f>if(ISNA(vlookup($A640,Rotowire!$B$2:$E$1075,4, false)), 0, vlookup($A640,Rotowire!$B$2:$E$1075, 4, false))</f>
        <v>0</v>
      </c>
      <c r="K640" s="37">
        <f>if(ISNA(vlookup($A640, FantasyPro!$B$2:$E$341,4,false)),0,vlookup($A640,FantasyPro!$B$2:$E$341,4,false))</f>
        <v>0</v>
      </c>
      <c r="L640" s="37">
        <f>if(ISNA(vlookup($A640, FFToolbox!$B$2:$E$414, 4, false)), 0, vlookup($A640, FFToolbox!$B$2:$E$414, 4, false))</f>
        <v>0</v>
      </c>
      <c r="M640" s="39">
        <f t="shared" si="1"/>
        <v>0</v>
      </c>
      <c r="N640" s="39">
        <f t="shared" si="2"/>
        <v>0</v>
      </c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</row>
    <row r="641">
      <c r="A641" s="17" t="s">
        <v>1021</v>
      </c>
      <c r="B641" s="35" t="s">
        <v>1259</v>
      </c>
      <c r="C641" s="35" t="s">
        <v>1260</v>
      </c>
      <c r="D641" s="36" t="s">
        <v>262</v>
      </c>
      <c r="E641" s="36" t="s">
        <v>13</v>
      </c>
      <c r="F641" s="36" t="str">
        <f>vlookup(D641,'Team Bye List'!$A$1:$B$33,2,False)</f>
        <v>#N/A</v>
      </c>
      <c r="G641" s="37">
        <f>if(ISNA(vlookup($A641, Sleeper!$B$2:$E$330, 4, false)), 0, vlookup($A641, Sleeper!$B$2:$E$330, 4, false))</f>
        <v>0</v>
      </c>
      <c r="H641" s="37">
        <f>if(ISNA(vlookup($A641, ESPN!$B$2:$E$297, 4, false)), 0, vlookup($A641, ESPN!$B$2:$E$297, 4, false))</f>
        <v>0</v>
      </c>
      <c r="I641" s="37">
        <f>if(ISNA(vlookup($A641,'Ultimate Draft Kit'!$B$2:$E$324,4, false)), 0, vlookup($A641,'Ultimate Draft Kit'!$B$2:$E$324, 4, false))</f>
        <v>0</v>
      </c>
      <c r="J641" s="38">
        <f>if(ISNA(vlookup($A641,Rotowire!$B$2:$E$1075,4, false)), 0, vlookup($A641,Rotowire!$B$2:$E$1075, 4, false))</f>
        <v>0</v>
      </c>
      <c r="K641" s="37">
        <f>if(ISNA(vlookup($A641, FantasyPro!$B$2:$E$341,4,false)),0,vlookup($A641,FantasyPro!$B$2:$E$341,4,false))</f>
        <v>0</v>
      </c>
      <c r="L641" s="37">
        <f>if(ISNA(vlookup($A641, FFToolbox!$B$2:$E$414, 4, false)), 0, vlookup($A641, FFToolbox!$B$2:$E$414, 4, false))</f>
        <v>0</v>
      </c>
      <c r="M641" s="39">
        <f t="shared" si="1"/>
        <v>0</v>
      </c>
      <c r="N641" s="39">
        <f t="shared" si="2"/>
        <v>0</v>
      </c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</row>
    <row r="642">
      <c r="A642" s="17" t="s">
        <v>1022</v>
      </c>
      <c r="B642" s="35" t="s">
        <v>1259</v>
      </c>
      <c r="C642" s="35" t="s">
        <v>1260</v>
      </c>
      <c r="D642" s="36" t="s">
        <v>21</v>
      </c>
      <c r="E642" s="36" t="s">
        <v>13</v>
      </c>
      <c r="F642" s="36">
        <f>vlookup(D642,'Team Bye List'!$A$1:$B$33,2,False)</f>
        <v>6</v>
      </c>
      <c r="G642" s="37">
        <f>if(ISNA(vlookup($A642, Sleeper!$B$2:$E$330, 4, false)), 0, vlookup($A642, Sleeper!$B$2:$E$330, 4, false))</f>
        <v>0</v>
      </c>
      <c r="H642" s="37">
        <f>if(ISNA(vlookup($A642, ESPN!$B$2:$E$297, 4, false)), 0, vlookup($A642, ESPN!$B$2:$E$297, 4, false))</f>
        <v>0</v>
      </c>
      <c r="I642" s="37">
        <f>if(ISNA(vlookup($A642,'Ultimate Draft Kit'!$B$2:$E$324,4, false)), 0, vlookup($A642,'Ultimate Draft Kit'!$B$2:$E$324, 4, false))</f>
        <v>0</v>
      </c>
      <c r="J642" s="38">
        <f>if(ISNA(vlookup($A642,Rotowire!$B$2:$E$1075,4, false)), 0, vlookup($A642,Rotowire!$B$2:$E$1075, 4, false))</f>
        <v>0</v>
      </c>
      <c r="K642" s="37">
        <f>if(ISNA(vlookup($A642, FantasyPro!$B$2:$E$341,4,false)),0,vlookup($A642,FantasyPro!$B$2:$E$341,4,false))</f>
        <v>0</v>
      </c>
      <c r="L642" s="37">
        <f>if(ISNA(vlookup($A642, FFToolbox!$B$2:$E$414, 4, false)), 0, vlookup($A642, FFToolbox!$B$2:$E$414, 4, false))</f>
        <v>0</v>
      </c>
      <c r="M642" s="39">
        <f t="shared" si="1"/>
        <v>0</v>
      </c>
      <c r="N642" s="39">
        <f t="shared" si="2"/>
        <v>0</v>
      </c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</row>
    <row r="643">
      <c r="A643" s="17" t="s">
        <v>1023</v>
      </c>
      <c r="B643" s="35" t="s">
        <v>1259</v>
      </c>
      <c r="C643" s="35" t="s">
        <v>1260</v>
      </c>
      <c r="D643" s="36" t="s">
        <v>262</v>
      </c>
      <c r="E643" s="36" t="s">
        <v>13</v>
      </c>
      <c r="F643" s="36" t="str">
        <f>vlookup(D643,'Team Bye List'!$A$1:$B$33,2,False)</f>
        <v>#N/A</v>
      </c>
      <c r="G643" s="37">
        <f>if(ISNA(vlookup($A643, Sleeper!$B$2:$E$330, 4, false)), 0, vlookup($A643, Sleeper!$B$2:$E$330, 4, false))</f>
        <v>0</v>
      </c>
      <c r="H643" s="37">
        <f>if(ISNA(vlookup($A643, ESPN!$B$2:$E$297, 4, false)), 0, vlookup($A643, ESPN!$B$2:$E$297, 4, false))</f>
        <v>0</v>
      </c>
      <c r="I643" s="37">
        <f>if(ISNA(vlookup($A643,'Ultimate Draft Kit'!$B$2:$E$324,4, false)), 0, vlookup($A643,'Ultimate Draft Kit'!$B$2:$E$324, 4, false))</f>
        <v>0</v>
      </c>
      <c r="J643" s="38">
        <f>if(ISNA(vlookup($A643,Rotowire!$B$2:$E$1075,4, false)), 0, vlookup($A643,Rotowire!$B$2:$E$1075, 4, false))</f>
        <v>0</v>
      </c>
      <c r="K643" s="37">
        <f>if(ISNA(vlookup($A643, FantasyPro!$B$2:$E$341,4,false)),0,vlookup($A643,FantasyPro!$B$2:$E$341,4,false))</f>
        <v>0</v>
      </c>
      <c r="L643" s="37">
        <f>if(ISNA(vlookup($A643, FFToolbox!$B$2:$E$414, 4, false)), 0, vlookup($A643, FFToolbox!$B$2:$E$414, 4, false))</f>
        <v>0</v>
      </c>
      <c r="M643" s="39">
        <f t="shared" si="1"/>
        <v>0</v>
      </c>
      <c r="N643" s="39">
        <f t="shared" si="2"/>
        <v>0</v>
      </c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</row>
    <row r="644">
      <c r="A644" s="17" t="s">
        <v>691</v>
      </c>
      <c r="B644" s="35" t="s">
        <v>1259</v>
      </c>
      <c r="C644" s="35" t="s">
        <v>1260</v>
      </c>
      <c r="D644" s="36" t="s">
        <v>30</v>
      </c>
      <c r="E644" s="36" t="s">
        <v>13</v>
      </c>
      <c r="F644" s="36">
        <f>vlookup(D644,'Team Bye List'!$A$1:$B$33,2,False)</f>
        <v>7</v>
      </c>
      <c r="G644" s="37">
        <f>if(ISNA(vlookup($A644, Sleeper!$B$2:$E$330, 4, false)), 0, vlookup($A644, Sleeper!$B$2:$E$330, 4, false))</f>
        <v>0</v>
      </c>
      <c r="H644" s="37">
        <f>if(ISNA(vlookup($A644, ESPN!$B$2:$E$297, 4, false)), 0, vlookup($A644, ESPN!$B$2:$E$297, 4, false))</f>
        <v>0</v>
      </c>
      <c r="I644" s="37">
        <f>if(ISNA(vlookup($A644,'Ultimate Draft Kit'!$B$2:$E$324,4, false)), 0, vlookup($A644,'Ultimate Draft Kit'!$B$2:$E$324, 4, false))</f>
        <v>0</v>
      </c>
      <c r="J644" s="38">
        <f>if(ISNA(vlookup($A644,Rotowire!$B$2:$E$1075,4, false)), 0, vlookup($A644,Rotowire!$B$2:$E$1075, 4, false))</f>
        <v>0</v>
      </c>
      <c r="K644" s="37">
        <f>if(ISNA(vlookup($A644, FantasyPro!$B$2:$E$341,4,false)),0,vlookup($A644,FantasyPro!$B$2:$E$341,4,false))</f>
        <v>0</v>
      </c>
      <c r="L644" s="37">
        <f>if(ISNA(vlookup($A644, FFToolbox!$B$2:$E$414, 4, false)), 0, vlookup($A644, FFToolbox!$B$2:$E$414, 4, false))</f>
        <v>0</v>
      </c>
      <c r="M644" s="39">
        <f t="shared" si="1"/>
        <v>0</v>
      </c>
      <c r="N644" s="39">
        <f t="shared" si="2"/>
        <v>0</v>
      </c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</row>
    <row r="645">
      <c r="A645" s="17" t="s">
        <v>1024</v>
      </c>
      <c r="B645" s="35" t="s">
        <v>1259</v>
      </c>
      <c r="C645" s="35" t="s">
        <v>1260</v>
      </c>
      <c r="D645" s="36" t="s">
        <v>262</v>
      </c>
      <c r="E645" s="36" t="s">
        <v>13</v>
      </c>
      <c r="F645" s="36" t="str">
        <f>vlookup(D645,'Team Bye List'!$A$1:$B$33,2,False)</f>
        <v>#N/A</v>
      </c>
      <c r="G645" s="37">
        <f>if(ISNA(vlookup($A645, Sleeper!$B$2:$E$330, 4, false)), 0, vlookup($A645, Sleeper!$B$2:$E$330, 4, false))</f>
        <v>0</v>
      </c>
      <c r="H645" s="37">
        <f>if(ISNA(vlookup($A645, ESPN!$B$2:$E$297, 4, false)), 0, vlookup($A645, ESPN!$B$2:$E$297, 4, false))</f>
        <v>0</v>
      </c>
      <c r="I645" s="37">
        <f>if(ISNA(vlookup($A645,'Ultimate Draft Kit'!$B$2:$E$324,4, false)), 0, vlookup($A645,'Ultimate Draft Kit'!$B$2:$E$324, 4, false))</f>
        <v>0</v>
      </c>
      <c r="J645" s="38">
        <f>if(ISNA(vlookup($A645,Rotowire!$B$2:$E$1075,4, false)), 0, vlookup($A645,Rotowire!$B$2:$E$1075, 4, false))</f>
        <v>0</v>
      </c>
      <c r="K645" s="37">
        <f>if(ISNA(vlookup($A645, FantasyPro!$B$2:$E$341,4,false)),0,vlookup($A645,FantasyPro!$B$2:$E$341,4,false))</f>
        <v>0</v>
      </c>
      <c r="L645" s="37">
        <f>if(ISNA(vlookup($A645, FFToolbox!$B$2:$E$414, 4, false)), 0, vlookup($A645, FFToolbox!$B$2:$E$414, 4, false))</f>
        <v>0</v>
      </c>
      <c r="M645" s="39">
        <f t="shared" si="1"/>
        <v>0</v>
      </c>
      <c r="N645" s="39">
        <f t="shared" si="2"/>
        <v>0</v>
      </c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</row>
    <row r="646">
      <c r="A646" s="17" t="s">
        <v>1025</v>
      </c>
      <c r="B646" s="35" t="s">
        <v>1259</v>
      </c>
      <c r="C646" s="35" t="s">
        <v>1260</v>
      </c>
      <c r="D646" s="36" t="s">
        <v>262</v>
      </c>
      <c r="E646" s="36" t="s">
        <v>13</v>
      </c>
      <c r="F646" s="36" t="str">
        <f>vlookup(D646,'Team Bye List'!$A$1:$B$33,2,False)</f>
        <v>#N/A</v>
      </c>
      <c r="G646" s="37">
        <f>if(ISNA(vlookup($A646, Sleeper!$B$2:$E$330, 4, false)), 0, vlookup($A646, Sleeper!$B$2:$E$330, 4, false))</f>
        <v>0</v>
      </c>
      <c r="H646" s="37">
        <f>if(ISNA(vlookup($A646, ESPN!$B$2:$E$297, 4, false)), 0, vlookup($A646, ESPN!$B$2:$E$297, 4, false))</f>
        <v>0</v>
      </c>
      <c r="I646" s="37">
        <f>if(ISNA(vlookup($A646,'Ultimate Draft Kit'!$B$2:$E$324,4, false)), 0, vlookup($A646,'Ultimate Draft Kit'!$B$2:$E$324, 4, false))</f>
        <v>0</v>
      </c>
      <c r="J646" s="38">
        <f>if(ISNA(vlookup($A646,Rotowire!$B$2:$E$1075,4, false)), 0, vlookup($A646,Rotowire!$B$2:$E$1075, 4, false))</f>
        <v>0</v>
      </c>
      <c r="K646" s="37">
        <f>if(ISNA(vlookup($A646, FantasyPro!$B$2:$E$341,4,false)),0,vlookup($A646,FantasyPro!$B$2:$E$341,4,false))</f>
        <v>0</v>
      </c>
      <c r="L646" s="37">
        <f>if(ISNA(vlookup($A646, FFToolbox!$B$2:$E$414, 4, false)), 0, vlookup($A646, FFToolbox!$B$2:$E$414, 4, false))</f>
        <v>0</v>
      </c>
      <c r="M646" s="39">
        <f t="shared" si="1"/>
        <v>0</v>
      </c>
      <c r="N646" s="39">
        <f t="shared" si="2"/>
        <v>0</v>
      </c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</row>
    <row r="647">
      <c r="A647" s="17" t="s">
        <v>1026</v>
      </c>
      <c r="B647" s="35" t="s">
        <v>1259</v>
      </c>
      <c r="C647" s="35" t="s">
        <v>1260</v>
      </c>
      <c r="D647" s="36" t="s">
        <v>81</v>
      </c>
      <c r="E647" s="36" t="s">
        <v>13</v>
      </c>
      <c r="F647" s="36">
        <f>vlookup(D647,'Team Bye List'!$A$1:$B$33,2,False)</f>
        <v>6</v>
      </c>
      <c r="G647" s="37">
        <f>if(ISNA(vlookup($A647, Sleeper!$B$2:$E$330, 4, false)), 0, vlookup($A647, Sleeper!$B$2:$E$330, 4, false))</f>
        <v>0</v>
      </c>
      <c r="H647" s="37">
        <f>if(ISNA(vlookup($A647, ESPN!$B$2:$E$297, 4, false)), 0, vlookup($A647, ESPN!$B$2:$E$297, 4, false))</f>
        <v>0</v>
      </c>
      <c r="I647" s="37">
        <f>if(ISNA(vlookup($A647,'Ultimate Draft Kit'!$B$2:$E$324,4, false)), 0, vlookup($A647,'Ultimate Draft Kit'!$B$2:$E$324, 4, false))</f>
        <v>0</v>
      </c>
      <c r="J647" s="38">
        <f>if(ISNA(vlookup($A647,Rotowire!$B$2:$E$1075,4, false)), 0, vlookup($A647,Rotowire!$B$2:$E$1075, 4, false))</f>
        <v>0</v>
      </c>
      <c r="K647" s="37">
        <f>if(ISNA(vlookup($A647, FantasyPro!$B$2:$E$341,4,false)),0,vlookup($A647,FantasyPro!$B$2:$E$341,4,false))</f>
        <v>0</v>
      </c>
      <c r="L647" s="37">
        <f>if(ISNA(vlookup($A647, FFToolbox!$B$2:$E$414, 4, false)), 0, vlookup($A647, FFToolbox!$B$2:$E$414, 4, false))</f>
        <v>0</v>
      </c>
      <c r="M647" s="39">
        <f t="shared" si="1"/>
        <v>0</v>
      </c>
      <c r="N647" s="39">
        <f t="shared" si="2"/>
        <v>0</v>
      </c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</row>
    <row r="648">
      <c r="A648" s="17" t="s">
        <v>1027</v>
      </c>
      <c r="B648" s="35" t="s">
        <v>1259</v>
      </c>
      <c r="C648" s="35" t="s">
        <v>1260</v>
      </c>
      <c r="D648" s="36" t="s">
        <v>53</v>
      </c>
      <c r="E648" s="36" t="s">
        <v>13</v>
      </c>
      <c r="F648" s="36">
        <f>vlookup(D648,'Team Bye List'!$A$1:$B$33,2,False)</f>
        <v>9</v>
      </c>
      <c r="G648" s="37">
        <f>if(ISNA(vlookup($A648, Sleeper!$B$2:$E$330, 4, false)), 0, vlookup($A648, Sleeper!$B$2:$E$330, 4, false))</f>
        <v>0</v>
      </c>
      <c r="H648" s="37">
        <f>if(ISNA(vlookup($A648, ESPN!$B$2:$E$297, 4, false)), 0, vlookup($A648, ESPN!$B$2:$E$297, 4, false))</f>
        <v>0</v>
      </c>
      <c r="I648" s="37">
        <f>if(ISNA(vlookup($A648,'Ultimate Draft Kit'!$B$2:$E$324,4, false)), 0, vlookup($A648,'Ultimate Draft Kit'!$B$2:$E$324, 4, false))</f>
        <v>0</v>
      </c>
      <c r="J648" s="38">
        <f>if(ISNA(vlookup($A648,Rotowire!$B$2:$E$1075,4, false)), 0, vlookup($A648,Rotowire!$B$2:$E$1075, 4, false))</f>
        <v>0</v>
      </c>
      <c r="K648" s="37">
        <f>if(ISNA(vlookup($A648, FantasyPro!$B$2:$E$341,4,false)),0,vlookup($A648,FantasyPro!$B$2:$E$341,4,false))</f>
        <v>0</v>
      </c>
      <c r="L648" s="37">
        <f>if(ISNA(vlookup($A648, FFToolbox!$B$2:$E$414, 4, false)), 0, vlookup($A648, FFToolbox!$B$2:$E$414, 4, false))</f>
        <v>0</v>
      </c>
      <c r="M648" s="39">
        <f t="shared" si="1"/>
        <v>0</v>
      </c>
      <c r="N648" s="39">
        <f t="shared" si="2"/>
        <v>0</v>
      </c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</row>
    <row r="649">
      <c r="A649" s="17" t="s">
        <v>1028</v>
      </c>
      <c r="B649" s="35" t="s">
        <v>1259</v>
      </c>
      <c r="C649" s="35" t="s">
        <v>1260</v>
      </c>
      <c r="D649" s="36" t="s">
        <v>39</v>
      </c>
      <c r="E649" s="36" t="s">
        <v>13</v>
      </c>
      <c r="F649" s="36">
        <f>vlookup(D649,'Team Bye List'!$A$1:$B$33,2,False)</f>
        <v>11</v>
      </c>
      <c r="G649" s="37">
        <f>if(ISNA(vlookup($A649, Sleeper!$B$2:$E$330, 4, false)), 0, vlookup($A649, Sleeper!$B$2:$E$330, 4, false))</f>
        <v>0</v>
      </c>
      <c r="H649" s="37">
        <f>if(ISNA(vlookup($A649, ESPN!$B$2:$E$297, 4, false)), 0, vlookup($A649, ESPN!$B$2:$E$297, 4, false))</f>
        <v>0</v>
      </c>
      <c r="I649" s="37">
        <f>if(ISNA(vlookup($A649,'Ultimate Draft Kit'!$B$2:$E$324,4, false)), 0, vlookup($A649,'Ultimate Draft Kit'!$B$2:$E$324, 4, false))</f>
        <v>0</v>
      </c>
      <c r="J649" s="38">
        <f>if(ISNA(vlookup($A649,Rotowire!$B$2:$E$1075,4, false)), 0, vlookup($A649,Rotowire!$B$2:$E$1075, 4, false))</f>
        <v>0</v>
      </c>
      <c r="K649" s="37">
        <f>if(ISNA(vlookup($A649, FantasyPro!$B$2:$E$341,4,false)),0,vlookup($A649,FantasyPro!$B$2:$E$341,4,false))</f>
        <v>0</v>
      </c>
      <c r="L649" s="37">
        <f>if(ISNA(vlookup($A649, FFToolbox!$B$2:$E$414, 4, false)), 0, vlookup($A649, FFToolbox!$B$2:$E$414, 4, false))</f>
        <v>0</v>
      </c>
      <c r="M649" s="39">
        <f t="shared" si="1"/>
        <v>0</v>
      </c>
      <c r="N649" s="39">
        <f t="shared" si="2"/>
        <v>0</v>
      </c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</row>
    <row r="650">
      <c r="A650" s="17" t="s">
        <v>1029</v>
      </c>
      <c r="B650" s="35" t="s">
        <v>1259</v>
      </c>
      <c r="C650" s="35" t="s">
        <v>1260</v>
      </c>
      <c r="D650" s="36" t="s">
        <v>262</v>
      </c>
      <c r="E650" s="36" t="s">
        <v>13</v>
      </c>
      <c r="F650" s="36" t="str">
        <f>vlookup(D650,'Team Bye List'!$A$1:$B$33,2,False)</f>
        <v>#N/A</v>
      </c>
      <c r="G650" s="37">
        <f>if(ISNA(vlookup($A650, Sleeper!$B$2:$E$330, 4, false)), 0, vlookup($A650, Sleeper!$B$2:$E$330, 4, false))</f>
        <v>0</v>
      </c>
      <c r="H650" s="37">
        <f>if(ISNA(vlookup($A650, ESPN!$B$2:$E$297, 4, false)), 0, vlookup($A650, ESPN!$B$2:$E$297, 4, false))</f>
        <v>0</v>
      </c>
      <c r="I650" s="37">
        <f>if(ISNA(vlookup($A650,'Ultimate Draft Kit'!$B$2:$E$324,4, false)), 0, vlookup($A650,'Ultimate Draft Kit'!$B$2:$E$324, 4, false))</f>
        <v>0</v>
      </c>
      <c r="J650" s="38">
        <f>if(ISNA(vlookup($A650,Rotowire!$B$2:$E$1075,4, false)), 0, vlookup($A650,Rotowire!$B$2:$E$1075, 4, false))</f>
        <v>0</v>
      </c>
      <c r="K650" s="37">
        <f>if(ISNA(vlookup($A650, FantasyPro!$B$2:$E$341,4,false)),0,vlookup($A650,FantasyPro!$B$2:$E$341,4,false))</f>
        <v>0</v>
      </c>
      <c r="L650" s="37">
        <f>if(ISNA(vlookup($A650, FFToolbox!$B$2:$E$414, 4, false)), 0, vlookup($A650, FFToolbox!$B$2:$E$414, 4, false))</f>
        <v>0</v>
      </c>
      <c r="M650" s="39">
        <f t="shared" si="1"/>
        <v>0</v>
      </c>
      <c r="N650" s="39">
        <f t="shared" si="2"/>
        <v>0</v>
      </c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</row>
    <row r="651">
      <c r="A651" s="17" t="s">
        <v>540</v>
      </c>
      <c r="B651" s="35" t="s">
        <v>1259</v>
      </c>
      <c r="C651" s="35" t="s">
        <v>1260</v>
      </c>
      <c r="D651" s="36" t="s">
        <v>262</v>
      </c>
      <c r="E651" s="36" t="s">
        <v>13</v>
      </c>
      <c r="F651" s="36" t="str">
        <f>vlookup(D651,'Team Bye List'!$A$1:$B$33,2,False)</f>
        <v>#N/A</v>
      </c>
      <c r="G651" s="37">
        <f>if(ISNA(vlookup($A651, Sleeper!$B$2:$E$330, 4, false)), 0, vlookup($A651, Sleeper!$B$2:$E$330, 4, false))</f>
        <v>0</v>
      </c>
      <c r="H651" s="37">
        <f>if(ISNA(vlookup($A651, ESPN!$B$2:$E$297, 4, false)), 0, vlookup($A651, ESPN!$B$2:$E$297, 4, false))</f>
        <v>0</v>
      </c>
      <c r="I651" s="37">
        <f>if(ISNA(vlookup($A651,'Ultimate Draft Kit'!$B$2:$E$324,4, false)), 0, vlookup($A651,'Ultimate Draft Kit'!$B$2:$E$324, 4, false))</f>
        <v>0</v>
      </c>
      <c r="J651" s="38">
        <f>if(ISNA(vlookup($A651,Rotowire!$B$2:$E$1075,4, false)), 0, vlookup($A651,Rotowire!$B$2:$E$1075, 4, false))</f>
        <v>0</v>
      </c>
      <c r="K651" s="37">
        <f>if(ISNA(vlookup($A651, FantasyPro!$B$2:$E$341,4,false)),0,vlookup($A651,FantasyPro!$B$2:$E$341,4,false))</f>
        <v>0</v>
      </c>
      <c r="L651" s="37">
        <f>if(ISNA(vlookup($A651, FFToolbox!$B$2:$E$414, 4, false)), 0, vlookup($A651, FFToolbox!$B$2:$E$414, 4, false))</f>
        <v>0</v>
      </c>
      <c r="M651" s="39">
        <f t="shared" si="1"/>
        <v>0</v>
      </c>
      <c r="N651" s="39">
        <f t="shared" si="2"/>
        <v>0</v>
      </c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</row>
    <row r="652">
      <c r="A652" s="17" t="s">
        <v>1030</v>
      </c>
      <c r="B652" s="35" t="s">
        <v>1259</v>
      </c>
      <c r="C652" s="35" t="s">
        <v>1260</v>
      </c>
      <c r="D652" s="36" t="s">
        <v>262</v>
      </c>
      <c r="E652" s="36" t="s">
        <v>13</v>
      </c>
      <c r="F652" s="36" t="str">
        <f>vlookup(D652,'Team Bye List'!$A$1:$B$33,2,False)</f>
        <v>#N/A</v>
      </c>
      <c r="G652" s="37">
        <f>if(ISNA(vlookup($A652, Sleeper!$B$2:$E$330, 4, false)), 0, vlookup($A652, Sleeper!$B$2:$E$330, 4, false))</f>
        <v>0</v>
      </c>
      <c r="H652" s="37">
        <f>if(ISNA(vlookup($A652, ESPN!$B$2:$E$297, 4, false)), 0, vlookup($A652, ESPN!$B$2:$E$297, 4, false))</f>
        <v>0</v>
      </c>
      <c r="I652" s="37">
        <f>if(ISNA(vlookup($A652,'Ultimate Draft Kit'!$B$2:$E$324,4, false)), 0, vlookup($A652,'Ultimate Draft Kit'!$B$2:$E$324, 4, false))</f>
        <v>0</v>
      </c>
      <c r="J652" s="38">
        <f>if(ISNA(vlookup($A652,Rotowire!$B$2:$E$1075,4, false)), 0, vlookup($A652,Rotowire!$B$2:$E$1075, 4, false))</f>
        <v>0</v>
      </c>
      <c r="K652" s="37">
        <f>if(ISNA(vlookup($A652, FantasyPro!$B$2:$E$341,4,false)),0,vlookup($A652,FantasyPro!$B$2:$E$341,4,false))</f>
        <v>0</v>
      </c>
      <c r="L652" s="37">
        <f>if(ISNA(vlookup($A652, FFToolbox!$B$2:$E$414, 4, false)), 0, vlookup($A652, FFToolbox!$B$2:$E$414, 4, false))</f>
        <v>0</v>
      </c>
      <c r="M652" s="39">
        <f t="shared" si="1"/>
        <v>0</v>
      </c>
      <c r="N652" s="39">
        <f t="shared" si="2"/>
        <v>0</v>
      </c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</row>
    <row r="653">
      <c r="A653" s="17" t="s">
        <v>1031</v>
      </c>
      <c r="B653" s="35" t="s">
        <v>1259</v>
      </c>
      <c r="C653" s="35" t="s">
        <v>1260</v>
      </c>
      <c r="D653" s="36" t="s">
        <v>262</v>
      </c>
      <c r="E653" s="36" t="s">
        <v>13</v>
      </c>
      <c r="F653" s="36" t="str">
        <f>vlookup(D653,'Team Bye List'!$A$1:$B$33,2,False)</f>
        <v>#N/A</v>
      </c>
      <c r="G653" s="37">
        <f>if(ISNA(vlookup($A653, Sleeper!$B$2:$E$330, 4, false)), 0, vlookup($A653, Sleeper!$B$2:$E$330, 4, false))</f>
        <v>0</v>
      </c>
      <c r="H653" s="37">
        <f>if(ISNA(vlookup($A653, ESPN!$B$2:$E$297, 4, false)), 0, vlookup($A653, ESPN!$B$2:$E$297, 4, false))</f>
        <v>0</v>
      </c>
      <c r="I653" s="37">
        <f>if(ISNA(vlookup($A653,'Ultimate Draft Kit'!$B$2:$E$324,4, false)), 0, vlookup($A653,'Ultimate Draft Kit'!$B$2:$E$324, 4, false))</f>
        <v>0</v>
      </c>
      <c r="J653" s="38">
        <f>if(ISNA(vlookup($A653,Rotowire!$B$2:$E$1075,4, false)), 0, vlookup($A653,Rotowire!$B$2:$E$1075, 4, false))</f>
        <v>0</v>
      </c>
      <c r="K653" s="37">
        <f>if(ISNA(vlookup($A653, FantasyPro!$B$2:$E$341,4,false)),0,vlookup($A653,FantasyPro!$B$2:$E$341,4,false))</f>
        <v>0</v>
      </c>
      <c r="L653" s="37">
        <f>if(ISNA(vlookup($A653, FFToolbox!$B$2:$E$414, 4, false)), 0, vlookup($A653, FFToolbox!$B$2:$E$414, 4, false))</f>
        <v>0</v>
      </c>
      <c r="M653" s="39">
        <f t="shared" si="1"/>
        <v>0</v>
      </c>
      <c r="N653" s="39">
        <f t="shared" si="2"/>
        <v>0</v>
      </c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</row>
    <row r="654">
      <c r="A654" s="17" t="s">
        <v>1032</v>
      </c>
      <c r="B654" s="35" t="s">
        <v>1259</v>
      </c>
      <c r="C654" s="35" t="s">
        <v>1260</v>
      </c>
      <c r="D654" s="36" t="s">
        <v>262</v>
      </c>
      <c r="E654" s="36" t="s">
        <v>13</v>
      </c>
      <c r="F654" s="36" t="str">
        <f>vlookup(D654,'Team Bye List'!$A$1:$B$33,2,False)</f>
        <v>#N/A</v>
      </c>
      <c r="G654" s="37">
        <f>if(ISNA(vlookup($A654, Sleeper!$B$2:$E$330, 4, false)), 0, vlookup($A654, Sleeper!$B$2:$E$330, 4, false))</f>
        <v>0</v>
      </c>
      <c r="H654" s="37">
        <f>if(ISNA(vlookup($A654, ESPN!$B$2:$E$297, 4, false)), 0, vlookup($A654, ESPN!$B$2:$E$297, 4, false))</f>
        <v>0</v>
      </c>
      <c r="I654" s="37">
        <f>if(ISNA(vlookup($A654,'Ultimate Draft Kit'!$B$2:$E$324,4, false)), 0, vlookup($A654,'Ultimate Draft Kit'!$B$2:$E$324, 4, false))</f>
        <v>0</v>
      </c>
      <c r="J654" s="38">
        <f>if(ISNA(vlookup($A654,Rotowire!$B$2:$E$1075,4, false)), 0, vlookup($A654,Rotowire!$B$2:$E$1075, 4, false))</f>
        <v>0</v>
      </c>
      <c r="K654" s="37">
        <f>if(ISNA(vlookup($A654, FantasyPro!$B$2:$E$341,4,false)),0,vlookup($A654,FantasyPro!$B$2:$E$341,4,false))</f>
        <v>0</v>
      </c>
      <c r="L654" s="37">
        <f>if(ISNA(vlookup($A654, FFToolbox!$B$2:$E$414, 4, false)), 0, vlookup($A654, FFToolbox!$B$2:$E$414, 4, false))</f>
        <v>0</v>
      </c>
      <c r="M654" s="39">
        <f t="shared" si="1"/>
        <v>0</v>
      </c>
      <c r="N654" s="39">
        <f t="shared" si="2"/>
        <v>0</v>
      </c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</row>
    <row r="655">
      <c r="A655" s="17" t="s">
        <v>1033</v>
      </c>
      <c r="B655" s="35" t="s">
        <v>1259</v>
      </c>
      <c r="C655" s="35" t="s">
        <v>1260</v>
      </c>
      <c r="D655" s="36" t="s">
        <v>119</v>
      </c>
      <c r="E655" s="36" t="s">
        <v>13</v>
      </c>
      <c r="F655" s="36">
        <f>vlookup(D655,'Team Bye List'!$A$1:$B$33,2,False)</f>
        <v>10</v>
      </c>
      <c r="G655" s="37">
        <f>if(ISNA(vlookup($A655, Sleeper!$B$2:$E$330, 4, false)), 0, vlookup($A655, Sleeper!$B$2:$E$330, 4, false))</f>
        <v>0</v>
      </c>
      <c r="H655" s="37">
        <f>if(ISNA(vlookup($A655, ESPN!$B$2:$E$297, 4, false)), 0, vlookup($A655, ESPN!$B$2:$E$297, 4, false))</f>
        <v>0</v>
      </c>
      <c r="I655" s="37">
        <f>if(ISNA(vlookup($A655,'Ultimate Draft Kit'!$B$2:$E$324,4, false)), 0, vlookup($A655,'Ultimate Draft Kit'!$B$2:$E$324, 4, false))</f>
        <v>0</v>
      </c>
      <c r="J655" s="38">
        <f>if(ISNA(vlookup($A655,Rotowire!$B$2:$E$1075,4, false)), 0, vlookup($A655,Rotowire!$B$2:$E$1075, 4, false))</f>
        <v>0</v>
      </c>
      <c r="K655" s="37">
        <f>if(ISNA(vlookup($A655, FantasyPro!$B$2:$E$341,4,false)),0,vlookup($A655,FantasyPro!$B$2:$E$341,4,false))</f>
        <v>0</v>
      </c>
      <c r="L655" s="37">
        <f>if(ISNA(vlookup($A655, FFToolbox!$B$2:$E$414, 4, false)), 0, vlookup($A655, FFToolbox!$B$2:$E$414, 4, false))</f>
        <v>0</v>
      </c>
      <c r="M655" s="39">
        <f t="shared" si="1"/>
        <v>0</v>
      </c>
      <c r="N655" s="39">
        <f t="shared" si="2"/>
        <v>0</v>
      </c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</row>
    <row r="656">
      <c r="A656" s="17" t="s">
        <v>553</v>
      </c>
      <c r="B656" s="35" t="s">
        <v>1259</v>
      </c>
      <c r="C656" s="35" t="s">
        <v>1260</v>
      </c>
      <c r="D656" s="36" t="s">
        <v>262</v>
      </c>
      <c r="E656" s="36" t="s">
        <v>13</v>
      </c>
      <c r="F656" s="36" t="str">
        <f>vlookup(D656,'Team Bye List'!$A$1:$B$33,2,False)</f>
        <v>#N/A</v>
      </c>
      <c r="G656" s="37">
        <f>if(ISNA(vlookup($A656, Sleeper!$B$2:$E$330, 4, false)), 0, vlookup($A656, Sleeper!$B$2:$E$330, 4, false))</f>
        <v>0</v>
      </c>
      <c r="H656" s="37">
        <f>if(ISNA(vlookup($A656, ESPN!$B$2:$E$297, 4, false)), 0, vlookup($A656, ESPN!$B$2:$E$297, 4, false))</f>
        <v>0</v>
      </c>
      <c r="I656" s="37">
        <f>if(ISNA(vlookup($A656,'Ultimate Draft Kit'!$B$2:$E$324,4, false)), 0, vlookup($A656,'Ultimate Draft Kit'!$B$2:$E$324, 4, false))</f>
        <v>0</v>
      </c>
      <c r="J656" s="38">
        <f>if(ISNA(vlookup($A656,Rotowire!$B$2:$E$1075,4, false)), 0, vlookup($A656,Rotowire!$B$2:$E$1075, 4, false))</f>
        <v>0</v>
      </c>
      <c r="K656" s="37">
        <f>if(ISNA(vlookup($A656, FantasyPro!$B$2:$E$341,4,false)),0,vlookup($A656,FantasyPro!$B$2:$E$341,4,false))</f>
        <v>0</v>
      </c>
      <c r="L656" s="37">
        <f>if(ISNA(vlookup($A656, FFToolbox!$B$2:$E$414, 4, false)), 0, vlookup($A656, FFToolbox!$B$2:$E$414, 4, false))</f>
        <v>0</v>
      </c>
      <c r="M656" s="39">
        <f t="shared" si="1"/>
        <v>0</v>
      </c>
      <c r="N656" s="39">
        <f t="shared" si="2"/>
        <v>0</v>
      </c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</row>
    <row r="657">
      <c r="A657" s="17" t="s">
        <v>579</v>
      </c>
      <c r="B657" s="35" t="s">
        <v>1259</v>
      </c>
      <c r="C657" s="35" t="s">
        <v>1260</v>
      </c>
      <c r="D657" s="36" t="s">
        <v>262</v>
      </c>
      <c r="E657" s="36" t="s">
        <v>13</v>
      </c>
      <c r="F657" s="36" t="str">
        <f>vlookup(D657,'Team Bye List'!$A$1:$B$33,2,False)</f>
        <v>#N/A</v>
      </c>
      <c r="G657" s="37">
        <f>if(ISNA(vlookup($A657, Sleeper!$B$2:$E$330, 4, false)), 0, vlookup($A657, Sleeper!$B$2:$E$330, 4, false))</f>
        <v>0</v>
      </c>
      <c r="H657" s="37">
        <f>if(ISNA(vlookup($A657, ESPN!$B$2:$E$297, 4, false)), 0, vlookup($A657, ESPN!$B$2:$E$297, 4, false))</f>
        <v>0</v>
      </c>
      <c r="I657" s="37">
        <f>if(ISNA(vlookup($A657,'Ultimate Draft Kit'!$B$2:$E$324,4, false)), 0, vlookup($A657,'Ultimate Draft Kit'!$B$2:$E$324, 4, false))</f>
        <v>0</v>
      </c>
      <c r="J657" s="38">
        <f>if(ISNA(vlookup($A657,Rotowire!$B$2:$E$1075,4, false)), 0, vlookup($A657,Rotowire!$B$2:$E$1075, 4, false))</f>
        <v>0</v>
      </c>
      <c r="K657" s="37">
        <f>if(ISNA(vlookup($A657, FantasyPro!$B$2:$E$341,4,false)),0,vlookup($A657,FantasyPro!$B$2:$E$341,4,false))</f>
        <v>0</v>
      </c>
      <c r="L657" s="37">
        <f>if(ISNA(vlookup($A657, FFToolbox!$B$2:$E$414, 4, false)), 0, vlookup($A657, FFToolbox!$B$2:$E$414, 4, false))</f>
        <v>0</v>
      </c>
      <c r="M657" s="39">
        <f t="shared" si="1"/>
        <v>0</v>
      </c>
      <c r="N657" s="39">
        <f t="shared" si="2"/>
        <v>0</v>
      </c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</row>
    <row r="658">
      <c r="A658" s="17" t="s">
        <v>252</v>
      </c>
      <c r="B658" s="35" t="s">
        <v>1259</v>
      </c>
      <c r="C658" s="35">
        <v>8.0</v>
      </c>
      <c r="D658" s="35" t="s">
        <v>37</v>
      </c>
      <c r="E658" s="36" t="s">
        <v>13</v>
      </c>
      <c r="F658" s="36">
        <f>vlookup(D658,'Team Bye List'!$A$1:$B$33,2,False)</f>
        <v>11</v>
      </c>
      <c r="G658" s="37">
        <f>if(ISNA(vlookup($A658, Sleeper!$B$2:$E$330, 4, false)), 0, vlookup($A658, Sleeper!$B$2:$E$330, 4, false))</f>
        <v>1</v>
      </c>
      <c r="H658" s="37">
        <f>if(ISNA(vlookup($A658, ESPN!$B$2:$E$297, 4, false)), 0, vlookup($A658, ESPN!$B$2:$E$297, 4, false))</f>
        <v>0</v>
      </c>
      <c r="I658" s="37">
        <f>if(ISNA(vlookup($A658,'Ultimate Draft Kit'!$B$2:$E$324,4, false)), 0, vlookup($A658,'Ultimate Draft Kit'!$B$2:$E$324, 4, false))</f>
        <v>1</v>
      </c>
      <c r="J658" s="38">
        <f>if(ISNA(vlookup($A658,Rotowire!$B$2:$E$1075,4, false)), 0, vlookup($A658,Rotowire!$B$2:$E$1075, 4, false))</f>
        <v>0</v>
      </c>
      <c r="K658" s="37">
        <f>if(ISNA(vlookup($A658, FantasyPro!$B$2:$E$341,4,false)),0,vlookup($A658,FantasyPro!$B$2:$E$341,4,false))</f>
        <v>1</v>
      </c>
      <c r="L658" s="37">
        <f>if(ISNA(vlookup($A658, FFToolbox!$B$2:$E$414, 4, false)), 0, vlookup($A658, FFToolbox!$B$2:$E$414, 4, false))</f>
        <v>1</v>
      </c>
      <c r="M658" s="39">
        <f t="shared" si="1"/>
        <v>0.6666666667</v>
      </c>
      <c r="N658" s="39">
        <f t="shared" si="2"/>
        <v>1</v>
      </c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</row>
    <row r="659">
      <c r="A659" s="17" t="s">
        <v>1034</v>
      </c>
      <c r="B659" s="35" t="s">
        <v>1259</v>
      </c>
      <c r="C659" s="35" t="s">
        <v>1260</v>
      </c>
      <c r="D659" s="36" t="s">
        <v>119</v>
      </c>
      <c r="E659" s="36" t="s">
        <v>13</v>
      </c>
      <c r="F659" s="36">
        <f>vlookup(D659,'Team Bye List'!$A$1:$B$33,2,False)</f>
        <v>10</v>
      </c>
      <c r="G659" s="37">
        <f>if(ISNA(vlookup($A659, Sleeper!$B$2:$E$330, 4, false)), 0, vlookup($A659, Sleeper!$B$2:$E$330, 4, false))</f>
        <v>0</v>
      </c>
      <c r="H659" s="37">
        <f>if(ISNA(vlookup($A659, ESPN!$B$2:$E$297, 4, false)), 0, vlookup($A659, ESPN!$B$2:$E$297, 4, false))</f>
        <v>0</v>
      </c>
      <c r="I659" s="37">
        <f>if(ISNA(vlookup($A659,'Ultimate Draft Kit'!$B$2:$E$324,4, false)), 0, vlookup($A659,'Ultimate Draft Kit'!$B$2:$E$324, 4, false))</f>
        <v>0</v>
      </c>
      <c r="J659" s="38">
        <f>if(ISNA(vlookup($A659,Rotowire!$B$2:$E$1075,4, false)), 0, vlookup($A659,Rotowire!$B$2:$E$1075, 4, false))</f>
        <v>0</v>
      </c>
      <c r="K659" s="37">
        <f>if(ISNA(vlookup($A659, FantasyPro!$B$2:$E$341,4,false)),0,vlookup($A659,FantasyPro!$B$2:$E$341,4,false))</f>
        <v>0</v>
      </c>
      <c r="L659" s="37">
        <f>if(ISNA(vlookup($A659, FFToolbox!$B$2:$E$414, 4, false)), 0, vlookup($A659, FFToolbox!$B$2:$E$414, 4, false))</f>
        <v>0</v>
      </c>
      <c r="M659" s="39">
        <f t="shared" si="1"/>
        <v>0</v>
      </c>
      <c r="N659" s="39">
        <f t="shared" si="2"/>
        <v>0</v>
      </c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</row>
    <row r="660">
      <c r="A660" s="17" t="s">
        <v>626</v>
      </c>
      <c r="B660" s="35" t="s">
        <v>1259</v>
      </c>
      <c r="C660" s="35" t="s">
        <v>1260</v>
      </c>
      <c r="D660" s="36" t="s">
        <v>262</v>
      </c>
      <c r="E660" s="36" t="s">
        <v>13</v>
      </c>
      <c r="F660" s="36" t="str">
        <f>vlookup(D660,'Team Bye List'!$A$1:$B$33,2,False)</f>
        <v>#N/A</v>
      </c>
      <c r="G660" s="37">
        <f>if(ISNA(vlookup($A660, Sleeper!$B$2:$E$330, 4, false)), 0, vlookup($A660, Sleeper!$B$2:$E$330, 4, false))</f>
        <v>0</v>
      </c>
      <c r="H660" s="37">
        <f>if(ISNA(vlookup($A660, ESPN!$B$2:$E$297, 4, false)), 0, vlookup($A660, ESPN!$B$2:$E$297, 4, false))</f>
        <v>0</v>
      </c>
      <c r="I660" s="37">
        <f>if(ISNA(vlookup($A660,'Ultimate Draft Kit'!$B$2:$E$324,4, false)), 0, vlookup($A660,'Ultimate Draft Kit'!$B$2:$E$324, 4, false))</f>
        <v>0</v>
      </c>
      <c r="J660" s="38">
        <f>if(ISNA(vlookup($A660,Rotowire!$B$2:$E$1075,4, false)), 0, vlookup($A660,Rotowire!$B$2:$E$1075, 4, false))</f>
        <v>0</v>
      </c>
      <c r="K660" s="37">
        <f>if(ISNA(vlookup($A660, FantasyPro!$B$2:$E$341,4,false)),0,vlookup($A660,FantasyPro!$B$2:$E$341,4,false))</f>
        <v>0</v>
      </c>
      <c r="L660" s="37">
        <f>if(ISNA(vlookup($A660, FFToolbox!$B$2:$E$414, 4, false)), 0, vlookup($A660, FFToolbox!$B$2:$E$414, 4, false))</f>
        <v>0</v>
      </c>
      <c r="M660" s="39">
        <f t="shared" si="1"/>
        <v>0</v>
      </c>
      <c r="N660" s="39">
        <f t="shared" si="2"/>
        <v>0</v>
      </c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</row>
    <row r="661">
      <c r="A661" s="17" t="s">
        <v>1035</v>
      </c>
      <c r="B661" s="35" t="s">
        <v>1259</v>
      </c>
      <c r="C661" s="35" t="s">
        <v>1260</v>
      </c>
      <c r="D661" s="36" t="s">
        <v>262</v>
      </c>
      <c r="E661" s="36" t="s">
        <v>13</v>
      </c>
      <c r="F661" s="36" t="str">
        <f>vlookup(D661,'Team Bye List'!$A$1:$B$33,2,False)</f>
        <v>#N/A</v>
      </c>
      <c r="G661" s="37">
        <f>if(ISNA(vlookup($A661, Sleeper!$B$2:$E$330, 4, false)), 0, vlookup($A661, Sleeper!$B$2:$E$330, 4, false))</f>
        <v>0</v>
      </c>
      <c r="H661" s="37">
        <f>if(ISNA(vlookup($A661, ESPN!$B$2:$E$297, 4, false)), 0, vlookup($A661, ESPN!$B$2:$E$297, 4, false))</f>
        <v>0</v>
      </c>
      <c r="I661" s="37">
        <f>if(ISNA(vlookup($A661,'Ultimate Draft Kit'!$B$2:$E$324,4, false)), 0, vlookup($A661,'Ultimate Draft Kit'!$B$2:$E$324, 4, false))</f>
        <v>0</v>
      </c>
      <c r="J661" s="38">
        <f>if(ISNA(vlookup($A661,Rotowire!$B$2:$E$1075,4, false)), 0, vlookup($A661,Rotowire!$B$2:$E$1075, 4, false))</f>
        <v>0</v>
      </c>
      <c r="K661" s="37">
        <f>if(ISNA(vlookup($A661, FantasyPro!$B$2:$E$341,4,false)),0,vlookup($A661,FantasyPro!$B$2:$E$341,4,false))</f>
        <v>0</v>
      </c>
      <c r="L661" s="37">
        <f>if(ISNA(vlookup($A661, FFToolbox!$B$2:$E$414, 4, false)), 0, vlookup($A661, FFToolbox!$B$2:$E$414, 4, false))</f>
        <v>0</v>
      </c>
      <c r="M661" s="39">
        <f t="shared" si="1"/>
        <v>0</v>
      </c>
      <c r="N661" s="39">
        <f t="shared" si="2"/>
        <v>0</v>
      </c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</row>
    <row r="662">
      <c r="A662" s="17" t="s">
        <v>1036</v>
      </c>
      <c r="B662" s="35" t="s">
        <v>1259</v>
      </c>
      <c r="C662" s="35" t="s">
        <v>1260</v>
      </c>
      <c r="D662" s="36" t="s">
        <v>262</v>
      </c>
      <c r="E662" s="36" t="s">
        <v>13</v>
      </c>
      <c r="F662" s="36" t="str">
        <f>vlookup(D662,'Team Bye List'!$A$1:$B$33,2,False)</f>
        <v>#N/A</v>
      </c>
      <c r="G662" s="37">
        <f>if(ISNA(vlookup($A662, Sleeper!$B$2:$E$330, 4, false)), 0, vlookup($A662, Sleeper!$B$2:$E$330, 4, false))</f>
        <v>0</v>
      </c>
      <c r="H662" s="37">
        <f>if(ISNA(vlookup($A662, ESPN!$B$2:$E$297, 4, false)), 0, vlookup($A662, ESPN!$B$2:$E$297, 4, false))</f>
        <v>0</v>
      </c>
      <c r="I662" s="37">
        <f>if(ISNA(vlookup($A662,'Ultimate Draft Kit'!$B$2:$E$324,4, false)), 0, vlookup($A662,'Ultimate Draft Kit'!$B$2:$E$324, 4, false))</f>
        <v>0</v>
      </c>
      <c r="J662" s="38">
        <f>if(ISNA(vlookup($A662,Rotowire!$B$2:$E$1075,4, false)), 0, vlookup($A662,Rotowire!$B$2:$E$1075, 4, false))</f>
        <v>0</v>
      </c>
      <c r="K662" s="37">
        <f>if(ISNA(vlookup($A662, FantasyPro!$B$2:$E$341,4,false)),0,vlookup($A662,FantasyPro!$B$2:$E$341,4,false))</f>
        <v>0</v>
      </c>
      <c r="L662" s="37">
        <f>if(ISNA(vlookup($A662, FFToolbox!$B$2:$E$414, 4, false)), 0, vlookup($A662, FFToolbox!$B$2:$E$414, 4, false))</f>
        <v>0</v>
      </c>
      <c r="M662" s="39">
        <f t="shared" si="1"/>
        <v>0</v>
      </c>
      <c r="N662" s="39">
        <f t="shared" si="2"/>
        <v>0</v>
      </c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</row>
    <row r="663">
      <c r="A663" s="17" t="s">
        <v>1037</v>
      </c>
      <c r="B663" s="35" t="s">
        <v>1259</v>
      </c>
      <c r="C663" s="35" t="s">
        <v>1260</v>
      </c>
      <c r="D663" s="36" t="s">
        <v>262</v>
      </c>
      <c r="E663" s="36" t="s">
        <v>13</v>
      </c>
      <c r="F663" s="36" t="str">
        <f>vlookup(D663,'Team Bye List'!$A$1:$B$33,2,False)</f>
        <v>#N/A</v>
      </c>
      <c r="G663" s="37">
        <f>if(ISNA(vlookup($A663, Sleeper!$B$2:$E$330, 4, false)), 0, vlookup($A663, Sleeper!$B$2:$E$330, 4, false))</f>
        <v>0</v>
      </c>
      <c r="H663" s="37">
        <f>if(ISNA(vlookup($A663, ESPN!$B$2:$E$297, 4, false)), 0, vlookup($A663, ESPN!$B$2:$E$297, 4, false))</f>
        <v>0</v>
      </c>
      <c r="I663" s="37">
        <f>if(ISNA(vlookup($A663,'Ultimate Draft Kit'!$B$2:$E$324,4, false)), 0, vlookup($A663,'Ultimate Draft Kit'!$B$2:$E$324, 4, false))</f>
        <v>0</v>
      </c>
      <c r="J663" s="38">
        <f>if(ISNA(vlookup($A663,Rotowire!$B$2:$E$1075,4, false)), 0, vlookup($A663,Rotowire!$B$2:$E$1075, 4, false))</f>
        <v>0</v>
      </c>
      <c r="K663" s="37">
        <f>if(ISNA(vlookup($A663, FantasyPro!$B$2:$E$341,4,false)),0,vlookup($A663,FantasyPro!$B$2:$E$341,4,false))</f>
        <v>0</v>
      </c>
      <c r="L663" s="37">
        <f>if(ISNA(vlookup($A663, FFToolbox!$B$2:$E$414, 4, false)), 0, vlookup($A663, FFToolbox!$B$2:$E$414, 4, false))</f>
        <v>0</v>
      </c>
      <c r="M663" s="39">
        <f t="shared" si="1"/>
        <v>0</v>
      </c>
      <c r="N663" s="39">
        <f t="shared" si="2"/>
        <v>0</v>
      </c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</row>
    <row r="664">
      <c r="A664" s="17" t="s">
        <v>1038</v>
      </c>
      <c r="B664" s="35" t="s">
        <v>1259</v>
      </c>
      <c r="C664" s="35" t="s">
        <v>1260</v>
      </c>
      <c r="D664" s="36" t="s">
        <v>30</v>
      </c>
      <c r="E664" s="36" t="s">
        <v>13</v>
      </c>
      <c r="F664" s="36">
        <f>vlookup(D664,'Team Bye List'!$A$1:$B$33,2,False)</f>
        <v>7</v>
      </c>
      <c r="G664" s="37">
        <f>if(ISNA(vlookup($A664, Sleeper!$B$2:$E$330, 4, false)), 0, vlookup($A664, Sleeper!$B$2:$E$330, 4, false))</f>
        <v>0</v>
      </c>
      <c r="H664" s="37">
        <f>if(ISNA(vlookup($A664, ESPN!$B$2:$E$297, 4, false)), 0, vlookup($A664, ESPN!$B$2:$E$297, 4, false))</f>
        <v>0</v>
      </c>
      <c r="I664" s="37">
        <f>if(ISNA(vlookup($A664,'Ultimate Draft Kit'!$B$2:$E$324,4, false)), 0, vlookup($A664,'Ultimate Draft Kit'!$B$2:$E$324, 4, false))</f>
        <v>0</v>
      </c>
      <c r="J664" s="38">
        <f>if(ISNA(vlookup($A664,Rotowire!$B$2:$E$1075,4, false)), 0, vlookup($A664,Rotowire!$B$2:$E$1075, 4, false))</f>
        <v>0</v>
      </c>
      <c r="K664" s="37">
        <f>if(ISNA(vlookup($A664, FantasyPro!$B$2:$E$341,4,false)),0,vlookup($A664,FantasyPro!$B$2:$E$341,4,false))</f>
        <v>0</v>
      </c>
      <c r="L664" s="37">
        <f>if(ISNA(vlookup($A664, FFToolbox!$B$2:$E$414, 4, false)), 0, vlookup($A664, FFToolbox!$B$2:$E$414, 4, false))</f>
        <v>0</v>
      </c>
      <c r="M664" s="39">
        <f t="shared" si="1"/>
        <v>0</v>
      </c>
      <c r="N664" s="39">
        <f t="shared" si="2"/>
        <v>0</v>
      </c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</row>
    <row r="665">
      <c r="A665" s="17" t="s">
        <v>554</v>
      </c>
      <c r="B665" s="35" t="s">
        <v>1259</v>
      </c>
      <c r="C665" s="35" t="s">
        <v>1260</v>
      </c>
      <c r="D665" s="36" t="s">
        <v>262</v>
      </c>
      <c r="E665" s="36" t="s">
        <v>13</v>
      </c>
      <c r="F665" s="36" t="str">
        <f>vlookup(D665,'Team Bye List'!$A$1:$B$33,2,False)</f>
        <v>#N/A</v>
      </c>
      <c r="G665" s="37">
        <f>if(ISNA(vlookup($A665, Sleeper!$B$2:$E$330, 4, false)), 0, vlookup($A665, Sleeper!$B$2:$E$330, 4, false))</f>
        <v>0</v>
      </c>
      <c r="H665" s="37">
        <f>if(ISNA(vlookup($A665, ESPN!$B$2:$E$297, 4, false)), 0, vlookup($A665, ESPN!$B$2:$E$297, 4, false))</f>
        <v>0</v>
      </c>
      <c r="I665" s="37">
        <f>if(ISNA(vlookup($A665,'Ultimate Draft Kit'!$B$2:$E$324,4, false)), 0, vlookup($A665,'Ultimate Draft Kit'!$B$2:$E$324, 4, false))</f>
        <v>0</v>
      </c>
      <c r="J665" s="38">
        <f>if(ISNA(vlookup($A665,Rotowire!$B$2:$E$1075,4, false)), 0, vlookup($A665,Rotowire!$B$2:$E$1075, 4, false))</f>
        <v>0</v>
      </c>
      <c r="K665" s="37">
        <f>if(ISNA(vlookup($A665, FantasyPro!$B$2:$E$341,4,false)),0,vlookup($A665,FantasyPro!$B$2:$E$341,4,false))</f>
        <v>0</v>
      </c>
      <c r="L665" s="37">
        <f>if(ISNA(vlookup($A665, FFToolbox!$B$2:$E$414, 4, false)), 0, vlookup($A665, FFToolbox!$B$2:$E$414, 4, false))</f>
        <v>0</v>
      </c>
      <c r="M665" s="39">
        <f t="shared" si="1"/>
        <v>0</v>
      </c>
      <c r="N665" s="39">
        <f t="shared" si="2"/>
        <v>0</v>
      </c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</row>
    <row r="666">
      <c r="A666" s="17" t="s">
        <v>1039</v>
      </c>
      <c r="B666" s="35" t="s">
        <v>1259</v>
      </c>
      <c r="C666" s="35" t="s">
        <v>1260</v>
      </c>
      <c r="D666" s="36" t="s">
        <v>262</v>
      </c>
      <c r="E666" s="36" t="s">
        <v>13</v>
      </c>
      <c r="F666" s="36" t="str">
        <f>vlookup(D666,'Team Bye List'!$A$1:$B$33,2,False)</f>
        <v>#N/A</v>
      </c>
      <c r="G666" s="37">
        <f>if(ISNA(vlookup($A666, Sleeper!$B$2:$E$330, 4, false)), 0, vlookup($A666, Sleeper!$B$2:$E$330, 4, false))</f>
        <v>0</v>
      </c>
      <c r="H666" s="37">
        <f>if(ISNA(vlookup($A666, ESPN!$B$2:$E$297, 4, false)), 0, vlookup($A666, ESPN!$B$2:$E$297, 4, false))</f>
        <v>0</v>
      </c>
      <c r="I666" s="37">
        <f>if(ISNA(vlookup($A666,'Ultimate Draft Kit'!$B$2:$E$324,4, false)), 0, vlookup($A666,'Ultimate Draft Kit'!$B$2:$E$324, 4, false))</f>
        <v>0</v>
      </c>
      <c r="J666" s="38">
        <f>if(ISNA(vlookup($A666,Rotowire!$B$2:$E$1075,4, false)), 0, vlookup($A666,Rotowire!$B$2:$E$1075, 4, false))</f>
        <v>0</v>
      </c>
      <c r="K666" s="37">
        <f>if(ISNA(vlookup($A666, FantasyPro!$B$2:$E$341,4,false)),0,vlookup($A666,FantasyPro!$B$2:$E$341,4,false))</f>
        <v>0</v>
      </c>
      <c r="L666" s="37">
        <f>if(ISNA(vlookup($A666, FFToolbox!$B$2:$E$414, 4, false)), 0, vlookup($A666, FFToolbox!$B$2:$E$414, 4, false))</f>
        <v>0</v>
      </c>
      <c r="M666" s="39">
        <f t="shared" si="1"/>
        <v>0</v>
      </c>
      <c r="N666" s="39">
        <f t="shared" si="2"/>
        <v>0</v>
      </c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</row>
    <row r="667">
      <c r="A667" s="17" t="s">
        <v>1040</v>
      </c>
      <c r="B667" s="35" t="s">
        <v>1259</v>
      </c>
      <c r="C667" s="35" t="s">
        <v>1260</v>
      </c>
      <c r="D667" s="36" t="s">
        <v>262</v>
      </c>
      <c r="E667" s="36" t="s">
        <v>13</v>
      </c>
      <c r="F667" s="36" t="str">
        <f>vlookup(D667,'Team Bye List'!$A$1:$B$33,2,False)</f>
        <v>#N/A</v>
      </c>
      <c r="G667" s="37">
        <f>if(ISNA(vlookup($A667, Sleeper!$B$2:$E$330, 4, false)), 0, vlookup($A667, Sleeper!$B$2:$E$330, 4, false))</f>
        <v>0</v>
      </c>
      <c r="H667" s="37">
        <f>if(ISNA(vlookup($A667, ESPN!$B$2:$E$297, 4, false)), 0, vlookup($A667, ESPN!$B$2:$E$297, 4, false))</f>
        <v>0</v>
      </c>
      <c r="I667" s="37">
        <f>if(ISNA(vlookup($A667,'Ultimate Draft Kit'!$B$2:$E$324,4, false)), 0, vlookup($A667,'Ultimate Draft Kit'!$B$2:$E$324, 4, false))</f>
        <v>0</v>
      </c>
      <c r="J667" s="38">
        <f>if(ISNA(vlookup($A667,Rotowire!$B$2:$E$1075,4, false)), 0, vlookup($A667,Rotowire!$B$2:$E$1075, 4, false))</f>
        <v>0</v>
      </c>
      <c r="K667" s="37">
        <f>if(ISNA(vlookup($A667, FantasyPro!$B$2:$E$341,4,false)),0,vlookup($A667,FantasyPro!$B$2:$E$341,4,false))</f>
        <v>0</v>
      </c>
      <c r="L667" s="37">
        <f>if(ISNA(vlookup($A667, FFToolbox!$B$2:$E$414, 4, false)), 0, vlookup($A667, FFToolbox!$B$2:$E$414, 4, false))</f>
        <v>0</v>
      </c>
      <c r="M667" s="39">
        <f t="shared" si="1"/>
        <v>0</v>
      </c>
      <c r="N667" s="39">
        <f t="shared" si="2"/>
        <v>0</v>
      </c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</row>
    <row r="668">
      <c r="A668" s="17" t="s">
        <v>1041</v>
      </c>
      <c r="B668" s="35" t="s">
        <v>1259</v>
      </c>
      <c r="C668" s="35" t="s">
        <v>1260</v>
      </c>
      <c r="D668" s="36" t="s">
        <v>41</v>
      </c>
      <c r="E668" s="36" t="s">
        <v>13</v>
      </c>
      <c r="F668" s="36">
        <f>vlookup(D668,'Team Bye List'!$A$1:$B$33,2,False)</f>
        <v>14</v>
      </c>
      <c r="G668" s="37">
        <f>if(ISNA(vlookup($A668, Sleeper!$B$2:$E$330, 4, false)), 0, vlookup($A668, Sleeper!$B$2:$E$330, 4, false))</f>
        <v>0</v>
      </c>
      <c r="H668" s="37">
        <f>if(ISNA(vlookup($A668, ESPN!$B$2:$E$297, 4, false)), 0, vlookup($A668, ESPN!$B$2:$E$297, 4, false))</f>
        <v>0</v>
      </c>
      <c r="I668" s="37">
        <f>if(ISNA(vlookup($A668,'Ultimate Draft Kit'!$B$2:$E$324,4, false)), 0, vlookup($A668,'Ultimate Draft Kit'!$B$2:$E$324, 4, false))</f>
        <v>0</v>
      </c>
      <c r="J668" s="38">
        <f>if(ISNA(vlookup($A668,Rotowire!$B$2:$E$1075,4, false)), 0, vlookup($A668,Rotowire!$B$2:$E$1075, 4, false))</f>
        <v>0</v>
      </c>
      <c r="K668" s="37">
        <f>if(ISNA(vlookup($A668, FantasyPro!$B$2:$E$341,4,false)),0,vlookup($A668,FantasyPro!$B$2:$E$341,4,false))</f>
        <v>0</v>
      </c>
      <c r="L668" s="37">
        <f>if(ISNA(vlookup($A668, FFToolbox!$B$2:$E$414, 4, false)), 0, vlookup($A668, FFToolbox!$B$2:$E$414, 4, false))</f>
        <v>0</v>
      </c>
      <c r="M668" s="39">
        <f t="shared" si="1"/>
        <v>0</v>
      </c>
      <c r="N668" s="39">
        <f t="shared" si="2"/>
        <v>0</v>
      </c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</row>
    <row r="669">
      <c r="A669" s="17" t="s">
        <v>1042</v>
      </c>
      <c r="B669" s="35" t="s">
        <v>1259</v>
      </c>
      <c r="C669" s="35" t="s">
        <v>1260</v>
      </c>
      <c r="D669" s="36" t="s">
        <v>262</v>
      </c>
      <c r="E669" s="36" t="s">
        <v>13</v>
      </c>
      <c r="F669" s="36" t="str">
        <f>vlookup(D669,'Team Bye List'!$A$1:$B$33,2,False)</f>
        <v>#N/A</v>
      </c>
      <c r="G669" s="37">
        <f>if(ISNA(vlookup($A669, Sleeper!$B$2:$E$330, 4, false)), 0, vlookup($A669, Sleeper!$B$2:$E$330, 4, false))</f>
        <v>0</v>
      </c>
      <c r="H669" s="37">
        <f>if(ISNA(vlookup($A669, ESPN!$B$2:$E$297, 4, false)), 0, vlookup($A669, ESPN!$B$2:$E$297, 4, false))</f>
        <v>0</v>
      </c>
      <c r="I669" s="37">
        <f>if(ISNA(vlookup($A669,'Ultimate Draft Kit'!$B$2:$E$324,4, false)), 0, vlookup($A669,'Ultimate Draft Kit'!$B$2:$E$324, 4, false))</f>
        <v>0</v>
      </c>
      <c r="J669" s="38">
        <f>if(ISNA(vlookup($A669,Rotowire!$B$2:$E$1075,4, false)), 0, vlookup($A669,Rotowire!$B$2:$E$1075, 4, false))</f>
        <v>0</v>
      </c>
      <c r="K669" s="37">
        <f>if(ISNA(vlookup($A669, FantasyPro!$B$2:$E$341,4,false)),0,vlookup($A669,FantasyPro!$B$2:$E$341,4,false))</f>
        <v>0</v>
      </c>
      <c r="L669" s="37">
        <f>if(ISNA(vlookup($A669, FFToolbox!$B$2:$E$414, 4, false)), 0, vlookup($A669, FFToolbox!$B$2:$E$414, 4, false))</f>
        <v>0</v>
      </c>
      <c r="M669" s="39">
        <f t="shared" si="1"/>
        <v>0</v>
      </c>
      <c r="N669" s="39">
        <f t="shared" si="2"/>
        <v>0</v>
      </c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</row>
    <row r="670">
      <c r="A670" s="17" t="s">
        <v>1043</v>
      </c>
      <c r="B670" s="35" t="s">
        <v>1259</v>
      </c>
      <c r="C670" s="35" t="s">
        <v>1260</v>
      </c>
      <c r="D670" s="36" t="s">
        <v>262</v>
      </c>
      <c r="E670" s="36" t="s">
        <v>13</v>
      </c>
      <c r="F670" s="36" t="str">
        <f>vlookup(D670,'Team Bye List'!$A$1:$B$33,2,False)</f>
        <v>#N/A</v>
      </c>
      <c r="G670" s="37">
        <f>if(ISNA(vlookup($A670, Sleeper!$B$2:$E$330, 4, false)), 0, vlookup($A670, Sleeper!$B$2:$E$330, 4, false))</f>
        <v>0</v>
      </c>
      <c r="H670" s="37">
        <f>if(ISNA(vlookup($A670, ESPN!$B$2:$E$297, 4, false)), 0, vlookup($A670, ESPN!$B$2:$E$297, 4, false))</f>
        <v>0</v>
      </c>
      <c r="I670" s="37">
        <f>if(ISNA(vlookup($A670,'Ultimate Draft Kit'!$B$2:$E$324,4, false)), 0, vlookup($A670,'Ultimate Draft Kit'!$B$2:$E$324, 4, false))</f>
        <v>0</v>
      </c>
      <c r="J670" s="38">
        <f>if(ISNA(vlookup($A670,Rotowire!$B$2:$E$1075,4, false)), 0, vlookup($A670,Rotowire!$B$2:$E$1075, 4, false))</f>
        <v>0</v>
      </c>
      <c r="K670" s="37">
        <f>if(ISNA(vlookup($A670, FantasyPro!$B$2:$E$341,4,false)),0,vlookup($A670,FantasyPro!$B$2:$E$341,4,false))</f>
        <v>0</v>
      </c>
      <c r="L670" s="37">
        <f>if(ISNA(vlookup($A670, FFToolbox!$B$2:$E$414, 4, false)), 0, vlookup($A670, FFToolbox!$B$2:$E$414, 4, false))</f>
        <v>0</v>
      </c>
      <c r="M670" s="39">
        <f t="shared" si="1"/>
        <v>0</v>
      </c>
      <c r="N670" s="39">
        <f t="shared" si="2"/>
        <v>0</v>
      </c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</row>
    <row r="671">
      <c r="A671" s="17" t="s">
        <v>556</v>
      </c>
      <c r="B671" s="35" t="s">
        <v>1259</v>
      </c>
      <c r="C671" s="35" t="s">
        <v>1260</v>
      </c>
      <c r="D671" s="36" t="s">
        <v>262</v>
      </c>
      <c r="E671" s="36" t="s">
        <v>13</v>
      </c>
      <c r="F671" s="36" t="str">
        <f>vlookup(D671,'Team Bye List'!$A$1:$B$33,2,False)</f>
        <v>#N/A</v>
      </c>
      <c r="G671" s="37">
        <f>if(ISNA(vlookup($A671, Sleeper!$B$2:$E$330, 4, false)), 0, vlookup($A671, Sleeper!$B$2:$E$330, 4, false))</f>
        <v>0</v>
      </c>
      <c r="H671" s="37">
        <f>if(ISNA(vlookup($A671, ESPN!$B$2:$E$297, 4, false)), 0, vlookup($A671, ESPN!$B$2:$E$297, 4, false))</f>
        <v>0</v>
      </c>
      <c r="I671" s="37">
        <f>if(ISNA(vlookup($A671,'Ultimate Draft Kit'!$B$2:$E$324,4, false)), 0, vlookup($A671,'Ultimate Draft Kit'!$B$2:$E$324, 4, false))</f>
        <v>0</v>
      </c>
      <c r="J671" s="38">
        <f>if(ISNA(vlookup($A671,Rotowire!$B$2:$E$1075,4, false)), 0, vlookup($A671,Rotowire!$B$2:$E$1075, 4, false))</f>
        <v>0</v>
      </c>
      <c r="K671" s="37">
        <f>if(ISNA(vlookup($A671, FantasyPro!$B$2:$E$341,4,false)),0,vlookup($A671,FantasyPro!$B$2:$E$341,4,false))</f>
        <v>0</v>
      </c>
      <c r="L671" s="37">
        <f>if(ISNA(vlookup($A671, FFToolbox!$B$2:$E$414, 4, false)), 0, vlookup($A671, FFToolbox!$B$2:$E$414, 4, false))</f>
        <v>0</v>
      </c>
      <c r="M671" s="39">
        <f t="shared" si="1"/>
        <v>0</v>
      </c>
      <c r="N671" s="39">
        <f t="shared" si="2"/>
        <v>0</v>
      </c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</row>
    <row r="672">
      <c r="A672" s="17" t="s">
        <v>1044</v>
      </c>
      <c r="B672" s="35" t="s">
        <v>1259</v>
      </c>
      <c r="C672" s="35" t="s">
        <v>1260</v>
      </c>
      <c r="D672" s="36" t="s">
        <v>99</v>
      </c>
      <c r="E672" s="36" t="s">
        <v>13</v>
      </c>
      <c r="F672" s="36">
        <f>vlookup(D672,'Team Bye List'!$A$1:$B$33,2,False)</f>
        <v>11</v>
      </c>
      <c r="G672" s="37">
        <f>if(ISNA(vlookup($A672, Sleeper!$B$2:$E$330, 4, false)), 0, vlookup($A672, Sleeper!$B$2:$E$330, 4, false))</f>
        <v>0</v>
      </c>
      <c r="H672" s="37">
        <f>if(ISNA(vlookup($A672, ESPN!$B$2:$E$297, 4, false)), 0, vlookup($A672, ESPN!$B$2:$E$297, 4, false))</f>
        <v>0</v>
      </c>
      <c r="I672" s="37">
        <f>if(ISNA(vlookup($A672,'Ultimate Draft Kit'!$B$2:$E$324,4, false)), 0, vlookup($A672,'Ultimate Draft Kit'!$B$2:$E$324, 4, false))</f>
        <v>0</v>
      </c>
      <c r="J672" s="38">
        <f>if(ISNA(vlookup($A672,Rotowire!$B$2:$E$1075,4, false)), 0, vlookup($A672,Rotowire!$B$2:$E$1075, 4, false))</f>
        <v>0</v>
      </c>
      <c r="K672" s="37">
        <f>if(ISNA(vlookup($A672, FantasyPro!$B$2:$E$341,4,false)),0,vlookup($A672,FantasyPro!$B$2:$E$341,4,false))</f>
        <v>0</v>
      </c>
      <c r="L672" s="37">
        <f>if(ISNA(vlookup($A672, FFToolbox!$B$2:$E$414, 4, false)), 0, vlookup($A672, FFToolbox!$B$2:$E$414, 4, false))</f>
        <v>0</v>
      </c>
      <c r="M672" s="39">
        <f t="shared" si="1"/>
        <v>0</v>
      </c>
      <c r="N672" s="39">
        <f t="shared" si="2"/>
        <v>0</v>
      </c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</row>
    <row r="673">
      <c r="A673" s="17" t="s">
        <v>587</v>
      </c>
      <c r="B673" s="35" t="s">
        <v>1259</v>
      </c>
      <c r="C673" s="35" t="s">
        <v>1260</v>
      </c>
      <c r="D673" s="36" t="s">
        <v>262</v>
      </c>
      <c r="E673" s="36" t="s">
        <v>13</v>
      </c>
      <c r="F673" s="36" t="str">
        <f>vlookup(D673,'Team Bye List'!$A$1:$B$33,2,False)</f>
        <v>#N/A</v>
      </c>
      <c r="G673" s="37">
        <f>if(ISNA(vlookup($A673, Sleeper!$B$2:$E$330, 4, false)), 0, vlookup($A673, Sleeper!$B$2:$E$330, 4, false))</f>
        <v>0</v>
      </c>
      <c r="H673" s="37">
        <f>if(ISNA(vlookup($A673, ESPN!$B$2:$E$297, 4, false)), 0, vlookup($A673, ESPN!$B$2:$E$297, 4, false))</f>
        <v>0</v>
      </c>
      <c r="I673" s="37">
        <f>if(ISNA(vlookup($A673,'Ultimate Draft Kit'!$B$2:$E$324,4, false)), 0, vlookup($A673,'Ultimate Draft Kit'!$B$2:$E$324, 4, false))</f>
        <v>0</v>
      </c>
      <c r="J673" s="38">
        <f>if(ISNA(vlookup($A673,Rotowire!$B$2:$E$1075,4, false)), 0, vlookup($A673,Rotowire!$B$2:$E$1075, 4, false))</f>
        <v>0</v>
      </c>
      <c r="K673" s="37">
        <f>if(ISNA(vlookup($A673, FantasyPro!$B$2:$E$341,4,false)),0,vlookup($A673,FantasyPro!$B$2:$E$341,4,false))</f>
        <v>0</v>
      </c>
      <c r="L673" s="37">
        <f>if(ISNA(vlookup($A673, FFToolbox!$B$2:$E$414, 4, false)), 0, vlookup($A673, FFToolbox!$B$2:$E$414, 4, false))</f>
        <v>0</v>
      </c>
      <c r="M673" s="39">
        <f t="shared" si="1"/>
        <v>0</v>
      </c>
      <c r="N673" s="39">
        <f t="shared" si="2"/>
        <v>0</v>
      </c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</row>
    <row r="674">
      <c r="A674" s="17" t="s">
        <v>1045</v>
      </c>
      <c r="B674" s="35" t="s">
        <v>1259</v>
      </c>
      <c r="C674" s="35" t="s">
        <v>1260</v>
      </c>
      <c r="D674" s="36" t="s">
        <v>73</v>
      </c>
      <c r="E674" s="36" t="s">
        <v>13</v>
      </c>
      <c r="F674" s="36">
        <f>vlookup(D674,'Team Bye List'!$A$1:$B$33,2,False)</f>
        <v>14</v>
      </c>
      <c r="G674" s="37">
        <f>if(ISNA(vlookup($A674, Sleeper!$B$2:$E$330, 4, false)), 0, vlookup($A674, Sleeper!$B$2:$E$330, 4, false))</f>
        <v>0</v>
      </c>
      <c r="H674" s="37">
        <f>if(ISNA(vlookup($A674, ESPN!$B$2:$E$297, 4, false)), 0, vlookup($A674, ESPN!$B$2:$E$297, 4, false))</f>
        <v>0</v>
      </c>
      <c r="I674" s="37">
        <f>if(ISNA(vlookup($A674,'Ultimate Draft Kit'!$B$2:$E$324,4, false)), 0, vlookup($A674,'Ultimate Draft Kit'!$B$2:$E$324, 4, false))</f>
        <v>0</v>
      </c>
      <c r="J674" s="38">
        <f>if(ISNA(vlookup($A674,Rotowire!$B$2:$E$1075,4, false)), 0, vlookup($A674,Rotowire!$B$2:$E$1075, 4, false))</f>
        <v>0</v>
      </c>
      <c r="K674" s="37">
        <f>if(ISNA(vlookup($A674, FantasyPro!$B$2:$E$341,4,false)),0,vlookup($A674,FantasyPro!$B$2:$E$341,4,false))</f>
        <v>0</v>
      </c>
      <c r="L674" s="37">
        <f>if(ISNA(vlookup($A674, FFToolbox!$B$2:$E$414, 4, false)), 0, vlookup($A674, FFToolbox!$B$2:$E$414, 4, false))</f>
        <v>0</v>
      </c>
      <c r="M674" s="39">
        <f t="shared" si="1"/>
        <v>0</v>
      </c>
      <c r="N674" s="39">
        <f t="shared" si="2"/>
        <v>0</v>
      </c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</row>
    <row r="675">
      <c r="A675" s="17" t="s">
        <v>1046</v>
      </c>
      <c r="B675" s="35" t="s">
        <v>1259</v>
      </c>
      <c r="C675" s="35" t="s">
        <v>1260</v>
      </c>
      <c r="D675" s="36" t="s">
        <v>10</v>
      </c>
      <c r="E675" s="36" t="s">
        <v>13</v>
      </c>
      <c r="F675" s="36">
        <f>vlookup(D675,'Team Bye List'!$A$1:$B$33,2,False)</f>
        <v>13</v>
      </c>
      <c r="G675" s="37">
        <f>if(ISNA(vlookup($A675, Sleeper!$B$2:$E$330, 4, false)), 0, vlookup($A675, Sleeper!$B$2:$E$330, 4, false))</f>
        <v>0</v>
      </c>
      <c r="H675" s="37">
        <f>if(ISNA(vlookup($A675, ESPN!$B$2:$E$297, 4, false)), 0, vlookup($A675, ESPN!$B$2:$E$297, 4, false))</f>
        <v>0</v>
      </c>
      <c r="I675" s="37">
        <f>if(ISNA(vlookup($A675,'Ultimate Draft Kit'!$B$2:$E$324,4, false)), 0, vlookup($A675,'Ultimate Draft Kit'!$B$2:$E$324, 4, false))</f>
        <v>0</v>
      </c>
      <c r="J675" s="38">
        <f>if(ISNA(vlookup($A675,Rotowire!$B$2:$E$1075,4, false)), 0, vlookup($A675,Rotowire!$B$2:$E$1075, 4, false))</f>
        <v>0</v>
      </c>
      <c r="K675" s="37">
        <f>if(ISNA(vlookup($A675, FantasyPro!$B$2:$E$341,4,false)),0,vlookup($A675,FantasyPro!$B$2:$E$341,4,false))</f>
        <v>0</v>
      </c>
      <c r="L675" s="37">
        <f>if(ISNA(vlookup($A675, FFToolbox!$B$2:$E$414, 4, false)), 0, vlookup($A675, FFToolbox!$B$2:$E$414, 4, false))</f>
        <v>0</v>
      </c>
      <c r="M675" s="39">
        <f t="shared" si="1"/>
        <v>0</v>
      </c>
      <c r="N675" s="39">
        <f t="shared" si="2"/>
        <v>0</v>
      </c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</row>
    <row r="676">
      <c r="A676" s="17" t="s">
        <v>1047</v>
      </c>
      <c r="B676" s="35" t="s">
        <v>1259</v>
      </c>
      <c r="C676" s="35" t="s">
        <v>1260</v>
      </c>
      <c r="D676" s="36" t="s">
        <v>262</v>
      </c>
      <c r="E676" s="36" t="s">
        <v>13</v>
      </c>
      <c r="F676" s="36" t="str">
        <f>vlookup(D676,'Team Bye List'!$A$1:$B$33,2,False)</f>
        <v>#N/A</v>
      </c>
      <c r="G676" s="37">
        <f>if(ISNA(vlookup($A676, Sleeper!$B$2:$E$330, 4, false)), 0, vlookup($A676, Sleeper!$B$2:$E$330, 4, false))</f>
        <v>0</v>
      </c>
      <c r="H676" s="37">
        <f>if(ISNA(vlookup($A676, ESPN!$B$2:$E$297, 4, false)), 0, vlookup($A676, ESPN!$B$2:$E$297, 4, false))</f>
        <v>0</v>
      </c>
      <c r="I676" s="37">
        <f>if(ISNA(vlookup($A676,'Ultimate Draft Kit'!$B$2:$E$324,4, false)), 0, vlookup($A676,'Ultimate Draft Kit'!$B$2:$E$324, 4, false))</f>
        <v>0</v>
      </c>
      <c r="J676" s="38">
        <f>if(ISNA(vlookup($A676,Rotowire!$B$2:$E$1075,4, false)), 0, vlookup($A676,Rotowire!$B$2:$E$1075, 4, false))</f>
        <v>0</v>
      </c>
      <c r="K676" s="37">
        <f>if(ISNA(vlookup($A676, FantasyPro!$B$2:$E$341,4,false)),0,vlookup($A676,FantasyPro!$B$2:$E$341,4,false))</f>
        <v>0</v>
      </c>
      <c r="L676" s="37">
        <f>if(ISNA(vlookup($A676, FFToolbox!$B$2:$E$414, 4, false)), 0, vlookup($A676, FFToolbox!$B$2:$E$414, 4, false))</f>
        <v>0</v>
      </c>
      <c r="M676" s="39">
        <f t="shared" si="1"/>
        <v>0</v>
      </c>
      <c r="N676" s="39">
        <f t="shared" si="2"/>
        <v>0</v>
      </c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</row>
    <row r="677">
      <c r="A677" s="17" t="s">
        <v>1048</v>
      </c>
      <c r="B677" s="35" t="s">
        <v>1259</v>
      </c>
      <c r="C677" s="35" t="s">
        <v>1260</v>
      </c>
      <c r="D677" s="36" t="s">
        <v>262</v>
      </c>
      <c r="E677" s="36" t="s">
        <v>13</v>
      </c>
      <c r="F677" s="36" t="str">
        <f>vlookup(D677,'Team Bye List'!$A$1:$B$33,2,False)</f>
        <v>#N/A</v>
      </c>
      <c r="G677" s="37">
        <f>if(ISNA(vlookup($A677, Sleeper!$B$2:$E$330, 4, false)), 0, vlookup($A677, Sleeper!$B$2:$E$330, 4, false))</f>
        <v>0</v>
      </c>
      <c r="H677" s="37">
        <f>if(ISNA(vlookup($A677, ESPN!$B$2:$E$297, 4, false)), 0, vlookup($A677, ESPN!$B$2:$E$297, 4, false))</f>
        <v>0</v>
      </c>
      <c r="I677" s="37">
        <f>if(ISNA(vlookup($A677,'Ultimate Draft Kit'!$B$2:$E$324,4, false)), 0, vlookup($A677,'Ultimate Draft Kit'!$B$2:$E$324, 4, false))</f>
        <v>0</v>
      </c>
      <c r="J677" s="38">
        <f>if(ISNA(vlookup($A677,Rotowire!$B$2:$E$1075,4, false)), 0, vlookup($A677,Rotowire!$B$2:$E$1075, 4, false))</f>
        <v>0</v>
      </c>
      <c r="K677" s="37">
        <f>if(ISNA(vlookup($A677, FantasyPro!$B$2:$E$341,4,false)),0,vlookup($A677,FantasyPro!$B$2:$E$341,4,false))</f>
        <v>0</v>
      </c>
      <c r="L677" s="37">
        <f>if(ISNA(vlookup($A677, FFToolbox!$B$2:$E$414, 4, false)), 0, vlookup($A677, FFToolbox!$B$2:$E$414, 4, false))</f>
        <v>0</v>
      </c>
      <c r="M677" s="39">
        <f t="shared" si="1"/>
        <v>0</v>
      </c>
      <c r="N677" s="39">
        <f t="shared" si="2"/>
        <v>0</v>
      </c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</row>
    <row r="678">
      <c r="A678" s="17" t="s">
        <v>1049</v>
      </c>
      <c r="B678" s="35" t="s">
        <v>1259</v>
      </c>
      <c r="C678" s="35" t="s">
        <v>1260</v>
      </c>
      <c r="D678" s="36" t="s">
        <v>262</v>
      </c>
      <c r="E678" s="36" t="s">
        <v>13</v>
      </c>
      <c r="F678" s="36" t="str">
        <f>vlookup(D678,'Team Bye List'!$A$1:$B$33,2,False)</f>
        <v>#N/A</v>
      </c>
      <c r="G678" s="37">
        <f>if(ISNA(vlookup($A678, Sleeper!$B$2:$E$330, 4, false)), 0, vlookup($A678, Sleeper!$B$2:$E$330, 4, false))</f>
        <v>0</v>
      </c>
      <c r="H678" s="37">
        <f>if(ISNA(vlookup($A678, ESPN!$B$2:$E$297, 4, false)), 0, vlookup($A678, ESPN!$B$2:$E$297, 4, false))</f>
        <v>0</v>
      </c>
      <c r="I678" s="37">
        <f>if(ISNA(vlookup($A678,'Ultimate Draft Kit'!$B$2:$E$324,4, false)), 0, vlookup($A678,'Ultimate Draft Kit'!$B$2:$E$324, 4, false))</f>
        <v>0</v>
      </c>
      <c r="J678" s="38">
        <f>if(ISNA(vlookup($A678,Rotowire!$B$2:$E$1075,4, false)), 0, vlookup($A678,Rotowire!$B$2:$E$1075, 4, false))</f>
        <v>0</v>
      </c>
      <c r="K678" s="37">
        <f>if(ISNA(vlookup($A678, FantasyPro!$B$2:$E$341,4,false)),0,vlookup($A678,FantasyPro!$B$2:$E$341,4,false))</f>
        <v>0</v>
      </c>
      <c r="L678" s="37">
        <f>if(ISNA(vlookup($A678, FFToolbox!$B$2:$E$414, 4, false)), 0, vlookup($A678, FFToolbox!$B$2:$E$414, 4, false))</f>
        <v>0</v>
      </c>
      <c r="M678" s="39">
        <f t="shared" si="1"/>
        <v>0</v>
      </c>
      <c r="N678" s="39">
        <f t="shared" si="2"/>
        <v>0</v>
      </c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</row>
    <row r="679">
      <c r="A679" s="17" t="s">
        <v>1050</v>
      </c>
      <c r="B679" s="35" t="s">
        <v>1259</v>
      </c>
      <c r="C679" s="35" t="s">
        <v>1260</v>
      </c>
      <c r="D679" s="36" t="s">
        <v>37</v>
      </c>
      <c r="E679" s="36" t="s">
        <v>13</v>
      </c>
      <c r="F679" s="36">
        <f>vlookup(D679,'Team Bye List'!$A$1:$B$33,2,False)</f>
        <v>11</v>
      </c>
      <c r="G679" s="37">
        <f>if(ISNA(vlookup($A679, Sleeper!$B$2:$E$330, 4, false)), 0, vlookup($A679, Sleeper!$B$2:$E$330, 4, false))</f>
        <v>0</v>
      </c>
      <c r="H679" s="37">
        <f>if(ISNA(vlookup($A679, ESPN!$B$2:$E$297, 4, false)), 0, vlookup($A679, ESPN!$B$2:$E$297, 4, false))</f>
        <v>0</v>
      </c>
      <c r="I679" s="37">
        <f>if(ISNA(vlookup($A679,'Ultimate Draft Kit'!$B$2:$E$324,4, false)), 0, vlookup($A679,'Ultimate Draft Kit'!$B$2:$E$324, 4, false))</f>
        <v>0</v>
      </c>
      <c r="J679" s="38">
        <f>if(ISNA(vlookup($A679,Rotowire!$B$2:$E$1075,4, false)), 0, vlookup($A679,Rotowire!$B$2:$E$1075, 4, false))</f>
        <v>0</v>
      </c>
      <c r="K679" s="37">
        <f>if(ISNA(vlookup($A679, FantasyPro!$B$2:$E$341,4,false)),0,vlookup($A679,FantasyPro!$B$2:$E$341,4,false))</f>
        <v>0</v>
      </c>
      <c r="L679" s="37">
        <f>if(ISNA(vlookup($A679, FFToolbox!$B$2:$E$414, 4, false)), 0, vlookup($A679, FFToolbox!$B$2:$E$414, 4, false))</f>
        <v>0</v>
      </c>
      <c r="M679" s="39">
        <f t="shared" si="1"/>
        <v>0</v>
      </c>
      <c r="N679" s="39">
        <f t="shared" si="2"/>
        <v>0</v>
      </c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</row>
    <row r="680">
      <c r="A680" s="17" t="s">
        <v>1051</v>
      </c>
      <c r="B680" s="35" t="s">
        <v>1259</v>
      </c>
      <c r="C680" s="35" t="s">
        <v>1260</v>
      </c>
      <c r="D680" s="36" t="s">
        <v>262</v>
      </c>
      <c r="E680" s="36" t="s">
        <v>13</v>
      </c>
      <c r="F680" s="36" t="str">
        <f>vlookup(D680,'Team Bye List'!$A$1:$B$33,2,False)</f>
        <v>#N/A</v>
      </c>
      <c r="G680" s="37">
        <f>if(ISNA(vlookup($A680, Sleeper!$B$2:$E$330, 4, false)), 0, vlookup($A680, Sleeper!$B$2:$E$330, 4, false))</f>
        <v>0</v>
      </c>
      <c r="H680" s="37">
        <f>if(ISNA(vlookup($A680, ESPN!$B$2:$E$297, 4, false)), 0, vlookup($A680, ESPN!$B$2:$E$297, 4, false))</f>
        <v>0</v>
      </c>
      <c r="I680" s="37">
        <f>if(ISNA(vlookup($A680,'Ultimate Draft Kit'!$B$2:$E$324,4, false)), 0, vlookup($A680,'Ultimate Draft Kit'!$B$2:$E$324, 4, false))</f>
        <v>0</v>
      </c>
      <c r="J680" s="38">
        <f>if(ISNA(vlookup($A680,Rotowire!$B$2:$E$1075,4, false)), 0, vlookup($A680,Rotowire!$B$2:$E$1075, 4, false))</f>
        <v>0</v>
      </c>
      <c r="K680" s="37">
        <f>if(ISNA(vlookup($A680, FantasyPro!$B$2:$E$341,4,false)),0,vlookup($A680,FantasyPro!$B$2:$E$341,4,false))</f>
        <v>0</v>
      </c>
      <c r="L680" s="37">
        <f>if(ISNA(vlookup($A680, FFToolbox!$B$2:$E$414, 4, false)), 0, vlookup($A680, FFToolbox!$B$2:$E$414, 4, false))</f>
        <v>0</v>
      </c>
      <c r="M680" s="39">
        <f t="shared" si="1"/>
        <v>0</v>
      </c>
      <c r="N680" s="39">
        <f t="shared" si="2"/>
        <v>0</v>
      </c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</row>
    <row r="681">
      <c r="A681" s="17" t="s">
        <v>261</v>
      </c>
      <c r="B681" s="35" t="s">
        <v>1259</v>
      </c>
      <c r="C681" s="35" t="s">
        <v>1260</v>
      </c>
      <c r="D681" s="36" t="s">
        <v>262</v>
      </c>
      <c r="E681" s="36" t="s">
        <v>13</v>
      </c>
      <c r="F681" s="36" t="str">
        <f>vlookup(D681,'Team Bye List'!$A$1:$B$33,2,False)</f>
        <v>#N/A</v>
      </c>
      <c r="G681" s="37">
        <f>if(ISNA(vlookup($A681, Sleeper!$B$2:$E$330, 4, false)), 0, vlookup($A681, Sleeper!$B$2:$E$330, 4, false))</f>
        <v>0</v>
      </c>
      <c r="H681" s="37">
        <f>if(ISNA(vlookup($A681, ESPN!$B$2:$E$297, 4, false)), 0, vlookup($A681, ESPN!$B$2:$E$297, 4, false))</f>
        <v>0</v>
      </c>
      <c r="I681" s="37">
        <f>if(ISNA(vlookup($A681,'Ultimate Draft Kit'!$B$2:$E$324,4, false)), 0, vlookup($A681,'Ultimate Draft Kit'!$B$2:$E$324, 4, false))</f>
        <v>0</v>
      </c>
      <c r="J681" s="38">
        <f>if(ISNA(vlookup($A681,Rotowire!$B$2:$E$1075,4, false)), 0, vlookup($A681,Rotowire!$B$2:$E$1075, 4, false))</f>
        <v>0</v>
      </c>
      <c r="K681" s="37">
        <f>if(ISNA(vlookup($A681, FantasyPro!$B$2:$E$341,4,false)),0,vlookup($A681,FantasyPro!$B$2:$E$341,4,false))</f>
        <v>0</v>
      </c>
      <c r="L681" s="37">
        <f>if(ISNA(vlookup($A681, FFToolbox!$B$2:$E$414, 4, false)), 0, vlookup($A681, FFToolbox!$B$2:$E$414, 4, false))</f>
        <v>0</v>
      </c>
      <c r="M681" s="39">
        <f t="shared" si="1"/>
        <v>0</v>
      </c>
      <c r="N681" s="39">
        <f t="shared" si="2"/>
        <v>0</v>
      </c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</row>
    <row r="682">
      <c r="A682" s="17" t="s">
        <v>1052</v>
      </c>
      <c r="B682" s="35" t="s">
        <v>1259</v>
      </c>
      <c r="C682" s="35" t="s">
        <v>1260</v>
      </c>
      <c r="D682" s="36" t="s">
        <v>262</v>
      </c>
      <c r="E682" s="36" t="s">
        <v>13</v>
      </c>
      <c r="F682" s="36" t="str">
        <f>vlookup(D682,'Team Bye List'!$A$1:$B$33,2,False)</f>
        <v>#N/A</v>
      </c>
      <c r="G682" s="37">
        <f>if(ISNA(vlookup($A682, Sleeper!$B$2:$E$330, 4, false)), 0, vlookup($A682, Sleeper!$B$2:$E$330, 4, false))</f>
        <v>0</v>
      </c>
      <c r="H682" s="37">
        <f>if(ISNA(vlookup($A682, ESPN!$B$2:$E$297, 4, false)), 0, vlookup($A682, ESPN!$B$2:$E$297, 4, false))</f>
        <v>0</v>
      </c>
      <c r="I682" s="37">
        <f>if(ISNA(vlookup($A682,'Ultimate Draft Kit'!$B$2:$E$324,4, false)), 0, vlookup($A682,'Ultimate Draft Kit'!$B$2:$E$324, 4, false))</f>
        <v>0</v>
      </c>
      <c r="J682" s="38">
        <f>if(ISNA(vlookup($A682,Rotowire!$B$2:$E$1075,4, false)), 0, vlookup($A682,Rotowire!$B$2:$E$1075, 4, false))</f>
        <v>0</v>
      </c>
      <c r="K682" s="37">
        <f>if(ISNA(vlookup($A682, FantasyPro!$B$2:$E$341,4,false)),0,vlookup($A682,FantasyPro!$B$2:$E$341,4,false))</f>
        <v>0</v>
      </c>
      <c r="L682" s="37">
        <f>if(ISNA(vlookup($A682, FFToolbox!$B$2:$E$414, 4, false)), 0, vlookup($A682, FFToolbox!$B$2:$E$414, 4, false))</f>
        <v>0</v>
      </c>
      <c r="M682" s="39">
        <f t="shared" si="1"/>
        <v>0</v>
      </c>
      <c r="N682" s="39">
        <f t="shared" si="2"/>
        <v>0</v>
      </c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</row>
    <row r="683">
      <c r="A683" s="17" t="s">
        <v>610</v>
      </c>
      <c r="B683" s="35" t="s">
        <v>1259</v>
      </c>
      <c r="C683" s="35" t="s">
        <v>1260</v>
      </c>
      <c r="D683" s="36" t="s">
        <v>17</v>
      </c>
      <c r="E683" s="36" t="s">
        <v>13</v>
      </c>
      <c r="F683" s="36">
        <f>vlookup(D683,'Team Bye List'!$A$1:$B$33,2,False)</f>
        <v>7</v>
      </c>
      <c r="G683" s="37">
        <f>if(ISNA(vlookup($A683, Sleeper!$B$2:$E$330, 4, false)), 0, vlookup($A683, Sleeper!$B$2:$E$330, 4, false))</f>
        <v>0</v>
      </c>
      <c r="H683" s="37">
        <f>if(ISNA(vlookup($A683, ESPN!$B$2:$E$297, 4, false)), 0, vlookup($A683, ESPN!$B$2:$E$297, 4, false))</f>
        <v>0</v>
      </c>
      <c r="I683" s="37">
        <f>if(ISNA(vlookup($A683,'Ultimate Draft Kit'!$B$2:$E$324,4, false)), 0, vlookup($A683,'Ultimate Draft Kit'!$B$2:$E$324, 4, false))</f>
        <v>0</v>
      </c>
      <c r="J683" s="38">
        <f>if(ISNA(vlookup($A683,Rotowire!$B$2:$E$1075,4, false)), 0, vlookup($A683,Rotowire!$B$2:$E$1075, 4, false))</f>
        <v>0</v>
      </c>
      <c r="K683" s="37">
        <f>if(ISNA(vlookup($A683, FantasyPro!$B$2:$E$341,4,false)),0,vlookup($A683,FantasyPro!$B$2:$E$341,4,false))</f>
        <v>0</v>
      </c>
      <c r="L683" s="37">
        <f>if(ISNA(vlookup($A683, FFToolbox!$B$2:$E$414, 4, false)), 0, vlookup($A683, FFToolbox!$B$2:$E$414, 4, false))</f>
        <v>1</v>
      </c>
      <c r="M683" s="39">
        <f t="shared" si="1"/>
        <v>0.1666666667</v>
      </c>
      <c r="N683" s="39">
        <f t="shared" si="2"/>
        <v>1</v>
      </c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</row>
    <row r="684">
      <c r="A684" s="17" t="s">
        <v>1053</v>
      </c>
      <c r="B684" s="35" t="s">
        <v>1259</v>
      </c>
      <c r="C684" s="35" t="s">
        <v>1260</v>
      </c>
      <c r="D684" s="36" t="s">
        <v>262</v>
      </c>
      <c r="E684" s="36" t="s">
        <v>13</v>
      </c>
      <c r="F684" s="36" t="str">
        <f>vlookup(D684,'Team Bye List'!$A$1:$B$33,2,False)</f>
        <v>#N/A</v>
      </c>
      <c r="G684" s="37">
        <f>if(ISNA(vlookup($A684, Sleeper!$B$2:$E$330, 4, false)), 0, vlookup($A684, Sleeper!$B$2:$E$330, 4, false))</f>
        <v>0</v>
      </c>
      <c r="H684" s="37">
        <f>if(ISNA(vlookup($A684, ESPN!$B$2:$E$297, 4, false)), 0, vlookup($A684, ESPN!$B$2:$E$297, 4, false))</f>
        <v>0</v>
      </c>
      <c r="I684" s="37">
        <f>if(ISNA(vlookup($A684,'Ultimate Draft Kit'!$B$2:$E$324,4, false)), 0, vlookup($A684,'Ultimate Draft Kit'!$B$2:$E$324, 4, false))</f>
        <v>0</v>
      </c>
      <c r="J684" s="38">
        <f>if(ISNA(vlookup($A684,Rotowire!$B$2:$E$1075,4, false)), 0, vlookup($A684,Rotowire!$B$2:$E$1075, 4, false))</f>
        <v>0</v>
      </c>
      <c r="K684" s="37">
        <f>if(ISNA(vlookup($A684, FantasyPro!$B$2:$E$341,4,false)),0,vlookup($A684,FantasyPro!$B$2:$E$341,4,false))</f>
        <v>0</v>
      </c>
      <c r="L684" s="37">
        <f>if(ISNA(vlookup($A684, FFToolbox!$B$2:$E$414, 4, false)), 0, vlookup($A684, FFToolbox!$B$2:$E$414, 4, false))</f>
        <v>0</v>
      </c>
      <c r="M684" s="39">
        <f t="shared" si="1"/>
        <v>0</v>
      </c>
      <c r="N684" s="39">
        <f t="shared" si="2"/>
        <v>0</v>
      </c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</row>
    <row r="685">
      <c r="A685" s="17" t="s">
        <v>1054</v>
      </c>
      <c r="B685" s="35" t="s">
        <v>1259</v>
      </c>
      <c r="C685" s="35" t="s">
        <v>1260</v>
      </c>
      <c r="D685" s="36" t="s">
        <v>262</v>
      </c>
      <c r="E685" s="36" t="s">
        <v>13</v>
      </c>
      <c r="F685" s="36" t="str">
        <f>vlookup(D685,'Team Bye List'!$A$1:$B$33,2,False)</f>
        <v>#N/A</v>
      </c>
      <c r="G685" s="37">
        <f>if(ISNA(vlookup($A685, Sleeper!$B$2:$E$330, 4, false)), 0, vlookup($A685, Sleeper!$B$2:$E$330, 4, false))</f>
        <v>0</v>
      </c>
      <c r="H685" s="37">
        <f>if(ISNA(vlookup($A685, ESPN!$B$2:$E$297, 4, false)), 0, vlookup($A685, ESPN!$B$2:$E$297, 4, false))</f>
        <v>0</v>
      </c>
      <c r="I685" s="37">
        <f>if(ISNA(vlookup($A685,'Ultimate Draft Kit'!$B$2:$E$324,4, false)), 0, vlookup($A685,'Ultimate Draft Kit'!$B$2:$E$324, 4, false))</f>
        <v>0</v>
      </c>
      <c r="J685" s="38">
        <f>if(ISNA(vlookup($A685,Rotowire!$B$2:$E$1075,4, false)), 0, vlookup($A685,Rotowire!$B$2:$E$1075, 4, false))</f>
        <v>0</v>
      </c>
      <c r="K685" s="37">
        <f>if(ISNA(vlookup($A685, FantasyPro!$B$2:$E$341,4,false)),0,vlookup($A685,FantasyPro!$B$2:$E$341,4,false))</f>
        <v>0</v>
      </c>
      <c r="L685" s="37">
        <f>if(ISNA(vlookup($A685, FFToolbox!$B$2:$E$414, 4, false)), 0, vlookup($A685, FFToolbox!$B$2:$E$414, 4, false))</f>
        <v>0</v>
      </c>
      <c r="M685" s="39">
        <f t="shared" si="1"/>
        <v>0</v>
      </c>
      <c r="N685" s="39">
        <f t="shared" si="2"/>
        <v>0</v>
      </c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</row>
    <row r="686">
      <c r="A686" s="17" t="s">
        <v>1055</v>
      </c>
      <c r="B686" s="35" t="s">
        <v>1259</v>
      </c>
      <c r="C686" s="35" t="s">
        <v>1260</v>
      </c>
      <c r="D686" s="36" t="s">
        <v>262</v>
      </c>
      <c r="E686" s="36" t="s">
        <v>13</v>
      </c>
      <c r="F686" s="36" t="str">
        <f>vlookup(D686,'Team Bye List'!$A$1:$B$33,2,False)</f>
        <v>#N/A</v>
      </c>
      <c r="G686" s="37">
        <f>if(ISNA(vlookup($A686, Sleeper!$B$2:$E$330, 4, false)), 0, vlookup($A686, Sleeper!$B$2:$E$330, 4, false))</f>
        <v>0</v>
      </c>
      <c r="H686" s="37">
        <f>if(ISNA(vlookup($A686, ESPN!$B$2:$E$297, 4, false)), 0, vlookup($A686, ESPN!$B$2:$E$297, 4, false))</f>
        <v>0</v>
      </c>
      <c r="I686" s="37">
        <f>if(ISNA(vlookup($A686,'Ultimate Draft Kit'!$B$2:$E$324,4, false)), 0, vlookup($A686,'Ultimate Draft Kit'!$B$2:$E$324, 4, false))</f>
        <v>0</v>
      </c>
      <c r="J686" s="38">
        <f>if(ISNA(vlookup($A686,Rotowire!$B$2:$E$1075,4, false)), 0, vlookup($A686,Rotowire!$B$2:$E$1075, 4, false))</f>
        <v>0</v>
      </c>
      <c r="K686" s="37">
        <f>if(ISNA(vlookup($A686, FantasyPro!$B$2:$E$341,4,false)),0,vlookup($A686,FantasyPro!$B$2:$E$341,4,false))</f>
        <v>0</v>
      </c>
      <c r="L686" s="37">
        <f>if(ISNA(vlookup($A686, FFToolbox!$B$2:$E$414, 4, false)), 0, vlookup($A686, FFToolbox!$B$2:$E$414, 4, false))</f>
        <v>0</v>
      </c>
      <c r="M686" s="39">
        <f t="shared" si="1"/>
        <v>0</v>
      </c>
      <c r="N686" s="39">
        <f t="shared" si="2"/>
        <v>0</v>
      </c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</row>
    <row r="687">
      <c r="A687" s="17" t="s">
        <v>1056</v>
      </c>
      <c r="B687" s="35" t="s">
        <v>1259</v>
      </c>
      <c r="C687" s="35" t="s">
        <v>1260</v>
      </c>
      <c r="D687" s="36" t="s">
        <v>262</v>
      </c>
      <c r="E687" s="36" t="s">
        <v>13</v>
      </c>
      <c r="F687" s="36" t="str">
        <f>vlookup(D687,'Team Bye List'!$A$1:$B$33,2,False)</f>
        <v>#N/A</v>
      </c>
      <c r="G687" s="37">
        <f>if(ISNA(vlookup($A687, Sleeper!$B$2:$E$330, 4, false)), 0, vlookup($A687, Sleeper!$B$2:$E$330, 4, false))</f>
        <v>0</v>
      </c>
      <c r="H687" s="37">
        <f>if(ISNA(vlookup($A687, ESPN!$B$2:$E$297, 4, false)), 0, vlookup($A687, ESPN!$B$2:$E$297, 4, false))</f>
        <v>0</v>
      </c>
      <c r="I687" s="37">
        <f>if(ISNA(vlookup($A687,'Ultimate Draft Kit'!$B$2:$E$324,4, false)), 0, vlookup($A687,'Ultimate Draft Kit'!$B$2:$E$324, 4, false))</f>
        <v>0</v>
      </c>
      <c r="J687" s="38">
        <f>if(ISNA(vlookup($A687,Rotowire!$B$2:$E$1075,4, false)), 0, vlookup($A687,Rotowire!$B$2:$E$1075, 4, false))</f>
        <v>0</v>
      </c>
      <c r="K687" s="37">
        <f>if(ISNA(vlookup($A687, FantasyPro!$B$2:$E$341,4,false)),0,vlookup($A687,FantasyPro!$B$2:$E$341,4,false))</f>
        <v>0</v>
      </c>
      <c r="L687" s="37">
        <f>if(ISNA(vlookup($A687, FFToolbox!$B$2:$E$414, 4, false)), 0, vlookup($A687, FFToolbox!$B$2:$E$414, 4, false))</f>
        <v>0</v>
      </c>
      <c r="M687" s="39">
        <f t="shared" si="1"/>
        <v>0</v>
      </c>
      <c r="N687" s="39">
        <f t="shared" si="2"/>
        <v>0</v>
      </c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</row>
    <row r="688">
      <c r="A688" s="17" t="s">
        <v>656</v>
      </c>
      <c r="B688" s="35" t="s">
        <v>1259</v>
      </c>
      <c r="C688" s="35" t="s">
        <v>1260</v>
      </c>
      <c r="D688" s="36" t="s">
        <v>45</v>
      </c>
      <c r="E688" s="36" t="s">
        <v>13</v>
      </c>
      <c r="F688" s="36">
        <f>vlookup(D688,'Team Bye List'!$A$1:$B$33,2,False)</f>
        <v>13</v>
      </c>
      <c r="G688" s="37">
        <f>if(ISNA(vlookup($A688, Sleeper!$B$2:$E$330, 4, false)), 0, vlookup($A688, Sleeper!$B$2:$E$330, 4, false))</f>
        <v>0</v>
      </c>
      <c r="H688" s="37">
        <f>if(ISNA(vlookup($A688, ESPN!$B$2:$E$297, 4, false)), 0, vlookup($A688, ESPN!$B$2:$E$297, 4, false))</f>
        <v>0</v>
      </c>
      <c r="I688" s="37">
        <f>if(ISNA(vlookup($A688,'Ultimate Draft Kit'!$B$2:$E$324,4, false)), 0, vlookup($A688,'Ultimate Draft Kit'!$B$2:$E$324, 4, false))</f>
        <v>0</v>
      </c>
      <c r="J688" s="38">
        <f>if(ISNA(vlookup($A688,Rotowire!$B$2:$E$1075,4, false)), 0, vlookup($A688,Rotowire!$B$2:$E$1075, 4, false))</f>
        <v>0</v>
      </c>
      <c r="K688" s="37">
        <f>if(ISNA(vlookup($A688, FantasyPro!$B$2:$E$341,4,false)),0,vlookup($A688,FantasyPro!$B$2:$E$341,4,false))</f>
        <v>0</v>
      </c>
      <c r="L688" s="37">
        <f>if(ISNA(vlookup($A688, FFToolbox!$B$2:$E$414, 4, false)), 0, vlookup($A688, FFToolbox!$B$2:$E$414, 4, false))</f>
        <v>0</v>
      </c>
      <c r="M688" s="39">
        <f t="shared" si="1"/>
        <v>0</v>
      </c>
      <c r="N688" s="39">
        <f t="shared" si="2"/>
        <v>0</v>
      </c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</row>
    <row r="689">
      <c r="A689" s="17" t="s">
        <v>1057</v>
      </c>
      <c r="B689" s="35" t="s">
        <v>1259</v>
      </c>
      <c r="C689" s="35" t="s">
        <v>1260</v>
      </c>
      <c r="D689" s="36" t="s">
        <v>262</v>
      </c>
      <c r="E689" s="36" t="s">
        <v>13</v>
      </c>
      <c r="F689" s="36" t="str">
        <f>vlookup(D689,'Team Bye List'!$A$1:$B$33,2,False)</f>
        <v>#N/A</v>
      </c>
      <c r="G689" s="37">
        <f>if(ISNA(vlookup($A689, Sleeper!$B$2:$E$330, 4, false)), 0, vlookup($A689, Sleeper!$B$2:$E$330, 4, false))</f>
        <v>0</v>
      </c>
      <c r="H689" s="37">
        <f>if(ISNA(vlookup($A689, ESPN!$B$2:$E$297, 4, false)), 0, vlookup($A689, ESPN!$B$2:$E$297, 4, false))</f>
        <v>0</v>
      </c>
      <c r="I689" s="37">
        <f>if(ISNA(vlookup($A689,'Ultimate Draft Kit'!$B$2:$E$324,4, false)), 0, vlookup($A689,'Ultimate Draft Kit'!$B$2:$E$324, 4, false))</f>
        <v>0</v>
      </c>
      <c r="J689" s="38">
        <f>if(ISNA(vlookup($A689,Rotowire!$B$2:$E$1075,4, false)), 0, vlookup($A689,Rotowire!$B$2:$E$1075, 4, false))</f>
        <v>0</v>
      </c>
      <c r="K689" s="37">
        <f>if(ISNA(vlookup($A689, FantasyPro!$B$2:$E$341,4,false)),0,vlookup($A689,FantasyPro!$B$2:$E$341,4,false))</f>
        <v>0</v>
      </c>
      <c r="L689" s="37">
        <f>if(ISNA(vlookup($A689, FFToolbox!$B$2:$E$414, 4, false)), 0, vlookup($A689, FFToolbox!$B$2:$E$414, 4, false))</f>
        <v>0</v>
      </c>
      <c r="M689" s="39">
        <f t="shared" si="1"/>
        <v>0</v>
      </c>
      <c r="N689" s="39">
        <f t="shared" si="2"/>
        <v>0</v>
      </c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</row>
    <row r="690">
      <c r="A690" s="17" t="s">
        <v>1058</v>
      </c>
      <c r="B690" s="35" t="s">
        <v>1259</v>
      </c>
      <c r="C690" s="35" t="s">
        <v>1260</v>
      </c>
      <c r="D690" s="36" t="s">
        <v>262</v>
      </c>
      <c r="E690" s="36" t="s">
        <v>13</v>
      </c>
      <c r="F690" s="36" t="str">
        <f>vlookup(D690,'Team Bye List'!$A$1:$B$33,2,False)</f>
        <v>#N/A</v>
      </c>
      <c r="G690" s="37">
        <f>if(ISNA(vlookup($A690, Sleeper!$B$2:$E$330, 4, false)), 0, vlookup($A690, Sleeper!$B$2:$E$330, 4, false))</f>
        <v>0</v>
      </c>
      <c r="H690" s="37">
        <f>if(ISNA(vlookup($A690, ESPN!$B$2:$E$297, 4, false)), 0, vlookup($A690, ESPN!$B$2:$E$297, 4, false))</f>
        <v>0</v>
      </c>
      <c r="I690" s="37">
        <f>if(ISNA(vlookup($A690,'Ultimate Draft Kit'!$B$2:$E$324,4, false)), 0, vlookup($A690,'Ultimate Draft Kit'!$B$2:$E$324, 4, false))</f>
        <v>0</v>
      </c>
      <c r="J690" s="38">
        <f>if(ISNA(vlookup($A690,Rotowire!$B$2:$E$1075,4, false)), 0, vlookup($A690,Rotowire!$B$2:$E$1075, 4, false))</f>
        <v>0</v>
      </c>
      <c r="K690" s="37">
        <f>if(ISNA(vlookup($A690, FantasyPro!$B$2:$E$341,4,false)),0,vlookup($A690,FantasyPro!$B$2:$E$341,4,false))</f>
        <v>0</v>
      </c>
      <c r="L690" s="37">
        <f>if(ISNA(vlookup($A690, FFToolbox!$B$2:$E$414, 4, false)), 0, vlookup($A690, FFToolbox!$B$2:$E$414, 4, false))</f>
        <v>0</v>
      </c>
      <c r="M690" s="39">
        <f t="shared" si="1"/>
        <v>0</v>
      </c>
      <c r="N690" s="39">
        <f t="shared" si="2"/>
        <v>0</v>
      </c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</row>
    <row r="691">
      <c r="A691" s="17" t="s">
        <v>696</v>
      </c>
      <c r="B691" s="35" t="s">
        <v>1259</v>
      </c>
      <c r="C691" s="35" t="s">
        <v>1260</v>
      </c>
      <c r="D691" s="36" t="s">
        <v>85</v>
      </c>
      <c r="E691" s="36" t="s">
        <v>13</v>
      </c>
      <c r="F691" s="36">
        <f>vlookup(D691,'Team Bye List'!$A$1:$B$33,2,False)</f>
        <v>9</v>
      </c>
      <c r="G691" s="37">
        <f>if(ISNA(vlookup($A691, Sleeper!$B$2:$E$330, 4, false)), 0, vlookup($A691, Sleeper!$B$2:$E$330, 4, false))</f>
        <v>0</v>
      </c>
      <c r="H691" s="37">
        <f>if(ISNA(vlookup($A691, ESPN!$B$2:$E$297, 4, false)), 0, vlookup($A691, ESPN!$B$2:$E$297, 4, false))</f>
        <v>0</v>
      </c>
      <c r="I691" s="37">
        <f>if(ISNA(vlookup($A691,'Ultimate Draft Kit'!$B$2:$E$324,4, false)), 0, vlookup($A691,'Ultimate Draft Kit'!$B$2:$E$324, 4, false))</f>
        <v>0</v>
      </c>
      <c r="J691" s="38">
        <f>if(ISNA(vlookup($A691,Rotowire!$B$2:$E$1075,4, false)), 0, vlookup($A691,Rotowire!$B$2:$E$1075, 4, false))</f>
        <v>0</v>
      </c>
      <c r="K691" s="37">
        <f>if(ISNA(vlookup($A691, FantasyPro!$B$2:$E$341,4,false)),0,vlookup($A691,FantasyPro!$B$2:$E$341,4,false))</f>
        <v>0</v>
      </c>
      <c r="L691" s="37">
        <f>if(ISNA(vlookup($A691, FFToolbox!$B$2:$E$414, 4, false)), 0, vlookup($A691, FFToolbox!$B$2:$E$414, 4, false))</f>
        <v>0</v>
      </c>
      <c r="M691" s="39">
        <f t="shared" si="1"/>
        <v>0</v>
      </c>
      <c r="N691" s="39">
        <f t="shared" si="2"/>
        <v>0</v>
      </c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</row>
    <row r="692">
      <c r="A692" s="17" t="s">
        <v>614</v>
      </c>
      <c r="B692" s="35" t="s">
        <v>1259</v>
      </c>
      <c r="C692" s="35" t="s">
        <v>1260</v>
      </c>
      <c r="D692" s="36" t="s">
        <v>55</v>
      </c>
      <c r="E692" s="36" t="s">
        <v>13</v>
      </c>
      <c r="F692" s="36">
        <f>vlookup(D692,'Team Bye List'!$A$1:$B$33,2,False)</f>
        <v>14</v>
      </c>
      <c r="G692" s="37">
        <f>if(ISNA(vlookup($A692, Sleeper!$B$2:$E$330, 4, false)), 0, vlookup($A692, Sleeper!$B$2:$E$330, 4, false))</f>
        <v>0</v>
      </c>
      <c r="H692" s="37">
        <f>if(ISNA(vlookup($A692, ESPN!$B$2:$E$297, 4, false)), 0, vlookup($A692, ESPN!$B$2:$E$297, 4, false))</f>
        <v>0</v>
      </c>
      <c r="I692" s="37">
        <f>if(ISNA(vlookup($A692,'Ultimate Draft Kit'!$B$2:$E$324,4, false)), 0, vlookup($A692,'Ultimate Draft Kit'!$B$2:$E$324, 4, false))</f>
        <v>0</v>
      </c>
      <c r="J692" s="38">
        <f>if(ISNA(vlookup($A692,Rotowire!$B$2:$E$1075,4, false)), 0, vlookup($A692,Rotowire!$B$2:$E$1075, 4, false))</f>
        <v>0</v>
      </c>
      <c r="K692" s="37">
        <f>if(ISNA(vlookup($A692, FantasyPro!$B$2:$E$341,4,false)),0,vlookup($A692,FantasyPro!$B$2:$E$341,4,false))</f>
        <v>0</v>
      </c>
      <c r="L692" s="37">
        <f>if(ISNA(vlookup($A692, FFToolbox!$B$2:$E$414, 4, false)), 0, vlookup($A692, FFToolbox!$B$2:$E$414, 4, false))</f>
        <v>0</v>
      </c>
      <c r="M692" s="39">
        <f t="shared" si="1"/>
        <v>0</v>
      </c>
      <c r="N692" s="39">
        <f t="shared" si="2"/>
        <v>0</v>
      </c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</row>
    <row r="693">
      <c r="A693" s="17" t="s">
        <v>673</v>
      </c>
      <c r="B693" s="35" t="s">
        <v>1259</v>
      </c>
      <c r="C693" s="35" t="s">
        <v>1260</v>
      </c>
      <c r="D693" s="36" t="s">
        <v>35</v>
      </c>
      <c r="E693" s="36" t="s">
        <v>13</v>
      </c>
      <c r="F693" s="36">
        <f>vlookup(D693,'Team Bye List'!$A$1:$B$33,2,False)</f>
        <v>6</v>
      </c>
      <c r="G693" s="37">
        <f>if(ISNA(vlookup($A693, Sleeper!$B$2:$E$330, 4, false)), 0, vlookup($A693, Sleeper!$B$2:$E$330, 4, false))</f>
        <v>0</v>
      </c>
      <c r="H693" s="37">
        <f>if(ISNA(vlookup($A693, ESPN!$B$2:$E$297, 4, false)), 0, vlookup($A693, ESPN!$B$2:$E$297, 4, false))</f>
        <v>0</v>
      </c>
      <c r="I693" s="37">
        <f>if(ISNA(vlookup($A693,'Ultimate Draft Kit'!$B$2:$E$324,4, false)), 0, vlookup($A693,'Ultimate Draft Kit'!$B$2:$E$324, 4, false))</f>
        <v>0</v>
      </c>
      <c r="J693" s="38">
        <f>if(ISNA(vlookup($A693,Rotowire!$B$2:$E$1075,4, false)), 0, vlookup($A693,Rotowire!$B$2:$E$1075, 4, false))</f>
        <v>0</v>
      </c>
      <c r="K693" s="37">
        <f>if(ISNA(vlookup($A693, FantasyPro!$B$2:$E$341,4,false)),0,vlookup($A693,FantasyPro!$B$2:$E$341,4,false))</f>
        <v>0</v>
      </c>
      <c r="L693" s="37">
        <f>if(ISNA(vlookup($A693, FFToolbox!$B$2:$E$414, 4, false)), 0, vlookup($A693, FFToolbox!$B$2:$E$414, 4, false))</f>
        <v>0</v>
      </c>
      <c r="M693" s="39">
        <f t="shared" si="1"/>
        <v>0</v>
      </c>
      <c r="N693" s="39">
        <f t="shared" si="2"/>
        <v>0</v>
      </c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</row>
    <row r="694">
      <c r="A694" s="17" t="s">
        <v>1059</v>
      </c>
      <c r="B694" s="35" t="s">
        <v>1259</v>
      </c>
      <c r="C694" s="35" t="s">
        <v>1260</v>
      </c>
      <c r="D694" s="36" t="s">
        <v>262</v>
      </c>
      <c r="E694" s="36" t="s">
        <v>13</v>
      </c>
      <c r="F694" s="36" t="str">
        <f>vlookup(D694,'Team Bye List'!$A$1:$B$33,2,False)</f>
        <v>#N/A</v>
      </c>
      <c r="G694" s="37">
        <f>if(ISNA(vlookup($A694, Sleeper!$B$2:$E$330, 4, false)), 0, vlookup($A694, Sleeper!$B$2:$E$330, 4, false))</f>
        <v>0</v>
      </c>
      <c r="H694" s="37">
        <f>if(ISNA(vlookup($A694, ESPN!$B$2:$E$297, 4, false)), 0, vlookup($A694, ESPN!$B$2:$E$297, 4, false))</f>
        <v>0</v>
      </c>
      <c r="I694" s="37">
        <f>if(ISNA(vlookup($A694,'Ultimate Draft Kit'!$B$2:$E$324,4, false)), 0, vlookup($A694,'Ultimate Draft Kit'!$B$2:$E$324, 4, false))</f>
        <v>0</v>
      </c>
      <c r="J694" s="38">
        <f>if(ISNA(vlookup($A694,Rotowire!$B$2:$E$1075,4, false)), 0, vlookup($A694,Rotowire!$B$2:$E$1075, 4, false))</f>
        <v>0</v>
      </c>
      <c r="K694" s="37">
        <f>if(ISNA(vlookup($A694, FantasyPro!$B$2:$E$341,4,false)),0,vlookup($A694,FantasyPro!$B$2:$E$341,4,false))</f>
        <v>0</v>
      </c>
      <c r="L694" s="37">
        <f>if(ISNA(vlookup($A694, FFToolbox!$B$2:$E$414, 4, false)), 0, vlookup($A694, FFToolbox!$B$2:$E$414, 4, false))</f>
        <v>0</v>
      </c>
      <c r="M694" s="39">
        <f t="shared" si="1"/>
        <v>0</v>
      </c>
      <c r="N694" s="39">
        <f t="shared" si="2"/>
        <v>0</v>
      </c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</row>
    <row r="695">
      <c r="A695" s="17" t="s">
        <v>690</v>
      </c>
      <c r="B695" s="35" t="s">
        <v>1259</v>
      </c>
      <c r="C695" s="35" t="s">
        <v>1260</v>
      </c>
      <c r="D695" s="36" t="s">
        <v>28</v>
      </c>
      <c r="E695" s="36" t="s">
        <v>13</v>
      </c>
      <c r="F695" s="36">
        <f>vlookup(D695,'Team Bye List'!$A$1:$B$33,2,False)</f>
        <v>11</v>
      </c>
      <c r="G695" s="37">
        <f>if(ISNA(vlookup($A695, Sleeper!$B$2:$E$330, 4, false)), 0, vlookup($A695, Sleeper!$B$2:$E$330, 4, false))</f>
        <v>0</v>
      </c>
      <c r="H695" s="37">
        <f>if(ISNA(vlookup($A695, ESPN!$B$2:$E$297, 4, false)), 0, vlookup($A695, ESPN!$B$2:$E$297, 4, false))</f>
        <v>0</v>
      </c>
      <c r="I695" s="37">
        <f>if(ISNA(vlookup($A695,'Ultimate Draft Kit'!$B$2:$E$324,4, false)), 0, vlookup($A695,'Ultimate Draft Kit'!$B$2:$E$324, 4, false))</f>
        <v>0</v>
      </c>
      <c r="J695" s="38">
        <f>if(ISNA(vlookup($A695,Rotowire!$B$2:$E$1075,4, false)), 0, vlookup($A695,Rotowire!$B$2:$E$1075, 4, false))</f>
        <v>0</v>
      </c>
      <c r="K695" s="37">
        <f>if(ISNA(vlookup($A695, FantasyPro!$B$2:$E$341,4,false)),0,vlookup($A695,FantasyPro!$B$2:$E$341,4,false))</f>
        <v>0</v>
      </c>
      <c r="L695" s="37">
        <f>if(ISNA(vlookup($A695, FFToolbox!$B$2:$E$414, 4, false)), 0, vlookup($A695, FFToolbox!$B$2:$E$414, 4, false))</f>
        <v>0</v>
      </c>
      <c r="M695" s="39">
        <f t="shared" si="1"/>
        <v>0</v>
      </c>
      <c r="N695" s="39">
        <f t="shared" si="2"/>
        <v>0</v>
      </c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</row>
    <row r="696">
      <c r="A696" s="17" t="s">
        <v>1060</v>
      </c>
      <c r="B696" s="35" t="s">
        <v>1259</v>
      </c>
      <c r="C696" s="35" t="s">
        <v>1260</v>
      </c>
      <c r="D696" s="36" t="s">
        <v>262</v>
      </c>
      <c r="E696" s="36" t="s">
        <v>13</v>
      </c>
      <c r="F696" s="36" t="str">
        <f>vlookup(D696,'Team Bye List'!$A$1:$B$33,2,False)</f>
        <v>#N/A</v>
      </c>
      <c r="G696" s="37">
        <f>if(ISNA(vlookup($A696, Sleeper!$B$2:$E$330, 4, false)), 0, vlookup($A696, Sleeper!$B$2:$E$330, 4, false))</f>
        <v>0</v>
      </c>
      <c r="H696" s="37">
        <f>if(ISNA(vlookup($A696, ESPN!$B$2:$E$297, 4, false)), 0, vlookup($A696, ESPN!$B$2:$E$297, 4, false))</f>
        <v>0</v>
      </c>
      <c r="I696" s="37">
        <f>if(ISNA(vlookup($A696,'Ultimate Draft Kit'!$B$2:$E$324,4, false)), 0, vlookup($A696,'Ultimate Draft Kit'!$B$2:$E$324, 4, false))</f>
        <v>0</v>
      </c>
      <c r="J696" s="38">
        <f>if(ISNA(vlookup($A696,Rotowire!$B$2:$E$1075,4, false)), 0, vlookup($A696,Rotowire!$B$2:$E$1075, 4, false))</f>
        <v>0</v>
      </c>
      <c r="K696" s="37">
        <f>if(ISNA(vlookup($A696, FantasyPro!$B$2:$E$341,4,false)),0,vlookup($A696,FantasyPro!$B$2:$E$341,4,false))</f>
        <v>0</v>
      </c>
      <c r="L696" s="37">
        <f>if(ISNA(vlookup($A696, FFToolbox!$B$2:$E$414, 4, false)), 0, vlookup($A696, FFToolbox!$B$2:$E$414, 4, false))</f>
        <v>0</v>
      </c>
      <c r="M696" s="39">
        <f t="shared" si="1"/>
        <v>0</v>
      </c>
      <c r="N696" s="39">
        <f t="shared" si="2"/>
        <v>0</v>
      </c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</row>
    <row r="697">
      <c r="A697" s="17" t="s">
        <v>624</v>
      </c>
      <c r="B697" s="35" t="s">
        <v>1259</v>
      </c>
      <c r="C697" s="35" t="s">
        <v>1260</v>
      </c>
      <c r="D697" s="36" t="s">
        <v>43</v>
      </c>
      <c r="E697" s="36" t="s">
        <v>13</v>
      </c>
      <c r="F697" s="36">
        <f>vlookup(D697,'Team Bye List'!$A$1:$B$33,2,False)</f>
        <v>9</v>
      </c>
      <c r="G697" s="37">
        <f>if(ISNA(vlookup($A697, Sleeper!$B$2:$E$330, 4, false)), 0, vlookup($A697, Sleeper!$B$2:$E$330, 4, false))</f>
        <v>0</v>
      </c>
      <c r="H697" s="37">
        <f>if(ISNA(vlookup($A697, ESPN!$B$2:$E$297, 4, false)), 0, vlookup($A697, ESPN!$B$2:$E$297, 4, false))</f>
        <v>0</v>
      </c>
      <c r="I697" s="37">
        <f>if(ISNA(vlookup($A697,'Ultimate Draft Kit'!$B$2:$E$324,4, false)), 0, vlookup($A697,'Ultimate Draft Kit'!$B$2:$E$324, 4, false))</f>
        <v>0</v>
      </c>
      <c r="J697" s="38">
        <f>if(ISNA(vlookup($A697,Rotowire!$B$2:$E$1075,4, false)), 0, vlookup($A697,Rotowire!$B$2:$E$1075, 4, false))</f>
        <v>0</v>
      </c>
      <c r="K697" s="37">
        <f>if(ISNA(vlookup($A697, FantasyPro!$B$2:$E$341,4,false)),0,vlookup($A697,FantasyPro!$B$2:$E$341,4,false))</f>
        <v>0</v>
      </c>
      <c r="L697" s="37">
        <f>if(ISNA(vlookup($A697, FFToolbox!$B$2:$E$414, 4, false)), 0, vlookup($A697, FFToolbox!$B$2:$E$414, 4, false))</f>
        <v>0</v>
      </c>
      <c r="M697" s="39">
        <f t="shared" si="1"/>
        <v>0</v>
      </c>
      <c r="N697" s="39">
        <f t="shared" si="2"/>
        <v>0</v>
      </c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</row>
    <row r="698">
      <c r="A698" s="17" t="s">
        <v>668</v>
      </c>
      <c r="B698" s="35" t="s">
        <v>1259</v>
      </c>
      <c r="C698" s="35" t="s">
        <v>1260</v>
      </c>
      <c r="D698" s="36" t="s">
        <v>89</v>
      </c>
      <c r="E698" s="36" t="s">
        <v>13</v>
      </c>
      <c r="F698" s="36">
        <f>vlookup(D698,'Team Bye List'!$A$1:$B$33,2,False)</f>
        <v>14</v>
      </c>
      <c r="G698" s="37">
        <f>if(ISNA(vlookup($A698, Sleeper!$B$2:$E$330, 4, false)), 0, vlookup($A698, Sleeper!$B$2:$E$330, 4, false))</f>
        <v>0</v>
      </c>
      <c r="H698" s="37">
        <f>if(ISNA(vlookup($A698, ESPN!$B$2:$E$297, 4, false)), 0, vlookup($A698, ESPN!$B$2:$E$297, 4, false))</f>
        <v>0</v>
      </c>
      <c r="I698" s="37">
        <f>if(ISNA(vlookup($A698,'Ultimate Draft Kit'!$B$2:$E$324,4, false)), 0, vlookup($A698,'Ultimate Draft Kit'!$B$2:$E$324, 4, false))</f>
        <v>0</v>
      </c>
      <c r="J698" s="38">
        <f>if(ISNA(vlookup($A698,Rotowire!$B$2:$E$1075,4, false)), 0, vlookup($A698,Rotowire!$B$2:$E$1075, 4, false))</f>
        <v>0</v>
      </c>
      <c r="K698" s="37">
        <f>if(ISNA(vlookup($A698, FantasyPro!$B$2:$E$341,4,false)),0,vlookup($A698,FantasyPro!$B$2:$E$341,4,false))</f>
        <v>0</v>
      </c>
      <c r="L698" s="37">
        <f>if(ISNA(vlookup($A698, FFToolbox!$B$2:$E$414, 4, false)), 0, vlookup($A698, FFToolbox!$B$2:$E$414, 4, false))</f>
        <v>1</v>
      </c>
      <c r="M698" s="39">
        <f t="shared" si="1"/>
        <v>0.1666666667</v>
      </c>
      <c r="N698" s="39">
        <f t="shared" si="2"/>
        <v>1</v>
      </c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</row>
    <row r="699">
      <c r="A699" s="17" t="s">
        <v>1061</v>
      </c>
      <c r="B699" s="35" t="s">
        <v>1259</v>
      </c>
      <c r="C699" s="35" t="s">
        <v>1260</v>
      </c>
      <c r="D699" s="36" t="s">
        <v>64</v>
      </c>
      <c r="E699" s="36" t="s">
        <v>13</v>
      </c>
      <c r="F699" s="36">
        <f>vlookup(D699,'Team Bye List'!$A$1:$B$33,2,False)</f>
        <v>7</v>
      </c>
      <c r="G699" s="37">
        <f>if(ISNA(vlookup($A699, Sleeper!$B$2:$E$330, 4, false)), 0, vlookup($A699, Sleeper!$B$2:$E$330, 4, false))</f>
        <v>0</v>
      </c>
      <c r="H699" s="37">
        <f>if(ISNA(vlookup($A699, ESPN!$B$2:$E$297, 4, false)), 0, vlookup($A699, ESPN!$B$2:$E$297, 4, false))</f>
        <v>0</v>
      </c>
      <c r="I699" s="37">
        <f>if(ISNA(vlookup($A699,'Ultimate Draft Kit'!$B$2:$E$324,4, false)), 0, vlookup($A699,'Ultimate Draft Kit'!$B$2:$E$324, 4, false))</f>
        <v>0</v>
      </c>
      <c r="J699" s="38">
        <f>if(ISNA(vlookup($A699,Rotowire!$B$2:$E$1075,4, false)), 0, vlookup($A699,Rotowire!$B$2:$E$1075, 4, false))</f>
        <v>0</v>
      </c>
      <c r="K699" s="37">
        <f>if(ISNA(vlookup($A699, FantasyPro!$B$2:$E$341,4,false)),0,vlookup($A699,FantasyPro!$B$2:$E$341,4,false))</f>
        <v>0</v>
      </c>
      <c r="L699" s="37">
        <f>if(ISNA(vlookup($A699, FFToolbox!$B$2:$E$414, 4, false)), 0, vlookup($A699, FFToolbox!$B$2:$E$414, 4, false))</f>
        <v>0</v>
      </c>
      <c r="M699" s="39">
        <f t="shared" si="1"/>
        <v>0</v>
      </c>
      <c r="N699" s="39">
        <f t="shared" si="2"/>
        <v>0</v>
      </c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</row>
    <row r="700">
      <c r="A700" s="17" t="s">
        <v>1062</v>
      </c>
      <c r="B700" s="35" t="s">
        <v>1259</v>
      </c>
      <c r="C700" s="35" t="s">
        <v>1260</v>
      </c>
      <c r="D700" s="36" t="s">
        <v>37</v>
      </c>
      <c r="E700" s="36" t="s">
        <v>13</v>
      </c>
      <c r="F700" s="36">
        <f>vlookup(D700,'Team Bye List'!$A$1:$B$33,2,False)</f>
        <v>11</v>
      </c>
      <c r="G700" s="37">
        <f>if(ISNA(vlookup($A700, Sleeper!$B$2:$E$330, 4, false)), 0, vlookup($A700, Sleeper!$B$2:$E$330, 4, false))</f>
        <v>0</v>
      </c>
      <c r="H700" s="37">
        <f>if(ISNA(vlookup($A700, ESPN!$B$2:$E$297, 4, false)), 0, vlookup($A700, ESPN!$B$2:$E$297, 4, false))</f>
        <v>0</v>
      </c>
      <c r="I700" s="37">
        <f>if(ISNA(vlookup($A700,'Ultimate Draft Kit'!$B$2:$E$324,4, false)), 0, vlookup($A700,'Ultimate Draft Kit'!$B$2:$E$324, 4, false))</f>
        <v>0</v>
      </c>
      <c r="J700" s="38">
        <f>if(ISNA(vlookup($A700,Rotowire!$B$2:$E$1075,4, false)), 0, vlookup($A700,Rotowire!$B$2:$E$1075, 4, false))</f>
        <v>0</v>
      </c>
      <c r="K700" s="37">
        <f>if(ISNA(vlookup($A700, FantasyPro!$B$2:$E$341,4,false)),0,vlookup($A700,FantasyPro!$B$2:$E$341,4,false))</f>
        <v>0</v>
      </c>
      <c r="L700" s="37">
        <f>if(ISNA(vlookup($A700, FFToolbox!$B$2:$E$414, 4, false)), 0, vlookup($A700, FFToolbox!$B$2:$E$414, 4, false))</f>
        <v>0</v>
      </c>
      <c r="M700" s="39">
        <f t="shared" si="1"/>
        <v>0</v>
      </c>
      <c r="N700" s="39">
        <f t="shared" si="2"/>
        <v>0</v>
      </c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</row>
    <row r="701">
      <c r="A701" s="17" t="s">
        <v>1063</v>
      </c>
      <c r="B701" s="35" t="s">
        <v>1259</v>
      </c>
      <c r="C701" s="35" t="s">
        <v>1260</v>
      </c>
      <c r="D701" s="36" t="s">
        <v>262</v>
      </c>
      <c r="E701" s="36" t="s">
        <v>13</v>
      </c>
      <c r="F701" s="36" t="str">
        <f>vlookup(D701,'Team Bye List'!$A$1:$B$33,2,False)</f>
        <v>#N/A</v>
      </c>
      <c r="G701" s="37">
        <f>if(ISNA(vlookup($A701, Sleeper!$B$2:$E$330, 4, false)), 0, vlookup($A701, Sleeper!$B$2:$E$330, 4, false))</f>
        <v>0</v>
      </c>
      <c r="H701" s="37">
        <f>if(ISNA(vlookup($A701, ESPN!$B$2:$E$297, 4, false)), 0, vlookup($A701, ESPN!$B$2:$E$297, 4, false))</f>
        <v>0</v>
      </c>
      <c r="I701" s="37">
        <f>if(ISNA(vlookup($A701,'Ultimate Draft Kit'!$B$2:$E$324,4, false)), 0, vlookup($A701,'Ultimate Draft Kit'!$B$2:$E$324, 4, false))</f>
        <v>0</v>
      </c>
      <c r="J701" s="38">
        <f>if(ISNA(vlookup($A701,Rotowire!$B$2:$E$1075,4, false)), 0, vlookup($A701,Rotowire!$B$2:$E$1075, 4, false))</f>
        <v>0</v>
      </c>
      <c r="K701" s="37">
        <f>if(ISNA(vlookup($A701, FantasyPro!$B$2:$E$341,4,false)),0,vlookup($A701,FantasyPro!$B$2:$E$341,4,false))</f>
        <v>0</v>
      </c>
      <c r="L701" s="37">
        <f>if(ISNA(vlookup($A701, FFToolbox!$B$2:$E$414, 4, false)), 0, vlookup($A701, FFToolbox!$B$2:$E$414, 4, false))</f>
        <v>0</v>
      </c>
      <c r="M701" s="39">
        <f t="shared" si="1"/>
        <v>0</v>
      </c>
      <c r="N701" s="39">
        <f t="shared" si="2"/>
        <v>0</v>
      </c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</row>
    <row r="702">
      <c r="A702" s="17" t="s">
        <v>694</v>
      </c>
      <c r="B702" s="35" t="s">
        <v>1259</v>
      </c>
      <c r="C702" s="35" t="s">
        <v>1260</v>
      </c>
      <c r="D702" s="36" t="s">
        <v>53</v>
      </c>
      <c r="E702" s="36" t="s">
        <v>13</v>
      </c>
      <c r="F702" s="36">
        <f>vlookup(D702,'Team Bye List'!$A$1:$B$33,2,False)</f>
        <v>9</v>
      </c>
      <c r="G702" s="37">
        <f>if(ISNA(vlookup($A702, Sleeper!$B$2:$E$330, 4, false)), 0, vlookup($A702, Sleeper!$B$2:$E$330, 4, false))</f>
        <v>0</v>
      </c>
      <c r="H702" s="37">
        <f>if(ISNA(vlookup($A702, ESPN!$B$2:$E$297, 4, false)), 0, vlookup($A702, ESPN!$B$2:$E$297, 4, false))</f>
        <v>0</v>
      </c>
      <c r="I702" s="37">
        <f>if(ISNA(vlookup($A702,'Ultimate Draft Kit'!$B$2:$E$324,4, false)), 0, vlookup($A702,'Ultimate Draft Kit'!$B$2:$E$324, 4, false))</f>
        <v>0</v>
      </c>
      <c r="J702" s="38">
        <f>if(ISNA(vlookup($A702,Rotowire!$B$2:$E$1075,4, false)), 0, vlookup($A702,Rotowire!$B$2:$E$1075, 4, false))</f>
        <v>0</v>
      </c>
      <c r="K702" s="37">
        <f>if(ISNA(vlookup($A702, FantasyPro!$B$2:$E$341,4,false)),0,vlookup($A702,FantasyPro!$B$2:$E$341,4,false))</f>
        <v>0</v>
      </c>
      <c r="L702" s="37">
        <f>if(ISNA(vlookup($A702, FFToolbox!$B$2:$E$414, 4, false)), 0, vlookup($A702, FFToolbox!$B$2:$E$414, 4, false))</f>
        <v>0</v>
      </c>
      <c r="M702" s="39">
        <f t="shared" si="1"/>
        <v>0</v>
      </c>
      <c r="N702" s="39">
        <f t="shared" si="2"/>
        <v>0</v>
      </c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</row>
    <row r="703">
      <c r="A703" s="17" t="s">
        <v>593</v>
      </c>
      <c r="B703" s="35" t="s">
        <v>1259</v>
      </c>
      <c r="C703" s="35" t="s">
        <v>1260</v>
      </c>
      <c r="D703" s="36" t="s">
        <v>37</v>
      </c>
      <c r="E703" s="36" t="s">
        <v>13</v>
      </c>
      <c r="F703" s="36">
        <f>vlookup(D703,'Team Bye List'!$A$1:$B$33,2,False)</f>
        <v>11</v>
      </c>
      <c r="G703" s="37">
        <f>if(ISNA(vlookup($A703, Sleeper!$B$2:$E$330, 4, false)), 0, vlookup($A703, Sleeper!$B$2:$E$330, 4, false))</f>
        <v>0</v>
      </c>
      <c r="H703" s="37">
        <f>if(ISNA(vlookup($A703, ESPN!$B$2:$E$297, 4, false)), 0, vlookup($A703, ESPN!$B$2:$E$297, 4, false))</f>
        <v>0</v>
      </c>
      <c r="I703" s="37">
        <f>if(ISNA(vlookup($A703,'Ultimate Draft Kit'!$B$2:$E$324,4, false)), 0, vlookup($A703,'Ultimate Draft Kit'!$B$2:$E$324, 4, false))</f>
        <v>0</v>
      </c>
      <c r="J703" s="38">
        <f>if(ISNA(vlookup($A703,Rotowire!$B$2:$E$1075,4, false)), 0, vlookup($A703,Rotowire!$B$2:$E$1075, 4, false))</f>
        <v>0</v>
      </c>
      <c r="K703" s="37">
        <f>if(ISNA(vlookup($A703, FantasyPro!$B$2:$E$341,4,false)),0,vlookup($A703,FantasyPro!$B$2:$E$341,4,false))</f>
        <v>0</v>
      </c>
      <c r="L703" s="37">
        <f>if(ISNA(vlookup($A703, FFToolbox!$B$2:$E$414, 4, false)), 0, vlookup($A703, FFToolbox!$B$2:$E$414, 4, false))</f>
        <v>0</v>
      </c>
      <c r="M703" s="39">
        <f t="shared" si="1"/>
        <v>0</v>
      </c>
      <c r="N703" s="39">
        <f t="shared" si="2"/>
        <v>0</v>
      </c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</row>
    <row r="704">
      <c r="A704" s="17" t="s">
        <v>1064</v>
      </c>
      <c r="B704" s="35" t="s">
        <v>1259</v>
      </c>
      <c r="C704" s="35" t="s">
        <v>1260</v>
      </c>
      <c r="D704" s="36" t="s">
        <v>41</v>
      </c>
      <c r="E704" s="36" t="s">
        <v>13</v>
      </c>
      <c r="F704" s="36">
        <f>vlookup(D704,'Team Bye List'!$A$1:$B$33,2,False)</f>
        <v>14</v>
      </c>
      <c r="G704" s="37">
        <f>if(ISNA(vlookup($A704, Sleeper!$B$2:$E$330, 4, false)), 0, vlookup($A704, Sleeper!$B$2:$E$330, 4, false))</f>
        <v>0</v>
      </c>
      <c r="H704" s="37">
        <f>if(ISNA(vlookup($A704, ESPN!$B$2:$E$297, 4, false)), 0, vlookup($A704, ESPN!$B$2:$E$297, 4, false))</f>
        <v>0</v>
      </c>
      <c r="I704" s="37">
        <f>if(ISNA(vlookup($A704,'Ultimate Draft Kit'!$B$2:$E$324,4, false)), 0, vlookup($A704,'Ultimate Draft Kit'!$B$2:$E$324, 4, false))</f>
        <v>0</v>
      </c>
      <c r="J704" s="38">
        <f>if(ISNA(vlookup($A704,Rotowire!$B$2:$E$1075,4, false)), 0, vlookup($A704,Rotowire!$B$2:$E$1075, 4, false))</f>
        <v>0</v>
      </c>
      <c r="K704" s="37">
        <f>if(ISNA(vlookup($A704, FantasyPro!$B$2:$E$341,4,false)),0,vlookup($A704,FantasyPro!$B$2:$E$341,4,false))</f>
        <v>0</v>
      </c>
      <c r="L704" s="37">
        <f>if(ISNA(vlookup($A704, FFToolbox!$B$2:$E$414, 4, false)), 0, vlookup($A704, FFToolbox!$B$2:$E$414, 4, false))</f>
        <v>0</v>
      </c>
      <c r="M704" s="39">
        <f t="shared" si="1"/>
        <v>0</v>
      </c>
      <c r="N704" s="39">
        <f t="shared" si="2"/>
        <v>0</v>
      </c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</row>
    <row r="705">
      <c r="A705" s="17" t="s">
        <v>1065</v>
      </c>
      <c r="B705" s="35" t="s">
        <v>1259</v>
      </c>
      <c r="C705" s="35" t="s">
        <v>1260</v>
      </c>
      <c r="D705" s="36" t="s">
        <v>262</v>
      </c>
      <c r="E705" s="36" t="s">
        <v>13</v>
      </c>
      <c r="F705" s="36" t="str">
        <f>vlookup(D705,'Team Bye List'!$A$1:$B$33,2,False)</f>
        <v>#N/A</v>
      </c>
      <c r="G705" s="37">
        <f>if(ISNA(vlookup($A705, Sleeper!$B$2:$E$330, 4, false)), 0, vlookup($A705, Sleeper!$B$2:$E$330, 4, false))</f>
        <v>0</v>
      </c>
      <c r="H705" s="37">
        <f>if(ISNA(vlookup($A705, ESPN!$B$2:$E$297, 4, false)), 0, vlookup($A705, ESPN!$B$2:$E$297, 4, false))</f>
        <v>0</v>
      </c>
      <c r="I705" s="37">
        <f>if(ISNA(vlookup($A705,'Ultimate Draft Kit'!$B$2:$E$324,4, false)), 0, vlookup($A705,'Ultimate Draft Kit'!$B$2:$E$324, 4, false))</f>
        <v>0</v>
      </c>
      <c r="J705" s="38">
        <f>if(ISNA(vlookup($A705,Rotowire!$B$2:$E$1075,4, false)), 0, vlookup($A705,Rotowire!$B$2:$E$1075, 4, false))</f>
        <v>0</v>
      </c>
      <c r="K705" s="37">
        <f>if(ISNA(vlookup($A705, FantasyPro!$B$2:$E$341,4,false)),0,vlookup($A705,FantasyPro!$B$2:$E$341,4,false))</f>
        <v>0</v>
      </c>
      <c r="L705" s="37">
        <f>if(ISNA(vlookup($A705, FFToolbox!$B$2:$E$414, 4, false)), 0, vlookup($A705, FFToolbox!$B$2:$E$414, 4, false))</f>
        <v>0</v>
      </c>
      <c r="M705" s="39">
        <f t="shared" si="1"/>
        <v>0</v>
      </c>
      <c r="N705" s="39">
        <f t="shared" si="2"/>
        <v>0</v>
      </c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</row>
    <row r="706">
      <c r="A706" s="17" t="s">
        <v>1066</v>
      </c>
      <c r="B706" s="35" t="s">
        <v>1259</v>
      </c>
      <c r="C706" s="35" t="s">
        <v>1260</v>
      </c>
      <c r="D706" s="36" t="s">
        <v>262</v>
      </c>
      <c r="E706" s="36" t="s">
        <v>13</v>
      </c>
      <c r="F706" s="36" t="str">
        <f>vlookup(D706,'Team Bye List'!$A$1:$B$33,2,False)</f>
        <v>#N/A</v>
      </c>
      <c r="G706" s="37">
        <f>if(ISNA(vlookup($A706, Sleeper!$B$2:$E$330, 4, false)), 0, vlookup($A706, Sleeper!$B$2:$E$330, 4, false))</f>
        <v>0</v>
      </c>
      <c r="H706" s="37">
        <f>if(ISNA(vlookup($A706, ESPN!$B$2:$E$297, 4, false)), 0, vlookup($A706, ESPN!$B$2:$E$297, 4, false))</f>
        <v>0</v>
      </c>
      <c r="I706" s="37">
        <f>if(ISNA(vlookup($A706,'Ultimate Draft Kit'!$B$2:$E$324,4, false)), 0, vlookup($A706,'Ultimate Draft Kit'!$B$2:$E$324, 4, false))</f>
        <v>0</v>
      </c>
      <c r="J706" s="38">
        <f>if(ISNA(vlookup($A706,Rotowire!$B$2:$E$1075,4, false)), 0, vlookup($A706,Rotowire!$B$2:$E$1075, 4, false))</f>
        <v>0</v>
      </c>
      <c r="K706" s="37">
        <f>if(ISNA(vlookup($A706, FantasyPro!$B$2:$E$341,4,false)),0,vlookup($A706,FantasyPro!$B$2:$E$341,4,false))</f>
        <v>0</v>
      </c>
      <c r="L706" s="37">
        <f>if(ISNA(vlookup($A706, FFToolbox!$B$2:$E$414, 4, false)), 0, vlookup($A706, FFToolbox!$B$2:$E$414, 4, false))</f>
        <v>0</v>
      </c>
      <c r="M706" s="39">
        <f t="shared" si="1"/>
        <v>0</v>
      </c>
      <c r="N706" s="39">
        <f t="shared" si="2"/>
        <v>0</v>
      </c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</row>
    <row r="707">
      <c r="A707" s="17" t="s">
        <v>1067</v>
      </c>
      <c r="B707" s="35" t="s">
        <v>1259</v>
      </c>
      <c r="C707" s="35" t="s">
        <v>1260</v>
      </c>
      <c r="D707" s="36" t="s">
        <v>262</v>
      </c>
      <c r="E707" s="36" t="s">
        <v>13</v>
      </c>
      <c r="F707" s="36" t="str">
        <f>vlookup(D707,'Team Bye List'!$A$1:$B$33,2,False)</f>
        <v>#N/A</v>
      </c>
      <c r="G707" s="37">
        <f>if(ISNA(vlookup($A707, Sleeper!$B$2:$E$330, 4, false)), 0, vlookup($A707, Sleeper!$B$2:$E$330, 4, false))</f>
        <v>0</v>
      </c>
      <c r="H707" s="37">
        <f>if(ISNA(vlookup($A707, ESPN!$B$2:$E$297, 4, false)), 0, vlookup($A707, ESPN!$B$2:$E$297, 4, false))</f>
        <v>0</v>
      </c>
      <c r="I707" s="37">
        <f>if(ISNA(vlookup($A707,'Ultimate Draft Kit'!$B$2:$E$324,4, false)), 0, vlookup($A707,'Ultimate Draft Kit'!$B$2:$E$324, 4, false))</f>
        <v>0</v>
      </c>
      <c r="J707" s="38">
        <f>if(ISNA(vlookup($A707,Rotowire!$B$2:$E$1075,4, false)), 0, vlookup($A707,Rotowire!$B$2:$E$1075, 4, false))</f>
        <v>0</v>
      </c>
      <c r="K707" s="37">
        <f>if(ISNA(vlookup($A707, FantasyPro!$B$2:$E$341,4,false)),0,vlookup($A707,FantasyPro!$B$2:$E$341,4,false))</f>
        <v>0</v>
      </c>
      <c r="L707" s="37">
        <f>if(ISNA(vlookup($A707, FFToolbox!$B$2:$E$414, 4, false)), 0, vlookup($A707, FFToolbox!$B$2:$E$414, 4, false))</f>
        <v>0</v>
      </c>
      <c r="M707" s="39">
        <f t="shared" si="1"/>
        <v>0</v>
      </c>
      <c r="N707" s="39">
        <f t="shared" si="2"/>
        <v>0</v>
      </c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</row>
    <row r="708">
      <c r="A708" s="17" t="s">
        <v>1068</v>
      </c>
      <c r="B708" s="35" t="s">
        <v>1259</v>
      </c>
      <c r="C708" s="35" t="s">
        <v>1260</v>
      </c>
      <c r="D708" s="36" t="s">
        <v>12</v>
      </c>
      <c r="E708" s="36" t="s">
        <v>13</v>
      </c>
      <c r="F708" s="36">
        <f>vlookup(D708,'Team Bye List'!$A$1:$B$33,2,False)</f>
        <v>8</v>
      </c>
      <c r="G708" s="37">
        <f>if(ISNA(vlookup($A708, Sleeper!$B$2:$E$330, 4, false)), 0, vlookup($A708, Sleeper!$B$2:$E$330, 4, false))</f>
        <v>0</v>
      </c>
      <c r="H708" s="37">
        <f>if(ISNA(vlookup($A708, ESPN!$B$2:$E$297, 4, false)), 0, vlookup($A708, ESPN!$B$2:$E$297, 4, false))</f>
        <v>0</v>
      </c>
      <c r="I708" s="37">
        <f>if(ISNA(vlookup($A708,'Ultimate Draft Kit'!$B$2:$E$324,4, false)), 0, vlookup($A708,'Ultimate Draft Kit'!$B$2:$E$324, 4, false))</f>
        <v>0</v>
      </c>
      <c r="J708" s="38">
        <f>if(ISNA(vlookup($A708,Rotowire!$B$2:$E$1075,4, false)), 0, vlookup($A708,Rotowire!$B$2:$E$1075, 4, false))</f>
        <v>0</v>
      </c>
      <c r="K708" s="37">
        <f>if(ISNA(vlookup($A708, FantasyPro!$B$2:$E$341,4,false)),0,vlookup($A708,FantasyPro!$B$2:$E$341,4,false))</f>
        <v>0</v>
      </c>
      <c r="L708" s="37">
        <f>if(ISNA(vlookup($A708, FFToolbox!$B$2:$E$414, 4, false)), 0, vlookup($A708, FFToolbox!$B$2:$E$414, 4, false))</f>
        <v>0</v>
      </c>
      <c r="M708" s="39">
        <f t="shared" si="1"/>
        <v>0</v>
      </c>
      <c r="N708" s="39">
        <f t="shared" si="2"/>
        <v>0</v>
      </c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</row>
    <row r="709">
      <c r="A709" s="17" t="s">
        <v>660</v>
      </c>
      <c r="B709" s="35" t="s">
        <v>1259</v>
      </c>
      <c r="C709" s="35" t="s">
        <v>1260</v>
      </c>
      <c r="D709" s="36" t="s">
        <v>119</v>
      </c>
      <c r="E709" s="36" t="s">
        <v>13</v>
      </c>
      <c r="F709" s="36">
        <f>vlookup(D709,'Team Bye List'!$A$1:$B$33,2,False)</f>
        <v>10</v>
      </c>
      <c r="G709" s="37">
        <f>if(ISNA(vlookup($A709, Sleeper!$B$2:$E$330, 4, false)), 0, vlookup($A709, Sleeper!$B$2:$E$330, 4, false))</f>
        <v>0</v>
      </c>
      <c r="H709" s="37">
        <f>if(ISNA(vlookup($A709, ESPN!$B$2:$E$297, 4, false)), 0, vlookup($A709, ESPN!$B$2:$E$297, 4, false))</f>
        <v>0</v>
      </c>
      <c r="I709" s="37">
        <f>if(ISNA(vlookup($A709,'Ultimate Draft Kit'!$B$2:$E$324,4, false)), 0, vlookup($A709,'Ultimate Draft Kit'!$B$2:$E$324, 4, false))</f>
        <v>0</v>
      </c>
      <c r="J709" s="38">
        <f>if(ISNA(vlookup($A709,Rotowire!$B$2:$E$1075,4, false)), 0, vlookup($A709,Rotowire!$B$2:$E$1075, 4, false))</f>
        <v>0</v>
      </c>
      <c r="K709" s="37">
        <f>if(ISNA(vlookup($A709, FantasyPro!$B$2:$E$341,4,false)),0,vlookup($A709,FantasyPro!$B$2:$E$341,4,false))</f>
        <v>0</v>
      </c>
      <c r="L709" s="37">
        <f>if(ISNA(vlookup($A709, FFToolbox!$B$2:$E$414, 4, false)), 0, vlookup($A709, FFToolbox!$B$2:$E$414, 4, false))</f>
        <v>0</v>
      </c>
      <c r="M709" s="39">
        <f t="shared" si="1"/>
        <v>0</v>
      </c>
      <c r="N709" s="39">
        <f t="shared" si="2"/>
        <v>0</v>
      </c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</row>
    <row r="710">
      <c r="A710" s="17" t="s">
        <v>1069</v>
      </c>
      <c r="B710" s="35" t="s">
        <v>1259</v>
      </c>
      <c r="C710" s="35" t="s">
        <v>1260</v>
      </c>
      <c r="D710" s="36" t="s">
        <v>64</v>
      </c>
      <c r="E710" s="36" t="s">
        <v>13</v>
      </c>
      <c r="F710" s="36">
        <f>vlookup(D710,'Team Bye List'!$A$1:$B$33,2,False)</f>
        <v>7</v>
      </c>
      <c r="G710" s="37">
        <f>if(ISNA(vlookup($A710, Sleeper!$B$2:$E$330, 4, false)), 0, vlookup($A710, Sleeper!$B$2:$E$330, 4, false))</f>
        <v>0</v>
      </c>
      <c r="H710" s="37">
        <f>if(ISNA(vlookup($A710, ESPN!$B$2:$E$297, 4, false)), 0, vlookup($A710, ESPN!$B$2:$E$297, 4, false))</f>
        <v>0</v>
      </c>
      <c r="I710" s="37">
        <f>if(ISNA(vlookup($A710,'Ultimate Draft Kit'!$B$2:$E$324,4, false)), 0, vlookup($A710,'Ultimate Draft Kit'!$B$2:$E$324, 4, false))</f>
        <v>0</v>
      </c>
      <c r="J710" s="38">
        <f>if(ISNA(vlookup($A710,Rotowire!$B$2:$E$1075,4, false)), 0, vlookup($A710,Rotowire!$B$2:$E$1075, 4, false))</f>
        <v>0</v>
      </c>
      <c r="K710" s="37">
        <f>if(ISNA(vlookup($A710, FantasyPro!$B$2:$E$341,4,false)),0,vlookup($A710,FantasyPro!$B$2:$E$341,4,false))</f>
        <v>0</v>
      </c>
      <c r="L710" s="37">
        <f>if(ISNA(vlookup($A710, FFToolbox!$B$2:$E$414, 4, false)), 0, vlookup($A710, FFToolbox!$B$2:$E$414, 4, false))</f>
        <v>0</v>
      </c>
      <c r="M710" s="39">
        <f t="shared" si="1"/>
        <v>0</v>
      </c>
      <c r="N710" s="39">
        <f t="shared" si="2"/>
        <v>0</v>
      </c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</row>
    <row r="711">
      <c r="A711" s="17" t="s">
        <v>1070</v>
      </c>
      <c r="B711" s="35" t="s">
        <v>1259</v>
      </c>
      <c r="C711" s="35" t="s">
        <v>1260</v>
      </c>
      <c r="D711" s="36" t="s">
        <v>262</v>
      </c>
      <c r="E711" s="36" t="s">
        <v>13</v>
      </c>
      <c r="F711" s="36" t="str">
        <f>vlookup(D711,'Team Bye List'!$A$1:$B$33,2,False)</f>
        <v>#N/A</v>
      </c>
      <c r="G711" s="37">
        <f>if(ISNA(vlookup($A711, Sleeper!$B$2:$E$330, 4, false)), 0, vlookup($A711, Sleeper!$B$2:$E$330, 4, false))</f>
        <v>0</v>
      </c>
      <c r="H711" s="37">
        <f>if(ISNA(vlookup($A711, ESPN!$B$2:$E$297, 4, false)), 0, vlookup($A711, ESPN!$B$2:$E$297, 4, false))</f>
        <v>0</v>
      </c>
      <c r="I711" s="37">
        <f>if(ISNA(vlookup($A711,'Ultimate Draft Kit'!$B$2:$E$324,4, false)), 0, vlookup($A711,'Ultimate Draft Kit'!$B$2:$E$324, 4, false))</f>
        <v>0</v>
      </c>
      <c r="J711" s="38">
        <f>if(ISNA(vlookup($A711,Rotowire!$B$2:$E$1075,4, false)), 0, vlookup($A711,Rotowire!$B$2:$E$1075, 4, false))</f>
        <v>0</v>
      </c>
      <c r="K711" s="37">
        <f>if(ISNA(vlookup($A711, FantasyPro!$B$2:$E$341,4,false)),0,vlookup($A711,FantasyPro!$B$2:$E$341,4,false))</f>
        <v>0</v>
      </c>
      <c r="L711" s="37">
        <f>if(ISNA(vlookup($A711, FFToolbox!$B$2:$E$414, 4, false)), 0, vlookup($A711, FFToolbox!$B$2:$E$414, 4, false))</f>
        <v>0</v>
      </c>
      <c r="M711" s="39">
        <f t="shared" si="1"/>
        <v>0</v>
      </c>
      <c r="N711" s="39">
        <f t="shared" si="2"/>
        <v>0</v>
      </c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</row>
    <row r="712">
      <c r="A712" s="17" t="s">
        <v>658</v>
      </c>
      <c r="B712" s="35" t="s">
        <v>1259</v>
      </c>
      <c r="C712" s="35" t="s">
        <v>1260</v>
      </c>
      <c r="D712" s="36" t="s">
        <v>66</v>
      </c>
      <c r="E712" s="36" t="s">
        <v>13</v>
      </c>
      <c r="F712" s="36">
        <f>vlookup(D712,'Team Bye List'!$A$1:$B$33,2,False)</f>
        <v>9</v>
      </c>
      <c r="G712" s="37">
        <f>if(ISNA(vlookup($A712, Sleeper!$B$2:$E$330, 4, false)), 0, vlookup($A712, Sleeper!$B$2:$E$330, 4, false))</f>
        <v>0</v>
      </c>
      <c r="H712" s="37">
        <f>if(ISNA(vlookup($A712, ESPN!$B$2:$E$297, 4, false)), 0, vlookup($A712, ESPN!$B$2:$E$297, 4, false))</f>
        <v>0</v>
      </c>
      <c r="I712" s="37">
        <f>if(ISNA(vlookup($A712,'Ultimate Draft Kit'!$B$2:$E$324,4, false)), 0, vlookup($A712,'Ultimate Draft Kit'!$B$2:$E$324, 4, false))</f>
        <v>0</v>
      </c>
      <c r="J712" s="38">
        <f>if(ISNA(vlookup($A712,Rotowire!$B$2:$E$1075,4, false)), 0, vlookup($A712,Rotowire!$B$2:$E$1075, 4, false))</f>
        <v>0</v>
      </c>
      <c r="K712" s="37">
        <f>if(ISNA(vlookup($A712, FantasyPro!$B$2:$E$341,4,false)),0,vlookup($A712,FantasyPro!$B$2:$E$341,4,false))</f>
        <v>0</v>
      </c>
      <c r="L712" s="37">
        <f>if(ISNA(vlookup($A712, FFToolbox!$B$2:$E$414, 4, false)), 0, vlookup($A712, FFToolbox!$B$2:$E$414, 4, false))</f>
        <v>0</v>
      </c>
      <c r="M712" s="39">
        <f t="shared" si="1"/>
        <v>0</v>
      </c>
      <c r="N712" s="39">
        <f t="shared" si="2"/>
        <v>0</v>
      </c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</row>
    <row r="713">
      <c r="A713" s="17" t="s">
        <v>1071</v>
      </c>
      <c r="B713" s="35" t="s">
        <v>1259</v>
      </c>
      <c r="C713" s="35" t="s">
        <v>1260</v>
      </c>
      <c r="D713" s="36" t="s">
        <v>43</v>
      </c>
      <c r="E713" s="36" t="s">
        <v>13</v>
      </c>
      <c r="F713" s="36">
        <f>vlookup(D713,'Team Bye List'!$A$1:$B$33,2,False)</f>
        <v>9</v>
      </c>
      <c r="G713" s="37">
        <f>if(ISNA(vlookup($A713, Sleeper!$B$2:$E$330, 4, false)), 0, vlookup($A713, Sleeper!$B$2:$E$330, 4, false))</f>
        <v>0</v>
      </c>
      <c r="H713" s="37">
        <f>if(ISNA(vlookup($A713, ESPN!$B$2:$E$297, 4, false)), 0, vlookup($A713, ESPN!$B$2:$E$297, 4, false))</f>
        <v>0</v>
      </c>
      <c r="I713" s="37">
        <f>if(ISNA(vlookup($A713,'Ultimate Draft Kit'!$B$2:$E$324,4, false)), 0, vlookup($A713,'Ultimate Draft Kit'!$B$2:$E$324, 4, false))</f>
        <v>0</v>
      </c>
      <c r="J713" s="38">
        <f>if(ISNA(vlookup($A713,Rotowire!$B$2:$E$1075,4, false)), 0, vlookup($A713,Rotowire!$B$2:$E$1075, 4, false))</f>
        <v>0</v>
      </c>
      <c r="K713" s="37">
        <f>if(ISNA(vlookup($A713, FantasyPro!$B$2:$E$341,4,false)),0,vlookup($A713,FantasyPro!$B$2:$E$341,4,false))</f>
        <v>0</v>
      </c>
      <c r="L713" s="37">
        <f>if(ISNA(vlookup($A713, FFToolbox!$B$2:$E$414, 4, false)), 0, vlookup($A713, FFToolbox!$B$2:$E$414, 4, false))</f>
        <v>0</v>
      </c>
      <c r="M713" s="39">
        <f t="shared" si="1"/>
        <v>0</v>
      </c>
      <c r="N713" s="39">
        <f t="shared" si="2"/>
        <v>0</v>
      </c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</row>
    <row r="714">
      <c r="A714" s="17" t="s">
        <v>1072</v>
      </c>
      <c r="B714" s="35" t="s">
        <v>1259</v>
      </c>
      <c r="C714" s="35" t="s">
        <v>1260</v>
      </c>
      <c r="D714" s="36" t="s">
        <v>85</v>
      </c>
      <c r="E714" s="36" t="s">
        <v>13</v>
      </c>
      <c r="F714" s="36">
        <f>vlookup(D714,'Team Bye List'!$A$1:$B$33,2,False)</f>
        <v>9</v>
      </c>
      <c r="G714" s="37">
        <f>if(ISNA(vlookup($A714, Sleeper!$B$2:$E$330, 4, false)), 0, vlookup($A714, Sleeper!$B$2:$E$330, 4, false))</f>
        <v>0</v>
      </c>
      <c r="H714" s="37">
        <f>if(ISNA(vlookup($A714, ESPN!$B$2:$E$297, 4, false)), 0, vlookup($A714, ESPN!$B$2:$E$297, 4, false))</f>
        <v>0</v>
      </c>
      <c r="I714" s="37">
        <f>if(ISNA(vlookup($A714,'Ultimate Draft Kit'!$B$2:$E$324,4, false)), 0, vlookup($A714,'Ultimate Draft Kit'!$B$2:$E$324, 4, false))</f>
        <v>0</v>
      </c>
      <c r="J714" s="38">
        <f>if(ISNA(vlookup($A714,Rotowire!$B$2:$E$1075,4, false)), 0, vlookup($A714,Rotowire!$B$2:$E$1075, 4, false))</f>
        <v>0</v>
      </c>
      <c r="K714" s="37">
        <f>if(ISNA(vlookup($A714, FantasyPro!$B$2:$E$341,4,false)),0,vlookup($A714,FantasyPro!$B$2:$E$341,4,false))</f>
        <v>0</v>
      </c>
      <c r="L714" s="37">
        <f>if(ISNA(vlookup($A714, FFToolbox!$B$2:$E$414, 4, false)), 0, vlookup($A714, FFToolbox!$B$2:$E$414, 4, false))</f>
        <v>0</v>
      </c>
      <c r="M714" s="39">
        <f t="shared" si="1"/>
        <v>0</v>
      </c>
      <c r="N714" s="39">
        <f t="shared" si="2"/>
        <v>0</v>
      </c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</row>
    <row r="715">
      <c r="A715" s="17" t="s">
        <v>1073</v>
      </c>
      <c r="B715" s="35" t="s">
        <v>1259</v>
      </c>
      <c r="C715" s="35" t="s">
        <v>1260</v>
      </c>
      <c r="D715" s="36" t="s">
        <v>15</v>
      </c>
      <c r="E715" s="36" t="s">
        <v>13</v>
      </c>
      <c r="F715" s="36">
        <f>vlookup(D715,'Team Bye List'!$A$1:$B$33,2,False)</f>
        <v>6</v>
      </c>
      <c r="G715" s="37">
        <f>if(ISNA(vlookup($A715, Sleeper!$B$2:$E$330, 4, false)), 0, vlookup($A715, Sleeper!$B$2:$E$330, 4, false))</f>
        <v>0</v>
      </c>
      <c r="H715" s="37">
        <f>if(ISNA(vlookup($A715, ESPN!$B$2:$E$297, 4, false)), 0, vlookup($A715, ESPN!$B$2:$E$297, 4, false))</f>
        <v>0</v>
      </c>
      <c r="I715" s="37">
        <f>if(ISNA(vlookup($A715,'Ultimate Draft Kit'!$B$2:$E$324,4, false)), 0, vlookup($A715,'Ultimate Draft Kit'!$B$2:$E$324, 4, false))</f>
        <v>0</v>
      </c>
      <c r="J715" s="38">
        <f>if(ISNA(vlookup($A715,Rotowire!$B$2:$E$1075,4, false)), 0, vlookup($A715,Rotowire!$B$2:$E$1075, 4, false))</f>
        <v>0</v>
      </c>
      <c r="K715" s="37">
        <f>if(ISNA(vlookup($A715, FantasyPro!$B$2:$E$341,4,false)),0,vlookup($A715,FantasyPro!$B$2:$E$341,4,false))</f>
        <v>0</v>
      </c>
      <c r="L715" s="37">
        <f>if(ISNA(vlookup($A715, FFToolbox!$B$2:$E$414, 4, false)), 0, vlookup($A715, FFToolbox!$B$2:$E$414, 4, false))</f>
        <v>0</v>
      </c>
      <c r="M715" s="39">
        <f t="shared" si="1"/>
        <v>0</v>
      </c>
      <c r="N715" s="39">
        <f t="shared" si="2"/>
        <v>0</v>
      </c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</row>
    <row r="716">
      <c r="A716" s="17" t="s">
        <v>1074</v>
      </c>
      <c r="B716" s="35" t="s">
        <v>1259</v>
      </c>
      <c r="C716" s="35" t="s">
        <v>1260</v>
      </c>
      <c r="D716" s="36" t="s">
        <v>81</v>
      </c>
      <c r="E716" s="36" t="s">
        <v>13</v>
      </c>
      <c r="F716" s="36">
        <f>vlookup(D716,'Team Bye List'!$A$1:$B$33,2,False)</f>
        <v>6</v>
      </c>
      <c r="G716" s="37">
        <f>if(ISNA(vlookup($A716, Sleeper!$B$2:$E$330, 4, false)), 0, vlookup($A716, Sleeper!$B$2:$E$330, 4, false))</f>
        <v>0</v>
      </c>
      <c r="H716" s="37">
        <f>if(ISNA(vlookup($A716, ESPN!$B$2:$E$297, 4, false)), 0, vlookup($A716, ESPN!$B$2:$E$297, 4, false))</f>
        <v>0</v>
      </c>
      <c r="I716" s="37">
        <f>if(ISNA(vlookup($A716,'Ultimate Draft Kit'!$B$2:$E$324,4, false)), 0, vlookup($A716,'Ultimate Draft Kit'!$B$2:$E$324, 4, false))</f>
        <v>0</v>
      </c>
      <c r="J716" s="38">
        <f>if(ISNA(vlookup($A716,Rotowire!$B$2:$E$1075,4, false)), 0, vlookup($A716,Rotowire!$B$2:$E$1075, 4, false))</f>
        <v>0</v>
      </c>
      <c r="K716" s="37">
        <f>if(ISNA(vlookup($A716, FantasyPro!$B$2:$E$341,4,false)),0,vlookup($A716,FantasyPro!$B$2:$E$341,4,false))</f>
        <v>0</v>
      </c>
      <c r="L716" s="37">
        <f>if(ISNA(vlookup($A716, FFToolbox!$B$2:$E$414, 4, false)), 0, vlookup($A716, FFToolbox!$B$2:$E$414, 4, false))</f>
        <v>0</v>
      </c>
      <c r="M716" s="39">
        <f t="shared" si="1"/>
        <v>0</v>
      </c>
      <c r="N716" s="39">
        <f t="shared" si="2"/>
        <v>0</v>
      </c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</row>
    <row r="717">
      <c r="A717" s="17" t="s">
        <v>646</v>
      </c>
      <c r="B717" s="35" t="s">
        <v>1259</v>
      </c>
      <c r="C717" s="35" t="s">
        <v>1260</v>
      </c>
      <c r="D717" s="36" t="s">
        <v>47</v>
      </c>
      <c r="E717" s="36" t="s">
        <v>13</v>
      </c>
      <c r="F717" s="36">
        <f>vlookup(D717,'Team Bye List'!$A$1:$B$33,2,False)</f>
        <v>14</v>
      </c>
      <c r="G717" s="37">
        <f>if(ISNA(vlookup($A717, Sleeper!$B$2:$E$330, 4, false)), 0, vlookup($A717, Sleeper!$B$2:$E$330, 4, false))</f>
        <v>0</v>
      </c>
      <c r="H717" s="37">
        <f>if(ISNA(vlookup($A717, ESPN!$B$2:$E$297, 4, false)), 0, vlookup($A717, ESPN!$B$2:$E$297, 4, false))</f>
        <v>0</v>
      </c>
      <c r="I717" s="37">
        <f>if(ISNA(vlookup($A717,'Ultimate Draft Kit'!$B$2:$E$324,4, false)), 0, vlookup($A717,'Ultimate Draft Kit'!$B$2:$E$324, 4, false))</f>
        <v>0</v>
      </c>
      <c r="J717" s="38">
        <f>if(ISNA(vlookup($A717,Rotowire!$B$2:$E$1075,4, false)), 0, vlookup($A717,Rotowire!$B$2:$E$1075, 4, false))</f>
        <v>0</v>
      </c>
      <c r="K717" s="37">
        <f>if(ISNA(vlookup($A717, FantasyPro!$B$2:$E$341,4,false)),0,vlookup($A717,FantasyPro!$B$2:$E$341,4,false))</f>
        <v>0</v>
      </c>
      <c r="L717" s="37">
        <f>if(ISNA(vlookup($A717, FFToolbox!$B$2:$E$414, 4, false)), 0, vlookup($A717, FFToolbox!$B$2:$E$414, 4, false))</f>
        <v>0</v>
      </c>
      <c r="M717" s="39">
        <f t="shared" si="1"/>
        <v>0</v>
      </c>
      <c r="N717" s="39">
        <f t="shared" si="2"/>
        <v>0</v>
      </c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</row>
    <row r="718">
      <c r="A718" s="17" t="s">
        <v>1075</v>
      </c>
      <c r="B718" s="35" t="s">
        <v>1259</v>
      </c>
      <c r="C718" s="35" t="s">
        <v>1260</v>
      </c>
      <c r="D718" s="36" t="s">
        <v>17</v>
      </c>
      <c r="E718" s="36" t="s">
        <v>13</v>
      </c>
      <c r="F718" s="36">
        <f>vlookup(D718,'Team Bye List'!$A$1:$B$33,2,False)</f>
        <v>7</v>
      </c>
      <c r="G718" s="37">
        <f>if(ISNA(vlookup($A718, Sleeper!$B$2:$E$330, 4, false)), 0, vlookup($A718, Sleeper!$B$2:$E$330, 4, false))</f>
        <v>0</v>
      </c>
      <c r="H718" s="37">
        <f>if(ISNA(vlookup($A718, ESPN!$B$2:$E$297, 4, false)), 0, vlookup($A718, ESPN!$B$2:$E$297, 4, false))</f>
        <v>0</v>
      </c>
      <c r="I718" s="37">
        <f>if(ISNA(vlookup($A718,'Ultimate Draft Kit'!$B$2:$E$324,4, false)), 0, vlookup($A718,'Ultimate Draft Kit'!$B$2:$E$324, 4, false))</f>
        <v>0</v>
      </c>
      <c r="J718" s="38">
        <f>if(ISNA(vlookup($A718,Rotowire!$B$2:$E$1075,4, false)), 0, vlookup($A718,Rotowire!$B$2:$E$1075, 4, false))</f>
        <v>0</v>
      </c>
      <c r="K718" s="37">
        <f>if(ISNA(vlookup($A718, FantasyPro!$B$2:$E$341,4,false)),0,vlookup($A718,FantasyPro!$B$2:$E$341,4,false))</f>
        <v>0</v>
      </c>
      <c r="L718" s="37">
        <f>if(ISNA(vlookup($A718, FFToolbox!$B$2:$E$414, 4, false)), 0, vlookup($A718, FFToolbox!$B$2:$E$414, 4, false))</f>
        <v>0</v>
      </c>
      <c r="M718" s="39">
        <f t="shared" si="1"/>
        <v>0</v>
      </c>
      <c r="N718" s="39">
        <f t="shared" si="2"/>
        <v>0</v>
      </c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</row>
    <row r="719">
      <c r="A719" s="17" t="s">
        <v>1076</v>
      </c>
      <c r="B719" s="35" t="s">
        <v>1259</v>
      </c>
      <c r="C719" s="35" t="s">
        <v>1260</v>
      </c>
      <c r="D719" s="36" t="s">
        <v>89</v>
      </c>
      <c r="E719" s="36" t="s">
        <v>13</v>
      </c>
      <c r="F719" s="36">
        <f>vlookup(D719,'Team Bye List'!$A$1:$B$33,2,False)</f>
        <v>14</v>
      </c>
      <c r="G719" s="37">
        <f>if(ISNA(vlookup($A719, Sleeper!$B$2:$E$330, 4, false)), 0, vlookup($A719, Sleeper!$B$2:$E$330, 4, false))</f>
        <v>0</v>
      </c>
      <c r="H719" s="37">
        <f>if(ISNA(vlookup($A719, ESPN!$B$2:$E$297, 4, false)), 0, vlookup($A719, ESPN!$B$2:$E$297, 4, false))</f>
        <v>0</v>
      </c>
      <c r="I719" s="37">
        <f>if(ISNA(vlookup($A719,'Ultimate Draft Kit'!$B$2:$E$324,4, false)), 0, vlookup($A719,'Ultimate Draft Kit'!$B$2:$E$324, 4, false))</f>
        <v>0</v>
      </c>
      <c r="J719" s="38">
        <f>if(ISNA(vlookup($A719,Rotowire!$B$2:$E$1075,4, false)), 0, vlookup($A719,Rotowire!$B$2:$E$1075, 4, false))</f>
        <v>0</v>
      </c>
      <c r="K719" s="37">
        <f>if(ISNA(vlookup($A719, FantasyPro!$B$2:$E$341,4,false)),0,vlookup($A719,FantasyPro!$B$2:$E$341,4,false))</f>
        <v>0</v>
      </c>
      <c r="L719" s="37">
        <f>if(ISNA(vlookup($A719, FFToolbox!$B$2:$E$414, 4, false)), 0, vlookup($A719, FFToolbox!$B$2:$E$414, 4, false))</f>
        <v>0</v>
      </c>
      <c r="M719" s="39">
        <f t="shared" si="1"/>
        <v>0</v>
      </c>
      <c r="N719" s="39">
        <f t="shared" si="2"/>
        <v>0</v>
      </c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</row>
    <row r="720">
      <c r="A720" s="17" t="s">
        <v>1077</v>
      </c>
      <c r="B720" s="35" t="s">
        <v>1259</v>
      </c>
      <c r="C720" s="35" t="s">
        <v>1260</v>
      </c>
      <c r="D720" s="36" t="s">
        <v>85</v>
      </c>
      <c r="E720" s="36" t="s">
        <v>13</v>
      </c>
      <c r="F720" s="36">
        <f>vlookup(D720,'Team Bye List'!$A$1:$B$33,2,False)</f>
        <v>9</v>
      </c>
      <c r="G720" s="37">
        <f>if(ISNA(vlookup($A720, Sleeper!$B$2:$E$330, 4, false)), 0, vlookup($A720, Sleeper!$B$2:$E$330, 4, false))</f>
        <v>0</v>
      </c>
      <c r="H720" s="37">
        <f>if(ISNA(vlookup($A720, ESPN!$B$2:$E$297, 4, false)), 0, vlookup($A720, ESPN!$B$2:$E$297, 4, false))</f>
        <v>0</v>
      </c>
      <c r="I720" s="37">
        <f>if(ISNA(vlookup($A720,'Ultimate Draft Kit'!$B$2:$E$324,4, false)), 0, vlookup($A720,'Ultimate Draft Kit'!$B$2:$E$324, 4, false))</f>
        <v>0</v>
      </c>
      <c r="J720" s="38">
        <f>if(ISNA(vlookup($A720,Rotowire!$B$2:$E$1075,4, false)), 0, vlookup($A720,Rotowire!$B$2:$E$1075, 4, false))</f>
        <v>0</v>
      </c>
      <c r="K720" s="37">
        <f>if(ISNA(vlookup($A720, FantasyPro!$B$2:$E$341,4,false)),0,vlookup($A720,FantasyPro!$B$2:$E$341,4,false))</f>
        <v>0</v>
      </c>
      <c r="L720" s="37">
        <f>if(ISNA(vlookup($A720, FFToolbox!$B$2:$E$414, 4, false)), 0, vlookup($A720, FFToolbox!$B$2:$E$414, 4, false))</f>
        <v>0</v>
      </c>
      <c r="M720" s="39">
        <f t="shared" si="1"/>
        <v>0</v>
      </c>
      <c r="N720" s="39">
        <f t="shared" si="2"/>
        <v>0</v>
      </c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</row>
    <row r="721">
      <c r="A721" s="17" t="s">
        <v>1078</v>
      </c>
      <c r="B721" s="35" t="s">
        <v>1259</v>
      </c>
      <c r="C721" s="35" t="s">
        <v>1260</v>
      </c>
      <c r="D721" s="36" t="s">
        <v>262</v>
      </c>
      <c r="E721" s="36" t="s">
        <v>13</v>
      </c>
      <c r="F721" s="36" t="str">
        <f>vlookup(D721,'Team Bye List'!$A$1:$B$33,2,False)</f>
        <v>#N/A</v>
      </c>
      <c r="G721" s="37">
        <f>if(ISNA(vlookup($A721, Sleeper!$B$2:$E$330, 4, false)), 0, vlookup($A721, Sleeper!$B$2:$E$330, 4, false))</f>
        <v>0</v>
      </c>
      <c r="H721" s="37">
        <f>if(ISNA(vlookup($A721, ESPN!$B$2:$E$297, 4, false)), 0, vlookup($A721, ESPN!$B$2:$E$297, 4, false))</f>
        <v>0</v>
      </c>
      <c r="I721" s="37">
        <f>if(ISNA(vlookup($A721,'Ultimate Draft Kit'!$B$2:$E$324,4, false)), 0, vlookup($A721,'Ultimate Draft Kit'!$B$2:$E$324, 4, false))</f>
        <v>0</v>
      </c>
      <c r="J721" s="38">
        <f>if(ISNA(vlookup($A721,Rotowire!$B$2:$E$1075,4, false)), 0, vlookup($A721,Rotowire!$B$2:$E$1075, 4, false))</f>
        <v>0</v>
      </c>
      <c r="K721" s="37">
        <f>if(ISNA(vlookup($A721, FantasyPro!$B$2:$E$341,4,false)),0,vlookup($A721,FantasyPro!$B$2:$E$341,4,false))</f>
        <v>0</v>
      </c>
      <c r="L721" s="37">
        <f>if(ISNA(vlookup($A721, FFToolbox!$B$2:$E$414, 4, false)), 0, vlookup($A721, FFToolbox!$B$2:$E$414, 4, false))</f>
        <v>0</v>
      </c>
      <c r="M721" s="39">
        <f t="shared" si="1"/>
        <v>0</v>
      </c>
      <c r="N721" s="39">
        <f t="shared" si="2"/>
        <v>0</v>
      </c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</row>
    <row r="722">
      <c r="A722" s="17" t="s">
        <v>1079</v>
      </c>
      <c r="B722" s="35" t="s">
        <v>1259</v>
      </c>
      <c r="C722" s="35" t="s">
        <v>1260</v>
      </c>
      <c r="D722" s="36" t="s">
        <v>19</v>
      </c>
      <c r="E722" s="36" t="s">
        <v>13</v>
      </c>
      <c r="F722" s="36">
        <f>vlookup(D722,'Team Bye List'!$A$1:$B$33,2,False)</f>
        <v>10</v>
      </c>
      <c r="G722" s="37">
        <f>if(ISNA(vlookup($A722, Sleeper!$B$2:$E$330, 4, false)), 0, vlookup($A722, Sleeper!$B$2:$E$330, 4, false))</f>
        <v>0</v>
      </c>
      <c r="H722" s="37">
        <f>if(ISNA(vlookup($A722, ESPN!$B$2:$E$297, 4, false)), 0, vlookup($A722, ESPN!$B$2:$E$297, 4, false))</f>
        <v>0</v>
      </c>
      <c r="I722" s="37">
        <f>if(ISNA(vlookup($A722,'Ultimate Draft Kit'!$B$2:$E$324,4, false)), 0, vlookup($A722,'Ultimate Draft Kit'!$B$2:$E$324, 4, false))</f>
        <v>0</v>
      </c>
      <c r="J722" s="38">
        <f>if(ISNA(vlookup($A722,Rotowire!$B$2:$E$1075,4, false)), 0, vlookup($A722,Rotowire!$B$2:$E$1075, 4, false))</f>
        <v>0</v>
      </c>
      <c r="K722" s="37">
        <f>if(ISNA(vlookup($A722, FantasyPro!$B$2:$E$341,4,false)),0,vlookup($A722,FantasyPro!$B$2:$E$341,4,false))</f>
        <v>0</v>
      </c>
      <c r="L722" s="37">
        <f>if(ISNA(vlookup($A722, FFToolbox!$B$2:$E$414, 4, false)), 0, vlookup($A722, FFToolbox!$B$2:$E$414, 4, false))</f>
        <v>0</v>
      </c>
      <c r="M722" s="39">
        <f t="shared" si="1"/>
        <v>0</v>
      </c>
      <c r="N722" s="39">
        <f t="shared" si="2"/>
        <v>0</v>
      </c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</row>
    <row r="723">
      <c r="A723" s="17" t="s">
        <v>1080</v>
      </c>
      <c r="B723" s="35" t="s">
        <v>1259</v>
      </c>
      <c r="C723" s="35" t="s">
        <v>1260</v>
      </c>
      <c r="D723" s="36" t="s">
        <v>262</v>
      </c>
      <c r="E723" s="36" t="s">
        <v>13</v>
      </c>
      <c r="F723" s="36" t="str">
        <f>vlookup(D723,'Team Bye List'!$A$1:$B$33,2,False)</f>
        <v>#N/A</v>
      </c>
      <c r="G723" s="37">
        <f>if(ISNA(vlookup($A723, Sleeper!$B$2:$E$330, 4, false)), 0, vlookup($A723, Sleeper!$B$2:$E$330, 4, false))</f>
        <v>0</v>
      </c>
      <c r="H723" s="37">
        <f>if(ISNA(vlookup($A723, ESPN!$B$2:$E$297, 4, false)), 0, vlookup($A723, ESPN!$B$2:$E$297, 4, false))</f>
        <v>0</v>
      </c>
      <c r="I723" s="37">
        <f>if(ISNA(vlookup($A723,'Ultimate Draft Kit'!$B$2:$E$324,4, false)), 0, vlookup($A723,'Ultimate Draft Kit'!$B$2:$E$324, 4, false))</f>
        <v>0</v>
      </c>
      <c r="J723" s="38">
        <f>if(ISNA(vlookup($A723,Rotowire!$B$2:$E$1075,4, false)), 0, vlookup($A723,Rotowire!$B$2:$E$1075, 4, false))</f>
        <v>0</v>
      </c>
      <c r="K723" s="37">
        <f>if(ISNA(vlookup($A723, FantasyPro!$B$2:$E$341,4,false)),0,vlookup($A723,FantasyPro!$B$2:$E$341,4,false))</f>
        <v>0</v>
      </c>
      <c r="L723" s="37">
        <f>if(ISNA(vlookup($A723, FFToolbox!$B$2:$E$414, 4, false)), 0, vlookup($A723, FFToolbox!$B$2:$E$414, 4, false))</f>
        <v>0</v>
      </c>
      <c r="M723" s="39">
        <f t="shared" si="1"/>
        <v>0</v>
      </c>
      <c r="N723" s="39">
        <f t="shared" si="2"/>
        <v>0</v>
      </c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</row>
    <row r="724">
      <c r="A724" s="17" t="s">
        <v>1081</v>
      </c>
      <c r="B724" s="35" t="s">
        <v>1259</v>
      </c>
      <c r="C724" s="35" t="s">
        <v>1260</v>
      </c>
      <c r="D724" s="36" t="s">
        <v>262</v>
      </c>
      <c r="E724" s="36" t="s">
        <v>13</v>
      </c>
      <c r="F724" s="36" t="str">
        <f>vlookup(D724,'Team Bye List'!$A$1:$B$33,2,False)</f>
        <v>#N/A</v>
      </c>
      <c r="G724" s="37">
        <f>if(ISNA(vlookup($A724, Sleeper!$B$2:$E$330, 4, false)), 0, vlookup($A724, Sleeper!$B$2:$E$330, 4, false))</f>
        <v>0</v>
      </c>
      <c r="H724" s="37">
        <f>if(ISNA(vlookup($A724, ESPN!$B$2:$E$297, 4, false)), 0, vlookup($A724, ESPN!$B$2:$E$297, 4, false))</f>
        <v>0</v>
      </c>
      <c r="I724" s="37">
        <f>if(ISNA(vlookup($A724,'Ultimate Draft Kit'!$B$2:$E$324,4, false)), 0, vlookup($A724,'Ultimate Draft Kit'!$B$2:$E$324, 4, false))</f>
        <v>0</v>
      </c>
      <c r="J724" s="38">
        <f>if(ISNA(vlookup($A724,Rotowire!$B$2:$E$1075,4, false)), 0, vlookup($A724,Rotowire!$B$2:$E$1075, 4, false))</f>
        <v>0</v>
      </c>
      <c r="K724" s="37">
        <f>if(ISNA(vlookup($A724, FantasyPro!$B$2:$E$341,4,false)),0,vlookup($A724,FantasyPro!$B$2:$E$341,4,false))</f>
        <v>0</v>
      </c>
      <c r="L724" s="37">
        <f>if(ISNA(vlookup($A724, FFToolbox!$B$2:$E$414, 4, false)), 0, vlookup($A724, FFToolbox!$B$2:$E$414, 4, false))</f>
        <v>0</v>
      </c>
      <c r="M724" s="39">
        <f t="shared" si="1"/>
        <v>0</v>
      </c>
      <c r="N724" s="39">
        <f t="shared" si="2"/>
        <v>0</v>
      </c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</row>
    <row r="725">
      <c r="A725" s="17" t="s">
        <v>1082</v>
      </c>
      <c r="B725" s="35" t="s">
        <v>1259</v>
      </c>
      <c r="C725" s="35" t="s">
        <v>1260</v>
      </c>
      <c r="D725" s="36" t="s">
        <v>262</v>
      </c>
      <c r="E725" s="36" t="s">
        <v>13</v>
      </c>
      <c r="F725" s="36" t="str">
        <f>vlookup(D725,'Team Bye List'!$A$1:$B$33,2,False)</f>
        <v>#N/A</v>
      </c>
      <c r="G725" s="37">
        <f>if(ISNA(vlookup($A725, Sleeper!$B$2:$E$330, 4, false)), 0, vlookup($A725, Sleeper!$B$2:$E$330, 4, false))</f>
        <v>0</v>
      </c>
      <c r="H725" s="37">
        <f>if(ISNA(vlookup($A725, ESPN!$B$2:$E$297, 4, false)), 0, vlookup($A725, ESPN!$B$2:$E$297, 4, false))</f>
        <v>0</v>
      </c>
      <c r="I725" s="37">
        <f>if(ISNA(vlookup($A725,'Ultimate Draft Kit'!$B$2:$E$324,4, false)), 0, vlookup($A725,'Ultimate Draft Kit'!$B$2:$E$324, 4, false))</f>
        <v>0</v>
      </c>
      <c r="J725" s="38">
        <f>if(ISNA(vlookup($A725,Rotowire!$B$2:$E$1075,4, false)), 0, vlookup($A725,Rotowire!$B$2:$E$1075, 4, false))</f>
        <v>0</v>
      </c>
      <c r="K725" s="37">
        <f>if(ISNA(vlookup($A725, FantasyPro!$B$2:$E$341,4,false)),0,vlookup($A725,FantasyPro!$B$2:$E$341,4,false))</f>
        <v>0</v>
      </c>
      <c r="L725" s="37">
        <f>if(ISNA(vlookup($A725, FFToolbox!$B$2:$E$414, 4, false)), 0, vlookup($A725, FFToolbox!$B$2:$E$414, 4, false))</f>
        <v>0</v>
      </c>
      <c r="M725" s="39">
        <f t="shared" si="1"/>
        <v>0</v>
      </c>
      <c r="N725" s="39">
        <f t="shared" si="2"/>
        <v>0</v>
      </c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</row>
    <row r="726">
      <c r="A726" s="17" t="s">
        <v>1083</v>
      </c>
      <c r="B726" s="35" t="s">
        <v>1259</v>
      </c>
      <c r="C726" s="35" t="s">
        <v>1260</v>
      </c>
      <c r="D726" s="36" t="s">
        <v>64</v>
      </c>
      <c r="E726" s="36" t="s">
        <v>13</v>
      </c>
      <c r="F726" s="36">
        <f>vlookup(D726,'Team Bye List'!$A$1:$B$33,2,False)</f>
        <v>7</v>
      </c>
      <c r="G726" s="37">
        <f>if(ISNA(vlookup($A726, Sleeper!$B$2:$E$330, 4, false)), 0, vlookup($A726, Sleeper!$B$2:$E$330, 4, false))</f>
        <v>0</v>
      </c>
      <c r="H726" s="37">
        <f>if(ISNA(vlookup($A726, ESPN!$B$2:$E$297, 4, false)), 0, vlookup($A726, ESPN!$B$2:$E$297, 4, false))</f>
        <v>0</v>
      </c>
      <c r="I726" s="37">
        <f>if(ISNA(vlookup($A726,'Ultimate Draft Kit'!$B$2:$E$324,4, false)), 0, vlookup($A726,'Ultimate Draft Kit'!$B$2:$E$324, 4, false))</f>
        <v>0</v>
      </c>
      <c r="J726" s="38">
        <f>if(ISNA(vlookup($A726,Rotowire!$B$2:$E$1075,4, false)), 0, vlookup($A726,Rotowire!$B$2:$E$1075, 4, false))</f>
        <v>0</v>
      </c>
      <c r="K726" s="37">
        <f>if(ISNA(vlookup($A726, FantasyPro!$B$2:$E$341,4,false)),0,vlookup($A726,FantasyPro!$B$2:$E$341,4,false))</f>
        <v>0</v>
      </c>
      <c r="L726" s="37">
        <f>if(ISNA(vlookup($A726, FFToolbox!$B$2:$E$414, 4, false)), 0, vlookup($A726, FFToolbox!$B$2:$E$414, 4, false))</f>
        <v>0</v>
      </c>
      <c r="M726" s="39">
        <f t="shared" si="1"/>
        <v>0</v>
      </c>
      <c r="N726" s="39">
        <f t="shared" si="2"/>
        <v>0</v>
      </c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</row>
    <row r="727">
      <c r="A727" s="17" t="s">
        <v>1084</v>
      </c>
      <c r="B727" s="35" t="s">
        <v>1259</v>
      </c>
      <c r="C727" s="35" t="s">
        <v>1260</v>
      </c>
      <c r="D727" s="36" t="s">
        <v>262</v>
      </c>
      <c r="E727" s="36" t="s">
        <v>13</v>
      </c>
      <c r="F727" s="36" t="str">
        <f>vlookup(D727,'Team Bye List'!$A$1:$B$33,2,False)</f>
        <v>#N/A</v>
      </c>
      <c r="G727" s="37">
        <f>if(ISNA(vlookup($A727, Sleeper!$B$2:$E$330, 4, false)), 0, vlookup($A727, Sleeper!$B$2:$E$330, 4, false))</f>
        <v>0</v>
      </c>
      <c r="H727" s="37">
        <f>if(ISNA(vlookup($A727, ESPN!$B$2:$E$297, 4, false)), 0, vlookup($A727, ESPN!$B$2:$E$297, 4, false))</f>
        <v>0</v>
      </c>
      <c r="I727" s="37">
        <f>if(ISNA(vlookup($A727,'Ultimate Draft Kit'!$B$2:$E$324,4, false)), 0, vlookup($A727,'Ultimate Draft Kit'!$B$2:$E$324, 4, false))</f>
        <v>0</v>
      </c>
      <c r="J727" s="38">
        <f>if(ISNA(vlookup($A727,Rotowire!$B$2:$E$1075,4, false)), 0, vlookup($A727,Rotowire!$B$2:$E$1075, 4, false))</f>
        <v>0</v>
      </c>
      <c r="K727" s="37">
        <f>if(ISNA(vlookup($A727, FantasyPro!$B$2:$E$341,4,false)),0,vlookup($A727,FantasyPro!$B$2:$E$341,4,false))</f>
        <v>0</v>
      </c>
      <c r="L727" s="37">
        <f>if(ISNA(vlookup($A727, FFToolbox!$B$2:$E$414, 4, false)), 0, vlookup($A727, FFToolbox!$B$2:$E$414, 4, false))</f>
        <v>0</v>
      </c>
      <c r="M727" s="39">
        <f t="shared" si="1"/>
        <v>0</v>
      </c>
      <c r="N727" s="39">
        <f t="shared" si="2"/>
        <v>0</v>
      </c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</row>
    <row r="728">
      <c r="A728" s="17" t="s">
        <v>613</v>
      </c>
      <c r="B728" s="35" t="s">
        <v>1259</v>
      </c>
      <c r="C728" s="35" t="s">
        <v>1260</v>
      </c>
      <c r="D728" s="36" t="s">
        <v>7</v>
      </c>
      <c r="E728" s="36" t="s">
        <v>13</v>
      </c>
      <c r="F728" s="36">
        <f>vlookup(D728,'Team Bye List'!$A$1:$B$33,2,False)</f>
        <v>14</v>
      </c>
      <c r="G728" s="37">
        <f>if(ISNA(vlookup($A728, Sleeper!$B$2:$E$330, 4, false)), 0, vlookup($A728, Sleeper!$B$2:$E$330, 4, false))</f>
        <v>0</v>
      </c>
      <c r="H728" s="37">
        <f>if(ISNA(vlookup($A728, ESPN!$B$2:$E$297, 4, false)), 0, vlookup($A728, ESPN!$B$2:$E$297, 4, false))</f>
        <v>0</v>
      </c>
      <c r="I728" s="37">
        <f>if(ISNA(vlookup($A728,'Ultimate Draft Kit'!$B$2:$E$324,4, false)), 0, vlookup($A728,'Ultimate Draft Kit'!$B$2:$E$324, 4, false))</f>
        <v>0</v>
      </c>
      <c r="J728" s="38">
        <f>if(ISNA(vlookup($A728,Rotowire!$B$2:$E$1075,4, false)), 0, vlookup($A728,Rotowire!$B$2:$E$1075, 4, false))</f>
        <v>0</v>
      </c>
      <c r="K728" s="37">
        <f>if(ISNA(vlookup($A728, FantasyPro!$B$2:$E$341,4,false)),0,vlookup($A728,FantasyPro!$B$2:$E$341,4,false))</f>
        <v>0</v>
      </c>
      <c r="L728" s="37">
        <f>if(ISNA(vlookup($A728, FFToolbox!$B$2:$E$414, 4, false)), 0, vlookup($A728, FFToolbox!$B$2:$E$414, 4, false))</f>
        <v>0</v>
      </c>
      <c r="M728" s="39">
        <f t="shared" si="1"/>
        <v>0</v>
      </c>
      <c r="N728" s="39">
        <f t="shared" si="2"/>
        <v>0</v>
      </c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</row>
    <row r="729">
      <c r="A729" s="17" t="s">
        <v>1085</v>
      </c>
      <c r="B729" s="35" t="s">
        <v>1259</v>
      </c>
      <c r="C729" s="35" t="s">
        <v>1260</v>
      </c>
      <c r="D729" s="36" t="s">
        <v>262</v>
      </c>
      <c r="E729" s="36" t="s">
        <v>13</v>
      </c>
      <c r="F729" s="36" t="str">
        <f>vlookup(D729,'Team Bye List'!$A$1:$B$33,2,False)</f>
        <v>#N/A</v>
      </c>
      <c r="G729" s="37">
        <f>if(ISNA(vlookup($A729, Sleeper!$B$2:$E$330, 4, false)), 0, vlookup($A729, Sleeper!$B$2:$E$330, 4, false))</f>
        <v>0</v>
      </c>
      <c r="H729" s="37">
        <f>if(ISNA(vlookup($A729, ESPN!$B$2:$E$297, 4, false)), 0, vlookup($A729, ESPN!$B$2:$E$297, 4, false))</f>
        <v>0</v>
      </c>
      <c r="I729" s="37">
        <f>if(ISNA(vlookup($A729,'Ultimate Draft Kit'!$B$2:$E$324,4, false)), 0, vlookup($A729,'Ultimate Draft Kit'!$B$2:$E$324, 4, false))</f>
        <v>0</v>
      </c>
      <c r="J729" s="38">
        <f>if(ISNA(vlookup($A729,Rotowire!$B$2:$E$1075,4, false)), 0, vlookup($A729,Rotowire!$B$2:$E$1075, 4, false))</f>
        <v>0</v>
      </c>
      <c r="K729" s="37">
        <f>if(ISNA(vlookup($A729, FantasyPro!$B$2:$E$341,4,false)),0,vlookup($A729,FantasyPro!$B$2:$E$341,4,false))</f>
        <v>0</v>
      </c>
      <c r="L729" s="37">
        <f>if(ISNA(vlookup($A729, FFToolbox!$B$2:$E$414, 4, false)), 0, vlookup($A729, FFToolbox!$B$2:$E$414, 4, false))</f>
        <v>0</v>
      </c>
      <c r="M729" s="39">
        <f t="shared" si="1"/>
        <v>0</v>
      </c>
      <c r="N729" s="39">
        <f t="shared" si="2"/>
        <v>0</v>
      </c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</row>
    <row r="730">
      <c r="A730" s="17" t="s">
        <v>1086</v>
      </c>
      <c r="B730" s="35" t="s">
        <v>1259</v>
      </c>
      <c r="C730" s="35" t="s">
        <v>1260</v>
      </c>
      <c r="D730" s="36" t="s">
        <v>262</v>
      </c>
      <c r="E730" s="36" t="s">
        <v>13</v>
      </c>
      <c r="F730" s="36" t="str">
        <f>vlookup(D730,'Team Bye List'!$A$1:$B$33,2,False)</f>
        <v>#N/A</v>
      </c>
      <c r="G730" s="37">
        <f>if(ISNA(vlookup($A730, Sleeper!$B$2:$E$330, 4, false)), 0, vlookup($A730, Sleeper!$B$2:$E$330, 4, false))</f>
        <v>0</v>
      </c>
      <c r="H730" s="37">
        <f>if(ISNA(vlookup($A730, ESPN!$B$2:$E$297, 4, false)), 0, vlookup($A730, ESPN!$B$2:$E$297, 4, false))</f>
        <v>0</v>
      </c>
      <c r="I730" s="37">
        <f>if(ISNA(vlookup($A730,'Ultimate Draft Kit'!$B$2:$E$324,4, false)), 0, vlookup($A730,'Ultimate Draft Kit'!$B$2:$E$324, 4, false))</f>
        <v>0</v>
      </c>
      <c r="J730" s="38">
        <f>if(ISNA(vlookup($A730,Rotowire!$B$2:$E$1075,4, false)), 0, vlookup($A730,Rotowire!$B$2:$E$1075, 4, false))</f>
        <v>0</v>
      </c>
      <c r="K730" s="37">
        <f>if(ISNA(vlookup($A730, FantasyPro!$B$2:$E$341,4,false)),0,vlookup($A730,FantasyPro!$B$2:$E$341,4,false))</f>
        <v>0</v>
      </c>
      <c r="L730" s="37">
        <f>if(ISNA(vlookup($A730, FFToolbox!$B$2:$E$414, 4, false)), 0, vlookup($A730, FFToolbox!$B$2:$E$414, 4, false))</f>
        <v>0</v>
      </c>
      <c r="M730" s="39">
        <f t="shared" si="1"/>
        <v>0</v>
      </c>
      <c r="N730" s="39">
        <f t="shared" si="2"/>
        <v>0</v>
      </c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</row>
    <row r="731">
      <c r="A731" s="17" t="s">
        <v>1087</v>
      </c>
      <c r="B731" s="35" t="s">
        <v>1259</v>
      </c>
      <c r="C731" s="35" t="s">
        <v>1260</v>
      </c>
      <c r="D731" s="36" t="s">
        <v>262</v>
      </c>
      <c r="E731" s="36" t="s">
        <v>13</v>
      </c>
      <c r="F731" s="36" t="str">
        <f>vlookup(D731,'Team Bye List'!$A$1:$B$33,2,False)</f>
        <v>#N/A</v>
      </c>
      <c r="G731" s="37">
        <f>if(ISNA(vlookup($A731, Sleeper!$B$2:$E$330, 4, false)), 0, vlookup($A731, Sleeper!$B$2:$E$330, 4, false))</f>
        <v>0</v>
      </c>
      <c r="H731" s="37">
        <f>if(ISNA(vlookup($A731, ESPN!$B$2:$E$297, 4, false)), 0, vlookup($A731, ESPN!$B$2:$E$297, 4, false))</f>
        <v>0</v>
      </c>
      <c r="I731" s="37">
        <f>if(ISNA(vlookup($A731,'Ultimate Draft Kit'!$B$2:$E$324,4, false)), 0, vlookup($A731,'Ultimate Draft Kit'!$B$2:$E$324, 4, false))</f>
        <v>0</v>
      </c>
      <c r="J731" s="38">
        <f>if(ISNA(vlookup($A731,Rotowire!$B$2:$E$1075,4, false)), 0, vlookup($A731,Rotowire!$B$2:$E$1075, 4, false))</f>
        <v>0</v>
      </c>
      <c r="K731" s="37">
        <f>if(ISNA(vlookup($A731, FantasyPro!$B$2:$E$341,4,false)),0,vlookup($A731,FantasyPro!$B$2:$E$341,4,false))</f>
        <v>0</v>
      </c>
      <c r="L731" s="37">
        <f>if(ISNA(vlookup($A731, FFToolbox!$B$2:$E$414, 4, false)), 0, vlookup($A731, FFToolbox!$B$2:$E$414, 4, false))</f>
        <v>0</v>
      </c>
      <c r="M731" s="39">
        <f t="shared" si="1"/>
        <v>0</v>
      </c>
      <c r="N731" s="39">
        <f t="shared" si="2"/>
        <v>0</v>
      </c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</row>
    <row r="732">
      <c r="A732" s="17" t="s">
        <v>1088</v>
      </c>
      <c r="B732" s="35" t="s">
        <v>1259</v>
      </c>
      <c r="C732" s="35" t="s">
        <v>1260</v>
      </c>
      <c r="D732" s="36" t="s">
        <v>53</v>
      </c>
      <c r="E732" s="36" t="s">
        <v>13</v>
      </c>
      <c r="F732" s="36">
        <f>vlookup(D732,'Team Bye List'!$A$1:$B$33,2,False)</f>
        <v>9</v>
      </c>
      <c r="G732" s="37">
        <f>if(ISNA(vlookup($A732, Sleeper!$B$2:$E$330, 4, false)), 0, vlookup($A732, Sleeper!$B$2:$E$330, 4, false))</f>
        <v>0</v>
      </c>
      <c r="H732" s="37">
        <f>if(ISNA(vlookup($A732, ESPN!$B$2:$E$297, 4, false)), 0, vlookup($A732, ESPN!$B$2:$E$297, 4, false))</f>
        <v>0</v>
      </c>
      <c r="I732" s="37">
        <f>if(ISNA(vlookup($A732,'Ultimate Draft Kit'!$B$2:$E$324,4, false)), 0, vlookup($A732,'Ultimate Draft Kit'!$B$2:$E$324, 4, false))</f>
        <v>0</v>
      </c>
      <c r="J732" s="38">
        <f>if(ISNA(vlookup($A732,Rotowire!$B$2:$E$1075,4, false)), 0, vlookup($A732,Rotowire!$B$2:$E$1075, 4, false))</f>
        <v>0</v>
      </c>
      <c r="K732" s="37">
        <f>if(ISNA(vlookup($A732, FantasyPro!$B$2:$E$341,4,false)),0,vlookup($A732,FantasyPro!$B$2:$E$341,4,false))</f>
        <v>0</v>
      </c>
      <c r="L732" s="37">
        <f>if(ISNA(vlookup($A732, FFToolbox!$B$2:$E$414, 4, false)), 0, vlookup($A732, FFToolbox!$B$2:$E$414, 4, false))</f>
        <v>0</v>
      </c>
      <c r="M732" s="39">
        <f t="shared" si="1"/>
        <v>0</v>
      </c>
      <c r="N732" s="39">
        <f t="shared" si="2"/>
        <v>0</v>
      </c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</row>
    <row r="733">
      <c r="A733" s="17" t="s">
        <v>1089</v>
      </c>
      <c r="B733" s="35" t="s">
        <v>1259</v>
      </c>
      <c r="C733" s="35" t="s">
        <v>1260</v>
      </c>
      <c r="D733" s="36" t="s">
        <v>73</v>
      </c>
      <c r="E733" s="36" t="s">
        <v>13</v>
      </c>
      <c r="F733" s="36">
        <f>vlookup(D733,'Team Bye List'!$A$1:$B$33,2,False)</f>
        <v>14</v>
      </c>
      <c r="G733" s="37">
        <f>if(ISNA(vlookup($A733, Sleeper!$B$2:$E$330, 4, false)), 0, vlookup($A733, Sleeper!$B$2:$E$330, 4, false))</f>
        <v>0</v>
      </c>
      <c r="H733" s="37">
        <f>if(ISNA(vlookup($A733, ESPN!$B$2:$E$297, 4, false)), 0, vlookup($A733, ESPN!$B$2:$E$297, 4, false))</f>
        <v>0</v>
      </c>
      <c r="I733" s="37">
        <f>if(ISNA(vlookup($A733,'Ultimate Draft Kit'!$B$2:$E$324,4, false)), 0, vlookup($A733,'Ultimate Draft Kit'!$B$2:$E$324, 4, false))</f>
        <v>0</v>
      </c>
      <c r="J733" s="38">
        <f>if(ISNA(vlookup($A733,Rotowire!$B$2:$E$1075,4, false)), 0, vlookup($A733,Rotowire!$B$2:$E$1075, 4, false))</f>
        <v>0</v>
      </c>
      <c r="K733" s="37">
        <f>if(ISNA(vlookup($A733, FantasyPro!$B$2:$E$341,4,false)),0,vlookup($A733,FantasyPro!$B$2:$E$341,4,false))</f>
        <v>0</v>
      </c>
      <c r="L733" s="37">
        <f>if(ISNA(vlookup($A733, FFToolbox!$B$2:$E$414, 4, false)), 0, vlookup($A733, FFToolbox!$B$2:$E$414, 4, false))</f>
        <v>0</v>
      </c>
      <c r="M733" s="39">
        <f t="shared" si="1"/>
        <v>0</v>
      </c>
      <c r="N733" s="39">
        <f t="shared" si="2"/>
        <v>0</v>
      </c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</row>
    <row r="734">
      <c r="A734" s="17" t="s">
        <v>1090</v>
      </c>
      <c r="B734" s="35" t="s">
        <v>1259</v>
      </c>
      <c r="C734" s="35" t="s">
        <v>1260</v>
      </c>
      <c r="D734" s="36" t="s">
        <v>23</v>
      </c>
      <c r="E734" s="36" t="s">
        <v>13</v>
      </c>
      <c r="F734" s="36">
        <f>vlookup(D734,'Team Bye List'!$A$1:$B$33,2,False)</f>
        <v>9</v>
      </c>
      <c r="G734" s="37">
        <f>if(ISNA(vlookup($A734, Sleeper!$B$2:$E$330, 4, false)), 0, vlookup($A734, Sleeper!$B$2:$E$330, 4, false))</f>
        <v>0</v>
      </c>
      <c r="H734" s="37">
        <f>if(ISNA(vlookup($A734, ESPN!$B$2:$E$297, 4, false)), 0, vlookup($A734, ESPN!$B$2:$E$297, 4, false))</f>
        <v>0</v>
      </c>
      <c r="I734" s="37">
        <f>if(ISNA(vlookup($A734,'Ultimate Draft Kit'!$B$2:$E$324,4, false)), 0, vlookup($A734,'Ultimate Draft Kit'!$B$2:$E$324, 4, false))</f>
        <v>0</v>
      </c>
      <c r="J734" s="38">
        <f>if(ISNA(vlookup($A734,Rotowire!$B$2:$E$1075,4, false)), 0, vlookup($A734,Rotowire!$B$2:$E$1075, 4, false))</f>
        <v>0</v>
      </c>
      <c r="K734" s="37">
        <f>if(ISNA(vlookup($A734, FantasyPro!$B$2:$E$341,4,false)),0,vlookup($A734,FantasyPro!$B$2:$E$341,4,false))</f>
        <v>0</v>
      </c>
      <c r="L734" s="37">
        <f>if(ISNA(vlookup($A734, FFToolbox!$B$2:$E$414, 4, false)), 0, vlookup($A734, FFToolbox!$B$2:$E$414, 4, false))</f>
        <v>0</v>
      </c>
      <c r="M734" s="39">
        <f t="shared" si="1"/>
        <v>0</v>
      </c>
      <c r="N734" s="39">
        <f t="shared" si="2"/>
        <v>0</v>
      </c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</row>
    <row r="735">
      <c r="A735" s="17" t="s">
        <v>661</v>
      </c>
      <c r="B735" s="35" t="s">
        <v>1259</v>
      </c>
      <c r="C735" s="35" t="s">
        <v>1260</v>
      </c>
      <c r="D735" s="36" t="s">
        <v>66</v>
      </c>
      <c r="E735" s="36" t="s">
        <v>13</v>
      </c>
      <c r="F735" s="36">
        <f>vlookup(D735,'Team Bye List'!$A$1:$B$33,2,False)</f>
        <v>9</v>
      </c>
      <c r="G735" s="37">
        <f>if(ISNA(vlookup($A735, Sleeper!$B$2:$E$330, 4, false)), 0, vlookup($A735, Sleeper!$B$2:$E$330, 4, false))</f>
        <v>0</v>
      </c>
      <c r="H735" s="37">
        <f>if(ISNA(vlookup($A735, ESPN!$B$2:$E$297, 4, false)), 0, vlookup($A735, ESPN!$B$2:$E$297, 4, false))</f>
        <v>0</v>
      </c>
      <c r="I735" s="37">
        <f>if(ISNA(vlookup($A735,'Ultimate Draft Kit'!$B$2:$E$324,4, false)), 0, vlookup($A735,'Ultimate Draft Kit'!$B$2:$E$324, 4, false))</f>
        <v>0</v>
      </c>
      <c r="J735" s="38">
        <f>if(ISNA(vlookup($A735,Rotowire!$B$2:$E$1075,4, false)), 0, vlookup($A735,Rotowire!$B$2:$E$1075, 4, false))</f>
        <v>0</v>
      </c>
      <c r="K735" s="37">
        <f>if(ISNA(vlookup($A735, FantasyPro!$B$2:$E$341,4,false)),0,vlookup($A735,FantasyPro!$B$2:$E$341,4,false))</f>
        <v>0</v>
      </c>
      <c r="L735" s="37">
        <f>if(ISNA(vlookup($A735, FFToolbox!$B$2:$E$414, 4, false)), 0, vlookup($A735, FFToolbox!$B$2:$E$414, 4, false))</f>
        <v>0</v>
      </c>
      <c r="M735" s="39">
        <f t="shared" si="1"/>
        <v>0</v>
      </c>
      <c r="N735" s="39">
        <f t="shared" si="2"/>
        <v>0</v>
      </c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</row>
    <row r="736">
      <c r="A736" s="17" t="s">
        <v>653</v>
      </c>
      <c r="B736" s="35" t="s">
        <v>1259</v>
      </c>
      <c r="C736" s="35" t="s">
        <v>1260</v>
      </c>
      <c r="D736" s="36" t="s">
        <v>85</v>
      </c>
      <c r="E736" s="36" t="s">
        <v>13</v>
      </c>
      <c r="F736" s="36">
        <f>vlookup(D736,'Team Bye List'!$A$1:$B$33,2,False)</f>
        <v>9</v>
      </c>
      <c r="G736" s="37">
        <f>if(ISNA(vlookup($A736, Sleeper!$B$2:$E$330, 4, false)), 0, vlookup($A736, Sleeper!$B$2:$E$330, 4, false))</f>
        <v>0</v>
      </c>
      <c r="H736" s="37">
        <f>if(ISNA(vlookup($A736, ESPN!$B$2:$E$297, 4, false)), 0, vlookup($A736, ESPN!$B$2:$E$297, 4, false))</f>
        <v>0</v>
      </c>
      <c r="I736" s="37">
        <f>if(ISNA(vlookup($A736,'Ultimate Draft Kit'!$B$2:$E$324,4, false)), 0, vlookup($A736,'Ultimate Draft Kit'!$B$2:$E$324, 4, false))</f>
        <v>0</v>
      </c>
      <c r="J736" s="38">
        <f>if(ISNA(vlookup($A736,Rotowire!$B$2:$E$1075,4, false)), 0, vlookup($A736,Rotowire!$B$2:$E$1075, 4, false))</f>
        <v>0</v>
      </c>
      <c r="K736" s="37">
        <f>if(ISNA(vlookup($A736, FantasyPro!$B$2:$E$341,4,false)),0,vlookup($A736,FantasyPro!$B$2:$E$341,4,false))</f>
        <v>0</v>
      </c>
      <c r="L736" s="37">
        <f>if(ISNA(vlookup($A736, FFToolbox!$B$2:$E$414, 4, false)), 0, vlookup($A736, FFToolbox!$B$2:$E$414, 4, false))</f>
        <v>0</v>
      </c>
      <c r="M736" s="39">
        <f t="shared" si="1"/>
        <v>0</v>
      </c>
      <c r="N736" s="39">
        <f t="shared" si="2"/>
        <v>0</v>
      </c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</row>
    <row r="737">
      <c r="A737" s="17" t="s">
        <v>1091</v>
      </c>
      <c r="B737" s="35" t="s">
        <v>1259</v>
      </c>
      <c r="C737" s="35" t="s">
        <v>1260</v>
      </c>
      <c r="D737" s="36" t="s">
        <v>62</v>
      </c>
      <c r="E737" s="36" t="s">
        <v>13</v>
      </c>
      <c r="F737" s="36">
        <f>vlookup(D737,'Team Bye List'!$A$1:$B$33,2,False)</f>
        <v>8</v>
      </c>
      <c r="G737" s="37">
        <f>if(ISNA(vlookup($A737, Sleeper!$B$2:$E$330, 4, false)), 0, vlookup($A737, Sleeper!$B$2:$E$330, 4, false))</f>
        <v>0</v>
      </c>
      <c r="H737" s="37">
        <f>if(ISNA(vlookup($A737, ESPN!$B$2:$E$297, 4, false)), 0, vlookup($A737, ESPN!$B$2:$E$297, 4, false))</f>
        <v>0</v>
      </c>
      <c r="I737" s="37">
        <f>if(ISNA(vlookup($A737,'Ultimate Draft Kit'!$B$2:$E$324,4, false)), 0, vlookup($A737,'Ultimate Draft Kit'!$B$2:$E$324, 4, false))</f>
        <v>0</v>
      </c>
      <c r="J737" s="38">
        <f>if(ISNA(vlookup($A737,Rotowire!$B$2:$E$1075,4, false)), 0, vlookup($A737,Rotowire!$B$2:$E$1075, 4, false))</f>
        <v>0</v>
      </c>
      <c r="K737" s="37">
        <f>if(ISNA(vlookup($A737, FantasyPro!$B$2:$E$341,4,false)),0,vlookup($A737,FantasyPro!$B$2:$E$341,4,false))</f>
        <v>0</v>
      </c>
      <c r="L737" s="37">
        <f>if(ISNA(vlookup($A737, FFToolbox!$B$2:$E$414, 4, false)), 0, vlookup($A737, FFToolbox!$B$2:$E$414, 4, false))</f>
        <v>0</v>
      </c>
      <c r="M737" s="39">
        <f t="shared" si="1"/>
        <v>0</v>
      </c>
      <c r="N737" s="39">
        <f t="shared" si="2"/>
        <v>0</v>
      </c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</row>
    <row r="738">
      <c r="A738" s="17" t="s">
        <v>1092</v>
      </c>
      <c r="B738" s="35" t="s">
        <v>1259</v>
      </c>
      <c r="C738" s="35" t="s">
        <v>1260</v>
      </c>
      <c r="D738" s="36" t="s">
        <v>119</v>
      </c>
      <c r="E738" s="36" t="s">
        <v>13</v>
      </c>
      <c r="F738" s="36">
        <f>vlookup(D738,'Team Bye List'!$A$1:$B$33,2,False)</f>
        <v>10</v>
      </c>
      <c r="G738" s="37">
        <f>if(ISNA(vlookup($A738, Sleeper!$B$2:$E$330, 4, false)), 0, vlookup($A738, Sleeper!$B$2:$E$330, 4, false))</f>
        <v>0</v>
      </c>
      <c r="H738" s="37">
        <f>if(ISNA(vlookup($A738, ESPN!$B$2:$E$297, 4, false)), 0, vlookup($A738, ESPN!$B$2:$E$297, 4, false))</f>
        <v>0</v>
      </c>
      <c r="I738" s="37">
        <f>if(ISNA(vlookup($A738,'Ultimate Draft Kit'!$B$2:$E$324,4, false)), 0, vlookup($A738,'Ultimate Draft Kit'!$B$2:$E$324, 4, false))</f>
        <v>0</v>
      </c>
      <c r="J738" s="38">
        <f>if(ISNA(vlookup($A738,Rotowire!$B$2:$E$1075,4, false)), 0, vlookup($A738,Rotowire!$B$2:$E$1075, 4, false))</f>
        <v>0</v>
      </c>
      <c r="K738" s="37">
        <f>if(ISNA(vlookup($A738, FantasyPro!$B$2:$E$341,4,false)),0,vlookup($A738,FantasyPro!$B$2:$E$341,4,false))</f>
        <v>0</v>
      </c>
      <c r="L738" s="37">
        <f>if(ISNA(vlookup($A738, FFToolbox!$B$2:$E$414, 4, false)), 0, vlookup($A738, FFToolbox!$B$2:$E$414, 4, false))</f>
        <v>0</v>
      </c>
      <c r="M738" s="39">
        <f t="shared" si="1"/>
        <v>0</v>
      </c>
      <c r="N738" s="39">
        <f t="shared" si="2"/>
        <v>0</v>
      </c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</row>
    <row r="739">
      <c r="A739" s="17" t="s">
        <v>1093</v>
      </c>
      <c r="B739" s="35" t="s">
        <v>1259</v>
      </c>
      <c r="C739" s="35" t="s">
        <v>1260</v>
      </c>
      <c r="D739" s="36" t="s">
        <v>28</v>
      </c>
      <c r="E739" s="36" t="s">
        <v>13</v>
      </c>
      <c r="F739" s="36">
        <f>vlookup(D739,'Team Bye List'!$A$1:$B$33,2,False)</f>
        <v>11</v>
      </c>
      <c r="G739" s="37">
        <f>if(ISNA(vlookup($A739, Sleeper!$B$2:$E$330, 4, false)), 0, vlookup($A739, Sleeper!$B$2:$E$330, 4, false))</f>
        <v>0</v>
      </c>
      <c r="H739" s="37">
        <f>if(ISNA(vlookup($A739, ESPN!$B$2:$E$297, 4, false)), 0, vlookup($A739, ESPN!$B$2:$E$297, 4, false))</f>
        <v>0</v>
      </c>
      <c r="I739" s="37">
        <f>if(ISNA(vlookup($A739,'Ultimate Draft Kit'!$B$2:$E$324,4, false)), 0, vlookup($A739,'Ultimate Draft Kit'!$B$2:$E$324, 4, false))</f>
        <v>0</v>
      </c>
      <c r="J739" s="38">
        <f>if(ISNA(vlookup($A739,Rotowire!$B$2:$E$1075,4, false)), 0, vlookup($A739,Rotowire!$B$2:$E$1075, 4, false))</f>
        <v>0</v>
      </c>
      <c r="K739" s="37">
        <f>if(ISNA(vlookup($A739, FantasyPro!$B$2:$E$341,4,false)),0,vlookup($A739,FantasyPro!$B$2:$E$341,4,false))</f>
        <v>0</v>
      </c>
      <c r="L739" s="37">
        <f>if(ISNA(vlookup($A739, FFToolbox!$B$2:$E$414, 4, false)), 0, vlookup($A739, FFToolbox!$B$2:$E$414, 4, false))</f>
        <v>0</v>
      </c>
      <c r="M739" s="39">
        <f t="shared" si="1"/>
        <v>0</v>
      </c>
      <c r="N739" s="39">
        <f t="shared" si="2"/>
        <v>0</v>
      </c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</row>
    <row r="740">
      <c r="A740" s="17" t="s">
        <v>1094</v>
      </c>
      <c r="B740" s="35" t="s">
        <v>1259</v>
      </c>
      <c r="C740" s="35" t="s">
        <v>1260</v>
      </c>
      <c r="D740" s="36" t="s">
        <v>10</v>
      </c>
      <c r="E740" s="36" t="s">
        <v>13</v>
      </c>
      <c r="F740" s="36">
        <f>vlookup(D740,'Team Bye List'!$A$1:$B$33,2,False)</f>
        <v>13</v>
      </c>
      <c r="G740" s="37">
        <f>if(ISNA(vlookup($A740, Sleeper!$B$2:$E$330, 4, false)), 0, vlookup($A740, Sleeper!$B$2:$E$330, 4, false))</f>
        <v>0</v>
      </c>
      <c r="H740" s="37">
        <f>if(ISNA(vlookup($A740, ESPN!$B$2:$E$297, 4, false)), 0, vlookup($A740, ESPN!$B$2:$E$297, 4, false))</f>
        <v>0</v>
      </c>
      <c r="I740" s="37">
        <f>if(ISNA(vlookup($A740,'Ultimate Draft Kit'!$B$2:$E$324,4, false)), 0, vlookup($A740,'Ultimate Draft Kit'!$B$2:$E$324, 4, false))</f>
        <v>0</v>
      </c>
      <c r="J740" s="38">
        <f>if(ISNA(vlookup($A740,Rotowire!$B$2:$E$1075,4, false)), 0, vlookup($A740,Rotowire!$B$2:$E$1075, 4, false))</f>
        <v>0</v>
      </c>
      <c r="K740" s="37">
        <f>if(ISNA(vlookup($A740, FantasyPro!$B$2:$E$341,4,false)),0,vlookup($A740,FantasyPro!$B$2:$E$341,4,false))</f>
        <v>0</v>
      </c>
      <c r="L740" s="37">
        <f>if(ISNA(vlookup($A740, FFToolbox!$B$2:$E$414, 4, false)), 0, vlookup($A740, FFToolbox!$B$2:$E$414, 4, false))</f>
        <v>0</v>
      </c>
      <c r="M740" s="39">
        <f t="shared" si="1"/>
        <v>0</v>
      </c>
      <c r="N740" s="39">
        <f t="shared" si="2"/>
        <v>0</v>
      </c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</row>
    <row r="741">
      <c r="A741" s="17" t="s">
        <v>1095</v>
      </c>
      <c r="B741" s="35" t="s">
        <v>1259</v>
      </c>
      <c r="C741" s="35" t="s">
        <v>1260</v>
      </c>
      <c r="D741" s="36" t="s">
        <v>12</v>
      </c>
      <c r="E741" s="36" t="s">
        <v>13</v>
      </c>
      <c r="F741" s="36">
        <f>vlookup(D741,'Team Bye List'!$A$1:$B$33,2,False)</f>
        <v>8</v>
      </c>
      <c r="G741" s="37">
        <f>if(ISNA(vlookup($A741, Sleeper!$B$2:$E$330, 4, false)), 0, vlookup($A741, Sleeper!$B$2:$E$330, 4, false))</f>
        <v>0</v>
      </c>
      <c r="H741" s="37">
        <f>if(ISNA(vlookup($A741, ESPN!$B$2:$E$297, 4, false)), 0, vlookup($A741, ESPN!$B$2:$E$297, 4, false))</f>
        <v>0</v>
      </c>
      <c r="I741" s="37">
        <f>if(ISNA(vlookup($A741,'Ultimate Draft Kit'!$B$2:$E$324,4, false)), 0, vlookup($A741,'Ultimate Draft Kit'!$B$2:$E$324, 4, false))</f>
        <v>0</v>
      </c>
      <c r="J741" s="38">
        <f>if(ISNA(vlookup($A741,Rotowire!$B$2:$E$1075,4, false)), 0, vlookup($A741,Rotowire!$B$2:$E$1075, 4, false))</f>
        <v>0</v>
      </c>
      <c r="K741" s="37">
        <f>if(ISNA(vlookup($A741, FantasyPro!$B$2:$E$341,4,false)),0,vlookup($A741,FantasyPro!$B$2:$E$341,4,false))</f>
        <v>0</v>
      </c>
      <c r="L741" s="37">
        <f>if(ISNA(vlookup($A741, FFToolbox!$B$2:$E$414, 4, false)), 0, vlookup($A741, FFToolbox!$B$2:$E$414, 4, false))</f>
        <v>0</v>
      </c>
      <c r="M741" s="39">
        <f t="shared" si="1"/>
        <v>0</v>
      </c>
      <c r="N741" s="39">
        <f t="shared" si="2"/>
        <v>0</v>
      </c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</row>
    <row r="742">
      <c r="A742" s="17" t="s">
        <v>639</v>
      </c>
      <c r="B742" s="35" t="s">
        <v>1259</v>
      </c>
      <c r="C742" s="35" t="s">
        <v>1260</v>
      </c>
      <c r="D742" s="36" t="s">
        <v>62</v>
      </c>
      <c r="E742" s="36" t="s">
        <v>13</v>
      </c>
      <c r="F742" s="36">
        <f>vlookup(D742,'Team Bye List'!$A$1:$B$33,2,False)</f>
        <v>8</v>
      </c>
      <c r="G742" s="37">
        <f>if(ISNA(vlookup($A742, Sleeper!$B$2:$E$330, 4, false)), 0, vlookup($A742, Sleeper!$B$2:$E$330, 4, false))</f>
        <v>0</v>
      </c>
      <c r="H742" s="37">
        <f>if(ISNA(vlookup($A742, ESPN!$B$2:$E$297, 4, false)), 0, vlookup($A742, ESPN!$B$2:$E$297, 4, false))</f>
        <v>0</v>
      </c>
      <c r="I742" s="37">
        <f>if(ISNA(vlookup($A742,'Ultimate Draft Kit'!$B$2:$E$324,4, false)), 0, vlookup($A742,'Ultimate Draft Kit'!$B$2:$E$324, 4, false))</f>
        <v>0</v>
      </c>
      <c r="J742" s="38">
        <f>if(ISNA(vlookup($A742,Rotowire!$B$2:$E$1075,4, false)), 0, vlookup($A742,Rotowire!$B$2:$E$1075, 4, false))</f>
        <v>0</v>
      </c>
      <c r="K742" s="37">
        <f>if(ISNA(vlookup($A742, FantasyPro!$B$2:$E$341,4,false)),0,vlookup($A742,FantasyPro!$B$2:$E$341,4,false))</f>
        <v>0</v>
      </c>
      <c r="L742" s="37">
        <f>if(ISNA(vlookup($A742, FFToolbox!$B$2:$E$414, 4, false)), 0, vlookup($A742, FFToolbox!$B$2:$E$414, 4, false))</f>
        <v>0</v>
      </c>
      <c r="M742" s="39">
        <f t="shared" si="1"/>
        <v>0</v>
      </c>
      <c r="N742" s="39">
        <f t="shared" si="2"/>
        <v>0</v>
      </c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</row>
    <row r="743">
      <c r="A743" s="17" t="s">
        <v>599</v>
      </c>
      <c r="B743" s="35" t="s">
        <v>1259</v>
      </c>
      <c r="C743" s="35" t="s">
        <v>1260</v>
      </c>
      <c r="D743" s="36" t="s">
        <v>21</v>
      </c>
      <c r="E743" s="36" t="s">
        <v>13</v>
      </c>
      <c r="F743" s="36">
        <f>vlookup(D743,'Team Bye List'!$A$1:$B$33,2,False)</f>
        <v>6</v>
      </c>
      <c r="G743" s="37">
        <f>if(ISNA(vlookup($A743, Sleeper!$B$2:$E$330, 4, false)), 0, vlookup($A743, Sleeper!$B$2:$E$330, 4, false))</f>
        <v>0</v>
      </c>
      <c r="H743" s="37">
        <f>if(ISNA(vlookup($A743, ESPN!$B$2:$E$297, 4, false)), 0, vlookup($A743, ESPN!$B$2:$E$297, 4, false))</f>
        <v>0</v>
      </c>
      <c r="I743" s="37">
        <f>if(ISNA(vlookup($A743,'Ultimate Draft Kit'!$B$2:$E$324,4, false)), 0, vlookup($A743,'Ultimate Draft Kit'!$B$2:$E$324, 4, false))</f>
        <v>0</v>
      </c>
      <c r="J743" s="38">
        <f>if(ISNA(vlookup($A743,Rotowire!$B$2:$E$1075,4, false)), 0, vlookup($A743,Rotowire!$B$2:$E$1075, 4, false))</f>
        <v>0</v>
      </c>
      <c r="K743" s="37">
        <f>if(ISNA(vlookup($A743, FantasyPro!$B$2:$E$341,4,false)),0,vlookup($A743,FantasyPro!$B$2:$E$341,4,false))</f>
        <v>0</v>
      </c>
      <c r="L743" s="37">
        <f>if(ISNA(vlookup($A743, FFToolbox!$B$2:$E$414, 4, false)), 0, vlookup($A743, FFToolbox!$B$2:$E$414, 4, false))</f>
        <v>1</v>
      </c>
      <c r="M743" s="39">
        <f t="shared" si="1"/>
        <v>0.1666666667</v>
      </c>
      <c r="N743" s="39">
        <f t="shared" si="2"/>
        <v>1</v>
      </c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</row>
    <row r="744">
      <c r="A744" s="17" t="s">
        <v>1096</v>
      </c>
      <c r="B744" s="35" t="s">
        <v>1259</v>
      </c>
      <c r="C744" s="35" t="s">
        <v>1260</v>
      </c>
      <c r="D744" s="36" t="s">
        <v>15</v>
      </c>
      <c r="E744" s="36" t="s">
        <v>13</v>
      </c>
      <c r="F744" s="36">
        <f>vlookup(D744,'Team Bye List'!$A$1:$B$33,2,False)</f>
        <v>6</v>
      </c>
      <c r="G744" s="37">
        <f>if(ISNA(vlookup($A744, Sleeper!$B$2:$E$330, 4, false)), 0, vlookup($A744, Sleeper!$B$2:$E$330, 4, false))</f>
        <v>0</v>
      </c>
      <c r="H744" s="37">
        <f>if(ISNA(vlookup($A744, ESPN!$B$2:$E$297, 4, false)), 0, vlookup($A744, ESPN!$B$2:$E$297, 4, false))</f>
        <v>0</v>
      </c>
      <c r="I744" s="37">
        <f>if(ISNA(vlookup($A744,'Ultimate Draft Kit'!$B$2:$E$324,4, false)), 0, vlookup($A744,'Ultimate Draft Kit'!$B$2:$E$324, 4, false))</f>
        <v>0</v>
      </c>
      <c r="J744" s="38">
        <f>if(ISNA(vlookup($A744,Rotowire!$B$2:$E$1075,4, false)), 0, vlookup($A744,Rotowire!$B$2:$E$1075, 4, false))</f>
        <v>0</v>
      </c>
      <c r="K744" s="37">
        <f>if(ISNA(vlookup($A744, FantasyPro!$B$2:$E$341,4,false)),0,vlookup($A744,FantasyPro!$B$2:$E$341,4,false))</f>
        <v>0</v>
      </c>
      <c r="L744" s="37">
        <f>if(ISNA(vlookup($A744, FFToolbox!$B$2:$E$414, 4, false)), 0, vlookup($A744, FFToolbox!$B$2:$E$414, 4, false))</f>
        <v>0</v>
      </c>
      <c r="M744" s="39">
        <f t="shared" si="1"/>
        <v>0</v>
      </c>
      <c r="N744" s="39">
        <f t="shared" si="2"/>
        <v>0</v>
      </c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</row>
    <row r="745">
      <c r="A745" s="17" t="s">
        <v>1097</v>
      </c>
      <c r="B745" s="35" t="s">
        <v>1259</v>
      </c>
      <c r="C745" s="35" t="s">
        <v>1260</v>
      </c>
      <c r="D745" s="36" t="s">
        <v>25</v>
      </c>
      <c r="E745" s="36" t="s">
        <v>13</v>
      </c>
      <c r="F745" s="36">
        <f>vlookup(D745,'Team Bye List'!$A$1:$B$33,2,False)</f>
        <v>7</v>
      </c>
      <c r="G745" s="37">
        <f>if(ISNA(vlookup($A745, Sleeper!$B$2:$E$330, 4, false)), 0, vlookup($A745, Sleeper!$B$2:$E$330, 4, false))</f>
        <v>0</v>
      </c>
      <c r="H745" s="37">
        <f>if(ISNA(vlookup($A745, ESPN!$B$2:$E$297, 4, false)), 0, vlookup($A745, ESPN!$B$2:$E$297, 4, false))</f>
        <v>0</v>
      </c>
      <c r="I745" s="37">
        <f>if(ISNA(vlookup($A745,'Ultimate Draft Kit'!$B$2:$E$324,4, false)), 0, vlookup($A745,'Ultimate Draft Kit'!$B$2:$E$324, 4, false))</f>
        <v>0</v>
      </c>
      <c r="J745" s="38">
        <f>if(ISNA(vlookup($A745,Rotowire!$B$2:$E$1075,4, false)), 0, vlookup($A745,Rotowire!$B$2:$E$1075, 4, false))</f>
        <v>0</v>
      </c>
      <c r="K745" s="37">
        <f>if(ISNA(vlookup($A745, FantasyPro!$B$2:$E$341,4,false)),0,vlookup($A745,FantasyPro!$B$2:$E$341,4,false))</f>
        <v>0</v>
      </c>
      <c r="L745" s="37">
        <f>if(ISNA(vlookup($A745, FFToolbox!$B$2:$E$414, 4, false)), 0, vlookup($A745, FFToolbox!$B$2:$E$414, 4, false))</f>
        <v>0</v>
      </c>
      <c r="M745" s="39">
        <f t="shared" si="1"/>
        <v>0</v>
      </c>
      <c r="N745" s="39">
        <f t="shared" si="2"/>
        <v>0</v>
      </c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</row>
    <row r="746">
      <c r="A746" s="17" t="s">
        <v>693</v>
      </c>
      <c r="B746" s="35" t="s">
        <v>1259</v>
      </c>
      <c r="C746" s="35" t="s">
        <v>1260</v>
      </c>
      <c r="D746" s="36" t="s">
        <v>73</v>
      </c>
      <c r="E746" s="36" t="s">
        <v>13</v>
      </c>
      <c r="F746" s="36">
        <f>vlookup(D746,'Team Bye List'!$A$1:$B$33,2,False)</f>
        <v>14</v>
      </c>
      <c r="G746" s="37">
        <f>if(ISNA(vlookup($A746, Sleeper!$B$2:$E$330, 4, false)), 0, vlookup($A746, Sleeper!$B$2:$E$330, 4, false))</f>
        <v>0</v>
      </c>
      <c r="H746" s="37">
        <f>if(ISNA(vlookup($A746, ESPN!$B$2:$E$297, 4, false)), 0, vlookup($A746, ESPN!$B$2:$E$297, 4, false))</f>
        <v>0</v>
      </c>
      <c r="I746" s="37">
        <f>if(ISNA(vlookup($A746,'Ultimate Draft Kit'!$B$2:$E$324,4, false)), 0, vlookup($A746,'Ultimate Draft Kit'!$B$2:$E$324, 4, false))</f>
        <v>0</v>
      </c>
      <c r="J746" s="38">
        <f>if(ISNA(vlookup($A746,Rotowire!$B$2:$E$1075,4, false)), 0, vlookup($A746,Rotowire!$B$2:$E$1075, 4, false))</f>
        <v>0</v>
      </c>
      <c r="K746" s="37">
        <f>if(ISNA(vlookup($A746, FantasyPro!$B$2:$E$341,4,false)),0,vlookup($A746,FantasyPro!$B$2:$E$341,4,false))</f>
        <v>0</v>
      </c>
      <c r="L746" s="37">
        <f>if(ISNA(vlookup($A746, FFToolbox!$B$2:$E$414, 4, false)), 0, vlookup($A746, FFToolbox!$B$2:$E$414, 4, false))</f>
        <v>0</v>
      </c>
      <c r="M746" s="39">
        <f t="shared" si="1"/>
        <v>0</v>
      </c>
      <c r="N746" s="39">
        <f t="shared" si="2"/>
        <v>0</v>
      </c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</row>
    <row r="747">
      <c r="A747" s="17" t="s">
        <v>1098</v>
      </c>
      <c r="B747" s="35" t="s">
        <v>1259</v>
      </c>
      <c r="C747" s="35" t="s">
        <v>1260</v>
      </c>
      <c r="D747" s="36" t="s">
        <v>85</v>
      </c>
      <c r="E747" s="36" t="s">
        <v>13</v>
      </c>
      <c r="F747" s="36">
        <f>vlookup(D747,'Team Bye List'!$A$1:$B$33,2,False)</f>
        <v>9</v>
      </c>
      <c r="G747" s="37">
        <f>if(ISNA(vlookup($A747, Sleeper!$B$2:$E$330, 4, false)), 0, vlookup($A747, Sleeper!$B$2:$E$330, 4, false))</f>
        <v>0</v>
      </c>
      <c r="H747" s="37">
        <f>if(ISNA(vlookup($A747, ESPN!$B$2:$E$297, 4, false)), 0, vlookup($A747, ESPN!$B$2:$E$297, 4, false))</f>
        <v>0</v>
      </c>
      <c r="I747" s="37">
        <f>if(ISNA(vlookup($A747,'Ultimate Draft Kit'!$B$2:$E$324,4, false)), 0, vlookup($A747,'Ultimate Draft Kit'!$B$2:$E$324, 4, false))</f>
        <v>0</v>
      </c>
      <c r="J747" s="38">
        <f>if(ISNA(vlookup($A747,Rotowire!$B$2:$E$1075,4, false)), 0, vlookup($A747,Rotowire!$B$2:$E$1075, 4, false))</f>
        <v>0</v>
      </c>
      <c r="K747" s="37">
        <f>if(ISNA(vlookup($A747, FantasyPro!$B$2:$E$341,4,false)),0,vlookup($A747,FantasyPro!$B$2:$E$341,4,false))</f>
        <v>0</v>
      </c>
      <c r="L747" s="37">
        <f>if(ISNA(vlookup($A747, FFToolbox!$B$2:$E$414, 4, false)), 0, vlookup($A747, FFToolbox!$B$2:$E$414, 4, false))</f>
        <v>0</v>
      </c>
      <c r="M747" s="39">
        <f t="shared" si="1"/>
        <v>0</v>
      </c>
      <c r="N747" s="39">
        <f t="shared" si="2"/>
        <v>0</v>
      </c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</row>
    <row r="748">
      <c r="A748" s="17" t="s">
        <v>638</v>
      </c>
      <c r="B748" s="35" t="s">
        <v>1259</v>
      </c>
      <c r="C748" s="35" t="s">
        <v>1260</v>
      </c>
      <c r="D748" s="36" t="s">
        <v>119</v>
      </c>
      <c r="E748" s="36" t="s">
        <v>13</v>
      </c>
      <c r="F748" s="36">
        <f>vlookup(D748,'Team Bye List'!$A$1:$B$33,2,False)</f>
        <v>10</v>
      </c>
      <c r="G748" s="37">
        <f>if(ISNA(vlookup($A748, Sleeper!$B$2:$E$330, 4, false)), 0, vlookup($A748, Sleeper!$B$2:$E$330, 4, false))</f>
        <v>0</v>
      </c>
      <c r="H748" s="37">
        <f>if(ISNA(vlookup($A748, ESPN!$B$2:$E$297, 4, false)), 0, vlookup($A748, ESPN!$B$2:$E$297, 4, false))</f>
        <v>0</v>
      </c>
      <c r="I748" s="37">
        <f>if(ISNA(vlookup($A748,'Ultimate Draft Kit'!$B$2:$E$324,4, false)), 0, vlookup($A748,'Ultimate Draft Kit'!$B$2:$E$324, 4, false))</f>
        <v>0</v>
      </c>
      <c r="J748" s="38">
        <f>if(ISNA(vlookup($A748,Rotowire!$B$2:$E$1075,4, false)), 0, vlookup($A748,Rotowire!$B$2:$E$1075, 4, false))</f>
        <v>0</v>
      </c>
      <c r="K748" s="37">
        <f>if(ISNA(vlookup($A748, FantasyPro!$B$2:$E$341,4,false)),0,vlookup($A748,FantasyPro!$B$2:$E$341,4,false))</f>
        <v>0</v>
      </c>
      <c r="L748" s="37">
        <f>if(ISNA(vlookup($A748, FFToolbox!$B$2:$E$414, 4, false)), 0, vlookup($A748, FFToolbox!$B$2:$E$414, 4, false))</f>
        <v>0</v>
      </c>
      <c r="M748" s="39">
        <f t="shared" si="1"/>
        <v>0</v>
      </c>
      <c r="N748" s="39">
        <f t="shared" si="2"/>
        <v>0</v>
      </c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</row>
    <row r="749">
      <c r="A749" s="17" t="s">
        <v>1099</v>
      </c>
      <c r="B749" s="35" t="s">
        <v>1259</v>
      </c>
      <c r="C749" s="35" t="s">
        <v>1260</v>
      </c>
      <c r="D749" s="36" t="s">
        <v>262</v>
      </c>
      <c r="E749" s="36" t="s">
        <v>13</v>
      </c>
      <c r="F749" s="36" t="str">
        <f>vlookup(D749,'Team Bye List'!$A$1:$B$33,2,False)</f>
        <v>#N/A</v>
      </c>
      <c r="G749" s="37">
        <f>if(ISNA(vlookup($A749, Sleeper!$B$2:$E$330, 4, false)), 0, vlookup($A749, Sleeper!$B$2:$E$330, 4, false))</f>
        <v>0</v>
      </c>
      <c r="H749" s="37">
        <f>if(ISNA(vlookup($A749, ESPN!$B$2:$E$297, 4, false)), 0, vlookup($A749, ESPN!$B$2:$E$297, 4, false))</f>
        <v>0</v>
      </c>
      <c r="I749" s="37">
        <f>if(ISNA(vlookup($A749,'Ultimate Draft Kit'!$B$2:$E$324,4, false)), 0, vlookup($A749,'Ultimate Draft Kit'!$B$2:$E$324, 4, false))</f>
        <v>0</v>
      </c>
      <c r="J749" s="38">
        <f>if(ISNA(vlookup($A749,Rotowire!$B$2:$E$1075,4, false)), 0, vlookup($A749,Rotowire!$B$2:$E$1075, 4, false))</f>
        <v>0</v>
      </c>
      <c r="K749" s="37">
        <f>if(ISNA(vlookup($A749, FantasyPro!$B$2:$E$341,4,false)),0,vlookup($A749,FantasyPro!$B$2:$E$341,4,false))</f>
        <v>0</v>
      </c>
      <c r="L749" s="37">
        <f>if(ISNA(vlookup($A749, FFToolbox!$B$2:$E$414, 4, false)), 0, vlookup($A749, FFToolbox!$B$2:$E$414, 4, false))</f>
        <v>0</v>
      </c>
      <c r="M749" s="39">
        <f t="shared" si="1"/>
        <v>0</v>
      </c>
      <c r="N749" s="39">
        <f t="shared" si="2"/>
        <v>0</v>
      </c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</row>
    <row r="750">
      <c r="A750" s="17" t="s">
        <v>1100</v>
      </c>
      <c r="B750" s="35" t="s">
        <v>1259</v>
      </c>
      <c r="C750" s="35" t="s">
        <v>1260</v>
      </c>
      <c r="D750" s="36" t="s">
        <v>25</v>
      </c>
      <c r="E750" s="36" t="s">
        <v>13</v>
      </c>
      <c r="F750" s="36">
        <f>vlookup(D750,'Team Bye List'!$A$1:$B$33,2,False)</f>
        <v>7</v>
      </c>
      <c r="G750" s="37">
        <f>if(ISNA(vlookup($A750, Sleeper!$B$2:$E$330, 4, false)), 0, vlookup($A750, Sleeper!$B$2:$E$330, 4, false))</f>
        <v>0</v>
      </c>
      <c r="H750" s="37">
        <f>if(ISNA(vlookup($A750, ESPN!$B$2:$E$297, 4, false)), 0, vlookup($A750, ESPN!$B$2:$E$297, 4, false))</f>
        <v>0</v>
      </c>
      <c r="I750" s="37">
        <f>if(ISNA(vlookup($A750,'Ultimate Draft Kit'!$B$2:$E$324,4, false)), 0, vlookup($A750,'Ultimate Draft Kit'!$B$2:$E$324, 4, false))</f>
        <v>0</v>
      </c>
      <c r="J750" s="38">
        <f>if(ISNA(vlookup($A750,Rotowire!$B$2:$E$1075,4, false)), 0, vlookup($A750,Rotowire!$B$2:$E$1075, 4, false))</f>
        <v>0</v>
      </c>
      <c r="K750" s="37">
        <f>if(ISNA(vlookup($A750, FantasyPro!$B$2:$E$341,4,false)),0,vlookup($A750,FantasyPro!$B$2:$E$341,4,false))</f>
        <v>0</v>
      </c>
      <c r="L750" s="37">
        <f>if(ISNA(vlookup($A750, FFToolbox!$B$2:$E$414, 4, false)), 0, vlookup($A750, FFToolbox!$B$2:$E$414, 4, false))</f>
        <v>0</v>
      </c>
      <c r="M750" s="39">
        <f t="shared" si="1"/>
        <v>0</v>
      </c>
      <c r="N750" s="39">
        <f t="shared" si="2"/>
        <v>0</v>
      </c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</row>
    <row r="751">
      <c r="A751" s="17" t="s">
        <v>643</v>
      </c>
      <c r="B751" s="35" t="s">
        <v>1259</v>
      </c>
      <c r="C751" s="35" t="s">
        <v>1260</v>
      </c>
      <c r="D751" s="36" t="s">
        <v>45</v>
      </c>
      <c r="E751" s="36" t="s">
        <v>13</v>
      </c>
      <c r="F751" s="36">
        <f>vlookup(D751,'Team Bye List'!$A$1:$B$33,2,False)</f>
        <v>13</v>
      </c>
      <c r="G751" s="37">
        <f>if(ISNA(vlookup($A751, Sleeper!$B$2:$E$330, 4, false)), 0, vlookup($A751, Sleeper!$B$2:$E$330, 4, false))</f>
        <v>0</v>
      </c>
      <c r="H751" s="37">
        <f>if(ISNA(vlookup($A751, ESPN!$B$2:$E$297, 4, false)), 0, vlookup($A751, ESPN!$B$2:$E$297, 4, false))</f>
        <v>0</v>
      </c>
      <c r="I751" s="37">
        <f>if(ISNA(vlookup($A751,'Ultimate Draft Kit'!$B$2:$E$324,4, false)), 0, vlookup($A751,'Ultimate Draft Kit'!$B$2:$E$324, 4, false))</f>
        <v>0</v>
      </c>
      <c r="J751" s="38">
        <f>if(ISNA(vlookup($A751,Rotowire!$B$2:$E$1075,4, false)), 0, vlookup($A751,Rotowire!$B$2:$E$1075, 4, false))</f>
        <v>0</v>
      </c>
      <c r="K751" s="37">
        <f>if(ISNA(vlookup($A751, FantasyPro!$B$2:$E$341,4,false)),0,vlookup($A751,FantasyPro!$B$2:$E$341,4,false))</f>
        <v>0</v>
      </c>
      <c r="L751" s="37">
        <f>if(ISNA(vlookup($A751, FFToolbox!$B$2:$E$414, 4, false)), 0, vlookup($A751, FFToolbox!$B$2:$E$414, 4, false))</f>
        <v>0</v>
      </c>
      <c r="M751" s="39">
        <f t="shared" si="1"/>
        <v>0</v>
      </c>
      <c r="N751" s="39">
        <f t="shared" si="2"/>
        <v>0</v>
      </c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</row>
    <row r="752">
      <c r="A752" s="17" t="s">
        <v>689</v>
      </c>
      <c r="B752" s="35" t="s">
        <v>1259</v>
      </c>
      <c r="C752" s="35" t="s">
        <v>1260</v>
      </c>
      <c r="D752" s="36" t="s">
        <v>81</v>
      </c>
      <c r="E752" s="36" t="s">
        <v>13</v>
      </c>
      <c r="F752" s="36">
        <f>vlookup(D752,'Team Bye List'!$A$1:$B$33,2,False)</f>
        <v>6</v>
      </c>
      <c r="G752" s="37">
        <f>if(ISNA(vlookup($A752, Sleeper!$B$2:$E$330, 4, false)), 0, vlookup($A752, Sleeper!$B$2:$E$330, 4, false))</f>
        <v>0</v>
      </c>
      <c r="H752" s="37">
        <f>if(ISNA(vlookup($A752, ESPN!$B$2:$E$297, 4, false)), 0, vlookup($A752, ESPN!$B$2:$E$297, 4, false))</f>
        <v>0</v>
      </c>
      <c r="I752" s="37">
        <f>if(ISNA(vlookup($A752,'Ultimate Draft Kit'!$B$2:$E$324,4, false)), 0, vlookup($A752,'Ultimate Draft Kit'!$B$2:$E$324, 4, false))</f>
        <v>0</v>
      </c>
      <c r="J752" s="38">
        <f>if(ISNA(vlookup($A752,Rotowire!$B$2:$E$1075,4, false)), 0, vlookup($A752,Rotowire!$B$2:$E$1075, 4, false))</f>
        <v>0</v>
      </c>
      <c r="K752" s="37">
        <f>if(ISNA(vlookup($A752, FantasyPro!$B$2:$E$341,4,false)),0,vlookup($A752,FantasyPro!$B$2:$E$341,4,false))</f>
        <v>0</v>
      </c>
      <c r="L752" s="37">
        <f>if(ISNA(vlookup($A752, FFToolbox!$B$2:$E$414, 4, false)), 0, vlookup($A752, FFToolbox!$B$2:$E$414, 4, false))</f>
        <v>0</v>
      </c>
      <c r="M752" s="39">
        <f t="shared" si="1"/>
        <v>0</v>
      </c>
      <c r="N752" s="39">
        <f t="shared" si="2"/>
        <v>0</v>
      </c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</row>
    <row r="753">
      <c r="A753" s="17" t="s">
        <v>688</v>
      </c>
      <c r="B753" s="35" t="s">
        <v>1259</v>
      </c>
      <c r="C753" s="35" t="s">
        <v>1260</v>
      </c>
      <c r="D753" s="36" t="s">
        <v>15</v>
      </c>
      <c r="E753" s="36" t="s">
        <v>13</v>
      </c>
      <c r="F753" s="36">
        <f>vlookup(D753,'Team Bye List'!$A$1:$B$33,2,False)</f>
        <v>6</v>
      </c>
      <c r="G753" s="37">
        <f>if(ISNA(vlookup($A753, Sleeper!$B$2:$E$330, 4, false)), 0, vlookup($A753, Sleeper!$B$2:$E$330, 4, false))</f>
        <v>0</v>
      </c>
      <c r="H753" s="37">
        <f>if(ISNA(vlookup($A753, ESPN!$B$2:$E$297, 4, false)), 0, vlookup($A753, ESPN!$B$2:$E$297, 4, false))</f>
        <v>0</v>
      </c>
      <c r="I753" s="37">
        <f>if(ISNA(vlookup($A753,'Ultimate Draft Kit'!$B$2:$E$324,4, false)), 0, vlookup($A753,'Ultimate Draft Kit'!$B$2:$E$324, 4, false))</f>
        <v>0</v>
      </c>
      <c r="J753" s="38">
        <f>if(ISNA(vlookup($A753,Rotowire!$B$2:$E$1075,4, false)), 0, vlookup($A753,Rotowire!$B$2:$E$1075, 4, false))</f>
        <v>0</v>
      </c>
      <c r="K753" s="37">
        <f>if(ISNA(vlookup($A753, FantasyPro!$B$2:$E$341,4,false)),0,vlookup($A753,FantasyPro!$B$2:$E$341,4,false))</f>
        <v>0</v>
      </c>
      <c r="L753" s="37">
        <f>if(ISNA(vlookup($A753, FFToolbox!$B$2:$E$414, 4, false)), 0, vlookup($A753, FFToolbox!$B$2:$E$414, 4, false))</f>
        <v>0</v>
      </c>
      <c r="M753" s="39">
        <f t="shared" si="1"/>
        <v>0</v>
      </c>
      <c r="N753" s="39">
        <f t="shared" si="2"/>
        <v>0</v>
      </c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</row>
    <row r="754">
      <c r="A754" s="17" t="s">
        <v>1101</v>
      </c>
      <c r="B754" s="35" t="s">
        <v>1259</v>
      </c>
      <c r="C754" s="35" t="s">
        <v>1260</v>
      </c>
      <c r="D754" s="36" t="s">
        <v>47</v>
      </c>
      <c r="E754" s="36" t="s">
        <v>13</v>
      </c>
      <c r="F754" s="36">
        <f>vlookup(D754,'Team Bye List'!$A$1:$B$33,2,False)</f>
        <v>14</v>
      </c>
      <c r="G754" s="37">
        <f>if(ISNA(vlookup($A754, Sleeper!$B$2:$E$330, 4, false)), 0, vlookup($A754, Sleeper!$B$2:$E$330, 4, false))</f>
        <v>0</v>
      </c>
      <c r="H754" s="37">
        <f>if(ISNA(vlookup($A754, ESPN!$B$2:$E$297, 4, false)), 0, vlookup($A754, ESPN!$B$2:$E$297, 4, false))</f>
        <v>0</v>
      </c>
      <c r="I754" s="37">
        <f>if(ISNA(vlookup($A754,'Ultimate Draft Kit'!$B$2:$E$324,4, false)), 0, vlookup($A754,'Ultimate Draft Kit'!$B$2:$E$324, 4, false))</f>
        <v>0</v>
      </c>
      <c r="J754" s="38">
        <f>if(ISNA(vlookup($A754,Rotowire!$B$2:$E$1075,4, false)), 0, vlookup($A754,Rotowire!$B$2:$E$1075, 4, false))</f>
        <v>0</v>
      </c>
      <c r="K754" s="37">
        <f>if(ISNA(vlookup($A754, FantasyPro!$B$2:$E$341,4,false)),0,vlookup($A754,FantasyPro!$B$2:$E$341,4,false))</f>
        <v>0</v>
      </c>
      <c r="L754" s="37">
        <f>if(ISNA(vlookup($A754, FFToolbox!$B$2:$E$414, 4, false)), 0, vlookup($A754, FFToolbox!$B$2:$E$414, 4, false))</f>
        <v>0</v>
      </c>
      <c r="M754" s="39">
        <f t="shared" si="1"/>
        <v>0</v>
      </c>
      <c r="N754" s="39">
        <f t="shared" si="2"/>
        <v>0</v>
      </c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</row>
    <row r="755">
      <c r="A755" s="17" t="s">
        <v>1102</v>
      </c>
      <c r="B755" s="35" t="s">
        <v>1259</v>
      </c>
      <c r="C755" s="35" t="s">
        <v>1260</v>
      </c>
      <c r="D755" s="36" t="s">
        <v>89</v>
      </c>
      <c r="E755" s="36" t="s">
        <v>13</v>
      </c>
      <c r="F755" s="36">
        <f>vlookup(D755,'Team Bye List'!$A$1:$B$33,2,False)</f>
        <v>14</v>
      </c>
      <c r="G755" s="37">
        <f>if(ISNA(vlookup($A755, Sleeper!$B$2:$E$330, 4, false)), 0, vlookup($A755, Sleeper!$B$2:$E$330, 4, false))</f>
        <v>0</v>
      </c>
      <c r="H755" s="37">
        <f>if(ISNA(vlookup($A755, ESPN!$B$2:$E$297, 4, false)), 0, vlookup($A755, ESPN!$B$2:$E$297, 4, false))</f>
        <v>0</v>
      </c>
      <c r="I755" s="37">
        <f>if(ISNA(vlookup($A755,'Ultimate Draft Kit'!$B$2:$E$324,4, false)), 0, vlookup($A755,'Ultimate Draft Kit'!$B$2:$E$324, 4, false))</f>
        <v>0</v>
      </c>
      <c r="J755" s="38">
        <f>if(ISNA(vlookup($A755,Rotowire!$B$2:$E$1075,4, false)), 0, vlookup($A755,Rotowire!$B$2:$E$1075, 4, false))</f>
        <v>0</v>
      </c>
      <c r="K755" s="37">
        <f>if(ISNA(vlookup($A755, FantasyPro!$B$2:$E$341,4,false)),0,vlookup($A755,FantasyPro!$B$2:$E$341,4,false))</f>
        <v>0</v>
      </c>
      <c r="L755" s="37">
        <f>if(ISNA(vlookup($A755, FFToolbox!$B$2:$E$414, 4, false)), 0, vlookup($A755, FFToolbox!$B$2:$E$414, 4, false))</f>
        <v>0</v>
      </c>
      <c r="M755" s="39">
        <f t="shared" si="1"/>
        <v>0</v>
      </c>
      <c r="N755" s="39">
        <f t="shared" si="2"/>
        <v>0</v>
      </c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</row>
    <row r="756">
      <c r="A756" s="17" t="s">
        <v>1103</v>
      </c>
      <c r="B756" s="35" t="s">
        <v>1259</v>
      </c>
      <c r="C756" s="35" t="s">
        <v>1260</v>
      </c>
      <c r="D756" s="36" t="s">
        <v>262</v>
      </c>
      <c r="E756" s="36" t="s">
        <v>13</v>
      </c>
      <c r="F756" s="36" t="str">
        <f>vlookup(D756,'Team Bye List'!$A$1:$B$33,2,False)</f>
        <v>#N/A</v>
      </c>
      <c r="G756" s="37">
        <f>if(ISNA(vlookup($A756, Sleeper!$B$2:$E$330, 4, false)), 0, vlookup($A756, Sleeper!$B$2:$E$330, 4, false))</f>
        <v>0</v>
      </c>
      <c r="H756" s="37">
        <f>if(ISNA(vlookup($A756, ESPN!$B$2:$E$297, 4, false)), 0, vlookup($A756, ESPN!$B$2:$E$297, 4, false))</f>
        <v>0</v>
      </c>
      <c r="I756" s="37">
        <f>if(ISNA(vlookup($A756,'Ultimate Draft Kit'!$B$2:$E$324,4, false)), 0, vlookup($A756,'Ultimate Draft Kit'!$B$2:$E$324, 4, false))</f>
        <v>0</v>
      </c>
      <c r="J756" s="38">
        <f>if(ISNA(vlookup($A756,Rotowire!$B$2:$E$1075,4, false)), 0, vlookup($A756,Rotowire!$B$2:$E$1075, 4, false))</f>
        <v>0</v>
      </c>
      <c r="K756" s="37">
        <f>if(ISNA(vlookup($A756, FantasyPro!$B$2:$E$341,4,false)),0,vlookup($A756,FantasyPro!$B$2:$E$341,4,false))</f>
        <v>0</v>
      </c>
      <c r="L756" s="37">
        <f>if(ISNA(vlookup($A756, FFToolbox!$B$2:$E$414, 4, false)), 0, vlookup($A756, FFToolbox!$B$2:$E$414, 4, false))</f>
        <v>0</v>
      </c>
      <c r="M756" s="39">
        <f t="shared" si="1"/>
        <v>0</v>
      </c>
      <c r="N756" s="39">
        <f t="shared" si="2"/>
        <v>0</v>
      </c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</row>
    <row r="757">
      <c r="A757" s="17" t="s">
        <v>1104</v>
      </c>
      <c r="B757" s="35" t="s">
        <v>1259</v>
      </c>
      <c r="C757" s="35" t="s">
        <v>1260</v>
      </c>
      <c r="D757" s="36" t="s">
        <v>262</v>
      </c>
      <c r="E757" s="36" t="s">
        <v>13</v>
      </c>
      <c r="F757" s="36" t="str">
        <f>vlookup(D757,'Team Bye List'!$A$1:$B$33,2,False)</f>
        <v>#N/A</v>
      </c>
      <c r="G757" s="37">
        <f>if(ISNA(vlookup($A757, Sleeper!$B$2:$E$330, 4, false)), 0, vlookup($A757, Sleeper!$B$2:$E$330, 4, false))</f>
        <v>0</v>
      </c>
      <c r="H757" s="37">
        <f>if(ISNA(vlookup($A757, ESPN!$B$2:$E$297, 4, false)), 0, vlookup($A757, ESPN!$B$2:$E$297, 4, false))</f>
        <v>0</v>
      </c>
      <c r="I757" s="37">
        <f>if(ISNA(vlookup($A757,'Ultimate Draft Kit'!$B$2:$E$324,4, false)), 0, vlookup($A757,'Ultimate Draft Kit'!$B$2:$E$324, 4, false))</f>
        <v>0</v>
      </c>
      <c r="J757" s="38">
        <f>if(ISNA(vlookup($A757,Rotowire!$B$2:$E$1075,4, false)), 0, vlookup($A757,Rotowire!$B$2:$E$1075, 4, false))</f>
        <v>0</v>
      </c>
      <c r="K757" s="37">
        <f>if(ISNA(vlookup($A757, FantasyPro!$B$2:$E$341,4,false)),0,vlookup($A757,FantasyPro!$B$2:$E$341,4,false))</f>
        <v>0</v>
      </c>
      <c r="L757" s="37">
        <f>if(ISNA(vlookup($A757, FFToolbox!$B$2:$E$414, 4, false)), 0, vlookup($A757, FFToolbox!$B$2:$E$414, 4, false))</f>
        <v>0</v>
      </c>
      <c r="M757" s="39">
        <f t="shared" si="1"/>
        <v>0</v>
      </c>
      <c r="N757" s="39">
        <f t="shared" si="2"/>
        <v>0</v>
      </c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</row>
    <row r="758">
      <c r="A758" s="17" t="s">
        <v>1105</v>
      </c>
      <c r="B758" s="35" t="s">
        <v>1259</v>
      </c>
      <c r="C758" s="35" t="s">
        <v>1260</v>
      </c>
      <c r="D758" s="36" t="s">
        <v>41</v>
      </c>
      <c r="E758" s="36" t="s">
        <v>13</v>
      </c>
      <c r="F758" s="36">
        <f>vlookup(D758,'Team Bye List'!$A$1:$B$33,2,False)</f>
        <v>14</v>
      </c>
      <c r="G758" s="37">
        <f>if(ISNA(vlookup($A758, Sleeper!$B$2:$E$330, 4, false)), 0, vlookup($A758, Sleeper!$B$2:$E$330, 4, false))</f>
        <v>0</v>
      </c>
      <c r="H758" s="37">
        <f>if(ISNA(vlookup($A758, ESPN!$B$2:$E$297, 4, false)), 0, vlookup($A758, ESPN!$B$2:$E$297, 4, false))</f>
        <v>0</v>
      </c>
      <c r="I758" s="37">
        <f>if(ISNA(vlookup($A758,'Ultimate Draft Kit'!$B$2:$E$324,4, false)), 0, vlookup($A758,'Ultimate Draft Kit'!$B$2:$E$324, 4, false))</f>
        <v>0</v>
      </c>
      <c r="J758" s="38">
        <f>if(ISNA(vlookup($A758,Rotowire!$B$2:$E$1075,4, false)), 0, vlookup($A758,Rotowire!$B$2:$E$1075, 4, false))</f>
        <v>0</v>
      </c>
      <c r="K758" s="37">
        <f>if(ISNA(vlookup($A758, FantasyPro!$B$2:$E$341,4,false)),0,vlookup($A758,FantasyPro!$B$2:$E$341,4,false))</f>
        <v>0</v>
      </c>
      <c r="L758" s="37">
        <f>if(ISNA(vlookup($A758, FFToolbox!$B$2:$E$414, 4, false)), 0, vlookup($A758, FFToolbox!$B$2:$E$414, 4, false))</f>
        <v>0</v>
      </c>
      <c r="M758" s="39">
        <f t="shared" si="1"/>
        <v>0</v>
      </c>
      <c r="N758" s="39">
        <f t="shared" si="2"/>
        <v>0</v>
      </c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</row>
    <row r="759">
      <c r="A759" s="17" t="s">
        <v>1106</v>
      </c>
      <c r="B759" s="35" t="s">
        <v>1259</v>
      </c>
      <c r="C759" s="35" t="s">
        <v>1260</v>
      </c>
      <c r="D759" s="36" t="s">
        <v>21</v>
      </c>
      <c r="E759" s="36" t="s">
        <v>13</v>
      </c>
      <c r="F759" s="36">
        <f>vlookup(D759,'Team Bye List'!$A$1:$B$33,2,False)</f>
        <v>6</v>
      </c>
      <c r="G759" s="37">
        <f>if(ISNA(vlookup($A759, Sleeper!$B$2:$E$330, 4, false)), 0, vlookup($A759, Sleeper!$B$2:$E$330, 4, false))</f>
        <v>0</v>
      </c>
      <c r="H759" s="37">
        <f>if(ISNA(vlookup($A759, ESPN!$B$2:$E$297, 4, false)), 0, vlookup($A759, ESPN!$B$2:$E$297, 4, false))</f>
        <v>0</v>
      </c>
      <c r="I759" s="37">
        <f>if(ISNA(vlookup($A759,'Ultimate Draft Kit'!$B$2:$E$324,4, false)), 0, vlookup($A759,'Ultimate Draft Kit'!$B$2:$E$324, 4, false))</f>
        <v>0</v>
      </c>
      <c r="J759" s="38">
        <f>if(ISNA(vlookup($A759,Rotowire!$B$2:$E$1075,4, false)), 0, vlookup($A759,Rotowire!$B$2:$E$1075, 4, false))</f>
        <v>0</v>
      </c>
      <c r="K759" s="37">
        <f>if(ISNA(vlookup($A759, FantasyPro!$B$2:$E$341,4,false)),0,vlookup($A759,FantasyPro!$B$2:$E$341,4,false))</f>
        <v>0</v>
      </c>
      <c r="L759" s="37">
        <f>if(ISNA(vlookup($A759, FFToolbox!$B$2:$E$414, 4, false)), 0, vlookup($A759, FFToolbox!$B$2:$E$414, 4, false))</f>
        <v>0</v>
      </c>
      <c r="M759" s="39">
        <f t="shared" si="1"/>
        <v>0</v>
      </c>
      <c r="N759" s="39">
        <f t="shared" si="2"/>
        <v>0</v>
      </c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</row>
    <row r="760">
      <c r="A760" s="17" t="s">
        <v>617</v>
      </c>
      <c r="B760" s="35" t="s">
        <v>1259</v>
      </c>
      <c r="C760" s="35" t="s">
        <v>1260</v>
      </c>
      <c r="D760" s="36" t="s">
        <v>55</v>
      </c>
      <c r="E760" s="36" t="s">
        <v>13</v>
      </c>
      <c r="F760" s="36">
        <f>vlookup(D760,'Team Bye List'!$A$1:$B$33,2,False)</f>
        <v>14</v>
      </c>
      <c r="G760" s="37">
        <f>if(ISNA(vlookup($A760, Sleeper!$B$2:$E$330, 4, false)), 0, vlookup($A760, Sleeper!$B$2:$E$330, 4, false))</f>
        <v>0</v>
      </c>
      <c r="H760" s="37">
        <f>if(ISNA(vlookup($A760, ESPN!$B$2:$E$297, 4, false)), 0, vlookup($A760, ESPN!$B$2:$E$297, 4, false))</f>
        <v>0</v>
      </c>
      <c r="I760" s="37">
        <f>if(ISNA(vlookup($A760,'Ultimate Draft Kit'!$B$2:$E$324,4, false)), 0, vlookup($A760,'Ultimate Draft Kit'!$B$2:$E$324, 4, false))</f>
        <v>0</v>
      </c>
      <c r="J760" s="38">
        <f>if(ISNA(vlookup($A760,Rotowire!$B$2:$E$1075,4, false)), 0, vlookup($A760,Rotowire!$B$2:$E$1075, 4, false))</f>
        <v>0</v>
      </c>
      <c r="K760" s="37">
        <f>if(ISNA(vlookup($A760, FantasyPro!$B$2:$E$341,4,false)),0,vlookup($A760,FantasyPro!$B$2:$E$341,4,false))</f>
        <v>0</v>
      </c>
      <c r="L760" s="37">
        <f>if(ISNA(vlookup($A760, FFToolbox!$B$2:$E$414, 4, false)), 0, vlookup($A760, FFToolbox!$B$2:$E$414, 4, false))</f>
        <v>1</v>
      </c>
      <c r="M760" s="39">
        <f t="shared" si="1"/>
        <v>0.1666666667</v>
      </c>
      <c r="N760" s="39">
        <f t="shared" si="2"/>
        <v>1</v>
      </c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</row>
    <row r="761">
      <c r="A761" s="17" t="s">
        <v>1107</v>
      </c>
      <c r="B761" s="35" t="s">
        <v>1259</v>
      </c>
      <c r="C761" s="35" t="s">
        <v>1260</v>
      </c>
      <c r="D761" s="36" t="s">
        <v>262</v>
      </c>
      <c r="E761" s="36" t="s">
        <v>13</v>
      </c>
      <c r="F761" s="36" t="str">
        <f>vlookup(D761,'Team Bye List'!$A$1:$B$33,2,False)</f>
        <v>#N/A</v>
      </c>
      <c r="G761" s="37">
        <f>if(ISNA(vlookup($A761, Sleeper!$B$2:$E$330, 4, false)), 0, vlookup($A761, Sleeper!$B$2:$E$330, 4, false))</f>
        <v>0</v>
      </c>
      <c r="H761" s="37">
        <f>if(ISNA(vlookup($A761, ESPN!$B$2:$E$297, 4, false)), 0, vlookup($A761, ESPN!$B$2:$E$297, 4, false))</f>
        <v>0</v>
      </c>
      <c r="I761" s="37">
        <f>if(ISNA(vlookup($A761,'Ultimate Draft Kit'!$B$2:$E$324,4, false)), 0, vlookup($A761,'Ultimate Draft Kit'!$B$2:$E$324, 4, false))</f>
        <v>0</v>
      </c>
      <c r="J761" s="38">
        <f>if(ISNA(vlookup($A761,Rotowire!$B$2:$E$1075,4, false)), 0, vlookup($A761,Rotowire!$B$2:$E$1075, 4, false))</f>
        <v>0</v>
      </c>
      <c r="K761" s="37">
        <f>if(ISNA(vlookup($A761, FantasyPro!$B$2:$E$341,4,false)),0,vlookup($A761,FantasyPro!$B$2:$E$341,4,false))</f>
        <v>0</v>
      </c>
      <c r="L761" s="37">
        <f>if(ISNA(vlookup($A761, FFToolbox!$B$2:$E$414, 4, false)), 0, vlookup($A761, FFToolbox!$B$2:$E$414, 4, false))</f>
        <v>0</v>
      </c>
      <c r="M761" s="39">
        <f t="shared" si="1"/>
        <v>0</v>
      </c>
      <c r="N761" s="39">
        <f t="shared" si="2"/>
        <v>0</v>
      </c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</row>
    <row r="762">
      <c r="A762" s="17" t="s">
        <v>1108</v>
      </c>
      <c r="B762" s="35" t="s">
        <v>1259</v>
      </c>
      <c r="C762" s="35" t="s">
        <v>1260</v>
      </c>
      <c r="D762" s="36" t="s">
        <v>262</v>
      </c>
      <c r="E762" s="36" t="s">
        <v>13</v>
      </c>
      <c r="F762" s="36" t="str">
        <f>vlookup(D762,'Team Bye List'!$A$1:$B$33,2,False)</f>
        <v>#N/A</v>
      </c>
      <c r="G762" s="37">
        <f>if(ISNA(vlookup($A762, Sleeper!$B$2:$E$330, 4, false)), 0, vlookup($A762, Sleeper!$B$2:$E$330, 4, false))</f>
        <v>0</v>
      </c>
      <c r="H762" s="37">
        <f>if(ISNA(vlookup($A762, ESPN!$B$2:$E$297, 4, false)), 0, vlookup($A762, ESPN!$B$2:$E$297, 4, false))</f>
        <v>0</v>
      </c>
      <c r="I762" s="37">
        <f>if(ISNA(vlookup($A762,'Ultimate Draft Kit'!$B$2:$E$324,4, false)), 0, vlookup($A762,'Ultimate Draft Kit'!$B$2:$E$324, 4, false))</f>
        <v>0</v>
      </c>
      <c r="J762" s="38">
        <f>if(ISNA(vlookup($A762,Rotowire!$B$2:$E$1075,4, false)), 0, vlookup($A762,Rotowire!$B$2:$E$1075, 4, false))</f>
        <v>0</v>
      </c>
      <c r="K762" s="37">
        <f>if(ISNA(vlookup($A762, FantasyPro!$B$2:$E$341,4,false)),0,vlookup($A762,FantasyPro!$B$2:$E$341,4,false))</f>
        <v>0</v>
      </c>
      <c r="L762" s="37">
        <f>if(ISNA(vlookup($A762, FFToolbox!$B$2:$E$414, 4, false)), 0, vlookup($A762, FFToolbox!$B$2:$E$414, 4, false))</f>
        <v>0</v>
      </c>
      <c r="M762" s="39">
        <f t="shared" si="1"/>
        <v>0</v>
      </c>
      <c r="N762" s="39">
        <f t="shared" si="2"/>
        <v>0</v>
      </c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</row>
    <row r="763">
      <c r="A763" s="17" t="s">
        <v>1109</v>
      </c>
      <c r="B763" s="35" t="s">
        <v>1259</v>
      </c>
      <c r="C763" s="35" t="s">
        <v>1260</v>
      </c>
      <c r="D763" s="36" t="s">
        <v>262</v>
      </c>
      <c r="E763" s="36" t="s">
        <v>13</v>
      </c>
      <c r="F763" s="36" t="str">
        <f>vlookup(D763,'Team Bye List'!$A$1:$B$33,2,False)</f>
        <v>#N/A</v>
      </c>
      <c r="G763" s="37">
        <f>if(ISNA(vlookup($A763, Sleeper!$B$2:$E$330, 4, false)), 0, vlookup($A763, Sleeper!$B$2:$E$330, 4, false))</f>
        <v>0</v>
      </c>
      <c r="H763" s="37">
        <f>if(ISNA(vlookup($A763, ESPN!$B$2:$E$297, 4, false)), 0, vlookup($A763, ESPN!$B$2:$E$297, 4, false))</f>
        <v>0</v>
      </c>
      <c r="I763" s="37">
        <f>if(ISNA(vlookup($A763,'Ultimate Draft Kit'!$B$2:$E$324,4, false)), 0, vlookup($A763,'Ultimate Draft Kit'!$B$2:$E$324, 4, false))</f>
        <v>0</v>
      </c>
      <c r="J763" s="38">
        <f>if(ISNA(vlookup($A763,Rotowire!$B$2:$E$1075,4, false)), 0, vlookup($A763,Rotowire!$B$2:$E$1075, 4, false))</f>
        <v>0</v>
      </c>
      <c r="K763" s="37">
        <f>if(ISNA(vlookup($A763, FantasyPro!$B$2:$E$341,4,false)),0,vlookup($A763,FantasyPro!$B$2:$E$341,4,false))</f>
        <v>0</v>
      </c>
      <c r="L763" s="37">
        <f>if(ISNA(vlookup($A763, FFToolbox!$B$2:$E$414, 4, false)), 0, vlookup($A763, FFToolbox!$B$2:$E$414, 4, false))</f>
        <v>0</v>
      </c>
      <c r="M763" s="39">
        <f t="shared" si="1"/>
        <v>0</v>
      </c>
      <c r="N763" s="39">
        <f t="shared" si="2"/>
        <v>0</v>
      </c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</row>
    <row r="764">
      <c r="A764" s="17" t="s">
        <v>1110</v>
      </c>
      <c r="B764" s="35" t="s">
        <v>1259</v>
      </c>
      <c r="C764" s="35" t="s">
        <v>1260</v>
      </c>
      <c r="D764" s="36" t="s">
        <v>262</v>
      </c>
      <c r="E764" s="36" t="s">
        <v>13</v>
      </c>
      <c r="F764" s="36" t="str">
        <f>vlookup(D764,'Team Bye List'!$A$1:$B$33,2,False)</f>
        <v>#N/A</v>
      </c>
      <c r="G764" s="37">
        <f>if(ISNA(vlookup($A764, Sleeper!$B$2:$E$330, 4, false)), 0, vlookup($A764, Sleeper!$B$2:$E$330, 4, false))</f>
        <v>0</v>
      </c>
      <c r="H764" s="37">
        <f>if(ISNA(vlookup($A764, ESPN!$B$2:$E$297, 4, false)), 0, vlookup($A764, ESPN!$B$2:$E$297, 4, false))</f>
        <v>0</v>
      </c>
      <c r="I764" s="37">
        <f>if(ISNA(vlookup($A764,'Ultimate Draft Kit'!$B$2:$E$324,4, false)), 0, vlookup($A764,'Ultimate Draft Kit'!$B$2:$E$324, 4, false))</f>
        <v>0</v>
      </c>
      <c r="J764" s="38">
        <f>if(ISNA(vlookup($A764,Rotowire!$B$2:$E$1075,4, false)), 0, vlookup($A764,Rotowire!$B$2:$E$1075, 4, false))</f>
        <v>0</v>
      </c>
      <c r="K764" s="37">
        <f>if(ISNA(vlookup($A764, FantasyPro!$B$2:$E$341,4,false)),0,vlookup($A764,FantasyPro!$B$2:$E$341,4,false))</f>
        <v>0</v>
      </c>
      <c r="L764" s="37">
        <f>if(ISNA(vlookup($A764, FFToolbox!$B$2:$E$414, 4, false)), 0, vlookup($A764, FFToolbox!$B$2:$E$414, 4, false))</f>
        <v>0</v>
      </c>
      <c r="M764" s="39">
        <f t="shared" si="1"/>
        <v>0</v>
      </c>
      <c r="N764" s="39">
        <f t="shared" si="2"/>
        <v>0</v>
      </c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</row>
    <row r="765">
      <c r="A765" s="17" t="s">
        <v>1111</v>
      </c>
      <c r="B765" s="35" t="s">
        <v>1259</v>
      </c>
      <c r="C765" s="35" t="s">
        <v>1260</v>
      </c>
      <c r="D765" s="36" t="s">
        <v>119</v>
      </c>
      <c r="E765" s="36" t="s">
        <v>13</v>
      </c>
      <c r="F765" s="36">
        <f>vlookup(D765,'Team Bye List'!$A$1:$B$33,2,False)</f>
        <v>10</v>
      </c>
      <c r="G765" s="37">
        <f>if(ISNA(vlookup($A765, Sleeper!$B$2:$E$330, 4, false)), 0, vlookup($A765, Sleeper!$B$2:$E$330, 4, false))</f>
        <v>0</v>
      </c>
      <c r="H765" s="37">
        <f>if(ISNA(vlookup($A765, ESPN!$B$2:$E$297, 4, false)), 0, vlookup($A765, ESPN!$B$2:$E$297, 4, false))</f>
        <v>0</v>
      </c>
      <c r="I765" s="37">
        <f>if(ISNA(vlookup($A765,'Ultimate Draft Kit'!$B$2:$E$324,4, false)), 0, vlookup($A765,'Ultimate Draft Kit'!$B$2:$E$324, 4, false))</f>
        <v>0</v>
      </c>
      <c r="J765" s="38">
        <f>if(ISNA(vlookup($A765,Rotowire!$B$2:$E$1075,4, false)), 0, vlookup($A765,Rotowire!$B$2:$E$1075, 4, false))</f>
        <v>0</v>
      </c>
      <c r="K765" s="37">
        <f>if(ISNA(vlookup($A765, FantasyPro!$B$2:$E$341,4,false)),0,vlookup($A765,FantasyPro!$B$2:$E$341,4,false))</f>
        <v>0</v>
      </c>
      <c r="L765" s="37">
        <f>if(ISNA(vlookup($A765, FFToolbox!$B$2:$E$414, 4, false)), 0, vlookup($A765, FFToolbox!$B$2:$E$414, 4, false))</f>
        <v>0</v>
      </c>
      <c r="M765" s="39">
        <f t="shared" si="1"/>
        <v>0</v>
      </c>
      <c r="N765" s="39">
        <f t="shared" si="2"/>
        <v>0</v>
      </c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</row>
    <row r="766">
      <c r="A766" s="17" t="s">
        <v>1112</v>
      </c>
      <c r="B766" s="35" t="s">
        <v>1259</v>
      </c>
      <c r="C766" s="35" t="s">
        <v>1260</v>
      </c>
      <c r="D766" s="36" t="s">
        <v>17</v>
      </c>
      <c r="E766" s="36" t="s">
        <v>13</v>
      </c>
      <c r="F766" s="36">
        <f>vlookup(D766,'Team Bye List'!$A$1:$B$33,2,False)</f>
        <v>7</v>
      </c>
      <c r="G766" s="37">
        <f>if(ISNA(vlookup($A766, Sleeper!$B$2:$E$330, 4, false)), 0, vlookup($A766, Sleeper!$B$2:$E$330, 4, false))</f>
        <v>0</v>
      </c>
      <c r="H766" s="37">
        <f>if(ISNA(vlookup($A766, ESPN!$B$2:$E$297, 4, false)), 0, vlookup($A766, ESPN!$B$2:$E$297, 4, false))</f>
        <v>0</v>
      </c>
      <c r="I766" s="37">
        <f>if(ISNA(vlookup($A766,'Ultimate Draft Kit'!$B$2:$E$324,4, false)), 0, vlookup($A766,'Ultimate Draft Kit'!$B$2:$E$324, 4, false))</f>
        <v>0</v>
      </c>
      <c r="J766" s="38">
        <f>if(ISNA(vlookup($A766,Rotowire!$B$2:$E$1075,4, false)), 0, vlookup($A766,Rotowire!$B$2:$E$1075, 4, false))</f>
        <v>0</v>
      </c>
      <c r="K766" s="37">
        <f>if(ISNA(vlookup($A766, FantasyPro!$B$2:$E$341,4,false)),0,vlookup($A766,FantasyPro!$B$2:$E$341,4,false))</f>
        <v>0</v>
      </c>
      <c r="L766" s="37">
        <f>if(ISNA(vlookup($A766, FFToolbox!$B$2:$E$414, 4, false)), 0, vlookup($A766, FFToolbox!$B$2:$E$414, 4, false))</f>
        <v>0</v>
      </c>
      <c r="M766" s="39">
        <f t="shared" si="1"/>
        <v>0</v>
      </c>
      <c r="N766" s="39">
        <f t="shared" si="2"/>
        <v>0</v>
      </c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</row>
    <row r="767">
      <c r="A767" s="17" t="s">
        <v>1113</v>
      </c>
      <c r="B767" s="35" t="s">
        <v>1259</v>
      </c>
      <c r="C767" s="35" t="s">
        <v>1260</v>
      </c>
      <c r="D767" s="36" t="s">
        <v>262</v>
      </c>
      <c r="E767" s="36" t="s">
        <v>13</v>
      </c>
      <c r="F767" s="36" t="str">
        <f>vlookup(D767,'Team Bye List'!$A$1:$B$33,2,False)</f>
        <v>#N/A</v>
      </c>
      <c r="G767" s="37">
        <f>if(ISNA(vlookup($A767, Sleeper!$B$2:$E$330, 4, false)), 0, vlookup($A767, Sleeper!$B$2:$E$330, 4, false))</f>
        <v>0</v>
      </c>
      <c r="H767" s="37">
        <f>if(ISNA(vlookup($A767, ESPN!$B$2:$E$297, 4, false)), 0, vlookup($A767, ESPN!$B$2:$E$297, 4, false))</f>
        <v>0</v>
      </c>
      <c r="I767" s="37">
        <f>if(ISNA(vlookup($A767,'Ultimate Draft Kit'!$B$2:$E$324,4, false)), 0, vlookup($A767,'Ultimate Draft Kit'!$B$2:$E$324, 4, false))</f>
        <v>0</v>
      </c>
      <c r="J767" s="38">
        <f>if(ISNA(vlookup($A767,Rotowire!$B$2:$E$1075,4, false)), 0, vlookup($A767,Rotowire!$B$2:$E$1075, 4, false))</f>
        <v>0</v>
      </c>
      <c r="K767" s="37">
        <f>if(ISNA(vlookup($A767, FantasyPro!$B$2:$E$341,4,false)),0,vlookup($A767,FantasyPro!$B$2:$E$341,4,false))</f>
        <v>0</v>
      </c>
      <c r="L767" s="37">
        <f>if(ISNA(vlookup($A767, FFToolbox!$B$2:$E$414, 4, false)), 0, vlookup($A767, FFToolbox!$B$2:$E$414, 4, false))</f>
        <v>0</v>
      </c>
      <c r="M767" s="39">
        <f t="shared" si="1"/>
        <v>0</v>
      </c>
      <c r="N767" s="39">
        <f t="shared" si="2"/>
        <v>0</v>
      </c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</row>
    <row r="768">
      <c r="A768" s="17" t="s">
        <v>1114</v>
      </c>
      <c r="B768" s="35" t="s">
        <v>1259</v>
      </c>
      <c r="C768" s="35" t="s">
        <v>1260</v>
      </c>
      <c r="D768" s="36" t="s">
        <v>32</v>
      </c>
      <c r="E768" s="36" t="s">
        <v>13</v>
      </c>
      <c r="F768" s="36">
        <f>vlookup(D768,'Team Bye List'!$A$1:$B$33,2,False)</f>
        <v>9</v>
      </c>
      <c r="G768" s="37">
        <f>if(ISNA(vlookup($A768, Sleeper!$B$2:$E$330, 4, false)), 0, vlookup($A768, Sleeper!$B$2:$E$330, 4, false))</f>
        <v>0</v>
      </c>
      <c r="H768" s="37">
        <f>if(ISNA(vlookup($A768, ESPN!$B$2:$E$297, 4, false)), 0, vlookup($A768, ESPN!$B$2:$E$297, 4, false))</f>
        <v>0</v>
      </c>
      <c r="I768" s="37">
        <f>if(ISNA(vlookup($A768,'Ultimate Draft Kit'!$B$2:$E$324,4, false)), 0, vlookup($A768,'Ultimate Draft Kit'!$B$2:$E$324, 4, false))</f>
        <v>0</v>
      </c>
      <c r="J768" s="38">
        <f>if(ISNA(vlookup($A768,Rotowire!$B$2:$E$1075,4, false)), 0, vlookup($A768,Rotowire!$B$2:$E$1075, 4, false))</f>
        <v>0</v>
      </c>
      <c r="K768" s="37">
        <f>if(ISNA(vlookup($A768, FantasyPro!$B$2:$E$341,4,false)),0,vlookup($A768,FantasyPro!$B$2:$E$341,4,false))</f>
        <v>0</v>
      </c>
      <c r="L768" s="37">
        <f>if(ISNA(vlookup($A768, FFToolbox!$B$2:$E$414, 4, false)), 0, vlookup($A768, FFToolbox!$B$2:$E$414, 4, false))</f>
        <v>0</v>
      </c>
      <c r="M768" s="39">
        <f t="shared" si="1"/>
        <v>0</v>
      </c>
      <c r="N768" s="39">
        <f t="shared" si="2"/>
        <v>0</v>
      </c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</row>
    <row r="769">
      <c r="A769" s="17" t="s">
        <v>1115</v>
      </c>
      <c r="B769" s="35" t="s">
        <v>1259</v>
      </c>
      <c r="C769" s="35" t="s">
        <v>1260</v>
      </c>
      <c r="D769" s="36" t="s">
        <v>262</v>
      </c>
      <c r="E769" s="36" t="s">
        <v>13</v>
      </c>
      <c r="F769" s="36" t="str">
        <f>vlookup(D769,'Team Bye List'!$A$1:$B$33,2,False)</f>
        <v>#N/A</v>
      </c>
      <c r="G769" s="37">
        <f>if(ISNA(vlookup($A769, Sleeper!$B$2:$E$330, 4, false)), 0, vlookup($A769, Sleeper!$B$2:$E$330, 4, false))</f>
        <v>0</v>
      </c>
      <c r="H769" s="37">
        <f>if(ISNA(vlookup($A769, ESPN!$B$2:$E$297, 4, false)), 0, vlookup($A769, ESPN!$B$2:$E$297, 4, false))</f>
        <v>0</v>
      </c>
      <c r="I769" s="37">
        <f>if(ISNA(vlookup($A769,'Ultimate Draft Kit'!$B$2:$E$324,4, false)), 0, vlookup($A769,'Ultimate Draft Kit'!$B$2:$E$324, 4, false))</f>
        <v>0</v>
      </c>
      <c r="J769" s="38">
        <f>if(ISNA(vlookup($A769,Rotowire!$B$2:$E$1075,4, false)), 0, vlookup($A769,Rotowire!$B$2:$E$1075, 4, false))</f>
        <v>0</v>
      </c>
      <c r="K769" s="37">
        <f>if(ISNA(vlookup($A769, FantasyPro!$B$2:$E$341,4,false)),0,vlookup($A769,FantasyPro!$B$2:$E$341,4,false))</f>
        <v>0</v>
      </c>
      <c r="L769" s="37">
        <f>if(ISNA(vlookup($A769, FFToolbox!$B$2:$E$414, 4, false)), 0, vlookup($A769, FFToolbox!$B$2:$E$414, 4, false))</f>
        <v>0</v>
      </c>
      <c r="M769" s="39">
        <f t="shared" si="1"/>
        <v>0</v>
      </c>
      <c r="N769" s="39">
        <f t="shared" si="2"/>
        <v>0</v>
      </c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</row>
    <row r="770">
      <c r="A770" s="17" t="s">
        <v>683</v>
      </c>
      <c r="B770" s="35" t="s">
        <v>1259</v>
      </c>
      <c r="C770" s="35" t="s">
        <v>1260</v>
      </c>
      <c r="D770" s="36" t="s">
        <v>30</v>
      </c>
      <c r="E770" s="36" t="s">
        <v>13</v>
      </c>
      <c r="F770" s="36">
        <f>vlookup(D770,'Team Bye List'!$A$1:$B$33,2,False)</f>
        <v>7</v>
      </c>
      <c r="G770" s="37">
        <f>if(ISNA(vlookup($A770, Sleeper!$B$2:$E$330, 4, false)), 0, vlookup($A770, Sleeper!$B$2:$E$330, 4, false))</f>
        <v>0</v>
      </c>
      <c r="H770" s="37">
        <f>if(ISNA(vlookup($A770, ESPN!$B$2:$E$297, 4, false)), 0, vlookup($A770, ESPN!$B$2:$E$297, 4, false))</f>
        <v>0</v>
      </c>
      <c r="I770" s="37">
        <f>if(ISNA(vlookup($A770,'Ultimate Draft Kit'!$B$2:$E$324,4, false)), 0, vlookup($A770,'Ultimate Draft Kit'!$B$2:$E$324, 4, false))</f>
        <v>0</v>
      </c>
      <c r="J770" s="38">
        <f>if(ISNA(vlookup($A770,Rotowire!$B$2:$E$1075,4, false)), 0, vlookup($A770,Rotowire!$B$2:$E$1075, 4, false))</f>
        <v>0</v>
      </c>
      <c r="K770" s="37">
        <f>if(ISNA(vlookup($A770, FantasyPro!$B$2:$E$341,4,false)),0,vlookup($A770,FantasyPro!$B$2:$E$341,4,false))</f>
        <v>0</v>
      </c>
      <c r="L770" s="37">
        <f>if(ISNA(vlookup($A770, FFToolbox!$B$2:$E$414, 4, false)), 0, vlookup($A770, FFToolbox!$B$2:$E$414, 4, false))</f>
        <v>0</v>
      </c>
      <c r="M770" s="39">
        <f t="shared" si="1"/>
        <v>0</v>
      </c>
      <c r="N770" s="39">
        <f t="shared" si="2"/>
        <v>0</v>
      </c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</row>
    <row r="771">
      <c r="A771" s="17" t="s">
        <v>680</v>
      </c>
      <c r="B771" s="35" t="s">
        <v>1259</v>
      </c>
      <c r="C771" s="35" t="s">
        <v>1260</v>
      </c>
      <c r="D771" s="36" t="s">
        <v>35</v>
      </c>
      <c r="E771" s="36" t="s">
        <v>13</v>
      </c>
      <c r="F771" s="36">
        <f>vlookup(D771,'Team Bye List'!$A$1:$B$33,2,False)</f>
        <v>6</v>
      </c>
      <c r="G771" s="37">
        <f>if(ISNA(vlookup($A771, Sleeper!$B$2:$E$330, 4, false)), 0, vlookup($A771, Sleeper!$B$2:$E$330, 4, false))</f>
        <v>0</v>
      </c>
      <c r="H771" s="37">
        <f>if(ISNA(vlookup($A771, ESPN!$B$2:$E$297, 4, false)), 0, vlookup($A771, ESPN!$B$2:$E$297, 4, false))</f>
        <v>0</v>
      </c>
      <c r="I771" s="37">
        <f>if(ISNA(vlookup($A771,'Ultimate Draft Kit'!$B$2:$E$324,4, false)), 0, vlookup($A771,'Ultimate Draft Kit'!$B$2:$E$324, 4, false))</f>
        <v>0</v>
      </c>
      <c r="J771" s="38">
        <f>if(ISNA(vlookup($A771,Rotowire!$B$2:$E$1075,4, false)), 0, vlookup($A771,Rotowire!$B$2:$E$1075, 4, false))</f>
        <v>0</v>
      </c>
      <c r="K771" s="37">
        <f>if(ISNA(vlookup($A771, FantasyPro!$B$2:$E$341,4,false)),0,vlookup($A771,FantasyPro!$B$2:$E$341,4,false))</f>
        <v>0</v>
      </c>
      <c r="L771" s="37">
        <f>if(ISNA(vlookup($A771, FFToolbox!$B$2:$E$414, 4, false)), 0, vlookup($A771, FFToolbox!$B$2:$E$414, 4, false))</f>
        <v>0</v>
      </c>
      <c r="M771" s="39">
        <f t="shared" si="1"/>
        <v>0</v>
      </c>
      <c r="N771" s="39">
        <f t="shared" si="2"/>
        <v>0</v>
      </c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</row>
    <row r="772">
      <c r="A772" s="17" t="s">
        <v>1116</v>
      </c>
      <c r="B772" s="35" t="s">
        <v>1259</v>
      </c>
      <c r="C772" s="35" t="s">
        <v>1260</v>
      </c>
      <c r="D772" s="36" t="s">
        <v>7</v>
      </c>
      <c r="E772" s="36" t="s">
        <v>13</v>
      </c>
      <c r="F772" s="36">
        <f>vlookup(D772,'Team Bye List'!$A$1:$B$33,2,False)</f>
        <v>14</v>
      </c>
      <c r="G772" s="37">
        <f>if(ISNA(vlookup($A772, Sleeper!$B$2:$E$330, 4, false)), 0, vlookup($A772, Sleeper!$B$2:$E$330, 4, false))</f>
        <v>0</v>
      </c>
      <c r="H772" s="37">
        <f>if(ISNA(vlookup($A772, ESPN!$B$2:$E$297, 4, false)), 0, vlookup($A772, ESPN!$B$2:$E$297, 4, false))</f>
        <v>0</v>
      </c>
      <c r="I772" s="37">
        <f>if(ISNA(vlookup($A772,'Ultimate Draft Kit'!$B$2:$E$324,4, false)), 0, vlookup($A772,'Ultimate Draft Kit'!$B$2:$E$324, 4, false))</f>
        <v>0</v>
      </c>
      <c r="J772" s="38">
        <f>if(ISNA(vlookup($A772,Rotowire!$B$2:$E$1075,4, false)), 0, vlookup($A772,Rotowire!$B$2:$E$1075, 4, false))</f>
        <v>0</v>
      </c>
      <c r="K772" s="37">
        <f>if(ISNA(vlookup($A772, FantasyPro!$B$2:$E$341,4,false)),0,vlookup($A772,FantasyPro!$B$2:$E$341,4,false))</f>
        <v>0</v>
      </c>
      <c r="L772" s="37">
        <f>if(ISNA(vlookup($A772, FFToolbox!$B$2:$E$414, 4, false)), 0, vlookup($A772, FFToolbox!$B$2:$E$414, 4, false))</f>
        <v>0</v>
      </c>
      <c r="M772" s="39">
        <f t="shared" si="1"/>
        <v>0</v>
      </c>
      <c r="N772" s="39">
        <f t="shared" si="2"/>
        <v>0</v>
      </c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</row>
    <row r="773">
      <c r="A773" s="17" t="s">
        <v>1117</v>
      </c>
      <c r="B773" s="35" t="s">
        <v>1259</v>
      </c>
      <c r="C773" s="35" t="s">
        <v>1260</v>
      </c>
      <c r="D773" s="36" t="s">
        <v>47</v>
      </c>
      <c r="E773" s="36" t="s">
        <v>13</v>
      </c>
      <c r="F773" s="36">
        <f>vlookup(D773,'Team Bye List'!$A$1:$B$33,2,False)</f>
        <v>14</v>
      </c>
      <c r="G773" s="37">
        <f>if(ISNA(vlookup($A773, Sleeper!$B$2:$E$330, 4, false)), 0, vlookup($A773, Sleeper!$B$2:$E$330, 4, false))</f>
        <v>0</v>
      </c>
      <c r="H773" s="37">
        <f>if(ISNA(vlookup($A773, ESPN!$B$2:$E$297, 4, false)), 0, vlookup($A773, ESPN!$B$2:$E$297, 4, false))</f>
        <v>0</v>
      </c>
      <c r="I773" s="37">
        <f>if(ISNA(vlookup($A773,'Ultimate Draft Kit'!$B$2:$E$324,4, false)), 0, vlookup($A773,'Ultimate Draft Kit'!$B$2:$E$324, 4, false))</f>
        <v>0</v>
      </c>
      <c r="J773" s="38">
        <f>if(ISNA(vlookup($A773,Rotowire!$B$2:$E$1075,4, false)), 0, vlookup($A773,Rotowire!$B$2:$E$1075, 4, false))</f>
        <v>0</v>
      </c>
      <c r="K773" s="37">
        <f>if(ISNA(vlookup($A773, FantasyPro!$B$2:$E$341,4,false)),0,vlookup($A773,FantasyPro!$B$2:$E$341,4,false))</f>
        <v>0</v>
      </c>
      <c r="L773" s="37">
        <f>if(ISNA(vlookup($A773, FFToolbox!$B$2:$E$414, 4, false)), 0, vlookup($A773, FFToolbox!$B$2:$E$414, 4, false))</f>
        <v>0</v>
      </c>
      <c r="M773" s="39">
        <f t="shared" si="1"/>
        <v>0</v>
      </c>
      <c r="N773" s="39">
        <f t="shared" si="2"/>
        <v>0</v>
      </c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</row>
    <row r="774">
      <c r="A774" s="17" t="s">
        <v>684</v>
      </c>
      <c r="B774" s="35" t="s">
        <v>1259</v>
      </c>
      <c r="C774" s="35" t="s">
        <v>1260</v>
      </c>
      <c r="D774" s="36" t="s">
        <v>85</v>
      </c>
      <c r="E774" s="36" t="s">
        <v>13</v>
      </c>
      <c r="F774" s="36">
        <f>vlookup(D774,'Team Bye List'!$A$1:$B$33,2,False)</f>
        <v>9</v>
      </c>
      <c r="G774" s="37">
        <f>if(ISNA(vlookup($A774, Sleeper!$B$2:$E$330, 4, false)), 0, vlookup($A774, Sleeper!$B$2:$E$330, 4, false))</f>
        <v>0</v>
      </c>
      <c r="H774" s="37">
        <f>if(ISNA(vlookup($A774, ESPN!$B$2:$E$297, 4, false)), 0, vlookup($A774, ESPN!$B$2:$E$297, 4, false))</f>
        <v>0</v>
      </c>
      <c r="I774" s="37">
        <f>if(ISNA(vlookup($A774,'Ultimate Draft Kit'!$B$2:$E$324,4, false)), 0, vlookup($A774,'Ultimate Draft Kit'!$B$2:$E$324, 4, false))</f>
        <v>0</v>
      </c>
      <c r="J774" s="38">
        <f>if(ISNA(vlookup($A774,Rotowire!$B$2:$E$1075,4, false)), 0, vlookup($A774,Rotowire!$B$2:$E$1075, 4, false))</f>
        <v>0</v>
      </c>
      <c r="K774" s="37">
        <f>if(ISNA(vlookup($A774, FantasyPro!$B$2:$E$341,4,false)),0,vlookup($A774,FantasyPro!$B$2:$E$341,4,false))</f>
        <v>0</v>
      </c>
      <c r="L774" s="37">
        <f>if(ISNA(vlookup($A774, FFToolbox!$B$2:$E$414, 4, false)), 0, vlookup($A774, FFToolbox!$B$2:$E$414, 4, false))</f>
        <v>0</v>
      </c>
      <c r="M774" s="39">
        <f t="shared" si="1"/>
        <v>0</v>
      </c>
      <c r="N774" s="39">
        <f t="shared" si="2"/>
        <v>0</v>
      </c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</row>
    <row r="775">
      <c r="A775" s="17" t="s">
        <v>1118</v>
      </c>
      <c r="B775" s="35" t="s">
        <v>1259</v>
      </c>
      <c r="C775" s="35" t="s">
        <v>1260</v>
      </c>
      <c r="D775" s="36" t="s">
        <v>64</v>
      </c>
      <c r="E775" s="36" t="s">
        <v>13</v>
      </c>
      <c r="F775" s="36">
        <f>vlookup(D775,'Team Bye List'!$A$1:$B$33,2,False)</f>
        <v>7</v>
      </c>
      <c r="G775" s="37">
        <f>if(ISNA(vlookup($A775, Sleeper!$B$2:$E$330, 4, false)), 0, vlookup($A775, Sleeper!$B$2:$E$330, 4, false))</f>
        <v>0</v>
      </c>
      <c r="H775" s="37">
        <f>if(ISNA(vlookup($A775, ESPN!$B$2:$E$297, 4, false)), 0, vlookup($A775, ESPN!$B$2:$E$297, 4, false))</f>
        <v>0</v>
      </c>
      <c r="I775" s="37">
        <f>if(ISNA(vlookup($A775,'Ultimate Draft Kit'!$B$2:$E$324,4, false)), 0, vlookup($A775,'Ultimate Draft Kit'!$B$2:$E$324, 4, false))</f>
        <v>0</v>
      </c>
      <c r="J775" s="38">
        <f>if(ISNA(vlookup($A775,Rotowire!$B$2:$E$1075,4, false)), 0, vlookup($A775,Rotowire!$B$2:$E$1075, 4, false))</f>
        <v>0</v>
      </c>
      <c r="K775" s="37">
        <f>if(ISNA(vlookup($A775, FantasyPro!$B$2:$E$341,4,false)),0,vlookup($A775,FantasyPro!$B$2:$E$341,4,false))</f>
        <v>0</v>
      </c>
      <c r="L775" s="37">
        <f>if(ISNA(vlookup($A775, FFToolbox!$B$2:$E$414, 4, false)), 0, vlookup($A775, FFToolbox!$B$2:$E$414, 4, false))</f>
        <v>0</v>
      </c>
      <c r="M775" s="39">
        <f t="shared" si="1"/>
        <v>0</v>
      </c>
      <c r="N775" s="39">
        <f t="shared" si="2"/>
        <v>0</v>
      </c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</row>
    <row r="776">
      <c r="A776" s="17" t="s">
        <v>1119</v>
      </c>
      <c r="B776" s="35" t="s">
        <v>1259</v>
      </c>
      <c r="C776" s="35" t="s">
        <v>1260</v>
      </c>
      <c r="D776" s="36" t="s">
        <v>99</v>
      </c>
      <c r="E776" s="36" t="s">
        <v>13</v>
      </c>
      <c r="F776" s="36">
        <f>vlookup(D776,'Team Bye List'!$A$1:$B$33,2,False)</f>
        <v>11</v>
      </c>
      <c r="G776" s="37">
        <f>if(ISNA(vlookup($A776, Sleeper!$B$2:$E$330, 4, false)), 0, vlookup($A776, Sleeper!$B$2:$E$330, 4, false))</f>
        <v>0</v>
      </c>
      <c r="H776" s="37">
        <f>if(ISNA(vlookup($A776, ESPN!$B$2:$E$297, 4, false)), 0, vlookup($A776, ESPN!$B$2:$E$297, 4, false))</f>
        <v>0</v>
      </c>
      <c r="I776" s="37">
        <f>if(ISNA(vlookup($A776,'Ultimate Draft Kit'!$B$2:$E$324,4, false)), 0, vlookup($A776,'Ultimate Draft Kit'!$B$2:$E$324, 4, false))</f>
        <v>0</v>
      </c>
      <c r="J776" s="38">
        <f>if(ISNA(vlookup($A776,Rotowire!$B$2:$E$1075,4, false)), 0, vlookup($A776,Rotowire!$B$2:$E$1075, 4, false))</f>
        <v>0</v>
      </c>
      <c r="K776" s="37">
        <f>if(ISNA(vlookup($A776, FantasyPro!$B$2:$E$341,4,false)),0,vlookup($A776,FantasyPro!$B$2:$E$341,4,false))</f>
        <v>0</v>
      </c>
      <c r="L776" s="37">
        <f>if(ISNA(vlookup($A776, FFToolbox!$B$2:$E$414, 4, false)), 0, vlookup($A776, FFToolbox!$B$2:$E$414, 4, false))</f>
        <v>0</v>
      </c>
      <c r="M776" s="39">
        <f t="shared" si="1"/>
        <v>0</v>
      </c>
      <c r="N776" s="39">
        <f t="shared" si="2"/>
        <v>0</v>
      </c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</row>
    <row r="777">
      <c r="A777" s="17" t="s">
        <v>642</v>
      </c>
      <c r="B777" s="35" t="s">
        <v>1259</v>
      </c>
      <c r="C777" s="35" t="s">
        <v>1260</v>
      </c>
      <c r="D777" s="36" t="s">
        <v>39</v>
      </c>
      <c r="E777" s="36" t="s">
        <v>13</v>
      </c>
      <c r="F777" s="36">
        <f>vlookup(D777,'Team Bye List'!$A$1:$B$33,2,False)</f>
        <v>11</v>
      </c>
      <c r="G777" s="37">
        <f>if(ISNA(vlookup($A777, Sleeper!$B$2:$E$330, 4, false)), 0, vlookup($A777, Sleeper!$B$2:$E$330, 4, false))</f>
        <v>0</v>
      </c>
      <c r="H777" s="37">
        <f>if(ISNA(vlookup($A777, ESPN!$B$2:$E$297, 4, false)), 0, vlookup($A777, ESPN!$B$2:$E$297, 4, false))</f>
        <v>0</v>
      </c>
      <c r="I777" s="37">
        <f>if(ISNA(vlookup($A777,'Ultimate Draft Kit'!$B$2:$E$324,4, false)), 0, vlookup($A777,'Ultimate Draft Kit'!$B$2:$E$324, 4, false))</f>
        <v>0</v>
      </c>
      <c r="J777" s="38">
        <f>if(ISNA(vlookup($A777,Rotowire!$B$2:$E$1075,4, false)), 0, vlookup($A777,Rotowire!$B$2:$E$1075, 4, false))</f>
        <v>0</v>
      </c>
      <c r="K777" s="37">
        <f>if(ISNA(vlookup($A777, FantasyPro!$B$2:$E$341,4,false)),0,vlookup($A777,FantasyPro!$B$2:$E$341,4,false))</f>
        <v>0</v>
      </c>
      <c r="L777" s="37">
        <f>if(ISNA(vlookup($A777, FFToolbox!$B$2:$E$414, 4, false)), 0, vlookup($A777, FFToolbox!$B$2:$E$414, 4, false))</f>
        <v>0</v>
      </c>
      <c r="M777" s="39">
        <f t="shared" si="1"/>
        <v>0</v>
      </c>
      <c r="N777" s="39">
        <f t="shared" si="2"/>
        <v>0</v>
      </c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</row>
    <row r="778">
      <c r="A778" s="17" t="s">
        <v>697</v>
      </c>
      <c r="B778" s="35" t="s">
        <v>1259</v>
      </c>
      <c r="C778" s="35" t="s">
        <v>1260</v>
      </c>
      <c r="D778" s="36" t="s">
        <v>69</v>
      </c>
      <c r="E778" s="36" t="s">
        <v>13</v>
      </c>
      <c r="F778" s="36">
        <f>vlookup(D778,'Team Bye List'!$A$1:$B$33,2,False)</f>
        <v>10</v>
      </c>
      <c r="G778" s="37">
        <f>if(ISNA(vlookup($A778, Sleeper!$B$2:$E$330, 4, false)), 0, vlookup($A778, Sleeper!$B$2:$E$330, 4, false))</f>
        <v>0</v>
      </c>
      <c r="H778" s="37">
        <f>if(ISNA(vlookup($A778, ESPN!$B$2:$E$297, 4, false)), 0, vlookup($A778, ESPN!$B$2:$E$297, 4, false))</f>
        <v>0</v>
      </c>
      <c r="I778" s="37">
        <f>if(ISNA(vlookup($A778,'Ultimate Draft Kit'!$B$2:$E$324,4, false)), 0, vlookup($A778,'Ultimate Draft Kit'!$B$2:$E$324, 4, false))</f>
        <v>0</v>
      </c>
      <c r="J778" s="38">
        <f>if(ISNA(vlookup($A778,Rotowire!$B$2:$E$1075,4, false)), 0, vlookup($A778,Rotowire!$B$2:$E$1075, 4, false))</f>
        <v>0</v>
      </c>
      <c r="K778" s="37">
        <f>if(ISNA(vlookup($A778, FantasyPro!$B$2:$E$341,4,false)),0,vlookup($A778,FantasyPro!$B$2:$E$341,4,false))</f>
        <v>0</v>
      </c>
      <c r="L778" s="37">
        <f>if(ISNA(vlookup($A778, FFToolbox!$B$2:$E$414, 4, false)), 0, vlookup($A778, FFToolbox!$B$2:$E$414, 4, false))</f>
        <v>0</v>
      </c>
      <c r="M778" s="39">
        <f t="shared" si="1"/>
        <v>0</v>
      </c>
      <c r="N778" s="39">
        <f t="shared" si="2"/>
        <v>0</v>
      </c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</row>
    <row r="779">
      <c r="A779" s="17" t="s">
        <v>1120</v>
      </c>
      <c r="B779" s="35" t="s">
        <v>1259</v>
      </c>
      <c r="C779" s="35" t="s">
        <v>1260</v>
      </c>
      <c r="D779" s="36" t="s">
        <v>41</v>
      </c>
      <c r="E779" s="36" t="s">
        <v>13</v>
      </c>
      <c r="F779" s="36">
        <f>vlookup(D779,'Team Bye List'!$A$1:$B$33,2,False)</f>
        <v>14</v>
      </c>
      <c r="G779" s="37">
        <f>if(ISNA(vlookup($A779, Sleeper!$B$2:$E$330, 4, false)), 0, vlookup($A779, Sleeper!$B$2:$E$330, 4, false))</f>
        <v>0</v>
      </c>
      <c r="H779" s="37">
        <f>if(ISNA(vlookup($A779, ESPN!$B$2:$E$297, 4, false)), 0, vlookup($A779, ESPN!$B$2:$E$297, 4, false))</f>
        <v>0</v>
      </c>
      <c r="I779" s="37">
        <f>if(ISNA(vlookup($A779,'Ultimate Draft Kit'!$B$2:$E$324,4, false)), 0, vlookup($A779,'Ultimate Draft Kit'!$B$2:$E$324, 4, false))</f>
        <v>0</v>
      </c>
      <c r="J779" s="38">
        <f>if(ISNA(vlookup($A779,Rotowire!$B$2:$E$1075,4, false)), 0, vlookup($A779,Rotowire!$B$2:$E$1075, 4, false))</f>
        <v>0</v>
      </c>
      <c r="K779" s="37">
        <f>if(ISNA(vlookup($A779, FantasyPro!$B$2:$E$341,4,false)),0,vlookup($A779,FantasyPro!$B$2:$E$341,4,false))</f>
        <v>0</v>
      </c>
      <c r="L779" s="37">
        <f>if(ISNA(vlookup($A779, FFToolbox!$B$2:$E$414, 4, false)), 0, vlookup($A779, FFToolbox!$B$2:$E$414, 4, false))</f>
        <v>0</v>
      </c>
      <c r="M779" s="39">
        <f t="shared" si="1"/>
        <v>0</v>
      </c>
      <c r="N779" s="39">
        <f t="shared" si="2"/>
        <v>0</v>
      </c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</row>
    <row r="780">
      <c r="A780" s="17" t="s">
        <v>686</v>
      </c>
      <c r="B780" s="35" t="s">
        <v>1259</v>
      </c>
      <c r="C780" s="35" t="s">
        <v>1260</v>
      </c>
      <c r="D780" s="36" t="s">
        <v>69</v>
      </c>
      <c r="E780" s="36" t="s">
        <v>13</v>
      </c>
      <c r="F780" s="36">
        <f>vlookup(D780,'Team Bye List'!$A$1:$B$33,2,False)</f>
        <v>10</v>
      </c>
      <c r="G780" s="37">
        <f>if(ISNA(vlookup($A780, Sleeper!$B$2:$E$330, 4, false)), 0, vlookup($A780, Sleeper!$B$2:$E$330, 4, false))</f>
        <v>0</v>
      </c>
      <c r="H780" s="37">
        <f>if(ISNA(vlookup($A780, ESPN!$B$2:$E$297, 4, false)), 0, vlookup($A780, ESPN!$B$2:$E$297, 4, false))</f>
        <v>0</v>
      </c>
      <c r="I780" s="37">
        <f>if(ISNA(vlookup($A780,'Ultimate Draft Kit'!$B$2:$E$324,4, false)), 0, vlookup($A780,'Ultimate Draft Kit'!$B$2:$E$324, 4, false))</f>
        <v>0</v>
      </c>
      <c r="J780" s="38">
        <f>if(ISNA(vlookup($A780,Rotowire!$B$2:$E$1075,4, false)), 0, vlookup($A780,Rotowire!$B$2:$E$1075, 4, false))</f>
        <v>0</v>
      </c>
      <c r="K780" s="37">
        <f>if(ISNA(vlookup($A780, FantasyPro!$B$2:$E$341,4,false)),0,vlookup($A780,FantasyPro!$B$2:$E$341,4,false))</f>
        <v>0</v>
      </c>
      <c r="L780" s="37">
        <f>if(ISNA(vlookup($A780, FFToolbox!$B$2:$E$414, 4, false)), 0, vlookup($A780, FFToolbox!$B$2:$E$414, 4, false))</f>
        <v>0</v>
      </c>
      <c r="M780" s="39">
        <f t="shared" si="1"/>
        <v>0</v>
      </c>
      <c r="N780" s="39">
        <f t="shared" si="2"/>
        <v>0</v>
      </c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</row>
    <row r="781">
      <c r="A781" s="17" t="s">
        <v>1121</v>
      </c>
      <c r="B781" s="35" t="s">
        <v>1259</v>
      </c>
      <c r="C781" s="35" t="s">
        <v>1260</v>
      </c>
      <c r="D781" s="36" t="s">
        <v>262</v>
      </c>
      <c r="E781" s="36" t="s">
        <v>13</v>
      </c>
      <c r="F781" s="36" t="str">
        <f>vlookup(D781,'Team Bye List'!$A$1:$B$33,2,False)</f>
        <v>#N/A</v>
      </c>
      <c r="G781" s="37">
        <f>if(ISNA(vlookup($A781, Sleeper!$B$2:$E$330, 4, false)), 0, vlookup($A781, Sleeper!$B$2:$E$330, 4, false))</f>
        <v>0</v>
      </c>
      <c r="H781" s="37">
        <f>if(ISNA(vlookup($A781, ESPN!$B$2:$E$297, 4, false)), 0, vlookup($A781, ESPN!$B$2:$E$297, 4, false))</f>
        <v>0</v>
      </c>
      <c r="I781" s="37">
        <f>if(ISNA(vlookup($A781,'Ultimate Draft Kit'!$B$2:$E$324,4, false)), 0, vlookup($A781,'Ultimate Draft Kit'!$B$2:$E$324, 4, false))</f>
        <v>0</v>
      </c>
      <c r="J781" s="38">
        <f>if(ISNA(vlookup($A781,Rotowire!$B$2:$E$1075,4, false)), 0, vlookup($A781,Rotowire!$B$2:$E$1075, 4, false))</f>
        <v>0</v>
      </c>
      <c r="K781" s="37">
        <f>if(ISNA(vlookup($A781, FantasyPro!$B$2:$E$341,4,false)),0,vlookup($A781,FantasyPro!$B$2:$E$341,4,false))</f>
        <v>0</v>
      </c>
      <c r="L781" s="37">
        <f>if(ISNA(vlookup($A781, FFToolbox!$B$2:$E$414, 4, false)), 0, vlookup($A781, FFToolbox!$B$2:$E$414, 4, false))</f>
        <v>0</v>
      </c>
      <c r="M781" s="39">
        <f t="shared" si="1"/>
        <v>0</v>
      </c>
      <c r="N781" s="39">
        <f t="shared" si="2"/>
        <v>0</v>
      </c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</row>
    <row r="782">
      <c r="A782" s="17" t="s">
        <v>645</v>
      </c>
      <c r="B782" s="35" t="s">
        <v>1259</v>
      </c>
      <c r="C782" s="35" t="s">
        <v>1260</v>
      </c>
      <c r="D782" s="36" t="s">
        <v>43</v>
      </c>
      <c r="E782" s="36" t="s">
        <v>13</v>
      </c>
      <c r="F782" s="36">
        <f>vlookup(D782,'Team Bye List'!$A$1:$B$33,2,False)</f>
        <v>9</v>
      </c>
      <c r="G782" s="37">
        <f>if(ISNA(vlookup($A782, Sleeper!$B$2:$E$330, 4, false)), 0, vlookup($A782, Sleeper!$B$2:$E$330, 4, false))</f>
        <v>0</v>
      </c>
      <c r="H782" s="37">
        <f>if(ISNA(vlookup($A782, ESPN!$B$2:$E$297, 4, false)), 0, vlookup($A782, ESPN!$B$2:$E$297, 4, false))</f>
        <v>0</v>
      </c>
      <c r="I782" s="37">
        <f>if(ISNA(vlookup($A782,'Ultimate Draft Kit'!$B$2:$E$324,4, false)), 0, vlookup($A782,'Ultimate Draft Kit'!$B$2:$E$324, 4, false))</f>
        <v>0</v>
      </c>
      <c r="J782" s="38">
        <f>if(ISNA(vlookup($A782,Rotowire!$B$2:$E$1075,4, false)), 0, vlookup($A782,Rotowire!$B$2:$E$1075, 4, false))</f>
        <v>0</v>
      </c>
      <c r="K782" s="37">
        <f>if(ISNA(vlookup($A782, FantasyPro!$B$2:$E$341,4,false)),0,vlookup($A782,FantasyPro!$B$2:$E$341,4,false))</f>
        <v>0</v>
      </c>
      <c r="L782" s="37">
        <f>if(ISNA(vlookup($A782, FFToolbox!$B$2:$E$414, 4, false)), 0, vlookup($A782, FFToolbox!$B$2:$E$414, 4, false))</f>
        <v>0</v>
      </c>
      <c r="M782" s="39">
        <f t="shared" si="1"/>
        <v>0</v>
      </c>
      <c r="N782" s="39">
        <f t="shared" si="2"/>
        <v>0</v>
      </c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</row>
    <row r="783">
      <c r="A783" s="17" t="s">
        <v>675</v>
      </c>
      <c r="B783" s="35" t="s">
        <v>1259</v>
      </c>
      <c r="C783" s="35" t="s">
        <v>1260</v>
      </c>
      <c r="D783" s="36" t="s">
        <v>55</v>
      </c>
      <c r="E783" s="36" t="s">
        <v>13</v>
      </c>
      <c r="F783" s="36">
        <f>vlookup(D783,'Team Bye List'!$A$1:$B$33,2,False)</f>
        <v>14</v>
      </c>
      <c r="G783" s="37">
        <f>if(ISNA(vlookup($A783, Sleeper!$B$2:$E$330, 4, false)), 0, vlookup($A783, Sleeper!$B$2:$E$330, 4, false))</f>
        <v>0</v>
      </c>
      <c r="H783" s="37">
        <f>if(ISNA(vlookup($A783, ESPN!$B$2:$E$297, 4, false)), 0, vlookup($A783, ESPN!$B$2:$E$297, 4, false))</f>
        <v>0</v>
      </c>
      <c r="I783" s="37">
        <f>if(ISNA(vlookup($A783,'Ultimate Draft Kit'!$B$2:$E$324,4, false)), 0, vlookup($A783,'Ultimate Draft Kit'!$B$2:$E$324, 4, false))</f>
        <v>0</v>
      </c>
      <c r="J783" s="38">
        <f>if(ISNA(vlookup($A783,Rotowire!$B$2:$E$1075,4, false)), 0, vlookup($A783,Rotowire!$B$2:$E$1075, 4, false))</f>
        <v>0</v>
      </c>
      <c r="K783" s="37">
        <f>if(ISNA(vlookup($A783, FantasyPro!$B$2:$E$341,4,false)),0,vlookup($A783,FantasyPro!$B$2:$E$341,4,false))</f>
        <v>0</v>
      </c>
      <c r="L783" s="37">
        <f>if(ISNA(vlookup($A783, FFToolbox!$B$2:$E$414, 4, false)), 0, vlookup($A783, FFToolbox!$B$2:$E$414, 4, false))</f>
        <v>0</v>
      </c>
      <c r="M783" s="39">
        <f t="shared" si="1"/>
        <v>0</v>
      </c>
      <c r="N783" s="39">
        <f t="shared" si="2"/>
        <v>0</v>
      </c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</row>
    <row r="784">
      <c r="A784" s="17" t="s">
        <v>1122</v>
      </c>
      <c r="B784" s="35" t="s">
        <v>1259</v>
      </c>
      <c r="C784" s="35" t="s">
        <v>1260</v>
      </c>
      <c r="D784" s="36" t="s">
        <v>17</v>
      </c>
      <c r="E784" s="36" t="s">
        <v>13</v>
      </c>
      <c r="F784" s="36">
        <f>vlookup(D784,'Team Bye List'!$A$1:$B$33,2,False)</f>
        <v>7</v>
      </c>
      <c r="G784" s="37">
        <f>if(ISNA(vlookup($A784, Sleeper!$B$2:$E$330, 4, false)), 0, vlookup($A784, Sleeper!$B$2:$E$330, 4, false))</f>
        <v>0</v>
      </c>
      <c r="H784" s="37">
        <f>if(ISNA(vlookup($A784, ESPN!$B$2:$E$297, 4, false)), 0, vlookup($A784, ESPN!$B$2:$E$297, 4, false))</f>
        <v>0</v>
      </c>
      <c r="I784" s="37">
        <f>if(ISNA(vlookup($A784,'Ultimate Draft Kit'!$B$2:$E$324,4, false)), 0, vlookup($A784,'Ultimate Draft Kit'!$B$2:$E$324, 4, false))</f>
        <v>0</v>
      </c>
      <c r="J784" s="38">
        <f>if(ISNA(vlookup($A784,Rotowire!$B$2:$E$1075,4, false)), 0, vlookup($A784,Rotowire!$B$2:$E$1075, 4, false))</f>
        <v>0</v>
      </c>
      <c r="K784" s="37">
        <f>if(ISNA(vlookup($A784, FantasyPro!$B$2:$E$341,4,false)),0,vlookup($A784,FantasyPro!$B$2:$E$341,4,false))</f>
        <v>0</v>
      </c>
      <c r="L784" s="37">
        <f>if(ISNA(vlookup($A784, FFToolbox!$B$2:$E$414, 4, false)), 0, vlookup($A784, FFToolbox!$B$2:$E$414, 4, false))</f>
        <v>0</v>
      </c>
      <c r="M784" s="39">
        <f t="shared" si="1"/>
        <v>0</v>
      </c>
      <c r="N784" s="39">
        <f t="shared" si="2"/>
        <v>0</v>
      </c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</row>
    <row r="785">
      <c r="A785" s="17" t="s">
        <v>287</v>
      </c>
      <c r="B785" s="35" t="s">
        <v>1259</v>
      </c>
      <c r="C785" s="35">
        <v>9.0</v>
      </c>
      <c r="D785" s="36" t="s">
        <v>23</v>
      </c>
      <c r="E785" s="36" t="s">
        <v>77</v>
      </c>
      <c r="F785" s="36">
        <f>vlookup(D785,'Team Bye List'!$A$1:$B$33,2,False)</f>
        <v>9</v>
      </c>
      <c r="G785" s="37">
        <f>if(ISNA(vlookup($A785, Sleeper!$B$2:$E$330, 4, false)), 0, vlookup($A785, Sleeper!$B$2:$E$330, 4, false))</f>
        <v>1</v>
      </c>
      <c r="H785" s="37">
        <f>if(ISNA(vlookup($A785, ESPN!$B$2:$E$297, 4, false)), 0, vlookup($A785, ESPN!$B$2:$E$297, 4, false))</f>
        <v>0</v>
      </c>
      <c r="I785" s="37">
        <f>if(ISNA(vlookup($A785,'Ultimate Draft Kit'!$B$2:$E$324,4, false)), 0, vlookup($A785,'Ultimate Draft Kit'!$B$2:$E$324, 4, false))</f>
        <v>1</v>
      </c>
      <c r="J785" s="38">
        <f>if(ISNA(vlookup($A785,Rotowire!$B$2:$E$1075,4, false)), 0, vlookup($A785,Rotowire!$B$2:$E$1075, 4, false))</f>
        <v>0</v>
      </c>
      <c r="K785" s="37">
        <f>if(ISNA(vlookup($A785, FantasyPro!$B$2:$E$341,4,false)),0,vlookup($A785,FantasyPro!$B$2:$E$341,4,false))</f>
        <v>0</v>
      </c>
      <c r="L785" s="37">
        <f>if(ISNA(vlookup($A785, FFToolbox!$B$2:$E$414, 4, false)), 0, vlookup($A785, FFToolbox!$B$2:$E$414, 4, false))</f>
        <v>1</v>
      </c>
      <c r="M785" s="39">
        <f t="shared" si="1"/>
        <v>0.5</v>
      </c>
      <c r="N785" s="39">
        <f t="shared" si="2"/>
        <v>1</v>
      </c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</row>
    <row r="786">
      <c r="A786" s="17" t="s">
        <v>231</v>
      </c>
      <c r="B786" s="35" t="s">
        <v>1259</v>
      </c>
      <c r="C786" s="35">
        <v>11.0</v>
      </c>
      <c r="D786" s="36" t="s">
        <v>21</v>
      </c>
      <c r="E786" s="36" t="s">
        <v>8</v>
      </c>
      <c r="F786" s="36">
        <f>vlookup(D786,'Team Bye List'!$A$1:$B$33,2,False)</f>
        <v>6</v>
      </c>
      <c r="G786" s="37">
        <f>if(ISNA(vlookup($A786, Sleeper!$B$2:$E$330, 4, false)), 0, vlookup($A786, Sleeper!$B$2:$E$330, 4, false))</f>
        <v>1</v>
      </c>
      <c r="H786" s="37">
        <f>if(ISNA(vlookup($A786, ESPN!$B$2:$E$297, 4, false)), 0, vlookup($A786, ESPN!$B$2:$E$297, 4, false))</f>
        <v>0</v>
      </c>
      <c r="I786" s="37">
        <f>if(ISNA(vlookup($A786,'Ultimate Draft Kit'!$B$2:$E$324,4, false)), 0, vlookup($A786,'Ultimate Draft Kit'!$B$2:$E$324, 4, false))</f>
        <v>1</v>
      </c>
      <c r="J786" s="38">
        <f>if(ISNA(vlookup($A786,Rotowire!$B$2:$E$1075,4, false)), 0, vlookup($A786,Rotowire!$B$2:$E$1075, 4, false))</f>
        <v>0</v>
      </c>
      <c r="K786" s="37">
        <f>if(ISNA(vlookup($A786, FantasyPro!$B$2:$E$341,4,false)),0,vlookup($A786,FantasyPro!$B$2:$E$341,4,false))</f>
        <v>0</v>
      </c>
      <c r="L786" s="37">
        <f>if(ISNA(vlookup($A786, FFToolbox!$B$2:$E$414, 4, false)), 0, vlookup($A786, FFToolbox!$B$2:$E$414, 4, false))</f>
        <v>1</v>
      </c>
      <c r="M786" s="39">
        <f t="shared" si="1"/>
        <v>0.5</v>
      </c>
      <c r="N786" s="39">
        <f t="shared" si="2"/>
        <v>1</v>
      </c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</row>
    <row r="787">
      <c r="A787" s="17" t="s">
        <v>229</v>
      </c>
      <c r="B787" s="35" t="s">
        <v>1259</v>
      </c>
      <c r="C787" s="35">
        <v>11.0</v>
      </c>
      <c r="D787" s="36" t="s">
        <v>10</v>
      </c>
      <c r="E787" s="36" t="s">
        <v>8</v>
      </c>
      <c r="F787" s="36">
        <f>vlookup(D787,'Team Bye List'!$A$1:$B$33,2,False)</f>
        <v>13</v>
      </c>
      <c r="G787" s="37">
        <f>if(ISNA(vlookup($A787, Sleeper!$B$2:$E$330, 4, false)), 0, vlookup($A787, Sleeper!$B$2:$E$330, 4, false))</f>
        <v>0</v>
      </c>
      <c r="H787" s="37">
        <f>if(ISNA(vlookup($A787, ESPN!$B$2:$E$297, 4, false)), 0, vlookup($A787, ESPN!$B$2:$E$297, 4, false))</f>
        <v>0</v>
      </c>
      <c r="I787" s="37">
        <f>if(ISNA(vlookup($A787,'Ultimate Draft Kit'!$B$2:$E$324,4, false)), 0, vlookup($A787,'Ultimate Draft Kit'!$B$2:$E$324, 4, false))</f>
        <v>0</v>
      </c>
      <c r="J787" s="38">
        <f>if(ISNA(vlookup($A787,Rotowire!$B$2:$E$1075,4, false)), 0, vlookup($A787,Rotowire!$B$2:$E$1075, 4, false))</f>
        <v>0</v>
      </c>
      <c r="K787" s="37">
        <f>if(ISNA(vlookup($A787, FantasyPro!$B$2:$E$341,4,false)),0,vlookup($A787,FantasyPro!$B$2:$E$341,4,false))</f>
        <v>1</v>
      </c>
      <c r="L787" s="37">
        <f>if(ISNA(vlookup($A787, FFToolbox!$B$2:$E$414, 4, false)), 0, vlookup($A787, FFToolbox!$B$2:$E$414, 4, false))</f>
        <v>1</v>
      </c>
      <c r="M787" s="39">
        <f t="shared" si="1"/>
        <v>0.3333333333</v>
      </c>
      <c r="N787" s="39">
        <f t="shared" si="2"/>
        <v>1</v>
      </c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</row>
    <row r="788">
      <c r="A788" s="17" t="s">
        <v>230</v>
      </c>
      <c r="B788" s="35" t="s">
        <v>1259</v>
      </c>
      <c r="C788" s="35">
        <v>11.0</v>
      </c>
      <c r="D788" s="36" t="s">
        <v>19</v>
      </c>
      <c r="E788" s="36" t="s">
        <v>8</v>
      </c>
      <c r="F788" s="36">
        <f>vlookup(D788,'Team Bye List'!$A$1:$B$33,2,False)</f>
        <v>10</v>
      </c>
      <c r="G788" s="37">
        <f>if(ISNA(vlookup($A788, Sleeper!$B$2:$E$330, 4, false)), 0, vlookup($A788, Sleeper!$B$2:$E$330, 4, false))</f>
        <v>1</v>
      </c>
      <c r="H788" s="37">
        <f>if(ISNA(vlookup($A788, ESPN!$B$2:$E$297, 4, false)), 0, vlookup($A788, ESPN!$B$2:$E$297, 4, false))</f>
        <v>0</v>
      </c>
      <c r="I788" s="37">
        <f>if(ISNA(vlookup($A788,'Ultimate Draft Kit'!$B$2:$E$324,4, false)), 0, vlookup($A788,'Ultimate Draft Kit'!$B$2:$E$324, 4, false))</f>
        <v>1</v>
      </c>
      <c r="J788" s="38">
        <f>if(ISNA(vlookup($A788,Rotowire!$B$2:$E$1075,4, false)), 0, vlookup($A788,Rotowire!$B$2:$E$1075, 4, false))</f>
        <v>0</v>
      </c>
      <c r="K788" s="37">
        <f>if(ISNA(vlookup($A788, FantasyPro!$B$2:$E$341,4,false)),0,vlookup($A788,FantasyPro!$B$2:$E$341,4,false))</f>
        <v>0</v>
      </c>
      <c r="L788" s="37">
        <f>if(ISNA(vlookup($A788, FFToolbox!$B$2:$E$414, 4, false)), 0, vlookup($A788, FFToolbox!$B$2:$E$414, 4, false))</f>
        <v>1</v>
      </c>
      <c r="M788" s="39">
        <f t="shared" si="1"/>
        <v>0.5</v>
      </c>
      <c r="N788" s="39">
        <f t="shared" si="2"/>
        <v>1</v>
      </c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</row>
    <row r="789">
      <c r="A789" s="17" t="s">
        <v>233</v>
      </c>
      <c r="B789" s="35" t="s">
        <v>1259</v>
      </c>
      <c r="C789" s="35">
        <v>11.0</v>
      </c>
      <c r="D789" s="36" t="s">
        <v>28</v>
      </c>
      <c r="E789" s="36" t="s">
        <v>8</v>
      </c>
      <c r="F789" s="36">
        <f>vlookup(D789,'Team Bye List'!$A$1:$B$33,2,False)</f>
        <v>11</v>
      </c>
      <c r="G789" s="37">
        <f>if(ISNA(vlookup($A789, Sleeper!$B$2:$E$330, 4, false)), 0, vlookup($A789, Sleeper!$B$2:$E$330, 4, false))</f>
        <v>1</v>
      </c>
      <c r="H789" s="37">
        <f>if(ISNA(vlookup($A789, ESPN!$B$2:$E$297, 4, false)), 0, vlookup($A789, ESPN!$B$2:$E$297, 4, false))</f>
        <v>0</v>
      </c>
      <c r="I789" s="37">
        <f>if(ISNA(vlookup($A789,'Ultimate Draft Kit'!$B$2:$E$324,4, false)), 0, vlookup($A789,'Ultimate Draft Kit'!$B$2:$E$324, 4, false))</f>
        <v>1</v>
      </c>
      <c r="J789" s="38">
        <f>if(ISNA(vlookup($A789,Rotowire!$B$2:$E$1075,4, false)), 0, vlookup($A789,Rotowire!$B$2:$E$1075, 4, false))</f>
        <v>0</v>
      </c>
      <c r="K789" s="37">
        <f>if(ISNA(vlookup($A789, FantasyPro!$B$2:$E$341,4,false)),0,vlookup($A789,FantasyPro!$B$2:$E$341,4,false))</f>
        <v>0</v>
      </c>
      <c r="L789" s="37">
        <f>if(ISNA(vlookup($A789, FFToolbox!$B$2:$E$414, 4, false)), 0, vlookup($A789, FFToolbox!$B$2:$E$414, 4, false))</f>
        <v>1</v>
      </c>
      <c r="M789" s="39">
        <f t="shared" si="1"/>
        <v>0.5</v>
      </c>
      <c r="N789" s="39">
        <f t="shared" si="2"/>
        <v>1</v>
      </c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</row>
    <row r="790">
      <c r="A790" s="17" t="s">
        <v>294</v>
      </c>
      <c r="B790" s="35" t="s">
        <v>1259</v>
      </c>
      <c r="C790" s="35" t="s">
        <v>1260</v>
      </c>
      <c r="D790" s="36" t="s">
        <v>10</v>
      </c>
      <c r="E790" s="36" t="s">
        <v>77</v>
      </c>
      <c r="F790" s="36">
        <f>vlookup(D790,'Team Bye List'!$A$1:$B$33,2,False)</f>
        <v>13</v>
      </c>
      <c r="G790" s="37">
        <f>if(ISNA(vlookup($A790, Sleeper!$B$2:$E$330, 4, false)), 0, vlookup($A790, Sleeper!$B$2:$E$330, 4, false))</f>
        <v>0</v>
      </c>
      <c r="H790" s="37">
        <f>if(ISNA(vlookup($A790, ESPN!$B$2:$E$297, 4, false)), 0, vlookup($A790, ESPN!$B$2:$E$297, 4, false))</f>
        <v>0</v>
      </c>
      <c r="I790" s="37">
        <f>if(ISNA(vlookup($A790,'Ultimate Draft Kit'!$B$2:$E$324,4, false)), 0, vlookup($A790,'Ultimate Draft Kit'!$B$2:$E$324, 4, false))</f>
        <v>0</v>
      </c>
      <c r="J790" s="38">
        <f>if(ISNA(vlookup($A790,Rotowire!$B$2:$E$1075,4, false)), 0, vlookup($A790,Rotowire!$B$2:$E$1075, 4, false))</f>
        <v>0</v>
      </c>
      <c r="K790" s="37">
        <f>if(ISNA(vlookup($A790, FantasyPro!$B$2:$E$341,4,false)),0,vlookup($A790,FantasyPro!$B$2:$E$341,4,false))</f>
        <v>0</v>
      </c>
      <c r="L790" s="37">
        <f>if(ISNA(vlookup($A790, FFToolbox!$B$2:$E$414, 4, false)), 0, vlookup($A790, FFToolbox!$B$2:$E$414, 4, false))</f>
        <v>0</v>
      </c>
      <c r="M790" s="39">
        <f t="shared" si="1"/>
        <v>0</v>
      </c>
      <c r="N790" s="39">
        <f t="shared" si="2"/>
        <v>0</v>
      </c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</row>
    <row r="791">
      <c r="A791" s="17" t="s">
        <v>236</v>
      </c>
      <c r="B791" s="35" t="s">
        <v>1259</v>
      </c>
      <c r="C791" s="35">
        <v>11.0</v>
      </c>
      <c r="D791" s="36" t="s">
        <v>23</v>
      </c>
      <c r="E791" s="36" t="s">
        <v>8</v>
      </c>
      <c r="F791" s="36">
        <f>vlookup(D791,'Team Bye List'!$A$1:$B$33,2,False)</f>
        <v>9</v>
      </c>
      <c r="G791" s="37">
        <f>if(ISNA(vlookup($A791, Sleeper!$B$2:$E$330, 4, false)), 0, vlookup($A791, Sleeper!$B$2:$E$330, 4, false))</f>
        <v>1</v>
      </c>
      <c r="H791" s="37">
        <f>if(ISNA(vlookup($A791, ESPN!$B$2:$E$297, 4, false)), 0, vlookup($A791, ESPN!$B$2:$E$297, 4, false))</f>
        <v>0</v>
      </c>
      <c r="I791" s="37">
        <f>if(ISNA(vlookup($A791,'Ultimate Draft Kit'!$B$2:$E$324,4, false)), 0, vlookup($A791,'Ultimate Draft Kit'!$B$2:$E$324, 4, false))</f>
        <v>1</v>
      </c>
      <c r="J791" s="38">
        <f>if(ISNA(vlookup($A791,Rotowire!$B$2:$E$1075,4, false)), 0, vlookup($A791,Rotowire!$B$2:$E$1075, 4, false))</f>
        <v>0</v>
      </c>
      <c r="K791" s="37">
        <f>if(ISNA(vlookup($A791, FantasyPro!$B$2:$E$341,4,false)),0,vlookup($A791,FantasyPro!$B$2:$E$341,4,false))</f>
        <v>0</v>
      </c>
      <c r="L791" s="37">
        <f>if(ISNA(vlookup($A791, FFToolbox!$B$2:$E$414, 4, false)), 0, vlookup($A791, FFToolbox!$B$2:$E$414, 4, false))</f>
        <v>0</v>
      </c>
      <c r="M791" s="39">
        <f t="shared" si="1"/>
        <v>0.3333333333</v>
      </c>
      <c r="N791" s="39">
        <f t="shared" si="2"/>
        <v>1</v>
      </c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</row>
    <row r="792">
      <c r="A792" s="17" t="s">
        <v>381</v>
      </c>
      <c r="B792" s="35" t="s">
        <v>1259</v>
      </c>
      <c r="C792" s="35" t="s">
        <v>1260</v>
      </c>
      <c r="D792" s="36" t="s">
        <v>28</v>
      </c>
      <c r="E792" s="36" t="s">
        <v>8</v>
      </c>
      <c r="F792" s="36">
        <f>vlookup(D792,'Team Bye List'!$A$1:$B$33,2,False)</f>
        <v>11</v>
      </c>
      <c r="G792" s="37">
        <f>if(ISNA(vlookup($A792, Sleeper!$B$2:$E$330, 4, false)), 0, vlookup($A792, Sleeper!$B$2:$E$330, 4, false))</f>
        <v>0</v>
      </c>
      <c r="H792" s="37">
        <f>if(ISNA(vlookup($A792, ESPN!$B$2:$E$297, 4, false)), 0, vlookup($A792, ESPN!$B$2:$E$297, 4, false))</f>
        <v>0</v>
      </c>
      <c r="I792" s="37">
        <f>if(ISNA(vlookup($A792,'Ultimate Draft Kit'!$B$2:$E$324,4, false)), 0, vlookup($A792,'Ultimate Draft Kit'!$B$2:$E$324, 4, false))</f>
        <v>0</v>
      </c>
      <c r="J792" s="38">
        <f>if(ISNA(vlookup($A792,Rotowire!$B$2:$E$1075,4, false)), 0, vlookup($A792,Rotowire!$B$2:$E$1075, 4, false))</f>
        <v>0</v>
      </c>
      <c r="K792" s="37">
        <f>if(ISNA(vlookup($A792, FantasyPro!$B$2:$E$341,4,false)),0,vlookup($A792,FantasyPro!$B$2:$E$341,4,false))</f>
        <v>0</v>
      </c>
      <c r="L792" s="37">
        <f>if(ISNA(vlookup($A792, FFToolbox!$B$2:$E$414, 4, false)), 0, vlookup($A792, FFToolbox!$B$2:$E$414, 4, false))</f>
        <v>1</v>
      </c>
      <c r="M792" s="39">
        <f t="shared" si="1"/>
        <v>0.1666666667</v>
      </c>
      <c r="N792" s="39">
        <f t="shared" si="2"/>
        <v>1</v>
      </c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</row>
    <row r="793">
      <c r="A793" s="17" t="s">
        <v>376</v>
      </c>
      <c r="B793" s="35" t="s">
        <v>1259</v>
      </c>
      <c r="C793" s="35" t="s">
        <v>1260</v>
      </c>
      <c r="D793" s="36" t="s">
        <v>35</v>
      </c>
      <c r="E793" s="36" t="s">
        <v>8</v>
      </c>
      <c r="F793" s="36">
        <f>vlookup(D793,'Team Bye List'!$A$1:$B$33,2,False)</f>
        <v>6</v>
      </c>
      <c r="G793" s="37">
        <f>if(ISNA(vlookup($A793, Sleeper!$B$2:$E$330, 4, false)), 0, vlookup($A793, Sleeper!$B$2:$E$330, 4, false))</f>
        <v>0</v>
      </c>
      <c r="H793" s="37">
        <f>if(ISNA(vlookup($A793, ESPN!$B$2:$E$297, 4, false)), 0, vlookup($A793, ESPN!$B$2:$E$297, 4, false))</f>
        <v>0</v>
      </c>
      <c r="I793" s="37">
        <f>if(ISNA(vlookup($A793,'Ultimate Draft Kit'!$B$2:$E$324,4, false)), 0, vlookup($A793,'Ultimate Draft Kit'!$B$2:$E$324, 4, false))</f>
        <v>0</v>
      </c>
      <c r="J793" s="38">
        <f>if(ISNA(vlookup($A793,Rotowire!$B$2:$E$1075,4, false)), 0, vlookup($A793,Rotowire!$B$2:$E$1075, 4, false))</f>
        <v>0</v>
      </c>
      <c r="K793" s="37">
        <f>if(ISNA(vlookup($A793, FantasyPro!$B$2:$E$341,4,false)),0,vlookup($A793,FantasyPro!$B$2:$E$341,4,false))</f>
        <v>0</v>
      </c>
      <c r="L793" s="37">
        <f>if(ISNA(vlookup($A793, FFToolbox!$B$2:$E$414, 4, false)), 0, vlookup($A793, FFToolbox!$B$2:$E$414, 4, false))</f>
        <v>1</v>
      </c>
      <c r="M793" s="39">
        <f t="shared" si="1"/>
        <v>0.1666666667</v>
      </c>
      <c r="N793" s="39">
        <f t="shared" si="2"/>
        <v>1</v>
      </c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</row>
    <row r="794">
      <c r="A794" s="17" t="s">
        <v>433</v>
      </c>
      <c r="B794" s="35" t="s">
        <v>1259</v>
      </c>
      <c r="C794" s="35" t="s">
        <v>1260</v>
      </c>
      <c r="D794" s="36" t="s">
        <v>53</v>
      </c>
      <c r="E794" s="36" t="s">
        <v>8</v>
      </c>
      <c r="F794" s="36">
        <f>vlookup(D794,'Team Bye List'!$A$1:$B$33,2,False)</f>
        <v>9</v>
      </c>
      <c r="G794" s="37">
        <f>if(ISNA(vlookup($A794, Sleeper!$B$2:$E$330, 4, false)), 0, vlookup($A794, Sleeper!$B$2:$E$330, 4, false))</f>
        <v>0</v>
      </c>
      <c r="H794" s="37">
        <f>if(ISNA(vlookup($A794, ESPN!$B$2:$E$297, 4, false)), 0, vlookup($A794, ESPN!$B$2:$E$297, 4, false))</f>
        <v>0</v>
      </c>
      <c r="I794" s="37">
        <f>if(ISNA(vlookup($A794,'Ultimate Draft Kit'!$B$2:$E$324,4, false)), 0, vlookup($A794,'Ultimate Draft Kit'!$B$2:$E$324, 4, false))</f>
        <v>0</v>
      </c>
      <c r="J794" s="38">
        <f>if(ISNA(vlookup($A794,Rotowire!$B$2:$E$1075,4, false)), 0, vlookup($A794,Rotowire!$B$2:$E$1075, 4, false))</f>
        <v>0</v>
      </c>
      <c r="K794" s="37">
        <f>if(ISNA(vlookup($A794, FantasyPro!$B$2:$E$341,4,false)),0,vlookup($A794,FantasyPro!$B$2:$E$341,4,false))</f>
        <v>0</v>
      </c>
      <c r="L794" s="37">
        <f>if(ISNA(vlookup($A794, FFToolbox!$B$2:$E$414, 4, false)), 0, vlookup($A794, FFToolbox!$B$2:$E$414, 4, false))</f>
        <v>0</v>
      </c>
      <c r="M794" s="39">
        <f t="shared" si="1"/>
        <v>0</v>
      </c>
      <c r="N794" s="39">
        <f t="shared" si="2"/>
        <v>0</v>
      </c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</row>
    <row r="795">
      <c r="A795" s="17" t="s">
        <v>290</v>
      </c>
      <c r="B795" s="35" t="s">
        <v>1259</v>
      </c>
      <c r="C795" s="35">
        <v>9.0</v>
      </c>
      <c r="D795" s="36" t="s">
        <v>66</v>
      </c>
      <c r="E795" s="36" t="s">
        <v>77</v>
      </c>
      <c r="F795" s="36">
        <f>vlookup(D795,'Team Bye List'!$A$1:$B$33,2,False)</f>
        <v>9</v>
      </c>
      <c r="G795" s="37">
        <f>if(ISNA(vlookup($A795, Sleeper!$B$2:$E$330, 4, false)), 0, vlookup($A795, Sleeper!$B$2:$E$330, 4, false))</f>
        <v>1</v>
      </c>
      <c r="H795" s="37">
        <f>if(ISNA(vlookup($A795, ESPN!$B$2:$E$297, 4, false)), 0, vlookup($A795, ESPN!$B$2:$E$297, 4, false))</f>
        <v>0</v>
      </c>
      <c r="I795" s="37">
        <f>if(ISNA(vlookup($A795,'Ultimate Draft Kit'!$B$2:$E$324,4, false)), 0, vlookup($A795,'Ultimate Draft Kit'!$B$2:$E$324, 4, false))</f>
        <v>1</v>
      </c>
      <c r="J795" s="38">
        <f>if(ISNA(vlookup($A795,Rotowire!$B$2:$E$1075,4, false)), 0, vlookup($A795,Rotowire!$B$2:$E$1075, 4, false))</f>
        <v>0</v>
      </c>
      <c r="K795" s="37">
        <f>if(ISNA(vlookup($A795, FantasyPro!$B$2:$E$341,4,false)),0,vlookup($A795,FantasyPro!$B$2:$E$341,4,false))</f>
        <v>0</v>
      </c>
      <c r="L795" s="37">
        <f>if(ISNA(vlookup($A795, FFToolbox!$B$2:$E$414, 4, false)), 0, vlookup($A795, FFToolbox!$B$2:$E$414, 4, false))</f>
        <v>1</v>
      </c>
      <c r="M795" s="39">
        <f t="shared" si="1"/>
        <v>0.5</v>
      </c>
      <c r="N795" s="39">
        <f t="shared" si="2"/>
        <v>1</v>
      </c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</row>
    <row r="796">
      <c r="A796" s="17" t="s">
        <v>240</v>
      </c>
      <c r="B796" s="35" t="s">
        <v>1259</v>
      </c>
      <c r="C796" s="35" t="s">
        <v>1260</v>
      </c>
      <c r="D796" s="36" t="s">
        <v>37</v>
      </c>
      <c r="E796" s="36" t="s">
        <v>8</v>
      </c>
      <c r="F796" s="36">
        <f>vlookup(D796,'Team Bye List'!$A$1:$B$33,2,False)</f>
        <v>11</v>
      </c>
      <c r="G796" s="37">
        <f>if(ISNA(vlookup($A796, Sleeper!$B$2:$E$330, 4, false)), 0, vlookup($A796, Sleeper!$B$2:$E$330, 4, false))</f>
        <v>0</v>
      </c>
      <c r="H796" s="37">
        <f>if(ISNA(vlookup($A796, ESPN!$B$2:$E$297, 4, false)), 0, vlookup($A796, ESPN!$B$2:$E$297, 4, false))</f>
        <v>0</v>
      </c>
      <c r="I796" s="37">
        <f>if(ISNA(vlookup($A796,'Ultimate Draft Kit'!$B$2:$E$324,4, false)), 0, vlookup($A796,'Ultimate Draft Kit'!$B$2:$E$324, 4, false))</f>
        <v>0</v>
      </c>
      <c r="J796" s="38">
        <f>if(ISNA(vlookup($A796,Rotowire!$B$2:$E$1075,4, false)), 0, vlookup($A796,Rotowire!$B$2:$E$1075, 4, false))</f>
        <v>0</v>
      </c>
      <c r="K796" s="37">
        <f>if(ISNA(vlookup($A796, FantasyPro!$B$2:$E$341,4,false)),0,vlookup($A796,FantasyPro!$B$2:$E$341,4,false))</f>
        <v>0</v>
      </c>
      <c r="L796" s="37">
        <f>if(ISNA(vlookup($A796, FFToolbox!$B$2:$E$414, 4, false)), 0, vlookup($A796, FFToolbox!$B$2:$E$414, 4, false))</f>
        <v>1</v>
      </c>
      <c r="M796" s="39">
        <f t="shared" si="1"/>
        <v>0.1666666667</v>
      </c>
      <c r="N796" s="39">
        <f t="shared" si="2"/>
        <v>1</v>
      </c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</row>
    <row r="797">
      <c r="A797" s="17" t="s">
        <v>375</v>
      </c>
      <c r="B797" s="35" t="s">
        <v>1259</v>
      </c>
      <c r="C797" s="35" t="s">
        <v>1260</v>
      </c>
      <c r="D797" s="36" t="s">
        <v>41</v>
      </c>
      <c r="E797" s="36" t="s">
        <v>8</v>
      </c>
      <c r="F797" s="36">
        <f>vlookup(D797,'Team Bye List'!$A$1:$B$33,2,False)</f>
        <v>14</v>
      </c>
      <c r="G797" s="37">
        <f>if(ISNA(vlookup($A797, Sleeper!$B$2:$E$330, 4, false)), 0, vlookup($A797, Sleeper!$B$2:$E$330, 4, false))</f>
        <v>0</v>
      </c>
      <c r="H797" s="37">
        <f>if(ISNA(vlookup($A797, ESPN!$B$2:$E$297, 4, false)), 0, vlookup($A797, ESPN!$B$2:$E$297, 4, false))</f>
        <v>0</v>
      </c>
      <c r="I797" s="37">
        <f>if(ISNA(vlookup($A797,'Ultimate Draft Kit'!$B$2:$E$324,4, false)), 0, vlookup($A797,'Ultimate Draft Kit'!$B$2:$E$324, 4, false))</f>
        <v>0</v>
      </c>
      <c r="J797" s="38">
        <f>if(ISNA(vlookup($A797,Rotowire!$B$2:$E$1075,4, false)), 0, vlookup($A797,Rotowire!$B$2:$E$1075, 4, false))</f>
        <v>0</v>
      </c>
      <c r="K797" s="37">
        <f>if(ISNA(vlookup($A797, FantasyPro!$B$2:$E$341,4,false)),0,vlookup($A797,FantasyPro!$B$2:$E$341,4,false))</f>
        <v>0</v>
      </c>
      <c r="L797" s="37">
        <f>if(ISNA(vlookup($A797, FFToolbox!$B$2:$E$414, 4, false)), 0, vlookup($A797, FFToolbox!$B$2:$E$414, 4, false))</f>
        <v>0</v>
      </c>
      <c r="M797" s="39">
        <f t="shared" si="1"/>
        <v>0</v>
      </c>
      <c r="N797" s="39">
        <f t="shared" si="2"/>
        <v>0</v>
      </c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</row>
    <row r="798">
      <c r="A798" s="17" t="s">
        <v>291</v>
      </c>
      <c r="B798" s="35" t="s">
        <v>1259</v>
      </c>
      <c r="C798" s="35" t="s">
        <v>1260</v>
      </c>
      <c r="D798" s="36" t="s">
        <v>89</v>
      </c>
      <c r="E798" s="36" t="s">
        <v>77</v>
      </c>
      <c r="F798" s="36">
        <f>vlookup(D798,'Team Bye List'!$A$1:$B$33,2,False)</f>
        <v>14</v>
      </c>
      <c r="G798" s="37">
        <f>if(ISNA(vlookup($A798, Sleeper!$B$2:$E$330, 4, false)), 0, vlookup($A798, Sleeper!$B$2:$E$330, 4, false))</f>
        <v>0</v>
      </c>
      <c r="H798" s="37">
        <f>if(ISNA(vlookup($A798, ESPN!$B$2:$E$297, 4, false)), 0, vlookup($A798, ESPN!$B$2:$E$297, 4, false))</f>
        <v>0</v>
      </c>
      <c r="I798" s="37">
        <f>if(ISNA(vlookup($A798,'Ultimate Draft Kit'!$B$2:$E$324,4, false)), 0, vlookup($A798,'Ultimate Draft Kit'!$B$2:$E$324, 4, false))</f>
        <v>0</v>
      </c>
      <c r="J798" s="38">
        <f>if(ISNA(vlookup($A798,Rotowire!$B$2:$E$1075,4, false)), 0, vlookup($A798,Rotowire!$B$2:$E$1075, 4, false))</f>
        <v>0</v>
      </c>
      <c r="K798" s="37">
        <f>if(ISNA(vlookup($A798, FantasyPro!$B$2:$E$341,4,false)),0,vlookup($A798,FantasyPro!$B$2:$E$341,4,false))</f>
        <v>0</v>
      </c>
      <c r="L798" s="37">
        <f>if(ISNA(vlookup($A798, FFToolbox!$B$2:$E$414, 4, false)), 0, vlookup($A798, FFToolbox!$B$2:$E$414, 4, false))</f>
        <v>0</v>
      </c>
      <c r="M798" s="39">
        <f t="shared" si="1"/>
        <v>0</v>
      </c>
      <c r="N798" s="39">
        <f t="shared" si="2"/>
        <v>0</v>
      </c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</row>
    <row r="799">
      <c r="A799" s="17" t="s">
        <v>234</v>
      </c>
      <c r="B799" s="35" t="s">
        <v>1259</v>
      </c>
      <c r="C799" s="35" t="s">
        <v>1260</v>
      </c>
      <c r="D799" s="36" t="s">
        <v>85</v>
      </c>
      <c r="E799" s="36" t="s">
        <v>8</v>
      </c>
      <c r="F799" s="36">
        <f>vlookup(D799,'Team Bye List'!$A$1:$B$33,2,False)</f>
        <v>9</v>
      </c>
      <c r="G799" s="37">
        <f>if(ISNA(vlookup($A799, Sleeper!$B$2:$E$330, 4, false)), 0, vlookup($A799, Sleeper!$B$2:$E$330, 4, false))</f>
        <v>0</v>
      </c>
      <c r="H799" s="37">
        <f>if(ISNA(vlookup($A799, ESPN!$B$2:$E$297, 4, false)), 0, vlookup($A799, ESPN!$B$2:$E$297, 4, false))</f>
        <v>0</v>
      </c>
      <c r="I799" s="37">
        <f>if(ISNA(vlookup($A799,'Ultimate Draft Kit'!$B$2:$E$324,4, false)), 0, vlookup($A799,'Ultimate Draft Kit'!$B$2:$E$324, 4, false))</f>
        <v>0</v>
      </c>
      <c r="J799" s="38">
        <f>if(ISNA(vlookup($A799,Rotowire!$B$2:$E$1075,4, false)), 0, vlookup($A799,Rotowire!$B$2:$E$1075, 4, false))</f>
        <v>0</v>
      </c>
      <c r="K799" s="37">
        <f>if(ISNA(vlookup($A799, FantasyPro!$B$2:$E$341,4,false)),0,vlookup($A799,FantasyPro!$B$2:$E$341,4,false))</f>
        <v>0</v>
      </c>
      <c r="L799" s="37">
        <f>if(ISNA(vlookup($A799, FFToolbox!$B$2:$E$414, 4, false)), 0, vlookup($A799, FFToolbox!$B$2:$E$414, 4, false))</f>
        <v>1</v>
      </c>
      <c r="M799" s="39">
        <f t="shared" si="1"/>
        <v>0.1666666667</v>
      </c>
      <c r="N799" s="39">
        <f t="shared" si="2"/>
        <v>1</v>
      </c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</row>
    <row r="800">
      <c r="A800" s="17" t="s">
        <v>350</v>
      </c>
      <c r="B800" s="35" t="s">
        <v>1259</v>
      </c>
      <c r="C800" s="35" t="s">
        <v>1260</v>
      </c>
      <c r="D800" s="36" t="s">
        <v>7</v>
      </c>
      <c r="E800" s="36" t="s">
        <v>8</v>
      </c>
      <c r="F800" s="36">
        <f>vlookup(D800,'Team Bye List'!$A$1:$B$33,2,False)</f>
        <v>14</v>
      </c>
      <c r="G800" s="37">
        <f>if(ISNA(vlookup($A800, Sleeper!$B$2:$E$330, 4, false)), 0, vlookup($A800, Sleeper!$B$2:$E$330, 4, false))</f>
        <v>0</v>
      </c>
      <c r="H800" s="37">
        <f>if(ISNA(vlookup($A800, ESPN!$B$2:$E$297, 4, false)), 0, vlookup($A800, ESPN!$B$2:$E$297, 4, false))</f>
        <v>0</v>
      </c>
      <c r="I800" s="37">
        <f>if(ISNA(vlookup($A800,'Ultimate Draft Kit'!$B$2:$E$324,4, false)), 0, vlookup($A800,'Ultimate Draft Kit'!$B$2:$E$324, 4, false))</f>
        <v>0</v>
      </c>
      <c r="J800" s="38">
        <f>if(ISNA(vlookup($A800,Rotowire!$B$2:$E$1075,4, false)), 0, vlookup($A800,Rotowire!$B$2:$E$1075, 4, false))</f>
        <v>0</v>
      </c>
      <c r="K800" s="37">
        <f>if(ISNA(vlookup($A800, FantasyPro!$B$2:$E$341,4,false)),0,vlookup($A800,FantasyPro!$B$2:$E$341,4,false))</f>
        <v>0</v>
      </c>
      <c r="L800" s="37">
        <f>if(ISNA(vlookup($A800, FFToolbox!$B$2:$E$414, 4, false)), 0, vlookup($A800, FFToolbox!$B$2:$E$414, 4, false))</f>
        <v>1</v>
      </c>
      <c r="M800" s="39">
        <f t="shared" si="1"/>
        <v>0.1666666667</v>
      </c>
      <c r="N800" s="39">
        <f t="shared" si="2"/>
        <v>1</v>
      </c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</row>
    <row r="801">
      <c r="A801" s="17" t="s">
        <v>238</v>
      </c>
      <c r="B801" s="35" t="s">
        <v>1259</v>
      </c>
      <c r="C801" s="35">
        <v>11.0</v>
      </c>
      <c r="D801" s="36" t="s">
        <v>28</v>
      </c>
      <c r="E801" s="36" t="s">
        <v>8</v>
      </c>
      <c r="F801" s="36">
        <f>vlookup(D801,'Team Bye List'!$A$1:$B$33,2,False)</f>
        <v>11</v>
      </c>
      <c r="G801" s="37">
        <f>if(ISNA(vlookup($A801, Sleeper!$B$2:$E$330, 4, false)), 0, vlookup($A801, Sleeper!$B$2:$E$330, 4, false))</f>
        <v>1</v>
      </c>
      <c r="H801" s="37">
        <f>if(ISNA(vlookup($A801, ESPN!$B$2:$E$297, 4, false)), 0, vlookup($A801, ESPN!$B$2:$E$297, 4, false))</f>
        <v>0</v>
      </c>
      <c r="I801" s="37">
        <f>if(ISNA(vlookup($A801,'Ultimate Draft Kit'!$B$2:$E$324,4, false)), 0, vlookup($A801,'Ultimate Draft Kit'!$B$2:$E$324, 4, false))</f>
        <v>1</v>
      </c>
      <c r="J801" s="38">
        <f>if(ISNA(vlookup($A801,Rotowire!$B$2:$E$1075,4, false)), 0, vlookup($A801,Rotowire!$B$2:$E$1075, 4, false))</f>
        <v>0</v>
      </c>
      <c r="K801" s="37">
        <f>if(ISNA(vlookup($A801, FantasyPro!$B$2:$E$341,4,false)),0,vlookup($A801,FantasyPro!$B$2:$E$341,4,false))</f>
        <v>0</v>
      </c>
      <c r="L801" s="37">
        <f>if(ISNA(vlookup($A801, FFToolbox!$B$2:$E$414, 4, false)), 0, vlookup($A801, FFToolbox!$B$2:$E$414, 4, false))</f>
        <v>0</v>
      </c>
      <c r="M801" s="39">
        <f t="shared" si="1"/>
        <v>0.3333333333</v>
      </c>
      <c r="N801" s="39">
        <f t="shared" si="2"/>
        <v>1</v>
      </c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</row>
    <row r="802">
      <c r="A802" s="17" t="s">
        <v>361</v>
      </c>
      <c r="B802" s="35" t="s">
        <v>1259</v>
      </c>
      <c r="C802" s="35" t="s">
        <v>1260</v>
      </c>
      <c r="D802" s="36" t="s">
        <v>99</v>
      </c>
      <c r="E802" s="36" t="s">
        <v>8</v>
      </c>
      <c r="F802" s="36">
        <f>vlookup(D802,'Team Bye List'!$A$1:$B$33,2,False)</f>
        <v>11</v>
      </c>
      <c r="G802" s="37">
        <f>if(ISNA(vlookup($A802, Sleeper!$B$2:$E$330, 4, false)), 0, vlookup($A802, Sleeper!$B$2:$E$330, 4, false))</f>
        <v>0</v>
      </c>
      <c r="H802" s="37">
        <f>if(ISNA(vlookup($A802, ESPN!$B$2:$E$297, 4, false)), 0, vlookup($A802, ESPN!$B$2:$E$297, 4, false))</f>
        <v>0</v>
      </c>
      <c r="I802" s="37">
        <f>if(ISNA(vlookup($A802,'Ultimate Draft Kit'!$B$2:$E$324,4, false)), 0, vlookup($A802,'Ultimate Draft Kit'!$B$2:$E$324, 4, false))</f>
        <v>0</v>
      </c>
      <c r="J802" s="38">
        <f>if(ISNA(vlookup($A802,Rotowire!$B$2:$E$1075,4, false)), 0, vlookup($A802,Rotowire!$B$2:$E$1075, 4, false))</f>
        <v>0</v>
      </c>
      <c r="K802" s="37">
        <f>if(ISNA(vlookup($A802, FantasyPro!$B$2:$E$341,4,false)),0,vlookup($A802,FantasyPro!$B$2:$E$341,4,false))</f>
        <v>0</v>
      </c>
      <c r="L802" s="37">
        <f>if(ISNA(vlookup($A802, FFToolbox!$B$2:$E$414, 4, false)), 0, vlookup($A802, FFToolbox!$B$2:$E$414, 4, false))</f>
        <v>0</v>
      </c>
      <c r="M802" s="39">
        <f t="shared" si="1"/>
        <v>0</v>
      </c>
      <c r="N802" s="39">
        <f t="shared" si="2"/>
        <v>0</v>
      </c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</row>
    <row r="803">
      <c r="A803" s="17" t="s">
        <v>243</v>
      </c>
      <c r="B803" s="35" t="s">
        <v>1259</v>
      </c>
      <c r="C803" s="35">
        <v>11.0</v>
      </c>
      <c r="D803" s="36" t="s">
        <v>58</v>
      </c>
      <c r="E803" s="36" t="s">
        <v>8</v>
      </c>
      <c r="F803" s="36">
        <f>vlookup(D803,'Team Bye List'!$A$1:$B$33,2,False)</f>
        <v>10</v>
      </c>
      <c r="G803" s="37">
        <f>if(ISNA(vlookup($A803, Sleeper!$B$2:$E$330, 4, false)), 0, vlookup($A803, Sleeper!$B$2:$E$330, 4, false))</f>
        <v>1</v>
      </c>
      <c r="H803" s="37">
        <f>if(ISNA(vlookup($A803, ESPN!$B$2:$E$297, 4, false)), 0, vlookup($A803, ESPN!$B$2:$E$297, 4, false))</f>
        <v>0</v>
      </c>
      <c r="I803" s="37">
        <f>if(ISNA(vlookup($A803,'Ultimate Draft Kit'!$B$2:$E$324,4, false)), 0, vlookup($A803,'Ultimate Draft Kit'!$B$2:$E$324, 4, false))</f>
        <v>1</v>
      </c>
      <c r="J803" s="38">
        <f>if(ISNA(vlookup($A803,Rotowire!$B$2:$E$1075,4, false)), 0, vlookup($A803,Rotowire!$B$2:$E$1075, 4, false))</f>
        <v>0</v>
      </c>
      <c r="K803" s="37">
        <f>if(ISNA(vlookup($A803, FantasyPro!$B$2:$E$341,4,false)),0,vlookup($A803,FantasyPro!$B$2:$E$341,4,false))</f>
        <v>0</v>
      </c>
      <c r="L803" s="37">
        <f>if(ISNA(vlookup($A803, FFToolbox!$B$2:$E$414, 4, false)), 0, vlookup($A803, FFToolbox!$B$2:$E$414, 4, false))</f>
        <v>1</v>
      </c>
      <c r="M803" s="39">
        <f t="shared" si="1"/>
        <v>0.5</v>
      </c>
      <c r="N803" s="39">
        <f t="shared" si="2"/>
        <v>1</v>
      </c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</row>
    <row r="804">
      <c r="A804" s="17" t="s">
        <v>369</v>
      </c>
      <c r="B804" s="35" t="s">
        <v>1259</v>
      </c>
      <c r="C804" s="35" t="s">
        <v>1260</v>
      </c>
      <c r="D804" s="36" t="s">
        <v>17</v>
      </c>
      <c r="E804" s="36" t="s">
        <v>8</v>
      </c>
      <c r="F804" s="36">
        <f>vlookup(D804,'Team Bye List'!$A$1:$B$33,2,False)</f>
        <v>7</v>
      </c>
      <c r="G804" s="37">
        <f>if(ISNA(vlookup($A804, Sleeper!$B$2:$E$330, 4, false)), 0, vlookup($A804, Sleeper!$B$2:$E$330, 4, false))</f>
        <v>0</v>
      </c>
      <c r="H804" s="37">
        <f>if(ISNA(vlookup($A804, ESPN!$B$2:$E$297, 4, false)), 0, vlookup($A804, ESPN!$B$2:$E$297, 4, false))</f>
        <v>0</v>
      </c>
      <c r="I804" s="37">
        <f>if(ISNA(vlookup($A804,'Ultimate Draft Kit'!$B$2:$E$324,4, false)), 0, vlookup($A804,'Ultimate Draft Kit'!$B$2:$E$324, 4, false))</f>
        <v>0</v>
      </c>
      <c r="J804" s="38">
        <f>if(ISNA(vlookup($A804,Rotowire!$B$2:$E$1075,4, false)), 0, vlookup($A804,Rotowire!$B$2:$E$1075, 4, false))</f>
        <v>0</v>
      </c>
      <c r="K804" s="37">
        <f>if(ISNA(vlookup($A804, FantasyPro!$B$2:$E$341,4,false)),0,vlookup($A804,FantasyPro!$B$2:$E$341,4,false))</f>
        <v>0</v>
      </c>
      <c r="L804" s="37">
        <f>if(ISNA(vlookup($A804, FFToolbox!$B$2:$E$414, 4, false)), 0, vlookup($A804, FFToolbox!$B$2:$E$414, 4, false))</f>
        <v>0</v>
      </c>
      <c r="M804" s="39">
        <f t="shared" si="1"/>
        <v>0</v>
      </c>
      <c r="N804" s="39">
        <f t="shared" si="2"/>
        <v>0</v>
      </c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</row>
    <row r="805">
      <c r="A805" s="17" t="s">
        <v>475</v>
      </c>
      <c r="B805" s="35" t="s">
        <v>1259</v>
      </c>
      <c r="C805" s="35" t="s">
        <v>1260</v>
      </c>
      <c r="D805" s="36" t="s">
        <v>10</v>
      </c>
      <c r="E805" s="36" t="s">
        <v>77</v>
      </c>
      <c r="F805" s="36">
        <f>vlookup(D805,'Team Bye List'!$A$1:$B$33,2,False)</f>
        <v>13</v>
      </c>
      <c r="G805" s="37">
        <f>if(ISNA(vlookup($A805, Sleeper!$B$2:$E$330, 4, false)), 0, vlookup($A805, Sleeper!$B$2:$E$330, 4, false))</f>
        <v>0</v>
      </c>
      <c r="H805" s="37">
        <f>if(ISNA(vlookup($A805, ESPN!$B$2:$E$297, 4, false)), 0, vlookup($A805, ESPN!$B$2:$E$297, 4, false))</f>
        <v>0</v>
      </c>
      <c r="I805" s="37">
        <f>if(ISNA(vlookup($A805,'Ultimate Draft Kit'!$B$2:$E$324,4, false)), 0, vlookup($A805,'Ultimate Draft Kit'!$B$2:$E$324, 4, false))</f>
        <v>0</v>
      </c>
      <c r="J805" s="38">
        <f>if(ISNA(vlookup($A805,Rotowire!$B$2:$E$1075,4, false)), 0, vlookup($A805,Rotowire!$B$2:$E$1075, 4, false))</f>
        <v>0</v>
      </c>
      <c r="K805" s="37">
        <f>if(ISNA(vlookup($A805, FantasyPro!$B$2:$E$341,4,false)),0,vlookup($A805,FantasyPro!$B$2:$E$341,4,false))</f>
        <v>0</v>
      </c>
      <c r="L805" s="37">
        <f>if(ISNA(vlookup($A805, FFToolbox!$B$2:$E$414, 4, false)), 0, vlookup($A805, FFToolbox!$B$2:$E$414, 4, false))</f>
        <v>0</v>
      </c>
      <c r="M805" s="39">
        <f t="shared" si="1"/>
        <v>0</v>
      </c>
      <c r="N805" s="39">
        <f t="shared" si="2"/>
        <v>0</v>
      </c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</row>
    <row r="806">
      <c r="A806" s="17" t="s">
        <v>352</v>
      </c>
      <c r="B806" s="35" t="s">
        <v>1259</v>
      </c>
      <c r="C806" s="35" t="s">
        <v>1260</v>
      </c>
      <c r="D806" s="36" t="s">
        <v>15</v>
      </c>
      <c r="E806" s="36" t="s">
        <v>8</v>
      </c>
      <c r="F806" s="36">
        <f>vlookup(D806,'Team Bye List'!$A$1:$B$33,2,False)</f>
        <v>6</v>
      </c>
      <c r="G806" s="37">
        <f>if(ISNA(vlookup($A806, Sleeper!$B$2:$E$330, 4, false)), 0, vlookup($A806, Sleeper!$B$2:$E$330, 4, false))</f>
        <v>0</v>
      </c>
      <c r="H806" s="37">
        <f>if(ISNA(vlookup($A806, ESPN!$B$2:$E$297, 4, false)), 0, vlookup($A806, ESPN!$B$2:$E$297, 4, false))</f>
        <v>0</v>
      </c>
      <c r="I806" s="37">
        <f>if(ISNA(vlookup($A806,'Ultimate Draft Kit'!$B$2:$E$324,4, false)), 0, vlookup($A806,'Ultimate Draft Kit'!$B$2:$E$324, 4, false))</f>
        <v>0</v>
      </c>
      <c r="J806" s="38">
        <f>if(ISNA(vlookup($A806,Rotowire!$B$2:$E$1075,4, false)), 0, vlookup($A806,Rotowire!$B$2:$E$1075, 4, false))</f>
        <v>0</v>
      </c>
      <c r="K806" s="37">
        <f>if(ISNA(vlookup($A806, FantasyPro!$B$2:$E$341,4,false)),0,vlookup($A806,FantasyPro!$B$2:$E$341,4,false))</f>
        <v>0</v>
      </c>
      <c r="L806" s="37">
        <f>if(ISNA(vlookup($A806, FFToolbox!$B$2:$E$414, 4, false)), 0, vlookup($A806, FFToolbox!$B$2:$E$414, 4, false))</f>
        <v>1</v>
      </c>
      <c r="M806" s="39">
        <f t="shared" si="1"/>
        <v>0.1666666667</v>
      </c>
      <c r="N806" s="39">
        <f t="shared" si="2"/>
        <v>1</v>
      </c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</row>
    <row r="807">
      <c r="A807" s="17" t="s">
        <v>235</v>
      </c>
      <c r="B807" s="35" t="s">
        <v>1259</v>
      </c>
      <c r="C807" s="35">
        <v>10.0</v>
      </c>
      <c r="D807" s="36" t="s">
        <v>45</v>
      </c>
      <c r="E807" s="36" t="s">
        <v>8</v>
      </c>
      <c r="F807" s="36">
        <f>vlookup(D807,'Team Bye List'!$A$1:$B$33,2,False)</f>
        <v>13</v>
      </c>
      <c r="G807" s="37">
        <f>if(ISNA(vlookup($A807, Sleeper!$B$2:$E$330, 4, false)), 0, vlookup($A807, Sleeper!$B$2:$E$330, 4, false))</f>
        <v>1</v>
      </c>
      <c r="H807" s="37">
        <f>if(ISNA(vlookup($A807, ESPN!$B$2:$E$297, 4, false)), 0, vlookup($A807, ESPN!$B$2:$E$297, 4, false))</f>
        <v>0</v>
      </c>
      <c r="I807" s="37">
        <f>if(ISNA(vlookup($A807,'Ultimate Draft Kit'!$B$2:$E$324,4, false)), 0, vlookup($A807,'Ultimate Draft Kit'!$B$2:$E$324, 4, false))</f>
        <v>1</v>
      </c>
      <c r="J807" s="38">
        <f>if(ISNA(vlookup($A807,Rotowire!$B$2:$E$1075,4, false)), 0, vlookup($A807,Rotowire!$B$2:$E$1075, 4, false))</f>
        <v>0</v>
      </c>
      <c r="K807" s="37">
        <f>if(ISNA(vlookup($A807, FantasyPro!$B$2:$E$341,4,false)),0,vlookup($A807,FantasyPro!$B$2:$E$341,4,false))</f>
        <v>0</v>
      </c>
      <c r="L807" s="37">
        <f>if(ISNA(vlookup($A807, FFToolbox!$B$2:$E$414, 4, false)), 0, vlookup($A807, FFToolbox!$B$2:$E$414, 4, false))</f>
        <v>1</v>
      </c>
      <c r="M807" s="39">
        <f t="shared" si="1"/>
        <v>0.5</v>
      </c>
      <c r="N807" s="39">
        <f t="shared" si="2"/>
        <v>1</v>
      </c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</row>
    <row r="808">
      <c r="A808" s="17" t="s">
        <v>346</v>
      </c>
      <c r="B808" s="35" t="s">
        <v>1259</v>
      </c>
      <c r="C808" s="35">
        <v>11.0</v>
      </c>
      <c r="D808" s="36" t="s">
        <v>66</v>
      </c>
      <c r="E808" s="36" t="s">
        <v>8</v>
      </c>
      <c r="F808" s="36">
        <f>vlookup(D808,'Team Bye List'!$A$1:$B$33,2,False)</f>
        <v>9</v>
      </c>
      <c r="G808" s="37">
        <f>if(ISNA(vlookup($A808, Sleeper!$B$2:$E$330, 4, false)), 0, vlookup($A808, Sleeper!$B$2:$E$330, 4, false))</f>
        <v>1</v>
      </c>
      <c r="H808" s="37">
        <f>if(ISNA(vlookup($A808, ESPN!$B$2:$E$297, 4, false)), 0, vlookup($A808, ESPN!$B$2:$E$297, 4, false))</f>
        <v>0</v>
      </c>
      <c r="I808" s="37">
        <f>if(ISNA(vlookup($A808,'Ultimate Draft Kit'!$B$2:$E$324,4, false)), 0, vlookup($A808,'Ultimate Draft Kit'!$B$2:$E$324, 4, false))</f>
        <v>1</v>
      </c>
      <c r="J808" s="38">
        <f>if(ISNA(vlookup($A808,Rotowire!$B$2:$E$1075,4, false)), 0, vlookup($A808,Rotowire!$B$2:$E$1075, 4, false))</f>
        <v>0</v>
      </c>
      <c r="K808" s="37">
        <f>if(ISNA(vlookup($A808, FantasyPro!$B$2:$E$341,4,false)),0,vlookup($A808,FantasyPro!$B$2:$E$341,4,false))</f>
        <v>0</v>
      </c>
      <c r="L808" s="37">
        <f>if(ISNA(vlookup($A808, FFToolbox!$B$2:$E$414, 4, false)), 0, vlookup($A808, FFToolbox!$B$2:$E$414, 4, false))</f>
        <v>1</v>
      </c>
      <c r="M808" s="39">
        <f t="shared" si="1"/>
        <v>0.5</v>
      </c>
      <c r="N808" s="39">
        <f t="shared" si="2"/>
        <v>1</v>
      </c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</row>
    <row r="809">
      <c r="A809" s="17" t="s">
        <v>239</v>
      </c>
      <c r="B809" s="35" t="s">
        <v>1259</v>
      </c>
      <c r="C809" s="35" t="s">
        <v>1260</v>
      </c>
      <c r="D809" s="36" t="s">
        <v>119</v>
      </c>
      <c r="E809" s="36" t="s">
        <v>8</v>
      </c>
      <c r="F809" s="36">
        <f>vlookup(D809,'Team Bye List'!$A$1:$B$33,2,False)</f>
        <v>10</v>
      </c>
      <c r="G809" s="37">
        <f>if(ISNA(vlookup($A809, Sleeper!$B$2:$E$330, 4, false)), 0, vlookup($A809, Sleeper!$B$2:$E$330, 4, false))</f>
        <v>0</v>
      </c>
      <c r="H809" s="37">
        <f>if(ISNA(vlookup($A809, ESPN!$B$2:$E$297, 4, false)), 0, vlookup($A809, ESPN!$B$2:$E$297, 4, false))</f>
        <v>0</v>
      </c>
      <c r="I809" s="37">
        <f>if(ISNA(vlookup($A809,'Ultimate Draft Kit'!$B$2:$E$324,4, false)), 0, vlookup($A809,'Ultimate Draft Kit'!$B$2:$E$324, 4, false))</f>
        <v>1</v>
      </c>
      <c r="J809" s="38">
        <f>if(ISNA(vlookup($A809,Rotowire!$B$2:$E$1075,4, false)), 0, vlookup($A809,Rotowire!$B$2:$E$1075, 4, false))</f>
        <v>0</v>
      </c>
      <c r="K809" s="37">
        <f>if(ISNA(vlookup($A809, FantasyPro!$B$2:$E$341,4,false)),0,vlookup($A809,FantasyPro!$B$2:$E$341,4,false))</f>
        <v>0</v>
      </c>
      <c r="L809" s="37">
        <f>if(ISNA(vlookup($A809, FFToolbox!$B$2:$E$414, 4, false)), 0, vlookup($A809, FFToolbox!$B$2:$E$414, 4, false))</f>
        <v>1</v>
      </c>
      <c r="M809" s="39">
        <f t="shared" si="1"/>
        <v>0.3333333333</v>
      </c>
      <c r="N809" s="39">
        <f t="shared" si="2"/>
        <v>1</v>
      </c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</row>
    <row r="810">
      <c r="A810" s="17" t="s">
        <v>413</v>
      </c>
      <c r="B810" s="35" t="s">
        <v>1259</v>
      </c>
      <c r="C810" s="35" t="s">
        <v>1260</v>
      </c>
      <c r="D810" s="36" t="s">
        <v>32</v>
      </c>
      <c r="E810" s="36" t="s">
        <v>8</v>
      </c>
      <c r="F810" s="36">
        <f>vlookup(D810,'Team Bye List'!$A$1:$B$33,2,False)</f>
        <v>9</v>
      </c>
      <c r="G810" s="37">
        <f>if(ISNA(vlookup($A810, Sleeper!$B$2:$E$330, 4, false)), 0, vlookup($A810, Sleeper!$B$2:$E$330, 4, false))</f>
        <v>0</v>
      </c>
      <c r="H810" s="37">
        <f>if(ISNA(vlookup($A810, ESPN!$B$2:$E$297, 4, false)), 0, vlookup($A810, ESPN!$B$2:$E$297, 4, false))</f>
        <v>0</v>
      </c>
      <c r="I810" s="37">
        <f>if(ISNA(vlookup($A810,'Ultimate Draft Kit'!$B$2:$E$324,4, false)), 0, vlookup($A810,'Ultimate Draft Kit'!$B$2:$E$324, 4, false))</f>
        <v>0</v>
      </c>
      <c r="J810" s="38">
        <f>if(ISNA(vlookup($A810,Rotowire!$B$2:$E$1075,4, false)), 0, vlookup($A810,Rotowire!$B$2:$E$1075, 4, false))</f>
        <v>0</v>
      </c>
      <c r="K810" s="37">
        <f>if(ISNA(vlookup($A810, FantasyPro!$B$2:$E$341,4,false)),0,vlookup($A810,FantasyPro!$B$2:$E$341,4,false))</f>
        <v>0</v>
      </c>
      <c r="L810" s="37">
        <f>if(ISNA(vlookup($A810, FFToolbox!$B$2:$E$414, 4, false)), 0, vlookup($A810, FFToolbox!$B$2:$E$414, 4, false))</f>
        <v>0</v>
      </c>
      <c r="M810" s="39">
        <f t="shared" si="1"/>
        <v>0</v>
      </c>
      <c r="N810" s="39">
        <f t="shared" si="2"/>
        <v>0</v>
      </c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</row>
    <row r="811">
      <c r="A811" s="17" t="s">
        <v>367</v>
      </c>
      <c r="B811" s="35" t="s">
        <v>1259</v>
      </c>
      <c r="C811" s="35" t="s">
        <v>1260</v>
      </c>
      <c r="D811" s="36" t="s">
        <v>45</v>
      </c>
      <c r="E811" s="36" t="s">
        <v>8</v>
      </c>
      <c r="F811" s="36">
        <f>vlookup(D811,'Team Bye List'!$A$1:$B$33,2,False)</f>
        <v>13</v>
      </c>
      <c r="G811" s="37">
        <f>if(ISNA(vlookup($A811, Sleeper!$B$2:$E$330, 4, false)), 0, vlookup($A811, Sleeper!$B$2:$E$330, 4, false))</f>
        <v>0</v>
      </c>
      <c r="H811" s="37">
        <f>if(ISNA(vlookup($A811, ESPN!$B$2:$E$297, 4, false)), 0, vlookup($A811, ESPN!$B$2:$E$297, 4, false))</f>
        <v>0</v>
      </c>
      <c r="I811" s="37">
        <f>if(ISNA(vlookup($A811,'Ultimate Draft Kit'!$B$2:$E$324,4, false)), 0, vlookup($A811,'Ultimate Draft Kit'!$B$2:$E$324, 4, false))</f>
        <v>0</v>
      </c>
      <c r="J811" s="38">
        <f>if(ISNA(vlookup($A811,Rotowire!$B$2:$E$1075,4, false)), 0, vlookup($A811,Rotowire!$B$2:$E$1075, 4, false))</f>
        <v>0</v>
      </c>
      <c r="K811" s="37">
        <f>if(ISNA(vlookup($A811, FantasyPro!$B$2:$E$341,4,false)),0,vlookup($A811,FantasyPro!$B$2:$E$341,4,false))</f>
        <v>0</v>
      </c>
      <c r="L811" s="37">
        <f>if(ISNA(vlookup($A811, FFToolbox!$B$2:$E$414, 4, false)), 0, vlookup($A811, FFToolbox!$B$2:$E$414, 4, false))</f>
        <v>0</v>
      </c>
      <c r="M811" s="39">
        <f t="shared" si="1"/>
        <v>0</v>
      </c>
      <c r="N811" s="39">
        <f t="shared" si="2"/>
        <v>0</v>
      </c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</row>
    <row r="812">
      <c r="A812" s="17" t="s">
        <v>422</v>
      </c>
      <c r="B812" s="35" t="s">
        <v>1259</v>
      </c>
      <c r="C812" s="35" t="s">
        <v>1260</v>
      </c>
      <c r="D812" s="36" t="s">
        <v>53</v>
      </c>
      <c r="E812" s="36" t="s">
        <v>8</v>
      </c>
      <c r="F812" s="36">
        <f>vlookup(D812,'Team Bye List'!$A$1:$B$33,2,False)</f>
        <v>9</v>
      </c>
      <c r="G812" s="37">
        <f>if(ISNA(vlookup($A812, Sleeper!$B$2:$E$330, 4, false)), 0, vlookup($A812, Sleeper!$B$2:$E$330, 4, false))</f>
        <v>0</v>
      </c>
      <c r="H812" s="37">
        <f>if(ISNA(vlookup($A812, ESPN!$B$2:$E$297, 4, false)), 0, vlookup($A812, ESPN!$B$2:$E$297, 4, false))</f>
        <v>0</v>
      </c>
      <c r="I812" s="37">
        <f>if(ISNA(vlookup($A812,'Ultimate Draft Kit'!$B$2:$E$324,4, false)), 0, vlookup($A812,'Ultimate Draft Kit'!$B$2:$E$324, 4, false))</f>
        <v>0</v>
      </c>
      <c r="J812" s="38">
        <f>if(ISNA(vlookup($A812,Rotowire!$B$2:$E$1075,4, false)), 0, vlookup($A812,Rotowire!$B$2:$E$1075, 4, false))</f>
        <v>0</v>
      </c>
      <c r="K812" s="37">
        <f>if(ISNA(vlookup($A812, FantasyPro!$B$2:$E$341,4,false)),0,vlookup($A812,FantasyPro!$B$2:$E$341,4,false))</f>
        <v>0</v>
      </c>
      <c r="L812" s="37">
        <f>if(ISNA(vlookup($A812, FFToolbox!$B$2:$E$414, 4, false)), 0, vlookup($A812, FFToolbox!$B$2:$E$414, 4, false))</f>
        <v>1</v>
      </c>
      <c r="M812" s="39">
        <f t="shared" si="1"/>
        <v>0.1666666667</v>
      </c>
      <c r="N812" s="39">
        <f t="shared" si="2"/>
        <v>1</v>
      </c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</row>
    <row r="813">
      <c r="A813" s="17" t="s">
        <v>353</v>
      </c>
      <c r="B813" s="35" t="s">
        <v>1259</v>
      </c>
      <c r="C813" s="35" t="s">
        <v>1260</v>
      </c>
      <c r="D813" s="36" t="s">
        <v>55</v>
      </c>
      <c r="E813" s="36" t="s">
        <v>8</v>
      </c>
      <c r="F813" s="36">
        <f>vlookup(D813,'Team Bye List'!$A$1:$B$33,2,False)</f>
        <v>14</v>
      </c>
      <c r="G813" s="37">
        <f>if(ISNA(vlookup($A813, Sleeper!$B$2:$E$330, 4, false)), 0, vlookup($A813, Sleeper!$B$2:$E$330, 4, false))</f>
        <v>0</v>
      </c>
      <c r="H813" s="37">
        <f>if(ISNA(vlookup($A813, ESPN!$B$2:$E$297, 4, false)), 0, vlookup($A813, ESPN!$B$2:$E$297, 4, false))</f>
        <v>0</v>
      </c>
      <c r="I813" s="37">
        <f>if(ISNA(vlookup($A813,'Ultimate Draft Kit'!$B$2:$E$324,4, false)), 0, vlookup($A813,'Ultimate Draft Kit'!$B$2:$E$324, 4, false))</f>
        <v>0</v>
      </c>
      <c r="J813" s="38">
        <f>if(ISNA(vlookup($A813,Rotowire!$B$2:$E$1075,4, false)), 0, vlookup($A813,Rotowire!$B$2:$E$1075, 4, false))</f>
        <v>0</v>
      </c>
      <c r="K813" s="37">
        <f>if(ISNA(vlookup($A813, FantasyPro!$B$2:$E$341,4,false)),0,vlookup($A813,FantasyPro!$B$2:$E$341,4,false))</f>
        <v>0</v>
      </c>
      <c r="L813" s="37">
        <f>if(ISNA(vlookup($A813, FFToolbox!$B$2:$E$414, 4, false)), 0, vlookup($A813, FFToolbox!$B$2:$E$414, 4, false))</f>
        <v>1</v>
      </c>
      <c r="M813" s="39">
        <f t="shared" si="1"/>
        <v>0.1666666667</v>
      </c>
      <c r="N813" s="39">
        <f t="shared" si="2"/>
        <v>1</v>
      </c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</row>
    <row r="814">
      <c r="A814" s="17" t="s">
        <v>835</v>
      </c>
      <c r="B814" s="35" t="s">
        <v>1259</v>
      </c>
      <c r="C814" s="35" t="s">
        <v>1260</v>
      </c>
      <c r="D814" s="36" t="s">
        <v>30</v>
      </c>
      <c r="E814" s="36" t="s">
        <v>8</v>
      </c>
      <c r="F814" s="36">
        <f>vlookup(D814,'Team Bye List'!$A$1:$B$33,2,False)</f>
        <v>7</v>
      </c>
      <c r="G814" s="37">
        <f>if(ISNA(vlookup($A814, Sleeper!$B$2:$E$330, 4, false)), 0, vlookup($A814, Sleeper!$B$2:$E$330, 4, false))</f>
        <v>0</v>
      </c>
      <c r="H814" s="37">
        <f>if(ISNA(vlookup($A814, ESPN!$B$2:$E$297, 4, false)), 0, vlookup($A814, ESPN!$B$2:$E$297, 4, false))</f>
        <v>0</v>
      </c>
      <c r="I814" s="37">
        <f>if(ISNA(vlookup($A814,'Ultimate Draft Kit'!$B$2:$E$324,4, false)), 0, vlookup($A814,'Ultimate Draft Kit'!$B$2:$E$324, 4, false))</f>
        <v>0</v>
      </c>
      <c r="J814" s="38">
        <f>if(ISNA(vlookup($A814,Rotowire!$B$2:$E$1075,4, false)), 0, vlookup($A814,Rotowire!$B$2:$E$1075, 4, false))</f>
        <v>0</v>
      </c>
      <c r="K814" s="37">
        <f>if(ISNA(vlookup($A814, FantasyPro!$B$2:$E$341,4,false)),0,vlookup($A814,FantasyPro!$B$2:$E$341,4,false))</f>
        <v>0</v>
      </c>
      <c r="L814" s="37">
        <f>if(ISNA(vlookup($A814, FFToolbox!$B$2:$E$414, 4, false)), 0, vlookup($A814, FFToolbox!$B$2:$E$414, 4, false))</f>
        <v>1</v>
      </c>
      <c r="M814" s="39">
        <f t="shared" si="1"/>
        <v>0.1666666667</v>
      </c>
      <c r="N814" s="39">
        <f t="shared" si="2"/>
        <v>1</v>
      </c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</row>
    <row r="815">
      <c r="A815" s="17" t="s">
        <v>414</v>
      </c>
      <c r="B815" s="35" t="s">
        <v>1259</v>
      </c>
      <c r="C815" s="35" t="s">
        <v>1260</v>
      </c>
      <c r="D815" s="36" t="s">
        <v>12</v>
      </c>
      <c r="E815" s="36" t="s">
        <v>8</v>
      </c>
      <c r="F815" s="36">
        <f>vlookup(D815,'Team Bye List'!$A$1:$B$33,2,False)</f>
        <v>8</v>
      </c>
      <c r="G815" s="37">
        <f>if(ISNA(vlookup($A815, Sleeper!$B$2:$E$330, 4, false)), 0, vlookup($A815, Sleeper!$B$2:$E$330, 4, false))</f>
        <v>0</v>
      </c>
      <c r="H815" s="37">
        <f>if(ISNA(vlookup($A815, ESPN!$B$2:$E$297, 4, false)), 0, vlookup($A815, ESPN!$B$2:$E$297, 4, false))</f>
        <v>0</v>
      </c>
      <c r="I815" s="37">
        <f>if(ISNA(vlookup($A815,'Ultimate Draft Kit'!$B$2:$E$324,4, false)), 0, vlookup($A815,'Ultimate Draft Kit'!$B$2:$E$324, 4, false))</f>
        <v>0</v>
      </c>
      <c r="J815" s="38">
        <f>if(ISNA(vlookup($A815,Rotowire!$B$2:$E$1075,4, false)), 0, vlookup($A815,Rotowire!$B$2:$E$1075, 4, false))</f>
        <v>0</v>
      </c>
      <c r="K815" s="37">
        <f>if(ISNA(vlookup($A815, FantasyPro!$B$2:$E$341,4,false)),0,vlookup($A815,FantasyPro!$B$2:$E$341,4,false))</f>
        <v>0</v>
      </c>
      <c r="L815" s="37">
        <f>if(ISNA(vlookup($A815, FFToolbox!$B$2:$E$414, 4, false)), 0, vlookup($A815, FFToolbox!$B$2:$E$414, 4, false))</f>
        <v>0</v>
      </c>
      <c r="M815" s="39">
        <f t="shared" si="1"/>
        <v>0</v>
      </c>
      <c r="N815" s="39">
        <f t="shared" si="2"/>
        <v>0</v>
      </c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</row>
    <row r="816">
      <c r="A816" s="17" t="s">
        <v>382</v>
      </c>
      <c r="B816" s="35" t="s">
        <v>1259</v>
      </c>
      <c r="C816" s="35" t="s">
        <v>1260</v>
      </c>
      <c r="D816" s="36" t="s">
        <v>85</v>
      </c>
      <c r="E816" s="36" t="s">
        <v>8</v>
      </c>
      <c r="F816" s="36">
        <f>vlookup(D816,'Team Bye List'!$A$1:$B$33,2,False)</f>
        <v>9</v>
      </c>
      <c r="G816" s="37">
        <f>if(ISNA(vlookup($A816, Sleeper!$B$2:$E$330, 4, false)), 0, vlookup($A816, Sleeper!$B$2:$E$330, 4, false))</f>
        <v>0</v>
      </c>
      <c r="H816" s="37">
        <f>if(ISNA(vlookup($A816, ESPN!$B$2:$E$297, 4, false)), 0, vlookup($A816, ESPN!$B$2:$E$297, 4, false))</f>
        <v>0</v>
      </c>
      <c r="I816" s="37">
        <f>if(ISNA(vlookup($A816,'Ultimate Draft Kit'!$B$2:$E$324,4, false)), 0, vlookup($A816,'Ultimate Draft Kit'!$B$2:$E$324, 4, false))</f>
        <v>0</v>
      </c>
      <c r="J816" s="38">
        <f>if(ISNA(vlookup($A816,Rotowire!$B$2:$E$1075,4, false)), 0, vlookup($A816,Rotowire!$B$2:$E$1075, 4, false))</f>
        <v>0</v>
      </c>
      <c r="K816" s="37">
        <f>if(ISNA(vlookup($A816, FantasyPro!$B$2:$E$341,4,false)),0,vlookup($A816,FantasyPro!$B$2:$E$341,4,false))</f>
        <v>0</v>
      </c>
      <c r="L816" s="37">
        <f>if(ISNA(vlookup($A816, FFToolbox!$B$2:$E$414, 4, false)), 0, vlookup($A816, FFToolbox!$B$2:$E$414, 4, false))</f>
        <v>1</v>
      </c>
      <c r="M816" s="39">
        <f t="shared" si="1"/>
        <v>0.1666666667</v>
      </c>
      <c r="N816" s="39">
        <f t="shared" si="2"/>
        <v>1</v>
      </c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</row>
    <row r="817">
      <c r="A817" s="17" t="s">
        <v>472</v>
      </c>
      <c r="B817" s="35" t="s">
        <v>1259</v>
      </c>
      <c r="C817" s="35">
        <v>7.0</v>
      </c>
      <c r="D817" s="36" t="s">
        <v>23</v>
      </c>
      <c r="E817" s="36" t="s">
        <v>77</v>
      </c>
      <c r="F817" s="36">
        <f>vlookup(D817,'Team Bye List'!$A$1:$B$33,2,False)</f>
        <v>9</v>
      </c>
      <c r="G817" s="37">
        <f>if(ISNA(vlookup($A817, Sleeper!$B$2:$E$330, 4, false)), 0, vlookup($A817, Sleeper!$B$2:$E$330, 4, false))</f>
        <v>1</v>
      </c>
      <c r="H817" s="37">
        <f>if(ISNA(vlookup($A817, ESPN!$B$2:$E$297, 4, false)), 0, vlookup($A817, ESPN!$B$2:$E$297, 4, false))</f>
        <v>0</v>
      </c>
      <c r="I817" s="37">
        <f>if(ISNA(vlookup($A817,'Ultimate Draft Kit'!$B$2:$E$324,4, false)), 0, vlookup($A817,'Ultimate Draft Kit'!$B$2:$E$324, 4, false))</f>
        <v>1</v>
      </c>
      <c r="J817" s="38">
        <f>if(ISNA(vlookup($A817,Rotowire!$B$2:$E$1075,4, false)), 0, vlookup($A817,Rotowire!$B$2:$E$1075, 4, false))</f>
        <v>0</v>
      </c>
      <c r="K817" s="37">
        <f>if(ISNA(vlookup($A817, FantasyPro!$B$2:$E$341,4,false)),0,vlookup($A817,FantasyPro!$B$2:$E$341,4,false))</f>
        <v>0</v>
      </c>
      <c r="L817" s="37">
        <f>if(ISNA(vlookup($A817, FFToolbox!$B$2:$E$414, 4, false)), 0, vlookup($A817, FFToolbox!$B$2:$E$414, 4, false))</f>
        <v>0</v>
      </c>
      <c r="M817" s="39">
        <f t="shared" si="1"/>
        <v>0.3333333333</v>
      </c>
      <c r="N817" s="39">
        <f t="shared" si="2"/>
        <v>1</v>
      </c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</row>
    <row r="818">
      <c r="A818" s="17" t="s">
        <v>365</v>
      </c>
      <c r="B818" s="35" t="s">
        <v>1259</v>
      </c>
      <c r="C818" s="35" t="s">
        <v>1260</v>
      </c>
      <c r="D818" s="36" t="s">
        <v>25</v>
      </c>
      <c r="E818" s="36" t="s">
        <v>8</v>
      </c>
      <c r="F818" s="36">
        <f>vlookup(D818,'Team Bye List'!$A$1:$B$33,2,False)</f>
        <v>7</v>
      </c>
      <c r="G818" s="37">
        <f>if(ISNA(vlookup($A818, Sleeper!$B$2:$E$330, 4, false)), 0, vlookup($A818, Sleeper!$B$2:$E$330, 4, false))</f>
        <v>0</v>
      </c>
      <c r="H818" s="37">
        <f>if(ISNA(vlookup($A818, ESPN!$B$2:$E$297, 4, false)), 0, vlookup($A818, ESPN!$B$2:$E$297, 4, false))</f>
        <v>0</v>
      </c>
      <c r="I818" s="37">
        <f>if(ISNA(vlookup($A818,'Ultimate Draft Kit'!$B$2:$E$324,4, false)), 0, vlookup($A818,'Ultimate Draft Kit'!$B$2:$E$324, 4, false))</f>
        <v>0</v>
      </c>
      <c r="J818" s="38">
        <f>if(ISNA(vlookup($A818,Rotowire!$B$2:$E$1075,4, false)), 0, vlookup($A818,Rotowire!$B$2:$E$1075, 4, false))</f>
        <v>0</v>
      </c>
      <c r="K818" s="37">
        <f>if(ISNA(vlookup($A818, FantasyPro!$B$2:$E$341,4,false)),0,vlookup($A818,FantasyPro!$B$2:$E$341,4,false))</f>
        <v>0</v>
      </c>
      <c r="L818" s="37">
        <f>if(ISNA(vlookup($A818, FFToolbox!$B$2:$E$414, 4, false)), 0, vlookup($A818, FFToolbox!$B$2:$E$414, 4, false))</f>
        <v>1</v>
      </c>
      <c r="M818" s="39">
        <f t="shared" si="1"/>
        <v>0.1666666667</v>
      </c>
      <c r="N818" s="39">
        <f t="shared" si="2"/>
        <v>1</v>
      </c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</row>
    <row r="819">
      <c r="A819" s="17" t="s">
        <v>242</v>
      </c>
      <c r="B819" s="35" t="s">
        <v>1259</v>
      </c>
      <c r="C819" s="35" t="s">
        <v>1260</v>
      </c>
      <c r="D819" s="36" t="s">
        <v>81</v>
      </c>
      <c r="E819" s="36" t="s">
        <v>8</v>
      </c>
      <c r="F819" s="36">
        <f>vlookup(D819,'Team Bye List'!$A$1:$B$33,2,False)</f>
        <v>6</v>
      </c>
      <c r="G819" s="37">
        <f>if(ISNA(vlookup($A819, Sleeper!$B$2:$E$330, 4, false)), 0, vlookup($A819, Sleeper!$B$2:$E$330, 4, false))</f>
        <v>0</v>
      </c>
      <c r="H819" s="37">
        <f>if(ISNA(vlookup($A819, ESPN!$B$2:$E$297, 4, false)), 0, vlookup($A819, ESPN!$B$2:$E$297, 4, false))</f>
        <v>0</v>
      </c>
      <c r="I819" s="37">
        <f>if(ISNA(vlookup($A819,'Ultimate Draft Kit'!$B$2:$E$324,4, false)), 0, vlookup($A819,'Ultimate Draft Kit'!$B$2:$E$324, 4, false))</f>
        <v>0</v>
      </c>
      <c r="J819" s="38">
        <f>if(ISNA(vlookup($A819,Rotowire!$B$2:$E$1075,4, false)), 0, vlookup($A819,Rotowire!$B$2:$E$1075, 4, false))</f>
        <v>0</v>
      </c>
      <c r="K819" s="37">
        <f>if(ISNA(vlookup($A819, FantasyPro!$B$2:$E$341,4,false)),0,vlookup($A819,FantasyPro!$B$2:$E$341,4,false))</f>
        <v>0</v>
      </c>
      <c r="L819" s="37">
        <f>if(ISNA(vlookup($A819, FFToolbox!$B$2:$E$414, 4, false)), 0, vlookup($A819, FFToolbox!$B$2:$E$414, 4, false))</f>
        <v>0</v>
      </c>
      <c r="M819" s="39">
        <f t="shared" si="1"/>
        <v>0</v>
      </c>
      <c r="N819" s="39">
        <f t="shared" si="2"/>
        <v>0</v>
      </c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</row>
    <row r="820">
      <c r="A820" s="17" t="s">
        <v>418</v>
      </c>
      <c r="B820" s="35" t="s">
        <v>1259</v>
      </c>
      <c r="C820" s="35" t="s">
        <v>1260</v>
      </c>
      <c r="D820" s="36" t="s">
        <v>7</v>
      </c>
      <c r="E820" s="36" t="s">
        <v>8</v>
      </c>
      <c r="F820" s="36">
        <f>vlookup(D820,'Team Bye List'!$A$1:$B$33,2,False)</f>
        <v>14</v>
      </c>
      <c r="G820" s="37">
        <f>if(ISNA(vlookup($A820, Sleeper!$B$2:$E$330, 4, false)), 0, vlookup($A820, Sleeper!$B$2:$E$330, 4, false))</f>
        <v>0</v>
      </c>
      <c r="H820" s="37">
        <f>if(ISNA(vlookup($A820, ESPN!$B$2:$E$297, 4, false)), 0, vlookup($A820, ESPN!$B$2:$E$297, 4, false))</f>
        <v>0</v>
      </c>
      <c r="I820" s="37">
        <f>if(ISNA(vlookup($A820,'Ultimate Draft Kit'!$B$2:$E$324,4, false)), 0, vlookup($A820,'Ultimate Draft Kit'!$B$2:$E$324, 4, false))</f>
        <v>0</v>
      </c>
      <c r="J820" s="38">
        <f>if(ISNA(vlookup($A820,Rotowire!$B$2:$E$1075,4, false)), 0, vlookup($A820,Rotowire!$B$2:$E$1075, 4, false))</f>
        <v>0</v>
      </c>
      <c r="K820" s="37">
        <f>if(ISNA(vlookup($A820, FantasyPro!$B$2:$E$341,4,false)),0,vlookup($A820,FantasyPro!$B$2:$E$341,4,false))</f>
        <v>0</v>
      </c>
      <c r="L820" s="37">
        <f>if(ISNA(vlookup($A820, FFToolbox!$B$2:$E$414, 4, false)), 0, vlookup($A820, FFToolbox!$B$2:$E$414, 4, false))</f>
        <v>0</v>
      </c>
      <c r="M820" s="39">
        <f t="shared" si="1"/>
        <v>0</v>
      </c>
      <c r="N820" s="39">
        <f t="shared" si="2"/>
        <v>0</v>
      </c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</row>
    <row r="821">
      <c r="A821" s="17" t="s">
        <v>372</v>
      </c>
      <c r="B821" s="35" t="s">
        <v>1259</v>
      </c>
      <c r="C821" s="35" t="s">
        <v>1260</v>
      </c>
      <c r="D821" s="36" t="s">
        <v>23</v>
      </c>
      <c r="E821" s="36" t="s">
        <v>8</v>
      </c>
      <c r="F821" s="36">
        <f>vlookup(D821,'Team Bye List'!$A$1:$B$33,2,False)</f>
        <v>9</v>
      </c>
      <c r="G821" s="37">
        <f>if(ISNA(vlookup($A821, Sleeper!$B$2:$E$330, 4, false)), 0, vlookup($A821, Sleeper!$B$2:$E$330, 4, false))</f>
        <v>0</v>
      </c>
      <c r="H821" s="37">
        <f>if(ISNA(vlookup($A821, ESPN!$B$2:$E$297, 4, false)), 0, vlookup($A821, ESPN!$B$2:$E$297, 4, false))</f>
        <v>0</v>
      </c>
      <c r="I821" s="37">
        <f>if(ISNA(vlookup($A821,'Ultimate Draft Kit'!$B$2:$E$324,4, false)), 0, vlookup($A821,'Ultimate Draft Kit'!$B$2:$E$324, 4, false))</f>
        <v>0</v>
      </c>
      <c r="J821" s="38">
        <f>if(ISNA(vlookup($A821,Rotowire!$B$2:$E$1075,4, false)), 0, vlookup($A821,Rotowire!$B$2:$E$1075, 4, false))</f>
        <v>0</v>
      </c>
      <c r="K821" s="37">
        <f>if(ISNA(vlookup($A821, FantasyPro!$B$2:$E$341,4,false)),0,vlookup($A821,FantasyPro!$B$2:$E$341,4,false))</f>
        <v>0</v>
      </c>
      <c r="L821" s="37">
        <f>if(ISNA(vlookup($A821, FFToolbox!$B$2:$E$414, 4, false)), 0, vlookup($A821, FFToolbox!$B$2:$E$414, 4, false))</f>
        <v>0</v>
      </c>
      <c r="M821" s="39">
        <f t="shared" si="1"/>
        <v>0</v>
      </c>
      <c r="N821" s="39">
        <f t="shared" si="2"/>
        <v>0</v>
      </c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</row>
    <row r="822">
      <c r="A822" s="17" t="s">
        <v>378</v>
      </c>
      <c r="B822" s="35" t="s">
        <v>1259</v>
      </c>
      <c r="C822" s="35" t="s">
        <v>1260</v>
      </c>
      <c r="D822" s="36" t="s">
        <v>28</v>
      </c>
      <c r="E822" s="36" t="s">
        <v>8</v>
      </c>
      <c r="F822" s="36">
        <f>vlookup(D822,'Team Bye List'!$A$1:$B$33,2,False)</f>
        <v>11</v>
      </c>
      <c r="G822" s="37">
        <f>if(ISNA(vlookup($A822, Sleeper!$B$2:$E$330, 4, false)), 0, vlookup($A822, Sleeper!$B$2:$E$330, 4, false))</f>
        <v>0</v>
      </c>
      <c r="H822" s="37">
        <f>if(ISNA(vlookup($A822, ESPN!$B$2:$E$297, 4, false)), 0, vlookup($A822, ESPN!$B$2:$E$297, 4, false))</f>
        <v>0</v>
      </c>
      <c r="I822" s="37">
        <f>if(ISNA(vlookup($A822,'Ultimate Draft Kit'!$B$2:$E$324,4, false)), 0, vlookup($A822,'Ultimate Draft Kit'!$B$2:$E$324, 4, false))</f>
        <v>0</v>
      </c>
      <c r="J822" s="38">
        <f>if(ISNA(vlookup($A822,Rotowire!$B$2:$E$1075,4, false)), 0, vlookup($A822,Rotowire!$B$2:$E$1075, 4, false))</f>
        <v>0</v>
      </c>
      <c r="K822" s="37">
        <f>if(ISNA(vlookup($A822, FantasyPro!$B$2:$E$341,4,false)),0,vlookup($A822,FantasyPro!$B$2:$E$341,4,false))</f>
        <v>0</v>
      </c>
      <c r="L822" s="37">
        <f>if(ISNA(vlookup($A822, FFToolbox!$B$2:$E$414, 4, false)), 0, vlookup($A822, FFToolbox!$B$2:$E$414, 4, false))</f>
        <v>0</v>
      </c>
      <c r="M822" s="39">
        <f t="shared" si="1"/>
        <v>0</v>
      </c>
      <c r="N822" s="39">
        <f t="shared" si="2"/>
        <v>0</v>
      </c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</row>
    <row r="823">
      <c r="A823" s="17" t="s">
        <v>412</v>
      </c>
      <c r="B823" s="35" t="s">
        <v>1259</v>
      </c>
      <c r="C823" s="35" t="s">
        <v>1260</v>
      </c>
      <c r="D823" s="36" t="s">
        <v>35</v>
      </c>
      <c r="E823" s="36" t="s">
        <v>8</v>
      </c>
      <c r="F823" s="36">
        <f>vlookup(D823,'Team Bye List'!$A$1:$B$33,2,False)</f>
        <v>6</v>
      </c>
      <c r="G823" s="37">
        <f>if(ISNA(vlookup($A823, Sleeper!$B$2:$E$330, 4, false)), 0, vlookup($A823, Sleeper!$B$2:$E$330, 4, false))</f>
        <v>0</v>
      </c>
      <c r="H823" s="37">
        <f>if(ISNA(vlookup($A823, ESPN!$B$2:$E$297, 4, false)), 0, vlookup($A823, ESPN!$B$2:$E$297, 4, false))</f>
        <v>0</v>
      </c>
      <c r="I823" s="37">
        <f>if(ISNA(vlookup($A823,'Ultimate Draft Kit'!$B$2:$E$324,4, false)), 0, vlookup($A823,'Ultimate Draft Kit'!$B$2:$E$324, 4, false))</f>
        <v>0</v>
      </c>
      <c r="J823" s="38">
        <f>if(ISNA(vlookup($A823,Rotowire!$B$2:$E$1075,4, false)), 0, vlookup($A823,Rotowire!$B$2:$E$1075, 4, false))</f>
        <v>0</v>
      </c>
      <c r="K823" s="37">
        <f>if(ISNA(vlookup($A823, FantasyPro!$B$2:$E$341,4,false)),0,vlookup($A823,FantasyPro!$B$2:$E$341,4,false))</f>
        <v>0</v>
      </c>
      <c r="L823" s="37">
        <f>if(ISNA(vlookup($A823, FFToolbox!$B$2:$E$414, 4, false)), 0, vlookup($A823, FFToolbox!$B$2:$E$414, 4, false))</f>
        <v>0</v>
      </c>
      <c r="M823" s="39">
        <f t="shared" si="1"/>
        <v>0</v>
      </c>
      <c r="N823" s="39">
        <f t="shared" si="2"/>
        <v>0</v>
      </c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</row>
    <row r="824">
      <c r="A824" s="17" t="s">
        <v>1123</v>
      </c>
      <c r="B824" s="35" t="s">
        <v>1259</v>
      </c>
      <c r="C824" s="35" t="s">
        <v>1260</v>
      </c>
      <c r="D824" s="36" t="s">
        <v>12</v>
      </c>
      <c r="E824" s="36" t="s">
        <v>8</v>
      </c>
      <c r="F824" s="36">
        <f>vlookup(D824,'Team Bye List'!$A$1:$B$33,2,False)</f>
        <v>8</v>
      </c>
      <c r="G824" s="37">
        <f>if(ISNA(vlookup($A824, Sleeper!$B$2:$E$330, 4, false)), 0, vlookup($A824, Sleeper!$B$2:$E$330, 4, false))</f>
        <v>0</v>
      </c>
      <c r="H824" s="37">
        <f>if(ISNA(vlookup($A824, ESPN!$B$2:$E$297, 4, false)), 0, vlookup($A824, ESPN!$B$2:$E$297, 4, false))</f>
        <v>0</v>
      </c>
      <c r="I824" s="37">
        <f>if(ISNA(vlookup($A824,'Ultimate Draft Kit'!$B$2:$E$324,4, false)), 0, vlookup($A824,'Ultimate Draft Kit'!$B$2:$E$324, 4, false))</f>
        <v>0</v>
      </c>
      <c r="J824" s="38">
        <f>if(ISNA(vlookup($A824,Rotowire!$B$2:$E$1075,4, false)), 0, vlookup($A824,Rotowire!$B$2:$E$1075, 4, false))</f>
        <v>0</v>
      </c>
      <c r="K824" s="37">
        <f>if(ISNA(vlookup($A824, FantasyPro!$B$2:$E$341,4,false)),0,vlookup($A824,FantasyPro!$B$2:$E$341,4,false))</f>
        <v>0</v>
      </c>
      <c r="L824" s="37">
        <f>if(ISNA(vlookup($A824, FFToolbox!$B$2:$E$414, 4, false)), 0, vlookup($A824, FFToolbox!$B$2:$E$414, 4, false))</f>
        <v>0</v>
      </c>
      <c r="M824" s="39">
        <f t="shared" si="1"/>
        <v>0</v>
      </c>
      <c r="N824" s="39">
        <f t="shared" si="2"/>
        <v>0</v>
      </c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</row>
    <row r="825">
      <c r="A825" s="17" t="s">
        <v>456</v>
      </c>
      <c r="B825" s="35" t="s">
        <v>1259</v>
      </c>
      <c r="C825" s="35" t="s">
        <v>1260</v>
      </c>
      <c r="D825" s="36" t="s">
        <v>41</v>
      </c>
      <c r="E825" s="36" t="s">
        <v>8</v>
      </c>
      <c r="F825" s="36">
        <f>vlookup(D825,'Team Bye List'!$A$1:$B$33,2,False)</f>
        <v>14</v>
      </c>
      <c r="G825" s="37">
        <f>if(ISNA(vlookup($A825, Sleeper!$B$2:$E$330, 4, false)), 0, vlookup($A825, Sleeper!$B$2:$E$330, 4, false))</f>
        <v>0</v>
      </c>
      <c r="H825" s="37">
        <f>if(ISNA(vlookup($A825, ESPN!$B$2:$E$297, 4, false)), 0, vlookup($A825, ESPN!$B$2:$E$297, 4, false))</f>
        <v>0</v>
      </c>
      <c r="I825" s="37">
        <f>if(ISNA(vlookup($A825,'Ultimate Draft Kit'!$B$2:$E$324,4, false)), 0, vlookup($A825,'Ultimate Draft Kit'!$B$2:$E$324, 4, false))</f>
        <v>0</v>
      </c>
      <c r="J825" s="38">
        <f>if(ISNA(vlookup($A825,Rotowire!$B$2:$E$1075,4, false)), 0, vlookup($A825,Rotowire!$B$2:$E$1075, 4, false))</f>
        <v>0</v>
      </c>
      <c r="K825" s="37">
        <f>if(ISNA(vlookup($A825, FantasyPro!$B$2:$E$341,4,false)),0,vlookup($A825,FantasyPro!$B$2:$E$341,4,false))</f>
        <v>0</v>
      </c>
      <c r="L825" s="37">
        <f>if(ISNA(vlookup($A825, FFToolbox!$B$2:$E$414, 4, false)), 0, vlookup($A825, FFToolbox!$B$2:$E$414, 4, false))</f>
        <v>0</v>
      </c>
      <c r="M825" s="39">
        <f t="shared" si="1"/>
        <v>0</v>
      </c>
      <c r="N825" s="39">
        <f t="shared" si="2"/>
        <v>0</v>
      </c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</row>
    <row r="826">
      <c r="A826" s="17" t="s">
        <v>385</v>
      </c>
      <c r="B826" s="35" t="s">
        <v>1259</v>
      </c>
      <c r="C826" s="35" t="s">
        <v>1260</v>
      </c>
      <c r="D826" s="36" t="s">
        <v>43</v>
      </c>
      <c r="E826" s="36" t="s">
        <v>8</v>
      </c>
      <c r="F826" s="36">
        <f>vlookup(D826,'Team Bye List'!$A$1:$B$33,2,False)</f>
        <v>9</v>
      </c>
      <c r="G826" s="37">
        <f>if(ISNA(vlookup($A826, Sleeper!$B$2:$E$330, 4, false)), 0, vlookup($A826, Sleeper!$B$2:$E$330, 4, false))</f>
        <v>0</v>
      </c>
      <c r="H826" s="37">
        <f>if(ISNA(vlookup($A826, ESPN!$B$2:$E$297, 4, false)), 0, vlookup($A826, ESPN!$B$2:$E$297, 4, false))</f>
        <v>0</v>
      </c>
      <c r="I826" s="37">
        <f>if(ISNA(vlookup($A826,'Ultimate Draft Kit'!$B$2:$E$324,4, false)), 0, vlookup($A826,'Ultimate Draft Kit'!$B$2:$E$324, 4, false))</f>
        <v>0</v>
      </c>
      <c r="J826" s="38">
        <f>if(ISNA(vlookup($A826,Rotowire!$B$2:$E$1075,4, false)), 0, vlookup($A826,Rotowire!$B$2:$E$1075, 4, false))</f>
        <v>0</v>
      </c>
      <c r="K826" s="37">
        <f>if(ISNA(vlookup($A826, FantasyPro!$B$2:$E$341,4,false)),0,vlookup($A826,FantasyPro!$B$2:$E$341,4,false))</f>
        <v>0</v>
      </c>
      <c r="L826" s="37">
        <f>if(ISNA(vlookup($A826, FFToolbox!$B$2:$E$414, 4, false)), 0, vlookup($A826, FFToolbox!$B$2:$E$414, 4, false))</f>
        <v>0</v>
      </c>
      <c r="M826" s="39">
        <f t="shared" si="1"/>
        <v>0</v>
      </c>
      <c r="N826" s="39">
        <f t="shared" si="2"/>
        <v>0</v>
      </c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</row>
    <row r="827">
      <c r="A827" s="17" t="s">
        <v>407</v>
      </c>
      <c r="B827" s="35" t="s">
        <v>1259</v>
      </c>
      <c r="C827" s="35" t="s">
        <v>1260</v>
      </c>
      <c r="D827" s="36" t="s">
        <v>89</v>
      </c>
      <c r="E827" s="36" t="s">
        <v>8</v>
      </c>
      <c r="F827" s="36">
        <f>vlookup(D827,'Team Bye List'!$A$1:$B$33,2,False)</f>
        <v>14</v>
      </c>
      <c r="G827" s="37">
        <f>if(ISNA(vlookup($A827, Sleeper!$B$2:$E$330, 4, false)), 0, vlookup($A827, Sleeper!$B$2:$E$330, 4, false))</f>
        <v>0</v>
      </c>
      <c r="H827" s="37">
        <f>if(ISNA(vlookup($A827, ESPN!$B$2:$E$297, 4, false)), 0, vlookup($A827, ESPN!$B$2:$E$297, 4, false))</f>
        <v>0</v>
      </c>
      <c r="I827" s="37">
        <f>if(ISNA(vlookup($A827,'Ultimate Draft Kit'!$B$2:$E$324,4, false)), 0, vlookup($A827,'Ultimate Draft Kit'!$B$2:$E$324, 4, false))</f>
        <v>0</v>
      </c>
      <c r="J827" s="38">
        <f>if(ISNA(vlookup($A827,Rotowire!$B$2:$E$1075,4, false)), 0, vlookup($A827,Rotowire!$B$2:$E$1075, 4, false))</f>
        <v>0</v>
      </c>
      <c r="K827" s="37">
        <f>if(ISNA(vlookup($A827, FantasyPro!$B$2:$E$341,4,false)),0,vlookup($A827,FantasyPro!$B$2:$E$341,4,false))</f>
        <v>0</v>
      </c>
      <c r="L827" s="37">
        <f>if(ISNA(vlookup($A827, FFToolbox!$B$2:$E$414, 4, false)), 0, vlookup($A827, FFToolbox!$B$2:$E$414, 4, false))</f>
        <v>0</v>
      </c>
      <c r="M827" s="39">
        <f t="shared" si="1"/>
        <v>0</v>
      </c>
      <c r="N827" s="39">
        <f t="shared" si="2"/>
        <v>0</v>
      </c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</row>
    <row r="828">
      <c r="A828" s="17" t="s">
        <v>427</v>
      </c>
      <c r="B828" s="35" t="s">
        <v>1259</v>
      </c>
      <c r="C828" s="35" t="s">
        <v>1260</v>
      </c>
      <c r="D828" s="36" t="s">
        <v>64</v>
      </c>
      <c r="E828" s="36" t="s">
        <v>8</v>
      </c>
      <c r="F828" s="36">
        <f>vlookup(D828,'Team Bye List'!$A$1:$B$33,2,False)</f>
        <v>7</v>
      </c>
      <c r="G828" s="37">
        <f>if(ISNA(vlookup($A828, Sleeper!$B$2:$E$330, 4, false)), 0, vlookup($A828, Sleeper!$B$2:$E$330, 4, false))</f>
        <v>0</v>
      </c>
      <c r="H828" s="37">
        <f>if(ISNA(vlookup($A828, ESPN!$B$2:$E$297, 4, false)), 0, vlookup($A828, ESPN!$B$2:$E$297, 4, false))</f>
        <v>0</v>
      </c>
      <c r="I828" s="37">
        <f>if(ISNA(vlookup($A828,'Ultimate Draft Kit'!$B$2:$E$324,4, false)), 0, vlookup($A828,'Ultimate Draft Kit'!$B$2:$E$324, 4, false))</f>
        <v>0</v>
      </c>
      <c r="J828" s="38">
        <f>if(ISNA(vlookup($A828,Rotowire!$B$2:$E$1075,4, false)), 0, vlookup($A828,Rotowire!$B$2:$E$1075, 4, false))</f>
        <v>0</v>
      </c>
      <c r="K828" s="37">
        <f>if(ISNA(vlookup($A828, FantasyPro!$B$2:$E$341,4,false)),0,vlookup($A828,FantasyPro!$B$2:$E$341,4,false))</f>
        <v>0</v>
      </c>
      <c r="L828" s="37">
        <f>if(ISNA(vlookup($A828, FFToolbox!$B$2:$E$414, 4, false)), 0, vlookup($A828, FFToolbox!$B$2:$E$414, 4, false))</f>
        <v>0</v>
      </c>
      <c r="M828" s="39">
        <f t="shared" si="1"/>
        <v>0</v>
      </c>
      <c r="N828" s="39">
        <f t="shared" si="2"/>
        <v>0</v>
      </c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</row>
    <row r="829">
      <c r="A829" s="17" t="s">
        <v>388</v>
      </c>
      <c r="B829" s="35" t="s">
        <v>1259</v>
      </c>
      <c r="C829" s="35" t="s">
        <v>1260</v>
      </c>
      <c r="D829" s="36" t="s">
        <v>89</v>
      </c>
      <c r="E829" s="36" t="s">
        <v>8</v>
      </c>
      <c r="F829" s="36">
        <f>vlookup(D829,'Team Bye List'!$A$1:$B$33,2,False)</f>
        <v>14</v>
      </c>
      <c r="G829" s="37">
        <f>if(ISNA(vlookup($A829, Sleeper!$B$2:$E$330, 4, false)), 0, vlookup($A829, Sleeper!$B$2:$E$330, 4, false))</f>
        <v>0</v>
      </c>
      <c r="H829" s="37">
        <f>if(ISNA(vlookup($A829, ESPN!$B$2:$E$297, 4, false)), 0, vlookup($A829, ESPN!$B$2:$E$297, 4, false))</f>
        <v>0</v>
      </c>
      <c r="I829" s="37">
        <f>if(ISNA(vlookup($A829,'Ultimate Draft Kit'!$B$2:$E$324,4, false)), 0, vlookup($A829,'Ultimate Draft Kit'!$B$2:$E$324, 4, false))</f>
        <v>0</v>
      </c>
      <c r="J829" s="38">
        <f>if(ISNA(vlookup($A829,Rotowire!$B$2:$E$1075,4, false)), 0, vlookup($A829,Rotowire!$B$2:$E$1075, 4, false))</f>
        <v>0</v>
      </c>
      <c r="K829" s="37">
        <f>if(ISNA(vlookup($A829, FantasyPro!$B$2:$E$341,4,false)),0,vlookup($A829,FantasyPro!$B$2:$E$341,4,false))</f>
        <v>0</v>
      </c>
      <c r="L829" s="37">
        <f>if(ISNA(vlookup($A829, FFToolbox!$B$2:$E$414, 4, false)), 0, vlookup($A829, FFToolbox!$B$2:$E$414, 4, false))</f>
        <v>0</v>
      </c>
      <c r="M829" s="39">
        <f t="shared" si="1"/>
        <v>0</v>
      </c>
      <c r="N829" s="39">
        <f t="shared" si="2"/>
        <v>0</v>
      </c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</row>
    <row r="830">
      <c r="A830" s="17" t="s">
        <v>293</v>
      </c>
      <c r="B830" s="35" t="s">
        <v>1259</v>
      </c>
      <c r="C830" s="35">
        <v>8.0</v>
      </c>
      <c r="D830" s="36" t="s">
        <v>85</v>
      </c>
      <c r="E830" s="36" t="s">
        <v>77</v>
      </c>
      <c r="F830" s="36">
        <f>vlookup(D830,'Team Bye List'!$A$1:$B$33,2,False)</f>
        <v>9</v>
      </c>
      <c r="G830" s="37">
        <f>if(ISNA(vlookup($A830, Sleeper!$B$2:$E$330, 4, false)), 0, vlookup($A830, Sleeper!$B$2:$E$330, 4, false))</f>
        <v>1</v>
      </c>
      <c r="H830" s="37">
        <f>if(ISNA(vlookup($A830, ESPN!$B$2:$E$297, 4, false)), 0, vlookup($A830, ESPN!$B$2:$E$297, 4, false))</f>
        <v>0</v>
      </c>
      <c r="I830" s="37">
        <f>if(ISNA(vlookup($A830,'Ultimate Draft Kit'!$B$2:$E$324,4, false)), 0, vlookup($A830,'Ultimate Draft Kit'!$B$2:$E$324, 4, false))</f>
        <v>1</v>
      </c>
      <c r="J830" s="38">
        <f>if(ISNA(vlookup($A830,Rotowire!$B$2:$E$1075,4, false)), 0, vlookup($A830,Rotowire!$B$2:$E$1075, 4, false))</f>
        <v>0</v>
      </c>
      <c r="K830" s="37">
        <f>if(ISNA(vlookup($A830, FantasyPro!$B$2:$E$341,4,false)),0,vlookup($A830,FantasyPro!$B$2:$E$341,4,false))</f>
        <v>0</v>
      </c>
      <c r="L830" s="37">
        <f>if(ISNA(vlookup($A830, FFToolbox!$B$2:$E$414, 4, false)), 0, vlookup($A830, FFToolbox!$B$2:$E$414, 4, false))</f>
        <v>1</v>
      </c>
      <c r="M830" s="39">
        <f t="shared" si="1"/>
        <v>0.5</v>
      </c>
      <c r="N830" s="39">
        <f t="shared" si="2"/>
        <v>1</v>
      </c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</row>
    <row r="831">
      <c r="A831" s="17" t="s">
        <v>1124</v>
      </c>
      <c r="B831" s="35" t="s">
        <v>1259</v>
      </c>
      <c r="C831" s="35" t="s">
        <v>1260</v>
      </c>
      <c r="D831" s="36" t="s">
        <v>262</v>
      </c>
      <c r="E831" s="36" t="s">
        <v>8</v>
      </c>
      <c r="F831" s="36" t="str">
        <f>vlookup(D831,'Team Bye List'!$A$1:$B$33,2,False)</f>
        <v>#N/A</v>
      </c>
      <c r="G831" s="37">
        <f>if(ISNA(vlookup($A831, Sleeper!$B$2:$E$330, 4, false)), 0, vlookup($A831, Sleeper!$B$2:$E$330, 4, false))</f>
        <v>0</v>
      </c>
      <c r="H831" s="37">
        <f>if(ISNA(vlookup($A831, ESPN!$B$2:$E$297, 4, false)), 0, vlookup($A831, ESPN!$B$2:$E$297, 4, false))</f>
        <v>0</v>
      </c>
      <c r="I831" s="37">
        <f>if(ISNA(vlookup($A831,'Ultimate Draft Kit'!$B$2:$E$324,4, false)), 0, vlookup($A831,'Ultimate Draft Kit'!$B$2:$E$324, 4, false))</f>
        <v>0</v>
      </c>
      <c r="J831" s="38">
        <f>if(ISNA(vlookup($A831,Rotowire!$B$2:$E$1075,4, false)), 0, vlookup($A831,Rotowire!$B$2:$E$1075, 4, false))</f>
        <v>0</v>
      </c>
      <c r="K831" s="37">
        <f>if(ISNA(vlookup($A831, FantasyPro!$B$2:$E$341,4,false)),0,vlookup($A831,FantasyPro!$B$2:$E$341,4,false))</f>
        <v>0</v>
      </c>
      <c r="L831" s="37">
        <f>if(ISNA(vlookup($A831, FFToolbox!$B$2:$E$414, 4, false)), 0, vlookup($A831, FFToolbox!$B$2:$E$414, 4, false))</f>
        <v>0</v>
      </c>
      <c r="M831" s="39">
        <f t="shared" si="1"/>
        <v>0</v>
      </c>
      <c r="N831" s="39">
        <f t="shared" si="2"/>
        <v>0</v>
      </c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</row>
    <row r="832">
      <c r="A832" s="17" t="s">
        <v>403</v>
      </c>
      <c r="B832" s="35" t="s">
        <v>1259</v>
      </c>
      <c r="C832" s="35" t="s">
        <v>1260</v>
      </c>
      <c r="D832" s="36" t="s">
        <v>17</v>
      </c>
      <c r="E832" s="36" t="s">
        <v>8</v>
      </c>
      <c r="F832" s="36">
        <f>vlookup(D832,'Team Bye List'!$A$1:$B$33,2,False)</f>
        <v>7</v>
      </c>
      <c r="G832" s="37">
        <f>if(ISNA(vlookup($A832, Sleeper!$B$2:$E$330, 4, false)), 0, vlookup($A832, Sleeper!$B$2:$E$330, 4, false))</f>
        <v>0</v>
      </c>
      <c r="H832" s="37">
        <f>if(ISNA(vlookup($A832, ESPN!$B$2:$E$297, 4, false)), 0, vlookup($A832, ESPN!$B$2:$E$297, 4, false))</f>
        <v>0</v>
      </c>
      <c r="I832" s="37">
        <f>if(ISNA(vlookup($A832,'Ultimate Draft Kit'!$B$2:$E$324,4, false)), 0, vlookup($A832,'Ultimate Draft Kit'!$B$2:$E$324, 4, false))</f>
        <v>0</v>
      </c>
      <c r="J832" s="38">
        <f>if(ISNA(vlookup($A832,Rotowire!$B$2:$E$1075,4, false)), 0, vlookup($A832,Rotowire!$B$2:$E$1075, 4, false))</f>
        <v>0</v>
      </c>
      <c r="K832" s="37">
        <f>if(ISNA(vlookup($A832, FantasyPro!$B$2:$E$341,4,false)),0,vlookup($A832,FantasyPro!$B$2:$E$341,4,false))</f>
        <v>0</v>
      </c>
      <c r="L832" s="37">
        <f>if(ISNA(vlookup($A832, FFToolbox!$B$2:$E$414, 4, false)), 0, vlookup($A832, FFToolbox!$B$2:$E$414, 4, false))</f>
        <v>0</v>
      </c>
      <c r="M832" s="39">
        <f t="shared" si="1"/>
        <v>0</v>
      </c>
      <c r="N832" s="39">
        <f t="shared" si="2"/>
        <v>0</v>
      </c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</row>
    <row r="833">
      <c r="A833" s="17" t="s">
        <v>397</v>
      </c>
      <c r="B833" s="35" t="s">
        <v>1259</v>
      </c>
      <c r="C833" s="35" t="s">
        <v>1260</v>
      </c>
      <c r="D833" s="36" t="s">
        <v>47</v>
      </c>
      <c r="E833" s="36" t="s">
        <v>8</v>
      </c>
      <c r="F833" s="36">
        <f>vlookup(D833,'Team Bye List'!$A$1:$B$33,2,False)</f>
        <v>14</v>
      </c>
      <c r="G833" s="37">
        <f>if(ISNA(vlookup($A833, Sleeper!$B$2:$E$330, 4, false)), 0, vlookup($A833, Sleeper!$B$2:$E$330, 4, false))</f>
        <v>0</v>
      </c>
      <c r="H833" s="37">
        <f>if(ISNA(vlookup($A833, ESPN!$B$2:$E$297, 4, false)), 0, vlookup($A833, ESPN!$B$2:$E$297, 4, false))</f>
        <v>0</v>
      </c>
      <c r="I833" s="37">
        <f>if(ISNA(vlookup($A833,'Ultimate Draft Kit'!$B$2:$E$324,4, false)), 0, vlookup($A833,'Ultimate Draft Kit'!$B$2:$E$324, 4, false))</f>
        <v>0</v>
      </c>
      <c r="J833" s="38">
        <f>if(ISNA(vlookup($A833,Rotowire!$B$2:$E$1075,4, false)), 0, vlookup($A833,Rotowire!$B$2:$E$1075, 4, false))</f>
        <v>0</v>
      </c>
      <c r="K833" s="37">
        <f>if(ISNA(vlookup($A833, FantasyPro!$B$2:$E$341,4,false)),0,vlookup($A833,FantasyPro!$B$2:$E$341,4,false))</f>
        <v>0</v>
      </c>
      <c r="L833" s="37">
        <f>if(ISNA(vlookup($A833, FFToolbox!$B$2:$E$414, 4, false)), 0, vlookup($A833, FFToolbox!$B$2:$E$414, 4, false))</f>
        <v>0</v>
      </c>
      <c r="M833" s="39">
        <f t="shared" si="1"/>
        <v>0</v>
      </c>
      <c r="N833" s="39">
        <f t="shared" si="2"/>
        <v>0</v>
      </c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</row>
    <row r="834">
      <c r="A834" s="17" t="s">
        <v>371</v>
      </c>
      <c r="B834" s="35" t="s">
        <v>1259</v>
      </c>
      <c r="C834" s="35" t="s">
        <v>1260</v>
      </c>
      <c r="D834" s="36" t="s">
        <v>62</v>
      </c>
      <c r="E834" s="36" t="s">
        <v>8</v>
      </c>
      <c r="F834" s="36">
        <f>vlookup(D834,'Team Bye List'!$A$1:$B$33,2,False)</f>
        <v>8</v>
      </c>
      <c r="G834" s="37">
        <f>if(ISNA(vlookup($A834, Sleeper!$B$2:$E$330, 4, false)), 0, vlookup($A834, Sleeper!$B$2:$E$330, 4, false))</f>
        <v>0</v>
      </c>
      <c r="H834" s="37">
        <f>if(ISNA(vlookup($A834, ESPN!$B$2:$E$297, 4, false)), 0, vlookup($A834, ESPN!$B$2:$E$297, 4, false))</f>
        <v>0</v>
      </c>
      <c r="I834" s="37">
        <f>if(ISNA(vlookup($A834,'Ultimate Draft Kit'!$B$2:$E$324,4, false)), 0, vlookup($A834,'Ultimate Draft Kit'!$B$2:$E$324, 4, false))</f>
        <v>0</v>
      </c>
      <c r="J834" s="38">
        <f>if(ISNA(vlookup($A834,Rotowire!$B$2:$E$1075,4, false)), 0, vlookup($A834,Rotowire!$B$2:$E$1075, 4, false))</f>
        <v>0</v>
      </c>
      <c r="K834" s="37">
        <f>if(ISNA(vlookup($A834, FantasyPro!$B$2:$E$341,4,false)),0,vlookup($A834,FantasyPro!$B$2:$E$341,4,false))</f>
        <v>0</v>
      </c>
      <c r="L834" s="37">
        <f>if(ISNA(vlookup($A834, FFToolbox!$B$2:$E$414, 4, false)), 0, vlookup($A834, FFToolbox!$B$2:$E$414, 4, false))</f>
        <v>1</v>
      </c>
      <c r="M834" s="39">
        <f t="shared" si="1"/>
        <v>0.1666666667</v>
      </c>
      <c r="N834" s="39">
        <f t="shared" si="2"/>
        <v>1</v>
      </c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</row>
    <row r="835">
      <c r="A835" s="17" t="s">
        <v>373</v>
      </c>
      <c r="B835" s="35" t="s">
        <v>1259</v>
      </c>
      <c r="C835" s="35" t="s">
        <v>1260</v>
      </c>
      <c r="D835" s="36" t="s">
        <v>55</v>
      </c>
      <c r="E835" s="36" t="s">
        <v>8</v>
      </c>
      <c r="F835" s="36">
        <f>vlookup(D835,'Team Bye List'!$A$1:$B$33,2,False)</f>
        <v>14</v>
      </c>
      <c r="G835" s="37">
        <f>if(ISNA(vlookup($A835, Sleeper!$B$2:$E$330, 4, false)), 0, vlookup($A835, Sleeper!$B$2:$E$330, 4, false))</f>
        <v>0</v>
      </c>
      <c r="H835" s="37">
        <f>if(ISNA(vlookup($A835, ESPN!$B$2:$E$297, 4, false)), 0, vlookup($A835, ESPN!$B$2:$E$297, 4, false))</f>
        <v>0</v>
      </c>
      <c r="I835" s="37">
        <f>if(ISNA(vlookup($A835,'Ultimate Draft Kit'!$B$2:$E$324,4, false)), 0, vlookup($A835,'Ultimate Draft Kit'!$B$2:$E$324, 4, false))</f>
        <v>0</v>
      </c>
      <c r="J835" s="38">
        <f>if(ISNA(vlookup($A835,Rotowire!$B$2:$E$1075,4, false)), 0, vlookup($A835,Rotowire!$B$2:$E$1075, 4, false))</f>
        <v>0</v>
      </c>
      <c r="K835" s="37">
        <f>if(ISNA(vlookup($A835, FantasyPro!$B$2:$E$341,4,false)),0,vlookup($A835,FantasyPro!$B$2:$E$341,4,false))</f>
        <v>0</v>
      </c>
      <c r="L835" s="37">
        <f>if(ISNA(vlookup($A835, FFToolbox!$B$2:$E$414, 4, false)), 0, vlookup($A835, FFToolbox!$B$2:$E$414, 4, false))</f>
        <v>0</v>
      </c>
      <c r="M835" s="39">
        <f t="shared" si="1"/>
        <v>0</v>
      </c>
      <c r="N835" s="39">
        <f t="shared" si="2"/>
        <v>0</v>
      </c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</row>
    <row r="836">
      <c r="A836" s="17" t="s">
        <v>358</v>
      </c>
      <c r="B836" s="35" t="s">
        <v>1259</v>
      </c>
      <c r="C836" s="35" t="s">
        <v>1260</v>
      </c>
      <c r="D836" s="36" t="s">
        <v>69</v>
      </c>
      <c r="E836" s="36" t="s">
        <v>8</v>
      </c>
      <c r="F836" s="36">
        <f>vlookup(D836,'Team Bye List'!$A$1:$B$33,2,False)</f>
        <v>10</v>
      </c>
      <c r="G836" s="37">
        <f>if(ISNA(vlookup($A836, Sleeper!$B$2:$E$330, 4, false)), 0, vlookup($A836, Sleeper!$B$2:$E$330, 4, false))</f>
        <v>0</v>
      </c>
      <c r="H836" s="37">
        <f>if(ISNA(vlookup($A836, ESPN!$B$2:$E$297, 4, false)), 0, vlookup($A836, ESPN!$B$2:$E$297, 4, false))</f>
        <v>0</v>
      </c>
      <c r="I836" s="37">
        <f>if(ISNA(vlookup($A836,'Ultimate Draft Kit'!$B$2:$E$324,4, false)), 0, vlookup($A836,'Ultimate Draft Kit'!$B$2:$E$324, 4, false))</f>
        <v>0</v>
      </c>
      <c r="J836" s="38">
        <f>if(ISNA(vlookup($A836,Rotowire!$B$2:$E$1075,4, false)), 0, vlookup($A836,Rotowire!$B$2:$E$1075, 4, false))</f>
        <v>0</v>
      </c>
      <c r="K836" s="37">
        <f>if(ISNA(vlookup($A836, FantasyPro!$B$2:$E$341,4,false)),0,vlookup($A836,FantasyPro!$B$2:$E$341,4,false))</f>
        <v>0</v>
      </c>
      <c r="L836" s="37">
        <f>if(ISNA(vlookup($A836, FFToolbox!$B$2:$E$414, 4, false)), 0, vlookup($A836, FFToolbox!$B$2:$E$414, 4, false))</f>
        <v>1</v>
      </c>
      <c r="M836" s="39">
        <f t="shared" si="1"/>
        <v>0.1666666667</v>
      </c>
      <c r="N836" s="39">
        <f t="shared" si="2"/>
        <v>1</v>
      </c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</row>
    <row r="837">
      <c r="A837" s="17" t="s">
        <v>360</v>
      </c>
      <c r="B837" s="35" t="s">
        <v>1259</v>
      </c>
      <c r="C837" s="35" t="s">
        <v>1260</v>
      </c>
      <c r="D837" s="36" t="s">
        <v>73</v>
      </c>
      <c r="E837" s="36" t="s">
        <v>8</v>
      </c>
      <c r="F837" s="36">
        <f>vlookup(D837,'Team Bye List'!$A$1:$B$33,2,False)</f>
        <v>14</v>
      </c>
      <c r="G837" s="37">
        <f>if(ISNA(vlookup($A837, Sleeper!$B$2:$E$330, 4, false)), 0, vlookup($A837, Sleeper!$B$2:$E$330, 4, false))</f>
        <v>0</v>
      </c>
      <c r="H837" s="37">
        <f>if(ISNA(vlookup($A837, ESPN!$B$2:$E$297, 4, false)), 0, vlookup($A837, ESPN!$B$2:$E$297, 4, false))</f>
        <v>0</v>
      </c>
      <c r="I837" s="37">
        <f>if(ISNA(vlookup($A837,'Ultimate Draft Kit'!$B$2:$E$324,4, false)), 0, vlookup($A837,'Ultimate Draft Kit'!$B$2:$E$324, 4, false))</f>
        <v>0</v>
      </c>
      <c r="J837" s="38">
        <f>if(ISNA(vlookup($A837,Rotowire!$B$2:$E$1075,4, false)), 0, vlookup($A837,Rotowire!$B$2:$E$1075, 4, false))</f>
        <v>0</v>
      </c>
      <c r="K837" s="37">
        <f>if(ISNA(vlookup($A837, FantasyPro!$B$2:$E$341,4,false)),0,vlookup($A837,FantasyPro!$B$2:$E$341,4,false))</f>
        <v>0</v>
      </c>
      <c r="L837" s="37">
        <f>if(ISNA(vlookup($A837, FFToolbox!$B$2:$E$414, 4, false)), 0, vlookup($A837, FFToolbox!$B$2:$E$414, 4, false))</f>
        <v>1</v>
      </c>
      <c r="M837" s="39">
        <f t="shared" si="1"/>
        <v>0.1666666667</v>
      </c>
      <c r="N837" s="39">
        <f t="shared" si="2"/>
        <v>1</v>
      </c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</row>
    <row r="838">
      <c r="A838" s="17" t="s">
        <v>347</v>
      </c>
      <c r="B838" s="35" t="s">
        <v>1259</v>
      </c>
      <c r="C838" s="35" t="s">
        <v>1260</v>
      </c>
      <c r="D838" s="36" t="s">
        <v>39</v>
      </c>
      <c r="E838" s="36" t="s">
        <v>8</v>
      </c>
      <c r="F838" s="36">
        <f>vlookup(D838,'Team Bye List'!$A$1:$B$33,2,False)</f>
        <v>11</v>
      </c>
      <c r="G838" s="37">
        <f>if(ISNA(vlookup($A838, Sleeper!$B$2:$E$330, 4, false)), 0, vlookup($A838, Sleeper!$B$2:$E$330, 4, false))</f>
        <v>0</v>
      </c>
      <c r="H838" s="37">
        <f>if(ISNA(vlookup($A838, ESPN!$B$2:$E$297, 4, false)), 0, vlookup($A838, ESPN!$B$2:$E$297, 4, false))</f>
        <v>0</v>
      </c>
      <c r="I838" s="37">
        <f>if(ISNA(vlookup($A838,'Ultimate Draft Kit'!$B$2:$E$324,4, false)), 0, vlookup($A838,'Ultimate Draft Kit'!$B$2:$E$324, 4, false))</f>
        <v>0</v>
      </c>
      <c r="J838" s="38">
        <f>if(ISNA(vlookup($A838,Rotowire!$B$2:$E$1075,4, false)), 0, vlookup($A838,Rotowire!$B$2:$E$1075, 4, false))</f>
        <v>0</v>
      </c>
      <c r="K838" s="37">
        <f>if(ISNA(vlookup($A838, FantasyPro!$B$2:$E$341,4,false)),0,vlookup($A838,FantasyPro!$B$2:$E$341,4,false))</f>
        <v>0</v>
      </c>
      <c r="L838" s="37">
        <f>if(ISNA(vlookup($A838, FFToolbox!$B$2:$E$414, 4, false)), 0, vlookup($A838, FFToolbox!$B$2:$E$414, 4, false))</f>
        <v>1</v>
      </c>
      <c r="M838" s="39">
        <f t="shared" si="1"/>
        <v>0.1666666667</v>
      </c>
      <c r="N838" s="39">
        <f t="shared" si="2"/>
        <v>1</v>
      </c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</row>
    <row r="839">
      <c r="A839" s="17" t="s">
        <v>351</v>
      </c>
      <c r="B839" s="35" t="s">
        <v>1259</v>
      </c>
      <c r="C839" s="35" t="s">
        <v>1260</v>
      </c>
      <c r="D839" s="36" t="s">
        <v>69</v>
      </c>
      <c r="E839" s="36" t="s">
        <v>8</v>
      </c>
      <c r="F839" s="36">
        <f>vlookup(D839,'Team Bye List'!$A$1:$B$33,2,False)</f>
        <v>10</v>
      </c>
      <c r="G839" s="37">
        <f>if(ISNA(vlookup($A839, Sleeper!$B$2:$E$330, 4, false)), 0, vlookup($A839, Sleeper!$B$2:$E$330, 4, false))</f>
        <v>0</v>
      </c>
      <c r="H839" s="37">
        <f>if(ISNA(vlookup($A839, ESPN!$B$2:$E$297, 4, false)), 0, vlookup($A839, ESPN!$B$2:$E$297, 4, false))</f>
        <v>0</v>
      </c>
      <c r="I839" s="37">
        <f>if(ISNA(vlookup($A839,'Ultimate Draft Kit'!$B$2:$E$324,4, false)), 0, vlookup($A839,'Ultimate Draft Kit'!$B$2:$E$324, 4, false))</f>
        <v>0</v>
      </c>
      <c r="J839" s="38">
        <f>if(ISNA(vlookup($A839,Rotowire!$B$2:$E$1075,4, false)), 0, vlookup($A839,Rotowire!$B$2:$E$1075, 4, false))</f>
        <v>0</v>
      </c>
      <c r="K839" s="37">
        <f>if(ISNA(vlookup($A839, FantasyPro!$B$2:$E$341,4,false)),0,vlookup($A839,FantasyPro!$B$2:$E$341,4,false))</f>
        <v>0</v>
      </c>
      <c r="L839" s="37">
        <f>if(ISNA(vlookup($A839, FFToolbox!$B$2:$E$414, 4, false)), 0, vlookup($A839, FFToolbox!$B$2:$E$414, 4, false))</f>
        <v>1</v>
      </c>
      <c r="M839" s="39">
        <f t="shared" si="1"/>
        <v>0.1666666667</v>
      </c>
      <c r="N839" s="39">
        <f t="shared" si="2"/>
        <v>1</v>
      </c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</row>
    <row r="840">
      <c r="A840" s="17" t="s">
        <v>387</v>
      </c>
      <c r="B840" s="35" t="s">
        <v>1259</v>
      </c>
      <c r="C840" s="35" t="s">
        <v>1260</v>
      </c>
      <c r="D840" s="36" t="s">
        <v>58</v>
      </c>
      <c r="E840" s="36" t="s">
        <v>8</v>
      </c>
      <c r="F840" s="36">
        <f>vlookup(D840,'Team Bye List'!$A$1:$B$33,2,False)</f>
        <v>10</v>
      </c>
      <c r="G840" s="37">
        <f>if(ISNA(vlookup($A840, Sleeper!$B$2:$E$330, 4, false)), 0, vlookup($A840, Sleeper!$B$2:$E$330, 4, false))</f>
        <v>0</v>
      </c>
      <c r="H840" s="37">
        <f>if(ISNA(vlookup($A840, ESPN!$B$2:$E$297, 4, false)), 0, vlookup($A840, ESPN!$B$2:$E$297, 4, false))</f>
        <v>0</v>
      </c>
      <c r="I840" s="37">
        <f>if(ISNA(vlookup($A840,'Ultimate Draft Kit'!$B$2:$E$324,4, false)), 0, vlookup($A840,'Ultimate Draft Kit'!$B$2:$E$324, 4, false))</f>
        <v>0</v>
      </c>
      <c r="J840" s="38">
        <f>if(ISNA(vlookup($A840,Rotowire!$B$2:$E$1075,4, false)), 0, vlookup($A840,Rotowire!$B$2:$E$1075, 4, false))</f>
        <v>0</v>
      </c>
      <c r="K840" s="37">
        <f>if(ISNA(vlookup($A840, FantasyPro!$B$2:$E$341,4,false)),0,vlookup($A840,FantasyPro!$B$2:$E$341,4,false))</f>
        <v>0</v>
      </c>
      <c r="L840" s="37">
        <f>if(ISNA(vlookup($A840, FFToolbox!$B$2:$E$414, 4, false)), 0, vlookup($A840, FFToolbox!$B$2:$E$414, 4, false))</f>
        <v>0</v>
      </c>
      <c r="M840" s="39">
        <f t="shared" si="1"/>
        <v>0</v>
      </c>
      <c r="N840" s="39">
        <f t="shared" si="2"/>
        <v>0</v>
      </c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</row>
    <row r="841">
      <c r="A841" s="17" t="s">
        <v>1125</v>
      </c>
      <c r="B841" s="35" t="s">
        <v>1259</v>
      </c>
      <c r="C841" s="35" t="s">
        <v>1260</v>
      </c>
      <c r="D841" s="36" t="s">
        <v>66</v>
      </c>
      <c r="E841" s="36" t="s">
        <v>8</v>
      </c>
      <c r="F841" s="36">
        <f>vlookup(D841,'Team Bye List'!$A$1:$B$33,2,False)</f>
        <v>9</v>
      </c>
      <c r="G841" s="37">
        <f>if(ISNA(vlookup($A841, Sleeper!$B$2:$E$330, 4, false)), 0, vlookup($A841, Sleeper!$B$2:$E$330, 4, false))</f>
        <v>0</v>
      </c>
      <c r="H841" s="37">
        <f>if(ISNA(vlookup($A841, ESPN!$B$2:$E$297, 4, false)), 0, vlookup($A841, ESPN!$B$2:$E$297, 4, false))</f>
        <v>0</v>
      </c>
      <c r="I841" s="37">
        <f>if(ISNA(vlookup($A841,'Ultimate Draft Kit'!$B$2:$E$324,4, false)), 0, vlookup($A841,'Ultimate Draft Kit'!$B$2:$E$324, 4, false))</f>
        <v>0</v>
      </c>
      <c r="J841" s="38">
        <f>if(ISNA(vlookup($A841,Rotowire!$B$2:$E$1075,4, false)), 0, vlookup($A841,Rotowire!$B$2:$E$1075, 4, false))</f>
        <v>0</v>
      </c>
      <c r="K841" s="37">
        <f>if(ISNA(vlookup($A841, FantasyPro!$B$2:$E$341,4,false)),0,vlookup($A841,FantasyPro!$B$2:$E$341,4,false))</f>
        <v>0</v>
      </c>
      <c r="L841" s="37">
        <f>if(ISNA(vlookup($A841, FFToolbox!$B$2:$E$414, 4, false)), 0, vlookup($A841, FFToolbox!$B$2:$E$414, 4, false))</f>
        <v>0</v>
      </c>
      <c r="M841" s="39">
        <f t="shared" si="1"/>
        <v>0</v>
      </c>
      <c r="N841" s="39">
        <f t="shared" si="2"/>
        <v>0</v>
      </c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</row>
    <row r="842">
      <c r="A842" s="17" t="s">
        <v>400</v>
      </c>
      <c r="B842" s="35" t="s">
        <v>1259</v>
      </c>
      <c r="C842" s="35" t="s">
        <v>1260</v>
      </c>
      <c r="D842" s="36" t="s">
        <v>39</v>
      </c>
      <c r="E842" s="36" t="s">
        <v>8</v>
      </c>
      <c r="F842" s="36">
        <f>vlookup(D842,'Team Bye List'!$A$1:$B$33,2,False)</f>
        <v>11</v>
      </c>
      <c r="G842" s="37">
        <f>if(ISNA(vlookup($A842, Sleeper!$B$2:$E$330, 4, false)), 0, vlookup($A842, Sleeper!$B$2:$E$330, 4, false))</f>
        <v>0</v>
      </c>
      <c r="H842" s="37">
        <f>if(ISNA(vlookup($A842, ESPN!$B$2:$E$297, 4, false)), 0, vlookup($A842, ESPN!$B$2:$E$297, 4, false))</f>
        <v>0</v>
      </c>
      <c r="I842" s="37">
        <f>if(ISNA(vlookup($A842,'Ultimate Draft Kit'!$B$2:$E$324,4, false)), 0, vlookup($A842,'Ultimate Draft Kit'!$B$2:$E$324, 4, false))</f>
        <v>0</v>
      </c>
      <c r="J842" s="38">
        <f>if(ISNA(vlookup($A842,Rotowire!$B$2:$E$1075,4, false)), 0, vlookup($A842,Rotowire!$B$2:$E$1075, 4, false))</f>
        <v>0</v>
      </c>
      <c r="K842" s="37">
        <f>if(ISNA(vlookup($A842, FantasyPro!$B$2:$E$341,4,false)),0,vlookup($A842,FantasyPro!$B$2:$E$341,4,false))</f>
        <v>0</v>
      </c>
      <c r="L842" s="37">
        <f>if(ISNA(vlookup($A842, FFToolbox!$B$2:$E$414, 4, false)), 0, vlookup($A842, FFToolbox!$B$2:$E$414, 4, false))</f>
        <v>0</v>
      </c>
      <c r="M842" s="39">
        <f t="shared" si="1"/>
        <v>0</v>
      </c>
      <c r="N842" s="39">
        <f t="shared" si="2"/>
        <v>0</v>
      </c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</row>
    <row r="843">
      <c r="A843" s="17" t="s">
        <v>405</v>
      </c>
      <c r="B843" s="35" t="s">
        <v>1259</v>
      </c>
      <c r="C843" s="35" t="s">
        <v>1260</v>
      </c>
      <c r="D843" s="36" t="s">
        <v>25</v>
      </c>
      <c r="E843" s="36" t="s">
        <v>8</v>
      </c>
      <c r="F843" s="36">
        <f>vlookup(D843,'Team Bye List'!$A$1:$B$33,2,False)</f>
        <v>7</v>
      </c>
      <c r="G843" s="37">
        <f>if(ISNA(vlookup($A843, Sleeper!$B$2:$E$330, 4, false)), 0, vlookup($A843, Sleeper!$B$2:$E$330, 4, false))</f>
        <v>0</v>
      </c>
      <c r="H843" s="37">
        <f>if(ISNA(vlookup($A843, ESPN!$B$2:$E$297, 4, false)), 0, vlookup($A843, ESPN!$B$2:$E$297, 4, false))</f>
        <v>0</v>
      </c>
      <c r="I843" s="37">
        <f>if(ISNA(vlookup($A843,'Ultimate Draft Kit'!$B$2:$E$324,4, false)), 0, vlookup($A843,'Ultimate Draft Kit'!$B$2:$E$324, 4, false))</f>
        <v>0</v>
      </c>
      <c r="J843" s="38">
        <f>if(ISNA(vlookup($A843,Rotowire!$B$2:$E$1075,4, false)), 0, vlookup($A843,Rotowire!$B$2:$E$1075, 4, false))</f>
        <v>0</v>
      </c>
      <c r="K843" s="37">
        <f>if(ISNA(vlookup($A843, FantasyPro!$B$2:$E$341,4,false)),0,vlookup($A843,FantasyPro!$B$2:$E$341,4,false))</f>
        <v>0</v>
      </c>
      <c r="L843" s="37">
        <f>if(ISNA(vlookup($A843, FFToolbox!$B$2:$E$414, 4, false)), 0, vlookup($A843, FFToolbox!$B$2:$E$414, 4, false))</f>
        <v>0</v>
      </c>
      <c r="M843" s="39">
        <f t="shared" si="1"/>
        <v>0</v>
      </c>
      <c r="N843" s="39">
        <f t="shared" si="2"/>
        <v>0</v>
      </c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</row>
    <row r="844">
      <c r="A844" s="17" t="s">
        <v>455</v>
      </c>
      <c r="B844" s="35" t="s">
        <v>1259</v>
      </c>
      <c r="C844" s="35" t="s">
        <v>1260</v>
      </c>
      <c r="D844" s="36" t="s">
        <v>21</v>
      </c>
      <c r="E844" s="36" t="s">
        <v>8</v>
      </c>
      <c r="F844" s="36">
        <f>vlookup(D844,'Team Bye List'!$A$1:$B$33,2,False)</f>
        <v>6</v>
      </c>
      <c r="G844" s="37">
        <f>if(ISNA(vlookup($A844, Sleeper!$B$2:$E$330, 4, false)), 0, vlookup($A844, Sleeper!$B$2:$E$330, 4, false))</f>
        <v>0</v>
      </c>
      <c r="H844" s="37">
        <f>if(ISNA(vlookup($A844, ESPN!$B$2:$E$297, 4, false)), 0, vlookup($A844, ESPN!$B$2:$E$297, 4, false))</f>
        <v>0</v>
      </c>
      <c r="I844" s="37">
        <f>if(ISNA(vlookup($A844,'Ultimate Draft Kit'!$B$2:$E$324,4, false)), 0, vlookup($A844,'Ultimate Draft Kit'!$B$2:$E$324, 4, false))</f>
        <v>0</v>
      </c>
      <c r="J844" s="38">
        <f>if(ISNA(vlookup($A844,Rotowire!$B$2:$E$1075,4, false)), 0, vlookup($A844,Rotowire!$B$2:$E$1075, 4, false))</f>
        <v>0</v>
      </c>
      <c r="K844" s="37">
        <f>if(ISNA(vlookup($A844, FantasyPro!$B$2:$E$341,4,false)),0,vlookup($A844,FantasyPro!$B$2:$E$341,4,false))</f>
        <v>0</v>
      </c>
      <c r="L844" s="37">
        <f>if(ISNA(vlookup($A844, FFToolbox!$B$2:$E$414, 4, false)), 0, vlookup($A844, FFToolbox!$B$2:$E$414, 4, false))</f>
        <v>0</v>
      </c>
      <c r="M844" s="39">
        <f t="shared" si="1"/>
        <v>0</v>
      </c>
      <c r="N844" s="39">
        <f t="shared" si="2"/>
        <v>0</v>
      </c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</row>
    <row r="845">
      <c r="A845" s="17" t="s">
        <v>1126</v>
      </c>
      <c r="B845" s="35" t="s">
        <v>1259</v>
      </c>
      <c r="C845" s="35" t="s">
        <v>1260</v>
      </c>
      <c r="D845" s="36" t="s">
        <v>23</v>
      </c>
      <c r="E845" s="36" t="s">
        <v>8</v>
      </c>
      <c r="F845" s="36">
        <f>vlookup(D845,'Team Bye List'!$A$1:$B$33,2,False)</f>
        <v>9</v>
      </c>
      <c r="G845" s="37">
        <f>if(ISNA(vlookup($A845, Sleeper!$B$2:$E$330, 4, false)), 0, vlookup($A845, Sleeper!$B$2:$E$330, 4, false))</f>
        <v>0</v>
      </c>
      <c r="H845" s="37">
        <f>if(ISNA(vlookup($A845, ESPN!$B$2:$E$297, 4, false)), 0, vlookup($A845, ESPN!$B$2:$E$297, 4, false))</f>
        <v>0</v>
      </c>
      <c r="I845" s="37">
        <f>if(ISNA(vlookup($A845,'Ultimate Draft Kit'!$B$2:$E$324,4, false)), 0, vlookup($A845,'Ultimate Draft Kit'!$B$2:$E$324, 4, false))</f>
        <v>0</v>
      </c>
      <c r="J845" s="38">
        <f>if(ISNA(vlookup($A845,Rotowire!$B$2:$E$1075,4, false)), 0, vlookup($A845,Rotowire!$B$2:$E$1075, 4, false))</f>
        <v>0</v>
      </c>
      <c r="K845" s="37">
        <f>if(ISNA(vlookup($A845, FantasyPro!$B$2:$E$341,4,false)),0,vlookup($A845,FantasyPro!$B$2:$E$341,4,false))</f>
        <v>0</v>
      </c>
      <c r="L845" s="37">
        <f>if(ISNA(vlookup($A845, FFToolbox!$B$2:$E$414, 4, false)), 0, vlookup($A845, FFToolbox!$B$2:$E$414, 4, false))</f>
        <v>0</v>
      </c>
      <c r="M845" s="39">
        <f t="shared" si="1"/>
        <v>0</v>
      </c>
      <c r="N845" s="39">
        <f t="shared" si="2"/>
        <v>0</v>
      </c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</row>
    <row r="846">
      <c r="A846" s="17" t="s">
        <v>1127</v>
      </c>
      <c r="B846" s="35" t="s">
        <v>1259</v>
      </c>
      <c r="C846" s="35" t="s">
        <v>1260</v>
      </c>
      <c r="D846" s="36" t="s">
        <v>35</v>
      </c>
      <c r="E846" s="36" t="s">
        <v>8</v>
      </c>
      <c r="F846" s="36">
        <f>vlookup(D846,'Team Bye List'!$A$1:$B$33,2,False)</f>
        <v>6</v>
      </c>
      <c r="G846" s="37">
        <f>if(ISNA(vlookup($A846, Sleeper!$B$2:$E$330, 4, false)), 0, vlookup($A846, Sleeper!$B$2:$E$330, 4, false))</f>
        <v>0</v>
      </c>
      <c r="H846" s="37">
        <f>if(ISNA(vlookup($A846, ESPN!$B$2:$E$297, 4, false)), 0, vlookup($A846, ESPN!$B$2:$E$297, 4, false))</f>
        <v>0</v>
      </c>
      <c r="I846" s="37">
        <f>if(ISNA(vlookup($A846,'Ultimate Draft Kit'!$B$2:$E$324,4, false)), 0, vlookup($A846,'Ultimate Draft Kit'!$B$2:$E$324, 4, false))</f>
        <v>0</v>
      </c>
      <c r="J846" s="38">
        <f>if(ISNA(vlookup($A846,Rotowire!$B$2:$E$1075,4, false)), 0, vlookup($A846,Rotowire!$B$2:$E$1075, 4, false))</f>
        <v>0</v>
      </c>
      <c r="K846" s="37">
        <f>if(ISNA(vlookup($A846, FantasyPro!$B$2:$E$341,4,false)),0,vlookup($A846,FantasyPro!$B$2:$E$341,4,false))</f>
        <v>0</v>
      </c>
      <c r="L846" s="37">
        <f>if(ISNA(vlookup($A846, FFToolbox!$B$2:$E$414, 4, false)), 0, vlookup($A846, FFToolbox!$B$2:$E$414, 4, false))</f>
        <v>0</v>
      </c>
      <c r="M846" s="39">
        <f t="shared" si="1"/>
        <v>0</v>
      </c>
      <c r="N846" s="39">
        <f t="shared" si="2"/>
        <v>0</v>
      </c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</row>
    <row r="847">
      <c r="A847" s="17" t="s">
        <v>1128</v>
      </c>
      <c r="B847" s="35" t="s">
        <v>1259</v>
      </c>
      <c r="C847" s="35" t="s">
        <v>1260</v>
      </c>
      <c r="D847" s="36" t="s">
        <v>66</v>
      </c>
      <c r="E847" s="36" t="s">
        <v>8</v>
      </c>
      <c r="F847" s="36">
        <f>vlookup(D847,'Team Bye List'!$A$1:$B$33,2,False)</f>
        <v>9</v>
      </c>
      <c r="G847" s="37">
        <f>if(ISNA(vlookup($A847, Sleeper!$B$2:$E$330, 4, false)), 0, vlookup($A847, Sleeper!$B$2:$E$330, 4, false))</f>
        <v>0</v>
      </c>
      <c r="H847" s="37">
        <f>if(ISNA(vlookup($A847, ESPN!$B$2:$E$297, 4, false)), 0, vlookup($A847, ESPN!$B$2:$E$297, 4, false))</f>
        <v>0</v>
      </c>
      <c r="I847" s="37">
        <f>if(ISNA(vlookup($A847,'Ultimate Draft Kit'!$B$2:$E$324,4, false)), 0, vlookup($A847,'Ultimate Draft Kit'!$B$2:$E$324, 4, false))</f>
        <v>0</v>
      </c>
      <c r="J847" s="38">
        <f>if(ISNA(vlookup($A847,Rotowire!$B$2:$E$1075,4, false)), 0, vlookup($A847,Rotowire!$B$2:$E$1075, 4, false))</f>
        <v>0</v>
      </c>
      <c r="K847" s="37">
        <f>if(ISNA(vlookup($A847, FantasyPro!$B$2:$E$341,4,false)),0,vlookup($A847,FantasyPro!$B$2:$E$341,4,false))</f>
        <v>0</v>
      </c>
      <c r="L847" s="37">
        <f>if(ISNA(vlookup($A847, FFToolbox!$B$2:$E$414, 4, false)), 0, vlookup($A847, FFToolbox!$B$2:$E$414, 4, false))</f>
        <v>0</v>
      </c>
      <c r="M847" s="39">
        <f t="shared" si="1"/>
        <v>0</v>
      </c>
      <c r="N847" s="39">
        <f t="shared" si="2"/>
        <v>0</v>
      </c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</row>
    <row r="848">
      <c r="A848" s="17" t="s">
        <v>441</v>
      </c>
      <c r="B848" s="35" t="s">
        <v>1259</v>
      </c>
      <c r="C848" s="35" t="s">
        <v>1260</v>
      </c>
      <c r="D848" s="36" t="s">
        <v>41</v>
      </c>
      <c r="E848" s="36" t="s">
        <v>8</v>
      </c>
      <c r="F848" s="36">
        <f>vlookup(D848,'Team Bye List'!$A$1:$B$33,2,False)</f>
        <v>14</v>
      </c>
      <c r="G848" s="37">
        <f>if(ISNA(vlookup($A848, Sleeper!$B$2:$E$330, 4, false)), 0, vlookup($A848, Sleeper!$B$2:$E$330, 4, false))</f>
        <v>0</v>
      </c>
      <c r="H848" s="37">
        <f>if(ISNA(vlookup($A848, ESPN!$B$2:$E$297, 4, false)), 0, vlookup($A848, ESPN!$B$2:$E$297, 4, false))</f>
        <v>0</v>
      </c>
      <c r="I848" s="37">
        <f>if(ISNA(vlookup($A848,'Ultimate Draft Kit'!$B$2:$E$324,4, false)), 0, vlookup($A848,'Ultimate Draft Kit'!$B$2:$E$324, 4, false))</f>
        <v>0</v>
      </c>
      <c r="J848" s="38">
        <f>if(ISNA(vlookup($A848,Rotowire!$B$2:$E$1075,4, false)), 0, vlookup($A848,Rotowire!$B$2:$E$1075, 4, false))</f>
        <v>0</v>
      </c>
      <c r="K848" s="37">
        <f>if(ISNA(vlookup($A848, FantasyPro!$B$2:$E$341,4,false)),0,vlookup($A848,FantasyPro!$B$2:$E$341,4,false))</f>
        <v>0</v>
      </c>
      <c r="L848" s="37">
        <f>if(ISNA(vlookup($A848, FFToolbox!$B$2:$E$414, 4, false)), 0, vlookup($A848, FFToolbox!$B$2:$E$414, 4, false))</f>
        <v>0</v>
      </c>
      <c r="M848" s="39">
        <f t="shared" si="1"/>
        <v>0</v>
      </c>
      <c r="N848" s="39">
        <f t="shared" si="2"/>
        <v>0</v>
      </c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</row>
    <row r="849">
      <c r="A849" s="17" t="s">
        <v>349</v>
      </c>
      <c r="B849" s="35" t="s">
        <v>1259</v>
      </c>
      <c r="C849" s="35" t="s">
        <v>1260</v>
      </c>
      <c r="D849" s="36" t="s">
        <v>30</v>
      </c>
      <c r="E849" s="36" t="s">
        <v>8</v>
      </c>
      <c r="F849" s="36">
        <f>vlookup(D849,'Team Bye List'!$A$1:$B$33,2,False)</f>
        <v>7</v>
      </c>
      <c r="G849" s="37">
        <f>if(ISNA(vlookup($A849, Sleeper!$B$2:$E$330, 4, false)), 0, vlookup($A849, Sleeper!$B$2:$E$330, 4, false))</f>
        <v>0</v>
      </c>
      <c r="H849" s="37">
        <f>if(ISNA(vlookup($A849, ESPN!$B$2:$E$297, 4, false)), 0, vlookup($A849, ESPN!$B$2:$E$297, 4, false))</f>
        <v>0</v>
      </c>
      <c r="I849" s="37">
        <f>if(ISNA(vlookup($A849,'Ultimate Draft Kit'!$B$2:$E$324,4, false)), 0, vlookup($A849,'Ultimate Draft Kit'!$B$2:$E$324, 4, false))</f>
        <v>0</v>
      </c>
      <c r="J849" s="38">
        <f>if(ISNA(vlookup($A849,Rotowire!$B$2:$E$1075,4, false)), 0, vlookup($A849,Rotowire!$B$2:$E$1075, 4, false))</f>
        <v>0</v>
      </c>
      <c r="K849" s="37">
        <f>if(ISNA(vlookup($A849, FantasyPro!$B$2:$E$341,4,false)),0,vlookup($A849,FantasyPro!$B$2:$E$341,4,false))</f>
        <v>0</v>
      </c>
      <c r="L849" s="37">
        <f>if(ISNA(vlookup($A849, FFToolbox!$B$2:$E$414, 4, false)), 0, vlookup($A849, FFToolbox!$B$2:$E$414, 4, false))</f>
        <v>1</v>
      </c>
      <c r="M849" s="39">
        <f t="shared" si="1"/>
        <v>0.1666666667</v>
      </c>
      <c r="N849" s="39">
        <f t="shared" si="2"/>
        <v>1</v>
      </c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</row>
    <row r="850">
      <c r="A850" s="17" t="s">
        <v>425</v>
      </c>
      <c r="B850" s="35" t="s">
        <v>1259</v>
      </c>
      <c r="C850" s="35" t="s">
        <v>1260</v>
      </c>
      <c r="D850" s="36" t="s">
        <v>62</v>
      </c>
      <c r="E850" s="36" t="s">
        <v>8</v>
      </c>
      <c r="F850" s="36">
        <f>vlookup(D850,'Team Bye List'!$A$1:$B$33,2,False)</f>
        <v>8</v>
      </c>
      <c r="G850" s="37">
        <f>if(ISNA(vlookup($A850, Sleeper!$B$2:$E$330, 4, false)), 0, vlookup($A850, Sleeper!$B$2:$E$330, 4, false))</f>
        <v>0</v>
      </c>
      <c r="H850" s="37">
        <f>if(ISNA(vlookup($A850, ESPN!$B$2:$E$297, 4, false)), 0, vlookup($A850, ESPN!$B$2:$E$297, 4, false))</f>
        <v>0</v>
      </c>
      <c r="I850" s="37">
        <f>if(ISNA(vlookup($A850,'Ultimate Draft Kit'!$B$2:$E$324,4, false)), 0, vlookup($A850,'Ultimate Draft Kit'!$B$2:$E$324, 4, false))</f>
        <v>0</v>
      </c>
      <c r="J850" s="38">
        <f>if(ISNA(vlookup($A850,Rotowire!$B$2:$E$1075,4, false)), 0, vlookup($A850,Rotowire!$B$2:$E$1075, 4, false))</f>
        <v>0</v>
      </c>
      <c r="K850" s="37">
        <f>if(ISNA(vlookup($A850, FantasyPro!$B$2:$E$341,4,false)),0,vlookup($A850,FantasyPro!$B$2:$E$341,4,false))</f>
        <v>0</v>
      </c>
      <c r="L850" s="37">
        <f>if(ISNA(vlookup($A850, FFToolbox!$B$2:$E$414, 4, false)), 0, vlookup($A850, FFToolbox!$B$2:$E$414, 4, false))</f>
        <v>0</v>
      </c>
      <c r="M850" s="39">
        <f t="shared" si="1"/>
        <v>0</v>
      </c>
      <c r="N850" s="39">
        <f t="shared" si="2"/>
        <v>0</v>
      </c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</row>
    <row r="851">
      <c r="A851" s="17" t="s">
        <v>1129</v>
      </c>
      <c r="B851" s="35" t="s">
        <v>1259</v>
      </c>
      <c r="C851" s="35" t="s">
        <v>1260</v>
      </c>
      <c r="D851" s="36" t="s">
        <v>10</v>
      </c>
      <c r="E851" s="36" t="s">
        <v>8</v>
      </c>
      <c r="F851" s="36">
        <f>vlookup(D851,'Team Bye List'!$A$1:$B$33,2,False)</f>
        <v>13</v>
      </c>
      <c r="G851" s="37">
        <f>if(ISNA(vlookup($A851, Sleeper!$B$2:$E$330, 4, false)), 0, vlookup($A851, Sleeper!$B$2:$E$330, 4, false))</f>
        <v>0</v>
      </c>
      <c r="H851" s="37">
        <f>if(ISNA(vlookup($A851, ESPN!$B$2:$E$297, 4, false)), 0, vlookup($A851, ESPN!$B$2:$E$297, 4, false))</f>
        <v>0</v>
      </c>
      <c r="I851" s="37">
        <f>if(ISNA(vlookup($A851,'Ultimate Draft Kit'!$B$2:$E$324,4, false)), 0, vlookup($A851,'Ultimate Draft Kit'!$B$2:$E$324, 4, false))</f>
        <v>0</v>
      </c>
      <c r="J851" s="38">
        <f>if(ISNA(vlookup($A851,Rotowire!$B$2:$E$1075,4, false)), 0, vlookup($A851,Rotowire!$B$2:$E$1075, 4, false))</f>
        <v>0</v>
      </c>
      <c r="K851" s="37">
        <f>if(ISNA(vlookup($A851, FantasyPro!$B$2:$E$341,4,false)),0,vlookup($A851,FantasyPro!$B$2:$E$341,4,false))</f>
        <v>0</v>
      </c>
      <c r="L851" s="37">
        <f>if(ISNA(vlookup($A851, FFToolbox!$B$2:$E$414, 4, false)), 0, vlookup($A851, FFToolbox!$B$2:$E$414, 4, false))</f>
        <v>0</v>
      </c>
      <c r="M851" s="39">
        <f t="shared" si="1"/>
        <v>0</v>
      </c>
      <c r="N851" s="39">
        <f t="shared" si="2"/>
        <v>0</v>
      </c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</row>
    <row r="852">
      <c r="A852" s="17" t="s">
        <v>424</v>
      </c>
      <c r="B852" s="35" t="s">
        <v>1259</v>
      </c>
      <c r="C852" s="35" t="s">
        <v>1260</v>
      </c>
      <c r="D852" s="36" t="s">
        <v>30</v>
      </c>
      <c r="E852" s="36" t="s">
        <v>8</v>
      </c>
      <c r="F852" s="36">
        <f>vlookup(D852,'Team Bye List'!$A$1:$B$33,2,False)</f>
        <v>7</v>
      </c>
      <c r="G852" s="37">
        <f>if(ISNA(vlookup($A852, Sleeper!$B$2:$E$330, 4, false)), 0, vlookup($A852, Sleeper!$B$2:$E$330, 4, false))</f>
        <v>0</v>
      </c>
      <c r="H852" s="37">
        <f>if(ISNA(vlookup($A852, ESPN!$B$2:$E$297, 4, false)), 0, vlookup($A852, ESPN!$B$2:$E$297, 4, false))</f>
        <v>0</v>
      </c>
      <c r="I852" s="37">
        <f>if(ISNA(vlookup($A852,'Ultimate Draft Kit'!$B$2:$E$324,4, false)), 0, vlookup($A852,'Ultimate Draft Kit'!$B$2:$E$324, 4, false))</f>
        <v>0</v>
      </c>
      <c r="J852" s="38">
        <f>if(ISNA(vlookup($A852,Rotowire!$B$2:$E$1075,4, false)), 0, vlookup($A852,Rotowire!$B$2:$E$1075, 4, false))</f>
        <v>0</v>
      </c>
      <c r="K852" s="37">
        <f>if(ISNA(vlookup($A852, FantasyPro!$B$2:$E$341,4,false)),0,vlookup($A852,FantasyPro!$B$2:$E$341,4,false))</f>
        <v>0</v>
      </c>
      <c r="L852" s="37">
        <f>if(ISNA(vlookup($A852, FFToolbox!$B$2:$E$414, 4, false)), 0, vlookup($A852, FFToolbox!$B$2:$E$414, 4, false))</f>
        <v>0</v>
      </c>
      <c r="M852" s="39">
        <f t="shared" si="1"/>
        <v>0</v>
      </c>
      <c r="N852" s="39">
        <f t="shared" si="2"/>
        <v>0</v>
      </c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</row>
    <row r="853">
      <c r="A853" s="17" t="s">
        <v>402</v>
      </c>
      <c r="B853" s="35" t="s">
        <v>1259</v>
      </c>
      <c r="C853" s="35" t="s">
        <v>1260</v>
      </c>
      <c r="D853" s="36" t="s">
        <v>15</v>
      </c>
      <c r="E853" s="36" t="s">
        <v>8</v>
      </c>
      <c r="F853" s="36">
        <f>vlookup(D853,'Team Bye List'!$A$1:$B$33,2,False)</f>
        <v>6</v>
      </c>
      <c r="G853" s="37">
        <f>if(ISNA(vlookup($A853, Sleeper!$B$2:$E$330, 4, false)), 0, vlookup($A853, Sleeper!$B$2:$E$330, 4, false))</f>
        <v>0</v>
      </c>
      <c r="H853" s="37">
        <f>if(ISNA(vlookup($A853, ESPN!$B$2:$E$297, 4, false)), 0, vlookup($A853, ESPN!$B$2:$E$297, 4, false))</f>
        <v>0</v>
      </c>
      <c r="I853" s="37">
        <f>if(ISNA(vlookup($A853,'Ultimate Draft Kit'!$B$2:$E$324,4, false)), 0, vlookup($A853,'Ultimate Draft Kit'!$B$2:$E$324, 4, false))</f>
        <v>0</v>
      </c>
      <c r="J853" s="38">
        <f>if(ISNA(vlookup($A853,Rotowire!$B$2:$E$1075,4, false)), 0, vlookup($A853,Rotowire!$B$2:$E$1075, 4, false))</f>
        <v>0</v>
      </c>
      <c r="K853" s="37">
        <f>if(ISNA(vlookup($A853, FantasyPro!$B$2:$E$341,4,false)),0,vlookup($A853,FantasyPro!$B$2:$E$341,4,false))</f>
        <v>0</v>
      </c>
      <c r="L853" s="37">
        <f>if(ISNA(vlookup($A853, FFToolbox!$B$2:$E$414, 4, false)), 0, vlookup($A853, FFToolbox!$B$2:$E$414, 4, false))</f>
        <v>0</v>
      </c>
      <c r="M853" s="39">
        <f t="shared" si="1"/>
        <v>0</v>
      </c>
      <c r="N853" s="39">
        <f t="shared" si="2"/>
        <v>0</v>
      </c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</row>
    <row r="854">
      <c r="A854" s="17" t="s">
        <v>394</v>
      </c>
      <c r="B854" s="35" t="s">
        <v>1259</v>
      </c>
      <c r="C854" s="35" t="s">
        <v>1260</v>
      </c>
      <c r="D854" s="36" t="s">
        <v>99</v>
      </c>
      <c r="E854" s="36" t="s">
        <v>8</v>
      </c>
      <c r="F854" s="36">
        <f>vlookup(D854,'Team Bye List'!$A$1:$B$33,2,False)</f>
        <v>11</v>
      </c>
      <c r="G854" s="37">
        <f>if(ISNA(vlookup($A854, Sleeper!$B$2:$E$330, 4, false)), 0, vlookup($A854, Sleeper!$B$2:$E$330, 4, false))</f>
        <v>0</v>
      </c>
      <c r="H854" s="37">
        <f>if(ISNA(vlookup($A854, ESPN!$B$2:$E$297, 4, false)), 0, vlookup($A854, ESPN!$B$2:$E$297, 4, false))</f>
        <v>0</v>
      </c>
      <c r="I854" s="37">
        <f>if(ISNA(vlookup($A854,'Ultimate Draft Kit'!$B$2:$E$324,4, false)), 0, vlookup($A854,'Ultimate Draft Kit'!$B$2:$E$324, 4, false))</f>
        <v>0</v>
      </c>
      <c r="J854" s="38">
        <f>if(ISNA(vlookup($A854,Rotowire!$B$2:$E$1075,4, false)), 0, vlookup($A854,Rotowire!$B$2:$E$1075, 4, false))</f>
        <v>0</v>
      </c>
      <c r="K854" s="37">
        <f>if(ISNA(vlookup($A854, FantasyPro!$B$2:$E$341,4,false)),0,vlookup($A854,FantasyPro!$B$2:$E$341,4,false))</f>
        <v>0</v>
      </c>
      <c r="L854" s="37">
        <f>if(ISNA(vlookup($A854, FFToolbox!$B$2:$E$414, 4, false)), 0, vlookup($A854, FFToolbox!$B$2:$E$414, 4, false))</f>
        <v>0</v>
      </c>
      <c r="M854" s="39">
        <f t="shared" si="1"/>
        <v>0</v>
      </c>
      <c r="N854" s="39">
        <f t="shared" si="2"/>
        <v>0</v>
      </c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</row>
    <row r="855">
      <c r="A855" s="17" t="s">
        <v>357</v>
      </c>
      <c r="B855" s="35" t="s">
        <v>1259</v>
      </c>
      <c r="C855" s="35">
        <v>11.0</v>
      </c>
      <c r="D855" s="36" t="s">
        <v>58</v>
      </c>
      <c r="E855" s="36" t="s">
        <v>8</v>
      </c>
      <c r="F855" s="36">
        <f>vlookup(D855,'Team Bye List'!$A$1:$B$33,2,False)</f>
        <v>10</v>
      </c>
      <c r="G855" s="37">
        <f>if(ISNA(vlookup($A855, Sleeper!$B$2:$E$330, 4, false)), 0, vlookup($A855, Sleeper!$B$2:$E$330, 4, false))</f>
        <v>1</v>
      </c>
      <c r="H855" s="37">
        <f>if(ISNA(vlookup($A855, ESPN!$B$2:$E$297, 4, false)), 0, vlookup($A855, ESPN!$B$2:$E$297, 4, false))</f>
        <v>0</v>
      </c>
      <c r="I855" s="37">
        <f>if(ISNA(vlookup($A855,'Ultimate Draft Kit'!$B$2:$E$324,4, false)), 0, vlookup($A855,'Ultimate Draft Kit'!$B$2:$E$324, 4, false))</f>
        <v>1</v>
      </c>
      <c r="J855" s="38">
        <f>if(ISNA(vlookup($A855,Rotowire!$B$2:$E$1075,4, false)), 0, vlookup($A855,Rotowire!$B$2:$E$1075, 4, false))</f>
        <v>0</v>
      </c>
      <c r="K855" s="37">
        <f>if(ISNA(vlookup($A855, FantasyPro!$B$2:$E$341,4,false)),0,vlookup($A855,FantasyPro!$B$2:$E$341,4,false))</f>
        <v>0</v>
      </c>
      <c r="L855" s="37">
        <f>if(ISNA(vlookup($A855, FFToolbox!$B$2:$E$414, 4, false)), 0, vlookup($A855, FFToolbox!$B$2:$E$414, 4, false))</f>
        <v>1</v>
      </c>
      <c r="M855" s="39">
        <f t="shared" si="1"/>
        <v>0.5</v>
      </c>
      <c r="N855" s="39">
        <f t="shared" si="2"/>
        <v>1</v>
      </c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</row>
    <row r="856">
      <c r="A856" s="17" t="s">
        <v>390</v>
      </c>
      <c r="B856" s="35" t="s">
        <v>1259</v>
      </c>
      <c r="C856" s="35" t="s">
        <v>1260</v>
      </c>
      <c r="D856" s="36" t="s">
        <v>119</v>
      </c>
      <c r="E856" s="36" t="s">
        <v>8</v>
      </c>
      <c r="F856" s="36">
        <f>vlookup(D856,'Team Bye List'!$A$1:$B$33,2,False)</f>
        <v>10</v>
      </c>
      <c r="G856" s="37">
        <f>if(ISNA(vlookup($A856, Sleeper!$B$2:$E$330, 4, false)), 0, vlookup($A856, Sleeper!$B$2:$E$330, 4, false))</f>
        <v>0</v>
      </c>
      <c r="H856" s="37">
        <f>if(ISNA(vlookup($A856, ESPN!$B$2:$E$297, 4, false)), 0, vlookup($A856, ESPN!$B$2:$E$297, 4, false))</f>
        <v>0</v>
      </c>
      <c r="I856" s="37">
        <f>if(ISNA(vlookup($A856,'Ultimate Draft Kit'!$B$2:$E$324,4, false)), 0, vlookup($A856,'Ultimate Draft Kit'!$B$2:$E$324, 4, false))</f>
        <v>0</v>
      </c>
      <c r="J856" s="38">
        <f>if(ISNA(vlookup($A856,Rotowire!$B$2:$E$1075,4, false)), 0, vlookup($A856,Rotowire!$B$2:$E$1075, 4, false))</f>
        <v>0</v>
      </c>
      <c r="K856" s="37">
        <f>if(ISNA(vlookup($A856, FantasyPro!$B$2:$E$341,4,false)),0,vlookup($A856,FantasyPro!$B$2:$E$341,4,false))</f>
        <v>0</v>
      </c>
      <c r="L856" s="37">
        <f>if(ISNA(vlookup($A856, FFToolbox!$B$2:$E$414, 4, false)), 0, vlookup($A856, FFToolbox!$B$2:$E$414, 4, false))</f>
        <v>0</v>
      </c>
      <c r="M856" s="39">
        <f t="shared" si="1"/>
        <v>0</v>
      </c>
      <c r="N856" s="39">
        <f t="shared" si="2"/>
        <v>0</v>
      </c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</row>
    <row r="857">
      <c r="A857" s="17" t="s">
        <v>774</v>
      </c>
      <c r="B857" s="35" t="s">
        <v>1259</v>
      </c>
      <c r="C857" s="35" t="s">
        <v>1260</v>
      </c>
      <c r="D857" s="36" t="s">
        <v>69</v>
      </c>
      <c r="E857" s="36" t="s">
        <v>8</v>
      </c>
      <c r="F857" s="36">
        <f>vlookup(D857,'Team Bye List'!$A$1:$B$33,2,False)</f>
        <v>10</v>
      </c>
      <c r="G857" s="37">
        <f>if(ISNA(vlookup($A857, Sleeper!$B$2:$E$330, 4, false)), 0, vlookup($A857, Sleeper!$B$2:$E$330, 4, false))</f>
        <v>0</v>
      </c>
      <c r="H857" s="37">
        <f>if(ISNA(vlookup($A857, ESPN!$B$2:$E$297, 4, false)), 0, vlookup($A857, ESPN!$B$2:$E$297, 4, false))</f>
        <v>0</v>
      </c>
      <c r="I857" s="37">
        <f>if(ISNA(vlookup($A857,'Ultimate Draft Kit'!$B$2:$E$324,4, false)), 0, vlookup($A857,'Ultimate Draft Kit'!$B$2:$E$324, 4, false))</f>
        <v>0</v>
      </c>
      <c r="J857" s="38">
        <f>if(ISNA(vlookup($A857,Rotowire!$B$2:$E$1075,4, false)), 0, vlookup($A857,Rotowire!$B$2:$E$1075, 4, false))</f>
        <v>0</v>
      </c>
      <c r="K857" s="37">
        <f>if(ISNA(vlookup($A857, FantasyPro!$B$2:$E$341,4,false)),0,vlookup($A857,FantasyPro!$B$2:$E$341,4,false))</f>
        <v>0</v>
      </c>
      <c r="L857" s="37">
        <f>if(ISNA(vlookup($A857, FFToolbox!$B$2:$E$414, 4, false)), 0, vlookup($A857, FFToolbox!$B$2:$E$414, 4, false))</f>
        <v>0</v>
      </c>
      <c r="M857" s="39">
        <f t="shared" si="1"/>
        <v>0</v>
      </c>
      <c r="N857" s="39">
        <f t="shared" si="2"/>
        <v>0</v>
      </c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</row>
    <row r="858">
      <c r="A858" s="17" t="s">
        <v>1130</v>
      </c>
      <c r="B858" s="35" t="s">
        <v>1259</v>
      </c>
      <c r="C858" s="35" t="s">
        <v>1260</v>
      </c>
      <c r="D858" s="36" t="s">
        <v>47</v>
      </c>
      <c r="E858" s="36" t="s">
        <v>8</v>
      </c>
      <c r="F858" s="36">
        <f>vlookup(D858,'Team Bye List'!$A$1:$B$33,2,False)</f>
        <v>14</v>
      </c>
      <c r="G858" s="37">
        <f>if(ISNA(vlookup($A858, Sleeper!$B$2:$E$330, 4, false)), 0, vlookup($A858, Sleeper!$B$2:$E$330, 4, false))</f>
        <v>0</v>
      </c>
      <c r="H858" s="37">
        <f>if(ISNA(vlookup($A858, ESPN!$B$2:$E$297, 4, false)), 0, vlookup($A858, ESPN!$B$2:$E$297, 4, false))</f>
        <v>0</v>
      </c>
      <c r="I858" s="37">
        <f>if(ISNA(vlookup($A858,'Ultimate Draft Kit'!$B$2:$E$324,4, false)), 0, vlookup($A858,'Ultimate Draft Kit'!$B$2:$E$324, 4, false))</f>
        <v>0</v>
      </c>
      <c r="J858" s="38">
        <f>if(ISNA(vlookup($A858,Rotowire!$B$2:$E$1075,4, false)), 0, vlookup($A858,Rotowire!$B$2:$E$1075, 4, false))</f>
        <v>0</v>
      </c>
      <c r="K858" s="37">
        <f>if(ISNA(vlookup($A858, FantasyPro!$B$2:$E$341,4,false)),0,vlookup($A858,FantasyPro!$B$2:$E$341,4,false))</f>
        <v>0</v>
      </c>
      <c r="L858" s="37">
        <f>if(ISNA(vlookup($A858, FFToolbox!$B$2:$E$414, 4, false)), 0, vlookup($A858, FFToolbox!$B$2:$E$414, 4, false))</f>
        <v>0</v>
      </c>
      <c r="M858" s="39">
        <f t="shared" si="1"/>
        <v>0</v>
      </c>
      <c r="N858" s="39">
        <f t="shared" si="2"/>
        <v>0</v>
      </c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</row>
    <row r="859">
      <c r="A859" s="17" t="s">
        <v>431</v>
      </c>
      <c r="B859" s="35" t="s">
        <v>1259</v>
      </c>
      <c r="C859" s="35" t="s">
        <v>1260</v>
      </c>
      <c r="D859" s="36" t="s">
        <v>55</v>
      </c>
      <c r="E859" s="36" t="s">
        <v>8</v>
      </c>
      <c r="F859" s="36">
        <f>vlookup(D859,'Team Bye List'!$A$1:$B$33,2,False)</f>
        <v>14</v>
      </c>
      <c r="G859" s="37">
        <f>if(ISNA(vlookup($A859, Sleeper!$B$2:$E$330, 4, false)), 0, vlookup($A859, Sleeper!$B$2:$E$330, 4, false))</f>
        <v>0</v>
      </c>
      <c r="H859" s="37">
        <f>if(ISNA(vlookup($A859, ESPN!$B$2:$E$297, 4, false)), 0, vlookup($A859, ESPN!$B$2:$E$297, 4, false))</f>
        <v>0</v>
      </c>
      <c r="I859" s="37">
        <f>if(ISNA(vlookup($A859,'Ultimate Draft Kit'!$B$2:$E$324,4, false)), 0, vlookup($A859,'Ultimate Draft Kit'!$B$2:$E$324, 4, false))</f>
        <v>0</v>
      </c>
      <c r="J859" s="38">
        <f>if(ISNA(vlookup($A859,Rotowire!$B$2:$E$1075,4, false)), 0, vlookup($A859,Rotowire!$B$2:$E$1075, 4, false))</f>
        <v>0</v>
      </c>
      <c r="K859" s="37">
        <f>if(ISNA(vlookup($A859, FantasyPro!$B$2:$E$341,4,false)),0,vlookup($A859,FantasyPro!$B$2:$E$341,4,false))</f>
        <v>0</v>
      </c>
      <c r="L859" s="37">
        <f>if(ISNA(vlookup($A859, FFToolbox!$B$2:$E$414, 4, false)), 0, vlookup($A859, FFToolbox!$B$2:$E$414, 4, false))</f>
        <v>0</v>
      </c>
      <c r="M859" s="39">
        <f t="shared" si="1"/>
        <v>0</v>
      </c>
      <c r="N859" s="39">
        <f t="shared" si="2"/>
        <v>0</v>
      </c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</row>
    <row r="860">
      <c r="A860" s="17" t="s">
        <v>436</v>
      </c>
      <c r="B860" s="35" t="s">
        <v>1259</v>
      </c>
      <c r="C860" s="35" t="s">
        <v>1260</v>
      </c>
      <c r="D860" s="36" t="s">
        <v>23</v>
      </c>
      <c r="E860" s="36" t="s">
        <v>8</v>
      </c>
      <c r="F860" s="36">
        <f>vlookup(D860,'Team Bye List'!$A$1:$B$33,2,False)</f>
        <v>9</v>
      </c>
      <c r="G860" s="37">
        <f>if(ISNA(vlookup($A860, Sleeper!$B$2:$E$330, 4, false)), 0, vlookup($A860, Sleeper!$B$2:$E$330, 4, false))</f>
        <v>0</v>
      </c>
      <c r="H860" s="37">
        <f>if(ISNA(vlookup($A860, ESPN!$B$2:$E$297, 4, false)), 0, vlookup($A860, ESPN!$B$2:$E$297, 4, false))</f>
        <v>0</v>
      </c>
      <c r="I860" s="37">
        <f>if(ISNA(vlookup($A860,'Ultimate Draft Kit'!$B$2:$E$324,4, false)), 0, vlookup($A860,'Ultimate Draft Kit'!$B$2:$E$324, 4, false))</f>
        <v>0</v>
      </c>
      <c r="J860" s="38">
        <f>if(ISNA(vlookup($A860,Rotowire!$B$2:$E$1075,4, false)), 0, vlookup($A860,Rotowire!$B$2:$E$1075, 4, false))</f>
        <v>0</v>
      </c>
      <c r="K860" s="37">
        <f>if(ISNA(vlookup($A860, FantasyPro!$B$2:$E$341,4,false)),0,vlookup($A860,FantasyPro!$B$2:$E$341,4,false))</f>
        <v>0</v>
      </c>
      <c r="L860" s="37">
        <f>if(ISNA(vlookup($A860, FFToolbox!$B$2:$E$414, 4, false)), 0, vlookup($A860, FFToolbox!$B$2:$E$414, 4, false))</f>
        <v>0</v>
      </c>
      <c r="M860" s="39">
        <f t="shared" si="1"/>
        <v>0</v>
      </c>
      <c r="N860" s="39">
        <f t="shared" si="2"/>
        <v>0</v>
      </c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</row>
    <row r="861">
      <c r="A861" s="17" t="s">
        <v>395</v>
      </c>
      <c r="B861" s="35" t="s">
        <v>1259</v>
      </c>
      <c r="C861" s="35" t="s">
        <v>1260</v>
      </c>
      <c r="D861" s="36" t="s">
        <v>19</v>
      </c>
      <c r="E861" s="36" t="s">
        <v>8</v>
      </c>
      <c r="F861" s="36">
        <f>vlookup(D861,'Team Bye List'!$A$1:$B$33,2,False)</f>
        <v>10</v>
      </c>
      <c r="G861" s="37">
        <f>if(ISNA(vlookup($A861, Sleeper!$B$2:$E$330, 4, false)), 0, vlookup($A861, Sleeper!$B$2:$E$330, 4, false))</f>
        <v>0</v>
      </c>
      <c r="H861" s="37">
        <f>if(ISNA(vlookup($A861, ESPN!$B$2:$E$297, 4, false)), 0, vlookup($A861, ESPN!$B$2:$E$297, 4, false))</f>
        <v>0</v>
      </c>
      <c r="I861" s="37">
        <f>if(ISNA(vlookup($A861,'Ultimate Draft Kit'!$B$2:$E$324,4, false)), 0, vlookup($A861,'Ultimate Draft Kit'!$B$2:$E$324, 4, false))</f>
        <v>0</v>
      </c>
      <c r="J861" s="38">
        <f>if(ISNA(vlookup($A861,Rotowire!$B$2:$E$1075,4, false)), 0, vlookup($A861,Rotowire!$B$2:$E$1075, 4, false))</f>
        <v>0</v>
      </c>
      <c r="K861" s="37">
        <f>if(ISNA(vlookup($A861, FantasyPro!$B$2:$E$341,4,false)),0,vlookup($A861,FantasyPro!$B$2:$E$341,4,false))</f>
        <v>0</v>
      </c>
      <c r="L861" s="37">
        <f>if(ISNA(vlookup($A861, FFToolbox!$B$2:$E$414, 4, false)), 0, vlookup($A861, FFToolbox!$B$2:$E$414, 4, false))</f>
        <v>0</v>
      </c>
      <c r="M861" s="39">
        <f t="shared" si="1"/>
        <v>0</v>
      </c>
      <c r="N861" s="39">
        <f t="shared" si="2"/>
        <v>0</v>
      </c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</row>
    <row r="862">
      <c r="A862" s="17" t="s">
        <v>420</v>
      </c>
      <c r="B862" s="35" t="s">
        <v>1259</v>
      </c>
      <c r="C862" s="35" t="s">
        <v>1260</v>
      </c>
      <c r="D862" s="36" t="s">
        <v>15</v>
      </c>
      <c r="E862" s="36" t="s">
        <v>8</v>
      </c>
      <c r="F862" s="36">
        <f>vlookup(D862,'Team Bye List'!$A$1:$B$33,2,False)</f>
        <v>6</v>
      </c>
      <c r="G862" s="37">
        <f>if(ISNA(vlookup($A862, Sleeper!$B$2:$E$330, 4, false)), 0, vlookup($A862, Sleeper!$B$2:$E$330, 4, false))</f>
        <v>0</v>
      </c>
      <c r="H862" s="37">
        <f>if(ISNA(vlookup($A862, ESPN!$B$2:$E$297, 4, false)), 0, vlookup($A862, ESPN!$B$2:$E$297, 4, false))</f>
        <v>0</v>
      </c>
      <c r="I862" s="37">
        <f>if(ISNA(vlookup($A862,'Ultimate Draft Kit'!$B$2:$E$324,4, false)), 0, vlookup($A862,'Ultimate Draft Kit'!$B$2:$E$324, 4, false))</f>
        <v>0</v>
      </c>
      <c r="J862" s="38">
        <f>if(ISNA(vlookup($A862,Rotowire!$B$2:$E$1075,4, false)), 0, vlookup($A862,Rotowire!$B$2:$E$1075, 4, false))</f>
        <v>0</v>
      </c>
      <c r="K862" s="37">
        <f>if(ISNA(vlookup($A862, FantasyPro!$B$2:$E$341,4,false)),0,vlookup($A862,FantasyPro!$B$2:$E$341,4,false))</f>
        <v>0</v>
      </c>
      <c r="L862" s="37">
        <f>if(ISNA(vlookup($A862, FFToolbox!$B$2:$E$414, 4, false)), 0, vlookup($A862, FFToolbox!$B$2:$E$414, 4, false))</f>
        <v>0</v>
      </c>
      <c r="M862" s="39">
        <f t="shared" si="1"/>
        <v>0</v>
      </c>
      <c r="N862" s="39">
        <f t="shared" si="2"/>
        <v>0</v>
      </c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</row>
    <row r="863">
      <c r="A863" s="17" t="s">
        <v>392</v>
      </c>
      <c r="B863" s="35" t="s">
        <v>1259</v>
      </c>
      <c r="C863" s="35" t="s">
        <v>1260</v>
      </c>
      <c r="D863" s="36" t="s">
        <v>17</v>
      </c>
      <c r="E863" s="36" t="s">
        <v>8</v>
      </c>
      <c r="F863" s="36">
        <f>vlookup(D863,'Team Bye List'!$A$1:$B$33,2,False)</f>
        <v>7</v>
      </c>
      <c r="G863" s="37">
        <f>if(ISNA(vlookup($A863, Sleeper!$B$2:$E$330, 4, false)), 0, vlookup($A863, Sleeper!$B$2:$E$330, 4, false))</f>
        <v>0</v>
      </c>
      <c r="H863" s="37">
        <f>if(ISNA(vlookup($A863, ESPN!$B$2:$E$297, 4, false)), 0, vlookup($A863, ESPN!$B$2:$E$297, 4, false))</f>
        <v>0</v>
      </c>
      <c r="I863" s="37">
        <f>if(ISNA(vlookup($A863,'Ultimate Draft Kit'!$B$2:$E$324,4, false)), 0, vlookup($A863,'Ultimate Draft Kit'!$B$2:$E$324, 4, false))</f>
        <v>0</v>
      </c>
      <c r="J863" s="38">
        <f>if(ISNA(vlookup($A863,Rotowire!$B$2:$E$1075,4, false)), 0, vlookup($A863,Rotowire!$B$2:$E$1075, 4, false))</f>
        <v>0</v>
      </c>
      <c r="K863" s="37">
        <f>if(ISNA(vlookup($A863, FantasyPro!$B$2:$E$341,4,false)),0,vlookup($A863,FantasyPro!$B$2:$E$341,4,false))</f>
        <v>0</v>
      </c>
      <c r="L863" s="37">
        <f>if(ISNA(vlookup($A863, FFToolbox!$B$2:$E$414, 4, false)), 0, vlookup($A863, FFToolbox!$B$2:$E$414, 4, false))</f>
        <v>1</v>
      </c>
      <c r="M863" s="39">
        <f t="shared" si="1"/>
        <v>0.1666666667</v>
      </c>
      <c r="N863" s="39">
        <f t="shared" si="2"/>
        <v>1</v>
      </c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</row>
    <row r="864">
      <c r="A864" s="17" t="s">
        <v>359</v>
      </c>
      <c r="B864" s="35" t="s">
        <v>1259</v>
      </c>
      <c r="C864" s="35" t="s">
        <v>1260</v>
      </c>
      <c r="D864" s="36" t="s">
        <v>66</v>
      </c>
      <c r="E864" s="36" t="s">
        <v>8</v>
      </c>
      <c r="F864" s="36">
        <f>vlookup(D864,'Team Bye List'!$A$1:$B$33,2,False)</f>
        <v>9</v>
      </c>
      <c r="G864" s="37">
        <f>if(ISNA(vlookup($A864, Sleeper!$B$2:$E$330, 4, false)), 0, vlookup($A864, Sleeper!$B$2:$E$330, 4, false))</f>
        <v>0</v>
      </c>
      <c r="H864" s="37">
        <f>if(ISNA(vlookup($A864, ESPN!$B$2:$E$297, 4, false)), 0, vlookup($A864, ESPN!$B$2:$E$297, 4, false))</f>
        <v>0</v>
      </c>
      <c r="I864" s="37">
        <f>if(ISNA(vlookup($A864,'Ultimate Draft Kit'!$B$2:$E$324,4, false)), 0, vlookup($A864,'Ultimate Draft Kit'!$B$2:$E$324, 4, false))</f>
        <v>0</v>
      </c>
      <c r="J864" s="38">
        <f>if(ISNA(vlookup($A864,Rotowire!$B$2:$E$1075,4, false)), 0, vlookup($A864,Rotowire!$B$2:$E$1075, 4, false))</f>
        <v>0</v>
      </c>
      <c r="K864" s="37">
        <f>if(ISNA(vlookup($A864, FantasyPro!$B$2:$E$341,4,false)),0,vlookup($A864,FantasyPro!$B$2:$E$341,4,false))</f>
        <v>0</v>
      </c>
      <c r="L864" s="37">
        <f>if(ISNA(vlookup($A864, FFToolbox!$B$2:$E$414, 4, false)), 0, vlookup($A864, FFToolbox!$B$2:$E$414, 4, false))</f>
        <v>0</v>
      </c>
      <c r="M864" s="39">
        <f t="shared" si="1"/>
        <v>0</v>
      </c>
      <c r="N864" s="39">
        <f t="shared" si="2"/>
        <v>0</v>
      </c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</row>
    <row r="865">
      <c r="A865" s="17" t="s">
        <v>1131</v>
      </c>
      <c r="B865" s="35" t="s">
        <v>1259</v>
      </c>
      <c r="C865" s="35">
        <v>11.0</v>
      </c>
      <c r="D865" s="36" t="s">
        <v>62</v>
      </c>
      <c r="E865" s="36" t="s">
        <v>8</v>
      </c>
      <c r="F865" s="36">
        <f>vlookup(D865,'Team Bye List'!$A$1:$B$33,2,False)</f>
        <v>8</v>
      </c>
      <c r="G865" s="37">
        <f>if(ISNA(vlookup($A865, Sleeper!$B$2:$E$330, 4, false)), 0, vlookup($A865, Sleeper!$B$2:$E$330, 4, false))</f>
        <v>0</v>
      </c>
      <c r="H865" s="37">
        <f>if(ISNA(vlookup($A865, ESPN!$B$2:$E$297, 4, false)), 0, vlookup($A865, ESPN!$B$2:$E$297, 4, false))</f>
        <v>0</v>
      </c>
      <c r="I865" s="37">
        <f>if(ISNA(vlookup($A865,'Ultimate Draft Kit'!$B$2:$E$324,4, false)), 0, vlookup($A865,'Ultimate Draft Kit'!$B$2:$E$324, 4, false))</f>
        <v>0</v>
      </c>
      <c r="J865" s="38">
        <f>if(ISNA(vlookup($A865,Rotowire!$B$2:$E$1075,4, false)), 0, vlookup($A865,Rotowire!$B$2:$E$1075, 4, false))</f>
        <v>0</v>
      </c>
      <c r="K865" s="37">
        <f>if(ISNA(vlookup($A865, FantasyPro!$B$2:$E$341,4,false)),0,vlookup($A865,FantasyPro!$B$2:$E$341,4,false))</f>
        <v>0</v>
      </c>
      <c r="L865" s="37">
        <f>if(ISNA(vlookup($A865, FFToolbox!$B$2:$E$414, 4, false)), 0, vlookup($A865, FFToolbox!$B$2:$E$414, 4, false))</f>
        <v>0</v>
      </c>
      <c r="M865" s="39">
        <f t="shared" si="1"/>
        <v>0</v>
      </c>
      <c r="N865" s="39">
        <f t="shared" si="2"/>
        <v>0</v>
      </c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</row>
    <row r="866">
      <c r="A866" s="17" t="s">
        <v>1132</v>
      </c>
      <c r="B866" s="35" t="s">
        <v>1259</v>
      </c>
      <c r="C866" s="35" t="s">
        <v>1260</v>
      </c>
      <c r="D866" s="36" t="s">
        <v>89</v>
      </c>
      <c r="E866" s="36" t="s">
        <v>8</v>
      </c>
      <c r="F866" s="36">
        <f>vlookup(D866,'Team Bye List'!$A$1:$B$33,2,False)</f>
        <v>14</v>
      </c>
      <c r="G866" s="37">
        <f>if(ISNA(vlookup($A866, Sleeper!$B$2:$E$330, 4, false)), 0, vlookup($A866, Sleeper!$B$2:$E$330, 4, false))</f>
        <v>0</v>
      </c>
      <c r="H866" s="37">
        <f>if(ISNA(vlookup($A866, ESPN!$B$2:$E$297, 4, false)), 0, vlookup($A866, ESPN!$B$2:$E$297, 4, false))</f>
        <v>0</v>
      </c>
      <c r="I866" s="37">
        <f>if(ISNA(vlookup($A866,'Ultimate Draft Kit'!$B$2:$E$324,4, false)), 0, vlookup($A866,'Ultimate Draft Kit'!$B$2:$E$324, 4, false))</f>
        <v>0</v>
      </c>
      <c r="J866" s="38">
        <f>if(ISNA(vlookup($A866,Rotowire!$B$2:$E$1075,4, false)), 0, vlookup($A866,Rotowire!$B$2:$E$1075, 4, false))</f>
        <v>0</v>
      </c>
      <c r="K866" s="37">
        <f>if(ISNA(vlookup($A866, FantasyPro!$B$2:$E$341,4,false)),0,vlookup($A866,FantasyPro!$B$2:$E$341,4,false))</f>
        <v>0</v>
      </c>
      <c r="L866" s="37">
        <f>if(ISNA(vlookup($A866, FFToolbox!$B$2:$E$414, 4, false)), 0, vlookup($A866, FFToolbox!$B$2:$E$414, 4, false))</f>
        <v>0</v>
      </c>
      <c r="M866" s="39">
        <f t="shared" si="1"/>
        <v>0</v>
      </c>
      <c r="N866" s="39">
        <f t="shared" si="2"/>
        <v>0</v>
      </c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</row>
    <row r="867">
      <c r="A867" s="17" t="s">
        <v>469</v>
      </c>
      <c r="B867" s="35" t="s">
        <v>1259</v>
      </c>
      <c r="C867" s="35" t="s">
        <v>1260</v>
      </c>
      <c r="D867" s="36" t="s">
        <v>25</v>
      </c>
      <c r="E867" s="36" t="s">
        <v>8</v>
      </c>
      <c r="F867" s="36">
        <f>vlookup(D867,'Team Bye List'!$A$1:$B$33,2,False)</f>
        <v>7</v>
      </c>
      <c r="G867" s="37">
        <f>if(ISNA(vlookup($A867, Sleeper!$B$2:$E$330, 4, false)), 0, vlookup($A867, Sleeper!$B$2:$E$330, 4, false))</f>
        <v>0</v>
      </c>
      <c r="H867" s="37">
        <f>if(ISNA(vlookup($A867, ESPN!$B$2:$E$297, 4, false)), 0, vlookup($A867, ESPN!$B$2:$E$297, 4, false))</f>
        <v>0</v>
      </c>
      <c r="I867" s="37">
        <f>if(ISNA(vlookup($A867,'Ultimate Draft Kit'!$B$2:$E$324,4, false)), 0, vlookup($A867,'Ultimate Draft Kit'!$B$2:$E$324, 4, false))</f>
        <v>0</v>
      </c>
      <c r="J867" s="38">
        <f>if(ISNA(vlookup($A867,Rotowire!$B$2:$E$1075,4, false)), 0, vlookup($A867,Rotowire!$B$2:$E$1075, 4, false))</f>
        <v>0</v>
      </c>
      <c r="K867" s="37">
        <f>if(ISNA(vlookup($A867, FantasyPro!$B$2:$E$341,4,false)),0,vlookup($A867,FantasyPro!$B$2:$E$341,4,false))</f>
        <v>0</v>
      </c>
      <c r="L867" s="37">
        <f>if(ISNA(vlookup($A867, FFToolbox!$B$2:$E$414, 4, false)), 0, vlookup($A867, FFToolbox!$B$2:$E$414, 4, false))</f>
        <v>0</v>
      </c>
      <c r="M867" s="39">
        <f t="shared" si="1"/>
        <v>0</v>
      </c>
      <c r="N867" s="39">
        <f t="shared" si="2"/>
        <v>0</v>
      </c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</row>
    <row r="868">
      <c r="A868" s="17" t="s">
        <v>1133</v>
      </c>
      <c r="B868" s="35" t="s">
        <v>1259</v>
      </c>
      <c r="C868" s="35" t="s">
        <v>1260</v>
      </c>
      <c r="D868" s="36" t="s">
        <v>81</v>
      </c>
      <c r="E868" s="36" t="s">
        <v>8</v>
      </c>
      <c r="F868" s="36">
        <f>vlookup(D868,'Team Bye List'!$A$1:$B$33,2,False)</f>
        <v>6</v>
      </c>
      <c r="G868" s="37">
        <f>if(ISNA(vlookup($A868, Sleeper!$B$2:$E$330, 4, false)), 0, vlookup($A868, Sleeper!$B$2:$E$330, 4, false))</f>
        <v>0</v>
      </c>
      <c r="H868" s="37">
        <f>if(ISNA(vlookup($A868, ESPN!$B$2:$E$297, 4, false)), 0, vlookup($A868, ESPN!$B$2:$E$297, 4, false))</f>
        <v>0</v>
      </c>
      <c r="I868" s="37">
        <f>if(ISNA(vlookup($A868,'Ultimate Draft Kit'!$B$2:$E$324,4, false)), 0, vlookup($A868,'Ultimate Draft Kit'!$B$2:$E$324, 4, false))</f>
        <v>0</v>
      </c>
      <c r="J868" s="38">
        <f>if(ISNA(vlookup($A868,Rotowire!$B$2:$E$1075,4, false)), 0, vlookup($A868,Rotowire!$B$2:$E$1075, 4, false))</f>
        <v>0</v>
      </c>
      <c r="K868" s="37">
        <f>if(ISNA(vlookup($A868, FantasyPro!$B$2:$E$341,4,false)),0,vlookup($A868,FantasyPro!$B$2:$E$341,4,false))</f>
        <v>0</v>
      </c>
      <c r="L868" s="37">
        <f>if(ISNA(vlookup($A868, FFToolbox!$B$2:$E$414, 4, false)), 0, vlookup($A868, FFToolbox!$B$2:$E$414, 4, false))</f>
        <v>0</v>
      </c>
      <c r="M868" s="39">
        <f t="shared" si="1"/>
        <v>0</v>
      </c>
      <c r="N868" s="39">
        <f t="shared" si="2"/>
        <v>0</v>
      </c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</row>
    <row r="869">
      <c r="A869" s="17" t="s">
        <v>1134</v>
      </c>
      <c r="B869" s="35" t="s">
        <v>1259</v>
      </c>
      <c r="C869" s="35" t="s">
        <v>1260</v>
      </c>
      <c r="D869" s="36" t="s">
        <v>262</v>
      </c>
      <c r="E869" s="36" t="s">
        <v>8</v>
      </c>
      <c r="F869" s="36" t="str">
        <f>vlookup(D869,'Team Bye List'!$A$1:$B$33,2,False)</f>
        <v>#N/A</v>
      </c>
      <c r="G869" s="37">
        <f>if(ISNA(vlookup($A869, Sleeper!$B$2:$E$330, 4, false)), 0, vlookup($A869, Sleeper!$B$2:$E$330, 4, false))</f>
        <v>0</v>
      </c>
      <c r="H869" s="37">
        <f>if(ISNA(vlookup($A869, ESPN!$B$2:$E$297, 4, false)), 0, vlookup($A869, ESPN!$B$2:$E$297, 4, false))</f>
        <v>0</v>
      </c>
      <c r="I869" s="37">
        <f>if(ISNA(vlookup($A869,'Ultimate Draft Kit'!$B$2:$E$324,4, false)), 0, vlookup($A869,'Ultimate Draft Kit'!$B$2:$E$324, 4, false))</f>
        <v>0</v>
      </c>
      <c r="J869" s="38">
        <f>if(ISNA(vlookup($A869,Rotowire!$B$2:$E$1075,4, false)), 0, vlookup($A869,Rotowire!$B$2:$E$1075, 4, false))</f>
        <v>0</v>
      </c>
      <c r="K869" s="37">
        <f>if(ISNA(vlookup($A869, FantasyPro!$B$2:$E$341,4,false)),0,vlookup($A869,FantasyPro!$B$2:$E$341,4,false))</f>
        <v>0</v>
      </c>
      <c r="L869" s="37">
        <f>if(ISNA(vlookup($A869, FFToolbox!$B$2:$E$414, 4, false)), 0, vlookup($A869, FFToolbox!$B$2:$E$414, 4, false))</f>
        <v>0</v>
      </c>
      <c r="M869" s="39">
        <f t="shared" si="1"/>
        <v>0</v>
      </c>
      <c r="N869" s="39">
        <f t="shared" si="2"/>
        <v>0</v>
      </c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</row>
    <row r="870">
      <c r="A870" s="17" t="s">
        <v>380</v>
      </c>
      <c r="B870" s="35" t="s">
        <v>1259</v>
      </c>
      <c r="C870" s="35" t="s">
        <v>1260</v>
      </c>
      <c r="D870" s="36" t="s">
        <v>58</v>
      </c>
      <c r="E870" s="36" t="s">
        <v>8</v>
      </c>
      <c r="F870" s="36">
        <f>vlookup(D870,'Team Bye List'!$A$1:$B$33,2,False)</f>
        <v>10</v>
      </c>
      <c r="G870" s="37">
        <f>if(ISNA(vlookup($A870, Sleeper!$B$2:$E$330, 4, false)), 0, vlookup($A870, Sleeper!$B$2:$E$330, 4, false))</f>
        <v>0</v>
      </c>
      <c r="H870" s="37">
        <f>if(ISNA(vlookup($A870, ESPN!$B$2:$E$297, 4, false)), 0, vlookup($A870, ESPN!$B$2:$E$297, 4, false))</f>
        <v>0</v>
      </c>
      <c r="I870" s="37">
        <f>if(ISNA(vlookup($A870,'Ultimate Draft Kit'!$B$2:$E$324,4, false)), 0, vlookup($A870,'Ultimate Draft Kit'!$B$2:$E$324, 4, false))</f>
        <v>0</v>
      </c>
      <c r="J870" s="38">
        <f>if(ISNA(vlookup($A870,Rotowire!$B$2:$E$1075,4, false)), 0, vlookup($A870,Rotowire!$B$2:$E$1075, 4, false))</f>
        <v>0</v>
      </c>
      <c r="K870" s="37">
        <f>if(ISNA(vlookup($A870, FantasyPro!$B$2:$E$341,4,false)),0,vlookup($A870,FantasyPro!$B$2:$E$341,4,false))</f>
        <v>0</v>
      </c>
      <c r="L870" s="37">
        <f>if(ISNA(vlookup($A870, FFToolbox!$B$2:$E$414, 4, false)), 0, vlookup($A870, FFToolbox!$B$2:$E$414, 4, false))</f>
        <v>0</v>
      </c>
      <c r="M870" s="39">
        <f t="shared" si="1"/>
        <v>0</v>
      </c>
      <c r="N870" s="39">
        <f t="shared" si="2"/>
        <v>0</v>
      </c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</row>
    <row r="871">
      <c r="A871" s="17" t="s">
        <v>464</v>
      </c>
      <c r="B871" s="35" t="s">
        <v>1259</v>
      </c>
      <c r="C871" s="35" t="s">
        <v>1260</v>
      </c>
      <c r="D871" s="36" t="s">
        <v>39</v>
      </c>
      <c r="E871" s="36" t="s">
        <v>8</v>
      </c>
      <c r="F871" s="36">
        <f>vlookup(D871,'Team Bye List'!$A$1:$B$33,2,False)</f>
        <v>11</v>
      </c>
      <c r="G871" s="37">
        <f>if(ISNA(vlookup($A871, Sleeper!$B$2:$E$330, 4, false)), 0, vlookup($A871, Sleeper!$B$2:$E$330, 4, false))</f>
        <v>0</v>
      </c>
      <c r="H871" s="37">
        <f>if(ISNA(vlookup($A871, ESPN!$B$2:$E$297, 4, false)), 0, vlookup($A871, ESPN!$B$2:$E$297, 4, false))</f>
        <v>0</v>
      </c>
      <c r="I871" s="37">
        <f>if(ISNA(vlookup($A871,'Ultimate Draft Kit'!$B$2:$E$324,4, false)), 0, vlookup($A871,'Ultimate Draft Kit'!$B$2:$E$324, 4, false))</f>
        <v>0</v>
      </c>
      <c r="J871" s="38">
        <f>if(ISNA(vlookup($A871,Rotowire!$B$2:$E$1075,4, false)), 0, vlookup($A871,Rotowire!$B$2:$E$1075, 4, false))</f>
        <v>0</v>
      </c>
      <c r="K871" s="37">
        <f>if(ISNA(vlookup($A871, FantasyPro!$B$2:$E$341,4,false)),0,vlookup($A871,FantasyPro!$B$2:$E$341,4,false))</f>
        <v>0</v>
      </c>
      <c r="L871" s="37">
        <f>if(ISNA(vlookup($A871, FFToolbox!$B$2:$E$414, 4, false)), 0, vlookup($A871, FFToolbox!$B$2:$E$414, 4, false))</f>
        <v>0</v>
      </c>
      <c r="M871" s="39">
        <f t="shared" si="1"/>
        <v>0</v>
      </c>
      <c r="N871" s="39">
        <f t="shared" si="2"/>
        <v>0</v>
      </c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</row>
    <row r="872">
      <c r="A872" s="17" t="s">
        <v>454</v>
      </c>
      <c r="B872" s="35" t="s">
        <v>1259</v>
      </c>
      <c r="C872" s="35" t="s">
        <v>1260</v>
      </c>
      <c r="D872" s="36" t="s">
        <v>45</v>
      </c>
      <c r="E872" s="36" t="s">
        <v>8</v>
      </c>
      <c r="F872" s="36">
        <f>vlookup(D872,'Team Bye List'!$A$1:$B$33,2,False)</f>
        <v>13</v>
      </c>
      <c r="G872" s="37">
        <f>if(ISNA(vlookup($A872, Sleeper!$B$2:$E$330, 4, false)), 0, vlookup($A872, Sleeper!$B$2:$E$330, 4, false))</f>
        <v>0</v>
      </c>
      <c r="H872" s="37">
        <f>if(ISNA(vlookup($A872, ESPN!$B$2:$E$297, 4, false)), 0, vlookup($A872, ESPN!$B$2:$E$297, 4, false))</f>
        <v>0</v>
      </c>
      <c r="I872" s="37">
        <f>if(ISNA(vlookup($A872,'Ultimate Draft Kit'!$B$2:$E$324,4, false)), 0, vlookup($A872,'Ultimate Draft Kit'!$B$2:$E$324, 4, false))</f>
        <v>0</v>
      </c>
      <c r="J872" s="38">
        <f>if(ISNA(vlookup($A872,Rotowire!$B$2:$E$1075,4, false)), 0, vlookup($A872,Rotowire!$B$2:$E$1075, 4, false))</f>
        <v>0</v>
      </c>
      <c r="K872" s="37">
        <f>if(ISNA(vlookup($A872, FantasyPro!$B$2:$E$341,4,false)),0,vlookup($A872,FantasyPro!$B$2:$E$341,4,false))</f>
        <v>0</v>
      </c>
      <c r="L872" s="37">
        <f>if(ISNA(vlookup($A872, FFToolbox!$B$2:$E$414, 4, false)), 0, vlookup($A872, FFToolbox!$B$2:$E$414, 4, false))</f>
        <v>0</v>
      </c>
      <c r="M872" s="39">
        <f t="shared" si="1"/>
        <v>0</v>
      </c>
      <c r="N872" s="39">
        <f t="shared" si="2"/>
        <v>0</v>
      </c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</row>
    <row r="873">
      <c r="A873" s="17" t="s">
        <v>391</v>
      </c>
      <c r="B873" s="35" t="s">
        <v>1259</v>
      </c>
      <c r="C873" s="35" t="s">
        <v>1260</v>
      </c>
      <c r="D873" s="36" t="s">
        <v>119</v>
      </c>
      <c r="E873" s="36" t="s">
        <v>8</v>
      </c>
      <c r="F873" s="36">
        <f>vlookup(D873,'Team Bye List'!$A$1:$B$33,2,False)</f>
        <v>10</v>
      </c>
      <c r="G873" s="37">
        <f>if(ISNA(vlookup($A873, Sleeper!$B$2:$E$330, 4, false)), 0, vlookup($A873, Sleeper!$B$2:$E$330, 4, false))</f>
        <v>0</v>
      </c>
      <c r="H873" s="37">
        <f>if(ISNA(vlookup($A873, ESPN!$B$2:$E$297, 4, false)), 0, vlookup($A873, ESPN!$B$2:$E$297, 4, false))</f>
        <v>0</v>
      </c>
      <c r="I873" s="37">
        <f>if(ISNA(vlookup($A873,'Ultimate Draft Kit'!$B$2:$E$324,4, false)), 0, vlookup($A873,'Ultimate Draft Kit'!$B$2:$E$324, 4, false))</f>
        <v>0</v>
      </c>
      <c r="J873" s="38">
        <f>if(ISNA(vlookup($A873,Rotowire!$B$2:$E$1075,4, false)), 0, vlookup($A873,Rotowire!$B$2:$E$1075, 4, false))</f>
        <v>0</v>
      </c>
      <c r="K873" s="37">
        <f>if(ISNA(vlookup($A873, FantasyPro!$B$2:$E$341,4,false)),0,vlookup($A873,FantasyPro!$B$2:$E$341,4,false))</f>
        <v>0</v>
      </c>
      <c r="L873" s="37">
        <f>if(ISNA(vlookup($A873, FFToolbox!$B$2:$E$414, 4, false)), 0, vlookup($A873, FFToolbox!$B$2:$E$414, 4, false))</f>
        <v>0</v>
      </c>
      <c r="M873" s="39">
        <f t="shared" si="1"/>
        <v>0</v>
      </c>
      <c r="N873" s="39">
        <f t="shared" si="2"/>
        <v>0</v>
      </c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</row>
    <row r="874">
      <c r="A874" s="17" t="s">
        <v>1135</v>
      </c>
      <c r="B874" s="35" t="s">
        <v>1259</v>
      </c>
      <c r="C874" s="35" t="s">
        <v>1260</v>
      </c>
      <c r="D874" s="36" t="s">
        <v>10</v>
      </c>
      <c r="E874" s="36" t="s">
        <v>8</v>
      </c>
      <c r="F874" s="36">
        <f>vlookup(D874,'Team Bye List'!$A$1:$B$33,2,False)</f>
        <v>13</v>
      </c>
      <c r="G874" s="37">
        <f>if(ISNA(vlookup($A874, Sleeper!$B$2:$E$330, 4, false)), 0, vlookup($A874, Sleeper!$B$2:$E$330, 4, false))</f>
        <v>0</v>
      </c>
      <c r="H874" s="37">
        <f>if(ISNA(vlookup($A874, ESPN!$B$2:$E$297, 4, false)), 0, vlookup($A874, ESPN!$B$2:$E$297, 4, false))</f>
        <v>0</v>
      </c>
      <c r="I874" s="37">
        <f>if(ISNA(vlookup($A874,'Ultimate Draft Kit'!$B$2:$E$324,4, false)), 0, vlookup($A874,'Ultimate Draft Kit'!$B$2:$E$324, 4, false))</f>
        <v>0</v>
      </c>
      <c r="J874" s="38">
        <f>if(ISNA(vlookup($A874,Rotowire!$B$2:$E$1075,4, false)), 0, vlookup($A874,Rotowire!$B$2:$E$1075, 4, false))</f>
        <v>0</v>
      </c>
      <c r="K874" s="37">
        <f>if(ISNA(vlookup($A874, FantasyPro!$B$2:$E$341,4,false)),0,vlookup($A874,FantasyPro!$B$2:$E$341,4,false))</f>
        <v>0</v>
      </c>
      <c r="L874" s="37">
        <f>if(ISNA(vlookup($A874, FFToolbox!$B$2:$E$414, 4, false)), 0, vlookup($A874, FFToolbox!$B$2:$E$414, 4, false))</f>
        <v>0</v>
      </c>
      <c r="M874" s="39">
        <f t="shared" si="1"/>
        <v>0</v>
      </c>
      <c r="N874" s="39">
        <f t="shared" si="2"/>
        <v>0</v>
      </c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</row>
    <row r="875">
      <c r="A875" s="17" t="s">
        <v>1136</v>
      </c>
      <c r="B875" s="35" t="s">
        <v>1259</v>
      </c>
      <c r="C875" s="35" t="s">
        <v>1260</v>
      </c>
      <c r="D875" s="36" t="s">
        <v>262</v>
      </c>
      <c r="E875" s="36" t="s">
        <v>8</v>
      </c>
      <c r="F875" s="36" t="str">
        <f>vlookup(D875,'Team Bye List'!$A$1:$B$33,2,False)</f>
        <v>#N/A</v>
      </c>
      <c r="G875" s="37">
        <f>if(ISNA(vlookup($A875, Sleeper!$B$2:$E$330, 4, false)), 0, vlookup($A875, Sleeper!$B$2:$E$330, 4, false))</f>
        <v>0</v>
      </c>
      <c r="H875" s="37">
        <f>if(ISNA(vlookup($A875, ESPN!$B$2:$E$297, 4, false)), 0, vlookup($A875, ESPN!$B$2:$E$297, 4, false))</f>
        <v>0</v>
      </c>
      <c r="I875" s="37">
        <f>if(ISNA(vlookup($A875,'Ultimate Draft Kit'!$B$2:$E$324,4, false)), 0, vlookup($A875,'Ultimate Draft Kit'!$B$2:$E$324, 4, false))</f>
        <v>0</v>
      </c>
      <c r="J875" s="38">
        <f>if(ISNA(vlookup($A875,Rotowire!$B$2:$E$1075,4, false)), 0, vlookup($A875,Rotowire!$B$2:$E$1075, 4, false))</f>
        <v>0</v>
      </c>
      <c r="K875" s="37">
        <f>if(ISNA(vlookup($A875, FantasyPro!$B$2:$E$341,4,false)),0,vlookup($A875,FantasyPro!$B$2:$E$341,4,false))</f>
        <v>0</v>
      </c>
      <c r="L875" s="37">
        <f>if(ISNA(vlookup($A875, FFToolbox!$B$2:$E$414, 4, false)), 0, vlookup($A875, FFToolbox!$B$2:$E$414, 4, false))</f>
        <v>0</v>
      </c>
      <c r="M875" s="39">
        <f t="shared" si="1"/>
        <v>0</v>
      </c>
      <c r="N875" s="39">
        <f t="shared" si="2"/>
        <v>0</v>
      </c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</row>
    <row r="876">
      <c r="A876" s="17" t="s">
        <v>468</v>
      </c>
      <c r="B876" s="35" t="s">
        <v>1259</v>
      </c>
      <c r="C876" s="35" t="s">
        <v>1260</v>
      </c>
      <c r="D876" s="36" t="s">
        <v>12</v>
      </c>
      <c r="E876" s="36" t="s">
        <v>8</v>
      </c>
      <c r="F876" s="36">
        <f>vlookup(D876,'Team Bye List'!$A$1:$B$33,2,False)</f>
        <v>8</v>
      </c>
      <c r="G876" s="37">
        <f>if(ISNA(vlookup($A876, Sleeper!$B$2:$E$330, 4, false)), 0, vlookup($A876, Sleeper!$B$2:$E$330, 4, false))</f>
        <v>0</v>
      </c>
      <c r="H876" s="37">
        <f>if(ISNA(vlookup($A876, ESPN!$B$2:$E$297, 4, false)), 0, vlookup($A876, ESPN!$B$2:$E$297, 4, false))</f>
        <v>0</v>
      </c>
      <c r="I876" s="37">
        <f>if(ISNA(vlookup($A876,'Ultimate Draft Kit'!$B$2:$E$324,4, false)), 0, vlookup($A876,'Ultimate Draft Kit'!$B$2:$E$324, 4, false))</f>
        <v>0</v>
      </c>
      <c r="J876" s="38">
        <f>if(ISNA(vlookup($A876,Rotowire!$B$2:$E$1075,4, false)), 0, vlookup($A876,Rotowire!$B$2:$E$1075, 4, false))</f>
        <v>0</v>
      </c>
      <c r="K876" s="37">
        <f>if(ISNA(vlookup($A876, FantasyPro!$B$2:$E$341,4,false)),0,vlookup($A876,FantasyPro!$B$2:$E$341,4,false))</f>
        <v>0</v>
      </c>
      <c r="L876" s="37">
        <f>if(ISNA(vlookup($A876, FFToolbox!$B$2:$E$414, 4, false)), 0, vlookup($A876, FFToolbox!$B$2:$E$414, 4, false))</f>
        <v>0</v>
      </c>
      <c r="M876" s="39">
        <f t="shared" si="1"/>
        <v>0</v>
      </c>
      <c r="N876" s="39">
        <f t="shared" si="2"/>
        <v>0</v>
      </c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</row>
    <row r="877">
      <c r="A877" s="17" t="s">
        <v>1137</v>
      </c>
      <c r="B877" s="35" t="s">
        <v>1259</v>
      </c>
      <c r="C877" s="35" t="s">
        <v>1260</v>
      </c>
      <c r="D877" s="36" t="s">
        <v>43</v>
      </c>
      <c r="E877" s="36" t="s">
        <v>8</v>
      </c>
      <c r="F877" s="36">
        <f>vlookup(D877,'Team Bye List'!$A$1:$B$33,2,False)</f>
        <v>9</v>
      </c>
      <c r="G877" s="37">
        <f>if(ISNA(vlookup($A877, Sleeper!$B$2:$E$330, 4, false)), 0, vlookup($A877, Sleeper!$B$2:$E$330, 4, false))</f>
        <v>0</v>
      </c>
      <c r="H877" s="37">
        <f>if(ISNA(vlookup($A877, ESPN!$B$2:$E$297, 4, false)), 0, vlookup($A877, ESPN!$B$2:$E$297, 4, false))</f>
        <v>0</v>
      </c>
      <c r="I877" s="37">
        <f>if(ISNA(vlookup($A877,'Ultimate Draft Kit'!$B$2:$E$324,4, false)), 0, vlookup($A877,'Ultimate Draft Kit'!$B$2:$E$324, 4, false))</f>
        <v>0</v>
      </c>
      <c r="J877" s="38">
        <f>if(ISNA(vlookup($A877,Rotowire!$B$2:$E$1075,4, false)), 0, vlookup($A877,Rotowire!$B$2:$E$1075, 4, false))</f>
        <v>0</v>
      </c>
      <c r="K877" s="37">
        <f>if(ISNA(vlookup($A877, FantasyPro!$B$2:$E$341,4,false)),0,vlookup($A877,FantasyPro!$B$2:$E$341,4,false))</f>
        <v>0</v>
      </c>
      <c r="L877" s="37">
        <f>if(ISNA(vlookup($A877, FFToolbox!$B$2:$E$414, 4, false)), 0, vlookup($A877, FFToolbox!$B$2:$E$414, 4, false))</f>
        <v>0</v>
      </c>
      <c r="M877" s="39">
        <f t="shared" si="1"/>
        <v>0</v>
      </c>
      <c r="N877" s="39">
        <f t="shared" si="2"/>
        <v>0</v>
      </c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</row>
    <row r="878">
      <c r="A878" s="17" t="s">
        <v>470</v>
      </c>
      <c r="B878" s="35" t="s">
        <v>1259</v>
      </c>
      <c r="C878" s="35" t="s">
        <v>1260</v>
      </c>
      <c r="D878" s="36" t="s">
        <v>19</v>
      </c>
      <c r="E878" s="36" t="s">
        <v>8</v>
      </c>
      <c r="F878" s="36">
        <f>vlookup(D878,'Team Bye List'!$A$1:$B$33,2,False)</f>
        <v>10</v>
      </c>
      <c r="G878" s="37">
        <f>if(ISNA(vlookup($A878, Sleeper!$B$2:$E$330, 4, false)), 0, vlookup($A878, Sleeper!$B$2:$E$330, 4, false))</f>
        <v>0</v>
      </c>
      <c r="H878" s="37">
        <f>if(ISNA(vlookup($A878, ESPN!$B$2:$E$297, 4, false)), 0, vlookup($A878, ESPN!$B$2:$E$297, 4, false))</f>
        <v>0</v>
      </c>
      <c r="I878" s="37">
        <f>if(ISNA(vlookup($A878,'Ultimate Draft Kit'!$B$2:$E$324,4, false)), 0, vlookup($A878,'Ultimate Draft Kit'!$B$2:$E$324, 4, false))</f>
        <v>0</v>
      </c>
      <c r="J878" s="38">
        <f>if(ISNA(vlookup($A878,Rotowire!$B$2:$E$1075,4, false)), 0, vlookup($A878,Rotowire!$B$2:$E$1075, 4, false))</f>
        <v>0</v>
      </c>
      <c r="K878" s="37">
        <f>if(ISNA(vlookup($A878, FantasyPro!$B$2:$E$341,4,false)),0,vlookup($A878,FantasyPro!$B$2:$E$341,4,false))</f>
        <v>0</v>
      </c>
      <c r="L878" s="37">
        <f>if(ISNA(vlookup($A878, FFToolbox!$B$2:$E$414, 4, false)), 0, vlookup($A878, FFToolbox!$B$2:$E$414, 4, false))</f>
        <v>0</v>
      </c>
      <c r="M878" s="39">
        <f t="shared" si="1"/>
        <v>0</v>
      </c>
      <c r="N878" s="39">
        <f t="shared" si="2"/>
        <v>0</v>
      </c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</row>
    <row r="879">
      <c r="A879" s="17" t="s">
        <v>409</v>
      </c>
      <c r="B879" s="35" t="s">
        <v>1259</v>
      </c>
      <c r="C879" s="35" t="s">
        <v>1260</v>
      </c>
      <c r="D879" s="36" t="s">
        <v>69</v>
      </c>
      <c r="E879" s="36" t="s">
        <v>8</v>
      </c>
      <c r="F879" s="36">
        <f>vlookup(D879,'Team Bye List'!$A$1:$B$33,2,False)</f>
        <v>10</v>
      </c>
      <c r="G879" s="37">
        <f>if(ISNA(vlookup($A879, Sleeper!$B$2:$E$330, 4, false)), 0, vlookup($A879, Sleeper!$B$2:$E$330, 4, false))</f>
        <v>0</v>
      </c>
      <c r="H879" s="37">
        <f>if(ISNA(vlookup($A879, ESPN!$B$2:$E$297, 4, false)), 0, vlookup($A879, ESPN!$B$2:$E$297, 4, false))</f>
        <v>0</v>
      </c>
      <c r="I879" s="37">
        <f>if(ISNA(vlookup($A879,'Ultimate Draft Kit'!$B$2:$E$324,4, false)), 0, vlookup($A879,'Ultimate Draft Kit'!$B$2:$E$324, 4, false))</f>
        <v>0</v>
      </c>
      <c r="J879" s="38">
        <f>if(ISNA(vlookup($A879,Rotowire!$B$2:$E$1075,4, false)), 0, vlookup($A879,Rotowire!$B$2:$E$1075, 4, false))</f>
        <v>0</v>
      </c>
      <c r="K879" s="37">
        <f>if(ISNA(vlookup($A879, FantasyPro!$B$2:$E$341,4,false)),0,vlookup($A879,FantasyPro!$B$2:$E$341,4,false))</f>
        <v>0</v>
      </c>
      <c r="L879" s="37">
        <f>if(ISNA(vlookup($A879, FFToolbox!$B$2:$E$414, 4, false)), 0, vlookup($A879, FFToolbox!$B$2:$E$414, 4, false))</f>
        <v>0</v>
      </c>
      <c r="M879" s="39">
        <f t="shared" si="1"/>
        <v>0</v>
      </c>
      <c r="N879" s="39">
        <f t="shared" si="2"/>
        <v>0</v>
      </c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</row>
    <row r="880">
      <c r="A880" s="17" t="s">
        <v>1138</v>
      </c>
      <c r="B880" s="35" t="s">
        <v>1259</v>
      </c>
      <c r="C880" s="35" t="s">
        <v>1260</v>
      </c>
      <c r="D880" s="36" t="s">
        <v>262</v>
      </c>
      <c r="E880" s="36" t="s">
        <v>8</v>
      </c>
      <c r="F880" s="36" t="str">
        <f>vlookup(D880,'Team Bye List'!$A$1:$B$33,2,False)</f>
        <v>#N/A</v>
      </c>
      <c r="G880" s="37">
        <f>if(ISNA(vlookup($A880, Sleeper!$B$2:$E$330, 4, false)), 0, vlookup($A880, Sleeper!$B$2:$E$330, 4, false))</f>
        <v>0</v>
      </c>
      <c r="H880" s="37">
        <f>if(ISNA(vlookup($A880, ESPN!$B$2:$E$297, 4, false)), 0, vlookup($A880, ESPN!$B$2:$E$297, 4, false))</f>
        <v>0</v>
      </c>
      <c r="I880" s="37">
        <f>if(ISNA(vlookup($A880,'Ultimate Draft Kit'!$B$2:$E$324,4, false)), 0, vlookup($A880,'Ultimate Draft Kit'!$B$2:$E$324, 4, false))</f>
        <v>0</v>
      </c>
      <c r="J880" s="38">
        <f>if(ISNA(vlookup($A880,Rotowire!$B$2:$E$1075,4, false)), 0, vlookup($A880,Rotowire!$B$2:$E$1075, 4, false))</f>
        <v>0</v>
      </c>
      <c r="K880" s="37">
        <f>if(ISNA(vlookup($A880, FantasyPro!$B$2:$E$341,4,false)),0,vlookup($A880,FantasyPro!$B$2:$E$341,4,false))</f>
        <v>0</v>
      </c>
      <c r="L880" s="37">
        <f>if(ISNA(vlookup($A880, FFToolbox!$B$2:$E$414, 4, false)), 0, vlookup($A880, FFToolbox!$B$2:$E$414, 4, false))</f>
        <v>0</v>
      </c>
      <c r="M880" s="39">
        <f t="shared" si="1"/>
        <v>0</v>
      </c>
      <c r="N880" s="39">
        <f t="shared" si="2"/>
        <v>0</v>
      </c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</row>
    <row r="881">
      <c r="A881" s="17" t="s">
        <v>1139</v>
      </c>
      <c r="B881" s="35" t="s">
        <v>1259</v>
      </c>
      <c r="C881" s="35" t="s">
        <v>1260</v>
      </c>
      <c r="D881" s="36" t="s">
        <v>262</v>
      </c>
      <c r="E881" s="36" t="s">
        <v>8</v>
      </c>
      <c r="F881" s="36" t="str">
        <f>vlookup(D881,'Team Bye List'!$A$1:$B$33,2,False)</f>
        <v>#N/A</v>
      </c>
      <c r="G881" s="37">
        <f>if(ISNA(vlookup($A881, Sleeper!$B$2:$E$330, 4, false)), 0, vlookup($A881, Sleeper!$B$2:$E$330, 4, false))</f>
        <v>0</v>
      </c>
      <c r="H881" s="37">
        <f>if(ISNA(vlookup($A881, ESPN!$B$2:$E$297, 4, false)), 0, vlookup($A881, ESPN!$B$2:$E$297, 4, false))</f>
        <v>0</v>
      </c>
      <c r="I881" s="37">
        <f>if(ISNA(vlookup($A881,'Ultimate Draft Kit'!$B$2:$E$324,4, false)), 0, vlookup($A881,'Ultimate Draft Kit'!$B$2:$E$324, 4, false))</f>
        <v>0</v>
      </c>
      <c r="J881" s="38">
        <f>if(ISNA(vlookup($A881,Rotowire!$B$2:$E$1075,4, false)), 0, vlookup($A881,Rotowire!$B$2:$E$1075, 4, false))</f>
        <v>0</v>
      </c>
      <c r="K881" s="37">
        <f>if(ISNA(vlookup($A881, FantasyPro!$B$2:$E$341,4,false)),0,vlookup($A881,FantasyPro!$B$2:$E$341,4,false))</f>
        <v>0</v>
      </c>
      <c r="L881" s="37">
        <f>if(ISNA(vlookup($A881, FFToolbox!$B$2:$E$414, 4, false)), 0, vlookup($A881, FFToolbox!$B$2:$E$414, 4, false))</f>
        <v>0</v>
      </c>
      <c r="M881" s="39">
        <f t="shared" si="1"/>
        <v>0</v>
      </c>
      <c r="N881" s="39">
        <f t="shared" si="2"/>
        <v>0</v>
      </c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</row>
    <row r="882">
      <c r="A882" s="17" t="s">
        <v>1140</v>
      </c>
      <c r="B882" s="35" t="s">
        <v>1259</v>
      </c>
      <c r="C882" s="35" t="s">
        <v>1260</v>
      </c>
      <c r="D882" s="36" t="s">
        <v>262</v>
      </c>
      <c r="E882" s="36" t="s">
        <v>8</v>
      </c>
      <c r="F882" s="36" t="str">
        <f>vlookup(D882,'Team Bye List'!$A$1:$B$33,2,False)</f>
        <v>#N/A</v>
      </c>
      <c r="G882" s="37">
        <f>if(ISNA(vlookup($A882, Sleeper!$B$2:$E$330, 4, false)), 0, vlookup($A882, Sleeper!$B$2:$E$330, 4, false))</f>
        <v>0</v>
      </c>
      <c r="H882" s="37">
        <f>if(ISNA(vlookup($A882, ESPN!$B$2:$E$297, 4, false)), 0, vlookup($A882, ESPN!$B$2:$E$297, 4, false))</f>
        <v>0</v>
      </c>
      <c r="I882" s="37">
        <f>if(ISNA(vlookup($A882,'Ultimate Draft Kit'!$B$2:$E$324,4, false)), 0, vlookup($A882,'Ultimate Draft Kit'!$B$2:$E$324, 4, false))</f>
        <v>0</v>
      </c>
      <c r="J882" s="38">
        <f>if(ISNA(vlookup($A882,Rotowire!$B$2:$E$1075,4, false)), 0, vlookup($A882,Rotowire!$B$2:$E$1075, 4, false))</f>
        <v>0</v>
      </c>
      <c r="K882" s="37">
        <f>if(ISNA(vlookup($A882, FantasyPro!$B$2:$E$341,4,false)),0,vlookup($A882,FantasyPro!$B$2:$E$341,4,false))</f>
        <v>0</v>
      </c>
      <c r="L882" s="37">
        <f>if(ISNA(vlookup($A882, FFToolbox!$B$2:$E$414, 4, false)), 0, vlookup($A882, FFToolbox!$B$2:$E$414, 4, false))</f>
        <v>0</v>
      </c>
      <c r="M882" s="39">
        <f t="shared" si="1"/>
        <v>0</v>
      </c>
      <c r="N882" s="39">
        <f t="shared" si="2"/>
        <v>0</v>
      </c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</row>
    <row r="883">
      <c r="A883" s="17" t="s">
        <v>1141</v>
      </c>
      <c r="B883" s="35" t="s">
        <v>1259</v>
      </c>
      <c r="C883" s="35" t="s">
        <v>1260</v>
      </c>
      <c r="D883" s="36" t="s">
        <v>262</v>
      </c>
      <c r="E883" s="36" t="s">
        <v>8</v>
      </c>
      <c r="F883" s="36" t="str">
        <f>vlookup(D883,'Team Bye List'!$A$1:$B$33,2,False)</f>
        <v>#N/A</v>
      </c>
      <c r="G883" s="37">
        <f>if(ISNA(vlookup($A883, Sleeper!$B$2:$E$330, 4, false)), 0, vlookup($A883, Sleeper!$B$2:$E$330, 4, false))</f>
        <v>0</v>
      </c>
      <c r="H883" s="37">
        <f>if(ISNA(vlookup($A883, ESPN!$B$2:$E$297, 4, false)), 0, vlookup($A883, ESPN!$B$2:$E$297, 4, false))</f>
        <v>0</v>
      </c>
      <c r="I883" s="37">
        <f>if(ISNA(vlookup($A883,'Ultimate Draft Kit'!$B$2:$E$324,4, false)), 0, vlookup($A883,'Ultimate Draft Kit'!$B$2:$E$324, 4, false))</f>
        <v>0</v>
      </c>
      <c r="J883" s="38">
        <f>if(ISNA(vlookup($A883,Rotowire!$B$2:$E$1075,4, false)), 0, vlookup($A883,Rotowire!$B$2:$E$1075, 4, false))</f>
        <v>0</v>
      </c>
      <c r="K883" s="37">
        <f>if(ISNA(vlookup($A883, FantasyPro!$B$2:$E$341,4,false)),0,vlookup($A883,FantasyPro!$B$2:$E$341,4,false))</f>
        <v>0</v>
      </c>
      <c r="L883" s="37">
        <f>if(ISNA(vlookup($A883, FFToolbox!$B$2:$E$414, 4, false)), 0, vlookup($A883, FFToolbox!$B$2:$E$414, 4, false))</f>
        <v>0</v>
      </c>
      <c r="M883" s="39">
        <f t="shared" si="1"/>
        <v>0</v>
      </c>
      <c r="N883" s="39">
        <f t="shared" si="2"/>
        <v>0</v>
      </c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</row>
    <row r="884">
      <c r="A884" s="17" t="s">
        <v>1142</v>
      </c>
      <c r="B884" s="35" t="s">
        <v>1259</v>
      </c>
      <c r="C884" s="35" t="s">
        <v>1260</v>
      </c>
      <c r="D884" s="36" t="s">
        <v>262</v>
      </c>
      <c r="E884" s="36" t="s">
        <v>8</v>
      </c>
      <c r="F884" s="36" t="str">
        <f>vlookup(D884,'Team Bye List'!$A$1:$B$33,2,False)</f>
        <v>#N/A</v>
      </c>
      <c r="G884" s="37">
        <f>if(ISNA(vlookup($A884, Sleeper!$B$2:$E$330, 4, false)), 0, vlookup($A884, Sleeper!$B$2:$E$330, 4, false))</f>
        <v>0</v>
      </c>
      <c r="H884" s="37">
        <f>if(ISNA(vlookup($A884, ESPN!$B$2:$E$297, 4, false)), 0, vlookup($A884, ESPN!$B$2:$E$297, 4, false))</f>
        <v>0</v>
      </c>
      <c r="I884" s="37">
        <f>if(ISNA(vlookup($A884,'Ultimate Draft Kit'!$B$2:$E$324,4, false)), 0, vlookup($A884,'Ultimate Draft Kit'!$B$2:$E$324, 4, false))</f>
        <v>0</v>
      </c>
      <c r="J884" s="38">
        <f>if(ISNA(vlookup($A884,Rotowire!$B$2:$E$1075,4, false)), 0, vlookup($A884,Rotowire!$B$2:$E$1075, 4, false))</f>
        <v>0</v>
      </c>
      <c r="K884" s="37">
        <f>if(ISNA(vlookup($A884, FantasyPro!$B$2:$E$341,4,false)),0,vlookup($A884,FantasyPro!$B$2:$E$341,4,false))</f>
        <v>0</v>
      </c>
      <c r="L884" s="37">
        <f>if(ISNA(vlookup($A884, FFToolbox!$B$2:$E$414, 4, false)), 0, vlookup($A884, FFToolbox!$B$2:$E$414, 4, false))</f>
        <v>0</v>
      </c>
      <c r="M884" s="39">
        <f t="shared" si="1"/>
        <v>0</v>
      </c>
      <c r="N884" s="39">
        <f t="shared" si="2"/>
        <v>0</v>
      </c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</row>
    <row r="885">
      <c r="A885" s="17" t="s">
        <v>1143</v>
      </c>
      <c r="B885" s="35" t="s">
        <v>1259</v>
      </c>
      <c r="C885" s="35" t="s">
        <v>1260</v>
      </c>
      <c r="D885" s="36" t="s">
        <v>25</v>
      </c>
      <c r="E885" s="36" t="s">
        <v>8</v>
      </c>
      <c r="F885" s="36">
        <f>vlookup(D885,'Team Bye List'!$A$1:$B$33,2,False)</f>
        <v>7</v>
      </c>
      <c r="G885" s="37">
        <f>if(ISNA(vlookup($A885, Sleeper!$B$2:$E$330, 4, false)), 0, vlookup($A885, Sleeper!$B$2:$E$330, 4, false))</f>
        <v>0</v>
      </c>
      <c r="H885" s="37">
        <f>if(ISNA(vlookup($A885, ESPN!$B$2:$E$297, 4, false)), 0, vlookup($A885, ESPN!$B$2:$E$297, 4, false))</f>
        <v>0</v>
      </c>
      <c r="I885" s="37">
        <f>if(ISNA(vlookup($A885,'Ultimate Draft Kit'!$B$2:$E$324,4, false)), 0, vlookup($A885,'Ultimate Draft Kit'!$B$2:$E$324, 4, false))</f>
        <v>0</v>
      </c>
      <c r="J885" s="38">
        <f>if(ISNA(vlookup($A885,Rotowire!$B$2:$E$1075,4, false)), 0, vlookup($A885,Rotowire!$B$2:$E$1075, 4, false))</f>
        <v>0</v>
      </c>
      <c r="K885" s="37">
        <f>if(ISNA(vlookup($A885, FantasyPro!$B$2:$E$341,4,false)),0,vlookup($A885,FantasyPro!$B$2:$E$341,4,false))</f>
        <v>0</v>
      </c>
      <c r="L885" s="37">
        <f>if(ISNA(vlookup($A885, FFToolbox!$B$2:$E$414, 4, false)), 0, vlookup($A885, FFToolbox!$B$2:$E$414, 4, false))</f>
        <v>0</v>
      </c>
      <c r="M885" s="39">
        <f t="shared" si="1"/>
        <v>0</v>
      </c>
      <c r="N885" s="39">
        <f t="shared" si="2"/>
        <v>0</v>
      </c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</row>
    <row r="886">
      <c r="A886" s="17" t="s">
        <v>1144</v>
      </c>
      <c r="B886" s="35" t="s">
        <v>1259</v>
      </c>
      <c r="C886" s="35" t="s">
        <v>1260</v>
      </c>
      <c r="D886" s="36" t="s">
        <v>85</v>
      </c>
      <c r="E886" s="36" t="s">
        <v>8</v>
      </c>
      <c r="F886" s="36">
        <f>vlookup(D886,'Team Bye List'!$A$1:$B$33,2,False)</f>
        <v>9</v>
      </c>
      <c r="G886" s="37">
        <f>if(ISNA(vlookup($A886, Sleeper!$B$2:$E$330, 4, false)), 0, vlookup($A886, Sleeper!$B$2:$E$330, 4, false))</f>
        <v>0</v>
      </c>
      <c r="H886" s="37">
        <f>if(ISNA(vlookup($A886, ESPN!$B$2:$E$297, 4, false)), 0, vlookup($A886, ESPN!$B$2:$E$297, 4, false))</f>
        <v>0</v>
      </c>
      <c r="I886" s="37">
        <f>if(ISNA(vlookup($A886,'Ultimate Draft Kit'!$B$2:$E$324,4, false)), 0, vlookup($A886,'Ultimate Draft Kit'!$B$2:$E$324, 4, false))</f>
        <v>0</v>
      </c>
      <c r="J886" s="38">
        <f>if(ISNA(vlookup($A886,Rotowire!$B$2:$E$1075,4, false)), 0, vlookup($A886,Rotowire!$B$2:$E$1075, 4, false))</f>
        <v>0</v>
      </c>
      <c r="K886" s="37">
        <f>if(ISNA(vlookup($A886, FantasyPro!$B$2:$E$341,4,false)),0,vlookup($A886,FantasyPro!$B$2:$E$341,4,false))</f>
        <v>0</v>
      </c>
      <c r="L886" s="37">
        <f>if(ISNA(vlookup($A886, FFToolbox!$B$2:$E$414, 4, false)), 0, vlookup($A886, FFToolbox!$B$2:$E$414, 4, false))</f>
        <v>0</v>
      </c>
      <c r="M886" s="39">
        <f t="shared" si="1"/>
        <v>0</v>
      </c>
      <c r="N886" s="39">
        <f t="shared" si="2"/>
        <v>0</v>
      </c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</row>
    <row r="887">
      <c r="A887" s="17" t="s">
        <v>1145</v>
      </c>
      <c r="B887" s="35" t="s">
        <v>1259</v>
      </c>
      <c r="C887" s="35" t="s">
        <v>1260</v>
      </c>
      <c r="D887" s="36" t="s">
        <v>47</v>
      </c>
      <c r="E887" s="36" t="s">
        <v>8</v>
      </c>
      <c r="F887" s="36">
        <f>vlookup(D887,'Team Bye List'!$A$1:$B$33,2,False)</f>
        <v>14</v>
      </c>
      <c r="G887" s="37">
        <f>if(ISNA(vlookup($A887, Sleeper!$B$2:$E$330, 4, false)), 0, vlookup($A887, Sleeper!$B$2:$E$330, 4, false))</f>
        <v>0</v>
      </c>
      <c r="H887" s="37">
        <f>if(ISNA(vlookup($A887, ESPN!$B$2:$E$297, 4, false)), 0, vlookup($A887, ESPN!$B$2:$E$297, 4, false))</f>
        <v>0</v>
      </c>
      <c r="I887" s="37">
        <f>if(ISNA(vlookup($A887,'Ultimate Draft Kit'!$B$2:$E$324,4, false)), 0, vlookup($A887,'Ultimate Draft Kit'!$B$2:$E$324, 4, false))</f>
        <v>0</v>
      </c>
      <c r="J887" s="38">
        <f>if(ISNA(vlookup($A887,Rotowire!$B$2:$E$1075,4, false)), 0, vlookup($A887,Rotowire!$B$2:$E$1075, 4, false))</f>
        <v>0</v>
      </c>
      <c r="K887" s="37">
        <f>if(ISNA(vlookup($A887, FantasyPro!$B$2:$E$341,4,false)),0,vlookup($A887,FantasyPro!$B$2:$E$341,4,false))</f>
        <v>0</v>
      </c>
      <c r="L887" s="37">
        <f>if(ISNA(vlookup($A887, FFToolbox!$B$2:$E$414, 4, false)), 0, vlookup($A887, FFToolbox!$B$2:$E$414, 4, false))</f>
        <v>0</v>
      </c>
      <c r="M887" s="39">
        <f t="shared" si="1"/>
        <v>0</v>
      </c>
      <c r="N887" s="39">
        <f t="shared" si="2"/>
        <v>0</v>
      </c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</row>
    <row r="888">
      <c r="A888" s="17" t="s">
        <v>1146</v>
      </c>
      <c r="B888" s="35" t="s">
        <v>1259</v>
      </c>
      <c r="C888" s="35" t="s">
        <v>1260</v>
      </c>
      <c r="D888" s="36" t="s">
        <v>99</v>
      </c>
      <c r="E888" s="36" t="s">
        <v>8</v>
      </c>
      <c r="F888" s="36">
        <f>vlookup(D888,'Team Bye List'!$A$1:$B$33,2,False)</f>
        <v>11</v>
      </c>
      <c r="G888" s="37">
        <f>if(ISNA(vlookup($A888, Sleeper!$B$2:$E$330, 4, false)), 0, vlookup($A888, Sleeper!$B$2:$E$330, 4, false))</f>
        <v>0</v>
      </c>
      <c r="H888" s="37">
        <f>if(ISNA(vlookup($A888, ESPN!$B$2:$E$297, 4, false)), 0, vlookup($A888, ESPN!$B$2:$E$297, 4, false))</f>
        <v>0</v>
      </c>
      <c r="I888" s="37">
        <f>if(ISNA(vlookup($A888,'Ultimate Draft Kit'!$B$2:$E$324,4, false)), 0, vlookup($A888,'Ultimate Draft Kit'!$B$2:$E$324, 4, false))</f>
        <v>0</v>
      </c>
      <c r="J888" s="38">
        <f>if(ISNA(vlookup($A888,Rotowire!$B$2:$E$1075,4, false)), 0, vlookup($A888,Rotowire!$B$2:$E$1075, 4, false))</f>
        <v>0</v>
      </c>
      <c r="K888" s="37">
        <f>if(ISNA(vlookup($A888, FantasyPro!$B$2:$E$341,4,false)),0,vlookup($A888,FantasyPro!$B$2:$E$341,4,false))</f>
        <v>0</v>
      </c>
      <c r="L888" s="37">
        <f>if(ISNA(vlookup($A888, FFToolbox!$B$2:$E$414, 4, false)), 0, vlookup($A888, FFToolbox!$B$2:$E$414, 4, false))</f>
        <v>0</v>
      </c>
      <c r="M888" s="39">
        <f t="shared" si="1"/>
        <v>0</v>
      </c>
      <c r="N888" s="39">
        <f t="shared" si="2"/>
        <v>0</v>
      </c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</row>
    <row r="889">
      <c r="A889" s="17" t="s">
        <v>1147</v>
      </c>
      <c r="B889" s="35" t="s">
        <v>1259</v>
      </c>
      <c r="C889" s="35" t="s">
        <v>1260</v>
      </c>
      <c r="D889" s="36" t="s">
        <v>262</v>
      </c>
      <c r="E889" s="36" t="s">
        <v>8</v>
      </c>
      <c r="F889" s="36" t="str">
        <f>vlookup(D889,'Team Bye List'!$A$1:$B$33,2,False)</f>
        <v>#N/A</v>
      </c>
      <c r="G889" s="37">
        <f>if(ISNA(vlookup($A889, Sleeper!$B$2:$E$330, 4, false)), 0, vlookup($A889, Sleeper!$B$2:$E$330, 4, false))</f>
        <v>0</v>
      </c>
      <c r="H889" s="37">
        <f>if(ISNA(vlookup($A889, ESPN!$B$2:$E$297, 4, false)), 0, vlookup($A889, ESPN!$B$2:$E$297, 4, false))</f>
        <v>0</v>
      </c>
      <c r="I889" s="37">
        <f>if(ISNA(vlookup($A889,'Ultimate Draft Kit'!$B$2:$E$324,4, false)), 0, vlookup($A889,'Ultimate Draft Kit'!$B$2:$E$324, 4, false))</f>
        <v>0</v>
      </c>
      <c r="J889" s="38">
        <f>if(ISNA(vlookup($A889,Rotowire!$B$2:$E$1075,4, false)), 0, vlookup($A889,Rotowire!$B$2:$E$1075, 4, false))</f>
        <v>0</v>
      </c>
      <c r="K889" s="37">
        <f>if(ISNA(vlookup($A889, FantasyPro!$B$2:$E$341,4,false)),0,vlookup($A889,FantasyPro!$B$2:$E$341,4,false))</f>
        <v>0</v>
      </c>
      <c r="L889" s="37">
        <f>if(ISNA(vlookup($A889, FFToolbox!$B$2:$E$414, 4, false)), 0, vlookup($A889, FFToolbox!$B$2:$E$414, 4, false))</f>
        <v>0</v>
      </c>
      <c r="M889" s="39">
        <f t="shared" si="1"/>
        <v>0</v>
      </c>
      <c r="N889" s="39">
        <f t="shared" si="2"/>
        <v>0</v>
      </c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</row>
    <row r="890">
      <c r="A890" s="17" t="s">
        <v>1148</v>
      </c>
      <c r="B890" s="35" t="s">
        <v>1259</v>
      </c>
      <c r="C890" s="35" t="s">
        <v>1260</v>
      </c>
      <c r="D890" s="36" t="s">
        <v>66</v>
      </c>
      <c r="E890" s="36" t="s">
        <v>8</v>
      </c>
      <c r="F890" s="36">
        <f>vlookup(D890,'Team Bye List'!$A$1:$B$33,2,False)</f>
        <v>9</v>
      </c>
      <c r="G890" s="37">
        <f>if(ISNA(vlookup($A890, Sleeper!$B$2:$E$330, 4, false)), 0, vlookup($A890, Sleeper!$B$2:$E$330, 4, false))</f>
        <v>0</v>
      </c>
      <c r="H890" s="37">
        <f>if(ISNA(vlookup($A890, ESPN!$B$2:$E$297, 4, false)), 0, vlookup($A890, ESPN!$B$2:$E$297, 4, false))</f>
        <v>0</v>
      </c>
      <c r="I890" s="37">
        <f>if(ISNA(vlookup($A890,'Ultimate Draft Kit'!$B$2:$E$324,4, false)), 0, vlookup($A890,'Ultimate Draft Kit'!$B$2:$E$324, 4, false))</f>
        <v>0</v>
      </c>
      <c r="J890" s="38">
        <f>if(ISNA(vlookup($A890,Rotowire!$B$2:$E$1075,4, false)), 0, vlookup($A890,Rotowire!$B$2:$E$1075, 4, false))</f>
        <v>0</v>
      </c>
      <c r="K890" s="37">
        <f>if(ISNA(vlookup($A890, FantasyPro!$B$2:$E$341,4,false)),0,vlookup($A890,FantasyPro!$B$2:$E$341,4,false))</f>
        <v>0</v>
      </c>
      <c r="L890" s="37">
        <f>if(ISNA(vlookup($A890, FFToolbox!$B$2:$E$414, 4, false)), 0, vlookup($A890, FFToolbox!$B$2:$E$414, 4, false))</f>
        <v>0</v>
      </c>
      <c r="M890" s="39">
        <f t="shared" si="1"/>
        <v>0</v>
      </c>
      <c r="N890" s="39">
        <f t="shared" si="2"/>
        <v>0</v>
      </c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</row>
    <row r="891">
      <c r="A891" s="17" t="s">
        <v>444</v>
      </c>
      <c r="B891" s="35" t="s">
        <v>1259</v>
      </c>
      <c r="C891" s="35" t="s">
        <v>1260</v>
      </c>
      <c r="D891" s="36" t="s">
        <v>262</v>
      </c>
      <c r="E891" s="36" t="s">
        <v>8</v>
      </c>
      <c r="F891" s="36" t="str">
        <f>vlookup(D891,'Team Bye List'!$A$1:$B$33,2,False)</f>
        <v>#N/A</v>
      </c>
      <c r="G891" s="37">
        <f>if(ISNA(vlookup($A891, Sleeper!$B$2:$E$330, 4, false)), 0, vlookup($A891, Sleeper!$B$2:$E$330, 4, false))</f>
        <v>0</v>
      </c>
      <c r="H891" s="37">
        <f>if(ISNA(vlookup($A891, ESPN!$B$2:$E$297, 4, false)), 0, vlookup($A891, ESPN!$B$2:$E$297, 4, false))</f>
        <v>0</v>
      </c>
      <c r="I891" s="37">
        <f>if(ISNA(vlookup($A891,'Ultimate Draft Kit'!$B$2:$E$324,4, false)), 0, vlookup($A891,'Ultimate Draft Kit'!$B$2:$E$324, 4, false))</f>
        <v>0</v>
      </c>
      <c r="J891" s="38">
        <f>if(ISNA(vlookup($A891,Rotowire!$B$2:$E$1075,4, false)), 0, vlookup($A891,Rotowire!$B$2:$E$1075, 4, false))</f>
        <v>0</v>
      </c>
      <c r="K891" s="37">
        <f>if(ISNA(vlookup($A891, FantasyPro!$B$2:$E$341,4,false)),0,vlookup($A891,FantasyPro!$B$2:$E$341,4,false))</f>
        <v>0</v>
      </c>
      <c r="L891" s="37">
        <f>if(ISNA(vlookup($A891, FFToolbox!$B$2:$E$414, 4, false)), 0, vlookup($A891, FFToolbox!$B$2:$E$414, 4, false))</f>
        <v>0</v>
      </c>
      <c r="M891" s="39">
        <f t="shared" si="1"/>
        <v>0</v>
      </c>
      <c r="N891" s="39">
        <f t="shared" si="2"/>
        <v>0</v>
      </c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</row>
    <row r="892">
      <c r="A892" s="17" t="s">
        <v>1149</v>
      </c>
      <c r="B892" s="35" t="s">
        <v>1259</v>
      </c>
      <c r="C892" s="35" t="s">
        <v>1260</v>
      </c>
      <c r="D892" s="36" t="s">
        <v>262</v>
      </c>
      <c r="E892" s="36" t="s">
        <v>8</v>
      </c>
      <c r="F892" s="36" t="str">
        <f>vlookup(D892,'Team Bye List'!$A$1:$B$33,2,False)</f>
        <v>#N/A</v>
      </c>
      <c r="G892" s="37">
        <f>if(ISNA(vlookup($A892, Sleeper!$B$2:$E$330, 4, false)), 0, vlookup($A892, Sleeper!$B$2:$E$330, 4, false))</f>
        <v>0</v>
      </c>
      <c r="H892" s="37">
        <f>if(ISNA(vlookup($A892, ESPN!$B$2:$E$297, 4, false)), 0, vlookup($A892, ESPN!$B$2:$E$297, 4, false))</f>
        <v>0</v>
      </c>
      <c r="I892" s="37">
        <f>if(ISNA(vlookup($A892,'Ultimate Draft Kit'!$B$2:$E$324,4, false)), 0, vlookup($A892,'Ultimate Draft Kit'!$B$2:$E$324, 4, false))</f>
        <v>0</v>
      </c>
      <c r="J892" s="38">
        <f>if(ISNA(vlookup($A892,Rotowire!$B$2:$E$1075,4, false)), 0, vlookup($A892,Rotowire!$B$2:$E$1075, 4, false))</f>
        <v>0</v>
      </c>
      <c r="K892" s="37">
        <f>if(ISNA(vlookup($A892, FantasyPro!$B$2:$E$341,4,false)),0,vlookup($A892,FantasyPro!$B$2:$E$341,4,false))</f>
        <v>0</v>
      </c>
      <c r="L892" s="37">
        <f>if(ISNA(vlookup($A892, FFToolbox!$B$2:$E$414, 4, false)), 0, vlookup($A892, FFToolbox!$B$2:$E$414, 4, false))</f>
        <v>0</v>
      </c>
      <c r="M892" s="39">
        <f t="shared" si="1"/>
        <v>0</v>
      </c>
      <c r="N892" s="39">
        <f t="shared" si="2"/>
        <v>0</v>
      </c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</row>
    <row r="893">
      <c r="A893" s="17" t="s">
        <v>1150</v>
      </c>
      <c r="B893" s="35" t="s">
        <v>1259</v>
      </c>
      <c r="C893" s="35" t="s">
        <v>1260</v>
      </c>
      <c r="D893" s="36" t="s">
        <v>21</v>
      </c>
      <c r="E893" s="36" t="s">
        <v>8</v>
      </c>
      <c r="F893" s="36">
        <f>vlookup(D893,'Team Bye List'!$A$1:$B$33,2,False)</f>
        <v>6</v>
      </c>
      <c r="G893" s="37">
        <f>if(ISNA(vlookup($A893, Sleeper!$B$2:$E$330, 4, false)), 0, vlookup($A893, Sleeper!$B$2:$E$330, 4, false))</f>
        <v>0</v>
      </c>
      <c r="H893" s="37">
        <f>if(ISNA(vlookup($A893, ESPN!$B$2:$E$297, 4, false)), 0, vlookup($A893, ESPN!$B$2:$E$297, 4, false))</f>
        <v>0</v>
      </c>
      <c r="I893" s="37">
        <f>if(ISNA(vlookup($A893,'Ultimate Draft Kit'!$B$2:$E$324,4, false)), 0, vlookup($A893,'Ultimate Draft Kit'!$B$2:$E$324, 4, false))</f>
        <v>0</v>
      </c>
      <c r="J893" s="38">
        <f>if(ISNA(vlookup($A893,Rotowire!$B$2:$E$1075,4, false)), 0, vlookup($A893,Rotowire!$B$2:$E$1075, 4, false))</f>
        <v>0</v>
      </c>
      <c r="K893" s="37">
        <f>if(ISNA(vlookup($A893, FantasyPro!$B$2:$E$341,4,false)),0,vlookup($A893,FantasyPro!$B$2:$E$341,4,false))</f>
        <v>0</v>
      </c>
      <c r="L893" s="37">
        <f>if(ISNA(vlookup($A893, FFToolbox!$B$2:$E$414, 4, false)), 0, vlookup($A893, FFToolbox!$B$2:$E$414, 4, false))</f>
        <v>0</v>
      </c>
      <c r="M893" s="39">
        <f t="shared" si="1"/>
        <v>0</v>
      </c>
      <c r="N893" s="39">
        <f t="shared" si="2"/>
        <v>0</v>
      </c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</row>
    <row r="894">
      <c r="A894" s="17" t="s">
        <v>1151</v>
      </c>
      <c r="B894" s="35" t="s">
        <v>1259</v>
      </c>
      <c r="C894" s="35" t="s">
        <v>1260</v>
      </c>
      <c r="D894" s="36" t="s">
        <v>262</v>
      </c>
      <c r="E894" s="36" t="s">
        <v>8</v>
      </c>
      <c r="F894" s="36" t="str">
        <f>vlookup(D894,'Team Bye List'!$A$1:$B$33,2,False)</f>
        <v>#N/A</v>
      </c>
      <c r="G894" s="37">
        <f>if(ISNA(vlookup($A894, Sleeper!$B$2:$E$330, 4, false)), 0, vlookup($A894, Sleeper!$B$2:$E$330, 4, false))</f>
        <v>0</v>
      </c>
      <c r="H894" s="37">
        <f>if(ISNA(vlookup($A894, ESPN!$B$2:$E$297, 4, false)), 0, vlookup($A894, ESPN!$B$2:$E$297, 4, false))</f>
        <v>0</v>
      </c>
      <c r="I894" s="37">
        <f>if(ISNA(vlookup($A894,'Ultimate Draft Kit'!$B$2:$E$324,4, false)), 0, vlookup($A894,'Ultimate Draft Kit'!$B$2:$E$324, 4, false))</f>
        <v>0</v>
      </c>
      <c r="J894" s="38">
        <f>if(ISNA(vlookup($A894,Rotowire!$B$2:$E$1075,4, false)), 0, vlookup($A894,Rotowire!$B$2:$E$1075, 4, false))</f>
        <v>0</v>
      </c>
      <c r="K894" s="37">
        <f>if(ISNA(vlookup($A894, FantasyPro!$B$2:$E$341,4,false)),0,vlookup($A894,FantasyPro!$B$2:$E$341,4,false))</f>
        <v>0</v>
      </c>
      <c r="L894" s="37">
        <f>if(ISNA(vlookup($A894, FFToolbox!$B$2:$E$414, 4, false)), 0, vlookup($A894, FFToolbox!$B$2:$E$414, 4, false))</f>
        <v>0</v>
      </c>
      <c r="M894" s="39">
        <f t="shared" si="1"/>
        <v>0</v>
      </c>
      <c r="N894" s="39">
        <f t="shared" si="2"/>
        <v>0</v>
      </c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</row>
    <row r="895">
      <c r="A895" s="17" t="s">
        <v>1152</v>
      </c>
      <c r="B895" s="35" t="s">
        <v>1259</v>
      </c>
      <c r="C895" s="35" t="s">
        <v>1260</v>
      </c>
      <c r="D895" s="36" t="s">
        <v>35</v>
      </c>
      <c r="E895" s="36" t="s">
        <v>8</v>
      </c>
      <c r="F895" s="36">
        <f>vlookup(D895,'Team Bye List'!$A$1:$B$33,2,False)</f>
        <v>6</v>
      </c>
      <c r="G895" s="37">
        <f>if(ISNA(vlookup($A895, Sleeper!$B$2:$E$330, 4, false)), 0, vlookup($A895, Sleeper!$B$2:$E$330, 4, false))</f>
        <v>0</v>
      </c>
      <c r="H895" s="37">
        <f>if(ISNA(vlookup($A895, ESPN!$B$2:$E$297, 4, false)), 0, vlookup($A895, ESPN!$B$2:$E$297, 4, false))</f>
        <v>0</v>
      </c>
      <c r="I895" s="37">
        <f>if(ISNA(vlookup($A895,'Ultimate Draft Kit'!$B$2:$E$324,4, false)), 0, vlookup($A895,'Ultimate Draft Kit'!$B$2:$E$324, 4, false))</f>
        <v>0</v>
      </c>
      <c r="J895" s="38">
        <f>if(ISNA(vlookup($A895,Rotowire!$B$2:$E$1075,4, false)), 0, vlookup($A895,Rotowire!$B$2:$E$1075, 4, false))</f>
        <v>0</v>
      </c>
      <c r="K895" s="37">
        <f>if(ISNA(vlookup($A895, FantasyPro!$B$2:$E$341,4,false)),0,vlookup($A895,FantasyPro!$B$2:$E$341,4,false))</f>
        <v>0</v>
      </c>
      <c r="L895" s="37">
        <f>if(ISNA(vlookup($A895, FFToolbox!$B$2:$E$414, 4, false)), 0, vlookup($A895, FFToolbox!$B$2:$E$414, 4, false))</f>
        <v>0</v>
      </c>
      <c r="M895" s="39">
        <f t="shared" si="1"/>
        <v>0</v>
      </c>
      <c r="N895" s="39">
        <f t="shared" si="2"/>
        <v>0</v>
      </c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</row>
    <row r="896">
      <c r="A896" s="17" t="s">
        <v>1153</v>
      </c>
      <c r="B896" s="35" t="s">
        <v>1259</v>
      </c>
      <c r="C896" s="35" t="s">
        <v>1260</v>
      </c>
      <c r="D896" s="36" t="s">
        <v>262</v>
      </c>
      <c r="E896" s="36" t="s">
        <v>8</v>
      </c>
      <c r="F896" s="36" t="str">
        <f>vlookup(D896,'Team Bye List'!$A$1:$B$33,2,False)</f>
        <v>#N/A</v>
      </c>
      <c r="G896" s="37">
        <f>if(ISNA(vlookup($A896, Sleeper!$B$2:$E$330, 4, false)), 0, vlookup($A896, Sleeper!$B$2:$E$330, 4, false))</f>
        <v>0</v>
      </c>
      <c r="H896" s="37">
        <f>if(ISNA(vlookup($A896, ESPN!$B$2:$E$297, 4, false)), 0, vlookup($A896, ESPN!$B$2:$E$297, 4, false))</f>
        <v>0</v>
      </c>
      <c r="I896" s="37">
        <f>if(ISNA(vlookup($A896,'Ultimate Draft Kit'!$B$2:$E$324,4, false)), 0, vlookup($A896,'Ultimate Draft Kit'!$B$2:$E$324, 4, false))</f>
        <v>0</v>
      </c>
      <c r="J896" s="38">
        <f>if(ISNA(vlookup($A896,Rotowire!$B$2:$E$1075,4, false)), 0, vlookup($A896,Rotowire!$B$2:$E$1075, 4, false))</f>
        <v>0</v>
      </c>
      <c r="K896" s="37">
        <f>if(ISNA(vlookup($A896, FantasyPro!$B$2:$E$341,4,false)),0,vlookup($A896,FantasyPro!$B$2:$E$341,4,false))</f>
        <v>0</v>
      </c>
      <c r="L896" s="37">
        <f>if(ISNA(vlookup($A896, FFToolbox!$B$2:$E$414, 4, false)), 0, vlookup($A896, FFToolbox!$B$2:$E$414, 4, false))</f>
        <v>0</v>
      </c>
      <c r="M896" s="39">
        <f t="shared" si="1"/>
        <v>0</v>
      </c>
      <c r="N896" s="39">
        <f t="shared" si="2"/>
        <v>0</v>
      </c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</row>
    <row r="897">
      <c r="A897" s="17" t="s">
        <v>404</v>
      </c>
      <c r="B897" s="35" t="s">
        <v>1259</v>
      </c>
      <c r="C897" s="35" t="s">
        <v>1260</v>
      </c>
      <c r="D897" s="36" t="s">
        <v>262</v>
      </c>
      <c r="E897" s="36" t="s">
        <v>8</v>
      </c>
      <c r="F897" s="36" t="str">
        <f>vlookup(D897,'Team Bye List'!$A$1:$B$33,2,False)</f>
        <v>#N/A</v>
      </c>
      <c r="G897" s="37">
        <f>if(ISNA(vlookup($A897, Sleeper!$B$2:$E$330, 4, false)), 0, vlookup($A897, Sleeper!$B$2:$E$330, 4, false))</f>
        <v>0</v>
      </c>
      <c r="H897" s="37">
        <f>if(ISNA(vlookup($A897, ESPN!$B$2:$E$297, 4, false)), 0, vlookup($A897, ESPN!$B$2:$E$297, 4, false))</f>
        <v>0</v>
      </c>
      <c r="I897" s="37">
        <f>if(ISNA(vlookup($A897,'Ultimate Draft Kit'!$B$2:$E$324,4, false)), 0, vlookup($A897,'Ultimate Draft Kit'!$B$2:$E$324, 4, false))</f>
        <v>0</v>
      </c>
      <c r="J897" s="38">
        <f>if(ISNA(vlookup($A897,Rotowire!$B$2:$E$1075,4, false)), 0, vlookup($A897,Rotowire!$B$2:$E$1075, 4, false))</f>
        <v>0</v>
      </c>
      <c r="K897" s="37">
        <f>if(ISNA(vlookup($A897, FantasyPro!$B$2:$E$341,4,false)),0,vlookup($A897,FantasyPro!$B$2:$E$341,4,false))</f>
        <v>0</v>
      </c>
      <c r="L897" s="37">
        <f>if(ISNA(vlookup($A897, FFToolbox!$B$2:$E$414, 4, false)), 0, vlookup($A897, FFToolbox!$B$2:$E$414, 4, false))</f>
        <v>0</v>
      </c>
      <c r="M897" s="39">
        <f t="shared" si="1"/>
        <v>0</v>
      </c>
      <c r="N897" s="39">
        <f t="shared" si="2"/>
        <v>0</v>
      </c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</row>
    <row r="898">
      <c r="A898" s="17" t="s">
        <v>1154</v>
      </c>
      <c r="B898" s="35" t="s">
        <v>1259</v>
      </c>
      <c r="C898" s="35" t="s">
        <v>1260</v>
      </c>
      <c r="D898" s="36" t="s">
        <v>262</v>
      </c>
      <c r="E898" s="36" t="s">
        <v>8</v>
      </c>
      <c r="F898" s="36" t="str">
        <f>vlookup(D898,'Team Bye List'!$A$1:$B$33,2,False)</f>
        <v>#N/A</v>
      </c>
      <c r="G898" s="37">
        <f>if(ISNA(vlookup($A898, Sleeper!$B$2:$E$330, 4, false)), 0, vlookup($A898, Sleeper!$B$2:$E$330, 4, false))</f>
        <v>0</v>
      </c>
      <c r="H898" s="37">
        <f>if(ISNA(vlookup($A898, ESPN!$B$2:$E$297, 4, false)), 0, vlookup($A898, ESPN!$B$2:$E$297, 4, false))</f>
        <v>0</v>
      </c>
      <c r="I898" s="37">
        <f>if(ISNA(vlookup($A898,'Ultimate Draft Kit'!$B$2:$E$324,4, false)), 0, vlookup($A898,'Ultimate Draft Kit'!$B$2:$E$324, 4, false))</f>
        <v>0</v>
      </c>
      <c r="J898" s="38">
        <f>if(ISNA(vlookup($A898,Rotowire!$B$2:$E$1075,4, false)), 0, vlookup($A898,Rotowire!$B$2:$E$1075, 4, false))</f>
        <v>0</v>
      </c>
      <c r="K898" s="37">
        <f>if(ISNA(vlookup($A898, FantasyPro!$B$2:$E$341,4,false)),0,vlookup($A898,FantasyPro!$B$2:$E$341,4,false))</f>
        <v>0</v>
      </c>
      <c r="L898" s="37">
        <f>if(ISNA(vlookup($A898, FFToolbox!$B$2:$E$414, 4, false)), 0, vlookup($A898, FFToolbox!$B$2:$E$414, 4, false))</f>
        <v>0</v>
      </c>
      <c r="M898" s="39">
        <f t="shared" si="1"/>
        <v>0</v>
      </c>
      <c r="N898" s="39">
        <f t="shared" si="2"/>
        <v>0</v>
      </c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</row>
    <row r="899">
      <c r="A899" s="17" t="s">
        <v>452</v>
      </c>
      <c r="B899" s="35" t="s">
        <v>1259</v>
      </c>
      <c r="C899" s="35" t="s">
        <v>1260</v>
      </c>
      <c r="D899" s="36" t="s">
        <v>262</v>
      </c>
      <c r="E899" s="36" t="s">
        <v>8</v>
      </c>
      <c r="F899" s="36" t="str">
        <f>vlookup(D899,'Team Bye List'!$A$1:$B$33,2,False)</f>
        <v>#N/A</v>
      </c>
      <c r="G899" s="37">
        <f>if(ISNA(vlookup($A899, Sleeper!$B$2:$E$330, 4, false)), 0, vlookup($A899, Sleeper!$B$2:$E$330, 4, false))</f>
        <v>0</v>
      </c>
      <c r="H899" s="37">
        <f>if(ISNA(vlookup($A899, ESPN!$B$2:$E$297, 4, false)), 0, vlookup($A899, ESPN!$B$2:$E$297, 4, false))</f>
        <v>0</v>
      </c>
      <c r="I899" s="37">
        <f>if(ISNA(vlookup($A899,'Ultimate Draft Kit'!$B$2:$E$324,4, false)), 0, vlookup($A899,'Ultimate Draft Kit'!$B$2:$E$324, 4, false))</f>
        <v>0</v>
      </c>
      <c r="J899" s="38">
        <f>if(ISNA(vlookup($A899,Rotowire!$B$2:$E$1075,4, false)), 0, vlookup($A899,Rotowire!$B$2:$E$1075, 4, false))</f>
        <v>0</v>
      </c>
      <c r="K899" s="37">
        <f>if(ISNA(vlookup($A899, FantasyPro!$B$2:$E$341,4,false)),0,vlookup($A899,FantasyPro!$B$2:$E$341,4,false))</f>
        <v>0</v>
      </c>
      <c r="L899" s="37">
        <f>if(ISNA(vlookup($A899, FFToolbox!$B$2:$E$414, 4, false)), 0, vlookup($A899, FFToolbox!$B$2:$E$414, 4, false))</f>
        <v>0</v>
      </c>
      <c r="M899" s="39">
        <f t="shared" si="1"/>
        <v>0</v>
      </c>
      <c r="N899" s="39">
        <f t="shared" si="2"/>
        <v>0</v>
      </c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</row>
    <row r="900">
      <c r="A900" s="17" t="s">
        <v>1155</v>
      </c>
      <c r="B900" s="35" t="s">
        <v>1259</v>
      </c>
      <c r="C900" s="35" t="s">
        <v>1260</v>
      </c>
      <c r="D900" s="36" t="s">
        <v>17</v>
      </c>
      <c r="E900" s="36" t="s">
        <v>8</v>
      </c>
      <c r="F900" s="36">
        <f>vlookup(D900,'Team Bye List'!$A$1:$B$33,2,False)</f>
        <v>7</v>
      </c>
      <c r="G900" s="37">
        <f>if(ISNA(vlookup($A900, Sleeper!$B$2:$E$330, 4, false)), 0, vlookup($A900, Sleeper!$B$2:$E$330, 4, false))</f>
        <v>0</v>
      </c>
      <c r="H900" s="37">
        <f>if(ISNA(vlookup($A900, ESPN!$B$2:$E$297, 4, false)), 0, vlookup($A900, ESPN!$B$2:$E$297, 4, false))</f>
        <v>0</v>
      </c>
      <c r="I900" s="37">
        <f>if(ISNA(vlookup($A900,'Ultimate Draft Kit'!$B$2:$E$324,4, false)), 0, vlookup($A900,'Ultimate Draft Kit'!$B$2:$E$324, 4, false))</f>
        <v>0</v>
      </c>
      <c r="J900" s="38">
        <f>if(ISNA(vlookup($A900,Rotowire!$B$2:$E$1075,4, false)), 0, vlookup($A900,Rotowire!$B$2:$E$1075, 4, false))</f>
        <v>0</v>
      </c>
      <c r="K900" s="37">
        <f>if(ISNA(vlookup($A900, FantasyPro!$B$2:$E$341,4,false)),0,vlookup($A900,FantasyPro!$B$2:$E$341,4,false))</f>
        <v>0</v>
      </c>
      <c r="L900" s="37">
        <f>if(ISNA(vlookup($A900, FFToolbox!$B$2:$E$414, 4, false)), 0, vlookup($A900, FFToolbox!$B$2:$E$414, 4, false))</f>
        <v>0</v>
      </c>
      <c r="M900" s="39">
        <f t="shared" si="1"/>
        <v>0</v>
      </c>
      <c r="N900" s="39">
        <f t="shared" si="2"/>
        <v>0</v>
      </c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</row>
    <row r="901">
      <c r="A901" s="17" t="s">
        <v>1156</v>
      </c>
      <c r="B901" s="35" t="s">
        <v>1259</v>
      </c>
      <c r="C901" s="35" t="s">
        <v>1260</v>
      </c>
      <c r="D901" s="36" t="s">
        <v>32</v>
      </c>
      <c r="E901" s="36" t="s">
        <v>8</v>
      </c>
      <c r="F901" s="36">
        <f>vlookup(D901,'Team Bye List'!$A$1:$B$33,2,False)</f>
        <v>9</v>
      </c>
      <c r="G901" s="37">
        <f>if(ISNA(vlookup($A901, Sleeper!$B$2:$E$330, 4, false)), 0, vlookup($A901, Sleeper!$B$2:$E$330, 4, false))</f>
        <v>0</v>
      </c>
      <c r="H901" s="37">
        <f>if(ISNA(vlookup($A901, ESPN!$B$2:$E$297, 4, false)), 0, vlookup($A901, ESPN!$B$2:$E$297, 4, false))</f>
        <v>0</v>
      </c>
      <c r="I901" s="37">
        <f>if(ISNA(vlookup($A901,'Ultimate Draft Kit'!$B$2:$E$324,4, false)), 0, vlookup($A901,'Ultimate Draft Kit'!$B$2:$E$324, 4, false))</f>
        <v>0</v>
      </c>
      <c r="J901" s="38">
        <f>if(ISNA(vlookup($A901,Rotowire!$B$2:$E$1075,4, false)), 0, vlookup($A901,Rotowire!$B$2:$E$1075, 4, false))</f>
        <v>0</v>
      </c>
      <c r="K901" s="37">
        <f>if(ISNA(vlookup($A901, FantasyPro!$B$2:$E$341,4,false)),0,vlookup($A901,FantasyPro!$B$2:$E$341,4,false))</f>
        <v>0</v>
      </c>
      <c r="L901" s="37">
        <f>if(ISNA(vlookup($A901, FFToolbox!$B$2:$E$414, 4, false)), 0, vlookup($A901, FFToolbox!$B$2:$E$414, 4, false))</f>
        <v>0</v>
      </c>
      <c r="M901" s="39">
        <f t="shared" si="1"/>
        <v>0</v>
      </c>
      <c r="N901" s="39">
        <f t="shared" si="2"/>
        <v>0</v>
      </c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</row>
    <row r="902">
      <c r="A902" s="17" t="s">
        <v>416</v>
      </c>
      <c r="B902" s="35" t="s">
        <v>1259</v>
      </c>
      <c r="C902" s="35" t="s">
        <v>1260</v>
      </c>
      <c r="D902" s="36" t="s">
        <v>7</v>
      </c>
      <c r="E902" s="36" t="s">
        <v>8</v>
      </c>
      <c r="F902" s="36">
        <f>vlookup(D902,'Team Bye List'!$A$1:$B$33,2,False)</f>
        <v>14</v>
      </c>
      <c r="G902" s="37">
        <f>if(ISNA(vlookup($A902, Sleeper!$B$2:$E$330, 4, false)), 0, vlookup($A902, Sleeper!$B$2:$E$330, 4, false))</f>
        <v>0</v>
      </c>
      <c r="H902" s="37">
        <f>if(ISNA(vlookup($A902, ESPN!$B$2:$E$297, 4, false)), 0, vlookup($A902, ESPN!$B$2:$E$297, 4, false))</f>
        <v>0</v>
      </c>
      <c r="I902" s="37">
        <f>if(ISNA(vlookup($A902,'Ultimate Draft Kit'!$B$2:$E$324,4, false)), 0, vlookup($A902,'Ultimate Draft Kit'!$B$2:$E$324, 4, false))</f>
        <v>0</v>
      </c>
      <c r="J902" s="38">
        <f>if(ISNA(vlookup($A902,Rotowire!$B$2:$E$1075,4, false)), 0, vlookup($A902,Rotowire!$B$2:$E$1075, 4, false))</f>
        <v>0</v>
      </c>
      <c r="K902" s="37">
        <f>if(ISNA(vlookup($A902, FantasyPro!$B$2:$E$341,4,false)),0,vlookup($A902,FantasyPro!$B$2:$E$341,4,false))</f>
        <v>0</v>
      </c>
      <c r="L902" s="37">
        <f>if(ISNA(vlookup($A902, FFToolbox!$B$2:$E$414, 4, false)), 0, vlookup($A902, FFToolbox!$B$2:$E$414, 4, false))</f>
        <v>1</v>
      </c>
      <c r="M902" s="39">
        <f t="shared" si="1"/>
        <v>0.1666666667</v>
      </c>
      <c r="N902" s="39">
        <f t="shared" si="2"/>
        <v>1</v>
      </c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</row>
    <row r="903">
      <c r="A903" s="17" t="s">
        <v>1157</v>
      </c>
      <c r="B903" s="35" t="s">
        <v>1259</v>
      </c>
      <c r="C903" s="35" t="s">
        <v>1260</v>
      </c>
      <c r="D903" s="36" t="s">
        <v>262</v>
      </c>
      <c r="E903" s="36" t="s">
        <v>8</v>
      </c>
      <c r="F903" s="36" t="str">
        <f>vlookup(D903,'Team Bye List'!$A$1:$B$33,2,False)</f>
        <v>#N/A</v>
      </c>
      <c r="G903" s="37">
        <f>if(ISNA(vlookup($A903, Sleeper!$B$2:$E$330, 4, false)), 0, vlookup($A903, Sleeper!$B$2:$E$330, 4, false))</f>
        <v>0</v>
      </c>
      <c r="H903" s="37">
        <f>if(ISNA(vlookup($A903, ESPN!$B$2:$E$297, 4, false)), 0, vlookup($A903, ESPN!$B$2:$E$297, 4, false))</f>
        <v>0</v>
      </c>
      <c r="I903" s="37">
        <f>if(ISNA(vlookup($A903,'Ultimate Draft Kit'!$B$2:$E$324,4, false)), 0, vlookup($A903,'Ultimate Draft Kit'!$B$2:$E$324, 4, false))</f>
        <v>0</v>
      </c>
      <c r="J903" s="38">
        <f>if(ISNA(vlookup($A903,Rotowire!$B$2:$E$1075,4, false)), 0, vlookup($A903,Rotowire!$B$2:$E$1075, 4, false))</f>
        <v>0</v>
      </c>
      <c r="K903" s="37">
        <f>if(ISNA(vlookup($A903, FantasyPro!$B$2:$E$341,4,false)),0,vlookup($A903,FantasyPro!$B$2:$E$341,4,false))</f>
        <v>0</v>
      </c>
      <c r="L903" s="37">
        <f>if(ISNA(vlookup($A903, FFToolbox!$B$2:$E$414, 4, false)), 0, vlookup($A903, FFToolbox!$B$2:$E$414, 4, false))</f>
        <v>0</v>
      </c>
      <c r="M903" s="39">
        <f t="shared" si="1"/>
        <v>0</v>
      </c>
      <c r="N903" s="39">
        <f t="shared" si="2"/>
        <v>0</v>
      </c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</row>
    <row r="904">
      <c r="A904" s="17" t="s">
        <v>1158</v>
      </c>
      <c r="B904" s="35" t="s">
        <v>1259</v>
      </c>
      <c r="C904" s="35" t="s">
        <v>1260</v>
      </c>
      <c r="D904" s="36" t="s">
        <v>43</v>
      </c>
      <c r="E904" s="36" t="s">
        <v>8</v>
      </c>
      <c r="F904" s="36">
        <f>vlookup(D904,'Team Bye List'!$A$1:$B$33,2,False)</f>
        <v>9</v>
      </c>
      <c r="G904" s="37">
        <f>if(ISNA(vlookup($A904, Sleeper!$B$2:$E$330, 4, false)), 0, vlookup($A904, Sleeper!$B$2:$E$330, 4, false))</f>
        <v>0</v>
      </c>
      <c r="H904" s="37">
        <f>if(ISNA(vlookup($A904, ESPN!$B$2:$E$297, 4, false)), 0, vlookup($A904, ESPN!$B$2:$E$297, 4, false))</f>
        <v>0</v>
      </c>
      <c r="I904" s="37">
        <f>if(ISNA(vlookup($A904,'Ultimate Draft Kit'!$B$2:$E$324,4, false)), 0, vlookup($A904,'Ultimate Draft Kit'!$B$2:$E$324, 4, false))</f>
        <v>0</v>
      </c>
      <c r="J904" s="38">
        <f>if(ISNA(vlookup($A904,Rotowire!$B$2:$E$1075,4, false)), 0, vlookup($A904,Rotowire!$B$2:$E$1075, 4, false))</f>
        <v>0</v>
      </c>
      <c r="K904" s="37">
        <f>if(ISNA(vlookup($A904, FantasyPro!$B$2:$E$341,4,false)),0,vlookup($A904,FantasyPro!$B$2:$E$341,4,false))</f>
        <v>0</v>
      </c>
      <c r="L904" s="37">
        <f>if(ISNA(vlookup($A904, FFToolbox!$B$2:$E$414, 4, false)), 0, vlookup($A904, FFToolbox!$B$2:$E$414, 4, false))</f>
        <v>0</v>
      </c>
      <c r="M904" s="39">
        <f t="shared" si="1"/>
        <v>0</v>
      </c>
      <c r="N904" s="39">
        <f t="shared" si="2"/>
        <v>0</v>
      </c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</row>
    <row r="905">
      <c r="A905" s="17" t="s">
        <v>401</v>
      </c>
      <c r="B905" s="35" t="s">
        <v>1259</v>
      </c>
      <c r="C905" s="35" t="s">
        <v>1260</v>
      </c>
      <c r="D905" s="36" t="s">
        <v>262</v>
      </c>
      <c r="E905" s="36" t="s">
        <v>8</v>
      </c>
      <c r="F905" s="36" t="str">
        <f>vlookup(D905,'Team Bye List'!$A$1:$B$33,2,False)</f>
        <v>#N/A</v>
      </c>
      <c r="G905" s="37">
        <f>if(ISNA(vlookup($A905, Sleeper!$B$2:$E$330, 4, false)), 0, vlookup($A905, Sleeper!$B$2:$E$330, 4, false))</f>
        <v>0</v>
      </c>
      <c r="H905" s="37">
        <f>if(ISNA(vlookup($A905, ESPN!$B$2:$E$297, 4, false)), 0, vlookup($A905, ESPN!$B$2:$E$297, 4, false))</f>
        <v>0</v>
      </c>
      <c r="I905" s="37">
        <f>if(ISNA(vlookup($A905,'Ultimate Draft Kit'!$B$2:$E$324,4, false)), 0, vlookup($A905,'Ultimate Draft Kit'!$B$2:$E$324, 4, false))</f>
        <v>0</v>
      </c>
      <c r="J905" s="38">
        <f>if(ISNA(vlookup($A905,Rotowire!$B$2:$E$1075,4, false)), 0, vlookup($A905,Rotowire!$B$2:$E$1075, 4, false))</f>
        <v>0</v>
      </c>
      <c r="K905" s="37">
        <f>if(ISNA(vlookup($A905, FantasyPro!$B$2:$E$341,4,false)),0,vlookup($A905,FantasyPro!$B$2:$E$341,4,false))</f>
        <v>0</v>
      </c>
      <c r="L905" s="37">
        <f>if(ISNA(vlookup($A905, FFToolbox!$B$2:$E$414, 4, false)), 0, vlookup($A905, FFToolbox!$B$2:$E$414, 4, false))</f>
        <v>0</v>
      </c>
      <c r="M905" s="39">
        <f t="shared" si="1"/>
        <v>0</v>
      </c>
      <c r="N905" s="39">
        <f t="shared" si="2"/>
        <v>0</v>
      </c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</row>
    <row r="906">
      <c r="A906" s="17" t="s">
        <v>419</v>
      </c>
      <c r="B906" s="35" t="s">
        <v>1259</v>
      </c>
      <c r="C906" s="35" t="s">
        <v>1260</v>
      </c>
      <c r="D906" s="36" t="s">
        <v>262</v>
      </c>
      <c r="E906" s="36" t="s">
        <v>8</v>
      </c>
      <c r="F906" s="36" t="str">
        <f>vlookup(D906,'Team Bye List'!$A$1:$B$33,2,False)</f>
        <v>#N/A</v>
      </c>
      <c r="G906" s="37">
        <f>if(ISNA(vlookup($A906, Sleeper!$B$2:$E$330, 4, false)), 0, vlookup($A906, Sleeper!$B$2:$E$330, 4, false))</f>
        <v>0</v>
      </c>
      <c r="H906" s="37">
        <f>if(ISNA(vlookup($A906, ESPN!$B$2:$E$297, 4, false)), 0, vlookup($A906, ESPN!$B$2:$E$297, 4, false))</f>
        <v>0</v>
      </c>
      <c r="I906" s="37">
        <f>if(ISNA(vlookup($A906,'Ultimate Draft Kit'!$B$2:$E$324,4, false)), 0, vlookup($A906,'Ultimate Draft Kit'!$B$2:$E$324, 4, false))</f>
        <v>0</v>
      </c>
      <c r="J906" s="38">
        <f>if(ISNA(vlookup($A906,Rotowire!$B$2:$E$1075,4, false)), 0, vlookup($A906,Rotowire!$B$2:$E$1075, 4, false))</f>
        <v>0</v>
      </c>
      <c r="K906" s="37">
        <f>if(ISNA(vlookup($A906, FantasyPro!$B$2:$E$341,4,false)),0,vlookup($A906,FantasyPro!$B$2:$E$341,4,false))</f>
        <v>0</v>
      </c>
      <c r="L906" s="37">
        <f>if(ISNA(vlookup($A906, FFToolbox!$B$2:$E$414, 4, false)), 0, vlookup($A906, FFToolbox!$B$2:$E$414, 4, false))</f>
        <v>0</v>
      </c>
      <c r="M906" s="39">
        <f t="shared" si="1"/>
        <v>0</v>
      </c>
      <c r="N906" s="39">
        <f t="shared" si="2"/>
        <v>0</v>
      </c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</row>
    <row r="907">
      <c r="A907" s="17" t="s">
        <v>432</v>
      </c>
      <c r="B907" s="35" t="s">
        <v>1259</v>
      </c>
      <c r="C907" s="35" t="s">
        <v>1260</v>
      </c>
      <c r="D907" s="36" t="s">
        <v>69</v>
      </c>
      <c r="E907" s="36" t="s">
        <v>8</v>
      </c>
      <c r="F907" s="36">
        <f>vlookup(D907,'Team Bye List'!$A$1:$B$33,2,False)</f>
        <v>10</v>
      </c>
      <c r="G907" s="37">
        <f>if(ISNA(vlookup($A907, Sleeper!$B$2:$E$330, 4, false)), 0, vlookup($A907, Sleeper!$B$2:$E$330, 4, false))</f>
        <v>0</v>
      </c>
      <c r="H907" s="37">
        <f>if(ISNA(vlookup($A907, ESPN!$B$2:$E$297, 4, false)), 0, vlookup($A907, ESPN!$B$2:$E$297, 4, false))</f>
        <v>0</v>
      </c>
      <c r="I907" s="37">
        <f>if(ISNA(vlookup($A907,'Ultimate Draft Kit'!$B$2:$E$324,4, false)), 0, vlookup($A907,'Ultimate Draft Kit'!$B$2:$E$324, 4, false))</f>
        <v>0</v>
      </c>
      <c r="J907" s="38">
        <f>if(ISNA(vlookup($A907,Rotowire!$B$2:$E$1075,4, false)), 0, vlookup($A907,Rotowire!$B$2:$E$1075, 4, false))</f>
        <v>0</v>
      </c>
      <c r="K907" s="37">
        <f>if(ISNA(vlookup($A907, FantasyPro!$B$2:$E$341,4,false)),0,vlookup($A907,FantasyPro!$B$2:$E$341,4,false))</f>
        <v>0</v>
      </c>
      <c r="L907" s="37">
        <f>if(ISNA(vlookup($A907, FFToolbox!$B$2:$E$414, 4, false)), 0, vlookup($A907, FFToolbox!$B$2:$E$414, 4, false))</f>
        <v>0</v>
      </c>
      <c r="M907" s="39">
        <f t="shared" si="1"/>
        <v>0</v>
      </c>
      <c r="N907" s="39">
        <f t="shared" si="2"/>
        <v>0</v>
      </c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</row>
    <row r="908">
      <c r="A908" s="17" t="s">
        <v>450</v>
      </c>
      <c r="B908" s="35" t="s">
        <v>1259</v>
      </c>
      <c r="C908" s="35" t="s">
        <v>1260</v>
      </c>
      <c r="D908" s="36" t="s">
        <v>262</v>
      </c>
      <c r="E908" s="36" t="s">
        <v>8</v>
      </c>
      <c r="F908" s="36" t="str">
        <f>vlookup(D908,'Team Bye List'!$A$1:$B$33,2,False)</f>
        <v>#N/A</v>
      </c>
      <c r="G908" s="37">
        <f>if(ISNA(vlookup($A908, Sleeper!$B$2:$E$330, 4, false)), 0, vlookup($A908, Sleeper!$B$2:$E$330, 4, false))</f>
        <v>0</v>
      </c>
      <c r="H908" s="37">
        <f>if(ISNA(vlookup($A908, ESPN!$B$2:$E$297, 4, false)), 0, vlookup($A908, ESPN!$B$2:$E$297, 4, false))</f>
        <v>0</v>
      </c>
      <c r="I908" s="37">
        <f>if(ISNA(vlookup($A908,'Ultimate Draft Kit'!$B$2:$E$324,4, false)), 0, vlookup($A908,'Ultimate Draft Kit'!$B$2:$E$324, 4, false))</f>
        <v>0</v>
      </c>
      <c r="J908" s="38">
        <f>if(ISNA(vlookup($A908,Rotowire!$B$2:$E$1075,4, false)), 0, vlookup($A908,Rotowire!$B$2:$E$1075, 4, false))</f>
        <v>0</v>
      </c>
      <c r="K908" s="37">
        <f>if(ISNA(vlookup($A908, FantasyPro!$B$2:$E$341,4,false)),0,vlookup($A908,FantasyPro!$B$2:$E$341,4,false))</f>
        <v>0</v>
      </c>
      <c r="L908" s="37">
        <f>if(ISNA(vlookup($A908, FFToolbox!$B$2:$E$414, 4, false)), 0, vlookup($A908, FFToolbox!$B$2:$E$414, 4, false))</f>
        <v>0</v>
      </c>
      <c r="M908" s="39">
        <f t="shared" si="1"/>
        <v>0</v>
      </c>
      <c r="N908" s="39">
        <f t="shared" si="2"/>
        <v>0</v>
      </c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</row>
    <row r="909">
      <c r="A909" s="17" t="s">
        <v>1159</v>
      </c>
      <c r="B909" s="35" t="s">
        <v>1259</v>
      </c>
      <c r="C909" s="35" t="s">
        <v>1260</v>
      </c>
      <c r="D909" s="36" t="s">
        <v>43</v>
      </c>
      <c r="E909" s="36" t="s">
        <v>8</v>
      </c>
      <c r="F909" s="36">
        <f>vlookup(D909,'Team Bye List'!$A$1:$B$33,2,False)</f>
        <v>9</v>
      </c>
      <c r="G909" s="37">
        <f>if(ISNA(vlookup($A909, Sleeper!$B$2:$E$330, 4, false)), 0, vlookup($A909, Sleeper!$B$2:$E$330, 4, false))</f>
        <v>0</v>
      </c>
      <c r="H909" s="37">
        <f>if(ISNA(vlookup($A909, ESPN!$B$2:$E$297, 4, false)), 0, vlookup($A909, ESPN!$B$2:$E$297, 4, false))</f>
        <v>0</v>
      </c>
      <c r="I909" s="37">
        <f>if(ISNA(vlookup($A909,'Ultimate Draft Kit'!$B$2:$E$324,4, false)), 0, vlookup($A909,'Ultimate Draft Kit'!$B$2:$E$324, 4, false))</f>
        <v>0</v>
      </c>
      <c r="J909" s="38">
        <f>if(ISNA(vlookup($A909,Rotowire!$B$2:$E$1075,4, false)), 0, vlookup($A909,Rotowire!$B$2:$E$1075, 4, false))</f>
        <v>0</v>
      </c>
      <c r="K909" s="37">
        <f>if(ISNA(vlookup($A909, FantasyPro!$B$2:$E$341,4,false)),0,vlookup($A909,FantasyPro!$B$2:$E$341,4,false))</f>
        <v>0</v>
      </c>
      <c r="L909" s="37">
        <f>if(ISNA(vlookup($A909, FFToolbox!$B$2:$E$414, 4, false)), 0, vlookup($A909, FFToolbox!$B$2:$E$414, 4, false))</f>
        <v>0</v>
      </c>
      <c r="M909" s="39">
        <f t="shared" si="1"/>
        <v>0</v>
      </c>
      <c r="N909" s="39">
        <f t="shared" si="2"/>
        <v>0</v>
      </c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</row>
    <row r="910">
      <c r="A910" s="17" t="s">
        <v>1160</v>
      </c>
      <c r="B910" s="35" t="s">
        <v>1259</v>
      </c>
      <c r="C910" s="35" t="s">
        <v>1260</v>
      </c>
      <c r="D910" s="36" t="s">
        <v>262</v>
      </c>
      <c r="E910" s="36" t="s">
        <v>8</v>
      </c>
      <c r="F910" s="36" t="str">
        <f>vlookup(D910,'Team Bye List'!$A$1:$B$33,2,False)</f>
        <v>#N/A</v>
      </c>
      <c r="G910" s="37">
        <f>if(ISNA(vlookup($A910, Sleeper!$B$2:$E$330, 4, false)), 0, vlookup($A910, Sleeper!$B$2:$E$330, 4, false))</f>
        <v>0</v>
      </c>
      <c r="H910" s="37">
        <f>if(ISNA(vlookup($A910, ESPN!$B$2:$E$297, 4, false)), 0, vlookup($A910, ESPN!$B$2:$E$297, 4, false))</f>
        <v>0</v>
      </c>
      <c r="I910" s="37">
        <f>if(ISNA(vlookup($A910,'Ultimate Draft Kit'!$B$2:$E$324,4, false)), 0, vlookup($A910,'Ultimate Draft Kit'!$B$2:$E$324, 4, false))</f>
        <v>0</v>
      </c>
      <c r="J910" s="38">
        <f>if(ISNA(vlookup($A910,Rotowire!$B$2:$E$1075,4, false)), 0, vlookup($A910,Rotowire!$B$2:$E$1075, 4, false))</f>
        <v>0</v>
      </c>
      <c r="K910" s="37">
        <f>if(ISNA(vlookup($A910, FantasyPro!$B$2:$E$341,4,false)),0,vlookup($A910,FantasyPro!$B$2:$E$341,4,false))</f>
        <v>0</v>
      </c>
      <c r="L910" s="37">
        <f>if(ISNA(vlookup($A910, FFToolbox!$B$2:$E$414, 4, false)), 0, vlookup($A910, FFToolbox!$B$2:$E$414, 4, false))</f>
        <v>0</v>
      </c>
      <c r="M910" s="39">
        <f t="shared" si="1"/>
        <v>0</v>
      </c>
      <c r="N910" s="39">
        <f t="shared" si="2"/>
        <v>0</v>
      </c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</row>
    <row r="911">
      <c r="A911" s="17" t="s">
        <v>1161</v>
      </c>
      <c r="B911" s="35" t="s">
        <v>1259</v>
      </c>
      <c r="C911" s="35" t="s">
        <v>1260</v>
      </c>
      <c r="D911" s="36" t="s">
        <v>262</v>
      </c>
      <c r="E911" s="36" t="s">
        <v>8</v>
      </c>
      <c r="F911" s="36" t="str">
        <f>vlookup(D911,'Team Bye List'!$A$1:$B$33,2,False)</f>
        <v>#N/A</v>
      </c>
      <c r="G911" s="37">
        <f>if(ISNA(vlookup($A911, Sleeper!$B$2:$E$330, 4, false)), 0, vlookup($A911, Sleeper!$B$2:$E$330, 4, false))</f>
        <v>0</v>
      </c>
      <c r="H911" s="37">
        <f>if(ISNA(vlookup($A911, ESPN!$B$2:$E$297, 4, false)), 0, vlookup($A911, ESPN!$B$2:$E$297, 4, false))</f>
        <v>0</v>
      </c>
      <c r="I911" s="37">
        <f>if(ISNA(vlookup($A911,'Ultimate Draft Kit'!$B$2:$E$324,4, false)), 0, vlookup($A911,'Ultimate Draft Kit'!$B$2:$E$324, 4, false))</f>
        <v>0</v>
      </c>
      <c r="J911" s="38">
        <f>if(ISNA(vlookup($A911,Rotowire!$B$2:$E$1075,4, false)), 0, vlookup($A911,Rotowire!$B$2:$E$1075, 4, false))</f>
        <v>0</v>
      </c>
      <c r="K911" s="37">
        <f>if(ISNA(vlookup($A911, FantasyPro!$B$2:$E$341,4,false)),0,vlookup($A911,FantasyPro!$B$2:$E$341,4,false))</f>
        <v>0</v>
      </c>
      <c r="L911" s="37">
        <f>if(ISNA(vlookup($A911, FFToolbox!$B$2:$E$414, 4, false)), 0, vlookup($A911, FFToolbox!$B$2:$E$414, 4, false))</f>
        <v>0</v>
      </c>
      <c r="M911" s="39">
        <f t="shared" si="1"/>
        <v>0</v>
      </c>
      <c r="N911" s="39">
        <f t="shared" si="2"/>
        <v>0</v>
      </c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</row>
    <row r="912">
      <c r="A912" s="17" t="s">
        <v>838</v>
      </c>
      <c r="B912" s="35" t="s">
        <v>1259</v>
      </c>
      <c r="C912" s="35" t="s">
        <v>1260</v>
      </c>
      <c r="D912" s="36" t="s">
        <v>32</v>
      </c>
      <c r="E912" s="36" t="s">
        <v>8</v>
      </c>
      <c r="F912" s="36">
        <f>vlookup(D912,'Team Bye List'!$A$1:$B$33,2,False)</f>
        <v>9</v>
      </c>
      <c r="G912" s="37">
        <f>if(ISNA(vlookup($A912, Sleeper!$B$2:$E$330, 4, false)), 0, vlookup($A912, Sleeper!$B$2:$E$330, 4, false))</f>
        <v>0</v>
      </c>
      <c r="H912" s="37">
        <f>if(ISNA(vlookup($A912, ESPN!$B$2:$E$297, 4, false)), 0, vlookup($A912, ESPN!$B$2:$E$297, 4, false))</f>
        <v>0</v>
      </c>
      <c r="I912" s="37">
        <f>if(ISNA(vlookup($A912,'Ultimate Draft Kit'!$B$2:$E$324,4, false)), 0, vlookup($A912,'Ultimate Draft Kit'!$B$2:$E$324, 4, false))</f>
        <v>0</v>
      </c>
      <c r="J912" s="38">
        <f>if(ISNA(vlookup($A912,Rotowire!$B$2:$E$1075,4, false)), 0, vlookup($A912,Rotowire!$B$2:$E$1075, 4, false))</f>
        <v>0</v>
      </c>
      <c r="K912" s="37">
        <f>if(ISNA(vlookup($A912, FantasyPro!$B$2:$E$341,4,false)),0,vlookup($A912,FantasyPro!$B$2:$E$341,4,false))</f>
        <v>0</v>
      </c>
      <c r="L912" s="37">
        <f>if(ISNA(vlookup($A912, FFToolbox!$B$2:$E$414, 4, false)), 0, vlookup($A912, FFToolbox!$B$2:$E$414, 4, false))</f>
        <v>1</v>
      </c>
      <c r="M912" s="39">
        <f t="shared" si="1"/>
        <v>0.1666666667</v>
      </c>
      <c r="N912" s="39">
        <f t="shared" si="2"/>
        <v>1</v>
      </c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</row>
    <row r="913">
      <c r="A913" s="17" t="s">
        <v>1162</v>
      </c>
      <c r="B913" s="35" t="s">
        <v>1259</v>
      </c>
      <c r="C913" s="35" t="s">
        <v>1260</v>
      </c>
      <c r="D913" s="36" t="s">
        <v>262</v>
      </c>
      <c r="E913" s="36" t="s">
        <v>8</v>
      </c>
      <c r="F913" s="36" t="str">
        <f>vlookup(D913,'Team Bye List'!$A$1:$B$33,2,False)</f>
        <v>#N/A</v>
      </c>
      <c r="G913" s="37">
        <f>if(ISNA(vlookup($A913, Sleeper!$B$2:$E$330, 4, false)), 0, vlookup($A913, Sleeper!$B$2:$E$330, 4, false))</f>
        <v>0</v>
      </c>
      <c r="H913" s="37">
        <f>if(ISNA(vlookup($A913, ESPN!$B$2:$E$297, 4, false)), 0, vlookup($A913, ESPN!$B$2:$E$297, 4, false))</f>
        <v>0</v>
      </c>
      <c r="I913" s="37">
        <f>if(ISNA(vlookup($A913,'Ultimate Draft Kit'!$B$2:$E$324,4, false)), 0, vlookup($A913,'Ultimate Draft Kit'!$B$2:$E$324, 4, false))</f>
        <v>0</v>
      </c>
      <c r="J913" s="38">
        <f>if(ISNA(vlookup($A913,Rotowire!$B$2:$E$1075,4, false)), 0, vlookup($A913,Rotowire!$B$2:$E$1075, 4, false))</f>
        <v>0</v>
      </c>
      <c r="K913" s="37">
        <f>if(ISNA(vlookup($A913, FantasyPro!$B$2:$E$341,4,false)),0,vlookup($A913,FantasyPro!$B$2:$E$341,4,false))</f>
        <v>0</v>
      </c>
      <c r="L913" s="37">
        <f>if(ISNA(vlookup($A913, FFToolbox!$B$2:$E$414, 4, false)), 0, vlookup($A913, FFToolbox!$B$2:$E$414, 4, false))</f>
        <v>0</v>
      </c>
      <c r="M913" s="39">
        <f t="shared" si="1"/>
        <v>0</v>
      </c>
      <c r="N913" s="39">
        <f t="shared" si="2"/>
        <v>0</v>
      </c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</row>
    <row r="914">
      <c r="A914" s="17" t="s">
        <v>1163</v>
      </c>
      <c r="B914" s="35" t="s">
        <v>1259</v>
      </c>
      <c r="C914" s="35" t="s">
        <v>1260</v>
      </c>
      <c r="D914" s="36" t="s">
        <v>262</v>
      </c>
      <c r="E914" s="36" t="s">
        <v>8</v>
      </c>
      <c r="F914" s="36" t="str">
        <f>vlookup(D914,'Team Bye List'!$A$1:$B$33,2,False)</f>
        <v>#N/A</v>
      </c>
      <c r="G914" s="37">
        <f>if(ISNA(vlookup($A914, Sleeper!$B$2:$E$330, 4, false)), 0, vlookup($A914, Sleeper!$B$2:$E$330, 4, false))</f>
        <v>0</v>
      </c>
      <c r="H914" s="37">
        <f>if(ISNA(vlookup($A914, ESPN!$B$2:$E$297, 4, false)), 0, vlookup($A914, ESPN!$B$2:$E$297, 4, false))</f>
        <v>0</v>
      </c>
      <c r="I914" s="37">
        <f>if(ISNA(vlookup($A914,'Ultimate Draft Kit'!$B$2:$E$324,4, false)), 0, vlookup($A914,'Ultimate Draft Kit'!$B$2:$E$324, 4, false))</f>
        <v>0</v>
      </c>
      <c r="J914" s="38">
        <f>if(ISNA(vlookup($A914,Rotowire!$B$2:$E$1075,4, false)), 0, vlookup($A914,Rotowire!$B$2:$E$1075, 4, false))</f>
        <v>0</v>
      </c>
      <c r="K914" s="37">
        <f>if(ISNA(vlookup($A914, FantasyPro!$B$2:$E$341,4,false)),0,vlookup($A914,FantasyPro!$B$2:$E$341,4,false))</f>
        <v>0</v>
      </c>
      <c r="L914" s="37">
        <f>if(ISNA(vlookup($A914, FFToolbox!$B$2:$E$414, 4, false)), 0, vlookup($A914, FFToolbox!$B$2:$E$414, 4, false))</f>
        <v>0</v>
      </c>
      <c r="M914" s="39">
        <f t="shared" si="1"/>
        <v>0</v>
      </c>
      <c r="N914" s="39">
        <f t="shared" si="2"/>
        <v>0</v>
      </c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</row>
    <row r="915">
      <c r="A915" s="17" t="s">
        <v>1164</v>
      </c>
      <c r="B915" s="35" t="s">
        <v>1259</v>
      </c>
      <c r="C915" s="35" t="s">
        <v>1260</v>
      </c>
      <c r="D915" s="36" t="s">
        <v>262</v>
      </c>
      <c r="E915" s="36" t="s">
        <v>8</v>
      </c>
      <c r="F915" s="36" t="str">
        <f>vlookup(D915,'Team Bye List'!$A$1:$B$33,2,False)</f>
        <v>#N/A</v>
      </c>
      <c r="G915" s="37">
        <f>if(ISNA(vlookup($A915, Sleeper!$B$2:$E$330, 4, false)), 0, vlookup($A915, Sleeper!$B$2:$E$330, 4, false))</f>
        <v>0</v>
      </c>
      <c r="H915" s="37">
        <f>if(ISNA(vlookup($A915, ESPN!$B$2:$E$297, 4, false)), 0, vlookup($A915, ESPN!$B$2:$E$297, 4, false))</f>
        <v>0</v>
      </c>
      <c r="I915" s="37">
        <f>if(ISNA(vlookup($A915,'Ultimate Draft Kit'!$B$2:$E$324,4, false)), 0, vlookup($A915,'Ultimate Draft Kit'!$B$2:$E$324, 4, false))</f>
        <v>0</v>
      </c>
      <c r="J915" s="38">
        <f>if(ISNA(vlookup($A915,Rotowire!$B$2:$E$1075,4, false)), 0, vlookup($A915,Rotowire!$B$2:$E$1075, 4, false))</f>
        <v>0</v>
      </c>
      <c r="K915" s="37">
        <f>if(ISNA(vlookup($A915, FantasyPro!$B$2:$E$341,4,false)),0,vlookup($A915,FantasyPro!$B$2:$E$341,4,false))</f>
        <v>0</v>
      </c>
      <c r="L915" s="37">
        <f>if(ISNA(vlookup($A915, FFToolbox!$B$2:$E$414, 4, false)), 0, vlookup($A915, FFToolbox!$B$2:$E$414, 4, false))</f>
        <v>0</v>
      </c>
      <c r="M915" s="39">
        <f t="shared" si="1"/>
        <v>0</v>
      </c>
      <c r="N915" s="39">
        <f t="shared" si="2"/>
        <v>0</v>
      </c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</row>
    <row r="916">
      <c r="A916" s="17" t="s">
        <v>241</v>
      </c>
      <c r="B916" s="35" t="s">
        <v>1259</v>
      </c>
      <c r="C916" s="35" t="s">
        <v>1260</v>
      </c>
      <c r="D916" s="36" t="s">
        <v>262</v>
      </c>
      <c r="E916" s="36" t="s">
        <v>8</v>
      </c>
      <c r="F916" s="36" t="str">
        <f>vlookup(D916,'Team Bye List'!$A$1:$B$33,2,False)</f>
        <v>#N/A</v>
      </c>
      <c r="G916" s="37">
        <f>if(ISNA(vlookup($A916, Sleeper!$B$2:$E$330, 4, false)), 0, vlookup($A916, Sleeper!$B$2:$E$330, 4, false))</f>
        <v>0</v>
      </c>
      <c r="H916" s="37">
        <f>if(ISNA(vlookup($A916, ESPN!$B$2:$E$297, 4, false)), 0, vlookup($A916, ESPN!$B$2:$E$297, 4, false))</f>
        <v>0</v>
      </c>
      <c r="I916" s="37">
        <f>if(ISNA(vlookup($A916,'Ultimate Draft Kit'!$B$2:$E$324,4, false)), 0, vlookup($A916,'Ultimate Draft Kit'!$B$2:$E$324, 4, false))</f>
        <v>0</v>
      </c>
      <c r="J916" s="38">
        <f>if(ISNA(vlookup($A916,Rotowire!$B$2:$E$1075,4, false)), 0, vlookup($A916,Rotowire!$B$2:$E$1075, 4, false))</f>
        <v>0</v>
      </c>
      <c r="K916" s="37">
        <f>if(ISNA(vlookup($A916, FantasyPro!$B$2:$E$341,4,false)),0,vlookup($A916,FantasyPro!$B$2:$E$341,4,false))</f>
        <v>0</v>
      </c>
      <c r="L916" s="37">
        <f>if(ISNA(vlookup($A916, FFToolbox!$B$2:$E$414, 4, false)), 0, vlookup($A916, FFToolbox!$B$2:$E$414, 4, false))</f>
        <v>0</v>
      </c>
      <c r="M916" s="39">
        <f t="shared" si="1"/>
        <v>0</v>
      </c>
      <c r="N916" s="39">
        <f t="shared" si="2"/>
        <v>0</v>
      </c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</row>
    <row r="917">
      <c r="A917" s="17" t="s">
        <v>786</v>
      </c>
      <c r="B917" s="35" t="s">
        <v>1259</v>
      </c>
      <c r="C917" s="35" t="s">
        <v>1260</v>
      </c>
      <c r="D917" s="36" t="s">
        <v>41</v>
      </c>
      <c r="E917" s="36" t="s">
        <v>8</v>
      </c>
      <c r="F917" s="36">
        <f>vlookup(D917,'Team Bye List'!$A$1:$B$33,2,False)</f>
        <v>14</v>
      </c>
      <c r="G917" s="37">
        <f>if(ISNA(vlookup($A917, Sleeper!$B$2:$E$330, 4, false)), 0, vlookup($A917, Sleeper!$B$2:$E$330, 4, false))</f>
        <v>0</v>
      </c>
      <c r="H917" s="37">
        <f>if(ISNA(vlookup($A917, ESPN!$B$2:$E$297, 4, false)), 0, vlookup($A917, ESPN!$B$2:$E$297, 4, false))</f>
        <v>0</v>
      </c>
      <c r="I917" s="37">
        <f>if(ISNA(vlookup($A917,'Ultimate Draft Kit'!$B$2:$E$324,4, false)), 0, vlookup($A917,'Ultimate Draft Kit'!$B$2:$E$324, 4, false))</f>
        <v>0</v>
      </c>
      <c r="J917" s="38">
        <f>if(ISNA(vlookup($A917,Rotowire!$B$2:$E$1075,4, false)), 0, vlookup($A917,Rotowire!$B$2:$E$1075, 4, false))</f>
        <v>0</v>
      </c>
      <c r="K917" s="37">
        <f>if(ISNA(vlookup($A917, FantasyPro!$B$2:$E$341,4,false)),0,vlookup($A917,FantasyPro!$B$2:$E$341,4,false))</f>
        <v>0</v>
      </c>
      <c r="L917" s="37">
        <f>if(ISNA(vlookup($A917, FFToolbox!$B$2:$E$414, 4, false)), 0, vlookup($A917, FFToolbox!$B$2:$E$414, 4, false))</f>
        <v>0</v>
      </c>
      <c r="M917" s="39">
        <f t="shared" si="1"/>
        <v>0</v>
      </c>
      <c r="N917" s="39">
        <f t="shared" si="2"/>
        <v>0</v>
      </c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</row>
    <row r="918">
      <c r="A918" s="17" t="s">
        <v>1165</v>
      </c>
      <c r="B918" s="35" t="s">
        <v>1259</v>
      </c>
      <c r="C918" s="35" t="s">
        <v>1260</v>
      </c>
      <c r="D918" s="36" t="s">
        <v>262</v>
      </c>
      <c r="E918" s="36" t="s">
        <v>8</v>
      </c>
      <c r="F918" s="36" t="str">
        <f>vlookup(D918,'Team Bye List'!$A$1:$B$33,2,False)</f>
        <v>#N/A</v>
      </c>
      <c r="G918" s="37">
        <f>if(ISNA(vlookup($A918, Sleeper!$B$2:$E$330, 4, false)), 0, vlookup($A918, Sleeper!$B$2:$E$330, 4, false))</f>
        <v>0</v>
      </c>
      <c r="H918" s="37">
        <f>if(ISNA(vlookup($A918, ESPN!$B$2:$E$297, 4, false)), 0, vlookup($A918, ESPN!$B$2:$E$297, 4, false))</f>
        <v>0</v>
      </c>
      <c r="I918" s="37">
        <f>if(ISNA(vlookup($A918,'Ultimate Draft Kit'!$B$2:$E$324,4, false)), 0, vlookup($A918,'Ultimate Draft Kit'!$B$2:$E$324, 4, false))</f>
        <v>0</v>
      </c>
      <c r="J918" s="38">
        <f>if(ISNA(vlookup($A918,Rotowire!$B$2:$E$1075,4, false)), 0, vlookup($A918,Rotowire!$B$2:$E$1075, 4, false))</f>
        <v>0</v>
      </c>
      <c r="K918" s="37">
        <f>if(ISNA(vlookup($A918, FantasyPro!$B$2:$E$341,4,false)),0,vlookup($A918,FantasyPro!$B$2:$E$341,4,false))</f>
        <v>0</v>
      </c>
      <c r="L918" s="37">
        <f>if(ISNA(vlookup($A918, FFToolbox!$B$2:$E$414, 4, false)), 0, vlookup($A918, FFToolbox!$B$2:$E$414, 4, false))</f>
        <v>0</v>
      </c>
      <c r="M918" s="39">
        <f t="shared" si="1"/>
        <v>0</v>
      </c>
      <c r="N918" s="39">
        <f t="shared" si="2"/>
        <v>0</v>
      </c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</row>
    <row r="919">
      <c r="A919" s="17" t="s">
        <v>362</v>
      </c>
      <c r="B919" s="35" t="s">
        <v>1259</v>
      </c>
      <c r="C919" s="35" t="s">
        <v>1260</v>
      </c>
      <c r="D919" s="36" t="s">
        <v>262</v>
      </c>
      <c r="E919" s="36" t="s">
        <v>8</v>
      </c>
      <c r="F919" s="36" t="str">
        <f>vlookup(D919,'Team Bye List'!$A$1:$B$33,2,False)</f>
        <v>#N/A</v>
      </c>
      <c r="G919" s="37">
        <f>if(ISNA(vlookup($A919, Sleeper!$B$2:$E$330, 4, false)), 0, vlookup($A919, Sleeper!$B$2:$E$330, 4, false))</f>
        <v>0</v>
      </c>
      <c r="H919" s="37">
        <f>if(ISNA(vlookup($A919, ESPN!$B$2:$E$297, 4, false)), 0, vlookup($A919, ESPN!$B$2:$E$297, 4, false))</f>
        <v>0</v>
      </c>
      <c r="I919" s="37">
        <f>if(ISNA(vlookup($A919,'Ultimate Draft Kit'!$B$2:$E$324,4, false)), 0, vlookup($A919,'Ultimate Draft Kit'!$B$2:$E$324, 4, false))</f>
        <v>0</v>
      </c>
      <c r="J919" s="38">
        <f>if(ISNA(vlookup($A919,Rotowire!$B$2:$E$1075,4, false)), 0, vlookup($A919,Rotowire!$B$2:$E$1075, 4, false))</f>
        <v>0</v>
      </c>
      <c r="K919" s="37">
        <f>if(ISNA(vlookup($A919, FantasyPro!$B$2:$E$341,4,false)),0,vlookup($A919,FantasyPro!$B$2:$E$341,4,false))</f>
        <v>0</v>
      </c>
      <c r="L919" s="37">
        <f>if(ISNA(vlookup($A919, FFToolbox!$B$2:$E$414, 4, false)), 0, vlookup($A919, FFToolbox!$B$2:$E$414, 4, false))</f>
        <v>0</v>
      </c>
      <c r="M919" s="39">
        <f t="shared" si="1"/>
        <v>0</v>
      </c>
      <c r="N919" s="39">
        <f t="shared" si="2"/>
        <v>0</v>
      </c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</row>
    <row r="920">
      <c r="A920" s="17" t="s">
        <v>1166</v>
      </c>
      <c r="B920" s="35" t="s">
        <v>1259</v>
      </c>
      <c r="C920" s="35" t="s">
        <v>1260</v>
      </c>
      <c r="D920" s="36" t="s">
        <v>262</v>
      </c>
      <c r="E920" s="36" t="s">
        <v>8</v>
      </c>
      <c r="F920" s="36" t="str">
        <f>vlookup(D920,'Team Bye List'!$A$1:$B$33,2,False)</f>
        <v>#N/A</v>
      </c>
      <c r="G920" s="37">
        <f>if(ISNA(vlookup($A920, Sleeper!$B$2:$E$330, 4, false)), 0, vlookup($A920, Sleeper!$B$2:$E$330, 4, false))</f>
        <v>0</v>
      </c>
      <c r="H920" s="37">
        <f>if(ISNA(vlookup($A920, ESPN!$B$2:$E$297, 4, false)), 0, vlookup($A920, ESPN!$B$2:$E$297, 4, false))</f>
        <v>0</v>
      </c>
      <c r="I920" s="37">
        <f>if(ISNA(vlookup($A920,'Ultimate Draft Kit'!$B$2:$E$324,4, false)), 0, vlookup($A920,'Ultimate Draft Kit'!$B$2:$E$324, 4, false))</f>
        <v>0</v>
      </c>
      <c r="J920" s="38">
        <f>if(ISNA(vlookup($A920,Rotowire!$B$2:$E$1075,4, false)), 0, vlookup($A920,Rotowire!$B$2:$E$1075, 4, false))</f>
        <v>0</v>
      </c>
      <c r="K920" s="37">
        <f>if(ISNA(vlookup($A920, FantasyPro!$B$2:$E$341,4,false)),0,vlookup($A920,FantasyPro!$B$2:$E$341,4,false))</f>
        <v>0</v>
      </c>
      <c r="L920" s="37">
        <f>if(ISNA(vlookup($A920, FFToolbox!$B$2:$E$414, 4, false)), 0, vlookup($A920, FFToolbox!$B$2:$E$414, 4, false))</f>
        <v>0</v>
      </c>
      <c r="M920" s="39">
        <f t="shared" si="1"/>
        <v>0</v>
      </c>
      <c r="N920" s="39">
        <f t="shared" si="2"/>
        <v>0</v>
      </c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</row>
    <row r="921">
      <c r="A921" s="17" t="s">
        <v>366</v>
      </c>
      <c r="B921" s="35" t="s">
        <v>1259</v>
      </c>
      <c r="C921" s="35" t="s">
        <v>1260</v>
      </c>
      <c r="D921" s="36" t="s">
        <v>262</v>
      </c>
      <c r="E921" s="36" t="s">
        <v>8</v>
      </c>
      <c r="F921" s="36" t="str">
        <f>vlookup(D921,'Team Bye List'!$A$1:$B$33,2,False)</f>
        <v>#N/A</v>
      </c>
      <c r="G921" s="37">
        <f>if(ISNA(vlookup($A921, Sleeper!$B$2:$E$330, 4, false)), 0, vlookup($A921, Sleeper!$B$2:$E$330, 4, false))</f>
        <v>0</v>
      </c>
      <c r="H921" s="37">
        <f>if(ISNA(vlookup($A921, ESPN!$B$2:$E$297, 4, false)), 0, vlookup($A921, ESPN!$B$2:$E$297, 4, false))</f>
        <v>0</v>
      </c>
      <c r="I921" s="37">
        <f>if(ISNA(vlookup($A921,'Ultimate Draft Kit'!$B$2:$E$324,4, false)), 0, vlookup($A921,'Ultimate Draft Kit'!$B$2:$E$324, 4, false))</f>
        <v>0</v>
      </c>
      <c r="J921" s="38">
        <f>if(ISNA(vlookup($A921,Rotowire!$B$2:$E$1075,4, false)), 0, vlookup($A921,Rotowire!$B$2:$E$1075, 4, false))</f>
        <v>0</v>
      </c>
      <c r="K921" s="37">
        <f>if(ISNA(vlookup($A921, FantasyPro!$B$2:$E$341,4,false)),0,vlookup($A921,FantasyPro!$B$2:$E$341,4,false))</f>
        <v>0</v>
      </c>
      <c r="L921" s="37">
        <f>if(ISNA(vlookup($A921, FFToolbox!$B$2:$E$414, 4, false)), 0, vlookup($A921, FFToolbox!$B$2:$E$414, 4, false))</f>
        <v>0</v>
      </c>
      <c r="M921" s="39">
        <f t="shared" si="1"/>
        <v>0</v>
      </c>
      <c r="N921" s="39">
        <f t="shared" si="2"/>
        <v>0</v>
      </c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</row>
    <row r="922">
      <c r="A922" s="17" t="s">
        <v>383</v>
      </c>
      <c r="B922" s="35" t="s">
        <v>1259</v>
      </c>
      <c r="C922" s="35" t="s">
        <v>1260</v>
      </c>
      <c r="D922" s="36" t="s">
        <v>99</v>
      </c>
      <c r="E922" s="36" t="s">
        <v>8</v>
      </c>
      <c r="F922" s="36">
        <f>vlookup(D922,'Team Bye List'!$A$1:$B$33,2,False)</f>
        <v>11</v>
      </c>
      <c r="G922" s="37">
        <f>if(ISNA(vlookup($A922, Sleeper!$B$2:$E$330, 4, false)), 0, vlookup($A922, Sleeper!$B$2:$E$330, 4, false))</f>
        <v>0</v>
      </c>
      <c r="H922" s="37">
        <f>if(ISNA(vlookup($A922, ESPN!$B$2:$E$297, 4, false)), 0, vlookup($A922, ESPN!$B$2:$E$297, 4, false))</f>
        <v>0</v>
      </c>
      <c r="I922" s="37">
        <f>if(ISNA(vlookup($A922,'Ultimate Draft Kit'!$B$2:$E$324,4, false)), 0, vlookup($A922,'Ultimate Draft Kit'!$B$2:$E$324, 4, false))</f>
        <v>0</v>
      </c>
      <c r="J922" s="38">
        <f>if(ISNA(vlookup($A922,Rotowire!$B$2:$E$1075,4, false)), 0, vlookup($A922,Rotowire!$B$2:$E$1075, 4, false))</f>
        <v>0</v>
      </c>
      <c r="K922" s="37">
        <f>if(ISNA(vlookup($A922, FantasyPro!$B$2:$E$341,4,false)),0,vlookup($A922,FantasyPro!$B$2:$E$341,4,false))</f>
        <v>0</v>
      </c>
      <c r="L922" s="37">
        <f>if(ISNA(vlookup($A922, FFToolbox!$B$2:$E$414, 4, false)), 0, vlookup($A922, FFToolbox!$B$2:$E$414, 4, false))</f>
        <v>0</v>
      </c>
      <c r="M922" s="39">
        <f t="shared" si="1"/>
        <v>0</v>
      </c>
      <c r="N922" s="39">
        <f t="shared" si="2"/>
        <v>0</v>
      </c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</row>
    <row r="923">
      <c r="A923" s="17" t="s">
        <v>1167</v>
      </c>
      <c r="B923" s="35" t="s">
        <v>1259</v>
      </c>
      <c r="C923" s="35" t="s">
        <v>1260</v>
      </c>
      <c r="D923" s="36" t="s">
        <v>262</v>
      </c>
      <c r="E923" s="36" t="s">
        <v>8</v>
      </c>
      <c r="F923" s="36" t="str">
        <f>vlookup(D923,'Team Bye List'!$A$1:$B$33,2,False)</f>
        <v>#N/A</v>
      </c>
      <c r="G923" s="37">
        <f>if(ISNA(vlookup($A923, Sleeper!$B$2:$E$330, 4, false)), 0, vlookup($A923, Sleeper!$B$2:$E$330, 4, false))</f>
        <v>0</v>
      </c>
      <c r="H923" s="37">
        <f>if(ISNA(vlookup($A923, ESPN!$B$2:$E$297, 4, false)), 0, vlookup($A923, ESPN!$B$2:$E$297, 4, false))</f>
        <v>0</v>
      </c>
      <c r="I923" s="37">
        <f>if(ISNA(vlookup($A923,'Ultimate Draft Kit'!$B$2:$E$324,4, false)), 0, vlookup($A923,'Ultimate Draft Kit'!$B$2:$E$324, 4, false))</f>
        <v>0</v>
      </c>
      <c r="J923" s="38">
        <f>if(ISNA(vlookup($A923,Rotowire!$B$2:$E$1075,4, false)), 0, vlookup($A923,Rotowire!$B$2:$E$1075, 4, false))</f>
        <v>0</v>
      </c>
      <c r="K923" s="37">
        <f>if(ISNA(vlookup($A923, FantasyPro!$B$2:$E$341,4,false)),0,vlookup($A923,FantasyPro!$B$2:$E$341,4,false))</f>
        <v>0</v>
      </c>
      <c r="L923" s="37">
        <f>if(ISNA(vlookup($A923, FFToolbox!$B$2:$E$414, 4, false)), 0, vlookup($A923, FFToolbox!$B$2:$E$414, 4, false))</f>
        <v>0</v>
      </c>
      <c r="M923" s="39">
        <f t="shared" si="1"/>
        <v>0</v>
      </c>
      <c r="N923" s="39">
        <f t="shared" si="2"/>
        <v>0</v>
      </c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</row>
    <row r="924">
      <c r="A924" s="17" t="s">
        <v>364</v>
      </c>
      <c r="B924" s="35" t="s">
        <v>1259</v>
      </c>
      <c r="C924" s="35" t="s">
        <v>1260</v>
      </c>
      <c r="D924" s="36" t="s">
        <v>262</v>
      </c>
      <c r="E924" s="36" t="s">
        <v>8</v>
      </c>
      <c r="F924" s="36" t="str">
        <f>vlookup(D924,'Team Bye List'!$A$1:$B$33,2,False)</f>
        <v>#N/A</v>
      </c>
      <c r="G924" s="37">
        <f>if(ISNA(vlookup($A924, Sleeper!$B$2:$E$330, 4, false)), 0, vlookup($A924, Sleeper!$B$2:$E$330, 4, false))</f>
        <v>0</v>
      </c>
      <c r="H924" s="37">
        <f>if(ISNA(vlookup($A924, ESPN!$B$2:$E$297, 4, false)), 0, vlookup($A924, ESPN!$B$2:$E$297, 4, false))</f>
        <v>0</v>
      </c>
      <c r="I924" s="37">
        <f>if(ISNA(vlookup($A924,'Ultimate Draft Kit'!$B$2:$E$324,4, false)), 0, vlookup($A924,'Ultimate Draft Kit'!$B$2:$E$324, 4, false))</f>
        <v>0</v>
      </c>
      <c r="J924" s="38">
        <f>if(ISNA(vlookup($A924,Rotowire!$B$2:$E$1075,4, false)), 0, vlookup($A924,Rotowire!$B$2:$E$1075, 4, false))</f>
        <v>0</v>
      </c>
      <c r="K924" s="37">
        <f>if(ISNA(vlookup($A924, FantasyPro!$B$2:$E$341,4,false)),0,vlookup($A924,FantasyPro!$B$2:$E$341,4,false))</f>
        <v>0</v>
      </c>
      <c r="L924" s="37">
        <f>if(ISNA(vlookup($A924, FFToolbox!$B$2:$E$414, 4, false)), 0, vlookup($A924, FFToolbox!$B$2:$E$414, 4, false))</f>
        <v>0</v>
      </c>
      <c r="M924" s="39">
        <f t="shared" si="1"/>
        <v>0</v>
      </c>
      <c r="N924" s="39">
        <f t="shared" si="2"/>
        <v>0</v>
      </c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</row>
    <row r="925">
      <c r="A925" s="17" t="s">
        <v>448</v>
      </c>
      <c r="B925" s="35" t="s">
        <v>1259</v>
      </c>
      <c r="C925" s="35" t="s">
        <v>1260</v>
      </c>
      <c r="D925" s="36" t="s">
        <v>37</v>
      </c>
      <c r="E925" s="36" t="s">
        <v>8</v>
      </c>
      <c r="F925" s="36">
        <f>vlookup(D925,'Team Bye List'!$A$1:$B$33,2,False)</f>
        <v>11</v>
      </c>
      <c r="G925" s="37">
        <f>if(ISNA(vlookup($A925, Sleeper!$B$2:$E$330, 4, false)), 0, vlookup($A925, Sleeper!$B$2:$E$330, 4, false))</f>
        <v>0</v>
      </c>
      <c r="H925" s="37">
        <f>if(ISNA(vlookup($A925, ESPN!$B$2:$E$297, 4, false)), 0, vlookup($A925, ESPN!$B$2:$E$297, 4, false))</f>
        <v>0</v>
      </c>
      <c r="I925" s="37">
        <f>if(ISNA(vlookup($A925,'Ultimate Draft Kit'!$B$2:$E$324,4, false)), 0, vlookup($A925,'Ultimate Draft Kit'!$B$2:$E$324, 4, false))</f>
        <v>0</v>
      </c>
      <c r="J925" s="38">
        <f>if(ISNA(vlookup($A925,Rotowire!$B$2:$E$1075,4, false)), 0, vlookup($A925,Rotowire!$B$2:$E$1075, 4, false))</f>
        <v>0</v>
      </c>
      <c r="K925" s="37">
        <f>if(ISNA(vlookup($A925, FantasyPro!$B$2:$E$341,4,false)),0,vlookup($A925,FantasyPro!$B$2:$E$341,4,false))</f>
        <v>0</v>
      </c>
      <c r="L925" s="37">
        <f>if(ISNA(vlookup($A925, FFToolbox!$B$2:$E$414, 4, false)), 0, vlookup($A925, FFToolbox!$B$2:$E$414, 4, false))</f>
        <v>0</v>
      </c>
      <c r="M925" s="39">
        <f t="shared" si="1"/>
        <v>0</v>
      </c>
      <c r="N925" s="39">
        <f t="shared" si="2"/>
        <v>0</v>
      </c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</row>
    <row r="926">
      <c r="A926" s="17" t="s">
        <v>1168</v>
      </c>
      <c r="B926" s="35" t="s">
        <v>1259</v>
      </c>
      <c r="C926" s="35" t="s">
        <v>1260</v>
      </c>
      <c r="D926" s="36" t="s">
        <v>25</v>
      </c>
      <c r="E926" s="36" t="s">
        <v>8</v>
      </c>
      <c r="F926" s="36">
        <f>vlookup(D926,'Team Bye List'!$A$1:$B$33,2,False)</f>
        <v>7</v>
      </c>
      <c r="G926" s="37">
        <f>if(ISNA(vlookup($A926, Sleeper!$B$2:$E$330, 4, false)), 0, vlookup($A926, Sleeper!$B$2:$E$330, 4, false))</f>
        <v>0</v>
      </c>
      <c r="H926" s="37">
        <f>if(ISNA(vlookup($A926, ESPN!$B$2:$E$297, 4, false)), 0, vlookup($A926, ESPN!$B$2:$E$297, 4, false))</f>
        <v>0</v>
      </c>
      <c r="I926" s="37">
        <f>if(ISNA(vlookup($A926,'Ultimate Draft Kit'!$B$2:$E$324,4, false)), 0, vlookup($A926,'Ultimate Draft Kit'!$B$2:$E$324, 4, false))</f>
        <v>0</v>
      </c>
      <c r="J926" s="38">
        <f>if(ISNA(vlookup($A926,Rotowire!$B$2:$E$1075,4, false)), 0, vlookup($A926,Rotowire!$B$2:$E$1075, 4, false))</f>
        <v>0</v>
      </c>
      <c r="K926" s="37">
        <f>if(ISNA(vlookup($A926, FantasyPro!$B$2:$E$341,4,false)),0,vlookup($A926,FantasyPro!$B$2:$E$341,4,false))</f>
        <v>0</v>
      </c>
      <c r="L926" s="37">
        <f>if(ISNA(vlookup($A926, FFToolbox!$B$2:$E$414, 4, false)), 0, vlookup($A926, FFToolbox!$B$2:$E$414, 4, false))</f>
        <v>0</v>
      </c>
      <c r="M926" s="39">
        <f t="shared" si="1"/>
        <v>0</v>
      </c>
      <c r="N926" s="39">
        <f t="shared" si="2"/>
        <v>0</v>
      </c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</row>
    <row r="927">
      <c r="A927" s="17" t="s">
        <v>386</v>
      </c>
      <c r="B927" s="35" t="s">
        <v>1259</v>
      </c>
      <c r="C927" s="35" t="s">
        <v>1260</v>
      </c>
      <c r="D927" s="36" t="s">
        <v>262</v>
      </c>
      <c r="E927" s="36" t="s">
        <v>8</v>
      </c>
      <c r="F927" s="36" t="str">
        <f>vlookup(D927,'Team Bye List'!$A$1:$B$33,2,False)</f>
        <v>#N/A</v>
      </c>
      <c r="G927" s="37">
        <f>if(ISNA(vlookup($A927, Sleeper!$B$2:$E$330, 4, false)), 0, vlookup($A927, Sleeper!$B$2:$E$330, 4, false))</f>
        <v>0</v>
      </c>
      <c r="H927" s="37">
        <f>if(ISNA(vlookup($A927, ESPN!$B$2:$E$297, 4, false)), 0, vlookup($A927, ESPN!$B$2:$E$297, 4, false))</f>
        <v>0</v>
      </c>
      <c r="I927" s="37">
        <f>if(ISNA(vlookup($A927,'Ultimate Draft Kit'!$B$2:$E$324,4, false)), 0, vlookup($A927,'Ultimate Draft Kit'!$B$2:$E$324, 4, false))</f>
        <v>0</v>
      </c>
      <c r="J927" s="38">
        <f>if(ISNA(vlookup($A927,Rotowire!$B$2:$E$1075,4, false)), 0, vlookup($A927,Rotowire!$B$2:$E$1075, 4, false))</f>
        <v>0</v>
      </c>
      <c r="K927" s="37">
        <f>if(ISNA(vlookup($A927, FantasyPro!$B$2:$E$341,4,false)),0,vlookup($A927,FantasyPro!$B$2:$E$341,4,false))</f>
        <v>0</v>
      </c>
      <c r="L927" s="37">
        <f>if(ISNA(vlookup($A927, FFToolbox!$B$2:$E$414, 4, false)), 0, vlookup($A927, FFToolbox!$B$2:$E$414, 4, false))</f>
        <v>0</v>
      </c>
      <c r="M927" s="39">
        <f t="shared" si="1"/>
        <v>0</v>
      </c>
      <c r="N927" s="39">
        <f t="shared" si="2"/>
        <v>0</v>
      </c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</row>
    <row r="928">
      <c r="A928" s="17" t="s">
        <v>1169</v>
      </c>
      <c r="B928" s="35" t="s">
        <v>1259</v>
      </c>
      <c r="C928" s="35" t="s">
        <v>1260</v>
      </c>
      <c r="D928" s="36" t="s">
        <v>262</v>
      </c>
      <c r="E928" s="36" t="s">
        <v>8</v>
      </c>
      <c r="F928" s="36" t="str">
        <f>vlookup(D928,'Team Bye List'!$A$1:$B$33,2,False)</f>
        <v>#N/A</v>
      </c>
      <c r="G928" s="37">
        <f>if(ISNA(vlookup($A928, Sleeper!$B$2:$E$330, 4, false)), 0, vlookup($A928, Sleeper!$B$2:$E$330, 4, false))</f>
        <v>0</v>
      </c>
      <c r="H928" s="37">
        <f>if(ISNA(vlookup($A928, ESPN!$B$2:$E$297, 4, false)), 0, vlookup($A928, ESPN!$B$2:$E$297, 4, false))</f>
        <v>0</v>
      </c>
      <c r="I928" s="37">
        <f>if(ISNA(vlookup($A928,'Ultimate Draft Kit'!$B$2:$E$324,4, false)), 0, vlookup($A928,'Ultimate Draft Kit'!$B$2:$E$324, 4, false))</f>
        <v>0</v>
      </c>
      <c r="J928" s="38">
        <f>if(ISNA(vlookup($A928,Rotowire!$B$2:$E$1075,4, false)), 0, vlookup($A928,Rotowire!$B$2:$E$1075, 4, false))</f>
        <v>0</v>
      </c>
      <c r="K928" s="37">
        <f>if(ISNA(vlookup($A928, FantasyPro!$B$2:$E$341,4,false)),0,vlookup($A928,FantasyPro!$B$2:$E$341,4,false))</f>
        <v>0</v>
      </c>
      <c r="L928" s="37">
        <f>if(ISNA(vlookup($A928, FFToolbox!$B$2:$E$414, 4, false)), 0, vlookup($A928, FFToolbox!$B$2:$E$414, 4, false))</f>
        <v>0</v>
      </c>
      <c r="M928" s="39">
        <f t="shared" si="1"/>
        <v>0</v>
      </c>
      <c r="N928" s="39">
        <f t="shared" si="2"/>
        <v>0</v>
      </c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</row>
    <row r="929">
      <c r="A929" s="17" t="s">
        <v>1170</v>
      </c>
      <c r="B929" s="35" t="s">
        <v>1259</v>
      </c>
      <c r="C929" s="35" t="s">
        <v>1260</v>
      </c>
      <c r="D929" s="36" t="s">
        <v>85</v>
      </c>
      <c r="E929" s="36" t="s">
        <v>8</v>
      </c>
      <c r="F929" s="36">
        <f>vlookup(D929,'Team Bye List'!$A$1:$B$33,2,False)</f>
        <v>9</v>
      </c>
      <c r="G929" s="37">
        <f>if(ISNA(vlookup($A929, Sleeper!$B$2:$E$330, 4, false)), 0, vlookup($A929, Sleeper!$B$2:$E$330, 4, false))</f>
        <v>0</v>
      </c>
      <c r="H929" s="37">
        <f>if(ISNA(vlookup($A929, ESPN!$B$2:$E$297, 4, false)), 0, vlookup($A929, ESPN!$B$2:$E$297, 4, false))</f>
        <v>0</v>
      </c>
      <c r="I929" s="37">
        <f>if(ISNA(vlookup($A929,'Ultimate Draft Kit'!$B$2:$E$324,4, false)), 0, vlookup($A929,'Ultimate Draft Kit'!$B$2:$E$324, 4, false))</f>
        <v>0</v>
      </c>
      <c r="J929" s="38">
        <f>if(ISNA(vlookup($A929,Rotowire!$B$2:$E$1075,4, false)), 0, vlookup($A929,Rotowire!$B$2:$E$1075, 4, false))</f>
        <v>0</v>
      </c>
      <c r="K929" s="37">
        <f>if(ISNA(vlookup($A929, FantasyPro!$B$2:$E$341,4,false)),0,vlookup($A929,FantasyPro!$B$2:$E$341,4,false))</f>
        <v>0</v>
      </c>
      <c r="L929" s="37">
        <f>if(ISNA(vlookup($A929, FFToolbox!$B$2:$E$414, 4, false)), 0, vlookup($A929, FFToolbox!$B$2:$E$414, 4, false))</f>
        <v>0</v>
      </c>
      <c r="M929" s="39">
        <f t="shared" si="1"/>
        <v>0</v>
      </c>
      <c r="N929" s="39">
        <f t="shared" si="2"/>
        <v>0</v>
      </c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</row>
    <row r="930">
      <c r="A930" s="17" t="s">
        <v>1171</v>
      </c>
      <c r="B930" s="35" t="s">
        <v>1259</v>
      </c>
      <c r="C930" s="35" t="s">
        <v>1260</v>
      </c>
      <c r="D930" s="36" t="s">
        <v>262</v>
      </c>
      <c r="E930" s="36" t="s">
        <v>8</v>
      </c>
      <c r="F930" s="36" t="str">
        <f>vlookup(D930,'Team Bye List'!$A$1:$B$33,2,False)</f>
        <v>#N/A</v>
      </c>
      <c r="G930" s="37">
        <f>if(ISNA(vlookup($A930, Sleeper!$B$2:$E$330, 4, false)), 0, vlookup($A930, Sleeper!$B$2:$E$330, 4, false))</f>
        <v>0</v>
      </c>
      <c r="H930" s="37">
        <f>if(ISNA(vlookup($A930, ESPN!$B$2:$E$297, 4, false)), 0, vlookup($A930, ESPN!$B$2:$E$297, 4, false))</f>
        <v>0</v>
      </c>
      <c r="I930" s="37">
        <f>if(ISNA(vlookup($A930,'Ultimate Draft Kit'!$B$2:$E$324,4, false)), 0, vlookup($A930,'Ultimate Draft Kit'!$B$2:$E$324, 4, false))</f>
        <v>0</v>
      </c>
      <c r="J930" s="38">
        <f>if(ISNA(vlookup($A930,Rotowire!$B$2:$E$1075,4, false)), 0, vlookup($A930,Rotowire!$B$2:$E$1075, 4, false))</f>
        <v>0</v>
      </c>
      <c r="K930" s="37">
        <f>if(ISNA(vlookup($A930, FantasyPro!$B$2:$E$341,4,false)),0,vlookup($A930,FantasyPro!$B$2:$E$341,4,false))</f>
        <v>0</v>
      </c>
      <c r="L930" s="37">
        <f>if(ISNA(vlookup($A930, FFToolbox!$B$2:$E$414, 4, false)), 0, vlookup($A930, FFToolbox!$B$2:$E$414, 4, false))</f>
        <v>0</v>
      </c>
      <c r="M930" s="39">
        <f t="shared" si="1"/>
        <v>0</v>
      </c>
      <c r="N930" s="39">
        <f t="shared" si="2"/>
        <v>0</v>
      </c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</row>
    <row r="931">
      <c r="A931" s="17" t="s">
        <v>1172</v>
      </c>
      <c r="B931" s="35" t="s">
        <v>1259</v>
      </c>
      <c r="C931" s="35" t="s">
        <v>1260</v>
      </c>
      <c r="D931" s="36" t="s">
        <v>262</v>
      </c>
      <c r="E931" s="36" t="s">
        <v>8</v>
      </c>
      <c r="F931" s="36" t="str">
        <f>vlookup(D931,'Team Bye List'!$A$1:$B$33,2,False)</f>
        <v>#N/A</v>
      </c>
      <c r="G931" s="37">
        <f>if(ISNA(vlookup($A931, Sleeper!$B$2:$E$330, 4, false)), 0, vlookup($A931, Sleeper!$B$2:$E$330, 4, false))</f>
        <v>0</v>
      </c>
      <c r="H931" s="37">
        <f>if(ISNA(vlookup($A931, ESPN!$B$2:$E$297, 4, false)), 0, vlookup($A931, ESPN!$B$2:$E$297, 4, false))</f>
        <v>0</v>
      </c>
      <c r="I931" s="37">
        <f>if(ISNA(vlookup($A931,'Ultimate Draft Kit'!$B$2:$E$324,4, false)), 0, vlookup($A931,'Ultimate Draft Kit'!$B$2:$E$324, 4, false))</f>
        <v>0</v>
      </c>
      <c r="J931" s="38">
        <f>if(ISNA(vlookup($A931,Rotowire!$B$2:$E$1075,4, false)), 0, vlookup($A931,Rotowire!$B$2:$E$1075, 4, false))</f>
        <v>0</v>
      </c>
      <c r="K931" s="37">
        <f>if(ISNA(vlookup($A931, FantasyPro!$B$2:$E$341,4,false)),0,vlookup($A931,FantasyPro!$B$2:$E$341,4,false))</f>
        <v>0</v>
      </c>
      <c r="L931" s="37">
        <f>if(ISNA(vlookup($A931, FFToolbox!$B$2:$E$414, 4, false)), 0, vlookup($A931, FFToolbox!$B$2:$E$414, 4, false))</f>
        <v>0</v>
      </c>
      <c r="M931" s="39">
        <f t="shared" si="1"/>
        <v>0</v>
      </c>
      <c r="N931" s="39">
        <f t="shared" si="2"/>
        <v>0</v>
      </c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</row>
    <row r="932">
      <c r="A932" s="17" t="s">
        <v>396</v>
      </c>
      <c r="B932" s="35" t="s">
        <v>1259</v>
      </c>
      <c r="C932" s="35" t="s">
        <v>1260</v>
      </c>
      <c r="D932" s="36" t="s">
        <v>25</v>
      </c>
      <c r="E932" s="36" t="s">
        <v>8</v>
      </c>
      <c r="F932" s="36">
        <f>vlookup(D932,'Team Bye List'!$A$1:$B$33,2,False)</f>
        <v>7</v>
      </c>
      <c r="G932" s="37">
        <f>if(ISNA(vlookup($A932, Sleeper!$B$2:$E$330, 4, false)), 0, vlookup($A932, Sleeper!$B$2:$E$330, 4, false))</f>
        <v>0</v>
      </c>
      <c r="H932" s="37">
        <f>if(ISNA(vlookup($A932, ESPN!$B$2:$E$297, 4, false)), 0, vlookup($A932, ESPN!$B$2:$E$297, 4, false))</f>
        <v>0</v>
      </c>
      <c r="I932" s="37">
        <f>if(ISNA(vlookup($A932,'Ultimate Draft Kit'!$B$2:$E$324,4, false)), 0, vlookup($A932,'Ultimate Draft Kit'!$B$2:$E$324, 4, false))</f>
        <v>0</v>
      </c>
      <c r="J932" s="38">
        <f>if(ISNA(vlookup($A932,Rotowire!$B$2:$E$1075,4, false)), 0, vlookup($A932,Rotowire!$B$2:$E$1075, 4, false))</f>
        <v>0</v>
      </c>
      <c r="K932" s="37">
        <f>if(ISNA(vlookup($A932, FantasyPro!$B$2:$E$341,4,false)),0,vlookup($A932,FantasyPro!$B$2:$E$341,4,false))</f>
        <v>0</v>
      </c>
      <c r="L932" s="37">
        <f>if(ISNA(vlookup($A932, FFToolbox!$B$2:$E$414, 4, false)), 0, vlookup($A932, FFToolbox!$B$2:$E$414, 4, false))</f>
        <v>0</v>
      </c>
      <c r="M932" s="39">
        <f t="shared" si="1"/>
        <v>0</v>
      </c>
      <c r="N932" s="39">
        <f t="shared" si="2"/>
        <v>0</v>
      </c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</row>
    <row r="933">
      <c r="A933" s="17" t="s">
        <v>1173</v>
      </c>
      <c r="B933" s="35" t="s">
        <v>1259</v>
      </c>
      <c r="C933" s="35" t="s">
        <v>1260</v>
      </c>
      <c r="D933" s="36" t="s">
        <v>262</v>
      </c>
      <c r="E933" s="36" t="s">
        <v>8</v>
      </c>
      <c r="F933" s="36" t="str">
        <f>vlookup(D933,'Team Bye List'!$A$1:$B$33,2,False)</f>
        <v>#N/A</v>
      </c>
      <c r="G933" s="37">
        <f>if(ISNA(vlookup($A933, Sleeper!$B$2:$E$330, 4, false)), 0, vlookup($A933, Sleeper!$B$2:$E$330, 4, false))</f>
        <v>0</v>
      </c>
      <c r="H933" s="37">
        <f>if(ISNA(vlookup($A933, ESPN!$B$2:$E$297, 4, false)), 0, vlookup($A933, ESPN!$B$2:$E$297, 4, false))</f>
        <v>0</v>
      </c>
      <c r="I933" s="37">
        <f>if(ISNA(vlookup($A933,'Ultimate Draft Kit'!$B$2:$E$324,4, false)), 0, vlookup($A933,'Ultimate Draft Kit'!$B$2:$E$324, 4, false))</f>
        <v>0</v>
      </c>
      <c r="J933" s="38">
        <f>if(ISNA(vlookup($A933,Rotowire!$B$2:$E$1075,4, false)), 0, vlookup($A933,Rotowire!$B$2:$E$1075, 4, false))</f>
        <v>0</v>
      </c>
      <c r="K933" s="37">
        <f>if(ISNA(vlookup($A933, FantasyPro!$B$2:$E$341,4,false)),0,vlookup($A933,FantasyPro!$B$2:$E$341,4,false))</f>
        <v>0</v>
      </c>
      <c r="L933" s="37">
        <f>if(ISNA(vlookup($A933, FFToolbox!$B$2:$E$414, 4, false)), 0, vlookup($A933, FFToolbox!$B$2:$E$414, 4, false))</f>
        <v>0</v>
      </c>
      <c r="M933" s="39">
        <f t="shared" si="1"/>
        <v>0</v>
      </c>
      <c r="N933" s="39">
        <f t="shared" si="2"/>
        <v>0</v>
      </c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</row>
    <row r="934">
      <c r="A934" s="17" t="s">
        <v>1174</v>
      </c>
      <c r="B934" s="35" t="s">
        <v>1259</v>
      </c>
      <c r="C934" s="35" t="s">
        <v>1260</v>
      </c>
      <c r="D934" s="36" t="s">
        <v>262</v>
      </c>
      <c r="E934" s="36" t="s">
        <v>8</v>
      </c>
      <c r="F934" s="36" t="str">
        <f>vlookup(D934,'Team Bye List'!$A$1:$B$33,2,False)</f>
        <v>#N/A</v>
      </c>
      <c r="G934" s="37">
        <f>if(ISNA(vlookup($A934, Sleeper!$B$2:$E$330, 4, false)), 0, vlookup($A934, Sleeper!$B$2:$E$330, 4, false))</f>
        <v>0</v>
      </c>
      <c r="H934" s="37">
        <f>if(ISNA(vlookup($A934, ESPN!$B$2:$E$297, 4, false)), 0, vlookup($A934, ESPN!$B$2:$E$297, 4, false))</f>
        <v>0</v>
      </c>
      <c r="I934" s="37">
        <f>if(ISNA(vlookup($A934,'Ultimate Draft Kit'!$B$2:$E$324,4, false)), 0, vlookup($A934,'Ultimate Draft Kit'!$B$2:$E$324, 4, false))</f>
        <v>0</v>
      </c>
      <c r="J934" s="38">
        <f>if(ISNA(vlookup($A934,Rotowire!$B$2:$E$1075,4, false)), 0, vlookup($A934,Rotowire!$B$2:$E$1075, 4, false))</f>
        <v>0</v>
      </c>
      <c r="K934" s="37">
        <f>if(ISNA(vlookup($A934, FantasyPro!$B$2:$E$341,4,false)),0,vlookup($A934,FantasyPro!$B$2:$E$341,4,false))</f>
        <v>0</v>
      </c>
      <c r="L934" s="37">
        <f>if(ISNA(vlookup($A934, FFToolbox!$B$2:$E$414, 4, false)), 0, vlookup($A934, FFToolbox!$B$2:$E$414, 4, false))</f>
        <v>0</v>
      </c>
      <c r="M934" s="39">
        <f t="shared" si="1"/>
        <v>0</v>
      </c>
      <c r="N934" s="39">
        <f t="shared" si="2"/>
        <v>0</v>
      </c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</row>
    <row r="935">
      <c r="A935" s="17" t="s">
        <v>1175</v>
      </c>
      <c r="B935" s="35" t="s">
        <v>1259</v>
      </c>
      <c r="C935" s="35" t="s">
        <v>1260</v>
      </c>
      <c r="D935" s="36" t="s">
        <v>30</v>
      </c>
      <c r="E935" s="36" t="s">
        <v>8</v>
      </c>
      <c r="F935" s="36">
        <f>vlookup(D935,'Team Bye List'!$A$1:$B$33,2,False)</f>
        <v>7</v>
      </c>
      <c r="G935" s="37">
        <f>if(ISNA(vlookup($A935, Sleeper!$B$2:$E$330, 4, false)), 0, vlookup($A935, Sleeper!$B$2:$E$330, 4, false))</f>
        <v>0</v>
      </c>
      <c r="H935" s="37">
        <f>if(ISNA(vlookup($A935, ESPN!$B$2:$E$297, 4, false)), 0, vlookup($A935, ESPN!$B$2:$E$297, 4, false))</f>
        <v>0</v>
      </c>
      <c r="I935" s="37">
        <f>if(ISNA(vlookup($A935,'Ultimate Draft Kit'!$B$2:$E$324,4, false)), 0, vlookup($A935,'Ultimate Draft Kit'!$B$2:$E$324, 4, false))</f>
        <v>0</v>
      </c>
      <c r="J935" s="38">
        <f>if(ISNA(vlookup($A935,Rotowire!$B$2:$E$1075,4, false)), 0, vlookup($A935,Rotowire!$B$2:$E$1075, 4, false))</f>
        <v>0</v>
      </c>
      <c r="K935" s="37">
        <f>if(ISNA(vlookup($A935, FantasyPro!$B$2:$E$341,4,false)),0,vlookup($A935,FantasyPro!$B$2:$E$341,4,false))</f>
        <v>0</v>
      </c>
      <c r="L935" s="37">
        <f>if(ISNA(vlookup($A935, FFToolbox!$B$2:$E$414, 4, false)), 0, vlookup($A935, FFToolbox!$B$2:$E$414, 4, false))</f>
        <v>0</v>
      </c>
      <c r="M935" s="39">
        <f t="shared" si="1"/>
        <v>0</v>
      </c>
      <c r="N935" s="39">
        <f t="shared" si="2"/>
        <v>0</v>
      </c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</row>
    <row r="936">
      <c r="A936" s="17" t="s">
        <v>1176</v>
      </c>
      <c r="B936" s="35" t="s">
        <v>1259</v>
      </c>
      <c r="C936" s="35" t="s">
        <v>1260</v>
      </c>
      <c r="D936" s="36" t="s">
        <v>62</v>
      </c>
      <c r="E936" s="36" t="s">
        <v>8</v>
      </c>
      <c r="F936" s="36">
        <f>vlookup(D936,'Team Bye List'!$A$1:$B$33,2,False)</f>
        <v>8</v>
      </c>
      <c r="G936" s="37">
        <f>if(ISNA(vlookup($A936, Sleeper!$B$2:$E$330, 4, false)), 0, vlookup($A936, Sleeper!$B$2:$E$330, 4, false))</f>
        <v>0</v>
      </c>
      <c r="H936" s="37">
        <f>if(ISNA(vlookup($A936, ESPN!$B$2:$E$297, 4, false)), 0, vlookup($A936, ESPN!$B$2:$E$297, 4, false))</f>
        <v>0</v>
      </c>
      <c r="I936" s="37">
        <f>if(ISNA(vlookup($A936,'Ultimate Draft Kit'!$B$2:$E$324,4, false)), 0, vlookup($A936,'Ultimate Draft Kit'!$B$2:$E$324, 4, false))</f>
        <v>0</v>
      </c>
      <c r="J936" s="38">
        <f>if(ISNA(vlookup($A936,Rotowire!$B$2:$E$1075,4, false)), 0, vlookup($A936,Rotowire!$B$2:$E$1075, 4, false))</f>
        <v>0</v>
      </c>
      <c r="K936" s="37">
        <f>if(ISNA(vlookup($A936, FantasyPro!$B$2:$E$341,4,false)),0,vlookup($A936,FantasyPro!$B$2:$E$341,4,false))</f>
        <v>0</v>
      </c>
      <c r="L936" s="37">
        <f>if(ISNA(vlookup($A936, FFToolbox!$B$2:$E$414, 4, false)), 0, vlookup($A936, FFToolbox!$B$2:$E$414, 4, false))</f>
        <v>0</v>
      </c>
      <c r="M936" s="39">
        <f t="shared" si="1"/>
        <v>0</v>
      </c>
      <c r="N936" s="39">
        <f t="shared" si="2"/>
        <v>0</v>
      </c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</row>
    <row r="937">
      <c r="A937" s="17" t="s">
        <v>1177</v>
      </c>
      <c r="B937" s="35" t="s">
        <v>1259</v>
      </c>
      <c r="C937" s="35" t="s">
        <v>1260</v>
      </c>
      <c r="D937" s="36" t="s">
        <v>262</v>
      </c>
      <c r="E937" s="36" t="s">
        <v>8</v>
      </c>
      <c r="F937" s="36" t="str">
        <f>vlookup(D937,'Team Bye List'!$A$1:$B$33,2,False)</f>
        <v>#N/A</v>
      </c>
      <c r="G937" s="37">
        <f>if(ISNA(vlookup($A937, Sleeper!$B$2:$E$330, 4, false)), 0, vlookup($A937, Sleeper!$B$2:$E$330, 4, false))</f>
        <v>0</v>
      </c>
      <c r="H937" s="37">
        <f>if(ISNA(vlookup($A937, ESPN!$B$2:$E$297, 4, false)), 0, vlookup($A937, ESPN!$B$2:$E$297, 4, false))</f>
        <v>0</v>
      </c>
      <c r="I937" s="37">
        <f>if(ISNA(vlookup($A937,'Ultimate Draft Kit'!$B$2:$E$324,4, false)), 0, vlookup($A937,'Ultimate Draft Kit'!$B$2:$E$324, 4, false))</f>
        <v>0</v>
      </c>
      <c r="J937" s="38">
        <f>if(ISNA(vlookup($A937,Rotowire!$B$2:$E$1075,4, false)), 0, vlookup($A937,Rotowire!$B$2:$E$1075, 4, false))</f>
        <v>0</v>
      </c>
      <c r="K937" s="37">
        <f>if(ISNA(vlookup($A937, FantasyPro!$B$2:$E$341,4,false)),0,vlookup($A937,FantasyPro!$B$2:$E$341,4,false))</f>
        <v>0</v>
      </c>
      <c r="L937" s="37">
        <f>if(ISNA(vlookup($A937, FFToolbox!$B$2:$E$414, 4, false)), 0, vlookup($A937, FFToolbox!$B$2:$E$414, 4, false))</f>
        <v>0</v>
      </c>
      <c r="M937" s="39">
        <f t="shared" si="1"/>
        <v>0</v>
      </c>
      <c r="N937" s="39">
        <f t="shared" si="2"/>
        <v>0</v>
      </c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</row>
    <row r="938">
      <c r="A938" s="17" t="s">
        <v>1178</v>
      </c>
      <c r="B938" s="35" t="s">
        <v>1259</v>
      </c>
      <c r="C938" s="35" t="s">
        <v>1260</v>
      </c>
      <c r="D938" s="36" t="s">
        <v>262</v>
      </c>
      <c r="E938" s="36" t="s">
        <v>8</v>
      </c>
      <c r="F938" s="36" t="str">
        <f>vlookup(D938,'Team Bye List'!$A$1:$B$33,2,False)</f>
        <v>#N/A</v>
      </c>
      <c r="G938" s="37">
        <f>if(ISNA(vlookup($A938, Sleeper!$B$2:$E$330, 4, false)), 0, vlookup($A938, Sleeper!$B$2:$E$330, 4, false))</f>
        <v>0</v>
      </c>
      <c r="H938" s="37">
        <f>if(ISNA(vlookup($A938, ESPN!$B$2:$E$297, 4, false)), 0, vlookup($A938, ESPN!$B$2:$E$297, 4, false))</f>
        <v>0</v>
      </c>
      <c r="I938" s="37">
        <f>if(ISNA(vlookup($A938,'Ultimate Draft Kit'!$B$2:$E$324,4, false)), 0, vlookup($A938,'Ultimate Draft Kit'!$B$2:$E$324, 4, false))</f>
        <v>0</v>
      </c>
      <c r="J938" s="38">
        <f>if(ISNA(vlookup($A938,Rotowire!$B$2:$E$1075,4, false)), 0, vlookup($A938,Rotowire!$B$2:$E$1075, 4, false))</f>
        <v>0</v>
      </c>
      <c r="K938" s="37">
        <f>if(ISNA(vlookup($A938, FantasyPro!$B$2:$E$341,4,false)),0,vlookup($A938,FantasyPro!$B$2:$E$341,4,false))</f>
        <v>0</v>
      </c>
      <c r="L938" s="37">
        <f>if(ISNA(vlookup($A938, FFToolbox!$B$2:$E$414, 4, false)), 0, vlookup($A938, FFToolbox!$B$2:$E$414, 4, false))</f>
        <v>0</v>
      </c>
      <c r="M938" s="39">
        <f t="shared" si="1"/>
        <v>0</v>
      </c>
      <c r="N938" s="39">
        <f t="shared" si="2"/>
        <v>0</v>
      </c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</row>
    <row r="939">
      <c r="A939" s="17" t="s">
        <v>1179</v>
      </c>
      <c r="B939" s="35" t="s">
        <v>1259</v>
      </c>
      <c r="C939" s="35" t="s">
        <v>1260</v>
      </c>
      <c r="D939" s="36" t="s">
        <v>262</v>
      </c>
      <c r="E939" s="36" t="s">
        <v>8</v>
      </c>
      <c r="F939" s="36" t="str">
        <f>vlookup(D939,'Team Bye List'!$A$1:$B$33,2,False)</f>
        <v>#N/A</v>
      </c>
      <c r="G939" s="37">
        <f>if(ISNA(vlookup($A939, Sleeper!$B$2:$E$330, 4, false)), 0, vlookup($A939, Sleeper!$B$2:$E$330, 4, false))</f>
        <v>0</v>
      </c>
      <c r="H939" s="37">
        <f>if(ISNA(vlookup($A939, ESPN!$B$2:$E$297, 4, false)), 0, vlookup($A939, ESPN!$B$2:$E$297, 4, false))</f>
        <v>0</v>
      </c>
      <c r="I939" s="37">
        <f>if(ISNA(vlookup($A939,'Ultimate Draft Kit'!$B$2:$E$324,4, false)), 0, vlookup($A939,'Ultimate Draft Kit'!$B$2:$E$324, 4, false))</f>
        <v>0</v>
      </c>
      <c r="J939" s="38">
        <f>if(ISNA(vlookup($A939,Rotowire!$B$2:$E$1075,4, false)), 0, vlookup($A939,Rotowire!$B$2:$E$1075, 4, false))</f>
        <v>0</v>
      </c>
      <c r="K939" s="37">
        <f>if(ISNA(vlookup($A939, FantasyPro!$B$2:$E$341,4,false)),0,vlookup($A939,FantasyPro!$B$2:$E$341,4,false))</f>
        <v>0</v>
      </c>
      <c r="L939" s="37">
        <f>if(ISNA(vlookup($A939, FFToolbox!$B$2:$E$414, 4, false)), 0, vlookup($A939, FFToolbox!$B$2:$E$414, 4, false))</f>
        <v>0</v>
      </c>
      <c r="M939" s="39">
        <f t="shared" si="1"/>
        <v>0</v>
      </c>
      <c r="N939" s="39">
        <f t="shared" si="2"/>
        <v>0</v>
      </c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</row>
    <row r="940">
      <c r="A940" s="17" t="s">
        <v>1180</v>
      </c>
      <c r="B940" s="35" t="s">
        <v>1259</v>
      </c>
      <c r="C940" s="35" t="s">
        <v>1260</v>
      </c>
      <c r="D940" s="36" t="s">
        <v>262</v>
      </c>
      <c r="E940" s="36" t="s">
        <v>8</v>
      </c>
      <c r="F940" s="36" t="str">
        <f>vlookup(D940,'Team Bye List'!$A$1:$B$33,2,False)</f>
        <v>#N/A</v>
      </c>
      <c r="G940" s="37">
        <f>if(ISNA(vlookup($A940, Sleeper!$B$2:$E$330, 4, false)), 0, vlookup($A940, Sleeper!$B$2:$E$330, 4, false))</f>
        <v>0</v>
      </c>
      <c r="H940" s="37">
        <f>if(ISNA(vlookup($A940, ESPN!$B$2:$E$297, 4, false)), 0, vlookup($A940, ESPN!$B$2:$E$297, 4, false))</f>
        <v>0</v>
      </c>
      <c r="I940" s="37">
        <f>if(ISNA(vlookup($A940,'Ultimate Draft Kit'!$B$2:$E$324,4, false)), 0, vlookup($A940,'Ultimate Draft Kit'!$B$2:$E$324, 4, false))</f>
        <v>0</v>
      </c>
      <c r="J940" s="38">
        <f>if(ISNA(vlookup($A940,Rotowire!$B$2:$E$1075,4, false)), 0, vlookup($A940,Rotowire!$B$2:$E$1075, 4, false))</f>
        <v>0</v>
      </c>
      <c r="K940" s="37">
        <f>if(ISNA(vlookup($A940, FantasyPro!$B$2:$E$341,4,false)),0,vlookup($A940,FantasyPro!$B$2:$E$341,4,false))</f>
        <v>0</v>
      </c>
      <c r="L940" s="37">
        <f>if(ISNA(vlookup($A940, FFToolbox!$B$2:$E$414, 4, false)), 0, vlookup($A940, FFToolbox!$B$2:$E$414, 4, false))</f>
        <v>0</v>
      </c>
      <c r="M940" s="39">
        <f t="shared" si="1"/>
        <v>0</v>
      </c>
      <c r="N940" s="39">
        <f t="shared" si="2"/>
        <v>0</v>
      </c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</row>
    <row r="941">
      <c r="A941" s="17" t="s">
        <v>363</v>
      </c>
      <c r="B941" s="35" t="s">
        <v>1259</v>
      </c>
      <c r="C941" s="35" t="s">
        <v>1260</v>
      </c>
      <c r="D941" s="36" t="s">
        <v>262</v>
      </c>
      <c r="E941" s="36" t="s">
        <v>8</v>
      </c>
      <c r="F941" s="36" t="str">
        <f>vlookup(D941,'Team Bye List'!$A$1:$B$33,2,False)</f>
        <v>#N/A</v>
      </c>
      <c r="G941" s="37">
        <f>if(ISNA(vlookup($A941, Sleeper!$B$2:$E$330, 4, false)), 0, vlookup($A941, Sleeper!$B$2:$E$330, 4, false))</f>
        <v>0</v>
      </c>
      <c r="H941" s="37">
        <f>if(ISNA(vlookup($A941, ESPN!$B$2:$E$297, 4, false)), 0, vlookup($A941, ESPN!$B$2:$E$297, 4, false))</f>
        <v>0</v>
      </c>
      <c r="I941" s="37">
        <f>if(ISNA(vlookup($A941,'Ultimate Draft Kit'!$B$2:$E$324,4, false)), 0, vlookup($A941,'Ultimate Draft Kit'!$B$2:$E$324, 4, false))</f>
        <v>0</v>
      </c>
      <c r="J941" s="38">
        <f>if(ISNA(vlookup($A941,Rotowire!$B$2:$E$1075,4, false)), 0, vlookup($A941,Rotowire!$B$2:$E$1075, 4, false))</f>
        <v>0</v>
      </c>
      <c r="K941" s="37">
        <f>if(ISNA(vlookup($A941, FantasyPro!$B$2:$E$341,4,false)),0,vlookup($A941,FantasyPro!$B$2:$E$341,4,false))</f>
        <v>0</v>
      </c>
      <c r="L941" s="37">
        <f>if(ISNA(vlookup($A941, FFToolbox!$B$2:$E$414, 4, false)), 0, vlookup($A941, FFToolbox!$B$2:$E$414, 4, false))</f>
        <v>0</v>
      </c>
      <c r="M941" s="39">
        <f t="shared" si="1"/>
        <v>0</v>
      </c>
      <c r="N941" s="39">
        <f t="shared" si="2"/>
        <v>0</v>
      </c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</row>
    <row r="942">
      <c r="A942" s="17" t="s">
        <v>1181</v>
      </c>
      <c r="B942" s="35" t="s">
        <v>1259</v>
      </c>
      <c r="C942" s="35" t="s">
        <v>1260</v>
      </c>
      <c r="D942" s="36" t="s">
        <v>262</v>
      </c>
      <c r="E942" s="36" t="s">
        <v>8</v>
      </c>
      <c r="F942" s="36" t="str">
        <f>vlookup(D942,'Team Bye List'!$A$1:$B$33,2,False)</f>
        <v>#N/A</v>
      </c>
      <c r="G942" s="37">
        <f>if(ISNA(vlookup($A942, Sleeper!$B$2:$E$330, 4, false)), 0, vlookup($A942, Sleeper!$B$2:$E$330, 4, false))</f>
        <v>0</v>
      </c>
      <c r="H942" s="37">
        <f>if(ISNA(vlookup($A942, ESPN!$B$2:$E$297, 4, false)), 0, vlookup($A942, ESPN!$B$2:$E$297, 4, false))</f>
        <v>0</v>
      </c>
      <c r="I942" s="37">
        <f>if(ISNA(vlookup($A942,'Ultimate Draft Kit'!$B$2:$E$324,4, false)), 0, vlookup($A942,'Ultimate Draft Kit'!$B$2:$E$324, 4, false))</f>
        <v>0</v>
      </c>
      <c r="J942" s="38">
        <f>if(ISNA(vlookup($A942,Rotowire!$B$2:$E$1075,4, false)), 0, vlookup($A942,Rotowire!$B$2:$E$1075, 4, false))</f>
        <v>0</v>
      </c>
      <c r="K942" s="37">
        <f>if(ISNA(vlookup($A942, FantasyPro!$B$2:$E$341,4,false)),0,vlookup($A942,FantasyPro!$B$2:$E$341,4,false))</f>
        <v>0</v>
      </c>
      <c r="L942" s="37">
        <f>if(ISNA(vlookup($A942, FFToolbox!$B$2:$E$414, 4, false)), 0, vlookup($A942, FFToolbox!$B$2:$E$414, 4, false))</f>
        <v>0</v>
      </c>
      <c r="M942" s="39">
        <f t="shared" si="1"/>
        <v>0</v>
      </c>
      <c r="N942" s="39">
        <f t="shared" si="2"/>
        <v>0</v>
      </c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</row>
    <row r="943">
      <c r="A943" s="17" t="s">
        <v>415</v>
      </c>
      <c r="B943" s="35" t="s">
        <v>1259</v>
      </c>
      <c r="C943" s="35" t="s">
        <v>1260</v>
      </c>
      <c r="D943" s="36" t="s">
        <v>81</v>
      </c>
      <c r="E943" s="36" t="s">
        <v>8</v>
      </c>
      <c r="F943" s="36">
        <f>vlookup(D943,'Team Bye List'!$A$1:$B$33,2,False)</f>
        <v>6</v>
      </c>
      <c r="G943" s="37">
        <f>if(ISNA(vlookup($A943, Sleeper!$B$2:$E$330, 4, false)), 0, vlookup($A943, Sleeper!$B$2:$E$330, 4, false))</f>
        <v>0</v>
      </c>
      <c r="H943" s="37">
        <f>if(ISNA(vlookup($A943, ESPN!$B$2:$E$297, 4, false)), 0, vlookup($A943, ESPN!$B$2:$E$297, 4, false))</f>
        <v>0</v>
      </c>
      <c r="I943" s="37">
        <f>if(ISNA(vlookup($A943,'Ultimate Draft Kit'!$B$2:$E$324,4, false)), 0, vlookup($A943,'Ultimate Draft Kit'!$B$2:$E$324, 4, false))</f>
        <v>0</v>
      </c>
      <c r="J943" s="38">
        <f>if(ISNA(vlookup($A943,Rotowire!$B$2:$E$1075,4, false)), 0, vlookup($A943,Rotowire!$B$2:$E$1075, 4, false))</f>
        <v>0</v>
      </c>
      <c r="K943" s="37">
        <f>if(ISNA(vlookup($A943, FantasyPro!$B$2:$E$341,4,false)),0,vlookup($A943,FantasyPro!$B$2:$E$341,4,false))</f>
        <v>0</v>
      </c>
      <c r="L943" s="37">
        <f>if(ISNA(vlookup($A943, FFToolbox!$B$2:$E$414, 4, false)), 0, vlookup($A943, FFToolbox!$B$2:$E$414, 4, false))</f>
        <v>1</v>
      </c>
      <c r="M943" s="39">
        <f t="shared" si="1"/>
        <v>0.1666666667</v>
      </c>
      <c r="N943" s="39">
        <f t="shared" si="2"/>
        <v>1</v>
      </c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</row>
    <row r="944">
      <c r="A944" s="17" t="s">
        <v>1182</v>
      </c>
      <c r="B944" s="35" t="s">
        <v>1259</v>
      </c>
      <c r="C944" s="35" t="s">
        <v>1260</v>
      </c>
      <c r="D944" s="36" t="s">
        <v>262</v>
      </c>
      <c r="E944" s="36" t="s">
        <v>8</v>
      </c>
      <c r="F944" s="36" t="str">
        <f>vlookup(D944,'Team Bye List'!$A$1:$B$33,2,False)</f>
        <v>#N/A</v>
      </c>
      <c r="G944" s="37">
        <f>if(ISNA(vlookup($A944, Sleeper!$B$2:$E$330, 4, false)), 0, vlookup($A944, Sleeper!$B$2:$E$330, 4, false))</f>
        <v>0</v>
      </c>
      <c r="H944" s="37">
        <f>if(ISNA(vlookup($A944, ESPN!$B$2:$E$297, 4, false)), 0, vlookup($A944, ESPN!$B$2:$E$297, 4, false))</f>
        <v>0</v>
      </c>
      <c r="I944" s="37">
        <f>if(ISNA(vlookup($A944,'Ultimate Draft Kit'!$B$2:$E$324,4, false)), 0, vlookup($A944,'Ultimate Draft Kit'!$B$2:$E$324, 4, false))</f>
        <v>0</v>
      </c>
      <c r="J944" s="38">
        <f>if(ISNA(vlookup($A944,Rotowire!$B$2:$E$1075,4, false)), 0, vlookup($A944,Rotowire!$B$2:$E$1075, 4, false))</f>
        <v>0</v>
      </c>
      <c r="K944" s="37">
        <f>if(ISNA(vlookup($A944, FantasyPro!$B$2:$E$341,4,false)),0,vlookup($A944,FantasyPro!$B$2:$E$341,4,false))</f>
        <v>0</v>
      </c>
      <c r="L944" s="37">
        <f>if(ISNA(vlookup($A944, FFToolbox!$B$2:$E$414, 4, false)), 0, vlookup($A944, FFToolbox!$B$2:$E$414, 4, false))</f>
        <v>0</v>
      </c>
      <c r="M944" s="39">
        <f t="shared" si="1"/>
        <v>0</v>
      </c>
      <c r="N944" s="39">
        <f t="shared" si="2"/>
        <v>0</v>
      </c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</row>
    <row r="945">
      <c r="A945" s="17" t="s">
        <v>237</v>
      </c>
      <c r="B945" s="35" t="s">
        <v>1259</v>
      </c>
      <c r="C945" s="35" t="s">
        <v>1260</v>
      </c>
      <c r="D945" s="36" t="s">
        <v>262</v>
      </c>
      <c r="E945" s="36" t="s">
        <v>8</v>
      </c>
      <c r="F945" s="36" t="str">
        <f>vlookup(D945,'Team Bye List'!$A$1:$B$33,2,False)</f>
        <v>#N/A</v>
      </c>
      <c r="G945" s="37">
        <f>if(ISNA(vlookup($A945, Sleeper!$B$2:$E$330, 4, false)), 0, vlookup($A945, Sleeper!$B$2:$E$330, 4, false))</f>
        <v>0</v>
      </c>
      <c r="H945" s="37">
        <f>if(ISNA(vlookup($A945, ESPN!$B$2:$E$297, 4, false)), 0, vlookup($A945, ESPN!$B$2:$E$297, 4, false))</f>
        <v>0</v>
      </c>
      <c r="I945" s="37">
        <f>if(ISNA(vlookup($A945,'Ultimate Draft Kit'!$B$2:$E$324,4, false)), 0, vlookup($A945,'Ultimate Draft Kit'!$B$2:$E$324, 4, false))</f>
        <v>0</v>
      </c>
      <c r="J945" s="38">
        <f>if(ISNA(vlookup($A945,Rotowire!$B$2:$E$1075,4, false)), 0, vlookup($A945,Rotowire!$B$2:$E$1075, 4, false))</f>
        <v>0</v>
      </c>
      <c r="K945" s="37">
        <f>if(ISNA(vlookup($A945, FantasyPro!$B$2:$E$341,4,false)),0,vlookup($A945,FantasyPro!$B$2:$E$341,4,false))</f>
        <v>0</v>
      </c>
      <c r="L945" s="37">
        <f>if(ISNA(vlookup($A945, FFToolbox!$B$2:$E$414, 4, false)), 0, vlookup($A945, FFToolbox!$B$2:$E$414, 4, false))</f>
        <v>1</v>
      </c>
      <c r="M945" s="39">
        <f t="shared" si="1"/>
        <v>0.1666666667</v>
      </c>
      <c r="N945" s="39">
        <f t="shared" si="2"/>
        <v>1</v>
      </c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</row>
    <row r="946">
      <c r="A946" s="17" t="s">
        <v>1183</v>
      </c>
      <c r="B946" s="35" t="s">
        <v>1259</v>
      </c>
      <c r="C946" s="35" t="s">
        <v>1260</v>
      </c>
      <c r="D946" s="36" t="s">
        <v>262</v>
      </c>
      <c r="E946" s="36" t="s">
        <v>8</v>
      </c>
      <c r="F946" s="36" t="str">
        <f>vlookup(D946,'Team Bye List'!$A$1:$B$33,2,False)</f>
        <v>#N/A</v>
      </c>
      <c r="G946" s="37">
        <f>if(ISNA(vlookup($A946, Sleeper!$B$2:$E$330, 4, false)), 0, vlookup($A946, Sleeper!$B$2:$E$330, 4, false))</f>
        <v>0</v>
      </c>
      <c r="H946" s="37">
        <f>if(ISNA(vlookup($A946, ESPN!$B$2:$E$297, 4, false)), 0, vlookup($A946, ESPN!$B$2:$E$297, 4, false))</f>
        <v>0</v>
      </c>
      <c r="I946" s="37">
        <f>if(ISNA(vlookup($A946,'Ultimate Draft Kit'!$B$2:$E$324,4, false)), 0, vlookup($A946,'Ultimate Draft Kit'!$B$2:$E$324, 4, false))</f>
        <v>0</v>
      </c>
      <c r="J946" s="38">
        <f>if(ISNA(vlookup($A946,Rotowire!$B$2:$E$1075,4, false)), 0, vlookup($A946,Rotowire!$B$2:$E$1075, 4, false))</f>
        <v>0</v>
      </c>
      <c r="K946" s="37">
        <f>if(ISNA(vlookup($A946, FantasyPro!$B$2:$E$341,4,false)),0,vlookup($A946,FantasyPro!$B$2:$E$341,4,false))</f>
        <v>0</v>
      </c>
      <c r="L946" s="37">
        <f>if(ISNA(vlookup($A946, FFToolbox!$B$2:$E$414, 4, false)), 0, vlookup($A946, FFToolbox!$B$2:$E$414, 4, false))</f>
        <v>0</v>
      </c>
      <c r="M946" s="39">
        <f t="shared" si="1"/>
        <v>0</v>
      </c>
      <c r="N946" s="39">
        <f t="shared" si="2"/>
        <v>0</v>
      </c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</row>
    <row r="947">
      <c r="A947" s="17" t="s">
        <v>1184</v>
      </c>
      <c r="B947" s="35" t="s">
        <v>1259</v>
      </c>
      <c r="C947" s="35" t="s">
        <v>1260</v>
      </c>
      <c r="D947" s="36" t="s">
        <v>262</v>
      </c>
      <c r="E947" s="36" t="s">
        <v>8</v>
      </c>
      <c r="F947" s="36" t="str">
        <f>vlookup(D947,'Team Bye List'!$A$1:$B$33,2,False)</f>
        <v>#N/A</v>
      </c>
      <c r="G947" s="37">
        <f>if(ISNA(vlookup($A947, Sleeper!$B$2:$E$330, 4, false)), 0, vlookup($A947, Sleeper!$B$2:$E$330, 4, false))</f>
        <v>0</v>
      </c>
      <c r="H947" s="37">
        <f>if(ISNA(vlookup($A947, ESPN!$B$2:$E$297, 4, false)), 0, vlookup($A947, ESPN!$B$2:$E$297, 4, false))</f>
        <v>0</v>
      </c>
      <c r="I947" s="37">
        <f>if(ISNA(vlookup($A947,'Ultimate Draft Kit'!$B$2:$E$324,4, false)), 0, vlookup($A947,'Ultimate Draft Kit'!$B$2:$E$324, 4, false))</f>
        <v>0</v>
      </c>
      <c r="J947" s="38">
        <f>if(ISNA(vlookup($A947,Rotowire!$B$2:$E$1075,4, false)), 0, vlookup($A947,Rotowire!$B$2:$E$1075, 4, false))</f>
        <v>0</v>
      </c>
      <c r="K947" s="37">
        <f>if(ISNA(vlookup($A947, FantasyPro!$B$2:$E$341,4,false)),0,vlookup($A947,FantasyPro!$B$2:$E$341,4,false))</f>
        <v>0</v>
      </c>
      <c r="L947" s="37">
        <f>if(ISNA(vlookup($A947, FFToolbox!$B$2:$E$414, 4, false)), 0, vlookup($A947, FFToolbox!$B$2:$E$414, 4, false))</f>
        <v>0</v>
      </c>
      <c r="M947" s="39">
        <f t="shared" si="1"/>
        <v>0</v>
      </c>
      <c r="N947" s="39">
        <f t="shared" si="2"/>
        <v>0</v>
      </c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</row>
    <row r="948">
      <c r="A948" s="17" t="s">
        <v>1185</v>
      </c>
      <c r="B948" s="35" t="s">
        <v>1259</v>
      </c>
      <c r="C948" s="35" t="s">
        <v>1260</v>
      </c>
      <c r="D948" s="36" t="s">
        <v>73</v>
      </c>
      <c r="E948" s="36" t="s">
        <v>8</v>
      </c>
      <c r="F948" s="36">
        <f>vlookup(D948,'Team Bye List'!$A$1:$B$33,2,False)</f>
        <v>14</v>
      </c>
      <c r="G948" s="37">
        <f>if(ISNA(vlookup($A948, Sleeper!$B$2:$E$330, 4, false)), 0, vlookup($A948, Sleeper!$B$2:$E$330, 4, false))</f>
        <v>0</v>
      </c>
      <c r="H948" s="37">
        <f>if(ISNA(vlookup($A948, ESPN!$B$2:$E$297, 4, false)), 0, vlookup($A948, ESPN!$B$2:$E$297, 4, false))</f>
        <v>0</v>
      </c>
      <c r="I948" s="37">
        <f>if(ISNA(vlookup($A948,'Ultimate Draft Kit'!$B$2:$E$324,4, false)), 0, vlookup($A948,'Ultimate Draft Kit'!$B$2:$E$324, 4, false))</f>
        <v>0</v>
      </c>
      <c r="J948" s="38">
        <f>if(ISNA(vlookup($A948,Rotowire!$B$2:$E$1075,4, false)), 0, vlookup($A948,Rotowire!$B$2:$E$1075, 4, false))</f>
        <v>0</v>
      </c>
      <c r="K948" s="37">
        <f>if(ISNA(vlookup($A948, FantasyPro!$B$2:$E$341,4,false)),0,vlookup($A948,FantasyPro!$B$2:$E$341,4,false))</f>
        <v>0</v>
      </c>
      <c r="L948" s="37">
        <f>if(ISNA(vlookup($A948, FFToolbox!$B$2:$E$414, 4, false)), 0, vlookup($A948, FFToolbox!$B$2:$E$414, 4, false))</f>
        <v>0</v>
      </c>
      <c r="M948" s="39">
        <f t="shared" si="1"/>
        <v>0</v>
      </c>
      <c r="N948" s="39">
        <f t="shared" si="2"/>
        <v>0</v>
      </c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</row>
    <row r="949">
      <c r="A949" s="17" t="s">
        <v>1186</v>
      </c>
      <c r="B949" s="35" t="s">
        <v>1259</v>
      </c>
      <c r="C949" s="35" t="s">
        <v>1260</v>
      </c>
      <c r="D949" s="36" t="s">
        <v>39</v>
      </c>
      <c r="E949" s="36" t="s">
        <v>8</v>
      </c>
      <c r="F949" s="36">
        <f>vlookup(D949,'Team Bye List'!$A$1:$B$33,2,False)</f>
        <v>11</v>
      </c>
      <c r="G949" s="37">
        <f>if(ISNA(vlookup($A949, Sleeper!$B$2:$E$330, 4, false)), 0, vlookup($A949, Sleeper!$B$2:$E$330, 4, false))</f>
        <v>0</v>
      </c>
      <c r="H949" s="37">
        <f>if(ISNA(vlookup($A949, ESPN!$B$2:$E$297, 4, false)), 0, vlookup($A949, ESPN!$B$2:$E$297, 4, false))</f>
        <v>0</v>
      </c>
      <c r="I949" s="37">
        <f>if(ISNA(vlookup($A949,'Ultimate Draft Kit'!$B$2:$E$324,4, false)), 0, vlookup($A949,'Ultimate Draft Kit'!$B$2:$E$324, 4, false))</f>
        <v>0</v>
      </c>
      <c r="J949" s="38">
        <f>if(ISNA(vlookup($A949,Rotowire!$B$2:$E$1075,4, false)), 0, vlookup($A949,Rotowire!$B$2:$E$1075, 4, false))</f>
        <v>0</v>
      </c>
      <c r="K949" s="37">
        <f>if(ISNA(vlookup($A949, FantasyPro!$B$2:$E$341,4,false)),0,vlookup($A949,FantasyPro!$B$2:$E$341,4,false))</f>
        <v>0</v>
      </c>
      <c r="L949" s="37">
        <f>if(ISNA(vlookup($A949, FFToolbox!$B$2:$E$414, 4, false)), 0, vlookup($A949, FFToolbox!$B$2:$E$414, 4, false))</f>
        <v>0</v>
      </c>
      <c r="M949" s="39">
        <f t="shared" si="1"/>
        <v>0</v>
      </c>
      <c r="N949" s="39">
        <f t="shared" si="2"/>
        <v>0</v>
      </c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</row>
    <row r="950">
      <c r="A950" s="17" t="s">
        <v>384</v>
      </c>
      <c r="B950" s="35" t="s">
        <v>1259</v>
      </c>
      <c r="C950" s="35" t="s">
        <v>1260</v>
      </c>
      <c r="D950" s="36" t="s">
        <v>262</v>
      </c>
      <c r="E950" s="36" t="s">
        <v>8</v>
      </c>
      <c r="F950" s="36" t="str">
        <f>vlookup(D950,'Team Bye List'!$A$1:$B$33,2,False)</f>
        <v>#N/A</v>
      </c>
      <c r="G950" s="37">
        <f>if(ISNA(vlookup($A950, Sleeper!$B$2:$E$330, 4, false)), 0, vlookup($A950, Sleeper!$B$2:$E$330, 4, false))</f>
        <v>0</v>
      </c>
      <c r="H950" s="37">
        <f>if(ISNA(vlookup($A950, ESPN!$B$2:$E$297, 4, false)), 0, vlookup($A950, ESPN!$B$2:$E$297, 4, false))</f>
        <v>0</v>
      </c>
      <c r="I950" s="37">
        <f>if(ISNA(vlookup($A950,'Ultimate Draft Kit'!$B$2:$E$324,4, false)), 0, vlookup($A950,'Ultimate Draft Kit'!$B$2:$E$324, 4, false))</f>
        <v>0</v>
      </c>
      <c r="J950" s="38">
        <f>if(ISNA(vlookup($A950,Rotowire!$B$2:$E$1075,4, false)), 0, vlookup($A950,Rotowire!$B$2:$E$1075, 4, false))</f>
        <v>0</v>
      </c>
      <c r="K950" s="37">
        <f>if(ISNA(vlookup($A950, FantasyPro!$B$2:$E$341,4,false)),0,vlookup($A950,FantasyPro!$B$2:$E$341,4,false))</f>
        <v>0</v>
      </c>
      <c r="L950" s="37">
        <f>if(ISNA(vlookup($A950, FFToolbox!$B$2:$E$414, 4, false)), 0, vlookup($A950, FFToolbox!$B$2:$E$414, 4, false))</f>
        <v>0</v>
      </c>
      <c r="M950" s="39">
        <f t="shared" si="1"/>
        <v>0</v>
      </c>
      <c r="N950" s="39">
        <f t="shared" si="2"/>
        <v>0</v>
      </c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</row>
    <row r="951">
      <c r="A951" s="17" t="s">
        <v>1187</v>
      </c>
      <c r="B951" s="35" t="s">
        <v>1259</v>
      </c>
      <c r="C951" s="35" t="s">
        <v>1260</v>
      </c>
      <c r="D951" s="36" t="s">
        <v>262</v>
      </c>
      <c r="E951" s="36" t="s">
        <v>8</v>
      </c>
      <c r="F951" s="36" t="str">
        <f>vlookup(D951,'Team Bye List'!$A$1:$B$33,2,False)</f>
        <v>#N/A</v>
      </c>
      <c r="G951" s="37">
        <f>if(ISNA(vlookup($A951, Sleeper!$B$2:$E$330, 4, false)), 0, vlookup($A951, Sleeper!$B$2:$E$330, 4, false))</f>
        <v>0</v>
      </c>
      <c r="H951" s="37">
        <f>if(ISNA(vlookup($A951, ESPN!$B$2:$E$297, 4, false)), 0, vlookup($A951, ESPN!$B$2:$E$297, 4, false))</f>
        <v>0</v>
      </c>
      <c r="I951" s="37">
        <f>if(ISNA(vlookup($A951,'Ultimate Draft Kit'!$B$2:$E$324,4, false)), 0, vlookup($A951,'Ultimate Draft Kit'!$B$2:$E$324, 4, false))</f>
        <v>0</v>
      </c>
      <c r="J951" s="38">
        <f>if(ISNA(vlookup($A951,Rotowire!$B$2:$E$1075,4, false)), 0, vlookup($A951,Rotowire!$B$2:$E$1075, 4, false))</f>
        <v>0</v>
      </c>
      <c r="K951" s="37">
        <f>if(ISNA(vlookup($A951, FantasyPro!$B$2:$E$341,4,false)),0,vlookup($A951,FantasyPro!$B$2:$E$341,4,false))</f>
        <v>0</v>
      </c>
      <c r="L951" s="37">
        <f>if(ISNA(vlookup($A951, FFToolbox!$B$2:$E$414, 4, false)), 0, vlookup($A951, FFToolbox!$B$2:$E$414, 4, false))</f>
        <v>0</v>
      </c>
      <c r="M951" s="39">
        <f t="shared" si="1"/>
        <v>0</v>
      </c>
      <c r="N951" s="39">
        <f t="shared" si="2"/>
        <v>0</v>
      </c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</row>
    <row r="952">
      <c r="A952" s="17" t="s">
        <v>379</v>
      </c>
      <c r="B952" s="35" t="s">
        <v>1259</v>
      </c>
      <c r="C952" s="35" t="s">
        <v>1260</v>
      </c>
      <c r="D952" s="36" t="s">
        <v>262</v>
      </c>
      <c r="E952" s="36" t="s">
        <v>8</v>
      </c>
      <c r="F952" s="36" t="str">
        <f>vlookup(D952,'Team Bye List'!$A$1:$B$33,2,False)</f>
        <v>#N/A</v>
      </c>
      <c r="G952" s="37">
        <f>if(ISNA(vlookup($A952, Sleeper!$B$2:$E$330, 4, false)), 0, vlookup($A952, Sleeper!$B$2:$E$330, 4, false))</f>
        <v>0</v>
      </c>
      <c r="H952" s="37">
        <f>if(ISNA(vlookup($A952, ESPN!$B$2:$E$297, 4, false)), 0, vlookup($A952, ESPN!$B$2:$E$297, 4, false))</f>
        <v>0</v>
      </c>
      <c r="I952" s="37">
        <f>if(ISNA(vlookup($A952,'Ultimate Draft Kit'!$B$2:$E$324,4, false)), 0, vlookup($A952,'Ultimate Draft Kit'!$B$2:$E$324, 4, false))</f>
        <v>0</v>
      </c>
      <c r="J952" s="38">
        <f>if(ISNA(vlookup($A952,Rotowire!$B$2:$E$1075,4, false)), 0, vlookup($A952,Rotowire!$B$2:$E$1075, 4, false))</f>
        <v>0</v>
      </c>
      <c r="K952" s="37">
        <f>if(ISNA(vlookup($A952, FantasyPro!$B$2:$E$341,4,false)),0,vlookup($A952,FantasyPro!$B$2:$E$341,4,false))</f>
        <v>0</v>
      </c>
      <c r="L952" s="37">
        <f>if(ISNA(vlookup($A952, FFToolbox!$B$2:$E$414, 4, false)), 0, vlookup($A952, FFToolbox!$B$2:$E$414, 4, false))</f>
        <v>0</v>
      </c>
      <c r="M952" s="39">
        <f t="shared" si="1"/>
        <v>0</v>
      </c>
      <c r="N952" s="39">
        <f t="shared" si="2"/>
        <v>0</v>
      </c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</row>
    <row r="953">
      <c r="A953" s="17" t="s">
        <v>437</v>
      </c>
      <c r="B953" s="35" t="s">
        <v>1259</v>
      </c>
      <c r="C953" s="35" t="s">
        <v>1260</v>
      </c>
      <c r="D953" s="36" t="s">
        <v>21</v>
      </c>
      <c r="E953" s="36" t="s">
        <v>8</v>
      </c>
      <c r="F953" s="36">
        <f>vlookup(D953,'Team Bye List'!$A$1:$B$33,2,False)</f>
        <v>6</v>
      </c>
      <c r="G953" s="37">
        <f>if(ISNA(vlookup($A953, Sleeper!$B$2:$E$330, 4, false)), 0, vlookup($A953, Sleeper!$B$2:$E$330, 4, false))</f>
        <v>0</v>
      </c>
      <c r="H953" s="37">
        <f>if(ISNA(vlookup($A953, ESPN!$B$2:$E$297, 4, false)), 0, vlookup($A953, ESPN!$B$2:$E$297, 4, false))</f>
        <v>0</v>
      </c>
      <c r="I953" s="37">
        <f>if(ISNA(vlookup($A953,'Ultimate Draft Kit'!$B$2:$E$324,4, false)), 0, vlookup($A953,'Ultimate Draft Kit'!$B$2:$E$324, 4, false))</f>
        <v>0</v>
      </c>
      <c r="J953" s="38">
        <f>if(ISNA(vlookup($A953,Rotowire!$B$2:$E$1075,4, false)), 0, vlookup($A953,Rotowire!$B$2:$E$1075, 4, false))</f>
        <v>0</v>
      </c>
      <c r="K953" s="37">
        <f>if(ISNA(vlookup($A953, FantasyPro!$B$2:$E$341,4,false)),0,vlookup($A953,FantasyPro!$B$2:$E$341,4,false))</f>
        <v>0</v>
      </c>
      <c r="L953" s="37">
        <f>if(ISNA(vlookup($A953, FFToolbox!$B$2:$E$414, 4, false)), 0, vlookup($A953, FFToolbox!$B$2:$E$414, 4, false))</f>
        <v>0</v>
      </c>
      <c r="M953" s="39">
        <f t="shared" si="1"/>
        <v>0</v>
      </c>
      <c r="N953" s="39">
        <f t="shared" si="2"/>
        <v>0</v>
      </c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</row>
    <row r="954">
      <c r="A954" s="17" t="s">
        <v>1188</v>
      </c>
      <c r="B954" s="35" t="s">
        <v>1259</v>
      </c>
      <c r="C954" s="35" t="s">
        <v>1260</v>
      </c>
      <c r="D954" s="36" t="s">
        <v>262</v>
      </c>
      <c r="E954" s="36" t="s">
        <v>8</v>
      </c>
      <c r="F954" s="36" t="str">
        <f>vlookup(D954,'Team Bye List'!$A$1:$B$33,2,False)</f>
        <v>#N/A</v>
      </c>
      <c r="G954" s="37">
        <f>if(ISNA(vlookup($A954, Sleeper!$B$2:$E$330, 4, false)), 0, vlookup($A954, Sleeper!$B$2:$E$330, 4, false))</f>
        <v>0</v>
      </c>
      <c r="H954" s="37">
        <f>if(ISNA(vlookup($A954, ESPN!$B$2:$E$297, 4, false)), 0, vlookup($A954, ESPN!$B$2:$E$297, 4, false))</f>
        <v>0</v>
      </c>
      <c r="I954" s="37">
        <f>if(ISNA(vlookup($A954,'Ultimate Draft Kit'!$B$2:$E$324,4, false)), 0, vlookup($A954,'Ultimate Draft Kit'!$B$2:$E$324, 4, false))</f>
        <v>0</v>
      </c>
      <c r="J954" s="38">
        <f>if(ISNA(vlookup($A954,Rotowire!$B$2:$E$1075,4, false)), 0, vlookup($A954,Rotowire!$B$2:$E$1075, 4, false))</f>
        <v>0</v>
      </c>
      <c r="K954" s="37">
        <f>if(ISNA(vlookup($A954, FantasyPro!$B$2:$E$341,4,false)),0,vlookup($A954,FantasyPro!$B$2:$E$341,4,false))</f>
        <v>0</v>
      </c>
      <c r="L954" s="37">
        <f>if(ISNA(vlookup($A954, FFToolbox!$B$2:$E$414, 4, false)), 0, vlookup($A954, FFToolbox!$B$2:$E$414, 4, false))</f>
        <v>0</v>
      </c>
      <c r="M954" s="39">
        <f t="shared" si="1"/>
        <v>0</v>
      </c>
      <c r="N954" s="39">
        <f t="shared" si="2"/>
        <v>0</v>
      </c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</row>
    <row r="955">
      <c r="A955" s="17" t="s">
        <v>1189</v>
      </c>
      <c r="B955" s="35" t="s">
        <v>1259</v>
      </c>
      <c r="C955" s="35" t="s">
        <v>1260</v>
      </c>
      <c r="D955" s="36" t="s">
        <v>262</v>
      </c>
      <c r="E955" s="36" t="s">
        <v>8</v>
      </c>
      <c r="F955" s="36" t="str">
        <f>vlookup(D955,'Team Bye List'!$A$1:$B$33,2,False)</f>
        <v>#N/A</v>
      </c>
      <c r="G955" s="37">
        <f>if(ISNA(vlookup($A955, Sleeper!$B$2:$E$330, 4, false)), 0, vlookup($A955, Sleeper!$B$2:$E$330, 4, false))</f>
        <v>0</v>
      </c>
      <c r="H955" s="37">
        <f>if(ISNA(vlookup($A955, ESPN!$B$2:$E$297, 4, false)), 0, vlookup($A955, ESPN!$B$2:$E$297, 4, false))</f>
        <v>0</v>
      </c>
      <c r="I955" s="37">
        <f>if(ISNA(vlookup($A955,'Ultimate Draft Kit'!$B$2:$E$324,4, false)), 0, vlookup($A955,'Ultimate Draft Kit'!$B$2:$E$324, 4, false))</f>
        <v>0</v>
      </c>
      <c r="J955" s="38">
        <f>if(ISNA(vlookup($A955,Rotowire!$B$2:$E$1075,4, false)), 0, vlookup($A955,Rotowire!$B$2:$E$1075, 4, false))</f>
        <v>0</v>
      </c>
      <c r="K955" s="37">
        <f>if(ISNA(vlookup($A955, FantasyPro!$B$2:$E$341,4,false)),0,vlookup($A955,FantasyPro!$B$2:$E$341,4,false))</f>
        <v>0</v>
      </c>
      <c r="L955" s="37">
        <f>if(ISNA(vlookup($A955, FFToolbox!$B$2:$E$414, 4, false)), 0, vlookup($A955, FFToolbox!$B$2:$E$414, 4, false))</f>
        <v>0</v>
      </c>
      <c r="M955" s="39">
        <f t="shared" si="1"/>
        <v>0</v>
      </c>
      <c r="N955" s="39">
        <f t="shared" si="2"/>
        <v>0</v>
      </c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</row>
    <row r="956">
      <c r="A956" s="17" t="s">
        <v>1190</v>
      </c>
      <c r="B956" s="35" t="s">
        <v>1259</v>
      </c>
      <c r="C956" s="35" t="s">
        <v>1260</v>
      </c>
      <c r="D956" s="36" t="s">
        <v>262</v>
      </c>
      <c r="E956" s="36" t="s">
        <v>8</v>
      </c>
      <c r="F956" s="36" t="str">
        <f>vlookup(D956,'Team Bye List'!$A$1:$B$33,2,False)</f>
        <v>#N/A</v>
      </c>
      <c r="G956" s="37">
        <f>if(ISNA(vlookup($A956, Sleeper!$B$2:$E$330, 4, false)), 0, vlookup($A956, Sleeper!$B$2:$E$330, 4, false))</f>
        <v>0</v>
      </c>
      <c r="H956" s="37">
        <f>if(ISNA(vlookup($A956, ESPN!$B$2:$E$297, 4, false)), 0, vlookup($A956, ESPN!$B$2:$E$297, 4, false))</f>
        <v>0</v>
      </c>
      <c r="I956" s="37">
        <f>if(ISNA(vlookup($A956,'Ultimate Draft Kit'!$B$2:$E$324,4, false)), 0, vlookup($A956,'Ultimate Draft Kit'!$B$2:$E$324, 4, false))</f>
        <v>0</v>
      </c>
      <c r="J956" s="38">
        <f>if(ISNA(vlookup($A956,Rotowire!$B$2:$E$1075,4, false)), 0, vlookup($A956,Rotowire!$B$2:$E$1075, 4, false))</f>
        <v>0</v>
      </c>
      <c r="K956" s="37">
        <f>if(ISNA(vlookup($A956, FantasyPro!$B$2:$E$341,4,false)),0,vlookup($A956,FantasyPro!$B$2:$E$341,4,false))</f>
        <v>0</v>
      </c>
      <c r="L956" s="37">
        <f>if(ISNA(vlookup($A956, FFToolbox!$B$2:$E$414, 4, false)), 0, vlookup($A956, FFToolbox!$B$2:$E$414, 4, false))</f>
        <v>0</v>
      </c>
      <c r="M956" s="39">
        <f t="shared" si="1"/>
        <v>0</v>
      </c>
      <c r="N956" s="39">
        <f t="shared" si="2"/>
        <v>0</v>
      </c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</row>
    <row r="957">
      <c r="A957" s="17" t="s">
        <v>1191</v>
      </c>
      <c r="B957" s="35" t="s">
        <v>1259</v>
      </c>
      <c r="C957" s="35" t="s">
        <v>1260</v>
      </c>
      <c r="D957" s="36" t="s">
        <v>62</v>
      </c>
      <c r="E957" s="36" t="s">
        <v>8</v>
      </c>
      <c r="F957" s="36">
        <f>vlookup(D957,'Team Bye List'!$A$1:$B$33,2,False)</f>
        <v>8</v>
      </c>
      <c r="G957" s="37">
        <f>if(ISNA(vlookup($A957, Sleeper!$B$2:$E$330, 4, false)), 0, vlookup($A957, Sleeper!$B$2:$E$330, 4, false))</f>
        <v>0</v>
      </c>
      <c r="H957" s="37">
        <f>if(ISNA(vlookup($A957, ESPN!$B$2:$E$297, 4, false)), 0, vlookup($A957, ESPN!$B$2:$E$297, 4, false))</f>
        <v>0</v>
      </c>
      <c r="I957" s="37">
        <f>if(ISNA(vlookup($A957,'Ultimate Draft Kit'!$B$2:$E$324,4, false)), 0, vlookup($A957,'Ultimate Draft Kit'!$B$2:$E$324, 4, false))</f>
        <v>0</v>
      </c>
      <c r="J957" s="38">
        <f>if(ISNA(vlookup($A957,Rotowire!$B$2:$E$1075,4, false)), 0, vlookup($A957,Rotowire!$B$2:$E$1075, 4, false))</f>
        <v>0</v>
      </c>
      <c r="K957" s="37">
        <f>if(ISNA(vlookup($A957, FantasyPro!$B$2:$E$341,4,false)),0,vlookup($A957,FantasyPro!$B$2:$E$341,4,false))</f>
        <v>0</v>
      </c>
      <c r="L957" s="37">
        <f>if(ISNA(vlookup($A957, FFToolbox!$B$2:$E$414, 4, false)), 0, vlookup($A957, FFToolbox!$B$2:$E$414, 4, false))</f>
        <v>0</v>
      </c>
      <c r="M957" s="39">
        <f t="shared" si="1"/>
        <v>0</v>
      </c>
      <c r="N957" s="39">
        <f t="shared" si="2"/>
        <v>0</v>
      </c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</row>
    <row r="958">
      <c r="A958" s="17" t="s">
        <v>1192</v>
      </c>
      <c r="B958" s="35" t="s">
        <v>1259</v>
      </c>
      <c r="C958" s="35" t="s">
        <v>1260</v>
      </c>
      <c r="D958" s="36" t="s">
        <v>262</v>
      </c>
      <c r="E958" s="36" t="s">
        <v>8</v>
      </c>
      <c r="F958" s="36" t="str">
        <f>vlookup(D958,'Team Bye List'!$A$1:$B$33,2,False)</f>
        <v>#N/A</v>
      </c>
      <c r="G958" s="37">
        <f>if(ISNA(vlookup($A958, Sleeper!$B$2:$E$330, 4, false)), 0, vlookup($A958, Sleeper!$B$2:$E$330, 4, false))</f>
        <v>0</v>
      </c>
      <c r="H958" s="37">
        <f>if(ISNA(vlookup($A958, ESPN!$B$2:$E$297, 4, false)), 0, vlookup($A958, ESPN!$B$2:$E$297, 4, false))</f>
        <v>0</v>
      </c>
      <c r="I958" s="37">
        <f>if(ISNA(vlookup($A958,'Ultimate Draft Kit'!$B$2:$E$324,4, false)), 0, vlookup($A958,'Ultimate Draft Kit'!$B$2:$E$324, 4, false))</f>
        <v>0</v>
      </c>
      <c r="J958" s="38">
        <f>if(ISNA(vlookup($A958,Rotowire!$B$2:$E$1075,4, false)), 0, vlookup($A958,Rotowire!$B$2:$E$1075, 4, false))</f>
        <v>0</v>
      </c>
      <c r="K958" s="37">
        <f>if(ISNA(vlookup($A958, FantasyPro!$B$2:$E$341,4,false)),0,vlookup($A958,FantasyPro!$B$2:$E$341,4,false))</f>
        <v>0</v>
      </c>
      <c r="L958" s="37">
        <f>if(ISNA(vlookup($A958, FFToolbox!$B$2:$E$414, 4, false)), 0, vlookup($A958, FFToolbox!$B$2:$E$414, 4, false))</f>
        <v>0</v>
      </c>
      <c r="M958" s="39">
        <f t="shared" si="1"/>
        <v>0</v>
      </c>
      <c r="N958" s="39">
        <f t="shared" si="2"/>
        <v>0</v>
      </c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</row>
    <row r="959">
      <c r="A959" s="17" t="s">
        <v>1193</v>
      </c>
      <c r="B959" s="35" t="s">
        <v>1259</v>
      </c>
      <c r="C959" s="35" t="s">
        <v>1260</v>
      </c>
      <c r="D959" s="36" t="s">
        <v>262</v>
      </c>
      <c r="E959" s="36" t="s">
        <v>8</v>
      </c>
      <c r="F959" s="36" t="str">
        <f>vlookup(D959,'Team Bye List'!$A$1:$B$33,2,False)</f>
        <v>#N/A</v>
      </c>
      <c r="G959" s="37">
        <f>if(ISNA(vlookup($A959, Sleeper!$B$2:$E$330, 4, false)), 0, vlookup($A959, Sleeper!$B$2:$E$330, 4, false))</f>
        <v>0</v>
      </c>
      <c r="H959" s="37">
        <f>if(ISNA(vlookup($A959, ESPN!$B$2:$E$297, 4, false)), 0, vlookup($A959, ESPN!$B$2:$E$297, 4, false))</f>
        <v>0</v>
      </c>
      <c r="I959" s="37">
        <f>if(ISNA(vlookup($A959,'Ultimate Draft Kit'!$B$2:$E$324,4, false)), 0, vlookup($A959,'Ultimate Draft Kit'!$B$2:$E$324, 4, false))</f>
        <v>0</v>
      </c>
      <c r="J959" s="38">
        <f>if(ISNA(vlookup($A959,Rotowire!$B$2:$E$1075,4, false)), 0, vlookup($A959,Rotowire!$B$2:$E$1075, 4, false))</f>
        <v>0</v>
      </c>
      <c r="K959" s="37">
        <f>if(ISNA(vlookup($A959, FantasyPro!$B$2:$E$341,4,false)),0,vlookup($A959,FantasyPro!$B$2:$E$341,4,false))</f>
        <v>0</v>
      </c>
      <c r="L959" s="37">
        <f>if(ISNA(vlookup($A959, FFToolbox!$B$2:$E$414, 4, false)), 0, vlookup($A959, FFToolbox!$B$2:$E$414, 4, false))</f>
        <v>0</v>
      </c>
      <c r="M959" s="39">
        <f t="shared" si="1"/>
        <v>0</v>
      </c>
      <c r="N959" s="39">
        <f t="shared" si="2"/>
        <v>0</v>
      </c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</row>
    <row r="960">
      <c r="A960" s="17" t="s">
        <v>1194</v>
      </c>
      <c r="B960" s="35" t="s">
        <v>1259</v>
      </c>
      <c r="C960" s="35" t="s">
        <v>1260</v>
      </c>
      <c r="D960" s="36" t="s">
        <v>262</v>
      </c>
      <c r="E960" s="36" t="s">
        <v>8</v>
      </c>
      <c r="F960" s="36" t="str">
        <f>vlookup(D960,'Team Bye List'!$A$1:$B$33,2,False)</f>
        <v>#N/A</v>
      </c>
      <c r="G960" s="37">
        <f>if(ISNA(vlookup($A960, Sleeper!$B$2:$E$330, 4, false)), 0, vlookup($A960, Sleeper!$B$2:$E$330, 4, false))</f>
        <v>0</v>
      </c>
      <c r="H960" s="37">
        <f>if(ISNA(vlookup($A960, ESPN!$B$2:$E$297, 4, false)), 0, vlookup($A960, ESPN!$B$2:$E$297, 4, false))</f>
        <v>0</v>
      </c>
      <c r="I960" s="37">
        <f>if(ISNA(vlookup($A960,'Ultimate Draft Kit'!$B$2:$E$324,4, false)), 0, vlookup($A960,'Ultimate Draft Kit'!$B$2:$E$324, 4, false))</f>
        <v>0</v>
      </c>
      <c r="J960" s="38">
        <f>if(ISNA(vlookup($A960,Rotowire!$B$2:$E$1075,4, false)), 0, vlookup($A960,Rotowire!$B$2:$E$1075, 4, false))</f>
        <v>0</v>
      </c>
      <c r="K960" s="37">
        <f>if(ISNA(vlookup($A960, FantasyPro!$B$2:$E$341,4,false)),0,vlookup($A960,FantasyPro!$B$2:$E$341,4,false))</f>
        <v>0</v>
      </c>
      <c r="L960" s="37">
        <f>if(ISNA(vlookup($A960, FFToolbox!$B$2:$E$414, 4, false)), 0, vlookup($A960, FFToolbox!$B$2:$E$414, 4, false))</f>
        <v>0</v>
      </c>
      <c r="M960" s="39">
        <f t="shared" si="1"/>
        <v>0</v>
      </c>
      <c r="N960" s="39">
        <f t="shared" si="2"/>
        <v>0</v>
      </c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</row>
    <row r="961">
      <c r="A961" s="17" t="s">
        <v>1195</v>
      </c>
      <c r="B961" s="35" t="s">
        <v>1259</v>
      </c>
      <c r="C961" s="35" t="s">
        <v>1260</v>
      </c>
      <c r="D961" s="36" t="s">
        <v>262</v>
      </c>
      <c r="E961" s="36" t="s">
        <v>8</v>
      </c>
      <c r="F961" s="36" t="str">
        <f>vlookup(D961,'Team Bye List'!$A$1:$B$33,2,False)</f>
        <v>#N/A</v>
      </c>
      <c r="G961" s="37">
        <f>if(ISNA(vlookup($A961, Sleeper!$B$2:$E$330, 4, false)), 0, vlookup($A961, Sleeper!$B$2:$E$330, 4, false))</f>
        <v>0</v>
      </c>
      <c r="H961" s="37">
        <f>if(ISNA(vlookup($A961, ESPN!$B$2:$E$297, 4, false)), 0, vlookup($A961, ESPN!$B$2:$E$297, 4, false))</f>
        <v>0</v>
      </c>
      <c r="I961" s="37">
        <f>if(ISNA(vlookup($A961,'Ultimate Draft Kit'!$B$2:$E$324,4, false)), 0, vlookup($A961,'Ultimate Draft Kit'!$B$2:$E$324, 4, false))</f>
        <v>0</v>
      </c>
      <c r="J961" s="38">
        <f>if(ISNA(vlookup($A961,Rotowire!$B$2:$E$1075,4, false)), 0, vlookup($A961,Rotowire!$B$2:$E$1075, 4, false))</f>
        <v>0</v>
      </c>
      <c r="K961" s="37">
        <f>if(ISNA(vlookup($A961, FantasyPro!$B$2:$E$341,4,false)),0,vlookup($A961,FantasyPro!$B$2:$E$341,4,false))</f>
        <v>0</v>
      </c>
      <c r="L961" s="37">
        <f>if(ISNA(vlookup($A961, FFToolbox!$B$2:$E$414, 4, false)), 0, vlookup($A961, FFToolbox!$B$2:$E$414, 4, false))</f>
        <v>0</v>
      </c>
      <c r="M961" s="39">
        <f t="shared" si="1"/>
        <v>0</v>
      </c>
      <c r="N961" s="39">
        <f t="shared" si="2"/>
        <v>0</v>
      </c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</row>
    <row r="962">
      <c r="A962" s="17" t="s">
        <v>435</v>
      </c>
      <c r="B962" s="35" t="s">
        <v>1259</v>
      </c>
      <c r="C962" s="35" t="s">
        <v>1260</v>
      </c>
      <c r="D962" s="36" t="s">
        <v>262</v>
      </c>
      <c r="E962" s="36" t="s">
        <v>8</v>
      </c>
      <c r="F962" s="36" t="str">
        <f>vlookup(D962,'Team Bye List'!$A$1:$B$33,2,False)</f>
        <v>#N/A</v>
      </c>
      <c r="G962" s="37">
        <f>if(ISNA(vlookup($A962, Sleeper!$B$2:$E$330, 4, false)), 0, vlookup($A962, Sleeper!$B$2:$E$330, 4, false))</f>
        <v>0</v>
      </c>
      <c r="H962" s="37">
        <f>if(ISNA(vlookup($A962, ESPN!$B$2:$E$297, 4, false)), 0, vlookup($A962, ESPN!$B$2:$E$297, 4, false))</f>
        <v>0</v>
      </c>
      <c r="I962" s="37">
        <f>if(ISNA(vlookup($A962,'Ultimate Draft Kit'!$B$2:$E$324,4, false)), 0, vlookup($A962,'Ultimate Draft Kit'!$B$2:$E$324, 4, false))</f>
        <v>0</v>
      </c>
      <c r="J962" s="38">
        <f>if(ISNA(vlookup($A962,Rotowire!$B$2:$E$1075,4, false)), 0, vlookup($A962,Rotowire!$B$2:$E$1075, 4, false))</f>
        <v>0</v>
      </c>
      <c r="K962" s="37">
        <f>if(ISNA(vlookup($A962, FantasyPro!$B$2:$E$341,4,false)),0,vlookup($A962,FantasyPro!$B$2:$E$341,4,false))</f>
        <v>0</v>
      </c>
      <c r="L962" s="37">
        <f>if(ISNA(vlookup($A962, FFToolbox!$B$2:$E$414, 4, false)), 0, vlookup($A962, FFToolbox!$B$2:$E$414, 4, false))</f>
        <v>0</v>
      </c>
      <c r="M962" s="39">
        <f t="shared" si="1"/>
        <v>0</v>
      </c>
      <c r="N962" s="39">
        <f t="shared" si="2"/>
        <v>0</v>
      </c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</row>
    <row r="963">
      <c r="A963" s="17" t="s">
        <v>447</v>
      </c>
      <c r="B963" s="35" t="s">
        <v>1259</v>
      </c>
      <c r="C963" s="35" t="s">
        <v>1260</v>
      </c>
      <c r="D963" s="36" t="s">
        <v>81</v>
      </c>
      <c r="E963" s="36" t="s">
        <v>8</v>
      </c>
      <c r="F963" s="36">
        <f>vlookup(D963,'Team Bye List'!$A$1:$B$33,2,False)</f>
        <v>6</v>
      </c>
      <c r="G963" s="37">
        <f>if(ISNA(vlookup($A963, Sleeper!$B$2:$E$330, 4, false)), 0, vlookup($A963, Sleeper!$B$2:$E$330, 4, false))</f>
        <v>0</v>
      </c>
      <c r="H963" s="37">
        <f>if(ISNA(vlookup($A963, ESPN!$B$2:$E$297, 4, false)), 0, vlookup($A963, ESPN!$B$2:$E$297, 4, false))</f>
        <v>0</v>
      </c>
      <c r="I963" s="37">
        <f>if(ISNA(vlookup($A963,'Ultimate Draft Kit'!$B$2:$E$324,4, false)), 0, vlookup($A963,'Ultimate Draft Kit'!$B$2:$E$324, 4, false))</f>
        <v>0</v>
      </c>
      <c r="J963" s="38">
        <f>if(ISNA(vlookup($A963,Rotowire!$B$2:$E$1075,4, false)), 0, vlookup($A963,Rotowire!$B$2:$E$1075, 4, false))</f>
        <v>0</v>
      </c>
      <c r="K963" s="37">
        <f>if(ISNA(vlookup($A963, FantasyPro!$B$2:$E$341,4,false)),0,vlookup($A963,FantasyPro!$B$2:$E$341,4,false))</f>
        <v>0</v>
      </c>
      <c r="L963" s="37">
        <f>if(ISNA(vlookup($A963, FFToolbox!$B$2:$E$414, 4, false)), 0, vlookup($A963, FFToolbox!$B$2:$E$414, 4, false))</f>
        <v>0</v>
      </c>
      <c r="M963" s="39">
        <f t="shared" si="1"/>
        <v>0</v>
      </c>
      <c r="N963" s="39">
        <f t="shared" si="2"/>
        <v>0</v>
      </c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</row>
    <row r="964">
      <c r="A964" s="17" t="s">
        <v>442</v>
      </c>
      <c r="B964" s="35" t="s">
        <v>1259</v>
      </c>
      <c r="C964" s="35" t="s">
        <v>1260</v>
      </c>
      <c r="D964" s="36" t="s">
        <v>73</v>
      </c>
      <c r="E964" s="36" t="s">
        <v>8</v>
      </c>
      <c r="F964" s="36">
        <f>vlookup(D964,'Team Bye List'!$A$1:$B$33,2,False)</f>
        <v>14</v>
      </c>
      <c r="G964" s="37">
        <f>if(ISNA(vlookup($A964, Sleeper!$B$2:$E$330, 4, false)), 0, vlookup($A964, Sleeper!$B$2:$E$330, 4, false))</f>
        <v>0</v>
      </c>
      <c r="H964" s="37">
        <f>if(ISNA(vlookup($A964, ESPN!$B$2:$E$297, 4, false)), 0, vlookup($A964, ESPN!$B$2:$E$297, 4, false))</f>
        <v>0</v>
      </c>
      <c r="I964" s="37">
        <f>if(ISNA(vlookup($A964,'Ultimate Draft Kit'!$B$2:$E$324,4, false)), 0, vlookup($A964,'Ultimate Draft Kit'!$B$2:$E$324, 4, false))</f>
        <v>0</v>
      </c>
      <c r="J964" s="38">
        <f>if(ISNA(vlookup($A964,Rotowire!$B$2:$E$1075,4, false)), 0, vlookup($A964,Rotowire!$B$2:$E$1075, 4, false))</f>
        <v>0</v>
      </c>
      <c r="K964" s="37">
        <f>if(ISNA(vlookup($A964, FantasyPro!$B$2:$E$341,4,false)),0,vlookup($A964,FantasyPro!$B$2:$E$341,4,false))</f>
        <v>0</v>
      </c>
      <c r="L964" s="37">
        <f>if(ISNA(vlookup($A964, FFToolbox!$B$2:$E$414, 4, false)), 0, vlookup($A964, FFToolbox!$B$2:$E$414, 4, false))</f>
        <v>0</v>
      </c>
      <c r="M964" s="39">
        <f t="shared" si="1"/>
        <v>0</v>
      </c>
      <c r="N964" s="39">
        <f t="shared" si="2"/>
        <v>0</v>
      </c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</row>
    <row r="965">
      <c r="A965" s="17" t="s">
        <v>1196</v>
      </c>
      <c r="B965" s="35" t="s">
        <v>1259</v>
      </c>
      <c r="C965" s="35" t="s">
        <v>1260</v>
      </c>
      <c r="D965" s="36" t="s">
        <v>262</v>
      </c>
      <c r="E965" s="36" t="s">
        <v>8</v>
      </c>
      <c r="F965" s="36" t="str">
        <f>vlookup(D965,'Team Bye List'!$A$1:$B$33,2,False)</f>
        <v>#N/A</v>
      </c>
      <c r="G965" s="37">
        <f>if(ISNA(vlookup($A965, Sleeper!$B$2:$E$330, 4, false)), 0, vlookup($A965, Sleeper!$B$2:$E$330, 4, false))</f>
        <v>0</v>
      </c>
      <c r="H965" s="37">
        <f>if(ISNA(vlookup($A965, ESPN!$B$2:$E$297, 4, false)), 0, vlookup($A965, ESPN!$B$2:$E$297, 4, false))</f>
        <v>0</v>
      </c>
      <c r="I965" s="37">
        <f>if(ISNA(vlookup($A965,'Ultimate Draft Kit'!$B$2:$E$324,4, false)), 0, vlookup($A965,'Ultimate Draft Kit'!$B$2:$E$324, 4, false))</f>
        <v>0</v>
      </c>
      <c r="J965" s="38">
        <f>if(ISNA(vlookup($A965,Rotowire!$B$2:$E$1075,4, false)), 0, vlookup($A965,Rotowire!$B$2:$E$1075, 4, false))</f>
        <v>0</v>
      </c>
      <c r="K965" s="37">
        <f>if(ISNA(vlookup($A965, FantasyPro!$B$2:$E$341,4,false)),0,vlookup($A965,FantasyPro!$B$2:$E$341,4,false))</f>
        <v>0</v>
      </c>
      <c r="L965" s="37">
        <f>if(ISNA(vlookup($A965, FFToolbox!$B$2:$E$414, 4, false)), 0, vlookup($A965, FFToolbox!$B$2:$E$414, 4, false))</f>
        <v>0</v>
      </c>
      <c r="M965" s="39">
        <f t="shared" si="1"/>
        <v>0</v>
      </c>
      <c r="N965" s="39">
        <f t="shared" si="2"/>
        <v>0</v>
      </c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</row>
    <row r="966">
      <c r="A966" s="17" t="s">
        <v>1197</v>
      </c>
      <c r="B966" s="35" t="s">
        <v>1259</v>
      </c>
      <c r="C966" s="35" t="s">
        <v>1260</v>
      </c>
      <c r="D966" s="36" t="s">
        <v>262</v>
      </c>
      <c r="E966" s="36" t="s">
        <v>8</v>
      </c>
      <c r="F966" s="36" t="str">
        <f>vlookup(D966,'Team Bye List'!$A$1:$B$33,2,False)</f>
        <v>#N/A</v>
      </c>
      <c r="G966" s="37">
        <f>if(ISNA(vlookup($A966, Sleeper!$B$2:$E$330, 4, false)), 0, vlookup($A966, Sleeper!$B$2:$E$330, 4, false))</f>
        <v>0</v>
      </c>
      <c r="H966" s="37">
        <f>if(ISNA(vlookup($A966, ESPN!$B$2:$E$297, 4, false)), 0, vlookup($A966, ESPN!$B$2:$E$297, 4, false))</f>
        <v>0</v>
      </c>
      <c r="I966" s="37">
        <f>if(ISNA(vlookup($A966,'Ultimate Draft Kit'!$B$2:$E$324,4, false)), 0, vlookup($A966,'Ultimate Draft Kit'!$B$2:$E$324, 4, false))</f>
        <v>0</v>
      </c>
      <c r="J966" s="38">
        <f>if(ISNA(vlookup($A966,Rotowire!$B$2:$E$1075,4, false)), 0, vlookup($A966,Rotowire!$B$2:$E$1075, 4, false))</f>
        <v>0</v>
      </c>
      <c r="K966" s="37">
        <f>if(ISNA(vlookup($A966, FantasyPro!$B$2:$E$341,4,false)),0,vlookup($A966,FantasyPro!$B$2:$E$341,4,false))</f>
        <v>0</v>
      </c>
      <c r="L966" s="37">
        <f>if(ISNA(vlookup($A966, FFToolbox!$B$2:$E$414, 4, false)), 0, vlookup($A966, FFToolbox!$B$2:$E$414, 4, false))</f>
        <v>0</v>
      </c>
      <c r="M966" s="39">
        <f t="shared" si="1"/>
        <v>0</v>
      </c>
      <c r="N966" s="39">
        <f t="shared" si="2"/>
        <v>0</v>
      </c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</row>
    <row r="967">
      <c r="A967" s="17" t="s">
        <v>1198</v>
      </c>
      <c r="B967" s="35" t="s">
        <v>1259</v>
      </c>
      <c r="C967" s="35" t="s">
        <v>1260</v>
      </c>
      <c r="D967" s="36" t="s">
        <v>262</v>
      </c>
      <c r="E967" s="36" t="s">
        <v>8</v>
      </c>
      <c r="F967" s="36" t="str">
        <f>vlookup(D967,'Team Bye List'!$A$1:$B$33,2,False)</f>
        <v>#N/A</v>
      </c>
      <c r="G967" s="37">
        <f>if(ISNA(vlookup($A967, Sleeper!$B$2:$E$330, 4, false)), 0, vlookup($A967, Sleeper!$B$2:$E$330, 4, false))</f>
        <v>0</v>
      </c>
      <c r="H967" s="37">
        <f>if(ISNA(vlookup($A967, ESPN!$B$2:$E$297, 4, false)), 0, vlookup($A967, ESPN!$B$2:$E$297, 4, false))</f>
        <v>0</v>
      </c>
      <c r="I967" s="37">
        <f>if(ISNA(vlookup($A967,'Ultimate Draft Kit'!$B$2:$E$324,4, false)), 0, vlookup($A967,'Ultimate Draft Kit'!$B$2:$E$324, 4, false))</f>
        <v>0</v>
      </c>
      <c r="J967" s="38">
        <f>if(ISNA(vlookup($A967,Rotowire!$B$2:$E$1075,4, false)), 0, vlookup($A967,Rotowire!$B$2:$E$1075, 4, false))</f>
        <v>0</v>
      </c>
      <c r="K967" s="37">
        <f>if(ISNA(vlookup($A967, FantasyPro!$B$2:$E$341,4,false)),0,vlookup($A967,FantasyPro!$B$2:$E$341,4,false))</f>
        <v>0</v>
      </c>
      <c r="L967" s="37">
        <f>if(ISNA(vlookup($A967, FFToolbox!$B$2:$E$414, 4, false)), 0, vlookup($A967, FFToolbox!$B$2:$E$414, 4, false))</f>
        <v>0</v>
      </c>
      <c r="M967" s="39">
        <f t="shared" si="1"/>
        <v>0</v>
      </c>
      <c r="N967" s="39">
        <f t="shared" si="2"/>
        <v>0</v>
      </c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</row>
    <row r="968">
      <c r="A968" s="17" t="s">
        <v>1199</v>
      </c>
      <c r="B968" s="35" t="s">
        <v>1259</v>
      </c>
      <c r="C968" s="35" t="s">
        <v>1260</v>
      </c>
      <c r="D968" s="36" t="s">
        <v>73</v>
      </c>
      <c r="E968" s="36" t="s">
        <v>8</v>
      </c>
      <c r="F968" s="36">
        <f>vlookup(D968,'Team Bye List'!$A$1:$B$33,2,False)</f>
        <v>14</v>
      </c>
      <c r="G968" s="37">
        <f>if(ISNA(vlookup($A968, Sleeper!$B$2:$E$330, 4, false)), 0, vlookup($A968, Sleeper!$B$2:$E$330, 4, false))</f>
        <v>0</v>
      </c>
      <c r="H968" s="37">
        <f>if(ISNA(vlookup($A968, ESPN!$B$2:$E$297, 4, false)), 0, vlookup($A968, ESPN!$B$2:$E$297, 4, false))</f>
        <v>0</v>
      </c>
      <c r="I968" s="37">
        <f>if(ISNA(vlookup($A968,'Ultimate Draft Kit'!$B$2:$E$324,4, false)), 0, vlookup($A968,'Ultimate Draft Kit'!$B$2:$E$324, 4, false))</f>
        <v>0</v>
      </c>
      <c r="J968" s="38">
        <f>if(ISNA(vlookup($A968,Rotowire!$B$2:$E$1075,4, false)), 0, vlookup($A968,Rotowire!$B$2:$E$1075, 4, false))</f>
        <v>0</v>
      </c>
      <c r="K968" s="37">
        <f>if(ISNA(vlookup($A968, FantasyPro!$B$2:$E$341,4,false)),0,vlookup($A968,FantasyPro!$B$2:$E$341,4,false))</f>
        <v>0</v>
      </c>
      <c r="L968" s="37">
        <f>if(ISNA(vlookup($A968, FFToolbox!$B$2:$E$414, 4, false)), 0, vlookup($A968, FFToolbox!$B$2:$E$414, 4, false))</f>
        <v>0</v>
      </c>
      <c r="M968" s="39">
        <f t="shared" si="1"/>
        <v>0</v>
      </c>
      <c r="N968" s="39">
        <f t="shared" si="2"/>
        <v>0</v>
      </c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</row>
    <row r="969">
      <c r="A969" s="17" t="s">
        <v>1200</v>
      </c>
      <c r="B969" s="35" t="s">
        <v>1259</v>
      </c>
      <c r="C969" s="35" t="s">
        <v>1260</v>
      </c>
      <c r="D969" s="36" t="s">
        <v>262</v>
      </c>
      <c r="E969" s="36" t="s">
        <v>8</v>
      </c>
      <c r="F969" s="36" t="str">
        <f>vlookup(D969,'Team Bye List'!$A$1:$B$33,2,False)</f>
        <v>#N/A</v>
      </c>
      <c r="G969" s="37">
        <f>if(ISNA(vlookup($A969, Sleeper!$B$2:$E$330, 4, false)), 0, vlookup($A969, Sleeper!$B$2:$E$330, 4, false))</f>
        <v>0</v>
      </c>
      <c r="H969" s="37">
        <f>if(ISNA(vlookup($A969, ESPN!$B$2:$E$297, 4, false)), 0, vlookup($A969, ESPN!$B$2:$E$297, 4, false))</f>
        <v>0</v>
      </c>
      <c r="I969" s="37">
        <f>if(ISNA(vlookup($A969,'Ultimate Draft Kit'!$B$2:$E$324,4, false)), 0, vlookup($A969,'Ultimate Draft Kit'!$B$2:$E$324, 4, false))</f>
        <v>0</v>
      </c>
      <c r="J969" s="38">
        <f>if(ISNA(vlookup($A969,Rotowire!$B$2:$E$1075,4, false)), 0, vlookup($A969,Rotowire!$B$2:$E$1075, 4, false))</f>
        <v>0</v>
      </c>
      <c r="K969" s="37">
        <f>if(ISNA(vlookup($A969, FantasyPro!$B$2:$E$341,4,false)),0,vlookup($A969,FantasyPro!$B$2:$E$341,4,false))</f>
        <v>0</v>
      </c>
      <c r="L969" s="37">
        <f>if(ISNA(vlookup($A969, FFToolbox!$B$2:$E$414, 4, false)), 0, vlookup($A969, FFToolbox!$B$2:$E$414, 4, false))</f>
        <v>0</v>
      </c>
      <c r="M969" s="39">
        <f t="shared" si="1"/>
        <v>0</v>
      </c>
      <c r="N969" s="39">
        <f t="shared" si="2"/>
        <v>0</v>
      </c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</row>
    <row r="970">
      <c r="A970" s="17" t="s">
        <v>1201</v>
      </c>
      <c r="B970" s="35" t="s">
        <v>1259</v>
      </c>
      <c r="C970" s="35" t="s">
        <v>1260</v>
      </c>
      <c r="D970" s="36" t="s">
        <v>262</v>
      </c>
      <c r="E970" s="36" t="s">
        <v>8</v>
      </c>
      <c r="F970" s="36" t="str">
        <f>vlookup(D970,'Team Bye List'!$A$1:$B$33,2,False)</f>
        <v>#N/A</v>
      </c>
      <c r="G970" s="37">
        <f>if(ISNA(vlookup($A970, Sleeper!$B$2:$E$330, 4, false)), 0, vlookup($A970, Sleeper!$B$2:$E$330, 4, false))</f>
        <v>0</v>
      </c>
      <c r="H970" s="37">
        <f>if(ISNA(vlookup($A970, ESPN!$B$2:$E$297, 4, false)), 0, vlookup($A970, ESPN!$B$2:$E$297, 4, false))</f>
        <v>0</v>
      </c>
      <c r="I970" s="37">
        <f>if(ISNA(vlookup($A970,'Ultimate Draft Kit'!$B$2:$E$324,4, false)), 0, vlookup($A970,'Ultimate Draft Kit'!$B$2:$E$324, 4, false))</f>
        <v>0</v>
      </c>
      <c r="J970" s="38">
        <f>if(ISNA(vlookup($A970,Rotowire!$B$2:$E$1075,4, false)), 0, vlookup($A970,Rotowire!$B$2:$E$1075, 4, false))</f>
        <v>0</v>
      </c>
      <c r="K970" s="37">
        <f>if(ISNA(vlookup($A970, FantasyPro!$B$2:$E$341,4,false)),0,vlookup($A970,FantasyPro!$B$2:$E$341,4,false))</f>
        <v>0</v>
      </c>
      <c r="L970" s="37">
        <f>if(ISNA(vlookup($A970, FFToolbox!$B$2:$E$414, 4, false)), 0, vlookup($A970, FFToolbox!$B$2:$E$414, 4, false))</f>
        <v>0</v>
      </c>
      <c r="M970" s="39">
        <f t="shared" si="1"/>
        <v>0</v>
      </c>
      <c r="N970" s="39">
        <f t="shared" si="2"/>
        <v>0</v>
      </c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</row>
    <row r="971">
      <c r="A971" s="17" t="s">
        <v>1202</v>
      </c>
      <c r="B971" s="35" t="s">
        <v>1259</v>
      </c>
      <c r="C971" s="35" t="s">
        <v>1260</v>
      </c>
      <c r="D971" s="36" t="s">
        <v>262</v>
      </c>
      <c r="E971" s="36" t="s">
        <v>8</v>
      </c>
      <c r="F971" s="36" t="str">
        <f>vlookup(D971,'Team Bye List'!$A$1:$B$33,2,False)</f>
        <v>#N/A</v>
      </c>
      <c r="G971" s="37">
        <f>if(ISNA(vlookup($A971, Sleeper!$B$2:$E$330, 4, false)), 0, vlookup($A971, Sleeper!$B$2:$E$330, 4, false))</f>
        <v>0</v>
      </c>
      <c r="H971" s="37">
        <f>if(ISNA(vlookup($A971, ESPN!$B$2:$E$297, 4, false)), 0, vlookup($A971, ESPN!$B$2:$E$297, 4, false))</f>
        <v>0</v>
      </c>
      <c r="I971" s="37">
        <f>if(ISNA(vlookup($A971,'Ultimate Draft Kit'!$B$2:$E$324,4, false)), 0, vlookup($A971,'Ultimate Draft Kit'!$B$2:$E$324, 4, false))</f>
        <v>0</v>
      </c>
      <c r="J971" s="38">
        <f>if(ISNA(vlookup($A971,Rotowire!$B$2:$E$1075,4, false)), 0, vlookup($A971,Rotowire!$B$2:$E$1075, 4, false))</f>
        <v>0</v>
      </c>
      <c r="K971" s="37">
        <f>if(ISNA(vlookup($A971, FantasyPro!$B$2:$E$341,4,false)),0,vlookup($A971,FantasyPro!$B$2:$E$341,4,false))</f>
        <v>0</v>
      </c>
      <c r="L971" s="37">
        <f>if(ISNA(vlookup($A971, FFToolbox!$B$2:$E$414, 4, false)), 0, vlookup($A971, FFToolbox!$B$2:$E$414, 4, false))</f>
        <v>0</v>
      </c>
      <c r="M971" s="39">
        <f t="shared" si="1"/>
        <v>0</v>
      </c>
      <c r="N971" s="39">
        <f t="shared" si="2"/>
        <v>0</v>
      </c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</row>
    <row r="972">
      <c r="A972" s="17" t="s">
        <v>355</v>
      </c>
      <c r="B972" s="35" t="s">
        <v>1259</v>
      </c>
      <c r="C972" s="35" t="s">
        <v>1260</v>
      </c>
      <c r="D972" s="36" t="s">
        <v>39</v>
      </c>
      <c r="E972" s="36" t="s">
        <v>8</v>
      </c>
      <c r="F972" s="36">
        <f>vlookup(D972,'Team Bye List'!$A$1:$B$33,2,False)</f>
        <v>11</v>
      </c>
      <c r="G972" s="37">
        <f>if(ISNA(vlookup($A972, Sleeper!$B$2:$E$330, 4, false)), 0, vlookup($A972, Sleeper!$B$2:$E$330, 4, false))</f>
        <v>0</v>
      </c>
      <c r="H972" s="37">
        <f>if(ISNA(vlookup($A972, ESPN!$B$2:$E$297, 4, false)), 0, vlookup($A972, ESPN!$B$2:$E$297, 4, false))</f>
        <v>0</v>
      </c>
      <c r="I972" s="37">
        <f>if(ISNA(vlookup($A972,'Ultimate Draft Kit'!$B$2:$E$324,4, false)), 0, vlookup($A972,'Ultimate Draft Kit'!$B$2:$E$324, 4, false))</f>
        <v>0</v>
      </c>
      <c r="J972" s="38">
        <f>if(ISNA(vlookup($A972,Rotowire!$B$2:$E$1075,4, false)), 0, vlookup($A972,Rotowire!$B$2:$E$1075, 4, false))</f>
        <v>0</v>
      </c>
      <c r="K972" s="37">
        <f>if(ISNA(vlookup($A972, FantasyPro!$B$2:$E$341,4,false)),0,vlookup($A972,FantasyPro!$B$2:$E$341,4,false))</f>
        <v>0</v>
      </c>
      <c r="L972" s="37">
        <f>if(ISNA(vlookup($A972, FFToolbox!$B$2:$E$414, 4, false)), 0, vlookup($A972, FFToolbox!$B$2:$E$414, 4, false))</f>
        <v>0</v>
      </c>
      <c r="M972" s="39">
        <f t="shared" si="1"/>
        <v>0</v>
      </c>
      <c r="N972" s="39">
        <f t="shared" si="2"/>
        <v>0</v>
      </c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</row>
    <row r="973">
      <c r="A973" s="17" t="s">
        <v>1203</v>
      </c>
      <c r="B973" s="35" t="s">
        <v>1259</v>
      </c>
      <c r="C973" s="35" t="s">
        <v>1260</v>
      </c>
      <c r="D973" s="36" t="s">
        <v>262</v>
      </c>
      <c r="E973" s="36" t="s">
        <v>8</v>
      </c>
      <c r="F973" s="36" t="str">
        <f>vlookup(D973,'Team Bye List'!$A$1:$B$33,2,False)</f>
        <v>#N/A</v>
      </c>
      <c r="G973" s="37">
        <f>if(ISNA(vlookup($A973, Sleeper!$B$2:$E$330, 4, false)), 0, vlookup($A973, Sleeper!$B$2:$E$330, 4, false))</f>
        <v>0</v>
      </c>
      <c r="H973" s="37">
        <f>if(ISNA(vlookup($A973, ESPN!$B$2:$E$297, 4, false)), 0, vlookup($A973, ESPN!$B$2:$E$297, 4, false))</f>
        <v>0</v>
      </c>
      <c r="I973" s="37">
        <f>if(ISNA(vlookup($A973,'Ultimate Draft Kit'!$B$2:$E$324,4, false)), 0, vlookup($A973,'Ultimate Draft Kit'!$B$2:$E$324, 4, false))</f>
        <v>0</v>
      </c>
      <c r="J973" s="38">
        <f>if(ISNA(vlookup($A973,Rotowire!$B$2:$E$1075,4, false)), 0, vlookup($A973,Rotowire!$B$2:$E$1075, 4, false))</f>
        <v>0</v>
      </c>
      <c r="K973" s="37">
        <f>if(ISNA(vlookup($A973, FantasyPro!$B$2:$E$341,4,false)),0,vlookup($A973,FantasyPro!$B$2:$E$341,4,false))</f>
        <v>0</v>
      </c>
      <c r="L973" s="37">
        <f>if(ISNA(vlookup($A973, FFToolbox!$B$2:$E$414, 4, false)), 0, vlookup($A973, FFToolbox!$B$2:$E$414, 4, false))</f>
        <v>0</v>
      </c>
      <c r="M973" s="39">
        <f t="shared" si="1"/>
        <v>0</v>
      </c>
      <c r="N973" s="39">
        <f t="shared" si="2"/>
        <v>0</v>
      </c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</row>
    <row r="974">
      <c r="A974" s="17" t="s">
        <v>430</v>
      </c>
      <c r="B974" s="35" t="s">
        <v>1259</v>
      </c>
      <c r="C974" s="35" t="s">
        <v>1260</v>
      </c>
      <c r="D974" s="36" t="s">
        <v>21</v>
      </c>
      <c r="E974" s="36" t="s">
        <v>8</v>
      </c>
      <c r="F974" s="36">
        <f>vlookup(D974,'Team Bye List'!$A$1:$B$33,2,False)</f>
        <v>6</v>
      </c>
      <c r="G974" s="37">
        <f>if(ISNA(vlookup($A974, Sleeper!$B$2:$E$330, 4, false)), 0, vlookup($A974, Sleeper!$B$2:$E$330, 4, false))</f>
        <v>0</v>
      </c>
      <c r="H974" s="37">
        <f>if(ISNA(vlookup($A974, ESPN!$B$2:$E$297, 4, false)), 0, vlookup($A974, ESPN!$B$2:$E$297, 4, false))</f>
        <v>0</v>
      </c>
      <c r="I974" s="37">
        <f>if(ISNA(vlookup($A974,'Ultimate Draft Kit'!$B$2:$E$324,4, false)), 0, vlookup($A974,'Ultimate Draft Kit'!$B$2:$E$324, 4, false))</f>
        <v>0</v>
      </c>
      <c r="J974" s="38">
        <f>if(ISNA(vlookup($A974,Rotowire!$B$2:$E$1075,4, false)), 0, vlookup($A974,Rotowire!$B$2:$E$1075, 4, false))</f>
        <v>0</v>
      </c>
      <c r="K974" s="37">
        <f>if(ISNA(vlookup($A974, FantasyPro!$B$2:$E$341,4,false)),0,vlookup($A974,FantasyPro!$B$2:$E$341,4,false))</f>
        <v>0</v>
      </c>
      <c r="L974" s="37">
        <f>if(ISNA(vlookup($A974, FFToolbox!$B$2:$E$414, 4, false)), 0, vlookup($A974, FFToolbox!$B$2:$E$414, 4, false))</f>
        <v>0</v>
      </c>
      <c r="M974" s="39">
        <f t="shared" si="1"/>
        <v>0</v>
      </c>
      <c r="N974" s="39">
        <f t="shared" si="2"/>
        <v>0</v>
      </c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</row>
    <row r="975">
      <c r="A975" s="17" t="s">
        <v>345</v>
      </c>
      <c r="B975" s="35" t="s">
        <v>1259</v>
      </c>
      <c r="C975" s="35">
        <v>11.0</v>
      </c>
      <c r="D975" s="36" t="s">
        <v>28</v>
      </c>
      <c r="E975" s="36" t="s">
        <v>8</v>
      </c>
      <c r="F975" s="36">
        <f>vlookup(D975,'Team Bye List'!$A$1:$B$33,2,False)</f>
        <v>11</v>
      </c>
      <c r="G975" s="37">
        <f>if(ISNA(vlookup($A975, Sleeper!$B$2:$E$330, 4, false)), 0, vlookup($A975, Sleeper!$B$2:$E$330, 4, false))</f>
        <v>1</v>
      </c>
      <c r="H975" s="37">
        <f>if(ISNA(vlookup($A975, ESPN!$B$2:$E$297, 4, false)), 0, vlookup($A975, ESPN!$B$2:$E$297, 4, false))</f>
        <v>0</v>
      </c>
      <c r="I975" s="37">
        <f>if(ISNA(vlookup($A975,'Ultimate Draft Kit'!$B$2:$E$324,4, false)), 0, vlookup($A975,'Ultimate Draft Kit'!$B$2:$E$324, 4, false))</f>
        <v>1</v>
      </c>
      <c r="J975" s="38">
        <f>if(ISNA(vlookup($A975,Rotowire!$B$2:$E$1075,4, false)), 0, vlookup($A975,Rotowire!$B$2:$E$1075, 4, false))</f>
        <v>0</v>
      </c>
      <c r="K975" s="37">
        <f>if(ISNA(vlookup($A975, FantasyPro!$B$2:$E$341,4,false)),0,vlookup($A975,FantasyPro!$B$2:$E$341,4,false))</f>
        <v>0</v>
      </c>
      <c r="L975" s="37">
        <f>if(ISNA(vlookup($A975, FFToolbox!$B$2:$E$414, 4, false)), 0, vlookup($A975, FFToolbox!$B$2:$E$414, 4, false))</f>
        <v>1</v>
      </c>
      <c r="M975" s="39">
        <f t="shared" si="1"/>
        <v>0.5</v>
      </c>
      <c r="N975" s="39">
        <f t="shared" si="2"/>
        <v>1</v>
      </c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</row>
    <row r="976">
      <c r="A976" s="17" t="s">
        <v>429</v>
      </c>
      <c r="B976" s="35" t="s">
        <v>1259</v>
      </c>
      <c r="C976" s="35" t="s">
        <v>1260</v>
      </c>
      <c r="D976" s="36" t="s">
        <v>262</v>
      </c>
      <c r="E976" s="36" t="s">
        <v>8</v>
      </c>
      <c r="F976" s="36" t="str">
        <f>vlookup(D976,'Team Bye List'!$A$1:$B$33,2,False)</f>
        <v>#N/A</v>
      </c>
      <c r="G976" s="37">
        <f>if(ISNA(vlookup($A976, Sleeper!$B$2:$E$330, 4, false)), 0, vlookup($A976, Sleeper!$B$2:$E$330, 4, false))</f>
        <v>0</v>
      </c>
      <c r="H976" s="37">
        <f>if(ISNA(vlookup($A976, ESPN!$B$2:$E$297, 4, false)), 0, vlookup($A976, ESPN!$B$2:$E$297, 4, false))</f>
        <v>0</v>
      </c>
      <c r="I976" s="37">
        <f>if(ISNA(vlookup($A976,'Ultimate Draft Kit'!$B$2:$E$324,4, false)), 0, vlookup($A976,'Ultimate Draft Kit'!$B$2:$E$324, 4, false))</f>
        <v>0</v>
      </c>
      <c r="J976" s="38">
        <f>if(ISNA(vlookup($A976,Rotowire!$B$2:$E$1075,4, false)), 0, vlookup($A976,Rotowire!$B$2:$E$1075, 4, false))</f>
        <v>0</v>
      </c>
      <c r="K976" s="37">
        <f>if(ISNA(vlookup($A976, FantasyPro!$B$2:$E$341,4,false)),0,vlookup($A976,FantasyPro!$B$2:$E$341,4,false))</f>
        <v>0</v>
      </c>
      <c r="L976" s="37">
        <f>if(ISNA(vlookup($A976, FFToolbox!$B$2:$E$414, 4, false)), 0, vlookup($A976, FFToolbox!$B$2:$E$414, 4, false))</f>
        <v>0</v>
      </c>
      <c r="M976" s="39">
        <f t="shared" si="1"/>
        <v>0</v>
      </c>
      <c r="N976" s="39">
        <f t="shared" si="2"/>
        <v>0</v>
      </c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</row>
    <row r="977">
      <c r="A977" s="17" t="s">
        <v>459</v>
      </c>
      <c r="B977" s="35" t="s">
        <v>1259</v>
      </c>
      <c r="C977" s="35" t="s">
        <v>1260</v>
      </c>
      <c r="D977" s="36" t="s">
        <v>15</v>
      </c>
      <c r="E977" s="36" t="s">
        <v>8</v>
      </c>
      <c r="F977" s="36">
        <f>vlookup(D977,'Team Bye List'!$A$1:$B$33,2,False)</f>
        <v>6</v>
      </c>
      <c r="G977" s="37">
        <f>if(ISNA(vlookup($A977, Sleeper!$B$2:$E$330, 4, false)), 0, vlookup($A977, Sleeper!$B$2:$E$330, 4, false))</f>
        <v>0</v>
      </c>
      <c r="H977" s="37">
        <f>if(ISNA(vlookup($A977, ESPN!$B$2:$E$297, 4, false)), 0, vlookup($A977, ESPN!$B$2:$E$297, 4, false))</f>
        <v>0</v>
      </c>
      <c r="I977" s="37">
        <f>if(ISNA(vlookup($A977,'Ultimate Draft Kit'!$B$2:$E$324,4, false)), 0, vlookup($A977,'Ultimate Draft Kit'!$B$2:$E$324, 4, false))</f>
        <v>0</v>
      </c>
      <c r="J977" s="38">
        <f>if(ISNA(vlookup($A977,Rotowire!$B$2:$E$1075,4, false)), 0, vlookup($A977,Rotowire!$B$2:$E$1075, 4, false))</f>
        <v>0</v>
      </c>
      <c r="K977" s="37">
        <f>if(ISNA(vlookup($A977, FantasyPro!$B$2:$E$341,4,false)),0,vlookup($A977,FantasyPro!$B$2:$E$341,4,false))</f>
        <v>0</v>
      </c>
      <c r="L977" s="37">
        <f>if(ISNA(vlookup($A977, FFToolbox!$B$2:$E$414, 4, false)), 0, vlookup($A977, FFToolbox!$B$2:$E$414, 4, false))</f>
        <v>0</v>
      </c>
      <c r="M977" s="39">
        <f t="shared" si="1"/>
        <v>0</v>
      </c>
      <c r="N977" s="39">
        <f t="shared" si="2"/>
        <v>0</v>
      </c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</row>
    <row r="978">
      <c r="A978" s="17" t="s">
        <v>439</v>
      </c>
      <c r="B978" s="35" t="s">
        <v>1259</v>
      </c>
      <c r="C978" s="35" t="s">
        <v>1260</v>
      </c>
      <c r="D978" s="36" t="s">
        <v>58</v>
      </c>
      <c r="E978" s="36" t="s">
        <v>8</v>
      </c>
      <c r="F978" s="36">
        <f>vlookup(D978,'Team Bye List'!$A$1:$B$33,2,False)</f>
        <v>10</v>
      </c>
      <c r="G978" s="37">
        <f>if(ISNA(vlookup($A978, Sleeper!$B$2:$E$330, 4, false)), 0, vlookup($A978, Sleeper!$B$2:$E$330, 4, false))</f>
        <v>0</v>
      </c>
      <c r="H978" s="37">
        <f>if(ISNA(vlookup($A978, ESPN!$B$2:$E$297, 4, false)), 0, vlookup($A978, ESPN!$B$2:$E$297, 4, false))</f>
        <v>0</v>
      </c>
      <c r="I978" s="37">
        <f>if(ISNA(vlookup($A978,'Ultimate Draft Kit'!$B$2:$E$324,4, false)), 0, vlookup($A978,'Ultimate Draft Kit'!$B$2:$E$324, 4, false))</f>
        <v>0</v>
      </c>
      <c r="J978" s="38">
        <f>if(ISNA(vlookup($A978,Rotowire!$B$2:$E$1075,4, false)), 0, vlookup($A978,Rotowire!$B$2:$E$1075, 4, false))</f>
        <v>0</v>
      </c>
      <c r="K978" s="37">
        <f>if(ISNA(vlookup($A978, FantasyPro!$B$2:$E$341,4,false)),0,vlookup($A978,FantasyPro!$B$2:$E$341,4,false))</f>
        <v>0</v>
      </c>
      <c r="L978" s="37">
        <f>if(ISNA(vlookup($A978, FFToolbox!$B$2:$E$414, 4, false)), 0, vlookup($A978, FFToolbox!$B$2:$E$414, 4, false))</f>
        <v>0</v>
      </c>
      <c r="M978" s="39">
        <f t="shared" si="1"/>
        <v>0</v>
      </c>
      <c r="N978" s="39">
        <f t="shared" si="2"/>
        <v>0</v>
      </c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</row>
    <row r="979">
      <c r="A979" s="17" t="s">
        <v>1204</v>
      </c>
      <c r="B979" s="35" t="s">
        <v>1259</v>
      </c>
      <c r="C979" s="35" t="s">
        <v>1260</v>
      </c>
      <c r="D979" s="36" t="s">
        <v>262</v>
      </c>
      <c r="E979" s="36" t="s">
        <v>8</v>
      </c>
      <c r="F979" s="36" t="str">
        <f>vlookup(D979,'Team Bye List'!$A$1:$B$33,2,False)</f>
        <v>#N/A</v>
      </c>
      <c r="G979" s="37">
        <f>if(ISNA(vlookup($A979, Sleeper!$B$2:$E$330, 4, false)), 0, vlookup($A979, Sleeper!$B$2:$E$330, 4, false))</f>
        <v>0</v>
      </c>
      <c r="H979" s="37">
        <f>if(ISNA(vlookup($A979, ESPN!$B$2:$E$297, 4, false)), 0, vlookup($A979, ESPN!$B$2:$E$297, 4, false))</f>
        <v>0</v>
      </c>
      <c r="I979" s="37">
        <f>if(ISNA(vlookup($A979,'Ultimate Draft Kit'!$B$2:$E$324,4, false)), 0, vlookup($A979,'Ultimate Draft Kit'!$B$2:$E$324, 4, false))</f>
        <v>0</v>
      </c>
      <c r="J979" s="38">
        <f>if(ISNA(vlookup($A979,Rotowire!$B$2:$E$1075,4, false)), 0, vlookup($A979,Rotowire!$B$2:$E$1075, 4, false))</f>
        <v>0</v>
      </c>
      <c r="K979" s="37">
        <f>if(ISNA(vlookup($A979, FantasyPro!$B$2:$E$341,4,false)),0,vlookup($A979,FantasyPro!$B$2:$E$341,4,false))</f>
        <v>0</v>
      </c>
      <c r="L979" s="37">
        <f>if(ISNA(vlookup($A979, FFToolbox!$B$2:$E$414, 4, false)), 0, vlookup($A979, FFToolbox!$B$2:$E$414, 4, false))</f>
        <v>0</v>
      </c>
      <c r="M979" s="39">
        <f t="shared" si="1"/>
        <v>0</v>
      </c>
      <c r="N979" s="39">
        <f t="shared" si="2"/>
        <v>0</v>
      </c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</row>
    <row r="980">
      <c r="A980" s="17" t="s">
        <v>451</v>
      </c>
      <c r="B980" s="35" t="s">
        <v>1259</v>
      </c>
      <c r="C980" s="35" t="s">
        <v>1260</v>
      </c>
      <c r="D980" s="36" t="s">
        <v>85</v>
      </c>
      <c r="E980" s="36" t="s">
        <v>8</v>
      </c>
      <c r="F980" s="36">
        <f>vlookup(D980,'Team Bye List'!$A$1:$B$33,2,False)</f>
        <v>9</v>
      </c>
      <c r="G980" s="37">
        <f>if(ISNA(vlookup($A980, Sleeper!$B$2:$E$330, 4, false)), 0, vlookup($A980, Sleeper!$B$2:$E$330, 4, false))</f>
        <v>0</v>
      </c>
      <c r="H980" s="37">
        <f>if(ISNA(vlookup($A980, ESPN!$B$2:$E$297, 4, false)), 0, vlookup($A980, ESPN!$B$2:$E$297, 4, false))</f>
        <v>0</v>
      </c>
      <c r="I980" s="37">
        <f>if(ISNA(vlookup($A980,'Ultimate Draft Kit'!$B$2:$E$324,4, false)), 0, vlookup($A980,'Ultimate Draft Kit'!$B$2:$E$324, 4, false))</f>
        <v>0</v>
      </c>
      <c r="J980" s="38">
        <f>if(ISNA(vlookup($A980,Rotowire!$B$2:$E$1075,4, false)), 0, vlookup($A980,Rotowire!$B$2:$E$1075, 4, false))</f>
        <v>0</v>
      </c>
      <c r="K980" s="37">
        <f>if(ISNA(vlookup($A980, FantasyPro!$B$2:$E$341,4,false)),0,vlookup($A980,FantasyPro!$B$2:$E$341,4,false))</f>
        <v>0</v>
      </c>
      <c r="L980" s="37">
        <f>if(ISNA(vlookup($A980, FFToolbox!$B$2:$E$414, 4, false)), 0, vlookup($A980, FFToolbox!$B$2:$E$414, 4, false))</f>
        <v>0</v>
      </c>
      <c r="M980" s="39">
        <f t="shared" si="1"/>
        <v>0</v>
      </c>
      <c r="N980" s="39">
        <f t="shared" si="2"/>
        <v>0</v>
      </c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</row>
    <row r="981">
      <c r="A981" s="17" t="s">
        <v>1205</v>
      </c>
      <c r="B981" s="35" t="s">
        <v>1259</v>
      </c>
      <c r="C981" s="35" t="s">
        <v>1260</v>
      </c>
      <c r="D981" s="36" t="s">
        <v>262</v>
      </c>
      <c r="E981" s="36" t="s">
        <v>8</v>
      </c>
      <c r="F981" s="36" t="str">
        <f>vlookup(D981,'Team Bye List'!$A$1:$B$33,2,False)</f>
        <v>#N/A</v>
      </c>
      <c r="G981" s="37">
        <f>if(ISNA(vlookup($A981, Sleeper!$B$2:$E$330, 4, false)), 0, vlookup($A981, Sleeper!$B$2:$E$330, 4, false))</f>
        <v>0</v>
      </c>
      <c r="H981" s="37">
        <f>if(ISNA(vlookup($A981, ESPN!$B$2:$E$297, 4, false)), 0, vlookup($A981, ESPN!$B$2:$E$297, 4, false))</f>
        <v>0</v>
      </c>
      <c r="I981" s="37">
        <f>if(ISNA(vlookup($A981,'Ultimate Draft Kit'!$B$2:$E$324,4, false)), 0, vlookup($A981,'Ultimate Draft Kit'!$B$2:$E$324, 4, false))</f>
        <v>0</v>
      </c>
      <c r="J981" s="38">
        <f>if(ISNA(vlookup($A981,Rotowire!$B$2:$E$1075,4, false)), 0, vlookup($A981,Rotowire!$B$2:$E$1075, 4, false))</f>
        <v>0</v>
      </c>
      <c r="K981" s="37">
        <f>if(ISNA(vlookup($A981, FantasyPro!$B$2:$E$341,4,false)),0,vlookup($A981,FantasyPro!$B$2:$E$341,4,false))</f>
        <v>0</v>
      </c>
      <c r="L981" s="37">
        <f>if(ISNA(vlookup($A981, FFToolbox!$B$2:$E$414, 4, false)), 0, vlookup($A981, FFToolbox!$B$2:$E$414, 4, false))</f>
        <v>0</v>
      </c>
      <c r="M981" s="39">
        <f t="shared" si="1"/>
        <v>0</v>
      </c>
      <c r="N981" s="39">
        <f t="shared" si="2"/>
        <v>0</v>
      </c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</row>
    <row r="982">
      <c r="A982" s="17" t="s">
        <v>508</v>
      </c>
      <c r="B982" s="35" t="s">
        <v>1259</v>
      </c>
      <c r="C982" s="35" t="s">
        <v>1260</v>
      </c>
      <c r="D982" s="36" t="s">
        <v>85</v>
      </c>
      <c r="E982" s="36" t="s">
        <v>8</v>
      </c>
      <c r="F982" s="36">
        <f>vlookup(D982,'Team Bye List'!$A$1:$B$33,2,False)</f>
        <v>9</v>
      </c>
      <c r="G982" s="37">
        <f>if(ISNA(vlookup($A982, Sleeper!$B$2:$E$330, 4, false)), 0, vlookup($A982, Sleeper!$B$2:$E$330, 4, false))</f>
        <v>0</v>
      </c>
      <c r="H982" s="37">
        <f>if(ISNA(vlookup($A982, ESPN!$B$2:$E$297, 4, false)), 0, vlookup($A982, ESPN!$B$2:$E$297, 4, false))</f>
        <v>0</v>
      </c>
      <c r="I982" s="37">
        <f>if(ISNA(vlookup($A982,'Ultimate Draft Kit'!$B$2:$E$324,4, false)), 0, vlookup($A982,'Ultimate Draft Kit'!$B$2:$E$324, 4, false))</f>
        <v>0</v>
      </c>
      <c r="J982" s="38">
        <f>if(ISNA(vlookup($A982,Rotowire!$B$2:$E$1075,4, false)), 0, vlookup($A982,Rotowire!$B$2:$E$1075, 4, false))</f>
        <v>0</v>
      </c>
      <c r="K982" s="37">
        <f>if(ISNA(vlookup($A982, FantasyPro!$B$2:$E$341,4,false)),0,vlookup($A982,FantasyPro!$B$2:$E$341,4,false))</f>
        <v>0</v>
      </c>
      <c r="L982" s="37">
        <f>if(ISNA(vlookup($A982, FFToolbox!$B$2:$E$414, 4, false)), 0, vlookup($A982, FFToolbox!$B$2:$E$414, 4, false))</f>
        <v>0</v>
      </c>
      <c r="M982" s="39">
        <f t="shared" si="1"/>
        <v>0</v>
      </c>
      <c r="N982" s="39">
        <f t="shared" si="2"/>
        <v>0</v>
      </c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</row>
    <row r="983">
      <c r="A983" s="17" t="s">
        <v>389</v>
      </c>
      <c r="B983" s="35" t="s">
        <v>1259</v>
      </c>
      <c r="C983" s="35" t="s">
        <v>1260</v>
      </c>
      <c r="D983" s="36" t="s">
        <v>35</v>
      </c>
      <c r="E983" s="36" t="s">
        <v>8</v>
      </c>
      <c r="F983" s="36">
        <f>vlookup(D983,'Team Bye List'!$A$1:$B$33,2,False)</f>
        <v>6</v>
      </c>
      <c r="G983" s="37">
        <f>if(ISNA(vlookup($A983, Sleeper!$B$2:$E$330, 4, false)), 0, vlookup($A983, Sleeper!$B$2:$E$330, 4, false))</f>
        <v>0</v>
      </c>
      <c r="H983" s="37">
        <f>if(ISNA(vlookup($A983, ESPN!$B$2:$E$297, 4, false)), 0, vlookup($A983, ESPN!$B$2:$E$297, 4, false))</f>
        <v>0</v>
      </c>
      <c r="I983" s="37">
        <f>if(ISNA(vlookup($A983,'Ultimate Draft Kit'!$B$2:$E$324,4, false)), 0, vlookup($A983,'Ultimate Draft Kit'!$B$2:$E$324, 4, false))</f>
        <v>0</v>
      </c>
      <c r="J983" s="38">
        <f>if(ISNA(vlookup($A983,Rotowire!$B$2:$E$1075,4, false)), 0, vlookup($A983,Rotowire!$B$2:$E$1075, 4, false))</f>
        <v>0</v>
      </c>
      <c r="K983" s="37">
        <f>if(ISNA(vlookup($A983, FantasyPro!$B$2:$E$341,4,false)),0,vlookup($A983,FantasyPro!$B$2:$E$341,4,false))</f>
        <v>0</v>
      </c>
      <c r="L983" s="37">
        <f>if(ISNA(vlookup($A983, FFToolbox!$B$2:$E$414, 4, false)), 0, vlookup($A983, FFToolbox!$B$2:$E$414, 4, false))</f>
        <v>1</v>
      </c>
      <c r="M983" s="39">
        <f t="shared" si="1"/>
        <v>0.1666666667</v>
      </c>
      <c r="N983" s="39">
        <f t="shared" si="2"/>
        <v>1</v>
      </c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</row>
    <row r="984">
      <c r="A984" s="17" t="s">
        <v>1206</v>
      </c>
      <c r="B984" s="35" t="s">
        <v>1259</v>
      </c>
      <c r="C984" s="35" t="s">
        <v>1260</v>
      </c>
      <c r="D984" s="36" t="s">
        <v>99</v>
      </c>
      <c r="E984" s="36" t="s">
        <v>8</v>
      </c>
      <c r="F984" s="36">
        <f>vlookup(D984,'Team Bye List'!$A$1:$B$33,2,False)</f>
        <v>11</v>
      </c>
      <c r="G984" s="37">
        <f>if(ISNA(vlookup($A984, Sleeper!$B$2:$E$330, 4, false)), 0, vlookup($A984, Sleeper!$B$2:$E$330, 4, false))</f>
        <v>0</v>
      </c>
      <c r="H984" s="37">
        <f>if(ISNA(vlookup($A984, ESPN!$B$2:$E$297, 4, false)), 0, vlookup($A984, ESPN!$B$2:$E$297, 4, false))</f>
        <v>0</v>
      </c>
      <c r="I984" s="37">
        <f>if(ISNA(vlookup($A984,'Ultimate Draft Kit'!$B$2:$E$324,4, false)), 0, vlookup($A984,'Ultimate Draft Kit'!$B$2:$E$324, 4, false))</f>
        <v>0</v>
      </c>
      <c r="J984" s="38">
        <f>if(ISNA(vlookup($A984,Rotowire!$B$2:$E$1075,4, false)), 0, vlookup($A984,Rotowire!$B$2:$E$1075, 4, false))</f>
        <v>0</v>
      </c>
      <c r="K984" s="37">
        <f>if(ISNA(vlookup($A984, FantasyPro!$B$2:$E$341,4,false)),0,vlookup($A984,FantasyPro!$B$2:$E$341,4,false))</f>
        <v>0</v>
      </c>
      <c r="L984" s="37">
        <f>if(ISNA(vlookup($A984, FFToolbox!$B$2:$E$414, 4, false)), 0, vlookup($A984, FFToolbox!$B$2:$E$414, 4, false))</f>
        <v>0</v>
      </c>
      <c r="M984" s="39">
        <f t="shared" si="1"/>
        <v>0</v>
      </c>
      <c r="N984" s="39">
        <f t="shared" si="2"/>
        <v>0</v>
      </c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</row>
    <row r="985">
      <c r="A985" s="17" t="s">
        <v>354</v>
      </c>
      <c r="B985" s="35" t="s">
        <v>1259</v>
      </c>
      <c r="C985" s="35" t="s">
        <v>1260</v>
      </c>
      <c r="D985" s="36" t="s">
        <v>12</v>
      </c>
      <c r="E985" s="36" t="s">
        <v>8</v>
      </c>
      <c r="F985" s="36">
        <f>vlookup(D985,'Team Bye List'!$A$1:$B$33,2,False)</f>
        <v>8</v>
      </c>
      <c r="G985" s="37">
        <f>if(ISNA(vlookup($A985, Sleeper!$B$2:$E$330, 4, false)), 0, vlookup($A985, Sleeper!$B$2:$E$330, 4, false))</f>
        <v>0</v>
      </c>
      <c r="H985" s="37">
        <f>if(ISNA(vlookup($A985, ESPN!$B$2:$E$297, 4, false)), 0, vlookup($A985, ESPN!$B$2:$E$297, 4, false))</f>
        <v>0</v>
      </c>
      <c r="I985" s="37">
        <f>if(ISNA(vlookup($A985,'Ultimate Draft Kit'!$B$2:$E$324,4, false)), 0, vlookup($A985,'Ultimate Draft Kit'!$B$2:$E$324, 4, false))</f>
        <v>0</v>
      </c>
      <c r="J985" s="38">
        <f>if(ISNA(vlookup($A985,Rotowire!$B$2:$E$1075,4, false)), 0, vlookup($A985,Rotowire!$B$2:$E$1075, 4, false))</f>
        <v>0</v>
      </c>
      <c r="K985" s="37">
        <f>if(ISNA(vlookup($A985, FantasyPro!$B$2:$E$341,4,false)),0,vlookup($A985,FantasyPro!$B$2:$E$341,4,false))</f>
        <v>0</v>
      </c>
      <c r="L985" s="37">
        <f>if(ISNA(vlookup($A985, FFToolbox!$B$2:$E$414, 4, false)), 0, vlookup($A985, FFToolbox!$B$2:$E$414, 4, false))</f>
        <v>0</v>
      </c>
      <c r="M985" s="39">
        <f t="shared" si="1"/>
        <v>0</v>
      </c>
      <c r="N985" s="39">
        <f t="shared" si="2"/>
        <v>0</v>
      </c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</row>
    <row r="986">
      <c r="A986" s="17" t="s">
        <v>399</v>
      </c>
      <c r="B986" s="35" t="s">
        <v>1259</v>
      </c>
      <c r="C986" s="35" t="s">
        <v>1260</v>
      </c>
      <c r="D986" s="36" t="s">
        <v>69</v>
      </c>
      <c r="E986" s="36" t="s">
        <v>8</v>
      </c>
      <c r="F986" s="36">
        <f>vlookup(D986,'Team Bye List'!$A$1:$B$33,2,False)</f>
        <v>10</v>
      </c>
      <c r="G986" s="37">
        <f>if(ISNA(vlookup($A986, Sleeper!$B$2:$E$330, 4, false)), 0, vlookup($A986, Sleeper!$B$2:$E$330, 4, false))</f>
        <v>0</v>
      </c>
      <c r="H986" s="37">
        <f>if(ISNA(vlookup($A986, ESPN!$B$2:$E$297, 4, false)), 0, vlookup($A986, ESPN!$B$2:$E$297, 4, false))</f>
        <v>0</v>
      </c>
      <c r="I986" s="37">
        <f>if(ISNA(vlookup($A986,'Ultimate Draft Kit'!$B$2:$E$324,4, false)), 0, vlookup($A986,'Ultimate Draft Kit'!$B$2:$E$324, 4, false))</f>
        <v>0</v>
      </c>
      <c r="J986" s="38">
        <f>if(ISNA(vlookup($A986,Rotowire!$B$2:$E$1075,4, false)), 0, vlookup($A986,Rotowire!$B$2:$E$1075, 4, false))</f>
        <v>0</v>
      </c>
      <c r="K986" s="37">
        <f>if(ISNA(vlookup($A986, FantasyPro!$B$2:$E$341,4,false)),0,vlookup($A986,FantasyPro!$B$2:$E$341,4,false))</f>
        <v>0</v>
      </c>
      <c r="L986" s="37">
        <f>if(ISNA(vlookup($A986, FFToolbox!$B$2:$E$414, 4, false)), 0, vlookup($A986, FFToolbox!$B$2:$E$414, 4, false))</f>
        <v>0</v>
      </c>
      <c r="M986" s="39">
        <f t="shared" si="1"/>
        <v>0</v>
      </c>
      <c r="N986" s="39">
        <f t="shared" si="2"/>
        <v>0</v>
      </c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</row>
    <row r="987">
      <c r="A987" s="17" t="s">
        <v>465</v>
      </c>
      <c r="B987" s="35" t="s">
        <v>1259</v>
      </c>
      <c r="C987" s="35" t="s">
        <v>1260</v>
      </c>
      <c r="D987" s="36" t="s">
        <v>58</v>
      </c>
      <c r="E987" s="36" t="s">
        <v>8</v>
      </c>
      <c r="F987" s="36">
        <f>vlookup(D987,'Team Bye List'!$A$1:$B$33,2,False)</f>
        <v>10</v>
      </c>
      <c r="G987" s="37">
        <f>if(ISNA(vlookup($A987, Sleeper!$B$2:$E$330, 4, false)), 0, vlookup($A987, Sleeper!$B$2:$E$330, 4, false))</f>
        <v>0</v>
      </c>
      <c r="H987" s="37">
        <f>if(ISNA(vlookup($A987, ESPN!$B$2:$E$297, 4, false)), 0, vlookup($A987, ESPN!$B$2:$E$297, 4, false))</f>
        <v>0</v>
      </c>
      <c r="I987" s="37">
        <f>if(ISNA(vlookup($A987,'Ultimate Draft Kit'!$B$2:$E$324,4, false)), 0, vlookup($A987,'Ultimate Draft Kit'!$B$2:$E$324, 4, false))</f>
        <v>0</v>
      </c>
      <c r="J987" s="38">
        <f>if(ISNA(vlookup($A987,Rotowire!$B$2:$E$1075,4, false)), 0, vlookup($A987,Rotowire!$B$2:$E$1075, 4, false))</f>
        <v>0</v>
      </c>
      <c r="K987" s="37">
        <f>if(ISNA(vlookup($A987, FantasyPro!$B$2:$E$341,4,false)),0,vlookup($A987,FantasyPro!$B$2:$E$341,4,false))</f>
        <v>0</v>
      </c>
      <c r="L987" s="37">
        <f>if(ISNA(vlookup($A987, FFToolbox!$B$2:$E$414, 4, false)), 0, vlookup($A987, FFToolbox!$B$2:$E$414, 4, false))</f>
        <v>0</v>
      </c>
      <c r="M987" s="39">
        <f t="shared" si="1"/>
        <v>0</v>
      </c>
      <c r="N987" s="39">
        <f t="shared" si="2"/>
        <v>0</v>
      </c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</row>
    <row r="988">
      <c r="A988" s="17" t="s">
        <v>501</v>
      </c>
      <c r="B988" s="35" t="s">
        <v>1259</v>
      </c>
      <c r="C988" s="35" t="s">
        <v>1260</v>
      </c>
      <c r="D988" s="36" t="s">
        <v>81</v>
      </c>
      <c r="E988" s="36" t="s">
        <v>77</v>
      </c>
      <c r="F988" s="36">
        <f>vlookup(D988,'Team Bye List'!$A$1:$B$33,2,False)</f>
        <v>6</v>
      </c>
      <c r="G988" s="37">
        <f>if(ISNA(vlookup($A988, Sleeper!$B$2:$E$330, 4, false)), 0, vlookup($A988, Sleeper!$B$2:$E$330, 4, false))</f>
        <v>0</v>
      </c>
      <c r="H988" s="37">
        <f>if(ISNA(vlookup($A988, ESPN!$B$2:$E$297, 4, false)), 0, vlookup($A988, ESPN!$B$2:$E$297, 4, false))</f>
        <v>0</v>
      </c>
      <c r="I988" s="37">
        <f>if(ISNA(vlookup($A988,'Ultimate Draft Kit'!$B$2:$E$324,4, false)), 0, vlookup($A988,'Ultimate Draft Kit'!$B$2:$E$324, 4, false))</f>
        <v>0</v>
      </c>
      <c r="J988" s="38">
        <f>if(ISNA(vlookup($A988,Rotowire!$B$2:$E$1075,4, false)), 0, vlookup($A988,Rotowire!$B$2:$E$1075, 4, false))</f>
        <v>0</v>
      </c>
      <c r="K988" s="37">
        <f>if(ISNA(vlookup($A988, FantasyPro!$B$2:$E$341,4,false)),0,vlookup($A988,FantasyPro!$B$2:$E$341,4,false))</f>
        <v>0</v>
      </c>
      <c r="L988" s="37">
        <f>if(ISNA(vlookup($A988, FFToolbox!$B$2:$E$414, 4, false)), 0, vlookup($A988, FFToolbox!$B$2:$E$414, 4, false))</f>
        <v>0</v>
      </c>
      <c r="M988" s="39">
        <f t="shared" si="1"/>
        <v>0</v>
      </c>
      <c r="N988" s="39">
        <f t="shared" si="2"/>
        <v>0</v>
      </c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</row>
    <row r="989">
      <c r="A989" s="17" t="s">
        <v>476</v>
      </c>
      <c r="B989" s="35" t="s">
        <v>1259</v>
      </c>
      <c r="C989" s="35" t="s">
        <v>1260</v>
      </c>
      <c r="D989" s="36" t="s">
        <v>58</v>
      </c>
      <c r="E989" s="36" t="s">
        <v>77</v>
      </c>
      <c r="F989" s="36">
        <f>vlookup(D989,'Team Bye List'!$A$1:$B$33,2,False)</f>
        <v>10</v>
      </c>
      <c r="G989" s="37">
        <f>if(ISNA(vlookup($A989, Sleeper!$B$2:$E$330, 4, false)), 0, vlookup($A989, Sleeper!$B$2:$E$330, 4, false))</f>
        <v>0</v>
      </c>
      <c r="H989" s="37">
        <f>if(ISNA(vlookup($A989, ESPN!$B$2:$E$297, 4, false)), 0, vlookup($A989, ESPN!$B$2:$E$297, 4, false))</f>
        <v>0</v>
      </c>
      <c r="I989" s="37">
        <f>if(ISNA(vlookup($A989,'Ultimate Draft Kit'!$B$2:$E$324,4, false)), 0, vlookup($A989,'Ultimate Draft Kit'!$B$2:$E$324, 4, false))</f>
        <v>0</v>
      </c>
      <c r="J989" s="38">
        <f>if(ISNA(vlookup($A989,Rotowire!$B$2:$E$1075,4, false)), 0, vlookup($A989,Rotowire!$B$2:$E$1075, 4, false))</f>
        <v>0</v>
      </c>
      <c r="K989" s="37">
        <f>if(ISNA(vlookup($A989, FantasyPro!$B$2:$E$341,4,false)),0,vlookup($A989,FantasyPro!$B$2:$E$341,4,false))</f>
        <v>0</v>
      </c>
      <c r="L989" s="37">
        <f>if(ISNA(vlookup($A989, FFToolbox!$B$2:$E$414, 4, false)), 0, vlookup($A989, FFToolbox!$B$2:$E$414, 4, false))</f>
        <v>1</v>
      </c>
      <c r="M989" s="39">
        <f t="shared" si="1"/>
        <v>0.1666666667</v>
      </c>
      <c r="N989" s="39">
        <f t="shared" si="2"/>
        <v>1</v>
      </c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</row>
    <row r="990">
      <c r="A990" s="17" t="s">
        <v>295</v>
      </c>
      <c r="B990" s="35" t="s">
        <v>1259</v>
      </c>
      <c r="C990" s="35" t="s">
        <v>1260</v>
      </c>
      <c r="D990" s="36" t="s">
        <v>39</v>
      </c>
      <c r="E990" s="36" t="s">
        <v>77</v>
      </c>
      <c r="F990" s="36">
        <f>vlookup(D990,'Team Bye List'!$A$1:$B$33,2,False)</f>
        <v>11</v>
      </c>
      <c r="G990" s="37">
        <f>if(ISNA(vlookup($A990, Sleeper!$B$2:$E$330, 4, false)), 0, vlookup($A990, Sleeper!$B$2:$E$330, 4, false))</f>
        <v>0</v>
      </c>
      <c r="H990" s="37">
        <f>if(ISNA(vlookup($A990, ESPN!$B$2:$E$297, 4, false)), 0, vlookup($A990, ESPN!$B$2:$E$297, 4, false))</f>
        <v>0</v>
      </c>
      <c r="I990" s="37">
        <f>if(ISNA(vlookup($A990,'Ultimate Draft Kit'!$B$2:$E$324,4, false)), 0, vlookup($A990,'Ultimate Draft Kit'!$B$2:$E$324, 4, false))</f>
        <v>0</v>
      </c>
      <c r="J990" s="38">
        <f>if(ISNA(vlookup($A990,Rotowire!$B$2:$E$1075,4, false)), 0, vlookup($A990,Rotowire!$B$2:$E$1075, 4, false))</f>
        <v>0</v>
      </c>
      <c r="K990" s="37">
        <f>if(ISNA(vlookup($A990, FantasyPro!$B$2:$E$341,4,false)),0,vlookup($A990,FantasyPro!$B$2:$E$341,4,false))</f>
        <v>0</v>
      </c>
      <c r="L990" s="37">
        <f>if(ISNA(vlookup($A990, FFToolbox!$B$2:$E$414, 4, false)), 0, vlookup($A990, FFToolbox!$B$2:$E$414, 4, false))</f>
        <v>0</v>
      </c>
      <c r="M990" s="39">
        <f t="shared" si="1"/>
        <v>0</v>
      </c>
      <c r="N990" s="39">
        <f t="shared" si="2"/>
        <v>0</v>
      </c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</row>
    <row r="991">
      <c r="A991" s="17" t="s">
        <v>1207</v>
      </c>
      <c r="B991" s="35" t="s">
        <v>1259</v>
      </c>
      <c r="C991" s="35" t="s">
        <v>1260</v>
      </c>
      <c r="D991" s="36" t="s">
        <v>64</v>
      </c>
      <c r="E991" s="36" t="s">
        <v>77</v>
      </c>
      <c r="F991" s="36">
        <f>vlookup(D991,'Team Bye List'!$A$1:$B$33,2,False)</f>
        <v>7</v>
      </c>
      <c r="G991" s="37">
        <f>if(ISNA(vlookup($A991, Sleeper!$B$2:$E$330, 4, false)), 0, vlookup($A991, Sleeper!$B$2:$E$330, 4, false))</f>
        <v>0</v>
      </c>
      <c r="H991" s="37">
        <f>if(ISNA(vlookup($A991, ESPN!$B$2:$E$297, 4, false)), 0, vlookup($A991, ESPN!$B$2:$E$297, 4, false))</f>
        <v>0</v>
      </c>
      <c r="I991" s="37">
        <f>if(ISNA(vlookup($A991,'Ultimate Draft Kit'!$B$2:$E$324,4, false)), 0, vlookup($A991,'Ultimate Draft Kit'!$B$2:$E$324, 4, false))</f>
        <v>0</v>
      </c>
      <c r="J991" s="38">
        <f>if(ISNA(vlookup($A991,Rotowire!$B$2:$E$1075,4, false)), 0, vlookup($A991,Rotowire!$B$2:$E$1075, 4, false))</f>
        <v>0</v>
      </c>
      <c r="K991" s="37">
        <f>if(ISNA(vlookup($A991, FantasyPro!$B$2:$E$341,4,false)),0,vlookup($A991,FantasyPro!$B$2:$E$341,4,false))</f>
        <v>0</v>
      </c>
      <c r="L991" s="37">
        <f>if(ISNA(vlookup($A991, FFToolbox!$B$2:$E$414, 4, false)), 0, vlookup($A991, FFToolbox!$B$2:$E$414, 4, false))</f>
        <v>0</v>
      </c>
      <c r="M991" s="39">
        <f t="shared" si="1"/>
        <v>0</v>
      </c>
      <c r="N991" s="39">
        <f t="shared" si="2"/>
        <v>0</v>
      </c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</row>
    <row r="992">
      <c r="A992" s="17" t="s">
        <v>478</v>
      </c>
      <c r="B992" s="35" t="s">
        <v>1259</v>
      </c>
      <c r="C992" s="35" t="s">
        <v>1260</v>
      </c>
      <c r="D992" s="36" t="s">
        <v>53</v>
      </c>
      <c r="E992" s="36" t="s">
        <v>77</v>
      </c>
      <c r="F992" s="36">
        <f>vlookup(D992,'Team Bye List'!$A$1:$B$33,2,False)</f>
        <v>9</v>
      </c>
      <c r="G992" s="37">
        <f>if(ISNA(vlookup($A992, Sleeper!$B$2:$E$330, 4, false)), 0, vlookup($A992, Sleeper!$B$2:$E$330, 4, false))</f>
        <v>0</v>
      </c>
      <c r="H992" s="37">
        <f>if(ISNA(vlookup($A992, ESPN!$B$2:$E$297, 4, false)), 0, vlookup($A992, ESPN!$B$2:$E$297, 4, false))</f>
        <v>0</v>
      </c>
      <c r="I992" s="37">
        <f>if(ISNA(vlookup($A992,'Ultimate Draft Kit'!$B$2:$E$324,4, false)), 0, vlookup($A992,'Ultimate Draft Kit'!$B$2:$E$324, 4, false))</f>
        <v>0</v>
      </c>
      <c r="J992" s="38">
        <f>if(ISNA(vlookup($A992,Rotowire!$B$2:$E$1075,4, false)), 0, vlookup($A992,Rotowire!$B$2:$E$1075, 4, false))</f>
        <v>0</v>
      </c>
      <c r="K992" s="37">
        <f>if(ISNA(vlookup($A992, FantasyPro!$B$2:$E$341,4,false)),0,vlookup($A992,FantasyPro!$B$2:$E$341,4,false))</f>
        <v>0</v>
      </c>
      <c r="L992" s="37">
        <f>if(ISNA(vlookup($A992, FFToolbox!$B$2:$E$414, 4, false)), 0, vlookup($A992, FFToolbox!$B$2:$E$414, 4, false))</f>
        <v>1</v>
      </c>
      <c r="M992" s="39">
        <f t="shared" si="1"/>
        <v>0.1666666667</v>
      </c>
      <c r="N992" s="39">
        <f t="shared" si="2"/>
        <v>1</v>
      </c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</row>
    <row r="993">
      <c r="A993" s="17" t="s">
        <v>482</v>
      </c>
      <c r="B993" s="35" t="s">
        <v>1259</v>
      </c>
      <c r="C993" s="35" t="s">
        <v>1260</v>
      </c>
      <c r="D993" s="36" t="s">
        <v>41</v>
      </c>
      <c r="E993" s="36" t="s">
        <v>77</v>
      </c>
      <c r="F993" s="36">
        <f>vlookup(D993,'Team Bye List'!$A$1:$B$33,2,False)</f>
        <v>14</v>
      </c>
      <c r="G993" s="37">
        <f>if(ISNA(vlookup($A993, Sleeper!$B$2:$E$330, 4, false)), 0, vlookup($A993, Sleeper!$B$2:$E$330, 4, false))</f>
        <v>0</v>
      </c>
      <c r="H993" s="37">
        <f>if(ISNA(vlookup($A993, ESPN!$B$2:$E$297, 4, false)), 0, vlookup($A993, ESPN!$B$2:$E$297, 4, false))</f>
        <v>0</v>
      </c>
      <c r="I993" s="37">
        <f>if(ISNA(vlookup($A993,'Ultimate Draft Kit'!$B$2:$E$324,4, false)), 0, vlookup($A993,'Ultimate Draft Kit'!$B$2:$E$324, 4, false))</f>
        <v>0</v>
      </c>
      <c r="J993" s="38">
        <f>if(ISNA(vlookup($A993,Rotowire!$B$2:$E$1075,4, false)), 0, vlookup($A993,Rotowire!$B$2:$E$1075, 4, false))</f>
        <v>0</v>
      </c>
      <c r="K993" s="37">
        <f>if(ISNA(vlookup($A993, FantasyPro!$B$2:$E$341,4,false)),0,vlookup($A993,FantasyPro!$B$2:$E$341,4,false))</f>
        <v>0</v>
      </c>
      <c r="L993" s="37">
        <f>if(ISNA(vlookup($A993, FFToolbox!$B$2:$E$414, 4, false)), 0, vlookup($A993, FFToolbox!$B$2:$E$414, 4, false))</f>
        <v>1</v>
      </c>
      <c r="M993" s="39">
        <f t="shared" si="1"/>
        <v>0.1666666667</v>
      </c>
      <c r="N993" s="39">
        <f t="shared" si="2"/>
        <v>1</v>
      </c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</row>
    <row r="994">
      <c r="A994" s="17" t="s">
        <v>477</v>
      </c>
      <c r="B994" s="35" t="s">
        <v>1259</v>
      </c>
      <c r="C994" s="35" t="s">
        <v>1260</v>
      </c>
      <c r="D994" s="36" t="s">
        <v>69</v>
      </c>
      <c r="E994" s="36" t="s">
        <v>77</v>
      </c>
      <c r="F994" s="36">
        <f>vlookup(D994,'Team Bye List'!$A$1:$B$33,2,False)</f>
        <v>10</v>
      </c>
      <c r="G994" s="37">
        <f>if(ISNA(vlookup($A994, Sleeper!$B$2:$E$330, 4, false)), 0, vlookup($A994, Sleeper!$B$2:$E$330, 4, false))</f>
        <v>0</v>
      </c>
      <c r="H994" s="37">
        <f>if(ISNA(vlookup($A994, ESPN!$B$2:$E$297, 4, false)), 0, vlookup($A994, ESPN!$B$2:$E$297, 4, false))</f>
        <v>0</v>
      </c>
      <c r="I994" s="37">
        <f>if(ISNA(vlookup($A994,'Ultimate Draft Kit'!$B$2:$E$324,4, false)), 0, vlookup($A994,'Ultimate Draft Kit'!$B$2:$E$324, 4, false))</f>
        <v>0</v>
      </c>
      <c r="J994" s="38">
        <f>if(ISNA(vlookup($A994,Rotowire!$B$2:$E$1075,4, false)), 0, vlookup($A994,Rotowire!$B$2:$E$1075, 4, false))</f>
        <v>0</v>
      </c>
      <c r="K994" s="37">
        <f>if(ISNA(vlookup($A994, FantasyPro!$B$2:$E$341,4,false)),0,vlookup($A994,FantasyPro!$B$2:$E$341,4,false))</f>
        <v>0</v>
      </c>
      <c r="L994" s="37">
        <f>if(ISNA(vlookup($A994, FFToolbox!$B$2:$E$414, 4, false)), 0, vlookup($A994, FFToolbox!$B$2:$E$414, 4, false))</f>
        <v>0</v>
      </c>
      <c r="M994" s="39">
        <f t="shared" si="1"/>
        <v>0</v>
      </c>
      <c r="N994" s="39">
        <f t="shared" si="2"/>
        <v>0</v>
      </c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</row>
    <row r="995">
      <c r="A995" s="17" t="s">
        <v>474</v>
      </c>
      <c r="B995" s="35" t="s">
        <v>1259</v>
      </c>
      <c r="C995" s="35" t="s">
        <v>1260</v>
      </c>
      <c r="D995" s="36" t="s">
        <v>21</v>
      </c>
      <c r="E995" s="36" t="s">
        <v>77</v>
      </c>
      <c r="F995" s="36">
        <f>vlookup(D995,'Team Bye List'!$A$1:$B$33,2,False)</f>
        <v>6</v>
      </c>
      <c r="G995" s="37">
        <f>if(ISNA(vlookup($A995, Sleeper!$B$2:$E$330, 4, false)), 0, vlookup($A995, Sleeper!$B$2:$E$330, 4, false))</f>
        <v>0</v>
      </c>
      <c r="H995" s="37">
        <f>if(ISNA(vlookup($A995, ESPN!$B$2:$E$297, 4, false)), 0, vlookup($A995, ESPN!$B$2:$E$297, 4, false))</f>
        <v>0</v>
      </c>
      <c r="I995" s="37">
        <f>if(ISNA(vlookup($A995,'Ultimate Draft Kit'!$B$2:$E$324,4, false)), 0, vlookup($A995,'Ultimate Draft Kit'!$B$2:$E$324, 4, false))</f>
        <v>0</v>
      </c>
      <c r="J995" s="38">
        <f>if(ISNA(vlookup($A995,Rotowire!$B$2:$E$1075,4, false)), 0, vlookup($A995,Rotowire!$B$2:$E$1075, 4, false))</f>
        <v>0</v>
      </c>
      <c r="K995" s="37">
        <f>if(ISNA(vlookup($A995, FantasyPro!$B$2:$E$341,4,false)),0,vlookup($A995,FantasyPro!$B$2:$E$341,4,false))</f>
        <v>0</v>
      </c>
      <c r="L995" s="37">
        <f>if(ISNA(vlookup($A995, FFToolbox!$B$2:$E$414, 4, false)), 0, vlookup($A995, FFToolbox!$B$2:$E$414, 4, false))</f>
        <v>0</v>
      </c>
      <c r="M995" s="39">
        <f t="shared" si="1"/>
        <v>0</v>
      </c>
      <c r="N995" s="39">
        <f t="shared" si="2"/>
        <v>0</v>
      </c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</row>
    <row r="996">
      <c r="A996" s="17" t="s">
        <v>489</v>
      </c>
      <c r="B996" s="35" t="s">
        <v>1259</v>
      </c>
      <c r="C996" s="35" t="s">
        <v>1260</v>
      </c>
      <c r="D996" s="36" t="s">
        <v>62</v>
      </c>
      <c r="E996" s="36" t="s">
        <v>77</v>
      </c>
      <c r="F996" s="36">
        <f>vlookup(D996,'Team Bye List'!$A$1:$B$33,2,False)</f>
        <v>8</v>
      </c>
      <c r="G996" s="37">
        <f>if(ISNA(vlookup($A996, Sleeper!$B$2:$E$330, 4, false)), 0, vlookup($A996, Sleeper!$B$2:$E$330, 4, false))</f>
        <v>0</v>
      </c>
      <c r="H996" s="37">
        <f>if(ISNA(vlookup($A996, ESPN!$B$2:$E$297, 4, false)), 0, vlookup($A996, ESPN!$B$2:$E$297, 4, false))</f>
        <v>0</v>
      </c>
      <c r="I996" s="37">
        <f>if(ISNA(vlookup($A996,'Ultimate Draft Kit'!$B$2:$E$324,4, false)), 0, vlookup($A996,'Ultimate Draft Kit'!$B$2:$E$324, 4, false))</f>
        <v>0</v>
      </c>
      <c r="J996" s="38">
        <f>if(ISNA(vlookup($A996,Rotowire!$B$2:$E$1075,4, false)), 0, vlookup($A996,Rotowire!$B$2:$E$1075, 4, false))</f>
        <v>0</v>
      </c>
      <c r="K996" s="37">
        <f>if(ISNA(vlookup($A996, FantasyPro!$B$2:$E$341,4,false)),0,vlookup($A996,FantasyPro!$B$2:$E$341,4,false))</f>
        <v>0</v>
      </c>
      <c r="L996" s="37">
        <f>if(ISNA(vlookup($A996, FFToolbox!$B$2:$E$414, 4, false)), 0, vlookup($A996, FFToolbox!$B$2:$E$414, 4, false))</f>
        <v>1</v>
      </c>
      <c r="M996" s="39">
        <f t="shared" si="1"/>
        <v>0.1666666667</v>
      </c>
      <c r="N996" s="39">
        <f t="shared" si="2"/>
        <v>1</v>
      </c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</row>
    <row r="997">
      <c r="A997" s="17" t="s">
        <v>496</v>
      </c>
      <c r="B997" s="35" t="s">
        <v>1259</v>
      </c>
      <c r="C997" s="35" t="s">
        <v>1260</v>
      </c>
      <c r="D997" s="36" t="s">
        <v>32</v>
      </c>
      <c r="E997" s="36" t="s">
        <v>77</v>
      </c>
      <c r="F997" s="36">
        <f>vlookup(D997,'Team Bye List'!$A$1:$B$33,2,False)</f>
        <v>9</v>
      </c>
      <c r="G997" s="37">
        <f>if(ISNA(vlookup($A997, Sleeper!$B$2:$E$330, 4, false)), 0, vlookup($A997, Sleeper!$B$2:$E$330, 4, false))</f>
        <v>0</v>
      </c>
      <c r="H997" s="37">
        <f>if(ISNA(vlookup($A997, ESPN!$B$2:$E$297, 4, false)), 0, vlookup($A997, ESPN!$B$2:$E$297, 4, false))</f>
        <v>0</v>
      </c>
      <c r="I997" s="37">
        <f>if(ISNA(vlookup($A997,'Ultimate Draft Kit'!$B$2:$E$324,4, false)), 0, vlookup($A997,'Ultimate Draft Kit'!$B$2:$E$324, 4, false))</f>
        <v>0</v>
      </c>
      <c r="J997" s="38">
        <f>if(ISNA(vlookup($A997,Rotowire!$B$2:$E$1075,4, false)), 0, vlookup($A997,Rotowire!$B$2:$E$1075, 4, false))</f>
        <v>0</v>
      </c>
      <c r="K997" s="37">
        <f>if(ISNA(vlookup($A997, FantasyPro!$B$2:$E$341,4,false)),0,vlookup($A997,FantasyPro!$B$2:$E$341,4,false))</f>
        <v>0</v>
      </c>
      <c r="L997" s="37">
        <f>if(ISNA(vlookup($A997, FFToolbox!$B$2:$E$414, 4, false)), 0, vlookup($A997, FFToolbox!$B$2:$E$414, 4, false))</f>
        <v>1</v>
      </c>
      <c r="M997" s="39">
        <f t="shared" si="1"/>
        <v>0.1666666667</v>
      </c>
      <c r="N997" s="39">
        <f t="shared" si="2"/>
        <v>1</v>
      </c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</row>
    <row r="998">
      <c r="A998" s="17" t="s">
        <v>483</v>
      </c>
      <c r="B998" s="35" t="s">
        <v>1259</v>
      </c>
      <c r="C998" s="35" t="s">
        <v>1260</v>
      </c>
      <c r="D998" s="36" t="s">
        <v>30</v>
      </c>
      <c r="E998" s="36" t="s">
        <v>77</v>
      </c>
      <c r="F998" s="36">
        <f>vlookup(D998,'Team Bye List'!$A$1:$B$33,2,False)</f>
        <v>7</v>
      </c>
      <c r="G998" s="37">
        <f>if(ISNA(vlookup($A998, Sleeper!$B$2:$E$330, 4, false)), 0, vlookup($A998, Sleeper!$B$2:$E$330, 4, false))</f>
        <v>0</v>
      </c>
      <c r="H998" s="37">
        <f>if(ISNA(vlookup($A998, ESPN!$B$2:$E$297, 4, false)), 0, vlookup($A998, ESPN!$B$2:$E$297, 4, false))</f>
        <v>0</v>
      </c>
      <c r="I998" s="37">
        <f>if(ISNA(vlookup($A998,'Ultimate Draft Kit'!$B$2:$E$324,4, false)), 0, vlookup($A998,'Ultimate Draft Kit'!$B$2:$E$324, 4, false))</f>
        <v>0</v>
      </c>
      <c r="J998" s="38">
        <f>if(ISNA(vlookup($A998,Rotowire!$B$2:$E$1075,4, false)), 0, vlookup($A998,Rotowire!$B$2:$E$1075, 4, false))</f>
        <v>0</v>
      </c>
      <c r="K998" s="37">
        <f>if(ISNA(vlookup($A998, FantasyPro!$B$2:$E$341,4,false)),0,vlookup($A998,FantasyPro!$B$2:$E$341,4,false))</f>
        <v>0</v>
      </c>
      <c r="L998" s="37">
        <f>if(ISNA(vlookup($A998, FFToolbox!$B$2:$E$414, 4, false)), 0, vlookup($A998, FFToolbox!$B$2:$E$414, 4, false))</f>
        <v>1</v>
      </c>
      <c r="M998" s="39">
        <f t="shared" si="1"/>
        <v>0.1666666667</v>
      </c>
      <c r="N998" s="39">
        <f t="shared" si="2"/>
        <v>1</v>
      </c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</row>
    <row r="999">
      <c r="A999" s="17" t="s">
        <v>480</v>
      </c>
      <c r="B999" s="35" t="s">
        <v>1259</v>
      </c>
      <c r="C999" s="35" t="s">
        <v>1260</v>
      </c>
      <c r="D999" s="36" t="s">
        <v>47</v>
      </c>
      <c r="E999" s="36" t="s">
        <v>77</v>
      </c>
      <c r="F999" s="36">
        <f>vlookup(D999,'Team Bye List'!$A$1:$B$33,2,False)</f>
        <v>14</v>
      </c>
      <c r="G999" s="37">
        <f>if(ISNA(vlookup($A999, Sleeper!$B$2:$E$330, 4, false)), 0, vlookup($A999, Sleeper!$B$2:$E$330, 4, false))</f>
        <v>0</v>
      </c>
      <c r="H999" s="37">
        <f>if(ISNA(vlookup($A999, ESPN!$B$2:$E$297, 4, false)), 0, vlookup($A999, ESPN!$B$2:$E$297, 4, false))</f>
        <v>0</v>
      </c>
      <c r="I999" s="37">
        <f>if(ISNA(vlookup($A999,'Ultimate Draft Kit'!$B$2:$E$324,4, false)), 0, vlookup($A999,'Ultimate Draft Kit'!$B$2:$E$324, 4, false))</f>
        <v>0</v>
      </c>
      <c r="J999" s="38">
        <f>if(ISNA(vlookup($A999,Rotowire!$B$2:$E$1075,4, false)), 0, vlookup($A999,Rotowire!$B$2:$E$1075, 4, false))</f>
        <v>0</v>
      </c>
      <c r="K999" s="37">
        <f>if(ISNA(vlookup($A999, FantasyPro!$B$2:$E$341,4,false)),0,vlookup($A999,FantasyPro!$B$2:$E$341,4,false))</f>
        <v>0</v>
      </c>
      <c r="L999" s="37">
        <f>if(ISNA(vlookup($A999, FFToolbox!$B$2:$E$414, 4, false)), 0, vlookup($A999, FFToolbox!$B$2:$E$414, 4, false))</f>
        <v>0</v>
      </c>
      <c r="M999" s="39">
        <f t="shared" si="1"/>
        <v>0</v>
      </c>
      <c r="N999" s="39">
        <f t="shared" si="2"/>
        <v>0</v>
      </c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</row>
    <row r="1000">
      <c r="A1000" s="17" t="s">
        <v>487</v>
      </c>
      <c r="B1000" s="35" t="s">
        <v>1259</v>
      </c>
      <c r="C1000" s="35" t="s">
        <v>1260</v>
      </c>
      <c r="D1000" s="36" t="s">
        <v>19</v>
      </c>
      <c r="E1000" s="36" t="s">
        <v>77</v>
      </c>
      <c r="F1000" s="36">
        <f>vlookup(D1000,'Team Bye List'!$A$1:$B$33,2,False)</f>
        <v>10</v>
      </c>
      <c r="G1000" s="37">
        <f>if(ISNA(vlookup($A1000, Sleeper!$B$2:$E$330, 4, false)), 0, vlookup($A1000, Sleeper!$B$2:$E$330, 4, false))</f>
        <v>0</v>
      </c>
      <c r="H1000" s="37">
        <f>if(ISNA(vlookup($A1000, ESPN!$B$2:$E$297, 4, false)), 0, vlookup($A1000, ESPN!$B$2:$E$297, 4, false))</f>
        <v>0</v>
      </c>
      <c r="I1000" s="37">
        <f>if(ISNA(vlookup($A1000,'Ultimate Draft Kit'!$B$2:$E$324,4, false)), 0, vlookup($A1000,'Ultimate Draft Kit'!$B$2:$E$324, 4, false))</f>
        <v>0</v>
      </c>
      <c r="J1000" s="38">
        <f>if(ISNA(vlookup($A1000,Rotowire!$B$2:$E$1075,4, false)), 0, vlookup($A1000,Rotowire!$B$2:$E$1075, 4, false))</f>
        <v>0</v>
      </c>
      <c r="K1000" s="37">
        <f>if(ISNA(vlookup($A1000, FantasyPro!$B$2:$E$341,4,false)),0,vlookup($A1000,FantasyPro!$B$2:$E$341,4,false))</f>
        <v>0</v>
      </c>
      <c r="L1000" s="37">
        <f>if(ISNA(vlookup($A1000, FFToolbox!$B$2:$E$414, 4, false)), 0, vlookup($A1000, FFToolbox!$B$2:$E$414, 4, false))</f>
        <v>1</v>
      </c>
      <c r="M1000" s="39">
        <f t="shared" si="1"/>
        <v>0.1666666667</v>
      </c>
      <c r="N1000" s="39">
        <f t="shared" si="2"/>
        <v>1</v>
      </c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</row>
    <row r="1001">
      <c r="A1001" s="17" t="s">
        <v>500</v>
      </c>
      <c r="B1001" s="35" t="s">
        <v>1259</v>
      </c>
      <c r="C1001" s="35" t="s">
        <v>1260</v>
      </c>
      <c r="D1001" s="36" t="s">
        <v>25</v>
      </c>
      <c r="E1001" s="36" t="s">
        <v>77</v>
      </c>
      <c r="F1001" s="36">
        <f>vlookup(D1001,'Team Bye List'!$A$1:$B$33,2,False)</f>
        <v>7</v>
      </c>
      <c r="G1001" s="37">
        <f>if(ISNA(vlookup($A1001, Sleeper!$B$2:$E$330, 4, false)), 0, vlookup($A1001, Sleeper!$B$2:$E$330, 4, false))</f>
        <v>0</v>
      </c>
      <c r="H1001" s="37">
        <f>if(ISNA(vlookup($A1001, ESPN!$B$2:$E$297, 4, false)), 0, vlookup($A1001, ESPN!$B$2:$E$297, 4, false))</f>
        <v>0</v>
      </c>
      <c r="I1001" s="37">
        <f>if(ISNA(vlookup($A1001,'Ultimate Draft Kit'!$B$2:$E$324,4, false)), 0, vlookup($A1001,'Ultimate Draft Kit'!$B$2:$E$324, 4, false))</f>
        <v>0</v>
      </c>
      <c r="J1001" s="38">
        <f>if(ISNA(vlookup($A1001,Rotowire!$B$2:$E$1075,4, false)), 0, vlookup($A1001,Rotowire!$B$2:$E$1075, 4, false))</f>
        <v>0</v>
      </c>
      <c r="K1001" s="37">
        <f>if(ISNA(vlookup($A1001, FantasyPro!$B$2:$E$341,4,false)),0,vlookup($A1001,FantasyPro!$B$2:$E$341,4,false))</f>
        <v>0</v>
      </c>
      <c r="L1001" s="37">
        <f>if(ISNA(vlookup($A1001, FFToolbox!$B$2:$E$414, 4, false)), 0, vlookup($A1001, FFToolbox!$B$2:$E$414, 4, false))</f>
        <v>0</v>
      </c>
      <c r="M1001" s="39">
        <f t="shared" si="1"/>
        <v>0</v>
      </c>
      <c r="N1001" s="39">
        <f t="shared" si="2"/>
        <v>0</v>
      </c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  <c r="AD1001" s="40"/>
      <c r="AE1001" s="40"/>
    </row>
    <row r="1002">
      <c r="A1002" s="17" t="s">
        <v>502</v>
      </c>
      <c r="B1002" s="35" t="s">
        <v>1259</v>
      </c>
      <c r="C1002" s="35" t="s">
        <v>1260</v>
      </c>
      <c r="D1002" s="36" t="s">
        <v>15</v>
      </c>
      <c r="E1002" s="36" t="s">
        <v>77</v>
      </c>
      <c r="F1002" s="36">
        <f>vlookup(D1002,'Team Bye List'!$A$1:$B$33,2,False)</f>
        <v>6</v>
      </c>
      <c r="G1002" s="37">
        <f>if(ISNA(vlookup($A1002, Sleeper!$B$2:$E$330, 4, false)), 0, vlookup($A1002, Sleeper!$B$2:$E$330, 4, false))</f>
        <v>0</v>
      </c>
      <c r="H1002" s="37">
        <f>if(ISNA(vlookup($A1002, ESPN!$B$2:$E$297, 4, false)), 0, vlookup($A1002, ESPN!$B$2:$E$297, 4, false))</f>
        <v>0</v>
      </c>
      <c r="I1002" s="37">
        <f>if(ISNA(vlookup($A1002,'Ultimate Draft Kit'!$B$2:$E$324,4, false)), 0, vlookup($A1002,'Ultimate Draft Kit'!$B$2:$E$324, 4, false))</f>
        <v>0</v>
      </c>
      <c r="J1002" s="38">
        <f>if(ISNA(vlookup($A1002,Rotowire!$B$2:$E$1075,4, false)), 0, vlookup($A1002,Rotowire!$B$2:$E$1075, 4, false))</f>
        <v>0</v>
      </c>
      <c r="K1002" s="37">
        <f>if(ISNA(vlookup($A1002, FantasyPro!$B$2:$E$341,4,false)),0,vlookup($A1002,FantasyPro!$B$2:$E$341,4,false))</f>
        <v>0</v>
      </c>
      <c r="L1002" s="37">
        <f>if(ISNA(vlookup($A1002, FFToolbox!$B$2:$E$414, 4, false)), 0, vlookup($A1002, FFToolbox!$B$2:$E$414, 4, false))</f>
        <v>1</v>
      </c>
      <c r="M1002" s="39">
        <f t="shared" si="1"/>
        <v>0.1666666667</v>
      </c>
      <c r="N1002" s="39">
        <f t="shared" si="2"/>
        <v>1</v>
      </c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  <c r="AD1002" s="40"/>
      <c r="AE1002" s="40"/>
    </row>
    <row r="1003">
      <c r="A1003" s="17" t="s">
        <v>493</v>
      </c>
      <c r="B1003" s="35" t="s">
        <v>1259</v>
      </c>
      <c r="C1003" s="35" t="s">
        <v>1260</v>
      </c>
      <c r="D1003" s="36" t="s">
        <v>99</v>
      </c>
      <c r="E1003" s="36" t="s">
        <v>77</v>
      </c>
      <c r="F1003" s="36">
        <f>vlookup(D1003,'Team Bye List'!$A$1:$B$33,2,False)</f>
        <v>11</v>
      </c>
      <c r="G1003" s="37">
        <f>if(ISNA(vlookup($A1003, Sleeper!$B$2:$E$330, 4, false)), 0, vlookup($A1003, Sleeper!$B$2:$E$330, 4, false))</f>
        <v>0</v>
      </c>
      <c r="H1003" s="37">
        <f>if(ISNA(vlookup($A1003, ESPN!$B$2:$E$297, 4, false)), 0, vlookup($A1003, ESPN!$B$2:$E$297, 4, false))</f>
        <v>0</v>
      </c>
      <c r="I1003" s="37">
        <f>if(ISNA(vlookup($A1003,'Ultimate Draft Kit'!$B$2:$E$324,4, false)), 0, vlookup($A1003,'Ultimate Draft Kit'!$B$2:$E$324, 4, false))</f>
        <v>0</v>
      </c>
      <c r="J1003" s="38">
        <f>if(ISNA(vlookup($A1003,Rotowire!$B$2:$E$1075,4, false)), 0, vlookup($A1003,Rotowire!$B$2:$E$1075, 4, false))</f>
        <v>0</v>
      </c>
      <c r="K1003" s="37">
        <f>if(ISNA(vlookup($A1003, FantasyPro!$B$2:$E$341,4,false)),0,vlookup($A1003,FantasyPro!$B$2:$E$341,4,false))</f>
        <v>0</v>
      </c>
      <c r="L1003" s="37">
        <f>if(ISNA(vlookup($A1003, FFToolbox!$B$2:$E$414, 4, false)), 0, vlookup($A1003, FFToolbox!$B$2:$E$414, 4, false))</f>
        <v>1</v>
      </c>
      <c r="M1003" s="39">
        <f t="shared" si="1"/>
        <v>0.1666666667</v>
      </c>
      <c r="N1003" s="39">
        <f t="shared" si="2"/>
        <v>1</v>
      </c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  <c r="AD1003" s="40"/>
      <c r="AE1003" s="40"/>
    </row>
    <row r="1004">
      <c r="A1004" s="17" t="s">
        <v>486</v>
      </c>
      <c r="B1004" s="35" t="s">
        <v>1259</v>
      </c>
      <c r="C1004" s="35" t="s">
        <v>1260</v>
      </c>
      <c r="D1004" s="36" t="s">
        <v>45</v>
      </c>
      <c r="E1004" s="36" t="s">
        <v>77</v>
      </c>
      <c r="F1004" s="36">
        <f>vlookup(D1004,'Team Bye List'!$A$1:$B$33,2,False)</f>
        <v>13</v>
      </c>
      <c r="G1004" s="37">
        <f>if(ISNA(vlookup($A1004, Sleeper!$B$2:$E$330, 4, false)), 0, vlookup($A1004, Sleeper!$B$2:$E$330, 4, false))</f>
        <v>0</v>
      </c>
      <c r="H1004" s="37">
        <f>if(ISNA(vlookup($A1004, ESPN!$B$2:$E$297, 4, false)), 0, vlookup($A1004, ESPN!$B$2:$E$297, 4, false))</f>
        <v>0</v>
      </c>
      <c r="I1004" s="37">
        <f>if(ISNA(vlookup($A1004,'Ultimate Draft Kit'!$B$2:$E$324,4, false)), 0, vlookup($A1004,'Ultimate Draft Kit'!$B$2:$E$324, 4, false))</f>
        <v>0</v>
      </c>
      <c r="J1004" s="38">
        <f>if(ISNA(vlookup($A1004,Rotowire!$B$2:$E$1075,4, false)), 0, vlookup($A1004,Rotowire!$B$2:$E$1075, 4, false))</f>
        <v>0</v>
      </c>
      <c r="K1004" s="37">
        <f>if(ISNA(vlookup($A1004, FantasyPro!$B$2:$E$341,4,false)),0,vlookup($A1004,FantasyPro!$B$2:$E$341,4,false))</f>
        <v>0</v>
      </c>
      <c r="L1004" s="37">
        <f>if(ISNA(vlookup($A1004, FFToolbox!$B$2:$E$414, 4, false)), 0, vlookup($A1004, FFToolbox!$B$2:$E$414, 4, false))</f>
        <v>1</v>
      </c>
      <c r="M1004" s="39">
        <f t="shared" si="1"/>
        <v>0.1666666667</v>
      </c>
      <c r="N1004" s="39">
        <f t="shared" si="2"/>
        <v>1</v>
      </c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  <c r="AD1004" s="40"/>
      <c r="AE1004" s="40"/>
    </row>
    <row r="1005">
      <c r="A1005" s="17" t="s">
        <v>492</v>
      </c>
      <c r="B1005" s="35" t="s">
        <v>1259</v>
      </c>
      <c r="C1005" s="35" t="s">
        <v>1260</v>
      </c>
      <c r="D1005" s="36" t="s">
        <v>12</v>
      </c>
      <c r="E1005" s="36" t="s">
        <v>77</v>
      </c>
      <c r="F1005" s="36">
        <f>vlookup(D1005,'Team Bye List'!$A$1:$B$33,2,False)</f>
        <v>8</v>
      </c>
      <c r="G1005" s="37">
        <f>if(ISNA(vlookup($A1005, Sleeper!$B$2:$E$330, 4, false)), 0, vlookup($A1005, Sleeper!$B$2:$E$330, 4, false))</f>
        <v>0</v>
      </c>
      <c r="H1005" s="37">
        <f>if(ISNA(vlookup($A1005, ESPN!$B$2:$E$297, 4, false)), 0, vlookup($A1005, ESPN!$B$2:$E$297, 4, false))</f>
        <v>0</v>
      </c>
      <c r="I1005" s="37">
        <f>if(ISNA(vlookup($A1005,'Ultimate Draft Kit'!$B$2:$E$324,4, false)), 0, vlookup($A1005,'Ultimate Draft Kit'!$B$2:$E$324, 4, false))</f>
        <v>0</v>
      </c>
      <c r="J1005" s="38">
        <f>if(ISNA(vlookup($A1005,Rotowire!$B$2:$E$1075,4, false)), 0, vlookup($A1005,Rotowire!$B$2:$E$1075, 4, false))</f>
        <v>0</v>
      </c>
      <c r="K1005" s="37">
        <f>if(ISNA(vlookup($A1005, FantasyPro!$B$2:$E$341,4,false)),0,vlookup($A1005,FantasyPro!$B$2:$E$341,4,false))</f>
        <v>0</v>
      </c>
      <c r="L1005" s="37">
        <f>if(ISNA(vlookup($A1005, FFToolbox!$B$2:$E$414, 4, false)), 0, vlookup($A1005, FFToolbox!$B$2:$E$414, 4, false))</f>
        <v>0</v>
      </c>
      <c r="M1005" s="39">
        <f t="shared" si="1"/>
        <v>0</v>
      </c>
      <c r="N1005" s="39">
        <f t="shared" si="2"/>
        <v>0</v>
      </c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  <c r="AD1005" s="40"/>
      <c r="AE1005" s="40"/>
    </row>
    <row r="1006">
      <c r="A1006" s="17" t="s">
        <v>499</v>
      </c>
      <c r="B1006" s="35" t="s">
        <v>1259</v>
      </c>
      <c r="C1006" s="35" t="s">
        <v>1260</v>
      </c>
      <c r="D1006" s="36" t="s">
        <v>37</v>
      </c>
      <c r="E1006" s="36" t="s">
        <v>77</v>
      </c>
      <c r="F1006" s="36">
        <f>vlookup(D1006,'Team Bye List'!$A$1:$B$33,2,False)</f>
        <v>11</v>
      </c>
      <c r="G1006" s="37">
        <f>if(ISNA(vlookup($A1006, Sleeper!$B$2:$E$330, 4, false)), 0, vlookup($A1006, Sleeper!$B$2:$E$330, 4, false))</f>
        <v>0</v>
      </c>
      <c r="H1006" s="37">
        <f>if(ISNA(vlookup($A1006, ESPN!$B$2:$E$297, 4, false)), 0, vlookup($A1006, ESPN!$B$2:$E$297, 4, false))</f>
        <v>0</v>
      </c>
      <c r="I1006" s="37">
        <f>if(ISNA(vlookup($A1006,'Ultimate Draft Kit'!$B$2:$E$324,4, false)), 0, vlookup($A1006,'Ultimate Draft Kit'!$B$2:$E$324, 4, false))</f>
        <v>0</v>
      </c>
      <c r="J1006" s="38">
        <f>if(ISNA(vlookup($A1006,Rotowire!$B$2:$E$1075,4, false)), 0, vlookup($A1006,Rotowire!$B$2:$E$1075, 4, false))</f>
        <v>0</v>
      </c>
      <c r="K1006" s="37">
        <f>if(ISNA(vlookup($A1006, FantasyPro!$B$2:$E$341,4,false)),0,vlookup($A1006,FantasyPro!$B$2:$E$341,4,false))</f>
        <v>0</v>
      </c>
      <c r="L1006" s="37">
        <f>if(ISNA(vlookup($A1006, FFToolbox!$B$2:$E$414, 4, false)), 0, vlookup($A1006, FFToolbox!$B$2:$E$414, 4, false))</f>
        <v>1</v>
      </c>
      <c r="M1006" s="39">
        <f t="shared" si="1"/>
        <v>0.1666666667</v>
      </c>
      <c r="N1006" s="39">
        <f t="shared" si="2"/>
        <v>1</v>
      </c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  <c r="AD1006" s="40"/>
      <c r="AE1006" s="40"/>
    </row>
    <row r="1007">
      <c r="A1007" s="17" t="s">
        <v>506</v>
      </c>
      <c r="B1007" s="35" t="s">
        <v>1259</v>
      </c>
      <c r="C1007" s="35" t="s">
        <v>1260</v>
      </c>
      <c r="D1007" s="36" t="s">
        <v>43</v>
      </c>
      <c r="E1007" s="36" t="s">
        <v>77</v>
      </c>
      <c r="F1007" s="36">
        <f>vlookup(D1007,'Team Bye List'!$A$1:$B$33,2,False)</f>
        <v>9</v>
      </c>
      <c r="G1007" s="37">
        <f>if(ISNA(vlookup($A1007, Sleeper!$B$2:$E$330, 4, false)), 0, vlookup($A1007, Sleeper!$B$2:$E$330, 4, false))</f>
        <v>0</v>
      </c>
      <c r="H1007" s="37">
        <f>if(ISNA(vlookup($A1007, ESPN!$B$2:$E$297, 4, false)), 0, vlookup($A1007, ESPN!$B$2:$E$297, 4, false))</f>
        <v>0</v>
      </c>
      <c r="I1007" s="37">
        <f>if(ISNA(vlookup($A1007,'Ultimate Draft Kit'!$B$2:$E$324,4, false)), 0, vlookup($A1007,'Ultimate Draft Kit'!$B$2:$E$324, 4, false))</f>
        <v>0</v>
      </c>
      <c r="J1007" s="38">
        <f>if(ISNA(vlookup($A1007,Rotowire!$B$2:$E$1075,4, false)), 0, vlookup($A1007,Rotowire!$B$2:$E$1075, 4, false))</f>
        <v>0</v>
      </c>
      <c r="K1007" s="37">
        <f>if(ISNA(vlookup($A1007, FantasyPro!$B$2:$E$341,4,false)),0,vlookup($A1007,FantasyPro!$B$2:$E$341,4,false))</f>
        <v>0</v>
      </c>
      <c r="L1007" s="37">
        <f>if(ISNA(vlookup($A1007, FFToolbox!$B$2:$E$414, 4, false)), 0, vlookup($A1007, FFToolbox!$B$2:$E$414, 4, false))</f>
        <v>0</v>
      </c>
      <c r="M1007" s="39">
        <f t="shared" si="1"/>
        <v>0</v>
      </c>
      <c r="N1007" s="39">
        <f t="shared" si="2"/>
        <v>0</v>
      </c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  <c r="AD1007" s="40"/>
      <c r="AE1007" s="40"/>
    </row>
    <row r="1008">
      <c r="A1008" s="17" t="s">
        <v>498</v>
      </c>
      <c r="B1008" s="35" t="s">
        <v>1259</v>
      </c>
      <c r="C1008" s="35" t="s">
        <v>1260</v>
      </c>
      <c r="D1008" s="36" t="s">
        <v>55</v>
      </c>
      <c r="E1008" s="36" t="s">
        <v>77</v>
      </c>
      <c r="F1008" s="36">
        <f>vlookup(D1008,'Team Bye List'!$A$1:$B$33,2,False)</f>
        <v>14</v>
      </c>
      <c r="G1008" s="37">
        <f>if(ISNA(vlookup($A1008, Sleeper!$B$2:$E$330, 4, false)), 0, vlookup($A1008, Sleeper!$B$2:$E$330, 4, false))</f>
        <v>0</v>
      </c>
      <c r="H1008" s="37">
        <f>if(ISNA(vlookup($A1008, ESPN!$B$2:$E$297, 4, false)), 0, vlookup($A1008, ESPN!$B$2:$E$297, 4, false))</f>
        <v>0</v>
      </c>
      <c r="I1008" s="37">
        <f>if(ISNA(vlookup($A1008,'Ultimate Draft Kit'!$B$2:$E$324,4, false)), 0, vlookup($A1008,'Ultimate Draft Kit'!$B$2:$E$324, 4, false))</f>
        <v>0</v>
      </c>
      <c r="J1008" s="38">
        <f>if(ISNA(vlookup($A1008,Rotowire!$B$2:$E$1075,4, false)), 0, vlookup($A1008,Rotowire!$B$2:$E$1075, 4, false))</f>
        <v>0</v>
      </c>
      <c r="K1008" s="37">
        <f>if(ISNA(vlookup($A1008, FantasyPro!$B$2:$E$341,4,false)),0,vlookup($A1008,FantasyPro!$B$2:$E$341,4,false))</f>
        <v>0</v>
      </c>
      <c r="L1008" s="37">
        <f>if(ISNA(vlookup($A1008, FFToolbox!$B$2:$E$414, 4, false)), 0, vlookup($A1008, FFToolbox!$B$2:$E$414, 4, false))</f>
        <v>1</v>
      </c>
      <c r="M1008" s="39">
        <f t="shared" si="1"/>
        <v>0.1666666667</v>
      </c>
      <c r="N1008" s="39">
        <f t="shared" si="2"/>
        <v>1</v>
      </c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  <c r="AD1008" s="40"/>
      <c r="AE1008" s="40"/>
    </row>
    <row r="1009">
      <c r="A1009" s="17" t="s">
        <v>495</v>
      </c>
      <c r="B1009" s="35" t="s">
        <v>1259</v>
      </c>
      <c r="C1009" s="35" t="s">
        <v>1260</v>
      </c>
      <c r="D1009" s="36" t="s">
        <v>35</v>
      </c>
      <c r="E1009" s="36" t="s">
        <v>77</v>
      </c>
      <c r="F1009" s="36">
        <f>vlookup(D1009,'Team Bye List'!$A$1:$B$33,2,False)</f>
        <v>6</v>
      </c>
      <c r="G1009" s="37">
        <f>if(ISNA(vlookup($A1009, Sleeper!$B$2:$E$330, 4, false)), 0, vlookup($A1009, Sleeper!$B$2:$E$330, 4, false))</f>
        <v>0</v>
      </c>
      <c r="H1009" s="37">
        <f>if(ISNA(vlookup($A1009, ESPN!$B$2:$E$297, 4, false)), 0, vlookup($A1009, ESPN!$B$2:$E$297, 4, false))</f>
        <v>0</v>
      </c>
      <c r="I1009" s="37">
        <f>if(ISNA(vlookup($A1009,'Ultimate Draft Kit'!$B$2:$E$324,4, false)), 0, vlookup($A1009,'Ultimate Draft Kit'!$B$2:$E$324, 4, false))</f>
        <v>0</v>
      </c>
      <c r="J1009" s="38">
        <f>if(ISNA(vlookup($A1009,Rotowire!$B$2:$E$1075,4, false)), 0, vlookup($A1009,Rotowire!$B$2:$E$1075, 4, false))</f>
        <v>0</v>
      </c>
      <c r="K1009" s="37">
        <f>if(ISNA(vlookup($A1009, FantasyPro!$B$2:$E$341,4,false)),0,vlookup($A1009,FantasyPro!$B$2:$E$341,4,false))</f>
        <v>0</v>
      </c>
      <c r="L1009" s="37">
        <f>if(ISNA(vlookup($A1009, FFToolbox!$B$2:$E$414, 4, false)), 0, vlookup($A1009, FFToolbox!$B$2:$E$414, 4, false))</f>
        <v>0</v>
      </c>
      <c r="M1009" s="39">
        <f t="shared" si="1"/>
        <v>0</v>
      </c>
      <c r="N1009" s="39">
        <f t="shared" si="2"/>
        <v>0</v>
      </c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  <c r="AB1009" s="40"/>
      <c r="AC1009" s="40"/>
      <c r="AD1009" s="40"/>
      <c r="AE1009" s="40"/>
    </row>
    <row r="1010">
      <c r="A1010" s="17" t="s">
        <v>491</v>
      </c>
      <c r="B1010" s="35" t="s">
        <v>1259</v>
      </c>
      <c r="C1010" s="35" t="s">
        <v>1260</v>
      </c>
      <c r="D1010" s="36" t="s">
        <v>7</v>
      </c>
      <c r="E1010" s="36" t="s">
        <v>77</v>
      </c>
      <c r="F1010" s="36">
        <f>vlookup(D1010,'Team Bye List'!$A$1:$B$33,2,False)</f>
        <v>14</v>
      </c>
      <c r="G1010" s="37">
        <f>if(ISNA(vlookup($A1010, Sleeper!$B$2:$E$330, 4, false)), 0, vlookup($A1010, Sleeper!$B$2:$E$330, 4, false))</f>
        <v>0</v>
      </c>
      <c r="H1010" s="37">
        <f>if(ISNA(vlookup($A1010, ESPN!$B$2:$E$297, 4, false)), 0, vlookup($A1010, ESPN!$B$2:$E$297, 4, false))</f>
        <v>0</v>
      </c>
      <c r="I1010" s="37">
        <f>if(ISNA(vlookup($A1010,'Ultimate Draft Kit'!$B$2:$E$324,4, false)), 0, vlookup($A1010,'Ultimate Draft Kit'!$B$2:$E$324, 4, false))</f>
        <v>0</v>
      </c>
      <c r="J1010" s="38">
        <f>if(ISNA(vlookup($A1010,Rotowire!$B$2:$E$1075,4, false)), 0, vlookup($A1010,Rotowire!$B$2:$E$1075, 4, false))</f>
        <v>0</v>
      </c>
      <c r="K1010" s="37">
        <f>if(ISNA(vlookup($A1010, FantasyPro!$B$2:$E$341,4,false)),0,vlookup($A1010,FantasyPro!$B$2:$E$341,4,false))</f>
        <v>0</v>
      </c>
      <c r="L1010" s="37">
        <f>if(ISNA(vlookup($A1010, FFToolbox!$B$2:$E$414, 4, false)), 0, vlookup($A1010, FFToolbox!$B$2:$E$414, 4, false))</f>
        <v>0</v>
      </c>
      <c r="M1010" s="39">
        <f t="shared" si="1"/>
        <v>0</v>
      </c>
      <c r="N1010" s="39">
        <f t="shared" si="2"/>
        <v>0</v>
      </c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  <c r="AB1010" s="40"/>
      <c r="AC1010" s="40"/>
      <c r="AD1010" s="40"/>
      <c r="AE1010" s="40"/>
    </row>
    <row r="1011">
      <c r="A1011" s="17" t="s">
        <v>503</v>
      </c>
      <c r="B1011" s="35" t="s">
        <v>1259</v>
      </c>
      <c r="C1011" s="35" t="s">
        <v>1260</v>
      </c>
      <c r="D1011" s="36" t="s">
        <v>119</v>
      </c>
      <c r="E1011" s="36" t="s">
        <v>77</v>
      </c>
      <c r="F1011" s="36">
        <f>vlookup(D1011,'Team Bye List'!$A$1:$B$33,2,False)</f>
        <v>10</v>
      </c>
      <c r="G1011" s="37">
        <f>if(ISNA(vlookup($A1011, Sleeper!$B$2:$E$330, 4, false)), 0, vlookup($A1011, Sleeper!$B$2:$E$330, 4, false))</f>
        <v>0</v>
      </c>
      <c r="H1011" s="37">
        <f>if(ISNA(vlookup($A1011, ESPN!$B$2:$E$297, 4, false)), 0, vlookup($A1011, ESPN!$B$2:$E$297, 4, false))</f>
        <v>0</v>
      </c>
      <c r="I1011" s="37">
        <f>if(ISNA(vlookup($A1011,'Ultimate Draft Kit'!$B$2:$E$324,4, false)), 0, vlookup($A1011,'Ultimate Draft Kit'!$B$2:$E$324, 4, false))</f>
        <v>0</v>
      </c>
      <c r="J1011" s="38">
        <f>if(ISNA(vlookup($A1011,Rotowire!$B$2:$E$1075,4, false)), 0, vlookup($A1011,Rotowire!$B$2:$E$1075, 4, false))</f>
        <v>0</v>
      </c>
      <c r="K1011" s="37">
        <f>if(ISNA(vlookup($A1011, FantasyPro!$B$2:$E$341,4,false)),0,vlookup($A1011,FantasyPro!$B$2:$E$341,4,false))</f>
        <v>0</v>
      </c>
      <c r="L1011" s="37">
        <f>if(ISNA(vlookup($A1011, FFToolbox!$B$2:$E$414, 4, false)), 0, vlookup($A1011, FFToolbox!$B$2:$E$414, 4, false))</f>
        <v>1</v>
      </c>
      <c r="M1011" s="39">
        <f t="shared" si="1"/>
        <v>0.1666666667</v>
      </c>
      <c r="N1011" s="39">
        <f t="shared" si="2"/>
        <v>1</v>
      </c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  <c r="AA1011" s="40"/>
      <c r="AB1011" s="40"/>
      <c r="AC1011" s="40"/>
      <c r="AD1011" s="40"/>
      <c r="AE1011" s="40"/>
    </row>
    <row r="1012">
      <c r="A1012" s="17" t="s">
        <v>505</v>
      </c>
      <c r="B1012" s="35" t="s">
        <v>1259</v>
      </c>
      <c r="C1012" s="35" t="s">
        <v>1260</v>
      </c>
      <c r="D1012" s="36" t="s">
        <v>17</v>
      </c>
      <c r="E1012" s="36" t="s">
        <v>77</v>
      </c>
      <c r="F1012" s="36">
        <f>vlookup(D1012,'Team Bye List'!$A$1:$B$33,2,False)</f>
        <v>7</v>
      </c>
      <c r="G1012" s="37">
        <f>if(ISNA(vlookup($A1012, Sleeper!$B$2:$E$330, 4, false)), 0, vlookup($A1012, Sleeper!$B$2:$E$330, 4, false))</f>
        <v>0</v>
      </c>
      <c r="H1012" s="37">
        <f>if(ISNA(vlookup($A1012, ESPN!$B$2:$E$297, 4, false)), 0, vlookup($A1012, ESPN!$B$2:$E$297, 4, false))</f>
        <v>0</v>
      </c>
      <c r="I1012" s="37">
        <f>if(ISNA(vlookup($A1012,'Ultimate Draft Kit'!$B$2:$E$324,4, false)), 0, vlookup($A1012,'Ultimate Draft Kit'!$B$2:$E$324, 4, false))</f>
        <v>0</v>
      </c>
      <c r="J1012" s="38">
        <f>if(ISNA(vlookup($A1012,Rotowire!$B$2:$E$1075,4, false)), 0, vlookup($A1012,Rotowire!$B$2:$E$1075, 4, false))</f>
        <v>0</v>
      </c>
      <c r="K1012" s="37">
        <f>if(ISNA(vlookup($A1012, FantasyPro!$B$2:$E$341,4,false)),0,vlookup($A1012,FantasyPro!$B$2:$E$341,4,false))</f>
        <v>0</v>
      </c>
      <c r="L1012" s="37">
        <f>if(ISNA(vlookup($A1012, FFToolbox!$B$2:$E$414, 4, false)), 0, vlookup($A1012, FFToolbox!$B$2:$E$414, 4, false))</f>
        <v>0</v>
      </c>
      <c r="M1012" s="39">
        <f t="shared" si="1"/>
        <v>0</v>
      </c>
      <c r="N1012" s="39">
        <f t="shared" si="2"/>
        <v>0</v>
      </c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  <c r="AA1012" s="40"/>
      <c r="AB1012" s="40"/>
      <c r="AC1012" s="40"/>
      <c r="AD1012" s="40"/>
      <c r="AE1012" s="40"/>
    </row>
    <row r="1013">
      <c r="A1013" s="17" t="s">
        <v>514</v>
      </c>
      <c r="B1013" s="35" t="s">
        <v>1259</v>
      </c>
      <c r="C1013" s="35" t="s">
        <v>1260</v>
      </c>
      <c r="D1013" s="36" t="s">
        <v>28</v>
      </c>
      <c r="E1013" s="36" t="s">
        <v>77</v>
      </c>
      <c r="F1013" s="36">
        <f>vlookup(D1013,'Team Bye List'!$A$1:$B$33,2,False)</f>
        <v>11</v>
      </c>
      <c r="G1013" s="37">
        <f>if(ISNA(vlookup($A1013, Sleeper!$B$2:$E$330, 4, false)), 0, vlookup($A1013, Sleeper!$B$2:$E$330, 4, false))</f>
        <v>0</v>
      </c>
      <c r="H1013" s="37">
        <f>if(ISNA(vlookup($A1013, ESPN!$B$2:$E$297, 4, false)), 0, vlookup($A1013, ESPN!$B$2:$E$297, 4, false))</f>
        <v>0</v>
      </c>
      <c r="I1013" s="37">
        <f>if(ISNA(vlookup($A1013,'Ultimate Draft Kit'!$B$2:$E$324,4, false)), 0, vlookup($A1013,'Ultimate Draft Kit'!$B$2:$E$324, 4, false))</f>
        <v>0</v>
      </c>
      <c r="J1013" s="38">
        <f>if(ISNA(vlookup($A1013,Rotowire!$B$2:$E$1075,4, false)), 0, vlookup($A1013,Rotowire!$B$2:$E$1075, 4, false))</f>
        <v>0</v>
      </c>
      <c r="K1013" s="37">
        <f>if(ISNA(vlookup($A1013, FantasyPro!$B$2:$E$341,4,false)),0,vlookup($A1013,FantasyPro!$B$2:$E$341,4,false))</f>
        <v>0</v>
      </c>
      <c r="L1013" s="37">
        <f>if(ISNA(vlookup($A1013, FFToolbox!$B$2:$E$414, 4, false)), 0, vlookup($A1013, FFToolbox!$B$2:$E$414, 4, false))</f>
        <v>0</v>
      </c>
      <c r="M1013" s="39">
        <f t="shared" si="1"/>
        <v>0</v>
      </c>
      <c r="N1013" s="39">
        <f t="shared" si="2"/>
        <v>0</v>
      </c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  <c r="AA1013" s="40"/>
      <c r="AB1013" s="40"/>
      <c r="AC1013" s="40"/>
      <c r="AD1013" s="40"/>
      <c r="AE1013" s="40"/>
    </row>
    <row r="1014">
      <c r="A1014" s="17" t="s">
        <v>481</v>
      </c>
      <c r="B1014" s="35" t="s">
        <v>1259</v>
      </c>
      <c r="C1014" s="35" t="s">
        <v>1260</v>
      </c>
      <c r="D1014" s="36" t="s">
        <v>73</v>
      </c>
      <c r="E1014" s="36" t="s">
        <v>77</v>
      </c>
      <c r="F1014" s="36">
        <f>vlookup(D1014,'Team Bye List'!$A$1:$B$33,2,False)</f>
        <v>14</v>
      </c>
      <c r="G1014" s="37">
        <f>if(ISNA(vlookup($A1014, Sleeper!$B$2:$E$330, 4, false)), 0, vlookup($A1014, Sleeper!$B$2:$E$330, 4, false))</f>
        <v>0</v>
      </c>
      <c r="H1014" s="37">
        <f>if(ISNA(vlookup($A1014, ESPN!$B$2:$E$297, 4, false)), 0, vlookup($A1014, ESPN!$B$2:$E$297, 4, false))</f>
        <v>0</v>
      </c>
      <c r="I1014" s="37">
        <f>if(ISNA(vlookup($A1014,'Ultimate Draft Kit'!$B$2:$E$324,4, false)), 0, vlookup($A1014,'Ultimate Draft Kit'!$B$2:$E$324, 4, false))</f>
        <v>0</v>
      </c>
      <c r="J1014" s="38">
        <f>if(ISNA(vlookup($A1014,Rotowire!$B$2:$E$1075,4, false)), 0, vlookup($A1014,Rotowire!$B$2:$E$1075, 4, false))</f>
        <v>0</v>
      </c>
      <c r="K1014" s="37">
        <f>if(ISNA(vlookup($A1014, FantasyPro!$B$2:$E$341,4,false)),0,vlookup($A1014,FantasyPro!$B$2:$E$341,4,false))</f>
        <v>0</v>
      </c>
      <c r="L1014" s="37">
        <f>if(ISNA(vlookup($A1014, FFToolbox!$B$2:$E$414, 4, false)), 0, vlookup($A1014, FFToolbox!$B$2:$E$414, 4, false))</f>
        <v>0</v>
      </c>
      <c r="M1014" s="39">
        <f t="shared" si="1"/>
        <v>0</v>
      </c>
      <c r="N1014" s="39">
        <f t="shared" si="2"/>
        <v>0</v>
      </c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  <c r="AA1014" s="40"/>
      <c r="AB1014" s="40"/>
      <c r="AC1014" s="40"/>
      <c r="AD1014" s="40"/>
      <c r="AE1014" s="40"/>
    </row>
    <row r="1015">
      <c r="A1015" s="17" t="s">
        <v>479</v>
      </c>
      <c r="B1015" s="35" t="s">
        <v>1259</v>
      </c>
      <c r="C1015" s="35" t="s">
        <v>1260</v>
      </c>
      <c r="D1015" s="36" t="s">
        <v>73</v>
      </c>
      <c r="E1015" s="36" t="s">
        <v>77</v>
      </c>
      <c r="F1015" s="36">
        <f>vlookup(D1015,'Team Bye List'!$A$1:$B$33,2,False)</f>
        <v>14</v>
      </c>
      <c r="G1015" s="37">
        <f>if(ISNA(vlookup($A1015, Sleeper!$B$2:$E$330, 4, false)), 0, vlookup($A1015, Sleeper!$B$2:$E$330, 4, false))</f>
        <v>0</v>
      </c>
      <c r="H1015" s="37">
        <f>if(ISNA(vlookup($A1015, ESPN!$B$2:$E$297, 4, false)), 0, vlookup($A1015, ESPN!$B$2:$E$297, 4, false))</f>
        <v>0</v>
      </c>
      <c r="I1015" s="37">
        <f>if(ISNA(vlookup($A1015,'Ultimate Draft Kit'!$B$2:$E$324,4, false)), 0, vlookup($A1015,'Ultimate Draft Kit'!$B$2:$E$324, 4, false))</f>
        <v>0</v>
      </c>
      <c r="J1015" s="38">
        <f>if(ISNA(vlookup($A1015,Rotowire!$B$2:$E$1075,4, false)), 0, vlookup($A1015,Rotowire!$B$2:$E$1075, 4, false))</f>
        <v>0</v>
      </c>
      <c r="K1015" s="37">
        <f>if(ISNA(vlookup($A1015, FantasyPro!$B$2:$E$341,4,false)),0,vlookup($A1015,FantasyPro!$B$2:$E$341,4,false))</f>
        <v>0</v>
      </c>
      <c r="L1015" s="37">
        <f>if(ISNA(vlookup($A1015, FFToolbox!$B$2:$E$414, 4, false)), 0, vlookup($A1015, FFToolbox!$B$2:$E$414, 4, false))</f>
        <v>0</v>
      </c>
      <c r="M1015" s="39">
        <f t="shared" si="1"/>
        <v>0</v>
      </c>
      <c r="N1015" s="39">
        <f t="shared" si="2"/>
        <v>0</v>
      </c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  <c r="AA1015" s="40"/>
      <c r="AB1015" s="40"/>
      <c r="AC1015" s="40"/>
      <c r="AD1015" s="40"/>
      <c r="AE1015" s="40"/>
    </row>
    <row r="1016">
      <c r="A1016" s="17" t="s">
        <v>513</v>
      </c>
      <c r="B1016" s="35" t="s">
        <v>1259</v>
      </c>
      <c r="C1016" s="35" t="s">
        <v>1260</v>
      </c>
      <c r="D1016" s="36" t="s">
        <v>66</v>
      </c>
      <c r="E1016" s="36" t="s">
        <v>77</v>
      </c>
      <c r="F1016" s="36">
        <f>vlookup(D1016,'Team Bye List'!$A$1:$B$33,2,False)</f>
        <v>9</v>
      </c>
      <c r="G1016" s="37">
        <f>if(ISNA(vlookup($A1016, Sleeper!$B$2:$E$330, 4, false)), 0, vlookup($A1016, Sleeper!$B$2:$E$330, 4, false))</f>
        <v>0</v>
      </c>
      <c r="H1016" s="37">
        <f>if(ISNA(vlookup($A1016, ESPN!$B$2:$E$297, 4, false)), 0, vlookup($A1016, ESPN!$B$2:$E$297, 4, false))</f>
        <v>0</v>
      </c>
      <c r="I1016" s="37">
        <f>if(ISNA(vlookup($A1016,'Ultimate Draft Kit'!$B$2:$E$324,4, false)), 0, vlookup($A1016,'Ultimate Draft Kit'!$B$2:$E$324, 4, false))</f>
        <v>0</v>
      </c>
      <c r="J1016" s="38">
        <f>if(ISNA(vlookup($A1016,Rotowire!$B$2:$E$1075,4, false)), 0, vlookup($A1016,Rotowire!$B$2:$E$1075, 4, false))</f>
        <v>0</v>
      </c>
      <c r="K1016" s="37">
        <f>if(ISNA(vlookup($A1016, FantasyPro!$B$2:$E$341,4,false)),0,vlookup($A1016,FantasyPro!$B$2:$E$341,4,false))</f>
        <v>0</v>
      </c>
      <c r="L1016" s="37">
        <f>if(ISNA(vlookup($A1016, FFToolbox!$B$2:$E$414, 4, false)), 0, vlookup($A1016, FFToolbox!$B$2:$E$414, 4, false))</f>
        <v>0</v>
      </c>
      <c r="M1016" s="39">
        <f t="shared" si="1"/>
        <v>0</v>
      </c>
      <c r="N1016" s="39">
        <f t="shared" si="2"/>
        <v>0</v>
      </c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  <c r="AA1016" s="40"/>
      <c r="AB1016" s="40"/>
      <c r="AC1016" s="40"/>
      <c r="AD1016" s="40"/>
      <c r="AE1016" s="40"/>
    </row>
    <row r="1017">
      <c r="A1017" s="17" t="s">
        <v>512</v>
      </c>
      <c r="B1017" s="35" t="s">
        <v>1259</v>
      </c>
      <c r="C1017" s="35" t="s">
        <v>1260</v>
      </c>
      <c r="D1017" s="36" t="s">
        <v>21</v>
      </c>
      <c r="E1017" s="36" t="s">
        <v>77</v>
      </c>
      <c r="F1017" s="36">
        <f>vlookup(D1017,'Team Bye List'!$A$1:$B$33,2,False)</f>
        <v>6</v>
      </c>
      <c r="G1017" s="37">
        <f>if(ISNA(vlookup($A1017, Sleeper!$B$2:$E$330, 4, false)), 0, vlookup($A1017, Sleeper!$B$2:$E$330, 4, false))</f>
        <v>0</v>
      </c>
      <c r="H1017" s="37">
        <f>if(ISNA(vlookup($A1017, ESPN!$B$2:$E$297, 4, false)), 0, vlookup($A1017, ESPN!$B$2:$E$297, 4, false))</f>
        <v>0</v>
      </c>
      <c r="I1017" s="37">
        <f>if(ISNA(vlookup($A1017,'Ultimate Draft Kit'!$B$2:$E$324,4, false)), 0, vlookup($A1017,'Ultimate Draft Kit'!$B$2:$E$324, 4, false))</f>
        <v>0</v>
      </c>
      <c r="J1017" s="38">
        <f>if(ISNA(vlookup($A1017,Rotowire!$B$2:$E$1075,4, false)), 0, vlookup($A1017,Rotowire!$B$2:$E$1075, 4, false))</f>
        <v>0</v>
      </c>
      <c r="K1017" s="37">
        <f>if(ISNA(vlookup($A1017, FantasyPro!$B$2:$E$341,4,false)),0,vlookup($A1017,FantasyPro!$B$2:$E$341,4,false))</f>
        <v>0</v>
      </c>
      <c r="L1017" s="37">
        <f>if(ISNA(vlookup($A1017, FFToolbox!$B$2:$E$414, 4, false)), 0, vlookup($A1017, FFToolbox!$B$2:$E$414, 4, false))</f>
        <v>0</v>
      </c>
      <c r="M1017" s="39">
        <f t="shared" si="1"/>
        <v>0</v>
      </c>
      <c r="N1017" s="39">
        <f t="shared" si="2"/>
        <v>0</v>
      </c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  <c r="AA1017" s="40"/>
      <c r="AB1017" s="40"/>
      <c r="AC1017" s="40"/>
      <c r="AD1017" s="40"/>
      <c r="AE1017" s="40"/>
    </row>
    <row r="1018">
      <c r="A1018" s="17" t="s">
        <v>1208</v>
      </c>
      <c r="B1018" s="35" t="s">
        <v>1259</v>
      </c>
      <c r="C1018" s="35" t="s">
        <v>1260</v>
      </c>
      <c r="D1018" s="36" t="s">
        <v>81</v>
      </c>
      <c r="E1018" s="36" t="s">
        <v>77</v>
      </c>
      <c r="F1018" s="36">
        <f>vlookup(D1018,'Team Bye List'!$A$1:$B$33,2,False)</f>
        <v>6</v>
      </c>
      <c r="G1018" s="37">
        <f>if(ISNA(vlookup($A1018, Sleeper!$B$2:$E$330, 4, false)), 0, vlookup($A1018, Sleeper!$B$2:$E$330, 4, false))</f>
        <v>0</v>
      </c>
      <c r="H1018" s="37">
        <f>if(ISNA(vlookup($A1018, ESPN!$B$2:$E$297, 4, false)), 0, vlookup($A1018, ESPN!$B$2:$E$297, 4, false))</f>
        <v>0</v>
      </c>
      <c r="I1018" s="37">
        <f>if(ISNA(vlookup($A1018,'Ultimate Draft Kit'!$B$2:$E$324,4, false)), 0, vlookup($A1018,'Ultimate Draft Kit'!$B$2:$E$324, 4, false))</f>
        <v>0</v>
      </c>
      <c r="J1018" s="38">
        <f>if(ISNA(vlookup($A1018,Rotowire!$B$2:$E$1075,4, false)), 0, vlookup($A1018,Rotowire!$B$2:$E$1075, 4, false))</f>
        <v>0</v>
      </c>
      <c r="K1018" s="37">
        <f>if(ISNA(vlookup($A1018, FantasyPro!$B$2:$E$341,4,false)),0,vlookup($A1018,FantasyPro!$B$2:$E$341,4,false))</f>
        <v>0</v>
      </c>
      <c r="L1018" s="37">
        <f>if(ISNA(vlookup($A1018, FFToolbox!$B$2:$E$414, 4, false)), 0, vlookup($A1018, FFToolbox!$B$2:$E$414, 4, false))</f>
        <v>0</v>
      </c>
      <c r="M1018" s="39">
        <f t="shared" si="1"/>
        <v>0</v>
      </c>
      <c r="N1018" s="39">
        <f t="shared" si="2"/>
        <v>0</v>
      </c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  <c r="AA1018" s="40"/>
      <c r="AB1018" s="40"/>
      <c r="AC1018" s="40"/>
      <c r="AD1018" s="40"/>
      <c r="AE1018" s="40"/>
    </row>
    <row r="1019">
      <c r="A1019" s="17" t="s">
        <v>1209</v>
      </c>
      <c r="B1019" s="35" t="s">
        <v>1259</v>
      </c>
      <c r="C1019" s="35" t="s">
        <v>1260</v>
      </c>
      <c r="D1019" s="36" t="s">
        <v>262</v>
      </c>
      <c r="E1019" s="36" t="s">
        <v>77</v>
      </c>
      <c r="F1019" s="36" t="str">
        <f>vlookup(D1019,'Team Bye List'!$A$1:$B$33,2,False)</f>
        <v>#N/A</v>
      </c>
      <c r="G1019" s="37">
        <f>if(ISNA(vlookup($A1019, Sleeper!$B$2:$E$330, 4, false)), 0, vlookup($A1019, Sleeper!$B$2:$E$330, 4, false))</f>
        <v>0</v>
      </c>
      <c r="H1019" s="37">
        <f>if(ISNA(vlookup($A1019, ESPN!$B$2:$E$297, 4, false)), 0, vlookup($A1019, ESPN!$B$2:$E$297, 4, false))</f>
        <v>0</v>
      </c>
      <c r="I1019" s="37">
        <f>if(ISNA(vlookup($A1019,'Ultimate Draft Kit'!$B$2:$E$324,4, false)), 0, vlookup($A1019,'Ultimate Draft Kit'!$B$2:$E$324, 4, false))</f>
        <v>0</v>
      </c>
      <c r="J1019" s="38">
        <f>if(ISNA(vlookup($A1019,Rotowire!$B$2:$E$1075,4, false)), 0, vlookup($A1019,Rotowire!$B$2:$E$1075, 4, false))</f>
        <v>0</v>
      </c>
      <c r="K1019" s="37">
        <f>if(ISNA(vlookup($A1019, FantasyPro!$B$2:$E$341,4,false)),0,vlookup($A1019,FantasyPro!$B$2:$E$341,4,false))</f>
        <v>0</v>
      </c>
      <c r="L1019" s="37">
        <f>if(ISNA(vlookup($A1019, FFToolbox!$B$2:$E$414, 4, false)), 0, vlookup($A1019, FFToolbox!$B$2:$E$414, 4, false))</f>
        <v>0</v>
      </c>
      <c r="M1019" s="39">
        <f t="shared" si="1"/>
        <v>0</v>
      </c>
      <c r="N1019" s="39">
        <f t="shared" si="2"/>
        <v>0</v>
      </c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  <c r="AA1019" s="40"/>
      <c r="AB1019" s="40"/>
      <c r="AC1019" s="40"/>
      <c r="AD1019" s="40"/>
      <c r="AE1019" s="40"/>
    </row>
    <row r="1020">
      <c r="A1020" s="17" t="s">
        <v>1210</v>
      </c>
      <c r="B1020" s="35" t="s">
        <v>1259</v>
      </c>
      <c r="C1020" s="35" t="s">
        <v>1260</v>
      </c>
      <c r="D1020" s="36" t="s">
        <v>262</v>
      </c>
      <c r="E1020" s="36" t="s">
        <v>77</v>
      </c>
      <c r="F1020" s="36" t="str">
        <f>vlookup(D1020,'Team Bye List'!$A$1:$B$33,2,False)</f>
        <v>#N/A</v>
      </c>
      <c r="G1020" s="37">
        <f>if(ISNA(vlookup($A1020, Sleeper!$B$2:$E$330, 4, false)), 0, vlookup($A1020, Sleeper!$B$2:$E$330, 4, false))</f>
        <v>0</v>
      </c>
      <c r="H1020" s="37">
        <f>if(ISNA(vlookup($A1020, ESPN!$B$2:$E$297, 4, false)), 0, vlookup($A1020, ESPN!$B$2:$E$297, 4, false))</f>
        <v>0</v>
      </c>
      <c r="I1020" s="37">
        <f>if(ISNA(vlookup($A1020,'Ultimate Draft Kit'!$B$2:$E$324,4, false)), 0, vlookup($A1020,'Ultimate Draft Kit'!$B$2:$E$324, 4, false))</f>
        <v>0</v>
      </c>
      <c r="J1020" s="38">
        <f>if(ISNA(vlookup($A1020,Rotowire!$B$2:$E$1075,4, false)), 0, vlookup($A1020,Rotowire!$B$2:$E$1075, 4, false))</f>
        <v>0</v>
      </c>
      <c r="K1020" s="37">
        <f>if(ISNA(vlookup($A1020, FantasyPro!$B$2:$E$341,4,false)),0,vlookup($A1020,FantasyPro!$B$2:$E$341,4,false))</f>
        <v>0</v>
      </c>
      <c r="L1020" s="37">
        <f>if(ISNA(vlookup($A1020, FFToolbox!$B$2:$E$414, 4, false)), 0, vlookup($A1020, FFToolbox!$B$2:$E$414, 4, false))</f>
        <v>0</v>
      </c>
      <c r="M1020" s="39">
        <f t="shared" si="1"/>
        <v>0</v>
      </c>
      <c r="N1020" s="39">
        <f t="shared" si="2"/>
        <v>0</v>
      </c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  <c r="AA1020" s="40"/>
      <c r="AB1020" s="40"/>
      <c r="AC1020" s="40"/>
      <c r="AD1020" s="40"/>
      <c r="AE1020" s="40"/>
    </row>
    <row r="1021">
      <c r="A1021" s="17" t="s">
        <v>529</v>
      </c>
      <c r="B1021" s="35" t="s">
        <v>1259</v>
      </c>
      <c r="C1021" s="35" t="s">
        <v>1260</v>
      </c>
      <c r="D1021" s="36" t="s">
        <v>55</v>
      </c>
      <c r="E1021" s="36" t="s">
        <v>77</v>
      </c>
      <c r="F1021" s="36">
        <f>vlookup(D1021,'Team Bye List'!$A$1:$B$33,2,False)</f>
        <v>14</v>
      </c>
      <c r="G1021" s="37">
        <f>if(ISNA(vlookup($A1021, Sleeper!$B$2:$E$330, 4, false)), 0, vlookup($A1021, Sleeper!$B$2:$E$330, 4, false))</f>
        <v>0</v>
      </c>
      <c r="H1021" s="37">
        <f>if(ISNA(vlookup($A1021, ESPN!$B$2:$E$297, 4, false)), 0, vlookup($A1021, ESPN!$B$2:$E$297, 4, false))</f>
        <v>0</v>
      </c>
      <c r="I1021" s="37">
        <f>if(ISNA(vlookup($A1021,'Ultimate Draft Kit'!$B$2:$E$324,4, false)), 0, vlookup($A1021,'Ultimate Draft Kit'!$B$2:$E$324, 4, false))</f>
        <v>0</v>
      </c>
      <c r="J1021" s="38">
        <f>if(ISNA(vlookup($A1021,Rotowire!$B$2:$E$1075,4, false)), 0, vlookup($A1021,Rotowire!$B$2:$E$1075, 4, false))</f>
        <v>0</v>
      </c>
      <c r="K1021" s="37">
        <f>if(ISNA(vlookup($A1021, FantasyPro!$B$2:$E$341,4,false)),0,vlookup($A1021,FantasyPro!$B$2:$E$341,4,false))</f>
        <v>0</v>
      </c>
      <c r="L1021" s="37">
        <f>if(ISNA(vlookup($A1021, FFToolbox!$B$2:$E$414, 4, false)), 0, vlookup($A1021, FFToolbox!$B$2:$E$414, 4, false))</f>
        <v>0</v>
      </c>
      <c r="M1021" s="39">
        <f t="shared" si="1"/>
        <v>0</v>
      </c>
      <c r="N1021" s="39">
        <f t="shared" si="2"/>
        <v>0</v>
      </c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  <c r="AA1021" s="40"/>
      <c r="AB1021" s="40"/>
      <c r="AC1021" s="40"/>
      <c r="AD1021" s="40"/>
      <c r="AE1021" s="40"/>
    </row>
    <row r="1022">
      <c r="A1022" s="17" t="s">
        <v>1211</v>
      </c>
      <c r="B1022" s="35" t="s">
        <v>1259</v>
      </c>
      <c r="C1022" s="35" t="s">
        <v>1260</v>
      </c>
      <c r="D1022" s="36" t="s">
        <v>262</v>
      </c>
      <c r="E1022" s="36" t="s">
        <v>77</v>
      </c>
      <c r="F1022" s="36" t="str">
        <f>vlookup(D1022,'Team Bye List'!$A$1:$B$33,2,False)</f>
        <v>#N/A</v>
      </c>
      <c r="G1022" s="37">
        <f>if(ISNA(vlookup($A1022, Sleeper!$B$2:$E$330, 4, false)), 0, vlookup($A1022, Sleeper!$B$2:$E$330, 4, false))</f>
        <v>0</v>
      </c>
      <c r="H1022" s="37">
        <f>if(ISNA(vlookup($A1022, ESPN!$B$2:$E$297, 4, false)), 0, vlookup($A1022, ESPN!$B$2:$E$297, 4, false))</f>
        <v>0</v>
      </c>
      <c r="I1022" s="37">
        <f>if(ISNA(vlookup($A1022,'Ultimate Draft Kit'!$B$2:$E$324,4, false)), 0, vlookup($A1022,'Ultimate Draft Kit'!$B$2:$E$324, 4, false))</f>
        <v>0</v>
      </c>
      <c r="J1022" s="38">
        <f>if(ISNA(vlookup($A1022,Rotowire!$B$2:$E$1075,4, false)), 0, vlookup($A1022,Rotowire!$B$2:$E$1075, 4, false))</f>
        <v>0</v>
      </c>
      <c r="K1022" s="37">
        <f>if(ISNA(vlookup($A1022, FantasyPro!$B$2:$E$341,4,false)),0,vlookup($A1022,FantasyPro!$B$2:$E$341,4,false))</f>
        <v>0</v>
      </c>
      <c r="L1022" s="37">
        <f>if(ISNA(vlookup($A1022, FFToolbox!$B$2:$E$414, 4, false)), 0, vlookup($A1022, FFToolbox!$B$2:$E$414, 4, false))</f>
        <v>0</v>
      </c>
      <c r="M1022" s="39">
        <f t="shared" si="1"/>
        <v>0</v>
      </c>
      <c r="N1022" s="39">
        <f t="shared" si="2"/>
        <v>0</v>
      </c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  <c r="AA1022" s="40"/>
      <c r="AB1022" s="40"/>
      <c r="AC1022" s="40"/>
      <c r="AD1022" s="40"/>
      <c r="AE1022" s="40"/>
    </row>
    <row r="1023">
      <c r="A1023" s="17" t="s">
        <v>518</v>
      </c>
      <c r="B1023" s="35" t="s">
        <v>1259</v>
      </c>
      <c r="C1023" s="35" t="s">
        <v>1260</v>
      </c>
      <c r="D1023" s="36" t="s">
        <v>32</v>
      </c>
      <c r="E1023" s="36" t="s">
        <v>77</v>
      </c>
      <c r="F1023" s="36">
        <f>vlookup(D1023,'Team Bye List'!$A$1:$B$33,2,False)</f>
        <v>9</v>
      </c>
      <c r="G1023" s="37">
        <f>if(ISNA(vlookup($A1023, Sleeper!$B$2:$E$330, 4, false)), 0, vlookup($A1023, Sleeper!$B$2:$E$330, 4, false))</f>
        <v>0</v>
      </c>
      <c r="H1023" s="37">
        <f>if(ISNA(vlookup($A1023, ESPN!$B$2:$E$297, 4, false)), 0, vlookup($A1023, ESPN!$B$2:$E$297, 4, false))</f>
        <v>0</v>
      </c>
      <c r="I1023" s="37">
        <f>if(ISNA(vlookup($A1023,'Ultimate Draft Kit'!$B$2:$E$324,4, false)), 0, vlookup($A1023,'Ultimate Draft Kit'!$B$2:$E$324, 4, false))</f>
        <v>0</v>
      </c>
      <c r="J1023" s="38">
        <f>if(ISNA(vlookup($A1023,Rotowire!$B$2:$E$1075,4, false)), 0, vlookup($A1023,Rotowire!$B$2:$E$1075, 4, false))</f>
        <v>0</v>
      </c>
      <c r="K1023" s="37">
        <f>if(ISNA(vlookup($A1023, FantasyPro!$B$2:$E$341,4,false)),0,vlookup($A1023,FantasyPro!$B$2:$E$341,4,false))</f>
        <v>0</v>
      </c>
      <c r="L1023" s="37">
        <f>if(ISNA(vlookup($A1023, FFToolbox!$B$2:$E$414, 4, false)), 0, vlookup($A1023, FFToolbox!$B$2:$E$414, 4, false))</f>
        <v>0</v>
      </c>
      <c r="M1023" s="39">
        <f t="shared" si="1"/>
        <v>0</v>
      </c>
      <c r="N1023" s="39">
        <f t="shared" si="2"/>
        <v>0</v>
      </c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  <c r="Y1023" s="40"/>
      <c r="Z1023" s="40"/>
      <c r="AA1023" s="40"/>
      <c r="AB1023" s="40"/>
      <c r="AC1023" s="40"/>
      <c r="AD1023" s="40"/>
      <c r="AE1023" s="40"/>
    </row>
    <row r="1024">
      <c r="A1024" s="17" t="s">
        <v>488</v>
      </c>
      <c r="B1024" s="35" t="s">
        <v>1259</v>
      </c>
      <c r="C1024" s="35" t="s">
        <v>1260</v>
      </c>
      <c r="D1024" s="36" t="s">
        <v>69</v>
      </c>
      <c r="E1024" s="36" t="s">
        <v>77</v>
      </c>
      <c r="F1024" s="36">
        <f>vlookup(D1024,'Team Bye List'!$A$1:$B$33,2,False)</f>
        <v>10</v>
      </c>
      <c r="G1024" s="37">
        <f>if(ISNA(vlookup($A1024, Sleeper!$B$2:$E$330, 4, false)), 0, vlookup($A1024, Sleeper!$B$2:$E$330, 4, false))</f>
        <v>0</v>
      </c>
      <c r="H1024" s="37">
        <f>if(ISNA(vlookup($A1024, ESPN!$B$2:$E$297, 4, false)), 0, vlookup($A1024, ESPN!$B$2:$E$297, 4, false))</f>
        <v>0</v>
      </c>
      <c r="I1024" s="37">
        <f>if(ISNA(vlookup($A1024,'Ultimate Draft Kit'!$B$2:$E$324,4, false)), 0, vlookup($A1024,'Ultimate Draft Kit'!$B$2:$E$324, 4, false))</f>
        <v>0</v>
      </c>
      <c r="J1024" s="38">
        <f>if(ISNA(vlookup($A1024,Rotowire!$B$2:$E$1075,4, false)), 0, vlookup($A1024,Rotowire!$B$2:$E$1075, 4, false))</f>
        <v>0</v>
      </c>
      <c r="K1024" s="37">
        <f>if(ISNA(vlookup($A1024, FantasyPro!$B$2:$E$341,4,false)),0,vlookup($A1024,FantasyPro!$B$2:$E$341,4,false))</f>
        <v>0</v>
      </c>
      <c r="L1024" s="37">
        <f>if(ISNA(vlookup($A1024, FFToolbox!$B$2:$E$414, 4, false)), 0, vlookup($A1024, FFToolbox!$B$2:$E$414, 4, false))</f>
        <v>0</v>
      </c>
      <c r="M1024" s="39">
        <f t="shared" si="1"/>
        <v>0</v>
      </c>
      <c r="N1024" s="39">
        <f t="shared" si="2"/>
        <v>0</v>
      </c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  <c r="Y1024" s="40"/>
      <c r="Z1024" s="40"/>
      <c r="AA1024" s="40"/>
      <c r="AB1024" s="40"/>
      <c r="AC1024" s="40"/>
      <c r="AD1024" s="40"/>
      <c r="AE1024" s="40"/>
    </row>
    <row r="1025">
      <c r="A1025" s="17" t="s">
        <v>1212</v>
      </c>
      <c r="B1025" s="35" t="s">
        <v>1259</v>
      </c>
      <c r="C1025" s="35" t="s">
        <v>1260</v>
      </c>
      <c r="D1025" s="36" t="s">
        <v>10</v>
      </c>
      <c r="E1025" s="36" t="s">
        <v>77</v>
      </c>
      <c r="F1025" s="36">
        <f>vlookup(D1025,'Team Bye List'!$A$1:$B$33,2,False)</f>
        <v>13</v>
      </c>
      <c r="G1025" s="37">
        <f>if(ISNA(vlookup($A1025, Sleeper!$B$2:$E$330, 4, false)), 0, vlookup($A1025, Sleeper!$B$2:$E$330, 4, false))</f>
        <v>0</v>
      </c>
      <c r="H1025" s="37">
        <f>if(ISNA(vlookup($A1025, ESPN!$B$2:$E$297, 4, false)), 0, vlookup($A1025, ESPN!$B$2:$E$297, 4, false))</f>
        <v>0</v>
      </c>
      <c r="I1025" s="37">
        <f>if(ISNA(vlookup($A1025,'Ultimate Draft Kit'!$B$2:$E$324,4, false)), 0, vlookup($A1025,'Ultimate Draft Kit'!$B$2:$E$324, 4, false))</f>
        <v>0</v>
      </c>
      <c r="J1025" s="38">
        <f>if(ISNA(vlookup($A1025,Rotowire!$B$2:$E$1075,4, false)), 0, vlookup($A1025,Rotowire!$B$2:$E$1075, 4, false))</f>
        <v>0</v>
      </c>
      <c r="K1025" s="37">
        <f>if(ISNA(vlookup($A1025, FantasyPro!$B$2:$E$341,4,false)),0,vlookup($A1025,FantasyPro!$B$2:$E$341,4,false))</f>
        <v>0</v>
      </c>
      <c r="L1025" s="37">
        <f>if(ISNA(vlookup($A1025, FFToolbox!$B$2:$E$414, 4, false)), 0, vlookup($A1025, FFToolbox!$B$2:$E$414, 4, false))</f>
        <v>0</v>
      </c>
      <c r="M1025" s="39">
        <f t="shared" si="1"/>
        <v>0</v>
      </c>
      <c r="N1025" s="39">
        <f t="shared" si="2"/>
        <v>0</v>
      </c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  <c r="Y1025" s="40"/>
      <c r="Z1025" s="40"/>
      <c r="AA1025" s="40"/>
      <c r="AB1025" s="40"/>
      <c r="AC1025" s="40"/>
      <c r="AD1025" s="40"/>
      <c r="AE1025" s="40"/>
    </row>
    <row r="1026">
      <c r="A1026" s="17" t="s">
        <v>284</v>
      </c>
      <c r="B1026" s="35" t="s">
        <v>1259</v>
      </c>
      <c r="C1026" s="35">
        <v>8.0</v>
      </c>
      <c r="D1026" s="36" t="s">
        <v>10</v>
      </c>
      <c r="E1026" s="36" t="s">
        <v>77</v>
      </c>
      <c r="F1026" s="36">
        <f>vlookup(D1026,'Team Bye List'!$A$1:$B$33,2,False)</f>
        <v>13</v>
      </c>
      <c r="G1026" s="37">
        <f>if(ISNA(vlookup($A1026, Sleeper!$B$2:$E$330, 4, false)), 0, vlookup($A1026, Sleeper!$B$2:$E$330, 4, false))</f>
        <v>1</v>
      </c>
      <c r="H1026" s="37">
        <f>if(ISNA(vlookup($A1026, ESPN!$B$2:$E$297, 4, false)), 0, vlookup($A1026, ESPN!$B$2:$E$297, 4, false))</f>
        <v>0</v>
      </c>
      <c r="I1026" s="37">
        <f>if(ISNA(vlookup($A1026,'Ultimate Draft Kit'!$B$2:$E$324,4, false)), 0, vlookup($A1026,'Ultimate Draft Kit'!$B$2:$E$324, 4, false))</f>
        <v>1</v>
      </c>
      <c r="J1026" s="38">
        <f>if(ISNA(vlookup($A1026,Rotowire!$B$2:$E$1075,4, false)), 0, vlookup($A1026,Rotowire!$B$2:$E$1075, 4, false))</f>
        <v>0</v>
      </c>
      <c r="K1026" s="37">
        <f>if(ISNA(vlookup($A1026, FantasyPro!$B$2:$E$341,4,false)),0,vlookup($A1026,FantasyPro!$B$2:$E$341,4,false))</f>
        <v>0</v>
      </c>
      <c r="L1026" s="37">
        <f>if(ISNA(vlookup($A1026, FFToolbox!$B$2:$E$414, 4, false)), 0, vlookup($A1026, FFToolbox!$B$2:$E$414, 4, false))</f>
        <v>1</v>
      </c>
      <c r="M1026" s="39">
        <f t="shared" si="1"/>
        <v>0.5</v>
      </c>
      <c r="N1026" s="39">
        <f t="shared" si="2"/>
        <v>1</v>
      </c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  <c r="Y1026" s="40"/>
      <c r="Z1026" s="40"/>
      <c r="AA1026" s="40"/>
      <c r="AB1026" s="40"/>
      <c r="AC1026" s="40"/>
      <c r="AD1026" s="40"/>
      <c r="AE1026" s="40"/>
    </row>
    <row r="1027">
      <c r="A1027" s="17" t="s">
        <v>530</v>
      </c>
      <c r="B1027" s="35" t="s">
        <v>1259</v>
      </c>
      <c r="C1027" s="35" t="s">
        <v>1260</v>
      </c>
      <c r="D1027" s="36" t="s">
        <v>53</v>
      </c>
      <c r="E1027" s="36" t="s">
        <v>77</v>
      </c>
      <c r="F1027" s="36">
        <f>vlookup(D1027,'Team Bye List'!$A$1:$B$33,2,False)</f>
        <v>9</v>
      </c>
      <c r="G1027" s="37">
        <f>if(ISNA(vlookup($A1027, Sleeper!$B$2:$E$330, 4, false)), 0, vlookup($A1027, Sleeper!$B$2:$E$330, 4, false))</f>
        <v>0</v>
      </c>
      <c r="H1027" s="37">
        <f>if(ISNA(vlookup($A1027, ESPN!$B$2:$E$297, 4, false)), 0, vlookup($A1027, ESPN!$B$2:$E$297, 4, false))</f>
        <v>0</v>
      </c>
      <c r="I1027" s="37">
        <f>if(ISNA(vlookup($A1027,'Ultimate Draft Kit'!$B$2:$E$324,4, false)), 0, vlookup($A1027,'Ultimate Draft Kit'!$B$2:$E$324, 4, false))</f>
        <v>0</v>
      </c>
      <c r="J1027" s="38">
        <f>if(ISNA(vlookup($A1027,Rotowire!$B$2:$E$1075,4, false)), 0, vlookup($A1027,Rotowire!$B$2:$E$1075, 4, false))</f>
        <v>0</v>
      </c>
      <c r="K1027" s="37">
        <f>if(ISNA(vlookup($A1027, FantasyPro!$B$2:$E$341,4,false)),0,vlookup($A1027,FantasyPro!$B$2:$E$341,4,false))</f>
        <v>0</v>
      </c>
      <c r="L1027" s="37">
        <f>if(ISNA(vlookup($A1027, FFToolbox!$B$2:$E$414, 4, false)), 0, vlookup($A1027, FFToolbox!$B$2:$E$414, 4, false))</f>
        <v>0</v>
      </c>
      <c r="M1027" s="39">
        <f t="shared" si="1"/>
        <v>0</v>
      </c>
      <c r="N1027" s="39">
        <f t="shared" si="2"/>
        <v>0</v>
      </c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  <c r="AA1027" s="40"/>
      <c r="AB1027" s="40"/>
      <c r="AC1027" s="40"/>
      <c r="AD1027" s="40"/>
      <c r="AE1027" s="40"/>
    </row>
    <row r="1028">
      <c r="A1028" s="17" t="s">
        <v>525</v>
      </c>
      <c r="B1028" s="35" t="s">
        <v>1259</v>
      </c>
      <c r="C1028" s="35" t="s">
        <v>1260</v>
      </c>
      <c r="D1028" s="36" t="s">
        <v>47</v>
      </c>
      <c r="E1028" s="36" t="s">
        <v>77</v>
      </c>
      <c r="F1028" s="36">
        <f>vlookup(D1028,'Team Bye List'!$A$1:$B$33,2,False)</f>
        <v>14</v>
      </c>
      <c r="G1028" s="37">
        <f>if(ISNA(vlookup($A1028, Sleeper!$B$2:$E$330, 4, false)), 0, vlookup($A1028, Sleeper!$B$2:$E$330, 4, false))</f>
        <v>0</v>
      </c>
      <c r="H1028" s="37">
        <f>if(ISNA(vlookup($A1028, ESPN!$B$2:$E$297, 4, false)), 0, vlookup($A1028, ESPN!$B$2:$E$297, 4, false))</f>
        <v>0</v>
      </c>
      <c r="I1028" s="37">
        <f>if(ISNA(vlookup($A1028,'Ultimate Draft Kit'!$B$2:$E$324,4, false)), 0, vlookup($A1028,'Ultimate Draft Kit'!$B$2:$E$324, 4, false))</f>
        <v>0</v>
      </c>
      <c r="J1028" s="38">
        <f>if(ISNA(vlookup($A1028,Rotowire!$B$2:$E$1075,4, false)), 0, vlookup($A1028,Rotowire!$B$2:$E$1075, 4, false))</f>
        <v>0</v>
      </c>
      <c r="K1028" s="37">
        <f>if(ISNA(vlookup($A1028, FantasyPro!$B$2:$E$341,4,false)),0,vlookup($A1028,FantasyPro!$B$2:$E$341,4,false))</f>
        <v>0</v>
      </c>
      <c r="L1028" s="37">
        <f>if(ISNA(vlookup($A1028, FFToolbox!$B$2:$E$414, 4, false)), 0, vlookup($A1028, FFToolbox!$B$2:$E$414, 4, false))</f>
        <v>0</v>
      </c>
      <c r="M1028" s="39">
        <f t="shared" si="1"/>
        <v>0</v>
      </c>
      <c r="N1028" s="39">
        <f t="shared" si="2"/>
        <v>0</v>
      </c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0"/>
      <c r="AA1028" s="40"/>
      <c r="AB1028" s="40"/>
      <c r="AC1028" s="40"/>
      <c r="AD1028" s="40"/>
      <c r="AE1028" s="40"/>
    </row>
    <row r="1029">
      <c r="A1029" s="17" t="s">
        <v>528</v>
      </c>
      <c r="B1029" s="35" t="s">
        <v>1259</v>
      </c>
      <c r="C1029" s="35" t="s">
        <v>1260</v>
      </c>
      <c r="D1029" s="36" t="s">
        <v>15</v>
      </c>
      <c r="E1029" s="36" t="s">
        <v>77</v>
      </c>
      <c r="F1029" s="36">
        <f>vlookup(D1029,'Team Bye List'!$A$1:$B$33,2,False)</f>
        <v>6</v>
      </c>
      <c r="G1029" s="37">
        <f>if(ISNA(vlookup($A1029, Sleeper!$B$2:$E$330, 4, false)), 0, vlookup($A1029, Sleeper!$B$2:$E$330, 4, false))</f>
        <v>0</v>
      </c>
      <c r="H1029" s="37">
        <f>if(ISNA(vlookup($A1029, ESPN!$B$2:$E$297, 4, false)), 0, vlookup($A1029, ESPN!$B$2:$E$297, 4, false))</f>
        <v>0</v>
      </c>
      <c r="I1029" s="37">
        <f>if(ISNA(vlookup($A1029,'Ultimate Draft Kit'!$B$2:$E$324,4, false)), 0, vlookup($A1029,'Ultimate Draft Kit'!$B$2:$E$324, 4, false))</f>
        <v>0</v>
      </c>
      <c r="J1029" s="38">
        <f>if(ISNA(vlookup($A1029,Rotowire!$B$2:$E$1075,4, false)), 0, vlookup($A1029,Rotowire!$B$2:$E$1075, 4, false))</f>
        <v>0</v>
      </c>
      <c r="K1029" s="37">
        <f>if(ISNA(vlookup($A1029, FantasyPro!$B$2:$E$341,4,false)),0,vlookup($A1029,FantasyPro!$B$2:$E$341,4,false))</f>
        <v>0</v>
      </c>
      <c r="L1029" s="37">
        <f>if(ISNA(vlookup($A1029, FFToolbox!$B$2:$E$414, 4, false)), 0, vlookup($A1029, FFToolbox!$B$2:$E$414, 4, false))</f>
        <v>0</v>
      </c>
      <c r="M1029" s="39">
        <f t="shared" si="1"/>
        <v>0</v>
      </c>
      <c r="N1029" s="39">
        <f t="shared" si="2"/>
        <v>0</v>
      </c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  <c r="Y1029" s="40"/>
      <c r="Z1029" s="40"/>
      <c r="AA1029" s="40"/>
      <c r="AB1029" s="40"/>
      <c r="AC1029" s="40"/>
      <c r="AD1029" s="40"/>
      <c r="AE1029" s="40"/>
    </row>
    <row r="1030">
      <c r="A1030" s="17" t="s">
        <v>1213</v>
      </c>
      <c r="B1030" s="35" t="s">
        <v>1259</v>
      </c>
      <c r="C1030" s="35" t="s">
        <v>1260</v>
      </c>
      <c r="D1030" s="36" t="s">
        <v>262</v>
      </c>
      <c r="E1030" s="36" t="s">
        <v>77</v>
      </c>
      <c r="F1030" s="36" t="str">
        <f>vlookup(D1030,'Team Bye List'!$A$1:$B$33,2,False)</f>
        <v>#N/A</v>
      </c>
      <c r="G1030" s="37">
        <f>if(ISNA(vlookup($A1030, Sleeper!$B$2:$E$330, 4, false)), 0, vlookup($A1030, Sleeper!$B$2:$E$330, 4, false))</f>
        <v>0</v>
      </c>
      <c r="H1030" s="37">
        <f>if(ISNA(vlookup($A1030, ESPN!$B$2:$E$297, 4, false)), 0, vlookup($A1030, ESPN!$B$2:$E$297, 4, false))</f>
        <v>0</v>
      </c>
      <c r="I1030" s="37">
        <f>if(ISNA(vlookup($A1030,'Ultimate Draft Kit'!$B$2:$E$324,4, false)), 0, vlookup($A1030,'Ultimate Draft Kit'!$B$2:$E$324, 4, false))</f>
        <v>0</v>
      </c>
      <c r="J1030" s="38">
        <f>if(ISNA(vlookup($A1030,Rotowire!$B$2:$E$1075,4, false)), 0, vlookup($A1030,Rotowire!$B$2:$E$1075, 4, false))</f>
        <v>0</v>
      </c>
      <c r="K1030" s="37">
        <f>if(ISNA(vlookup($A1030, FantasyPro!$B$2:$E$341,4,false)),0,vlookup($A1030,FantasyPro!$B$2:$E$341,4,false))</f>
        <v>0</v>
      </c>
      <c r="L1030" s="37">
        <f>if(ISNA(vlookup($A1030, FFToolbox!$B$2:$E$414, 4, false)), 0, vlookup($A1030, FFToolbox!$B$2:$E$414, 4, false))</f>
        <v>0</v>
      </c>
      <c r="M1030" s="39">
        <f t="shared" si="1"/>
        <v>0</v>
      </c>
      <c r="N1030" s="39">
        <f t="shared" si="2"/>
        <v>0</v>
      </c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  <c r="Y1030" s="40"/>
      <c r="Z1030" s="40"/>
      <c r="AA1030" s="40"/>
      <c r="AB1030" s="40"/>
      <c r="AC1030" s="40"/>
      <c r="AD1030" s="40"/>
      <c r="AE1030" s="40"/>
    </row>
    <row r="1031">
      <c r="A1031" s="17" t="s">
        <v>484</v>
      </c>
      <c r="B1031" s="35" t="s">
        <v>1259</v>
      </c>
      <c r="C1031" s="35" t="s">
        <v>1260</v>
      </c>
      <c r="D1031" s="36" t="s">
        <v>23</v>
      </c>
      <c r="E1031" s="36" t="s">
        <v>77</v>
      </c>
      <c r="F1031" s="36">
        <f>vlookup(D1031,'Team Bye List'!$A$1:$B$33,2,False)</f>
        <v>9</v>
      </c>
      <c r="G1031" s="37">
        <f>if(ISNA(vlookup($A1031, Sleeper!$B$2:$E$330, 4, false)), 0, vlookup($A1031, Sleeper!$B$2:$E$330, 4, false))</f>
        <v>0</v>
      </c>
      <c r="H1031" s="37">
        <f>if(ISNA(vlookup($A1031, ESPN!$B$2:$E$297, 4, false)), 0, vlookup($A1031, ESPN!$B$2:$E$297, 4, false))</f>
        <v>0</v>
      </c>
      <c r="I1031" s="37">
        <f>if(ISNA(vlookup($A1031,'Ultimate Draft Kit'!$B$2:$E$324,4, false)), 0, vlookup($A1031,'Ultimate Draft Kit'!$B$2:$E$324, 4, false))</f>
        <v>0</v>
      </c>
      <c r="J1031" s="38">
        <f>if(ISNA(vlookup($A1031,Rotowire!$B$2:$E$1075,4, false)), 0, vlookup($A1031,Rotowire!$B$2:$E$1075, 4, false))</f>
        <v>0</v>
      </c>
      <c r="K1031" s="37">
        <f>if(ISNA(vlookup($A1031, FantasyPro!$B$2:$E$341,4,false)),0,vlookup($A1031,FantasyPro!$B$2:$E$341,4,false))</f>
        <v>0</v>
      </c>
      <c r="L1031" s="37">
        <f>if(ISNA(vlookup($A1031, FFToolbox!$B$2:$E$414, 4, false)), 0, vlookup($A1031, FFToolbox!$B$2:$E$414, 4, false))</f>
        <v>0</v>
      </c>
      <c r="M1031" s="39">
        <f t="shared" si="1"/>
        <v>0</v>
      </c>
      <c r="N1031" s="39">
        <f t="shared" si="2"/>
        <v>0</v>
      </c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  <c r="Y1031" s="40"/>
      <c r="Z1031" s="40"/>
      <c r="AA1031" s="40"/>
      <c r="AB1031" s="40"/>
      <c r="AC1031" s="40"/>
      <c r="AD1031" s="40"/>
      <c r="AE1031" s="40"/>
    </row>
    <row r="1032">
      <c r="A1032" s="17" t="s">
        <v>522</v>
      </c>
      <c r="B1032" s="35" t="s">
        <v>1259</v>
      </c>
      <c r="C1032" s="35" t="s">
        <v>1260</v>
      </c>
      <c r="D1032" s="36" t="s">
        <v>45</v>
      </c>
      <c r="E1032" s="36" t="s">
        <v>77</v>
      </c>
      <c r="F1032" s="36">
        <f>vlookup(D1032,'Team Bye List'!$A$1:$B$33,2,False)</f>
        <v>13</v>
      </c>
      <c r="G1032" s="37">
        <f>if(ISNA(vlookup($A1032, Sleeper!$B$2:$E$330, 4, false)), 0, vlookup($A1032, Sleeper!$B$2:$E$330, 4, false))</f>
        <v>0</v>
      </c>
      <c r="H1032" s="37">
        <f>if(ISNA(vlookup($A1032, ESPN!$B$2:$E$297, 4, false)), 0, vlookup($A1032, ESPN!$B$2:$E$297, 4, false))</f>
        <v>0</v>
      </c>
      <c r="I1032" s="37">
        <f>if(ISNA(vlookup($A1032,'Ultimate Draft Kit'!$B$2:$E$324,4, false)), 0, vlookup($A1032,'Ultimate Draft Kit'!$B$2:$E$324, 4, false))</f>
        <v>0</v>
      </c>
      <c r="J1032" s="38">
        <f>if(ISNA(vlookup($A1032,Rotowire!$B$2:$E$1075,4, false)), 0, vlookup($A1032,Rotowire!$B$2:$E$1075, 4, false))</f>
        <v>0</v>
      </c>
      <c r="K1032" s="37">
        <f>if(ISNA(vlookup($A1032, FantasyPro!$B$2:$E$341,4,false)),0,vlookup($A1032,FantasyPro!$B$2:$E$341,4,false))</f>
        <v>0</v>
      </c>
      <c r="L1032" s="37">
        <f>if(ISNA(vlookup($A1032, FFToolbox!$B$2:$E$414, 4, false)), 0, vlookup($A1032, FFToolbox!$B$2:$E$414, 4, false))</f>
        <v>0</v>
      </c>
      <c r="M1032" s="39">
        <f t="shared" si="1"/>
        <v>0</v>
      </c>
      <c r="N1032" s="39">
        <f t="shared" si="2"/>
        <v>0</v>
      </c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  <c r="Y1032" s="40"/>
      <c r="Z1032" s="40"/>
      <c r="AA1032" s="40"/>
      <c r="AB1032" s="40"/>
      <c r="AC1032" s="40"/>
      <c r="AD1032" s="40"/>
      <c r="AE1032" s="40"/>
    </row>
    <row r="1033">
      <c r="A1033" s="17" t="s">
        <v>526</v>
      </c>
      <c r="B1033" s="35" t="s">
        <v>1259</v>
      </c>
      <c r="C1033" s="35" t="s">
        <v>1260</v>
      </c>
      <c r="D1033" s="36" t="s">
        <v>35</v>
      </c>
      <c r="E1033" s="36" t="s">
        <v>77</v>
      </c>
      <c r="F1033" s="36">
        <f>vlookup(D1033,'Team Bye List'!$A$1:$B$33,2,False)</f>
        <v>6</v>
      </c>
      <c r="G1033" s="37">
        <f>if(ISNA(vlookup($A1033, Sleeper!$B$2:$E$330, 4, false)), 0, vlookup($A1033, Sleeper!$B$2:$E$330, 4, false))</f>
        <v>0</v>
      </c>
      <c r="H1033" s="37">
        <f>if(ISNA(vlookup($A1033, ESPN!$B$2:$E$297, 4, false)), 0, vlookup($A1033, ESPN!$B$2:$E$297, 4, false))</f>
        <v>0</v>
      </c>
      <c r="I1033" s="37">
        <f>if(ISNA(vlookup($A1033,'Ultimate Draft Kit'!$B$2:$E$324,4, false)), 0, vlookup($A1033,'Ultimate Draft Kit'!$B$2:$E$324, 4, false))</f>
        <v>0</v>
      </c>
      <c r="J1033" s="38">
        <f>if(ISNA(vlookup($A1033,Rotowire!$B$2:$E$1075,4, false)), 0, vlookup($A1033,Rotowire!$B$2:$E$1075, 4, false))</f>
        <v>0</v>
      </c>
      <c r="K1033" s="37">
        <f>if(ISNA(vlookup($A1033, FantasyPro!$B$2:$E$341,4,false)),0,vlookup($A1033,FantasyPro!$B$2:$E$341,4,false))</f>
        <v>0</v>
      </c>
      <c r="L1033" s="37">
        <f>if(ISNA(vlookup($A1033, FFToolbox!$B$2:$E$414, 4, false)), 0, vlookup($A1033, FFToolbox!$B$2:$E$414, 4, false))</f>
        <v>0</v>
      </c>
      <c r="M1033" s="39">
        <f t="shared" si="1"/>
        <v>0</v>
      </c>
      <c r="N1033" s="39">
        <f t="shared" si="2"/>
        <v>0</v>
      </c>
      <c r="O1033" s="40"/>
      <c r="P1033" s="40"/>
      <c r="Q1033" s="40"/>
      <c r="R1033" s="40"/>
      <c r="S1033" s="40"/>
      <c r="T1033" s="40"/>
      <c r="U1033" s="40"/>
      <c r="V1033" s="40"/>
      <c r="W1033" s="40"/>
      <c r="X1033" s="40"/>
      <c r="Y1033" s="40"/>
      <c r="Z1033" s="40"/>
      <c r="AA1033" s="40"/>
      <c r="AB1033" s="40"/>
      <c r="AC1033" s="40"/>
      <c r="AD1033" s="40"/>
      <c r="AE1033" s="40"/>
    </row>
    <row r="1034">
      <c r="A1034" s="17" t="s">
        <v>1214</v>
      </c>
      <c r="B1034" s="35" t="s">
        <v>1259</v>
      </c>
      <c r="C1034" s="35" t="s">
        <v>1260</v>
      </c>
      <c r="D1034" s="36" t="s">
        <v>81</v>
      </c>
      <c r="E1034" s="36" t="s">
        <v>77</v>
      </c>
      <c r="F1034" s="36">
        <f>vlookup(D1034,'Team Bye List'!$A$1:$B$33,2,False)</f>
        <v>6</v>
      </c>
      <c r="G1034" s="37">
        <f>if(ISNA(vlookup($A1034, Sleeper!$B$2:$E$330, 4, false)), 0, vlookup($A1034, Sleeper!$B$2:$E$330, 4, false))</f>
        <v>0</v>
      </c>
      <c r="H1034" s="37">
        <f>if(ISNA(vlookup($A1034, ESPN!$B$2:$E$297, 4, false)), 0, vlookup($A1034, ESPN!$B$2:$E$297, 4, false))</f>
        <v>0</v>
      </c>
      <c r="I1034" s="37">
        <f>if(ISNA(vlookup($A1034,'Ultimate Draft Kit'!$B$2:$E$324,4, false)), 0, vlookup($A1034,'Ultimate Draft Kit'!$B$2:$E$324, 4, false))</f>
        <v>0</v>
      </c>
      <c r="J1034" s="38">
        <f>if(ISNA(vlookup($A1034,Rotowire!$B$2:$E$1075,4, false)), 0, vlookup($A1034,Rotowire!$B$2:$E$1075, 4, false))</f>
        <v>0</v>
      </c>
      <c r="K1034" s="37">
        <f>if(ISNA(vlookup($A1034, FantasyPro!$B$2:$E$341,4,false)),0,vlookup($A1034,FantasyPro!$B$2:$E$341,4,false))</f>
        <v>0</v>
      </c>
      <c r="L1034" s="37">
        <f>if(ISNA(vlookup($A1034, FFToolbox!$B$2:$E$414, 4, false)), 0, vlookup($A1034, FFToolbox!$B$2:$E$414, 4, false))</f>
        <v>0</v>
      </c>
      <c r="M1034" s="39">
        <f t="shared" si="1"/>
        <v>0</v>
      </c>
      <c r="N1034" s="39">
        <f t="shared" si="2"/>
        <v>0</v>
      </c>
      <c r="O1034" s="40"/>
      <c r="P1034" s="40"/>
      <c r="Q1034" s="40"/>
      <c r="R1034" s="40"/>
      <c r="S1034" s="40"/>
      <c r="T1034" s="40"/>
      <c r="U1034" s="40"/>
      <c r="V1034" s="40"/>
      <c r="W1034" s="40"/>
      <c r="X1034" s="40"/>
      <c r="Y1034" s="40"/>
      <c r="Z1034" s="40"/>
      <c r="AA1034" s="40"/>
      <c r="AB1034" s="40"/>
      <c r="AC1034" s="40"/>
      <c r="AD1034" s="40"/>
      <c r="AE1034" s="40"/>
    </row>
    <row r="1035">
      <c r="A1035" s="17" t="s">
        <v>1215</v>
      </c>
      <c r="B1035" s="35" t="s">
        <v>1259</v>
      </c>
      <c r="C1035" s="35" t="s">
        <v>1260</v>
      </c>
      <c r="D1035" s="36" t="s">
        <v>262</v>
      </c>
      <c r="E1035" s="36" t="s">
        <v>77</v>
      </c>
      <c r="F1035" s="36" t="str">
        <f>vlookup(D1035,'Team Bye List'!$A$1:$B$33,2,False)</f>
        <v>#N/A</v>
      </c>
      <c r="G1035" s="37">
        <f>if(ISNA(vlookup($A1035, Sleeper!$B$2:$E$330, 4, false)), 0, vlookup($A1035, Sleeper!$B$2:$E$330, 4, false))</f>
        <v>0</v>
      </c>
      <c r="H1035" s="37">
        <f>if(ISNA(vlookup($A1035, ESPN!$B$2:$E$297, 4, false)), 0, vlookup($A1035, ESPN!$B$2:$E$297, 4, false))</f>
        <v>0</v>
      </c>
      <c r="I1035" s="37">
        <f>if(ISNA(vlookup($A1035,'Ultimate Draft Kit'!$B$2:$E$324,4, false)), 0, vlookup($A1035,'Ultimate Draft Kit'!$B$2:$E$324, 4, false))</f>
        <v>0</v>
      </c>
      <c r="J1035" s="38">
        <f>if(ISNA(vlookup($A1035,Rotowire!$B$2:$E$1075,4, false)), 0, vlookup($A1035,Rotowire!$B$2:$E$1075, 4, false))</f>
        <v>0</v>
      </c>
      <c r="K1035" s="37">
        <f>if(ISNA(vlookup($A1035, FantasyPro!$B$2:$E$341,4,false)),0,vlookup($A1035,FantasyPro!$B$2:$E$341,4,false))</f>
        <v>0</v>
      </c>
      <c r="L1035" s="37">
        <f>if(ISNA(vlookup($A1035, FFToolbox!$B$2:$E$414, 4, false)), 0, vlookup($A1035, FFToolbox!$B$2:$E$414, 4, false))</f>
        <v>0</v>
      </c>
      <c r="M1035" s="39">
        <f t="shared" si="1"/>
        <v>0</v>
      </c>
      <c r="N1035" s="39">
        <f t="shared" si="2"/>
        <v>0</v>
      </c>
      <c r="O1035" s="40"/>
      <c r="P1035" s="40"/>
      <c r="Q1035" s="40"/>
      <c r="R1035" s="40"/>
      <c r="S1035" s="40"/>
      <c r="T1035" s="40"/>
      <c r="U1035" s="40"/>
      <c r="V1035" s="40"/>
      <c r="W1035" s="40"/>
      <c r="X1035" s="40"/>
      <c r="Y1035" s="40"/>
      <c r="Z1035" s="40"/>
      <c r="AA1035" s="40"/>
      <c r="AB1035" s="40"/>
      <c r="AC1035" s="40"/>
      <c r="AD1035" s="40"/>
      <c r="AE1035" s="40"/>
    </row>
    <row r="1036">
      <c r="A1036" s="17" t="s">
        <v>292</v>
      </c>
      <c r="B1036" s="35" t="s">
        <v>1259</v>
      </c>
      <c r="C1036" s="35" t="s">
        <v>1260</v>
      </c>
      <c r="D1036" s="36" t="s">
        <v>28</v>
      </c>
      <c r="E1036" s="36" t="s">
        <v>77</v>
      </c>
      <c r="F1036" s="36">
        <f>vlookup(D1036,'Team Bye List'!$A$1:$B$33,2,False)</f>
        <v>11</v>
      </c>
      <c r="G1036" s="37">
        <f>if(ISNA(vlookup($A1036, Sleeper!$B$2:$E$330, 4, false)), 0, vlookup($A1036, Sleeper!$B$2:$E$330, 4, false))</f>
        <v>0</v>
      </c>
      <c r="H1036" s="37">
        <f>if(ISNA(vlookup($A1036, ESPN!$B$2:$E$297, 4, false)), 0, vlookup($A1036, ESPN!$B$2:$E$297, 4, false))</f>
        <v>0</v>
      </c>
      <c r="I1036" s="37">
        <f>if(ISNA(vlookup($A1036,'Ultimate Draft Kit'!$B$2:$E$324,4, false)), 0, vlookup($A1036,'Ultimate Draft Kit'!$B$2:$E$324, 4, false))</f>
        <v>0</v>
      </c>
      <c r="J1036" s="38">
        <f>if(ISNA(vlookup($A1036,Rotowire!$B$2:$E$1075,4, false)), 0, vlookup($A1036,Rotowire!$B$2:$E$1075, 4, false))</f>
        <v>0</v>
      </c>
      <c r="K1036" s="37">
        <f>if(ISNA(vlookup($A1036, FantasyPro!$B$2:$E$341,4,false)),0,vlookup($A1036,FantasyPro!$B$2:$E$341,4,false))</f>
        <v>0</v>
      </c>
      <c r="L1036" s="37">
        <f>if(ISNA(vlookup($A1036, FFToolbox!$B$2:$E$414, 4, false)), 0, vlookup($A1036, FFToolbox!$B$2:$E$414, 4, false))</f>
        <v>0</v>
      </c>
      <c r="M1036" s="39">
        <f t="shared" si="1"/>
        <v>0</v>
      </c>
      <c r="N1036" s="39">
        <f t="shared" si="2"/>
        <v>0</v>
      </c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  <c r="Y1036" s="40"/>
      <c r="Z1036" s="40"/>
      <c r="AA1036" s="40"/>
      <c r="AB1036" s="40"/>
      <c r="AC1036" s="40"/>
      <c r="AD1036" s="40"/>
      <c r="AE1036" s="40"/>
    </row>
    <row r="1037">
      <c r="A1037" s="17" t="s">
        <v>1216</v>
      </c>
      <c r="B1037" s="35" t="s">
        <v>1259</v>
      </c>
      <c r="C1037" s="35" t="s">
        <v>1260</v>
      </c>
      <c r="D1037" s="36" t="s">
        <v>25</v>
      </c>
      <c r="E1037" s="36" t="s">
        <v>77</v>
      </c>
      <c r="F1037" s="36">
        <f>vlookup(D1037,'Team Bye List'!$A$1:$B$33,2,False)</f>
        <v>7</v>
      </c>
      <c r="G1037" s="37">
        <f>if(ISNA(vlookup($A1037, Sleeper!$B$2:$E$330, 4, false)), 0, vlookup($A1037, Sleeper!$B$2:$E$330, 4, false))</f>
        <v>0</v>
      </c>
      <c r="H1037" s="37">
        <f>if(ISNA(vlookup($A1037, ESPN!$B$2:$E$297, 4, false)), 0, vlookup($A1037, ESPN!$B$2:$E$297, 4, false))</f>
        <v>0</v>
      </c>
      <c r="I1037" s="37">
        <f>if(ISNA(vlookup($A1037,'Ultimate Draft Kit'!$B$2:$E$324,4, false)), 0, vlookup($A1037,'Ultimate Draft Kit'!$B$2:$E$324, 4, false))</f>
        <v>0</v>
      </c>
      <c r="J1037" s="38">
        <f>if(ISNA(vlookup($A1037,Rotowire!$B$2:$E$1075,4, false)), 0, vlookup($A1037,Rotowire!$B$2:$E$1075, 4, false))</f>
        <v>0</v>
      </c>
      <c r="K1037" s="37">
        <f>if(ISNA(vlookup($A1037, FantasyPro!$B$2:$E$341,4,false)),0,vlookup($A1037,FantasyPro!$B$2:$E$341,4,false))</f>
        <v>0</v>
      </c>
      <c r="L1037" s="37">
        <f>if(ISNA(vlookup($A1037, FFToolbox!$B$2:$E$414, 4, false)), 0, vlookup($A1037, FFToolbox!$B$2:$E$414, 4, false))</f>
        <v>0</v>
      </c>
      <c r="M1037" s="39">
        <f t="shared" si="1"/>
        <v>0</v>
      </c>
      <c r="N1037" s="39">
        <f t="shared" si="2"/>
        <v>0</v>
      </c>
      <c r="O1037" s="40"/>
      <c r="P1037" s="40"/>
      <c r="Q1037" s="40"/>
      <c r="R1037" s="40"/>
      <c r="S1037" s="40"/>
      <c r="T1037" s="40"/>
      <c r="U1037" s="40"/>
      <c r="V1037" s="40"/>
      <c r="W1037" s="40"/>
      <c r="X1037" s="40"/>
      <c r="Y1037" s="40"/>
      <c r="Z1037" s="40"/>
      <c r="AA1037" s="40"/>
      <c r="AB1037" s="40"/>
      <c r="AC1037" s="40"/>
      <c r="AD1037" s="40"/>
      <c r="AE1037" s="40"/>
    </row>
    <row r="1038">
      <c r="A1038" s="17" t="s">
        <v>1217</v>
      </c>
      <c r="B1038" s="35" t="s">
        <v>1259</v>
      </c>
      <c r="C1038" s="35" t="s">
        <v>1260</v>
      </c>
      <c r="D1038" s="36" t="s">
        <v>262</v>
      </c>
      <c r="E1038" s="36" t="s">
        <v>77</v>
      </c>
      <c r="F1038" s="36" t="str">
        <f>vlookup(D1038,'Team Bye List'!$A$1:$B$33,2,False)</f>
        <v>#N/A</v>
      </c>
      <c r="G1038" s="37">
        <f>if(ISNA(vlookup($A1038, Sleeper!$B$2:$E$330, 4, false)), 0, vlookup($A1038, Sleeper!$B$2:$E$330, 4, false))</f>
        <v>0</v>
      </c>
      <c r="H1038" s="37">
        <f>if(ISNA(vlookup($A1038, ESPN!$B$2:$E$297, 4, false)), 0, vlookup($A1038, ESPN!$B$2:$E$297, 4, false))</f>
        <v>0</v>
      </c>
      <c r="I1038" s="37">
        <f>if(ISNA(vlookup($A1038,'Ultimate Draft Kit'!$B$2:$E$324,4, false)), 0, vlookup($A1038,'Ultimate Draft Kit'!$B$2:$E$324, 4, false))</f>
        <v>0</v>
      </c>
      <c r="J1038" s="38">
        <f>if(ISNA(vlookup($A1038,Rotowire!$B$2:$E$1075,4, false)), 0, vlookup($A1038,Rotowire!$B$2:$E$1075, 4, false))</f>
        <v>0</v>
      </c>
      <c r="K1038" s="37">
        <f>if(ISNA(vlookup($A1038, FantasyPro!$B$2:$E$341,4,false)),0,vlookup($A1038,FantasyPro!$B$2:$E$341,4,false))</f>
        <v>0</v>
      </c>
      <c r="L1038" s="37">
        <f>if(ISNA(vlookup($A1038, FFToolbox!$B$2:$E$414, 4, false)), 0, vlookup($A1038, FFToolbox!$B$2:$E$414, 4, false))</f>
        <v>0</v>
      </c>
      <c r="M1038" s="39">
        <f t="shared" si="1"/>
        <v>0</v>
      </c>
      <c r="N1038" s="39">
        <f t="shared" si="2"/>
        <v>0</v>
      </c>
      <c r="O1038" s="40"/>
      <c r="P1038" s="40"/>
      <c r="Q1038" s="40"/>
      <c r="R1038" s="40"/>
      <c r="S1038" s="40"/>
      <c r="T1038" s="40"/>
      <c r="U1038" s="40"/>
      <c r="V1038" s="40"/>
      <c r="W1038" s="40"/>
      <c r="X1038" s="40"/>
      <c r="Y1038" s="40"/>
      <c r="Z1038" s="40"/>
      <c r="AA1038" s="40"/>
      <c r="AB1038" s="40"/>
      <c r="AC1038" s="40"/>
      <c r="AD1038" s="40"/>
      <c r="AE1038" s="40"/>
    </row>
    <row r="1039">
      <c r="A1039" s="17" t="s">
        <v>508</v>
      </c>
      <c r="B1039" s="35" t="s">
        <v>1259</v>
      </c>
      <c r="C1039" s="35" t="s">
        <v>1260</v>
      </c>
      <c r="D1039" s="36" t="s">
        <v>43</v>
      </c>
      <c r="E1039" s="36" t="s">
        <v>77</v>
      </c>
      <c r="F1039" s="36">
        <f>vlookup(D1039,'Team Bye List'!$A$1:$B$33,2,False)</f>
        <v>9</v>
      </c>
      <c r="G1039" s="37">
        <f>if(ISNA(vlookup($A1039, Sleeper!$B$2:$E$330, 4, false)), 0, vlookup($A1039, Sleeper!$B$2:$E$330, 4, false))</f>
        <v>0</v>
      </c>
      <c r="H1039" s="37">
        <f>if(ISNA(vlookup($A1039, ESPN!$B$2:$E$297, 4, false)), 0, vlookup($A1039, ESPN!$B$2:$E$297, 4, false))</f>
        <v>0</v>
      </c>
      <c r="I1039" s="37">
        <f>if(ISNA(vlookup($A1039,'Ultimate Draft Kit'!$B$2:$E$324,4, false)), 0, vlookup($A1039,'Ultimate Draft Kit'!$B$2:$E$324, 4, false))</f>
        <v>0</v>
      </c>
      <c r="J1039" s="38">
        <f>if(ISNA(vlookup($A1039,Rotowire!$B$2:$E$1075,4, false)), 0, vlookup($A1039,Rotowire!$B$2:$E$1075, 4, false))</f>
        <v>0</v>
      </c>
      <c r="K1039" s="37">
        <f>if(ISNA(vlookup($A1039, FantasyPro!$B$2:$E$341,4,false)),0,vlookup($A1039,FantasyPro!$B$2:$E$341,4,false))</f>
        <v>0</v>
      </c>
      <c r="L1039" s="37">
        <f>if(ISNA(vlookup($A1039, FFToolbox!$B$2:$E$414, 4, false)), 0, vlookup($A1039, FFToolbox!$B$2:$E$414, 4, false))</f>
        <v>0</v>
      </c>
      <c r="M1039" s="39">
        <f t="shared" si="1"/>
        <v>0</v>
      </c>
      <c r="N1039" s="39">
        <f t="shared" si="2"/>
        <v>0</v>
      </c>
      <c r="O1039" s="40"/>
      <c r="P1039" s="40"/>
      <c r="Q1039" s="40"/>
      <c r="R1039" s="40"/>
      <c r="S1039" s="40"/>
      <c r="T1039" s="40"/>
      <c r="U1039" s="40"/>
      <c r="V1039" s="40"/>
      <c r="W1039" s="40"/>
      <c r="X1039" s="40"/>
      <c r="Y1039" s="40"/>
      <c r="Z1039" s="40"/>
      <c r="AA1039" s="40"/>
      <c r="AB1039" s="40"/>
      <c r="AC1039" s="40"/>
      <c r="AD1039" s="40"/>
      <c r="AE1039" s="40"/>
    </row>
    <row r="1040">
      <c r="A1040" s="17" t="s">
        <v>1218</v>
      </c>
      <c r="B1040" s="35" t="s">
        <v>1259</v>
      </c>
      <c r="C1040" s="35" t="s">
        <v>1260</v>
      </c>
      <c r="D1040" s="36" t="s">
        <v>73</v>
      </c>
      <c r="E1040" s="36" t="s">
        <v>77</v>
      </c>
      <c r="F1040" s="36">
        <f>vlookup(D1040,'Team Bye List'!$A$1:$B$33,2,False)</f>
        <v>14</v>
      </c>
      <c r="G1040" s="37">
        <f>if(ISNA(vlookup($A1040, Sleeper!$B$2:$E$330, 4, false)), 0, vlookup($A1040, Sleeper!$B$2:$E$330, 4, false))</f>
        <v>0</v>
      </c>
      <c r="H1040" s="37">
        <f>if(ISNA(vlookup($A1040, ESPN!$B$2:$E$297, 4, false)), 0, vlookup($A1040, ESPN!$B$2:$E$297, 4, false))</f>
        <v>0</v>
      </c>
      <c r="I1040" s="37">
        <f>if(ISNA(vlookup($A1040,'Ultimate Draft Kit'!$B$2:$E$324,4, false)), 0, vlookup($A1040,'Ultimate Draft Kit'!$B$2:$E$324, 4, false))</f>
        <v>0</v>
      </c>
      <c r="J1040" s="38">
        <f>if(ISNA(vlookup($A1040,Rotowire!$B$2:$E$1075,4, false)), 0, vlookup($A1040,Rotowire!$B$2:$E$1075, 4, false))</f>
        <v>0</v>
      </c>
      <c r="K1040" s="37">
        <f>if(ISNA(vlookup($A1040, FantasyPro!$B$2:$E$341,4,false)),0,vlookup($A1040,FantasyPro!$B$2:$E$341,4,false))</f>
        <v>0</v>
      </c>
      <c r="L1040" s="37">
        <f>if(ISNA(vlookup($A1040, FFToolbox!$B$2:$E$414, 4, false)), 0, vlookup($A1040, FFToolbox!$B$2:$E$414, 4, false))</f>
        <v>0</v>
      </c>
      <c r="M1040" s="39">
        <f t="shared" si="1"/>
        <v>0</v>
      </c>
      <c r="N1040" s="39">
        <f t="shared" si="2"/>
        <v>0</v>
      </c>
      <c r="O1040" s="40"/>
      <c r="P1040" s="40"/>
      <c r="Q1040" s="40"/>
      <c r="R1040" s="40"/>
      <c r="S1040" s="40"/>
      <c r="T1040" s="40"/>
      <c r="U1040" s="40"/>
      <c r="V1040" s="40"/>
      <c r="W1040" s="40"/>
      <c r="X1040" s="40"/>
      <c r="Y1040" s="40"/>
      <c r="Z1040" s="40"/>
      <c r="AA1040" s="40"/>
      <c r="AB1040" s="40"/>
      <c r="AC1040" s="40"/>
      <c r="AD1040" s="40"/>
      <c r="AE1040" s="40"/>
    </row>
    <row r="1041">
      <c r="A1041" s="17" t="s">
        <v>1219</v>
      </c>
      <c r="B1041" s="35" t="s">
        <v>1259</v>
      </c>
      <c r="C1041" s="35" t="s">
        <v>1260</v>
      </c>
      <c r="D1041" s="36" t="s">
        <v>262</v>
      </c>
      <c r="E1041" s="36" t="s">
        <v>77</v>
      </c>
      <c r="F1041" s="36" t="str">
        <f>vlookup(D1041,'Team Bye List'!$A$1:$B$33,2,False)</f>
        <v>#N/A</v>
      </c>
      <c r="G1041" s="37">
        <f>if(ISNA(vlookup($A1041, Sleeper!$B$2:$E$330, 4, false)), 0, vlookup($A1041, Sleeper!$B$2:$E$330, 4, false))</f>
        <v>0</v>
      </c>
      <c r="H1041" s="37">
        <f>if(ISNA(vlookup($A1041, ESPN!$B$2:$E$297, 4, false)), 0, vlookup($A1041, ESPN!$B$2:$E$297, 4, false))</f>
        <v>0</v>
      </c>
      <c r="I1041" s="37">
        <f>if(ISNA(vlookup($A1041,'Ultimate Draft Kit'!$B$2:$E$324,4, false)), 0, vlookup($A1041,'Ultimate Draft Kit'!$B$2:$E$324, 4, false))</f>
        <v>0</v>
      </c>
      <c r="J1041" s="38">
        <f>if(ISNA(vlookup($A1041,Rotowire!$B$2:$E$1075,4, false)), 0, vlookup($A1041,Rotowire!$B$2:$E$1075, 4, false))</f>
        <v>0</v>
      </c>
      <c r="K1041" s="37">
        <f>if(ISNA(vlookup($A1041, FantasyPro!$B$2:$E$341,4,false)),0,vlookup($A1041,FantasyPro!$B$2:$E$341,4,false))</f>
        <v>0</v>
      </c>
      <c r="L1041" s="37">
        <f>if(ISNA(vlookup($A1041, FFToolbox!$B$2:$E$414, 4, false)), 0, vlookup($A1041, FFToolbox!$B$2:$E$414, 4, false))</f>
        <v>0</v>
      </c>
      <c r="M1041" s="39">
        <f t="shared" si="1"/>
        <v>0</v>
      </c>
      <c r="N1041" s="39">
        <f t="shared" si="2"/>
        <v>0</v>
      </c>
      <c r="O1041" s="40"/>
      <c r="P1041" s="40"/>
      <c r="Q1041" s="40"/>
      <c r="R1041" s="40"/>
      <c r="S1041" s="40"/>
      <c r="T1041" s="40"/>
      <c r="U1041" s="40"/>
      <c r="V1041" s="40"/>
      <c r="W1041" s="40"/>
      <c r="X1041" s="40"/>
      <c r="Y1041" s="40"/>
      <c r="Z1041" s="40"/>
      <c r="AA1041" s="40"/>
      <c r="AB1041" s="40"/>
      <c r="AC1041" s="40"/>
      <c r="AD1041" s="40"/>
      <c r="AE1041" s="40"/>
    </row>
    <row r="1042">
      <c r="A1042" s="17" t="s">
        <v>1220</v>
      </c>
      <c r="B1042" s="35" t="s">
        <v>1259</v>
      </c>
      <c r="C1042" s="35" t="s">
        <v>1260</v>
      </c>
      <c r="D1042" s="36" t="s">
        <v>23</v>
      </c>
      <c r="E1042" s="36" t="s">
        <v>77</v>
      </c>
      <c r="F1042" s="36">
        <f>vlookup(D1042,'Team Bye List'!$A$1:$B$33,2,False)</f>
        <v>9</v>
      </c>
      <c r="G1042" s="37">
        <f>if(ISNA(vlookup($A1042, Sleeper!$B$2:$E$330, 4, false)), 0, vlookup($A1042, Sleeper!$B$2:$E$330, 4, false))</f>
        <v>0</v>
      </c>
      <c r="H1042" s="37">
        <f>if(ISNA(vlookup($A1042, ESPN!$B$2:$E$297, 4, false)), 0, vlookup($A1042, ESPN!$B$2:$E$297, 4, false))</f>
        <v>0</v>
      </c>
      <c r="I1042" s="37">
        <f>if(ISNA(vlookup($A1042,'Ultimate Draft Kit'!$B$2:$E$324,4, false)), 0, vlookup($A1042,'Ultimate Draft Kit'!$B$2:$E$324, 4, false))</f>
        <v>0</v>
      </c>
      <c r="J1042" s="38">
        <f>if(ISNA(vlookup($A1042,Rotowire!$B$2:$E$1075,4, false)), 0, vlookup($A1042,Rotowire!$B$2:$E$1075, 4, false))</f>
        <v>0</v>
      </c>
      <c r="K1042" s="37">
        <f>if(ISNA(vlookup($A1042, FantasyPro!$B$2:$E$341,4,false)),0,vlookup($A1042,FantasyPro!$B$2:$E$341,4,false))</f>
        <v>0</v>
      </c>
      <c r="L1042" s="37">
        <f>if(ISNA(vlookup($A1042, FFToolbox!$B$2:$E$414, 4, false)), 0, vlookup($A1042, FFToolbox!$B$2:$E$414, 4, false))</f>
        <v>0</v>
      </c>
      <c r="M1042" s="39">
        <f t="shared" si="1"/>
        <v>0</v>
      </c>
      <c r="N1042" s="39">
        <f t="shared" si="2"/>
        <v>0</v>
      </c>
      <c r="O1042" s="40"/>
      <c r="P1042" s="40"/>
      <c r="Q1042" s="40"/>
      <c r="R1042" s="40"/>
      <c r="S1042" s="40"/>
      <c r="T1042" s="40"/>
      <c r="U1042" s="40"/>
      <c r="V1042" s="40"/>
      <c r="W1042" s="40"/>
      <c r="X1042" s="40"/>
      <c r="Y1042" s="40"/>
      <c r="Z1042" s="40"/>
      <c r="AA1042" s="40"/>
      <c r="AB1042" s="40"/>
      <c r="AC1042" s="40"/>
      <c r="AD1042" s="40"/>
      <c r="AE1042" s="40"/>
    </row>
    <row r="1043">
      <c r="A1043" s="17" t="s">
        <v>1221</v>
      </c>
      <c r="B1043" s="35" t="s">
        <v>1259</v>
      </c>
      <c r="C1043" s="35" t="s">
        <v>1260</v>
      </c>
      <c r="D1043" s="36" t="s">
        <v>89</v>
      </c>
      <c r="E1043" s="36" t="s">
        <v>77</v>
      </c>
      <c r="F1043" s="36">
        <f>vlookup(D1043,'Team Bye List'!$A$1:$B$33,2,False)</f>
        <v>14</v>
      </c>
      <c r="G1043" s="37">
        <f>if(ISNA(vlookup($A1043, Sleeper!$B$2:$E$330, 4, false)), 0, vlookup($A1043, Sleeper!$B$2:$E$330, 4, false))</f>
        <v>0</v>
      </c>
      <c r="H1043" s="37">
        <f>if(ISNA(vlookup($A1043, ESPN!$B$2:$E$297, 4, false)), 0, vlookup($A1043, ESPN!$B$2:$E$297, 4, false))</f>
        <v>0</v>
      </c>
      <c r="I1043" s="37">
        <f>if(ISNA(vlookup($A1043,'Ultimate Draft Kit'!$B$2:$E$324,4, false)), 0, vlookup($A1043,'Ultimate Draft Kit'!$B$2:$E$324, 4, false))</f>
        <v>0</v>
      </c>
      <c r="J1043" s="38">
        <f>if(ISNA(vlookup($A1043,Rotowire!$B$2:$E$1075,4, false)), 0, vlookup($A1043,Rotowire!$B$2:$E$1075, 4, false))</f>
        <v>0</v>
      </c>
      <c r="K1043" s="37">
        <f>if(ISNA(vlookup($A1043, FantasyPro!$B$2:$E$341,4,false)),0,vlookup($A1043,FantasyPro!$B$2:$E$341,4,false))</f>
        <v>0</v>
      </c>
      <c r="L1043" s="37">
        <f>if(ISNA(vlookup($A1043, FFToolbox!$B$2:$E$414, 4, false)), 0, vlookup($A1043, FFToolbox!$B$2:$E$414, 4, false))</f>
        <v>0</v>
      </c>
      <c r="M1043" s="39">
        <f t="shared" si="1"/>
        <v>0</v>
      </c>
      <c r="N1043" s="39">
        <f t="shared" si="2"/>
        <v>0</v>
      </c>
      <c r="O1043" s="40"/>
      <c r="P1043" s="40"/>
      <c r="Q1043" s="40"/>
      <c r="R1043" s="40"/>
      <c r="S1043" s="40"/>
      <c r="T1043" s="40"/>
      <c r="U1043" s="40"/>
      <c r="V1043" s="40"/>
      <c r="W1043" s="40"/>
      <c r="X1043" s="40"/>
      <c r="Y1043" s="40"/>
      <c r="Z1043" s="40"/>
      <c r="AA1043" s="40"/>
      <c r="AB1043" s="40"/>
      <c r="AC1043" s="40"/>
      <c r="AD1043" s="40"/>
      <c r="AE1043" s="40"/>
    </row>
    <row r="1044">
      <c r="A1044" s="17" t="s">
        <v>1222</v>
      </c>
      <c r="B1044" s="35" t="s">
        <v>1259</v>
      </c>
      <c r="C1044" s="35" t="s">
        <v>1260</v>
      </c>
      <c r="D1044" s="36" t="s">
        <v>73</v>
      </c>
      <c r="E1044" s="36" t="s">
        <v>77</v>
      </c>
      <c r="F1044" s="36">
        <f>vlookup(D1044,'Team Bye List'!$A$1:$B$33,2,False)</f>
        <v>14</v>
      </c>
      <c r="G1044" s="37">
        <f>if(ISNA(vlookup($A1044, Sleeper!$B$2:$E$330, 4, false)), 0, vlookup($A1044, Sleeper!$B$2:$E$330, 4, false))</f>
        <v>0</v>
      </c>
      <c r="H1044" s="37">
        <f>if(ISNA(vlookup($A1044, ESPN!$B$2:$E$297, 4, false)), 0, vlookup($A1044, ESPN!$B$2:$E$297, 4, false))</f>
        <v>0</v>
      </c>
      <c r="I1044" s="37">
        <f>if(ISNA(vlookup($A1044,'Ultimate Draft Kit'!$B$2:$E$324,4, false)), 0, vlookup($A1044,'Ultimate Draft Kit'!$B$2:$E$324, 4, false))</f>
        <v>0</v>
      </c>
      <c r="J1044" s="38">
        <f>if(ISNA(vlookup($A1044,Rotowire!$B$2:$E$1075,4, false)), 0, vlookup($A1044,Rotowire!$B$2:$E$1075, 4, false))</f>
        <v>0</v>
      </c>
      <c r="K1044" s="37">
        <f>if(ISNA(vlookup($A1044, FantasyPro!$B$2:$E$341,4,false)),0,vlookup($A1044,FantasyPro!$B$2:$E$341,4,false))</f>
        <v>0</v>
      </c>
      <c r="L1044" s="37">
        <f>if(ISNA(vlookup($A1044, FFToolbox!$B$2:$E$414, 4, false)), 0, vlookup($A1044, FFToolbox!$B$2:$E$414, 4, false))</f>
        <v>0</v>
      </c>
      <c r="M1044" s="39">
        <f t="shared" si="1"/>
        <v>0</v>
      </c>
      <c r="N1044" s="39">
        <f t="shared" si="2"/>
        <v>0</v>
      </c>
      <c r="O1044" s="40"/>
      <c r="P1044" s="40"/>
      <c r="Q1044" s="40"/>
      <c r="R1044" s="40"/>
      <c r="S1044" s="40"/>
      <c r="T1044" s="40"/>
      <c r="U1044" s="40"/>
      <c r="V1044" s="40"/>
      <c r="W1044" s="40"/>
      <c r="X1044" s="40"/>
      <c r="Y1044" s="40"/>
      <c r="Z1044" s="40"/>
      <c r="AA1044" s="40"/>
      <c r="AB1044" s="40"/>
      <c r="AC1044" s="40"/>
      <c r="AD1044" s="40"/>
      <c r="AE1044" s="40"/>
    </row>
    <row r="1045">
      <c r="A1045" s="17" t="s">
        <v>1223</v>
      </c>
      <c r="B1045" s="35" t="s">
        <v>1259</v>
      </c>
      <c r="C1045" s="35" t="s">
        <v>1260</v>
      </c>
      <c r="D1045" s="36" t="s">
        <v>41</v>
      </c>
      <c r="E1045" s="36" t="s">
        <v>77</v>
      </c>
      <c r="F1045" s="36">
        <f>vlookup(D1045,'Team Bye List'!$A$1:$B$33,2,False)</f>
        <v>14</v>
      </c>
      <c r="G1045" s="37">
        <f>if(ISNA(vlookup($A1045, Sleeper!$B$2:$E$330, 4, false)), 0, vlookup($A1045, Sleeper!$B$2:$E$330, 4, false))</f>
        <v>0</v>
      </c>
      <c r="H1045" s="37">
        <f>if(ISNA(vlookup($A1045, ESPN!$B$2:$E$297, 4, false)), 0, vlookup($A1045, ESPN!$B$2:$E$297, 4, false))</f>
        <v>0</v>
      </c>
      <c r="I1045" s="37">
        <f>if(ISNA(vlookup($A1045,'Ultimate Draft Kit'!$B$2:$E$324,4, false)), 0, vlookup($A1045,'Ultimate Draft Kit'!$B$2:$E$324, 4, false))</f>
        <v>0</v>
      </c>
      <c r="J1045" s="38">
        <f>if(ISNA(vlookup($A1045,Rotowire!$B$2:$E$1075,4, false)), 0, vlookup($A1045,Rotowire!$B$2:$E$1075, 4, false))</f>
        <v>0</v>
      </c>
      <c r="K1045" s="37">
        <f>if(ISNA(vlookup($A1045, FantasyPro!$B$2:$E$341,4,false)),0,vlookup($A1045,FantasyPro!$B$2:$E$341,4,false))</f>
        <v>0</v>
      </c>
      <c r="L1045" s="37">
        <f>if(ISNA(vlookup($A1045, FFToolbox!$B$2:$E$414, 4, false)), 0, vlookup($A1045, FFToolbox!$B$2:$E$414, 4, false))</f>
        <v>0</v>
      </c>
      <c r="M1045" s="39">
        <f t="shared" si="1"/>
        <v>0</v>
      </c>
      <c r="N1045" s="39">
        <f t="shared" si="2"/>
        <v>0</v>
      </c>
      <c r="O1045" s="40"/>
      <c r="P1045" s="40"/>
      <c r="Q1045" s="40"/>
      <c r="R1045" s="40"/>
      <c r="S1045" s="40"/>
      <c r="T1045" s="40"/>
      <c r="U1045" s="40"/>
      <c r="V1045" s="40"/>
      <c r="W1045" s="40"/>
      <c r="X1045" s="40"/>
      <c r="Y1045" s="40"/>
      <c r="Z1045" s="40"/>
      <c r="AA1045" s="40"/>
      <c r="AB1045" s="40"/>
      <c r="AC1045" s="40"/>
      <c r="AD1045" s="40"/>
      <c r="AE1045" s="40"/>
    </row>
    <row r="1046">
      <c r="A1046" s="17" t="s">
        <v>1224</v>
      </c>
      <c r="B1046" s="35" t="s">
        <v>1259</v>
      </c>
      <c r="C1046" s="35" t="s">
        <v>1260</v>
      </c>
      <c r="D1046" s="36" t="s">
        <v>262</v>
      </c>
      <c r="E1046" s="36" t="s">
        <v>77</v>
      </c>
      <c r="F1046" s="36" t="str">
        <f>vlookup(D1046,'Team Bye List'!$A$1:$B$33,2,False)</f>
        <v>#N/A</v>
      </c>
      <c r="G1046" s="37">
        <f>if(ISNA(vlookup($A1046, Sleeper!$B$2:$E$330, 4, false)), 0, vlookup($A1046, Sleeper!$B$2:$E$330, 4, false))</f>
        <v>0</v>
      </c>
      <c r="H1046" s="37">
        <f>if(ISNA(vlookup($A1046, ESPN!$B$2:$E$297, 4, false)), 0, vlookup($A1046, ESPN!$B$2:$E$297, 4, false))</f>
        <v>0</v>
      </c>
      <c r="I1046" s="37">
        <f>if(ISNA(vlookup($A1046,'Ultimate Draft Kit'!$B$2:$E$324,4, false)), 0, vlookup($A1046,'Ultimate Draft Kit'!$B$2:$E$324, 4, false))</f>
        <v>0</v>
      </c>
      <c r="J1046" s="38">
        <f>if(ISNA(vlookup($A1046,Rotowire!$B$2:$E$1075,4, false)), 0, vlookup($A1046,Rotowire!$B$2:$E$1075, 4, false))</f>
        <v>0</v>
      </c>
      <c r="K1046" s="37">
        <f>if(ISNA(vlookup($A1046, FantasyPro!$B$2:$E$341,4,false)),0,vlookup($A1046,FantasyPro!$B$2:$E$341,4,false))</f>
        <v>0</v>
      </c>
      <c r="L1046" s="37">
        <f>if(ISNA(vlookup($A1046, FFToolbox!$B$2:$E$414, 4, false)), 0, vlookup($A1046, FFToolbox!$B$2:$E$414, 4, false))</f>
        <v>0</v>
      </c>
      <c r="M1046" s="39">
        <f t="shared" si="1"/>
        <v>0</v>
      </c>
      <c r="N1046" s="39">
        <f t="shared" si="2"/>
        <v>0</v>
      </c>
      <c r="O1046" s="40"/>
      <c r="P1046" s="40"/>
      <c r="Q1046" s="40"/>
      <c r="R1046" s="40"/>
      <c r="S1046" s="40"/>
      <c r="T1046" s="40"/>
      <c r="U1046" s="40"/>
      <c r="V1046" s="40"/>
      <c r="W1046" s="40"/>
      <c r="X1046" s="40"/>
      <c r="Y1046" s="40"/>
      <c r="Z1046" s="40"/>
      <c r="AA1046" s="40"/>
      <c r="AB1046" s="40"/>
      <c r="AC1046" s="40"/>
      <c r="AD1046" s="40"/>
      <c r="AE1046" s="40"/>
    </row>
    <row r="1047">
      <c r="A1047" s="17" t="s">
        <v>494</v>
      </c>
      <c r="B1047" s="35" t="s">
        <v>1259</v>
      </c>
      <c r="C1047" s="35" t="s">
        <v>1260</v>
      </c>
      <c r="D1047" s="36" t="s">
        <v>10</v>
      </c>
      <c r="E1047" s="36" t="s">
        <v>77</v>
      </c>
      <c r="F1047" s="36">
        <f>vlookup(D1047,'Team Bye List'!$A$1:$B$33,2,False)</f>
        <v>13</v>
      </c>
      <c r="G1047" s="37">
        <f>if(ISNA(vlookup($A1047, Sleeper!$B$2:$E$330, 4, false)), 0, vlookup($A1047, Sleeper!$B$2:$E$330, 4, false))</f>
        <v>0</v>
      </c>
      <c r="H1047" s="37">
        <f>if(ISNA(vlookup($A1047, ESPN!$B$2:$E$297, 4, false)), 0, vlookup($A1047, ESPN!$B$2:$E$297, 4, false))</f>
        <v>0</v>
      </c>
      <c r="I1047" s="37">
        <f>if(ISNA(vlookup($A1047,'Ultimate Draft Kit'!$B$2:$E$324,4, false)), 0, vlookup($A1047,'Ultimate Draft Kit'!$B$2:$E$324, 4, false))</f>
        <v>0</v>
      </c>
      <c r="J1047" s="38">
        <f>if(ISNA(vlookup($A1047,Rotowire!$B$2:$E$1075,4, false)), 0, vlookup($A1047,Rotowire!$B$2:$E$1075, 4, false))</f>
        <v>0</v>
      </c>
      <c r="K1047" s="37">
        <f>if(ISNA(vlookup($A1047, FantasyPro!$B$2:$E$341,4,false)),0,vlookup($A1047,FantasyPro!$B$2:$E$341,4,false))</f>
        <v>0</v>
      </c>
      <c r="L1047" s="37">
        <f>if(ISNA(vlookup($A1047, FFToolbox!$B$2:$E$414, 4, false)), 0, vlookup($A1047, FFToolbox!$B$2:$E$414, 4, false))</f>
        <v>0</v>
      </c>
      <c r="M1047" s="39">
        <f t="shared" si="1"/>
        <v>0</v>
      </c>
      <c r="N1047" s="39">
        <f t="shared" si="2"/>
        <v>0</v>
      </c>
      <c r="O1047" s="40"/>
      <c r="P1047" s="40"/>
      <c r="Q1047" s="40"/>
      <c r="R1047" s="40"/>
      <c r="S1047" s="40"/>
      <c r="T1047" s="40"/>
      <c r="U1047" s="40"/>
      <c r="V1047" s="40"/>
      <c r="W1047" s="40"/>
      <c r="X1047" s="40"/>
      <c r="Y1047" s="40"/>
      <c r="Z1047" s="40"/>
      <c r="AA1047" s="40"/>
      <c r="AB1047" s="40"/>
      <c r="AC1047" s="40"/>
      <c r="AD1047" s="40"/>
      <c r="AE1047" s="40"/>
    </row>
    <row r="1048">
      <c r="A1048" s="17" t="s">
        <v>1225</v>
      </c>
      <c r="B1048" s="35" t="s">
        <v>1259</v>
      </c>
      <c r="C1048" s="35" t="s">
        <v>1260</v>
      </c>
      <c r="D1048" s="36" t="s">
        <v>262</v>
      </c>
      <c r="E1048" s="36" t="s">
        <v>77</v>
      </c>
      <c r="F1048" s="36" t="str">
        <f>vlookup(D1048,'Team Bye List'!$A$1:$B$33,2,False)</f>
        <v>#N/A</v>
      </c>
      <c r="G1048" s="37">
        <f>if(ISNA(vlookup($A1048, Sleeper!$B$2:$E$330, 4, false)), 0, vlookup($A1048, Sleeper!$B$2:$E$330, 4, false))</f>
        <v>0</v>
      </c>
      <c r="H1048" s="37">
        <f>if(ISNA(vlookup($A1048, ESPN!$B$2:$E$297, 4, false)), 0, vlookup($A1048, ESPN!$B$2:$E$297, 4, false))</f>
        <v>0</v>
      </c>
      <c r="I1048" s="37">
        <f>if(ISNA(vlookup($A1048,'Ultimate Draft Kit'!$B$2:$E$324,4, false)), 0, vlookup($A1048,'Ultimate Draft Kit'!$B$2:$E$324, 4, false))</f>
        <v>0</v>
      </c>
      <c r="J1048" s="38">
        <f>if(ISNA(vlookup($A1048,Rotowire!$B$2:$E$1075,4, false)), 0, vlookup($A1048,Rotowire!$B$2:$E$1075, 4, false))</f>
        <v>0</v>
      </c>
      <c r="K1048" s="37">
        <f>if(ISNA(vlookup($A1048, FantasyPro!$B$2:$E$341,4,false)),0,vlookup($A1048,FantasyPro!$B$2:$E$341,4,false))</f>
        <v>0</v>
      </c>
      <c r="L1048" s="37">
        <f>if(ISNA(vlookup($A1048, FFToolbox!$B$2:$E$414, 4, false)), 0, vlookup($A1048, FFToolbox!$B$2:$E$414, 4, false))</f>
        <v>0</v>
      </c>
      <c r="M1048" s="39">
        <f t="shared" si="1"/>
        <v>0</v>
      </c>
      <c r="N1048" s="39">
        <f t="shared" si="2"/>
        <v>0</v>
      </c>
      <c r="O1048" s="40"/>
      <c r="P1048" s="40"/>
      <c r="Q1048" s="40"/>
      <c r="R1048" s="40"/>
      <c r="S1048" s="40"/>
      <c r="T1048" s="40"/>
      <c r="U1048" s="40"/>
      <c r="V1048" s="40"/>
      <c r="W1048" s="40"/>
      <c r="X1048" s="40"/>
      <c r="Y1048" s="40"/>
      <c r="Z1048" s="40"/>
      <c r="AA1048" s="40"/>
      <c r="AB1048" s="40"/>
      <c r="AC1048" s="40"/>
      <c r="AD1048" s="40"/>
      <c r="AE1048" s="40"/>
    </row>
    <row r="1049">
      <c r="A1049" s="17" t="s">
        <v>1226</v>
      </c>
      <c r="B1049" s="35" t="s">
        <v>1259</v>
      </c>
      <c r="C1049" s="35" t="s">
        <v>1260</v>
      </c>
      <c r="D1049" s="36" t="s">
        <v>262</v>
      </c>
      <c r="E1049" s="36" t="s">
        <v>77</v>
      </c>
      <c r="F1049" s="36" t="str">
        <f>vlookup(D1049,'Team Bye List'!$A$1:$B$33,2,False)</f>
        <v>#N/A</v>
      </c>
      <c r="G1049" s="37">
        <f>if(ISNA(vlookup($A1049, Sleeper!$B$2:$E$330, 4, false)), 0, vlookup($A1049, Sleeper!$B$2:$E$330, 4, false))</f>
        <v>0</v>
      </c>
      <c r="H1049" s="37">
        <f>if(ISNA(vlookup($A1049, ESPN!$B$2:$E$297, 4, false)), 0, vlookup($A1049, ESPN!$B$2:$E$297, 4, false))</f>
        <v>0</v>
      </c>
      <c r="I1049" s="37">
        <f>if(ISNA(vlookup($A1049,'Ultimate Draft Kit'!$B$2:$E$324,4, false)), 0, vlookup($A1049,'Ultimate Draft Kit'!$B$2:$E$324, 4, false))</f>
        <v>0</v>
      </c>
      <c r="J1049" s="38">
        <f>if(ISNA(vlookup($A1049,Rotowire!$B$2:$E$1075,4, false)), 0, vlookup($A1049,Rotowire!$B$2:$E$1075, 4, false))</f>
        <v>0</v>
      </c>
      <c r="K1049" s="37">
        <f>if(ISNA(vlookup($A1049, FantasyPro!$B$2:$E$341,4,false)),0,vlookup($A1049,FantasyPro!$B$2:$E$341,4,false))</f>
        <v>0</v>
      </c>
      <c r="L1049" s="37">
        <f>if(ISNA(vlookup($A1049, FFToolbox!$B$2:$E$414, 4, false)), 0, vlookup($A1049, FFToolbox!$B$2:$E$414, 4, false))</f>
        <v>0</v>
      </c>
      <c r="M1049" s="39">
        <f t="shared" si="1"/>
        <v>0</v>
      </c>
      <c r="N1049" s="39">
        <f t="shared" si="2"/>
        <v>0</v>
      </c>
      <c r="O1049" s="40"/>
      <c r="P1049" s="40"/>
      <c r="Q1049" s="40"/>
      <c r="R1049" s="40"/>
      <c r="S1049" s="40"/>
      <c r="T1049" s="40"/>
      <c r="U1049" s="40"/>
      <c r="V1049" s="40"/>
      <c r="W1049" s="40"/>
      <c r="X1049" s="40"/>
      <c r="Y1049" s="40"/>
      <c r="Z1049" s="40"/>
      <c r="AA1049" s="40"/>
      <c r="AB1049" s="40"/>
      <c r="AC1049" s="40"/>
      <c r="AD1049" s="40"/>
      <c r="AE1049" s="40"/>
    </row>
    <row r="1050">
      <c r="A1050" s="17" t="s">
        <v>521</v>
      </c>
      <c r="B1050" s="35" t="s">
        <v>1259</v>
      </c>
      <c r="C1050" s="35" t="s">
        <v>1260</v>
      </c>
      <c r="D1050" s="36" t="s">
        <v>30</v>
      </c>
      <c r="E1050" s="36" t="s">
        <v>77</v>
      </c>
      <c r="F1050" s="36">
        <f>vlookup(D1050,'Team Bye List'!$A$1:$B$33,2,False)</f>
        <v>7</v>
      </c>
      <c r="G1050" s="37">
        <f>if(ISNA(vlookup($A1050, Sleeper!$B$2:$E$330, 4, false)), 0, vlookup($A1050, Sleeper!$B$2:$E$330, 4, false))</f>
        <v>0</v>
      </c>
      <c r="H1050" s="37">
        <f>if(ISNA(vlookup($A1050, ESPN!$B$2:$E$297, 4, false)), 0, vlookup($A1050, ESPN!$B$2:$E$297, 4, false))</f>
        <v>0</v>
      </c>
      <c r="I1050" s="37">
        <f>if(ISNA(vlookup($A1050,'Ultimate Draft Kit'!$B$2:$E$324,4, false)), 0, vlookup($A1050,'Ultimate Draft Kit'!$B$2:$E$324, 4, false))</f>
        <v>0</v>
      </c>
      <c r="J1050" s="38">
        <f>if(ISNA(vlookup($A1050,Rotowire!$B$2:$E$1075,4, false)), 0, vlookup($A1050,Rotowire!$B$2:$E$1075, 4, false))</f>
        <v>0</v>
      </c>
      <c r="K1050" s="37">
        <f>if(ISNA(vlookup($A1050, FantasyPro!$B$2:$E$341,4,false)),0,vlookup($A1050,FantasyPro!$B$2:$E$341,4,false))</f>
        <v>0</v>
      </c>
      <c r="L1050" s="37">
        <f>if(ISNA(vlookup($A1050, FFToolbox!$B$2:$E$414, 4, false)), 0, vlookup($A1050, FFToolbox!$B$2:$E$414, 4, false))</f>
        <v>0</v>
      </c>
      <c r="M1050" s="39">
        <f t="shared" si="1"/>
        <v>0</v>
      </c>
      <c r="N1050" s="39">
        <f t="shared" si="2"/>
        <v>0</v>
      </c>
      <c r="O1050" s="40"/>
      <c r="P1050" s="40"/>
      <c r="Q1050" s="40"/>
      <c r="R1050" s="40"/>
      <c r="S1050" s="40"/>
      <c r="T1050" s="40"/>
      <c r="U1050" s="40"/>
      <c r="V1050" s="40"/>
      <c r="W1050" s="40"/>
      <c r="X1050" s="40"/>
      <c r="Y1050" s="40"/>
      <c r="Z1050" s="40"/>
      <c r="AA1050" s="40"/>
      <c r="AB1050" s="40"/>
      <c r="AC1050" s="40"/>
      <c r="AD1050" s="40"/>
      <c r="AE1050" s="40"/>
    </row>
    <row r="1051">
      <c r="A1051" s="17" t="s">
        <v>737</v>
      </c>
      <c r="B1051" s="35" t="s">
        <v>1259</v>
      </c>
      <c r="C1051" s="35" t="s">
        <v>1260</v>
      </c>
      <c r="D1051" s="36" t="s">
        <v>37</v>
      </c>
      <c r="E1051" s="36" t="s">
        <v>77</v>
      </c>
      <c r="F1051" s="36">
        <f>vlookup(D1051,'Team Bye List'!$A$1:$B$33,2,False)</f>
        <v>11</v>
      </c>
      <c r="G1051" s="37">
        <f>if(ISNA(vlookup($A1051, Sleeper!$B$2:$E$330, 4, false)), 0, vlookup($A1051, Sleeper!$B$2:$E$330, 4, false))</f>
        <v>0</v>
      </c>
      <c r="H1051" s="37">
        <f>if(ISNA(vlookup($A1051, ESPN!$B$2:$E$297, 4, false)), 0, vlookup($A1051, ESPN!$B$2:$E$297, 4, false))</f>
        <v>0</v>
      </c>
      <c r="I1051" s="37">
        <f>if(ISNA(vlookup($A1051,'Ultimate Draft Kit'!$B$2:$E$324,4, false)), 0, vlookup($A1051,'Ultimate Draft Kit'!$B$2:$E$324, 4, false))</f>
        <v>0</v>
      </c>
      <c r="J1051" s="38">
        <f>if(ISNA(vlookup($A1051,Rotowire!$B$2:$E$1075,4, false)), 0, vlookup($A1051,Rotowire!$B$2:$E$1075, 4, false))</f>
        <v>0</v>
      </c>
      <c r="K1051" s="37">
        <f>if(ISNA(vlookup($A1051, FantasyPro!$B$2:$E$341,4,false)),0,vlookup($A1051,FantasyPro!$B$2:$E$341,4,false))</f>
        <v>0</v>
      </c>
      <c r="L1051" s="37">
        <f>if(ISNA(vlookup($A1051, FFToolbox!$B$2:$E$414, 4, false)), 0, vlookup($A1051, FFToolbox!$B$2:$E$414, 4, false))</f>
        <v>0</v>
      </c>
      <c r="M1051" s="39">
        <f t="shared" si="1"/>
        <v>0</v>
      </c>
      <c r="N1051" s="39">
        <f t="shared" si="2"/>
        <v>0</v>
      </c>
      <c r="O1051" s="40"/>
      <c r="P1051" s="40"/>
      <c r="Q1051" s="40"/>
      <c r="R1051" s="40"/>
      <c r="S1051" s="40"/>
      <c r="T1051" s="40"/>
      <c r="U1051" s="40"/>
      <c r="V1051" s="40"/>
      <c r="W1051" s="40"/>
      <c r="X1051" s="40"/>
      <c r="Y1051" s="40"/>
      <c r="Z1051" s="40"/>
      <c r="AA1051" s="40"/>
      <c r="AB1051" s="40"/>
      <c r="AC1051" s="40"/>
      <c r="AD1051" s="40"/>
      <c r="AE1051" s="40"/>
    </row>
    <row r="1052">
      <c r="A1052" s="17" t="s">
        <v>1227</v>
      </c>
      <c r="B1052" s="35" t="s">
        <v>1259</v>
      </c>
      <c r="C1052" s="35" t="s">
        <v>1260</v>
      </c>
      <c r="D1052" s="36" t="s">
        <v>262</v>
      </c>
      <c r="E1052" s="36" t="s">
        <v>77</v>
      </c>
      <c r="F1052" s="36" t="str">
        <f>vlookup(D1052,'Team Bye List'!$A$1:$B$33,2,False)</f>
        <v>#N/A</v>
      </c>
      <c r="G1052" s="37">
        <f>if(ISNA(vlookup($A1052, Sleeper!$B$2:$E$330, 4, false)), 0, vlookup($A1052, Sleeper!$B$2:$E$330, 4, false))</f>
        <v>0</v>
      </c>
      <c r="H1052" s="37">
        <f>if(ISNA(vlookup($A1052, ESPN!$B$2:$E$297, 4, false)), 0, vlookup($A1052, ESPN!$B$2:$E$297, 4, false))</f>
        <v>0</v>
      </c>
      <c r="I1052" s="37">
        <f>if(ISNA(vlookup($A1052,'Ultimate Draft Kit'!$B$2:$E$324,4, false)), 0, vlookup($A1052,'Ultimate Draft Kit'!$B$2:$E$324, 4, false))</f>
        <v>0</v>
      </c>
      <c r="J1052" s="38">
        <f>if(ISNA(vlookup($A1052,Rotowire!$B$2:$E$1075,4, false)), 0, vlookup($A1052,Rotowire!$B$2:$E$1075, 4, false))</f>
        <v>0</v>
      </c>
      <c r="K1052" s="37">
        <f>if(ISNA(vlookup($A1052, FantasyPro!$B$2:$E$341,4,false)),0,vlookup($A1052,FantasyPro!$B$2:$E$341,4,false))</f>
        <v>0</v>
      </c>
      <c r="L1052" s="37">
        <f>if(ISNA(vlookup($A1052, FFToolbox!$B$2:$E$414, 4, false)), 0, vlookup($A1052, FFToolbox!$B$2:$E$414, 4, false))</f>
        <v>0</v>
      </c>
      <c r="M1052" s="39">
        <f t="shared" si="1"/>
        <v>0</v>
      </c>
      <c r="N1052" s="39">
        <f t="shared" si="2"/>
        <v>0</v>
      </c>
      <c r="O1052" s="40"/>
      <c r="P1052" s="40"/>
      <c r="Q1052" s="40"/>
      <c r="R1052" s="40"/>
      <c r="S1052" s="40"/>
      <c r="T1052" s="40"/>
      <c r="U1052" s="40"/>
      <c r="V1052" s="40"/>
      <c r="W1052" s="40"/>
      <c r="X1052" s="40"/>
      <c r="Y1052" s="40"/>
      <c r="Z1052" s="40"/>
      <c r="AA1052" s="40"/>
      <c r="AB1052" s="40"/>
      <c r="AC1052" s="40"/>
      <c r="AD1052" s="40"/>
      <c r="AE1052" s="40"/>
    </row>
    <row r="1053">
      <c r="A1053" s="17" t="s">
        <v>510</v>
      </c>
      <c r="B1053" s="35" t="s">
        <v>1259</v>
      </c>
      <c r="C1053" s="35" t="s">
        <v>1260</v>
      </c>
      <c r="D1053" s="36" t="s">
        <v>262</v>
      </c>
      <c r="E1053" s="36" t="s">
        <v>77</v>
      </c>
      <c r="F1053" s="36" t="str">
        <f>vlookup(D1053,'Team Bye List'!$A$1:$B$33,2,False)</f>
        <v>#N/A</v>
      </c>
      <c r="G1053" s="37">
        <f>if(ISNA(vlookup($A1053, Sleeper!$B$2:$E$330, 4, false)), 0, vlookup($A1053, Sleeper!$B$2:$E$330, 4, false))</f>
        <v>0</v>
      </c>
      <c r="H1053" s="37">
        <f>if(ISNA(vlookup($A1053, ESPN!$B$2:$E$297, 4, false)), 0, vlookup($A1053, ESPN!$B$2:$E$297, 4, false))</f>
        <v>0</v>
      </c>
      <c r="I1053" s="37">
        <f>if(ISNA(vlookup($A1053,'Ultimate Draft Kit'!$B$2:$E$324,4, false)), 0, vlookup($A1053,'Ultimate Draft Kit'!$B$2:$E$324, 4, false))</f>
        <v>0</v>
      </c>
      <c r="J1053" s="38">
        <f>if(ISNA(vlookup($A1053,Rotowire!$B$2:$E$1075,4, false)), 0, vlookup($A1053,Rotowire!$B$2:$E$1075, 4, false))</f>
        <v>0</v>
      </c>
      <c r="K1053" s="37">
        <f>if(ISNA(vlookup($A1053, FantasyPro!$B$2:$E$341,4,false)),0,vlookup($A1053,FantasyPro!$B$2:$E$341,4,false))</f>
        <v>0</v>
      </c>
      <c r="L1053" s="37">
        <f>if(ISNA(vlookup($A1053, FFToolbox!$B$2:$E$414, 4, false)), 0, vlookup($A1053, FFToolbox!$B$2:$E$414, 4, false))</f>
        <v>0</v>
      </c>
      <c r="M1053" s="39">
        <f t="shared" si="1"/>
        <v>0</v>
      </c>
      <c r="N1053" s="39">
        <f t="shared" si="2"/>
        <v>0</v>
      </c>
      <c r="O1053" s="40"/>
      <c r="P1053" s="40"/>
      <c r="Q1053" s="40"/>
      <c r="R1053" s="40"/>
      <c r="S1053" s="40"/>
      <c r="T1053" s="40"/>
      <c r="U1053" s="40"/>
      <c r="V1053" s="40"/>
      <c r="W1053" s="40"/>
      <c r="X1053" s="40"/>
      <c r="Y1053" s="40"/>
      <c r="Z1053" s="40"/>
      <c r="AA1053" s="40"/>
      <c r="AB1053" s="40"/>
      <c r="AC1053" s="40"/>
      <c r="AD1053" s="40"/>
      <c r="AE1053" s="40"/>
    </row>
    <row r="1054">
      <c r="A1054" s="17" t="s">
        <v>1228</v>
      </c>
      <c r="B1054" s="35" t="s">
        <v>1259</v>
      </c>
      <c r="C1054" s="35" t="s">
        <v>1260</v>
      </c>
      <c r="D1054" s="36" t="s">
        <v>262</v>
      </c>
      <c r="E1054" s="36" t="s">
        <v>77</v>
      </c>
      <c r="F1054" s="36" t="str">
        <f>vlookup(D1054,'Team Bye List'!$A$1:$B$33,2,False)</f>
        <v>#N/A</v>
      </c>
      <c r="G1054" s="37">
        <f>if(ISNA(vlookup($A1054, Sleeper!$B$2:$E$330, 4, false)), 0, vlookup($A1054, Sleeper!$B$2:$E$330, 4, false))</f>
        <v>0</v>
      </c>
      <c r="H1054" s="37">
        <f>if(ISNA(vlookup($A1054, ESPN!$B$2:$E$297, 4, false)), 0, vlookup($A1054, ESPN!$B$2:$E$297, 4, false))</f>
        <v>0</v>
      </c>
      <c r="I1054" s="37">
        <f>if(ISNA(vlookup($A1054,'Ultimate Draft Kit'!$B$2:$E$324,4, false)), 0, vlookup($A1054,'Ultimate Draft Kit'!$B$2:$E$324, 4, false))</f>
        <v>0</v>
      </c>
      <c r="J1054" s="38">
        <f>if(ISNA(vlookup($A1054,Rotowire!$B$2:$E$1075,4, false)), 0, vlookup($A1054,Rotowire!$B$2:$E$1075, 4, false))</f>
        <v>0</v>
      </c>
      <c r="K1054" s="37">
        <f>if(ISNA(vlookup($A1054, FantasyPro!$B$2:$E$341,4,false)),0,vlookup($A1054,FantasyPro!$B$2:$E$341,4,false))</f>
        <v>0</v>
      </c>
      <c r="L1054" s="37">
        <f>if(ISNA(vlookup($A1054, FFToolbox!$B$2:$E$414, 4, false)), 0, vlookup($A1054, FFToolbox!$B$2:$E$414, 4, false))</f>
        <v>0</v>
      </c>
      <c r="M1054" s="39">
        <f t="shared" si="1"/>
        <v>0</v>
      </c>
      <c r="N1054" s="39">
        <f t="shared" si="2"/>
        <v>0</v>
      </c>
      <c r="O1054" s="40"/>
      <c r="P1054" s="40"/>
      <c r="Q1054" s="40"/>
      <c r="R1054" s="40"/>
      <c r="S1054" s="40"/>
      <c r="T1054" s="40"/>
      <c r="U1054" s="40"/>
      <c r="V1054" s="40"/>
      <c r="W1054" s="40"/>
      <c r="X1054" s="40"/>
      <c r="Y1054" s="40"/>
      <c r="Z1054" s="40"/>
      <c r="AA1054" s="40"/>
      <c r="AB1054" s="40"/>
      <c r="AC1054" s="40"/>
      <c r="AD1054" s="40"/>
      <c r="AE1054" s="40"/>
    </row>
    <row r="1055">
      <c r="A1055" s="17" t="s">
        <v>1229</v>
      </c>
      <c r="B1055" s="35" t="s">
        <v>1259</v>
      </c>
      <c r="C1055" s="35" t="s">
        <v>1260</v>
      </c>
      <c r="D1055" s="36" t="s">
        <v>32</v>
      </c>
      <c r="E1055" s="36" t="s">
        <v>77</v>
      </c>
      <c r="F1055" s="36">
        <f>vlookup(D1055,'Team Bye List'!$A$1:$B$33,2,False)</f>
        <v>9</v>
      </c>
      <c r="G1055" s="37">
        <f>if(ISNA(vlookup($A1055, Sleeper!$B$2:$E$330, 4, false)), 0, vlookup($A1055, Sleeper!$B$2:$E$330, 4, false))</f>
        <v>0</v>
      </c>
      <c r="H1055" s="37">
        <f>if(ISNA(vlookup($A1055, ESPN!$B$2:$E$297, 4, false)), 0, vlookup($A1055, ESPN!$B$2:$E$297, 4, false))</f>
        <v>0</v>
      </c>
      <c r="I1055" s="37">
        <f>if(ISNA(vlookup($A1055,'Ultimate Draft Kit'!$B$2:$E$324,4, false)), 0, vlookup($A1055,'Ultimate Draft Kit'!$B$2:$E$324, 4, false))</f>
        <v>0</v>
      </c>
      <c r="J1055" s="38">
        <f>if(ISNA(vlookup($A1055,Rotowire!$B$2:$E$1075,4, false)), 0, vlookup($A1055,Rotowire!$B$2:$E$1075, 4, false))</f>
        <v>0</v>
      </c>
      <c r="K1055" s="37">
        <f>if(ISNA(vlookup($A1055, FantasyPro!$B$2:$E$341,4,false)),0,vlookup($A1055,FantasyPro!$B$2:$E$341,4,false))</f>
        <v>0</v>
      </c>
      <c r="L1055" s="37">
        <f>if(ISNA(vlookup($A1055, FFToolbox!$B$2:$E$414, 4, false)), 0, vlookup($A1055, FFToolbox!$B$2:$E$414, 4, false))</f>
        <v>0</v>
      </c>
      <c r="M1055" s="39">
        <f t="shared" si="1"/>
        <v>0</v>
      </c>
      <c r="N1055" s="39">
        <f t="shared" si="2"/>
        <v>0</v>
      </c>
      <c r="O1055" s="40"/>
      <c r="P1055" s="40"/>
      <c r="Q1055" s="40"/>
      <c r="R1055" s="40"/>
      <c r="S1055" s="40"/>
      <c r="T1055" s="40"/>
      <c r="U1055" s="40"/>
      <c r="V1055" s="40"/>
      <c r="W1055" s="40"/>
      <c r="X1055" s="40"/>
      <c r="Y1055" s="40"/>
      <c r="Z1055" s="40"/>
      <c r="AA1055" s="40"/>
      <c r="AB1055" s="40"/>
      <c r="AC1055" s="40"/>
      <c r="AD1055" s="40"/>
      <c r="AE1055" s="40"/>
    </row>
    <row r="1056">
      <c r="A1056" s="17" t="s">
        <v>511</v>
      </c>
      <c r="B1056" s="35" t="s">
        <v>1259</v>
      </c>
      <c r="C1056" s="35" t="s">
        <v>1260</v>
      </c>
      <c r="D1056" s="36" t="s">
        <v>25</v>
      </c>
      <c r="E1056" s="36" t="s">
        <v>77</v>
      </c>
      <c r="F1056" s="36">
        <f>vlookup(D1056,'Team Bye List'!$A$1:$B$33,2,False)</f>
        <v>7</v>
      </c>
      <c r="G1056" s="37">
        <f>if(ISNA(vlookup($A1056, Sleeper!$B$2:$E$330, 4, false)), 0, vlookup($A1056, Sleeper!$B$2:$E$330, 4, false))</f>
        <v>0</v>
      </c>
      <c r="H1056" s="37">
        <f>if(ISNA(vlookup($A1056, ESPN!$B$2:$E$297, 4, false)), 0, vlookup($A1056, ESPN!$B$2:$E$297, 4, false))</f>
        <v>0</v>
      </c>
      <c r="I1056" s="37">
        <f>if(ISNA(vlookup($A1056,'Ultimate Draft Kit'!$B$2:$E$324,4, false)), 0, vlookup($A1056,'Ultimate Draft Kit'!$B$2:$E$324, 4, false))</f>
        <v>0</v>
      </c>
      <c r="J1056" s="38">
        <f>if(ISNA(vlookup($A1056,Rotowire!$B$2:$E$1075,4, false)), 0, vlookup($A1056,Rotowire!$B$2:$E$1075, 4, false))</f>
        <v>0</v>
      </c>
      <c r="K1056" s="37">
        <f>if(ISNA(vlookup($A1056, FantasyPro!$B$2:$E$341,4,false)),0,vlookup($A1056,FantasyPro!$B$2:$E$341,4,false))</f>
        <v>0</v>
      </c>
      <c r="L1056" s="37">
        <f>if(ISNA(vlookup($A1056, FFToolbox!$B$2:$E$414, 4, false)), 0, vlookup($A1056, FFToolbox!$B$2:$E$414, 4, false))</f>
        <v>0</v>
      </c>
      <c r="M1056" s="39">
        <f t="shared" si="1"/>
        <v>0</v>
      </c>
      <c r="N1056" s="39">
        <f t="shared" si="2"/>
        <v>0</v>
      </c>
      <c r="O1056" s="40"/>
      <c r="P1056" s="40"/>
      <c r="Q1056" s="40"/>
      <c r="R1056" s="40"/>
      <c r="S1056" s="40"/>
      <c r="T1056" s="40"/>
      <c r="U1056" s="40"/>
      <c r="V1056" s="40"/>
      <c r="W1056" s="40"/>
      <c r="X1056" s="40"/>
      <c r="Y1056" s="40"/>
      <c r="Z1056" s="40"/>
      <c r="AA1056" s="40"/>
      <c r="AB1056" s="40"/>
      <c r="AC1056" s="40"/>
      <c r="AD1056" s="40"/>
      <c r="AE1056" s="40"/>
    </row>
    <row r="1057">
      <c r="A1057" s="17" t="s">
        <v>1230</v>
      </c>
      <c r="B1057" s="35" t="s">
        <v>1259</v>
      </c>
      <c r="C1057" s="35" t="s">
        <v>1260</v>
      </c>
      <c r="D1057" s="36" t="s">
        <v>99</v>
      </c>
      <c r="E1057" s="36" t="s">
        <v>77</v>
      </c>
      <c r="F1057" s="36">
        <f>vlookup(D1057,'Team Bye List'!$A$1:$B$33,2,False)</f>
        <v>11</v>
      </c>
      <c r="G1057" s="37">
        <f>if(ISNA(vlookup($A1057, Sleeper!$B$2:$E$330, 4, false)), 0, vlookup($A1057, Sleeper!$B$2:$E$330, 4, false))</f>
        <v>0</v>
      </c>
      <c r="H1057" s="37">
        <f>if(ISNA(vlookup($A1057, ESPN!$B$2:$E$297, 4, false)), 0, vlookup($A1057, ESPN!$B$2:$E$297, 4, false))</f>
        <v>0</v>
      </c>
      <c r="I1057" s="37">
        <f>if(ISNA(vlookup($A1057,'Ultimate Draft Kit'!$B$2:$E$324,4, false)), 0, vlookup($A1057,'Ultimate Draft Kit'!$B$2:$E$324, 4, false))</f>
        <v>0</v>
      </c>
      <c r="J1057" s="38">
        <f>if(ISNA(vlookup($A1057,Rotowire!$B$2:$E$1075,4, false)), 0, vlookup($A1057,Rotowire!$B$2:$E$1075, 4, false))</f>
        <v>0</v>
      </c>
      <c r="K1057" s="37">
        <f>if(ISNA(vlookup($A1057, FantasyPro!$B$2:$E$341,4,false)),0,vlookup($A1057,FantasyPro!$B$2:$E$341,4,false))</f>
        <v>0</v>
      </c>
      <c r="L1057" s="37">
        <f>if(ISNA(vlookup($A1057, FFToolbox!$B$2:$E$414, 4, false)), 0, vlookup($A1057, FFToolbox!$B$2:$E$414, 4, false))</f>
        <v>0</v>
      </c>
      <c r="M1057" s="39">
        <f t="shared" si="1"/>
        <v>0</v>
      </c>
      <c r="N1057" s="39">
        <f t="shared" si="2"/>
        <v>0</v>
      </c>
      <c r="O1057" s="40"/>
      <c r="P1057" s="40"/>
      <c r="Q1057" s="40"/>
      <c r="R1057" s="40"/>
      <c r="S1057" s="40"/>
      <c r="T1057" s="40"/>
      <c r="U1057" s="40"/>
      <c r="V1057" s="40"/>
      <c r="W1057" s="40"/>
      <c r="X1057" s="40"/>
      <c r="Y1057" s="40"/>
      <c r="Z1057" s="40"/>
      <c r="AA1057" s="40"/>
      <c r="AB1057" s="40"/>
      <c r="AC1057" s="40"/>
      <c r="AD1057" s="40"/>
      <c r="AE1057" s="40"/>
    </row>
    <row r="1058">
      <c r="A1058" s="17" t="s">
        <v>1231</v>
      </c>
      <c r="B1058" s="35" t="s">
        <v>1259</v>
      </c>
      <c r="C1058" s="35" t="s">
        <v>1260</v>
      </c>
      <c r="D1058" s="36" t="s">
        <v>12</v>
      </c>
      <c r="E1058" s="36" t="s">
        <v>77</v>
      </c>
      <c r="F1058" s="36">
        <f>vlookup(D1058,'Team Bye List'!$A$1:$B$33,2,False)</f>
        <v>8</v>
      </c>
      <c r="G1058" s="37">
        <f>if(ISNA(vlookup($A1058, Sleeper!$B$2:$E$330, 4, false)), 0, vlookup($A1058, Sleeper!$B$2:$E$330, 4, false))</f>
        <v>0</v>
      </c>
      <c r="H1058" s="37">
        <f>if(ISNA(vlookup($A1058, ESPN!$B$2:$E$297, 4, false)), 0, vlookup($A1058, ESPN!$B$2:$E$297, 4, false))</f>
        <v>0</v>
      </c>
      <c r="I1058" s="37">
        <f>if(ISNA(vlookup($A1058,'Ultimate Draft Kit'!$B$2:$E$324,4, false)), 0, vlookup($A1058,'Ultimate Draft Kit'!$B$2:$E$324, 4, false))</f>
        <v>0</v>
      </c>
      <c r="J1058" s="38">
        <f>if(ISNA(vlookup($A1058,Rotowire!$B$2:$E$1075,4, false)), 0, vlookup($A1058,Rotowire!$B$2:$E$1075, 4, false))</f>
        <v>0</v>
      </c>
      <c r="K1058" s="37">
        <f>if(ISNA(vlookup($A1058, FantasyPro!$B$2:$E$341,4,false)),0,vlookup($A1058,FantasyPro!$B$2:$E$341,4,false))</f>
        <v>0</v>
      </c>
      <c r="L1058" s="37">
        <f>if(ISNA(vlookup($A1058, FFToolbox!$B$2:$E$414, 4, false)), 0, vlookup($A1058, FFToolbox!$B$2:$E$414, 4, false))</f>
        <v>0</v>
      </c>
      <c r="M1058" s="39">
        <f t="shared" si="1"/>
        <v>0</v>
      </c>
      <c r="N1058" s="39">
        <f t="shared" si="2"/>
        <v>0</v>
      </c>
      <c r="O1058" s="40"/>
      <c r="P1058" s="40"/>
      <c r="Q1058" s="40"/>
      <c r="R1058" s="40"/>
      <c r="S1058" s="40"/>
      <c r="T1058" s="40"/>
      <c r="U1058" s="40"/>
      <c r="V1058" s="40"/>
      <c r="W1058" s="40"/>
      <c r="X1058" s="40"/>
      <c r="Y1058" s="40"/>
      <c r="Z1058" s="40"/>
      <c r="AA1058" s="40"/>
      <c r="AB1058" s="40"/>
      <c r="AC1058" s="40"/>
      <c r="AD1058" s="40"/>
      <c r="AE1058" s="40"/>
    </row>
    <row r="1059">
      <c r="A1059" s="17" t="s">
        <v>1232</v>
      </c>
      <c r="B1059" s="35" t="s">
        <v>1259</v>
      </c>
      <c r="C1059" s="35" t="s">
        <v>1260</v>
      </c>
      <c r="D1059" s="36" t="s">
        <v>262</v>
      </c>
      <c r="E1059" s="36" t="s">
        <v>77</v>
      </c>
      <c r="F1059" s="36" t="str">
        <f>vlookup(D1059,'Team Bye List'!$A$1:$B$33,2,False)</f>
        <v>#N/A</v>
      </c>
      <c r="G1059" s="37">
        <f>if(ISNA(vlookup($A1059, Sleeper!$B$2:$E$330, 4, false)), 0, vlookup($A1059, Sleeper!$B$2:$E$330, 4, false))</f>
        <v>0</v>
      </c>
      <c r="H1059" s="37">
        <f>if(ISNA(vlookup($A1059, ESPN!$B$2:$E$297, 4, false)), 0, vlookup($A1059, ESPN!$B$2:$E$297, 4, false))</f>
        <v>0</v>
      </c>
      <c r="I1059" s="37">
        <f>if(ISNA(vlookup($A1059,'Ultimate Draft Kit'!$B$2:$E$324,4, false)), 0, vlookup($A1059,'Ultimate Draft Kit'!$B$2:$E$324, 4, false))</f>
        <v>0</v>
      </c>
      <c r="J1059" s="38">
        <f>if(ISNA(vlookup($A1059,Rotowire!$B$2:$E$1075,4, false)), 0, vlookup($A1059,Rotowire!$B$2:$E$1075, 4, false))</f>
        <v>0</v>
      </c>
      <c r="K1059" s="37">
        <f>if(ISNA(vlookup($A1059, FantasyPro!$B$2:$E$341,4,false)),0,vlookup($A1059,FantasyPro!$B$2:$E$341,4,false))</f>
        <v>0</v>
      </c>
      <c r="L1059" s="37">
        <f>if(ISNA(vlookup($A1059, FFToolbox!$B$2:$E$414, 4, false)), 0, vlookup($A1059, FFToolbox!$B$2:$E$414, 4, false))</f>
        <v>0</v>
      </c>
      <c r="M1059" s="39">
        <f t="shared" si="1"/>
        <v>0</v>
      </c>
      <c r="N1059" s="39">
        <f t="shared" si="2"/>
        <v>0</v>
      </c>
      <c r="O1059" s="40"/>
      <c r="P1059" s="40"/>
      <c r="Q1059" s="40"/>
      <c r="R1059" s="40"/>
      <c r="S1059" s="40"/>
      <c r="T1059" s="40"/>
      <c r="U1059" s="40"/>
      <c r="V1059" s="40"/>
      <c r="W1059" s="40"/>
      <c r="X1059" s="40"/>
      <c r="Y1059" s="40"/>
      <c r="Z1059" s="40"/>
      <c r="AA1059" s="40"/>
      <c r="AB1059" s="40"/>
      <c r="AC1059" s="40"/>
      <c r="AD1059" s="40"/>
      <c r="AE1059" s="40"/>
    </row>
    <row r="1060">
      <c r="A1060" s="17" t="s">
        <v>1233</v>
      </c>
      <c r="B1060" s="35" t="s">
        <v>1259</v>
      </c>
      <c r="C1060" s="35" t="s">
        <v>1260</v>
      </c>
      <c r="D1060" s="36" t="s">
        <v>64</v>
      </c>
      <c r="E1060" s="36" t="s">
        <v>77</v>
      </c>
      <c r="F1060" s="36">
        <f>vlookup(D1060,'Team Bye List'!$A$1:$B$33,2,False)</f>
        <v>7</v>
      </c>
      <c r="G1060" s="37">
        <f>if(ISNA(vlookup($A1060, Sleeper!$B$2:$E$330, 4, false)), 0, vlookup($A1060, Sleeper!$B$2:$E$330, 4, false))</f>
        <v>0</v>
      </c>
      <c r="H1060" s="37">
        <f>if(ISNA(vlookup($A1060, ESPN!$B$2:$E$297, 4, false)), 0, vlookup($A1060, ESPN!$B$2:$E$297, 4, false))</f>
        <v>0</v>
      </c>
      <c r="I1060" s="37">
        <f>if(ISNA(vlookup($A1060,'Ultimate Draft Kit'!$B$2:$E$324,4, false)), 0, vlookup($A1060,'Ultimate Draft Kit'!$B$2:$E$324, 4, false))</f>
        <v>0</v>
      </c>
      <c r="J1060" s="38">
        <f>if(ISNA(vlookup($A1060,Rotowire!$B$2:$E$1075,4, false)), 0, vlookup($A1060,Rotowire!$B$2:$E$1075, 4, false))</f>
        <v>0</v>
      </c>
      <c r="K1060" s="37">
        <f>if(ISNA(vlookup($A1060, FantasyPro!$B$2:$E$341,4,false)),0,vlookup($A1060,FantasyPro!$B$2:$E$341,4,false))</f>
        <v>0</v>
      </c>
      <c r="L1060" s="37">
        <f>if(ISNA(vlookup($A1060, FFToolbox!$B$2:$E$414, 4, false)), 0, vlookup($A1060, FFToolbox!$B$2:$E$414, 4, false))</f>
        <v>0</v>
      </c>
      <c r="M1060" s="39">
        <f t="shared" si="1"/>
        <v>0</v>
      </c>
      <c r="N1060" s="39">
        <f t="shared" si="2"/>
        <v>0</v>
      </c>
      <c r="O1060" s="40"/>
      <c r="P1060" s="40"/>
      <c r="Q1060" s="40"/>
      <c r="R1060" s="40"/>
      <c r="S1060" s="40"/>
      <c r="T1060" s="40"/>
      <c r="U1060" s="40"/>
      <c r="V1060" s="40"/>
      <c r="W1060" s="40"/>
      <c r="X1060" s="40"/>
      <c r="Y1060" s="40"/>
      <c r="Z1060" s="40"/>
      <c r="AA1060" s="40"/>
      <c r="AB1060" s="40"/>
      <c r="AC1060" s="40"/>
      <c r="AD1060" s="40"/>
      <c r="AE1060" s="40"/>
    </row>
    <row r="1061">
      <c r="A1061" s="17" t="s">
        <v>485</v>
      </c>
      <c r="B1061" s="35" t="s">
        <v>1259</v>
      </c>
      <c r="C1061" s="35" t="s">
        <v>1260</v>
      </c>
      <c r="D1061" s="36" t="s">
        <v>37</v>
      </c>
      <c r="E1061" s="36" t="s">
        <v>77</v>
      </c>
      <c r="F1061" s="36">
        <f>vlookup(D1061,'Team Bye List'!$A$1:$B$33,2,False)</f>
        <v>11</v>
      </c>
      <c r="G1061" s="37">
        <f>if(ISNA(vlookup($A1061, Sleeper!$B$2:$E$330, 4, false)), 0, vlookup($A1061, Sleeper!$B$2:$E$330, 4, false))</f>
        <v>0</v>
      </c>
      <c r="H1061" s="37">
        <f>if(ISNA(vlookup($A1061, ESPN!$B$2:$E$297, 4, false)), 0, vlookup($A1061, ESPN!$B$2:$E$297, 4, false))</f>
        <v>0</v>
      </c>
      <c r="I1061" s="37">
        <f>if(ISNA(vlookup($A1061,'Ultimate Draft Kit'!$B$2:$E$324,4, false)), 0, vlookup($A1061,'Ultimate Draft Kit'!$B$2:$E$324, 4, false))</f>
        <v>0</v>
      </c>
      <c r="J1061" s="38">
        <f>if(ISNA(vlookup($A1061,Rotowire!$B$2:$E$1075,4, false)), 0, vlookup($A1061,Rotowire!$B$2:$E$1075, 4, false))</f>
        <v>0</v>
      </c>
      <c r="K1061" s="37">
        <f>if(ISNA(vlookup($A1061, FantasyPro!$B$2:$E$341,4,false)),0,vlookup($A1061,FantasyPro!$B$2:$E$341,4,false))</f>
        <v>0</v>
      </c>
      <c r="L1061" s="37">
        <f>if(ISNA(vlookup($A1061, FFToolbox!$B$2:$E$414, 4, false)), 0, vlookup($A1061, FFToolbox!$B$2:$E$414, 4, false))</f>
        <v>0</v>
      </c>
      <c r="M1061" s="39">
        <f t="shared" si="1"/>
        <v>0</v>
      </c>
      <c r="N1061" s="39">
        <f t="shared" si="2"/>
        <v>0</v>
      </c>
      <c r="O1061" s="40"/>
      <c r="P1061" s="40"/>
      <c r="Q1061" s="40"/>
      <c r="R1061" s="40"/>
      <c r="S1061" s="40"/>
      <c r="T1061" s="40"/>
      <c r="U1061" s="40"/>
      <c r="V1061" s="40"/>
      <c r="W1061" s="40"/>
      <c r="X1061" s="40"/>
      <c r="Y1061" s="40"/>
      <c r="Z1061" s="40"/>
      <c r="AA1061" s="40"/>
      <c r="AB1061" s="40"/>
      <c r="AC1061" s="40"/>
      <c r="AD1061" s="40"/>
      <c r="AE1061" s="40"/>
    </row>
    <row r="1062">
      <c r="A1062" s="17" t="s">
        <v>520</v>
      </c>
      <c r="B1062" s="35" t="s">
        <v>1259</v>
      </c>
      <c r="C1062" s="35" t="s">
        <v>1260</v>
      </c>
      <c r="D1062" s="36" t="s">
        <v>89</v>
      </c>
      <c r="E1062" s="36" t="s">
        <v>77</v>
      </c>
      <c r="F1062" s="36">
        <f>vlookup(D1062,'Team Bye List'!$A$1:$B$33,2,False)</f>
        <v>14</v>
      </c>
      <c r="G1062" s="37">
        <f>if(ISNA(vlookup($A1062, Sleeper!$B$2:$E$330, 4, false)), 0, vlookup($A1062, Sleeper!$B$2:$E$330, 4, false))</f>
        <v>0</v>
      </c>
      <c r="H1062" s="37">
        <f>if(ISNA(vlookup($A1062, ESPN!$B$2:$E$297, 4, false)), 0, vlookup($A1062, ESPN!$B$2:$E$297, 4, false))</f>
        <v>0</v>
      </c>
      <c r="I1062" s="37">
        <f>if(ISNA(vlookup($A1062,'Ultimate Draft Kit'!$B$2:$E$324,4, false)), 0, vlookup($A1062,'Ultimate Draft Kit'!$B$2:$E$324, 4, false))</f>
        <v>0</v>
      </c>
      <c r="J1062" s="38">
        <f>if(ISNA(vlookup($A1062,Rotowire!$B$2:$E$1075,4, false)), 0, vlookup($A1062,Rotowire!$B$2:$E$1075, 4, false))</f>
        <v>0</v>
      </c>
      <c r="K1062" s="37">
        <f>if(ISNA(vlookup($A1062, FantasyPro!$B$2:$E$341,4,false)),0,vlookup($A1062,FantasyPro!$B$2:$E$341,4,false))</f>
        <v>0</v>
      </c>
      <c r="L1062" s="37">
        <f>if(ISNA(vlookup($A1062, FFToolbox!$B$2:$E$414, 4, false)), 0, vlookup($A1062, FFToolbox!$B$2:$E$414, 4, false))</f>
        <v>0</v>
      </c>
      <c r="M1062" s="39">
        <f t="shared" si="1"/>
        <v>0</v>
      </c>
      <c r="N1062" s="39">
        <f t="shared" si="2"/>
        <v>0</v>
      </c>
      <c r="O1062" s="40"/>
      <c r="P1062" s="40"/>
      <c r="Q1062" s="40"/>
      <c r="R1062" s="40"/>
      <c r="S1062" s="40"/>
      <c r="T1062" s="40"/>
      <c r="U1062" s="40"/>
      <c r="V1062" s="40"/>
      <c r="W1062" s="40"/>
      <c r="X1062" s="40"/>
      <c r="Y1062" s="40"/>
      <c r="Z1062" s="40"/>
      <c r="AA1062" s="40"/>
      <c r="AB1062" s="40"/>
      <c r="AC1062" s="40"/>
      <c r="AD1062" s="40"/>
      <c r="AE1062" s="40"/>
    </row>
    <row r="1063">
      <c r="A1063" s="17" t="s">
        <v>527</v>
      </c>
      <c r="B1063" s="35" t="s">
        <v>1259</v>
      </c>
      <c r="C1063" s="35" t="s">
        <v>1260</v>
      </c>
      <c r="D1063" s="36" t="s">
        <v>85</v>
      </c>
      <c r="E1063" s="36" t="s">
        <v>77</v>
      </c>
      <c r="F1063" s="36">
        <f>vlookup(D1063,'Team Bye List'!$A$1:$B$33,2,False)</f>
        <v>9</v>
      </c>
      <c r="G1063" s="37">
        <f>if(ISNA(vlookup($A1063, Sleeper!$B$2:$E$330, 4, false)), 0, vlookup($A1063, Sleeper!$B$2:$E$330, 4, false))</f>
        <v>0</v>
      </c>
      <c r="H1063" s="37">
        <f>if(ISNA(vlookup($A1063, ESPN!$B$2:$E$297, 4, false)), 0, vlookup($A1063, ESPN!$B$2:$E$297, 4, false))</f>
        <v>0</v>
      </c>
      <c r="I1063" s="37">
        <f>if(ISNA(vlookup($A1063,'Ultimate Draft Kit'!$B$2:$E$324,4, false)), 0, vlookup($A1063,'Ultimate Draft Kit'!$B$2:$E$324, 4, false))</f>
        <v>0</v>
      </c>
      <c r="J1063" s="38">
        <f>if(ISNA(vlookup($A1063,Rotowire!$B$2:$E$1075,4, false)), 0, vlookup($A1063,Rotowire!$B$2:$E$1075, 4, false))</f>
        <v>0</v>
      </c>
      <c r="K1063" s="37">
        <f>if(ISNA(vlookup($A1063, FantasyPro!$B$2:$E$341,4,false)),0,vlookup($A1063,FantasyPro!$B$2:$E$341,4,false))</f>
        <v>0</v>
      </c>
      <c r="L1063" s="37">
        <f>if(ISNA(vlookup($A1063, FFToolbox!$B$2:$E$414, 4, false)), 0, vlookup($A1063, FFToolbox!$B$2:$E$414, 4, false))</f>
        <v>0</v>
      </c>
      <c r="M1063" s="39">
        <f t="shared" si="1"/>
        <v>0</v>
      </c>
      <c r="N1063" s="39">
        <f t="shared" si="2"/>
        <v>0</v>
      </c>
      <c r="O1063" s="40"/>
      <c r="P1063" s="40"/>
      <c r="Q1063" s="40"/>
      <c r="R1063" s="40"/>
      <c r="S1063" s="40"/>
      <c r="T1063" s="40"/>
      <c r="U1063" s="40"/>
      <c r="V1063" s="40"/>
      <c r="W1063" s="40"/>
      <c r="X1063" s="40"/>
      <c r="Y1063" s="40"/>
      <c r="Z1063" s="40"/>
      <c r="AA1063" s="40"/>
      <c r="AB1063" s="40"/>
      <c r="AC1063" s="40"/>
      <c r="AD1063" s="40"/>
      <c r="AE1063" s="40"/>
    </row>
    <row r="1064">
      <c r="A1064" s="17" t="s">
        <v>1234</v>
      </c>
      <c r="B1064" s="35" t="s">
        <v>1259</v>
      </c>
      <c r="C1064" s="35" t="s">
        <v>1260</v>
      </c>
      <c r="D1064" s="36" t="s">
        <v>17</v>
      </c>
      <c r="E1064" s="36" t="s">
        <v>77</v>
      </c>
      <c r="F1064" s="36">
        <f>vlookup(D1064,'Team Bye List'!$A$1:$B$33,2,False)</f>
        <v>7</v>
      </c>
      <c r="G1064" s="37">
        <f>if(ISNA(vlookup($A1064, Sleeper!$B$2:$E$330, 4, false)), 0, vlookup($A1064, Sleeper!$B$2:$E$330, 4, false))</f>
        <v>0</v>
      </c>
      <c r="H1064" s="37">
        <f>if(ISNA(vlookup($A1064, ESPN!$B$2:$E$297, 4, false)), 0, vlookup($A1064, ESPN!$B$2:$E$297, 4, false))</f>
        <v>0</v>
      </c>
      <c r="I1064" s="37">
        <f>if(ISNA(vlookup($A1064,'Ultimate Draft Kit'!$B$2:$E$324,4, false)), 0, vlookup($A1064,'Ultimate Draft Kit'!$B$2:$E$324, 4, false))</f>
        <v>0</v>
      </c>
      <c r="J1064" s="38">
        <f>if(ISNA(vlookup($A1064,Rotowire!$B$2:$E$1075,4, false)), 0, vlookup($A1064,Rotowire!$B$2:$E$1075, 4, false))</f>
        <v>0</v>
      </c>
      <c r="K1064" s="37">
        <f>if(ISNA(vlookup($A1064, FantasyPro!$B$2:$E$341,4,false)),0,vlookup($A1064,FantasyPro!$B$2:$E$341,4,false))</f>
        <v>0</v>
      </c>
      <c r="L1064" s="37">
        <f>if(ISNA(vlookup($A1064, FFToolbox!$B$2:$E$414, 4, false)), 0, vlookup($A1064, FFToolbox!$B$2:$E$414, 4, false))</f>
        <v>0</v>
      </c>
      <c r="M1064" s="39">
        <f t="shared" si="1"/>
        <v>0</v>
      </c>
      <c r="N1064" s="39">
        <f t="shared" si="2"/>
        <v>0</v>
      </c>
      <c r="O1064" s="40"/>
      <c r="P1064" s="40"/>
      <c r="Q1064" s="40"/>
      <c r="R1064" s="40"/>
      <c r="S1064" s="40"/>
      <c r="T1064" s="40"/>
      <c r="U1064" s="40"/>
      <c r="V1064" s="40"/>
      <c r="W1064" s="40"/>
      <c r="X1064" s="40"/>
      <c r="Y1064" s="40"/>
      <c r="Z1064" s="40"/>
      <c r="AA1064" s="40"/>
      <c r="AB1064" s="40"/>
      <c r="AC1064" s="40"/>
      <c r="AD1064" s="40"/>
      <c r="AE1064" s="40"/>
    </row>
    <row r="1065">
      <c r="A1065" s="17" t="s">
        <v>1235</v>
      </c>
      <c r="B1065" s="35" t="s">
        <v>1259</v>
      </c>
      <c r="C1065" s="35" t="s">
        <v>1260</v>
      </c>
      <c r="D1065" s="36" t="s">
        <v>262</v>
      </c>
      <c r="E1065" s="36" t="s">
        <v>77</v>
      </c>
      <c r="F1065" s="36" t="str">
        <f>vlookup(D1065,'Team Bye List'!$A$1:$B$33,2,False)</f>
        <v>#N/A</v>
      </c>
      <c r="G1065" s="37">
        <f>if(ISNA(vlookup($A1065, Sleeper!$B$2:$E$330, 4, false)), 0, vlookup($A1065, Sleeper!$B$2:$E$330, 4, false))</f>
        <v>0</v>
      </c>
      <c r="H1065" s="37">
        <f>if(ISNA(vlookup($A1065, ESPN!$B$2:$E$297, 4, false)), 0, vlookup($A1065, ESPN!$B$2:$E$297, 4, false))</f>
        <v>0</v>
      </c>
      <c r="I1065" s="37">
        <f>if(ISNA(vlookup($A1065,'Ultimate Draft Kit'!$B$2:$E$324,4, false)), 0, vlookup($A1065,'Ultimate Draft Kit'!$B$2:$E$324, 4, false))</f>
        <v>0</v>
      </c>
      <c r="J1065" s="38">
        <f>if(ISNA(vlookup($A1065,Rotowire!$B$2:$E$1075,4, false)), 0, vlookup($A1065,Rotowire!$B$2:$E$1075, 4, false))</f>
        <v>0</v>
      </c>
      <c r="K1065" s="37">
        <f>if(ISNA(vlookup($A1065, FantasyPro!$B$2:$E$341,4,false)),0,vlookup($A1065,FantasyPro!$B$2:$E$341,4,false))</f>
        <v>0</v>
      </c>
      <c r="L1065" s="37">
        <f>if(ISNA(vlookup($A1065, FFToolbox!$B$2:$E$414, 4, false)), 0, vlookup($A1065, FFToolbox!$B$2:$E$414, 4, false))</f>
        <v>0</v>
      </c>
      <c r="M1065" s="39">
        <f t="shared" si="1"/>
        <v>0</v>
      </c>
      <c r="N1065" s="39">
        <f t="shared" si="2"/>
        <v>0</v>
      </c>
      <c r="O1065" s="40"/>
      <c r="P1065" s="40"/>
      <c r="Q1065" s="40"/>
      <c r="R1065" s="40"/>
      <c r="S1065" s="40"/>
      <c r="T1065" s="40"/>
      <c r="U1065" s="40"/>
      <c r="V1065" s="40"/>
      <c r="W1065" s="40"/>
      <c r="X1065" s="40"/>
      <c r="Y1065" s="40"/>
      <c r="Z1065" s="40"/>
      <c r="AA1065" s="40"/>
      <c r="AB1065" s="40"/>
      <c r="AC1065" s="40"/>
      <c r="AD1065" s="40"/>
      <c r="AE1065" s="40"/>
    </row>
    <row r="1066">
      <c r="A1066" s="17" t="s">
        <v>523</v>
      </c>
      <c r="B1066" s="35" t="s">
        <v>1259</v>
      </c>
      <c r="C1066" s="35" t="s">
        <v>1260</v>
      </c>
      <c r="D1066" s="36" t="s">
        <v>39</v>
      </c>
      <c r="E1066" s="36" t="s">
        <v>77</v>
      </c>
      <c r="F1066" s="36">
        <f>vlookup(D1066,'Team Bye List'!$A$1:$B$33,2,False)</f>
        <v>11</v>
      </c>
      <c r="G1066" s="37">
        <f>if(ISNA(vlookup($A1066, Sleeper!$B$2:$E$330, 4, false)), 0, vlookup($A1066, Sleeper!$B$2:$E$330, 4, false))</f>
        <v>0</v>
      </c>
      <c r="H1066" s="37">
        <f>if(ISNA(vlookup($A1066, ESPN!$B$2:$E$297, 4, false)), 0, vlookup($A1066, ESPN!$B$2:$E$297, 4, false))</f>
        <v>0</v>
      </c>
      <c r="I1066" s="37">
        <f>if(ISNA(vlookup($A1066,'Ultimate Draft Kit'!$B$2:$E$324,4, false)), 0, vlookup($A1066,'Ultimate Draft Kit'!$B$2:$E$324, 4, false))</f>
        <v>0</v>
      </c>
      <c r="J1066" s="38">
        <f>if(ISNA(vlookup($A1066,Rotowire!$B$2:$E$1075,4, false)), 0, vlookup($A1066,Rotowire!$B$2:$E$1075, 4, false))</f>
        <v>0</v>
      </c>
      <c r="K1066" s="37">
        <f>if(ISNA(vlookup($A1066, FantasyPro!$B$2:$E$341,4,false)),0,vlookup($A1066,FantasyPro!$B$2:$E$341,4,false))</f>
        <v>0</v>
      </c>
      <c r="L1066" s="37">
        <f>if(ISNA(vlookup($A1066, FFToolbox!$B$2:$E$414, 4, false)), 0, vlookup($A1066, FFToolbox!$B$2:$E$414, 4, false))</f>
        <v>0</v>
      </c>
      <c r="M1066" s="39">
        <f t="shared" si="1"/>
        <v>0</v>
      </c>
      <c r="N1066" s="39">
        <f t="shared" si="2"/>
        <v>0</v>
      </c>
      <c r="O1066" s="40"/>
      <c r="P1066" s="40"/>
      <c r="Q1066" s="40"/>
      <c r="R1066" s="40"/>
      <c r="S1066" s="40"/>
      <c r="T1066" s="40"/>
      <c r="U1066" s="40"/>
      <c r="V1066" s="40"/>
      <c r="W1066" s="40"/>
      <c r="X1066" s="40"/>
      <c r="Y1066" s="40"/>
      <c r="Z1066" s="40"/>
      <c r="AA1066" s="40"/>
      <c r="AB1066" s="40"/>
      <c r="AC1066" s="40"/>
      <c r="AD1066" s="40"/>
      <c r="AE1066" s="40"/>
    </row>
    <row r="1067">
      <c r="A1067" s="17" t="s">
        <v>1236</v>
      </c>
      <c r="B1067" s="35" t="s">
        <v>1259</v>
      </c>
      <c r="C1067" s="35" t="s">
        <v>1260</v>
      </c>
      <c r="D1067" s="36" t="s">
        <v>28</v>
      </c>
      <c r="E1067" s="36" t="s">
        <v>77</v>
      </c>
      <c r="F1067" s="36">
        <f>vlookup(D1067,'Team Bye List'!$A$1:$B$33,2,False)</f>
        <v>11</v>
      </c>
      <c r="G1067" s="37">
        <f>if(ISNA(vlookup($A1067, Sleeper!$B$2:$E$330, 4, false)), 0, vlookup($A1067, Sleeper!$B$2:$E$330, 4, false))</f>
        <v>0</v>
      </c>
      <c r="H1067" s="37">
        <f>if(ISNA(vlookup($A1067, ESPN!$B$2:$E$297, 4, false)), 0, vlookup($A1067, ESPN!$B$2:$E$297, 4, false))</f>
        <v>0</v>
      </c>
      <c r="I1067" s="37">
        <f>if(ISNA(vlookup($A1067,'Ultimate Draft Kit'!$B$2:$E$324,4, false)), 0, vlookup($A1067,'Ultimate Draft Kit'!$B$2:$E$324, 4, false))</f>
        <v>0</v>
      </c>
      <c r="J1067" s="38">
        <f>if(ISNA(vlookup($A1067,Rotowire!$B$2:$E$1075,4, false)), 0, vlookup($A1067,Rotowire!$B$2:$E$1075, 4, false))</f>
        <v>0</v>
      </c>
      <c r="K1067" s="37">
        <f>if(ISNA(vlookup($A1067, FantasyPro!$B$2:$E$341,4,false)),0,vlookup($A1067,FantasyPro!$B$2:$E$341,4,false))</f>
        <v>0</v>
      </c>
      <c r="L1067" s="37">
        <f>if(ISNA(vlookup($A1067, FFToolbox!$B$2:$E$414, 4, false)), 0, vlookup($A1067, FFToolbox!$B$2:$E$414, 4, false))</f>
        <v>0</v>
      </c>
      <c r="M1067" s="39">
        <f t="shared" si="1"/>
        <v>0</v>
      </c>
      <c r="N1067" s="39">
        <f t="shared" si="2"/>
        <v>0</v>
      </c>
      <c r="O1067" s="40"/>
      <c r="P1067" s="40"/>
      <c r="Q1067" s="40"/>
      <c r="R1067" s="40"/>
      <c r="S1067" s="40"/>
      <c r="T1067" s="40"/>
      <c r="U1067" s="40"/>
      <c r="V1067" s="40"/>
      <c r="W1067" s="40"/>
      <c r="X1067" s="40"/>
      <c r="Y1067" s="40"/>
      <c r="Z1067" s="40"/>
      <c r="AA1067" s="40"/>
      <c r="AB1067" s="40"/>
      <c r="AC1067" s="40"/>
      <c r="AD1067" s="40"/>
      <c r="AE1067" s="40"/>
    </row>
    <row r="1068">
      <c r="A1068" s="17" t="s">
        <v>507</v>
      </c>
      <c r="B1068" s="35" t="s">
        <v>1259</v>
      </c>
      <c r="C1068" s="35" t="s">
        <v>1260</v>
      </c>
      <c r="D1068" s="36" t="s">
        <v>119</v>
      </c>
      <c r="E1068" s="36" t="s">
        <v>77</v>
      </c>
      <c r="F1068" s="36">
        <f>vlookup(D1068,'Team Bye List'!$A$1:$B$33,2,False)</f>
        <v>10</v>
      </c>
      <c r="G1068" s="37">
        <f>if(ISNA(vlookup($A1068, Sleeper!$B$2:$E$330, 4, false)), 0, vlookup($A1068, Sleeper!$B$2:$E$330, 4, false))</f>
        <v>0</v>
      </c>
      <c r="H1068" s="37">
        <f>if(ISNA(vlookup($A1068, ESPN!$B$2:$E$297, 4, false)), 0, vlookup($A1068, ESPN!$B$2:$E$297, 4, false))</f>
        <v>0</v>
      </c>
      <c r="I1068" s="37">
        <f>if(ISNA(vlookup($A1068,'Ultimate Draft Kit'!$B$2:$E$324,4, false)), 0, vlookup($A1068,'Ultimate Draft Kit'!$B$2:$E$324, 4, false))</f>
        <v>0</v>
      </c>
      <c r="J1068" s="38">
        <f>if(ISNA(vlookup($A1068,Rotowire!$B$2:$E$1075,4, false)), 0, vlookup($A1068,Rotowire!$B$2:$E$1075, 4, false))</f>
        <v>0</v>
      </c>
      <c r="K1068" s="37">
        <f>if(ISNA(vlookup($A1068, FantasyPro!$B$2:$E$341,4,false)),0,vlookup($A1068,FantasyPro!$B$2:$E$341,4,false))</f>
        <v>0</v>
      </c>
      <c r="L1068" s="37">
        <f>if(ISNA(vlookup($A1068, FFToolbox!$B$2:$E$414, 4, false)), 0, vlookup($A1068, FFToolbox!$B$2:$E$414, 4, false))</f>
        <v>0</v>
      </c>
      <c r="M1068" s="39">
        <f t="shared" si="1"/>
        <v>0</v>
      </c>
      <c r="N1068" s="39">
        <f t="shared" si="2"/>
        <v>0</v>
      </c>
      <c r="O1068" s="40"/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0"/>
      <c r="AA1068" s="40"/>
      <c r="AB1068" s="40"/>
      <c r="AC1068" s="40"/>
      <c r="AD1068" s="40"/>
      <c r="AE1068" s="40"/>
    </row>
    <row r="1069">
      <c r="A1069" s="17" t="s">
        <v>497</v>
      </c>
      <c r="B1069" s="35" t="s">
        <v>1259</v>
      </c>
      <c r="C1069" s="35" t="s">
        <v>1260</v>
      </c>
      <c r="D1069" s="36" t="s">
        <v>64</v>
      </c>
      <c r="E1069" s="36" t="s">
        <v>77</v>
      </c>
      <c r="F1069" s="36">
        <f>vlookup(D1069,'Team Bye List'!$A$1:$B$33,2,False)</f>
        <v>7</v>
      </c>
      <c r="G1069" s="37">
        <f>if(ISNA(vlookup($A1069, Sleeper!$B$2:$E$330, 4, false)), 0, vlookup($A1069, Sleeper!$B$2:$E$330, 4, false))</f>
        <v>0</v>
      </c>
      <c r="H1069" s="37">
        <f>if(ISNA(vlookup($A1069, ESPN!$B$2:$E$297, 4, false)), 0, vlookup($A1069, ESPN!$B$2:$E$297, 4, false))</f>
        <v>0</v>
      </c>
      <c r="I1069" s="37">
        <f>if(ISNA(vlookup($A1069,'Ultimate Draft Kit'!$B$2:$E$324,4, false)), 0, vlookup($A1069,'Ultimate Draft Kit'!$B$2:$E$324, 4, false))</f>
        <v>0</v>
      </c>
      <c r="J1069" s="38">
        <f>if(ISNA(vlookup($A1069,Rotowire!$B$2:$E$1075,4, false)), 0, vlookup($A1069,Rotowire!$B$2:$E$1075, 4, false))</f>
        <v>0</v>
      </c>
      <c r="K1069" s="37">
        <f>if(ISNA(vlookup($A1069, FantasyPro!$B$2:$E$341,4,false)),0,vlookup($A1069,FantasyPro!$B$2:$E$341,4,false))</f>
        <v>0</v>
      </c>
      <c r="L1069" s="37">
        <f>if(ISNA(vlookup($A1069, FFToolbox!$B$2:$E$414, 4, false)), 0, vlookup($A1069, FFToolbox!$B$2:$E$414, 4, false))</f>
        <v>0</v>
      </c>
      <c r="M1069" s="39">
        <f t="shared" si="1"/>
        <v>0</v>
      </c>
      <c r="N1069" s="39">
        <f t="shared" si="2"/>
        <v>0</v>
      </c>
      <c r="O1069" s="40"/>
      <c r="P1069" s="40"/>
      <c r="Q1069" s="40"/>
      <c r="R1069" s="40"/>
      <c r="S1069" s="40"/>
      <c r="T1069" s="40"/>
      <c r="U1069" s="40"/>
      <c r="V1069" s="40"/>
      <c r="W1069" s="40"/>
      <c r="X1069" s="40"/>
      <c r="Y1069" s="40"/>
      <c r="Z1069" s="40"/>
      <c r="AA1069" s="40"/>
      <c r="AB1069" s="40"/>
      <c r="AC1069" s="40"/>
      <c r="AD1069" s="40"/>
      <c r="AE1069" s="40"/>
    </row>
    <row r="1070">
      <c r="A1070" s="17" t="s">
        <v>1237</v>
      </c>
      <c r="B1070" s="35" t="s">
        <v>1259</v>
      </c>
      <c r="C1070" s="35" t="s">
        <v>1260</v>
      </c>
      <c r="D1070" s="36" t="s">
        <v>262</v>
      </c>
      <c r="E1070" s="36" t="s">
        <v>77</v>
      </c>
      <c r="F1070" s="36" t="str">
        <f>vlookup(D1070,'Team Bye List'!$A$1:$B$33,2,False)</f>
        <v>#N/A</v>
      </c>
      <c r="G1070" s="37">
        <f>if(ISNA(vlookup($A1070, Sleeper!$B$2:$E$330, 4, false)), 0, vlookup($A1070, Sleeper!$B$2:$E$330, 4, false))</f>
        <v>0</v>
      </c>
      <c r="H1070" s="37">
        <f>if(ISNA(vlookup($A1070, ESPN!$B$2:$E$297, 4, false)), 0, vlookup($A1070, ESPN!$B$2:$E$297, 4, false))</f>
        <v>0</v>
      </c>
      <c r="I1070" s="37">
        <f>if(ISNA(vlookup($A1070,'Ultimate Draft Kit'!$B$2:$E$324,4, false)), 0, vlookup($A1070,'Ultimate Draft Kit'!$B$2:$E$324, 4, false))</f>
        <v>0</v>
      </c>
      <c r="J1070" s="38">
        <f>if(ISNA(vlookup($A1070,Rotowire!$B$2:$E$1075,4, false)), 0, vlookup($A1070,Rotowire!$B$2:$E$1075, 4, false))</f>
        <v>0</v>
      </c>
      <c r="K1070" s="37">
        <f>if(ISNA(vlookup($A1070, FantasyPro!$B$2:$E$341,4,false)),0,vlookup($A1070,FantasyPro!$B$2:$E$341,4,false))</f>
        <v>0</v>
      </c>
      <c r="L1070" s="37">
        <f>if(ISNA(vlookup($A1070, FFToolbox!$B$2:$E$414, 4, false)), 0, vlookup($A1070, FFToolbox!$B$2:$E$414, 4, false))</f>
        <v>0</v>
      </c>
      <c r="M1070" s="39">
        <f t="shared" si="1"/>
        <v>0</v>
      </c>
      <c r="N1070" s="39">
        <f t="shared" si="2"/>
        <v>0</v>
      </c>
      <c r="O1070" s="40"/>
      <c r="P1070" s="40"/>
      <c r="Q1070" s="40"/>
      <c r="R1070" s="40"/>
      <c r="S1070" s="40"/>
      <c r="T1070" s="40"/>
      <c r="U1070" s="40"/>
      <c r="V1070" s="40"/>
      <c r="W1070" s="40"/>
      <c r="X1070" s="40"/>
      <c r="Y1070" s="40"/>
      <c r="Z1070" s="40"/>
      <c r="AA1070" s="40"/>
      <c r="AB1070" s="40"/>
      <c r="AC1070" s="40"/>
      <c r="AD1070" s="40"/>
      <c r="AE1070" s="40"/>
    </row>
    <row r="1071">
      <c r="A1071" s="17" t="s">
        <v>509</v>
      </c>
      <c r="B1071" s="35" t="s">
        <v>1259</v>
      </c>
      <c r="C1071" s="35" t="s">
        <v>1260</v>
      </c>
      <c r="D1071" s="36" t="s">
        <v>7</v>
      </c>
      <c r="E1071" s="36" t="s">
        <v>77</v>
      </c>
      <c r="F1071" s="36">
        <f>vlookup(D1071,'Team Bye List'!$A$1:$B$33,2,False)</f>
        <v>14</v>
      </c>
      <c r="G1071" s="37">
        <f>if(ISNA(vlookup($A1071, Sleeper!$B$2:$E$330, 4, false)), 0, vlookup($A1071, Sleeper!$B$2:$E$330, 4, false))</f>
        <v>0</v>
      </c>
      <c r="H1071" s="37">
        <f>if(ISNA(vlookup($A1071, ESPN!$B$2:$E$297, 4, false)), 0, vlookup($A1071, ESPN!$B$2:$E$297, 4, false))</f>
        <v>0</v>
      </c>
      <c r="I1071" s="37">
        <f>if(ISNA(vlookup($A1071,'Ultimate Draft Kit'!$B$2:$E$324,4, false)), 0, vlookup($A1071,'Ultimate Draft Kit'!$B$2:$E$324, 4, false))</f>
        <v>0</v>
      </c>
      <c r="J1071" s="38">
        <f>if(ISNA(vlookup($A1071,Rotowire!$B$2:$E$1075,4, false)), 0, vlookup($A1071,Rotowire!$B$2:$E$1075, 4, false))</f>
        <v>0</v>
      </c>
      <c r="K1071" s="37">
        <f>if(ISNA(vlookup($A1071, FantasyPro!$B$2:$E$341,4,false)),0,vlookup($A1071,FantasyPro!$B$2:$E$341,4,false))</f>
        <v>0</v>
      </c>
      <c r="L1071" s="37">
        <f>if(ISNA(vlookup($A1071, FFToolbox!$B$2:$E$414, 4, false)), 0, vlookup($A1071, FFToolbox!$B$2:$E$414, 4, false))</f>
        <v>0</v>
      </c>
      <c r="M1071" s="39">
        <f t="shared" si="1"/>
        <v>0</v>
      </c>
      <c r="N1071" s="39">
        <f t="shared" si="2"/>
        <v>0</v>
      </c>
      <c r="O1071" s="40"/>
      <c r="P1071" s="40"/>
      <c r="Q1071" s="40"/>
      <c r="R1071" s="40"/>
      <c r="S1071" s="40"/>
      <c r="T1071" s="40"/>
      <c r="U1071" s="40"/>
      <c r="V1071" s="40"/>
      <c r="W1071" s="40"/>
      <c r="X1071" s="40"/>
      <c r="Y1071" s="40"/>
      <c r="Z1071" s="40"/>
      <c r="AA1071" s="40"/>
      <c r="AB1071" s="40"/>
      <c r="AC1071" s="40"/>
      <c r="AD1071" s="40"/>
      <c r="AE1071" s="40"/>
    </row>
    <row r="1072">
      <c r="A1072" s="17" t="s">
        <v>490</v>
      </c>
      <c r="B1072" s="35" t="s">
        <v>1259</v>
      </c>
      <c r="C1072" s="35" t="s">
        <v>1260</v>
      </c>
      <c r="D1072" s="36" t="s">
        <v>17</v>
      </c>
      <c r="E1072" s="36" t="s">
        <v>77</v>
      </c>
      <c r="F1072" s="36">
        <f>vlookup(D1072,'Team Bye List'!$A$1:$B$33,2,False)</f>
        <v>7</v>
      </c>
      <c r="G1072" s="37">
        <f>if(ISNA(vlookup($A1072, Sleeper!$B$2:$E$330, 4, false)), 0, vlookup($A1072, Sleeper!$B$2:$E$330, 4, false))</f>
        <v>0</v>
      </c>
      <c r="H1072" s="37">
        <f>if(ISNA(vlookup($A1072, ESPN!$B$2:$E$297, 4, false)), 0, vlookup($A1072, ESPN!$B$2:$E$297, 4, false))</f>
        <v>0</v>
      </c>
      <c r="I1072" s="37">
        <f>if(ISNA(vlookup($A1072,'Ultimate Draft Kit'!$B$2:$E$324,4, false)), 0, vlookup($A1072,'Ultimate Draft Kit'!$B$2:$E$324, 4, false))</f>
        <v>0</v>
      </c>
      <c r="J1072" s="38">
        <f>if(ISNA(vlookup($A1072,Rotowire!$B$2:$E$1075,4, false)), 0, vlookup($A1072,Rotowire!$B$2:$E$1075, 4, false))</f>
        <v>0</v>
      </c>
      <c r="K1072" s="37">
        <f>if(ISNA(vlookup($A1072, FantasyPro!$B$2:$E$341,4,false)),0,vlookup($A1072,FantasyPro!$B$2:$E$341,4,false))</f>
        <v>0</v>
      </c>
      <c r="L1072" s="37">
        <f>if(ISNA(vlookup($A1072, FFToolbox!$B$2:$E$414, 4, false)), 0, vlookup($A1072, FFToolbox!$B$2:$E$414, 4, false))</f>
        <v>0</v>
      </c>
      <c r="M1072" s="39">
        <f t="shared" si="1"/>
        <v>0</v>
      </c>
      <c r="N1072" s="39">
        <f t="shared" si="2"/>
        <v>0</v>
      </c>
      <c r="O1072" s="40"/>
      <c r="P1072" s="40"/>
      <c r="Q1072" s="40"/>
      <c r="R1072" s="40"/>
      <c r="S1072" s="40"/>
      <c r="T1072" s="40"/>
      <c r="U1072" s="40"/>
      <c r="V1072" s="40"/>
      <c r="W1072" s="40"/>
      <c r="X1072" s="40"/>
      <c r="Y1072" s="40"/>
      <c r="Z1072" s="40"/>
      <c r="AA1072" s="40"/>
      <c r="AB1072" s="40"/>
      <c r="AC1072" s="40"/>
      <c r="AD1072" s="40"/>
      <c r="AE1072" s="40"/>
    </row>
    <row r="1073">
      <c r="A1073" s="17" t="s">
        <v>1238</v>
      </c>
      <c r="B1073" s="35" t="s">
        <v>1259</v>
      </c>
      <c r="C1073" s="35" t="s">
        <v>1260</v>
      </c>
      <c r="D1073" s="36" t="s">
        <v>262</v>
      </c>
      <c r="E1073" s="36" t="s">
        <v>77</v>
      </c>
      <c r="F1073" s="36" t="str">
        <f>vlookup(D1073,'Team Bye List'!$A$1:$B$33,2,False)</f>
        <v>#N/A</v>
      </c>
      <c r="G1073" s="37">
        <f>if(ISNA(vlookup($A1073, Sleeper!$B$2:$E$330, 4, false)), 0, vlookup($A1073, Sleeper!$B$2:$E$330, 4, false))</f>
        <v>0</v>
      </c>
      <c r="H1073" s="37">
        <f>if(ISNA(vlookup($A1073, ESPN!$B$2:$E$297, 4, false)), 0, vlookup($A1073, ESPN!$B$2:$E$297, 4, false))</f>
        <v>0</v>
      </c>
      <c r="I1073" s="37">
        <f>if(ISNA(vlookup($A1073,'Ultimate Draft Kit'!$B$2:$E$324,4, false)), 0, vlookup($A1073,'Ultimate Draft Kit'!$B$2:$E$324, 4, false))</f>
        <v>0</v>
      </c>
      <c r="J1073" s="38">
        <f>if(ISNA(vlookup($A1073,Rotowire!$B$2:$E$1075,4, false)), 0, vlookup($A1073,Rotowire!$B$2:$E$1075, 4, false))</f>
        <v>0</v>
      </c>
      <c r="K1073" s="37">
        <f>if(ISNA(vlookup($A1073, FantasyPro!$B$2:$E$341,4,false)),0,vlookup($A1073,FantasyPro!$B$2:$E$341,4,false))</f>
        <v>0</v>
      </c>
      <c r="L1073" s="37">
        <f>if(ISNA(vlookup($A1073, FFToolbox!$B$2:$E$414, 4, false)), 0, vlookup($A1073, FFToolbox!$B$2:$E$414, 4, false))</f>
        <v>0</v>
      </c>
      <c r="M1073" s="39">
        <f t="shared" si="1"/>
        <v>0</v>
      </c>
      <c r="N1073" s="39">
        <f t="shared" si="2"/>
        <v>0</v>
      </c>
      <c r="O1073" s="40"/>
      <c r="P1073" s="40"/>
      <c r="Q1073" s="40"/>
      <c r="R1073" s="40"/>
      <c r="S1073" s="40"/>
      <c r="T1073" s="40"/>
      <c r="U1073" s="40"/>
      <c r="V1073" s="40"/>
      <c r="W1073" s="40"/>
      <c r="X1073" s="40"/>
      <c r="Y1073" s="40"/>
      <c r="Z1073" s="40"/>
      <c r="AA1073" s="40"/>
      <c r="AB1073" s="40"/>
      <c r="AC1073" s="40"/>
      <c r="AD1073" s="40"/>
      <c r="AE1073" s="40"/>
    </row>
    <row r="1074">
      <c r="A1074" s="17" t="s">
        <v>1239</v>
      </c>
      <c r="B1074" s="35" t="s">
        <v>1259</v>
      </c>
      <c r="C1074" s="35" t="s">
        <v>1260</v>
      </c>
      <c r="D1074" s="36" t="s">
        <v>23</v>
      </c>
      <c r="E1074" s="36" t="s">
        <v>77</v>
      </c>
      <c r="F1074" s="36">
        <f>vlookup(D1074,'Team Bye List'!$A$1:$B$33,2,False)</f>
        <v>9</v>
      </c>
      <c r="G1074" s="37">
        <f>if(ISNA(vlookup($A1074, Sleeper!$B$2:$E$330, 4, false)), 0, vlookup($A1074, Sleeper!$B$2:$E$330, 4, false))</f>
        <v>0</v>
      </c>
      <c r="H1074" s="37">
        <f>if(ISNA(vlookup($A1074, ESPN!$B$2:$E$297, 4, false)), 0, vlookup($A1074, ESPN!$B$2:$E$297, 4, false))</f>
        <v>0</v>
      </c>
      <c r="I1074" s="37">
        <f>if(ISNA(vlookup($A1074,'Ultimate Draft Kit'!$B$2:$E$324,4, false)), 0, vlookup($A1074,'Ultimate Draft Kit'!$B$2:$E$324, 4, false))</f>
        <v>0</v>
      </c>
      <c r="J1074" s="38">
        <f>if(ISNA(vlookup($A1074,Rotowire!$B$2:$E$1075,4, false)), 0, vlookup($A1074,Rotowire!$B$2:$E$1075, 4, false))</f>
        <v>0</v>
      </c>
      <c r="K1074" s="37">
        <f>if(ISNA(vlookup($A1074, FantasyPro!$B$2:$E$341,4,false)),0,vlookup($A1074,FantasyPro!$B$2:$E$341,4,false))</f>
        <v>0</v>
      </c>
      <c r="L1074" s="37">
        <f>if(ISNA(vlookup($A1074, FFToolbox!$B$2:$E$414, 4, false)), 0, vlookup($A1074, FFToolbox!$B$2:$E$414, 4, false))</f>
        <v>0</v>
      </c>
      <c r="M1074" s="39">
        <f t="shared" si="1"/>
        <v>0</v>
      </c>
      <c r="N1074" s="39">
        <f t="shared" si="2"/>
        <v>0</v>
      </c>
      <c r="O1074" s="40"/>
      <c r="P1074" s="40"/>
      <c r="Q1074" s="40"/>
      <c r="R1074" s="40"/>
      <c r="S1074" s="40"/>
      <c r="T1074" s="40"/>
      <c r="U1074" s="40"/>
      <c r="V1074" s="40"/>
      <c r="W1074" s="40"/>
      <c r="X1074" s="40"/>
      <c r="Y1074" s="40"/>
      <c r="Z1074" s="40"/>
      <c r="AA1074" s="40"/>
      <c r="AB1074" s="40"/>
      <c r="AC1074" s="40"/>
      <c r="AD1074" s="40"/>
      <c r="AE1074" s="40"/>
    </row>
    <row r="1075">
      <c r="A1075" s="17" t="s">
        <v>515</v>
      </c>
      <c r="B1075" s="35" t="s">
        <v>1259</v>
      </c>
      <c r="C1075" s="35" t="s">
        <v>1260</v>
      </c>
      <c r="D1075" s="36" t="s">
        <v>41</v>
      </c>
      <c r="E1075" s="36" t="s">
        <v>77</v>
      </c>
      <c r="F1075" s="36">
        <f>vlookup(D1075,'Team Bye List'!$A$1:$B$33,2,False)</f>
        <v>14</v>
      </c>
      <c r="G1075" s="37">
        <f>if(ISNA(vlookup($A1075, Sleeper!$B$2:$E$330, 4, false)), 0, vlookup($A1075, Sleeper!$B$2:$E$330, 4, false))</f>
        <v>0</v>
      </c>
      <c r="H1075" s="37">
        <f>if(ISNA(vlookup($A1075, ESPN!$B$2:$E$297, 4, false)), 0, vlookup($A1075, ESPN!$B$2:$E$297, 4, false))</f>
        <v>0</v>
      </c>
      <c r="I1075" s="37">
        <f>if(ISNA(vlookup($A1075,'Ultimate Draft Kit'!$B$2:$E$324,4, false)), 0, vlookup($A1075,'Ultimate Draft Kit'!$B$2:$E$324, 4, false))</f>
        <v>0</v>
      </c>
      <c r="J1075" s="38">
        <f>if(ISNA(vlookup($A1075,Rotowire!$B$2:$E$1075,4, false)), 0, vlookup($A1075,Rotowire!$B$2:$E$1075, 4, false))</f>
        <v>0</v>
      </c>
      <c r="K1075" s="37">
        <f>if(ISNA(vlookup($A1075, FantasyPro!$B$2:$E$341,4,false)),0,vlookup($A1075,FantasyPro!$B$2:$E$341,4,false))</f>
        <v>0</v>
      </c>
      <c r="L1075" s="37">
        <f>if(ISNA(vlookup($A1075, FFToolbox!$B$2:$E$414, 4, false)), 0, vlookup($A1075, FFToolbox!$B$2:$E$414, 4, false))</f>
        <v>0</v>
      </c>
      <c r="M1075" s="39">
        <f t="shared" si="1"/>
        <v>0</v>
      </c>
      <c r="N1075" s="39">
        <f t="shared" si="2"/>
        <v>0</v>
      </c>
      <c r="O1075" s="40"/>
      <c r="P1075" s="40"/>
      <c r="Q1075" s="40"/>
      <c r="R1075" s="40"/>
      <c r="S1075" s="40"/>
      <c r="T1075" s="40"/>
      <c r="U1075" s="40"/>
      <c r="V1075" s="40"/>
      <c r="W1075" s="40"/>
      <c r="X1075" s="40"/>
      <c r="Y1075" s="40"/>
      <c r="Z1075" s="40"/>
      <c r="AA1075" s="40"/>
      <c r="AB1075" s="40"/>
      <c r="AC1075" s="40"/>
      <c r="AD1075" s="40"/>
      <c r="AE1075" s="40"/>
    </row>
    <row r="1076">
      <c r="A1076" s="17" t="s">
        <v>1240</v>
      </c>
      <c r="B1076" s="35" t="s">
        <v>1259</v>
      </c>
      <c r="C1076" s="35" t="s">
        <v>1260</v>
      </c>
      <c r="D1076" s="36" t="s">
        <v>62</v>
      </c>
      <c r="E1076" s="36" t="s">
        <v>77</v>
      </c>
      <c r="F1076" s="36">
        <f>vlookup(D1076,'Team Bye List'!$A$1:$B$33,2,False)</f>
        <v>8</v>
      </c>
      <c r="G1076" s="37">
        <f>if(ISNA(vlookup($A1076, Sleeper!$B$2:$E$330, 4, false)), 0, vlookup($A1076, Sleeper!$B$2:$E$330, 4, false))</f>
        <v>0</v>
      </c>
      <c r="H1076" s="37">
        <f>if(ISNA(vlookup($A1076, ESPN!$B$2:$E$297, 4, false)), 0, vlookup($A1076, ESPN!$B$2:$E$297, 4, false))</f>
        <v>0</v>
      </c>
      <c r="I1076" s="37">
        <f>if(ISNA(vlookup($A1076,'Ultimate Draft Kit'!$B$2:$E$324,4, false)), 0, vlookup($A1076,'Ultimate Draft Kit'!$B$2:$E$324, 4, false))</f>
        <v>0</v>
      </c>
      <c r="J1076" s="38">
        <f>if(ISNA(vlookup($A1076,Rotowire!$B$2:$E$1075,4, false)), 0, vlookup($A1076,Rotowire!$B$2:$E$1075, 4, false))</f>
        <v>0</v>
      </c>
      <c r="K1076" s="37">
        <f>if(ISNA(vlookup($A1076, FantasyPro!$B$2:$E$341,4,false)),0,vlookup($A1076,FantasyPro!$B$2:$E$341,4,false))</f>
        <v>0</v>
      </c>
      <c r="L1076" s="37">
        <f>if(ISNA(vlookup($A1076, FFToolbox!$B$2:$E$414, 4, false)), 0, vlookup($A1076, FFToolbox!$B$2:$E$414, 4, false))</f>
        <v>0</v>
      </c>
      <c r="M1076" s="39">
        <f t="shared" si="1"/>
        <v>0</v>
      </c>
      <c r="N1076" s="39">
        <f t="shared" si="2"/>
        <v>0</v>
      </c>
      <c r="O1076" s="40"/>
      <c r="P1076" s="40"/>
      <c r="Q1076" s="40"/>
      <c r="R1076" s="40"/>
      <c r="S1076" s="40"/>
      <c r="T1076" s="40"/>
      <c r="U1076" s="40"/>
      <c r="V1076" s="40"/>
      <c r="W1076" s="40"/>
      <c r="X1076" s="40"/>
      <c r="Y1076" s="40"/>
      <c r="Z1076" s="40"/>
      <c r="AA1076" s="40"/>
      <c r="AB1076" s="40"/>
      <c r="AC1076" s="40"/>
      <c r="AD1076" s="40"/>
      <c r="AE1076" s="40"/>
    </row>
  </sheetData>
  <autoFilter ref="$A$1:$N$1076"/>
  <conditionalFormatting sqref="A1 B1:B1075 C1:C1076 D1:M1075 N1:N1076">
    <cfRule type="expression" dxfId="0" priority="1">
      <formula> $B1 = "Yes"</formula>
    </cfRule>
  </conditionalFormatting>
  <dataValidations>
    <dataValidation type="list" allowBlank="1" sqref="B2:B1076">
      <formula1>"Yes,No"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6.75"/>
    <col customWidth="1" min="3" max="3" width="8.25"/>
    <col customWidth="1" min="4" max="4" width="8.63"/>
    <col customWidth="1" min="5" max="5" width="7.63"/>
    <col customWidth="1" min="10" max="10" width="6.63"/>
    <col customWidth="1" min="11" max="11" width="15.25"/>
    <col customWidth="1" min="12" max="12" width="6.63"/>
    <col customWidth="1" min="13" max="14" width="4.38"/>
    <col customWidth="1" min="15" max="15" width="17.13"/>
    <col customWidth="1" min="16" max="16" width="16.88"/>
  </cols>
  <sheetData>
    <row r="1">
      <c r="A1" s="41" t="s">
        <v>1261</v>
      </c>
      <c r="B1" s="42"/>
      <c r="C1" s="42"/>
      <c r="D1" s="42"/>
      <c r="E1" s="42"/>
      <c r="F1" s="42"/>
      <c r="G1" s="42"/>
      <c r="H1" s="43"/>
      <c r="I1" s="44"/>
      <c r="J1" s="44"/>
      <c r="K1" s="44"/>
      <c r="L1" s="45">
        <f>200-L20</f>
        <v>10</v>
      </c>
      <c r="M1" s="44"/>
      <c r="N1" s="44"/>
      <c r="O1" s="46"/>
      <c r="P1" s="31"/>
      <c r="Q1" s="31"/>
    </row>
    <row r="2">
      <c r="A2" s="47" t="s">
        <v>1</v>
      </c>
      <c r="B2" s="47" t="s">
        <v>1247</v>
      </c>
      <c r="C2" s="47" t="s">
        <v>2</v>
      </c>
      <c r="D2" s="47" t="s">
        <v>3</v>
      </c>
      <c r="E2" s="47" t="s">
        <v>1249</v>
      </c>
      <c r="F2" s="47" t="s">
        <v>1262</v>
      </c>
      <c r="G2" s="47" t="s">
        <v>1263</v>
      </c>
      <c r="H2" s="47" t="s">
        <v>1264</v>
      </c>
      <c r="I2" s="44"/>
      <c r="J2" s="48" t="s">
        <v>3</v>
      </c>
      <c r="K2" s="49" t="s">
        <v>1</v>
      </c>
      <c r="L2" s="49" t="s">
        <v>1265</v>
      </c>
      <c r="M2" s="50" t="s">
        <v>1266</v>
      </c>
      <c r="N2" s="51" t="s">
        <v>1247</v>
      </c>
      <c r="O2" s="52"/>
      <c r="P2" s="53"/>
      <c r="Q2" s="53"/>
    </row>
    <row r="3">
      <c r="A3" s="54"/>
      <c r="B3" s="55"/>
      <c r="C3" s="55"/>
      <c r="D3" s="55"/>
      <c r="E3" s="55"/>
      <c r="F3" s="56"/>
      <c r="G3" s="57"/>
      <c r="H3" s="56"/>
      <c r="I3" s="44"/>
      <c r="J3" s="58" t="s">
        <v>1267</v>
      </c>
      <c r="K3" s="59" t="s">
        <v>76</v>
      </c>
      <c r="L3" s="60">
        <v>25.0</v>
      </c>
      <c r="M3" s="61">
        <v>7.0</v>
      </c>
      <c r="N3" s="61">
        <v>1.0</v>
      </c>
      <c r="O3" s="52"/>
      <c r="P3" s="53"/>
      <c r="Q3" s="53"/>
    </row>
    <row r="4">
      <c r="A4" s="54"/>
      <c r="B4" s="55"/>
      <c r="C4" s="55"/>
      <c r="D4" s="55"/>
      <c r="E4" s="55"/>
      <c r="F4" s="56"/>
      <c r="G4" s="57"/>
      <c r="H4" s="56"/>
      <c r="I4" s="44"/>
      <c r="J4" s="62" t="s">
        <v>1268</v>
      </c>
      <c r="K4" s="63" t="s">
        <v>48</v>
      </c>
      <c r="L4" s="64">
        <v>20.0</v>
      </c>
      <c r="M4" s="61"/>
      <c r="N4" s="61"/>
      <c r="O4" s="46"/>
      <c r="P4" s="53"/>
      <c r="Q4" s="53"/>
    </row>
    <row r="5">
      <c r="A5" s="54"/>
      <c r="B5" s="55"/>
      <c r="C5" s="55"/>
      <c r="D5" s="55"/>
      <c r="E5" s="55"/>
      <c r="F5" s="56"/>
      <c r="G5" s="57"/>
      <c r="H5" s="56"/>
      <c r="I5" s="44"/>
      <c r="J5" s="62" t="s">
        <v>1269</v>
      </c>
      <c r="K5" s="63" t="s">
        <v>38</v>
      </c>
      <c r="L5" s="64">
        <v>27.0</v>
      </c>
      <c r="M5" s="61"/>
      <c r="N5" s="61"/>
      <c r="O5" s="52"/>
      <c r="P5" s="53"/>
      <c r="Q5" s="53"/>
    </row>
    <row r="6">
      <c r="A6" s="54"/>
      <c r="B6" s="55"/>
      <c r="C6" s="55"/>
      <c r="D6" s="55"/>
      <c r="E6" s="55"/>
      <c r="F6" s="56"/>
      <c r="G6" s="57"/>
      <c r="H6" s="56"/>
      <c r="I6" s="44"/>
      <c r="J6" s="62" t="s">
        <v>1270</v>
      </c>
      <c r="K6" s="63" t="s">
        <v>110</v>
      </c>
      <c r="L6" s="64">
        <v>12.0</v>
      </c>
      <c r="M6" s="61"/>
      <c r="N6" s="61"/>
      <c r="O6" s="46"/>
      <c r="P6" s="53" t="s">
        <v>1271</v>
      </c>
      <c r="Q6" s="53" t="s">
        <v>1272</v>
      </c>
    </row>
    <row r="7">
      <c r="A7" s="54"/>
      <c r="B7" s="55"/>
      <c r="C7" s="55"/>
      <c r="D7" s="55"/>
      <c r="E7" s="55"/>
      <c r="F7" s="56"/>
      <c r="G7" s="57"/>
      <c r="H7" s="56"/>
      <c r="I7" s="44"/>
      <c r="J7" s="62" t="s">
        <v>59</v>
      </c>
      <c r="K7" s="63" t="s">
        <v>1273</v>
      </c>
      <c r="L7" s="64">
        <v>10.0</v>
      </c>
      <c r="M7" s="61"/>
      <c r="N7" s="61"/>
      <c r="O7" s="52"/>
      <c r="P7" s="65"/>
      <c r="Q7" s="31"/>
    </row>
    <row r="8">
      <c r="A8" s="54"/>
      <c r="B8" s="55"/>
      <c r="C8" s="55"/>
      <c r="D8" s="55"/>
      <c r="E8" s="55"/>
      <c r="F8" s="56"/>
      <c r="G8" s="56"/>
      <c r="H8" s="56"/>
      <c r="I8" s="44"/>
      <c r="J8" s="62" t="s">
        <v>1274</v>
      </c>
      <c r="K8" s="63" t="s">
        <v>1275</v>
      </c>
      <c r="L8" s="64">
        <v>17.0</v>
      </c>
      <c r="M8" s="61"/>
      <c r="N8" s="61"/>
      <c r="O8" s="46"/>
      <c r="P8" s="31"/>
      <c r="Q8" s="31"/>
    </row>
    <row r="9">
      <c r="A9" s="54"/>
      <c r="B9" s="55"/>
      <c r="C9" s="55"/>
      <c r="D9" s="55"/>
      <c r="E9" s="55"/>
      <c r="F9" s="56"/>
      <c r="G9" s="56"/>
      <c r="H9" s="56"/>
      <c r="I9" s="44"/>
      <c r="J9" s="62" t="s">
        <v>1276</v>
      </c>
      <c r="K9" s="66" t="s">
        <v>858</v>
      </c>
      <c r="L9" s="64">
        <v>4.0</v>
      </c>
      <c r="M9" s="61"/>
      <c r="N9" s="61"/>
      <c r="O9" s="46"/>
      <c r="P9" s="31"/>
      <c r="Q9" s="31"/>
    </row>
    <row r="10">
      <c r="A10" s="54"/>
      <c r="B10" s="55"/>
      <c r="C10" s="55"/>
      <c r="D10" s="55"/>
      <c r="E10" s="55"/>
      <c r="F10" s="56"/>
      <c r="G10" s="57"/>
      <c r="H10" s="56"/>
      <c r="I10" s="44"/>
      <c r="J10" s="62" t="s">
        <v>183</v>
      </c>
      <c r="K10" s="67" t="s">
        <v>184</v>
      </c>
      <c r="L10" s="64">
        <v>3.0</v>
      </c>
      <c r="M10" s="61"/>
      <c r="N10" s="61"/>
      <c r="O10" s="46"/>
      <c r="P10" s="31"/>
      <c r="Q10" s="31"/>
    </row>
    <row r="11">
      <c r="A11" s="68"/>
      <c r="B11" s="68"/>
      <c r="C11" s="68"/>
      <c r="D11" s="68"/>
      <c r="E11" s="68"/>
      <c r="F11" s="68"/>
      <c r="G11" s="68"/>
      <c r="H11" s="56"/>
      <c r="I11" s="44"/>
      <c r="J11" s="62" t="s">
        <v>1277</v>
      </c>
      <c r="K11" s="63" t="s">
        <v>90</v>
      </c>
      <c r="L11" s="64">
        <v>17.0</v>
      </c>
      <c r="M11" s="61"/>
      <c r="N11" s="61"/>
      <c r="O11" s="46"/>
      <c r="P11" s="31"/>
      <c r="Q11" s="31"/>
    </row>
    <row r="12">
      <c r="A12" s="68"/>
      <c r="B12" s="68"/>
      <c r="C12" s="68"/>
      <c r="D12" s="68"/>
      <c r="E12" s="68"/>
      <c r="F12" s="68"/>
      <c r="G12" s="68"/>
      <c r="H12" s="69"/>
      <c r="I12" s="44"/>
      <c r="J12" s="62" t="s">
        <v>1278</v>
      </c>
      <c r="K12" s="63" t="s">
        <v>144</v>
      </c>
      <c r="L12" s="64">
        <v>7.0</v>
      </c>
      <c r="M12" s="61"/>
      <c r="N12" s="61"/>
      <c r="O12" s="46"/>
      <c r="P12" s="31"/>
      <c r="Q12" s="31"/>
    </row>
    <row r="13">
      <c r="A13" s="70"/>
      <c r="B13" s="55"/>
      <c r="C13" s="55"/>
      <c r="D13" s="55"/>
      <c r="E13" s="55"/>
      <c r="F13" s="56"/>
      <c r="G13" s="71"/>
      <c r="H13" s="69"/>
      <c r="I13" s="44"/>
      <c r="J13" s="62" t="s">
        <v>1267</v>
      </c>
      <c r="K13" s="63" t="s">
        <v>123</v>
      </c>
      <c r="L13" s="64">
        <v>10.0</v>
      </c>
      <c r="M13" s="61"/>
      <c r="N13" s="61"/>
      <c r="O13" s="46"/>
      <c r="P13" s="31"/>
      <c r="Q13" s="31"/>
    </row>
    <row r="14">
      <c r="A14" s="54"/>
      <c r="B14" s="55"/>
      <c r="C14" s="55"/>
      <c r="D14" s="55"/>
      <c r="E14" s="55"/>
      <c r="F14" s="56"/>
      <c r="G14" s="71"/>
      <c r="H14" s="69"/>
      <c r="I14" s="44"/>
      <c r="J14" s="62" t="s">
        <v>1279</v>
      </c>
      <c r="K14" s="63" t="s">
        <v>141</v>
      </c>
      <c r="L14" s="64">
        <v>10.0</v>
      </c>
      <c r="M14" s="61"/>
      <c r="N14" s="61"/>
      <c r="O14" s="46"/>
      <c r="P14" s="31"/>
      <c r="Q14" s="31"/>
    </row>
    <row r="15">
      <c r="A15" s="54"/>
      <c r="B15" s="55"/>
      <c r="C15" s="55"/>
      <c r="D15" s="55"/>
      <c r="E15" s="55"/>
      <c r="F15" s="56"/>
      <c r="G15" s="71"/>
      <c r="H15" s="69"/>
      <c r="I15" s="44"/>
      <c r="J15" s="62" t="s">
        <v>1276</v>
      </c>
      <c r="K15" s="63" t="s">
        <v>1280</v>
      </c>
      <c r="L15" s="64">
        <v>2.0</v>
      </c>
      <c r="M15" s="61"/>
      <c r="N15" s="61"/>
      <c r="O15" s="46"/>
      <c r="P15" s="31"/>
      <c r="Q15" s="31"/>
    </row>
    <row r="16">
      <c r="A16" s="54"/>
      <c r="B16" s="55"/>
      <c r="C16" s="55"/>
      <c r="D16" s="55"/>
      <c r="E16" s="55"/>
      <c r="F16" s="56"/>
      <c r="G16" s="71"/>
      <c r="H16" s="69"/>
      <c r="I16" s="44"/>
      <c r="J16" s="62" t="s">
        <v>1281</v>
      </c>
      <c r="K16" s="63" t="s">
        <v>109</v>
      </c>
      <c r="L16" s="64">
        <v>8.0</v>
      </c>
      <c r="M16" s="61"/>
      <c r="N16" s="61"/>
      <c r="O16" s="46"/>
      <c r="P16" s="31"/>
      <c r="Q16" s="31"/>
    </row>
    <row r="17">
      <c r="A17" s="54"/>
      <c r="B17" s="55"/>
      <c r="C17" s="55"/>
      <c r="D17" s="55"/>
      <c r="E17" s="55"/>
      <c r="F17" s="56"/>
      <c r="G17" s="71"/>
      <c r="H17" s="69"/>
      <c r="I17" s="44"/>
      <c r="J17" s="62" t="s">
        <v>1282</v>
      </c>
      <c r="K17" s="63" t="s">
        <v>117</v>
      </c>
      <c r="L17" s="64">
        <v>12.0</v>
      </c>
      <c r="M17" s="61"/>
      <c r="N17" s="61"/>
      <c r="O17" s="46"/>
      <c r="P17" s="65" t="s">
        <v>1283</v>
      </c>
      <c r="Q17" s="31"/>
    </row>
    <row r="18">
      <c r="A18" s="54"/>
      <c r="B18" s="55"/>
      <c r="C18" s="55"/>
      <c r="D18" s="55"/>
      <c r="E18" s="55"/>
      <c r="F18" s="56"/>
      <c r="G18" s="71"/>
      <c r="H18" s="69"/>
      <c r="I18" s="44"/>
      <c r="J18" s="72" t="s">
        <v>1284</v>
      </c>
      <c r="K18" s="73" t="s">
        <v>102</v>
      </c>
      <c r="L18" s="74">
        <v>6.0</v>
      </c>
      <c r="M18" s="61"/>
      <c r="N18" s="61"/>
      <c r="O18" s="46"/>
      <c r="P18" s="31"/>
      <c r="Q18" s="31"/>
    </row>
    <row r="19">
      <c r="A19" s="54"/>
      <c r="B19" s="55"/>
      <c r="C19" s="55"/>
      <c r="D19" s="55"/>
      <c r="E19" s="55"/>
      <c r="F19" s="56"/>
      <c r="G19" s="71"/>
      <c r="H19" s="69"/>
      <c r="I19" s="44"/>
      <c r="J19" s="75"/>
      <c r="K19" s="76"/>
      <c r="L19" s="77"/>
      <c r="M19" s="78"/>
      <c r="N19" s="79"/>
      <c r="O19" s="46"/>
      <c r="P19" s="31"/>
      <c r="Q19" s="31"/>
    </row>
    <row r="20">
      <c r="A20" s="54"/>
      <c r="B20" s="55"/>
      <c r="C20" s="55"/>
      <c r="D20" s="55"/>
      <c r="E20" s="55"/>
      <c r="F20" s="56"/>
      <c r="G20" s="71"/>
      <c r="H20" s="69"/>
      <c r="I20" s="44"/>
      <c r="J20" s="76"/>
      <c r="K20" s="76"/>
      <c r="L20" s="80">
        <f>sum(L3:L18)</f>
        <v>190</v>
      </c>
      <c r="M20" s="81"/>
      <c r="N20" s="82">
        <f>average(N3:N18)</f>
        <v>1</v>
      </c>
      <c r="O20" s="46"/>
      <c r="P20" s="31"/>
      <c r="Q20" s="31"/>
    </row>
    <row r="21">
      <c r="A21" s="54"/>
      <c r="B21" s="55"/>
      <c r="C21" s="55"/>
      <c r="D21" s="55"/>
      <c r="E21" s="55"/>
      <c r="F21" s="56"/>
      <c r="G21" s="71"/>
      <c r="H21" s="69"/>
      <c r="I21" s="44"/>
      <c r="J21" s="44"/>
      <c r="K21" s="44"/>
      <c r="L21" s="44"/>
      <c r="M21" s="44"/>
      <c r="N21" s="44"/>
      <c r="O21" s="52"/>
      <c r="P21" s="53"/>
      <c r="Q21" s="53"/>
    </row>
    <row r="22">
      <c r="A22" s="54"/>
      <c r="B22" s="55"/>
      <c r="C22" s="55"/>
      <c r="D22" s="55"/>
      <c r="E22" s="55"/>
      <c r="F22" s="56"/>
      <c r="G22" s="71"/>
      <c r="H22" s="69"/>
      <c r="I22" s="44"/>
      <c r="J22" s="44"/>
      <c r="K22" s="44"/>
      <c r="L22" s="44"/>
      <c r="M22" s="44"/>
      <c r="N22" s="44"/>
      <c r="O22" s="52"/>
      <c r="P22" s="53"/>
      <c r="Q22" s="53"/>
    </row>
    <row r="23">
      <c r="A23" s="54"/>
      <c r="B23" s="55"/>
      <c r="C23" s="55"/>
      <c r="D23" s="55"/>
      <c r="E23" s="55"/>
      <c r="F23" s="56"/>
      <c r="G23" s="71"/>
      <c r="H23" s="69"/>
      <c r="I23" s="44"/>
      <c r="J23" s="44"/>
      <c r="K23" s="44"/>
      <c r="L23" s="44"/>
      <c r="M23" s="44"/>
      <c r="N23" s="44"/>
      <c r="O23" s="52"/>
      <c r="P23" s="53"/>
      <c r="Q23" s="53"/>
    </row>
    <row r="24">
      <c r="A24" s="54"/>
      <c r="B24" s="55"/>
      <c r="C24" s="55"/>
      <c r="D24" s="55"/>
      <c r="E24" s="55"/>
      <c r="F24" s="56"/>
      <c r="G24" s="71"/>
      <c r="H24" s="69"/>
      <c r="I24" s="44"/>
      <c r="J24" s="44"/>
      <c r="K24" s="44"/>
      <c r="L24" s="44"/>
      <c r="M24" s="44"/>
      <c r="N24" s="44"/>
      <c r="O24" s="52"/>
      <c r="P24" s="53"/>
      <c r="Q24" s="53"/>
    </row>
    <row r="25">
      <c r="A25" s="54"/>
      <c r="B25" s="55"/>
      <c r="C25" s="55"/>
      <c r="D25" s="55"/>
      <c r="E25" s="55"/>
      <c r="F25" s="56"/>
      <c r="G25" s="71"/>
      <c r="H25" s="69"/>
      <c r="I25" s="44"/>
      <c r="J25" s="44"/>
      <c r="K25" s="44"/>
      <c r="L25" s="44"/>
      <c r="M25" s="44"/>
      <c r="N25" s="44"/>
      <c r="O25" s="52"/>
      <c r="P25" s="53"/>
      <c r="Q25" s="53"/>
    </row>
    <row r="26">
      <c r="A26" s="54"/>
      <c r="B26" s="55"/>
      <c r="C26" s="55"/>
      <c r="D26" s="55"/>
      <c r="E26" s="55"/>
      <c r="F26" s="56"/>
      <c r="G26" s="71"/>
      <c r="H26" s="69"/>
      <c r="I26" s="44"/>
      <c r="J26" s="44"/>
      <c r="K26" s="44"/>
      <c r="L26" s="44"/>
      <c r="M26" s="44"/>
      <c r="N26" s="44"/>
      <c r="O26" s="52"/>
      <c r="P26" s="53"/>
      <c r="Q26" s="53"/>
    </row>
    <row r="27">
      <c r="A27" s="54"/>
      <c r="B27" s="55"/>
      <c r="C27" s="55"/>
      <c r="D27" s="55"/>
      <c r="E27" s="55"/>
      <c r="F27" s="56"/>
      <c r="G27" s="71"/>
      <c r="H27" s="69"/>
      <c r="I27" s="44"/>
      <c r="J27" s="44"/>
      <c r="K27" s="44"/>
      <c r="L27" s="44"/>
      <c r="M27" s="44"/>
      <c r="N27" s="44"/>
      <c r="O27" s="52"/>
      <c r="P27" s="53"/>
      <c r="Q27" s="53"/>
    </row>
    <row r="28">
      <c r="A28" s="54"/>
      <c r="B28" s="55"/>
      <c r="C28" s="55"/>
      <c r="D28" s="55"/>
      <c r="E28" s="55"/>
      <c r="F28" s="56"/>
      <c r="G28" s="71"/>
      <c r="H28" s="69"/>
      <c r="I28" s="44"/>
      <c r="J28" s="44"/>
      <c r="K28" s="44"/>
      <c r="L28" s="44"/>
      <c r="M28" s="44"/>
      <c r="N28" s="44"/>
      <c r="O28" s="52"/>
      <c r="P28" s="53"/>
      <c r="Q28" s="53"/>
    </row>
    <row r="29">
      <c r="A29" s="54"/>
      <c r="B29" s="55"/>
      <c r="C29" s="55"/>
      <c r="D29" s="55"/>
      <c r="E29" s="55"/>
      <c r="F29" s="56"/>
      <c r="G29" s="71"/>
      <c r="H29" s="69"/>
      <c r="I29" s="44"/>
      <c r="J29" s="44"/>
      <c r="K29" s="44"/>
      <c r="L29" s="44"/>
      <c r="M29" s="44"/>
      <c r="N29" s="44"/>
      <c r="O29" s="46"/>
      <c r="P29" s="31"/>
      <c r="Q29" s="31"/>
    </row>
    <row r="30">
      <c r="A30" s="54"/>
      <c r="B30" s="55"/>
      <c r="C30" s="55"/>
      <c r="D30" s="55"/>
      <c r="E30" s="55"/>
      <c r="F30" s="56"/>
      <c r="G30" s="71"/>
      <c r="H30" s="69"/>
      <c r="I30" s="44"/>
      <c r="J30" s="44"/>
      <c r="K30" s="44"/>
      <c r="L30" s="44"/>
      <c r="M30" s="44"/>
      <c r="N30" s="44"/>
      <c r="O30" s="46"/>
      <c r="P30" s="53"/>
      <c r="Q30" s="31"/>
    </row>
    <row r="31">
      <c r="A31" s="54"/>
      <c r="B31" s="55"/>
      <c r="C31" s="55"/>
      <c r="D31" s="55"/>
      <c r="E31" s="55"/>
      <c r="F31" s="56"/>
      <c r="G31" s="71"/>
      <c r="H31" s="69"/>
      <c r="I31" s="44"/>
      <c r="J31" s="44"/>
      <c r="K31" s="44"/>
      <c r="L31" s="44"/>
      <c r="M31" s="44"/>
      <c r="N31" s="44"/>
      <c r="O31" s="46"/>
      <c r="P31" s="31"/>
      <c r="Q31" s="31"/>
    </row>
    <row r="32">
      <c r="A32" s="54"/>
      <c r="B32" s="55"/>
      <c r="C32" s="55"/>
      <c r="D32" s="55"/>
      <c r="E32" s="55"/>
      <c r="F32" s="56"/>
      <c r="G32" s="71"/>
      <c r="H32" s="69"/>
      <c r="I32" s="44"/>
      <c r="J32" s="44"/>
      <c r="K32" s="44"/>
      <c r="L32" s="44"/>
      <c r="M32" s="44"/>
      <c r="N32" s="44"/>
      <c r="O32" s="46"/>
      <c r="P32" s="31"/>
      <c r="Q32" s="31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6"/>
      <c r="P33" s="31"/>
      <c r="Q33" s="31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6"/>
      <c r="P34" s="31"/>
      <c r="Q34" s="31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6"/>
      <c r="P35" s="31"/>
      <c r="Q35" s="31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6"/>
      <c r="P36" s="31"/>
      <c r="Q36" s="31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6"/>
      <c r="P37" s="31"/>
      <c r="Q37" s="31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6"/>
      <c r="P38" s="31"/>
      <c r="Q38" s="31"/>
    </row>
    <row r="39">
      <c r="A39" s="83"/>
      <c r="B39" s="84"/>
      <c r="C39" s="84"/>
      <c r="D39" s="84"/>
      <c r="E39" s="84"/>
      <c r="F39" s="85"/>
      <c r="G39" s="86"/>
      <c r="H39" s="87"/>
      <c r="I39" s="44"/>
      <c r="J39" s="44"/>
      <c r="K39" s="44"/>
      <c r="L39" s="44"/>
      <c r="M39" s="44"/>
      <c r="N39" s="44"/>
      <c r="O39" s="46"/>
      <c r="P39" s="31"/>
      <c r="Q39" s="31"/>
    </row>
    <row r="40">
      <c r="A40" s="83"/>
      <c r="B40" s="84"/>
      <c r="C40" s="84"/>
      <c r="D40" s="84"/>
      <c r="E40" s="84"/>
      <c r="F40" s="85"/>
      <c r="G40" s="86"/>
      <c r="H40" s="87"/>
      <c r="I40" s="44"/>
      <c r="J40" s="44"/>
      <c r="K40" s="44"/>
      <c r="L40" s="44"/>
      <c r="M40" s="44"/>
      <c r="N40" s="44"/>
      <c r="O40" s="46"/>
      <c r="P40" s="31"/>
      <c r="Q40" s="31"/>
    </row>
    <row r="41">
      <c r="A41" s="83"/>
      <c r="B41" s="84"/>
      <c r="C41" s="84"/>
      <c r="D41" s="84"/>
      <c r="E41" s="84"/>
      <c r="F41" s="85"/>
      <c r="G41" s="86"/>
      <c r="H41" s="87"/>
      <c r="I41" s="44"/>
      <c r="J41" s="44"/>
      <c r="K41" s="44"/>
      <c r="L41" s="44"/>
      <c r="M41" s="44"/>
      <c r="N41" s="44"/>
      <c r="O41" s="46"/>
      <c r="P41" s="31"/>
      <c r="Q41" s="31"/>
    </row>
    <row r="42">
      <c r="A42" s="83"/>
      <c r="B42" s="84"/>
      <c r="C42" s="84"/>
      <c r="D42" s="84"/>
      <c r="E42" s="84"/>
      <c r="F42" s="85"/>
      <c r="G42" s="86"/>
      <c r="H42" s="87"/>
      <c r="I42" s="44"/>
      <c r="J42" s="44"/>
      <c r="K42" s="44"/>
      <c r="L42" s="44"/>
      <c r="M42" s="44"/>
      <c r="N42" s="44"/>
      <c r="O42" s="46"/>
      <c r="P42" s="31"/>
      <c r="Q42" s="31"/>
    </row>
    <row r="43">
      <c r="A43" s="88"/>
      <c r="B43" s="89" t="str">
        <f>vlookup(A43,Masterview!A$2:N$1075, 3, False)</f>
        <v>#N/A</v>
      </c>
      <c r="C43" s="89" t="str">
        <f>vlookup(A43,Masterview!A$2:N$1075, 4, False)</f>
        <v>#N/A</v>
      </c>
      <c r="D43" s="89" t="str">
        <f>vlookup(A43,Masterview!A$2:N$1075,5, False)</f>
        <v>#N/A</v>
      </c>
      <c r="E43" s="89" t="str">
        <f>vlookup(A43,Masterview!A$2:N$1075,6, False)</f>
        <v>#N/A</v>
      </c>
      <c r="F43" s="89"/>
      <c r="G43" s="89" t="str">
        <f>vlookup(A43,Masterview!A$2:N$928, 10, False)</f>
        <v>#N/A</v>
      </c>
      <c r="H43" s="89"/>
      <c r="I43" s="44"/>
      <c r="J43" s="44"/>
      <c r="K43" s="44"/>
      <c r="L43" s="44"/>
      <c r="M43" s="44"/>
      <c r="N43" s="44"/>
      <c r="O43" s="46"/>
      <c r="P43" s="31"/>
      <c r="Q43" s="31"/>
    </row>
    <row r="44">
      <c r="A44" s="90"/>
      <c r="B44" s="91"/>
      <c r="C44" s="91"/>
      <c r="D44" s="91"/>
      <c r="E44" s="91"/>
      <c r="F44" s="91"/>
      <c r="G44" s="91"/>
      <c r="H44" s="91"/>
      <c r="O44" s="31"/>
      <c r="P44" s="31"/>
      <c r="Q44" s="31"/>
    </row>
    <row r="45">
      <c r="A45" s="90"/>
      <c r="B45" s="91"/>
      <c r="C45" s="91"/>
      <c r="D45" s="91"/>
      <c r="E45" s="91"/>
      <c r="F45" s="91"/>
      <c r="G45" s="91"/>
      <c r="H45" s="91"/>
      <c r="O45" s="31"/>
      <c r="P45" s="31"/>
      <c r="Q45" s="31"/>
    </row>
    <row r="46">
      <c r="A46" s="90"/>
      <c r="B46" s="91"/>
      <c r="C46" s="91"/>
      <c r="D46" s="91"/>
      <c r="E46" s="91"/>
      <c r="F46" s="91"/>
      <c r="G46" s="91"/>
      <c r="H46" s="91"/>
      <c r="O46" s="31"/>
      <c r="P46" s="31"/>
      <c r="Q46" s="31"/>
    </row>
    <row r="47">
      <c r="A47" s="90"/>
      <c r="B47" s="91"/>
      <c r="C47" s="91"/>
      <c r="D47" s="91"/>
      <c r="E47" s="91"/>
      <c r="F47" s="91"/>
      <c r="G47" s="91"/>
      <c r="H47" s="91"/>
      <c r="O47" s="31"/>
      <c r="P47" s="31"/>
      <c r="Q47" s="31"/>
    </row>
    <row r="48">
      <c r="A48" s="90"/>
      <c r="B48" s="91"/>
      <c r="C48" s="91"/>
      <c r="D48" s="91"/>
      <c r="E48" s="91"/>
      <c r="F48" s="91"/>
      <c r="G48" s="91"/>
      <c r="H48" s="91"/>
      <c r="O48" s="31"/>
      <c r="P48" s="31"/>
      <c r="Q48" s="31"/>
    </row>
    <row r="49">
      <c r="A49" s="90"/>
      <c r="B49" s="91"/>
      <c r="C49" s="91"/>
      <c r="D49" s="91"/>
      <c r="E49" s="91"/>
      <c r="F49" s="91"/>
      <c r="G49" s="91"/>
      <c r="H49" s="91"/>
      <c r="O49" s="31"/>
      <c r="P49" s="31"/>
      <c r="Q49" s="31"/>
    </row>
    <row r="50">
      <c r="A50" s="90"/>
      <c r="B50" s="91"/>
      <c r="C50" s="91"/>
      <c r="D50" s="91"/>
      <c r="E50" s="91"/>
      <c r="F50" s="91"/>
      <c r="G50" s="91"/>
      <c r="H50" s="91"/>
      <c r="O50" s="31"/>
      <c r="P50" s="31"/>
      <c r="Q50" s="31"/>
    </row>
    <row r="51">
      <c r="A51" s="90"/>
      <c r="B51" s="91"/>
      <c r="C51" s="91"/>
      <c r="D51" s="91"/>
      <c r="E51" s="91"/>
      <c r="F51" s="91"/>
      <c r="G51" s="91"/>
      <c r="H51" s="91"/>
      <c r="O51" s="31"/>
      <c r="P51" s="31"/>
      <c r="Q51" s="31"/>
    </row>
    <row r="52">
      <c r="A52" s="90"/>
      <c r="B52" s="91"/>
      <c r="C52" s="91"/>
      <c r="D52" s="91"/>
      <c r="E52" s="91"/>
      <c r="F52" s="91"/>
      <c r="G52" s="91"/>
      <c r="H52" s="91"/>
      <c r="O52" s="31"/>
      <c r="P52" s="31"/>
      <c r="Q52" s="31"/>
    </row>
    <row r="53">
      <c r="A53" s="90"/>
      <c r="B53" s="91"/>
      <c r="C53" s="91"/>
      <c r="D53" s="91"/>
      <c r="E53" s="91"/>
      <c r="F53" s="91"/>
      <c r="G53" s="91"/>
      <c r="H53" s="91"/>
      <c r="O53" s="31"/>
      <c r="P53" s="31"/>
      <c r="Q53" s="31"/>
    </row>
    <row r="54">
      <c r="A54" s="90"/>
      <c r="B54" s="91"/>
      <c r="C54" s="91"/>
      <c r="D54" s="91"/>
      <c r="E54" s="91"/>
      <c r="F54" s="91"/>
      <c r="G54" s="91"/>
      <c r="H54" s="91"/>
      <c r="O54" s="31"/>
      <c r="P54" s="31"/>
      <c r="Q54" s="31"/>
    </row>
    <row r="55">
      <c r="A55" s="90"/>
      <c r="B55" s="91"/>
      <c r="C55" s="91"/>
      <c r="D55" s="91"/>
      <c r="E55" s="91"/>
      <c r="F55" s="91"/>
      <c r="G55" s="91"/>
      <c r="H55" s="91"/>
      <c r="O55" s="31"/>
      <c r="P55" s="31"/>
      <c r="Q55" s="31"/>
    </row>
    <row r="56">
      <c r="A56" s="90"/>
      <c r="B56" s="91"/>
      <c r="C56" s="91"/>
      <c r="D56" s="91"/>
      <c r="E56" s="91"/>
      <c r="F56" s="91"/>
      <c r="G56" s="91"/>
      <c r="H56" s="91"/>
      <c r="O56" s="31"/>
      <c r="P56" s="31"/>
      <c r="Q56" s="31"/>
    </row>
    <row r="57">
      <c r="A57" s="90"/>
      <c r="B57" s="91"/>
      <c r="C57" s="91"/>
      <c r="D57" s="91"/>
      <c r="E57" s="91"/>
      <c r="F57" s="91"/>
      <c r="G57" s="91"/>
      <c r="H57" s="91"/>
      <c r="O57" s="31"/>
      <c r="P57" s="31"/>
      <c r="Q57" s="31"/>
    </row>
    <row r="58">
      <c r="A58" s="90"/>
      <c r="B58" s="91"/>
      <c r="C58" s="91"/>
      <c r="D58" s="91"/>
      <c r="E58" s="91"/>
      <c r="F58" s="91"/>
      <c r="G58" s="91"/>
      <c r="H58" s="91"/>
      <c r="O58" s="31"/>
      <c r="P58" s="31"/>
      <c r="Q58" s="31"/>
    </row>
    <row r="59">
      <c r="A59" s="90"/>
      <c r="B59" s="91"/>
      <c r="C59" s="91"/>
      <c r="D59" s="91"/>
      <c r="E59" s="91"/>
      <c r="F59" s="91"/>
      <c r="G59" s="91"/>
      <c r="H59" s="91"/>
      <c r="O59" s="31"/>
      <c r="P59" s="31"/>
      <c r="Q59" s="31"/>
    </row>
    <row r="60">
      <c r="A60" s="90"/>
      <c r="B60" s="91"/>
      <c r="C60" s="91"/>
      <c r="D60" s="91"/>
      <c r="E60" s="91"/>
      <c r="F60" s="91"/>
      <c r="G60" s="91"/>
      <c r="H60" s="91"/>
      <c r="O60" s="31"/>
      <c r="P60" s="31"/>
      <c r="Q60" s="31"/>
    </row>
    <row r="61">
      <c r="A61" s="90"/>
      <c r="B61" s="91"/>
      <c r="C61" s="91"/>
      <c r="D61" s="91"/>
      <c r="E61" s="91"/>
      <c r="F61" s="91"/>
      <c r="G61" s="91"/>
      <c r="H61" s="91"/>
      <c r="O61" s="31"/>
      <c r="P61" s="31"/>
      <c r="Q61" s="31"/>
    </row>
    <row r="62">
      <c r="A62" s="90"/>
      <c r="B62" s="91"/>
      <c r="C62" s="91"/>
      <c r="D62" s="91"/>
      <c r="E62" s="91"/>
      <c r="F62" s="91"/>
      <c r="G62" s="91"/>
      <c r="H62" s="91"/>
      <c r="O62" s="31"/>
      <c r="P62" s="31"/>
      <c r="Q62" s="31"/>
    </row>
    <row r="63">
      <c r="A63" s="90"/>
      <c r="B63" s="91"/>
      <c r="C63" s="91"/>
      <c r="D63" s="91"/>
      <c r="E63" s="91"/>
      <c r="F63" s="91"/>
      <c r="G63" s="91"/>
      <c r="H63" s="91"/>
      <c r="O63" s="31"/>
      <c r="P63" s="31"/>
      <c r="Q63" s="31"/>
    </row>
    <row r="64">
      <c r="A64" s="90"/>
      <c r="B64" s="91"/>
      <c r="C64" s="91"/>
      <c r="D64" s="91"/>
      <c r="E64" s="91"/>
      <c r="F64" s="91"/>
      <c r="G64" s="91"/>
      <c r="H64" s="91"/>
      <c r="O64" s="31"/>
      <c r="P64" s="31"/>
      <c r="Q64" s="31"/>
    </row>
    <row r="65">
      <c r="A65" s="90"/>
      <c r="B65" s="91"/>
      <c r="C65" s="91"/>
      <c r="D65" s="91"/>
      <c r="E65" s="91"/>
      <c r="F65" s="91"/>
      <c r="G65" s="91"/>
      <c r="H65" s="91"/>
      <c r="O65" s="31"/>
      <c r="P65" s="31"/>
      <c r="Q65" s="31"/>
    </row>
    <row r="66">
      <c r="A66" s="90"/>
      <c r="B66" s="91"/>
      <c r="C66" s="91"/>
      <c r="D66" s="91"/>
      <c r="E66" s="91"/>
      <c r="F66" s="91"/>
      <c r="G66" s="91"/>
      <c r="H66" s="91"/>
      <c r="O66" s="31"/>
      <c r="P66" s="31"/>
      <c r="Q66" s="31"/>
    </row>
    <row r="67">
      <c r="A67" s="90"/>
      <c r="B67" s="91"/>
      <c r="C67" s="91"/>
      <c r="D67" s="91"/>
      <c r="E67" s="91"/>
      <c r="F67" s="91"/>
      <c r="G67" s="91"/>
      <c r="H67" s="91"/>
      <c r="O67" s="31"/>
      <c r="P67" s="31"/>
      <c r="Q67" s="31"/>
    </row>
    <row r="68">
      <c r="A68" s="90"/>
      <c r="B68" s="91"/>
      <c r="C68" s="91"/>
      <c r="D68" s="91"/>
      <c r="E68" s="91"/>
      <c r="F68" s="91"/>
      <c r="G68" s="91"/>
      <c r="H68" s="91"/>
      <c r="O68" s="31"/>
      <c r="P68" s="31"/>
      <c r="Q68" s="31"/>
    </row>
    <row r="69">
      <c r="A69" s="90"/>
      <c r="B69" s="91"/>
      <c r="C69" s="91"/>
      <c r="D69" s="91"/>
      <c r="E69" s="91"/>
      <c r="F69" s="91"/>
      <c r="G69" s="91"/>
      <c r="H69" s="91"/>
      <c r="O69" s="31"/>
      <c r="P69" s="31"/>
      <c r="Q69" s="31"/>
    </row>
    <row r="70">
      <c r="A70" s="90"/>
      <c r="B70" s="91"/>
      <c r="C70" s="91"/>
      <c r="D70" s="91"/>
      <c r="E70" s="91"/>
      <c r="F70" s="91"/>
      <c r="G70" s="91"/>
      <c r="H70" s="91"/>
      <c r="O70" s="31"/>
      <c r="P70" s="31"/>
      <c r="Q70" s="31"/>
    </row>
    <row r="71">
      <c r="A71" s="90"/>
      <c r="B71" s="91"/>
      <c r="C71" s="91"/>
      <c r="D71" s="91"/>
      <c r="E71" s="91"/>
      <c r="F71" s="91"/>
      <c r="G71" s="91"/>
      <c r="H71" s="91"/>
      <c r="O71" s="31"/>
      <c r="P71" s="31"/>
      <c r="Q71" s="31"/>
    </row>
    <row r="72">
      <c r="A72" s="90"/>
      <c r="B72" s="91"/>
      <c r="C72" s="91"/>
      <c r="D72" s="91"/>
      <c r="E72" s="91"/>
      <c r="F72" s="91"/>
      <c r="G72" s="91"/>
      <c r="H72" s="91"/>
      <c r="O72" s="31"/>
      <c r="P72" s="31"/>
      <c r="Q72" s="31"/>
    </row>
    <row r="73">
      <c r="A73" s="90"/>
      <c r="B73" s="91"/>
      <c r="C73" s="91"/>
      <c r="D73" s="91"/>
      <c r="E73" s="91"/>
      <c r="F73" s="91"/>
      <c r="G73" s="91"/>
      <c r="H73" s="91"/>
      <c r="O73" s="31"/>
      <c r="P73" s="31"/>
      <c r="Q73" s="31"/>
    </row>
    <row r="74">
      <c r="A74" s="90"/>
      <c r="B74" s="91"/>
      <c r="C74" s="91"/>
      <c r="D74" s="91"/>
      <c r="E74" s="91"/>
      <c r="F74" s="91"/>
      <c r="G74" s="91"/>
      <c r="H74" s="91"/>
      <c r="O74" s="31"/>
      <c r="P74" s="31"/>
      <c r="Q74" s="31"/>
    </row>
    <row r="75">
      <c r="A75" s="90"/>
      <c r="B75" s="91"/>
      <c r="C75" s="91"/>
      <c r="D75" s="91"/>
      <c r="E75" s="91"/>
      <c r="F75" s="91"/>
      <c r="G75" s="91"/>
      <c r="H75" s="91"/>
      <c r="O75" s="31"/>
      <c r="P75" s="31"/>
      <c r="Q75" s="31"/>
    </row>
    <row r="76">
      <c r="A76" s="90"/>
      <c r="B76" s="91"/>
      <c r="C76" s="91"/>
      <c r="D76" s="91"/>
      <c r="E76" s="91"/>
      <c r="F76" s="91"/>
      <c r="G76" s="91"/>
      <c r="H76" s="91"/>
      <c r="O76" s="31"/>
      <c r="P76" s="31"/>
      <c r="Q76" s="31"/>
    </row>
    <row r="77">
      <c r="A77" s="90"/>
      <c r="B77" s="91"/>
      <c r="C77" s="91"/>
      <c r="D77" s="91"/>
      <c r="E77" s="91"/>
      <c r="F77" s="91"/>
      <c r="G77" s="91"/>
      <c r="H77" s="91"/>
      <c r="O77" s="31"/>
      <c r="P77" s="31"/>
      <c r="Q77" s="31"/>
    </row>
    <row r="78">
      <c r="A78" s="90"/>
      <c r="B78" s="91"/>
      <c r="C78" s="91"/>
      <c r="D78" s="91"/>
      <c r="E78" s="91"/>
      <c r="F78" s="91"/>
      <c r="G78" s="91"/>
      <c r="H78" s="91"/>
      <c r="O78" s="31"/>
      <c r="P78" s="31"/>
      <c r="Q78" s="31"/>
    </row>
    <row r="79">
      <c r="A79" s="90"/>
      <c r="B79" s="91"/>
      <c r="C79" s="91"/>
      <c r="D79" s="91"/>
      <c r="E79" s="91"/>
      <c r="F79" s="91"/>
      <c r="G79" s="91"/>
      <c r="H79" s="91"/>
      <c r="O79" s="31"/>
      <c r="P79" s="31"/>
      <c r="Q79" s="31"/>
    </row>
    <row r="80">
      <c r="A80" s="90"/>
      <c r="B80" s="91"/>
      <c r="C80" s="91"/>
      <c r="D80" s="91"/>
      <c r="E80" s="91"/>
      <c r="F80" s="91"/>
      <c r="G80" s="91"/>
      <c r="H80" s="91"/>
      <c r="O80" s="31"/>
      <c r="P80" s="31"/>
      <c r="Q80" s="31"/>
    </row>
    <row r="81">
      <c r="A81" s="90"/>
      <c r="B81" s="91"/>
      <c r="C81" s="91"/>
      <c r="D81" s="91"/>
      <c r="E81" s="91"/>
      <c r="F81" s="91"/>
      <c r="G81" s="91"/>
      <c r="H81" s="91"/>
      <c r="O81" s="31"/>
      <c r="P81" s="31"/>
      <c r="Q81" s="31"/>
    </row>
    <row r="82">
      <c r="A82" s="90"/>
      <c r="B82" s="91"/>
      <c r="C82" s="91"/>
      <c r="D82" s="91"/>
      <c r="E82" s="91"/>
      <c r="F82" s="91"/>
      <c r="G82" s="91"/>
      <c r="H82" s="91"/>
      <c r="O82" s="31"/>
      <c r="P82" s="31"/>
      <c r="Q82" s="31"/>
    </row>
    <row r="83">
      <c r="A83" s="90"/>
      <c r="B83" s="91"/>
      <c r="C83" s="91"/>
      <c r="D83" s="91"/>
      <c r="E83" s="91"/>
      <c r="F83" s="91"/>
      <c r="G83" s="91"/>
      <c r="H83" s="91"/>
      <c r="O83" s="31"/>
      <c r="P83" s="31"/>
      <c r="Q83" s="31"/>
    </row>
    <row r="84">
      <c r="A84" s="90"/>
      <c r="B84" s="91"/>
      <c r="C84" s="91"/>
      <c r="D84" s="91"/>
      <c r="E84" s="91"/>
      <c r="F84" s="91"/>
      <c r="G84" s="91"/>
      <c r="H84" s="91"/>
      <c r="O84" s="31"/>
      <c r="P84" s="31"/>
      <c r="Q84" s="31"/>
    </row>
    <row r="85">
      <c r="A85" s="90"/>
      <c r="B85" s="91"/>
      <c r="C85" s="91"/>
      <c r="D85" s="91"/>
      <c r="E85" s="91"/>
      <c r="F85" s="91"/>
      <c r="G85" s="91"/>
      <c r="H85" s="91"/>
      <c r="O85" s="31"/>
      <c r="P85" s="31"/>
      <c r="Q85" s="31"/>
    </row>
    <row r="86">
      <c r="A86" s="90"/>
      <c r="B86" s="91"/>
      <c r="C86" s="91"/>
      <c r="D86" s="91"/>
      <c r="E86" s="91"/>
      <c r="F86" s="91"/>
      <c r="G86" s="91"/>
      <c r="H86" s="91"/>
      <c r="O86" s="31"/>
      <c r="P86" s="31"/>
      <c r="Q86" s="31"/>
    </row>
    <row r="87">
      <c r="A87" s="90"/>
      <c r="B87" s="91"/>
      <c r="C87" s="91"/>
      <c r="D87" s="91"/>
      <c r="E87" s="91"/>
      <c r="F87" s="91"/>
      <c r="G87" s="91"/>
      <c r="H87" s="91"/>
      <c r="O87" s="31"/>
      <c r="P87" s="31"/>
      <c r="Q87" s="31"/>
    </row>
    <row r="88">
      <c r="A88" s="90"/>
      <c r="B88" s="91"/>
      <c r="C88" s="91"/>
      <c r="D88" s="91"/>
      <c r="E88" s="91"/>
      <c r="F88" s="91"/>
      <c r="G88" s="91"/>
      <c r="H88" s="91"/>
      <c r="O88" s="31"/>
      <c r="P88" s="31"/>
      <c r="Q88" s="31"/>
    </row>
    <row r="89">
      <c r="A89" s="90"/>
      <c r="B89" s="91"/>
      <c r="C89" s="91"/>
      <c r="D89" s="91"/>
      <c r="E89" s="91"/>
      <c r="F89" s="91"/>
      <c r="G89" s="91"/>
      <c r="H89" s="91"/>
      <c r="O89" s="31"/>
      <c r="P89" s="31"/>
      <c r="Q89" s="31"/>
    </row>
    <row r="90">
      <c r="A90" s="90"/>
      <c r="B90" s="91"/>
      <c r="C90" s="91"/>
      <c r="D90" s="91"/>
      <c r="E90" s="91"/>
      <c r="F90" s="91"/>
      <c r="G90" s="91"/>
      <c r="H90" s="91"/>
      <c r="O90" s="31"/>
      <c r="P90" s="31"/>
      <c r="Q90" s="31"/>
    </row>
    <row r="91">
      <c r="A91" s="90"/>
      <c r="B91" s="91"/>
      <c r="C91" s="91"/>
      <c r="D91" s="91"/>
      <c r="E91" s="91"/>
      <c r="F91" s="91"/>
      <c r="G91" s="91"/>
      <c r="H91" s="91"/>
      <c r="O91" s="31"/>
      <c r="P91" s="31"/>
      <c r="Q91" s="31"/>
    </row>
    <row r="92">
      <c r="A92" s="90"/>
      <c r="B92" s="91"/>
      <c r="C92" s="91"/>
      <c r="D92" s="91"/>
      <c r="E92" s="91"/>
      <c r="F92" s="91"/>
      <c r="G92" s="91"/>
      <c r="H92" s="91"/>
      <c r="O92" s="31"/>
      <c r="P92" s="31"/>
      <c r="Q92" s="31"/>
    </row>
    <row r="93">
      <c r="A93" s="90"/>
      <c r="B93" s="91"/>
      <c r="C93" s="91"/>
      <c r="D93" s="91"/>
      <c r="E93" s="91"/>
      <c r="F93" s="91"/>
      <c r="G93" s="91"/>
      <c r="H93" s="91"/>
      <c r="O93" s="31"/>
      <c r="P93" s="31"/>
      <c r="Q93" s="31"/>
    </row>
    <row r="94">
      <c r="A94" s="90"/>
      <c r="B94" s="91"/>
      <c r="C94" s="91"/>
      <c r="D94" s="91"/>
      <c r="E94" s="91"/>
      <c r="F94" s="91"/>
      <c r="G94" s="91"/>
      <c r="H94" s="91"/>
      <c r="O94" s="31"/>
      <c r="P94" s="31"/>
      <c r="Q94" s="31"/>
    </row>
    <row r="95">
      <c r="A95" s="90"/>
      <c r="B95" s="91"/>
      <c r="C95" s="91"/>
      <c r="D95" s="91"/>
      <c r="E95" s="91"/>
      <c r="F95" s="91"/>
      <c r="G95" s="91"/>
      <c r="H95" s="91"/>
      <c r="O95" s="31"/>
      <c r="P95" s="31"/>
      <c r="Q95" s="31"/>
    </row>
    <row r="96">
      <c r="A96" s="90"/>
      <c r="B96" s="91"/>
      <c r="C96" s="91"/>
      <c r="D96" s="91"/>
      <c r="E96" s="91"/>
      <c r="F96" s="91"/>
      <c r="G96" s="91"/>
      <c r="H96" s="91"/>
      <c r="O96" s="31"/>
      <c r="P96" s="31"/>
      <c r="Q96" s="31"/>
    </row>
    <row r="97">
      <c r="A97" s="90"/>
      <c r="B97" s="91"/>
      <c r="C97" s="91"/>
      <c r="D97" s="91"/>
      <c r="E97" s="91"/>
      <c r="F97" s="91"/>
      <c r="G97" s="91"/>
      <c r="H97" s="91"/>
      <c r="O97" s="31"/>
      <c r="P97" s="31"/>
      <c r="Q97" s="31"/>
    </row>
    <row r="98">
      <c r="A98" s="90"/>
      <c r="B98" s="91"/>
      <c r="C98" s="91"/>
      <c r="D98" s="91"/>
      <c r="E98" s="91"/>
      <c r="F98" s="91"/>
      <c r="G98" s="91"/>
      <c r="H98" s="91"/>
      <c r="O98" s="31"/>
      <c r="P98" s="31"/>
      <c r="Q98" s="31"/>
    </row>
    <row r="99">
      <c r="A99" s="90"/>
      <c r="B99" s="91"/>
      <c r="C99" s="91"/>
      <c r="D99" s="91"/>
      <c r="E99" s="91"/>
      <c r="F99" s="91"/>
      <c r="G99" s="91"/>
      <c r="H99" s="91"/>
      <c r="O99" s="31"/>
      <c r="P99" s="31"/>
      <c r="Q99" s="31"/>
    </row>
    <row r="100">
      <c r="A100" s="90"/>
      <c r="B100" s="91"/>
      <c r="C100" s="91"/>
      <c r="D100" s="91"/>
      <c r="E100" s="91"/>
      <c r="F100" s="91"/>
      <c r="G100" s="91"/>
      <c r="H100" s="91"/>
      <c r="O100" s="31"/>
      <c r="P100" s="31"/>
      <c r="Q100" s="31"/>
    </row>
    <row r="101">
      <c r="A101" s="90"/>
      <c r="B101" s="91"/>
      <c r="C101" s="91"/>
      <c r="D101" s="91"/>
      <c r="E101" s="91"/>
      <c r="F101" s="91"/>
      <c r="G101" s="91"/>
      <c r="H101" s="91"/>
      <c r="O101" s="31"/>
      <c r="P101" s="31"/>
      <c r="Q101" s="31"/>
    </row>
    <row r="102">
      <c r="A102" s="90"/>
      <c r="B102" s="91"/>
      <c r="C102" s="91"/>
      <c r="D102" s="91"/>
      <c r="E102" s="91"/>
      <c r="F102" s="91"/>
      <c r="G102" s="91"/>
      <c r="H102" s="91"/>
      <c r="O102" s="31"/>
      <c r="P102" s="31"/>
      <c r="Q102" s="31"/>
    </row>
    <row r="103">
      <c r="A103" s="90"/>
      <c r="B103" s="91"/>
      <c r="C103" s="91"/>
      <c r="D103" s="91"/>
      <c r="E103" s="91"/>
      <c r="F103" s="91"/>
      <c r="G103" s="91"/>
      <c r="H103" s="91"/>
      <c r="O103" s="31"/>
      <c r="P103" s="31"/>
      <c r="Q103" s="31"/>
    </row>
    <row r="104">
      <c r="A104" s="90"/>
      <c r="B104" s="91"/>
      <c r="C104" s="91"/>
      <c r="D104" s="91"/>
      <c r="E104" s="91"/>
      <c r="F104" s="91"/>
      <c r="G104" s="91"/>
      <c r="H104" s="91"/>
      <c r="O104" s="31"/>
      <c r="P104" s="31"/>
      <c r="Q104" s="31"/>
    </row>
    <row r="105">
      <c r="A105" s="90"/>
      <c r="B105" s="91"/>
      <c r="C105" s="91"/>
      <c r="D105" s="91"/>
      <c r="E105" s="91"/>
      <c r="F105" s="91"/>
      <c r="G105" s="91"/>
      <c r="H105" s="91"/>
      <c r="O105" s="31"/>
      <c r="P105" s="31"/>
      <c r="Q105" s="31"/>
    </row>
    <row r="106">
      <c r="A106" s="90"/>
      <c r="B106" s="91"/>
      <c r="C106" s="91"/>
      <c r="D106" s="91"/>
      <c r="E106" s="91"/>
      <c r="F106" s="91"/>
      <c r="G106" s="91"/>
      <c r="H106" s="91"/>
      <c r="O106" s="31"/>
      <c r="P106" s="31"/>
      <c r="Q106" s="31"/>
    </row>
    <row r="107">
      <c r="A107" s="90"/>
      <c r="B107" s="91"/>
      <c r="C107" s="91"/>
      <c r="D107" s="91"/>
      <c r="E107" s="91"/>
      <c r="F107" s="91"/>
      <c r="G107" s="91"/>
      <c r="H107" s="91"/>
      <c r="O107" s="31"/>
      <c r="P107" s="31"/>
      <c r="Q107" s="31"/>
    </row>
    <row r="108">
      <c r="A108" s="90"/>
      <c r="B108" s="91"/>
      <c r="C108" s="91"/>
      <c r="D108" s="91"/>
      <c r="E108" s="91"/>
      <c r="F108" s="91"/>
      <c r="G108" s="91"/>
      <c r="H108" s="91"/>
      <c r="O108" s="31"/>
      <c r="P108" s="31"/>
      <c r="Q108" s="31"/>
    </row>
    <row r="109">
      <c r="A109" s="90"/>
      <c r="B109" s="91"/>
      <c r="C109" s="91"/>
      <c r="D109" s="91"/>
      <c r="E109" s="91"/>
      <c r="F109" s="91"/>
      <c r="G109" s="91"/>
      <c r="H109" s="91"/>
      <c r="O109" s="31"/>
      <c r="P109" s="31"/>
      <c r="Q109" s="31"/>
    </row>
    <row r="110">
      <c r="A110" s="90"/>
      <c r="B110" s="91"/>
      <c r="C110" s="91"/>
      <c r="D110" s="91"/>
      <c r="E110" s="91"/>
      <c r="F110" s="91"/>
      <c r="G110" s="91"/>
      <c r="H110" s="91"/>
      <c r="O110" s="31"/>
      <c r="P110" s="31"/>
      <c r="Q110" s="31"/>
    </row>
    <row r="111">
      <c r="A111" s="90"/>
      <c r="B111" s="91"/>
      <c r="C111" s="91"/>
      <c r="D111" s="91"/>
      <c r="E111" s="91"/>
      <c r="F111" s="91"/>
      <c r="G111" s="91"/>
      <c r="H111" s="91"/>
      <c r="O111" s="31"/>
      <c r="P111" s="31"/>
      <c r="Q111" s="31"/>
    </row>
    <row r="112">
      <c r="A112" s="90"/>
      <c r="B112" s="91"/>
      <c r="C112" s="91"/>
      <c r="D112" s="91"/>
      <c r="E112" s="91"/>
      <c r="F112" s="91"/>
      <c r="G112" s="91"/>
      <c r="H112" s="91"/>
      <c r="O112" s="31"/>
      <c r="P112" s="31"/>
      <c r="Q112" s="31"/>
    </row>
    <row r="113">
      <c r="A113" s="90"/>
      <c r="B113" s="91"/>
      <c r="C113" s="91"/>
      <c r="D113" s="91"/>
      <c r="E113" s="91"/>
      <c r="F113" s="91"/>
      <c r="G113" s="91"/>
      <c r="H113" s="91"/>
      <c r="O113" s="31"/>
      <c r="P113" s="31"/>
      <c r="Q113" s="31"/>
    </row>
    <row r="114">
      <c r="A114" s="90"/>
      <c r="B114" s="91"/>
      <c r="C114" s="91"/>
      <c r="D114" s="91"/>
      <c r="E114" s="91"/>
      <c r="F114" s="91"/>
      <c r="G114" s="91"/>
      <c r="H114" s="91"/>
      <c r="O114" s="31"/>
      <c r="P114" s="31"/>
      <c r="Q114" s="31"/>
    </row>
    <row r="115">
      <c r="A115" s="90"/>
      <c r="B115" s="91"/>
      <c r="C115" s="91"/>
      <c r="D115" s="91"/>
      <c r="E115" s="91"/>
      <c r="F115" s="91"/>
      <c r="G115" s="91"/>
      <c r="H115" s="91"/>
      <c r="O115" s="31"/>
      <c r="P115" s="31"/>
      <c r="Q115" s="31"/>
    </row>
    <row r="116">
      <c r="A116" s="90"/>
      <c r="B116" s="91"/>
      <c r="C116" s="91"/>
      <c r="D116" s="91"/>
      <c r="E116" s="91"/>
      <c r="F116" s="91"/>
      <c r="G116" s="91"/>
      <c r="H116" s="91"/>
      <c r="O116" s="31"/>
      <c r="P116" s="31"/>
      <c r="Q116" s="31"/>
    </row>
    <row r="117">
      <c r="A117" s="90"/>
      <c r="B117" s="91"/>
      <c r="C117" s="91"/>
      <c r="D117" s="91"/>
      <c r="E117" s="91"/>
      <c r="F117" s="91"/>
      <c r="G117" s="91"/>
      <c r="H117" s="91"/>
      <c r="O117" s="31"/>
      <c r="P117" s="31"/>
      <c r="Q117" s="31"/>
    </row>
    <row r="118">
      <c r="A118" s="90"/>
      <c r="B118" s="91"/>
      <c r="C118" s="91"/>
      <c r="D118" s="91"/>
      <c r="E118" s="91"/>
      <c r="F118" s="91"/>
      <c r="G118" s="91"/>
      <c r="H118" s="91"/>
      <c r="O118" s="31"/>
      <c r="P118" s="31"/>
      <c r="Q118" s="31"/>
    </row>
    <row r="119">
      <c r="A119" s="90"/>
      <c r="B119" s="91"/>
      <c r="C119" s="91"/>
      <c r="D119" s="91"/>
      <c r="E119" s="91"/>
      <c r="F119" s="91"/>
      <c r="G119" s="91"/>
      <c r="H119" s="91"/>
      <c r="O119" s="31"/>
      <c r="P119" s="31"/>
      <c r="Q119" s="31"/>
    </row>
    <row r="120">
      <c r="A120" s="90"/>
      <c r="B120" s="91"/>
      <c r="C120" s="91"/>
      <c r="D120" s="91"/>
      <c r="E120" s="91"/>
      <c r="F120" s="91"/>
      <c r="G120" s="91"/>
      <c r="H120" s="91"/>
      <c r="O120" s="31"/>
      <c r="P120" s="31"/>
      <c r="Q120" s="31"/>
    </row>
    <row r="121">
      <c r="A121" s="90"/>
      <c r="B121" s="91"/>
      <c r="C121" s="91"/>
      <c r="D121" s="91"/>
      <c r="E121" s="91"/>
      <c r="F121" s="91"/>
      <c r="G121" s="91"/>
      <c r="H121" s="91"/>
      <c r="O121" s="31"/>
      <c r="P121" s="31"/>
      <c r="Q121" s="31"/>
    </row>
    <row r="122">
      <c r="A122" s="90"/>
      <c r="B122" s="91"/>
      <c r="C122" s="91"/>
      <c r="D122" s="91"/>
      <c r="E122" s="91"/>
      <c r="F122" s="91"/>
      <c r="G122" s="91"/>
      <c r="H122" s="91"/>
      <c r="O122" s="31"/>
      <c r="P122" s="31"/>
      <c r="Q122" s="31"/>
    </row>
    <row r="123">
      <c r="A123" s="90"/>
      <c r="B123" s="91"/>
      <c r="C123" s="91"/>
      <c r="D123" s="91"/>
      <c r="E123" s="91"/>
      <c r="F123" s="91"/>
      <c r="G123" s="91"/>
      <c r="H123" s="91"/>
      <c r="O123" s="31"/>
      <c r="P123" s="31"/>
      <c r="Q123" s="31"/>
    </row>
    <row r="124">
      <c r="A124" s="90"/>
      <c r="B124" s="91"/>
      <c r="C124" s="91"/>
      <c r="D124" s="91"/>
      <c r="E124" s="91"/>
      <c r="F124" s="91"/>
      <c r="G124" s="91"/>
      <c r="H124" s="91"/>
      <c r="O124" s="31"/>
      <c r="P124" s="31"/>
      <c r="Q124" s="31"/>
    </row>
    <row r="125">
      <c r="A125" s="90"/>
      <c r="B125" s="91"/>
      <c r="C125" s="91"/>
      <c r="D125" s="91"/>
      <c r="E125" s="91"/>
      <c r="F125" s="91"/>
      <c r="G125" s="91"/>
      <c r="H125" s="91"/>
      <c r="O125" s="31"/>
      <c r="P125" s="31"/>
      <c r="Q125" s="31"/>
    </row>
    <row r="126">
      <c r="A126" s="90"/>
      <c r="B126" s="91"/>
      <c r="C126" s="91"/>
      <c r="D126" s="91"/>
      <c r="E126" s="91"/>
      <c r="F126" s="91"/>
      <c r="G126" s="91"/>
      <c r="H126" s="91"/>
      <c r="O126" s="31"/>
      <c r="P126" s="31"/>
      <c r="Q126" s="31"/>
    </row>
    <row r="127">
      <c r="A127" s="90"/>
      <c r="B127" s="91"/>
      <c r="C127" s="91"/>
      <c r="D127" s="91"/>
      <c r="E127" s="91"/>
      <c r="F127" s="91"/>
      <c r="G127" s="91"/>
      <c r="H127" s="91"/>
      <c r="O127" s="31"/>
      <c r="P127" s="31"/>
      <c r="Q127" s="31"/>
    </row>
    <row r="128">
      <c r="A128" s="90"/>
      <c r="B128" s="91"/>
      <c r="C128" s="91"/>
      <c r="D128" s="91"/>
      <c r="E128" s="91"/>
      <c r="F128" s="91"/>
      <c r="G128" s="91"/>
      <c r="H128" s="91"/>
      <c r="O128" s="31"/>
      <c r="P128" s="31"/>
      <c r="Q128" s="31"/>
    </row>
    <row r="129">
      <c r="A129" s="90"/>
      <c r="B129" s="91"/>
      <c r="C129" s="91"/>
      <c r="D129" s="91"/>
      <c r="E129" s="91"/>
      <c r="F129" s="91"/>
      <c r="G129" s="91"/>
      <c r="H129" s="91"/>
      <c r="O129" s="31"/>
      <c r="P129" s="31"/>
      <c r="Q129" s="31"/>
    </row>
    <row r="130">
      <c r="A130" s="90"/>
      <c r="B130" s="91"/>
      <c r="C130" s="91"/>
      <c r="D130" s="91"/>
      <c r="E130" s="91"/>
      <c r="F130" s="91"/>
      <c r="G130" s="91"/>
      <c r="H130" s="91"/>
      <c r="O130" s="31"/>
      <c r="P130" s="31"/>
      <c r="Q130" s="31"/>
    </row>
    <row r="131">
      <c r="A131" s="90"/>
      <c r="B131" s="91"/>
      <c r="C131" s="91"/>
      <c r="D131" s="91"/>
      <c r="E131" s="91"/>
      <c r="F131" s="91"/>
      <c r="G131" s="91"/>
      <c r="H131" s="91"/>
      <c r="O131" s="31"/>
      <c r="P131" s="31"/>
      <c r="Q131" s="31"/>
    </row>
    <row r="132">
      <c r="A132" s="90"/>
      <c r="B132" s="91"/>
      <c r="C132" s="91"/>
      <c r="D132" s="91"/>
      <c r="E132" s="91"/>
      <c r="F132" s="91"/>
      <c r="G132" s="91"/>
      <c r="H132" s="91"/>
      <c r="O132" s="31"/>
      <c r="P132" s="31"/>
      <c r="Q132" s="31"/>
    </row>
    <row r="133">
      <c r="A133" s="90"/>
      <c r="B133" s="91"/>
      <c r="C133" s="91"/>
      <c r="D133" s="91"/>
      <c r="E133" s="91"/>
      <c r="F133" s="91"/>
      <c r="G133" s="91"/>
      <c r="H133" s="91"/>
      <c r="O133" s="31"/>
      <c r="P133" s="31"/>
      <c r="Q133" s="31"/>
    </row>
    <row r="134">
      <c r="A134" s="90"/>
      <c r="B134" s="91"/>
      <c r="C134" s="91"/>
      <c r="D134" s="91"/>
      <c r="E134" s="91"/>
      <c r="F134" s="91"/>
      <c r="G134" s="91"/>
      <c r="H134" s="91"/>
      <c r="O134" s="31"/>
      <c r="P134" s="31"/>
      <c r="Q134" s="31"/>
    </row>
    <row r="135">
      <c r="A135" s="90"/>
      <c r="B135" s="91"/>
      <c r="C135" s="91"/>
      <c r="D135" s="91"/>
      <c r="E135" s="91"/>
      <c r="F135" s="91"/>
      <c r="G135" s="91"/>
      <c r="H135" s="91"/>
      <c r="O135" s="31"/>
      <c r="P135" s="31"/>
      <c r="Q135" s="31"/>
    </row>
    <row r="136">
      <c r="A136" s="90"/>
      <c r="B136" s="91"/>
      <c r="C136" s="91"/>
      <c r="D136" s="91"/>
      <c r="E136" s="91"/>
      <c r="F136" s="91"/>
      <c r="G136" s="91"/>
      <c r="H136" s="91"/>
      <c r="O136" s="31"/>
      <c r="P136" s="31"/>
      <c r="Q136" s="31"/>
    </row>
    <row r="137">
      <c r="A137" s="90"/>
      <c r="B137" s="91"/>
      <c r="C137" s="91"/>
      <c r="D137" s="91"/>
      <c r="E137" s="91"/>
      <c r="F137" s="91"/>
      <c r="G137" s="91"/>
      <c r="H137" s="91"/>
      <c r="O137" s="31"/>
      <c r="P137" s="31"/>
      <c r="Q137" s="31"/>
    </row>
    <row r="138">
      <c r="A138" s="90"/>
      <c r="B138" s="91"/>
      <c r="C138" s="91"/>
      <c r="D138" s="91"/>
      <c r="E138" s="91"/>
      <c r="F138" s="91"/>
      <c r="G138" s="91"/>
      <c r="H138" s="91"/>
      <c r="O138" s="31"/>
      <c r="P138" s="31"/>
      <c r="Q138" s="31"/>
    </row>
    <row r="139">
      <c r="A139" s="90"/>
      <c r="B139" s="91"/>
      <c r="C139" s="91"/>
      <c r="D139" s="91"/>
      <c r="E139" s="91"/>
      <c r="F139" s="91"/>
      <c r="G139" s="91"/>
      <c r="H139" s="91"/>
      <c r="O139" s="31"/>
      <c r="P139" s="31"/>
      <c r="Q139" s="31"/>
    </row>
    <row r="140">
      <c r="A140" s="90"/>
      <c r="B140" s="91"/>
      <c r="C140" s="91"/>
      <c r="D140" s="91"/>
      <c r="E140" s="91"/>
      <c r="F140" s="91"/>
      <c r="G140" s="91"/>
      <c r="H140" s="91"/>
      <c r="O140" s="31"/>
      <c r="P140" s="31"/>
      <c r="Q140" s="31"/>
    </row>
    <row r="141">
      <c r="A141" s="90"/>
      <c r="B141" s="91"/>
      <c r="C141" s="91"/>
      <c r="D141" s="91"/>
      <c r="E141" s="91"/>
      <c r="F141" s="91"/>
      <c r="G141" s="91"/>
      <c r="H141" s="91"/>
      <c r="O141" s="31"/>
      <c r="P141" s="31"/>
      <c r="Q141" s="31"/>
    </row>
    <row r="142">
      <c r="A142" s="90"/>
      <c r="B142" s="91"/>
      <c r="C142" s="91"/>
      <c r="D142" s="91"/>
      <c r="E142" s="91"/>
      <c r="F142" s="91"/>
      <c r="G142" s="91"/>
      <c r="H142" s="91"/>
      <c r="O142" s="31"/>
      <c r="P142" s="31"/>
      <c r="Q142" s="31"/>
    </row>
    <row r="143">
      <c r="A143" s="90"/>
      <c r="B143" s="91"/>
      <c r="C143" s="91"/>
      <c r="D143" s="91"/>
      <c r="E143" s="91"/>
      <c r="F143" s="91"/>
      <c r="G143" s="91"/>
      <c r="H143" s="91"/>
      <c r="O143" s="31"/>
      <c r="P143" s="31"/>
      <c r="Q143" s="31"/>
    </row>
    <row r="144">
      <c r="A144" s="90"/>
      <c r="B144" s="91"/>
      <c r="C144" s="91"/>
      <c r="D144" s="91"/>
      <c r="E144" s="91"/>
      <c r="F144" s="91"/>
      <c r="G144" s="91"/>
      <c r="H144" s="91"/>
      <c r="O144" s="31"/>
      <c r="P144" s="31"/>
      <c r="Q144" s="31"/>
    </row>
    <row r="145">
      <c r="A145" s="90"/>
      <c r="B145" s="91"/>
      <c r="C145" s="91"/>
      <c r="D145" s="91"/>
      <c r="E145" s="91"/>
      <c r="F145" s="91"/>
      <c r="G145" s="91"/>
      <c r="H145" s="91"/>
      <c r="O145" s="31"/>
      <c r="P145" s="31"/>
      <c r="Q145" s="31"/>
    </row>
    <row r="146">
      <c r="A146" s="90"/>
      <c r="B146" s="91"/>
      <c r="C146" s="91"/>
      <c r="D146" s="91"/>
      <c r="E146" s="91"/>
      <c r="F146" s="91"/>
      <c r="G146" s="91"/>
      <c r="H146" s="91"/>
      <c r="O146" s="31"/>
      <c r="P146" s="31"/>
      <c r="Q146" s="31"/>
    </row>
    <row r="147">
      <c r="A147" s="90"/>
      <c r="B147" s="91"/>
      <c r="C147" s="91"/>
      <c r="D147" s="91"/>
      <c r="E147" s="91"/>
      <c r="F147" s="91"/>
      <c r="G147" s="91"/>
      <c r="H147" s="91"/>
      <c r="O147" s="31"/>
      <c r="P147" s="31"/>
      <c r="Q147" s="31"/>
    </row>
    <row r="148">
      <c r="A148" s="90"/>
      <c r="B148" s="91"/>
      <c r="C148" s="91"/>
      <c r="D148" s="91"/>
      <c r="E148" s="91"/>
      <c r="F148" s="91"/>
      <c r="G148" s="91"/>
      <c r="H148" s="91"/>
      <c r="O148" s="31"/>
      <c r="P148" s="31"/>
      <c r="Q148" s="31"/>
    </row>
    <row r="149">
      <c r="A149" s="90"/>
      <c r="B149" s="91"/>
      <c r="C149" s="91"/>
      <c r="D149" s="91"/>
      <c r="E149" s="91"/>
      <c r="F149" s="91"/>
      <c r="G149" s="91"/>
      <c r="H149" s="91"/>
      <c r="O149" s="31"/>
      <c r="P149" s="31"/>
      <c r="Q149" s="31"/>
    </row>
    <row r="150">
      <c r="A150" s="90"/>
      <c r="B150" s="91"/>
      <c r="C150" s="91"/>
      <c r="D150" s="91"/>
      <c r="E150" s="91"/>
      <c r="F150" s="91"/>
      <c r="G150" s="91"/>
      <c r="H150" s="91"/>
      <c r="O150" s="31"/>
      <c r="P150" s="31"/>
      <c r="Q150" s="31"/>
    </row>
    <row r="151">
      <c r="A151" s="90"/>
      <c r="B151" s="91"/>
      <c r="C151" s="91"/>
      <c r="D151" s="91"/>
      <c r="E151" s="91"/>
      <c r="F151" s="91"/>
      <c r="G151" s="91"/>
      <c r="H151" s="91"/>
      <c r="O151" s="31"/>
      <c r="P151" s="31"/>
      <c r="Q151" s="31"/>
    </row>
    <row r="152">
      <c r="A152" s="90"/>
      <c r="B152" s="91"/>
      <c r="C152" s="91"/>
      <c r="D152" s="91"/>
      <c r="E152" s="91"/>
      <c r="F152" s="91"/>
      <c r="G152" s="91"/>
      <c r="H152" s="91"/>
      <c r="O152" s="31"/>
      <c r="P152" s="31"/>
      <c r="Q152" s="31"/>
    </row>
    <row r="153">
      <c r="A153" s="90"/>
      <c r="B153" s="91"/>
      <c r="C153" s="91"/>
      <c r="D153" s="91"/>
      <c r="E153" s="91"/>
      <c r="F153" s="91"/>
      <c r="G153" s="91"/>
      <c r="H153" s="91"/>
      <c r="O153" s="31"/>
      <c r="P153" s="31"/>
      <c r="Q153" s="31"/>
    </row>
    <row r="154">
      <c r="A154" s="90"/>
      <c r="B154" s="91"/>
      <c r="C154" s="91"/>
      <c r="D154" s="91"/>
      <c r="E154" s="91"/>
      <c r="F154" s="91"/>
      <c r="G154" s="91"/>
      <c r="H154" s="91"/>
      <c r="O154" s="31"/>
      <c r="P154" s="31"/>
      <c r="Q154" s="31"/>
    </row>
    <row r="155">
      <c r="A155" s="90"/>
      <c r="B155" s="91"/>
      <c r="C155" s="91"/>
      <c r="D155" s="91"/>
      <c r="E155" s="91"/>
      <c r="F155" s="91"/>
      <c r="G155" s="91"/>
      <c r="H155" s="91"/>
      <c r="O155" s="31"/>
      <c r="P155" s="31"/>
      <c r="Q155" s="31"/>
    </row>
    <row r="156">
      <c r="A156" s="90"/>
      <c r="B156" s="91"/>
      <c r="C156" s="91"/>
      <c r="D156" s="91"/>
      <c r="E156" s="91"/>
      <c r="F156" s="91"/>
      <c r="G156" s="91"/>
      <c r="H156" s="91"/>
      <c r="O156" s="31"/>
      <c r="P156" s="31"/>
      <c r="Q156" s="31"/>
    </row>
    <row r="157">
      <c r="A157" s="90"/>
      <c r="B157" s="91"/>
      <c r="C157" s="91"/>
      <c r="D157" s="91"/>
      <c r="E157" s="91"/>
      <c r="F157" s="91"/>
      <c r="G157" s="91"/>
      <c r="H157" s="91"/>
      <c r="O157" s="31"/>
      <c r="P157" s="31"/>
      <c r="Q157" s="31"/>
    </row>
    <row r="158">
      <c r="A158" s="90"/>
      <c r="B158" s="91"/>
      <c r="C158" s="91"/>
      <c r="D158" s="91"/>
      <c r="E158" s="91"/>
      <c r="F158" s="91"/>
      <c r="G158" s="91"/>
      <c r="H158" s="91"/>
      <c r="O158" s="31"/>
      <c r="P158" s="31"/>
      <c r="Q158" s="31"/>
    </row>
    <row r="159">
      <c r="A159" s="90"/>
      <c r="B159" s="91"/>
      <c r="C159" s="91"/>
      <c r="D159" s="91"/>
      <c r="E159" s="91"/>
      <c r="F159" s="91"/>
      <c r="G159" s="91"/>
      <c r="H159" s="91"/>
      <c r="O159" s="31"/>
      <c r="P159" s="31"/>
      <c r="Q159" s="31"/>
    </row>
    <row r="160">
      <c r="A160" s="90"/>
      <c r="B160" s="91"/>
      <c r="C160" s="91"/>
      <c r="D160" s="91"/>
      <c r="E160" s="91"/>
      <c r="F160" s="91"/>
      <c r="G160" s="91"/>
      <c r="H160" s="91"/>
      <c r="O160" s="31"/>
      <c r="P160" s="31"/>
      <c r="Q160" s="31"/>
    </row>
    <row r="161">
      <c r="A161" s="90"/>
      <c r="B161" s="91"/>
      <c r="C161" s="91"/>
      <c r="D161" s="91"/>
      <c r="E161" s="91"/>
      <c r="F161" s="91"/>
      <c r="G161" s="91"/>
      <c r="H161" s="91"/>
      <c r="O161" s="31"/>
      <c r="P161" s="31"/>
      <c r="Q161" s="31"/>
    </row>
    <row r="162">
      <c r="A162" s="90"/>
      <c r="B162" s="91"/>
      <c r="C162" s="91"/>
      <c r="D162" s="91"/>
      <c r="E162" s="91"/>
      <c r="F162" s="91"/>
      <c r="G162" s="91"/>
      <c r="H162" s="91"/>
      <c r="O162" s="31"/>
      <c r="P162" s="31"/>
      <c r="Q162" s="31"/>
    </row>
    <row r="163">
      <c r="A163" s="90"/>
      <c r="B163" s="91"/>
      <c r="C163" s="91"/>
      <c r="D163" s="91"/>
      <c r="E163" s="91"/>
      <c r="F163" s="91"/>
      <c r="G163" s="91"/>
      <c r="H163" s="91"/>
      <c r="O163" s="31"/>
      <c r="P163" s="31"/>
      <c r="Q163" s="31"/>
    </row>
    <row r="164">
      <c r="A164" s="90"/>
      <c r="B164" s="91"/>
      <c r="C164" s="91"/>
      <c r="D164" s="91"/>
      <c r="E164" s="91"/>
      <c r="F164" s="91"/>
      <c r="G164" s="91"/>
      <c r="H164" s="91"/>
      <c r="O164" s="31"/>
      <c r="P164" s="31"/>
      <c r="Q164" s="31"/>
    </row>
    <row r="165">
      <c r="A165" s="90"/>
      <c r="B165" s="91"/>
      <c r="C165" s="91"/>
      <c r="D165" s="91"/>
      <c r="E165" s="91"/>
      <c r="F165" s="91"/>
      <c r="G165" s="91"/>
      <c r="H165" s="91"/>
      <c r="O165" s="31"/>
      <c r="P165" s="31"/>
      <c r="Q165" s="31"/>
    </row>
    <row r="166">
      <c r="A166" s="90"/>
      <c r="B166" s="91"/>
      <c r="C166" s="91"/>
      <c r="D166" s="91"/>
      <c r="E166" s="91"/>
      <c r="F166" s="91"/>
      <c r="G166" s="91"/>
      <c r="H166" s="91"/>
      <c r="O166" s="31"/>
      <c r="P166" s="31"/>
      <c r="Q166" s="31"/>
    </row>
    <row r="167">
      <c r="A167" s="90"/>
      <c r="B167" s="91"/>
      <c r="C167" s="91"/>
      <c r="D167" s="91"/>
      <c r="E167" s="91"/>
      <c r="F167" s="91"/>
      <c r="G167" s="91"/>
      <c r="H167" s="91"/>
      <c r="O167" s="31"/>
      <c r="P167" s="31"/>
      <c r="Q167" s="31"/>
    </row>
    <row r="168">
      <c r="A168" s="90"/>
      <c r="B168" s="91"/>
      <c r="C168" s="91"/>
      <c r="D168" s="91"/>
      <c r="E168" s="91"/>
      <c r="F168" s="91"/>
      <c r="G168" s="91"/>
      <c r="H168" s="91"/>
      <c r="O168" s="31"/>
      <c r="P168" s="31"/>
      <c r="Q168" s="31"/>
    </row>
    <row r="169">
      <c r="A169" s="90"/>
      <c r="B169" s="91"/>
      <c r="C169" s="91"/>
      <c r="D169" s="91"/>
      <c r="E169" s="91"/>
      <c r="F169" s="91"/>
      <c r="G169" s="91"/>
      <c r="H169" s="91"/>
      <c r="O169" s="31"/>
      <c r="P169" s="31"/>
      <c r="Q169" s="31"/>
    </row>
    <row r="170">
      <c r="A170" s="90"/>
      <c r="B170" s="91"/>
      <c r="C170" s="91"/>
      <c r="D170" s="91"/>
      <c r="E170" s="91"/>
      <c r="F170" s="91"/>
      <c r="G170" s="91"/>
      <c r="H170" s="91"/>
      <c r="O170" s="31"/>
      <c r="P170" s="31"/>
      <c r="Q170" s="31"/>
    </row>
    <row r="171">
      <c r="A171" s="90"/>
      <c r="B171" s="91"/>
      <c r="C171" s="91"/>
      <c r="D171" s="91"/>
      <c r="E171" s="91"/>
      <c r="F171" s="91"/>
      <c r="G171" s="91"/>
      <c r="H171" s="91"/>
      <c r="O171" s="31"/>
      <c r="P171" s="31"/>
      <c r="Q171" s="31"/>
    </row>
    <row r="172">
      <c r="A172" s="90"/>
      <c r="B172" s="91"/>
      <c r="C172" s="91"/>
      <c r="D172" s="91"/>
      <c r="E172" s="91"/>
      <c r="F172" s="91"/>
      <c r="G172" s="91"/>
      <c r="H172" s="91"/>
      <c r="O172" s="31"/>
      <c r="P172" s="31"/>
      <c r="Q172" s="31"/>
    </row>
    <row r="173">
      <c r="A173" s="90"/>
      <c r="B173" s="91"/>
      <c r="C173" s="91"/>
      <c r="D173" s="91"/>
      <c r="E173" s="91"/>
      <c r="F173" s="91"/>
      <c r="G173" s="91"/>
      <c r="H173" s="91"/>
      <c r="O173" s="31"/>
      <c r="P173" s="31"/>
      <c r="Q173" s="31"/>
    </row>
    <row r="174">
      <c r="A174" s="90"/>
      <c r="B174" s="91"/>
      <c r="C174" s="91"/>
      <c r="D174" s="91"/>
      <c r="E174" s="91"/>
      <c r="F174" s="91"/>
      <c r="G174" s="91"/>
      <c r="H174" s="91"/>
      <c r="O174" s="31"/>
      <c r="P174" s="31"/>
      <c r="Q174" s="31"/>
    </row>
    <row r="175">
      <c r="A175" s="90"/>
      <c r="B175" s="91"/>
      <c r="C175" s="91"/>
      <c r="D175" s="91"/>
      <c r="E175" s="91"/>
      <c r="F175" s="91"/>
      <c r="G175" s="91"/>
      <c r="H175" s="91"/>
      <c r="O175" s="31"/>
      <c r="P175" s="31"/>
      <c r="Q175" s="31"/>
    </row>
    <row r="176">
      <c r="A176" s="90"/>
      <c r="B176" s="91"/>
      <c r="C176" s="91"/>
      <c r="D176" s="91"/>
      <c r="E176" s="91"/>
      <c r="F176" s="91"/>
      <c r="G176" s="91"/>
      <c r="H176" s="91"/>
      <c r="O176" s="31"/>
      <c r="P176" s="31"/>
      <c r="Q176" s="31"/>
    </row>
    <row r="177">
      <c r="A177" s="90"/>
      <c r="B177" s="91"/>
      <c r="C177" s="91"/>
      <c r="D177" s="91"/>
      <c r="E177" s="91"/>
      <c r="F177" s="91"/>
      <c r="G177" s="91"/>
      <c r="H177" s="91"/>
      <c r="O177" s="31"/>
      <c r="P177" s="31"/>
      <c r="Q177" s="31"/>
    </row>
    <row r="178">
      <c r="A178" s="90"/>
      <c r="B178" s="91"/>
      <c r="C178" s="91"/>
      <c r="D178" s="91"/>
      <c r="E178" s="91"/>
      <c r="F178" s="91"/>
      <c r="G178" s="91"/>
      <c r="H178" s="91"/>
      <c r="O178" s="31"/>
      <c r="P178" s="31"/>
      <c r="Q178" s="31"/>
    </row>
    <row r="179">
      <c r="A179" s="90"/>
      <c r="B179" s="91"/>
      <c r="C179" s="91"/>
      <c r="D179" s="91"/>
      <c r="E179" s="91"/>
      <c r="F179" s="91"/>
      <c r="G179" s="91"/>
      <c r="H179" s="91"/>
      <c r="O179" s="31"/>
      <c r="P179" s="31"/>
      <c r="Q179" s="31"/>
    </row>
    <row r="180">
      <c r="A180" s="90"/>
      <c r="B180" s="91"/>
      <c r="C180" s="91"/>
      <c r="D180" s="91"/>
      <c r="E180" s="91"/>
      <c r="F180" s="91"/>
      <c r="G180" s="91"/>
      <c r="H180" s="91"/>
      <c r="O180" s="31"/>
      <c r="P180" s="31"/>
      <c r="Q180" s="31"/>
    </row>
    <row r="181">
      <c r="A181" s="90"/>
      <c r="B181" s="91"/>
      <c r="C181" s="91"/>
      <c r="D181" s="91"/>
      <c r="E181" s="91"/>
      <c r="F181" s="91"/>
      <c r="G181" s="91"/>
      <c r="H181" s="91"/>
      <c r="O181" s="31"/>
      <c r="P181" s="31"/>
      <c r="Q181" s="31"/>
    </row>
    <row r="182">
      <c r="A182" s="90"/>
      <c r="B182" s="91"/>
      <c r="C182" s="91"/>
      <c r="D182" s="91"/>
      <c r="E182" s="91"/>
      <c r="F182" s="91"/>
      <c r="G182" s="91"/>
      <c r="H182" s="91"/>
      <c r="O182" s="31"/>
      <c r="P182" s="31"/>
      <c r="Q182" s="31"/>
    </row>
    <row r="183">
      <c r="A183" s="90"/>
      <c r="B183" s="91"/>
      <c r="C183" s="91"/>
      <c r="D183" s="91"/>
      <c r="E183" s="91"/>
      <c r="F183" s="91"/>
      <c r="G183" s="91"/>
      <c r="H183" s="91"/>
      <c r="O183" s="31"/>
      <c r="P183" s="31"/>
      <c r="Q183" s="31"/>
    </row>
    <row r="184">
      <c r="A184" s="90"/>
      <c r="B184" s="91"/>
      <c r="C184" s="91"/>
      <c r="D184" s="91"/>
      <c r="E184" s="91"/>
      <c r="F184" s="91"/>
      <c r="G184" s="91"/>
      <c r="H184" s="91"/>
      <c r="O184" s="31"/>
      <c r="P184" s="31"/>
      <c r="Q184" s="31"/>
    </row>
    <row r="185">
      <c r="A185" s="90"/>
      <c r="B185" s="91"/>
      <c r="C185" s="91"/>
      <c r="D185" s="91"/>
      <c r="E185" s="91"/>
      <c r="F185" s="91"/>
      <c r="G185" s="91"/>
      <c r="H185" s="91"/>
      <c r="O185" s="31"/>
      <c r="P185" s="31"/>
      <c r="Q185" s="31"/>
    </row>
    <row r="186">
      <c r="A186" s="90"/>
      <c r="B186" s="91"/>
      <c r="C186" s="91"/>
      <c r="D186" s="91"/>
      <c r="E186" s="91"/>
      <c r="F186" s="91"/>
      <c r="G186" s="91"/>
      <c r="H186" s="91"/>
      <c r="O186" s="31"/>
      <c r="P186" s="31"/>
      <c r="Q186" s="31"/>
    </row>
    <row r="187">
      <c r="A187" s="90"/>
      <c r="B187" s="91"/>
      <c r="C187" s="91"/>
      <c r="D187" s="91"/>
      <c r="E187" s="91"/>
      <c r="F187" s="91"/>
      <c r="G187" s="91"/>
      <c r="H187" s="91"/>
      <c r="O187" s="31"/>
      <c r="P187" s="31"/>
      <c r="Q187" s="31"/>
    </row>
    <row r="188">
      <c r="A188" s="90"/>
      <c r="B188" s="91"/>
      <c r="C188" s="91"/>
      <c r="D188" s="91"/>
      <c r="E188" s="91"/>
      <c r="F188" s="91"/>
      <c r="G188" s="91"/>
      <c r="H188" s="91"/>
      <c r="O188" s="31"/>
      <c r="P188" s="31"/>
      <c r="Q188" s="31"/>
    </row>
    <row r="189">
      <c r="A189" s="90"/>
      <c r="B189" s="91"/>
      <c r="C189" s="91"/>
      <c r="D189" s="91"/>
      <c r="E189" s="91"/>
      <c r="F189" s="91"/>
      <c r="G189" s="91"/>
      <c r="H189" s="91"/>
      <c r="O189" s="31"/>
      <c r="P189" s="31"/>
      <c r="Q189" s="31"/>
    </row>
    <row r="190">
      <c r="A190" s="90"/>
      <c r="B190" s="91"/>
      <c r="C190" s="91"/>
      <c r="D190" s="91"/>
      <c r="E190" s="91"/>
      <c r="F190" s="91"/>
      <c r="G190" s="91"/>
      <c r="H190" s="91"/>
      <c r="O190" s="31"/>
      <c r="P190" s="31"/>
      <c r="Q190" s="31"/>
    </row>
    <row r="191">
      <c r="A191" s="90"/>
      <c r="B191" s="91"/>
      <c r="C191" s="91"/>
      <c r="D191" s="91"/>
      <c r="E191" s="91"/>
      <c r="F191" s="91"/>
      <c r="G191" s="91"/>
      <c r="H191" s="91"/>
      <c r="O191" s="31"/>
      <c r="P191" s="31"/>
      <c r="Q191" s="31"/>
    </row>
    <row r="192">
      <c r="A192" s="90"/>
      <c r="B192" s="91"/>
      <c r="C192" s="91"/>
      <c r="D192" s="91"/>
      <c r="E192" s="91"/>
      <c r="F192" s="91"/>
      <c r="G192" s="91"/>
      <c r="H192" s="91"/>
      <c r="O192" s="31"/>
      <c r="P192" s="31"/>
      <c r="Q192" s="31"/>
    </row>
    <row r="193">
      <c r="A193" s="90"/>
      <c r="B193" s="91"/>
      <c r="C193" s="91"/>
      <c r="D193" s="91"/>
      <c r="E193" s="91"/>
      <c r="F193" s="91"/>
      <c r="G193" s="91"/>
      <c r="H193" s="91"/>
      <c r="O193" s="31"/>
      <c r="P193" s="31"/>
      <c r="Q193" s="31"/>
    </row>
    <row r="194">
      <c r="A194" s="90"/>
      <c r="B194" s="91"/>
      <c r="C194" s="91"/>
      <c r="D194" s="91"/>
      <c r="E194" s="91"/>
      <c r="F194" s="91"/>
      <c r="G194" s="91"/>
      <c r="H194" s="91"/>
      <c r="O194" s="31"/>
      <c r="P194" s="31"/>
      <c r="Q194" s="31"/>
    </row>
    <row r="195">
      <c r="A195" s="90"/>
      <c r="B195" s="91"/>
      <c r="C195" s="91"/>
      <c r="D195" s="91"/>
      <c r="E195" s="91"/>
      <c r="F195" s="91"/>
      <c r="G195" s="91"/>
      <c r="H195" s="91"/>
      <c r="O195" s="31"/>
      <c r="P195" s="31"/>
      <c r="Q195" s="31"/>
    </row>
    <row r="196">
      <c r="A196" s="90"/>
      <c r="B196" s="91"/>
      <c r="C196" s="91"/>
      <c r="D196" s="91"/>
      <c r="E196" s="91"/>
      <c r="F196" s="91"/>
      <c r="G196" s="91"/>
      <c r="H196" s="91"/>
      <c r="O196" s="31"/>
      <c r="P196" s="31"/>
      <c r="Q196" s="31"/>
    </row>
    <row r="197">
      <c r="A197" s="90"/>
      <c r="B197" s="91"/>
      <c r="C197" s="91"/>
      <c r="D197" s="91"/>
      <c r="E197" s="91"/>
      <c r="F197" s="91"/>
      <c r="G197" s="91"/>
      <c r="H197" s="91"/>
      <c r="O197" s="31"/>
      <c r="P197" s="31"/>
      <c r="Q197" s="31"/>
    </row>
    <row r="198">
      <c r="A198" s="90"/>
      <c r="B198" s="91"/>
      <c r="C198" s="91"/>
      <c r="D198" s="91"/>
      <c r="E198" s="91"/>
      <c r="F198" s="91"/>
      <c r="G198" s="91"/>
      <c r="H198" s="91"/>
      <c r="O198" s="31"/>
      <c r="P198" s="31"/>
      <c r="Q198" s="31"/>
    </row>
    <row r="199">
      <c r="A199" s="90"/>
      <c r="B199" s="91"/>
      <c r="C199" s="91"/>
      <c r="D199" s="91"/>
      <c r="E199" s="91"/>
      <c r="F199" s="91"/>
      <c r="G199" s="91"/>
      <c r="H199" s="91"/>
      <c r="O199" s="31"/>
      <c r="P199" s="31"/>
      <c r="Q199" s="31"/>
    </row>
    <row r="200">
      <c r="A200" s="90"/>
      <c r="B200" s="91"/>
      <c r="C200" s="91"/>
      <c r="D200" s="91"/>
      <c r="E200" s="91"/>
      <c r="F200" s="91"/>
      <c r="G200" s="91"/>
      <c r="H200" s="91"/>
      <c r="O200" s="31"/>
      <c r="P200" s="31"/>
      <c r="Q200" s="31"/>
    </row>
    <row r="201">
      <c r="A201" s="90"/>
      <c r="B201" s="91"/>
      <c r="C201" s="91"/>
      <c r="D201" s="91"/>
      <c r="E201" s="91"/>
      <c r="F201" s="91"/>
      <c r="G201" s="91"/>
      <c r="H201" s="91"/>
      <c r="O201" s="31"/>
      <c r="P201" s="31"/>
      <c r="Q201" s="31"/>
    </row>
    <row r="202">
      <c r="A202" s="90"/>
      <c r="B202" s="91"/>
      <c r="C202" s="91"/>
      <c r="D202" s="91"/>
      <c r="E202" s="91"/>
      <c r="F202" s="91"/>
      <c r="G202" s="91"/>
      <c r="H202" s="91"/>
      <c r="O202" s="31"/>
      <c r="P202" s="31"/>
      <c r="Q202" s="31"/>
    </row>
    <row r="203">
      <c r="A203" s="90"/>
      <c r="B203" s="91"/>
      <c r="C203" s="91"/>
      <c r="D203" s="91"/>
      <c r="E203" s="91"/>
      <c r="F203" s="91"/>
      <c r="G203" s="91"/>
      <c r="H203" s="91"/>
      <c r="O203" s="31"/>
      <c r="P203" s="31"/>
      <c r="Q203" s="31"/>
    </row>
    <row r="204">
      <c r="A204" s="90"/>
      <c r="B204" s="91"/>
      <c r="C204" s="91"/>
      <c r="D204" s="91"/>
      <c r="E204" s="91"/>
      <c r="F204" s="91"/>
      <c r="G204" s="91"/>
      <c r="H204" s="91"/>
      <c r="O204" s="31"/>
      <c r="P204" s="31"/>
      <c r="Q204" s="31"/>
    </row>
    <row r="205">
      <c r="A205" s="90"/>
      <c r="B205" s="91"/>
      <c r="C205" s="91"/>
      <c r="D205" s="91"/>
      <c r="E205" s="91"/>
      <c r="F205" s="91"/>
      <c r="G205" s="91"/>
      <c r="H205" s="91"/>
      <c r="O205" s="31"/>
      <c r="P205" s="31"/>
      <c r="Q205" s="31"/>
    </row>
    <row r="206">
      <c r="A206" s="90"/>
      <c r="B206" s="91"/>
      <c r="C206" s="91"/>
      <c r="D206" s="91"/>
      <c r="E206" s="91"/>
      <c r="F206" s="91"/>
      <c r="G206" s="91"/>
      <c r="H206" s="91"/>
      <c r="O206" s="31"/>
      <c r="P206" s="31"/>
      <c r="Q206" s="31"/>
    </row>
    <row r="207">
      <c r="A207" s="90"/>
      <c r="B207" s="91"/>
      <c r="C207" s="91"/>
      <c r="D207" s="91"/>
      <c r="E207" s="91"/>
      <c r="F207" s="91"/>
      <c r="G207" s="91"/>
      <c r="H207" s="91"/>
      <c r="O207" s="31"/>
      <c r="P207" s="31"/>
      <c r="Q207" s="31"/>
    </row>
    <row r="208">
      <c r="A208" s="90"/>
      <c r="B208" s="91"/>
      <c r="C208" s="91"/>
      <c r="D208" s="91"/>
      <c r="E208" s="91"/>
      <c r="F208" s="91"/>
      <c r="G208" s="91"/>
      <c r="H208" s="91"/>
      <c r="O208" s="31"/>
      <c r="P208" s="31"/>
      <c r="Q208" s="31"/>
    </row>
    <row r="209">
      <c r="A209" s="90"/>
      <c r="B209" s="91"/>
      <c r="C209" s="91"/>
      <c r="D209" s="91"/>
      <c r="E209" s="91"/>
      <c r="F209" s="91"/>
      <c r="G209" s="91"/>
      <c r="H209" s="91"/>
      <c r="O209" s="31"/>
      <c r="P209" s="31"/>
      <c r="Q209" s="31"/>
    </row>
    <row r="210">
      <c r="A210" s="90"/>
      <c r="B210" s="91"/>
      <c r="C210" s="91"/>
      <c r="D210" s="91"/>
      <c r="E210" s="91"/>
      <c r="F210" s="91"/>
      <c r="G210" s="91"/>
      <c r="H210" s="91"/>
      <c r="O210" s="31"/>
      <c r="P210" s="31"/>
      <c r="Q210" s="31"/>
    </row>
    <row r="211">
      <c r="A211" s="90"/>
      <c r="B211" s="91"/>
      <c r="C211" s="91"/>
      <c r="D211" s="91"/>
      <c r="E211" s="91"/>
      <c r="F211" s="91"/>
      <c r="G211" s="91"/>
      <c r="H211" s="91"/>
      <c r="O211" s="31"/>
      <c r="P211" s="31"/>
      <c r="Q211" s="31"/>
    </row>
    <row r="212">
      <c r="A212" s="90"/>
      <c r="B212" s="91"/>
      <c r="C212" s="91"/>
      <c r="D212" s="91"/>
      <c r="E212" s="91"/>
      <c r="F212" s="91"/>
      <c r="G212" s="91"/>
      <c r="H212" s="91"/>
      <c r="O212" s="31"/>
      <c r="P212" s="31"/>
      <c r="Q212" s="31"/>
    </row>
    <row r="213">
      <c r="A213" s="90"/>
      <c r="B213" s="91"/>
      <c r="C213" s="91"/>
      <c r="D213" s="91"/>
      <c r="E213" s="91"/>
      <c r="F213" s="91"/>
      <c r="G213" s="91"/>
      <c r="H213" s="91"/>
      <c r="O213" s="31"/>
      <c r="P213" s="31"/>
      <c r="Q213" s="31"/>
    </row>
    <row r="214">
      <c r="A214" s="90"/>
      <c r="B214" s="91"/>
      <c r="C214" s="91"/>
      <c r="D214" s="91"/>
      <c r="E214" s="91"/>
      <c r="F214" s="91"/>
      <c r="G214" s="91"/>
      <c r="H214" s="91"/>
      <c r="O214" s="31"/>
      <c r="P214" s="31"/>
      <c r="Q214" s="31"/>
    </row>
    <row r="215">
      <c r="A215" s="90"/>
      <c r="B215" s="91"/>
      <c r="C215" s="91"/>
      <c r="D215" s="91"/>
      <c r="E215" s="91"/>
      <c r="F215" s="91"/>
      <c r="G215" s="91"/>
      <c r="H215" s="91"/>
      <c r="O215" s="31"/>
      <c r="P215" s="31"/>
      <c r="Q215" s="31"/>
    </row>
    <row r="216">
      <c r="A216" s="90"/>
      <c r="B216" s="91"/>
      <c r="C216" s="91"/>
      <c r="D216" s="91"/>
      <c r="E216" s="91"/>
      <c r="F216" s="91"/>
      <c r="G216" s="91"/>
      <c r="H216" s="91"/>
      <c r="O216" s="31"/>
      <c r="P216" s="31"/>
      <c r="Q216" s="31"/>
    </row>
    <row r="217">
      <c r="A217" s="90"/>
      <c r="B217" s="91"/>
      <c r="C217" s="91"/>
      <c r="D217" s="91"/>
      <c r="E217" s="91"/>
      <c r="F217" s="91"/>
      <c r="G217" s="91"/>
      <c r="H217" s="91"/>
      <c r="O217" s="31"/>
      <c r="P217" s="31"/>
      <c r="Q217" s="31"/>
    </row>
    <row r="218">
      <c r="A218" s="90"/>
      <c r="B218" s="91"/>
      <c r="C218" s="91"/>
      <c r="D218" s="91"/>
      <c r="E218" s="91"/>
      <c r="F218" s="91"/>
      <c r="G218" s="91"/>
      <c r="H218" s="91"/>
      <c r="O218" s="31"/>
      <c r="P218" s="31"/>
      <c r="Q218" s="31"/>
    </row>
    <row r="219">
      <c r="A219" s="90"/>
      <c r="B219" s="91"/>
      <c r="C219" s="91"/>
      <c r="D219" s="91"/>
      <c r="E219" s="91"/>
      <c r="F219" s="91"/>
      <c r="G219" s="91"/>
      <c r="H219" s="91"/>
      <c r="O219" s="31"/>
      <c r="P219" s="31"/>
      <c r="Q219" s="31"/>
    </row>
    <row r="220">
      <c r="A220" s="90"/>
      <c r="B220" s="91"/>
      <c r="C220" s="91"/>
      <c r="D220" s="91"/>
      <c r="E220" s="91"/>
      <c r="F220" s="91"/>
      <c r="G220" s="91"/>
      <c r="H220" s="91"/>
      <c r="O220" s="31"/>
      <c r="P220" s="31"/>
      <c r="Q220" s="31"/>
    </row>
    <row r="221">
      <c r="A221" s="90"/>
      <c r="B221" s="91"/>
      <c r="C221" s="91"/>
      <c r="D221" s="91"/>
      <c r="E221" s="91"/>
      <c r="F221" s="91"/>
      <c r="G221" s="91"/>
      <c r="H221" s="91"/>
      <c r="O221" s="31"/>
      <c r="P221" s="31"/>
      <c r="Q221" s="31"/>
    </row>
    <row r="222">
      <c r="A222" s="90"/>
      <c r="B222" s="91"/>
      <c r="C222" s="91"/>
      <c r="D222" s="91"/>
      <c r="E222" s="91"/>
      <c r="F222" s="91"/>
      <c r="G222" s="91"/>
      <c r="H222" s="91"/>
      <c r="O222" s="31"/>
      <c r="P222" s="31"/>
      <c r="Q222" s="31"/>
    </row>
    <row r="223">
      <c r="A223" s="90"/>
      <c r="B223" s="91"/>
      <c r="C223" s="91"/>
      <c r="D223" s="91"/>
      <c r="E223" s="91"/>
      <c r="F223" s="91"/>
      <c r="G223" s="91"/>
      <c r="H223" s="91"/>
      <c r="O223" s="31"/>
      <c r="P223" s="31"/>
      <c r="Q223" s="31"/>
    </row>
    <row r="224">
      <c r="A224" s="90"/>
      <c r="B224" s="91"/>
      <c r="C224" s="91"/>
      <c r="D224" s="91"/>
      <c r="E224" s="91"/>
      <c r="F224" s="91"/>
      <c r="G224" s="91"/>
      <c r="H224" s="91"/>
      <c r="O224" s="31"/>
      <c r="P224" s="31"/>
      <c r="Q224" s="31"/>
    </row>
    <row r="225">
      <c r="A225" s="90"/>
      <c r="B225" s="91"/>
      <c r="C225" s="91"/>
      <c r="D225" s="91"/>
      <c r="E225" s="91"/>
      <c r="F225" s="91"/>
      <c r="G225" s="91"/>
      <c r="H225" s="91"/>
      <c r="O225" s="31"/>
      <c r="P225" s="31"/>
      <c r="Q225" s="31"/>
    </row>
    <row r="226">
      <c r="A226" s="90"/>
      <c r="B226" s="91"/>
      <c r="C226" s="91"/>
      <c r="D226" s="91"/>
      <c r="E226" s="91"/>
      <c r="F226" s="91"/>
      <c r="G226" s="91"/>
      <c r="H226" s="91"/>
      <c r="O226" s="31"/>
      <c r="P226" s="31"/>
      <c r="Q226" s="31"/>
    </row>
    <row r="227">
      <c r="A227" s="90"/>
      <c r="B227" s="91"/>
      <c r="C227" s="91"/>
      <c r="D227" s="91"/>
      <c r="E227" s="91"/>
      <c r="F227" s="91"/>
      <c r="G227" s="91"/>
      <c r="H227" s="91"/>
      <c r="O227" s="31"/>
      <c r="P227" s="31"/>
      <c r="Q227" s="31"/>
    </row>
    <row r="228">
      <c r="A228" s="90"/>
      <c r="B228" s="91"/>
      <c r="C228" s="91"/>
      <c r="D228" s="91"/>
      <c r="E228" s="91"/>
      <c r="F228" s="91"/>
      <c r="G228" s="91"/>
      <c r="H228" s="91"/>
      <c r="O228" s="31"/>
      <c r="P228" s="31"/>
      <c r="Q228" s="31"/>
    </row>
    <row r="229">
      <c r="A229" s="90"/>
      <c r="B229" s="91"/>
      <c r="C229" s="91"/>
      <c r="D229" s="91"/>
      <c r="E229" s="91"/>
      <c r="F229" s="91"/>
      <c r="G229" s="91"/>
      <c r="H229" s="91"/>
      <c r="O229" s="31"/>
      <c r="P229" s="31"/>
      <c r="Q229" s="31"/>
    </row>
    <row r="230">
      <c r="A230" s="90"/>
      <c r="B230" s="91"/>
      <c r="C230" s="91"/>
      <c r="D230" s="91"/>
      <c r="E230" s="91"/>
      <c r="F230" s="91"/>
      <c r="G230" s="91"/>
      <c r="H230" s="91"/>
      <c r="O230" s="31"/>
      <c r="P230" s="31"/>
      <c r="Q230" s="31"/>
    </row>
    <row r="231">
      <c r="A231" s="90"/>
      <c r="B231" s="91"/>
      <c r="C231" s="91"/>
      <c r="D231" s="91"/>
      <c r="E231" s="91"/>
      <c r="F231" s="91"/>
      <c r="G231" s="91"/>
      <c r="H231" s="91"/>
      <c r="O231" s="31"/>
      <c r="P231" s="31"/>
      <c r="Q231" s="31"/>
    </row>
    <row r="232">
      <c r="A232" s="90"/>
      <c r="B232" s="91"/>
      <c r="C232" s="91"/>
      <c r="D232" s="91"/>
      <c r="E232" s="91"/>
      <c r="F232" s="91"/>
      <c r="G232" s="91"/>
      <c r="H232" s="91"/>
      <c r="O232" s="31"/>
      <c r="P232" s="31"/>
      <c r="Q232" s="31"/>
    </row>
    <row r="233">
      <c r="A233" s="90"/>
      <c r="B233" s="91"/>
      <c r="C233" s="91"/>
      <c r="D233" s="91"/>
      <c r="E233" s="91"/>
      <c r="F233" s="91"/>
      <c r="G233" s="91"/>
      <c r="H233" s="91"/>
      <c r="O233" s="31"/>
      <c r="P233" s="31"/>
      <c r="Q233" s="31"/>
    </row>
    <row r="234">
      <c r="A234" s="90"/>
      <c r="B234" s="91"/>
      <c r="C234" s="91"/>
      <c r="D234" s="91"/>
      <c r="E234" s="91"/>
      <c r="F234" s="91"/>
      <c r="G234" s="91"/>
      <c r="H234" s="91"/>
      <c r="O234" s="31"/>
      <c r="P234" s="31"/>
      <c r="Q234" s="31"/>
    </row>
    <row r="235">
      <c r="A235" s="90"/>
      <c r="B235" s="91"/>
      <c r="C235" s="91"/>
      <c r="D235" s="91"/>
      <c r="E235" s="91"/>
      <c r="F235" s="91"/>
      <c r="G235" s="91"/>
      <c r="H235" s="91"/>
      <c r="O235" s="31"/>
      <c r="P235" s="31"/>
      <c r="Q235" s="31"/>
    </row>
    <row r="236">
      <c r="A236" s="90"/>
      <c r="B236" s="91"/>
      <c r="C236" s="91"/>
      <c r="D236" s="91"/>
      <c r="E236" s="91"/>
      <c r="F236" s="91"/>
      <c r="G236" s="91"/>
      <c r="H236" s="91"/>
      <c r="O236" s="31"/>
      <c r="P236" s="31"/>
      <c r="Q236" s="31"/>
    </row>
    <row r="237">
      <c r="A237" s="90"/>
      <c r="B237" s="91"/>
      <c r="C237" s="91"/>
      <c r="D237" s="91"/>
      <c r="E237" s="91"/>
      <c r="F237" s="91"/>
      <c r="G237" s="91"/>
      <c r="H237" s="91"/>
      <c r="O237" s="31"/>
      <c r="P237" s="31"/>
      <c r="Q237" s="31"/>
    </row>
    <row r="238">
      <c r="A238" s="90"/>
      <c r="B238" s="91"/>
      <c r="C238" s="91"/>
      <c r="D238" s="91"/>
      <c r="E238" s="91"/>
      <c r="F238" s="91"/>
      <c r="G238" s="91"/>
      <c r="H238" s="91"/>
      <c r="O238" s="31"/>
      <c r="P238" s="31"/>
      <c r="Q238" s="31"/>
    </row>
    <row r="239">
      <c r="A239" s="90"/>
      <c r="B239" s="91"/>
      <c r="C239" s="91"/>
      <c r="D239" s="91"/>
      <c r="E239" s="91"/>
      <c r="F239" s="91"/>
      <c r="G239" s="91"/>
      <c r="H239" s="91"/>
      <c r="O239" s="31"/>
      <c r="P239" s="31"/>
      <c r="Q239" s="31"/>
    </row>
    <row r="240">
      <c r="A240" s="90"/>
      <c r="B240" s="91"/>
      <c r="C240" s="91"/>
      <c r="D240" s="91"/>
      <c r="E240" s="91"/>
      <c r="F240" s="91"/>
      <c r="G240" s="91"/>
      <c r="H240" s="91"/>
      <c r="O240" s="31"/>
      <c r="P240" s="31"/>
      <c r="Q240" s="31"/>
    </row>
    <row r="241">
      <c r="A241" s="90"/>
      <c r="B241" s="91"/>
      <c r="C241" s="91"/>
      <c r="D241" s="91"/>
      <c r="E241" s="91"/>
      <c r="F241" s="91"/>
      <c r="G241" s="91"/>
      <c r="H241" s="91"/>
      <c r="O241" s="31"/>
      <c r="P241" s="31"/>
      <c r="Q241" s="31"/>
    </row>
    <row r="242">
      <c r="A242" s="90"/>
      <c r="B242" s="91"/>
      <c r="C242" s="91"/>
      <c r="D242" s="91"/>
      <c r="E242" s="91"/>
      <c r="F242" s="91"/>
      <c r="G242" s="91"/>
      <c r="H242" s="91"/>
      <c r="O242" s="31"/>
      <c r="P242" s="31"/>
      <c r="Q242" s="31"/>
    </row>
    <row r="243">
      <c r="A243" s="90"/>
      <c r="B243" s="91"/>
      <c r="C243" s="91"/>
      <c r="D243" s="91"/>
      <c r="E243" s="91"/>
      <c r="F243" s="91"/>
      <c r="G243" s="91"/>
      <c r="H243" s="91"/>
      <c r="O243" s="31"/>
      <c r="P243" s="31"/>
      <c r="Q243" s="31"/>
    </row>
    <row r="244">
      <c r="A244" s="90"/>
      <c r="B244" s="91"/>
      <c r="C244" s="91"/>
      <c r="D244" s="91"/>
      <c r="E244" s="91"/>
      <c r="F244" s="91"/>
      <c r="G244" s="91"/>
      <c r="H244" s="91"/>
      <c r="O244" s="31"/>
      <c r="P244" s="31"/>
      <c r="Q244" s="31"/>
    </row>
    <row r="245">
      <c r="A245" s="90"/>
      <c r="B245" s="91"/>
      <c r="C245" s="91"/>
      <c r="D245" s="91"/>
      <c r="E245" s="91"/>
      <c r="F245" s="91"/>
      <c r="G245" s="91"/>
      <c r="H245" s="91"/>
      <c r="O245" s="31"/>
      <c r="P245" s="31"/>
      <c r="Q245" s="31"/>
    </row>
    <row r="246">
      <c r="A246" s="90"/>
      <c r="B246" s="91"/>
      <c r="C246" s="91"/>
      <c r="D246" s="91"/>
      <c r="E246" s="91"/>
      <c r="F246" s="91"/>
      <c r="G246" s="91"/>
      <c r="H246" s="91"/>
      <c r="O246" s="31"/>
      <c r="P246" s="31"/>
      <c r="Q246" s="31"/>
    </row>
    <row r="247">
      <c r="A247" s="90"/>
      <c r="B247" s="91"/>
      <c r="C247" s="91"/>
      <c r="D247" s="91"/>
      <c r="E247" s="91"/>
      <c r="F247" s="91"/>
      <c r="G247" s="91"/>
      <c r="H247" s="91"/>
      <c r="O247" s="31"/>
      <c r="P247" s="31"/>
      <c r="Q247" s="31"/>
    </row>
    <row r="248">
      <c r="A248" s="90"/>
      <c r="B248" s="91"/>
      <c r="C248" s="91"/>
      <c r="D248" s="91"/>
      <c r="E248" s="91"/>
      <c r="F248" s="91"/>
      <c r="G248" s="91"/>
      <c r="H248" s="91"/>
      <c r="O248" s="31"/>
      <c r="P248" s="31"/>
      <c r="Q248" s="31"/>
    </row>
    <row r="249">
      <c r="A249" s="90"/>
      <c r="B249" s="91"/>
      <c r="C249" s="91"/>
      <c r="D249" s="91"/>
      <c r="E249" s="91"/>
      <c r="F249" s="91"/>
      <c r="G249" s="91"/>
      <c r="H249" s="91"/>
      <c r="O249" s="31"/>
      <c r="P249" s="31"/>
      <c r="Q249" s="31"/>
    </row>
    <row r="250">
      <c r="A250" s="90"/>
      <c r="B250" s="91"/>
      <c r="C250" s="91"/>
      <c r="D250" s="91"/>
      <c r="E250" s="91"/>
      <c r="F250" s="91"/>
      <c r="G250" s="91"/>
      <c r="H250" s="91"/>
      <c r="O250" s="31"/>
      <c r="P250" s="31"/>
      <c r="Q250" s="31"/>
    </row>
    <row r="251">
      <c r="A251" s="90"/>
      <c r="B251" s="91"/>
      <c r="C251" s="91"/>
      <c r="D251" s="91"/>
      <c r="E251" s="91"/>
      <c r="F251" s="91"/>
      <c r="G251" s="91"/>
      <c r="H251" s="91"/>
      <c r="O251" s="31"/>
      <c r="P251" s="31"/>
      <c r="Q251" s="31"/>
    </row>
    <row r="252">
      <c r="A252" s="90"/>
      <c r="B252" s="91"/>
      <c r="C252" s="91"/>
      <c r="D252" s="91"/>
      <c r="E252" s="91"/>
      <c r="F252" s="91"/>
      <c r="G252" s="91"/>
      <c r="H252" s="91"/>
      <c r="O252" s="31"/>
      <c r="P252" s="31"/>
      <c r="Q252" s="31"/>
    </row>
    <row r="253">
      <c r="A253" s="90"/>
      <c r="B253" s="91"/>
      <c r="C253" s="91"/>
      <c r="D253" s="91"/>
      <c r="E253" s="91"/>
      <c r="F253" s="91"/>
      <c r="G253" s="91"/>
      <c r="H253" s="91"/>
      <c r="O253" s="31"/>
      <c r="P253" s="31"/>
      <c r="Q253" s="31"/>
    </row>
    <row r="254">
      <c r="A254" s="90"/>
      <c r="B254" s="91"/>
      <c r="C254" s="91"/>
      <c r="D254" s="91"/>
      <c r="E254" s="91"/>
      <c r="F254" s="91"/>
      <c r="G254" s="91"/>
      <c r="H254" s="91"/>
      <c r="O254" s="31"/>
      <c r="P254" s="31"/>
      <c r="Q254" s="31"/>
    </row>
    <row r="255">
      <c r="A255" s="90"/>
      <c r="B255" s="91"/>
      <c r="C255" s="91"/>
      <c r="D255" s="91"/>
      <c r="E255" s="91"/>
      <c r="F255" s="91"/>
      <c r="G255" s="91"/>
      <c r="H255" s="91"/>
      <c r="O255" s="31"/>
      <c r="P255" s="31"/>
      <c r="Q255" s="31"/>
    </row>
    <row r="256">
      <c r="A256" s="90"/>
      <c r="B256" s="91"/>
      <c r="C256" s="91"/>
      <c r="D256" s="91"/>
      <c r="E256" s="91"/>
      <c r="F256" s="91"/>
      <c r="G256" s="91"/>
      <c r="H256" s="91"/>
      <c r="O256" s="31"/>
      <c r="P256" s="31"/>
      <c r="Q256" s="31"/>
    </row>
    <row r="257">
      <c r="A257" s="90"/>
      <c r="B257" s="91"/>
      <c r="C257" s="91"/>
      <c r="D257" s="91"/>
      <c r="E257" s="91"/>
      <c r="F257" s="91"/>
      <c r="G257" s="91"/>
      <c r="H257" s="91"/>
      <c r="O257" s="31"/>
      <c r="P257" s="31"/>
      <c r="Q257" s="31"/>
    </row>
    <row r="258">
      <c r="A258" s="90"/>
      <c r="B258" s="91"/>
      <c r="C258" s="91"/>
      <c r="D258" s="91"/>
      <c r="E258" s="91"/>
      <c r="F258" s="91"/>
      <c r="G258" s="91"/>
      <c r="H258" s="91"/>
      <c r="O258" s="31"/>
      <c r="P258" s="31"/>
      <c r="Q258" s="31"/>
    </row>
    <row r="259">
      <c r="A259" s="90"/>
      <c r="B259" s="91"/>
      <c r="C259" s="91"/>
      <c r="D259" s="91"/>
      <c r="E259" s="91"/>
      <c r="F259" s="91"/>
      <c r="G259" s="91"/>
      <c r="H259" s="91"/>
      <c r="O259" s="31"/>
      <c r="P259" s="31"/>
      <c r="Q259" s="31"/>
    </row>
    <row r="260">
      <c r="A260" s="90"/>
      <c r="B260" s="91"/>
      <c r="C260" s="91"/>
      <c r="D260" s="91"/>
      <c r="E260" s="91"/>
      <c r="F260" s="91"/>
      <c r="G260" s="91"/>
      <c r="H260" s="91"/>
      <c r="O260" s="31"/>
      <c r="P260" s="31"/>
      <c r="Q260" s="31"/>
    </row>
    <row r="261">
      <c r="A261" s="90"/>
      <c r="B261" s="91"/>
      <c r="C261" s="91"/>
      <c r="D261" s="91"/>
      <c r="E261" s="91"/>
      <c r="F261" s="91"/>
      <c r="G261" s="91"/>
      <c r="H261" s="91"/>
      <c r="O261" s="31"/>
      <c r="P261" s="31"/>
      <c r="Q261" s="31"/>
    </row>
    <row r="262">
      <c r="A262" s="90"/>
      <c r="B262" s="91"/>
      <c r="C262" s="91"/>
      <c r="D262" s="91"/>
      <c r="E262" s="91"/>
      <c r="F262" s="91"/>
      <c r="G262" s="91"/>
      <c r="H262" s="91"/>
      <c r="O262" s="31"/>
      <c r="P262" s="31"/>
      <c r="Q262" s="31"/>
    </row>
    <row r="263">
      <c r="A263" s="90"/>
      <c r="B263" s="91"/>
      <c r="C263" s="91"/>
      <c r="D263" s="91"/>
      <c r="E263" s="91"/>
      <c r="F263" s="91"/>
      <c r="G263" s="91"/>
      <c r="H263" s="91"/>
      <c r="O263" s="31"/>
      <c r="P263" s="31"/>
      <c r="Q263" s="31"/>
    </row>
    <row r="264">
      <c r="A264" s="90"/>
      <c r="B264" s="91"/>
      <c r="C264" s="91"/>
      <c r="D264" s="91"/>
      <c r="E264" s="91"/>
      <c r="F264" s="91"/>
      <c r="G264" s="91"/>
      <c r="H264" s="91"/>
      <c r="O264" s="31"/>
      <c r="P264" s="31"/>
      <c r="Q264" s="31"/>
    </row>
    <row r="265">
      <c r="A265" s="90"/>
      <c r="B265" s="91"/>
      <c r="C265" s="91"/>
      <c r="D265" s="91"/>
      <c r="E265" s="91"/>
      <c r="F265" s="91"/>
      <c r="G265" s="91"/>
      <c r="H265" s="91"/>
      <c r="O265" s="31"/>
      <c r="P265" s="31"/>
      <c r="Q265" s="31"/>
    </row>
    <row r="266">
      <c r="A266" s="90"/>
      <c r="B266" s="91"/>
      <c r="C266" s="91"/>
      <c r="D266" s="91"/>
      <c r="E266" s="91"/>
      <c r="F266" s="91"/>
      <c r="G266" s="91"/>
      <c r="H266" s="91"/>
      <c r="O266" s="31"/>
      <c r="P266" s="31"/>
      <c r="Q266" s="31"/>
    </row>
    <row r="267">
      <c r="A267" s="90"/>
      <c r="B267" s="91"/>
      <c r="C267" s="91"/>
      <c r="D267" s="91"/>
      <c r="E267" s="91"/>
      <c r="F267" s="91"/>
      <c r="G267" s="91"/>
      <c r="H267" s="91"/>
      <c r="O267" s="31"/>
      <c r="P267" s="31"/>
      <c r="Q267" s="31"/>
    </row>
    <row r="268">
      <c r="A268" s="90"/>
      <c r="B268" s="91"/>
      <c r="C268" s="91"/>
      <c r="D268" s="91"/>
      <c r="E268" s="91"/>
      <c r="F268" s="91"/>
      <c r="G268" s="91"/>
      <c r="H268" s="91"/>
      <c r="O268" s="31"/>
      <c r="P268" s="31"/>
      <c r="Q268" s="31"/>
    </row>
    <row r="269">
      <c r="A269" s="90"/>
      <c r="B269" s="91"/>
      <c r="C269" s="91"/>
      <c r="D269" s="91"/>
      <c r="E269" s="91"/>
      <c r="F269" s="91"/>
      <c r="G269" s="91"/>
      <c r="H269" s="91"/>
      <c r="O269" s="31"/>
      <c r="P269" s="31"/>
      <c r="Q269" s="31"/>
    </row>
    <row r="270">
      <c r="A270" s="90"/>
      <c r="B270" s="91"/>
      <c r="C270" s="91"/>
      <c r="D270" s="91"/>
      <c r="E270" s="91"/>
      <c r="F270" s="91"/>
      <c r="G270" s="91"/>
      <c r="H270" s="91"/>
      <c r="O270" s="31"/>
      <c r="P270" s="31"/>
      <c r="Q270" s="31"/>
    </row>
    <row r="271">
      <c r="A271" s="90"/>
      <c r="B271" s="91"/>
      <c r="C271" s="91"/>
      <c r="D271" s="91"/>
      <c r="E271" s="91"/>
      <c r="F271" s="91"/>
      <c r="G271" s="91"/>
      <c r="H271" s="91"/>
      <c r="O271" s="31"/>
      <c r="P271" s="31"/>
      <c r="Q271" s="31"/>
    </row>
    <row r="272">
      <c r="A272" s="90"/>
      <c r="B272" s="91"/>
      <c r="C272" s="91"/>
      <c r="D272" s="91"/>
      <c r="E272" s="91"/>
      <c r="F272" s="91"/>
      <c r="G272" s="91"/>
      <c r="H272" s="91"/>
      <c r="O272" s="31"/>
      <c r="P272" s="31"/>
      <c r="Q272" s="31"/>
    </row>
    <row r="273">
      <c r="A273" s="90"/>
      <c r="B273" s="91"/>
      <c r="C273" s="91"/>
      <c r="D273" s="91"/>
      <c r="E273" s="91"/>
      <c r="F273" s="91"/>
      <c r="G273" s="91"/>
      <c r="H273" s="91"/>
      <c r="O273" s="31"/>
      <c r="P273" s="31"/>
      <c r="Q273" s="31"/>
    </row>
    <row r="274">
      <c r="A274" s="90"/>
      <c r="B274" s="91"/>
      <c r="C274" s="91"/>
      <c r="D274" s="91"/>
      <c r="E274" s="91"/>
      <c r="F274" s="91"/>
      <c r="G274" s="91"/>
      <c r="H274" s="91"/>
      <c r="O274" s="31"/>
      <c r="P274" s="31"/>
      <c r="Q274" s="31"/>
    </row>
    <row r="275">
      <c r="A275" s="90"/>
      <c r="B275" s="91"/>
      <c r="C275" s="91"/>
      <c r="D275" s="91"/>
      <c r="E275" s="91"/>
      <c r="F275" s="91"/>
      <c r="G275" s="91"/>
      <c r="H275" s="91"/>
      <c r="O275" s="31"/>
      <c r="P275" s="31"/>
      <c r="Q275" s="31"/>
    </row>
    <row r="276">
      <c r="A276" s="90"/>
      <c r="B276" s="91"/>
      <c r="C276" s="91"/>
      <c r="D276" s="91"/>
      <c r="E276" s="91"/>
      <c r="F276" s="91"/>
      <c r="G276" s="91"/>
      <c r="H276" s="91"/>
      <c r="O276" s="31"/>
      <c r="P276" s="31"/>
      <c r="Q276" s="31"/>
    </row>
    <row r="277">
      <c r="A277" s="90"/>
      <c r="B277" s="91"/>
      <c r="C277" s="91"/>
      <c r="D277" s="91"/>
      <c r="E277" s="91"/>
      <c r="F277" s="91"/>
      <c r="G277" s="91"/>
      <c r="H277" s="91"/>
      <c r="O277" s="31"/>
      <c r="P277" s="31"/>
      <c r="Q277" s="31"/>
    </row>
    <row r="278">
      <c r="A278" s="90"/>
      <c r="B278" s="91"/>
      <c r="C278" s="91"/>
      <c r="D278" s="91"/>
      <c r="E278" s="91"/>
      <c r="F278" s="91"/>
      <c r="G278" s="91"/>
      <c r="H278" s="91"/>
      <c r="O278" s="31"/>
      <c r="P278" s="31"/>
      <c r="Q278" s="31"/>
    </row>
    <row r="279">
      <c r="A279" s="90"/>
      <c r="B279" s="91"/>
      <c r="C279" s="91"/>
      <c r="D279" s="91"/>
      <c r="E279" s="91"/>
      <c r="F279" s="91"/>
      <c r="G279" s="91"/>
      <c r="H279" s="91"/>
      <c r="O279" s="31"/>
      <c r="P279" s="31"/>
      <c r="Q279" s="31"/>
    </row>
    <row r="280">
      <c r="A280" s="90"/>
      <c r="B280" s="91"/>
      <c r="C280" s="91"/>
      <c r="D280" s="91"/>
      <c r="E280" s="91"/>
      <c r="F280" s="91"/>
      <c r="G280" s="91"/>
      <c r="H280" s="91"/>
      <c r="O280" s="31"/>
      <c r="P280" s="31"/>
      <c r="Q280" s="31"/>
    </row>
    <row r="281">
      <c r="A281" s="90"/>
      <c r="B281" s="91"/>
      <c r="C281" s="91"/>
      <c r="D281" s="91"/>
      <c r="E281" s="91"/>
      <c r="F281" s="91"/>
      <c r="G281" s="91"/>
      <c r="H281" s="91"/>
      <c r="O281" s="31"/>
      <c r="P281" s="31"/>
      <c r="Q281" s="31"/>
    </row>
    <row r="282">
      <c r="A282" s="90"/>
      <c r="B282" s="91"/>
      <c r="C282" s="91"/>
      <c r="D282" s="91"/>
      <c r="E282" s="91"/>
      <c r="F282" s="91"/>
      <c r="G282" s="91"/>
      <c r="H282" s="91"/>
      <c r="O282" s="31"/>
      <c r="P282" s="31"/>
      <c r="Q282" s="31"/>
    </row>
    <row r="283">
      <c r="A283" s="90"/>
      <c r="B283" s="91"/>
      <c r="C283" s="91"/>
      <c r="D283" s="91"/>
      <c r="E283" s="91"/>
      <c r="F283" s="91"/>
      <c r="G283" s="91"/>
      <c r="H283" s="91"/>
      <c r="O283" s="31"/>
      <c r="P283" s="31"/>
      <c r="Q283" s="31"/>
    </row>
    <row r="284">
      <c r="A284" s="90"/>
      <c r="B284" s="91"/>
      <c r="C284" s="91"/>
      <c r="D284" s="91"/>
      <c r="E284" s="91"/>
      <c r="F284" s="91"/>
      <c r="G284" s="91"/>
      <c r="H284" s="91"/>
      <c r="O284" s="31"/>
      <c r="P284" s="31"/>
      <c r="Q284" s="31"/>
    </row>
    <row r="285">
      <c r="A285" s="90"/>
      <c r="B285" s="91"/>
      <c r="C285" s="91"/>
      <c r="D285" s="91"/>
      <c r="E285" s="91"/>
      <c r="F285" s="91"/>
      <c r="G285" s="91"/>
      <c r="H285" s="91"/>
      <c r="O285" s="31"/>
      <c r="P285" s="31"/>
      <c r="Q285" s="31"/>
    </row>
    <row r="286">
      <c r="A286" s="90"/>
      <c r="B286" s="91"/>
      <c r="C286" s="91"/>
      <c r="D286" s="91"/>
      <c r="E286" s="91"/>
      <c r="F286" s="91"/>
      <c r="G286" s="91"/>
      <c r="H286" s="91"/>
      <c r="O286" s="31"/>
      <c r="P286" s="31"/>
      <c r="Q286" s="31"/>
    </row>
    <row r="287">
      <c r="A287" s="90"/>
      <c r="B287" s="91"/>
      <c r="C287" s="91"/>
      <c r="D287" s="91"/>
      <c r="E287" s="91"/>
      <c r="F287" s="91"/>
      <c r="G287" s="91"/>
      <c r="H287" s="91"/>
      <c r="O287" s="31"/>
      <c r="P287" s="31"/>
      <c r="Q287" s="31"/>
    </row>
    <row r="288">
      <c r="A288" s="90"/>
      <c r="B288" s="91"/>
      <c r="C288" s="91"/>
      <c r="D288" s="91"/>
      <c r="E288" s="91"/>
      <c r="F288" s="91"/>
      <c r="G288" s="91"/>
      <c r="H288" s="91"/>
      <c r="O288" s="31"/>
      <c r="P288" s="31"/>
      <c r="Q288" s="31"/>
    </row>
    <row r="289">
      <c r="A289" s="90"/>
      <c r="B289" s="91"/>
      <c r="C289" s="91"/>
      <c r="D289" s="91"/>
      <c r="E289" s="91"/>
      <c r="F289" s="91"/>
      <c r="G289" s="91"/>
      <c r="H289" s="91"/>
      <c r="O289" s="31"/>
      <c r="P289" s="31"/>
      <c r="Q289" s="31"/>
    </row>
    <row r="290">
      <c r="A290" s="90"/>
      <c r="B290" s="91"/>
      <c r="C290" s="91"/>
      <c r="D290" s="91"/>
      <c r="E290" s="91"/>
      <c r="F290" s="91"/>
      <c r="G290" s="91"/>
      <c r="H290" s="91"/>
      <c r="O290" s="31"/>
      <c r="P290" s="31"/>
      <c r="Q290" s="31"/>
    </row>
    <row r="291">
      <c r="A291" s="90"/>
      <c r="B291" s="91"/>
      <c r="C291" s="91"/>
      <c r="D291" s="91"/>
      <c r="E291" s="91"/>
      <c r="F291" s="91"/>
      <c r="G291" s="91"/>
      <c r="H291" s="91"/>
      <c r="O291" s="31"/>
      <c r="P291" s="31"/>
      <c r="Q291" s="31"/>
    </row>
    <row r="292">
      <c r="A292" s="90"/>
      <c r="B292" s="91"/>
      <c r="C292" s="91"/>
      <c r="D292" s="91"/>
      <c r="E292" s="91"/>
      <c r="F292" s="91"/>
      <c r="G292" s="91"/>
      <c r="H292" s="91"/>
      <c r="O292" s="31"/>
      <c r="P292" s="31"/>
      <c r="Q292" s="31"/>
    </row>
    <row r="293">
      <c r="A293" s="90"/>
      <c r="B293" s="91"/>
      <c r="C293" s="91"/>
      <c r="D293" s="91"/>
      <c r="E293" s="91"/>
      <c r="F293" s="91"/>
      <c r="G293" s="91"/>
      <c r="H293" s="91"/>
      <c r="O293" s="31"/>
      <c r="P293" s="31"/>
      <c r="Q293" s="31"/>
    </row>
    <row r="294">
      <c r="A294" s="90"/>
      <c r="B294" s="91"/>
      <c r="C294" s="91"/>
      <c r="D294" s="91"/>
      <c r="E294" s="91"/>
      <c r="F294" s="91"/>
      <c r="G294" s="91"/>
      <c r="H294" s="91"/>
      <c r="O294" s="31"/>
      <c r="P294" s="31"/>
      <c r="Q294" s="31"/>
    </row>
    <row r="295">
      <c r="A295" s="90"/>
      <c r="B295" s="91"/>
      <c r="C295" s="91"/>
      <c r="D295" s="91"/>
      <c r="E295" s="91"/>
      <c r="F295" s="91"/>
      <c r="G295" s="91"/>
      <c r="H295" s="91"/>
      <c r="O295" s="31"/>
      <c r="P295" s="31"/>
      <c r="Q295" s="31"/>
    </row>
    <row r="296">
      <c r="A296" s="90"/>
      <c r="B296" s="91"/>
      <c r="C296" s="91"/>
      <c r="D296" s="91"/>
      <c r="E296" s="91"/>
      <c r="F296" s="91"/>
      <c r="G296" s="91"/>
      <c r="H296" s="91"/>
      <c r="O296" s="31"/>
      <c r="P296" s="31"/>
      <c r="Q296" s="31"/>
    </row>
    <row r="297">
      <c r="A297" s="90"/>
      <c r="B297" s="91"/>
      <c r="C297" s="91"/>
      <c r="D297" s="91"/>
      <c r="E297" s="91"/>
      <c r="F297" s="91"/>
      <c r="G297" s="91"/>
      <c r="H297" s="91"/>
      <c r="O297" s="31"/>
      <c r="P297" s="31"/>
      <c r="Q297" s="31"/>
    </row>
    <row r="298">
      <c r="A298" s="90"/>
      <c r="B298" s="91"/>
      <c r="C298" s="91"/>
      <c r="D298" s="91"/>
      <c r="E298" s="91"/>
      <c r="F298" s="91"/>
      <c r="G298" s="91"/>
      <c r="H298" s="91"/>
      <c r="O298" s="31"/>
      <c r="P298" s="31"/>
      <c r="Q298" s="31"/>
    </row>
    <row r="299">
      <c r="A299" s="90"/>
      <c r="B299" s="91"/>
      <c r="C299" s="91"/>
      <c r="D299" s="91"/>
      <c r="E299" s="91"/>
      <c r="F299" s="91"/>
      <c r="G299" s="91"/>
      <c r="H299" s="91"/>
      <c r="O299" s="31"/>
      <c r="P299" s="31"/>
      <c r="Q299" s="31"/>
    </row>
    <row r="300">
      <c r="A300" s="90"/>
      <c r="B300" s="91"/>
      <c r="C300" s="91"/>
      <c r="D300" s="91"/>
      <c r="E300" s="91"/>
      <c r="F300" s="91"/>
      <c r="G300" s="91"/>
      <c r="H300" s="91"/>
      <c r="O300" s="31"/>
      <c r="P300" s="31"/>
      <c r="Q300" s="31"/>
    </row>
    <row r="301">
      <c r="A301" s="90"/>
      <c r="B301" s="91"/>
      <c r="C301" s="91"/>
      <c r="D301" s="91"/>
      <c r="E301" s="91"/>
      <c r="F301" s="91"/>
      <c r="G301" s="91"/>
      <c r="H301" s="91"/>
      <c r="O301" s="31"/>
      <c r="P301" s="31"/>
      <c r="Q301" s="31"/>
    </row>
    <row r="302">
      <c r="A302" s="90"/>
      <c r="B302" s="91"/>
      <c r="C302" s="91"/>
      <c r="D302" s="91"/>
      <c r="E302" s="91"/>
      <c r="F302" s="91"/>
      <c r="G302" s="91"/>
      <c r="H302" s="91"/>
      <c r="O302" s="31"/>
      <c r="P302" s="31"/>
      <c r="Q302" s="31"/>
    </row>
    <row r="303">
      <c r="A303" s="90"/>
      <c r="B303" s="91"/>
      <c r="C303" s="91"/>
      <c r="D303" s="91"/>
      <c r="E303" s="91"/>
      <c r="F303" s="91"/>
      <c r="G303" s="91"/>
      <c r="H303" s="91"/>
      <c r="O303" s="31"/>
      <c r="P303" s="31"/>
      <c r="Q303" s="31"/>
    </row>
    <row r="304">
      <c r="A304" s="90"/>
      <c r="B304" s="91"/>
      <c r="C304" s="91"/>
      <c r="D304" s="91"/>
      <c r="E304" s="91"/>
      <c r="F304" s="91"/>
      <c r="G304" s="91"/>
      <c r="H304" s="91"/>
      <c r="O304" s="31"/>
      <c r="P304" s="31"/>
      <c r="Q304" s="31"/>
    </row>
    <row r="305">
      <c r="A305" s="90"/>
      <c r="B305" s="91"/>
      <c r="C305" s="91"/>
      <c r="D305" s="91"/>
      <c r="E305" s="91"/>
      <c r="F305" s="91"/>
      <c r="G305" s="91"/>
      <c r="H305" s="91"/>
      <c r="O305" s="31"/>
      <c r="P305" s="31"/>
      <c r="Q305" s="31"/>
    </row>
    <row r="306">
      <c r="A306" s="90"/>
      <c r="B306" s="91"/>
      <c r="C306" s="91"/>
      <c r="D306" s="91"/>
      <c r="E306" s="91"/>
      <c r="F306" s="91"/>
      <c r="G306" s="91"/>
      <c r="H306" s="91"/>
      <c r="O306" s="31"/>
      <c r="P306" s="31"/>
      <c r="Q306" s="31"/>
    </row>
    <row r="307">
      <c r="A307" s="90"/>
      <c r="B307" s="91"/>
      <c r="C307" s="91"/>
      <c r="D307" s="91"/>
      <c r="E307" s="91"/>
      <c r="F307" s="91"/>
      <c r="G307" s="91"/>
      <c r="H307" s="91"/>
      <c r="O307" s="31"/>
      <c r="P307" s="31"/>
      <c r="Q307" s="31"/>
    </row>
    <row r="308">
      <c r="A308" s="90"/>
      <c r="B308" s="91"/>
      <c r="C308" s="91"/>
      <c r="D308" s="91"/>
      <c r="E308" s="91"/>
      <c r="F308" s="91"/>
      <c r="G308" s="91"/>
      <c r="H308" s="91"/>
      <c r="O308" s="31"/>
      <c r="P308" s="31"/>
      <c r="Q308" s="31"/>
    </row>
    <row r="309">
      <c r="A309" s="90"/>
      <c r="B309" s="91"/>
      <c r="C309" s="91"/>
      <c r="D309" s="91"/>
      <c r="E309" s="91"/>
      <c r="F309" s="91"/>
      <c r="G309" s="91"/>
      <c r="H309" s="91"/>
      <c r="O309" s="31"/>
      <c r="P309" s="31"/>
      <c r="Q309" s="31"/>
    </row>
    <row r="310">
      <c r="A310" s="90"/>
      <c r="B310" s="91"/>
      <c r="C310" s="91"/>
      <c r="D310" s="91"/>
      <c r="E310" s="91"/>
      <c r="F310" s="91"/>
      <c r="G310" s="91"/>
      <c r="H310" s="91"/>
      <c r="O310" s="31"/>
      <c r="P310" s="31"/>
      <c r="Q310" s="31"/>
    </row>
    <row r="311">
      <c r="A311" s="90"/>
      <c r="B311" s="91"/>
      <c r="C311" s="91"/>
      <c r="D311" s="91"/>
      <c r="E311" s="91"/>
      <c r="F311" s="91"/>
      <c r="G311" s="91"/>
      <c r="H311" s="91"/>
      <c r="O311" s="31"/>
      <c r="P311" s="31"/>
      <c r="Q311" s="31"/>
    </row>
    <row r="312">
      <c r="A312" s="90"/>
      <c r="B312" s="91"/>
      <c r="C312" s="91"/>
      <c r="D312" s="91"/>
      <c r="E312" s="91"/>
      <c r="F312" s="91"/>
      <c r="G312" s="91"/>
      <c r="H312" s="91"/>
      <c r="O312" s="31"/>
      <c r="P312" s="31"/>
      <c r="Q312" s="31"/>
    </row>
    <row r="313">
      <c r="A313" s="90"/>
      <c r="B313" s="91"/>
      <c r="C313" s="91"/>
      <c r="D313" s="91"/>
      <c r="E313" s="91"/>
      <c r="F313" s="91"/>
      <c r="G313" s="91"/>
      <c r="H313" s="91"/>
      <c r="O313" s="31"/>
      <c r="P313" s="31"/>
      <c r="Q313" s="31"/>
    </row>
    <row r="314">
      <c r="A314" s="90"/>
      <c r="B314" s="91"/>
      <c r="C314" s="91"/>
      <c r="D314" s="91"/>
      <c r="E314" s="91"/>
      <c r="F314" s="91"/>
      <c r="G314" s="91"/>
      <c r="H314" s="91"/>
      <c r="O314" s="31"/>
      <c r="P314" s="31"/>
      <c r="Q314" s="31"/>
    </row>
    <row r="315">
      <c r="A315" s="90"/>
      <c r="B315" s="91"/>
      <c r="C315" s="91"/>
      <c r="D315" s="91"/>
      <c r="E315" s="91"/>
      <c r="F315" s="91"/>
      <c r="G315" s="91"/>
      <c r="H315" s="91"/>
      <c r="O315" s="31"/>
      <c r="P315" s="31"/>
      <c r="Q315" s="31"/>
    </row>
    <row r="316">
      <c r="A316" s="90"/>
      <c r="B316" s="91"/>
      <c r="C316" s="91"/>
      <c r="D316" s="91"/>
      <c r="E316" s="91"/>
      <c r="F316" s="91"/>
      <c r="G316" s="91"/>
      <c r="H316" s="91"/>
      <c r="O316" s="31"/>
      <c r="P316" s="31"/>
      <c r="Q316" s="31"/>
    </row>
    <row r="317">
      <c r="A317" s="90"/>
      <c r="B317" s="91"/>
      <c r="C317" s="91"/>
      <c r="D317" s="91"/>
      <c r="E317" s="91"/>
      <c r="F317" s="91"/>
      <c r="G317" s="91"/>
      <c r="H317" s="91"/>
      <c r="O317" s="31"/>
      <c r="P317" s="31"/>
      <c r="Q317" s="31"/>
    </row>
    <row r="318">
      <c r="A318" s="90"/>
      <c r="B318" s="91"/>
      <c r="C318" s="91"/>
      <c r="D318" s="91"/>
      <c r="E318" s="91"/>
      <c r="F318" s="91"/>
      <c r="G318" s="91"/>
      <c r="H318" s="91"/>
      <c r="O318" s="31"/>
      <c r="P318" s="31"/>
      <c r="Q318" s="31"/>
    </row>
    <row r="319">
      <c r="A319" s="90"/>
      <c r="B319" s="91"/>
      <c r="C319" s="91"/>
      <c r="D319" s="91"/>
      <c r="E319" s="91"/>
      <c r="F319" s="91"/>
      <c r="G319" s="91"/>
      <c r="H319" s="91"/>
      <c r="O319" s="31"/>
      <c r="P319" s="31"/>
      <c r="Q319" s="31"/>
    </row>
    <row r="320">
      <c r="A320" s="90"/>
      <c r="B320" s="91"/>
      <c r="C320" s="91"/>
      <c r="D320" s="91"/>
      <c r="E320" s="91"/>
      <c r="F320" s="91"/>
      <c r="G320" s="91"/>
      <c r="H320" s="91"/>
      <c r="O320" s="31"/>
      <c r="P320" s="31"/>
      <c r="Q320" s="31"/>
    </row>
    <row r="321">
      <c r="A321" s="90"/>
      <c r="B321" s="91"/>
      <c r="C321" s="91"/>
      <c r="D321" s="91"/>
      <c r="E321" s="91"/>
      <c r="F321" s="91"/>
      <c r="G321" s="91"/>
      <c r="H321" s="91"/>
      <c r="O321" s="31"/>
      <c r="P321" s="31"/>
      <c r="Q321" s="31"/>
    </row>
    <row r="322">
      <c r="A322" s="90"/>
      <c r="B322" s="91"/>
      <c r="C322" s="91"/>
      <c r="D322" s="91"/>
      <c r="E322" s="91"/>
      <c r="F322" s="91"/>
      <c r="G322" s="91"/>
      <c r="H322" s="91"/>
      <c r="O322" s="31"/>
      <c r="P322" s="31"/>
      <c r="Q322" s="31"/>
    </row>
    <row r="323">
      <c r="A323" s="90"/>
      <c r="B323" s="91"/>
      <c r="C323" s="91"/>
      <c r="D323" s="91"/>
      <c r="E323" s="91"/>
      <c r="F323" s="91"/>
      <c r="G323" s="91"/>
      <c r="H323" s="91"/>
      <c r="O323" s="31"/>
      <c r="P323" s="31"/>
      <c r="Q323" s="31"/>
    </row>
    <row r="324">
      <c r="A324" s="90"/>
      <c r="B324" s="91"/>
      <c r="C324" s="91"/>
      <c r="D324" s="91"/>
      <c r="E324" s="91"/>
      <c r="F324" s="91"/>
      <c r="G324" s="91"/>
      <c r="H324" s="91"/>
      <c r="O324" s="31"/>
      <c r="P324" s="31"/>
      <c r="Q324" s="31"/>
    </row>
    <row r="325">
      <c r="A325" s="90"/>
      <c r="B325" s="91"/>
      <c r="C325" s="91"/>
      <c r="D325" s="91"/>
      <c r="E325" s="91"/>
      <c r="F325" s="91"/>
      <c r="G325" s="91"/>
      <c r="H325" s="91"/>
      <c r="O325" s="31"/>
      <c r="P325" s="31"/>
      <c r="Q325" s="31"/>
    </row>
    <row r="326">
      <c r="A326" s="90"/>
      <c r="B326" s="91"/>
      <c r="C326" s="91"/>
      <c r="D326" s="91"/>
      <c r="E326" s="91"/>
      <c r="F326" s="91"/>
      <c r="G326" s="91"/>
      <c r="H326" s="91"/>
      <c r="O326" s="31"/>
      <c r="P326" s="31"/>
      <c r="Q326" s="31"/>
    </row>
    <row r="327">
      <c r="A327" s="90"/>
      <c r="B327" s="91"/>
      <c r="C327" s="91"/>
      <c r="D327" s="91"/>
      <c r="E327" s="91"/>
      <c r="F327" s="91"/>
      <c r="G327" s="91"/>
      <c r="H327" s="91"/>
      <c r="O327" s="31"/>
      <c r="P327" s="31"/>
      <c r="Q327" s="31"/>
    </row>
    <row r="328">
      <c r="A328" s="90"/>
      <c r="B328" s="91"/>
      <c r="C328" s="91"/>
      <c r="D328" s="91"/>
      <c r="E328" s="91"/>
      <c r="F328" s="91"/>
      <c r="G328" s="91"/>
      <c r="H328" s="91"/>
      <c r="O328" s="31"/>
      <c r="P328" s="31"/>
      <c r="Q328" s="31"/>
    </row>
    <row r="329">
      <c r="A329" s="90"/>
      <c r="B329" s="91"/>
      <c r="C329" s="91"/>
      <c r="D329" s="91"/>
      <c r="E329" s="91"/>
      <c r="F329" s="91"/>
      <c r="G329" s="91"/>
      <c r="H329" s="91"/>
      <c r="O329" s="31"/>
      <c r="P329" s="31"/>
      <c r="Q329" s="31"/>
    </row>
    <row r="330">
      <c r="A330" s="90"/>
      <c r="B330" s="91"/>
      <c r="C330" s="91"/>
      <c r="D330" s="91"/>
      <c r="E330" s="91"/>
      <c r="F330" s="91"/>
      <c r="G330" s="91"/>
      <c r="H330" s="91"/>
      <c r="O330" s="31"/>
      <c r="P330" s="31"/>
      <c r="Q330" s="31"/>
    </row>
    <row r="331">
      <c r="A331" s="90"/>
      <c r="B331" s="91"/>
      <c r="C331" s="91"/>
      <c r="D331" s="91"/>
      <c r="E331" s="91"/>
      <c r="F331" s="91"/>
      <c r="G331" s="91"/>
      <c r="H331" s="91"/>
      <c r="O331" s="31"/>
      <c r="P331" s="31"/>
      <c r="Q331" s="31"/>
    </row>
    <row r="332">
      <c r="A332" s="90"/>
      <c r="B332" s="91"/>
      <c r="C332" s="91"/>
      <c r="D332" s="91"/>
      <c r="E332" s="91"/>
      <c r="F332" s="91"/>
      <c r="G332" s="91"/>
      <c r="H332" s="91"/>
      <c r="O332" s="31"/>
      <c r="P332" s="31"/>
      <c r="Q332" s="31"/>
    </row>
    <row r="333">
      <c r="A333" s="90"/>
      <c r="B333" s="91"/>
      <c r="C333" s="91"/>
      <c r="D333" s="91"/>
      <c r="E333" s="91"/>
      <c r="F333" s="91"/>
      <c r="G333" s="91"/>
      <c r="H333" s="91"/>
      <c r="O333" s="31"/>
      <c r="P333" s="31"/>
      <c r="Q333" s="31"/>
    </row>
    <row r="334">
      <c r="A334" s="90"/>
      <c r="B334" s="91"/>
      <c r="C334" s="91"/>
      <c r="D334" s="91"/>
      <c r="E334" s="91"/>
      <c r="F334" s="91"/>
      <c r="G334" s="91"/>
      <c r="H334" s="91"/>
      <c r="O334" s="31"/>
      <c r="P334" s="31"/>
      <c r="Q334" s="31"/>
    </row>
    <row r="335">
      <c r="A335" s="90"/>
      <c r="B335" s="91"/>
      <c r="C335" s="91"/>
      <c r="D335" s="91"/>
      <c r="E335" s="91"/>
      <c r="F335" s="91"/>
      <c r="G335" s="91"/>
      <c r="H335" s="91"/>
      <c r="O335" s="31"/>
      <c r="P335" s="31"/>
      <c r="Q335" s="31"/>
    </row>
    <row r="336">
      <c r="A336" s="90"/>
      <c r="B336" s="91"/>
      <c r="C336" s="91"/>
      <c r="D336" s="91"/>
      <c r="E336" s="91"/>
      <c r="F336" s="91"/>
      <c r="G336" s="91"/>
      <c r="H336" s="91"/>
      <c r="O336" s="31"/>
      <c r="P336" s="31"/>
      <c r="Q336" s="31"/>
    </row>
    <row r="337">
      <c r="A337" s="90"/>
      <c r="B337" s="91"/>
      <c r="C337" s="91"/>
      <c r="D337" s="91"/>
      <c r="E337" s="91"/>
      <c r="F337" s="91"/>
      <c r="G337" s="91"/>
      <c r="H337" s="91"/>
      <c r="O337" s="31"/>
      <c r="P337" s="31"/>
      <c r="Q337" s="31"/>
    </row>
    <row r="338">
      <c r="A338" s="90"/>
      <c r="B338" s="91"/>
      <c r="C338" s="91"/>
      <c r="D338" s="91"/>
      <c r="E338" s="91"/>
      <c r="F338" s="91"/>
      <c r="G338" s="91"/>
      <c r="H338" s="91"/>
      <c r="O338" s="31"/>
      <c r="P338" s="31"/>
      <c r="Q338" s="31"/>
    </row>
    <row r="339">
      <c r="A339" s="90"/>
      <c r="B339" s="91"/>
      <c r="C339" s="91"/>
      <c r="D339" s="91"/>
      <c r="E339" s="91"/>
      <c r="F339" s="91"/>
      <c r="G339" s="91"/>
      <c r="H339" s="91"/>
      <c r="O339" s="31"/>
      <c r="P339" s="31"/>
      <c r="Q339" s="31"/>
    </row>
    <row r="340">
      <c r="A340" s="90"/>
      <c r="B340" s="91"/>
      <c r="C340" s="91"/>
      <c r="D340" s="91"/>
      <c r="E340" s="91"/>
      <c r="F340" s="91"/>
      <c r="G340" s="91"/>
      <c r="H340" s="91"/>
      <c r="O340" s="31"/>
      <c r="P340" s="31"/>
      <c r="Q340" s="31"/>
    </row>
    <row r="341">
      <c r="A341" s="90"/>
      <c r="B341" s="91"/>
      <c r="C341" s="91"/>
      <c r="D341" s="91"/>
      <c r="E341" s="91"/>
      <c r="F341" s="91"/>
      <c r="G341" s="91"/>
      <c r="H341" s="91"/>
      <c r="O341" s="31"/>
      <c r="P341" s="31"/>
      <c r="Q341" s="31"/>
    </row>
    <row r="342">
      <c r="A342" s="90"/>
      <c r="B342" s="91"/>
      <c r="C342" s="91"/>
      <c r="D342" s="91"/>
      <c r="E342" s="91"/>
      <c r="F342" s="91"/>
      <c r="G342" s="91"/>
      <c r="H342" s="91"/>
      <c r="O342" s="31"/>
      <c r="P342" s="31"/>
      <c r="Q342" s="31"/>
    </row>
    <row r="343">
      <c r="A343" s="90"/>
      <c r="B343" s="91"/>
      <c r="C343" s="91"/>
      <c r="D343" s="91"/>
      <c r="E343" s="91"/>
      <c r="F343" s="91"/>
      <c r="G343" s="91"/>
      <c r="H343" s="91"/>
      <c r="O343" s="31"/>
      <c r="P343" s="31"/>
      <c r="Q343" s="31"/>
    </row>
    <row r="344">
      <c r="A344" s="90"/>
      <c r="B344" s="91"/>
      <c r="C344" s="91"/>
      <c r="D344" s="91"/>
      <c r="E344" s="91"/>
      <c r="F344" s="91"/>
      <c r="G344" s="91"/>
      <c r="H344" s="91"/>
      <c r="O344" s="31"/>
      <c r="P344" s="31"/>
      <c r="Q344" s="31"/>
    </row>
    <row r="345">
      <c r="A345" s="90"/>
      <c r="B345" s="91"/>
      <c r="C345" s="91"/>
      <c r="D345" s="91"/>
      <c r="E345" s="91"/>
      <c r="F345" s="91"/>
      <c r="G345" s="91"/>
      <c r="H345" s="91"/>
      <c r="O345" s="31"/>
      <c r="P345" s="31"/>
      <c r="Q345" s="31"/>
    </row>
    <row r="346">
      <c r="A346" s="90"/>
      <c r="B346" s="91"/>
      <c r="C346" s="91"/>
      <c r="D346" s="91"/>
      <c r="E346" s="91"/>
      <c r="F346" s="91"/>
      <c r="G346" s="91"/>
      <c r="H346" s="91"/>
      <c r="O346" s="31"/>
      <c r="P346" s="31"/>
      <c r="Q346" s="31"/>
    </row>
    <row r="347">
      <c r="A347" s="90"/>
      <c r="B347" s="91"/>
      <c r="C347" s="91"/>
      <c r="D347" s="91"/>
      <c r="E347" s="91"/>
      <c r="F347" s="91"/>
      <c r="G347" s="91"/>
      <c r="H347" s="91"/>
      <c r="O347" s="31"/>
      <c r="P347" s="31"/>
      <c r="Q347" s="31"/>
    </row>
    <row r="348">
      <c r="A348" s="90"/>
      <c r="B348" s="91"/>
      <c r="C348" s="91"/>
      <c r="D348" s="91"/>
      <c r="E348" s="91"/>
      <c r="F348" s="91"/>
      <c r="G348" s="91"/>
      <c r="H348" s="91"/>
      <c r="O348" s="31"/>
      <c r="P348" s="31"/>
      <c r="Q348" s="31"/>
    </row>
    <row r="349">
      <c r="A349" s="90"/>
      <c r="B349" s="91"/>
      <c r="C349" s="91"/>
      <c r="D349" s="91"/>
      <c r="E349" s="91"/>
      <c r="F349" s="91"/>
      <c r="G349" s="91"/>
      <c r="H349" s="91"/>
      <c r="O349" s="31"/>
      <c r="P349" s="31"/>
      <c r="Q349" s="31"/>
    </row>
    <row r="350">
      <c r="A350" s="90"/>
      <c r="B350" s="91"/>
      <c r="C350" s="91"/>
      <c r="D350" s="91"/>
      <c r="E350" s="91"/>
      <c r="F350" s="91"/>
      <c r="G350" s="91"/>
      <c r="H350" s="91"/>
      <c r="O350" s="31"/>
      <c r="P350" s="31"/>
      <c r="Q350" s="31"/>
    </row>
    <row r="351">
      <c r="A351" s="90"/>
      <c r="B351" s="91"/>
      <c r="C351" s="91"/>
      <c r="D351" s="91"/>
      <c r="E351" s="91"/>
      <c r="F351" s="91"/>
      <c r="G351" s="91"/>
      <c r="H351" s="91"/>
      <c r="O351" s="31"/>
      <c r="P351" s="31"/>
      <c r="Q351" s="31"/>
    </row>
    <row r="352">
      <c r="A352" s="90"/>
      <c r="B352" s="91"/>
      <c r="C352" s="91"/>
      <c r="D352" s="91"/>
      <c r="E352" s="91"/>
      <c r="F352" s="91"/>
      <c r="G352" s="91"/>
      <c r="H352" s="91"/>
      <c r="O352" s="31"/>
      <c r="P352" s="31"/>
      <c r="Q352" s="31"/>
    </row>
    <row r="353">
      <c r="A353" s="90"/>
      <c r="B353" s="91"/>
      <c r="C353" s="91"/>
      <c r="D353" s="91"/>
      <c r="E353" s="91"/>
      <c r="F353" s="91"/>
      <c r="G353" s="91"/>
      <c r="H353" s="91"/>
      <c r="O353" s="31"/>
      <c r="P353" s="31"/>
      <c r="Q353" s="31"/>
    </row>
    <row r="354">
      <c r="A354" s="90"/>
      <c r="B354" s="91"/>
      <c r="C354" s="91"/>
      <c r="D354" s="91"/>
      <c r="E354" s="91"/>
      <c r="F354" s="91"/>
      <c r="G354" s="91"/>
      <c r="H354" s="91"/>
      <c r="O354" s="31"/>
      <c r="P354" s="31"/>
      <c r="Q354" s="31"/>
    </row>
    <row r="355">
      <c r="A355" s="90"/>
      <c r="B355" s="91"/>
      <c r="C355" s="91"/>
      <c r="D355" s="91"/>
      <c r="E355" s="91"/>
      <c r="F355" s="91"/>
      <c r="G355" s="91"/>
      <c r="H355" s="91"/>
      <c r="O355" s="31"/>
      <c r="P355" s="31"/>
      <c r="Q355" s="31"/>
    </row>
    <row r="356">
      <c r="A356" s="90"/>
      <c r="B356" s="91"/>
      <c r="C356" s="91"/>
      <c r="D356" s="91"/>
      <c r="E356" s="91"/>
      <c r="F356" s="91"/>
      <c r="G356" s="91"/>
      <c r="H356" s="91"/>
      <c r="O356" s="31"/>
      <c r="P356" s="31"/>
      <c r="Q356" s="31"/>
    </row>
    <row r="357">
      <c r="A357" s="90"/>
      <c r="B357" s="91"/>
      <c r="C357" s="91"/>
      <c r="D357" s="91"/>
      <c r="E357" s="91"/>
      <c r="F357" s="91"/>
      <c r="G357" s="91"/>
      <c r="H357" s="91"/>
      <c r="O357" s="31"/>
      <c r="P357" s="31"/>
      <c r="Q357" s="31"/>
    </row>
    <row r="358">
      <c r="A358" s="90"/>
      <c r="B358" s="91"/>
      <c r="C358" s="91"/>
      <c r="D358" s="91"/>
      <c r="E358" s="91"/>
      <c r="F358" s="91"/>
      <c r="G358" s="91"/>
      <c r="H358" s="91"/>
      <c r="O358" s="31"/>
      <c r="P358" s="31"/>
      <c r="Q358" s="31"/>
    </row>
    <row r="359">
      <c r="A359" s="90"/>
      <c r="B359" s="91"/>
      <c r="C359" s="91"/>
      <c r="D359" s="91"/>
      <c r="E359" s="91"/>
      <c r="F359" s="91"/>
      <c r="G359" s="91"/>
      <c r="H359" s="91"/>
      <c r="O359" s="31"/>
      <c r="P359" s="31"/>
      <c r="Q359" s="31"/>
    </row>
    <row r="360">
      <c r="A360" s="90"/>
      <c r="B360" s="91"/>
      <c r="C360" s="91"/>
      <c r="D360" s="91"/>
      <c r="E360" s="91"/>
      <c r="F360" s="91"/>
      <c r="G360" s="91"/>
      <c r="H360" s="91"/>
      <c r="O360" s="31"/>
      <c r="P360" s="31"/>
      <c r="Q360" s="31"/>
    </row>
    <row r="361">
      <c r="A361" s="90"/>
      <c r="B361" s="91"/>
      <c r="C361" s="91"/>
      <c r="D361" s="91"/>
      <c r="E361" s="91"/>
      <c r="F361" s="91"/>
      <c r="G361" s="91"/>
      <c r="H361" s="91"/>
      <c r="O361" s="31"/>
      <c r="P361" s="31"/>
      <c r="Q361" s="31"/>
    </row>
    <row r="362">
      <c r="A362" s="90"/>
      <c r="B362" s="91"/>
      <c r="C362" s="91"/>
      <c r="D362" s="91"/>
      <c r="E362" s="91"/>
      <c r="F362" s="91"/>
      <c r="G362" s="91"/>
      <c r="H362" s="91"/>
      <c r="O362" s="31"/>
      <c r="P362" s="31"/>
      <c r="Q362" s="31"/>
    </row>
    <row r="363">
      <c r="A363" s="90"/>
      <c r="B363" s="91"/>
      <c r="C363" s="91"/>
      <c r="D363" s="91"/>
      <c r="E363" s="91"/>
      <c r="F363" s="91"/>
      <c r="G363" s="91"/>
      <c r="H363" s="91"/>
      <c r="O363" s="31"/>
      <c r="P363" s="31"/>
      <c r="Q363" s="31"/>
    </row>
    <row r="364">
      <c r="A364" s="90"/>
      <c r="B364" s="91"/>
      <c r="C364" s="91"/>
      <c r="D364" s="91"/>
      <c r="E364" s="91"/>
      <c r="F364" s="91"/>
      <c r="G364" s="91"/>
      <c r="H364" s="91"/>
      <c r="O364" s="31"/>
      <c r="P364" s="31"/>
      <c r="Q364" s="31"/>
    </row>
    <row r="365">
      <c r="A365" s="90"/>
      <c r="B365" s="91"/>
      <c r="C365" s="91"/>
      <c r="D365" s="91"/>
      <c r="E365" s="91"/>
      <c r="F365" s="91"/>
      <c r="G365" s="91"/>
      <c r="H365" s="91"/>
      <c r="O365" s="31"/>
      <c r="P365" s="31"/>
      <c r="Q365" s="31"/>
    </row>
    <row r="366">
      <c r="A366" s="90"/>
      <c r="B366" s="91"/>
      <c r="C366" s="91"/>
      <c r="D366" s="91"/>
      <c r="E366" s="91"/>
      <c r="F366" s="91"/>
      <c r="G366" s="91"/>
      <c r="H366" s="91"/>
      <c r="O366" s="31"/>
      <c r="P366" s="31"/>
      <c r="Q366" s="31"/>
    </row>
    <row r="367">
      <c r="A367" s="90"/>
      <c r="B367" s="91"/>
      <c r="C367" s="91"/>
      <c r="D367" s="91"/>
      <c r="E367" s="91"/>
      <c r="F367" s="91"/>
      <c r="G367" s="91"/>
      <c r="H367" s="91"/>
      <c r="O367" s="31"/>
      <c r="P367" s="31"/>
      <c r="Q367" s="31"/>
    </row>
    <row r="368">
      <c r="A368" s="90"/>
      <c r="B368" s="91"/>
      <c r="C368" s="91"/>
      <c r="D368" s="91"/>
      <c r="E368" s="91"/>
      <c r="F368" s="91"/>
      <c r="G368" s="91"/>
      <c r="H368" s="91"/>
      <c r="O368" s="31"/>
      <c r="P368" s="31"/>
      <c r="Q368" s="31"/>
    </row>
    <row r="369">
      <c r="A369" s="90"/>
      <c r="B369" s="91"/>
      <c r="C369" s="91"/>
      <c r="D369" s="91"/>
      <c r="E369" s="91"/>
      <c r="F369" s="91"/>
      <c r="G369" s="91"/>
      <c r="H369" s="91"/>
      <c r="O369" s="31"/>
      <c r="P369" s="31"/>
      <c r="Q369" s="31"/>
    </row>
    <row r="370">
      <c r="A370" s="90"/>
      <c r="B370" s="91"/>
      <c r="C370" s="91"/>
      <c r="D370" s="91"/>
      <c r="E370" s="91"/>
      <c r="F370" s="91"/>
      <c r="G370" s="91"/>
      <c r="H370" s="91"/>
      <c r="O370" s="31"/>
      <c r="P370" s="31"/>
      <c r="Q370" s="31"/>
    </row>
    <row r="371">
      <c r="A371" s="90"/>
      <c r="B371" s="91"/>
      <c r="C371" s="91"/>
      <c r="D371" s="91"/>
      <c r="E371" s="91"/>
      <c r="F371" s="91"/>
      <c r="G371" s="91"/>
      <c r="H371" s="91"/>
      <c r="O371" s="31"/>
      <c r="P371" s="31"/>
      <c r="Q371" s="31"/>
    </row>
    <row r="372">
      <c r="A372" s="90"/>
      <c r="B372" s="91"/>
      <c r="C372" s="91"/>
      <c r="D372" s="91"/>
      <c r="E372" s="91"/>
      <c r="F372" s="91"/>
      <c r="G372" s="91"/>
      <c r="H372" s="91"/>
      <c r="O372" s="31"/>
      <c r="P372" s="31"/>
      <c r="Q372" s="31"/>
    </row>
    <row r="373">
      <c r="A373" s="90"/>
      <c r="B373" s="91"/>
      <c r="C373" s="91"/>
      <c r="D373" s="91"/>
      <c r="E373" s="91"/>
      <c r="F373" s="91"/>
      <c r="G373" s="91"/>
      <c r="H373" s="91"/>
      <c r="O373" s="31"/>
      <c r="P373" s="31"/>
      <c r="Q373" s="31"/>
    </row>
    <row r="374">
      <c r="A374" s="90"/>
      <c r="B374" s="91"/>
      <c r="C374" s="91"/>
      <c r="D374" s="91"/>
      <c r="E374" s="91"/>
      <c r="F374" s="91"/>
      <c r="G374" s="91"/>
      <c r="H374" s="91"/>
      <c r="O374" s="31"/>
      <c r="P374" s="31"/>
      <c r="Q374" s="31"/>
    </row>
    <row r="375">
      <c r="A375" s="90"/>
      <c r="B375" s="91"/>
      <c r="C375" s="91"/>
      <c r="D375" s="91"/>
      <c r="E375" s="91"/>
      <c r="F375" s="91"/>
      <c r="G375" s="91"/>
      <c r="H375" s="91"/>
      <c r="O375" s="31"/>
      <c r="P375" s="31"/>
      <c r="Q375" s="31"/>
    </row>
    <row r="376">
      <c r="A376" s="90"/>
      <c r="B376" s="91"/>
      <c r="C376" s="91"/>
      <c r="D376" s="91"/>
      <c r="E376" s="91"/>
      <c r="F376" s="91"/>
      <c r="G376" s="91"/>
      <c r="H376" s="91"/>
      <c r="O376" s="31"/>
      <c r="P376" s="31"/>
      <c r="Q376" s="31"/>
    </row>
    <row r="377">
      <c r="A377" s="90"/>
      <c r="B377" s="91"/>
      <c r="C377" s="91"/>
      <c r="D377" s="91"/>
      <c r="E377" s="91"/>
      <c r="F377" s="91"/>
      <c r="G377" s="91"/>
      <c r="H377" s="91"/>
      <c r="O377" s="31"/>
      <c r="P377" s="31"/>
      <c r="Q377" s="31"/>
    </row>
    <row r="378">
      <c r="A378" s="90"/>
      <c r="B378" s="91"/>
      <c r="C378" s="91"/>
      <c r="D378" s="91"/>
      <c r="E378" s="91"/>
      <c r="F378" s="91"/>
      <c r="G378" s="91"/>
      <c r="H378" s="91"/>
      <c r="O378" s="31"/>
      <c r="P378" s="31"/>
      <c r="Q378" s="31"/>
    </row>
    <row r="379">
      <c r="A379" s="90"/>
      <c r="B379" s="91"/>
      <c r="C379" s="91"/>
      <c r="D379" s="91"/>
      <c r="E379" s="91"/>
      <c r="F379" s="91"/>
      <c r="G379" s="91"/>
      <c r="H379" s="91"/>
      <c r="O379" s="31"/>
      <c r="P379" s="31"/>
      <c r="Q379" s="31"/>
    </row>
    <row r="380">
      <c r="A380" s="90"/>
      <c r="B380" s="91"/>
      <c r="C380" s="91"/>
      <c r="D380" s="91"/>
      <c r="E380" s="91"/>
      <c r="F380" s="91"/>
      <c r="G380" s="91"/>
      <c r="H380" s="91"/>
      <c r="O380" s="31"/>
      <c r="P380" s="31"/>
      <c r="Q380" s="31"/>
    </row>
    <row r="381">
      <c r="A381" s="90"/>
      <c r="B381" s="91"/>
      <c r="C381" s="91"/>
      <c r="D381" s="91"/>
      <c r="E381" s="91"/>
      <c r="F381" s="91"/>
      <c r="G381" s="91"/>
      <c r="H381" s="91"/>
      <c r="O381" s="31"/>
      <c r="P381" s="31"/>
      <c r="Q381" s="31"/>
    </row>
    <row r="382">
      <c r="A382" s="90"/>
      <c r="B382" s="91"/>
      <c r="C382" s="91"/>
      <c r="D382" s="91"/>
      <c r="E382" s="91"/>
      <c r="F382" s="91"/>
      <c r="G382" s="91"/>
      <c r="H382" s="91"/>
      <c r="O382" s="31"/>
      <c r="P382" s="31"/>
      <c r="Q382" s="31"/>
    </row>
    <row r="383">
      <c r="A383" s="90"/>
      <c r="B383" s="91"/>
      <c r="C383" s="91"/>
      <c r="D383" s="91"/>
      <c r="E383" s="91"/>
      <c r="F383" s="91"/>
      <c r="G383" s="91"/>
      <c r="H383" s="91"/>
      <c r="O383" s="31"/>
      <c r="P383" s="31"/>
      <c r="Q383" s="31"/>
    </row>
    <row r="384">
      <c r="A384" s="90"/>
      <c r="B384" s="91"/>
      <c r="C384" s="91"/>
      <c r="D384" s="91"/>
      <c r="E384" s="91"/>
      <c r="F384" s="91"/>
      <c r="G384" s="91"/>
      <c r="H384" s="91"/>
      <c r="O384" s="31"/>
      <c r="P384" s="31"/>
      <c r="Q384" s="31"/>
    </row>
    <row r="385">
      <c r="A385" s="90"/>
      <c r="B385" s="91"/>
      <c r="C385" s="91"/>
      <c r="D385" s="91"/>
      <c r="E385" s="91"/>
      <c r="F385" s="91"/>
      <c r="G385" s="91"/>
      <c r="H385" s="91"/>
      <c r="O385" s="31"/>
      <c r="P385" s="31"/>
      <c r="Q385" s="31"/>
    </row>
    <row r="386">
      <c r="A386" s="90"/>
      <c r="B386" s="91"/>
      <c r="C386" s="91"/>
      <c r="D386" s="91"/>
      <c r="E386" s="91"/>
      <c r="F386" s="91"/>
      <c r="G386" s="91"/>
      <c r="H386" s="91"/>
      <c r="O386" s="31"/>
      <c r="P386" s="31"/>
      <c r="Q386" s="31"/>
    </row>
    <row r="387">
      <c r="A387" s="90"/>
      <c r="B387" s="91"/>
      <c r="C387" s="91"/>
      <c r="D387" s="91"/>
      <c r="E387" s="91"/>
      <c r="F387" s="91"/>
      <c r="G387" s="91"/>
      <c r="H387" s="91"/>
      <c r="O387" s="31"/>
      <c r="P387" s="31"/>
      <c r="Q387" s="31"/>
    </row>
    <row r="388">
      <c r="A388" s="90"/>
      <c r="B388" s="91"/>
      <c r="C388" s="91"/>
      <c r="D388" s="91"/>
      <c r="E388" s="91"/>
      <c r="F388" s="91"/>
      <c r="G388" s="91"/>
      <c r="H388" s="91"/>
      <c r="O388" s="31"/>
      <c r="P388" s="31"/>
      <c r="Q388" s="31"/>
    </row>
    <row r="389">
      <c r="A389" s="90"/>
      <c r="B389" s="91"/>
      <c r="C389" s="91"/>
      <c r="D389" s="91"/>
      <c r="E389" s="91"/>
      <c r="F389" s="91"/>
      <c r="G389" s="91"/>
      <c r="H389" s="91"/>
      <c r="O389" s="31"/>
      <c r="P389" s="31"/>
      <c r="Q389" s="31"/>
    </row>
    <row r="390">
      <c r="A390" s="90"/>
      <c r="B390" s="91"/>
      <c r="C390" s="91"/>
      <c r="D390" s="91"/>
      <c r="E390" s="91"/>
      <c r="F390" s="91"/>
      <c r="G390" s="91"/>
      <c r="H390" s="91"/>
      <c r="O390" s="31"/>
      <c r="P390" s="31"/>
      <c r="Q390" s="31"/>
    </row>
    <row r="391">
      <c r="A391" s="90"/>
      <c r="B391" s="91"/>
      <c r="C391" s="91"/>
      <c r="D391" s="91"/>
      <c r="E391" s="91"/>
      <c r="F391" s="91"/>
      <c r="G391" s="91"/>
      <c r="H391" s="91"/>
      <c r="O391" s="31"/>
      <c r="P391" s="31"/>
      <c r="Q391" s="31"/>
    </row>
    <row r="392">
      <c r="A392" s="90"/>
      <c r="B392" s="91"/>
      <c r="C392" s="91"/>
      <c r="D392" s="91"/>
      <c r="E392" s="91"/>
      <c r="F392" s="91"/>
      <c r="G392" s="91"/>
      <c r="H392" s="91"/>
      <c r="O392" s="31"/>
      <c r="P392" s="31"/>
      <c r="Q392" s="31"/>
    </row>
    <row r="393">
      <c r="A393" s="90"/>
      <c r="B393" s="91"/>
      <c r="C393" s="91"/>
      <c r="D393" s="91"/>
      <c r="E393" s="91"/>
      <c r="F393" s="91"/>
      <c r="G393" s="91"/>
      <c r="H393" s="91"/>
      <c r="O393" s="31"/>
      <c r="P393" s="31"/>
      <c r="Q393" s="31"/>
    </row>
    <row r="394">
      <c r="A394" s="90"/>
      <c r="B394" s="91"/>
      <c r="C394" s="91"/>
      <c r="D394" s="91"/>
      <c r="E394" s="91"/>
      <c r="F394" s="91"/>
      <c r="G394" s="91"/>
      <c r="H394" s="91"/>
      <c r="O394" s="31"/>
      <c r="P394" s="31"/>
      <c r="Q394" s="31"/>
    </row>
    <row r="395">
      <c r="A395" s="90"/>
      <c r="B395" s="91"/>
      <c r="C395" s="91"/>
      <c r="D395" s="91"/>
      <c r="E395" s="91"/>
      <c r="F395" s="91"/>
      <c r="G395" s="91"/>
      <c r="H395" s="91"/>
      <c r="O395" s="31"/>
      <c r="P395" s="31"/>
      <c r="Q395" s="31"/>
    </row>
    <row r="396">
      <c r="A396" s="90"/>
      <c r="B396" s="91"/>
      <c r="C396" s="91"/>
      <c r="D396" s="91"/>
      <c r="E396" s="91"/>
      <c r="F396" s="91"/>
      <c r="G396" s="91"/>
      <c r="H396" s="91"/>
      <c r="O396" s="31"/>
      <c r="P396" s="31"/>
      <c r="Q396" s="31"/>
    </row>
    <row r="397">
      <c r="A397" s="90"/>
      <c r="B397" s="91"/>
      <c r="C397" s="91"/>
      <c r="D397" s="91"/>
      <c r="E397" s="91"/>
      <c r="F397" s="91"/>
      <c r="G397" s="91"/>
      <c r="H397" s="91"/>
      <c r="O397" s="31"/>
      <c r="P397" s="31"/>
      <c r="Q397" s="31"/>
    </row>
    <row r="398">
      <c r="A398" s="90"/>
      <c r="B398" s="91"/>
      <c r="C398" s="91"/>
      <c r="D398" s="91"/>
      <c r="E398" s="91"/>
      <c r="F398" s="91"/>
      <c r="G398" s="91"/>
      <c r="H398" s="91"/>
      <c r="O398" s="31"/>
      <c r="P398" s="31"/>
      <c r="Q398" s="31"/>
    </row>
    <row r="399">
      <c r="A399" s="90"/>
      <c r="B399" s="91"/>
      <c r="C399" s="91"/>
      <c r="D399" s="91"/>
      <c r="E399" s="91"/>
      <c r="F399" s="91"/>
      <c r="G399" s="91"/>
      <c r="H399" s="91"/>
      <c r="O399" s="31"/>
      <c r="P399" s="31"/>
      <c r="Q399" s="31"/>
    </row>
    <row r="400">
      <c r="A400" s="90"/>
      <c r="B400" s="91"/>
      <c r="C400" s="91"/>
      <c r="D400" s="91"/>
      <c r="E400" s="91"/>
      <c r="F400" s="91"/>
      <c r="G400" s="91"/>
      <c r="H400" s="91"/>
      <c r="O400" s="31"/>
      <c r="P400" s="31"/>
      <c r="Q400" s="31"/>
    </row>
    <row r="401">
      <c r="A401" s="90"/>
      <c r="B401" s="91"/>
      <c r="C401" s="91"/>
      <c r="D401" s="91"/>
      <c r="E401" s="91"/>
      <c r="F401" s="91"/>
      <c r="G401" s="91"/>
      <c r="H401" s="91"/>
      <c r="O401" s="31"/>
      <c r="P401" s="31"/>
      <c r="Q401" s="31"/>
    </row>
    <row r="402">
      <c r="A402" s="90"/>
      <c r="B402" s="91"/>
      <c r="C402" s="91"/>
      <c r="D402" s="91"/>
      <c r="E402" s="91"/>
      <c r="F402" s="91"/>
      <c r="G402" s="91"/>
      <c r="H402" s="91"/>
      <c r="O402" s="31"/>
      <c r="P402" s="31"/>
      <c r="Q402" s="31"/>
    </row>
    <row r="403">
      <c r="A403" s="90"/>
      <c r="B403" s="91"/>
      <c r="C403" s="91"/>
      <c r="D403" s="91"/>
      <c r="E403" s="91"/>
      <c r="F403" s="91"/>
      <c r="G403" s="91"/>
      <c r="H403" s="91"/>
      <c r="O403" s="31"/>
      <c r="P403" s="31"/>
      <c r="Q403" s="31"/>
    </row>
    <row r="404">
      <c r="A404" s="90"/>
      <c r="B404" s="91"/>
      <c r="C404" s="91"/>
      <c r="D404" s="91"/>
      <c r="E404" s="91"/>
      <c r="F404" s="91"/>
      <c r="G404" s="91"/>
      <c r="H404" s="91"/>
      <c r="O404" s="31"/>
      <c r="P404" s="31"/>
      <c r="Q404" s="31"/>
    </row>
    <row r="405">
      <c r="A405" s="90"/>
      <c r="B405" s="91"/>
      <c r="C405" s="91"/>
      <c r="D405" s="91"/>
      <c r="E405" s="91"/>
      <c r="F405" s="91"/>
      <c r="G405" s="91"/>
      <c r="H405" s="91"/>
      <c r="O405" s="31"/>
      <c r="P405" s="31"/>
      <c r="Q405" s="31"/>
    </row>
    <row r="406">
      <c r="A406" s="90"/>
      <c r="B406" s="91"/>
      <c r="C406" s="91"/>
      <c r="D406" s="91"/>
      <c r="E406" s="91"/>
      <c r="F406" s="91"/>
      <c r="G406" s="91"/>
      <c r="H406" s="91"/>
      <c r="O406" s="31"/>
      <c r="P406" s="31"/>
      <c r="Q406" s="31"/>
    </row>
    <row r="407">
      <c r="A407" s="90"/>
      <c r="B407" s="91"/>
      <c r="C407" s="91"/>
      <c r="D407" s="91"/>
      <c r="E407" s="91"/>
      <c r="F407" s="91"/>
      <c r="G407" s="91"/>
      <c r="H407" s="91"/>
      <c r="O407" s="31"/>
      <c r="P407" s="31"/>
      <c r="Q407" s="31"/>
    </row>
    <row r="408">
      <c r="A408" s="90"/>
      <c r="B408" s="91"/>
      <c r="C408" s="91"/>
      <c r="D408" s="91"/>
      <c r="E408" s="91"/>
      <c r="F408" s="91"/>
      <c r="G408" s="91"/>
      <c r="H408" s="91"/>
      <c r="O408" s="31"/>
      <c r="P408" s="31"/>
      <c r="Q408" s="31"/>
    </row>
    <row r="409">
      <c r="A409" s="90"/>
      <c r="B409" s="91"/>
      <c r="C409" s="91"/>
      <c r="D409" s="91"/>
      <c r="E409" s="91"/>
      <c r="F409" s="91"/>
      <c r="G409" s="91"/>
      <c r="H409" s="91"/>
      <c r="O409" s="31"/>
      <c r="P409" s="31"/>
      <c r="Q409" s="31"/>
    </row>
    <row r="410">
      <c r="A410" s="90"/>
      <c r="B410" s="91"/>
      <c r="C410" s="91"/>
      <c r="D410" s="91"/>
      <c r="E410" s="91"/>
      <c r="F410" s="91"/>
      <c r="G410" s="91"/>
      <c r="H410" s="91"/>
      <c r="O410" s="31"/>
      <c r="P410" s="31"/>
      <c r="Q410" s="31"/>
    </row>
    <row r="411">
      <c r="A411" s="90"/>
      <c r="B411" s="91"/>
      <c r="C411" s="91"/>
      <c r="D411" s="91"/>
      <c r="E411" s="91"/>
      <c r="F411" s="91"/>
      <c r="G411" s="91"/>
      <c r="H411" s="91"/>
      <c r="O411" s="31"/>
      <c r="P411" s="31"/>
      <c r="Q411" s="31"/>
    </row>
    <row r="412">
      <c r="A412" s="90"/>
      <c r="B412" s="91"/>
      <c r="C412" s="91"/>
      <c r="D412" s="91"/>
      <c r="E412" s="91"/>
      <c r="F412" s="91"/>
      <c r="G412" s="91"/>
      <c r="H412" s="91"/>
      <c r="O412" s="31"/>
      <c r="P412" s="31"/>
      <c r="Q412" s="31"/>
    </row>
    <row r="413">
      <c r="A413" s="90"/>
      <c r="B413" s="91"/>
      <c r="C413" s="91"/>
      <c r="D413" s="91"/>
      <c r="E413" s="91"/>
      <c r="F413" s="91"/>
      <c r="G413" s="91"/>
      <c r="H413" s="91"/>
      <c r="O413" s="31"/>
      <c r="P413" s="31"/>
      <c r="Q413" s="31"/>
    </row>
    <row r="414">
      <c r="A414" s="90"/>
      <c r="B414" s="91"/>
      <c r="C414" s="91"/>
      <c r="D414" s="91"/>
      <c r="E414" s="91"/>
      <c r="F414" s="91"/>
      <c r="G414" s="91"/>
      <c r="H414" s="91"/>
      <c r="O414" s="31"/>
      <c r="P414" s="31"/>
      <c r="Q414" s="31"/>
    </row>
    <row r="415">
      <c r="A415" s="90"/>
      <c r="B415" s="91"/>
      <c r="C415" s="91"/>
      <c r="D415" s="91"/>
      <c r="E415" s="91"/>
      <c r="F415" s="91"/>
      <c r="G415" s="91"/>
      <c r="H415" s="91"/>
      <c r="O415" s="31"/>
      <c r="P415" s="31"/>
      <c r="Q415" s="31"/>
    </row>
    <row r="416">
      <c r="A416" s="90"/>
      <c r="B416" s="91"/>
      <c r="C416" s="91"/>
      <c r="D416" s="91"/>
      <c r="E416" s="91"/>
      <c r="F416" s="91"/>
      <c r="G416" s="91"/>
      <c r="H416" s="91"/>
      <c r="O416" s="31"/>
      <c r="P416" s="31"/>
      <c r="Q416" s="31"/>
    </row>
    <row r="417">
      <c r="A417" s="90"/>
      <c r="B417" s="91"/>
      <c r="C417" s="91"/>
      <c r="D417" s="91"/>
      <c r="E417" s="91"/>
      <c r="F417" s="91"/>
      <c r="G417" s="91"/>
      <c r="H417" s="91"/>
      <c r="O417" s="31"/>
      <c r="P417" s="31"/>
      <c r="Q417" s="31"/>
    </row>
    <row r="418">
      <c r="A418" s="90"/>
      <c r="B418" s="91"/>
      <c r="C418" s="91"/>
      <c r="D418" s="91"/>
      <c r="E418" s="91"/>
      <c r="F418" s="91"/>
      <c r="G418" s="91"/>
      <c r="H418" s="91"/>
      <c r="O418" s="31"/>
      <c r="P418" s="31"/>
      <c r="Q418" s="31"/>
    </row>
    <row r="419">
      <c r="A419" s="90"/>
      <c r="B419" s="91"/>
      <c r="C419" s="91"/>
      <c r="D419" s="91"/>
      <c r="E419" s="91"/>
      <c r="F419" s="91"/>
      <c r="G419" s="91"/>
      <c r="H419" s="91"/>
      <c r="O419" s="31"/>
      <c r="P419" s="31"/>
      <c r="Q419" s="31"/>
    </row>
    <row r="420">
      <c r="A420" s="90"/>
      <c r="B420" s="91"/>
      <c r="C420" s="91"/>
      <c r="D420" s="91"/>
      <c r="E420" s="91"/>
      <c r="F420" s="91"/>
      <c r="G420" s="91"/>
      <c r="H420" s="91"/>
      <c r="O420" s="31"/>
      <c r="P420" s="31"/>
      <c r="Q420" s="31"/>
    </row>
    <row r="421">
      <c r="A421" s="90"/>
      <c r="B421" s="91"/>
      <c r="C421" s="91"/>
      <c r="D421" s="91"/>
      <c r="E421" s="91"/>
      <c r="F421" s="91"/>
      <c r="G421" s="91"/>
      <c r="H421" s="91"/>
      <c r="O421" s="31"/>
      <c r="P421" s="31"/>
      <c r="Q421" s="31"/>
    </row>
    <row r="422">
      <c r="A422" s="90"/>
      <c r="B422" s="91"/>
      <c r="C422" s="91"/>
      <c r="D422" s="91"/>
      <c r="E422" s="91"/>
      <c r="F422" s="91"/>
      <c r="G422" s="91"/>
      <c r="H422" s="91"/>
      <c r="O422" s="31"/>
      <c r="P422" s="31"/>
      <c r="Q422" s="31"/>
    </row>
    <row r="423">
      <c r="A423" s="90"/>
      <c r="B423" s="91"/>
      <c r="C423" s="91"/>
      <c r="D423" s="91"/>
      <c r="E423" s="91"/>
      <c r="F423" s="91"/>
      <c r="G423" s="91"/>
      <c r="H423" s="91"/>
      <c r="O423" s="31"/>
      <c r="P423" s="31"/>
      <c r="Q423" s="31"/>
    </row>
    <row r="424">
      <c r="A424" s="90"/>
      <c r="B424" s="91"/>
      <c r="C424" s="91"/>
      <c r="D424" s="91"/>
      <c r="E424" s="91"/>
      <c r="F424" s="91"/>
      <c r="G424" s="91"/>
      <c r="H424" s="91"/>
      <c r="O424" s="31"/>
      <c r="P424" s="31"/>
      <c r="Q424" s="31"/>
    </row>
    <row r="425">
      <c r="A425" s="90"/>
      <c r="B425" s="91"/>
      <c r="C425" s="91"/>
      <c r="D425" s="91"/>
      <c r="E425" s="91"/>
      <c r="F425" s="91"/>
      <c r="G425" s="91"/>
      <c r="H425" s="91"/>
      <c r="O425" s="31"/>
      <c r="P425" s="31"/>
      <c r="Q425" s="31"/>
    </row>
    <row r="426">
      <c r="A426" s="90"/>
      <c r="B426" s="91"/>
      <c r="C426" s="91"/>
      <c r="D426" s="91"/>
      <c r="E426" s="91"/>
      <c r="F426" s="91"/>
      <c r="G426" s="91"/>
      <c r="H426" s="91"/>
      <c r="O426" s="31"/>
      <c r="P426" s="31"/>
      <c r="Q426" s="31"/>
    </row>
    <row r="427">
      <c r="A427" s="90"/>
      <c r="B427" s="91"/>
      <c r="C427" s="91"/>
      <c r="D427" s="91"/>
      <c r="E427" s="91"/>
      <c r="F427" s="91"/>
      <c r="G427" s="91"/>
      <c r="H427" s="91"/>
      <c r="O427" s="31"/>
      <c r="P427" s="31"/>
      <c r="Q427" s="31"/>
    </row>
    <row r="428">
      <c r="A428" s="90"/>
      <c r="B428" s="91"/>
      <c r="C428" s="91"/>
      <c r="D428" s="91"/>
      <c r="E428" s="91"/>
      <c r="F428" s="91"/>
      <c r="G428" s="91"/>
      <c r="H428" s="91"/>
      <c r="O428" s="31"/>
      <c r="P428" s="31"/>
      <c r="Q428" s="31"/>
    </row>
    <row r="429">
      <c r="A429" s="90"/>
      <c r="B429" s="91"/>
      <c r="C429" s="91"/>
      <c r="D429" s="91"/>
      <c r="E429" s="91"/>
      <c r="F429" s="91"/>
      <c r="G429" s="91"/>
      <c r="H429" s="91"/>
      <c r="O429" s="31"/>
      <c r="P429" s="31"/>
      <c r="Q429" s="31"/>
    </row>
    <row r="430">
      <c r="A430" s="90"/>
      <c r="B430" s="91"/>
      <c r="C430" s="91"/>
      <c r="D430" s="91"/>
      <c r="E430" s="91"/>
      <c r="F430" s="91"/>
      <c r="G430" s="91"/>
      <c r="H430" s="91"/>
      <c r="O430" s="31"/>
      <c r="P430" s="31"/>
      <c r="Q430" s="31"/>
    </row>
    <row r="431">
      <c r="A431" s="90"/>
      <c r="B431" s="91"/>
      <c r="C431" s="91"/>
      <c r="D431" s="91"/>
      <c r="E431" s="91"/>
      <c r="F431" s="91"/>
      <c r="G431" s="91"/>
      <c r="H431" s="91"/>
      <c r="O431" s="31"/>
      <c r="P431" s="31"/>
      <c r="Q431" s="31"/>
    </row>
    <row r="432">
      <c r="A432" s="90"/>
      <c r="B432" s="91"/>
      <c r="C432" s="91"/>
      <c r="D432" s="91"/>
      <c r="E432" s="91"/>
      <c r="F432" s="91"/>
      <c r="G432" s="91"/>
      <c r="H432" s="91"/>
      <c r="O432" s="31"/>
      <c r="P432" s="31"/>
      <c r="Q432" s="31"/>
    </row>
    <row r="433">
      <c r="A433" s="90"/>
      <c r="B433" s="91"/>
      <c r="C433" s="91"/>
      <c r="D433" s="91"/>
      <c r="E433" s="91"/>
      <c r="F433" s="91"/>
      <c r="G433" s="91"/>
      <c r="H433" s="91"/>
      <c r="O433" s="31"/>
      <c r="P433" s="31"/>
      <c r="Q433" s="31"/>
    </row>
    <row r="434">
      <c r="A434" s="90"/>
      <c r="B434" s="91"/>
      <c r="C434" s="91"/>
      <c r="D434" s="91"/>
      <c r="E434" s="91"/>
      <c r="F434" s="91"/>
      <c r="G434" s="91"/>
      <c r="H434" s="91"/>
      <c r="O434" s="31"/>
      <c r="P434" s="31"/>
      <c r="Q434" s="31"/>
    </row>
    <row r="435">
      <c r="A435" s="90"/>
      <c r="B435" s="91"/>
      <c r="C435" s="91"/>
      <c r="D435" s="91"/>
      <c r="E435" s="91"/>
      <c r="F435" s="91"/>
      <c r="G435" s="91"/>
      <c r="H435" s="91"/>
      <c r="O435" s="31"/>
      <c r="P435" s="31"/>
      <c r="Q435" s="31"/>
    </row>
    <row r="436">
      <c r="A436" s="90"/>
      <c r="B436" s="91"/>
      <c r="C436" s="91"/>
      <c r="D436" s="91"/>
      <c r="E436" s="91"/>
      <c r="F436" s="91"/>
      <c r="G436" s="91"/>
      <c r="H436" s="91"/>
      <c r="O436" s="31"/>
      <c r="P436" s="31"/>
      <c r="Q436" s="31"/>
    </row>
    <row r="437">
      <c r="A437" s="90"/>
      <c r="B437" s="91"/>
      <c r="C437" s="91"/>
      <c r="D437" s="91"/>
      <c r="E437" s="91"/>
      <c r="F437" s="91"/>
      <c r="G437" s="91"/>
      <c r="H437" s="91"/>
      <c r="O437" s="31"/>
      <c r="P437" s="31"/>
      <c r="Q437" s="31"/>
    </row>
    <row r="438">
      <c r="A438" s="90"/>
      <c r="B438" s="91"/>
      <c r="C438" s="91"/>
      <c r="D438" s="91"/>
      <c r="E438" s="91"/>
      <c r="F438" s="91"/>
      <c r="G438" s="91"/>
      <c r="H438" s="91"/>
      <c r="O438" s="31"/>
      <c r="P438" s="31"/>
      <c r="Q438" s="31"/>
    </row>
    <row r="439">
      <c r="A439" s="90"/>
      <c r="B439" s="91"/>
      <c r="C439" s="91"/>
      <c r="D439" s="91"/>
      <c r="E439" s="91"/>
      <c r="F439" s="91"/>
      <c r="G439" s="91"/>
      <c r="H439" s="91"/>
      <c r="O439" s="31"/>
      <c r="P439" s="31"/>
      <c r="Q439" s="31"/>
    </row>
    <row r="440">
      <c r="A440" s="90"/>
      <c r="B440" s="91"/>
      <c r="C440" s="91"/>
      <c r="D440" s="91"/>
      <c r="E440" s="91"/>
      <c r="F440" s="91"/>
      <c r="G440" s="91"/>
      <c r="H440" s="91"/>
      <c r="O440" s="31"/>
      <c r="P440" s="31"/>
      <c r="Q440" s="31"/>
    </row>
    <row r="441">
      <c r="A441" s="90"/>
      <c r="B441" s="91"/>
      <c r="C441" s="91"/>
      <c r="D441" s="91"/>
      <c r="E441" s="91"/>
      <c r="F441" s="91"/>
      <c r="G441" s="91"/>
      <c r="H441" s="91"/>
      <c r="O441" s="31"/>
      <c r="P441" s="31"/>
      <c r="Q441" s="31"/>
    </row>
    <row r="442">
      <c r="A442" s="90"/>
      <c r="B442" s="91"/>
      <c r="C442" s="91"/>
      <c r="D442" s="91"/>
      <c r="E442" s="91"/>
      <c r="F442" s="91"/>
      <c r="G442" s="91"/>
      <c r="H442" s="91"/>
      <c r="O442" s="31"/>
      <c r="P442" s="31"/>
      <c r="Q442" s="31"/>
    </row>
    <row r="443">
      <c r="A443" s="90"/>
      <c r="B443" s="91"/>
      <c r="C443" s="91"/>
      <c r="D443" s="91"/>
      <c r="E443" s="91"/>
      <c r="F443" s="91"/>
      <c r="G443" s="91"/>
      <c r="H443" s="91"/>
      <c r="O443" s="31"/>
      <c r="P443" s="31"/>
      <c r="Q443" s="31"/>
    </row>
    <row r="444">
      <c r="A444" s="90"/>
      <c r="B444" s="91"/>
      <c r="C444" s="91"/>
      <c r="D444" s="91"/>
      <c r="E444" s="91"/>
      <c r="F444" s="91"/>
      <c r="G444" s="91"/>
      <c r="H444" s="91"/>
      <c r="O444" s="31"/>
      <c r="P444" s="31"/>
      <c r="Q444" s="31"/>
    </row>
    <row r="445">
      <c r="A445" s="90"/>
      <c r="B445" s="91"/>
      <c r="C445" s="91"/>
      <c r="D445" s="91"/>
      <c r="E445" s="91"/>
      <c r="F445" s="91"/>
      <c r="G445" s="91"/>
      <c r="H445" s="91"/>
      <c r="O445" s="31"/>
      <c r="P445" s="31"/>
      <c r="Q445" s="31"/>
    </row>
    <row r="446">
      <c r="A446" s="90"/>
      <c r="B446" s="91"/>
      <c r="C446" s="91"/>
      <c r="D446" s="91"/>
      <c r="E446" s="91"/>
      <c r="F446" s="91"/>
      <c r="G446" s="91"/>
      <c r="H446" s="91"/>
      <c r="O446" s="31"/>
      <c r="P446" s="31"/>
      <c r="Q446" s="31"/>
    </row>
    <row r="447">
      <c r="A447" s="90"/>
      <c r="B447" s="91"/>
      <c r="C447" s="91"/>
      <c r="D447" s="91"/>
      <c r="E447" s="91"/>
      <c r="F447" s="91"/>
      <c r="G447" s="91"/>
      <c r="H447" s="91"/>
      <c r="O447" s="31"/>
      <c r="P447" s="31"/>
      <c r="Q447" s="31"/>
    </row>
    <row r="448">
      <c r="A448" s="90"/>
      <c r="B448" s="91"/>
      <c r="C448" s="91"/>
      <c r="D448" s="91"/>
      <c r="E448" s="91"/>
      <c r="F448" s="91"/>
      <c r="G448" s="91"/>
      <c r="H448" s="91"/>
      <c r="O448" s="31"/>
      <c r="P448" s="31"/>
      <c r="Q448" s="31"/>
    </row>
    <row r="449">
      <c r="A449" s="90"/>
      <c r="B449" s="91"/>
      <c r="C449" s="91"/>
      <c r="D449" s="91"/>
      <c r="E449" s="91"/>
      <c r="F449" s="91"/>
      <c r="G449" s="91"/>
      <c r="H449" s="91"/>
      <c r="O449" s="31"/>
      <c r="P449" s="31"/>
      <c r="Q449" s="31"/>
    </row>
    <row r="450">
      <c r="A450" s="90"/>
      <c r="B450" s="91"/>
      <c r="C450" s="91"/>
      <c r="D450" s="91"/>
      <c r="E450" s="91"/>
      <c r="F450" s="91"/>
      <c r="G450" s="91"/>
      <c r="H450" s="91"/>
      <c r="O450" s="31"/>
      <c r="P450" s="31"/>
      <c r="Q450" s="31"/>
    </row>
    <row r="451">
      <c r="A451" s="90"/>
      <c r="B451" s="91"/>
      <c r="C451" s="91"/>
      <c r="D451" s="91"/>
      <c r="E451" s="91"/>
      <c r="F451" s="91"/>
      <c r="G451" s="91"/>
      <c r="H451" s="91"/>
      <c r="O451" s="31"/>
      <c r="P451" s="31"/>
      <c r="Q451" s="31"/>
    </row>
    <row r="452">
      <c r="A452" s="90"/>
      <c r="B452" s="91"/>
      <c r="C452" s="91"/>
      <c r="D452" s="91"/>
      <c r="E452" s="91"/>
      <c r="F452" s="91"/>
      <c r="G452" s="91"/>
      <c r="H452" s="91"/>
      <c r="O452" s="31"/>
      <c r="P452" s="31"/>
      <c r="Q452" s="31"/>
    </row>
    <row r="453">
      <c r="A453" s="90"/>
      <c r="B453" s="91"/>
      <c r="C453" s="91"/>
      <c r="D453" s="91"/>
      <c r="E453" s="91"/>
      <c r="F453" s="91"/>
      <c r="G453" s="91"/>
      <c r="H453" s="91"/>
      <c r="O453" s="31"/>
      <c r="P453" s="31"/>
      <c r="Q453" s="31"/>
    </row>
    <row r="454">
      <c r="A454" s="90"/>
      <c r="B454" s="91"/>
      <c r="C454" s="91"/>
      <c r="D454" s="91"/>
      <c r="E454" s="91"/>
      <c r="F454" s="91"/>
      <c r="G454" s="91"/>
      <c r="H454" s="91"/>
      <c r="O454" s="31"/>
      <c r="P454" s="31"/>
      <c r="Q454" s="31"/>
    </row>
    <row r="455">
      <c r="A455" s="90"/>
      <c r="B455" s="91"/>
      <c r="C455" s="91"/>
      <c r="D455" s="91"/>
      <c r="E455" s="91"/>
      <c r="F455" s="91"/>
      <c r="G455" s="91"/>
      <c r="H455" s="91"/>
      <c r="O455" s="31"/>
      <c r="P455" s="31"/>
      <c r="Q455" s="31"/>
    </row>
    <row r="456">
      <c r="A456" s="90"/>
      <c r="B456" s="91"/>
      <c r="C456" s="91"/>
      <c r="D456" s="91"/>
      <c r="E456" s="91"/>
      <c r="F456" s="91"/>
      <c r="G456" s="91"/>
      <c r="H456" s="91"/>
      <c r="O456" s="31"/>
      <c r="P456" s="31"/>
      <c r="Q456" s="31"/>
    </row>
    <row r="457">
      <c r="A457" s="90"/>
      <c r="B457" s="91"/>
      <c r="C457" s="91"/>
      <c r="D457" s="91"/>
      <c r="E457" s="91"/>
      <c r="F457" s="91"/>
      <c r="G457" s="91"/>
      <c r="H457" s="91"/>
      <c r="O457" s="31"/>
      <c r="P457" s="31"/>
      <c r="Q457" s="31"/>
    </row>
    <row r="458">
      <c r="A458" s="90"/>
      <c r="B458" s="91"/>
      <c r="C458" s="91"/>
      <c r="D458" s="91"/>
      <c r="E458" s="91"/>
      <c r="F458" s="91"/>
      <c r="G458" s="91"/>
      <c r="H458" s="91"/>
      <c r="O458" s="31"/>
      <c r="P458" s="31"/>
      <c r="Q458" s="31"/>
    </row>
    <row r="459">
      <c r="A459" s="90"/>
      <c r="B459" s="91"/>
      <c r="C459" s="91"/>
      <c r="D459" s="91"/>
      <c r="E459" s="91"/>
      <c r="F459" s="91"/>
      <c r="G459" s="91"/>
      <c r="H459" s="91"/>
      <c r="O459" s="31"/>
      <c r="P459" s="31"/>
      <c r="Q459" s="31"/>
    </row>
    <row r="460">
      <c r="A460" s="90"/>
      <c r="B460" s="91"/>
      <c r="C460" s="91"/>
      <c r="D460" s="91"/>
      <c r="E460" s="91"/>
      <c r="F460" s="91"/>
      <c r="G460" s="91"/>
      <c r="H460" s="91"/>
      <c r="O460" s="31"/>
      <c r="P460" s="31"/>
      <c r="Q460" s="31"/>
    </row>
    <row r="461">
      <c r="A461" s="90"/>
      <c r="B461" s="91"/>
      <c r="C461" s="91"/>
      <c r="D461" s="91"/>
      <c r="E461" s="91"/>
      <c r="F461" s="91"/>
      <c r="G461" s="91"/>
      <c r="H461" s="91"/>
      <c r="O461" s="31"/>
      <c r="P461" s="31"/>
      <c r="Q461" s="31"/>
    </row>
    <row r="462">
      <c r="A462" s="90"/>
      <c r="B462" s="91"/>
      <c r="C462" s="91"/>
      <c r="D462" s="91"/>
      <c r="E462" s="91"/>
      <c r="F462" s="91"/>
      <c r="G462" s="91"/>
      <c r="H462" s="91"/>
      <c r="O462" s="31"/>
      <c r="P462" s="31"/>
      <c r="Q462" s="31"/>
    </row>
    <row r="463">
      <c r="A463" s="90"/>
      <c r="B463" s="91"/>
      <c r="C463" s="91"/>
      <c r="D463" s="91"/>
      <c r="E463" s="91"/>
      <c r="F463" s="91"/>
      <c r="G463" s="91"/>
      <c r="H463" s="91"/>
      <c r="O463" s="31"/>
      <c r="P463" s="31"/>
      <c r="Q463" s="31"/>
    </row>
    <row r="464">
      <c r="A464" s="90"/>
      <c r="B464" s="91"/>
      <c r="C464" s="91"/>
      <c r="D464" s="91"/>
      <c r="E464" s="91"/>
      <c r="F464" s="91"/>
      <c r="G464" s="91"/>
      <c r="H464" s="91"/>
      <c r="O464" s="31"/>
      <c r="P464" s="31"/>
      <c r="Q464" s="31"/>
    </row>
    <row r="465">
      <c r="A465" s="90"/>
      <c r="B465" s="91"/>
      <c r="C465" s="91"/>
      <c r="D465" s="91"/>
      <c r="E465" s="91"/>
      <c r="F465" s="91"/>
      <c r="G465" s="91"/>
      <c r="H465" s="91"/>
      <c r="O465" s="31"/>
      <c r="P465" s="31"/>
      <c r="Q465" s="31"/>
    </row>
    <row r="466">
      <c r="A466" s="90"/>
      <c r="B466" s="91"/>
      <c r="C466" s="91"/>
      <c r="D466" s="91"/>
      <c r="E466" s="91"/>
      <c r="F466" s="91"/>
      <c r="G466" s="91"/>
      <c r="H466" s="91"/>
      <c r="O466" s="31"/>
      <c r="P466" s="31"/>
      <c r="Q466" s="31"/>
    </row>
    <row r="467">
      <c r="A467" s="90"/>
      <c r="B467" s="91"/>
      <c r="C467" s="91"/>
      <c r="D467" s="91"/>
      <c r="E467" s="91"/>
      <c r="F467" s="91"/>
      <c r="G467" s="91"/>
      <c r="H467" s="91"/>
      <c r="O467" s="31"/>
      <c r="P467" s="31"/>
      <c r="Q467" s="31"/>
    </row>
    <row r="468">
      <c r="A468" s="90"/>
      <c r="B468" s="91"/>
      <c r="C468" s="91"/>
      <c r="D468" s="91"/>
      <c r="E468" s="91"/>
      <c r="F468" s="91"/>
      <c r="G468" s="91"/>
      <c r="H468" s="91"/>
      <c r="O468" s="31"/>
      <c r="P468" s="31"/>
      <c r="Q468" s="31"/>
    </row>
    <row r="469">
      <c r="A469" s="90"/>
      <c r="B469" s="91"/>
      <c r="C469" s="91"/>
      <c r="D469" s="91"/>
      <c r="E469" s="91"/>
      <c r="F469" s="91"/>
      <c r="G469" s="91"/>
      <c r="H469" s="91"/>
      <c r="O469" s="31"/>
      <c r="P469" s="31"/>
      <c r="Q469" s="31"/>
    </row>
    <row r="470">
      <c r="A470" s="90"/>
      <c r="B470" s="91"/>
      <c r="C470" s="91"/>
      <c r="D470" s="91"/>
      <c r="E470" s="91"/>
      <c r="F470" s="91"/>
      <c r="G470" s="91"/>
      <c r="H470" s="91"/>
      <c r="O470" s="31"/>
      <c r="P470" s="31"/>
      <c r="Q470" s="31"/>
    </row>
    <row r="471">
      <c r="A471" s="90"/>
      <c r="B471" s="91"/>
      <c r="C471" s="91"/>
      <c r="D471" s="91"/>
      <c r="E471" s="91"/>
      <c r="F471" s="91"/>
      <c r="G471" s="91"/>
      <c r="H471" s="91"/>
      <c r="O471" s="31"/>
      <c r="P471" s="31"/>
      <c r="Q471" s="31"/>
    </row>
    <row r="472">
      <c r="A472" s="90"/>
      <c r="B472" s="91"/>
      <c r="C472" s="91"/>
      <c r="D472" s="91"/>
      <c r="E472" s="91"/>
      <c r="F472" s="91"/>
      <c r="G472" s="91"/>
      <c r="H472" s="91"/>
      <c r="O472" s="31"/>
      <c r="P472" s="31"/>
      <c r="Q472" s="31"/>
    </row>
    <row r="473">
      <c r="A473" s="90"/>
      <c r="B473" s="91"/>
      <c r="C473" s="91"/>
      <c r="D473" s="91"/>
      <c r="E473" s="91"/>
      <c r="F473" s="91"/>
      <c r="G473" s="91"/>
      <c r="H473" s="91"/>
      <c r="O473" s="31"/>
      <c r="P473" s="31"/>
      <c r="Q473" s="31"/>
    </row>
    <row r="474">
      <c r="A474" s="90"/>
      <c r="B474" s="91"/>
      <c r="C474" s="91"/>
      <c r="D474" s="91"/>
      <c r="E474" s="91"/>
      <c r="F474" s="91"/>
      <c r="G474" s="91"/>
      <c r="H474" s="91"/>
      <c r="O474" s="31"/>
      <c r="P474" s="31"/>
      <c r="Q474" s="31"/>
    </row>
    <row r="475">
      <c r="A475" s="90"/>
      <c r="B475" s="91"/>
      <c r="C475" s="91"/>
      <c r="D475" s="91"/>
      <c r="E475" s="91"/>
      <c r="F475" s="91"/>
      <c r="G475" s="91"/>
      <c r="H475" s="91"/>
      <c r="O475" s="31"/>
      <c r="P475" s="31"/>
      <c r="Q475" s="31"/>
    </row>
    <row r="476">
      <c r="A476" s="90"/>
      <c r="B476" s="91"/>
      <c r="C476" s="91"/>
      <c r="D476" s="91"/>
      <c r="E476" s="91"/>
      <c r="F476" s="91"/>
      <c r="G476" s="91"/>
      <c r="H476" s="91"/>
      <c r="O476" s="31"/>
      <c r="P476" s="31"/>
      <c r="Q476" s="31"/>
    </row>
    <row r="477">
      <c r="A477" s="90"/>
      <c r="B477" s="91"/>
      <c r="C477" s="91"/>
      <c r="D477" s="91"/>
      <c r="E477" s="91"/>
      <c r="F477" s="91"/>
      <c r="G477" s="91"/>
      <c r="H477" s="91"/>
      <c r="O477" s="31"/>
      <c r="P477" s="31"/>
      <c r="Q477" s="31"/>
    </row>
    <row r="478">
      <c r="A478" s="90"/>
      <c r="B478" s="91"/>
      <c r="C478" s="91"/>
      <c r="D478" s="91"/>
      <c r="E478" s="91"/>
      <c r="F478" s="91"/>
      <c r="G478" s="91"/>
      <c r="H478" s="91"/>
      <c r="O478" s="31"/>
      <c r="P478" s="31"/>
      <c r="Q478" s="31"/>
    </row>
    <row r="479">
      <c r="A479" s="90"/>
      <c r="B479" s="91"/>
      <c r="C479" s="91"/>
      <c r="D479" s="91"/>
      <c r="E479" s="91"/>
      <c r="F479" s="91"/>
      <c r="G479" s="91"/>
      <c r="H479" s="91"/>
      <c r="O479" s="31"/>
      <c r="P479" s="31"/>
      <c r="Q479" s="31"/>
    </row>
    <row r="480">
      <c r="A480" s="90"/>
      <c r="B480" s="91"/>
      <c r="C480" s="91"/>
      <c r="D480" s="91"/>
      <c r="E480" s="91"/>
      <c r="F480" s="91"/>
      <c r="G480" s="91"/>
      <c r="H480" s="91"/>
      <c r="O480" s="31"/>
      <c r="P480" s="31"/>
      <c r="Q480" s="31"/>
    </row>
    <row r="481">
      <c r="A481" s="90"/>
      <c r="B481" s="91"/>
      <c r="C481" s="91"/>
      <c r="D481" s="91"/>
      <c r="E481" s="91"/>
      <c r="F481" s="91"/>
      <c r="G481" s="91"/>
      <c r="H481" s="91"/>
      <c r="O481" s="31"/>
      <c r="P481" s="31"/>
      <c r="Q481" s="31"/>
    </row>
    <row r="482">
      <c r="A482" s="90"/>
      <c r="B482" s="91"/>
      <c r="C482" s="91"/>
      <c r="D482" s="91"/>
      <c r="E482" s="91"/>
      <c r="F482" s="91"/>
      <c r="G482" s="91"/>
      <c r="H482" s="91"/>
      <c r="O482" s="31"/>
      <c r="P482" s="31"/>
      <c r="Q482" s="31"/>
    </row>
    <row r="483">
      <c r="A483" s="90"/>
      <c r="B483" s="91"/>
      <c r="C483" s="91"/>
      <c r="D483" s="91"/>
      <c r="E483" s="91"/>
      <c r="F483" s="91"/>
      <c r="G483" s="91"/>
      <c r="H483" s="91"/>
      <c r="O483" s="31"/>
      <c r="P483" s="31"/>
      <c r="Q483" s="31"/>
    </row>
    <row r="484">
      <c r="A484" s="90"/>
      <c r="B484" s="91"/>
      <c r="C484" s="91"/>
      <c r="D484" s="91"/>
      <c r="E484" s="91"/>
      <c r="F484" s="91"/>
      <c r="G484" s="91"/>
      <c r="H484" s="91"/>
      <c r="O484" s="31"/>
      <c r="P484" s="31"/>
      <c r="Q484" s="31"/>
    </row>
    <row r="485">
      <c r="A485" s="90"/>
      <c r="B485" s="91"/>
      <c r="C485" s="91"/>
      <c r="D485" s="91"/>
      <c r="E485" s="91"/>
      <c r="F485" s="91"/>
      <c r="G485" s="91"/>
      <c r="H485" s="91"/>
      <c r="O485" s="31"/>
      <c r="P485" s="31"/>
      <c r="Q485" s="31"/>
    </row>
    <row r="486">
      <c r="A486" s="90"/>
      <c r="B486" s="91"/>
      <c r="C486" s="91"/>
      <c r="D486" s="91"/>
      <c r="E486" s="91"/>
      <c r="F486" s="91"/>
      <c r="G486" s="91"/>
      <c r="H486" s="91"/>
      <c r="O486" s="31"/>
      <c r="P486" s="31"/>
      <c r="Q486" s="31"/>
    </row>
    <row r="487">
      <c r="A487" s="90"/>
      <c r="B487" s="91"/>
      <c r="C487" s="91"/>
      <c r="D487" s="91"/>
      <c r="E487" s="91"/>
      <c r="F487" s="91"/>
      <c r="G487" s="91"/>
      <c r="H487" s="91"/>
      <c r="O487" s="31"/>
      <c r="P487" s="31"/>
      <c r="Q487" s="31"/>
    </row>
    <row r="488">
      <c r="A488" s="90"/>
      <c r="B488" s="91"/>
      <c r="C488" s="91"/>
      <c r="D488" s="91"/>
      <c r="E488" s="91"/>
      <c r="F488" s="91"/>
      <c r="G488" s="91"/>
      <c r="H488" s="91"/>
      <c r="O488" s="31"/>
      <c r="P488" s="31"/>
      <c r="Q488" s="31"/>
    </row>
    <row r="489">
      <c r="A489" s="90"/>
      <c r="B489" s="91"/>
      <c r="C489" s="91"/>
      <c r="D489" s="91"/>
      <c r="E489" s="91"/>
      <c r="F489" s="91"/>
      <c r="G489" s="91"/>
      <c r="H489" s="91"/>
      <c r="O489" s="31"/>
      <c r="P489" s="31"/>
      <c r="Q489" s="31"/>
    </row>
    <row r="490">
      <c r="A490" s="90"/>
      <c r="B490" s="91"/>
      <c r="C490" s="91"/>
      <c r="D490" s="91"/>
      <c r="E490" s="91"/>
      <c r="F490" s="91"/>
      <c r="G490" s="91"/>
      <c r="H490" s="91"/>
      <c r="O490" s="31"/>
      <c r="P490" s="31"/>
      <c r="Q490" s="31"/>
    </row>
    <row r="491">
      <c r="A491" s="90"/>
      <c r="B491" s="91"/>
      <c r="C491" s="91"/>
      <c r="D491" s="91"/>
      <c r="E491" s="91"/>
      <c r="F491" s="91"/>
      <c r="G491" s="91"/>
      <c r="H491" s="91"/>
      <c r="O491" s="31"/>
      <c r="P491" s="31"/>
      <c r="Q491" s="31"/>
    </row>
    <row r="492">
      <c r="A492" s="90"/>
      <c r="B492" s="91"/>
      <c r="C492" s="91"/>
      <c r="D492" s="91"/>
      <c r="E492" s="91"/>
      <c r="F492" s="91"/>
      <c r="G492" s="91"/>
      <c r="H492" s="91"/>
      <c r="O492" s="31"/>
      <c r="P492" s="31"/>
      <c r="Q492" s="31"/>
    </row>
    <row r="493">
      <c r="A493" s="90"/>
      <c r="B493" s="91"/>
      <c r="C493" s="91"/>
      <c r="D493" s="91"/>
      <c r="E493" s="91"/>
      <c r="F493" s="91"/>
      <c r="G493" s="91"/>
      <c r="H493" s="91"/>
      <c r="O493" s="31"/>
      <c r="P493" s="31"/>
      <c r="Q493" s="31"/>
    </row>
    <row r="494">
      <c r="A494" s="90"/>
      <c r="B494" s="91"/>
      <c r="C494" s="91"/>
      <c r="D494" s="91"/>
      <c r="E494" s="91"/>
      <c r="F494" s="91"/>
      <c r="G494" s="91"/>
      <c r="H494" s="91"/>
      <c r="O494" s="31"/>
      <c r="P494" s="31"/>
      <c r="Q494" s="31"/>
    </row>
    <row r="495">
      <c r="A495" s="90"/>
      <c r="B495" s="91"/>
      <c r="C495" s="91"/>
      <c r="D495" s="91"/>
      <c r="E495" s="91"/>
      <c r="F495" s="91"/>
      <c r="G495" s="91"/>
      <c r="H495" s="91"/>
      <c r="O495" s="31"/>
      <c r="P495" s="31"/>
      <c r="Q495" s="31"/>
    </row>
    <row r="496">
      <c r="A496" s="90"/>
      <c r="B496" s="91"/>
      <c r="C496" s="91"/>
      <c r="D496" s="91"/>
      <c r="E496" s="91"/>
      <c r="F496" s="91"/>
      <c r="G496" s="91"/>
      <c r="H496" s="91"/>
      <c r="O496" s="31"/>
      <c r="P496" s="31"/>
      <c r="Q496" s="31"/>
    </row>
    <row r="497">
      <c r="A497" s="90"/>
      <c r="B497" s="91"/>
      <c r="C497" s="91"/>
      <c r="D497" s="91"/>
      <c r="E497" s="91"/>
      <c r="F497" s="91"/>
      <c r="G497" s="91"/>
      <c r="H497" s="91"/>
      <c r="O497" s="31"/>
      <c r="P497" s="31"/>
      <c r="Q497" s="31"/>
    </row>
    <row r="498">
      <c r="A498" s="90"/>
      <c r="B498" s="91"/>
      <c r="C498" s="91"/>
      <c r="D498" s="91"/>
      <c r="E498" s="91"/>
      <c r="F498" s="91"/>
      <c r="G498" s="91"/>
      <c r="H498" s="91"/>
      <c r="O498" s="31"/>
      <c r="P498" s="31"/>
      <c r="Q498" s="31"/>
    </row>
    <row r="499">
      <c r="A499" s="90"/>
      <c r="B499" s="91"/>
      <c r="C499" s="91"/>
      <c r="D499" s="91"/>
      <c r="E499" s="91"/>
      <c r="F499" s="91"/>
      <c r="G499" s="91"/>
      <c r="H499" s="91"/>
      <c r="O499" s="31"/>
      <c r="P499" s="31"/>
      <c r="Q499" s="31"/>
    </row>
    <row r="500">
      <c r="A500" s="90"/>
      <c r="B500" s="91"/>
      <c r="C500" s="91"/>
      <c r="D500" s="91"/>
      <c r="E500" s="91"/>
      <c r="F500" s="91"/>
      <c r="G500" s="91"/>
      <c r="H500" s="91"/>
      <c r="O500" s="31"/>
      <c r="P500" s="31"/>
      <c r="Q500" s="31"/>
    </row>
    <row r="501">
      <c r="A501" s="90"/>
      <c r="B501" s="91"/>
      <c r="C501" s="91"/>
      <c r="D501" s="91"/>
      <c r="E501" s="91"/>
      <c r="F501" s="91"/>
      <c r="G501" s="91"/>
      <c r="H501" s="91"/>
      <c r="O501" s="31"/>
      <c r="P501" s="31"/>
      <c r="Q501" s="31"/>
    </row>
    <row r="502">
      <c r="A502" s="90"/>
      <c r="B502" s="91"/>
      <c r="C502" s="91"/>
      <c r="D502" s="91"/>
      <c r="E502" s="91"/>
      <c r="F502" s="91"/>
      <c r="G502" s="91"/>
      <c r="H502" s="91"/>
      <c r="O502" s="31"/>
      <c r="P502" s="31"/>
      <c r="Q502" s="31"/>
    </row>
    <row r="503">
      <c r="A503" s="90"/>
      <c r="B503" s="91"/>
      <c r="C503" s="91"/>
      <c r="D503" s="91"/>
      <c r="E503" s="91"/>
      <c r="F503" s="91"/>
      <c r="G503" s="91"/>
      <c r="H503" s="91"/>
      <c r="O503" s="31"/>
      <c r="P503" s="31"/>
      <c r="Q503" s="31"/>
    </row>
    <row r="504">
      <c r="A504" s="90"/>
      <c r="B504" s="91"/>
      <c r="C504" s="91"/>
      <c r="D504" s="91"/>
      <c r="E504" s="91"/>
      <c r="F504" s="91"/>
      <c r="G504" s="91"/>
      <c r="H504" s="91"/>
      <c r="O504" s="31"/>
      <c r="P504" s="31"/>
      <c r="Q504" s="31"/>
    </row>
    <row r="505">
      <c r="A505" s="90"/>
      <c r="B505" s="91"/>
      <c r="C505" s="91"/>
      <c r="D505" s="91"/>
      <c r="E505" s="91"/>
      <c r="F505" s="91"/>
      <c r="G505" s="91"/>
      <c r="H505" s="91"/>
      <c r="O505" s="31"/>
      <c r="P505" s="31"/>
      <c r="Q505" s="31"/>
    </row>
    <row r="506">
      <c r="A506" s="90"/>
      <c r="B506" s="91"/>
      <c r="C506" s="91"/>
      <c r="D506" s="91"/>
      <c r="E506" s="91"/>
      <c r="F506" s="91"/>
      <c r="G506" s="91"/>
      <c r="H506" s="91"/>
      <c r="O506" s="31"/>
      <c r="P506" s="31"/>
      <c r="Q506" s="31"/>
    </row>
    <row r="507">
      <c r="A507" s="90"/>
      <c r="B507" s="91"/>
      <c r="C507" s="91"/>
      <c r="D507" s="91"/>
      <c r="E507" s="91"/>
      <c r="F507" s="91"/>
      <c r="G507" s="91"/>
      <c r="H507" s="91"/>
      <c r="O507" s="31"/>
      <c r="P507" s="31"/>
      <c r="Q507" s="31"/>
    </row>
    <row r="508">
      <c r="A508" s="90"/>
      <c r="B508" s="91"/>
      <c r="C508" s="91"/>
      <c r="D508" s="91"/>
      <c r="E508" s="91"/>
      <c r="F508" s="91"/>
      <c r="G508" s="91"/>
      <c r="H508" s="91"/>
      <c r="O508" s="31"/>
      <c r="P508" s="31"/>
      <c r="Q508" s="31"/>
    </row>
    <row r="509">
      <c r="A509" s="90"/>
      <c r="B509" s="91"/>
      <c r="C509" s="91"/>
      <c r="D509" s="91"/>
      <c r="E509" s="91"/>
      <c r="F509" s="91"/>
      <c r="G509" s="91"/>
      <c r="H509" s="91"/>
      <c r="O509" s="31"/>
      <c r="P509" s="31"/>
      <c r="Q509" s="31"/>
    </row>
    <row r="510">
      <c r="A510" s="90"/>
      <c r="B510" s="91"/>
      <c r="C510" s="91"/>
      <c r="D510" s="91"/>
      <c r="E510" s="91"/>
      <c r="F510" s="91"/>
      <c r="G510" s="91"/>
      <c r="H510" s="91"/>
      <c r="O510" s="31"/>
      <c r="P510" s="31"/>
      <c r="Q510" s="31"/>
    </row>
    <row r="511">
      <c r="A511" s="90"/>
      <c r="B511" s="91"/>
      <c r="C511" s="91"/>
      <c r="D511" s="91"/>
      <c r="E511" s="91"/>
      <c r="F511" s="91"/>
      <c r="G511" s="91"/>
      <c r="H511" s="91"/>
      <c r="O511" s="31"/>
      <c r="P511" s="31"/>
      <c r="Q511" s="31"/>
    </row>
    <row r="512">
      <c r="A512" s="90"/>
      <c r="B512" s="91"/>
      <c r="C512" s="91"/>
      <c r="D512" s="91"/>
      <c r="E512" s="91"/>
      <c r="F512" s="91"/>
      <c r="G512" s="91"/>
      <c r="H512" s="91"/>
      <c r="O512" s="31"/>
      <c r="P512" s="31"/>
      <c r="Q512" s="31"/>
    </row>
    <row r="513">
      <c r="A513" s="90"/>
      <c r="B513" s="91"/>
      <c r="C513" s="91"/>
      <c r="D513" s="91"/>
      <c r="E513" s="91"/>
      <c r="F513" s="91"/>
      <c r="G513" s="91"/>
      <c r="H513" s="91"/>
      <c r="O513" s="31"/>
      <c r="P513" s="31"/>
      <c r="Q513" s="31"/>
    </row>
    <row r="514">
      <c r="A514" s="90"/>
      <c r="B514" s="91"/>
      <c r="C514" s="91"/>
      <c r="D514" s="91"/>
      <c r="E514" s="91"/>
      <c r="F514" s="91"/>
      <c r="G514" s="91"/>
      <c r="H514" s="91"/>
      <c r="O514" s="31"/>
      <c r="P514" s="31"/>
      <c r="Q514" s="31"/>
    </row>
    <row r="515">
      <c r="A515" s="90"/>
      <c r="B515" s="91"/>
      <c r="C515" s="91"/>
      <c r="D515" s="91"/>
      <c r="E515" s="91"/>
      <c r="F515" s="91"/>
      <c r="G515" s="91"/>
      <c r="H515" s="91"/>
      <c r="O515" s="31"/>
      <c r="P515" s="31"/>
      <c r="Q515" s="31"/>
    </row>
    <row r="516">
      <c r="A516" s="90"/>
      <c r="B516" s="91"/>
      <c r="C516" s="91"/>
      <c r="D516" s="91"/>
      <c r="E516" s="91"/>
      <c r="F516" s="91"/>
      <c r="G516" s="91"/>
      <c r="H516" s="91"/>
      <c r="O516" s="31"/>
      <c r="P516" s="31"/>
      <c r="Q516" s="31"/>
    </row>
    <row r="517">
      <c r="A517" s="90"/>
      <c r="B517" s="91"/>
      <c r="C517" s="91"/>
      <c r="D517" s="91"/>
      <c r="E517" s="91"/>
      <c r="F517" s="91"/>
      <c r="G517" s="91"/>
      <c r="H517" s="91"/>
      <c r="O517" s="31"/>
      <c r="P517" s="31"/>
      <c r="Q517" s="31"/>
    </row>
    <row r="518">
      <c r="A518" s="90"/>
      <c r="B518" s="91"/>
      <c r="C518" s="91"/>
      <c r="D518" s="91"/>
      <c r="E518" s="91"/>
      <c r="F518" s="91"/>
      <c r="G518" s="91"/>
      <c r="H518" s="91"/>
      <c r="O518" s="31"/>
      <c r="P518" s="31"/>
      <c r="Q518" s="31"/>
    </row>
    <row r="519">
      <c r="A519" s="90"/>
      <c r="B519" s="91"/>
      <c r="C519" s="91"/>
      <c r="D519" s="91"/>
      <c r="E519" s="91"/>
      <c r="F519" s="91"/>
      <c r="G519" s="91"/>
      <c r="H519" s="91"/>
      <c r="O519" s="31"/>
      <c r="P519" s="31"/>
      <c r="Q519" s="31"/>
    </row>
    <row r="520">
      <c r="A520" s="90"/>
      <c r="B520" s="91"/>
      <c r="C520" s="91"/>
      <c r="D520" s="91"/>
      <c r="E520" s="91"/>
      <c r="F520" s="91"/>
      <c r="G520" s="91"/>
      <c r="H520" s="91"/>
      <c r="O520" s="31"/>
      <c r="P520" s="31"/>
      <c r="Q520" s="31"/>
    </row>
    <row r="521">
      <c r="A521" s="90"/>
      <c r="B521" s="91"/>
      <c r="C521" s="91"/>
      <c r="D521" s="91"/>
      <c r="E521" s="91"/>
      <c r="F521" s="91"/>
      <c r="G521" s="91"/>
      <c r="H521" s="91"/>
      <c r="O521" s="31"/>
      <c r="P521" s="31"/>
      <c r="Q521" s="31"/>
    </row>
    <row r="522">
      <c r="A522" s="90"/>
      <c r="B522" s="91"/>
      <c r="C522" s="91"/>
      <c r="D522" s="91"/>
      <c r="E522" s="91"/>
      <c r="F522" s="91"/>
      <c r="G522" s="91"/>
      <c r="H522" s="91"/>
      <c r="O522" s="31"/>
      <c r="P522" s="31"/>
      <c r="Q522" s="31"/>
    </row>
    <row r="523">
      <c r="A523" s="90"/>
      <c r="B523" s="91"/>
      <c r="C523" s="91"/>
      <c r="D523" s="91"/>
      <c r="E523" s="91"/>
      <c r="F523" s="91"/>
      <c r="G523" s="91"/>
      <c r="H523" s="91"/>
      <c r="O523" s="31"/>
      <c r="P523" s="31"/>
      <c r="Q523" s="31"/>
    </row>
    <row r="524">
      <c r="A524" s="90"/>
      <c r="B524" s="91"/>
      <c r="C524" s="91"/>
      <c r="D524" s="91"/>
      <c r="E524" s="91"/>
      <c r="F524" s="91"/>
      <c r="G524" s="91"/>
      <c r="H524" s="91"/>
      <c r="O524" s="31"/>
      <c r="P524" s="31"/>
      <c r="Q524" s="31"/>
    </row>
    <row r="525">
      <c r="A525" s="90"/>
      <c r="B525" s="91"/>
      <c r="C525" s="91"/>
      <c r="D525" s="91"/>
      <c r="E525" s="91"/>
      <c r="F525" s="91"/>
      <c r="G525" s="91"/>
      <c r="H525" s="91"/>
      <c r="O525" s="31"/>
      <c r="P525" s="31"/>
      <c r="Q525" s="31"/>
    </row>
    <row r="526">
      <c r="A526" s="90"/>
      <c r="B526" s="91"/>
      <c r="C526" s="91"/>
      <c r="D526" s="91"/>
      <c r="E526" s="91"/>
      <c r="F526" s="91"/>
      <c r="G526" s="91"/>
      <c r="H526" s="91"/>
      <c r="O526" s="31"/>
      <c r="P526" s="31"/>
      <c r="Q526" s="31"/>
    </row>
    <row r="527">
      <c r="A527" s="90"/>
      <c r="B527" s="91"/>
      <c r="C527" s="91"/>
      <c r="D527" s="91"/>
      <c r="E527" s="91"/>
      <c r="F527" s="91"/>
      <c r="G527" s="91"/>
      <c r="H527" s="91"/>
      <c r="O527" s="31"/>
      <c r="P527" s="31"/>
      <c r="Q527" s="31"/>
    </row>
    <row r="528">
      <c r="A528" s="90"/>
      <c r="B528" s="91"/>
      <c r="C528" s="91"/>
      <c r="D528" s="91"/>
      <c r="E528" s="91"/>
      <c r="F528" s="91"/>
      <c r="G528" s="91"/>
      <c r="H528" s="91"/>
      <c r="O528" s="31"/>
      <c r="P528" s="31"/>
      <c r="Q528" s="31"/>
    </row>
    <row r="529">
      <c r="A529" s="90"/>
      <c r="B529" s="91"/>
      <c r="C529" s="91"/>
      <c r="D529" s="91"/>
      <c r="E529" s="91"/>
      <c r="F529" s="91"/>
      <c r="G529" s="91"/>
      <c r="H529" s="91"/>
      <c r="O529" s="31"/>
      <c r="P529" s="31"/>
      <c r="Q529" s="31"/>
    </row>
    <row r="530">
      <c r="A530" s="90"/>
      <c r="B530" s="91"/>
      <c r="C530" s="91"/>
      <c r="D530" s="91"/>
      <c r="E530" s="91"/>
      <c r="F530" s="91"/>
      <c r="G530" s="91"/>
      <c r="H530" s="91"/>
      <c r="O530" s="31"/>
      <c r="P530" s="31"/>
      <c r="Q530" s="31"/>
    </row>
    <row r="531">
      <c r="A531" s="90"/>
      <c r="B531" s="91"/>
      <c r="C531" s="91"/>
      <c r="D531" s="91"/>
      <c r="E531" s="91"/>
      <c r="F531" s="91"/>
      <c r="G531" s="91"/>
      <c r="H531" s="91"/>
      <c r="O531" s="31"/>
      <c r="P531" s="31"/>
      <c r="Q531" s="31"/>
    </row>
    <row r="532">
      <c r="A532" s="90"/>
      <c r="B532" s="91"/>
      <c r="C532" s="91"/>
      <c r="D532" s="91"/>
      <c r="E532" s="91"/>
      <c r="F532" s="91"/>
      <c r="G532" s="91"/>
      <c r="H532" s="91"/>
      <c r="O532" s="31"/>
      <c r="P532" s="31"/>
      <c r="Q532" s="31"/>
    </row>
    <row r="533">
      <c r="A533" s="90"/>
      <c r="B533" s="91"/>
      <c r="C533" s="91"/>
      <c r="D533" s="91"/>
      <c r="E533" s="91"/>
      <c r="F533" s="91"/>
      <c r="G533" s="91"/>
      <c r="H533" s="91"/>
      <c r="O533" s="31"/>
      <c r="P533" s="31"/>
      <c r="Q533" s="31"/>
    </row>
    <row r="534">
      <c r="A534" s="90"/>
      <c r="B534" s="91"/>
      <c r="C534" s="91"/>
      <c r="D534" s="91"/>
      <c r="E534" s="91"/>
      <c r="F534" s="91"/>
      <c r="G534" s="91"/>
      <c r="H534" s="91"/>
      <c r="O534" s="31"/>
      <c r="P534" s="31"/>
      <c r="Q534" s="31"/>
    </row>
    <row r="535">
      <c r="A535" s="90"/>
      <c r="B535" s="91"/>
      <c r="C535" s="91"/>
      <c r="D535" s="91"/>
      <c r="E535" s="91"/>
      <c r="F535" s="91"/>
      <c r="G535" s="91"/>
      <c r="H535" s="91"/>
      <c r="O535" s="31"/>
      <c r="P535" s="31"/>
      <c r="Q535" s="31"/>
    </row>
    <row r="536">
      <c r="A536" s="90"/>
      <c r="B536" s="91"/>
      <c r="C536" s="91"/>
      <c r="D536" s="91"/>
      <c r="E536" s="91"/>
      <c r="F536" s="91"/>
      <c r="G536" s="91"/>
      <c r="H536" s="91"/>
      <c r="O536" s="31"/>
      <c r="P536" s="31"/>
      <c r="Q536" s="31"/>
    </row>
    <row r="537">
      <c r="A537" s="90"/>
      <c r="B537" s="91"/>
      <c r="C537" s="91"/>
      <c r="D537" s="91"/>
      <c r="E537" s="91"/>
      <c r="F537" s="91"/>
      <c r="G537" s="91"/>
      <c r="H537" s="91"/>
      <c r="O537" s="31"/>
      <c r="P537" s="31"/>
      <c r="Q537" s="31"/>
    </row>
    <row r="538">
      <c r="A538" s="90"/>
      <c r="B538" s="91"/>
      <c r="C538" s="91"/>
      <c r="D538" s="91"/>
      <c r="E538" s="91"/>
      <c r="F538" s="91"/>
      <c r="G538" s="91"/>
      <c r="H538" s="91"/>
      <c r="O538" s="31"/>
      <c r="P538" s="31"/>
      <c r="Q538" s="31"/>
    </row>
    <row r="539">
      <c r="A539" s="90"/>
      <c r="B539" s="91"/>
      <c r="C539" s="91"/>
      <c r="D539" s="91"/>
      <c r="E539" s="91"/>
      <c r="F539" s="91"/>
      <c r="G539" s="91"/>
      <c r="H539" s="91"/>
      <c r="O539" s="31"/>
      <c r="P539" s="31"/>
      <c r="Q539" s="31"/>
    </row>
    <row r="540">
      <c r="A540" s="90"/>
      <c r="B540" s="91"/>
      <c r="C540" s="91"/>
      <c r="D540" s="91"/>
      <c r="E540" s="91"/>
      <c r="F540" s="91"/>
      <c r="G540" s="91"/>
      <c r="H540" s="91"/>
      <c r="O540" s="31"/>
      <c r="P540" s="31"/>
      <c r="Q540" s="31"/>
    </row>
    <row r="541">
      <c r="A541" s="90"/>
      <c r="B541" s="91"/>
      <c r="C541" s="91"/>
      <c r="D541" s="91"/>
      <c r="E541" s="91"/>
      <c r="F541" s="91"/>
      <c r="G541" s="91"/>
      <c r="H541" s="91"/>
      <c r="O541" s="31"/>
      <c r="P541" s="31"/>
      <c r="Q541" s="31"/>
    </row>
    <row r="542">
      <c r="A542" s="90"/>
      <c r="B542" s="91"/>
      <c r="C542" s="91"/>
      <c r="D542" s="91"/>
      <c r="E542" s="91"/>
      <c r="F542" s="91"/>
      <c r="G542" s="91"/>
      <c r="H542" s="91"/>
      <c r="O542" s="31"/>
      <c r="P542" s="31"/>
      <c r="Q542" s="31"/>
    </row>
    <row r="543">
      <c r="A543" s="90"/>
      <c r="B543" s="91"/>
      <c r="C543" s="91"/>
      <c r="D543" s="91"/>
      <c r="E543" s="91"/>
      <c r="F543" s="91"/>
      <c r="G543" s="91"/>
      <c r="H543" s="91"/>
      <c r="O543" s="31"/>
      <c r="P543" s="31"/>
      <c r="Q543" s="31"/>
    </row>
    <row r="544">
      <c r="A544" s="90"/>
      <c r="B544" s="91"/>
      <c r="C544" s="91"/>
      <c r="D544" s="91"/>
      <c r="E544" s="91"/>
      <c r="F544" s="91"/>
      <c r="G544" s="91"/>
      <c r="H544" s="91"/>
      <c r="O544" s="31"/>
      <c r="P544" s="31"/>
      <c r="Q544" s="31"/>
    </row>
    <row r="545">
      <c r="A545" s="90"/>
      <c r="B545" s="91"/>
      <c r="C545" s="91"/>
      <c r="D545" s="91"/>
      <c r="E545" s="91"/>
      <c r="F545" s="91"/>
      <c r="G545" s="91"/>
      <c r="H545" s="91"/>
      <c r="O545" s="31"/>
      <c r="P545" s="31"/>
      <c r="Q545" s="31"/>
    </row>
    <row r="546">
      <c r="A546" s="90"/>
      <c r="B546" s="91"/>
      <c r="C546" s="91"/>
      <c r="D546" s="91"/>
      <c r="E546" s="91"/>
      <c r="F546" s="91"/>
      <c r="G546" s="91"/>
      <c r="H546" s="91"/>
      <c r="O546" s="31"/>
      <c r="P546" s="31"/>
      <c r="Q546" s="31"/>
    </row>
    <row r="547">
      <c r="A547" s="90"/>
      <c r="B547" s="91"/>
      <c r="C547" s="91"/>
      <c r="D547" s="91"/>
      <c r="E547" s="91"/>
      <c r="F547" s="91"/>
      <c r="G547" s="91"/>
      <c r="H547" s="91"/>
      <c r="O547" s="31"/>
      <c r="P547" s="31"/>
      <c r="Q547" s="31"/>
    </row>
    <row r="548">
      <c r="A548" s="90"/>
      <c r="B548" s="91"/>
      <c r="C548" s="91"/>
      <c r="D548" s="91"/>
      <c r="E548" s="91"/>
      <c r="F548" s="91"/>
      <c r="G548" s="91"/>
      <c r="H548" s="91"/>
      <c r="O548" s="31"/>
      <c r="P548" s="31"/>
      <c r="Q548" s="31"/>
    </row>
    <row r="549">
      <c r="A549" s="90"/>
      <c r="B549" s="91"/>
      <c r="C549" s="91"/>
      <c r="D549" s="91"/>
      <c r="E549" s="91"/>
      <c r="F549" s="91"/>
      <c r="G549" s="91"/>
      <c r="H549" s="91"/>
      <c r="O549" s="31"/>
      <c r="P549" s="31"/>
      <c r="Q549" s="31"/>
    </row>
    <row r="550">
      <c r="A550" s="90"/>
      <c r="B550" s="91"/>
      <c r="C550" s="91"/>
      <c r="D550" s="91"/>
      <c r="E550" s="91"/>
      <c r="F550" s="91"/>
      <c r="G550" s="91"/>
      <c r="H550" s="91"/>
      <c r="O550" s="31"/>
      <c r="P550" s="31"/>
      <c r="Q550" s="31"/>
    </row>
    <row r="551">
      <c r="A551" s="90"/>
      <c r="B551" s="91"/>
      <c r="C551" s="91"/>
      <c r="D551" s="91"/>
      <c r="E551" s="91"/>
      <c r="F551" s="91"/>
      <c r="G551" s="91"/>
      <c r="H551" s="91"/>
      <c r="O551" s="31"/>
      <c r="P551" s="31"/>
      <c r="Q551" s="31"/>
    </row>
    <row r="552">
      <c r="A552" s="90"/>
      <c r="B552" s="91"/>
      <c r="C552" s="91"/>
      <c r="D552" s="91"/>
      <c r="E552" s="91"/>
      <c r="F552" s="91"/>
      <c r="G552" s="91"/>
      <c r="H552" s="91"/>
      <c r="O552" s="31"/>
      <c r="P552" s="31"/>
      <c r="Q552" s="31"/>
    </row>
    <row r="553">
      <c r="A553" s="90"/>
      <c r="B553" s="91"/>
      <c r="C553" s="91"/>
      <c r="D553" s="91"/>
      <c r="E553" s="91"/>
      <c r="F553" s="91"/>
      <c r="G553" s="91"/>
      <c r="H553" s="91"/>
      <c r="O553" s="31"/>
      <c r="P553" s="31"/>
      <c r="Q553" s="31"/>
    </row>
    <row r="554">
      <c r="A554" s="90"/>
      <c r="B554" s="91"/>
      <c r="C554" s="91"/>
      <c r="D554" s="91"/>
      <c r="E554" s="91"/>
      <c r="F554" s="91"/>
      <c r="G554" s="91"/>
      <c r="H554" s="91"/>
      <c r="O554" s="31"/>
      <c r="P554" s="31"/>
      <c r="Q554" s="31"/>
    </row>
    <row r="555">
      <c r="A555" s="90"/>
      <c r="B555" s="91"/>
      <c r="C555" s="91"/>
      <c r="D555" s="91"/>
      <c r="E555" s="91"/>
      <c r="F555" s="91"/>
      <c r="G555" s="91"/>
      <c r="H555" s="91"/>
      <c r="O555" s="31"/>
      <c r="P555" s="31"/>
      <c r="Q555" s="31"/>
    </row>
    <row r="556">
      <c r="A556" s="90"/>
      <c r="B556" s="91"/>
      <c r="C556" s="91"/>
      <c r="D556" s="91"/>
      <c r="E556" s="91"/>
      <c r="F556" s="91"/>
      <c r="G556" s="91"/>
      <c r="H556" s="91"/>
      <c r="O556" s="31"/>
      <c r="P556" s="31"/>
      <c r="Q556" s="31"/>
    </row>
    <row r="557">
      <c r="A557" s="90"/>
      <c r="B557" s="91"/>
      <c r="C557" s="91"/>
      <c r="D557" s="91"/>
      <c r="E557" s="91"/>
      <c r="F557" s="91"/>
      <c r="G557" s="91"/>
      <c r="H557" s="91"/>
      <c r="O557" s="31"/>
      <c r="P557" s="31"/>
      <c r="Q557" s="31"/>
    </row>
    <row r="558">
      <c r="A558" s="90"/>
      <c r="B558" s="91"/>
      <c r="C558" s="91"/>
      <c r="D558" s="91"/>
      <c r="E558" s="91"/>
      <c r="F558" s="91"/>
      <c r="G558" s="91"/>
      <c r="H558" s="91"/>
      <c r="O558" s="31"/>
      <c r="P558" s="31"/>
      <c r="Q558" s="31"/>
    </row>
    <row r="559">
      <c r="A559" s="90"/>
      <c r="B559" s="91"/>
      <c r="C559" s="91"/>
      <c r="D559" s="91"/>
      <c r="E559" s="91"/>
      <c r="F559" s="91"/>
      <c r="G559" s="91"/>
      <c r="H559" s="91"/>
      <c r="O559" s="31"/>
      <c r="P559" s="31"/>
      <c r="Q559" s="31"/>
    </row>
    <row r="560">
      <c r="A560" s="90"/>
      <c r="B560" s="91"/>
      <c r="C560" s="91"/>
      <c r="D560" s="91"/>
      <c r="E560" s="91"/>
      <c r="F560" s="91"/>
      <c r="G560" s="91"/>
      <c r="H560" s="91"/>
      <c r="O560" s="31"/>
      <c r="P560" s="31"/>
      <c r="Q560" s="31"/>
    </row>
    <row r="561">
      <c r="A561" s="90"/>
      <c r="B561" s="91"/>
      <c r="C561" s="91"/>
      <c r="D561" s="91"/>
      <c r="E561" s="91"/>
      <c r="F561" s="91"/>
      <c r="G561" s="91"/>
      <c r="H561" s="91"/>
      <c r="O561" s="31"/>
      <c r="P561" s="31"/>
      <c r="Q561" s="31"/>
    </row>
    <row r="562">
      <c r="A562" s="90"/>
      <c r="B562" s="91"/>
      <c r="C562" s="91"/>
      <c r="D562" s="91"/>
      <c r="E562" s="91"/>
      <c r="F562" s="91"/>
      <c r="G562" s="91"/>
      <c r="H562" s="91"/>
      <c r="O562" s="31"/>
      <c r="P562" s="31"/>
      <c r="Q562" s="31"/>
    </row>
    <row r="563">
      <c r="A563" s="90"/>
      <c r="B563" s="91"/>
      <c r="C563" s="91"/>
      <c r="D563" s="91"/>
      <c r="E563" s="91"/>
      <c r="F563" s="91"/>
      <c r="G563" s="91"/>
      <c r="H563" s="91"/>
      <c r="O563" s="31"/>
      <c r="P563" s="31"/>
      <c r="Q563" s="31"/>
    </row>
    <row r="564">
      <c r="A564" s="90"/>
      <c r="B564" s="91"/>
      <c r="C564" s="91"/>
      <c r="D564" s="91"/>
      <c r="E564" s="91"/>
      <c r="F564" s="91"/>
      <c r="G564" s="91"/>
      <c r="H564" s="91"/>
      <c r="O564" s="31"/>
      <c r="P564" s="31"/>
      <c r="Q564" s="31"/>
    </row>
    <row r="565">
      <c r="A565" s="90"/>
      <c r="B565" s="91"/>
      <c r="C565" s="91"/>
      <c r="D565" s="91"/>
      <c r="E565" s="91"/>
      <c r="F565" s="91"/>
      <c r="G565" s="91"/>
      <c r="H565" s="91"/>
      <c r="O565" s="31"/>
      <c r="P565" s="31"/>
      <c r="Q565" s="31"/>
    </row>
    <row r="566">
      <c r="A566" s="90"/>
      <c r="B566" s="91"/>
      <c r="C566" s="91"/>
      <c r="D566" s="91"/>
      <c r="E566" s="91"/>
      <c r="F566" s="91"/>
      <c r="G566" s="91"/>
      <c r="H566" s="91"/>
      <c r="O566" s="31"/>
      <c r="P566" s="31"/>
      <c r="Q566" s="31"/>
    </row>
    <row r="567">
      <c r="A567" s="90"/>
      <c r="B567" s="91"/>
      <c r="C567" s="91"/>
      <c r="D567" s="91"/>
      <c r="E567" s="91"/>
      <c r="F567" s="91"/>
      <c r="G567" s="91"/>
      <c r="H567" s="91"/>
      <c r="O567" s="31"/>
      <c r="P567" s="31"/>
      <c r="Q567" s="31"/>
    </row>
    <row r="568">
      <c r="A568" s="90"/>
      <c r="B568" s="91"/>
      <c r="C568" s="91"/>
      <c r="D568" s="91"/>
      <c r="E568" s="91"/>
      <c r="F568" s="91"/>
      <c r="G568" s="91"/>
      <c r="H568" s="91"/>
      <c r="O568" s="31"/>
      <c r="P568" s="31"/>
      <c r="Q568" s="31"/>
    </row>
    <row r="569">
      <c r="A569" s="90"/>
      <c r="B569" s="91"/>
      <c r="C569" s="91"/>
      <c r="D569" s="91"/>
      <c r="E569" s="91"/>
      <c r="F569" s="91"/>
      <c r="G569" s="91"/>
      <c r="H569" s="91"/>
      <c r="O569" s="31"/>
      <c r="P569" s="31"/>
      <c r="Q569" s="31"/>
    </row>
    <row r="570">
      <c r="A570" s="90"/>
      <c r="B570" s="91"/>
      <c r="C570" s="91"/>
      <c r="D570" s="91"/>
      <c r="E570" s="91"/>
      <c r="F570" s="91"/>
      <c r="G570" s="91"/>
      <c r="H570" s="91"/>
      <c r="O570" s="31"/>
      <c r="P570" s="31"/>
      <c r="Q570" s="31"/>
    </row>
    <row r="571">
      <c r="A571" s="90"/>
      <c r="B571" s="91"/>
      <c r="C571" s="91"/>
      <c r="D571" s="91"/>
      <c r="E571" s="91"/>
      <c r="F571" s="91"/>
      <c r="G571" s="91"/>
      <c r="H571" s="91"/>
      <c r="O571" s="31"/>
      <c r="P571" s="31"/>
      <c r="Q571" s="31"/>
    </row>
    <row r="572">
      <c r="A572" s="90"/>
      <c r="B572" s="91"/>
      <c r="C572" s="91"/>
      <c r="D572" s="91"/>
      <c r="E572" s="91"/>
      <c r="F572" s="91"/>
      <c r="G572" s="91"/>
      <c r="H572" s="91"/>
      <c r="O572" s="31"/>
      <c r="P572" s="31"/>
      <c r="Q572" s="31"/>
    </row>
    <row r="573">
      <c r="A573" s="90"/>
      <c r="B573" s="91"/>
      <c r="C573" s="91"/>
      <c r="D573" s="91"/>
      <c r="E573" s="91"/>
      <c r="F573" s="91"/>
      <c r="G573" s="91"/>
      <c r="H573" s="91"/>
      <c r="O573" s="31"/>
      <c r="P573" s="31"/>
      <c r="Q573" s="31"/>
    </row>
    <row r="574">
      <c r="A574" s="90"/>
      <c r="B574" s="91"/>
      <c r="C574" s="91"/>
      <c r="D574" s="91"/>
      <c r="E574" s="91"/>
      <c r="F574" s="91"/>
      <c r="G574" s="91"/>
      <c r="H574" s="91"/>
      <c r="O574" s="31"/>
      <c r="P574" s="31"/>
      <c r="Q574" s="31"/>
    </row>
    <row r="575">
      <c r="A575" s="90"/>
      <c r="B575" s="91"/>
      <c r="C575" s="91"/>
      <c r="D575" s="91"/>
      <c r="E575" s="91"/>
      <c r="F575" s="91"/>
      <c r="G575" s="91"/>
      <c r="H575" s="91"/>
      <c r="O575" s="31"/>
      <c r="P575" s="31"/>
      <c r="Q575" s="31"/>
    </row>
    <row r="576">
      <c r="A576" s="90"/>
      <c r="B576" s="91"/>
      <c r="C576" s="91"/>
      <c r="D576" s="91"/>
      <c r="E576" s="91"/>
      <c r="F576" s="91"/>
      <c r="G576" s="91"/>
      <c r="H576" s="91"/>
      <c r="O576" s="31"/>
      <c r="P576" s="31"/>
      <c r="Q576" s="31"/>
    </row>
    <row r="577">
      <c r="A577" s="90"/>
      <c r="B577" s="91"/>
      <c r="C577" s="91"/>
      <c r="D577" s="91"/>
      <c r="E577" s="91"/>
      <c r="F577" s="91"/>
      <c r="G577" s="91"/>
      <c r="H577" s="91"/>
      <c r="O577" s="31"/>
      <c r="P577" s="31"/>
      <c r="Q577" s="31"/>
    </row>
    <row r="578">
      <c r="A578" s="90"/>
      <c r="B578" s="91"/>
      <c r="C578" s="91"/>
      <c r="D578" s="91"/>
      <c r="E578" s="91"/>
      <c r="F578" s="91"/>
      <c r="G578" s="91"/>
      <c r="H578" s="91"/>
      <c r="O578" s="31"/>
      <c r="P578" s="31"/>
      <c r="Q578" s="31"/>
    </row>
    <row r="579">
      <c r="A579" s="90"/>
      <c r="B579" s="91"/>
      <c r="C579" s="91"/>
      <c r="D579" s="91"/>
      <c r="E579" s="91"/>
      <c r="F579" s="91"/>
      <c r="G579" s="91"/>
      <c r="H579" s="91"/>
      <c r="O579" s="31"/>
      <c r="P579" s="31"/>
      <c r="Q579" s="31"/>
    </row>
    <row r="580">
      <c r="A580" s="90"/>
      <c r="B580" s="91"/>
      <c r="C580" s="91"/>
      <c r="D580" s="91"/>
      <c r="E580" s="91"/>
      <c r="F580" s="91"/>
      <c r="G580" s="91"/>
      <c r="H580" s="91"/>
      <c r="O580" s="31"/>
      <c r="P580" s="31"/>
      <c r="Q580" s="31"/>
    </row>
    <row r="581">
      <c r="A581" s="90"/>
      <c r="B581" s="91"/>
      <c r="C581" s="91"/>
      <c r="D581" s="91"/>
      <c r="E581" s="91"/>
      <c r="F581" s="91"/>
      <c r="G581" s="91"/>
      <c r="H581" s="91"/>
      <c r="O581" s="31"/>
      <c r="P581" s="31"/>
      <c r="Q581" s="31"/>
    </row>
    <row r="582">
      <c r="A582" s="90"/>
      <c r="B582" s="91"/>
      <c r="C582" s="91"/>
      <c r="D582" s="91"/>
      <c r="E582" s="91"/>
      <c r="F582" s="91"/>
      <c r="G582" s="91"/>
      <c r="H582" s="91"/>
      <c r="O582" s="31"/>
      <c r="P582" s="31"/>
      <c r="Q582" s="31"/>
    </row>
    <row r="583">
      <c r="A583" s="90"/>
      <c r="B583" s="91"/>
      <c r="C583" s="91"/>
      <c r="D583" s="91"/>
      <c r="E583" s="91"/>
      <c r="F583" s="91"/>
      <c r="G583" s="91"/>
      <c r="H583" s="91"/>
      <c r="O583" s="31"/>
      <c r="P583" s="31"/>
      <c r="Q583" s="31"/>
    </row>
    <row r="584">
      <c r="A584" s="90"/>
      <c r="B584" s="91"/>
      <c r="C584" s="91"/>
      <c r="D584" s="91"/>
      <c r="E584" s="91"/>
      <c r="F584" s="91"/>
      <c r="G584" s="91"/>
      <c r="H584" s="91"/>
      <c r="O584" s="31"/>
      <c r="P584" s="31"/>
      <c r="Q584" s="31"/>
    </row>
    <row r="585">
      <c r="A585" s="90"/>
      <c r="B585" s="91"/>
      <c r="C585" s="91"/>
      <c r="D585" s="91"/>
      <c r="E585" s="91"/>
      <c r="F585" s="91"/>
      <c r="G585" s="91"/>
      <c r="H585" s="91"/>
      <c r="O585" s="31"/>
      <c r="P585" s="31"/>
      <c r="Q585" s="31"/>
    </row>
    <row r="586">
      <c r="A586" s="90"/>
      <c r="B586" s="91"/>
      <c r="C586" s="91"/>
      <c r="D586" s="91"/>
      <c r="E586" s="91"/>
      <c r="F586" s="91"/>
      <c r="G586" s="91"/>
      <c r="H586" s="91"/>
      <c r="O586" s="31"/>
      <c r="P586" s="31"/>
      <c r="Q586" s="31"/>
    </row>
    <row r="587">
      <c r="A587" s="90"/>
      <c r="B587" s="91"/>
      <c r="C587" s="91"/>
      <c r="D587" s="91"/>
      <c r="E587" s="91"/>
      <c r="F587" s="91"/>
      <c r="G587" s="91"/>
      <c r="H587" s="91"/>
      <c r="O587" s="31"/>
      <c r="P587" s="31"/>
      <c r="Q587" s="31"/>
    </row>
    <row r="588">
      <c r="A588" s="90"/>
      <c r="B588" s="91"/>
      <c r="C588" s="91"/>
      <c r="D588" s="91"/>
      <c r="E588" s="91"/>
      <c r="F588" s="91"/>
      <c r="G588" s="91"/>
      <c r="H588" s="91"/>
      <c r="O588" s="31"/>
      <c r="P588" s="31"/>
      <c r="Q588" s="31"/>
    </row>
    <row r="589">
      <c r="A589" s="90"/>
      <c r="B589" s="91"/>
      <c r="C589" s="91"/>
      <c r="D589" s="91"/>
      <c r="E589" s="91"/>
      <c r="F589" s="91"/>
      <c r="G589" s="91"/>
      <c r="H589" s="91"/>
      <c r="O589" s="31"/>
      <c r="P589" s="31"/>
      <c r="Q589" s="31"/>
    </row>
    <row r="590">
      <c r="A590" s="90"/>
      <c r="B590" s="91"/>
      <c r="C590" s="91"/>
      <c r="D590" s="91"/>
      <c r="E590" s="91"/>
      <c r="F590" s="91"/>
      <c r="G590" s="91"/>
      <c r="H590" s="91"/>
      <c r="O590" s="31"/>
      <c r="P590" s="31"/>
      <c r="Q590" s="31"/>
    </row>
    <row r="591">
      <c r="A591" s="90"/>
      <c r="B591" s="91"/>
      <c r="C591" s="91"/>
      <c r="D591" s="91"/>
      <c r="E591" s="91"/>
      <c r="F591" s="91"/>
      <c r="G591" s="91"/>
      <c r="H591" s="91"/>
      <c r="O591" s="31"/>
      <c r="P591" s="31"/>
      <c r="Q591" s="31"/>
    </row>
    <row r="592">
      <c r="A592" s="90"/>
      <c r="B592" s="91"/>
      <c r="C592" s="91"/>
      <c r="D592" s="91"/>
      <c r="E592" s="91"/>
      <c r="F592" s="91"/>
      <c r="G592" s="91"/>
      <c r="H592" s="91"/>
      <c r="O592" s="31"/>
      <c r="P592" s="31"/>
      <c r="Q592" s="31"/>
    </row>
    <row r="593">
      <c r="A593" s="90"/>
      <c r="B593" s="91"/>
      <c r="C593" s="91"/>
      <c r="D593" s="91"/>
      <c r="E593" s="91"/>
      <c r="F593" s="91"/>
      <c r="G593" s="91"/>
      <c r="H593" s="91"/>
      <c r="O593" s="31"/>
      <c r="P593" s="31"/>
      <c r="Q593" s="31"/>
    </row>
    <row r="594">
      <c r="A594" s="90"/>
      <c r="B594" s="91"/>
      <c r="C594" s="91"/>
      <c r="D594" s="91"/>
      <c r="E594" s="91"/>
      <c r="F594" s="91"/>
      <c r="G594" s="91"/>
      <c r="H594" s="91"/>
      <c r="O594" s="31"/>
      <c r="P594" s="31"/>
      <c r="Q594" s="31"/>
    </row>
    <row r="595">
      <c r="A595" s="90"/>
      <c r="B595" s="91"/>
      <c r="C595" s="91"/>
      <c r="D595" s="91"/>
      <c r="E595" s="91"/>
      <c r="F595" s="91"/>
      <c r="G595" s="91"/>
      <c r="H595" s="91"/>
      <c r="O595" s="31"/>
      <c r="P595" s="31"/>
      <c r="Q595" s="31"/>
    </row>
    <row r="596">
      <c r="A596" s="90"/>
      <c r="B596" s="91"/>
      <c r="C596" s="91"/>
      <c r="D596" s="91"/>
      <c r="E596" s="91"/>
      <c r="F596" s="91"/>
      <c r="G596" s="91"/>
      <c r="H596" s="91"/>
      <c r="O596" s="31"/>
      <c r="P596" s="31"/>
      <c r="Q596" s="31"/>
    </row>
    <row r="597">
      <c r="A597" s="90"/>
      <c r="B597" s="91"/>
      <c r="C597" s="91"/>
      <c r="D597" s="91"/>
      <c r="E597" s="91"/>
      <c r="F597" s="91"/>
      <c r="G597" s="91"/>
      <c r="H597" s="91"/>
      <c r="O597" s="31"/>
      <c r="P597" s="31"/>
      <c r="Q597" s="31"/>
    </row>
    <row r="598">
      <c r="A598" s="90"/>
      <c r="B598" s="91"/>
      <c r="C598" s="91"/>
      <c r="D598" s="91"/>
      <c r="E598" s="91"/>
      <c r="F598" s="91"/>
      <c r="G598" s="91"/>
      <c r="H598" s="91"/>
      <c r="O598" s="31"/>
      <c r="P598" s="31"/>
      <c r="Q598" s="31"/>
    </row>
    <row r="599">
      <c r="A599" s="90"/>
      <c r="B599" s="91"/>
      <c r="C599" s="91"/>
      <c r="D599" s="91"/>
      <c r="E599" s="91"/>
      <c r="F599" s="91"/>
      <c r="G599" s="91"/>
      <c r="H599" s="91"/>
      <c r="O599" s="31"/>
      <c r="P599" s="31"/>
      <c r="Q599" s="31"/>
    </row>
    <row r="600">
      <c r="A600" s="90"/>
      <c r="B600" s="91"/>
      <c r="C600" s="91"/>
      <c r="D600" s="91"/>
      <c r="E600" s="91"/>
      <c r="F600" s="91"/>
      <c r="G600" s="91"/>
      <c r="H600" s="91"/>
      <c r="O600" s="31"/>
      <c r="P600" s="31"/>
      <c r="Q600" s="31"/>
    </row>
    <row r="601">
      <c r="A601" s="90"/>
      <c r="B601" s="91"/>
      <c r="C601" s="91"/>
      <c r="D601" s="91"/>
      <c r="E601" s="91"/>
      <c r="F601" s="91"/>
      <c r="G601" s="91"/>
      <c r="H601" s="91"/>
      <c r="O601" s="31"/>
      <c r="P601" s="31"/>
      <c r="Q601" s="31"/>
    </row>
    <row r="602">
      <c r="A602" s="90"/>
      <c r="B602" s="91"/>
      <c r="C602" s="91"/>
      <c r="D602" s="91"/>
      <c r="E602" s="91"/>
      <c r="F602" s="91"/>
      <c r="G602" s="91"/>
      <c r="H602" s="91"/>
      <c r="O602" s="31"/>
      <c r="P602" s="31"/>
      <c r="Q602" s="31"/>
    </row>
    <row r="603">
      <c r="A603" s="90"/>
      <c r="B603" s="91"/>
      <c r="C603" s="91"/>
      <c r="D603" s="91"/>
      <c r="E603" s="91"/>
      <c r="F603" s="91"/>
      <c r="G603" s="91"/>
      <c r="H603" s="91"/>
      <c r="O603" s="31"/>
      <c r="P603" s="31"/>
      <c r="Q603" s="31"/>
    </row>
    <row r="604">
      <c r="A604" s="90"/>
      <c r="B604" s="91"/>
      <c r="C604" s="91"/>
      <c r="D604" s="91"/>
      <c r="E604" s="91"/>
      <c r="F604" s="91"/>
      <c r="G604" s="91"/>
      <c r="H604" s="91"/>
      <c r="O604" s="31"/>
      <c r="P604" s="31"/>
      <c r="Q604" s="31"/>
    </row>
    <row r="605">
      <c r="A605" s="90"/>
      <c r="B605" s="91"/>
      <c r="C605" s="91"/>
      <c r="D605" s="91"/>
      <c r="E605" s="91"/>
      <c r="F605" s="91"/>
      <c r="G605" s="91"/>
      <c r="H605" s="91"/>
      <c r="O605" s="31"/>
      <c r="P605" s="31"/>
      <c r="Q605" s="31"/>
    </row>
    <row r="606">
      <c r="A606" s="90"/>
      <c r="B606" s="91"/>
      <c r="C606" s="91"/>
      <c r="D606" s="91"/>
      <c r="E606" s="91"/>
      <c r="F606" s="91"/>
      <c r="G606" s="91"/>
      <c r="H606" s="91"/>
      <c r="O606" s="31"/>
      <c r="P606" s="31"/>
      <c r="Q606" s="31"/>
    </row>
    <row r="607">
      <c r="A607" s="90"/>
      <c r="B607" s="91"/>
      <c r="C607" s="91"/>
      <c r="D607" s="91"/>
      <c r="E607" s="91"/>
      <c r="F607" s="91"/>
      <c r="G607" s="91"/>
      <c r="H607" s="91"/>
      <c r="O607" s="31"/>
      <c r="P607" s="31"/>
      <c r="Q607" s="31"/>
    </row>
    <row r="608">
      <c r="A608" s="90"/>
      <c r="B608" s="91"/>
      <c r="C608" s="91"/>
      <c r="D608" s="91"/>
      <c r="E608" s="91"/>
      <c r="F608" s="91"/>
      <c r="G608" s="91"/>
      <c r="H608" s="91"/>
      <c r="O608" s="31"/>
      <c r="P608" s="31"/>
      <c r="Q608" s="31"/>
    </row>
    <row r="609">
      <c r="A609" s="90"/>
      <c r="B609" s="91"/>
      <c r="C609" s="91"/>
      <c r="D609" s="91"/>
      <c r="E609" s="91"/>
      <c r="F609" s="91"/>
      <c r="G609" s="91"/>
      <c r="H609" s="91"/>
      <c r="O609" s="31"/>
      <c r="P609" s="31"/>
      <c r="Q609" s="31"/>
    </row>
    <row r="610">
      <c r="A610" s="90"/>
      <c r="B610" s="91"/>
      <c r="C610" s="91"/>
      <c r="D610" s="91"/>
      <c r="E610" s="91"/>
      <c r="F610" s="91"/>
      <c r="G610" s="91"/>
      <c r="H610" s="91"/>
      <c r="O610" s="31"/>
      <c r="P610" s="31"/>
      <c r="Q610" s="31"/>
    </row>
    <row r="611">
      <c r="A611" s="90"/>
      <c r="B611" s="91"/>
      <c r="C611" s="91"/>
      <c r="D611" s="91"/>
      <c r="E611" s="91"/>
      <c r="F611" s="91"/>
      <c r="G611" s="91"/>
      <c r="H611" s="91"/>
      <c r="O611" s="31"/>
      <c r="P611" s="31"/>
      <c r="Q611" s="31"/>
    </row>
    <row r="612">
      <c r="A612" s="90"/>
      <c r="B612" s="91"/>
      <c r="C612" s="91"/>
      <c r="D612" s="91"/>
      <c r="E612" s="91"/>
      <c r="F612" s="91"/>
      <c r="G612" s="91"/>
      <c r="H612" s="91"/>
      <c r="O612" s="31"/>
      <c r="P612" s="31"/>
      <c r="Q612" s="31"/>
    </row>
    <row r="613">
      <c r="A613" s="90"/>
      <c r="B613" s="91"/>
      <c r="C613" s="91"/>
      <c r="D613" s="91"/>
      <c r="E613" s="91"/>
      <c r="F613" s="91"/>
      <c r="G613" s="91"/>
      <c r="H613" s="91"/>
      <c r="O613" s="31"/>
      <c r="P613" s="31"/>
      <c r="Q613" s="31"/>
    </row>
    <row r="614">
      <c r="A614" s="90"/>
      <c r="B614" s="91"/>
      <c r="C614" s="91"/>
      <c r="D614" s="91"/>
      <c r="E614" s="91"/>
      <c r="F614" s="91"/>
      <c r="G614" s="91"/>
      <c r="H614" s="91"/>
      <c r="O614" s="31"/>
      <c r="P614" s="31"/>
      <c r="Q614" s="31"/>
    </row>
    <row r="615">
      <c r="A615" s="90"/>
      <c r="B615" s="91"/>
      <c r="C615" s="91"/>
      <c r="D615" s="91"/>
      <c r="E615" s="91"/>
      <c r="F615" s="91"/>
      <c r="G615" s="91"/>
      <c r="H615" s="91"/>
      <c r="O615" s="31"/>
      <c r="P615" s="31"/>
      <c r="Q615" s="31"/>
    </row>
    <row r="616">
      <c r="A616" s="90"/>
      <c r="B616" s="91"/>
      <c r="C616" s="91"/>
      <c r="D616" s="91"/>
      <c r="E616" s="91"/>
      <c r="F616" s="91"/>
      <c r="G616" s="91"/>
      <c r="H616" s="91"/>
      <c r="O616" s="31"/>
      <c r="P616" s="31"/>
      <c r="Q616" s="31"/>
    </row>
    <row r="617">
      <c r="A617" s="90"/>
      <c r="B617" s="91"/>
      <c r="C617" s="91"/>
      <c r="D617" s="91"/>
      <c r="E617" s="91"/>
      <c r="F617" s="91"/>
      <c r="G617" s="91"/>
      <c r="H617" s="91"/>
      <c r="O617" s="31"/>
      <c r="P617" s="31"/>
      <c r="Q617" s="31"/>
    </row>
    <row r="618">
      <c r="A618" s="90"/>
      <c r="B618" s="91"/>
      <c r="C618" s="91"/>
      <c r="D618" s="91"/>
      <c r="E618" s="91"/>
      <c r="F618" s="91"/>
      <c r="G618" s="91"/>
      <c r="H618" s="91"/>
      <c r="O618" s="31"/>
      <c r="P618" s="31"/>
      <c r="Q618" s="31"/>
    </row>
    <row r="619">
      <c r="A619" s="90"/>
      <c r="B619" s="91"/>
      <c r="C619" s="91"/>
      <c r="D619" s="91"/>
      <c r="E619" s="91"/>
      <c r="F619" s="91"/>
      <c r="G619" s="91"/>
      <c r="H619" s="91"/>
      <c r="O619" s="31"/>
      <c r="P619" s="31"/>
      <c r="Q619" s="31"/>
    </row>
    <row r="620">
      <c r="A620" s="90"/>
      <c r="B620" s="91"/>
      <c r="C620" s="91"/>
      <c r="D620" s="91"/>
      <c r="E620" s="91"/>
      <c r="F620" s="91"/>
      <c r="G620" s="91"/>
      <c r="H620" s="91"/>
      <c r="O620" s="31"/>
      <c r="P620" s="31"/>
      <c r="Q620" s="31"/>
    </row>
    <row r="621">
      <c r="A621" s="90"/>
      <c r="B621" s="91"/>
      <c r="C621" s="91"/>
      <c r="D621" s="91"/>
      <c r="E621" s="91"/>
      <c r="F621" s="91"/>
      <c r="G621" s="91"/>
      <c r="H621" s="91"/>
      <c r="O621" s="31"/>
      <c r="P621" s="31"/>
      <c r="Q621" s="31"/>
    </row>
    <row r="622">
      <c r="A622" s="90"/>
      <c r="B622" s="91"/>
      <c r="C622" s="91"/>
      <c r="D622" s="91"/>
      <c r="E622" s="91"/>
      <c r="F622" s="91"/>
      <c r="G622" s="91"/>
      <c r="H622" s="91"/>
      <c r="O622" s="31"/>
      <c r="P622" s="31"/>
      <c r="Q622" s="31"/>
    </row>
    <row r="623">
      <c r="A623" s="90"/>
      <c r="B623" s="91"/>
      <c r="C623" s="91"/>
      <c r="D623" s="91"/>
      <c r="E623" s="91"/>
      <c r="F623" s="91"/>
      <c r="G623" s="91"/>
      <c r="H623" s="91"/>
      <c r="O623" s="31"/>
      <c r="P623" s="31"/>
      <c r="Q623" s="31"/>
    </row>
    <row r="624">
      <c r="A624" s="90"/>
      <c r="B624" s="91"/>
      <c r="C624" s="91"/>
      <c r="D624" s="91"/>
      <c r="E624" s="91"/>
      <c r="F624" s="91"/>
      <c r="G624" s="91"/>
      <c r="H624" s="91"/>
      <c r="O624" s="31"/>
      <c r="P624" s="31"/>
      <c r="Q624" s="31"/>
    </row>
    <row r="625">
      <c r="A625" s="90"/>
      <c r="B625" s="91"/>
      <c r="C625" s="91"/>
      <c r="D625" s="91"/>
      <c r="E625" s="91"/>
      <c r="F625" s="91"/>
      <c r="G625" s="91"/>
      <c r="H625" s="91"/>
      <c r="O625" s="31"/>
      <c r="P625" s="31"/>
      <c r="Q625" s="31"/>
    </row>
    <row r="626">
      <c r="A626" s="90"/>
      <c r="B626" s="91"/>
      <c r="C626" s="91"/>
      <c r="D626" s="91"/>
      <c r="E626" s="91"/>
      <c r="F626" s="91"/>
      <c r="G626" s="91"/>
      <c r="H626" s="91"/>
      <c r="O626" s="31"/>
      <c r="P626" s="31"/>
      <c r="Q626" s="31"/>
    </row>
    <row r="627">
      <c r="A627" s="90"/>
      <c r="B627" s="91"/>
      <c r="C627" s="91"/>
      <c r="D627" s="91"/>
      <c r="E627" s="91"/>
      <c r="F627" s="91"/>
      <c r="G627" s="91"/>
      <c r="H627" s="91"/>
      <c r="O627" s="31"/>
      <c r="P627" s="31"/>
      <c r="Q627" s="31"/>
    </row>
    <row r="628">
      <c r="A628" s="90"/>
      <c r="B628" s="91"/>
      <c r="C628" s="91"/>
      <c r="D628" s="91"/>
      <c r="E628" s="91"/>
      <c r="F628" s="91"/>
      <c r="G628" s="91"/>
      <c r="H628" s="91"/>
      <c r="O628" s="31"/>
      <c r="P628" s="31"/>
      <c r="Q628" s="31"/>
    </row>
    <row r="629">
      <c r="A629" s="90"/>
      <c r="B629" s="91"/>
      <c r="C629" s="91"/>
      <c r="D629" s="91"/>
      <c r="E629" s="91"/>
      <c r="F629" s="91"/>
      <c r="G629" s="91"/>
      <c r="H629" s="91"/>
      <c r="O629" s="31"/>
      <c r="P629" s="31"/>
      <c r="Q629" s="31"/>
    </row>
    <row r="630">
      <c r="A630" s="90"/>
      <c r="B630" s="91"/>
      <c r="C630" s="91"/>
      <c r="D630" s="91"/>
      <c r="E630" s="91"/>
      <c r="F630" s="91"/>
      <c r="G630" s="91"/>
      <c r="H630" s="91"/>
      <c r="O630" s="31"/>
      <c r="P630" s="31"/>
      <c r="Q630" s="31"/>
    </row>
    <row r="631">
      <c r="A631" s="90"/>
      <c r="B631" s="91"/>
      <c r="C631" s="91"/>
      <c r="D631" s="91"/>
      <c r="E631" s="91"/>
      <c r="F631" s="91"/>
      <c r="G631" s="91"/>
      <c r="H631" s="91"/>
      <c r="O631" s="31"/>
      <c r="P631" s="31"/>
      <c r="Q631" s="31"/>
    </row>
    <row r="632">
      <c r="A632" s="90"/>
      <c r="B632" s="91"/>
      <c r="C632" s="91"/>
      <c r="D632" s="91"/>
      <c r="E632" s="91"/>
      <c r="F632" s="91"/>
      <c r="G632" s="91"/>
      <c r="H632" s="91"/>
      <c r="O632" s="31"/>
      <c r="P632" s="31"/>
      <c r="Q632" s="31"/>
    </row>
    <row r="633">
      <c r="A633" s="90"/>
      <c r="B633" s="91"/>
      <c r="C633" s="91"/>
      <c r="D633" s="91"/>
      <c r="E633" s="91"/>
      <c r="F633" s="91"/>
      <c r="G633" s="91"/>
      <c r="H633" s="91"/>
      <c r="O633" s="31"/>
      <c r="P633" s="31"/>
      <c r="Q633" s="31"/>
    </row>
    <row r="634">
      <c r="A634" s="90"/>
      <c r="B634" s="91"/>
      <c r="C634" s="91"/>
      <c r="D634" s="91"/>
      <c r="E634" s="91"/>
      <c r="F634" s="91"/>
      <c r="G634" s="91"/>
      <c r="H634" s="91"/>
      <c r="O634" s="31"/>
      <c r="P634" s="31"/>
      <c r="Q634" s="31"/>
    </row>
    <row r="635">
      <c r="A635" s="90"/>
      <c r="B635" s="91"/>
      <c r="C635" s="91"/>
      <c r="D635" s="91"/>
      <c r="E635" s="91"/>
      <c r="F635" s="91"/>
      <c r="G635" s="91"/>
      <c r="H635" s="91"/>
      <c r="O635" s="31"/>
      <c r="P635" s="31"/>
      <c r="Q635" s="31"/>
    </row>
    <row r="636">
      <c r="A636" s="90"/>
      <c r="B636" s="91"/>
      <c r="C636" s="91"/>
      <c r="D636" s="91"/>
      <c r="E636" s="91"/>
      <c r="F636" s="91"/>
      <c r="G636" s="91"/>
      <c r="H636" s="91"/>
      <c r="O636" s="31"/>
      <c r="P636" s="31"/>
      <c r="Q636" s="31"/>
    </row>
    <row r="637">
      <c r="A637" s="90"/>
      <c r="B637" s="91"/>
      <c r="C637" s="91"/>
      <c r="D637" s="91"/>
      <c r="E637" s="91"/>
      <c r="F637" s="91"/>
      <c r="G637" s="91"/>
      <c r="H637" s="91"/>
      <c r="O637" s="31"/>
      <c r="P637" s="31"/>
      <c r="Q637" s="31"/>
    </row>
    <row r="638">
      <c r="A638" s="90"/>
      <c r="B638" s="91"/>
      <c r="C638" s="91"/>
      <c r="D638" s="91"/>
      <c r="E638" s="91"/>
      <c r="F638" s="91"/>
      <c r="G638" s="91"/>
      <c r="H638" s="91"/>
      <c r="O638" s="31"/>
      <c r="P638" s="31"/>
      <c r="Q638" s="31"/>
    </row>
    <row r="639">
      <c r="A639" s="90"/>
      <c r="B639" s="91"/>
      <c r="C639" s="91"/>
      <c r="D639" s="91"/>
      <c r="E639" s="91"/>
      <c r="F639" s="91"/>
      <c r="G639" s="91"/>
      <c r="H639" s="91"/>
      <c r="O639" s="31"/>
      <c r="P639" s="31"/>
      <c r="Q639" s="31"/>
    </row>
    <row r="640">
      <c r="A640" s="90"/>
      <c r="B640" s="91"/>
      <c r="C640" s="91"/>
      <c r="D640" s="91"/>
      <c r="E640" s="91"/>
      <c r="F640" s="91"/>
      <c r="G640" s="91"/>
      <c r="H640" s="91"/>
      <c r="O640" s="31"/>
      <c r="P640" s="31"/>
      <c r="Q640" s="31"/>
    </row>
    <row r="641">
      <c r="A641" s="90"/>
      <c r="B641" s="91"/>
      <c r="C641" s="91"/>
      <c r="D641" s="91"/>
      <c r="E641" s="91"/>
      <c r="F641" s="91"/>
      <c r="G641" s="91"/>
      <c r="H641" s="91"/>
      <c r="O641" s="31"/>
      <c r="P641" s="31"/>
      <c r="Q641" s="31"/>
    </row>
    <row r="642">
      <c r="A642" s="90"/>
      <c r="B642" s="91"/>
      <c r="C642" s="91"/>
      <c r="D642" s="91"/>
      <c r="E642" s="91"/>
      <c r="F642" s="91"/>
      <c r="G642" s="91"/>
      <c r="H642" s="91"/>
      <c r="O642" s="31"/>
      <c r="P642" s="31"/>
      <c r="Q642" s="31"/>
    </row>
    <row r="643">
      <c r="A643" s="90"/>
      <c r="B643" s="91"/>
      <c r="C643" s="91"/>
      <c r="D643" s="91"/>
      <c r="E643" s="91"/>
      <c r="F643" s="91"/>
      <c r="G643" s="91"/>
      <c r="H643" s="91"/>
      <c r="O643" s="31"/>
      <c r="P643" s="31"/>
      <c r="Q643" s="31"/>
    </row>
    <row r="644">
      <c r="A644" s="90"/>
      <c r="B644" s="91"/>
      <c r="C644" s="91"/>
      <c r="D644" s="91"/>
      <c r="E644" s="91"/>
      <c r="F644" s="91"/>
      <c r="G644" s="91"/>
      <c r="H644" s="91"/>
      <c r="O644" s="31"/>
      <c r="P644" s="31"/>
      <c r="Q644" s="31"/>
    </row>
    <row r="645">
      <c r="A645" s="90"/>
      <c r="B645" s="91"/>
      <c r="C645" s="91"/>
      <c r="D645" s="91"/>
      <c r="E645" s="91"/>
      <c r="F645" s="91"/>
      <c r="G645" s="91"/>
      <c r="H645" s="91"/>
      <c r="O645" s="31"/>
      <c r="P645" s="31"/>
      <c r="Q645" s="31"/>
    </row>
    <row r="646">
      <c r="A646" s="90"/>
      <c r="B646" s="91"/>
      <c r="C646" s="91"/>
      <c r="D646" s="91"/>
      <c r="E646" s="91"/>
      <c r="F646" s="91"/>
      <c r="G646" s="91"/>
      <c r="H646" s="91"/>
      <c r="O646" s="31"/>
      <c r="P646" s="31"/>
      <c r="Q646" s="31"/>
    </row>
    <row r="647">
      <c r="A647" s="90"/>
      <c r="B647" s="91"/>
      <c r="C647" s="91"/>
      <c r="D647" s="91"/>
      <c r="E647" s="91"/>
      <c r="F647" s="91"/>
      <c r="G647" s="91"/>
      <c r="H647" s="91"/>
      <c r="O647" s="31"/>
      <c r="P647" s="31"/>
      <c r="Q647" s="31"/>
    </row>
    <row r="648">
      <c r="A648" s="90"/>
      <c r="B648" s="91"/>
      <c r="C648" s="91"/>
      <c r="D648" s="91"/>
      <c r="E648" s="91"/>
      <c r="F648" s="91"/>
      <c r="G648" s="91"/>
      <c r="H648" s="91"/>
      <c r="O648" s="31"/>
      <c r="P648" s="31"/>
      <c r="Q648" s="31"/>
    </row>
    <row r="649">
      <c r="A649" s="90"/>
      <c r="B649" s="91"/>
      <c r="C649" s="91"/>
      <c r="D649" s="91"/>
      <c r="E649" s="91"/>
      <c r="F649" s="91"/>
      <c r="G649" s="91"/>
      <c r="H649" s="91"/>
      <c r="O649" s="31"/>
      <c r="P649" s="31"/>
      <c r="Q649" s="31"/>
    </row>
    <row r="650">
      <c r="A650" s="90"/>
      <c r="B650" s="91"/>
      <c r="C650" s="91"/>
      <c r="D650" s="91"/>
      <c r="E650" s="91"/>
      <c r="F650" s="91"/>
      <c r="G650" s="91"/>
      <c r="H650" s="91"/>
      <c r="O650" s="31"/>
      <c r="P650" s="31"/>
      <c r="Q650" s="31"/>
    </row>
    <row r="651">
      <c r="A651" s="90"/>
      <c r="B651" s="91"/>
      <c r="C651" s="91"/>
      <c r="D651" s="91"/>
      <c r="E651" s="91"/>
      <c r="F651" s="91"/>
      <c r="G651" s="91"/>
      <c r="H651" s="91"/>
      <c r="O651" s="31"/>
      <c r="P651" s="31"/>
      <c r="Q651" s="31"/>
    </row>
    <row r="652">
      <c r="A652" s="90"/>
      <c r="B652" s="91"/>
      <c r="C652" s="91"/>
      <c r="D652" s="91"/>
      <c r="E652" s="91"/>
      <c r="F652" s="91"/>
      <c r="G652" s="91"/>
      <c r="H652" s="91"/>
      <c r="O652" s="31"/>
      <c r="P652" s="31"/>
      <c r="Q652" s="31"/>
    </row>
    <row r="653">
      <c r="A653" s="90"/>
      <c r="B653" s="91"/>
      <c r="C653" s="91"/>
      <c r="D653" s="91"/>
      <c r="E653" s="91"/>
      <c r="F653" s="91"/>
      <c r="G653" s="91"/>
      <c r="H653" s="91"/>
      <c r="O653" s="31"/>
      <c r="P653" s="31"/>
      <c r="Q653" s="31"/>
    </row>
    <row r="654">
      <c r="A654" s="90"/>
      <c r="B654" s="91"/>
      <c r="C654" s="91"/>
      <c r="D654" s="91"/>
      <c r="E654" s="91"/>
      <c r="F654" s="91"/>
      <c r="G654" s="91"/>
      <c r="H654" s="91"/>
      <c r="O654" s="31"/>
      <c r="P654" s="31"/>
      <c r="Q654" s="31"/>
    </row>
    <row r="655">
      <c r="A655" s="90"/>
      <c r="B655" s="91"/>
      <c r="C655" s="91"/>
      <c r="D655" s="91"/>
      <c r="E655" s="91"/>
      <c r="F655" s="91"/>
      <c r="G655" s="91"/>
      <c r="H655" s="91"/>
      <c r="O655" s="31"/>
      <c r="P655" s="31"/>
      <c r="Q655" s="31"/>
    </row>
    <row r="656">
      <c r="A656" s="90"/>
      <c r="B656" s="91"/>
      <c r="C656" s="91"/>
      <c r="D656" s="91"/>
      <c r="E656" s="91"/>
      <c r="F656" s="91"/>
      <c r="G656" s="91"/>
      <c r="H656" s="91"/>
      <c r="O656" s="31"/>
      <c r="P656" s="31"/>
      <c r="Q656" s="31"/>
    </row>
    <row r="657">
      <c r="A657" s="90"/>
      <c r="B657" s="91"/>
      <c r="C657" s="91"/>
      <c r="D657" s="91"/>
      <c r="E657" s="91"/>
      <c r="F657" s="91"/>
      <c r="G657" s="91"/>
      <c r="H657" s="91"/>
      <c r="O657" s="31"/>
      <c r="P657" s="31"/>
      <c r="Q657" s="31"/>
    </row>
    <row r="658">
      <c r="A658" s="90"/>
      <c r="B658" s="91"/>
      <c r="C658" s="91"/>
      <c r="D658" s="91"/>
      <c r="E658" s="91"/>
      <c r="F658" s="91"/>
      <c r="G658" s="91"/>
      <c r="H658" s="91"/>
      <c r="O658" s="31"/>
      <c r="P658" s="31"/>
      <c r="Q658" s="31"/>
    </row>
    <row r="659">
      <c r="A659" s="90"/>
      <c r="B659" s="91"/>
      <c r="C659" s="91"/>
      <c r="D659" s="91"/>
      <c r="E659" s="91"/>
      <c r="F659" s="91"/>
      <c r="G659" s="91"/>
      <c r="H659" s="91"/>
      <c r="O659" s="31"/>
      <c r="P659" s="31"/>
      <c r="Q659" s="31"/>
    </row>
    <row r="660">
      <c r="A660" s="90"/>
      <c r="B660" s="91"/>
      <c r="C660" s="91"/>
      <c r="D660" s="91"/>
      <c r="E660" s="91"/>
      <c r="F660" s="91"/>
      <c r="G660" s="91"/>
      <c r="H660" s="91"/>
      <c r="O660" s="31"/>
      <c r="P660" s="31"/>
      <c r="Q660" s="31"/>
    </row>
    <row r="661">
      <c r="A661" s="90"/>
      <c r="B661" s="91"/>
      <c r="C661" s="91"/>
      <c r="D661" s="91"/>
      <c r="E661" s="91"/>
      <c r="F661" s="91"/>
      <c r="G661" s="91"/>
      <c r="H661" s="91"/>
      <c r="O661" s="31"/>
      <c r="P661" s="31"/>
      <c r="Q661" s="31"/>
    </row>
    <row r="662">
      <c r="A662" s="90"/>
      <c r="B662" s="91"/>
      <c r="C662" s="91"/>
      <c r="D662" s="91"/>
      <c r="E662" s="91"/>
      <c r="F662" s="91"/>
      <c r="G662" s="91"/>
      <c r="H662" s="91"/>
      <c r="O662" s="31"/>
      <c r="P662" s="31"/>
      <c r="Q662" s="31"/>
    </row>
    <row r="663">
      <c r="A663" s="90"/>
      <c r="B663" s="91"/>
      <c r="C663" s="91"/>
      <c r="D663" s="91"/>
      <c r="E663" s="91"/>
      <c r="F663" s="91"/>
      <c r="G663" s="91"/>
      <c r="H663" s="91"/>
      <c r="O663" s="31"/>
      <c r="P663" s="31"/>
      <c r="Q663" s="31"/>
    </row>
    <row r="664">
      <c r="A664" s="90"/>
      <c r="B664" s="91"/>
      <c r="C664" s="91"/>
      <c r="D664" s="91"/>
      <c r="E664" s="91"/>
      <c r="F664" s="91"/>
      <c r="G664" s="91"/>
      <c r="H664" s="91"/>
      <c r="O664" s="31"/>
      <c r="P664" s="31"/>
      <c r="Q664" s="31"/>
    </row>
    <row r="665">
      <c r="A665" s="90"/>
      <c r="B665" s="91"/>
      <c r="C665" s="91"/>
      <c r="D665" s="91"/>
      <c r="E665" s="91"/>
      <c r="F665" s="91"/>
      <c r="G665" s="91"/>
      <c r="H665" s="91"/>
      <c r="O665" s="31"/>
      <c r="P665" s="31"/>
      <c r="Q665" s="31"/>
    </row>
    <row r="666">
      <c r="A666" s="90"/>
      <c r="B666" s="91"/>
      <c r="C666" s="91"/>
      <c r="D666" s="91"/>
      <c r="E666" s="91"/>
      <c r="F666" s="91"/>
      <c r="G666" s="91"/>
      <c r="H666" s="91"/>
      <c r="O666" s="31"/>
      <c r="P666" s="31"/>
      <c r="Q666" s="31"/>
    </row>
    <row r="667">
      <c r="A667" s="90"/>
      <c r="B667" s="91"/>
      <c r="C667" s="91"/>
      <c r="D667" s="91"/>
      <c r="E667" s="91"/>
      <c r="F667" s="91"/>
      <c r="G667" s="91"/>
      <c r="H667" s="91"/>
      <c r="O667" s="31"/>
      <c r="P667" s="31"/>
      <c r="Q667" s="31"/>
    </row>
    <row r="668">
      <c r="A668" s="90"/>
      <c r="B668" s="91"/>
      <c r="C668" s="91"/>
      <c r="D668" s="91"/>
      <c r="E668" s="91"/>
      <c r="F668" s="91"/>
      <c r="G668" s="91"/>
      <c r="H668" s="91"/>
      <c r="O668" s="31"/>
      <c r="P668" s="31"/>
      <c r="Q668" s="31"/>
    </row>
    <row r="669">
      <c r="A669" s="90"/>
      <c r="B669" s="91"/>
      <c r="C669" s="91"/>
      <c r="D669" s="91"/>
      <c r="E669" s="91"/>
      <c r="F669" s="91"/>
      <c r="G669" s="91"/>
      <c r="H669" s="91"/>
      <c r="O669" s="31"/>
      <c r="P669" s="31"/>
      <c r="Q669" s="31"/>
    </row>
    <row r="670">
      <c r="A670" s="90"/>
      <c r="B670" s="91"/>
      <c r="C670" s="91"/>
      <c r="D670" s="91"/>
      <c r="E670" s="91"/>
      <c r="F670" s="91"/>
      <c r="G670" s="91"/>
      <c r="H670" s="91"/>
      <c r="O670" s="31"/>
      <c r="P670" s="31"/>
      <c r="Q670" s="31"/>
    </row>
    <row r="671">
      <c r="A671" s="90"/>
      <c r="B671" s="91"/>
      <c r="C671" s="91"/>
      <c r="D671" s="91"/>
      <c r="E671" s="91"/>
      <c r="F671" s="91"/>
      <c r="G671" s="91"/>
      <c r="H671" s="91"/>
      <c r="O671" s="31"/>
      <c r="P671" s="31"/>
      <c r="Q671" s="31"/>
    </row>
    <row r="672">
      <c r="A672" s="90"/>
      <c r="B672" s="91"/>
      <c r="C672" s="91"/>
      <c r="D672" s="91"/>
      <c r="E672" s="91"/>
      <c r="F672" s="91"/>
      <c r="G672" s="91"/>
      <c r="H672" s="91"/>
      <c r="O672" s="31"/>
      <c r="P672" s="31"/>
      <c r="Q672" s="31"/>
    </row>
    <row r="673">
      <c r="A673" s="90"/>
      <c r="B673" s="91"/>
      <c r="C673" s="91"/>
      <c r="D673" s="91"/>
      <c r="E673" s="91"/>
      <c r="F673" s="91"/>
      <c r="G673" s="91"/>
      <c r="H673" s="91"/>
      <c r="O673" s="31"/>
      <c r="P673" s="31"/>
      <c r="Q673" s="31"/>
    </row>
    <row r="674">
      <c r="A674" s="90"/>
      <c r="B674" s="91"/>
      <c r="C674" s="91"/>
      <c r="D674" s="91"/>
      <c r="E674" s="91"/>
      <c r="F674" s="91"/>
      <c r="G674" s="91"/>
      <c r="H674" s="91"/>
      <c r="O674" s="31"/>
      <c r="P674" s="31"/>
      <c r="Q674" s="31"/>
    </row>
    <row r="675">
      <c r="A675" s="90"/>
      <c r="B675" s="91"/>
      <c r="C675" s="91"/>
      <c r="D675" s="91"/>
      <c r="E675" s="91"/>
      <c r="F675" s="91"/>
      <c r="G675" s="91"/>
      <c r="H675" s="91"/>
      <c r="O675" s="31"/>
      <c r="P675" s="31"/>
      <c r="Q675" s="31"/>
    </row>
    <row r="676">
      <c r="A676" s="90"/>
      <c r="B676" s="91"/>
      <c r="C676" s="91"/>
      <c r="D676" s="91"/>
      <c r="E676" s="91"/>
      <c r="F676" s="91"/>
      <c r="G676" s="91"/>
      <c r="H676" s="91"/>
      <c r="O676" s="31"/>
      <c r="P676" s="31"/>
      <c r="Q676" s="31"/>
    </row>
    <row r="677">
      <c r="A677" s="90"/>
      <c r="B677" s="91"/>
      <c r="C677" s="91"/>
      <c r="D677" s="91"/>
      <c r="E677" s="91"/>
      <c r="F677" s="91"/>
      <c r="G677" s="91"/>
      <c r="H677" s="91"/>
      <c r="O677" s="31"/>
      <c r="P677" s="31"/>
      <c r="Q677" s="31"/>
    </row>
    <row r="678">
      <c r="A678" s="90"/>
      <c r="B678" s="91"/>
      <c r="C678" s="91"/>
      <c r="D678" s="91"/>
      <c r="E678" s="91"/>
      <c r="F678" s="91"/>
      <c r="G678" s="91"/>
      <c r="H678" s="91"/>
      <c r="O678" s="31"/>
      <c r="P678" s="31"/>
      <c r="Q678" s="31"/>
    </row>
    <row r="679">
      <c r="A679" s="90"/>
      <c r="B679" s="91"/>
      <c r="C679" s="91"/>
      <c r="D679" s="91"/>
      <c r="E679" s="91"/>
      <c r="F679" s="91"/>
      <c r="G679" s="91"/>
      <c r="H679" s="91"/>
      <c r="O679" s="31"/>
      <c r="P679" s="31"/>
      <c r="Q679" s="31"/>
    </row>
    <row r="680">
      <c r="A680" s="90"/>
      <c r="B680" s="91"/>
      <c r="C680" s="91"/>
      <c r="D680" s="91"/>
      <c r="E680" s="91"/>
      <c r="F680" s="91"/>
      <c r="G680" s="91"/>
      <c r="H680" s="91"/>
      <c r="O680" s="31"/>
      <c r="P680" s="31"/>
      <c r="Q680" s="31"/>
    </row>
    <row r="681">
      <c r="A681" s="90"/>
      <c r="B681" s="91"/>
      <c r="C681" s="91"/>
      <c r="D681" s="91"/>
      <c r="E681" s="91"/>
      <c r="F681" s="91"/>
      <c r="G681" s="91"/>
      <c r="H681" s="91"/>
      <c r="O681" s="31"/>
      <c r="P681" s="31"/>
      <c r="Q681" s="31"/>
    </row>
    <row r="682">
      <c r="A682" s="90"/>
      <c r="B682" s="91"/>
      <c r="C682" s="91"/>
      <c r="D682" s="91"/>
      <c r="E682" s="91"/>
      <c r="F682" s="91"/>
      <c r="G682" s="91"/>
      <c r="H682" s="91"/>
      <c r="O682" s="31"/>
      <c r="P682" s="31"/>
      <c r="Q682" s="31"/>
    </row>
    <row r="683">
      <c r="A683" s="90"/>
      <c r="B683" s="91"/>
      <c r="C683" s="91"/>
      <c r="D683" s="91"/>
      <c r="E683" s="91"/>
      <c r="F683" s="91"/>
      <c r="G683" s="91"/>
      <c r="H683" s="91"/>
      <c r="O683" s="31"/>
      <c r="P683" s="31"/>
      <c r="Q683" s="31"/>
    </row>
    <row r="684">
      <c r="A684" s="90"/>
      <c r="B684" s="91"/>
      <c r="C684" s="91"/>
      <c r="D684" s="91"/>
      <c r="E684" s="91"/>
      <c r="F684" s="91"/>
      <c r="G684" s="91"/>
      <c r="H684" s="91"/>
      <c r="O684" s="31"/>
      <c r="P684" s="31"/>
      <c r="Q684" s="31"/>
    </row>
    <row r="685">
      <c r="A685" s="90"/>
      <c r="B685" s="91"/>
      <c r="C685" s="91"/>
      <c r="D685" s="91"/>
      <c r="E685" s="91"/>
      <c r="F685" s="91"/>
      <c r="G685" s="91"/>
      <c r="H685" s="91"/>
      <c r="O685" s="31"/>
      <c r="P685" s="31"/>
      <c r="Q685" s="31"/>
    </row>
    <row r="686">
      <c r="A686" s="90"/>
      <c r="B686" s="91"/>
      <c r="C686" s="91"/>
      <c r="D686" s="91"/>
      <c r="E686" s="91"/>
      <c r="F686" s="91"/>
      <c r="G686" s="91"/>
      <c r="H686" s="91"/>
      <c r="O686" s="31"/>
      <c r="P686" s="31"/>
      <c r="Q686" s="31"/>
    </row>
    <row r="687">
      <c r="A687" s="90"/>
      <c r="B687" s="91"/>
      <c r="C687" s="91"/>
      <c r="D687" s="91"/>
      <c r="E687" s="91"/>
      <c r="F687" s="91"/>
      <c r="G687" s="91"/>
      <c r="H687" s="91"/>
      <c r="O687" s="31"/>
      <c r="P687" s="31"/>
      <c r="Q687" s="31"/>
    </row>
    <row r="688">
      <c r="A688" s="90"/>
      <c r="B688" s="91"/>
      <c r="C688" s="91"/>
      <c r="D688" s="91"/>
      <c r="E688" s="91"/>
      <c r="F688" s="91"/>
      <c r="G688" s="91"/>
      <c r="H688" s="91"/>
      <c r="O688" s="31"/>
      <c r="P688" s="31"/>
      <c r="Q688" s="31"/>
    </row>
    <row r="689">
      <c r="A689" s="90"/>
      <c r="B689" s="91"/>
      <c r="C689" s="91"/>
      <c r="D689" s="91"/>
      <c r="E689" s="91"/>
      <c r="F689" s="91"/>
      <c r="G689" s="91"/>
      <c r="H689" s="91"/>
      <c r="O689" s="31"/>
      <c r="P689" s="31"/>
      <c r="Q689" s="31"/>
    </row>
    <row r="690">
      <c r="A690" s="90"/>
      <c r="B690" s="91"/>
      <c r="C690" s="91"/>
      <c r="D690" s="91"/>
      <c r="E690" s="91"/>
      <c r="F690" s="91"/>
      <c r="G690" s="91"/>
      <c r="H690" s="91"/>
      <c r="O690" s="31"/>
      <c r="P690" s="31"/>
      <c r="Q690" s="31"/>
    </row>
    <row r="691">
      <c r="A691" s="90"/>
      <c r="B691" s="91"/>
      <c r="C691" s="91"/>
      <c r="D691" s="91"/>
      <c r="E691" s="91"/>
      <c r="F691" s="91"/>
      <c r="G691" s="91"/>
      <c r="H691" s="91"/>
      <c r="O691" s="31"/>
      <c r="P691" s="31"/>
      <c r="Q691" s="31"/>
    </row>
    <row r="692">
      <c r="A692" s="90"/>
      <c r="B692" s="91"/>
      <c r="C692" s="91"/>
      <c r="D692" s="91"/>
      <c r="E692" s="91"/>
      <c r="F692" s="91"/>
      <c r="G692" s="91"/>
      <c r="H692" s="91"/>
      <c r="O692" s="31"/>
      <c r="P692" s="31"/>
      <c r="Q692" s="31"/>
    </row>
    <row r="693">
      <c r="A693" s="90"/>
      <c r="B693" s="91"/>
      <c r="C693" s="91"/>
      <c r="D693" s="91"/>
      <c r="E693" s="91"/>
      <c r="F693" s="91"/>
      <c r="G693" s="91"/>
      <c r="H693" s="91"/>
      <c r="O693" s="31"/>
      <c r="P693" s="31"/>
      <c r="Q693" s="31"/>
    </row>
    <row r="694">
      <c r="A694" s="90"/>
      <c r="B694" s="91"/>
      <c r="C694" s="91"/>
      <c r="D694" s="91"/>
      <c r="E694" s="91"/>
      <c r="F694" s="91"/>
      <c r="G694" s="91"/>
      <c r="H694" s="91"/>
      <c r="O694" s="31"/>
      <c r="P694" s="31"/>
      <c r="Q694" s="31"/>
    </row>
    <row r="695">
      <c r="A695" s="90"/>
      <c r="B695" s="91"/>
      <c r="C695" s="91"/>
      <c r="D695" s="91"/>
      <c r="E695" s="91"/>
      <c r="F695" s="91"/>
      <c r="G695" s="91"/>
      <c r="H695" s="91"/>
      <c r="O695" s="31"/>
      <c r="P695" s="31"/>
      <c r="Q695" s="31"/>
    </row>
    <row r="696">
      <c r="A696" s="90"/>
      <c r="B696" s="91"/>
      <c r="C696" s="91"/>
      <c r="D696" s="91"/>
      <c r="E696" s="91"/>
      <c r="F696" s="91"/>
      <c r="G696" s="91"/>
      <c r="H696" s="91"/>
      <c r="O696" s="31"/>
      <c r="P696" s="31"/>
      <c r="Q696" s="31"/>
    </row>
    <row r="697">
      <c r="A697" s="90"/>
      <c r="B697" s="91"/>
      <c r="C697" s="91"/>
      <c r="D697" s="91"/>
      <c r="E697" s="91"/>
      <c r="F697" s="91"/>
      <c r="G697" s="91"/>
      <c r="H697" s="91"/>
      <c r="O697" s="31"/>
      <c r="P697" s="31"/>
      <c r="Q697" s="31"/>
    </row>
    <row r="698">
      <c r="A698" s="90"/>
      <c r="B698" s="91"/>
      <c r="C698" s="91"/>
      <c r="D698" s="91"/>
      <c r="E698" s="91"/>
      <c r="F698" s="91"/>
      <c r="G698" s="91"/>
      <c r="H698" s="91"/>
      <c r="O698" s="31"/>
      <c r="P698" s="31"/>
      <c r="Q698" s="31"/>
    </row>
    <row r="699">
      <c r="A699" s="90"/>
      <c r="B699" s="91"/>
      <c r="C699" s="91"/>
      <c r="D699" s="91"/>
      <c r="E699" s="91"/>
      <c r="F699" s="91"/>
      <c r="G699" s="91"/>
      <c r="H699" s="91"/>
      <c r="O699" s="31"/>
      <c r="P699" s="31"/>
      <c r="Q699" s="31"/>
    </row>
    <row r="700">
      <c r="A700" s="90"/>
      <c r="B700" s="91"/>
      <c r="C700" s="91"/>
      <c r="D700" s="91"/>
      <c r="E700" s="91"/>
      <c r="F700" s="91"/>
      <c r="G700" s="91"/>
      <c r="H700" s="91"/>
      <c r="O700" s="31"/>
      <c r="P700" s="31"/>
      <c r="Q700" s="31"/>
    </row>
    <row r="701">
      <c r="A701" s="90"/>
      <c r="B701" s="91"/>
      <c r="C701" s="91"/>
      <c r="D701" s="91"/>
      <c r="E701" s="91"/>
      <c r="F701" s="91"/>
      <c r="G701" s="91"/>
      <c r="H701" s="91"/>
      <c r="O701" s="31"/>
      <c r="P701" s="31"/>
      <c r="Q701" s="31"/>
    </row>
    <row r="702">
      <c r="A702" s="90"/>
      <c r="B702" s="91"/>
      <c r="C702" s="91"/>
      <c r="D702" s="91"/>
      <c r="E702" s="91"/>
      <c r="F702" s="91"/>
      <c r="G702" s="91"/>
      <c r="H702" s="91"/>
      <c r="O702" s="31"/>
      <c r="P702" s="31"/>
      <c r="Q702" s="31"/>
    </row>
    <row r="703">
      <c r="A703" s="90"/>
      <c r="B703" s="91"/>
      <c r="C703" s="91"/>
      <c r="D703" s="91"/>
      <c r="E703" s="91"/>
      <c r="F703" s="91"/>
      <c r="G703" s="91"/>
      <c r="H703" s="91"/>
      <c r="O703" s="31"/>
      <c r="P703" s="31"/>
      <c r="Q703" s="31"/>
    </row>
    <row r="704">
      <c r="A704" s="90"/>
      <c r="B704" s="91"/>
      <c r="C704" s="91"/>
      <c r="D704" s="91"/>
      <c r="E704" s="91"/>
      <c r="F704" s="91"/>
      <c r="G704" s="91"/>
      <c r="H704" s="91"/>
      <c r="O704" s="31"/>
      <c r="P704" s="31"/>
      <c r="Q704" s="31"/>
    </row>
    <row r="705">
      <c r="A705" s="90"/>
      <c r="B705" s="91"/>
      <c r="C705" s="91"/>
      <c r="D705" s="91"/>
      <c r="E705" s="91"/>
      <c r="F705" s="91"/>
      <c r="G705" s="91"/>
      <c r="H705" s="91"/>
      <c r="O705" s="31"/>
      <c r="P705" s="31"/>
      <c r="Q705" s="31"/>
    </row>
    <row r="706">
      <c r="A706" s="90"/>
      <c r="B706" s="91"/>
      <c r="C706" s="91"/>
      <c r="D706" s="91"/>
      <c r="E706" s="91"/>
      <c r="F706" s="91"/>
      <c r="G706" s="91"/>
      <c r="H706" s="91"/>
      <c r="O706" s="31"/>
      <c r="P706" s="31"/>
      <c r="Q706" s="31"/>
    </row>
    <row r="707">
      <c r="A707" s="90"/>
      <c r="B707" s="91"/>
      <c r="C707" s="91"/>
      <c r="D707" s="91"/>
      <c r="E707" s="91"/>
      <c r="F707" s="91"/>
      <c r="G707" s="91"/>
      <c r="H707" s="91"/>
      <c r="O707" s="31"/>
      <c r="P707" s="31"/>
      <c r="Q707" s="31"/>
    </row>
    <row r="708">
      <c r="A708" s="90"/>
      <c r="B708" s="91"/>
      <c r="C708" s="91"/>
      <c r="D708" s="91"/>
      <c r="E708" s="91"/>
      <c r="F708" s="91"/>
      <c r="G708" s="91"/>
      <c r="H708" s="91"/>
      <c r="O708" s="31"/>
      <c r="P708" s="31"/>
      <c r="Q708" s="31"/>
    </row>
    <row r="709">
      <c r="A709" s="90"/>
      <c r="B709" s="91"/>
      <c r="C709" s="91"/>
      <c r="D709" s="91"/>
      <c r="E709" s="91"/>
      <c r="F709" s="91"/>
      <c r="G709" s="91"/>
      <c r="H709" s="91"/>
      <c r="O709" s="31"/>
      <c r="P709" s="31"/>
      <c r="Q709" s="31"/>
    </row>
    <row r="710">
      <c r="A710" s="90"/>
      <c r="B710" s="91"/>
      <c r="C710" s="91"/>
      <c r="D710" s="91"/>
      <c r="E710" s="91"/>
      <c r="F710" s="91"/>
      <c r="G710" s="91"/>
      <c r="H710" s="91"/>
      <c r="O710" s="31"/>
      <c r="P710" s="31"/>
      <c r="Q710" s="31"/>
    </row>
    <row r="711">
      <c r="A711" s="90"/>
      <c r="B711" s="91"/>
      <c r="C711" s="91"/>
      <c r="D711" s="91"/>
      <c r="E711" s="91"/>
      <c r="F711" s="91"/>
      <c r="G711" s="91"/>
      <c r="H711" s="91"/>
      <c r="O711" s="31"/>
      <c r="P711" s="31"/>
      <c r="Q711" s="31"/>
    </row>
    <row r="712">
      <c r="A712" s="90"/>
      <c r="B712" s="91"/>
      <c r="C712" s="91"/>
      <c r="D712" s="91"/>
      <c r="E712" s="91"/>
      <c r="F712" s="91"/>
      <c r="G712" s="91"/>
      <c r="H712" s="91"/>
      <c r="O712" s="31"/>
      <c r="P712" s="31"/>
      <c r="Q712" s="31"/>
    </row>
    <row r="713">
      <c r="A713" s="90"/>
      <c r="B713" s="91"/>
      <c r="C713" s="91"/>
      <c r="D713" s="91"/>
      <c r="E713" s="91"/>
      <c r="F713" s="91"/>
      <c r="G713" s="91"/>
      <c r="H713" s="91"/>
      <c r="O713" s="31"/>
      <c r="P713" s="31"/>
      <c r="Q713" s="31"/>
    </row>
    <row r="714">
      <c r="A714" s="90"/>
      <c r="B714" s="91"/>
      <c r="C714" s="91"/>
      <c r="D714" s="91"/>
      <c r="E714" s="91"/>
      <c r="F714" s="91"/>
      <c r="G714" s="91"/>
      <c r="H714" s="91"/>
      <c r="O714" s="31"/>
      <c r="P714" s="31"/>
      <c r="Q714" s="31"/>
    </row>
    <row r="715">
      <c r="A715" s="90"/>
      <c r="B715" s="91"/>
      <c r="C715" s="91"/>
      <c r="D715" s="91"/>
      <c r="E715" s="91"/>
      <c r="F715" s="91"/>
      <c r="G715" s="91"/>
      <c r="H715" s="91"/>
      <c r="O715" s="31"/>
      <c r="P715" s="31"/>
      <c r="Q715" s="31"/>
    </row>
    <row r="716">
      <c r="A716" s="90"/>
      <c r="B716" s="91"/>
      <c r="C716" s="91"/>
      <c r="D716" s="91"/>
      <c r="E716" s="91"/>
      <c r="F716" s="91"/>
      <c r="G716" s="91"/>
      <c r="H716" s="91"/>
      <c r="O716" s="31"/>
      <c r="P716" s="31"/>
      <c r="Q716" s="31"/>
    </row>
    <row r="717">
      <c r="A717" s="90"/>
      <c r="B717" s="91"/>
      <c r="C717" s="91"/>
      <c r="D717" s="91"/>
      <c r="E717" s="91"/>
      <c r="F717" s="91"/>
      <c r="G717" s="91"/>
      <c r="H717" s="91"/>
      <c r="O717" s="31"/>
      <c r="P717" s="31"/>
      <c r="Q717" s="31"/>
    </row>
    <row r="718">
      <c r="A718" s="90"/>
      <c r="B718" s="91"/>
      <c r="C718" s="91"/>
      <c r="D718" s="91"/>
      <c r="E718" s="91"/>
      <c r="F718" s="91"/>
      <c r="G718" s="91"/>
      <c r="H718" s="91"/>
      <c r="O718" s="31"/>
      <c r="P718" s="31"/>
      <c r="Q718" s="31"/>
    </row>
    <row r="719">
      <c r="A719" s="90"/>
      <c r="B719" s="91"/>
      <c r="C719" s="91"/>
      <c r="D719" s="91"/>
      <c r="E719" s="91"/>
      <c r="F719" s="91"/>
      <c r="G719" s="91"/>
      <c r="H719" s="91"/>
      <c r="O719" s="31"/>
      <c r="P719" s="31"/>
      <c r="Q719" s="31"/>
    </row>
    <row r="720">
      <c r="A720" s="90"/>
      <c r="B720" s="91"/>
      <c r="C720" s="91"/>
      <c r="D720" s="91"/>
      <c r="E720" s="91"/>
      <c r="F720" s="91"/>
      <c r="G720" s="91"/>
      <c r="H720" s="91"/>
      <c r="O720" s="31"/>
      <c r="P720" s="31"/>
      <c r="Q720" s="31"/>
    </row>
    <row r="721">
      <c r="A721" s="90"/>
      <c r="B721" s="91"/>
      <c r="C721" s="91"/>
      <c r="D721" s="91"/>
      <c r="E721" s="91"/>
      <c r="F721" s="91"/>
      <c r="G721" s="91"/>
      <c r="H721" s="91"/>
      <c r="O721" s="31"/>
      <c r="P721" s="31"/>
      <c r="Q721" s="31"/>
    </row>
    <row r="722">
      <c r="A722" s="90"/>
      <c r="B722" s="91"/>
      <c r="C722" s="91"/>
      <c r="D722" s="91"/>
      <c r="E722" s="91"/>
      <c r="F722" s="91"/>
      <c r="G722" s="91"/>
      <c r="H722" s="91"/>
      <c r="O722" s="31"/>
      <c r="P722" s="31"/>
      <c r="Q722" s="31"/>
    </row>
    <row r="723">
      <c r="A723" s="90"/>
      <c r="B723" s="91"/>
      <c r="C723" s="91"/>
      <c r="D723" s="91"/>
      <c r="E723" s="91"/>
      <c r="F723" s="91"/>
      <c r="G723" s="91"/>
      <c r="H723" s="91"/>
      <c r="O723" s="31"/>
      <c r="P723" s="31"/>
      <c r="Q723" s="31"/>
    </row>
    <row r="724">
      <c r="A724" s="90"/>
      <c r="B724" s="91"/>
      <c r="C724" s="91"/>
      <c r="D724" s="91"/>
      <c r="E724" s="91"/>
      <c r="F724" s="91"/>
      <c r="G724" s="91"/>
      <c r="H724" s="91"/>
      <c r="O724" s="31"/>
      <c r="P724" s="31"/>
      <c r="Q724" s="31"/>
    </row>
    <row r="725">
      <c r="A725" s="90"/>
      <c r="B725" s="91"/>
      <c r="C725" s="91"/>
      <c r="D725" s="91"/>
      <c r="E725" s="91"/>
      <c r="F725" s="91"/>
      <c r="G725" s="91"/>
      <c r="H725" s="91"/>
      <c r="O725" s="31"/>
      <c r="P725" s="31"/>
      <c r="Q725" s="31"/>
    </row>
    <row r="726">
      <c r="A726" s="90"/>
      <c r="B726" s="91"/>
      <c r="C726" s="91"/>
      <c r="D726" s="91"/>
      <c r="E726" s="91"/>
      <c r="F726" s="91"/>
      <c r="G726" s="91"/>
      <c r="H726" s="91"/>
      <c r="O726" s="31"/>
      <c r="P726" s="31"/>
      <c r="Q726" s="31"/>
    </row>
    <row r="727">
      <c r="A727" s="90"/>
      <c r="B727" s="91"/>
      <c r="C727" s="91"/>
      <c r="D727" s="91"/>
      <c r="E727" s="91"/>
      <c r="F727" s="91"/>
      <c r="G727" s="91"/>
      <c r="H727" s="91"/>
      <c r="O727" s="31"/>
      <c r="P727" s="31"/>
      <c r="Q727" s="31"/>
    </row>
    <row r="728">
      <c r="A728" s="90"/>
      <c r="B728" s="91"/>
      <c r="C728" s="91"/>
      <c r="D728" s="91"/>
      <c r="E728" s="91"/>
      <c r="F728" s="91"/>
      <c r="G728" s="91"/>
      <c r="H728" s="91"/>
      <c r="O728" s="31"/>
      <c r="P728" s="31"/>
      <c r="Q728" s="31"/>
    </row>
    <row r="729">
      <c r="A729" s="90"/>
      <c r="B729" s="91"/>
      <c r="C729" s="91"/>
      <c r="D729" s="91"/>
      <c r="E729" s="91"/>
      <c r="F729" s="91"/>
      <c r="G729" s="91"/>
      <c r="H729" s="91"/>
      <c r="O729" s="31"/>
      <c r="P729" s="31"/>
      <c r="Q729" s="31"/>
    </row>
    <row r="730">
      <c r="A730" s="90"/>
      <c r="B730" s="91"/>
      <c r="C730" s="91"/>
      <c r="D730" s="91"/>
      <c r="E730" s="91"/>
      <c r="F730" s="91"/>
      <c r="G730" s="91"/>
      <c r="H730" s="91"/>
      <c r="O730" s="31"/>
      <c r="P730" s="31"/>
      <c r="Q730" s="31"/>
    </row>
    <row r="731">
      <c r="A731" s="90"/>
      <c r="B731" s="91"/>
      <c r="C731" s="91"/>
      <c r="D731" s="91"/>
      <c r="E731" s="91"/>
      <c r="F731" s="91"/>
      <c r="G731" s="91"/>
      <c r="H731" s="91"/>
      <c r="O731" s="31"/>
      <c r="P731" s="31"/>
      <c r="Q731" s="31"/>
    </row>
    <row r="732">
      <c r="A732" s="90"/>
      <c r="B732" s="91"/>
      <c r="C732" s="91"/>
      <c r="D732" s="91"/>
      <c r="E732" s="91"/>
      <c r="F732" s="91"/>
      <c r="G732" s="91"/>
      <c r="H732" s="91"/>
      <c r="O732" s="31"/>
      <c r="P732" s="31"/>
      <c r="Q732" s="31"/>
    </row>
    <row r="733">
      <c r="A733" s="90"/>
      <c r="B733" s="91"/>
      <c r="C733" s="91"/>
      <c r="D733" s="91"/>
      <c r="E733" s="91"/>
      <c r="F733" s="91"/>
      <c r="G733" s="91"/>
      <c r="H733" s="91"/>
      <c r="O733" s="31"/>
      <c r="P733" s="31"/>
      <c r="Q733" s="31"/>
    </row>
    <row r="734">
      <c r="A734" s="90"/>
      <c r="B734" s="91"/>
      <c r="C734" s="91"/>
      <c r="D734" s="91"/>
      <c r="E734" s="91"/>
      <c r="F734" s="91"/>
      <c r="G734" s="91"/>
      <c r="H734" s="91"/>
      <c r="O734" s="31"/>
      <c r="P734" s="31"/>
      <c r="Q734" s="31"/>
    </row>
    <row r="735">
      <c r="A735" s="90"/>
      <c r="B735" s="91"/>
      <c r="C735" s="91"/>
      <c r="D735" s="91"/>
      <c r="E735" s="91"/>
      <c r="F735" s="91"/>
      <c r="G735" s="91"/>
      <c r="H735" s="91"/>
      <c r="O735" s="31"/>
      <c r="P735" s="31"/>
      <c r="Q735" s="31"/>
    </row>
    <row r="736">
      <c r="A736" s="90"/>
      <c r="B736" s="91"/>
      <c r="C736" s="91"/>
      <c r="D736" s="91"/>
      <c r="E736" s="91"/>
      <c r="F736" s="91"/>
      <c r="G736" s="91"/>
      <c r="H736" s="91"/>
      <c r="O736" s="31"/>
      <c r="P736" s="31"/>
      <c r="Q736" s="31"/>
    </row>
    <row r="737">
      <c r="A737" s="90"/>
      <c r="B737" s="91"/>
      <c r="C737" s="91"/>
      <c r="D737" s="91"/>
      <c r="E737" s="91"/>
      <c r="F737" s="91"/>
      <c r="G737" s="91"/>
      <c r="H737" s="91"/>
      <c r="O737" s="31"/>
      <c r="P737" s="31"/>
      <c r="Q737" s="31"/>
    </row>
    <row r="738">
      <c r="A738" s="90"/>
      <c r="B738" s="91"/>
      <c r="C738" s="91"/>
      <c r="D738" s="91"/>
      <c r="E738" s="91"/>
      <c r="F738" s="91"/>
      <c r="G738" s="91"/>
      <c r="H738" s="91"/>
      <c r="O738" s="31"/>
      <c r="P738" s="31"/>
      <c r="Q738" s="31"/>
    </row>
    <row r="739">
      <c r="A739" s="90"/>
      <c r="B739" s="91"/>
      <c r="C739" s="91"/>
      <c r="D739" s="91"/>
      <c r="E739" s="91"/>
      <c r="F739" s="91"/>
      <c r="G739" s="91"/>
      <c r="H739" s="91"/>
      <c r="O739" s="31"/>
      <c r="P739" s="31"/>
      <c r="Q739" s="31"/>
    </row>
    <row r="740">
      <c r="A740" s="90"/>
      <c r="B740" s="91"/>
      <c r="C740" s="91"/>
      <c r="D740" s="91"/>
      <c r="E740" s="91"/>
      <c r="F740" s="91"/>
      <c r="G740" s="91"/>
      <c r="H740" s="91"/>
      <c r="O740" s="31"/>
      <c r="P740" s="31"/>
      <c r="Q740" s="31"/>
    </row>
    <row r="741">
      <c r="A741" s="90"/>
      <c r="B741" s="91"/>
      <c r="C741" s="91"/>
      <c r="D741" s="91"/>
      <c r="E741" s="91"/>
      <c r="F741" s="91"/>
      <c r="G741" s="91"/>
      <c r="H741" s="91"/>
      <c r="O741" s="31"/>
      <c r="P741" s="31"/>
      <c r="Q741" s="31"/>
    </row>
    <row r="742">
      <c r="A742" s="90"/>
      <c r="B742" s="91"/>
      <c r="C742" s="91"/>
      <c r="D742" s="91"/>
      <c r="E742" s="91"/>
      <c r="F742" s="91"/>
      <c r="G742" s="91"/>
      <c r="H742" s="91"/>
      <c r="O742" s="31"/>
      <c r="P742" s="31"/>
      <c r="Q742" s="31"/>
    </row>
    <row r="743">
      <c r="A743" s="90"/>
      <c r="B743" s="91"/>
      <c r="C743" s="91"/>
      <c r="D743" s="91"/>
      <c r="E743" s="91"/>
      <c r="F743" s="91"/>
      <c r="G743" s="91"/>
      <c r="H743" s="91"/>
      <c r="O743" s="31"/>
      <c r="P743" s="31"/>
      <c r="Q743" s="31"/>
    </row>
    <row r="744">
      <c r="A744" s="90"/>
      <c r="B744" s="91"/>
      <c r="C744" s="91"/>
      <c r="D744" s="91"/>
      <c r="E744" s="91"/>
      <c r="F744" s="91"/>
      <c r="G744" s="91"/>
      <c r="H744" s="91"/>
      <c r="O744" s="31"/>
      <c r="P744" s="31"/>
      <c r="Q744" s="31"/>
    </row>
    <row r="745">
      <c r="A745" s="90"/>
      <c r="B745" s="91"/>
      <c r="C745" s="91"/>
      <c r="D745" s="91"/>
      <c r="E745" s="91"/>
      <c r="F745" s="91"/>
      <c r="G745" s="91"/>
      <c r="H745" s="91"/>
      <c r="O745" s="31"/>
      <c r="P745" s="31"/>
      <c r="Q745" s="31"/>
    </row>
    <row r="746">
      <c r="A746" s="90"/>
      <c r="B746" s="91"/>
      <c r="C746" s="91"/>
      <c r="D746" s="91"/>
      <c r="E746" s="91"/>
      <c r="F746" s="91"/>
      <c r="G746" s="91"/>
      <c r="H746" s="91"/>
      <c r="O746" s="31"/>
      <c r="P746" s="31"/>
      <c r="Q746" s="31"/>
    </row>
    <row r="747">
      <c r="A747" s="90"/>
      <c r="B747" s="91"/>
      <c r="C747" s="91"/>
      <c r="D747" s="91"/>
      <c r="E747" s="91"/>
      <c r="F747" s="91"/>
      <c r="G747" s="91"/>
      <c r="H747" s="91"/>
      <c r="O747" s="31"/>
      <c r="P747" s="31"/>
      <c r="Q747" s="31"/>
    </row>
    <row r="748">
      <c r="A748" s="90"/>
      <c r="B748" s="91"/>
      <c r="C748" s="91"/>
      <c r="D748" s="91"/>
      <c r="E748" s="91"/>
      <c r="F748" s="91"/>
      <c r="G748" s="91"/>
      <c r="H748" s="91"/>
      <c r="O748" s="31"/>
      <c r="P748" s="31"/>
      <c r="Q748" s="31"/>
    </row>
    <row r="749">
      <c r="A749" s="90"/>
      <c r="B749" s="91"/>
      <c r="C749" s="91"/>
      <c r="D749" s="91"/>
      <c r="E749" s="91"/>
      <c r="F749" s="91"/>
      <c r="G749" s="91"/>
      <c r="H749" s="91"/>
      <c r="O749" s="31"/>
      <c r="P749" s="31"/>
      <c r="Q749" s="31"/>
    </row>
    <row r="750">
      <c r="A750" s="90"/>
      <c r="B750" s="91"/>
      <c r="C750" s="91"/>
      <c r="D750" s="91"/>
      <c r="E750" s="91"/>
      <c r="F750" s="91"/>
      <c r="G750" s="91"/>
      <c r="H750" s="91"/>
      <c r="O750" s="31"/>
      <c r="P750" s="31"/>
      <c r="Q750" s="31"/>
    </row>
    <row r="751">
      <c r="A751" s="90"/>
      <c r="B751" s="91"/>
      <c r="C751" s="91"/>
      <c r="D751" s="91"/>
      <c r="E751" s="91"/>
      <c r="F751" s="91"/>
      <c r="G751" s="91"/>
      <c r="H751" s="91"/>
      <c r="O751" s="31"/>
      <c r="P751" s="31"/>
      <c r="Q751" s="31"/>
    </row>
    <row r="752">
      <c r="A752" s="90"/>
      <c r="B752" s="91"/>
      <c r="C752" s="91"/>
      <c r="D752" s="91"/>
      <c r="E752" s="91"/>
      <c r="F752" s="91"/>
      <c r="G752" s="91"/>
      <c r="H752" s="91"/>
      <c r="O752" s="31"/>
      <c r="P752" s="31"/>
      <c r="Q752" s="31"/>
    </row>
    <row r="753">
      <c r="A753" s="90"/>
      <c r="B753" s="91"/>
      <c r="C753" s="91"/>
      <c r="D753" s="91"/>
      <c r="E753" s="91"/>
      <c r="F753" s="91"/>
      <c r="G753" s="91"/>
      <c r="H753" s="91"/>
      <c r="O753" s="31"/>
      <c r="P753" s="31"/>
      <c r="Q753" s="31"/>
    </row>
    <row r="754">
      <c r="A754" s="90"/>
      <c r="B754" s="91"/>
      <c r="C754" s="91"/>
      <c r="D754" s="91"/>
      <c r="E754" s="91"/>
      <c r="F754" s="91"/>
      <c r="G754" s="91"/>
      <c r="H754" s="91"/>
      <c r="O754" s="31"/>
      <c r="P754" s="31"/>
      <c r="Q754" s="31"/>
    </row>
    <row r="755">
      <c r="A755" s="90"/>
      <c r="B755" s="91"/>
      <c r="C755" s="91"/>
      <c r="D755" s="91"/>
      <c r="E755" s="91"/>
      <c r="F755" s="91"/>
      <c r="G755" s="91"/>
      <c r="H755" s="91"/>
      <c r="O755" s="31"/>
      <c r="P755" s="31"/>
      <c r="Q755" s="31"/>
    </row>
    <row r="756">
      <c r="A756" s="90"/>
      <c r="B756" s="91"/>
      <c r="C756" s="91"/>
      <c r="D756" s="91"/>
      <c r="E756" s="91"/>
      <c r="F756" s="91"/>
      <c r="G756" s="91"/>
      <c r="H756" s="91"/>
      <c r="O756" s="31"/>
      <c r="P756" s="31"/>
      <c r="Q756" s="31"/>
    </row>
    <row r="757">
      <c r="A757" s="90"/>
      <c r="B757" s="91"/>
      <c r="C757" s="91"/>
      <c r="D757" s="91"/>
      <c r="E757" s="91"/>
      <c r="F757" s="91"/>
      <c r="G757" s="91"/>
      <c r="H757" s="91"/>
      <c r="O757" s="31"/>
      <c r="P757" s="31"/>
      <c r="Q757" s="31"/>
    </row>
    <row r="758">
      <c r="A758" s="90"/>
      <c r="B758" s="91"/>
      <c r="C758" s="91"/>
      <c r="D758" s="91"/>
      <c r="E758" s="91"/>
      <c r="F758" s="91"/>
      <c r="G758" s="91"/>
      <c r="H758" s="91"/>
      <c r="O758" s="31"/>
      <c r="P758" s="31"/>
      <c r="Q758" s="31"/>
    </row>
    <row r="759">
      <c r="A759" s="90"/>
      <c r="B759" s="91"/>
      <c r="C759" s="91"/>
      <c r="D759" s="91"/>
      <c r="E759" s="91"/>
      <c r="F759" s="91"/>
      <c r="G759" s="91"/>
      <c r="H759" s="91"/>
      <c r="O759" s="31"/>
      <c r="P759" s="31"/>
      <c r="Q759" s="31"/>
    </row>
    <row r="760">
      <c r="A760" s="90"/>
      <c r="B760" s="91"/>
      <c r="C760" s="91"/>
      <c r="D760" s="91"/>
      <c r="E760" s="91"/>
      <c r="F760" s="91"/>
      <c r="G760" s="91"/>
      <c r="H760" s="91"/>
      <c r="O760" s="31"/>
      <c r="P760" s="31"/>
      <c r="Q760" s="31"/>
    </row>
    <row r="761">
      <c r="A761" s="90"/>
      <c r="B761" s="91"/>
      <c r="C761" s="91"/>
      <c r="D761" s="91"/>
      <c r="E761" s="91"/>
      <c r="F761" s="91"/>
      <c r="G761" s="91"/>
      <c r="H761" s="91"/>
      <c r="O761" s="31"/>
      <c r="P761" s="31"/>
      <c r="Q761" s="31"/>
    </row>
    <row r="762">
      <c r="A762" s="90"/>
      <c r="B762" s="91"/>
      <c r="C762" s="91"/>
      <c r="D762" s="91"/>
      <c r="E762" s="91"/>
      <c r="F762" s="91"/>
      <c r="G762" s="91"/>
      <c r="H762" s="91"/>
      <c r="O762" s="31"/>
      <c r="P762" s="31"/>
      <c r="Q762" s="31"/>
    </row>
    <row r="763">
      <c r="A763" s="90"/>
      <c r="B763" s="91"/>
      <c r="C763" s="91"/>
      <c r="D763" s="91"/>
      <c r="E763" s="91"/>
      <c r="F763" s="91"/>
      <c r="G763" s="91"/>
      <c r="H763" s="91"/>
      <c r="O763" s="31"/>
      <c r="P763" s="31"/>
      <c r="Q763" s="31"/>
    </row>
    <row r="764">
      <c r="A764" s="90"/>
      <c r="B764" s="91"/>
      <c r="C764" s="91"/>
      <c r="D764" s="91"/>
      <c r="E764" s="91"/>
      <c r="F764" s="91"/>
      <c r="G764" s="91"/>
      <c r="H764" s="91"/>
      <c r="O764" s="31"/>
      <c r="P764" s="31"/>
      <c r="Q764" s="31"/>
    </row>
    <row r="765">
      <c r="A765" s="90"/>
      <c r="B765" s="91"/>
      <c r="C765" s="91"/>
      <c r="D765" s="91"/>
      <c r="E765" s="91"/>
      <c r="F765" s="91"/>
      <c r="G765" s="91"/>
      <c r="H765" s="91"/>
      <c r="O765" s="31"/>
      <c r="P765" s="31"/>
      <c r="Q765" s="31"/>
    </row>
    <row r="766">
      <c r="A766" s="90"/>
      <c r="B766" s="91"/>
      <c r="C766" s="91"/>
      <c r="D766" s="91"/>
      <c r="E766" s="91"/>
      <c r="F766" s="91"/>
      <c r="G766" s="91"/>
      <c r="H766" s="91"/>
      <c r="O766" s="31"/>
      <c r="P766" s="31"/>
      <c r="Q766" s="31"/>
    </row>
    <row r="767">
      <c r="A767" s="90"/>
      <c r="B767" s="91"/>
      <c r="C767" s="91"/>
      <c r="D767" s="91"/>
      <c r="E767" s="91"/>
      <c r="F767" s="91"/>
      <c r="G767" s="91"/>
      <c r="H767" s="91"/>
      <c r="O767" s="31"/>
      <c r="P767" s="31"/>
      <c r="Q767" s="31"/>
    </row>
    <row r="768">
      <c r="A768" s="90"/>
      <c r="B768" s="91"/>
      <c r="C768" s="91"/>
      <c r="D768" s="91"/>
      <c r="E768" s="91"/>
      <c r="F768" s="91"/>
      <c r="G768" s="91"/>
      <c r="H768" s="91"/>
      <c r="O768" s="31"/>
      <c r="P768" s="31"/>
      <c r="Q768" s="31"/>
    </row>
    <row r="769">
      <c r="A769" s="90"/>
      <c r="B769" s="91"/>
      <c r="C769" s="91"/>
      <c r="D769" s="91"/>
      <c r="E769" s="91"/>
      <c r="F769" s="91"/>
      <c r="G769" s="91"/>
      <c r="H769" s="91"/>
      <c r="O769" s="31"/>
      <c r="P769" s="31"/>
      <c r="Q769" s="31"/>
    </row>
    <row r="770">
      <c r="A770" s="90"/>
      <c r="B770" s="91"/>
      <c r="C770" s="91"/>
      <c r="D770" s="91"/>
      <c r="E770" s="91"/>
      <c r="F770" s="91"/>
      <c r="G770" s="91"/>
      <c r="H770" s="91"/>
      <c r="O770" s="31"/>
      <c r="P770" s="31"/>
      <c r="Q770" s="31"/>
    </row>
    <row r="771">
      <c r="A771" s="90"/>
      <c r="B771" s="91"/>
      <c r="C771" s="91"/>
      <c r="D771" s="91"/>
      <c r="E771" s="91"/>
      <c r="F771" s="91"/>
      <c r="G771" s="91"/>
      <c r="H771" s="91"/>
      <c r="O771" s="31"/>
      <c r="P771" s="31"/>
      <c r="Q771" s="31"/>
    </row>
    <row r="772">
      <c r="A772" s="90"/>
      <c r="B772" s="91"/>
      <c r="C772" s="91"/>
      <c r="D772" s="91"/>
      <c r="E772" s="91"/>
      <c r="F772" s="91"/>
      <c r="G772" s="91"/>
      <c r="H772" s="91"/>
      <c r="O772" s="31"/>
      <c r="P772" s="31"/>
      <c r="Q772" s="31"/>
    </row>
    <row r="773">
      <c r="A773" s="90"/>
      <c r="B773" s="91"/>
      <c r="C773" s="91"/>
      <c r="D773" s="91"/>
      <c r="E773" s="91"/>
      <c r="F773" s="91"/>
      <c r="G773" s="91"/>
      <c r="H773" s="91"/>
      <c r="O773" s="31"/>
      <c r="P773" s="31"/>
      <c r="Q773" s="31"/>
    </row>
    <row r="774">
      <c r="A774" s="90"/>
      <c r="B774" s="91"/>
      <c r="C774" s="91"/>
      <c r="D774" s="91"/>
      <c r="E774" s="91"/>
      <c r="F774" s="91"/>
      <c r="G774" s="91"/>
      <c r="H774" s="91"/>
      <c r="O774" s="31"/>
      <c r="P774" s="31"/>
      <c r="Q774" s="31"/>
    </row>
    <row r="775">
      <c r="A775" s="90"/>
      <c r="B775" s="91"/>
      <c r="C775" s="91"/>
      <c r="D775" s="91"/>
      <c r="E775" s="91"/>
      <c r="F775" s="91"/>
      <c r="G775" s="91"/>
      <c r="H775" s="91"/>
      <c r="O775" s="31"/>
      <c r="P775" s="31"/>
      <c r="Q775" s="31"/>
    </row>
    <row r="776">
      <c r="A776" s="90"/>
      <c r="B776" s="91"/>
      <c r="C776" s="91"/>
      <c r="D776" s="91"/>
      <c r="E776" s="91"/>
      <c r="F776" s="91"/>
      <c r="G776" s="91"/>
      <c r="H776" s="91"/>
      <c r="O776" s="31"/>
      <c r="P776" s="31"/>
      <c r="Q776" s="31"/>
    </row>
    <row r="777">
      <c r="A777" s="90"/>
      <c r="B777" s="91"/>
      <c r="C777" s="91"/>
      <c r="D777" s="91"/>
      <c r="E777" s="91"/>
      <c r="F777" s="91"/>
      <c r="G777" s="91"/>
      <c r="H777" s="91"/>
      <c r="O777" s="31"/>
      <c r="P777" s="31"/>
      <c r="Q777" s="31"/>
    </row>
    <row r="778">
      <c r="A778" s="90"/>
      <c r="B778" s="91"/>
      <c r="C778" s="91"/>
      <c r="D778" s="91"/>
      <c r="E778" s="91"/>
      <c r="F778" s="91"/>
      <c r="G778" s="91"/>
      <c r="H778" s="91"/>
      <c r="O778" s="31"/>
      <c r="P778" s="31"/>
      <c r="Q778" s="31"/>
    </row>
    <row r="779">
      <c r="A779" s="90"/>
      <c r="B779" s="91"/>
      <c r="C779" s="91"/>
      <c r="D779" s="91"/>
      <c r="E779" s="91"/>
      <c r="F779" s="91"/>
      <c r="G779" s="91"/>
      <c r="H779" s="91"/>
      <c r="O779" s="31"/>
      <c r="P779" s="31"/>
      <c r="Q779" s="31"/>
    </row>
    <row r="780">
      <c r="A780" s="90"/>
      <c r="B780" s="91"/>
      <c r="C780" s="91"/>
      <c r="D780" s="91"/>
      <c r="E780" s="91"/>
      <c r="F780" s="91"/>
      <c r="G780" s="91"/>
      <c r="H780" s="91"/>
      <c r="O780" s="31"/>
      <c r="P780" s="31"/>
      <c r="Q780" s="31"/>
    </row>
    <row r="781">
      <c r="A781" s="90"/>
      <c r="B781" s="91"/>
      <c r="C781" s="91"/>
      <c r="D781" s="91"/>
      <c r="E781" s="91"/>
      <c r="F781" s="91"/>
      <c r="G781" s="91"/>
      <c r="H781" s="91"/>
      <c r="O781" s="31"/>
      <c r="P781" s="31"/>
      <c r="Q781" s="31"/>
    </row>
    <row r="782">
      <c r="A782" s="90"/>
      <c r="B782" s="91"/>
      <c r="C782" s="91"/>
      <c r="D782" s="91"/>
      <c r="E782" s="91"/>
      <c r="F782" s="91"/>
      <c r="G782" s="91"/>
      <c r="H782" s="91"/>
      <c r="O782" s="31"/>
      <c r="P782" s="31"/>
      <c r="Q782" s="31"/>
    </row>
    <row r="783">
      <c r="A783" s="90"/>
      <c r="B783" s="91"/>
      <c r="C783" s="91"/>
      <c r="D783" s="91"/>
      <c r="E783" s="91"/>
      <c r="F783" s="91"/>
      <c r="G783" s="91"/>
      <c r="H783" s="91"/>
      <c r="O783" s="31"/>
      <c r="P783" s="31"/>
      <c r="Q783" s="31"/>
    </row>
    <row r="784">
      <c r="A784" s="90"/>
      <c r="B784" s="91"/>
      <c r="C784" s="91"/>
      <c r="D784" s="91"/>
      <c r="E784" s="91"/>
      <c r="F784" s="91"/>
      <c r="G784" s="91"/>
      <c r="H784" s="91"/>
      <c r="O784" s="31"/>
      <c r="P784" s="31"/>
      <c r="Q784" s="31"/>
    </row>
    <row r="785">
      <c r="A785" s="90"/>
      <c r="B785" s="91"/>
      <c r="C785" s="91"/>
      <c r="D785" s="91"/>
      <c r="E785" s="91"/>
      <c r="F785" s="91"/>
      <c r="G785" s="91"/>
      <c r="H785" s="91"/>
      <c r="O785" s="31"/>
      <c r="P785" s="31"/>
      <c r="Q785" s="31"/>
    </row>
    <row r="786">
      <c r="A786" s="90"/>
      <c r="B786" s="91"/>
      <c r="C786" s="91"/>
      <c r="D786" s="91"/>
      <c r="E786" s="91"/>
      <c r="F786" s="91"/>
      <c r="G786" s="91"/>
      <c r="H786" s="91"/>
      <c r="O786" s="31"/>
      <c r="P786" s="31"/>
      <c r="Q786" s="31"/>
    </row>
    <row r="787">
      <c r="A787" s="90"/>
      <c r="B787" s="91"/>
      <c r="C787" s="91"/>
      <c r="D787" s="91"/>
      <c r="E787" s="91"/>
      <c r="F787" s="91"/>
      <c r="G787" s="91"/>
      <c r="H787" s="91"/>
      <c r="O787" s="31"/>
      <c r="P787" s="31"/>
      <c r="Q787" s="31"/>
    </row>
    <row r="788">
      <c r="A788" s="90"/>
      <c r="B788" s="91"/>
      <c r="C788" s="91"/>
      <c r="D788" s="91"/>
      <c r="E788" s="91"/>
      <c r="F788" s="91"/>
      <c r="G788" s="91"/>
      <c r="H788" s="91"/>
      <c r="O788" s="31"/>
      <c r="P788" s="31"/>
      <c r="Q788" s="31"/>
    </row>
    <row r="789">
      <c r="A789" s="90"/>
      <c r="B789" s="91"/>
      <c r="C789" s="91"/>
      <c r="D789" s="91"/>
      <c r="E789" s="91"/>
      <c r="F789" s="91"/>
      <c r="G789" s="91"/>
      <c r="H789" s="91"/>
      <c r="O789" s="31"/>
      <c r="P789" s="31"/>
      <c r="Q789" s="31"/>
    </row>
    <row r="790">
      <c r="A790" s="90"/>
      <c r="B790" s="91"/>
      <c r="C790" s="91"/>
      <c r="D790" s="91"/>
      <c r="E790" s="91"/>
      <c r="F790" s="91"/>
      <c r="G790" s="91"/>
      <c r="H790" s="91"/>
      <c r="O790" s="31"/>
      <c r="P790" s="31"/>
      <c r="Q790" s="31"/>
    </row>
    <row r="791">
      <c r="A791" s="90"/>
      <c r="B791" s="91"/>
      <c r="C791" s="91"/>
      <c r="D791" s="91"/>
      <c r="E791" s="91"/>
      <c r="F791" s="91"/>
      <c r="G791" s="91"/>
      <c r="H791" s="91"/>
      <c r="O791" s="31"/>
      <c r="P791" s="31"/>
      <c r="Q791" s="31"/>
    </row>
    <row r="792">
      <c r="A792" s="90"/>
      <c r="B792" s="91"/>
      <c r="C792" s="91"/>
      <c r="D792" s="91"/>
      <c r="E792" s="91"/>
      <c r="F792" s="91"/>
      <c r="G792" s="91"/>
      <c r="H792" s="91"/>
      <c r="O792" s="31"/>
      <c r="P792" s="31"/>
      <c r="Q792" s="31"/>
    </row>
    <row r="793">
      <c r="A793" s="90"/>
      <c r="B793" s="91"/>
      <c r="C793" s="91"/>
      <c r="D793" s="91"/>
      <c r="E793" s="91"/>
      <c r="F793" s="91"/>
      <c r="G793" s="91"/>
      <c r="H793" s="91"/>
      <c r="O793" s="31"/>
      <c r="P793" s="31"/>
      <c r="Q793" s="31"/>
    </row>
    <row r="794">
      <c r="A794" s="90"/>
      <c r="B794" s="91"/>
      <c r="C794" s="91"/>
      <c r="D794" s="91"/>
      <c r="E794" s="91"/>
      <c r="F794" s="91"/>
      <c r="G794" s="91"/>
      <c r="H794" s="91"/>
      <c r="O794" s="31"/>
      <c r="P794" s="31"/>
      <c r="Q794" s="31"/>
    </row>
    <row r="795">
      <c r="A795" s="90"/>
      <c r="B795" s="91"/>
      <c r="C795" s="91"/>
      <c r="D795" s="91"/>
      <c r="E795" s="91"/>
      <c r="F795" s="91"/>
      <c r="G795" s="91"/>
      <c r="H795" s="91"/>
      <c r="O795" s="31"/>
      <c r="P795" s="31"/>
      <c r="Q795" s="31"/>
    </row>
    <row r="796">
      <c r="A796" s="90"/>
      <c r="B796" s="91"/>
      <c r="C796" s="91"/>
      <c r="D796" s="91"/>
      <c r="E796" s="91"/>
      <c r="F796" s="91"/>
      <c r="G796" s="91"/>
      <c r="H796" s="91"/>
      <c r="O796" s="31"/>
      <c r="P796" s="31"/>
      <c r="Q796" s="31"/>
    </row>
    <row r="797">
      <c r="A797" s="90"/>
      <c r="B797" s="91"/>
      <c r="C797" s="91"/>
      <c r="D797" s="91"/>
      <c r="E797" s="91"/>
      <c r="F797" s="91"/>
      <c r="G797" s="91"/>
      <c r="H797" s="91"/>
      <c r="O797" s="31"/>
      <c r="P797" s="31"/>
      <c r="Q797" s="31"/>
    </row>
    <row r="798">
      <c r="A798" s="90"/>
      <c r="B798" s="91"/>
      <c r="C798" s="91"/>
      <c r="D798" s="91"/>
      <c r="E798" s="91"/>
      <c r="F798" s="91"/>
      <c r="G798" s="91"/>
      <c r="H798" s="91"/>
      <c r="O798" s="31"/>
      <c r="P798" s="31"/>
      <c r="Q798" s="31"/>
    </row>
    <row r="799">
      <c r="A799" s="90"/>
      <c r="B799" s="91"/>
      <c r="C799" s="91"/>
      <c r="D799" s="91"/>
      <c r="E799" s="91"/>
      <c r="F799" s="91"/>
      <c r="G799" s="91"/>
      <c r="H799" s="91"/>
      <c r="O799" s="31"/>
      <c r="P799" s="31"/>
      <c r="Q799" s="31"/>
    </row>
    <row r="800">
      <c r="A800" s="90"/>
      <c r="B800" s="91"/>
      <c r="C800" s="91"/>
      <c r="D800" s="91"/>
      <c r="E800" s="91"/>
      <c r="F800" s="91"/>
      <c r="G800" s="91"/>
      <c r="H800" s="91"/>
      <c r="O800" s="31"/>
      <c r="P800" s="31"/>
      <c r="Q800" s="31"/>
    </row>
    <row r="801">
      <c r="A801" s="90"/>
      <c r="B801" s="91"/>
      <c r="C801" s="91"/>
      <c r="D801" s="91"/>
      <c r="E801" s="91"/>
      <c r="F801" s="91"/>
      <c r="G801" s="91"/>
      <c r="H801" s="91"/>
      <c r="O801" s="31"/>
      <c r="P801" s="31"/>
      <c r="Q801" s="31"/>
    </row>
    <row r="802">
      <c r="A802" s="90"/>
      <c r="B802" s="91"/>
      <c r="C802" s="91"/>
      <c r="D802" s="91"/>
      <c r="E802" s="91"/>
      <c r="F802" s="91"/>
      <c r="G802" s="91"/>
      <c r="H802" s="91"/>
      <c r="O802" s="31"/>
      <c r="P802" s="31"/>
      <c r="Q802" s="31"/>
    </row>
    <row r="803">
      <c r="A803" s="90"/>
      <c r="B803" s="91"/>
      <c r="C803" s="91"/>
      <c r="D803" s="91"/>
      <c r="E803" s="91"/>
      <c r="F803" s="91"/>
      <c r="G803" s="91"/>
      <c r="H803" s="91"/>
      <c r="O803" s="31"/>
      <c r="P803" s="31"/>
      <c r="Q803" s="31"/>
    </row>
    <row r="804">
      <c r="A804" s="90"/>
      <c r="B804" s="91"/>
      <c r="C804" s="91"/>
      <c r="D804" s="91"/>
      <c r="E804" s="91"/>
      <c r="F804" s="91"/>
      <c r="G804" s="91"/>
      <c r="H804" s="91"/>
      <c r="O804" s="31"/>
      <c r="P804" s="31"/>
      <c r="Q804" s="31"/>
    </row>
    <row r="805">
      <c r="A805" s="90"/>
      <c r="B805" s="91"/>
      <c r="C805" s="91"/>
      <c r="D805" s="91"/>
      <c r="E805" s="91"/>
      <c r="F805" s="91"/>
      <c r="G805" s="91"/>
      <c r="H805" s="91"/>
      <c r="O805" s="31"/>
      <c r="P805" s="31"/>
      <c r="Q805" s="31"/>
    </row>
    <row r="806">
      <c r="A806" s="90"/>
      <c r="B806" s="91"/>
      <c r="C806" s="91"/>
      <c r="D806" s="91"/>
      <c r="E806" s="91"/>
      <c r="F806" s="91"/>
      <c r="G806" s="91"/>
      <c r="H806" s="91"/>
      <c r="O806" s="31"/>
      <c r="P806" s="31"/>
      <c r="Q806" s="31"/>
    </row>
    <row r="807">
      <c r="A807" s="90"/>
      <c r="B807" s="91"/>
      <c r="C807" s="91"/>
      <c r="D807" s="91"/>
      <c r="E807" s="91"/>
      <c r="F807" s="91"/>
      <c r="G807" s="91"/>
      <c r="H807" s="91"/>
      <c r="O807" s="31"/>
      <c r="P807" s="31"/>
      <c r="Q807" s="31"/>
    </row>
    <row r="808">
      <c r="A808" s="90"/>
      <c r="B808" s="91"/>
      <c r="C808" s="91"/>
      <c r="D808" s="91"/>
      <c r="E808" s="91"/>
      <c r="F808" s="91"/>
      <c r="G808" s="91"/>
      <c r="H808" s="91"/>
      <c r="O808" s="31"/>
      <c r="P808" s="31"/>
      <c r="Q808" s="31"/>
    </row>
    <row r="809">
      <c r="A809" s="90"/>
      <c r="B809" s="91"/>
      <c r="C809" s="91"/>
      <c r="D809" s="91"/>
      <c r="E809" s="91"/>
      <c r="F809" s="91"/>
      <c r="G809" s="91"/>
      <c r="H809" s="91"/>
      <c r="O809" s="31"/>
      <c r="P809" s="31"/>
      <c r="Q809" s="31"/>
    </row>
    <row r="810">
      <c r="A810" s="90"/>
      <c r="B810" s="91"/>
      <c r="C810" s="91"/>
      <c r="D810" s="91"/>
      <c r="E810" s="91"/>
      <c r="F810" s="91"/>
      <c r="G810" s="91"/>
      <c r="H810" s="91"/>
      <c r="O810" s="31"/>
      <c r="P810" s="31"/>
      <c r="Q810" s="31"/>
    </row>
    <row r="811">
      <c r="A811" s="90"/>
      <c r="B811" s="91"/>
      <c r="C811" s="91"/>
      <c r="D811" s="91"/>
      <c r="E811" s="91"/>
      <c r="F811" s="91"/>
      <c r="G811" s="91"/>
      <c r="H811" s="91"/>
      <c r="O811" s="31"/>
      <c r="P811" s="31"/>
      <c r="Q811" s="31"/>
    </row>
    <row r="812">
      <c r="A812" s="90"/>
      <c r="B812" s="91"/>
      <c r="C812" s="91"/>
      <c r="D812" s="91"/>
      <c r="E812" s="91"/>
      <c r="F812" s="91"/>
      <c r="G812" s="91"/>
      <c r="H812" s="91"/>
      <c r="O812" s="31"/>
      <c r="P812" s="31"/>
      <c r="Q812" s="31"/>
    </row>
    <row r="813">
      <c r="A813" s="90"/>
      <c r="B813" s="91"/>
      <c r="C813" s="91"/>
      <c r="D813" s="91"/>
      <c r="E813" s="91"/>
      <c r="F813" s="91"/>
      <c r="G813" s="91"/>
      <c r="H813" s="91"/>
      <c r="O813" s="31"/>
      <c r="P813" s="31"/>
      <c r="Q813" s="31"/>
    </row>
    <row r="814">
      <c r="A814" s="90"/>
      <c r="B814" s="91"/>
      <c r="C814" s="91"/>
      <c r="D814" s="91"/>
      <c r="E814" s="91"/>
      <c r="F814" s="91"/>
      <c r="G814" s="91"/>
      <c r="H814" s="91"/>
      <c r="O814" s="31"/>
      <c r="P814" s="31"/>
      <c r="Q814" s="31"/>
    </row>
    <row r="815">
      <c r="A815" s="90"/>
      <c r="B815" s="91"/>
      <c r="C815" s="91"/>
      <c r="D815" s="91"/>
      <c r="E815" s="91"/>
      <c r="F815" s="91"/>
      <c r="G815" s="91"/>
      <c r="H815" s="91"/>
      <c r="O815" s="31"/>
      <c r="P815" s="31"/>
      <c r="Q815" s="31"/>
    </row>
    <row r="816">
      <c r="A816" s="90"/>
      <c r="B816" s="91"/>
      <c r="C816" s="91"/>
      <c r="D816" s="91"/>
      <c r="E816" s="91"/>
      <c r="F816" s="91"/>
      <c r="G816" s="91"/>
      <c r="H816" s="91"/>
      <c r="O816" s="31"/>
      <c r="P816" s="31"/>
      <c r="Q816" s="31"/>
    </row>
    <row r="817">
      <c r="A817" s="90"/>
      <c r="B817" s="91"/>
      <c r="C817" s="91"/>
      <c r="D817" s="91"/>
      <c r="E817" s="91"/>
      <c r="F817" s="91"/>
      <c r="G817" s="91"/>
      <c r="H817" s="91"/>
      <c r="O817" s="31"/>
      <c r="P817" s="31"/>
      <c r="Q817" s="31"/>
    </row>
    <row r="818">
      <c r="A818" s="90"/>
      <c r="B818" s="91"/>
      <c r="C818" s="91"/>
      <c r="D818" s="91"/>
      <c r="E818" s="91"/>
      <c r="F818" s="91"/>
      <c r="G818" s="91"/>
      <c r="H818" s="91"/>
      <c r="O818" s="31"/>
      <c r="P818" s="31"/>
      <c r="Q818" s="31"/>
    </row>
    <row r="819">
      <c r="A819" s="90"/>
      <c r="B819" s="91"/>
      <c r="C819" s="91"/>
      <c r="D819" s="91"/>
      <c r="E819" s="91"/>
      <c r="F819" s="91"/>
      <c r="G819" s="91"/>
      <c r="H819" s="91"/>
      <c r="O819" s="31"/>
      <c r="P819" s="31"/>
      <c r="Q819" s="31"/>
    </row>
    <row r="820">
      <c r="A820" s="90"/>
      <c r="B820" s="91"/>
      <c r="C820" s="91"/>
      <c r="D820" s="91"/>
      <c r="E820" s="91"/>
      <c r="F820" s="91"/>
      <c r="G820" s="91"/>
      <c r="H820" s="91"/>
      <c r="O820" s="31"/>
      <c r="P820" s="31"/>
      <c r="Q820" s="31"/>
    </row>
    <row r="821">
      <c r="A821" s="90"/>
      <c r="B821" s="91"/>
      <c r="C821" s="91"/>
      <c r="D821" s="91"/>
      <c r="E821" s="91"/>
      <c r="F821" s="91"/>
      <c r="G821" s="91"/>
      <c r="H821" s="91"/>
      <c r="O821" s="31"/>
      <c r="P821" s="31"/>
      <c r="Q821" s="31"/>
    </row>
    <row r="822">
      <c r="A822" s="90"/>
      <c r="B822" s="91"/>
      <c r="C822" s="91"/>
      <c r="D822" s="91"/>
      <c r="E822" s="91"/>
      <c r="F822" s="91"/>
      <c r="G822" s="91"/>
      <c r="H822" s="91"/>
      <c r="O822" s="31"/>
      <c r="P822" s="31"/>
      <c r="Q822" s="31"/>
    </row>
    <row r="823">
      <c r="A823" s="90"/>
      <c r="B823" s="91"/>
      <c r="C823" s="91"/>
      <c r="D823" s="91"/>
      <c r="E823" s="91"/>
      <c r="F823" s="91"/>
      <c r="G823" s="91"/>
      <c r="H823" s="91"/>
      <c r="O823" s="31"/>
      <c r="P823" s="31"/>
      <c r="Q823" s="31"/>
    </row>
    <row r="824">
      <c r="A824" s="90"/>
      <c r="B824" s="91"/>
      <c r="C824" s="91"/>
      <c r="D824" s="91"/>
      <c r="E824" s="91"/>
      <c r="F824" s="91"/>
      <c r="G824" s="91"/>
      <c r="H824" s="91"/>
      <c r="O824" s="31"/>
      <c r="P824" s="31"/>
      <c r="Q824" s="31"/>
    </row>
    <row r="825">
      <c r="A825" s="90"/>
      <c r="B825" s="91"/>
      <c r="C825" s="91"/>
      <c r="D825" s="91"/>
      <c r="E825" s="91"/>
      <c r="F825" s="91"/>
      <c r="G825" s="91"/>
      <c r="H825" s="91"/>
      <c r="O825" s="31"/>
      <c r="P825" s="31"/>
      <c r="Q825" s="31"/>
    </row>
    <row r="826">
      <c r="A826" s="90"/>
      <c r="B826" s="91"/>
      <c r="C826" s="91"/>
      <c r="D826" s="91"/>
      <c r="E826" s="91"/>
      <c r="F826" s="91"/>
      <c r="G826" s="91"/>
      <c r="H826" s="91"/>
      <c r="O826" s="31"/>
      <c r="P826" s="31"/>
      <c r="Q826" s="31"/>
    </row>
    <row r="827">
      <c r="A827" s="90"/>
      <c r="B827" s="91"/>
      <c r="C827" s="91"/>
      <c r="D827" s="91"/>
      <c r="E827" s="91"/>
      <c r="F827" s="91"/>
      <c r="G827" s="91"/>
      <c r="H827" s="91"/>
      <c r="O827" s="31"/>
      <c r="P827" s="31"/>
      <c r="Q827" s="31"/>
    </row>
    <row r="828">
      <c r="A828" s="90"/>
      <c r="B828" s="91"/>
      <c r="C828" s="91"/>
      <c r="D828" s="91"/>
      <c r="E828" s="91"/>
      <c r="F828" s="91"/>
      <c r="G828" s="91"/>
      <c r="H828" s="91"/>
      <c r="O828" s="31"/>
      <c r="P828" s="31"/>
      <c r="Q828" s="31"/>
    </row>
    <row r="829">
      <c r="A829" s="90"/>
      <c r="B829" s="91"/>
      <c r="C829" s="91"/>
      <c r="D829" s="91"/>
      <c r="E829" s="91"/>
      <c r="F829" s="91"/>
      <c r="G829" s="91"/>
      <c r="H829" s="91"/>
      <c r="O829" s="31"/>
      <c r="P829" s="31"/>
      <c r="Q829" s="31"/>
    </row>
    <row r="830">
      <c r="A830" s="90"/>
      <c r="B830" s="91"/>
      <c r="C830" s="91"/>
      <c r="D830" s="91"/>
      <c r="E830" s="91"/>
      <c r="F830" s="91"/>
      <c r="G830" s="91"/>
      <c r="H830" s="91"/>
      <c r="O830" s="31"/>
      <c r="P830" s="31"/>
      <c r="Q830" s="31"/>
    </row>
    <row r="831">
      <c r="A831" s="90"/>
      <c r="B831" s="91"/>
      <c r="C831" s="91"/>
      <c r="D831" s="91"/>
      <c r="E831" s="91"/>
      <c r="F831" s="91"/>
      <c r="G831" s="91"/>
      <c r="H831" s="91"/>
      <c r="O831" s="31"/>
      <c r="P831" s="31"/>
      <c r="Q831" s="31"/>
    </row>
    <row r="832">
      <c r="A832" s="90"/>
      <c r="B832" s="91"/>
      <c r="C832" s="91"/>
      <c r="D832" s="91"/>
      <c r="E832" s="91"/>
      <c r="F832" s="91"/>
      <c r="G832" s="91"/>
      <c r="H832" s="91"/>
      <c r="O832" s="31"/>
      <c r="P832" s="31"/>
      <c r="Q832" s="31"/>
    </row>
    <row r="833">
      <c r="A833" s="90"/>
      <c r="B833" s="91"/>
      <c r="C833" s="91"/>
      <c r="D833" s="91"/>
      <c r="E833" s="91"/>
      <c r="F833" s="91"/>
      <c r="G833" s="91"/>
      <c r="H833" s="91"/>
      <c r="O833" s="31"/>
      <c r="P833" s="31"/>
      <c r="Q833" s="31"/>
    </row>
    <row r="834">
      <c r="A834" s="90"/>
      <c r="B834" s="91"/>
      <c r="C834" s="91"/>
      <c r="D834" s="91"/>
      <c r="E834" s="91"/>
      <c r="F834" s="91"/>
      <c r="G834" s="91"/>
      <c r="H834" s="91"/>
      <c r="O834" s="31"/>
      <c r="P834" s="31"/>
      <c r="Q834" s="31"/>
    </row>
    <row r="835">
      <c r="A835" s="90"/>
      <c r="B835" s="91"/>
      <c r="C835" s="91"/>
      <c r="D835" s="91"/>
      <c r="E835" s="91"/>
      <c r="F835" s="91"/>
      <c r="G835" s="91"/>
      <c r="H835" s="91"/>
      <c r="O835" s="31"/>
      <c r="P835" s="31"/>
      <c r="Q835" s="31"/>
    </row>
    <row r="836">
      <c r="A836" s="90"/>
      <c r="B836" s="91"/>
      <c r="C836" s="91"/>
      <c r="D836" s="91"/>
      <c r="E836" s="91"/>
      <c r="F836" s="91"/>
      <c r="G836" s="91"/>
      <c r="H836" s="91"/>
      <c r="O836" s="31"/>
      <c r="P836" s="31"/>
      <c r="Q836" s="31"/>
    </row>
    <row r="837">
      <c r="A837" s="90"/>
      <c r="B837" s="91"/>
      <c r="C837" s="91"/>
      <c r="D837" s="91"/>
      <c r="E837" s="91"/>
      <c r="F837" s="91"/>
      <c r="G837" s="91"/>
      <c r="H837" s="91"/>
      <c r="O837" s="31"/>
      <c r="P837" s="31"/>
      <c r="Q837" s="31"/>
    </row>
    <row r="838">
      <c r="A838" s="90"/>
      <c r="B838" s="91"/>
      <c r="C838" s="91"/>
      <c r="D838" s="91"/>
      <c r="E838" s="91"/>
      <c r="F838" s="91"/>
      <c r="G838" s="91"/>
      <c r="H838" s="91"/>
      <c r="O838" s="31"/>
      <c r="P838" s="31"/>
      <c r="Q838" s="31"/>
    </row>
    <row r="839">
      <c r="A839" s="90"/>
      <c r="B839" s="91"/>
      <c r="C839" s="91"/>
      <c r="D839" s="91"/>
      <c r="E839" s="91"/>
      <c r="F839" s="91"/>
      <c r="G839" s="91"/>
      <c r="H839" s="91"/>
      <c r="O839" s="31"/>
      <c r="P839" s="31"/>
      <c r="Q839" s="31"/>
    </row>
    <row r="840">
      <c r="A840" s="90"/>
      <c r="B840" s="91"/>
      <c r="C840" s="91"/>
      <c r="D840" s="91"/>
      <c r="E840" s="91"/>
      <c r="F840" s="91"/>
      <c r="G840" s="91"/>
      <c r="H840" s="91"/>
      <c r="O840" s="31"/>
      <c r="P840" s="31"/>
      <c r="Q840" s="31"/>
    </row>
    <row r="841">
      <c r="A841" s="90"/>
      <c r="B841" s="91"/>
      <c r="C841" s="91"/>
      <c r="D841" s="91"/>
      <c r="E841" s="91"/>
      <c r="F841" s="91"/>
      <c r="G841" s="91"/>
      <c r="H841" s="91"/>
      <c r="O841" s="31"/>
      <c r="P841" s="31"/>
      <c r="Q841" s="31"/>
    </row>
    <row r="842">
      <c r="A842" s="90"/>
      <c r="B842" s="91"/>
      <c r="C842" s="91"/>
      <c r="D842" s="91"/>
      <c r="E842" s="91"/>
      <c r="F842" s="91"/>
      <c r="G842" s="91"/>
      <c r="H842" s="91"/>
      <c r="O842" s="31"/>
      <c r="P842" s="31"/>
      <c r="Q842" s="31"/>
    </row>
    <row r="843">
      <c r="A843" s="90"/>
      <c r="B843" s="91"/>
      <c r="C843" s="91"/>
      <c r="D843" s="91"/>
      <c r="E843" s="91"/>
      <c r="F843" s="91"/>
      <c r="G843" s="91"/>
      <c r="H843" s="91"/>
      <c r="O843" s="31"/>
      <c r="P843" s="31"/>
      <c r="Q843" s="31"/>
    </row>
    <row r="844">
      <c r="A844" s="90"/>
      <c r="B844" s="91"/>
      <c r="C844" s="91"/>
      <c r="D844" s="91"/>
      <c r="E844" s="91"/>
      <c r="F844" s="91"/>
      <c r="G844" s="91"/>
      <c r="H844" s="91"/>
      <c r="O844" s="31"/>
      <c r="P844" s="31"/>
      <c r="Q844" s="31"/>
    </row>
    <row r="845">
      <c r="A845" s="90"/>
      <c r="B845" s="91"/>
      <c r="C845" s="91"/>
      <c r="D845" s="91"/>
      <c r="E845" s="91"/>
      <c r="F845" s="91"/>
      <c r="G845" s="91"/>
      <c r="H845" s="91"/>
      <c r="O845" s="31"/>
      <c r="P845" s="31"/>
      <c r="Q845" s="31"/>
    </row>
    <row r="846">
      <c r="A846" s="90"/>
      <c r="B846" s="91"/>
      <c r="C846" s="91"/>
      <c r="D846" s="91"/>
      <c r="E846" s="91"/>
      <c r="F846" s="91"/>
      <c r="G846" s="91"/>
      <c r="H846" s="91"/>
      <c r="O846" s="31"/>
      <c r="P846" s="31"/>
      <c r="Q846" s="31"/>
    </row>
    <row r="847">
      <c r="A847" s="90"/>
      <c r="B847" s="91"/>
      <c r="C847" s="91"/>
      <c r="D847" s="91"/>
      <c r="E847" s="91"/>
      <c r="F847" s="91"/>
      <c r="G847" s="91"/>
      <c r="H847" s="91"/>
      <c r="O847" s="31"/>
      <c r="P847" s="31"/>
      <c r="Q847" s="31"/>
    </row>
    <row r="848">
      <c r="A848" s="90"/>
      <c r="B848" s="91"/>
      <c r="C848" s="91"/>
      <c r="D848" s="91"/>
      <c r="E848" s="91"/>
      <c r="F848" s="91"/>
      <c r="G848" s="91"/>
      <c r="H848" s="91"/>
      <c r="O848" s="31"/>
      <c r="P848" s="31"/>
      <c r="Q848" s="31"/>
    </row>
    <row r="849">
      <c r="A849" s="90"/>
      <c r="B849" s="91"/>
      <c r="C849" s="91"/>
      <c r="D849" s="91"/>
      <c r="E849" s="91"/>
      <c r="F849" s="91"/>
      <c r="G849" s="91"/>
      <c r="H849" s="91"/>
      <c r="O849" s="31"/>
      <c r="P849" s="31"/>
      <c r="Q849" s="31"/>
    </row>
    <row r="850">
      <c r="A850" s="90"/>
      <c r="B850" s="91"/>
      <c r="C850" s="91"/>
      <c r="D850" s="91"/>
      <c r="E850" s="91"/>
      <c r="F850" s="91"/>
      <c r="G850" s="91"/>
      <c r="H850" s="91"/>
      <c r="O850" s="31"/>
      <c r="P850" s="31"/>
      <c r="Q850" s="31"/>
    </row>
    <row r="851">
      <c r="A851" s="90"/>
      <c r="B851" s="91"/>
      <c r="C851" s="91"/>
      <c r="D851" s="91"/>
      <c r="E851" s="91"/>
      <c r="F851" s="91"/>
      <c r="G851" s="91"/>
      <c r="H851" s="91"/>
      <c r="O851" s="31"/>
      <c r="P851" s="31"/>
      <c r="Q851" s="31"/>
    </row>
    <row r="852">
      <c r="A852" s="90"/>
      <c r="B852" s="91"/>
      <c r="C852" s="91"/>
      <c r="D852" s="91"/>
      <c r="E852" s="91"/>
      <c r="F852" s="91"/>
      <c r="G852" s="91"/>
      <c r="H852" s="91"/>
      <c r="O852" s="31"/>
      <c r="P852" s="31"/>
      <c r="Q852" s="31"/>
    </row>
    <row r="853">
      <c r="A853" s="90"/>
      <c r="B853" s="91"/>
      <c r="C853" s="91"/>
      <c r="D853" s="91"/>
      <c r="E853" s="91"/>
      <c r="F853" s="91"/>
      <c r="G853" s="91"/>
      <c r="H853" s="91"/>
      <c r="O853" s="31"/>
      <c r="P853" s="31"/>
      <c r="Q853" s="31"/>
    </row>
    <row r="854">
      <c r="A854" s="90"/>
      <c r="B854" s="91"/>
      <c r="C854" s="91"/>
      <c r="D854" s="91"/>
      <c r="E854" s="91"/>
      <c r="F854" s="91"/>
      <c r="G854" s="91"/>
      <c r="H854" s="91"/>
      <c r="O854" s="31"/>
      <c r="P854" s="31"/>
      <c r="Q854" s="31"/>
    </row>
    <row r="855">
      <c r="A855" s="90"/>
      <c r="B855" s="91"/>
      <c r="C855" s="91"/>
      <c r="D855" s="91"/>
      <c r="E855" s="91"/>
      <c r="F855" s="91"/>
      <c r="G855" s="91"/>
      <c r="H855" s="91"/>
      <c r="O855" s="31"/>
      <c r="P855" s="31"/>
      <c r="Q855" s="31"/>
    </row>
    <row r="856">
      <c r="A856" s="90"/>
      <c r="B856" s="91"/>
      <c r="C856" s="91"/>
      <c r="D856" s="91"/>
      <c r="E856" s="91"/>
      <c r="F856" s="91"/>
      <c r="G856" s="91"/>
      <c r="H856" s="91"/>
      <c r="O856" s="31"/>
      <c r="P856" s="31"/>
      <c r="Q856" s="31"/>
    </row>
    <row r="857">
      <c r="A857" s="90"/>
      <c r="B857" s="91"/>
      <c r="C857" s="91"/>
      <c r="D857" s="91"/>
      <c r="E857" s="91"/>
      <c r="F857" s="91"/>
      <c r="G857" s="91"/>
      <c r="H857" s="91"/>
      <c r="O857" s="31"/>
      <c r="P857" s="31"/>
      <c r="Q857" s="31"/>
    </row>
    <row r="858">
      <c r="A858" s="90"/>
      <c r="B858" s="91"/>
      <c r="C858" s="91"/>
      <c r="D858" s="91"/>
      <c r="E858" s="91"/>
      <c r="F858" s="91"/>
      <c r="G858" s="91"/>
      <c r="H858" s="91"/>
      <c r="O858" s="31"/>
      <c r="P858" s="31"/>
      <c r="Q858" s="31"/>
    </row>
    <row r="859">
      <c r="A859" s="90"/>
      <c r="B859" s="91"/>
      <c r="C859" s="91"/>
      <c r="D859" s="91"/>
      <c r="E859" s="91"/>
      <c r="F859" s="91"/>
      <c r="G859" s="91"/>
      <c r="H859" s="91"/>
      <c r="O859" s="31"/>
      <c r="P859" s="31"/>
      <c r="Q859" s="31"/>
    </row>
    <row r="860">
      <c r="A860" s="90"/>
      <c r="B860" s="91"/>
      <c r="C860" s="91"/>
      <c r="D860" s="91"/>
      <c r="E860" s="91"/>
      <c r="F860" s="91"/>
      <c r="G860" s="91"/>
      <c r="H860" s="91"/>
      <c r="O860" s="31"/>
      <c r="P860" s="31"/>
      <c r="Q860" s="31"/>
    </row>
    <row r="861">
      <c r="A861" s="90"/>
      <c r="B861" s="91"/>
      <c r="C861" s="91"/>
      <c r="D861" s="91"/>
      <c r="E861" s="91"/>
      <c r="F861" s="91"/>
      <c r="G861" s="91"/>
      <c r="H861" s="91"/>
      <c r="O861" s="31"/>
      <c r="P861" s="31"/>
      <c r="Q861" s="31"/>
    </row>
    <row r="862">
      <c r="A862" s="90"/>
      <c r="B862" s="91"/>
      <c r="C862" s="91"/>
      <c r="D862" s="91"/>
      <c r="E862" s="91"/>
      <c r="F862" s="91"/>
      <c r="G862" s="91"/>
      <c r="H862" s="91"/>
      <c r="O862" s="31"/>
      <c r="P862" s="31"/>
      <c r="Q862" s="31"/>
    </row>
    <row r="863">
      <c r="A863" s="90"/>
      <c r="B863" s="91"/>
      <c r="C863" s="91"/>
      <c r="D863" s="91"/>
      <c r="E863" s="91"/>
      <c r="F863" s="91"/>
      <c r="G863" s="91"/>
      <c r="H863" s="91"/>
      <c r="O863" s="31"/>
      <c r="P863" s="31"/>
      <c r="Q863" s="31"/>
    </row>
    <row r="864">
      <c r="A864" s="90"/>
      <c r="B864" s="91"/>
      <c r="C864" s="91"/>
      <c r="D864" s="91"/>
      <c r="E864" s="91"/>
      <c r="F864" s="91"/>
      <c r="G864" s="91"/>
      <c r="H864" s="91"/>
      <c r="O864" s="31"/>
      <c r="P864" s="31"/>
      <c r="Q864" s="31"/>
    </row>
    <row r="865">
      <c r="A865" s="90"/>
      <c r="B865" s="91"/>
      <c r="C865" s="91"/>
      <c r="D865" s="91"/>
      <c r="E865" s="91"/>
      <c r="F865" s="91"/>
      <c r="G865" s="91"/>
      <c r="H865" s="91"/>
      <c r="O865" s="31"/>
      <c r="P865" s="31"/>
      <c r="Q865" s="31"/>
    </row>
    <row r="866">
      <c r="A866" s="90"/>
      <c r="B866" s="91"/>
      <c r="C866" s="91"/>
      <c r="D866" s="91"/>
      <c r="E866" s="91"/>
      <c r="F866" s="91"/>
      <c r="G866" s="91"/>
      <c r="H866" s="91"/>
      <c r="O866" s="31"/>
      <c r="P866" s="31"/>
      <c r="Q866" s="31"/>
    </row>
    <row r="867">
      <c r="A867" s="90"/>
      <c r="B867" s="91"/>
      <c r="C867" s="91"/>
      <c r="D867" s="91"/>
      <c r="E867" s="91"/>
      <c r="F867" s="91"/>
      <c r="G867" s="91"/>
      <c r="H867" s="91"/>
      <c r="O867" s="31"/>
      <c r="P867" s="31"/>
      <c r="Q867" s="31"/>
    </row>
    <row r="868">
      <c r="A868" s="90"/>
      <c r="B868" s="91"/>
      <c r="C868" s="91"/>
      <c r="D868" s="91"/>
      <c r="E868" s="91"/>
      <c r="F868" s="91"/>
      <c r="G868" s="91"/>
      <c r="H868" s="91"/>
      <c r="O868" s="31"/>
      <c r="P868" s="31"/>
      <c r="Q868" s="31"/>
    </row>
    <row r="869">
      <c r="A869" s="90"/>
      <c r="B869" s="91"/>
      <c r="C869" s="91"/>
      <c r="D869" s="91"/>
      <c r="E869" s="91"/>
      <c r="F869" s="91"/>
      <c r="G869" s="91"/>
      <c r="H869" s="91"/>
      <c r="O869" s="31"/>
      <c r="P869" s="31"/>
      <c r="Q869" s="31"/>
    </row>
    <row r="870">
      <c r="A870" s="90"/>
      <c r="B870" s="91"/>
      <c r="C870" s="91"/>
      <c r="D870" s="91"/>
      <c r="E870" s="91"/>
      <c r="F870" s="91"/>
      <c r="G870" s="91"/>
      <c r="H870" s="91"/>
      <c r="O870" s="31"/>
      <c r="P870" s="31"/>
      <c r="Q870" s="31"/>
    </row>
    <row r="871">
      <c r="A871" s="90"/>
      <c r="B871" s="91"/>
      <c r="C871" s="91"/>
      <c r="D871" s="91"/>
      <c r="E871" s="91"/>
      <c r="F871" s="91"/>
      <c r="G871" s="91"/>
      <c r="H871" s="91"/>
      <c r="O871" s="31"/>
      <c r="P871" s="31"/>
      <c r="Q871" s="31"/>
    </row>
    <row r="872">
      <c r="A872" s="90"/>
      <c r="B872" s="91"/>
      <c r="C872" s="91"/>
      <c r="D872" s="91"/>
      <c r="E872" s="91"/>
      <c r="F872" s="91"/>
      <c r="G872" s="91"/>
      <c r="H872" s="91"/>
      <c r="O872" s="31"/>
      <c r="P872" s="31"/>
      <c r="Q872" s="31"/>
    </row>
    <row r="873">
      <c r="A873" s="90"/>
      <c r="B873" s="91"/>
      <c r="C873" s="91"/>
      <c r="D873" s="91"/>
      <c r="E873" s="91"/>
      <c r="F873" s="91"/>
      <c r="G873" s="91"/>
      <c r="H873" s="91"/>
      <c r="O873" s="31"/>
      <c r="P873" s="31"/>
      <c r="Q873" s="31"/>
    </row>
    <row r="874">
      <c r="A874" s="90"/>
      <c r="B874" s="91"/>
      <c r="C874" s="91"/>
      <c r="D874" s="91"/>
      <c r="E874" s="91"/>
      <c r="F874" s="91"/>
      <c r="G874" s="91"/>
      <c r="H874" s="91"/>
      <c r="O874" s="31"/>
      <c r="P874" s="31"/>
      <c r="Q874" s="31"/>
    </row>
    <row r="875">
      <c r="A875" s="90"/>
      <c r="B875" s="91"/>
      <c r="C875" s="91"/>
      <c r="D875" s="91"/>
      <c r="E875" s="91"/>
      <c r="F875" s="91"/>
      <c r="G875" s="91"/>
      <c r="H875" s="91"/>
      <c r="O875" s="31"/>
      <c r="P875" s="31"/>
      <c r="Q875" s="31"/>
    </row>
    <row r="876">
      <c r="A876" s="90"/>
      <c r="B876" s="91"/>
      <c r="C876" s="91"/>
      <c r="D876" s="91"/>
      <c r="E876" s="91"/>
      <c r="F876" s="91"/>
      <c r="G876" s="91"/>
      <c r="H876" s="91"/>
      <c r="O876" s="31"/>
      <c r="P876" s="31"/>
      <c r="Q876" s="31"/>
    </row>
    <row r="877">
      <c r="A877" s="90"/>
      <c r="B877" s="91"/>
      <c r="C877" s="91"/>
      <c r="D877" s="91"/>
      <c r="E877" s="91"/>
      <c r="F877" s="91"/>
      <c r="G877" s="91"/>
      <c r="H877" s="91"/>
      <c r="O877" s="31"/>
      <c r="P877" s="31"/>
      <c r="Q877" s="31"/>
    </row>
    <row r="878">
      <c r="A878" s="90"/>
      <c r="B878" s="91"/>
      <c r="C878" s="91"/>
      <c r="D878" s="91"/>
      <c r="E878" s="91"/>
      <c r="F878" s="91"/>
      <c r="G878" s="91"/>
      <c r="H878" s="91"/>
      <c r="O878" s="31"/>
      <c r="P878" s="31"/>
      <c r="Q878" s="31"/>
    </row>
    <row r="879">
      <c r="A879" s="90"/>
      <c r="B879" s="91"/>
      <c r="C879" s="91"/>
      <c r="D879" s="91"/>
      <c r="E879" s="91"/>
      <c r="F879" s="91"/>
      <c r="G879" s="91"/>
      <c r="H879" s="91"/>
      <c r="O879" s="31"/>
      <c r="P879" s="31"/>
      <c r="Q879" s="31"/>
    </row>
    <row r="880">
      <c r="A880" s="90"/>
      <c r="B880" s="91"/>
      <c r="C880" s="91"/>
      <c r="D880" s="91"/>
      <c r="E880" s="91"/>
      <c r="F880" s="91"/>
      <c r="G880" s="91"/>
      <c r="H880" s="91"/>
      <c r="O880" s="31"/>
      <c r="P880" s="31"/>
      <c r="Q880" s="31"/>
    </row>
    <row r="881">
      <c r="A881" s="90"/>
      <c r="B881" s="91"/>
      <c r="C881" s="91"/>
      <c r="D881" s="91"/>
      <c r="E881" s="91"/>
      <c r="F881" s="91"/>
      <c r="G881" s="91"/>
      <c r="H881" s="91"/>
      <c r="O881" s="31"/>
      <c r="P881" s="31"/>
      <c r="Q881" s="31"/>
    </row>
    <row r="882">
      <c r="A882" s="90"/>
      <c r="B882" s="91"/>
      <c r="C882" s="91"/>
      <c r="D882" s="91"/>
      <c r="E882" s="91"/>
      <c r="F882" s="91"/>
      <c r="G882" s="91"/>
      <c r="H882" s="91"/>
      <c r="O882" s="31"/>
      <c r="P882" s="31"/>
      <c r="Q882" s="31"/>
    </row>
    <row r="883">
      <c r="A883" s="90"/>
      <c r="B883" s="91"/>
      <c r="C883" s="91"/>
      <c r="D883" s="91"/>
      <c r="E883" s="91"/>
      <c r="F883" s="91"/>
      <c r="G883" s="91"/>
      <c r="H883" s="91"/>
      <c r="O883" s="31"/>
      <c r="P883" s="31"/>
      <c r="Q883" s="31"/>
    </row>
    <row r="884">
      <c r="A884" s="90"/>
      <c r="B884" s="91"/>
      <c r="C884" s="91"/>
      <c r="D884" s="91"/>
      <c r="E884" s="91"/>
      <c r="F884" s="91"/>
      <c r="G884" s="91"/>
      <c r="H884" s="91"/>
      <c r="O884" s="31"/>
      <c r="P884" s="31"/>
      <c r="Q884" s="31"/>
    </row>
    <row r="885">
      <c r="A885" s="90"/>
      <c r="B885" s="91"/>
      <c r="C885" s="91"/>
      <c r="D885" s="91"/>
      <c r="E885" s="91"/>
      <c r="F885" s="91"/>
      <c r="G885" s="91"/>
      <c r="H885" s="91"/>
      <c r="O885" s="31"/>
      <c r="P885" s="31"/>
      <c r="Q885" s="31"/>
    </row>
    <row r="886">
      <c r="A886" s="90"/>
      <c r="B886" s="91"/>
      <c r="C886" s="91"/>
      <c r="D886" s="91"/>
      <c r="E886" s="91"/>
      <c r="F886" s="91"/>
      <c r="G886" s="91"/>
      <c r="H886" s="91"/>
      <c r="O886" s="31"/>
      <c r="P886" s="31"/>
      <c r="Q886" s="31"/>
    </row>
    <row r="887">
      <c r="A887" s="90"/>
      <c r="B887" s="91"/>
      <c r="C887" s="91"/>
      <c r="D887" s="91"/>
      <c r="E887" s="91"/>
      <c r="F887" s="91"/>
      <c r="G887" s="91"/>
      <c r="H887" s="91"/>
      <c r="O887" s="31"/>
      <c r="P887" s="31"/>
      <c r="Q887" s="31"/>
    </row>
    <row r="888">
      <c r="A888" s="90"/>
      <c r="B888" s="91"/>
      <c r="C888" s="91"/>
      <c r="D888" s="91"/>
      <c r="E888" s="91"/>
      <c r="F888" s="91"/>
      <c r="G888" s="91"/>
      <c r="H888" s="91"/>
      <c r="O888" s="31"/>
      <c r="P888" s="31"/>
      <c r="Q888" s="31"/>
    </row>
    <row r="889">
      <c r="A889" s="90"/>
      <c r="B889" s="91"/>
      <c r="C889" s="91"/>
      <c r="D889" s="91"/>
      <c r="E889" s="91"/>
      <c r="F889" s="91"/>
      <c r="G889" s="91"/>
      <c r="H889" s="91"/>
      <c r="O889" s="31"/>
      <c r="P889" s="31"/>
      <c r="Q889" s="31"/>
    </row>
    <row r="890">
      <c r="A890" s="90"/>
      <c r="B890" s="91"/>
      <c r="C890" s="91"/>
      <c r="D890" s="91"/>
      <c r="E890" s="91"/>
      <c r="F890" s="91"/>
      <c r="G890" s="91"/>
      <c r="H890" s="91"/>
      <c r="O890" s="31"/>
      <c r="P890" s="31"/>
      <c r="Q890" s="31"/>
    </row>
    <row r="891">
      <c r="A891" s="90"/>
      <c r="B891" s="91"/>
      <c r="C891" s="91"/>
      <c r="D891" s="91"/>
      <c r="E891" s="91"/>
      <c r="F891" s="91"/>
      <c r="G891" s="91"/>
      <c r="H891" s="91"/>
      <c r="O891" s="31"/>
      <c r="P891" s="31"/>
      <c r="Q891" s="31"/>
    </row>
    <row r="892">
      <c r="A892" s="90"/>
      <c r="B892" s="91"/>
      <c r="C892" s="91"/>
      <c r="D892" s="91"/>
      <c r="E892" s="91"/>
      <c r="F892" s="91"/>
      <c r="G892" s="91"/>
      <c r="H892" s="91"/>
      <c r="O892" s="31"/>
      <c r="P892" s="31"/>
      <c r="Q892" s="31"/>
    </row>
    <row r="893">
      <c r="A893" s="90"/>
      <c r="B893" s="91"/>
      <c r="C893" s="91"/>
      <c r="D893" s="91"/>
      <c r="E893" s="91"/>
      <c r="F893" s="91"/>
      <c r="G893" s="91"/>
      <c r="H893" s="91"/>
      <c r="O893" s="31"/>
      <c r="P893" s="31"/>
      <c r="Q893" s="31"/>
    </row>
    <row r="894">
      <c r="A894" s="90"/>
      <c r="B894" s="91"/>
      <c r="C894" s="91"/>
      <c r="D894" s="91"/>
      <c r="E894" s="91"/>
      <c r="F894" s="91"/>
      <c r="G894" s="91"/>
      <c r="H894" s="91"/>
      <c r="O894" s="31"/>
      <c r="P894" s="31"/>
      <c r="Q894" s="31"/>
    </row>
    <row r="895">
      <c r="A895" s="90"/>
      <c r="B895" s="91"/>
      <c r="C895" s="91"/>
      <c r="D895" s="91"/>
      <c r="E895" s="91"/>
      <c r="F895" s="91"/>
      <c r="G895" s="91"/>
      <c r="H895" s="91"/>
      <c r="O895" s="31"/>
      <c r="P895" s="31"/>
      <c r="Q895" s="31"/>
    </row>
    <row r="896">
      <c r="A896" s="90"/>
      <c r="B896" s="91"/>
      <c r="C896" s="91"/>
      <c r="D896" s="91"/>
      <c r="E896" s="91"/>
      <c r="F896" s="91"/>
      <c r="G896" s="91"/>
      <c r="H896" s="91"/>
      <c r="O896" s="31"/>
      <c r="P896" s="31"/>
      <c r="Q896" s="31"/>
    </row>
    <row r="897">
      <c r="A897" s="90"/>
      <c r="B897" s="91"/>
      <c r="C897" s="91"/>
      <c r="D897" s="91"/>
      <c r="E897" s="91"/>
      <c r="F897" s="91"/>
      <c r="G897" s="91"/>
      <c r="H897" s="91"/>
      <c r="O897" s="31"/>
      <c r="P897" s="31"/>
      <c r="Q897" s="31"/>
    </row>
    <row r="898">
      <c r="A898" s="90"/>
      <c r="B898" s="91"/>
      <c r="C898" s="91"/>
      <c r="D898" s="91"/>
      <c r="E898" s="91"/>
      <c r="F898" s="91"/>
      <c r="G898" s="91"/>
      <c r="H898" s="91"/>
      <c r="O898" s="31"/>
      <c r="P898" s="31"/>
      <c r="Q898" s="31"/>
    </row>
    <row r="899">
      <c r="A899" s="90"/>
      <c r="B899" s="91"/>
      <c r="C899" s="91"/>
      <c r="D899" s="91"/>
      <c r="E899" s="91"/>
      <c r="F899" s="91"/>
      <c r="G899" s="91"/>
      <c r="H899" s="91"/>
      <c r="O899" s="31"/>
      <c r="P899" s="31"/>
      <c r="Q899" s="31"/>
    </row>
    <row r="900">
      <c r="A900" s="90"/>
      <c r="B900" s="91"/>
      <c r="C900" s="91"/>
      <c r="D900" s="91"/>
      <c r="E900" s="91"/>
      <c r="F900" s="91"/>
      <c r="G900" s="91"/>
      <c r="H900" s="91"/>
      <c r="O900" s="31"/>
      <c r="P900" s="31"/>
      <c r="Q900" s="31"/>
    </row>
    <row r="901">
      <c r="A901" s="90"/>
      <c r="B901" s="91"/>
      <c r="C901" s="91"/>
      <c r="D901" s="91"/>
      <c r="E901" s="91"/>
      <c r="F901" s="91"/>
      <c r="G901" s="91"/>
      <c r="H901" s="91"/>
      <c r="O901" s="31"/>
      <c r="P901" s="31"/>
      <c r="Q901" s="31"/>
    </row>
    <row r="902">
      <c r="A902" s="90"/>
      <c r="B902" s="91"/>
      <c r="C902" s="91"/>
      <c r="D902" s="91"/>
      <c r="E902" s="91"/>
      <c r="F902" s="91"/>
      <c r="G902" s="91"/>
      <c r="H902" s="91"/>
      <c r="O902" s="31"/>
      <c r="P902" s="31"/>
      <c r="Q902" s="31"/>
    </row>
    <row r="903">
      <c r="A903" s="90"/>
      <c r="B903" s="91"/>
      <c r="C903" s="91"/>
      <c r="D903" s="91"/>
      <c r="E903" s="91"/>
      <c r="F903" s="91"/>
      <c r="G903" s="91"/>
      <c r="H903" s="91"/>
      <c r="O903" s="31"/>
      <c r="P903" s="31"/>
      <c r="Q903" s="31"/>
    </row>
    <row r="904">
      <c r="A904" s="90"/>
      <c r="B904" s="91"/>
      <c r="C904" s="91"/>
      <c r="D904" s="91"/>
      <c r="E904" s="91"/>
      <c r="F904" s="91"/>
      <c r="G904" s="91"/>
      <c r="H904" s="91"/>
      <c r="O904" s="31"/>
      <c r="P904" s="31"/>
      <c r="Q904" s="31"/>
    </row>
    <row r="905">
      <c r="A905" s="90"/>
      <c r="B905" s="91"/>
      <c r="C905" s="91"/>
      <c r="D905" s="91"/>
      <c r="E905" s="91"/>
      <c r="F905" s="91"/>
      <c r="G905" s="91"/>
      <c r="H905" s="91"/>
      <c r="O905" s="31"/>
      <c r="P905" s="31"/>
      <c r="Q905" s="31"/>
    </row>
    <row r="906">
      <c r="A906" s="90"/>
      <c r="B906" s="91"/>
      <c r="C906" s="91"/>
      <c r="D906" s="91"/>
      <c r="E906" s="91"/>
      <c r="F906" s="91"/>
      <c r="G906" s="91"/>
      <c r="H906" s="91"/>
      <c r="O906" s="31"/>
      <c r="P906" s="31"/>
      <c r="Q906" s="31"/>
    </row>
    <row r="907">
      <c r="A907" s="90"/>
      <c r="B907" s="91"/>
      <c r="C907" s="91"/>
      <c r="D907" s="91"/>
      <c r="E907" s="91"/>
      <c r="F907" s="91"/>
      <c r="G907" s="91"/>
      <c r="H907" s="91"/>
      <c r="O907" s="31"/>
      <c r="P907" s="31"/>
      <c r="Q907" s="31"/>
    </row>
    <row r="908">
      <c r="A908" s="90"/>
      <c r="B908" s="91"/>
      <c r="C908" s="91"/>
      <c r="D908" s="91"/>
      <c r="E908" s="91"/>
      <c r="F908" s="91"/>
      <c r="G908" s="91"/>
      <c r="H908" s="91"/>
      <c r="O908" s="31"/>
      <c r="P908" s="31"/>
      <c r="Q908" s="31"/>
    </row>
    <row r="909">
      <c r="A909" s="90"/>
      <c r="B909" s="91"/>
      <c r="C909" s="91"/>
      <c r="D909" s="91"/>
      <c r="E909" s="91"/>
      <c r="F909" s="91"/>
      <c r="G909" s="91"/>
      <c r="H909" s="91"/>
      <c r="O909" s="31"/>
      <c r="P909" s="31"/>
      <c r="Q909" s="31"/>
    </row>
    <row r="910">
      <c r="A910" s="90"/>
      <c r="B910" s="91"/>
      <c r="C910" s="91"/>
      <c r="D910" s="91"/>
      <c r="E910" s="91"/>
      <c r="F910" s="91"/>
      <c r="G910" s="91"/>
      <c r="H910" s="91"/>
      <c r="O910" s="31"/>
      <c r="P910" s="31"/>
      <c r="Q910" s="31"/>
    </row>
    <row r="911">
      <c r="A911" s="90"/>
      <c r="B911" s="91"/>
      <c r="C911" s="91"/>
      <c r="D911" s="91"/>
      <c r="E911" s="91"/>
      <c r="F911" s="91"/>
      <c r="G911" s="91"/>
      <c r="H911" s="91"/>
      <c r="O911" s="31"/>
      <c r="P911" s="31"/>
      <c r="Q911" s="31"/>
    </row>
    <row r="912">
      <c r="A912" s="90"/>
      <c r="B912" s="91"/>
      <c r="C912" s="91"/>
      <c r="D912" s="91"/>
      <c r="E912" s="91"/>
      <c r="F912" s="91"/>
      <c r="G912" s="91"/>
      <c r="H912" s="91"/>
      <c r="O912" s="31"/>
      <c r="P912" s="31"/>
      <c r="Q912" s="31"/>
    </row>
    <row r="913">
      <c r="A913" s="90"/>
      <c r="B913" s="91"/>
      <c r="C913" s="91"/>
      <c r="D913" s="91"/>
      <c r="E913" s="91"/>
      <c r="F913" s="91"/>
      <c r="G913" s="91"/>
      <c r="H913" s="91"/>
      <c r="O913" s="31"/>
      <c r="P913" s="31"/>
      <c r="Q913" s="31"/>
    </row>
    <row r="914">
      <c r="A914" s="90"/>
      <c r="B914" s="91"/>
      <c r="C914" s="91"/>
      <c r="D914" s="91"/>
      <c r="E914" s="91"/>
      <c r="F914" s="91"/>
      <c r="G914" s="91"/>
      <c r="H914" s="91"/>
      <c r="O914" s="31"/>
      <c r="P914" s="31"/>
      <c r="Q914" s="31"/>
    </row>
    <row r="915">
      <c r="A915" s="90"/>
      <c r="B915" s="91"/>
      <c r="C915" s="91"/>
      <c r="D915" s="91"/>
      <c r="E915" s="91"/>
      <c r="F915" s="91"/>
      <c r="G915" s="91"/>
      <c r="H915" s="91"/>
      <c r="O915" s="31"/>
      <c r="P915" s="31"/>
      <c r="Q915" s="31"/>
    </row>
    <row r="916">
      <c r="A916" s="90"/>
      <c r="B916" s="91"/>
      <c r="C916" s="91"/>
      <c r="D916" s="91"/>
      <c r="E916" s="91"/>
      <c r="F916" s="91"/>
      <c r="G916" s="91"/>
      <c r="H916" s="91"/>
      <c r="O916" s="31"/>
      <c r="P916" s="31"/>
      <c r="Q916" s="31"/>
    </row>
    <row r="917">
      <c r="A917" s="90"/>
      <c r="B917" s="91"/>
      <c r="C917" s="91"/>
      <c r="D917" s="91"/>
      <c r="E917" s="91"/>
      <c r="F917" s="91"/>
      <c r="G917" s="91"/>
      <c r="H917" s="91"/>
      <c r="O917" s="31"/>
      <c r="P917" s="31"/>
      <c r="Q917" s="31"/>
    </row>
    <row r="918">
      <c r="A918" s="90"/>
      <c r="B918" s="91"/>
      <c r="C918" s="91"/>
      <c r="D918" s="91"/>
      <c r="E918" s="91"/>
      <c r="F918" s="91"/>
      <c r="G918" s="91"/>
      <c r="H918" s="91"/>
      <c r="O918" s="31"/>
      <c r="P918" s="31"/>
      <c r="Q918" s="31"/>
    </row>
    <row r="919">
      <c r="A919" s="90"/>
      <c r="B919" s="91"/>
      <c r="C919" s="91"/>
      <c r="D919" s="91"/>
      <c r="E919" s="91"/>
      <c r="F919" s="91"/>
      <c r="G919" s="91"/>
      <c r="H919" s="91"/>
      <c r="O919" s="31"/>
      <c r="P919" s="31"/>
      <c r="Q919" s="31"/>
    </row>
    <row r="920">
      <c r="A920" s="90"/>
      <c r="B920" s="91"/>
      <c r="C920" s="91"/>
      <c r="D920" s="91"/>
      <c r="E920" s="91"/>
      <c r="F920" s="91"/>
      <c r="G920" s="91"/>
      <c r="H920" s="91"/>
      <c r="O920" s="31"/>
      <c r="P920" s="31"/>
      <c r="Q920" s="31"/>
    </row>
    <row r="921">
      <c r="A921" s="90"/>
      <c r="B921" s="91"/>
      <c r="C921" s="91"/>
      <c r="D921" s="91"/>
      <c r="E921" s="91"/>
      <c r="F921" s="91"/>
      <c r="G921" s="91"/>
      <c r="H921" s="91"/>
      <c r="O921" s="31"/>
      <c r="P921" s="31"/>
      <c r="Q921" s="31"/>
    </row>
    <row r="922">
      <c r="A922" s="90"/>
      <c r="B922" s="91"/>
      <c r="C922" s="91"/>
      <c r="D922" s="91"/>
      <c r="E922" s="91"/>
      <c r="F922" s="91"/>
      <c r="G922" s="91"/>
      <c r="H922" s="91"/>
      <c r="O922" s="31"/>
      <c r="P922" s="31"/>
      <c r="Q922" s="31"/>
    </row>
    <row r="923">
      <c r="A923" s="90"/>
      <c r="B923" s="91"/>
      <c r="C923" s="91"/>
      <c r="D923" s="91"/>
      <c r="E923" s="91"/>
      <c r="F923" s="91"/>
      <c r="G923" s="91"/>
      <c r="H923" s="91"/>
      <c r="O923" s="31"/>
      <c r="P923" s="31"/>
      <c r="Q923" s="31"/>
    </row>
    <row r="924">
      <c r="A924" s="90"/>
      <c r="B924" s="91"/>
      <c r="C924" s="91"/>
      <c r="D924" s="91"/>
      <c r="E924" s="91"/>
      <c r="F924" s="91"/>
      <c r="G924" s="91"/>
      <c r="H924" s="91"/>
      <c r="O924" s="31"/>
      <c r="P924" s="31"/>
      <c r="Q924" s="31"/>
    </row>
    <row r="925">
      <c r="A925" s="90"/>
      <c r="B925" s="91"/>
      <c r="C925" s="91"/>
      <c r="D925" s="91"/>
      <c r="E925" s="91"/>
      <c r="F925" s="91"/>
      <c r="G925" s="91"/>
      <c r="H925" s="91"/>
      <c r="O925" s="31"/>
      <c r="P925" s="31"/>
      <c r="Q925" s="31"/>
    </row>
    <row r="926">
      <c r="A926" s="90"/>
      <c r="B926" s="91"/>
      <c r="C926" s="91"/>
      <c r="D926" s="91"/>
      <c r="E926" s="91"/>
      <c r="F926" s="91"/>
      <c r="G926" s="91"/>
      <c r="H926" s="91"/>
      <c r="O926" s="31"/>
      <c r="P926" s="31"/>
      <c r="Q926" s="31"/>
    </row>
    <row r="927">
      <c r="A927" s="90"/>
      <c r="B927" s="91"/>
      <c r="C927" s="91"/>
      <c r="D927" s="91"/>
      <c r="E927" s="91"/>
      <c r="F927" s="91"/>
      <c r="G927" s="91"/>
      <c r="H927" s="91"/>
      <c r="O927" s="31"/>
      <c r="P927" s="31"/>
      <c r="Q927" s="31"/>
    </row>
    <row r="928">
      <c r="A928" s="90"/>
      <c r="B928" s="91"/>
      <c r="C928" s="91"/>
      <c r="D928" s="91"/>
      <c r="E928" s="91"/>
      <c r="F928" s="91"/>
      <c r="G928" s="91"/>
      <c r="H928" s="91"/>
      <c r="O928" s="31"/>
      <c r="P928" s="31"/>
      <c r="Q928" s="31"/>
    </row>
    <row r="929">
      <c r="A929" s="90"/>
      <c r="B929" s="91"/>
      <c r="C929" s="91"/>
      <c r="D929" s="91"/>
      <c r="E929" s="91"/>
      <c r="F929" s="91"/>
      <c r="G929" s="91"/>
      <c r="H929" s="91"/>
      <c r="O929" s="31"/>
      <c r="P929" s="31"/>
      <c r="Q929" s="31"/>
    </row>
    <row r="930">
      <c r="A930" s="90"/>
      <c r="B930" s="91"/>
      <c r="C930" s="91"/>
      <c r="D930" s="91"/>
      <c r="E930" s="91"/>
      <c r="F930" s="91"/>
      <c r="G930" s="91"/>
      <c r="H930" s="91"/>
      <c r="O930" s="31"/>
      <c r="P930" s="31"/>
      <c r="Q930" s="31"/>
    </row>
    <row r="931">
      <c r="A931" s="90"/>
      <c r="B931" s="91"/>
      <c r="C931" s="91"/>
      <c r="D931" s="91"/>
      <c r="E931" s="91"/>
      <c r="F931" s="91"/>
      <c r="G931" s="91"/>
      <c r="H931" s="91"/>
      <c r="O931" s="31"/>
      <c r="P931" s="31"/>
      <c r="Q931" s="31"/>
    </row>
    <row r="932">
      <c r="A932" s="90"/>
      <c r="B932" s="91"/>
      <c r="C932" s="91"/>
      <c r="D932" s="91"/>
      <c r="E932" s="91"/>
      <c r="F932" s="91"/>
      <c r="G932" s="91"/>
      <c r="H932" s="91"/>
      <c r="O932" s="31"/>
      <c r="P932" s="31"/>
      <c r="Q932" s="31"/>
    </row>
    <row r="933">
      <c r="A933" s="90"/>
      <c r="B933" s="91"/>
      <c r="C933" s="91"/>
      <c r="D933" s="91"/>
      <c r="E933" s="91"/>
      <c r="F933" s="91"/>
      <c r="G933" s="91"/>
      <c r="H933" s="91"/>
      <c r="O933" s="31"/>
      <c r="P933" s="31"/>
      <c r="Q933" s="31"/>
    </row>
    <row r="934">
      <c r="A934" s="90"/>
      <c r="B934" s="91"/>
      <c r="C934" s="91"/>
      <c r="D934" s="91"/>
      <c r="E934" s="91"/>
      <c r="F934" s="91"/>
      <c r="G934" s="91"/>
      <c r="H934" s="91"/>
      <c r="O934" s="31"/>
      <c r="P934" s="31"/>
      <c r="Q934" s="31"/>
    </row>
    <row r="935">
      <c r="A935" s="90"/>
      <c r="B935" s="91"/>
      <c r="C935" s="91"/>
      <c r="D935" s="91"/>
      <c r="E935" s="91"/>
      <c r="F935" s="91"/>
      <c r="G935" s="91"/>
      <c r="H935" s="91"/>
      <c r="O935" s="31"/>
      <c r="P935" s="31"/>
      <c r="Q935" s="31"/>
    </row>
    <row r="936">
      <c r="A936" s="90"/>
      <c r="B936" s="91"/>
      <c r="C936" s="91"/>
      <c r="D936" s="91"/>
      <c r="E936" s="91"/>
      <c r="F936" s="91"/>
      <c r="G936" s="91"/>
      <c r="H936" s="91"/>
      <c r="O936" s="31"/>
      <c r="P936" s="31"/>
      <c r="Q936" s="31"/>
    </row>
    <row r="937">
      <c r="A937" s="90"/>
      <c r="B937" s="91"/>
      <c r="C937" s="91"/>
      <c r="D937" s="91"/>
      <c r="E937" s="91"/>
      <c r="F937" s="91"/>
      <c r="G937" s="91"/>
      <c r="H937" s="91"/>
      <c r="O937" s="31"/>
      <c r="P937" s="31"/>
      <c r="Q937" s="31"/>
    </row>
    <row r="938">
      <c r="A938" s="90"/>
      <c r="B938" s="91"/>
      <c r="C938" s="91"/>
      <c r="D938" s="91"/>
      <c r="E938" s="91"/>
      <c r="F938" s="91"/>
      <c r="G938" s="91"/>
      <c r="H938" s="91"/>
      <c r="O938" s="31"/>
      <c r="P938" s="31"/>
      <c r="Q938" s="31"/>
    </row>
    <row r="939">
      <c r="A939" s="90"/>
      <c r="B939" s="91"/>
      <c r="C939" s="91"/>
      <c r="D939" s="91"/>
      <c r="E939" s="91"/>
      <c r="F939" s="91"/>
      <c r="G939" s="91"/>
      <c r="H939" s="91"/>
      <c r="O939" s="31"/>
      <c r="P939" s="31"/>
      <c r="Q939" s="31"/>
    </row>
    <row r="940">
      <c r="A940" s="90"/>
      <c r="B940" s="91"/>
      <c r="C940" s="91"/>
      <c r="D940" s="91"/>
      <c r="E940" s="91"/>
      <c r="F940" s="91"/>
      <c r="G940" s="91"/>
      <c r="H940" s="91"/>
      <c r="O940" s="31"/>
      <c r="P940" s="31"/>
      <c r="Q940" s="31"/>
    </row>
    <row r="941">
      <c r="A941" s="90"/>
      <c r="B941" s="91"/>
      <c r="C941" s="91"/>
      <c r="D941" s="91"/>
      <c r="E941" s="91"/>
      <c r="F941" s="91"/>
      <c r="G941" s="91"/>
      <c r="H941" s="91"/>
      <c r="O941" s="31"/>
      <c r="P941" s="31"/>
      <c r="Q941" s="31"/>
    </row>
    <row r="942">
      <c r="A942" s="90"/>
      <c r="B942" s="91"/>
      <c r="C942" s="91"/>
      <c r="D942" s="91"/>
      <c r="E942" s="91"/>
      <c r="F942" s="91"/>
      <c r="G942" s="91"/>
      <c r="H942" s="91"/>
      <c r="O942" s="31"/>
      <c r="P942" s="31"/>
      <c r="Q942" s="31"/>
    </row>
    <row r="943">
      <c r="A943" s="90"/>
      <c r="B943" s="91"/>
      <c r="C943" s="91"/>
      <c r="D943" s="91"/>
      <c r="E943" s="91"/>
      <c r="F943" s="91"/>
      <c r="G943" s="91"/>
      <c r="H943" s="91"/>
      <c r="O943" s="31"/>
      <c r="P943" s="31"/>
      <c r="Q943" s="31"/>
    </row>
    <row r="944">
      <c r="A944" s="90"/>
      <c r="B944" s="91"/>
      <c r="C944" s="91"/>
      <c r="D944" s="91"/>
      <c r="E944" s="91"/>
      <c r="F944" s="91"/>
      <c r="G944" s="91"/>
      <c r="H944" s="91"/>
      <c r="O944" s="31"/>
      <c r="P944" s="31"/>
      <c r="Q944" s="31"/>
    </row>
    <row r="945">
      <c r="A945" s="90"/>
      <c r="B945" s="91"/>
      <c r="C945" s="91"/>
      <c r="D945" s="91"/>
      <c r="E945" s="91"/>
      <c r="F945" s="91"/>
      <c r="G945" s="91"/>
      <c r="H945" s="91"/>
      <c r="O945" s="31"/>
      <c r="P945" s="31"/>
      <c r="Q945" s="31"/>
    </row>
    <row r="946">
      <c r="A946" s="90"/>
      <c r="B946" s="91"/>
      <c r="C946" s="91"/>
      <c r="D946" s="91"/>
      <c r="E946" s="91"/>
      <c r="F946" s="91"/>
      <c r="G946" s="91"/>
      <c r="H946" s="91"/>
      <c r="O946" s="31"/>
      <c r="P946" s="31"/>
      <c r="Q946" s="31"/>
    </row>
    <row r="947">
      <c r="A947" s="90"/>
      <c r="B947" s="91"/>
      <c r="C947" s="91"/>
      <c r="D947" s="91"/>
      <c r="E947" s="91"/>
      <c r="F947" s="91"/>
      <c r="G947" s="91"/>
      <c r="H947" s="91"/>
      <c r="O947" s="31"/>
      <c r="P947" s="31"/>
      <c r="Q947" s="31"/>
    </row>
    <row r="948">
      <c r="A948" s="90"/>
      <c r="B948" s="91"/>
      <c r="C948" s="91"/>
      <c r="D948" s="91"/>
      <c r="E948" s="91"/>
      <c r="F948" s="91"/>
      <c r="G948" s="91"/>
      <c r="H948" s="91"/>
      <c r="O948" s="31"/>
      <c r="P948" s="31"/>
      <c r="Q948" s="31"/>
    </row>
    <row r="949">
      <c r="A949" s="90"/>
      <c r="B949" s="91"/>
      <c r="C949" s="91"/>
      <c r="D949" s="91"/>
      <c r="E949" s="91"/>
      <c r="F949" s="91"/>
      <c r="G949" s="91"/>
      <c r="H949" s="91"/>
      <c r="O949" s="31"/>
      <c r="P949" s="31"/>
      <c r="Q949" s="31"/>
    </row>
    <row r="950">
      <c r="A950" s="90"/>
      <c r="B950" s="91"/>
      <c r="C950" s="91"/>
      <c r="D950" s="91"/>
      <c r="E950" s="91"/>
      <c r="F950" s="91"/>
      <c r="G950" s="91"/>
      <c r="H950" s="91"/>
      <c r="O950" s="31"/>
      <c r="P950" s="31"/>
      <c r="Q950" s="31"/>
    </row>
    <row r="951">
      <c r="A951" s="90"/>
      <c r="B951" s="91"/>
      <c r="C951" s="91"/>
      <c r="D951" s="91"/>
      <c r="E951" s="91"/>
      <c r="F951" s="91"/>
      <c r="G951" s="91"/>
      <c r="H951" s="91"/>
      <c r="O951" s="31"/>
      <c r="P951" s="31"/>
      <c r="Q951" s="31"/>
    </row>
    <row r="952">
      <c r="A952" s="90"/>
      <c r="B952" s="91"/>
      <c r="C952" s="91"/>
      <c r="D952" s="91"/>
      <c r="E952" s="91"/>
      <c r="F952" s="91"/>
      <c r="G952" s="91"/>
      <c r="H952" s="91"/>
      <c r="O952" s="31"/>
      <c r="P952" s="31"/>
      <c r="Q952" s="31"/>
    </row>
    <row r="953">
      <c r="A953" s="90"/>
      <c r="B953" s="91"/>
      <c r="C953" s="91"/>
      <c r="D953" s="91"/>
      <c r="E953" s="91"/>
      <c r="F953" s="91"/>
      <c r="G953" s="91"/>
      <c r="H953" s="91"/>
      <c r="O953" s="31"/>
      <c r="P953" s="31"/>
      <c r="Q953" s="31"/>
    </row>
    <row r="954">
      <c r="A954" s="90"/>
      <c r="B954" s="91"/>
      <c r="C954" s="91"/>
      <c r="D954" s="91"/>
      <c r="E954" s="91"/>
      <c r="F954" s="91"/>
      <c r="G954" s="91"/>
      <c r="H954" s="91"/>
      <c r="O954" s="31"/>
      <c r="P954" s="31"/>
      <c r="Q954" s="31"/>
    </row>
    <row r="955">
      <c r="A955" s="90"/>
      <c r="B955" s="91"/>
      <c r="C955" s="91"/>
      <c r="D955" s="91"/>
      <c r="E955" s="91"/>
      <c r="F955" s="91"/>
      <c r="G955" s="91"/>
      <c r="H955" s="91"/>
      <c r="O955" s="31"/>
      <c r="P955" s="31"/>
      <c r="Q955" s="31"/>
    </row>
    <row r="956">
      <c r="A956" s="90"/>
      <c r="B956" s="91"/>
      <c r="C956" s="91"/>
      <c r="D956" s="91"/>
      <c r="E956" s="91"/>
      <c r="F956" s="91"/>
      <c r="G956" s="91"/>
      <c r="H956" s="91"/>
      <c r="O956" s="31"/>
      <c r="P956" s="31"/>
      <c r="Q956" s="31"/>
    </row>
    <row r="957">
      <c r="A957" s="90"/>
      <c r="B957" s="91"/>
      <c r="C957" s="91"/>
      <c r="D957" s="91"/>
      <c r="E957" s="91"/>
      <c r="F957" s="91"/>
      <c r="G957" s="91"/>
      <c r="H957" s="91"/>
      <c r="O957" s="31"/>
      <c r="P957" s="31"/>
      <c r="Q957" s="31"/>
    </row>
    <row r="958">
      <c r="A958" s="90"/>
      <c r="B958" s="91"/>
      <c r="C958" s="91"/>
      <c r="D958" s="91"/>
      <c r="E958" s="91"/>
      <c r="F958" s="91"/>
      <c r="G958" s="91"/>
      <c r="H958" s="91"/>
      <c r="O958" s="31"/>
      <c r="P958" s="31"/>
      <c r="Q958" s="31"/>
    </row>
    <row r="959">
      <c r="A959" s="90"/>
      <c r="B959" s="91"/>
      <c r="C959" s="91"/>
      <c r="D959" s="91"/>
      <c r="E959" s="91"/>
      <c r="F959" s="91"/>
      <c r="G959" s="91"/>
      <c r="H959" s="91"/>
      <c r="O959" s="31"/>
      <c r="P959" s="31"/>
      <c r="Q959" s="31"/>
    </row>
    <row r="960">
      <c r="A960" s="90"/>
      <c r="B960" s="91"/>
      <c r="C960" s="91"/>
      <c r="D960" s="91"/>
      <c r="E960" s="91"/>
      <c r="F960" s="91"/>
      <c r="G960" s="91"/>
      <c r="H960" s="91"/>
      <c r="O960" s="31"/>
      <c r="P960" s="31"/>
      <c r="Q960" s="31"/>
    </row>
    <row r="961">
      <c r="A961" s="90"/>
      <c r="B961" s="91"/>
      <c r="C961" s="91"/>
      <c r="D961" s="91"/>
      <c r="E961" s="91"/>
      <c r="F961" s="91"/>
      <c r="G961" s="91"/>
      <c r="H961" s="91"/>
      <c r="O961" s="31"/>
      <c r="P961" s="31"/>
      <c r="Q961" s="31"/>
    </row>
    <row r="962">
      <c r="A962" s="90"/>
      <c r="B962" s="91"/>
      <c r="C962" s="91"/>
      <c r="D962" s="91"/>
      <c r="E962" s="91"/>
      <c r="F962" s="91"/>
      <c r="G962" s="91"/>
      <c r="H962" s="91"/>
      <c r="O962" s="31"/>
      <c r="P962" s="31"/>
      <c r="Q962" s="31"/>
    </row>
    <row r="963">
      <c r="A963" s="90"/>
      <c r="B963" s="91"/>
      <c r="C963" s="91"/>
      <c r="D963" s="91"/>
      <c r="E963" s="91"/>
      <c r="F963" s="91"/>
      <c r="G963" s="91"/>
      <c r="H963" s="91"/>
      <c r="O963" s="31"/>
      <c r="P963" s="31"/>
      <c r="Q963" s="31"/>
    </row>
    <row r="964">
      <c r="A964" s="90"/>
      <c r="B964" s="91"/>
      <c r="C964" s="91"/>
      <c r="D964" s="91"/>
      <c r="E964" s="91"/>
      <c r="F964" s="91"/>
      <c r="G964" s="91"/>
      <c r="H964" s="91"/>
      <c r="O964" s="31"/>
      <c r="P964" s="31"/>
      <c r="Q964" s="31"/>
    </row>
    <row r="965">
      <c r="A965" s="90"/>
      <c r="B965" s="91"/>
      <c r="C965" s="91"/>
      <c r="D965" s="91"/>
      <c r="E965" s="91"/>
      <c r="F965" s="91"/>
      <c r="G965" s="91"/>
      <c r="H965" s="91"/>
      <c r="O965" s="31"/>
      <c r="P965" s="31"/>
      <c r="Q965" s="31"/>
    </row>
    <row r="966">
      <c r="A966" s="90"/>
      <c r="B966" s="91"/>
      <c r="C966" s="91"/>
      <c r="D966" s="91"/>
      <c r="E966" s="91"/>
      <c r="F966" s="91"/>
      <c r="G966" s="91"/>
      <c r="H966" s="91"/>
      <c r="O966" s="31"/>
      <c r="P966" s="31"/>
      <c r="Q966" s="31"/>
    </row>
    <row r="967">
      <c r="A967" s="90"/>
      <c r="B967" s="91"/>
      <c r="C967" s="91"/>
      <c r="D967" s="91"/>
      <c r="E967" s="91"/>
      <c r="F967" s="91"/>
      <c r="G967" s="91"/>
      <c r="H967" s="91"/>
      <c r="O967" s="31"/>
      <c r="P967" s="31"/>
      <c r="Q967" s="31"/>
    </row>
    <row r="968">
      <c r="A968" s="90"/>
      <c r="B968" s="91"/>
      <c r="C968" s="91"/>
      <c r="D968" s="91"/>
      <c r="E968" s="91"/>
      <c r="F968" s="91"/>
      <c r="G968" s="91"/>
      <c r="H968" s="91"/>
      <c r="O968" s="31"/>
      <c r="P968" s="31"/>
      <c r="Q968" s="31"/>
    </row>
    <row r="969">
      <c r="A969" s="90"/>
      <c r="B969" s="91"/>
      <c r="C969" s="91"/>
      <c r="D969" s="91"/>
      <c r="E969" s="91"/>
      <c r="F969" s="91"/>
      <c r="G969" s="91"/>
      <c r="H969" s="91"/>
      <c r="O969" s="31"/>
      <c r="P969" s="31"/>
      <c r="Q969" s="31"/>
    </row>
    <row r="970">
      <c r="A970" s="90"/>
      <c r="B970" s="91"/>
      <c r="C970" s="91"/>
      <c r="D970" s="91"/>
      <c r="E970" s="91"/>
      <c r="F970" s="91"/>
      <c r="G970" s="91"/>
      <c r="H970" s="91"/>
      <c r="O970" s="31"/>
      <c r="P970" s="31"/>
      <c r="Q970" s="31"/>
    </row>
    <row r="971">
      <c r="A971" s="90"/>
      <c r="B971" s="91"/>
      <c r="C971" s="91"/>
      <c r="D971" s="91"/>
      <c r="E971" s="91"/>
      <c r="F971" s="91"/>
      <c r="G971" s="91"/>
      <c r="H971" s="91"/>
      <c r="O971" s="31"/>
      <c r="P971" s="31"/>
      <c r="Q971" s="31"/>
    </row>
    <row r="972">
      <c r="A972" s="90"/>
      <c r="B972" s="91"/>
      <c r="C972" s="91"/>
      <c r="D972" s="91"/>
      <c r="E972" s="91"/>
      <c r="F972" s="91"/>
      <c r="G972" s="91"/>
      <c r="H972" s="91"/>
      <c r="O972" s="31"/>
      <c r="P972" s="31"/>
      <c r="Q972" s="31"/>
    </row>
    <row r="973">
      <c r="A973" s="90"/>
      <c r="B973" s="91"/>
      <c r="C973" s="91"/>
      <c r="D973" s="91"/>
      <c r="E973" s="91"/>
      <c r="F973" s="91"/>
      <c r="G973" s="91"/>
      <c r="H973" s="91"/>
      <c r="O973" s="31"/>
      <c r="P973" s="31"/>
      <c r="Q973" s="31"/>
    </row>
    <row r="974">
      <c r="A974" s="90"/>
      <c r="B974" s="91"/>
      <c r="C974" s="91"/>
      <c r="D974" s="91"/>
      <c r="E974" s="91"/>
      <c r="F974" s="91"/>
      <c r="G974" s="91"/>
      <c r="H974" s="91"/>
      <c r="O974" s="31"/>
      <c r="P974" s="31"/>
      <c r="Q974" s="31"/>
    </row>
    <row r="975">
      <c r="A975" s="90"/>
      <c r="B975" s="91"/>
      <c r="C975" s="91"/>
      <c r="D975" s="91"/>
      <c r="E975" s="91"/>
      <c r="F975" s="91"/>
      <c r="G975" s="91"/>
      <c r="H975" s="91"/>
      <c r="O975" s="31"/>
      <c r="P975" s="31"/>
      <c r="Q975" s="31"/>
    </row>
    <row r="976">
      <c r="A976" s="90"/>
      <c r="B976" s="91"/>
      <c r="C976" s="91"/>
      <c r="D976" s="91"/>
      <c r="E976" s="91"/>
      <c r="F976" s="91"/>
      <c r="G976" s="91"/>
      <c r="H976" s="91"/>
      <c r="O976" s="31"/>
      <c r="P976" s="31"/>
      <c r="Q976" s="31"/>
    </row>
    <row r="977">
      <c r="A977" s="90"/>
      <c r="B977" s="91"/>
      <c r="C977" s="91"/>
      <c r="D977" s="91"/>
      <c r="E977" s="91"/>
      <c r="F977" s="91"/>
      <c r="G977" s="91"/>
      <c r="H977" s="91"/>
      <c r="O977" s="31"/>
      <c r="P977" s="31"/>
      <c r="Q977" s="31"/>
    </row>
    <row r="978">
      <c r="A978" s="90"/>
      <c r="B978" s="91"/>
      <c r="C978" s="91"/>
      <c r="D978" s="91"/>
      <c r="E978" s="91"/>
      <c r="F978" s="91"/>
      <c r="G978" s="91"/>
      <c r="H978" s="91"/>
      <c r="O978" s="31"/>
      <c r="P978" s="31"/>
      <c r="Q978" s="31"/>
    </row>
    <row r="979">
      <c r="A979" s="90"/>
      <c r="B979" s="91"/>
      <c r="C979" s="91"/>
      <c r="D979" s="91"/>
      <c r="E979" s="91"/>
      <c r="F979" s="91"/>
      <c r="G979" s="91"/>
      <c r="H979" s="91"/>
      <c r="O979" s="31"/>
      <c r="P979" s="31"/>
      <c r="Q979" s="31"/>
    </row>
    <row r="980">
      <c r="A980" s="90"/>
      <c r="B980" s="91"/>
      <c r="C980" s="91"/>
      <c r="D980" s="91"/>
      <c r="E980" s="91"/>
      <c r="F980" s="91"/>
      <c r="G980" s="91"/>
      <c r="H980" s="91"/>
      <c r="O980" s="31"/>
      <c r="P980" s="31"/>
      <c r="Q980" s="31"/>
    </row>
    <row r="981">
      <c r="A981" s="90"/>
      <c r="B981" s="91"/>
      <c r="C981" s="91"/>
      <c r="D981" s="91"/>
      <c r="E981" s="91"/>
      <c r="F981" s="91"/>
      <c r="G981" s="91"/>
      <c r="H981" s="91"/>
      <c r="O981" s="31"/>
      <c r="P981" s="31"/>
      <c r="Q981" s="31"/>
    </row>
    <row r="982">
      <c r="A982" s="90"/>
      <c r="B982" s="91"/>
      <c r="C982" s="91"/>
      <c r="D982" s="91"/>
      <c r="E982" s="91"/>
      <c r="F982" s="91"/>
      <c r="G982" s="91"/>
      <c r="H982" s="91"/>
      <c r="O982" s="31"/>
      <c r="P982" s="31"/>
      <c r="Q982" s="31"/>
    </row>
    <row r="983">
      <c r="A983" s="90"/>
      <c r="B983" s="91"/>
      <c r="C983" s="91"/>
      <c r="D983" s="91"/>
      <c r="E983" s="91"/>
      <c r="F983" s="91"/>
      <c r="G983" s="91"/>
      <c r="H983" s="91"/>
      <c r="O983" s="31"/>
      <c r="P983" s="31"/>
      <c r="Q983" s="31"/>
    </row>
    <row r="984">
      <c r="A984" s="90"/>
      <c r="B984" s="91"/>
      <c r="C984" s="91"/>
      <c r="D984" s="91"/>
      <c r="E984" s="91"/>
      <c r="F984" s="91"/>
      <c r="G984" s="91"/>
      <c r="H984" s="91"/>
      <c r="O984" s="31"/>
      <c r="P984" s="31"/>
      <c r="Q984" s="31"/>
    </row>
  </sheetData>
  <mergeCells count="1">
    <mergeCell ref="A1:H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2</v>
      </c>
      <c r="B1" s="27" t="s">
        <v>1249</v>
      </c>
    </row>
    <row r="2">
      <c r="A2" s="92" t="s">
        <v>45</v>
      </c>
      <c r="B2" s="92">
        <v>13.0</v>
      </c>
    </row>
    <row r="3">
      <c r="A3" s="92" t="s">
        <v>89</v>
      </c>
      <c r="B3" s="92">
        <v>14.0</v>
      </c>
    </row>
    <row r="4">
      <c r="A4" s="92" t="s">
        <v>58</v>
      </c>
      <c r="B4" s="92">
        <v>10.0</v>
      </c>
    </row>
    <row r="5">
      <c r="A5" s="92" t="s">
        <v>30</v>
      </c>
      <c r="B5" s="92">
        <v>7.0</v>
      </c>
    </row>
    <row r="6">
      <c r="A6" s="92" t="s">
        <v>10</v>
      </c>
      <c r="B6" s="92">
        <v>13.0</v>
      </c>
    </row>
    <row r="7">
      <c r="A7" s="92" t="s">
        <v>55</v>
      </c>
      <c r="B7" s="92">
        <v>14.0</v>
      </c>
    </row>
    <row r="8">
      <c r="A8" s="92" t="s">
        <v>19</v>
      </c>
      <c r="B8" s="92">
        <v>10.0</v>
      </c>
    </row>
    <row r="9">
      <c r="A9" s="92" t="s">
        <v>66</v>
      </c>
      <c r="B9" s="92">
        <v>9.0</v>
      </c>
    </row>
    <row r="10">
      <c r="A10" s="92" t="s">
        <v>32</v>
      </c>
      <c r="B10" s="92">
        <v>9.0</v>
      </c>
    </row>
    <row r="11">
      <c r="A11" s="92" t="s">
        <v>43</v>
      </c>
      <c r="B11" s="92">
        <v>9.0</v>
      </c>
    </row>
    <row r="12">
      <c r="A12" s="92" t="s">
        <v>35</v>
      </c>
      <c r="B12" s="92">
        <v>6.0</v>
      </c>
    </row>
    <row r="13">
      <c r="A13" s="92" t="s">
        <v>47</v>
      </c>
      <c r="B13" s="92">
        <v>14.0</v>
      </c>
    </row>
    <row r="14">
      <c r="A14" s="92" t="s">
        <v>81</v>
      </c>
      <c r="B14" s="92">
        <v>6.0</v>
      </c>
    </row>
    <row r="15">
      <c r="A15" s="92" t="s">
        <v>7</v>
      </c>
      <c r="B15" s="92">
        <v>14.0</v>
      </c>
    </row>
    <row r="16">
      <c r="A16" s="92" t="s">
        <v>99</v>
      </c>
      <c r="B16" s="92">
        <v>11.0</v>
      </c>
    </row>
    <row r="17">
      <c r="A17" s="92" t="s">
        <v>62</v>
      </c>
      <c r="B17" s="92">
        <v>8.0</v>
      </c>
    </row>
    <row r="18">
      <c r="A18" s="92" t="s">
        <v>15</v>
      </c>
      <c r="B18" s="92">
        <v>6.0</v>
      </c>
    </row>
    <row r="19">
      <c r="A19" s="92" t="s">
        <v>12</v>
      </c>
      <c r="B19" s="92">
        <v>8.0</v>
      </c>
    </row>
    <row r="20">
      <c r="A20" s="92" t="s">
        <v>25</v>
      </c>
      <c r="B20" s="92">
        <v>7.0</v>
      </c>
    </row>
    <row r="21">
      <c r="A21" s="92" t="s">
        <v>39</v>
      </c>
      <c r="B21" s="92">
        <v>11.0</v>
      </c>
    </row>
    <row r="22">
      <c r="A22" s="92" t="s">
        <v>17</v>
      </c>
      <c r="B22" s="92">
        <v>7.0</v>
      </c>
    </row>
    <row r="23">
      <c r="A23" s="92" t="s">
        <v>119</v>
      </c>
      <c r="B23" s="92">
        <v>10.0</v>
      </c>
    </row>
    <row r="24">
      <c r="A24" s="92" t="s">
        <v>41</v>
      </c>
      <c r="B24" s="92">
        <v>14.0</v>
      </c>
    </row>
    <row r="25">
      <c r="A25" s="92" t="s">
        <v>53</v>
      </c>
      <c r="B25" s="92">
        <v>9.0</v>
      </c>
    </row>
    <row r="26">
      <c r="A26" s="92" t="s">
        <v>69</v>
      </c>
      <c r="B26" s="92">
        <v>10.0</v>
      </c>
    </row>
    <row r="27">
      <c r="A27" s="92" t="s">
        <v>64</v>
      </c>
      <c r="B27" s="92">
        <v>7.0</v>
      </c>
    </row>
    <row r="28">
      <c r="A28" s="92" t="s">
        <v>23</v>
      </c>
      <c r="B28" s="92">
        <v>9.0</v>
      </c>
    </row>
    <row r="29">
      <c r="A29" s="92" t="s">
        <v>85</v>
      </c>
      <c r="B29" s="92">
        <v>9.0</v>
      </c>
    </row>
    <row r="30">
      <c r="A30" s="92" t="s">
        <v>28</v>
      </c>
      <c r="B30" s="92">
        <v>11.0</v>
      </c>
    </row>
    <row r="31">
      <c r="A31" s="92" t="s">
        <v>37</v>
      </c>
      <c r="B31" s="92">
        <v>11.0</v>
      </c>
    </row>
    <row r="32">
      <c r="A32" s="92" t="s">
        <v>21</v>
      </c>
      <c r="B32" s="92">
        <v>6.0</v>
      </c>
    </row>
    <row r="33">
      <c r="A33" s="92" t="s">
        <v>73</v>
      </c>
      <c r="B33" s="92">
        <v>14.0</v>
      </c>
    </row>
  </sheetData>
  <autoFilter ref="$A$1:$B$3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93" t="s">
        <v>1</v>
      </c>
      <c r="B1" s="93" t="s">
        <v>1248</v>
      </c>
      <c r="C1" s="94" t="s">
        <v>4</v>
      </c>
    </row>
    <row r="2">
      <c r="A2" s="95" t="s">
        <v>76</v>
      </c>
      <c r="B2" s="96" t="str">
        <f>VLOOKUP(A2, Rotowire!$B$1:$E$545, 3, FALSE)</f>
        <v>QB</v>
      </c>
      <c r="C2" s="97">
        <v>25.0</v>
      </c>
    </row>
    <row r="3">
      <c r="A3" s="95" t="s">
        <v>60</v>
      </c>
      <c r="B3" s="96" t="s">
        <v>13</v>
      </c>
      <c r="C3" s="97">
        <v>14.0</v>
      </c>
    </row>
    <row r="4">
      <c r="A4" s="95" t="s">
        <v>57</v>
      </c>
      <c r="B4" s="98" t="str">
        <f>VLOOKUP(A4, Rotowire!$B$1:$E$545, 3, FALSE)</f>
        <v>TE</v>
      </c>
      <c r="C4" s="97">
        <v>30.0</v>
      </c>
    </row>
    <row r="5">
      <c r="A5" s="95" t="s">
        <v>14</v>
      </c>
      <c r="B5" s="98" t="str">
        <f>VLOOKUP(A5, Rotowire!$B$1:$E$545, 3, FALSE)</f>
        <v>RB</v>
      </c>
      <c r="C5" s="97">
        <v>50.0</v>
      </c>
    </row>
    <row r="6">
      <c r="A6" s="95" t="s">
        <v>31</v>
      </c>
      <c r="B6" s="98" t="str">
        <f>VLOOKUP(A6, Rotowire!$B$1:$E$545, 3, FALSE)</f>
        <v>WR</v>
      </c>
      <c r="C6" s="97">
        <v>23.0</v>
      </c>
    </row>
    <row r="7">
      <c r="A7" s="95" t="s">
        <v>88</v>
      </c>
      <c r="B7" s="98" t="str">
        <f>VLOOKUP(A7, Rotowire!$B$1:$E$545, 3, FALSE)</f>
        <v>TE</v>
      </c>
      <c r="C7" s="97">
        <v>33.0</v>
      </c>
    </row>
    <row r="8">
      <c r="A8" s="95" t="s">
        <v>36</v>
      </c>
      <c r="B8" s="98" t="str">
        <f>VLOOKUP(A8, Rotowire!$B$1:$E$545, 3, FALSE)</f>
        <v>RB</v>
      </c>
      <c r="C8" s="97">
        <v>23.0</v>
      </c>
    </row>
    <row r="9">
      <c r="A9" s="95" t="s">
        <v>79</v>
      </c>
      <c r="B9" s="98" t="str">
        <f>VLOOKUP(A9, Rotowire!$B$1:$E$545, 3, FALSE)</f>
        <v>WR</v>
      </c>
      <c r="C9" s="97">
        <v>20.0</v>
      </c>
    </row>
    <row r="10">
      <c r="A10" s="99" t="s">
        <v>96</v>
      </c>
      <c r="B10" s="96" t="str">
        <f>VLOOKUP(A10, Rotowire!$B$1:$E$545, 3, FALSE)</f>
        <v>QB</v>
      </c>
      <c r="C10" s="97">
        <v>22.0</v>
      </c>
    </row>
    <row r="11">
      <c r="A11" s="99" t="s">
        <v>18</v>
      </c>
      <c r="B11" s="96" t="str">
        <f>VLOOKUP(A11, Rotowire!$B$1:$E$545, 3, FALSE)</f>
        <v>WR</v>
      </c>
      <c r="C11" s="97">
        <v>17.0</v>
      </c>
    </row>
    <row r="12">
      <c r="A12" s="99" t="s">
        <v>125</v>
      </c>
      <c r="B12" s="96" t="str">
        <f>VLOOKUP(A12, Rotowire!$B$1:$E$545, 3, FALSE)</f>
        <v>QB</v>
      </c>
      <c r="C12" s="97">
        <v>13.0</v>
      </c>
    </row>
    <row r="13">
      <c r="A13" s="99" t="s">
        <v>20</v>
      </c>
      <c r="B13" s="96" t="str">
        <f>VLOOKUP(A13, Rotowire!$B$1:$E$545, 3, FALSE)</f>
        <v>RB</v>
      </c>
      <c r="C13" s="97">
        <v>50.0</v>
      </c>
    </row>
    <row r="14">
      <c r="A14" s="99" t="s">
        <v>50</v>
      </c>
      <c r="B14" s="96" t="str">
        <f>VLOOKUP(A14, Rotowire!$B$1:$E$545, 3, FALSE)</f>
        <v>WR</v>
      </c>
      <c r="C14" s="97">
        <v>28.0</v>
      </c>
    </row>
    <row r="15">
      <c r="A15" s="99" t="s">
        <v>11</v>
      </c>
      <c r="B15" s="96" t="str">
        <f>VLOOKUP(A15, Rotowire!$B$1:$E$545, 3, FALSE)</f>
        <v>WR</v>
      </c>
      <c r="C15" s="97">
        <v>33.0</v>
      </c>
    </row>
    <row r="16">
      <c r="A16" s="99" t="s">
        <v>155</v>
      </c>
      <c r="B16" s="96" t="str">
        <f>VLOOKUP(A16, Rotowire!$B$1:$E$545, 3, FALSE)</f>
        <v>QB</v>
      </c>
      <c r="C16" s="97">
        <v>14.0</v>
      </c>
    </row>
    <row r="17">
      <c r="A17" s="99" t="s">
        <v>27</v>
      </c>
      <c r="B17" s="96" t="str">
        <f>VLOOKUP(A17, Rotowire!$B$1:$E$545, 3, FALSE)</f>
        <v>WR</v>
      </c>
      <c r="C17" s="97">
        <v>19.0</v>
      </c>
    </row>
    <row r="18">
      <c r="A18" s="99" t="s">
        <v>44</v>
      </c>
      <c r="B18" s="96" t="str">
        <f>VLOOKUP(A18, Rotowire!$B$1:$E$545, 3, FALSE)</f>
        <v>RB</v>
      </c>
      <c r="C18" s="97">
        <v>18.0</v>
      </c>
    </row>
    <row r="19">
      <c r="A19" s="99" t="s">
        <v>74</v>
      </c>
      <c r="B19" s="96" t="str">
        <f>VLOOKUP(A19, Rotowire!$B$1:$E$545, 3, FALSE)</f>
        <v>WR</v>
      </c>
      <c r="C19" s="97">
        <v>23.0</v>
      </c>
    </row>
    <row r="20">
      <c r="A20" s="99" t="s">
        <v>122</v>
      </c>
      <c r="B20" s="96" t="str">
        <f>VLOOKUP(A20, Rotowire!$B$1:$E$545, 3, FALSE)</f>
        <v>QB</v>
      </c>
      <c r="C20" s="97">
        <v>16.0</v>
      </c>
    </row>
    <row r="21">
      <c r="A21" s="99" t="s">
        <v>42</v>
      </c>
      <c r="B21" s="96" t="str">
        <f>VLOOKUP(A21, Rotowire!$B$1:$E$545, 3, FALSE)</f>
        <v>RB</v>
      </c>
      <c r="C21" s="97">
        <v>30.0</v>
      </c>
    </row>
    <row r="22">
      <c r="A22" s="99" t="s">
        <v>29</v>
      </c>
      <c r="B22" s="96" t="str">
        <f>VLOOKUP(A22, Rotowire!$B$1:$E$545, 3, FALSE)</f>
        <v>WR</v>
      </c>
      <c r="C22" s="97">
        <v>34.0</v>
      </c>
    </row>
    <row r="23">
      <c r="A23" s="99"/>
      <c r="B23" s="96"/>
      <c r="C23" s="97"/>
    </row>
    <row r="24">
      <c r="A24" s="99"/>
      <c r="B24" s="96"/>
      <c r="C24" s="9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8.63"/>
    <col customWidth="1" min="3" max="3" width="8.38"/>
  </cols>
  <sheetData>
    <row r="1">
      <c r="A1" s="100" t="s">
        <v>1</v>
      </c>
      <c r="B1" s="101" t="s">
        <v>2</v>
      </c>
      <c r="C1" s="101" t="s">
        <v>1248</v>
      </c>
    </row>
    <row r="2">
      <c r="A2" s="17" t="s">
        <v>63</v>
      </c>
      <c r="B2" s="18" t="s">
        <v>13</v>
      </c>
      <c r="C2" s="18" t="s">
        <v>64</v>
      </c>
    </row>
    <row r="3">
      <c r="A3" s="17" t="s">
        <v>268</v>
      </c>
      <c r="B3" s="18" t="s">
        <v>13</v>
      </c>
      <c r="C3" s="9" t="s">
        <v>1285</v>
      </c>
    </row>
    <row r="4">
      <c r="A4" s="17" t="s">
        <v>1098</v>
      </c>
      <c r="B4" s="18" t="s">
        <v>13</v>
      </c>
      <c r="C4" s="18" t="s">
        <v>85</v>
      </c>
    </row>
    <row r="5">
      <c r="A5" s="17" t="s">
        <v>46</v>
      </c>
      <c r="B5" s="18" t="s">
        <v>8</v>
      </c>
      <c r="C5" s="9" t="s">
        <v>47</v>
      </c>
    </row>
    <row r="6">
      <c r="A6" s="17" t="s">
        <v>124</v>
      </c>
      <c r="B6" s="18" t="s">
        <v>77</v>
      </c>
      <c r="C6" s="18" t="s">
        <v>47</v>
      </c>
    </row>
    <row r="7">
      <c r="A7" s="17" t="s">
        <v>1047</v>
      </c>
      <c r="B7" s="18" t="s">
        <v>13</v>
      </c>
      <c r="C7" s="9" t="s">
        <v>262</v>
      </c>
    </row>
    <row r="8">
      <c r="A8" s="17" t="s">
        <v>441</v>
      </c>
      <c r="B8" s="18" t="s">
        <v>8</v>
      </c>
      <c r="C8" s="18" t="s">
        <v>41</v>
      </c>
    </row>
    <row r="9">
      <c r="A9" s="17" t="s">
        <v>850</v>
      </c>
      <c r="B9" s="18" t="s">
        <v>59</v>
      </c>
      <c r="C9" s="18" t="s">
        <v>39</v>
      </c>
    </row>
    <row r="10">
      <c r="A10" s="17" t="s">
        <v>108</v>
      </c>
      <c r="B10" s="18" t="s">
        <v>13</v>
      </c>
      <c r="C10" s="9" t="s">
        <v>17</v>
      </c>
    </row>
    <row r="11">
      <c r="A11" s="17" t="s">
        <v>307</v>
      </c>
      <c r="B11" s="18" t="s">
        <v>59</v>
      </c>
      <c r="C11" s="18" t="s">
        <v>41</v>
      </c>
    </row>
    <row r="12">
      <c r="A12" s="17" t="s">
        <v>1201</v>
      </c>
      <c r="B12" s="18" t="s">
        <v>8</v>
      </c>
      <c r="C12" s="9" t="s">
        <v>262</v>
      </c>
    </row>
    <row r="13">
      <c r="A13" s="17" t="s">
        <v>1174</v>
      </c>
      <c r="B13" s="18" t="s">
        <v>8</v>
      </c>
      <c r="C13" s="18" t="s">
        <v>262</v>
      </c>
    </row>
    <row r="14">
      <c r="A14" s="17" t="s">
        <v>137</v>
      </c>
      <c r="B14" s="18" t="s">
        <v>8</v>
      </c>
      <c r="C14" s="18" t="s">
        <v>47</v>
      </c>
    </row>
    <row r="15">
      <c r="A15" s="17" t="s">
        <v>1217</v>
      </c>
      <c r="B15" s="18" t="s">
        <v>77</v>
      </c>
      <c r="C15" s="18" t="s">
        <v>262</v>
      </c>
    </row>
    <row r="16">
      <c r="A16" s="17" t="s">
        <v>301</v>
      </c>
      <c r="B16" s="18" t="s">
        <v>59</v>
      </c>
      <c r="C16" s="18" t="s">
        <v>43</v>
      </c>
    </row>
    <row r="17">
      <c r="A17" s="17" t="s">
        <v>610</v>
      </c>
      <c r="B17" s="18" t="s">
        <v>13</v>
      </c>
      <c r="C17" s="18" t="s">
        <v>17</v>
      </c>
    </row>
    <row r="18">
      <c r="A18" s="17" t="s">
        <v>896</v>
      </c>
      <c r="B18" s="18" t="s">
        <v>183</v>
      </c>
      <c r="C18" s="18" t="s">
        <v>262</v>
      </c>
    </row>
    <row r="19">
      <c r="A19" s="17" t="s">
        <v>400</v>
      </c>
      <c r="B19" s="18" t="s">
        <v>8</v>
      </c>
      <c r="C19" s="9" t="s">
        <v>39</v>
      </c>
    </row>
    <row r="20">
      <c r="A20" s="17" t="s">
        <v>254</v>
      </c>
      <c r="B20" s="18" t="s">
        <v>13</v>
      </c>
      <c r="C20" s="18" t="s">
        <v>7</v>
      </c>
    </row>
    <row r="21">
      <c r="A21" s="17" t="s">
        <v>1199</v>
      </c>
      <c r="B21" s="18" t="s">
        <v>8</v>
      </c>
      <c r="C21" s="18" t="s">
        <v>73</v>
      </c>
    </row>
    <row r="22">
      <c r="A22" s="17" t="s">
        <v>1088</v>
      </c>
      <c r="B22" s="18" t="s">
        <v>13</v>
      </c>
      <c r="C22" s="9" t="s">
        <v>53</v>
      </c>
    </row>
    <row r="23">
      <c r="A23" s="17" t="s">
        <v>1150</v>
      </c>
      <c r="B23" s="18" t="s">
        <v>8</v>
      </c>
      <c r="C23" s="18" t="s">
        <v>21</v>
      </c>
    </row>
    <row r="24">
      <c r="A24" s="17" t="s">
        <v>1193</v>
      </c>
      <c r="B24" s="18" t="s">
        <v>8</v>
      </c>
      <c r="C24" s="9" t="s">
        <v>262</v>
      </c>
    </row>
    <row r="25">
      <c r="A25" s="17" t="s">
        <v>952</v>
      </c>
      <c r="B25" s="18" t="s">
        <v>59</v>
      </c>
      <c r="C25" s="18" t="s">
        <v>1285</v>
      </c>
    </row>
    <row r="26">
      <c r="A26" s="17" t="s">
        <v>671</v>
      </c>
      <c r="B26" s="18" t="s">
        <v>13</v>
      </c>
      <c r="C26" s="18" t="s">
        <v>73</v>
      </c>
    </row>
    <row r="27">
      <c r="A27" s="17" t="s">
        <v>906</v>
      </c>
      <c r="B27" s="18" t="s">
        <v>183</v>
      </c>
      <c r="C27" s="18" t="s">
        <v>262</v>
      </c>
    </row>
    <row r="28">
      <c r="A28" s="17" t="s">
        <v>1222</v>
      </c>
      <c r="B28" s="18" t="s">
        <v>77</v>
      </c>
      <c r="C28" s="9" t="s">
        <v>73</v>
      </c>
    </row>
    <row r="29">
      <c r="A29" s="17" t="s">
        <v>1121</v>
      </c>
      <c r="B29" s="18" t="s">
        <v>13</v>
      </c>
      <c r="C29" s="9" t="s">
        <v>262</v>
      </c>
    </row>
    <row r="30">
      <c r="A30" s="17" t="s">
        <v>206</v>
      </c>
      <c r="B30" s="18" t="s">
        <v>8</v>
      </c>
      <c r="C30" s="18" t="s">
        <v>17</v>
      </c>
    </row>
    <row r="31">
      <c r="A31" s="17" t="s">
        <v>1172</v>
      </c>
      <c r="B31" s="18" t="s">
        <v>8</v>
      </c>
      <c r="C31" s="18" t="s">
        <v>262</v>
      </c>
    </row>
    <row r="32">
      <c r="A32" s="17" t="s">
        <v>976</v>
      </c>
      <c r="B32" s="18" t="s">
        <v>59</v>
      </c>
      <c r="C32" s="9" t="s">
        <v>47</v>
      </c>
    </row>
    <row r="33">
      <c r="A33" s="17" t="s">
        <v>1053</v>
      </c>
      <c r="B33" s="18" t="s">
        <v>13</v>
      </c>
      <c r="C33" s="18" t="s">
        <v>262</v>
      </c>
    </row>
    <row r="34">
      <c r="A34" s="17" t="s">
        <v>134</v>
      </c>
      <c r="B34" s="18" t="s">
        <v>13</v>
      </c>
      <c r="C34" s="18" t="s">
        <v>47</v>
      </c>
    </row>
    <row r="35">
      <c r="A35" s="17" t="s">
        <v>106</v>
      </c>
      <c r="B35" s="18" t="s">
        <v>13</v>
      </c>
      <c r="C35" s="18" t="s">
        <v>344</v>
      </c>
    </row>
    <row r="36">
      <c r="A36" s="17" t="s">
        <v>1042</v>
      </c>
      <c r="B36" s="18" t="s">
        <v>13</v>
      </c>
      <c r="C36" s="18" t="s">
        <v>262</v>
      </c>
    </row>
    <row r="37">
      <c r="A37" s="17" t="s">
        <v>40</v>
      </c>
      <c r="B37" s="18" t="s">
        <v>8</v>
      </c>
      <c r="C37" s="18" t="s">
        <v>41</v>
      </c>
    </row>
    <row r="38">
      <c r="A38" s="17" t="s">
        <v>94</v>
      </c>
      <c r="B38" s="18" t="s">
        <v>13</v>
      </c>
      <c r="C38" s="18" t="s">
        <v>66</v>
      </c>
    </row>
    <row r="39">
      <c r="A39" s="17" t="s">
        <v>564</v>
      </c>
      <c r="B39" s="18" t="s">
        <v>13</v>
      </c>
      <c r="C39" s="18" t="s">
        <v>47</v>
      </c>
    </row>
    <row r="40">
      <c r="A40" s="17" t="s">
        <v>365</v>
      </c>
      <c r="B40" s="18" t="s">
        <v>8</v>
      </c>
      <c r="C40" s="18" t="s">
        <v>25</v>
      </c>
    </row>
    <row r="41">
      <c r="A41" s="17" t="s">
        <v>87</v>
      </c>
      <c r="B41" s="18" t="s">
        <v>13</v>
      </c>
      <c r="C41" s="9" t="s">
        <v>35</v>
      </c>
    </row>
    <row r="42">
      <c r="A42" s="17" t="s">
        <v>678</v>
      </c>
      <c r="B42" s="18" t="s">
        <v>13</v>
      </c>
      <c r="C42" s="18" t="s">
        <v>10</v>
      </c>
    </row>
    <row r="43">
      <c r="A43" s="17" t="s">
        <v>1159</v>
      </c>
      <c r="B43" s="18" t="s">
        <v>8</v>
      </c>
      <c r="C43" s="18" t="s">
        <v>43</v>
      </c>
    </row>
    <row r="44">
      <c r="A44" s="17" t="s">
        <v>917</v>
      </c>
      <c r="B44" s="18" t="s">
        <v>59</v>
      </c>
      <c r="C44" s="18" t="s">
        <v>7</v>
      </c>
    </row>
    <row r="45">
      <c r="A45" s="17" t="s">
        <v>482</v>
      </c>
      <c r="B45" s="18" t="s">
        <v>77</v>
      </c>
      <c r="C45" s="18" t="s">
        <v>41</v>
      </c>
    </row>
    <row r="46">
      <c r="A46" s="17" t="s">
        <v>650</v>
      </c>
      <c r="B46" s="18" t="s">
        <v>13</v>
      </c>
      <c r="C46" s="18" t="s">
        <v>1285</v>
      </c>
    </row>
    <row r="47">
      <c r="A47" s="17" t="s">
        <v>447</v>
      </c>
      <c r="B47" s="18" t="s">
        <v>8</v>
      </c>
      <c r="C47" s="18" t="s">
        <v>81</v>
      </c>
    </row>
    <row r="48">
      <c r="A48" s="17" t="s">
        <v>705</v>
      </c>
      <c r="B48" s="18" t="s">
        <v>59</v>
      </c>
      <c r="C48" s="18" t="s">
        <v>89</v>
      </c>
    </row>
    <row r="49">
      <c r="A49" s="17" t="s">
        <v>1240</v>
      </c>
      <c r="B49" s="18" t="s">
        <v>77</v>
      </c>
      <c r="C49" s="18" t="s">
        <v>62</v>
      </c>
    </row>
    <row r="50">
      <c r="A50" s="17" t="s">
        <v>1104</v>
      </c>
      <c r="B50" s="18" t="s">
        <v>13</v>
      </c>
      <c r="C50" s="18" t="s">
        <v>262</v>
      </c>
    </row>
    <row r="51">
      <c r="A51" s="17" t="s">
        <v>372</v>
      </c>
      <c r="B51" s="18" t="s">
        <v>8</v>
      </c>
      <c r="C51" s="9" t="s">
        <v>23</v>
      </c>
    </row>
    <row r="52">
      <c r="A52" s="17" t="s">
        <v>845</v>
      </c>
      <c r="B52" s="18" t="s">
        <v>13</v>
      </c>
      <c r="C52" s="18" t="s">
        <v>23</v>
      </c>
    </row>
    <row r="53">
      <c r="A53" s="17" t="s">
        <v>570</v>
      </c>
      <c r="B53" s="18" t="s">
        <v>13</v>
      </c>
      <c r="C53" s="18" t="s">
        <v>66</v>
      </c>
    </row>
    <row r="54">
      <c r="A54" s="17" t="s">
        <v>1176</v>
      </c>
      <c r="B54" s="18" t="s">
        <v>8</v>
      </c>
      <c r="C54" s="9" t="s">
        <v>62</v>
      </c>
    </row>
    <row r="55">
      <c r="A55" s="17" t="s">
        <v>584</v>
      </c>
      <c r="B55" s="18" t="s">
        <v>13</v>
      </c>
      <c r="C55" s="18" t="s">
        <v>1285</v>
      </c>
    </row>
    <row r="56">
      <c r="A56" s="17" t="s">
        <v>579</v>
      </c>
      <c r="B56" s="18" t="s">
        <v>13</v>
      </c>
      <c r="C56" s="18" t="s">
        <v>262</v>
      </c>
    </row>
    <row r="57">
      <c r="A57" s="17" t="s">
        <v>1065</v>
      </c>
      <c r="B57" s="18" t="s">
        <v>13</v>
      </c>
      <c r="C57" s="9" t="s">
        <v>262</v>
      </c>
    </row>
    <row r="58">
      <c r="A58" s="17" t="s">
        <v>979</v>
      </c>
      <c r="B58" s="18" t="s">
        <v>59</v>
      </c>
      <c r="C58" s="18" t="s">
        <v>73</v>
      </c>
    </row>
    <row r="59">
      <c r="A59" s="17" t="s">
        <v>78</v>
      </c>
      <c r="B59" s="18" t="s">
        <v>8</v>
      </c>
      <c r="C59" s="18" t="s">
        <v>73</v>
      </c>
    </row>
    <row r="60">
      <c r="A60" s="17" t="s">
        <v>422</v>
      </c>
      <c r="B60" s="18" t="s">
        <v>8</v>
      </c>
      <c r="C60" s="18" t="s">
        <v>53</v>
      </c>
    </row>
    <row r="61">
      <c r="A61" s="17" t="s">
        <v>762</v>
      </c>
      <c r="B61" s="18" t="s">
        <v>59</v>
      </c>
      <c r="C61" s="18" t="s">
        <v>81</v>
      </c>
    </row>
    <row r="62">
      <c r="A62" s="17" t="s">
        <v>327</v>
      </c>
      <c r="B62" s="18" t="s">
        <v>193</v>
      </c>
      <c r="C62" s="18" t="s">
        <v>1285</v>
      </c>
    </row>
    <row r="63">
      <c r="A63" s="17" t="s">
        <v>1202</v>
      </c>
      <c r="B63" s="18" t="s">
        <v>8</v>
      </c>
      <c r="C63" s="18" t="s">
        <v>262</v>
      </c>
    </row>
    <row r="64">
      <c r="A64" s="17" t="s">
        <v>581</v>
      </c>
      <c r="B64" s="18" t="s">
        <v>13</v>
      </c>
      <c r="C64" s="18" t="s">
        <v>7</v>
      </c>
    </row>
    <row r="65">
      <c r="A65" s="17" t="s">
        <v>336</v>
      </c>
      <c r="B65" s="18" t="s">
        <v>193</v>
      </c>
      <c r="C65" s="18" t="s">
        <v>89</v>
      </c>
    </row>
    <row r="66">
      <c r="A66" s="17" t="s">
        <v>586</v>
      </c>
      <c r="B66" s="18" t="s">
        <v>13</v>
      </c>
      <c r="C66" s="18" t="s">
        <v>89</v>
      </c>
    </row>
    <row r="67">
      <c r="A67" s="17" t="s">
        <v>1005</v>
      </c>
      <c r="B67" s="18" t="s">
        <v>13</v>
      </c>
      <c r="C67" s="18" t="s">
        <v>262</v>
      </c>
    </row>
    <row r="68">
      <c r="A68" s="17" t="s">
        <v>14</v>
      </c>
      <c r="B68" s="18" t="s">
        <v>8</v>
      </c>
      <c r="C68" s="18" t="s">
        <v>15</v>
      </c>
    </row>
    <row r="69">
      <c r="A69" s="17" t="s">
        <v>298</v>
      </c>
      <c r="B69" s="18" t="s">
        <v>59</v>
      </c>
      <c r="C69" s="9" t="s">
        <v>21</v>
      </c>
    </row>
    <row r="70">
      <c r="A70" s="17" t="s">
        <v>1093</v>
      </c>
      <c r="B70" s="18" t="s">
        <v>13</v>
      </c>
      <c r="C70" s="18" t="s">
        <v>28</v>
      </c>
    </row>
    <row r="71">
      <c r="A71" s="17" t="s">
        <v>1018</v>
      </c>
      <c r="B71" s="18" t="s">
        <v>13</v>
      </c>
      <c r="C71" s="18" t="s">
        <v>53</v>
      </c>
    </row>
    <row r="72">
      <c r="A72" s="17" t="s">
        <v>808</v>
      </c>
      <c r="B72" s="18" t="s">
        <v>183</v>
      </c>
      <c r="C72" s="18" t="s">
        <v>35</v>
      </c>
    </row>
    <row r="73">
      <c r="A73" s="17" t="s">
        <v>1180</v>
      </c>
      <c r="B73" s="18" t="s">
        <v>8</v>
      </c>
      <c r="C73" s="18" t="s">
        <v>262</v>
      </c>
    </row>
    <row r="74">
      <c r="A74" s="17" t="s">
        <v>1132</v>
      </c>
      <c r="B74" s="18" t="s">
        <v>8</v>
      </c>
      <c r="C74" s="18" t="s">
        <v>89</v>
      </c>
    </row>
    <row r="75">
      <c r="A75" s="17" t="s">
        <v>507</v>
      </c>
      <c r="B75" s="18" t="s">
        <v>77</v>
      </c>
      <c r="C75" s="18" t="s">
        <v>119</v>
      </c>
    </row>
    <row r="76">
      <c r="A76" s="17" t="s">
        <v>284</v>
      </c>
      <c r="B76" s="18" t="s">
        <v>77</v>
      </c>
      <c r="C76" s="9" t="s">
        <v>10</v>
      </c>
    </row>
    <row r="77">
      <c r="A77" s="17" t="s">
        <v>196</v>
      </c>
      <c r="B77" s="18" t="s">
        <v>193</v>
      </c>
      <c r="C77" s="9" t="s">
        <v>58</v>
      </c>
    </row>
    <row r="78">
      <c r="A78" s="17" t="s">
        <v>1229</v>
      </c>
      <c r="B78" s="18" t="s">
        <v>77</v>
      </c>
      <c r="C78" s="18" t="s">
        <v>32</v>
      </c>
    </row>
    <row r="79">
      <c r="A79" s="17" t="s">
        <v>757</v>
      </c>
      <c r="B79" s="18" t="s">
        <v>59</v>
      </c>
      <c r="C79" s="18" t="s">
        <v>17</v>
      </c>
    </row>
    <row r="80">
      <c r="A80" s="17" t="s">
        <v>439</v>
      </c>
      <c r="B80" s="18" t="s">
        <v>8</v>
      </c>
      <c r="C80" s="18" t="s">
        <v>58</v>
      </c>
    </row>
    <row r="81">
      <c r="A81" s="17" t="s">
        <v>1220</v>
      </c>
      <c r="B81" s="18" t="s">
        <v>77</v>
      </c>
      <c r="C81" s="18" t="s">
        <v>23</v>
      </c>
    </row>
    <row r="82">
      <c r="A82" s="17" t="s">
        <v>590</v>
      </c>
      <c r="B82" s="18" t="s">
        <v>13</v>
      </c>
      <c r="C82" s="18" t="s">
        <v>344</v>
      </c>
    </row>
    <row r="83">
      <c r="A83" s="17" t="s">
        <v>1052</v>
      </c>
      <c r="B83" s="18" t="s">
        <v>13</v>
      </c>
      <c r="C83" s="18" t="s">
        <v>262</v>
      </c>
    </row>
    <row r="84">
      <c r="A84" s="17" t="s">
        <v>236</v>
      </c>
      <c r="B84" s="18" t="s">
        <v>8</v>
      </c>
      <c r="C84" s="9" t="s">
        <v>23</v>
      </c>
    </row>
    <row r="85">
      <c r="A85" s="17" t="s">
        <v>616</v>
      </c>
      <c r="B85" s="18" t="s">
        <v>13</v>
      </c>
      <c r="C85" s="9" t="s">
        <v>17</v>
      </c>
    </row>
    <row r="86">
      <c r="A86" s="17" t="s">
        <v>499</v>
      </c>
      <c r="B86" s="18" t="s">
        <v>77</v>
      </c>
      <c r="C86" s="18" t="s">
        <v>37</v>
      </c>
    </row>
    <row r="87">
      <c r="A87" s="17" t="s">
        <v>733</v>
      </c>
      <c r="B87" s="18" t="s">
        <v>59</v>
      </c>
      <c r="C87" s="9" t="s">
        <v>62</v>
      </c>
    </row>
    <row r="88">
      <c r="A88" s="17" t="s">
        <v>1215</v>
      </c>
      <c r="B88" s="18" t="s">
        <v>77</v>
      </c>
      <c r="C88" s="18" t="s">
        <v>262</v>
      </c>
    </row>
    <row r="89">
      <c r="A89" s="17" t="s">
        <v>717</v>
      </c>
      <c r="B89" s="18" t="s">
        <v>59</v>
      </c>
      <c r="C89" s="18" t="s">
        <v>32</v>
      </c>
    </row>
    <row r="90">
      <c r="A90" s="17" t="s">
        <v>629</v>
      </c>
      <c r="B90" s="18" t="s">
        <v>13</v>
      </c>
      <c r="C90" s="18" t="s">
        <v>85</v>
      </c>
    </row>
    <row r="91">
      <c r="A91" s="17" t="s">
        <v>1162</v>
      </c>
      <c r="B91" s="18" t="s">
        <v>8</v>
      </c>
      <c r="C91" s="9" t="s">
        <v>262</v>
      </c>
    </row>
    <row r="92">
      <c r="A92" s="17" t="s">
        <v>227</v>
      </c>
      <c r="B92" s="18" t="s">
        <v>8</v>
      </c>
      <c r="C92" s="18" t="s">
        <v>64</v>
      </c>
    </row>
    <row r="93">
      <c r="A93" s="17" t="s">
        <v>80</v>
      </c>
      <c r="B93" s="18" t="s">
        <v>13</v>
      </c>
      <c r="C93" s="9" t="s">
        <v>81</v>
      </c>
    </row>
    <row r="94">
      <c r="A94" s="17" t="s">
        <v>147</v>
      </c>
      <c r="B94" s="18" t="s">
        <v>13</v>
      </c>
      <c r="C94" s="18" t="s">
        <v>28</v>
      </c>
    </row>
    <row r="95">
      <c r="A95" s="17" t="s">
        <v>487</v>
      </c>
      <c r="B95" s="18" t="s">
        <v>77</v>
      </c>
      <c r="C95" s="18" t="s">
        <v>19</v>
      </c>
    </row>
    <row r="96">
      <c r="A96" s="17" t="s">
        <v>396</v>
      </c>
      <c r="B96" s="18" t="s">
        <v>8</v>
      </c>
      <c r="C96" s="18" t="s">
        <v>25</v>
      </c>
    </row>
    <row r="97">
      <c r="A97" s="17" t="s">
        <v>990</v>
      </c>
      <c r="B97" s="18" t="s">
        <v>59</v>
      </c>
      <c r="C97" s="18" t="s">
        <v>41</v>
      </c>
    </row>
    <row r="98">
      <c r="A98" s="17" t="s">
        <v>187</v>
      </c>
      <c r="B98" s="18" t="s">
        <v>183</v>
      </c>
      <c r="C98" s="9" t="s">
        <v>43</v>
      </c>
    </row>
    <row r="99">
      <c r="A99" s="17" t="s">
        <v>687</v>
      </c>
      <c r="B99" s="18" t="s">
        <v>13</v>
      </c>
      <c r="C99" s="18" t="s">
        <v>344</v>
      </c>
    </row>
    <row r="100">
      <c r="A100" s="17" t="s">
        <v>1114</v>
      </c>
      <c r="B100" s="18" t="s">
        <v>13</v>
      </c>
      <c r="C100" s="18" t="s">
        <v>32</v>
      </c>
    </row>
    <row r="101">
      <c r="A101" s="17" t="s">
        <v>899</v>
      </c>
      <c r="B101" s="18" t="s">
        <v>183</v>
      </c>
      <c r="C101" s="18" t="s">
        <v>262</v>
      </c>
    </row>
    <row r="102">
      <c r="A102" s="17" t="s">
        <v>633</v>
      </c>
      <c r="B102" s="18" t="s">
        <v>13</v>
      </c>
      <c r="C102" s="18" t="s">
        <v>10</v>
      </c>
    </row>
    <row r="103">
      <c r="A103" s="17" t="s">
        <v>539</v>
      </c>
      <c r="B103" s="18" t="s">
        <v>13</v>
      </c>
      <c r="C103" s="18" t="s">
        <v>69</v>
      </c>
    </row>
    <row r="104">
      <c r="A104" s="17" t="s">
        <v>68</v>
      </c>
      <c r="B104" s="18" t="s">
        <v>8</v>
      </c>
      <c r="C104" s="18" t="s">
        <v>69</v>
      </c>
    </row>
    <row r="105">
      <c r="A105" s="17" t="s">
        <v>601</v>
      </c>
      <c r="B105" s="18" t="s">
        <v>13</v>
      </c>
      <c r="C105" s="18" t="s">
        <v>37</v>
      </c>
    </row>
    <row r="106">
      <c r="A106" s="17" t="s">
        <v>809</v>
      </c>
      <c r="B106" s="18" t="s">
        <v>183</v>
      </c>
      <c r="C106" s="18" t="s">
        <v>262</v>
      </c>
    </row>
    <row r="107">
      <c r="A107" s="17" t="s">
        <v>506</v>
      </c>
      <c r="B107" s="18" t="s">
        <v>77</v>
      </c>
      <c r="C107" s="18" t="s">
        <v>43</v>
      </c>
    </row>
    <row r="108">
      <c r="A108" s="17" t="s">
        <v>304</v>
      </c>
      <c r="B108" s="18" t="s">
        <v>59</v>
      </c>
      <c r="C108" s="18" t="s">
        <v>81</v>
      </c>
    </row>
    <row r="109">
      <c r="A109" s="17" t="s">
        <v>450</v>
      </c>
      <c r="B109" s="18" t="s">
        <v>8</v>
      </c>
      <c r="C109" s="18" t="s">
        <v>262</v>
      </c>
    </row>
    <row r="110">
      <c r="A110" s="17" t="s">
        <v>503</v>
      </c>
      <c r="B110" s="18" t="s">
        <v>77</v>
      </c>
      <c r="C110" s="18" t="s">
        <v>119</v>
      </c>
    </row>
    <row r="111">
      <c r="A111" s="17" t="s">
        <v>907</v>
      </c>
      <c r="B111" s="18" t="s">
        <v>183</v>
      </c>
      <c r="C111" s="18" t="s">
        <v>262</v>
      </c>
    </row>
    <row r="112">
      <c r="A112" s="17" t="s">
        <v>221</v>
      </c>
      <c r="B112" s="18" t="s">
        <v>8</v>
      </c>
      <c r="C112" s="18" t="s">
        <v>73</v>
      </c>
    </row>
    <row r="113">
      <c r="A113" s="17" t="s">
        <v>469</v>
      </c>
      <c r="B113" s="18" t="s">
        <v>8</v>
      </c>
      <c r="C113" s="18" t="s">
        <v>25</v>
      </c>
    </row>
    <row r="114">
      <c r="A114" s="17" t="s">
        <v>1236</v>
      </c>
      <c r="B114" s="18" t="s">
        <v>77</v>
      </c>
      <c r="C114" s="18" t="s">
        <v>28</v>
      </c>
    </row>
    <row r="115">
      <c r="A115" s="17" t="s">
        <v>748</v>
      </c>
      <c r="B115" s="18" t="s">
        <v>59</v>
      </c>
      <c r="C115" s="18" t="s">
        <v>35</v>
      </c>
    </row>
    <row r="116">
      <c r="A116" s="17" t="s">
        <v>1140</v>
      </c>
      <c r="B116" s="18" t="s">
        <v>8</v>
      </c>
      <c r="C116" s="9" t="s">
        <v>262</v>
      </c>
    </row>
    <row r="117">
      <c r="A117" s="17" t="s">
        <v>1177</v>
      </c>
      <c r="B117" s="18" t="s">
        <v>8</v>
      </c>
      <c r="C117" s="18" t="s">
        <v>262</v>
      </c>
    </row>
    <row r="118">
      <c r="A118" s="17" t="s">
        <v>541</v>
      </c>
      <c r="B118" s="18" t="s">
        <v>13</v>
      </c>
      <c r="C118" s="18" t="s">
        <v>89</v>
      </c>
    </row>
    <row r="119">
      <c r="A119" s="17" t="s">
        <v>1139</v>
      </c>
      <c r="B119" s="18" t="s">
        <v>8</v>
      </c>
      <c r="C119" s="18" t="s">
        <v>262</v>
      </c>
    </row>
    <row r="120">
      <c r="A120" s="17" t="s">
        <v>756</v>
      </c>
      <c r="B120" s="18" t="s">
        <v>59</v>
      </c>
      <c r="C120" s="18" t="s">
        <v>344</v>
      </c>
    </row>
    <row r="121">
      <c r="A121" s="17" t="s">
        <v>1182</v>
      </c>
      <c r="B121" s="18" t="s">
        <v>8</v>
      </c>
      <c r="C121" s="18" t="s">
        <v>262</v>
      </c>
    </row>
    <row r="122">
      <c r="A122" s="17" t="s">
        <v>192</v>
      </c>
      <c r="B122" s="18" t="s">
        <v>193</v>
      </c>
      <c r="C122" s="9" t="s">
        <v>30</v>
      </c>
    </row>
    <row r="123">
      <c r="A123" s="17" t="s">
        <v>536</v>
      </c>
      <c r="B123" s="18" t="s">
        <v>13</v>
      </c>
      <c r="C123" s="18" t="s">
        <v>55</v>
      </c>
    </row>
    <row r="124">
      <c r="A124" s="17" t="s">
        <v>493</v>
      </c>
      <c r="B124" s="18" t="s">
        <v>77</v>
      </c>
      <c r="C124" s="18" t="s">
        <v>99</v>
      </c>
    </row>
    <row r="125">
      <c r="A125" s="17" t="s">
        <v>676</v>
      </c>
      <c r="B125" s="18" t="s">
        <v>13</v>
      </c>
      <c r="C125" s="18" t="s">
        <v>53</v>
      </c>
    </row>
    <row r="126">
      <c r="A126" s="17" t="s">
        <v>970</v>
      </c>
      <c r="B126" s="18" t="s">
        <v>59</v>
      </c>
      <c r="C126" s="18" t="s">
        <v>262</v>
      </c>
    </row>
    <row r="127">
      <c r="A127" s="17" t="s">
        <v>403</v>
      </c>
      <c r="B127" s="18" t="s">
        <v>8</v>
      </c>
      <c r="C127" s="9" t="s">
        <v>17</v>
      </c>
    </row>
    <row r="128">
      <c r="A128" s="17" t="s">
        <v>1198</v>
      </c>
      <c r="B128" s="18" t="s">
        <v>8</v>
      </c>
      <c r="C128" s="9" t="s">
        <v>262</v>
      </c>
    </row>
    <row r="129">
      <c r="A129" s="17" t="s">
        <v>1094</v>
      </c>
      <c r="B129" s="18" t="s">
        <v>13</v>
      </c>
      <c r="C129" s="9" t="s">
        <v>10</v>
      </c>
    </row>
    <row r="130">
      <c r="A130" s="17" t="s">
        <v>305</v>
      </c>
      <c r="B130" s="18" t="s">
        <v>59</v>
      </c>
      <c r="C130" s="18" t="s">
        <v>69</v>
      </c>
    </row>
    <row r="131">
      <c r="A131" s="17" t="s">
        <v>1072</v>
      </c>
      <c r="B131" s="18" t="s">
        <v>13</v>
      </c>
      <c r="C131" s="18" t="s">
        <v>85</v>
      </c>
    </row>
    <row r="132">
      <c r="A132" s="17" t="s">
        <v>707</v>
      </c>
      <c r="B132" s="18" t="s">
        <v>59</v>
      </c>
      <c r="C132" s="18" t="s">
        <v>37</v>
      </c>
    </row>
    <row r="133">
      <c r="A133" s="17" t="s">
        <v>315</v>
      </c>
      <c r="B133" s="18" t="s">
        <v>183</v>
      </c>
      <c r="C133" s="18" t="s">
        <v>66</v>
      </c>
    </row>
    <row r="134">
      <c r="A134" s="17" t="s">
        <v>800</v>
      </c>
      <c r="B134" s="18" t="s">
        <v>183</v>
      </c>
      <c r="C134" s="18" t="s">
        <v>55</v>
      </c>
    </row>
    <row r="135">
      <c r="A135" s="17" t="s">
        <v>974</v>
      </c>
      <c r="B135" s="18" t="s">
        <v>59</v>
      </c>
      <c r="C135" s="18" t="s">
        <v>262</v>
      </c>
    </row>
    <row r="136">
      <c r="A136" s="17" t="s">
        <v>563</v>
      </c>
      <c r="B136" s="18" t="s">
        <v>13</v>
      </c>
      <c r="C136" s="18" t="s">
        <v>23</v>
      </c>
    </row>
    <row r="137">
      <c r="A137" s="17" t="s">
        <v>1076</v>
      </c>
      <c r="B137" s="18" t="s">
        <v>13</v>
      </c>
      <c r="C137" s="18" t="s">
        <v>89</v>
      </c>
    </row>
    <row r="138">
      <c r="A138" s="17" t="s">
        <v>48</v>
      </c>
      <c r="B138" s="18" t="s">
        <v>8</v>
      </c>
      <c r="C138" s="18" t="s">
        <v>344</v>
      </c>
    </row>
    <row r="139">
      <c r="A139" s="17" t="s">
        <v>494</v>
      </c>
      <c r="B139" s="18" t="s">
        <v>77</v>
      </c>
      <c r="C139" s="18" t="s">
        <v>10</v>
      </c>
    </row>
    <row r="140">
      <c r="A140" s="17" t="s">
        <v>620</v>
      </c>
      <c r="B140" s="18" t="s">
        <v>13</v>
      </c>
      <c r="C140" s="18" t="s">
        <v>73</v>
      </c>
    </row>
    <row r="141">
      <c r="A141" s="17" t="s">
        <v>668</v>
      </c>
      <c r="B141" s="18" t="s">
        <v>13</v>
      </c>
      <c r="C141" s="18" t="s">
        <v>89</v>
      </c>
    </row>
    <row r="142">
      <c r="A142" s="17" t="s">
        <v>312</v>
      </c>
      <c r="B142" s="18" t="s">
        <v>59</v>
      </c>
      <c r="C142" s="18" t="s">
        <v>37</v>
      </c>
    </row>
    <row r="143">
      <c r="A143" s="17" t="s">
        <v>383</v>
      </c>
      <c r="B143" s="18" t="s">
        <v>8</v>
      </c>
      <c r="C143" s="18" t="s">
        <v>99</v>
      </c>
    </row>
    <row r="144">
      <c r="A144" s="17" t="s">
        <v>335</v>
      </c>
      <c r="B144" s="18" t="s">
        <v>193</v>
      </c>
      <c r="C144" s="18" t="s">
        <v>10</v>
      </c>
    </row>
    <row r="145">
      <c r="A145" s="17" t="s">
        <v>931</v>
      </c>
      <c r="B145" s="18" t="s">
        <v>59</v>
      </c>
      <c r="C145" s="18" t="s">
        <v>262</v>
      </c>
    </row>
    <row r="146">
      <c r="A146" s="17" t="s">
        <v>497</v>
      </c>
      <c r="B146" s="18" t="s">
        <v>77</v>
      </c>
      <c r="C146" s="18" t="s">
        <v>64</v>
      </c>
    </row>
    <row r="147">
      <c r="A147" s="17" t="s">
        <v>277</v>
      </c>
      <c r="B147" s="18" t="s">
        <v>77</v>
      </c>
      <c r="C147" s="18" t="s">
        <v>73</v>
      </c>
    </row>
    <row r="148">
      <c r="A148" s="17" t="s">
        <v>483</v>
      </c>
      <c r="B148" s="18" t="s">
        <v>77</v>
      </c>
      <c r="C148" s="18" t="s">
        <v>30</v>
      </c>
    </row>
    <row r="149">
      <c r="A149" s="17" t="s">
        <v>544</v>
      </c>
      <c r="B149" s="18" t="s">
        <v>13</v>
      </c>
      <c r="C149" s="18" t="s">
        <v>39</v>
      </c>
    </row>
    <row r="150">
      <c r="A150" s="17" t="s">
        <v>31</v>
      </c>
      <c r="B150" s="18" t="s">
        <v>13</v>
      </c>
      <c r="C150" s="18" t="s">
        <v>32</v>
      </c>
    </row>
    <row r="151">
      <c r="A151" s="17" t="s">
        <v>924</v>
      </c>
      <c r="B151" s="18" t="s">
        <v>59</v>
      </c>
      <c r="C151" s="18" t="s">
        <v>39</v>
      </c>
    </row>
    <row r="152">
      <c r="A152" s="17" t="s">
        <v>1012</v>
      </c>
      <c r="B152" s="18" t="s">
        <v>13</v>
      </c>
      <c r="C152" s="18" t="s">
        <v>81</v>
      </c>
    </row>
    <row r="153">
      <c r="A153" s="17" t="s">
        <v>1023</v>
      </c>
      <c r="B153" s="18" t="s">
        <v>13</v>
      </c>
      <c r="C153" s="18" t="s">
        <v>262</v>
      </c>
    </row>
    <row r="154">
      <c r="A154" s="17" t="s">
        <v>489</v>
      </c>
      <c r="B154" s="18" t="s">
        <v>77</v>
      </c>
      <c r="C154" s="18" t="s">
        <v>62</v>
      </c>
    </row>
    <row r="155">
      <c r="A155" s="17" t="s">
        <v>1153</v>
      </c>
      <c r="B155" s="18" t="s">
        <v>8</v>
      </c>
      <c r="C155" s="18" t="s">
        <v>262</v>
      </c>
    </row>
    <row r="156">
      <c r="A156" s="17" t="s">
        <v>983</v>
      </c>
      <c r="B156" s="18" t="s">
        <v>59</v>
      </c>
      <c r="C156" s="9" t="s">
        <v>262</v>
      </c>
    </row>
    <row r="157">
      <c r="A157" s="17" t="s">
        <v>728</v>
      </c>
      <c r="B157" s="18" t="s">
        <v>59</v>
      </c>
      <c r="C157" s="18" t="s">
        <v>58</v>
      </c>
    </row>
    <row r="158">
      <c r="A158" s="17" t="s">
        <v>767</v>
      </c>
      <c r="B158" s="18" t="s">
        <v>59</v>
      </c>
      <c r="C158" s="18" t="s">
        <v>28</v>
      </c>
    </row>
    <row r="159">
      <c r="A159" s="17" t="s">
        <v>135</v>
      </c>
      <c r="B159" s="18" t="s">
        <v>13</v>
      </c>
      <c r="C159" s="18" t="s">
        <v>23</v>
      </c>
    </row>
    <row r="160">
      <c r="A160" s="17" t="s">
        <v>502</v>
      </c>
      <c r="B160" s="18" t="s">
        <v>77</v>
      </c>
      <c r="C160" s="18" t="s">
        <v>15</v>
      </c>
    </row>
    <row r="161">
      <c r="A161" s="17" t="s">
        <v>140</v>
      </c>
      <c r="B161" s="18" t="s">
        <v>8</v>
      </c>
      <c r="C161" s="18" t="s">
        <v>39</v>
      </c>
    </row>
    <row r="162">
      <c r="A162" s="17" t="s">
        <v>802</v>
      </c>
      <c r="B162" s="18" t="s">
        <v>183</v>
      </c>
      <c r="C162" s="9" t="s">
        <v>262</v>
      </c>
    </row>
    <row r="163">
      <c r="A163" s="17" t="s">
        <v>622</v>
      </c>
      <c r="B163" s="18" t="s">
        <v>13</v>
      </c>
      <c r="C163" s="18" t="s">
        <v>262</v>
      </c>
    </row>
    <row r="164">
      <c r="A164" s="17" t="s">
        <v>337</v>
      </c>
      <c r="B164" s="18" t="s">
        <v>193</v>
      </c>
      <c r="C164" s="18" t="s">
        <v>55</v>
      </c>
    </row>
    <row r="165">
      <c r="A165" s="17" t="s">
        <v>739</v>
      </c>
      <c r="B165" s="18" t="s">
        <v>59</v>
      </c>
      <c r="C165" s="18" t="s">
        <v>21</v>
      </c>
    </row>
    <row r="166">
      <c r="A166" s="17" t="s">
        <v>895</v>
      </c>
      <c r="B166" s="18" t="s">
        <v>183</v>
      </c>
      <c r="C166" s="18" t="s">
        <v>262</v>
      </c>
    </row>
    <row r="167">
      <c r="A167" s="17" t="s">
        <v>795</v>
      </c>
      <c r="B167" s="18" t="s">
        <v>183</v>
      </c>
      <c r="C167" s="9" t="s">
        <v>23</v>
      </c>
    </row>
    <row r="168">
      <c r="A168" s="17" t="s">
        <v>1144</v>
      </c>
      <c r="B168" s="18" t="s">
        <v>8</v>
      </c>
      <c r="C168" s="18" t="s">
        <v>85</v>
      </c>
    </row>
    <row r="169">
      <c r="A169" s="17" t="s">
        <v>270</v>
      </c>
      <c r="B169" s="18" t="s">
        <v>13</v>
      </c>
      <c r="C169" s="18" t="s">
        <v>81</v>
      </c>
    </row>
    <row r="170">
      <c r="A170" s="17" t="s">
        <v>230</v>
      </c>
      <c r="B170" s="18" t="s">
        <v>8</v>
      </c>
      <c r="C170" s="18" t="s">
        <v>19</v>
      </c>
    </row>
    <row r="171">
      <c r="A171" s="17" t="s">
        <v>83</v>
      </c>
      <c r="B171" s="18" t="s">
        <v>13</v>
      </c>
      <c r="C171" s="18" t="s">
        <v>37</v>
      </c>
    </row>
    <row r="172">
      <c r="A172" s="17" t="s">
        <v>933</v>
      </c>
      <c r="B172" s="18" t="s">
        <v>59</v>
      </c>
      <c r="C172" s="18" t="s">
        <v>262</v>
      </c>
    </row>
    <row r="173">
      <c r="A173" s="17" t="s">
        <v>1041</v>
      </c>
      <c r="B173" s="18" t="s">
        <v>13</v>
      </c>
      <c r="C173" s="18" t="s">
        <v>41</v>
      </c>
    </row>
    <row r="174">
      <c r="A174" s="17" t="s">
        <v>743</v>
      </c>
      <c r="B174" s="18" t="s">
        <v>59</v>
      </c>
      <c r="C174" s="18" t="s">
        <v>99</v>
      </c>
    </row>
    <row r="175">
      <c r="A175" s="17" t="s">
        <v>619</v>
      </c>
      <c r="B175" s="18" t="s">
        <v>13</v>
      </c>
      <c r="C175" s="18" t="s">
        <v>81</v>
      </c>
    </row>
    <row r="176">
      <c r="A176" s="17" t="s">
        <v>777</v>
      </c>
      <c r="B176" s="18" t="s">
        <v>59</v>
      </c>
      <c r="C176" s="18" t="s">
        <v>53</v>
      </c>
    </row>
    <row r="177">
      <c r="A177" s="17" t="s">
        <v>818</v>
      </c>
      <c r="B177" s="18" t="s">
        <v>183</v>
      </c>
      <c r="C177" s="18" t="s">
        <v>262</v>
      </c>
    </row>
    <row r="178">
      <c r="A178" s="17" t="s">
        <v>1239</v>
      </c>
      <c r="B178" s="18" t="s">
        <v>77</v>
      </c>
      <c r="C178" s="18" t="s">
        <v>23</v>
      </c>
    </row>
    <row r="179">
      <c r="A179" s="17" t="s">
        <v>136</v>
      </c>
      <c r="B179" s="18" t="s">
        <v>13</v>
      </c>
      <c r="C179" s="18" t="s">
        <v>41</v>
      </c>
    </row>
    <row r="180">
      <c r="A180" s="17" t="s">
        <v>1103</v>
      </c>
      <c r="B180" s="18" t="s">
        <v>13</v>
      </c>
      <c r="C180" s="18" t="s">
        <v>262</v>
      </c>
    </row>
    <row r="181">
      <c r="A181" s="17" t="s">
        <v>1210</v>
      </c>
      <c r="B181" s="18" t="s">
        <v>77</v>
      </c>
      <c r="C181" s="18" t="s">
        <v>262</v>
      </c>
    </row>
    <row r="182">
      <c r="A182" s="17" t="s">
        <v>1167</v>
      </c>
      <c r="B182" s="18" t="s">
        <v>8</v>
      </c>
      <c r="C182" s="9" t="s">
        <v>262</v>
      </c>
    </row>
    <row r="183">
      <c r="A183" s="17" t="s">
        <v>656</v>
      </c>
      <c r="B183" s="18" t="s">
        <v>13</v>
      </c>
      <c r="C183" s="18" t="s">
        <v>1285</v>
      </c>
    </row>
    <row r="184">
      <c r="A184" s="17" t="s">
        <v>117</v>
      </c>
      <c r="B184" s="18" t="s">
        <v>13</v>
      </c>
      <c r="C184" s="18" t="s">
        <v>99</v>
      </c>
    </row>
    <row r="185">
      <c r="A185" s="17" t="s">
        <v>9</v>
      </c>
      <c r="B185" s="18" t="s">
        <v>8</v>
      </c>
      <c r="C185" s="18" t="s">
        <v>10</v>
      </c>
    </row>
    <row r="186">
      <c r="A186" s="17" t="s">
        <v>1205</v>
      </c>
      <c r="B186" s="18" t="s">
        <v>8</v>
      </c>
      <c r="C186" s="18" t="s">
        <v>262</v>
      </c>
    </row>
    <row r="187">
      <c r="A187" s="17" t="s">
        <v>166</v>
      </c>
      <c r="B187" s="18" t="s">
        <v>13</v>
      </c>
      <c r="C187" s="18" t="s">
        <v>47</v>
      </c>
    </row>
    <row r="188">
      <c r="A188" s="17" t="s">
        <v>228</v>
      </c>
      <c r="B188" s="18" t="s">
        <v>8</v>
      </c>
      <c r="C188" s="18" t="s">
        <v>10</v>
      </c>
    </row>
    <row r="189">
      <c r="A189" s="17" t="s">
        <v>323</v>
      </c>
      <c r="B189" s="18" t="s">
        <v>193</v>
      </c>
      <c r="C189" s="9" t="s">
        <v>19</v>
      </c>
    </row>
    <row r="190">
      <c r="A190" s="17" t="s">
        <v>1213</v>
      </c>
      <c r="B190" s="18" t="s">
        <v>77</v>
      </c>
      <c r="C190" s="18" t="s">
        <v>262</v>
      </c>
    </row>
    <row r="191">
      <c r="A191" s="17" t="s">
        <v>319</v>
      </c>
      <c r="B191" s="18" t="s">
        <v>193</v>
      </c>
      <c r="C191" s="18" t="s">
        <v>66</v>
      </c>
    </row>
    <row r="192">
      <c r="A192" s="17" t="s">
        <v>115</v>
      </c>
      <c r="B192" s="18" t="s">
        <v>8</v>
      </c>
      <c r="C192" s="18" t="s">
        <v>62</v>
      </c>
    </row>
    <row r="193">
      <c r="A193" s="17" t="s">
        <v>911</v>
      </c>
      <c r="B193" s="18" t="s">
        <v>59</v>
      </c>
      <c r="C193" s="18" t="s">
        <v>37</v>
      </c>
    </row>
    <row r="194">
      <c r="A194" s="17" t="s">
        <v>1001</v>
      </c>
      <c r="B194" s="18" t="s">
        <v>13</v>
      </c>
      <c r="C194" s="18" t="s">
        <v>39</v>
      </c>
    </row>
    <row r="195">
      <c r="A195" s="17" t="s">
        <v>662</v>
      </c>
      <c r="B195" s="18" t="s">
        <v>13</v>
      </c>
      <c r="C195" s="18" t="s">
        <v>21</v>
      </c>
    </row>
    <row r="196">
      <c r="A196" s="17" t="s">
        <v>888</v>
      </c>
      <c r="B196" s="18" t="s">
        <v>183</v>
      </c>
      <c r="C196" s="18" t="s">
        <v>262</v>
      </c>
    </row>
    <row r="197">
      <c r="A197" s="17" t="s">
        <v>696</v>
      </c>
      <c r="B197" s="18" t="s">
        <v>13</v>
      </c>
      <c r="C197" s="9" t="s">
        <v>85</v>
      </c>
    </row>
    <row r="198">
      <c r="A198" s="17" t="s">
        <v>997</v>
      </c>
      <c r="B198" s="18" t="s">
        <v>13</v>
      </c>
      <c r="C198" s="18" t="s">
        <v>23</v>
      </c>
    </row>
    <row r="199">
      <c r="A199" s="17" t="s">
        <v>779</v>
      </c>
      <c r="B199" s="18" t="s">
        <v>59</v>
      </c>
      <c r="C199" s="9" t="s">
        <v>85</v>
      </c>
    </row>
    <row r="200">
      <c r="A200" s="17" t="s">
        <v>554</v>
      </c>
      <c r="B200" s="18" t="s">
        <v>13</v>
      </c>
      <c r="C200" s="18" t="s">
        <v>262</v>
      </c>
    </row>
    <row r="201">
      <c r="A201" s="17" t="s">
        <v>178</v>
      </c>
      <c r="B201" s="18" t="s">
        <v>59</v>
      </c>
      <c r="C201" s="18" t="s">
        <v>55</v>
      </c>
    </row>
    <row r="202">
      <c r="A202" s="17" t="s">
        <v>1235</v>
      </c>
      <c r="B202" s="18" t="s">
        <v>77</v>
      </c>
      <c r="C202" s="18" t="s">
        <v>262</v>
      </c>
    </row>
    <row r="203">
      <c r="A203" s="17" t="s">
        <v>740</v>
      </c>
      <c r="B203" s="18" t="s">
        <v>59</v>
      </c>
      <c r="C203" s="18" t="s">
        <v>73</v>
      </c>
    </row>
    <row r="204">
      <c r="A204" s="17" t="s">
        <v>1224</v>
      </c>
      <c r="B204" s="18" t="s">
        <v>77</v>
      </c>
      <c r="C204" s="18" t="s">
        <v>262</v>
      </c>
    </row>
    <row r="205">
      <c r="A205" s="17" t="s">
        <v>919</v>
      </c>
      <c r="B205" s="18" t="s">
        <v>59</v>
      </c>
      <c r="C205" s="18" t="s">
        <v>10</v>
      </c>
    </row>
    <row r="206">
      <c r="A206" s="17" t="s">
        <v>618</v>
      </c>
      <c r="B206" s="18" t="s">
        <v>13</v>
      </c>
      <c r="C206" s="18" t="s">
        <v>53</v>
      </c>
    </row>
    <row r="207">
      <c r="A207" s="17" t="s">
        <v>486</v>
      </c>
      <c r="B207" s="18" t="s">
        <v>77</v>
      </c>
      <c r="C207" s="18" t="s">
        <v>1285</v>
      </c>
    </row>
    <row r="208">
      <c r="A208" s="17" t="s">
        <v>783</v>
      </c>
      <c r="B208" s="18" t="s">
        <v>59</v>
      </c>
      <c r="C208" s="18" t="s">
        <v>23</v>
      </c>
    </row>
    <row r="209">
      <c r="A209" s="17" t="s">
        <v>11</v>
      </c>
      <c r="B209" s="18" t="s">
        <v>13</v>
      </c>
      <c r="C209" s="18" t="s">
        <v>344</v>
      </c>
    </row>
    <row r="210">
      <c r="A210" s="17" t="s">
        <v>496</v>
      </c>
      <c r="B210" s="18" t="s">
        <v>77</v>
      </c>
      <c r="C210" s="18" t="s">
        <v>32</v>
      </c>
    </row>
    <row r="211">
      <c r="A211" s="17" t="s">
        <v>101</v>
      </c>
      <c r="B211" s="18" t="s">
        <v>8</v>
      </c>
      <c r="C211" s="18" t="s">
        <v>89</v>
      </c>
    </row>
    <row r="212">
      <c r="A212" s="17" t="s">
        <v>1192</v>
      </c>
      <c r="B212" s="18" t="s">
        <v>8</v>
      </c>
      <c r="C212" s="18" t="s">
        <v>262</v>
      </c>
    </row>
    <row r="213">
      <c r="A213" s="17" t="s">
        <v>265</v>
      </c>
      <c r="B213" s="18" t="s">
        <v>13</v>
      </c>
      <c r="C213" s="18" t="s">
        <v>69</v>
      </c>
    </row>
    <row r="214">
      <c r="A214" s="17" t="s">
        <v>639</v>
      </c>
      <c r="B214" s="18" t="s">
        <v>13</v>
      </c>
      <c r="C214" s="18" t="s">
        <v>62</v>
      </c>
    </row>
    <row r="215">
      <c r="A215" s="17" t="s">
        <v>93</v>
      </c>
      <c r="B215" s="18" t="s">
        <v>13</v>
      </c>
      <c r="C215" s="9" t="s">
        <v>43</v>
      </c>
    </row>
    <row r="216">
      <c r="A216" s="17" t="s">
        <v>376</v>
      </c>
      <c r="B216" s="18" t="s">
        <v>8</v>
      </c>
      <c r="C216" s="18" t="s">
        <v>35</v>
      </c>
    </row>
    <row r="217">
      <c r="A217" s="17" t="s">
        <v>1179</v>
      </c>
      <c r="B217" s="18" t="s">
        <v>8</v>
      </c>
      <c r="C217" s="18" t="s">
        <v>262</v>
      </c>
    </row>
    <row r="218">
      <c r="A218" s="17" t="s">
        <v>256</v>
      </c>
      <c r="B218" s="18" t="s">
        <v>13</v>
      </c>
      <c r="C218" s="18" t="s">
        <v>73</v>
      </c>
    </row>
    <row r="219">
      <c r="A219" s="17" t="s">
        <v>847</v>
      </c>
      <c r="B219" s="18" t="s">
        <v>13</v>
      </c>
      <c r="C219" s="18" t="s">
        <v>37</v>
      </c>
    </row>
    <row r="220">
      <c r="A220" s="17" t="s">
        <v>1196</v>
      </c>
      <c r="B220" s="18" t="s">
        <v>8</v>
      </c>
      <c r="C220" s="18" t="s">
        <v>262</v>
      </c>
    </row>
    <row r="221">
      <c r="A221" s="17" t="s">
        <v>686</v>
      </c>
      <c r="B221" s="18" t="s">
        <v>13</v>
      </c>
      <c r="C221" s="18" t="s">
        <v>69</v>
      </c>
    </row>
    <row r="222">
      <c r="A222" s="17" t="s">
        <v>34</v>
      </c>
      <c r="B222" s="18" t="s">
        <v>8</v>
      </c>
      <c r="C222" s="18" t="s">
        <v>35</v>
      </c>
    </row>
    <row r="223">
      <c r="A223" s="17" t="s">
        <v>346</v>
      </c>
      <c r="B223" s="18" t="s">
        <v>8</v>
      </c>
      <c r="C223" s="18" t="s">
        <v>66</v>
      </c>
    </row>
    <row r="224">
      <c r="A224" s="17" t="s">
        <v>229</v>
      </c>
      <c r="B224" s="18" t="s">
        <v>8</v>
      </c>
      <c r="C224" s="18" t="s">
        <v>10</v>
      </c>
    </row>
    <row r="225">
      <c r="A225" s="17" t="s">
        <v>1026</v>
      </c>
      <c r="B225" s="18" t="s">
        <v>13</v>
      </c>
      <c r="C225" s="18" t="s">
        <v>81</v>
      </c>
    </row>
    <row r="226">
      <c r="A226" s="17" t="s">
        <v>121</v>
      </c>
      <c r="B226" s="18" t="s">
        <v>77</v>
      </c>
      <c r="C226" s="9" t="s">
        <v>32</v>
      </c>
    </row>
    <row r="227">
      <c r="A227" s="17" t="s">
        <v>199</v>
      </c>
      <c r="B227" s="18" t="s">
        <v>193</v>
      </c>
      <c r="C227" s="18" t="s">
        <v>32</v>
      </c>
    </row>
    <row r="228">
      <c r="A228" s="17" t="s">
        <v>156</v>
      </c>
      <c r="B228" s="18" t="s">
        <v>59</v>
      </c>
      <c r="C228" s="18" t="s">
        <v>64</v>
      </c>
    </row>
    <row r="229">
      <c r="A229" s="17" t="s">
        <v>765</v>
      </c>
      <c r="B229" s="18" t="s">
        <v>59</v>
      </c>
      <c r="C229" s="18" t="s">
        <v>119</v>
      </c>
    </row>
    <row r="230">
      <c r="A230" s="17" t="s">
        <v>113</v>
      </c>
      <c r="B230" s="18" t="s">
        <v>59</v>
      </c>
      <c r="C230" s="18" t="s">
        <v>32</v>
      </c>
    </row>
    <row r="231">
      <c r="A231" s="17" t="s">
        <v>26</v>
      </c>
      <c r="B231" s="18" t="s">
        <v>8</v>
      </c>
      <c r="C231" s="18" t="s">
        <v>17</v>
      </c>
    </row>
    <row r="232">
      <c r="A232" s="17" t="s">
        <v>1137</v>
      </c>
      <c r="B232" s="18" t="s">
        <v>8</v>
      </c>
      <c r="C232" s="18" t="s">
        <v>43</v>
      </c>
    </row>
    <row r="233">
      <c r="A233" s="17" t="s">
        <v>203</v>
      </c>
      <c r="B233" s="18" t="s">
        <v>8</v>
      </c>
      <c r="C233" s="18" t="s">
        <v>81</v>
      </c>
    </row>
    <row r="234">
      <c r="A234" s="17" t="s">
        <v>118</v>
      </c>
      <c r="B234" s="18" t="s">
        <v>8</v>
      </c>
      <c r="C234" s="18" t="s">
        <v>119</v>
      </c>
    </row>
    <row r="235">
      <c r="A235" s="17" t="s">
        <v>220</v>
      </c>
      <c r="B235" s="18" t="s">
        <v>8</v>
      </c>
      <c r="C235" s="18" t="s">
        <v>89</v>
      </c>
    </row>
    <row r="236">
      <c r="A236" s="17" t="s">
        <v>598</v>
      </c>
      <c r="B236" s="18" t="s">
        <v>13</v>
      </c>
      <c r="C236" s="18" t="s">
        <v>89</v>
      </c>
    </row>
    <row r="237">
      <c r="A237" s="17" t="s">
        <v>1067</v>
      </c>
      <c r="B237" s="18" t="s">
        <v>13</v>
      </c>
      <c r="C237" s="18" t="s">
        <v>262</v>
      </c>
    </row>
    <row r="238">
      <c r="A238" s="17" t="s">
        <v>1115</v>
      </c>
      <c r="B238" s="18" t="s">
        <v>13</v>
      </c>
      <c r="C238" s="18" t="s">
        <v>262</v>
      </c>
    </row>
    <row r="239">
      <c r="A239" s="17" t="s">
        <v>308</v>
      </c>
      <c r="B239" s="18" t="s">
        <v>59</v>
      </c>
      <c r="C239" s="18" t="s">
        <v>99</v>
      </c>
    </row>
    <row r="240">
      <c r="A240" s="17" t="s">
        <v>893</v>
      </c>
      <c r="B240" s="18" t="s">
        <v>183</v>
      </c>
      <c r="C240" s="18" t="s">
        <v>262</v>
      </c>
    </row>
    <row r="241">
      <c r="A241" s="17" t="s">
        <v>1075</v>
      </c>
      <c r="B241" s="18" t="s">
        <v>13</v>
      </c>
      <c r="C241" s="18" t="s">
        <v>17</v>
      </c>
    </row>
    <row r="242">
      <c r="A242" s="17" t="s">
        <v>702</v>
      </c>
      <c r="B242" s="18" t="s">
        <v>59</v>
      </c>
      <c r="C242" s="18" t="s">
        <v>53</v>
      </c>
    </row>
    <row r="243">
      <c r="A243" s="17" t="s">
        <v>948</v>
      </c>
      <c r="B243" s="18" t="s">
        <v>59</v>
      </c>
      <c r="C243" s="18" t="s">
        <v>262</v>
      </c>
    </row>
    <row r="244">
      <c r="A244" s="17" t="s">
        <v>186</v>
      </c>
      <c r="B244" s="18" t="s">
        <v>183</v>
      </c>
      <c r="C244" s="18" t="s">
        <v>25</v>
      </c>
    </row>
    <row r="245">
      <c r="A245" s="17" t="s">
        <v>939</v>
      </c>
      <c r="B245" s="18" t="s">
        <v>59</v>
      </c>
      <c r="C245" s="18" t="s">
        <v>262</v>
      </c>
    </row>
    <row r="246">
      <c r="A246" s="17" t="s">
        <v>276</v>
      </c>
      <c r="B246" s="18" t="s">
        <v>77</v>
      </c>
      <c r="C246" s="18" t="s">
        <v>53</v>
      </c>
    </row>
    <row r="247">
      <c r="A247" s="17" t="s">
        <v>1035</v>
      </c>
      <c r="B247" s="18" t="s">
        <v>13</v>
      </c>
      <c r="C247" s="18" t="s">
        <v>262</v>
      </c>
    </row>
    <row r="248">
      <c r="A248" s="17" t="s">
        <v>525</v>
      </c>
      <c r="B248" s="18" t="s">
        <v>77</v>
      </c>
      <c r="C248" s="18" t="s">
        <v>47</v>
      </c>
    </row>
    <row r="249">
      <c r="A249" s="17" t="s">
        <v>567</v>
      </c>
      <c r="B249" s="18" t="s">
        <v>13</v>
      </c>
      <c r="C249" s="18" t="s">
        <v>28</v>
      </c>
    </row>
    <row r="250">
      <c r="A250" s="17" t="s">
        <v>614</v>
      </c>
      <c r="B250" s="18" t="s">
        <v>13</v>
      </c>
      <c r="C250" s="9" t="s">
        <v>55</v>
      </c>
    </row>
    <row r="251">
      <c r="A251" s="17" t="s">
        <v>242</v>
      </c>
      <c r="B251" s="18" t="s">
        <v>8</v>
      </c>
      <c r="C251" s="18" t="s">
        <v>81</v>
      </c>
    </row>
    <row r="252">
      <c r="A252" s="17" t="s">
        <v>684</v>
      </c>
      <c r="B252" s="18" t="s">
        <v>13</v>
      </c>
      <c r="C252" s="18" t="s">
        <v>85</v>
      </c>
    </row>
    <row r="253">
      <c r="A253" s="17" t="s">
        <v>1133</v>
      </c>
      <c r="B253" s="18" t="s">
        <v>8</v>
      </c>
      <c r="C253" s="18" t="s">
        <v>81</v>
      </c>
    </row>
    <row r="254">
      <c r="A254" s="17" t="s">
        <v>1135</v>
      </c>
      <c r="B254" s="18" t="s">
        <v>8</v>
      </c>
      <c r="C254" s="18" t="s">
        <v>10</v>
      </c>
    </row>
    <row r="255">
      <c r="A255" s="17" t="s">
        <v>548</v>
      </c>
      <c r="B255" s="18" t="s">
        <v>13</v>
      </c>
      <c r="C255" s="18" t="s">
        <v>53</v>
      </c>
    </row>
    <row r="256">
      <c r="A256" s="17" t="s">
        <v>91</v>
      </c>
      <c r="B256" s="18" t="s">
        <v>13</v>
      </c>
      <c r="C256" s="18" t="s">
        <v>55</v>
      </c>
    </row>
    <row r="257">
      <c r="A257" s="17" t="s">
        <v>217</v>
      </c>
      <c r="B257" s="18" t="s">
        <v>8</v>
      </c>
      <c r="C257" s="18" t="s">
        <v>1285</v>
      </c>
    </row>
    <row r="258">
      <c r="A258" s="17" t="s">
        <v>935</v>
      </c>
      <c r="B258" s="18" t="s">
        <v>59</v>
      </c>
      <c r="C258" s="9" t="s">
        <v>262</v>
      </c>
    </row>
    <row r="259">
      <c r="A259" s="17" t="s">
        <v>208</v>
      </c>
      <c r="B259" s="18" t="s">
        <v>8</v>
      </c>
      <c r="C259" s="18" t="s">
        <v>344</v>
      </c>
    </row>
    <row r="260">
      <c r="A260" s="17" t="s">
        <v>955</v>
      </c>
      <c r="B260" s="18" t="s">
        <v>59</v>
      </c>
      <c r="C260" s="18" t="s">
        <v>37</v>
      </c>
    </row>
    <row r="261">
      <c r="A261" s="17" t="s">
        <v>103</v>
      </c>
      <c r="B261" s="18" t="s">
        <v>59</v>
      </c>
      <c r="C261" s="18" t="s">
        <v>25</v>
      </c>
    </row>
    <row r="262">
      <c r="A262" s="17" t="s">
        <v>1016</v>
      </c>
      <c r="B262" s="18" t="s">
        <v>13</v>
      </c>
      <c r="C262" s="18" t="s">
        <v>262</v>
      </c>
    </row>
    <row r="263">
      <c r="A263" s="17" t="s">
        <v>353</v>
      </c>
      <c r="B263" s="18" t="s">
        <v>8</v>
      </c>
      <c r="C263" s="18" t="s">
        <v>55</v>
      </c>
    </row>
    <row r="264">
      <c r="A264" s="17" t="s">
        <v>451</v>
      </c>
      <c r="B264" s="18" t="s">
        <v>8</v>
      </c>
      <c r="C264" s="18" t="s">
        <v>85</v>
      </c>
    </row>
    <row r="265">
      <c r="A265" s="17" t="s">
        <v>848</v>
      </c>
      <c r="B265" s="18" t="s">
        <v>13</v>
      </c>
      <c r="C265" s="9" t="s">
        <v>62</v>
      </c>
    </row>
    <row r="266">
      <c r="A266" s="17" t="s">
        <v>24</v>
      </c>
      <c r="B266" s="18" t="s">
        <v>13</v>
      </c>
      <c r="C266" s="9" t="s">
        <v>25</v>
      </c>
    </row>
    <row r="267">
      <c r="A267" s="17" t="s">
        <v>532</v>
      </c>
      <c r="B267" s="18" t="s">
        <v>13</v>
      </c>
      <c r="C267" s="18" t="s">
        <v>66</v>
      </c>
    </row>
    <row r="268">
      <c r="A268" s="17" t="s">
        <v>526</v>
      </c>
      <c r="B268" s="18" t="s">
        <v>77</v>
      </c>
      <c r="C268" s="18" t="s">
        <v>35</v>
      </c>
    </row>
    <row r="269">
      <c r="A269" s="17" t="s">
        <v>362</v>
      </c>
      <c r="B269" s="18" t="s">
        <v>8</v>
      </c>
      <c r="C269" s="18" t="s">
        <v>262</v>
      </c>
    </row>
    <row r="270">
      <c r="A270" s="17" t="s">
        <v>54</v>
      </c>
      <c r="B270" s="18" t="s">
        <v>8</v>
      </c>
      <c r="C270" s="18" t="s">
        <v>55</v>
      </c>
    </row>
    <row r="271">
      <c r="A271" s="17" t="s">
        <v>617</v>
      </c>
      <c r="B271" s="18" t="s">
        <v>13</v>
      </c>
      <c r="C271" s="18" t="s">
        <v>55</v>
      </c>
    </row>
    <row r="272">
      <c r="A272" s="17" t="s">
        <v>180</v>
      </c>
      <c r="B272" s="18" t="s">
        <v>59</v>
      </c>
      <c r="C272" s="18" t="s">
        <v>66</v>
      </c>
    </row>
    <row r="273">
      <c r="A273" s="17" t="s">
        <v>694</v>
      </c>
      <c r="B273" s="18" t="s">
        <v>13</v>
      </c>
      <c r="C273" s="18" t="s">
        <v>53</v>
      </c>
    </row>
    <row r="274">
      <c r="A274" s="17" t="s">
        <v>926</v>
      </c>
      <c r="B274" s="18" t="s">
        <v>59</v>
      </c>
      <c r="C274" s="18" t="s">
        <v>1285</v>
      </c>
    </row>
    <row r="275">
      <c r="A275" s="17" t="s">
        <v>1074</v>
      </c>
      <c r="B275" s="18" t="s">
        <v>13</v>
      </c>
      <c r="C275" s="18" t="s">
        <v>81</v>
      </c>
    </row>
    <row r="276">
      <c r="A276" s="17" t="s">
        <v>285</v>
      </c>
      <c r="B276" s="18" t="s">
        <v>77</v>
      </c>
      <c r="C276" s="18" t="s">
        <v>81</v>
      </c>
    </row>
    <row r="277">
      <c r="A277" s="17" t="s">
        <v>530</v>
      </c>
      <c r="B277" s="18" t="s">
        <v>77</v>
      </c>
      <c r="C277" s="18" t="s">
        <v>53</v>
      </c>
    </row>
    <row r="278">
      <c r="A278" s="17" t="s">
        <v>161</v>
      </c>
      <c r="B278" s="18" t="s">
        <v>59</v>
      </c>
      <c r="C278" s="18" t="s">
        <v>30</v>
      </c>
    </row>
    <row r="279">
      <c r="A279" s="17" t="s">
        <v>655</v>
      </c>
      <c r="B279" s="18" t="s">
        <v>13</v>
      </c>
      <c r="C279" s="18" t="s">
        <v>73</v>
      </c>
    </row>
    <row r="280">
      <c r="A280" s="17" t="s">
        <v>634</v>
      </c>
      <c r="B280" s="18" t="s">
        <v>13</v>
      </c>
      <c r="C280" s="18" t="s">
        <v>55</v>
      </c>
    </row>
    <row r="281">
      <c r="A281" s="17" t="s">
        <v>631</v>
      </c>
      <c r="B281" s="18" t="s">
        <v>13</v>
      </c>
      <c r="C281" s="18" t="s">
        <v>15</v>
      </c>
    </row>
    <row r="282">
      <c r="A282" s="17" t="s">
        <v>131</v>
      </c>
      <c r="B282" s="18" t="s">
        <v>13</v>
      </c>
      <c r="C282" s="18" t="s">
        <v>1285</v>
      </c>
    </row>
    <row r="283">
      <c r="A283" s="17" t="s">
        <v>1165</v>
      </c>
      <c r="B283" s="18" t="s">
        <v>8</v>
      </c>
      <c r="C283" s="18" t="s">
        <v>262</v>
      </c>
    </row>
    <row r="284">
      <c r="A284" s="17" t="s">
        <v>1066</v>
      </c>
      <c r="B284" s="18" t="s">
        <v>13</v>
      </c>
      <c r="C284" s="9" t="s">
        <v>262</v>
      </c>
    </row>
    <row r="285">
      <c r="A285" s="17" t="s">
        <v>571</v>
      </c>
      <c r="B285" s="18" t="s">
        <v>13</v>
      </c>
      <c r="C285" s="18" t="s">
        <v>85</v>
      </c>
    </row>
    <row r="286">
      <c r="A286" s="17" t="s">
        <v>27</v>
      </c>
      <c r="B286" s="18" t="s">
        <v>13</v>
      </c>
      <c r="C286" s="18" t="s">
        <v>28</v>
      </c>
    </row>
    <row r="287">
      <c r="A287" s="17" t="s">
        <v>234</v>
      </c>
      <c r="B287" s="18" t="s">
        <v>8</v>
      </c>
      <c r="C287" s="18" t="s">
        <v>85</v>
      </c>
    </row>
    <row r="288">
      <c r="A288" s="17" t="s">
        <v>560</v>
      </c>
      <c r="B288" s="18" t="s">
        <v>13</v>
      </c>
      <c r="C288" s="9" t="s">
        <v>25</v>
      </c>
    </row>
    <row r="289">
      <c r="A289" s="17" t="s">
        <v>1125</v>
      </c>
      <c r="B289" s="18" t="s">
        <v>8</v>
      </c>
      <c r="C289" s="18" t="s">
        <v>66</v>
      </c>
    </row>
    <row r="290">
      <c r="A290" s="17" t="s">
        <v>945</v>
      </c>
      <c r="B290" s="18" t="s">
        <v>59</v>
      </c>
      <c r="C290" s="18" t="s">
        <v>262</v>
      </c>
    </row>
    <row r="291">
      <c r="A291" s="17" t="s">
        <v>1116</v>
      </c>
      <c r="B291" s="18" t="s">
        <v>13</v>
      </c>
      <c r="C291" s="18" t="s">
        <v>7</v>
      </c>
    </row>
    <row r="292">
      <c r="A292" s="17" t="s">
        <v>328</v>
      </c>
      <c r="B292" s="18" t="s">
        <v>193</v>
      </c>
      <c r="C292" s="18" t="s">
        <v>43</v>
      </c>
    </row>
    <row r="293">
      <c r="A293" s="17" t="s">
        <v>595</v>
      </c>
      <c r="B293" s="18" t="s">
        <v>13</v>
      </c>
      <c r="C293" s="18" t="s">
        <v>69</v>
      </c>
    </row>
    <row r="294">
      <c r="A294" s="17" t="s">
        <v>1061</v>
      </c>
      <c r="B294" s="18" t="s">
        <v>13</v>
      </c>
      <c r="C294" s="18" t="s">
        <v>64</v>
      </c>
    </row>
    <row r="295">
      <c r="A295" s="17" t="s">
        <v>418</v>
      </c>
      <c r="B295" s="18" t="s">
        <v>8</v>
      </c>
      <c r="C295" s="18" t="s">
        <v>7</v>
      </c>
    </row>
    <row r="296">
      <c r="A296" s="17" t="s">
        <v>938</v>
      </c>
      <c r="B296" s="18" t="s">
        <v>59</v>
      </c>
      <c r="C296" s="18" t="s">
        <v>1285</v>
      </c>
    </row>
    <row r="297">
      <c r="A297" s="17" t="s">
        <v>1078</v>
      </c>
      <c r="B297" s="18" t="s">
        <v>13</v>
      </c>
      <c r="C297" s="18" t="s">
        <v>262</v>
      </c>
    </row>
    <row r="298">
      <c r="A298" s="17" t="s">
        <v>578</v>
      </c>
      <c r="B298" s="18" t="s">
        <v>13</v>
      </c>
      <c r="C298" s="18" t="s">
        <v>41</v>
      </c>
    </row>
    <row r="299">
      <c r="A299" s="17" t="s">
        <v>173</v>
      </c>
      <c r="B299" s="18" t="s">
        <v>77</v>
      </c>
      <c r="C299" s="18" t="s">
        <v>25</v>
      </c>
    </row>
    <row r="300">
      <c r="A300" s="17" t="s">
        <v>960</v>
      </c>
      <c r="B300" s="18" t="s">
        <v>59</v>
      </c>
      <c r="C300" s="18" t="s">
        <v>262</v>
      </c>
    </row>
    <row r="301">
      <c r="A301" s="17" t="s">
        <v>436</v>
      </c>
      <c r="B301" s="18" t="s">
        <v>8</v>
      </c>
      <c r="C301" s="18" t="s">
        <v>23</v>
      </c>
    </row>
    <row r="302">
      <c r="A302" s="17" t="s">
        <v>371</v>
      </c>
      <c r="B302" s="18" t="s">
        <v>8</v>
      </c>
      <c r="C302" s="18" t="s">
        <v>62</v>
      </c>
    </row>
    <row r="303">
      <c r="A303" s="17" t="s">
        <v>20</v>
      </c>
      <c r="B303" s="18" t="s">
        <v>8</v>
      </c>
      <c r="C303" s="18" t="s">
        <v>21</v>
      </c>
    </row>
    <row r="304">
      <c r="A304" s="17" t="s">
        <v>1008</v>
      </c>
      <c r="B304" s="18" t="s">
        <v>13</v>
      </c>
      <c r="C304" s="18" t="s">
        <v>262</v>
      </c>
    </row>
    <row r="305">
      <c r="A305" s="17" t="s">
        <v>626</v>
      </c>
      <c r="B305" s="18" t="s">
        <v>13</v>
      </c>
      <c r="C305" s="18" t="s">
        <v>262</v>
      </c>
    </row>
    <row r="306">
      <c r="A306" s="17" t="s">
        <v>274</v>
      </c>
      <c r="B306" s="18" t="s">
        <v>77</v>
      </c>
      <c r="C306" s="18" t="s">
        <v>66</v>
      </c>
    </row>
    <row r="307">
      <c r="A307" s="17" t="s">
        <v>291</v>
      </c>
      <c r="B307" s="18" t="s">
        <v>77</v>
      </c>
      <c r="C307" s="18" t="s">
        <v>89</v>
      </c>
    </row>
    <row r="308">
      <c r="A308" s="17" t="s">
        <v>339</v>
      </c>
      <c r="B308" s="18" t="s">
        <v>193</v>
      </c>
      <c r="C308" s="18" t="s">
        <v>35</v>
      </c>
    </row>
    <row r="309">
      <c r="A309" s="17" t="s">
        <v>244</v>
      </c>
      <c r="B309" s="18" t="s">
        <v>13</v>
      </c>
      <c r="C309" s="18" t="s">
        <v>119</v>
      </c>
    </row>
    <row r="310">
      <c r="A310" s="17" t="s">
        <v>761</v>
      </c>
      <c r="B310" s="18" t="s">
        <v>59</v>
      </c>
      <c r="C310" s="18" t="s">
        <v>119</v>
      </c>
    </row>
    <row r="311">
      <c r="A311" s="17" t="s">
        <v>271</v>
      </c>
      <c r="B311" s="18" t="s">
        <v>13</v>
      </c>
      <c r="C311" s="18" t="s">
        <v>58</v>
      </c>
    </row>
    <row r="312">
      <c r="A312" s="17" t="s">
        <v>102</v>
      </c>
      <c r="B312" s="18" t="s">
        <v>8</v>
      </c>
      <c r="C312" s="18" t="s">
        <v>30</v>
      </c>
    </row>
    <row r="313">
      <c r="A313" s="17" t="s">
        <v>1046</v>
      </c>
      <c r="B313" s="18" t="s">
        <v>13</v>
      </c>
      <c r="C313" s="18" t="s">
        <v>10</v>
      </c>
    </row>
    <row r="314">
      <c r="A314" s="17" t="s">
        <v>404</v>
      </c>
      <c r="B314" s="18" t="s">
        <v>8</v>
      </c>
      <c r="C314" s="18" t="s">
        <v>262</v>
      </c>
    </row>
    <row r="315">
      <c r="A315" s="17" t="s">
        <v>1231</v>
      </c>
      <c r="B315" s="18" t="s">
        <v>77</v>
      </c>
      <c r="C315" s="18" t="s">
        <v>344</v>
      </c>
    </row>
    <row r="316">
      <c r="A316" s="17" t="s">
        <v>366</v>
      </c>
      <c r="B316" s="18" t="s">
        <v>8</v>
      </c>
      <c r="C316" s="18" t="s">
        <v>262</v>
      </c>
    </row>
    <row r="317">
      <c r="A317" s="17" t="s">
        <v>111</v>
      </c>
      <c r="B317" s="18" t="s">
        <v>13</v>
      </c>
      <c r="C317" s="18" t="s">
        <v>64</v>
      </c>
    </row>
    <row r="318">
      <c r="A318" s="17" t="s">
        <v>363</v>
      </c>
      <c r="B318" s="18" t="s">
        <v>8</v>
      </c>
      <c r="C318" s="18" t="s">
        <v>262</v>
      </c>
    </row>
    <row r="319">
      <c r="A319" s="17" t="s">
        <v>1142</v>
      </c>
      <c r="B319" s="18" t="s">
        <v>8</v>
      </c>
      <c r="C319" s="18" t="s">
        <v>262</v>
      </c>
    </row>
    <row r="320">
      <c r="A320" s="17" t="s">
        <v>1031</v>
      </c>
      <c r="B320" s="18" t="s">
        <v>13</v>
      </c>
      <c r="C320" s="18" t="s">
        <v>262</v>
      </c>
    </row>
    <row r="321">
      <c r="A321" s="17" t="s">
        <v>599</v>
      </c>
      <c r="B321" s="18" t="s">
        <v>13</v>
      </c>
      <c r="C321" s="18" t="s">
        <v>21</v>
      </c>
    </row>
    <row r="322">
      <c r="A322" s="17" t="s">
        <v>609</v>
      </c>
      <c r="B322" s="18" t="s">
        <v>13</v>
      </c>
      <c r="C322" s="18" t="s">
        <v>7</v>
      </c>
    </row>
    <row r="323">
      <c r="A323" s="17" t="s">
        <v>1099</v>
      </c>
      <c r="B323" s="18" t="s">
        <v>13</v>
      </c>
      <c r="C323" s="18" t="s">
        <v>262</v>
      </c>
    </row>
    <row r="324">
      <c r="A324" s="17" t="s">
        <v>1100</v>
      </c>
      <c r="B324" s="18" t="s">
        <v>13</v>
      </c>
      <c r="C324" s="18" t="s">
        <v>25</v>
      </c>
    </row>
    <row r="325">
      <c r="A325" s="17" t="s">
        <v>1171</v>
      </c>
      <c r="B325" s="18" t="s">
        <v>8</v>
      </c>
      <c r="C325" s="18" t="s">
        <v>262</v>
      </c>
    </row>
    <row r="326">
      <c r="A326" s="17" t="s">
        <v>74</v>
      </c>
      <c r="B326" s="18" t="s">
        <v>13</v>
      </c>
      <c r="C326" s="18" t="s">
        <v>23</v>
      </c>
    </row>
    <row r="327">
      <c r="A327" s="17" t="s">
        <v>1056</v>
      </c>
      <c r="B327" s="18" t="s">
        <v>13</v>
      </c>
      <c r="C327" s="18" t="s">
        <v>262</v>
      </c>
    </row>
    <row r="328">
      <c r="A328" s="17" t="s">
        <v>251</v>
      </c>
      <c r="B328" s="18" t="s">
        <v>13</v>
      </c>
      <c r="C328" s="18" t="s">
        <v>35</v>
      </c>
    </row>
    <row r="329">
      <c r="A329" s="17" t="s">
        <v>51</v>
      </c>
      <c r="B329" s="18" t="s">
        <v>13</v>
      </c>
      <c r="C329" s="18" t="s">
        <v>10</v>
      </c>
    </row>
    <row r="330">
      <c r="A330" s="17" t="s">
        <v>84</v>
      </c>
      <c r="B330" s="18" t="s">
        <v>13</v>
      </c>
      <c r="C330" s="18" t="s">
        <v>85</v>
      </c>
    </row>
    <row r="331">
      <c r="A331" s="17" t="s">
        <v>900</v>
      </c>
      <c r="B331" s="18" t="s">
        <v>183</v>
      </c>
      <c r="C331" s="9" t="s">
        <v>262</v>
      </c>
    </row>
    <row r="332">
      <c r="A332" s="17" t="s">
        <v>770</v>
      </c>
      <c r="B332" s="18" t="s">
        <v>59</v>
      </c>
      <c r="C332" s="18" t="s">
        <v>47</v>
      </c>
    </row>
    <row r="333">
      <c r="A333" s="17" t="s">
        <v>706</v>
      </c>
      <c r="B333" s="18" t="s">
        <v>59</v>
      </c>
      <c r="C333" s="18" t="s">
        <v>15</v>
      </c>
    </row>
    <row r="334">
      <c r="A334" s="17" t="s">
        <v>531</v>
      </c>
      <c r="B334" s="18" t="s">
        <v>13</v>
      </c>
      <c r="C334" s="18" t="s">
        <v>66</v>
      </c>
    </row>
    <row r="335">
      <c r="A335" s="17" t="s">
        <v>1049</v>
      </c>
      <c r="B335" s="18" t="s">
        <v>13</v>
      </c>
      <c r="C335" s="18" t="s">
        <v>262</v>
      </c>
    </row>
    <row r="336">
      <c r="A336" s="17" t="s">
        <v>224</v>
      </c>
      <c r="B336" s="18" t="s">
        <v>8</v>
      </c>
      <c r="C336" s="18" t="s">
        <v>21</v>
      </c>
    </row>
    <row r="337">
      <c r="A337" s="17" t="s">
        <v>1040</v>
      </c>
      <c r="B337" s="18" t="s">
        <v>13</v>
      </c>
      <c r="C337" s="18" t="s">
        <v>262</v>
      </c>
    </row>
    <row r="338">
      <c r="A338" s="17" t="s">
        <v>109</v>
      </c>
      <c r="B338" s="18" t="s">
        <v>13</v>
      </c>
      <c r="C338" s="18" t="s">
        <v>89</v>
      </c>
    </row>
    <row r="339">
      <c r="A339" s="17" t="s">
        <v>1223</v>
      </c>
      <c r="B339" s="18" t="s">
        <v>77</v>
      </c>
      <c r="C339" s="18" t="s">
        <v>41</v>
      </c>
    </row>
    <row r="340">
      <c r="A340" s="17" t="s">
        <v>288</v>
      </c>
      <c r="B340" s="18" t="s">
        <v>77</v>
      </c>
      <c r="C340" s="18" t="s">
        <v>85</v>
      </c>
    </row>
    <row r="341">
      <c r="A341" s="17" t="s">
        <v>727</v>
      </c>
      <c r="B341" s="18" t="s">
        <v>59</v>
      </c>
      <c r="C341" s="18" t="s">
        <v>19</v>
      </c>
    </row>
    <row r="342">
      <c r="A342" s="17" t="s">
        <v>835</v>
      </c>
      <c r="B342" s="18" t="s">
        <v>8</v>
      </c>
      <c r="C342" s="9" t="s">
        <v>30</v>
      </c>
    </row>
    <row r="343">
      <c r="A343" s="17" t="s">
        <v>1020</v>
      </c>
      <c r="B343" s="18" t="s">
        <v>13</v>
      </c>
      <c r="C343" s="18" t="s">
        <v>262</v>
      </c>
    </row>
    <row r="344">
      <c r="A344" s="17" t="s">
        <v>729</v>
      </c>
      <c r="B344" s="18" t="s">
        <v>59</v>
      </c>
      <c r="C344" s="18" t="s">
        <v>39</v>
      </c>
    </row>
    <row r="345">
      <c r="A345" s="17" t="s">
        <v>793</v>
      </c>
      <c r="B345" s="18" t="s">
        <v>183</v>
      </c>
      <c r="C345" s="9" t="s">
        <v>15</v>
      </c>
    </row>
    <row r="346">
      <c r="A346" s="17" t="s">
        <v>456</v>
      </c>
      <c r="B346" s="18" t="s">
        <v>8</v>
      </c>
      <c r="C346" s="18" t="s">
        <v>41</v>
      </c>
    </row>
    <row r="347">
      <c r="A347" s="17" t="s">
        <v>549</v>
      </c>
      <c r="B347" s="18" t="s">
        <v>13</v>
      </c>
      <c r="C347" s="18" t="s">
        <v>73</v>
      </c>
    </row>
    <row r="348">
      <c r="A348" s="17" t="s">
        <v>936</v>
      </c>
      <c r="B348" s="18" t="s">
        <v>59</v>
      </c>
      <c r="C348" s="18" t="s">
        <v>73</v>
      </c>
    </row>
    <row r="349">
      <c r="A349" s="17" t="s">
        <v>1120</v>
      </c>
      <c r="B349" s="18" t="s">
        <v>13</v>
      </c>
      <c r="C349" s="18" t="s">
        <v>41</v>
      </c>
    </row>
    <row r="350">
      <c r="A350" s="17" t="s">
        <v>528</v>
      </c>
      <c r="B350" s="18" t="s">
        <v>77</v>
      </c>
      <c r="C350" s="18" t="s">
        <v>15</v>
      </c>
    </row>
    <row r="351">
      <c r="A351" s="17" t="s">
        <v>815</v>
      </c>
      <c r="B351" s="18" t="s">
        <v>183</v>
      </c>
      <c r="C351" s="18" t="s">
        <v>69</v>
      </c>
    </row>
    <row r="352">
      <c r="A352" s="17" t="s">
        <v>470</v>
      </c>
      <c r="B352" s="18" t="s">
        <v>8</v>
      </c>
      <c r="C352" s="18" t="s">
        <v>19</v>
      </c>
    </row>
    <row r="353">
      <c r="A353" s="17" t="s">
        <v>1191</v>
      </c>
      <c r="B353" s="18" t="s">
        <v>8</v>
      </c>
      <c r="C353" s="18" t="s">
        <v>62</v>
      </c>
    </row>
    <row r="354">
      <c r="A354" s="17" t="s">
        <v>90</v>
      </c>
      <c r="B354" s="18" t="s">
        <v>8</v>
      </c>
      <c r="C354" s="18" t="s">
        <v>28</v>
      </c>
    </row>
    <row r="355">
      <c r="A355" s="17" t="s">
        <v>130</v>
      </c>
      <c r="B355" s="18" t="s">
        <v>13</v>
      </c>
      <c r="C355" s="18" t="s">
        <v>69</v>
      </c>
    </row>
    <row r="356">
      <c r="A356" s="17" t="s">
        <v>1163</v>
      </c>
      <c r="B356" s="18" t="s">
        <v>8</v>
      </c>
      <c r="C356" s="18" t="s">
        <v>262</v>
      </c>
    </row>
    <row r="357">
      <c r="A357" s="17" t="s">
        <v>894</v>
      </c>
      <c r="B357" s="18" t="s">
        <v>183</v>
      </c>
      <c r="C357" s="9" t="s">
        <v>262</v>
      </c>
    </row>
    <row r="358">
      <c r="A358" s="17" t="s">
        <v>1089</v>
      </c>
      <c r="B358" s="18" t="s">
        <v>13</v>
      </c>
      <c r="C358" s="18" t="s">
        <v>73</v>
      </c>
    </row>
    <row r="359">
      <c r="A359" s="17" t="s">
        <v>1017</v>
      </c>
      <c r="B359" s="18" t="s">
        <v>13</v>
      </c>
      <c r="C359" s="18" t="s">
        <v>262</v>
      </c>
    </row>
    <row r="360">
      <c r="A360" s="17" t="s">
        <v>553</v>
      </c>
      <c r="B360" s="18" t="s">
        <v>13</v>
      </c>
      <c r="C360" s="18" t="s">
        <v>262</v>
      </c>
    </row>
    <row r="361">
      <c r="A361" s="17" t="s">
        <v>235</v>
      </c>
      <c r="B361" s="18" t="s">
        <v>8</v>
      </c>
      <c r="C361" s="18" t="s">
        <v>1285</v>
      </c>
    </row>
    <row r="362">
      <c r="A362" s="17" t="s">
        <v>574</v>
      </c>
      <c r="B362" s="18" t="s">
        <v>13</v>
      </c>
      <c r="C362" s="9" t="s">
        <v>55</v>
      </c>
    </row>
    <row r="363">
      <c r="A363" s="17" t="s">
        <v>714</v>
      </c>
      <c r="B363" s="18" t="s">
        <v>59</v>
      </c>
      <c r="C363" s="18" t="s">
        <v>262</v>
      </c>
    </row>
    <row r="364">
      <c r="A364" s="17" t="s">
        <v>789</v>
      </c>
      <c r="B364" s="18" t="s">
        <v>59</v>
      </c>
      <c r="C364" s="18" t="s">
        <v>43</v>
      </c>
    </row>
    <row r="365">
      <c r="A365" s="17" t="s">
        <v>773</v>
      </c>
      <c r="B365" s="18" t="s">
        <v>59</v>
      </c>
      <c r="C365" s="18" t="s">
        <v>43</v>
      </c>
    </row>
    <row r="366">
      <c r="A366" s="17" t="s">
        <v>628</v>
      </c>
      <c r="B366" s="18" t="s">
        <v>13</v>
      </c>
      <c r="C366" s="18" t="s">
        <v>39</v>
      </c>
    </row>
    <row r="367">
      <c r="A367" s="17" t="s">
        <v>940</v>
      </c>
      <c r="B367" s="18" t="s">
        <v>59</v>
      </c>
      <c r="C367" s="18" t="s">
        <v>262</v>
      </c>
    </row>
    <row r="368">
      <c r="A368" s="17" t="s">
        <v>922</v>
      </c>
      <c r="B368" s="18" t="s">
        <v>59</v>
      </c>
      <c r="C368" s="9" t="s">
        <v>262</v>
      </c>
    </row>
    <row r="369">
      <c r="A369" s="17" t="s">
        <v>297</v>
      </c>
      <c r="B369" s="18" t="s">
        <v>59</v>
      </c>
      <c r="C369" s="18" t="s">
        <v>99</v>
      </c>
    </row>
    <row r="370">
      <c r="A370" s="17" t="s">
        <v>182</v>
      </c>
      <c r="B370" s="18" t="s">
        <v>183</v>
      </c>
      <c r="C370" s="18" t="s">
        <v>19</v>
      </c>
    </row>
    <row r="371">
      <c r="A371" s="17" t="s">
        <v>70</v>
      </c>
      <c r="B371" s="18" t="s">
        <v>8</v>
      </c>
      <c r="C371" s="18" t="s">
        <v>32</v>
      </c>
    </row>
    <row r="372">
      <c r="A372" s="17" t="s">
        <v>972</v>
      </c>
      <c r="B372" s="18" t="s">
        <v>59</v>
      </c>
      <c r="C372" s="18" t="s">
        <v>262</v>
      </c>
    </row>
    <row r="373">
      <c r="A373" s="17" t="s">
        <v>520</v>
      </c>
      <c r="B373" s="18" t="s">
        <v>77</v>
      </c>
      <c r="C373" s="18" t="s">
        <v>89</v>
      </c>
    </row>
    <row r="374">
      <c r="A374" s="17" t="s">
        <v>708</v>
      </c>
      <c r="B374" s="18" t="s">
        <v>59</v>
      </c>
      <c r="C374" s="18" t="s">
        <v>25</v>
      </c>
    </row>
    <row r="375">
      <c r="A375" s="17" t="s">
        <v>1102</v>
      </c>
      <c r="B375" s="18" t="s">
        <v>13</v>
      </c>
      <c r="C375" s="18" t="s">
        <v>89</v>
      </c>
    </row>
    <row r="376">
      <c r="A376" s="17" t="s">
        <v>1173</v>
      </c>
      <c r="B376" s="18" t="s">
        <v>8</v>
      </c>
      <c r="C376" s="18" t="s">
        <v>262</v>
      </c>
    </row>
    <row r="377">
      <c r="A377" s="17" t="s">
        <v>1003</v>
      </c>
      <c r="B377" s="18" t="s">
        <v>13</v>
      </c>
      <c r="C377" s="9" t="s">
        <v>262</v>
      </c>
    </row>
    <row r="378">
      <c r="A378" s="17" t="s">
        <v>592</v>
      </c>
      <c r="B378" s="18" t="s">
        <v>13</v>
      </c>
      <c r="C378" s="18" t="s">
        <v>85</v>
      </c>
    </row>
    <row r="379">
      <c r="A379" s="17" t="s">
        <v>420</v>
      </c>
      <c r="B379" s="18" t="s">
        <v>8</v>
      </c>
      <c r="C379" s="18" t="s">
        <v>15</v>
      </c>
    </row>
    <row r="380">
      <c r="A380" s="17" t="s">
        <v>95</v>
      </c>
      <c r="B380" s="18" t="s">
        <v>13</v>
      </c>
      <c r="C380" s="18" t="s">
        <v>30</v>
      </c>
    </row>
    <row r="381">
      <c r="A381" s="17" t="s">
        <v>1207</v>
      </c>
      <c r="B381" s="18" t="s">
        <v>77</v>
      </c>
      <c r="C381" s="18" t="s">
        <v>64</v>
      </c>
    </row>
    <row r="382">
      <c r="A382" s="17" t="s">
        <v>1216</v>
      </c>
      <c r="B382" s="18" t="s">
        <v>77</v>
      </c>
      <c r="C382" s="18" t="s">
        <v>25</v>
      </c>
    </row>
    <row r="383">
      <c r="A383" s="17" t="s">
        <v>920</v>
      </c>
      <c r="B383" s="18" t="s">
        <v>59</v>
      </c>
      <c r="C383" s="18" t="s">
        <v>35</v>
      </c>
    </row>
    <row r="384">
      <c r="A384" s="17" t="s">
        <v>129</v>
      </c>
      <c r="B384" s="18" t="s">
        <v>13</v>
      </c>
      <c r="C384" s="18" t="s">
        <v>69</v>
      </c>
    </row>
    <row r="385">
      <c r="A385" s="17" t="s">
        <v>433</v>
      </c>
      <c r="B385" s="18" t="s">
        <v>8</v>
      </c>
      <c r="C385" s="9" t="s">
        <v>53</v>
      </c>
    </row>
    <row r="386">
      <c r="A386" s="17" t="s">
        <v>1085</v>
      </c>
      <c r="B386" s="18" t="s">
        <v>13</v>
      </c>
      <c r="C386" s="18" t="s">
        <v>262</v>
      </c>
    </row>
    <row r="387">
      <c r="A387" s="17" t="s">
        <v>1000</v>
      </c>
      <c r="B387" s="18" t="s">
        <v>13</v>
      </c>
      <c r="C387" s="18" t="s">
        <v>262</v>
      </c>
    </row>
    <row r="388">
      <c r="A388" s="17" t="s">
        <v>293</v>
      </c>
      <c r="B388" s="18" t="s">
        <v>77</v>
      </c>
      <c r="C388" s="18" t="s">
        <v>85</v>
      </c>
    </row>
    <row r="389">
      <c r="A389" s="17" t="s">
        <v>719</v>
      </c>
      <c r="B389" s="18" t="s">
        <v>59</v>
      </c>
      <c r="C389" s="9" t="s">
        <v>21</v>
      </c>
    </row>
    <row r="390">
      <c r="A390" s="17" t="s">
        <v>107</v>
      </c>
      <c r="B390" s="18" t="s">
        <v>59</v>
      </c>
      <c r="C390" s="18" t="s">
        <v>28</v>
      </c>
    </row>
    <row r="391">
      <c r="A391" s="17" t="s">
        <v>258</v>
      </c>
      <c r="B391" s="18" t="s">
        <v>13</v>
      </c>
      <c r="C391" s="18" t="s">
        <v>23</v>
      </c>
    </row>
    <row r="392">
      <c r="A392" s="17" t="s">
        <v>302</v>
      </c>
      <c r="B392" s="18" t="s">
        <v>59</v>
      </c>
      <c r="C392" s="18" t="s">
        <v>15</v>
      </c>
    </row>
    <row r="393">
      <c r="A393" s="17" t="s">
        <v>677</v>
      </c>
      <c r="B393" s="18" t="s">
        <v>13</v>
      </c>
      <c r="C393" s="18" t="s">
        <v>89</v>
      </c>
    </row>
    <row r="394">
      <c r="A394" s="17" t="s">
        <v>464</v>
      </c>
      <c r="B394" s="18" t="s">
        <v>8</v>
      </c>
      <c r="C394" s="18" t="s">
        <v>39</v>
      </c>
    </row>
    <row r="395">
      <c r="A395" s="17" t="s">
        <v>240</v>
      </c>
      <c r="B395" s="18" t="s">
        <v>8</v>
      </c>
      <c r="C395" s="18" t="s">
        <v>37</v>
      </c>
    </row>
    <row r="396">
      <c r="A396" s="17" t="s">
        <v>1129</v>
      </c>
      <c r="B396" s="18" t="s">
        <v>8</v>
      </c>
      <c r="C396" s="18" t="s">
        <v>10</v>
      </c>
    </row>
    <row r="397">
      <c r="A397" s="17" t="s">
        <v>412</v>
      </c>
      <c r="B397" s="18" t="s">
        <v>8</v>
      </c>
      <c r="C397" s="18" t="s">
        <v>35</v>
      </c>
    </row>
    <row r="398">
      <c r="A398" s="17" t="s">
        <v>1032</v>
      </c>
      <c r="B398" s="18" t="s">
        <v>13</v>
      </c>
      <c r="C398" s="18" t="s">
        <v>262</v>
      </c>
    </row>
    <row r="399">
      <c r="A399" s="17" t="s">
        <v>191</v>
      </c>
      <c r="B399" s="18" t="s">
        <v>183</v>
      </c>
      <c r="C399" s="18" t="s">
        <v>53</v>
      </c>
    </row>
    <row r="400">
      <c r="A400" s="17" t="s">
        <v>753</v>
      </c>
      <c r="B400" s="18" t="s">
        <v>59</v>
      </c>
      <c r="C400" s="18" t="s">
        <v>64</v>
      </c>
    </row>
    <row r="401">
      <c r="A401" s="17" t="s">
        <v>195</v>
      </c>
      <c r="B401" s="18" t="s">
        <v>193</v>
      </c>
      <c r="C401" s="18" t="s">
        <v>47</v>
      </c>
    </row>
    <row r="402">
      <c r="A402" s="17" t="s">
        <v>643</v>
      </c>
      <c r="B402" s="18" t="s">
        <v>13</v>
      </c>
      <c r="C402" s="18" t="s">
        <v>1285</v>
      </c>
    </row>
    <row r="403">
      <c r="A403" s="17" t="s">
        <v>700</v>
      </c>
      <c r="B403" s="18" t="s">
        <v>59</v>
      </c>
      <c r="C403" s="18" t="s">
        <v>43</v>
      </c>
    </row>
    <row r="404">
      <c r="A404" s="17" t="s">
        <v>318</v>
      </c>
      <c r="B404" s="18" t="s">
        <v>183</v>
      </c>
      <c r="C404" s="18" t="s">
        <v>17</v>
      </c>
    </row>
    <row r="405">
      <c r="A405" s="17" t="s">
        <v>962</v>
      </c>
      <c r="B405" s="18" t="s">
        <v>59</v>
      </c>
      <c r="C405" s="18" t="s">
        <v>85</v>
      </c>
    </row>
    <row r="406">
      <c r="A406" s="17" t="s">
        <v>637</v>
      </c>
      <c r="B406" s="18" t="s">
        <v>13</v>
      </c>
      <c r="C406" s="18" t="s">
        <v>64</v>
      </c>
    </row>
    <row r="407">
      <c r="A407" s="17" t="s">
        <v>794</v>
      </c>
      <c r="B407" s="18" t="s">
        <v>183</v>
      </c>
      <c r="C407" s="18" t="s">
        <v>69</v>
      </c>
    </row>
    <row r="408">
      <c r="A408" s="17" t="s">
        <v>679</v>
      </c>
      <c r="B408" s="18" t="s">
        <v>13</v>
      </c>
      <c r="C408" s="18" t="s">
        <v>23</v>
      </c>
    </row>
    <row r="409">
      <c r="A409" s="17" t="s">
        <v>207</v>
      </c>
      <c r="B409" s="18" t="s">
        <v>8</v>
      </c>
      <c r="C409" s="18" t="s">
        <v>58</v>
      </c>
    </row>
    <row r="410">
      <c r="A410" s="17" t="s">
        <v>966</v>
      </c>
      <c r="B410" s="18" t="s">
        <v>59</v>
      </c>
      <c r="C410" s="18" t="s">
        <v>262</v>
      </c>
    </row>
    <row r="411">
      <c r="A411" s="17" t="s">
        <v>968</v>
      </c>
      <c r="B411" s="18" t="s">
        <v>59</v>
      </c>
      <c r="C411" s="18" t="s">
        <v>17</v>
      </c>
    </row>
    <row r="412">
      <c r="A412" s="17" t="s">
        <v>313</v>
      </c>
      <c r="B412" s="18" t="s">
        <v>59</v>
      </c>
      <c r="C412" s="9" t="s">
        <v>66</v>
      </c>
    </row>
    <row r="413">
      <c r="A413" s="17" t="s">
        <v>185</v>
      </c>
      <c r="B413" s="18" t="s">
        <v>183</v>
      </c>
      <c r="C413" s="18" t="s">
        <v>62</v>
      </c>
    </row>
    <row r="414">
      <c r="A414" s="17" t="s">
        <v>231</v>
      </c>
      <c r="B414" s="18" t="s">
        <v>8</v>
      </c>
      <c r="C414" s="18" t="s">
        <v>21</v>
      </c>
    </row>
    <row r="415">
      <c r="A415" s="17" t="s">
        <v>300</v>
      </c>
      <c r="B415" s="18" t="s">
        <v>59</v>
      </c>
      <c r="C415" s="9" t="s">
        <v>19</v>
      </c>
    </row>
    <row r="416">
      <c r="A416" s="17" t="s">
        <v>340</v>
      </c>
      <c r="B416" s="18" t="s">
        <v>193</v>
      </c>
      <c r="C416" s="18" t="s">
        <v>81</v>
      </c>
    </row>
    <row r="417">
      <c r="A417" s="17" t="s">
        <v>988</v>
      </c>
      <c r="B417" s="18" t="s">
        <v>59</v>
      </c>
      <c r="C417" s="18" t="s">
        <v>262</v>
      </c>
    </row>
    <row r="418">
      <c r="A418" s="17" t="s">
        <v>160</v>
      </c>
      <c r="B418" s="18" t="s">
        <v>59</v>
      </c>
      <c r="C418" s="18" t="s">
        <v>119</v>
      </c>
    </row>
    <row r="419">
      <c r="A419" s="17" t="s">
        <v>912</v>
      </c>
      <c r="B419" s="18" t="s">
        <v>59</v>
      </c>
      <c r="C419" s="18" t="s">
        <v>15</v>
      </c>
    </row>
    <row r="420">
      <c r="A420" s="17" t="s">
        <v>745</v>
      </c>
      <c r="B420" s="18" t="s">
        <v>59</v>
      </c>
      <c r="C420" s="18" t="s">
        <v>39</v>
      </c>
    </row>
    <row r="421">
      <c r="A421" s="17" t="s">
        <v>105</v>
      </c>
      <c r="B421" s="18" t="s">
        <v>13</v>
      </c>
      <c r="C421" s="18" t="s">
        <v>25</v>
      </c>
    </row>
    <row r="422">
      <c r="A422" s="17" t="s">
        <v>515</v>
      </c>
      <c r="B422" s="18" t="s">
        <v>77</v>
      </c>
      <c r="C422" s="18" t="s">
        <v>41</v>
      </c>
    </row>
    <row r="423">
      <c r="A423" s="17" t="s">
        <v>930</v>
      </c>
      <c r="B423" s="18" t="s">
        <v>59</v>
      </c>
      <c r="C423" s="9" t="s">
        <v>32</v>
      </c>
    </row>
    <row r="424">
      <c r="A424" s="17" t="s">
        <v>723</v>
      </c>
      <c r="B424" s="18" t="s">
        <v>59</v>
      </c>
      <c r="C424" s="9" t="s">
        <v>10</v>
      </c>
    </row>
    <row r="425">
      <c r="A425" s="17" t="s">
        <v>594</v>
      </c>
      <c r="B425" s="18" t="s">
        <v>13</v>
      </c>
      <c r="C425" s="18" t="s">
        <v>17</v>
      </c>
    </row>
    <row r="426">
      <c r="A426" s="17" t="s">
        <v>200</v>
      </c>
      <c r="B426" s="18" t="s">
        <v>193</v>
      </c>
      <c r="C426" s="9" t="s">
        <v>7</v>
      </c>
    </row>
    <row r="427">
      <c r="A427" s="17" t="s">
        <v>179</v>
      </c>
      <c r="B427" s="18" t="s">
        <v>59</v>
      </c>
      <c r="C427" s="18" t="s">
        <v>17</v>
      </c>
    </row>
    <row r="428">
      <c r="A428" s="17" t="s">
        <v>980</v>
      </c>
      <c r="B428" s="18" t="s">
        <v>59</v>
      </c>
      <c r="C428" s="18" t="s">
        <v>262</v>
      </c>
    </row>
    <row r="429">
      <c r="A429" s="17" t="s">
        <v>675</v>
      </c>
      <c r="B429" s="18" t="s">
        <v>13</v>
      </c>
      <c r="C429" s="18" t="s">
        <v>55</v>
      </c>
    </row>
    <row r="430">
      <c r="A430" s="17" t="s">
        <v>1059</v>
      </c>
      <c r="B430" s="18" t="s">
        <v>13</v>
      </c>
      <c r="C430" s="18" t="s">
        <v>262</v>
      </c>
    </row>
    <row r="431">
      <c r="A431" s="17" t="s">
        <v>683</v>
      </c>
      <c r="B431" s="18" t="s">
        <v>13</v>
      </c>
      <c r="C431" s="18" t="s">
        <v>30</v>
      </c>
    </row>
    <row r="432">
      <c r="A432" s="17" t="s">
        <v>713</v>
      </c>
      <c r="B432" s="18" t="s">
        <v>59</v>
      </c>
      <c r="C432" s="18" t="s">
        <v>58</v>
      </c>
    </row>
    <row r="433">
      <c r="A433" s="17" t="s">
        <v>533</v>
      </c>
      <c r="B433" s="18" t="s">
        <v>13</v>
      </c>
      <c r="C433" s="18" t="s">
        <v>30</v>
      </c>
    </row>
    <row r="434">
      <c r="A434" s="17" t="s">
        <v>205</v>
      </c>
      <c r="B434" s="18" t="s">
        <v>8</v>
      </c>
      <c r="C434" s="18" t="s">
        <v>15</v>
      </c>
    </row>
    <row r="435">
      <c r="A435" s="17" t="s">
        <v>1108</v>
      </c>
      <c r="B435" s="18" t="s">
        <v>13</v>
      </c>
      <c r="C435" s="9" t="s">
        <v>262</v>
      </c>
    </row>
    <row r="436">
      <c r="A436" s="17" t="s">
        <v>1086</v>
      </c>
      <c r="B436" s="18" t="s">
        <v>13</v>
      </c>
      <c r="C436" s="18" t="s">
        <v>262</v>
      </c>
    </row>
    <row r="437">
      <c r="A437" s="17" t="s">
        <v>1131</v>
      </c>
      <c r="B437" s="18" t="s">
        <v>8</v>
      </c>
      <c r="C437" s="18" t="s">
        <v>62</v>
      </c>
    </row>
    <row r="438">
      <c r="A438" s="17" t="s">
        <v>1006</v>
      </c>
      <c r="B438" s="18" t="s">
        <v>13</v>
      </c>
      <c r="C438" s="18" t="s">
        <v>262</v>
      </c>
    </row>
    <row r="439">
      <c r="A439" s="17" t="s">
        <v>1160</v>
      </c>
      <c r="B439" s="18" t="s">
        <v>8</v>
      </c>
      <c r="C439" s="18" t="s">
        <v>262</v>
      </c>
    </row>
    <row r="440">
      <c r="A440" s="17" t="s">
        <v>162</v>
      </c>
      <c r="B440" s="18" t="s">
        <v>8</v>
      </c>
      <c r="C440" s="18" t="s">
        <v>73</v>
      </c>
    </row>
    <row r="441">
      <c r="A441" s="17" t="s">
        <v>692</v>
      </c>
      <c r="B441" s="18" t="s">
        <v>59</v>
      </c>
      <c r="C441" s="18" t="s">
        <v>64</v>
      </c>
    </row>
    <row r="442">
      <c r="A442" s="17" t="s">
        <v>1068</v>
      </c>
      <c r="B442" s="18" t="s">
        <v>13</v>
      </c>
      <c r="C442" s="18" t="s">
        <v>344</v>
      </c>
    </row>
    <row r="443">
      <c r="A443" s="17" t="s">
        <v>391</v>
      </c>
      <c r="B443" s="18" t="s">
        <v>8</v>
      </c>
      <c r="C443" s="18" t="s">
        <v>119</v>
      </c>
    </row>
    <row r="444">
      <c r="A444" s="17" t="s">
        <v>67</v>
      </c>
      <c r="B444" s="18" t="s">
        <v>8</v>
      </c>
      <c r="C444" s="18" t="s">
        <v>58</v>
      </c>
    </row>
    <row r="445">
      <c r="A445" s="17" t="s">
        <v>786</v>
      </c>
      <c r="B445" s="18" t="s">
        <v>8</v>
      </c>
      <c r="C445" s="18" t="s">
        <v>41</v>
      </c>
    </row>
    <row r="446">
      <c r="A446" s="17" t="s">
        <v>661</v>
      </c>
      <c r="B446" s="18" t="s">
        <v>13</v>
      </c>
      <c r="C446" s="18" t="s">
        <v>66</v>
      </c>
    </row>
    <row r="447">
      <c r="A447" s="17" t="s">
        <v>18</v>
      </c>
      <c r="B447" s="18" t="s">
        <v>13</v>
      </c>
      <c r="C447" s="18" t="s">
        <v>19</v>
      </c>
    </row>
    <row r="448">
      <c r="A448" s="17" t="s">
        <v>967</v>
      </c>
      <c r="B448" s="18" t="s">
        <v>59</v>
      </c>
      <c r="C448" s="18" t="s">
        <v>23</v>
      </c>
    </row>
    <row r="449">
      <c r="A449" s="17" t="s">
        <v>943</v>
      </c>
      <c r="B449" s="18" t="s">
        <v>59</v>
      </c>
      <c r="C449" s="18" t="s">
        <v>7</v>
      </c>
    </row>
    <row r="450">
      <c r="A450" s="17" t="s">
        <v>755</v>
      </c>
      <c r="B450" s="18" t="s">
        <v>59</v>
      </c>
      <c r="C450" s="18" t="s">
        <v>64</v>
      </c>
    </row>
    <row r="451">
      <c r="A451" s="17" t="s">
        <v>334</v>
      </c>
      <c r="B451" s="18" t="s">
        <v>193</v>
      </c>
      <c r="C451" s="18" t="s">
        <v>99</v>
      </c>
    </row>
    <row r="452">
      <c r="A452" s="17" t="s">
        <v>527</v>
      </c>
      <c r="B452" s="18" t="s">
        <v>77</v>
      </c>
      <c r="C452" s="9" t="s">
        <v>85</v>
      </c>
    </row>
    <row r="453">
      <c r="A453" s="17" t="s">
        <v>605</v>
      </c>
      <c r="B453" s="18" t="s">
        <v>59</v>
      </c>
      <c r="C453" s="18" t="s">
        <v>344</v>
      </c>
    </row>
    <row r="454">
      <c r="A454" s="17" t="s">
        <v>742</v>
      </c>
      <c r="B454" s="18" t="s">
        <v>59</v>
      </c>
      <c r="C454" s="18" t="s">
        <v>25</v>
      </c>
    </row>
    <row r="455">
      <c r="A455" s="17" t="s">
        <v>290</v>
      </c>
      <c r="B455" s="18" t="s">
        <v>77</v>
      </c>
      <c r="C455" s="18" t="s">
        <v>66</v>
      </c>
    </row>
    <row r="456">
      <c r="A456" s="17" t="s">
        <v>452</v>
      </c>
      <c r="B456" s="18" t="s">
        <v>8</v>
      </c>
      <c r="C456" s="18" t="s">
        <v>262</v>
      </c>
    </row>
    <row r="457">
      <c r="A457" s="17" t="s">
        <v>929</v>
      </c>
      <c r="B457" s="18" t="s">
        <v>59</v>
      </c>
      <c r="C457" s="18" t="s">
        <v>262</v>
      </c>
    </row>
    <row r="458">
      <c r="A458" s="17" t="s">
        <v>604</v>
      </c>
      <c r="B458" s="18" t="s">
        <v>13</v>
      </c>
      <c r="C458" s="18" t="s">
        <v>37</v>
      </c>
    </row>
    <row r="459">
      <c r="A459" s="17" t="s">
        <v>168</v>
      </c>
      <c r="B459" s="18" t="s">
        <v>13</v>
      </c>
      <c r="C459" s="18" t="s">
        <v>73</v>
      </c>
    </row>
    <row r="460">
      <c r="A460" s="17" t="s">
        <v>1155</v>
      </c>
      <c r="B460" s="18" t="s">
        <v>8</v>
      </c>
      <c r="C460" s="18" t="s">
        <v>17</v>
      </c>
    </row>
    <row r="461">
      <c r="A461" s="17" t="s">
        <v>928</v>
      </c>
      <c r="B461" s="18" t="s">
        <v>59</v>
      </c>
      <c r="C461" s="18" t="s">
        <v>262</v>
      </c>
    </row>
    <row r="462">
      <c r="A462" s="17" t="s">
        <v>314</v>
      </c>
      <c r="B462" s="18" t="s">
        <v>183</v>
      </c>
      <c r="C462" s="9" t="s">
        <v>64</v>
      </c>
    </row>
    <row r="463">
      <c r="A463" s="17" t="s">
        <v>722</v>
      </c>
      <c r="B463" s="18" t="s">
        <v>59</v>
      </c>
      <c r="C463" s="9" t="s">
        <v>32</v>
      </c>
    </row>
    <row r="464">
      <c r="A464" s="17" t="s">
        <v>1238</v>
      </c>
      <c r="B464" s="18" t="s">
        <v>77</v>
      </c>
      <c r="C464" s="18" t="s">
        <v>262</v>
      </c>
    </row>
    <row r="465">
      <c r="A465" s="17" t="s">
        <v>414</v>
      </c>
      <c r="B465" s="18" t="s">
        <v>8</v>
      </c>
      <c r="C465" s="18" t="s">
        <v>344</v>
      </c>
    </row>
    <row r="466">
      <c r="A466" s="17" t="s">
        <v>691</v>
      </c>
      <c r="B466" s="18" t="s">
        <v>13</v>
      </c>
      <c r="C466" s="18" t="s">
        <v>30</v>
      </c>
    </row>
    <row r="467">
      <c r="A467" s="17" t="s">
        <v>1230</v>
      </c>
      <c r="B467" s="18" t="s">
        <v>77</v>
      </c>
      <c r="C467" s="18" t="s">
        <v>99</v>
      </c>
    </row>
    <row r="468">
      <c r="A468" s="17" t="s">
        <v>994</v>
      </c>
      <c r="B468" s="18" t="s">
        <v>13</v>
      </c>
      <c r="C468" s="18" t="s">
        <v>66</v>
      </c>
    </row>
    <row r="469">
      <c r="A469" s="17" t="s">
        <v>405</v>
      </c>
      <c r="B469" s="18" t="s">
        <v>8</v>
      </c>
      <c r="C469" s="9" t="s">
        <v>25</v>
      </c>
    </row>
    <row r="470">
      <c r="A470" s="17" t="s">
        <v>151</v>
      </c>
      <c r="B470" s="18" t="s">
        <v>13</v>
      </c>
      <c r="C470" s="18" t="s">
        <v>119</v>
      </c>
    </row>
    <row r="471">
      <c r="A471" s="17" t="s">
        <v>1110</v>
      </c>
      <c r="B471" s="18" t="s">
        <v>13</v>
      </c>
      <c r="C471" s="18" t="s">
        <v>262</v>
      </c>
    </row>
    <row r="472">
      <c r="A472" s="17" t="s">
        <v>689</v>
      </c>
      <c r="B472" s="18" t="s">
        <v>13</v>
      </c>
      <c r="C472" s="18" t="s">
        <v>81</v>
      </c>
    </row>
    <row r="473">
      <c r="A473" s="17" t="s">
        <v>557</v>
      </c>
      <c r="B473" s="18" t="s">
        <v>13</v>
      </c>
      <c r="C473" s="18" t="s">
        <v>15</v>
      </c>
    </row>
    <row r="474">
      <c r="A474" s="17" t="s">
        <v>1021</v>
      </c>
      <c r="B474" s="18" t="s">
        <v>13</v>
      </c>
      <c r="C474" s="18" t="s">
        <v>262</v>
      </c>
    </row>
    <row r="475">
      <c r="A475" s="17" t="s">
        <v>122</v>
      </c>
      <c r="B475" s="18" t="s">
        <v>77</v>
      </c>
      <c r="C475" s="18" t="s">
        <v>64</v>
      </c>
    </row>
    <row r="476">
      <c r="A476" s="17" t="s">
        <v>621</v>
      </c>
      <c r="B476" s="18" t="s">
        <v>13</v>
      </c>
      <c r="C476" s="18" t="s">
        <v>17</v>
      </c>
    </row>
    <row r="477">
      <c r="A477" s="17" t="s">
        <v>550</v>
      </c>
      <c r="B477" s="18" t="s">
        <v>13</v>
      </c>
      <c r="C477" s="18" t="s">
        <v>64</v>
      </c>
    </row>
    <row r="478">
      <c r="A478" s="17" t="s">
        <v>435</v>
      </c>
      <c r="B478" s="18" t="s">
        <v>8</v>
      </c>
      <c r="C478" s="18" t="s">
        <v>262</v>
      </c>
    </row>
    <row r="479">
      <c r="A479" s="17" t="s">
        <v>247</v>
      </c>
      <c r="B479" s="18" t="s">
        <v>13</v>
      </c>
      <c r="C479" s="18" t="s">
        <v>32</v>
      </c>
    </row>
    <row r="480">
      <c r="A480" s="17" t="s">
        <v>726</v>
      </c>
      <c r="B480" s="18" t="s">
        <v>59</v>
      </c>
      <c r="C480" s="9" t="s">
        <v>30</v>
      </c>
    </row>
    <row r="481">
      <c r="A481" s="17" t="s">
        <v>212</v>
      </c>
      <c r="B481" s="18" t="s">
        <v>8</v>
      </c>
      <c r="C481" s="18" t="s">
        <v>35</v>
      </c>
    </row>
    <row r="482">
      <c r="A482" s="17" t="s">
        <v>589</v>
      </c>
      <c r="B482" s="18" t="s">
        <v>13</v>
      </c>
      <c r="C482" s="9" t="s">
        <v>99</v>
      </c>
    </row>
    <row r="483">
      <c r="A483" s="17" t="s">
        <v>280</v>
      </c>
      <c r="B483" s="18" t="s">
        <v>77</v>
      </c>
      <c r="C483" s="18" t="s">
        <v>41</v>
      </c>
    </row>
    <row r="484">
      <c r="A484" s="17" t="s">
        <v>44</v>
      </c>
      <c r="B484" s="18" t="s">
        <v>8</v>
      </c>
      <c r="C484" s="18" t="s">
        <v>1285</v>
      </c>
    </row>
    <row r="485">
      <c r="A485" s="17" t="s">
        <v>144</v>
      </c>
      <c r="B485" s="18" t="s">
        <v>8</v>
      </c>
      <c r="C485" s="9" t="s">
        <v>30</v>
      </c>
    </row>
    <row r="486">
      <c r="A486" s="17" t="s">
        <v>754</v>
      </c>
      <c r="B486" s="18" t="s">
        <v>59</v>
      </c>
      <c r="C486" s="9" t="s">
        <v>35</v>
      </c>
    </row>
    <row r="487">
      <c r="A487" s="17" t="s">
        <v>1228</v>
      </c>
      <c r="B487" s="18" t="s">
        <v>77</v>
      </c>
      <c r="C487" s="18" t="s">
        <v>262</v>
      </c>
    </row>
    <row r="488">
      <c r="A488" s="17" t="s">
        <v>734</v>
      </c>
      <c r="B488" s="18" t="s">
        <v>59</v>
      </c>
      <c r="C488" s="18" t="s">
        <v>55</v>
      </c>
    </row>
    <row r="489">
      <c r="A489" s="17" t="s">
        <v>559</v>
      </c>
      <c r="B489" s="18" t="s">
        <v>13</v>
      </c>
      <c r="C489" s="9" t="s">
        <v>58</v>
      </c>
    </row>
    <row r="490">
      <c r="A490" s="17" t="s">
        <v>139</v>
      </c>
      <c r="B490" s="18" t="s">
        <v>8</v>
      </c>
      <c r="C490" s="18" t="s">
        <v>99</v>
      </c>
    </row>
    <row r="491">
      <c r="A491" s="17" t="s">
        <v>562</v>
      </c>
      <c r="B491" s="18" t="s">
        <v>13</v>
      </c>
      <c r="C491" s="18" t="s">
        <v>32</v>
      </c>
    </row>
    <row r="492">
      <c r="A492" s="17" t="s">
        <v>219</v>
      </c>
      <c r="B492" s="18" t="s">
        <v>8</v>
      </c>
      <c r="C492" s="18" t="s">
        <v>119</v>
      </c>
    </row>
    <row r="493">
      <c r="A493" s="17" t="s">
        <v>1152</v>
      </c>
      <c r="B493" s="18" t="s">
        <v>8</v>
      </c>
      <c r="C493" s="18" t="s">
        <v>35</v>
      </c>
    </row>
    <row r="494">
      <c r="A494" s="17" t="s">
        <v>167</v>
      </c>
      <c r="B494" s="18" t="s">
        <v>13</v>
      </c>
      <c r="C494" s="18" t="s">
        <v>35</v>
      </c>
    </row>
    <row r="495">
      <c r="A495" s="17" t="s">
        <v>253</v>
      </c>
      <c r="B495" s="18" t="s">
        <v>13</v>
      </c>
      <c r="C495" s="18" t="s">
        <v>30</v>
      </c>
    </row>
    <row r="496">
      <c r="A496" s="17" t="s">
        <v>378</v>
      </c>
      <c r="B496" s="18" t="s">
        <v>8</v>
      </c>
      <c r="C496" s="18" t="s">
        <v>28</v>
      </c>
    </row>
    <row r="497">
      <c r="A497" s="17" t="s">
        <v>1124</v>
      </c>
      <c r="B497" s="18" t="s">
        <v>8</v>
      </c>
      <c r="C497" s="18" t="s">
        <v>262</v>
      </c>
    </row>
    <row r="498">
      <c r="A498" s="17" t="s">
        <v>703</v>
      </c>
      <c r="B498" s="18" t="s">
        <v>59</v>
      </c>
      <c r="C498" s="18" t="s">
        <v>262</v>
      </c>
    </row>
    <row r="499">
      <c r="A499" s="17" t="s">
        <v>283</v>
      </c>
      <c r="B499" s="18" t="s">
        <v>77</v>
      </c>
      <c r="C499" s="18" t="s">
        <v>35</v>
      </c>
    </row>
    <row r="500">
      <c r="A500" s="17" t="s">
        <v>969</v>
      </c>
      <c r="B500" s="18" t="s">
        <v>59</v>
      </c>
      <c r="C500" s="18" t="s">
        <v>344</v>
      </c>
    </row>
    <row r="501">
      <c r="A501" s="17" t="s">
        <v>360</v>
      </c>
      <c r="B501" s="18" t="s">
        <v>8</v>
      </c>
      <c r="C501" s="18" t="s">
        <v>73</v>
      </c>
    </row>
    <row r="502">
      <c r="A502" s="17" t="s">
        <v>511</v>
      </c>
      <c r="B502" s="18" t="s">
        <v>77</v>
      </c>
      <c r="C502" s="18" t="s">
        <v>25</v>
      </c>
    </row>
    <row r="503">
      <c r="A503" s="17" t="s">
        <v>150</v>
      </c>
      <c r="B503" s="18" t="s">
        <v>13</v>
      </c>
      <c r="C503" s="9" t="s">
        <v>41</v>
      </c>
    </row>
    <row r="504">
      <c r="A504" s="17" t="s">
        <v>1127</v>
      </c>
      <c r="B504" s="18" t="s">
        <v>8</v>
      </c>
      <c r="C504" s="18" t="s">
        <v>35</v>
      </c>
    </row>
    <row r="505">
      <c r="A505" s="17" t="s">
        <v>923</v>
      </c>
      <c r="B505" s="18" t="s">
        <v>59</v>
      </c>
      <c r="C505" s="18" t="s">
        <v>262</v>
      </c>
    </row>
    <row r="506">
      <c r="A506" s="17" t="s">
        <v>427</v>
      </c>
      <c r="B506" s="18" t="s">
        <v>8</v>
      </c>
      <c r="C506" s="18" t="s">
        <v>64</v>
      </c>
    </row>
    <row r="507">
      <c r="A507" s="17" t="s">
        <v>995</v>
      </c>
      <c r="B507" s="18" t="s">
        <v>13</v>
      </c>
      <c r="C507" s="18" t="s">
        <v>15</v>
      </c>
    </row>
    <row r="508">
      <c r="A508" s="17" t="s">
        <v>798</v>
      </c>
      <c r="B508" s="18" t="s">
        <v>183</v>
      </c>
      <c r="C508" s="18" t="s">
        <v>85</v>
      </c>
    </row>
    <row r="509">
      <c r="A509" s="17" t="s">
        <v>792</v>
      </c>
      <c r="B509" s="18" t="s">
        <v>183</v>
      </c>
      <c r="C509" s="18" t="s">
        <v>39</v>
      </c>
    </row>
    <row r="510">
      <c r="A510" s="17" t="s">
        <v>961</v>
      </c>
      <c r="B510" s="18" t="s">
        <v>59</v>
      </c>
      <c r="C510" s="18" t="s">
        <v>25</v>
      </c>
    </row>
    <row r="511">
      <c r="A511" s="17" t="s">
        <v>573</v>
      </c>
      <c r="B511" s="18" t="s">
        <v>13</v>
      </c>
      <c r="C511" s="18" t="s">
        <v>28</v>
      </c>
    </row>
    <row r="512">
      <c r="A512" s="17" t="s">
        <v>429</v>
      </c>
      <c r="B512" s="18" t="s">
        <v>8</v>
      </c>
      <c r="C512" s="18" t="s">
        <v>262</v>
      </c>
    </row>
    <row r="513">
      <c r="A513" s="17" t="s">
        <v>1203</v>
      </c>
      <c r="B513" s="18" t="s">
        <v>8</v>
      </c>
      <c r="C513" s="18" t="s">
        <v>262</v>
      </c>
    </row>
    <row r="514">
      <c r="A514" s="17" t="s">
        <v>658</v>
      </c>
      <c r="B514" s="18" t="s">
        <v>13</v>
      </c>
      <c r="C514" s="18" t="s">
        <v>66</v>
      </c>
    </row>
    <row r="515">
      <c r="A515" s="17" t="s">
        <v>42</v>
      </c>
      <c r="B515" s="18" t="s">
        <v>8</v>
      </c>
      <c r="C515" s="18" t="s">
        <v>43</v>
      </c>
    </row>
    <row r="516">
      <c r="A516" s="17" t="s">
        <v>999</v>
      </c>
      <c r="B516" s="18" t="s">
        <v>13</v>
      </c>
      <c r="C516" s="18" t="s">
        <v>262</v>
      </c>
    </row>
    <row r="517">
      <c r="A517" s="17" t="s">
        <v>1184</v>
      </c>
      <c r="B517" s="18" t="s">
        <v>8</v>
      </c>
      <c r="C517" s="18" t="s">
        <v>262</v>
      </c>
    </row>
    <row r="518">
      <c r="A518" s="17" t="s">
        <v>60</v>
      </c>
      <c r="B518" s="18" t="s">
        <v>13</v>
      </c>
      <c r="C518" s="18" t="s">
        <v>39</v>
      </c>
    </row>
    <row r="519">
      <c r="A519" s="17" t="s">
        <v>1063</v>
      </c>
      <c r="B519" s="18" t="s">
        <v>13</v>
      </c>
      <c r="C519" s="18" t="s">
        <v>262</v>
      </c>
    </row>
    <row r="520">
      <c r="A520" s="17" t="s">
        <v>1030</v>
      </c>
      <c r="B520" s="18" t="s">
        <v>13</v>
      </c>
      <c r="C520" s="18" t="s">
        <v>262</v>
      </c>
    </row>
    <row r="521">
      <c r="A521" s="17" t="s">
        <v>1119</v>
      </c>
      <c r="B521" s="18" t="s">
        <v>13</v>
      </c>
      <c r="C521" s="18" t="s">
        <v>99</v>
      </c>
    </row>
    <row r="522">
      <c r="A522" s="17" t="s">
        <v>949</v>
      </c>
      <c r="B522" s="18" t="s">
        <v>59</v>
      </c>
      <c r="C522" s="18" t="s">
        <v>81</v>
      </c>
    </row>
    <row r="523">
      <c r="A523" s="17" t="s">
        <v>657</v>
      </c>
      <c r="B523" s="18" t="s">
        <v>13</v>
      </c>
      <c r="C523" s="9" t="s">
        <v>69</v>
      </c>
    </row>
    <row r="524">
      <c r="A524" s="17" t="s">
        <v>1113</v>
      </c>
      <c r="B524" s="18" t="s">
        <v>13</v>
      </c>
      <c r="C524" s="18" t="s">
        <v>262</v>
      </c>
    </row>
    <row r="525">
      <c r="A525" s="17" t="s">
        <v>238</v>
      </c>
      <c r="B525" s="18" t="s">
        <v>8</v>
      </c>
      <c r="C525" s="18" t="s">
        <v>28</v>
      </c>
    </row>
    <row r="526">
      <c r="A526" s="17" t="s">
        <v>709</v>
      </c>
      <c r="B526" s="18" t="s">
        <v>59</v>
      </c>
      <c r="C526" s="18" t="s">
        <v>7</v>
      </c>
    </row>
    <row r="527">
      <c r="A527" s="17" t="s">
        <v>1158</v>
      </c>
      <c r="B527" s="18" t="s">
        <v>8</v>
      </c>
      <c r="C527" s="18" t="s">
        <v>43</v>
      </c>
    </row>
    <row r="528">
      <c r="A528" s="17" t="s">
        <v>401</v>
      </c>
      <c r="B528" s="18" t="s">
        <v>8</v>
      </c>
      <c r="C528" s="18" t="s">
        <v>262</v>
      </c>
    </row>
    <row r="529">
      <c r="A529" s="17" t="s">
        <v>716</v>
      </c>
      <c r="B529" s="18" t="s">
        <v>59</v>
      </c>
      <c r="C529" s="18" t="s">
        <v>69</v>
      </c>
    </row>
    <row r="530">
      <c r="A530" s="17" t="s">
        <v>752</v>
      </c>
      <c r="B530" s="18" t="s">
        <v>59</v>
      </c>
      <c r="C530" s="18" t="s">
        <v>32</v>
      </c>
    </row>
    <row r="531">
      <c r="A531" s="17" t="s">
        <v>209</v>
      </c>
      <c r="B531" s="18" t="s">
        <v>8</v>
      </c>
      <c r="C531" s="18" t="s">
        <v>62</v>
      </c>
    </row>
    <row r="532">
      <c r="A532" s="17" t="s">
        <v>389</v>
      </c>
      <c r="B532" s="18" t="s">
        <v>8</v>
      </c>
      <c r="C532" s="18" t="s">
        <v>35</v>
      </c>
    </row>
    <row r="533">
      <c r="A533" s="17" t="s">
        <v>359</v>
      </c>
      <c r="B533" s="18" t="s">
        <v>8</v>
      </c>
      <c r="C533" s="18" t="s">
        <v>66</v>
      </c>
    </row>
    <row r="534">
      <c r="A534" s="17" t="s">
        <v>92</v>
      </c>
      <c r="B534" s="18" t="s">
        <v>13</v>
      </c>
      <c r="C534" s="18" t="s">
        <v>43</v>
      </c>
    </row>
    <row r="535">
      <c r="A535" s="17" t="s">
        <v>916</v>
      </c>
      <c r="B535" s="18" t="s">
        <v>59</v>
      </c>
      <c r="C535" s="18" t="s">
        <v>25</v>
      </c>
    </row>
    <row r="536">
      <c r="A536" s="17" t="s">
        <v>918</v>
      </c>
      <c r="B536" s="18" t="s">
        <v>59</v>
      </c>
      <c r="C536" s="18" t="s">
        <v>262</v>
      </c>
    </row>
    <row r="537">
      <c r="A537" s="17" t="s">
        <v>292</v>
      </c>
      <c r="B537" s="18" t="s">
        <v>77</v>
      </c>
      <c r="C537" s="18" t="s">
        <v>28</v>
      </c>
    </row>
    <row r="538">
      <c r="A538" s="17" t="s">
        <v>724</v>
      </c>
      <c r="B538" s="18" t="s">
        <v>59</v>
      </c>
      <c r="C538" s="18" t="s">
        <v>262</v>
      </c>
    </row>
    <row r="539">
      <c r="A539" s="17" t="s">
        <v>909</v>
      </c>
      <c r="B539" s="18" t="s">
        <v>59</v>
      </c>
      <c r="C539" s="18" t="s">
        <v>62</v>
      </c>
    </row>
    <row r="540">
      <c r="A540" s="17" t="s">
        <v>125</v>
      </c>
      <c r="B540" s="18" t="s">
        <v>77</v>
      </c>
      <c r="C540" s="18" t="s">
        <v>19</v>
      </c>
    </row>
    <row r="541">
      <c r="A541" s="17" t="s">
        <v>477</v>
      </c>
      <c r="B541" s="18" t="s">
        <v>77</v>
      </c>
      <c r="C541" s="18" t="s">
        <v>69</v>
      </c>
    </row>
    <row r="542">
      <c r="A542" s="17" t="s">
        <v>33</v>
      </c>
      <c r="B542" s="18" t="s">
        <v>8</v>
      </c>
      <c r="C542" s="18" t="s">
        <v>19</v>
      </c>
    </row>
    <row r="543">
      <c r="A543" s="17" t="s">
        <v>688</v>
      </c>
      <c r="B543" s="18" t="s">
        <v>13</v>
      </c>
      <c r="C543" s="18" t="s">
        <v>15</v>
      </c>
    </row>
    <row r="544">
      <c r="A544" s="17" t="s">
        <v>805</v>
      </c>
      <c r="B544" s="18" t="s">
        <v>183</v>
      </c>
      <c r="C544" s="18" t="s">
        <v>73</v>
      </c>
    </row>
    <row r="545">
      <c r="A545" s="17" t="s">
        <v>710</v>
      </c>
      <c r="B545" s="18" t="s">
        <v>59</v>
      </c>
      <c r="C545" s="18" t="s">
        <v>73</v>
      </c>
    </row>
    <row r="546">
      <c r="A546" s="17" t="s">
        <v>1050</v>
      </c>
      <c r="B546" s="18" t="s">
        <v>13</v>
      </c>
      <c r="C546" s="18" t="s">
        <v>37</v>
      </c>
    </row>
    <row r="547">
      <c r="A547" s="17" t="s">
        <v>784</v>
      </c>
      <c r="B547" s="18" t="s">
        <v>59</v>
      </c>
      <c r="C547" s="18" t="s">
        <v>89</v>
      </c>
    </row>
    <row r="548">
      <c r="A548" s="17" t="s">
        <v>1118</v>
      </c>
      <c r="B548" s="18" t="s">
        <v>13</v>
      </c>
      <c r="C548" s="18" t="s">
        <v>64</v>
      </c>
    </row>
    <row r="549">
      <c r="A549" s="17" t="s">
        <v>1148</v>
      </c>
      <c r="B549" s="18" t="s">
        <v>8</v>
      </c>
      <c r="C549" s="18" t="s">
        <v>66</v>
      </c>
    </row>
    <row r="550">
      <c r="A550" s="17" t="s">
        <v>1186</v>
      </c>
      <c r="B550" s="18" t="s">
        <v>8</v>
      </c>
      <c r="C550" s="18" t="s">
        <v>39</v>
      </c>
    </row>
    <row r="551">
      <c r="A551" s="17" t="s">
        <v>561</v>
      </c>
      <c r="B551" s="18" t="s">
        <v>13</v>
      </c>
      <c r="C551" s="18" t="s">
        <v>81</v>
      </c>
    </row>
    <row r="552">
      <c r="A552" s="17" t="s">
        <v>1029</v>
      </c>
      <c r="B552" s="18" t="s">
        <v>13</v>
      </c>
      <c r="C552" s="18" t="s">
        <v>262</v>
      </c>
    </row>
    <row r="553">
      <c r="A553" s="17" t="s">
        <v>1077</v>
      </c>
      <c r="B553" s="18" t="s">
        <v>13</v>
      </c>
      <c r="C553" s="18" t="s">
        <v>85</v>
      </c>
    </row>
    <row r="554">
      <c r="A554" s="17" t="s">
        <v>492</v>
      </c>
      <c r="B554" s="18" t="s">
        <v>77</v>
      </c>
      <c r="C554" s="18" t="s">
        <v>344</v>
      </c>
    </row>
    <row r="555">
      <c r="A555" s="17" t="s">
        <v>747</v>
      </c>
      <c r="B555" s="18" t="s">
        <v>59</v>
      </c>
      <c r="C555" s="18" t="s">
        <v>17</v>
      </c>
    </row>
    <row r="556">
      <c r="A556" s="17" t="s">
        <v>1128</v>
      </c>
      <c r="B556" s="18" t="s">
        <v>8</v>
      </c>
      <c r="C556" s="18" t="s">
        <v>66</v>
      </c>
    </row>
    <row r="557">
      <c r="A557" s="17" t="s">
        <v>1002</v>
      </c>
      <c r="B557" s="18" t="s">
        <v>13</v>
      </c>
      <c r="C557" s="18" t="s">
        <v>262</v>
      </c>
    </row>
    <row r="558">
      <c r="A558" s="17" t="s">
        <v>902</v>
      </c>
      <c r="B558" s="18" t="s">
        <v>183</v>
      </c>
      <c r="C558" s="18" t="s">
        <v>262</v>
      </c>
    </row>
    <row r="559">
      <c r="A559" s="17" t="s">
        <v>804</v>
      </c>
      <c r="B559" s="18" t="s">
        <v>183</v>
      </c>
      <c r="C559" s="18" t="s">
        <v>32</v>
      </c>
    </row>
    <row r="560">
      <c r="A560" s="17" t="s">
        <v>1181</v>
      </c>
      <c r="B560" s="18" t="s">
        <v>8</v>
      </c>
      <c r="C560" s="18" t="s">
        <v>262</v>
      </c>
    </row>
    <row r="561">
      <c r="A561" s="17" t="s">
        <v>6</v>
      </c>
      <c r="B561" s="18" t="s">
        <v>8</v>
      </c>
      <c r="C561" s="18" t="s">
        <v>7</v>
      </c>
    </row>
    <row r="562">
      <c r="A562" s="17" t="s">
        <v>454</v>
      </c>
      <c r="B562" s="18" t="s">
        <v>8</v>
      </c>
      <c r="C562" s="18" t="s">
        <v>1285</v>
      </c>
    </row>
    <row r="563">
      <c r="A563" s="17" t="s">
        <v>442</v>
      </c>
      <c r="B563" s="18" t="s">
        <v>8</v>
      </c>
      <c r="C563" s="18" t="s">
        <v>73</v>
      </c>
    </row>
    <row r="564">
      <c r="A564" s="17" t="s">
        <v>310</v>
      </c>
      <c r="B564" s="18" t="s">
        <v>59</v>
      </c>
      <c r="C564" s="18" t="s">
        <v>119</v>
      </c>
    </row>
    <row r="565">
      <c r="A565" s="17" t="s">
        <v>720</v>
      </c>
      <c r="B565" s="18" t="s">
        <v>59</v>
      </c>
      <c r="C565" s="18" t="s">
        <v>53</v>
      </c>
    </row>
    <row r="566">
      <c r="A566" s="17" t="s">
        <v>776</v>
      </c>
      <c r="B566" s="18" t="s">
        <v>59</v>
      </c>
      <c r="C566" s="18" t="s">
        <v>62</v>
      </c>
    </row>
    <row r="567">
      <c r="A567" s="17" t="s">
        <v>384</v>
      </c>
      <c r="B567" s="18" t="s">
        <v>8</v>
      </c>
      <c r="C567" s="18" t="s">
        <v>262</v>
      </c>
    </row>
    <row r="568">
      <c r="A568" s="17" t="s">
        <v>480</v>
      </c>
      <c r="B568" s="18" t="s">
        <v>77</v>
      </c>
      <c r="C568" s="18" t="s">
        <v>47</v>
      </c>
    </row>
    <row r="569">
      <c r="A569" s="17" t="s">
        <v>946</v>
      </c>
      <c r="B569" s="18" t="s">
        <v>59</v>
      </c>
      <c r="C569" s="18" t="s">
        <v>28</v>
      </c>
    </row>
    <row r="570">
      <c r="A570" s="17" t="s">
        <v>957</v>
      </c>
      <c r="B570" s="18" t="s">
        <v>59</v>
      </c>
      <c r="C570" s="18" t="s">
        <v>28</v>
      </c>
    </row>
    <row r="571">
      <c r="A571" s="17" t="s">
        <v>1157</v>
      </c>
      <c r="B571" s="18" t="s">
        <v>8</v>
      </c>
      <c r="C571" s="18" t="s">
        <v>262</v>
      </c>
    </row>
    <row r="572">
      <c r="A572" s="17" t="s">
        <v>1237</v>
      </c>
      <c r="B572" s="18" t="s">
        <v>77</v>
      </c>
      <c r="C572" s="9" t="s">
        <v>262</v>
      </c>
    </row>
    <row r="573">
      <c r="A573" s="17" t="s">
        <v>981</v>
      </c>
      <c r="B573" s="18" t="s">
        <v>59</v>
      </c>
      <c r="C573" s="18" t="s">
        <v>35</v>
      </c>
    </row>
    <row r="574">
      <c r="A574" s="17" t="s">
        <v>1097</v>
      </c>
      <c r="B574" s="18" t="s">
        <v>13</v>
      </c>
      <c r="C574" s="18" t="s">
        <v>25</v>
      </c>
    </row>
    <row r="575">
      <c r="A575" s="17" t="s">
        <v>437</v>
      </c>
      <c r="B575" s="18" t="s">
        <v>8</v>
      </c>
      <c r="C575" s="18" t="s">
        <v>21</v>
      </c>
    </row>
    <row r="576">
      <c r="A576" s="17" t="s">
        <v>1141</v>
      </c>
      <c r="B576" s="18" t="s">
        <v>8</v>
      </c>
      <c r="C576" s="18" t="s">
        <v>262</v>
      </c>
    </row>
    <row r="577">
      <c r="A577" s="17" t="s">
        <v>76</v>
      </c>
      <c r="B577" s="18" t="s">
        <v>77</v>
      </c>
      <c r="C577" s="18" t="s">
        <v>30</v>
      </c>
    </row>
    <row r="578">
      <c r="A578" s="17" t="s">
        <v>625</v>
      </c>
      <c r="B578" s="18" t="s">
        <v>13</v>
      </c>
      <c r="C578" s="18" t="s">
        <v>62</v>
      </c>
    </row>
    <row r="579">
      <c r="A579" s="17" t="s">
        <v>1069</v>
      </c>
      <c r="B579" s="18" t="s">
        <v>13</v>
      </c>
      <c r="C579" s="9" t="s">
        <v>64</v>
      </c>
    </row>
    <row r="580">
      <c r="A580" s="17" t="s">
        <v>944</v>
      </c>
      <c r="B580" s="18" t="s">
        <v>59</v>
      </c>
      <c r="C580" s="18" t="s">
        <v>35</v>
      </c>
    </row>
    <row r="581">
      <c r="A581" s="17" t="s">
        <v>75</v>
      </c>
      <c r="B581" s="18" t="s">
        <v>8</v>
      </c>
      <c r="C581" s="18" t="s">
        <v>25</v>
      </c>
    </row>
    <row r="582">
      <c r="A582" s="17" t="s">
        <v>508</v>
      </c>
      <c r="B582" s="18" t="s">
        <v>8</v>
      </c>
      <c r="C582" s="9" t="s">
        <v>85</v>
      </c>
    </row>
    <row r="583">
      <c r="A583" s="17" t="s">
        <v>508</v>
      </c>
      <c r="B583" s="18" t="s">
        <v>77</v>
      </c>
      <c r="C583" s="18" t="s">
        <v>43</v>
      </c>
    </row>
    <row r="584">
      <c r="A584" s="17" t="s">
        <v>803</v>
      </c>
      <c r="B584" s="18" t="s">
        <v>183</v>
      </c>
      <c r="C584" s="9" t="s">
        <v>262</v>
      </c>
    </row>
    <row r="585">
      <c r="A585" s="17" t="s">
        <v>1022</v>
      </c>
      <c r="B585" s="18" t="s">
        <v>13</v>
      </c>
      <c r="C585" s="18" t="s">
        <v>21</v>
      </c>
    </row>
    <row r="586">
      <c r="A586" s="17" t="s">
        <v>750</v>
      </c>
      <c r="B586" s="18" t="s">
        <v>59</v>
      </c>
      <c r="C586" s="18" t="s">
        <v>58</v>
      </c>
    </row>
    <row r="587">
      <c r="A587" s="17" t="s">
        <v>547</v>
      </c>
      <c r="B587" s="18" t="s">
        <v>13</v>
      </c>
      <c r="C587" s="18" t="s">
        <v>35</v>
      </c>
    </row>
    <row r="588">
      <c r="A588" s="17" t="s">
        <v>510</v>
      </c>
      <c r="B588" s="18" t="s">
        <v>77</v>
      </c>
      <c r="C588" s="18" t="s">
        <v>262</v>
      </c>
    </row>
    <row r="589">
      <c r="A589" s="17" t="s">
        <v>513</v>
      </c>
      <c r="B589" s="18" t="s">
        <v>77</v>
      </c>
      <c r="C589" s="18" t="s">
        <v>66</v>
      </c>
    </row>
    <row r="590">
      <c r="A590" s="17" t="s">
        <v>352</v>
      </c>
      <c r="B590" s="18" t="s">
        <v>8</v>
      </c>
      <c r="C590" s="18" t="s">
        <v>15</v>
      </c>
    </row>
    <row r="591">
      <c r="A591" s="17" t="s">
        <v>342</v>
      </c>
      <c r="B591" s="18" t="s">
        <v>13</v>
      </c>
      <c r="C591" s="18" t="s">
        <v>15</v>
      </c>
    </row>
    <row r="592">
      <c r="A592" s="17" t="s">
        <v>712</v>
      </c>
      <c r="B592" s="18" t="s">
        <v>59</v>
      </c>
      <c r="C592" s="18" t="s">
        <v>47</v>
      </c>
    </row>
    <row r="593">
      <c r="A593" s="17" t="s">
        <v>110</v>
      </c>
      <c r="B593" s="18" t="s">
        <v>13</v>
      </c>
      <c r="C593" s="18" t="s">
        <v>62</v>
      </c>
    </row>
    <row r="594">
      <c r="A594" s="17" t="s">
        <v>1033</v>
      </c>
      <c r="B594" s="18" t="s">
        <v>13</v>
      </c>
      <c r="C594" s="18" t="s">
        <v>119</v>
      </c>
    </row>
    <row r="595">
      <c r="A595" s="17" t="s">
        <v>252</v>
      </c>
      <c r="B595" s="18" t="s">
        <v>13</v>
      </c>
      <c r="C595" s="18" t="s">
        <v>262</v>
      </c>
    </row>
    <row r="596">
      <c r="A596" s="17" t="s">
        <v>380</v>
      </c>
      <c r="B596" s="18" t="s">
        <v>8</v>
      </c>
      <c r="C596" s="18" t="s">
        <v>58</v>
      </c>
    </row>
    <row r="597">
      <c r="A597" s="17" t="s">
        <v>275</v>
      </c>
      <c r="B597" s="18" t="s">
        <v>77</v>
      </c>
      <c r="C597" s="18" t="s">
        <v>55</v>
      </c>
    </row>
    <row r="598">
      <c r="A598" s="17" t="s">
        <v>96</v>
      </c>
      <c r="B598" s="18" t="s">
        <v>77</v>
      </c>
      <c r="C598" s="18" t="s">
        <v>15</v>
      </c>
    </row>
    <row r="599">
      <c r="A599" s="17" t="s">
        <v>237</v>
      </c>
      <c r="B599" s="18" t="s">
        <v>8</v>
      </c>
      <c r="C599" s="18" t="s">
        <v>262</v>
      </c>
    </row>
    <row r="600">
      <c r="A600" s="17" t="s">
        <v>16</v>
      </c>
      <c r="B600" s="18" t="s">
        <v>13</v>
      </c>
      <c r="C600" s="18" t="s">
        <v>17</v>
      </c>
    </row>
    <row r="601">
      <c r="A601" s="17" t="s">
        <v>904</v>
      </c>
      <c r="B601" s="18" t="s">
        <v>183</v>
      </c>
      <c r="C601" s="18" t="s">
        <v>262</v>
      </c>
    </row>
    <row r="602">
      <c r="A602" s="17" t="s">
        <v>343</v>
      </c>
      <c r="B602" s="18" t="s">
        <v>183</v>
      </c>
      <c r="C602" s="18" t="s">
        <v>58</v>
      </c>
    </row>
    <row r="603">
      <c r="A603" s="17" t="s">
        <v>603</v>
      </c>
      <c r="B603" s="18" t="s">
        <v>13</v>
      </c>
      <c r="C603" s="18" t="s">
        <v>62</v>
      </c>
    </row>
    <row r="604">
      <c r="A604" s="17" t="s">
        <v>596</v>
      </c>
      <c r="B604" s="18" t="s">
        <v>13</v>
      </c>
      <c r="C604" s="18" t="s">
        <v>62</v>
      </c>
    </row>
    <row r="605">
      <c r="A605" s="17" t="s">
        <v>580</v>
      </c>
      <c r="B605" s="18" t="s">
        <v>59</v>
      </c>
      <c r="C605" s="9" t="s">
        <v>41</v>
      </c>
    </row>
    <row r="606">
      <c r="A606" s="17" t="s">
        <v>654</v>
      </c>
      <c r="B606" s="18" t="s">
        <v>13</v>
      </c>
      <c r="C606" s="18" t="s">
        <v>47</v>
      </c>
    </row>
    <row r="607">
      <c r="A607" s="17" t="s">
        <v>267</v>
      </c>
      <c r="B607" s="18" t="s">
        <v>13</v>
      </c>
      <c r="C607" s="18" t="s">
        <v>17</v>
      </c>
    </row>
    <row r="608">
      <c r="A608" s="17" t="s">
        <v>801</v>
      </c>
      <c r="B608" s="18" t="s">
        <v>183</v>
      </c>
      <c r="C608" s="18" t="s">
        <v>81</v>
      </c>
    </row>
    <row r="609">
      <c r="A609" s="17" t="s">
        <v>133</v>
      </c>
      <c r="B609" s="18" t="s">
        <v>13</v>
      </c>
      <c r="C609" s="18" t="s">
        <v>53</v>
      </c>
    </row>
    <row r="610">
      <c r="A610" s="17" t="s">
        <v>989</v>
      </c>
      <c r="B610" s="18" t="s">
        <v>59</v>
      </c>
      <c r="C610" s="18" t="s">
        <v>53</v>
      </c>
    </row>
    <row r="611">
      <c r="A611" s="17" t="s">
        <v>975</v>
      </c>
      <c r="B611" s="18" t="s">
        <v>59</v>
      </c>
      <c r="C611" s="18" t="s">
        <v>262</v>
      </c>
    </row>
    <row r="612">
      <c r="A612" s="17" t="s">
        <v>892</v>
      </c>
      <c r="B612" s="18" t="s">
        <v>183</v>
      </c>
      <c r="C612" s="18" t="s">
        <v>262</v>
      </c>
    </row>
    <row r="613">
      <c r="A613" s="17" t="s">
        <v>419</v>
      </c>
      <c r="B613" s="18" t="s">
        <v>8</v>
      </c>
      <c r="C613" s="18" t="s">
        <v>262</v>
      </c>
    </row>
    <row r="614">
      <c r="A614" s="17" t="s">
        <v>588</v>
      </c>
      <c r="B614" s="18" t="s">
        <v>13</v>
      </c>
      <c r="C614" s="18" t="s">
        <v>35</v>
      </c>
    </row>
    <row r="615">
      <c r="A615" s="17" t="s">
        <v>330</v>
      </c>
      <c r="B615" s="18" t="s">
        <v>193</v>
      </c>
      <c r="C615" s="18" t="s">
        <v>62</v>
      </c>
    </row>
    <row r="616">
      <c r="A616" s="17" t="s">
        <v>1138</v>
      </c>
      <c r="B616" s="18" t="s">
        <v>8</v>
      </c>
      <c r="C616" s="18" t="s">
        <v>262</v>
      </c>
    </row>
    <row r="617">
      <c r="A617" s="17" t="s">
        <v>114</v>
      </c>
      <c r="B617" s="18" t="s">
        <v>8</v>
      </c>
      <c r="C617" s="18" t="s">
        <v>66</v>
      </c>
    </row>
    <row r="618">
      <c r="A618" s="17" t="s">
        <v>1105</v>
      </c>
      <c r="B618" s="18" t="s">
        <v>13</v>
      </c>
      <c r="C618" s="9" t="s">
        <v>41</v>
      </c>
    </row>
    <row r="619">
      <c r="A619" s="17" t="s">
        <v>232</v>
      </c>
      <c r="B619" s="18" t="s">
        <v>8</v>
      </c>
      <c r="C619" s="18" t="s">
        <v>37</v>
      </c>
    </row>
    <row r="620">
      <c r="A620" s="17" t="s">
        <v>367</v>
      </c>
      <c r="B620" s="18" t="s">
        <v>8</v>
      </c>
      <c r="C620" s="18" t="s">
        <v>1285</v>
      </c>
    </row>
    <row r="621">
      <c r="A621" s="17" t="s">
        <v>841</v>
      </c>
      <c r="B621" s="18" t="s">
        <v>13</v>
      </c>
      <c r="C621" s="18" t="s">
        <v>25</v>
      </c>
    </row>
    <row r="622">
      <c r="A622" s="17" t="s">
        <v>1015</v>
      </c>
      <c r="B622" s="18" t="s">
        <v>13</v>
      </c>
      <c r="C622" s="18" t="s">
        <v>53</v>
      </c>
    </row>
    <row r="623">
      <c r="A623" s="17" t="s">
        <v>49</v>
      </c>
      <c r="B623" s="18" t="s">
        <v>13</v>
      </c>
      <c r="C623" s="18" t="s">
        <v>15</v>
      </c>
    </row>
    <row r="624">
      <c r="A624" s="17" t="s">
        <v>690</v>
      </c>
      <c r="B624" s="18" t="s">
        <v>13</v>
      </c>
      <c r="C624" s="18" t="s">
        <v>28</v>
      </c>
    </row>
    <row r="625">
      <c r="A625" s="17" t="s">
        <v>1013</v>
      </c>
      <c r="B625" s="18" t="s">
        <v>13</v>
      </c>
      <c r="C625" s="18" t="s">
        <v>10</v>
      </c>
    </row>
    <row r="626">
      <c r="A626" s="17" t="s">
        <v>407</v>
      </c>
      <c r="B626" s="18" t="s">
        <v>8</v>
      </c>
      <c r="C626" s="9" t="s">
        <v>89</v>
      </c>
    </row>
    <row r="627">
      <c r="A627" s="17" t="s">
        <v>613</v>
      </c>
      <c r="B627" s="18" t="s">
        <v>13</v>
      </c>
      <c r="C627" s="18" t="s">
        <v>7</v>
      </c>
    </row>
    <row r="628">
      <c r="A628" s="17" t="s">
        <v>490</v>
      </c>
      <c r="B628" s="18" t="s">
        <v>77</v>
      </c>
      <c r="C628" s="18" t="s">
        <v>17</v>
      </c>
    </row>
    <row r="629">
      <c r="A629" s="17" t="s">
        <v>693</v>
      </c>
      <c r="B629" s="18" t="s">
        <v>13</v>
      </c>
      <c r="C629" s="18" t="s">
        <v>73</v>
      </c>
    </row>
    <row r="630">
      <c r="A630" s="17" t="s">
        <v>1081</v>
      </c>
      <c r="B630" s="18" t="s">
        <v>13</v>
      </c>
      <c r="C630" s="18" t="s">
        <v>262</v>
      </c>
    </row>
    <row r="631">
      <c r="A631" s="17" t="s">
        <v>142</v>
      </c>
      <c r="B631" s="18" t="s">
        <v>8</v>
      </c>
      <c r="C631" s="18" t="s">
        <v>85</v>
      </c>
    </row>
    <row r="632">
      <c r="A632" s="17" t="s">
        <v>736</v>
      </c>
      <c r="B632" s="18" t="s">
        <v>59</v>
      </c>
      <c r="C632" s="18" t="s">
        <v>344</v>
      </c>
    </row>
    <row r="633">
      <c r="A633" s="17" t="s">
        <v>652</v>
      </c>
      <c r="B633" s="18" t="s">
        <v>13</v>
      </c>
      <c r="C633" s="18" t="s">
        <v>43</v>
      </c>
    </row>
    <row r="634">
      <c r="A634" s="17" t="s">
        <v>269</v>
      </c>
      <c r="B634" s="18" t="s">
        <v>13</v>
      </c>
      <c r="C634" s="18" t="s">
        <v>119</v>
      </c>
    </row>
    <row r="635">
      <c r="A635" s="17" t="s">
        <v>369</v>
      </c>
      <c r="B635" s="18" t="s">
        <v>8</v>
      </c>
      <c r="C635" s="18" t="s">
        <v>17</v>
      </c>
    </row>
    <row r="636">
      <c r="A636" s="17" t="s">
        <v>448</v>
      </c>
      <c r="B636" s="18" t="s">
        <v>8</v>
      </c>
      <c r="C636" s="18" t="s">
        <v>37</v>
      </c>
    </row>
    <row r="637">
      <c r="A637" s="17" t="s">
        <v>218</v>
      </c>
      <c r="B637" s="18" t="s">
        <v>8</v>
      </c>
      <c r="C637" s="9" t="s">
        <v>64</v>
      </c>
    </row>
    <row r="638">
      <c r="A638" s="17" t="s">
        <v>152</v>
      </c>
      <c r="B638" s="18" t="s">
        <v>13</v>
      </c>
      <c r="C638" s="18" t="s">
        <v>53</v>
      </c>
    </row>
    <row r="639">
      <c r="A639" s="17" t="s">
        <v>287</v>
      </c>
      <c r="B639" s="18" t="s">
        <v>77</v>
      </c>
      <c r="C639" s="18" t="s">
        <v>23</v>
      </c>
    </row>
    <row r="640">
      <c r="A640" s="17" t="s">
        <v>1051</v>
      </c>
      <c r="B640" s="18" t="s">
        <v>13</v>
      </c>
      <c r="C640" s="18" t="s">
        <v>262</v>
      </c>
    </row>
    <row r="641">
      <c r="A641" s="17" t="s">
        <v>772</v>
      </c>
      <c r="B641" s="18" t="s">
        <v>59</v>
      </c>
      <c r="C641" s="9" t="s">
        <v>69</v>
      </c>
    </row>
    <row r="642">
      <c r="A642" s="17" t="s">
        <v>213</v>
      </c>
      <c r="B642" s="18" t="s">
        <v>8</v>
      </c>
      <c r="C642" s="18" t="s">
        <v>25</v>
      </c>
    </row>
    <row r="643">
      <c r="A643" s="17" t="s">
        <v>1145</v>
      </c>
      <c r="B643" s="18" t="s">
        <v>8</v>
      </c>
      <c r="C643" s="18" t="s">
        <v>47</v>
      </c>
    </row>
    <row r="644">
      <c r="A644" s="17" t="s">
        <v>444</v>
      </c>
      <c r="B644" s="18" t="s">
        <v>8</v>
      </c>
      <c r="C644" s="18" t="s">
        <v>262</v>
      </c>
    </row>
    <row r="645">
      <c r="A645" s="17" t="s">
        <v>390</v>
      </c>
      <c r="B645" s="18" t="s">
        <v>8</v>
      </c>
      <c r="C645" s="18" t="s">
        <v>119</v>
      </c>
    </row>
    <row r="646">
      <c r="A646" s="17" t="s">
        <v>1214</v>
      </c>
      <c r="B646" s="18" t="s">
        <v>77</v>
      </c>
      <c r="C646" s="18" t="s">
        <v>81</v>
      </c>
    </row>
    <row r="647">
      <c r="A647" s="17" t="s">
        <v>775</v>
      </c>
      <c r="B647" s="18" t="s">
        <v>59</v>
      </c>
      <c r="C647" s="18" t="s">
        <v>23</v>
      </c>
    </row>
    <row r="648">
      <c r="A648" s="17" t="s">
        <v>1009</v>
      </c>
      <c r="B648" s="18" t="s">
        <v>13</v>
      </c>
      <c r="C648" s="9" t="s">
        <v>41</v>
      </c>
    </row>
    <row r="649">
      <c r="A649" s="17" t="s">
        <v>632</v>
      </c>
      <c r="B649" s="18" t="s">
        <v>13</v>
      </c>
      <c r="C649" s="18" t="s">
        <v>89</v>
      </c>
    </row>
    <row r="650">
      <c r="A650" s="17" t="s">
        <v>222</v>
      </c>
      <c r="B650" s="18" t="s">
        <v>8</v>
      </c>
      <c r="C650" s="18" t="s">
        <v>55</v>
      </c>
    </row>
    <row r="651">
      <c r="A651" s="17" t="s">
        <v>565</v>
      </c>
      <c r="B651" s="18" t="s">
        <v>13</v>
      </c>
      <c r="C651" s="9" t="s">
        <v>30</v>
      </c>
    </row>
    <row r="652">
      <c r="A652" s="17" t="s">
        <v>431</v>
      </c>
      <c r="B652" s="18" t="s">
        <v>8</v>
      </c>
      <c r="C652" s="18" t="s">
        <v>55</v>
      </c>
    </row>
    <row r="653">
      <c r="A653" s="17" t="s">
        <v>174</v>
      </c>
      <c r="B653" s="18" t="s">
        <v>77</v>
      </c>
      <c r="C653" s="18" t="s">
        <v>17</v>
      </c>
    </row>
    <row r="654">
      <c r="A654" s="17" t="s">
        <v>1064</v>
      </c>
      <c r="B654" s="18" t="s">
        <v>13</v>
      </c>
      <c r="C654" s="18" t="s">
        <v>41</v>
      </c>
    </row>
    <row r="655">
      <c r="A655" s="17" t="s">
        <v>255</v>
      </c>
      <c r="B655" s="18" t="s">
        <v>13</v>
      </c>
      <c r="C655" s="18" t="s">
        <v>43</v>
      </c>
    </row>
    <row r="656">
      <c r="A656" s="17" t="s">
        <v>1080</v>
      </c>
      <c r="B656" s="18" t="s">
        <v>13</v>
      </c>
      <c r="C656" s="18" t="s">
        <v>262</v>
      </c>
    </row>
    <row r="657">
      <c r="A657" s="17" t="s">
        <v>788</v>
      </c>
      <c r="B657" s="18" t="s">
        <v>59</v>
      </c>
      <c r="C657" s="18" t="s">
        <v>37</v>
      </c>
    </row>
    <row r="658">
      <c r="A658" s="17" t="s">
        <v>660</v>
      </c>
      <c r="B658" s="18" t="s">
        <v>13</v>
      </c>
      <c r="C658" s="9" t="s">
        <v>119</v>
      </c>
    </row>
    <row r="659">
      <c r="A659" s="17" t="s">
        <v>1209</v>
      </c>
      <c r="B659" s="18" t="s">
        <v>77</v>
      </c>
      <c r="C659" s="18" t="s">
        <v>262</v>
      </c>
    </row>
    <row r="660">
      <c r="A660" s="17" t="s">
        <v>501</v>
      </c>
      <c r="B660" s="18" t="s">
        <v>77</v>
      </c>
      <c r="C660" s="18" t="s">
        <v>81</v>
      </c>
    </row>
    <row r="661">
      <c r="A661" s="17" t="s">
        <v>381</v>
      </c>
      <c r="B661" s="18" t="s">
        <v>8</v>
      </c>
      <c r="C661" s="18" t="s">
        <v>28</v>
      </c>
    </row>
    <row r="662">
      <c r="A662" s="17" t="s">
        <v>558</v>
      </c>
      <c r="B662" s="18" t="s">
        <v>13</v>
      </c>
      <c r="C662" s="18" t="s">
        <v>21</v>
      </c>
    </row>
    <row r="663">
      <c r="A663" s="17" t="s">
        <v>88</v>
      </c>
      <c r="B663" s="18" t="s">
        <v>59</v>
      </c>
      <c r="C663" s="9" t="s">
        <v>89</v>
      </c>
    </row>
    <row r="664">
      <c r="A664" s="17" t="s">
        <v>311</v>
      </c>
      <c r="B664" s="18" t="s">
        <v>59</v>
      </c>
      <c r="C664" s="9" t="s">
        <v>262</v>
      </c>
    </row>
    <row r="665">
      <c r="A665" s="17" t="s">
        <v>1232</v>
      </c>
      <c r="B665" s="18" t="s">
        <v>77</v>
      </c>
      <c r="C665" s="18" t="s">
        <v>262</v>
      </c>
    </row>
    <row r="666">
      <c r="A666" s="17" t="s">
        <v>485</v>
      </c>
      <c r="B666" s="18" t="s">
        <v>77</v>
      </c>
      <c r="C666" s="18" t="s">
        <v>37</v>
      </c>
    </row>
    <row r="667">
      <c r="A667" s="17" t="s">
        <v>711</v>
      </c>
      <c r="B667" s="18" t="s">
        <v>59</v>
      </c>
      <c r="C667" s="18" t="s">
        <v>7</v>
      </c>
    </row>
    <row r="668">
      <c r="A668" s="17" t="s">
        <v>120</v>
      </c>
      <c r="B668" s="18" t="s">
        <v>77</v>
      </c>
      <c r="C668" s="18" t="s">
        <v>1285</v>
      </c>
    </row>
    <row r="669">
      <c r="A669" s="17" t="s">
        <v>397</v>
      </c>
      <c r="B669" s="18" t="s">
        <v>8</v>
      </c>
      <c r="C669" s="18" t="s">
        <v>47</v>
      </c>
    </row>
    <row r="670">
      <c r="A670" s="17" t="s">
        <v>354</v>
      </c>
      <c r="B670" s="18" t="s">
        <v>8</v>
      </c>
      <c r="C670" s="18" t="s">
        <v>344</v>
      </c>
    </row>
    <row r="671">
      <c r="A671" s="17" t="s">
        <v>409</v>
      </c>
      <c r="B671" s="18" t="s">
        <v>8</v>
      </c>
      <c r="C671" s="18" t="s">
        <v>69</v>
      </c>
    </row>
    <row r="672">
      <c r="A672" s="17" t="s">
        <v>112</v>
      </c>
      <c r="B672" s="18" t="s">
        <v>77</v>
      </c>
      <c r="C672" s="18" t="s">
        <v>58</v>
      </c>
    </row>
    <row r="673">
      <c r="A673" s="17" t="s">
        <v>1169</v>
      </c>
      <c r="B673" s="18" t="s">
        <v>8</v>
      </c>
      <c r="C673" s="18" t="s">
        <v>262</v>
      </c>
    </row>
    <row r="674">
      <c r="A674" s="17" t="s">
        <v>1095</v>
      </c>
      <c r="B674" s="18" t="s">
        <v>13</v>
      </c>
      <c r="C674" s="18" t="s">
        <v>344</v>
      </c>
    </row>
    <row r="675">
      <c r="A675" s="17" t="s">
        <v>572</v>
      </c>
      <c r="B675" s="18" t="s">
        <v>13</v>
      </c>
      <c r="C675" s="18" t="s">
        <v>99</v>
      </c>
    </row>
    <row r="676">
      <c r="A676" s="17" t="s">
        <v>1037</v>
      </c>
      <c r="B676" s="18" t="s">
        <v>13</v>
      </c>
      <c r="C676" s="18" t="s">
        <v>262</v>
      </c>
    </row>
    <row r="677">
      <c r="A677" s="17" t="s">
        <v>402</v>
      </c>
      <c r="B677" s="18" t="s">
        <v>8</v>
      </c>
      <c r="C677" s="18" t="s">
        <v>15</v>
      </c>
    </row>
    <row r="678">
      <c r="A678" s="17" t="s">
        <v>332</v>
      </c>
      <c r="B678" s="18" t="s">
        <v>193</v>
      </c>
      <c r="C678" s="9" t="s">
        <v>25</v>
      </c>
    </row>
    <row r="679">
      <c r="A679" s="17" t="s">
        <v>364</v>
      </c>
      <c r="B679" s="18" t="s">
        <v>8</v>
      </c>
      <c r="C679" s="18" t="s">
        <v>262</v>
      </c>
    </row>
    <row r="680">
      <c r="A680" s="17" t="s">
        <v>534</v>
      </c>
      <c r="B680" s="18" t="s">
        <v>13</v>
      </c>
      <c r="C680" s="18" t="s">
        <v>99</v>
      </c>
    </row>
    <row r="681">
      <c r="A681" s="17" t="s">
        <v>666</v>
      </c>
      <c r="B681" s="18" t="s">
        <v>59</v>
      </c>
      <c r="C681" s="18" t="s">
        <v>69</v>
      </c>
    </row>
    <row r="682">
      <c r="A682" s="17" t="s">
        <v>386</v>
      </c>
      <c r="B682" s="18" t="s">
        <v>8</v>
      </c>
      <c r="C682" s="18" t="s">
        <v>262</v>
      </c>
    </row>
    <row r="683">
      <c r="A683" s="17" t="s">
        <v>959</v>
      </c>
      <c r="B683" s="18" t="s">
        <v>59</v>
      </c>
      <c r="C683" s="18" t="s">
        <v>262</v>
      </c>
    </row>
    <row r="684">
      <c r="A684" s="17" t="s">
        <v>36</v>
      </c>
      <c r="B684" s="18" t="s">
        <v>8</v>
      </c>
      <c r="C684" s="18" t="s">
        <v>37</v>
      </c>
    </row>
    <row r="685">
      <c r="A685" s="17" t="s">
        <v>1178</v>
      </c>
      <c r="B685" s="18" t="s">
        <v>8</v>
      </c>
      <c r="C685" s="18" t="s">
        <v>262</v>
      </c>
    </row>
    <row r="686">
      <c r="A686" s="17" t="s">
        <v>1149</v>
      </c>
      <c r="B686" s="18" t="s">
        <v>8</v>
      </c>
      <c r="C686" s="18" t="s">
        <v>262</v>
      </c>
    </row>
    <row r="687">
      <c r="A687" s="17" t="s">
        <v>954</v>
      </c>
      <c r="B687" s="18" t="s">
        <v>59</v>
      </c>
      <c r="C687" s="18" t="s">
        <v>262</v>
      </c>
    </row>
    <row r="688">
      <c r="A688" s="17" t="s">
        <v>638</v>
      </c>
      <c r="B688" s="18" t="s">
        <v>13</v>
      </c>
      <c r="C688" s="18" t="s">
        <v>119</v>
      </c>
    </row>
    <row r="689">
      <c r="A689" s="17" t="s">
        <v>813</v>
      </c>
      <c r="B689" s="18" t="s">
        <v>183</v>
      </c>
      <c r="C689" s="18" t="s">
        <v>32</v>
      </c>
    </row>
    <row r="690">
      <c r="A690" s="17" t="s">
        <v>299</v>
      </c>
      <c r="B690" s="18" t="s">
        <v>59</v>
      </c>
      <c r="C690" s="18" t="s">
        <v>73</v>
      </c>
    </row>
    <row r="691">
      <c r="A691" s="17" t="s">
        <v>512</v>
      </c>
      <c r="B691" s="18" t="s">
        <v>77</v>
      </c>
      <c r="C691" s="18" t="s">
        <v>21</v>
      </c>
    </row>
    <row r="692">
      <c r="A692" s="17" t="s">
        <v>320</v>
      </c>
      <c r="B692" s="18" t="s">
        <v>193</v>
      </c>
      <c r="C692" s="18" t="s">
        <v>15</v>
      </c>
    </row>
    <row r="693">
      <c r="A693" s="17" t="s">
        <v>325</v>
      </c>
      <c r="B693" s="18" t="s">
        <v>193</v>
      </c>
      <c r="C693" s="18" t="s">
        <v>344</v>
      </c>
    </row>
    <row r="694">
      <c r="A694" s="17" t="s">
        <v>768</v>
      </c>
      <c r="B694" s="18" t="s">
        <v>59</v>
      </c>
      <c r="C694" s="18" t="s">
        <v>99</v>
      </c>
    </row>
    <row r="695">
      <c r="A695" s="17" t="s">
        <v>963</v>
      </c>
      <c r="B695" s="18" t="s">
        <v>59</v>
      </c>
      <c r="C695" s="18" t="s">
        <v>262</v>
      </c>
    </row>
    <row r="696">
      <c r="A696" s="17" t="s">
        <v>953</v>
      </c>
      <c r="B696" s="18" t="s">
        <v>59</v>
      </c>
      <c r="C696" s="18" t="s">
        <v>85</v>
      </c>
    </row>
    <row r="697">
      <c r="A697" s="17" t="s">
        <v>642</v>
      </c>
      <c r="B697" s="18" t="s">
        <v>13</v>
      </c>
      <c r="C697" s="18" t="s">
        <v>39</v>
      </c>
    </row>
    <row r="698">
      <c r="A698" s="17" t="s">
        <v>281</v>
      </c>
      <c r="B698" s="18" t="s">
        <v>77</v>
      </c>
      <c r="C698" s="18" t="s">
        <v>119</v>
      </c>
    </row>
    <row r="699">
      <c r="A699" s="17" t="s">
        <v>591</v>
      </c>
      <c r="B699" s="18" t="s">
        <v>13</v>
      </c>
      <c r="C699" s="18" t="s">
        <v>25</v>
      </c>
    </row>
    <row r="700">
      <c r="A700" s="17" t="s">
        <v>241</v>
      </c>
      <c r="B700" s="18" t="s">
        <v>8</v>
      </c>
      <c r="C700" s="18" t="s">
        <v>262</v>
      </c>
    </row>
    <row r="701">
      <c r="A701" s="17" t="s">
        <v>1092</v>
      </c>
      <c r="B701" s="18" t="s">
        <v>13</v>
      </c>
      <c r="C701" s="18" t="s">
        <v>119</v>
      </c>
    </row>
    <row r="702">
      <c r="A702" s="17" t="s">
        <v>1117</v>
      </c>
      <c r="B702" s="18" t="s">
        <v>13</v>
      </c>
      <c r="C702" s="18" t="s">
        <v>47</v>
      </c>
    </row>
    <row r="703">
      <c r="A703" s="17" t="s">
        <v>649</v>
      </c>
      <c r="B703" s="18" t="s">
        <v>13</v>
      </c>
      <c r="C703" s="9" t="s">
        <v>28</v>
      </c>
    </row>
    <row r="704">
      <c r="A704" s="17" t="s">
        <v>474</v>
      </c>
      <c r="B704" s="18" t="s">
        <v>77</v>
      </c>
      <c r="C704" s="18" t="s">
        <v>21</v>
      </c>
    </row>
    <row r="705">
      <c r="A705" s="17" t="s">
        <v>738</v>
      </c>
      <c r="B705" s="18" t="s">
        <v>59</v>
      </c>
      <c r="C705" s="18" t="s">
        <v>47</v>
      </c>
    </row>
    <row r="706">
      <c r="A706" s="17" t="s">
        <v>937</v>
      </c>
      <c r="B706" s="18" t="s">
        <v>59</v>
      </c>
      <c r="C706" s="18" t="s">
        <v>262</v>
      </c>
    </row>
    <row r="707">
      <c r="A707" s="17" t="s">
        <v>1058</v>
      </c>
      <c r="B707" s="18" t="s">
        <v>13</v>
      </c>
      <c r="C707" s="18" t="s">
        <v>262</v>
      </c>
    </row>
    <row r="708">
      <c r="A708" s="17" t="s">
        <v>612</v>
      </c>
      <c r="B708" s="18" t="s">
        <v>13</v>
      </c>
      <c r="C708" s="18" t="s">
        <v>28</v>
      </c>
    </row>
    <row r="709">
      <c r="A709" s="17" t="s">
        <v>695</v>
      </c>
      <c r="B709" s="18" t="s">
        <v>13</v>
      </c>
      <c r="C709" s="18" t="s">
        <v>262</v>
      </c>
    </row>
    <row r="710">
      <c r="A710" s="17" t="s">
        <v>286</v>
      </c>
      <c r="B710" s="18" t="s">
        <v>77</v>
      </c>
      <c r="C710" s="18" t="s">
        <v>89</v>
      </c>
    </row>
    <row r="711">
      <c r="A711" s="17" t="s">
        <v>57</v>
      </c>
      <c r="B711" s="18" t="s">
        <v>59</v>
      </c>
      <c r="C711" s="18" t="s">
        <v>58</v>
      </c>
    </row>
    <row r="712">
      <c r="A712" s="17" t="s">
        <v>214</v>
      </c>
      <c r="B712" s="18" t="s">
        <v>8</v>
      </c>
      <c r="C712" s="18" t="s">
        <v>41</v>
      </c>
    </row>
    <row r="713">
      <c r="A713" s="17" t="s">
        <v>1045</v>
      </c>
      <c r="B713" s="18" t="s">
        <v>13</v>
      </c>
      <c r="C713" s="18" t="s">
        <v>73</v>
      </c>
    </row>
    <row r="714">
      <c r="A714" s="17" t="s">
        <v>164</v>
      </c>
      <c r="B714" s="18" t="s">
        <v>8</v>
      </c>
      <c r="C714" s="18" t="s">
        <v>81</v>
      </c>
    </row>
    <row r="715">
      <c r="A715" s="17" t="s">
        <v>542</v>
      </c>
      <c r="B715" s="18" t="s">
        <v>13</v>
      </c>
      <c r="C715" s="18" t="s">
        <v>41</v>
      </c>
    </row>
    <row r="716">
      <c r="A716" s="17" t="s">
        <v>681</v>
      </c>
      <c r="B716" s="18" t="s">
        <v>13</v>
      </c>
      <c r="C716" s="18" t="s">
        <v>30</v>
      </c>
    </row>
    <row r="717">
      <c r="A717" s="17" t="s">
        <v>170</v>
      </c>
      <c r="B717" s="18" t="s">
        <v>13</v>
      </c>
      <c r="C717" s="18" t="s">
        <v>62</v>
      </c>
    </row>
    <row r="718">
      <c r="A718" s="17" t="s">
        <v>82</v>
      </c>
      <c r="B718" s="18" t="s">
        <v>13</v>
      </c>
      <c r="C718" s="18" t="s">
        <v>1285</v>
      </c>
    </row>
    <row r="719">
      <c r="A719" s="17" t="s">
        <v>623</v>
      </c>
      <c r="B719" s="18" t="s">
        <v>13</v>
      </c>
      <c r="C719" s="18" t="s">
        <v>85</v>
      </c>
    </row>
    <row r="720">
      <c r="A720" s="17" t="s">
        <v>1044</v>
      </c>
      <c r="B720" s="18" t="s">
        <v>13</v>
      </c>
      <c r="C720" s="18" t="s">
        <v>99</v>
      </c>
    </row>
    <row r="721">
      <c r="A721" s="17" t="s">
        <v>172</v>
      </c>
      <c r="B721" s="18" t="s">
        <v>13</v>
      </c>
      <c r="C721" s="18" t="s">
        <v>99</v>
      </c>
    </row>
    <row r="722">
      <c r="A722" s="17" t="s">
        <v>797</v>
      </c>
      <c r="B722" s="18" t="s">
        <v>183</v>
      </c>
      <c r="C722" s="18" t="s">
        <v>47</v>
      </c>
    </row>
    <row r="723">
      <c r="A723" s="17" t="s">
        <v>1106</v>
      </c>
      <c r="B723" s="18" t="s">
        <v>13</v>
      </c>
      <c r="C723" s="18" t="s">
        <v>21</v>
      </c>
    </row>
    <row r="724">
      <c r="A724" s="17" t="s">
        <v>484</v>
      </c>
      <c r="B724" s="18" t="s">
        <v>77</v>
      </c>
      <c r="C724" s="18" t="s">
        <v>23</v>
      </c>
    </row>
    <row r="725">
      <c r="A725" s="17" t="s">
        <v>781</v>
      </c>
      <c r="B725" s="18" t="s">
        <v>59</v>
      </c>
      <c r="C725" s="18" t="s">
        <v>81</v>
      </c>
    </row>
    <row r="726">
      <c r="A726" s="17" t="s">
        <v>898</v>
      </c>
      <c r="B726" s="18" t="s">
        <v>183</v>
      </c>
      <c r="C726" s="9" t="s">
        <v>262</v>
      </c>
    </row>
    <row r="727">
      <c r="A727" s="17" t="s">
        <v>521</v>
      </c>
      <c r="B727" s="18" t="s">
        <v>77</v>
      </c>
      <c r="C727" s="18" t="s">
        <v>30</v>
      </c>
    </row>
    <row r="728">
      <c r="A728" s="17" t="s">
        <v>226</v>
      </c>
      <c r="B728" s="18" t="s">
        <v>8</v>
      </c>
      <c r="C728" s="18" t="s">
        <v>53</v>
      </c>
    </row>
    <row r="729">
      <c r="A729" s="17" t="s">
        <v>987</v>
      </c>
      <c r="B729" s="18" t="s">
        <v>59</v>
      </c>
      <c r="C729" s="18" t="s">
        <v>62</v>
      </c>
    </row>
    <row r="730">
      <c r="A730" s="17" t="s">
        <v>1109</v>
      </c>
      <c r="B730" s="18" t="s">
        <v>13</v>
      </c>
      <c r="C730" s="9" t="s">
        <v>262</v>
      </c>
    </row>
    <row r="731">
      <c r="A731" s="17" t="s">
        <v>475</v>
      </c>
      <c r="B731" s="18" t="s">
        <v>77</v>
      </c>
      <c r="C731" s="18" t="s">
        <v>10</v>
      </c>
    </row>
    <row r="732">
      <c r="A732" s="17" t="s">
        <v>184</v>
      </c>
      <c r="B732" s="18" t="s">
        <v>183</v>
      </c>
      <c r="C732" s="18" t="s">
        <v>344</v>
      </c>
    </row>
    <row r="733">
      <c r="A733" s="17" t="s">
        <v>950</v>
      </c>
      <c r="B733" s="18" t="s">
        <v>59</v>
      </c>
      <c r="C733" s="18" t="s">
        <v>262</v>
      </c>
    </row>
    <row r="734">
      <c r="A734" s="17" t="s">
        <v>190</v>
      </c>
      <c r="B734" s="18" t="s">
        <v>183</v>
      </c>
      <c r="C734" s="18" t="s">
        <v>1285</v>
      </c>
    </row>
    <row r="735">
      <c r="A735" s="17" t="s">
        <v>282</v>
      </c>
      <c r="B735" s="18" t="s">
        <v>77</v>
      </c>
      <c r="C735" s="18" t="s">
        <v>7</v>
      </c>
    </row>
    <row r="736">
      <c r="A736" s="17" t="s">
        <v>1221</v>
      </c>
      <c r="B736" s="18" t="s">
        <v>77</v>
      </c>
      <c r="C736" s="18" t="s">
        <v>89</v>
      </c>
    </row>
    <row r="737">
      <c r="A737" s="17" t="s">
        <v>934</v>
      </c>
      <c r="B737" s="18" t="s">
        <v>59</v>
      </c>
      <c r="C737" s="18" t="s">
        <v>119</v>
      </c>
    </row>
    <row r="738">
      <c r="A738" s="17" t="s">
        <v>1034</v>
      </c>
      <c r="B738" s="18" t="s">
        <v>13</v>
      </c>
      <c r="C738" s="18" t="s">
        <v>119</v>
      </c>
    </row>
    <row r="739">
      <c r="A739" s="17" t="s">
        <v>154</v>
      </c>
      <c r="B739" s="18" t="s">
        <v>77</v>
      </c>
      <c r="C739" s="18" t="s">
        <v>344</v>
      </c>
    </row>
    <row r="740">
      <c r="A740" s="17" t="s">
        <v>903</v>
      </c>
      <c r="B740" s="18" t="s">
        <v>183</v>
      </c>
      <c r="C740" s="18" t="s">
        <v>262</v>
      </c>
    </row>
    <row r="741">
      <c r="A741" s="17" t="s">
        <v>1096</v>
      </c>
      <c r="B741" s="18" t="s">
        <v>13</v>
      </c>
      <c r="C741" s="18" t="s">
        <v>15</v>
      </c>
    </row>
    <row r="742">
      <c r="A742" s="17" t="s">
        <v>725</v>
      </c>
      <c r="B742" s="18" t="s">
        <v>59</v>
      </c>
      <c r="C742" s="18" t="s">
        <v>1285</v>
      </c>
    </row>
    <row r="743">
      <c r="A743" s="17" t="s">
        <v>169</v>
      </c>
      <c r="B743" s="18" t="s">
        <v>13</v>
      </c>
      <c r="C743" s="18" t="s">
        <v>62</v>
      </c>
    </row>
    <row r="744">
      <c r="A744" s="17" t="s">
        <v>1206</v>
      </c>
      <c r="B744" s="18" t="s">
        <v>8</v>
      </c>
      <c r="C744" s="9" t="s">
        <v>99</v>
      </c>
    </row>
    <row r="745">
      <c r="A745" s="17" t="s">
        <v>145</v>
      </c>
      <c r="B745" s="18" t="s">
        <v>8</v>
      </c>
      <c r="C745" s="18" t="s">
        <v>43</v>
      </c>
    </row>
    <row r="746">
      <c r="A746" s="17" t="s">
        <v>321</v>
      </c>
      <c r="B746" s="18" t="s">
        <v>193</v>
      </c>
      <c r="C746" s="18" t="s">
        <v>39</v>
      </c>
    </row>
    <row r="747">
      <c r="A747" s="17" t="s">
        <v>897</v>
      </c>
      <c r="B747" s="18" t="s">
        <v>183</v>
      </c>
      <c r="C747" s="18" t="s">
        <v>262</v>
      </c>
    </row>
    <row r="748">
      <c r="A748" s="17" t="s">
        <v>1073</v>
      </c>
      <c r="B748" s="18" t="s">
        <v>13</v>
      </c>
      <c r="C748" s="18" t="s">
        <v>15</v>
      </c>
    </row>
    <row r="749">
      <c r="A749" s="17" t="s">
        <v>425</v>
      </c>
      <c r="B749" s="18" t="s">
        <v>8</v>
      </c>
      <c r="C749" s="18" t="s">
        <v>62</v>
      </c>
    </row>
    <row r="750">
      <c r="A750" s="17" t="s">
        <v>143</v>
      </c>
      <c r="B750" s="18" t="s">
        <v>8</v>
      </c>
      <c r="C750" s="9" t="s">
        <v>69</v>
      </c>
    </row>
    <row r="751">
      <c r="A751" s="17" t="s">
        <v>246</v>
      </c>
      <c r="B751" s="18" t="s">
        <v>13</v>
      </c>
      <c r="C751" s="18" t="s">
        <v>32</v>
      </c>
    </row>
    <row r="752">
      <c r="A752" s="17" t="s">
        <v>71</v>
      </c>
      <c r="B752" s="18" t="s">
        <v>13</v>
      </c>
      <c r="C752" s="9" t="s">
        <v>7</v>
      </c>
    </row>
    <row r="753">
      <c r="A753" s="17" t="s">
        <v>104</v>
      </c>
      <c r="B753" s="18" t="s">
        <v>13</v>
      </c>
      <c r="C753" s="18" t="s">
        <v>41</v>
      </c>
    </row>
    <row r="754">
      <c r="A754" s="17" t="s">
        <v>1083</v>
      </c>
      <c r="B754" s="18" t="s">
        <v>13</v>
      </c>
      <c r="C754" s="18" t="s">
        <v>64</v>
      </c>
    </row>
    <row r="755">
      <c r="A755" s="17" t="s">
        <v>1200</v>
      </c>
      <c r="B755" s="18" t="s">
        <v>8</v>
      </c>
      <c r="C755" s="18" t="s">
        <v>262</v>
      </c>
    </row>
    <row r="756">
      <c r="A756" s="17" t="s">
        <v>682</v>
      </c>
      <c r="B756" s="18" t="s">
        <v>13</v>
      </c>
      <c r="C756" s="18" t="s">
        <v>66</v>
      </c>
    </row>
    <row r="757">
      <c r="A757" s="17" t="s">
        <v>385</v>
      </c>
      <c r="B757" s="18" t="s">
        <v>8</v>
      </c>
      <c r="C757" s="18" t="s">
        <v>43</v>
      </c>
    </row>
    <row r="758">
      <c r="A758" s="17" t="s">
        <v>243</v>
      </c>
      <c r="B758" s="18" t="s">
        <v>8</v>
      </c>
      <c r="C758" s="18" t="s">
        <v>58</v>
      </c>
    </row>
    <row r="759">
      <c r="A759" s="17" t="s">
        <v>56</v>
      </c>
      <c r="B759" s="18" t="s">
        <v>13</v>
      </c>
      <c r="C759" s="18" t="s">
        <v>37</v>
      </c>
    </row>
    <row r="760">
      <c r="A760" s="17" t="s">
        <v>158</v>
      </c>
      <c r="B760" s="18" t="s">
        <v>59</v>
      </c>
      <c r="C760" s="18" t="s">
        <v>39</v>
      </c>
    </row>
    <row r="761">
      <c r="A761" s="17" t="s">
        <v>1226</v>
      </c>
      <c r="B761" s="18" t="s">
        <v>77</v>
      </c>
      <c r="C761" s="18" t="s">
        <v>262</v>
      </c>
    </row>
    <row r="762">
      <c r="A762" s="17" t="s">
        <v>890</v>
      </c>
      <c r="B762" s="18" t="s">
        <v>183</v>
      </c>
      <c r="C762" s="18" t="s">
        <v>262</v>
      </c>
    </row>
    <row r="763">
      <c r="A763" s="17" t="s">
        <v>644</v>
      </c>
      <c r="B763" s="18" t="s">
        <v>13</v>
      </c>
      <c r="C763" s="18" t="s">
        <v>7</v>
      </c>
    </row>
    <row r="764">
      <c r="A764" s="17" t="s">
        <v>630</v>
      </c>
      <c r="B764" s="18" t="s">
        <v>13</v>
      </c>
      <c r="C764" s="18" t="s">
        <v>19</v>
      </c>
    </row>
    <row r="765">
      <c r="A765" s="17" t="s">
        <v>1147</v>
      </c>
      <c r="B765" s="18" t="s">
        <v>8</v>
      </c>
      <c r="C765" s="9" t="s">
        <v>262</v>
      </c>
    </row>
    <row r="766">
      <c r="A766" s="17" t="s">
        <v>488</v>
      </c>
      <c r="B766" s="18" t="s">
        <v>77</v>
      </c>
      <c r="C766" s="18" t="s">
        <v>69</v>
      </c>
    </row>
    <row r="767">
      <c r="A767" s="17" t="s">
        <v>79</v>
      </c>
      <c r="B767" s="18" t="s">
        <v>13</v>
      </c>
      <c r="C767" s="18" t="s">
        <v>15</v>
      </c>
    </row>
    <row r="768">
      <c r="A768" s="17" t="s">
        <v>602</v>
      </c>
      <c r="B768" s="18" t="s">
        <v>13</v>
      </c>
      <c r="C768" s="18" t="s">
        <v>23</v>
      </c>
    </row>
    <row r="769">
      <c r="A769" s="17" t="s">
        <v>97</v>
      </c>
      <c r="B769" s="18" t="s">
        <v>8</v>
      </c>
      <c r="C769" s="18" t="s">
        <v>64</v>
      </c>
    </row>
    <row r="770">
      <c r="A770" s="17" t="s">
        <v>751</v>
      </c>
      <c r="B770" s="18" t="s">
        <v>59</v>
      </c>
      <c r="C770" s="18" t="s">
        <v>66</v>
      </c>
    </row>
    <row r="771">
      <c r="A771" s="17" t="s">
        <v>326</v>
      </c>
      <c r="B771" s="18" t="s">
        <v>193</v>
      </c>
      <c r="C771" s="18" t="s">
        <v>17</v>
      </c>
    </row>
    <row r="772">
      <c r="A772" s="17" t="s">
        <v>472</v>
      </c>
      <c r="B772" s="18" t="s">
        <v>77</v>
      </c>
      <c r="C772" s="18" t="s">
        <v>23</v>
      </c>
    </row>
    <row r="773">
      <c r="A773" s="17" t="s">
        <v>759</v>
      </c>
      <c r="B773" s="18" t="s">
        <v>59</v>
      </c>
      <c r="C773" s="9" t="s">
        <v>19</v>
      </c>
    </row>
    <row r="774">
      <c r="A774" s="17" t="s">
        <v>306</v>
      </c>
      <c r="B774" s="18" t="s">
        <v>59</v>
      </c>
      <c r="C774" s="18" t="s">
        <v>7</v>
      </c>
    </row>
    <row r="775">
      <c r="A775" s="17" t="s">
        <v>1043</v>
      </c>
      <c r="B775" s="18" t="s">
        <v>13</v>
      </c>
      <c r="C775" s="18" t="s">
        <v>262</v>
      </c>
    </row>
    <row r="776">
      <c r="A776" s="17" t="s">
        <v>645</v>
      </c>
      <c r="B776" s="18" t="s">
        <v>13</v>
      </c>
      <c r="C776" s="18" t="s">
        <v>43</v>
      </c>
    </row>
    <row r="777">
      <c r="A777" s="17" t="s">
        <v>941</v>
      </c>
      <c r="B777" s="18" t="s">
        <v>59</v>
      </c>
      <c r="C777" s="9" t="s">
        <v>262</v>
      </c>
    </row>
    <row r="778">
      <c r="A778" s="17" t="s">
        <v>347</v>
      </c>
      <c r="B778" s="18" t="s">
        <v>8</v>
      </c>
      <c r="C778" s="18" t="s">
        <v>39</v>
      </c>
    </row>
    <row r="779">
      <c r="A779" s="17" t="s">
        <v>1122</v>
      </c>
      <c r="B779" s="18" t="s">
        <v>13</v>
      </c>
      <c r="C779" s="9" t="s">
        <v>17</v>
      </c>
    </row>
    <row r="780">
      <c r="A780" s="17" t="s">
        <v>585</v>
      </c>
      <c r="B780" s="18" t="s">
        <v>13</v>
      </c>
      <c r="C780" s="9" t="s">
        <v>55</v>
      </c>
    </row>
    <row r="781">
      <c r="A781" s="17" t="s">
        <v>22</v>
      </c>
      <c r="B781" s="18" t="s">
        <v>8</v>
      </c>
      <c r="C781" s="9" t="s">
        <v>23</v>
      </c>
    </row>
    <row r="782">
      <c r="A782" s="17" t="s">
        <v>915</v>
      </c>
      <c r="B782" s="18" t="s">
        <v>59</v>
      </c>
      <c r="C782" s="18" t="s">
        <v>66</v>
      </c>
    </row>
    <row r="783">
      <c r="A783" s="17" t="s">
        <v>982</v>
      </c>
      <c r="B783" s="18" t="s">
        <v>59</v>
      </c>
      <c r="C783" s="18" t="s">
        <v>262</v>
      </c>
    </row>
    <row r="784">
      <c r="A784" s="17" t="s">
        <v>465</v>
      </c>
      <c r="B784" s="18" t="s">
        <v>8</v>
      </c>
      <c r="C784" s="18" t="s">
        <v>58</v>
      </c>
    </row>
    <row r="785">
      <c r="A785" s="17" t="s">
        <v>1234</v>
      </c>
      <c r="B785" s="18" t="s">
        <v>77</v>
      </c>
      <c r="C785" s="18" t="s">
        <v>17</v>
      </c>
    </row>
    <row r="786">
      <c r="A786" s="17" t="s">
        <v>514</v>
      </c>
      <c r="B786" s="18" t="s">
        <v>77</v>
      </c>
      <c r="C786" s="18" t="s">
        <v>28</v>
      </c>
    </row>
    <row r="787">
      <c r="A787" s="17" t="s">
        <v>1146</v>
      </c>
      <c r="B787" s="18" t="s">
        <v>8</v>
      </c>
      <c r="C787" s="18" t="s">
        <v>99</v>
      </c>
    </row>
    <row r="788">
      <c r="A788" s="17" t="s">
        <v>529</v>
      </c>
      <c r="B788" s="18" t="s">
        <v>77</v>
      </c>
      <c r="C788" s="9" t="s">
        <v>55</v>
      </c>
    </row>
    <row r="789">
      <c r="A789" s="17" t="s">
        <v>545</v>
      </c>
      <c r="B789" s="18" t="s">
        <v>13</v>
      </c>
      <c r="C789" s="18" t="s">
        <v>119</v>
      </c>
    </row>
    <row r="790">
      <c r="A790" s="17" t="s">
        <v>322</v>
      </c>
      <c r="B790" s="18" t="s">
        <v>193</v>
      </c>
      <c r="C790" s="9" t="s">
        <v>119</v>
      </c>
    </row>
    <row r="791">
      <c r="A791" s="17" t="s">
        <v>194</v>
      </c>
      <c r="B791" s="18" t="s">
        <v>193</v>
      </c>
      <c r="C791" s="18" t="s">
        <v>41</v>
      </c>
    </row>
    <row r="792">
      <c r="A792" s="17" t="s">
        <v>331</v>
      </c>
      <c r="B792" s="18" t="s">
        <v>193</v>
      </c>
      <c r="C792" s="18" t="s">
        <v>53</v>
      </c>
    </row>
    <row r="793">
      <c r="A793" s="17" t="s">
        <v>333</v>
      </c>
      <c r="B793" s="18" t="s">
        <v>193</v>
      </c>
      <c r="C793" s="18" t="s">
        <v>69</v>
      </c>
    </row>
    <row r="794">
      <c r="A794" s="17" t="s">
        <v>432</v>
      </c>
      <c r="B794" s="18" t="s">
        <v>8</v>
      </c>
      <c r="C794" s="18" t="s">
        <v>69</v>
      </c>
    </row>
    <row r="795">
      <c r="A795" s="17" t="s">
        <v>1170</v>
      </c>
      <c r="B795" s="18" t="s">
        <v>8</v>
      </c>
      <c r="C795" s="18" t="s">
        <v>85</v>
      </c>
    </row>
    <row r="796">
      <c r="A796" s="17" t="s">
        <v>971</v>
      </c>
      <c r="B796" s="18" t="s">
        <v>59</v>
      </c>
      <c r="C796" s="18" t="s">
        <v>25</v>
      </c>
    </row>
    <row r="797">
      <c r="A797" s="17" t="s">
        <v>741</v>
      </c>
      <c r="B797" s="18" t="s">
        <v>59</v>
      </c>
      <c r="C797" s="18" t="s">
        <v>58</v>
      </c>
    </row>
    <row r="798">
      <c r="A798" s="17" t="s">
        <v>65</v>
      </c>
      <c r="B798" s="18" t="s">
        <v>8</v>
      </c>
      <c r="C798" s="18" t="s">
        <v>66</v>
      </c>
    </row>
    <row r="799">
      <c r="A799" s="17" t="s">
        <v>1211</v>
      </c>
      <c r="B799" s="18" t="s">
        <v>77</v>
      </c>
      <c r="C799" s="18" t="s">
        <v>262</v>
      </c>
    </row>
    <row r="800">
      <c r="A800" s="17" t="s">
        <v>491</v>
      </c>
      <c r="B800" s="18" t="s">
        <v>77</v>
      </c>
      <c r="C800" s="18" t="s">
        <v>7</v>
      </c>
    </row>
    <row r="801">
      <c r="A801" s="17" t="s">
        <v>188</v>
      </c>
      <c r="B801" s="18" t="s">
        <v>183</v>
      </c>
      <c r="C801" s="18" t="s">
        <v>119</v>
      </c>
    </row>
    <row r="802">
      <c r="A802" s="17" t="s">
        <v>991</v>
      </c>
      <c r="B802" s="18" t="s">
        <v>59</v>
      </c>
      <c r="C802" s="18" t="s">
        <v>62</v>
      </c>
    </row>
    <row r="803">
      <c r="A803" s="17" t="s">
        <v>500</v>
      </c>
      <c r="B803" s="18" t="s">
        <v>77</v>
      </c>
      <c r="C803" s="18" t="s">
        <v>25</v>
      </c>
    </row>
    <row r="804">
      <c r="A804" s="17" t="s">
        <v>992</v>
      </c>
      <c r="B804" s="18" t="s">
        <v>59</v>
      </c>
      <c r="C804" s="18" t="s">
        <v>17</v>
      </c>
    </row>
    <row r="805">
      <c r="A805" s="17" t="s">
        <v>1156</v>
      </c>
      <c r="B805" s="18" t="s">
        <v>8</v>
      </c>
      <c r="C805" s="18" t="s">
        <v>32</v>
      </c>
    </row>
    <row r="806">
      <c r="A806" s="17" t="s">
        <v>731</v>
      </c>
      <c r="B806" s="18" t="s">
        <v>59</v>
      </c>
      <c r="C806" s="18" t="s">
        <v>41</v>
      </c>
    </row>
    <row r="807">
      <c r="A807" s="17" t="s">
        <v>257</v>
      </c>
      <c r="B807" s="18" t="s">
        <v>13</v>
      </c>
      <c r="C807" s="18" t="s">
        <v>21</v>
      </c>
    </row>
    <row r="808">
      <c r="A808" s="17" t="s">
        <v>250</v>
      </c>
      <c r="B808" s="18" t="s">
        <v>13</v>
      </c>
      <c r="C808" s="18" t="s">
        <v>81</v>
      </c>
    </row>
    <row r="809">
      <c r="A809" s="17" t="s">
        <v>569</v>
      </c>
      <c r="B809" s="18" t="s">
        <v>13</v>
      </c>
      <c r="C809" s="18" t="s">
        <v>32</v>
      </c>
    </row>
    <row r="810">
      <c r="A810" s="17" t="s">
        <v>177</v>
      </c>
      <c r="B810" s="18" t="s">
        <v>59</v>
      </c>
      <c r="C810" s="18" t="s">
        <v>85</v>
      </c>
    </row>
    <row r="811">
      <c r="A811" s="17" t="s">
        <v>744</v>
      </c>
      <c r="B811" s="18" t="s">
        <v>59</v>
      </c>
      <c r="C811" s="18" t="s">
        <v>62</v>
      </c>
    </row>
    <row r="812">
      <c r="A812" s="17" t="s">
        <v>973</v>
      </c>
      <c r="B812" s="18" t="s">
        <v>59</v>
      </c>
      <c r="C812" s="18" t="s">
        <v>64</v>
      </c>
    </row>
    <row r="813">
      <c r="A813" s="17" t="s">
        <v>663</v>
      </c>
      <c r="B813" s="18" t="s">
        <v>13</v>
      </c>
      <c r="C813" s="18" t="s">
        <v>55</v>
      </c>
    </row>
    <row r="814">
      <c r="A814" s="17" t="s">
        <v>146</v>
      </c>
      <c r="B814" s="18" t="s">
        <v>8</v>
      </c>
      <c r="C814" s="18" t="s">
        <v>7</v>
      </c>
    </row>
    <row r="815">
      <c r="A815" s="17" t="s">
        <v>699</v>
      </c>
      <c r="B815" s="18" t="s">
        <v>59</v>
      </c>
      <c r="C815" s="18" t="s">
        <v>30</v>
      </c>
    </row>
    <row r="816">
      <c r="A816" s="17" t="s">
        <v>261</v>
      </c>
      <c r="B816" s="18" t="s">
        <v>13</v>
      </c>
      <c r="C816" s="18" t="s">
        <v>262</v>
      </c>
    </row>
    <row r="817">
      <c r="A817" s="17" t="s">
        <v>566</v>
      </c>
      <c r="B817" s="18" t="s">
        <v>13</v>
      </c>
      <c r="C817" s="18" t="s">
        <v>89</v>
      </c>
    </row>
    <row r="818">
      <c r="A818" s="17" t="s">
        <v>1091</v>
      </c>
      <c r="B818" s="18" t="s">
        <v>13</v>
      </c>
      <c r="C818" s="9" t="s">
        <v>62</v>
      </c>
    </row>
    <row r="819">
      <c r="A819" s="17" t="s">
        <v>1212</v>
      </c>
      <c r="B819" s="18" t="s">
        <v>77</v>
      </c>
      <c r="C819" s="18" t="s">
        <v>10</v>
      </c>
    </row>
    <row r="820">
      <c r="A820" s="17" t="s">
        <v>758</v>
      </c>
      <c r="B820" s="18" t="s">
        <v>59</v>
      </c>
      <c r="C820" s="18" t="s">
        <v>89</v>
      </c>
    </row>
    <row r="821">
      <c r="A821" s="17" t="s">
        <v>272</v>
      </c>
      <c r="B821" s="18" t="s">
        <v>13</v>
      </c>
      <c r="C821" s="18" t="s">
        <v>7</v>
      </c>
    </row>
    <row r="822">
      <c r="A822" s="17" t="s">
        <v>159</v>
      </c>
      <c r="B822" s="18" t="s">
        <v>59</v>
      </c>
      <c r="C822" s="18" t="s">
        <v>23</v>
      </c>
    </row>
    <row r="823">
      <c r="A823" s="17" t="s">
        <v>1161</v>
      </c>
      <c r="B823" s="18" t="s">
        <v>8</v>
      </c>
      <c r="C823" s="18" t="s">
        <v>262</v>
      </c>
    </row>
    <row r="824">
      <c r="A824" s="17" t="s">
        <v>86</v>
      </c>
      <c r="B824" s="18" t="s">
        <v>77</v>
      </c>
      <c r="C824" s="18" t="s">
        <v>62</v>
      </c>
    </row>
    <row r="825">
      <c r="A825" s="17" t="s">
        <v>387</v>
      </c>
      <c r="B825" s="18" t="s">
        <v>8</v>
      </c>
      <c r="C825" s="18" t="s">
        <v>58</v>
      </c>
    </row>
    <row r="826">
      <c r="A826" s="17" t="s">
        <v>1130</v>
      </c>
      <c r="B826" s="18" t="s">
        <v>8</v>
      </c>
      <c r="C826" s="18" t="s">
        <v>47</v>
      </c>
    </row>
    <row r="827">
      <c r="A827" s="17" t="s">
        <v>852</v>
      </c>
      <c r="B827" s="18" t="s">
        <v>59</v>
      </c>
      <c r="C827" s="18" t="s">
        <v>81</v>
      </c>
    </row>
    <row r="828">
      <c r="A828" s="17" t="s">
        <v>653</v>
      </c>
      <c r="B828" s="18" t="s">
        <v>13</v>
      </c>
      <c r="C828" s="18" t="s">
        <v>85</v>
      </c>
    </row>
    <row r="829">
      <c r="A829" s="17" t="s">
        <v>1188</v>
      </c>
      <c r="B829" s="18" t="s">
        <v>8</v>
      </c>
      <c r="C829" s="18" t="s">
        <v>262</v>
      </c>
    </row>
    <row r="830">
      <c r="A830" s="17" t="s">
        <v>715</v>
      </c>
      <c r="B830" s="18" t="s">
        <v>59</v>
      </c>
      <c r="C830" s="18" t="s">
        <v>81</v>
      </c>
    </row>
    <row r="831">
      <c r="A831" s="17" t="s">
        <v>1011</v>
      </c>
      <c r="B831" s="18" t="s">
        <v>13</v>
      </c>
      <c r="C831" s="9" t="s">
        <v>262</v>
      </c>
    </row>
    <row r="832">
      <c r="A832" s="17" t="s">
        <v>324</v>
      </c>
      <c r="B832" s="18" t="s">
        <v>193</v>
      </c>
      <c r="C832" s="18" t="s">
        <v>64</v>
      </c>
    </row>
    <row r="833">
      <c r="A833" s="17" t="s">
        <v>1219</v>
      </c>
      <c r="B833" s="18" t="s">
        <v>77</v>
      </c>
      <c r="C833" s="18" t="s">
        <v>262</v>
      </c>
    </row>
    <row r="834">
      <c r="A834" s="17" t="s">
        <v>600</v>
      </c>
      <c r="B834" s="18" t="s">
        <v>13</v>
      </c>
      <c r="C834" s="18" t="s">
        <v>81</v>
      </c>
    </row>
    <row r="835">
      <c r="A835" s="17" t="s">
        <v>350</v>
      </c>
      <c r="B835" s="18" t="s">
        <v>8</v>
      </c>
      <c r="C835" s="18" t="s">
        <v>7</v>
      </c>
    </row>
    <row r="836">
      <c r="A836" s="17" t="s">
        <v>239</v>
      </c>
      <c r="B836" s="18" t="s">
        <v>8</v>
      </c>
      <c r="C836" s="18" t="s">
        <v>119</v>
      </c>
    </row>
    <row r="837">
      <c r="A837" s="17" t="s">
        <v>202</v>
      </c>
      <c r="B837" s="18" t="s">
        <v>193</v>
      </c>
      <c r="C837" s="18" t="s">
        <v>23</v>
      </c>
    </row>
    <row r="838">
      <c r="A838" s="17" t="s">
        <v>607</v>
      </c>
      <c r="B838" s="18" t="s">
        <v>13</v>
      </c>
      <c r="C838" s="9" t="s">
        <v>39</v>
      </c>
    </row>
    <row r="839">
      <c r="A839" s="17" t="s">
        <v>388</v>
      </c>
      <c r="B839" s="18" t="s">
        <v>8</v>
      </c>
      <c r="C839" s="18" t="s">
        <v>89</v>
      </c>
    </row>
    <row r="840">
      <c r="A840" s="17" t="s">
        <v>551</v>
      </c>
      <c r="B840" s="18" t="s">
        <v>13</v>
      </c>
      <c r="C840" s="18" t="s">
        <v>64</v>
      </c>
    </row>
    <row r="841">
      <c r="A841" s="17" t="s">
        <v>812</v>
      </c>
      <c r="B841" s="18" t="s">
        <v>183</v>
      </c>
      <c r="C841" s="18" t="s">
        <v>119</v>
      </c>
    </row>
    <row r="842">
      <c r="A842" s="17" t="s">
        <v>552</v>
      </c>
      <c r="B842" s="18" t="s">
        <v>13</v>
      </c>
      <c r="C842" s="18" t="s">
        <v>35</v>
      </c>
    </row>
    <row r="843">
      <c r="A843" s="17" t="s">
        <v>993</v>
      </c>
      <c r="B843" s="18" t="s">
        <v>13</v>
      </c>
      <c r="C843" s="18" t="s">
        <v>21</v>
      </c>
    </row>
    <row r="844">
      <c r="A844" s="17" t="s">
        <v>215</v>
      </c>
      <c r="B844" s="18" t="s">
        <v>8</v>
      </c>
      <c r="C844" s="9" t="s">
        <v>37</v>
      </c>
    </row>
    <row r="845">
      <c r="A845" s="17" t="s">
        <v>163</v>
      </c>
      <c r="B845" s="18" t="s">
        <v>8</v>
      </c>
      <c r="C845" s="18" t="s">
        <v>39</v>
      </c>
    </row>
    <row r="846">
      <c r="A846" s="17" t="s">
        <v>266</v>
      </c>
      <c r="B846" s="18" t="s">
        <v>13</v>
      </c>
      <c r="C846" s="18" t="s">
        <v>47</v>
      </c>
    </row>
    <row r="847">
      <c r="A847" s="17" t="s">
        <v>799</v>
      </c>
      <c r="B847" s="18" t="s">
        <v>183</v>
      </c>
      <c r="C847" s="18" t="s">
        <v>21</v>
      </c>
    </row>
    <row r="848">
      <c r="A848" s="17" t="s">
        <v>141</v>
      </c>
      <c r="B848" s="18" t="s">
        <v>8</v>
      </c>
      <c r="C848" s="18" t="s">
        <v>85</v>
      </c>
    </row>
    <row r="849">
      <c r="A849" s="17" t="s">
        <v>576</v>
      </c>
      <c r="B849" s="18" t="s">
        <v>13</v>
      </c>
      <c r="C849" s="18" t="s">
        <v>10</v>
      </c>
    </row>
    <row r="850">
      <c r="A850" s="17" t="s">
        <v>116</v>
      </c>
      <c r="B850" s="18" t="s">
        <v>13</v>
      </c>
      <c r="C850" s="18" t="s">
        <v>58</v>
      </c>
    </row>
    <row r="851">
      <c r="A851" s="17" t="s">
        <v>627</v>
      </c>
      <c r="B851" s="18" t="s">
        <v>13</v>
      </c>
      <c r="C851" s="18" t="s">
        <v>28</v>
      </c>
    </row>
    <row r="852">
      <c r="A852" s="17" t="s">
        <v>468</v>
      </c>
      <c r="B852" s="18" t="s">
        <v>8</v>
      </c>
      <c r="C852" s="18" t="s">
        <v>344</v>
      </c>
    </row>
    <row r="853">
      <c r="A853" s="17" t="s">
        <v>1004</v>
      </c>
      <c r="B853" s="18" t="s">
        <v>13</v>
      </c>
      <c r="C853" s="18" t="s">
        <v>262</v>
      </c>
    </row>
    <row r="854">
      <c r="A854" s="17" t="s">
        <v>1185</v>
      </c>
      <c r="B854" s="18" t="s">
        <v>8</v>
      </c>
      <c r="C854" s="18" t="s">
        <v>73</v>
      </c>
    </row>
    <row r="855">
      <c r="A855" s="17" t="s">
        <v>424</v>
      </c>
      <c r="B855" s="18" t="s">
        <v>8</v>
      </c>
      <c r="C855" s="18" t="s">
        <v>30</v>
      </c>
    </row>
    <row r="856">
      <c r="A856" s="17" t="s">
        <v>1233</v>
      </c>
      <c r="B856" s="18" t="s">
        <v>77</v>
      </c>
      <c r="C856" s="18" t="s">
        <v>64</v>
      </c>
    </row>
    <row r="857">
      <c r="A857" s="17" t="s">
        <v>216</v>
      </c>
      <c r="B857" s="18" t="s">
        <v>8</v>
      </c>
      <c r="C857" s="18" t="s">
        <v>81</v>
      </c>
    </row>
    <row r="858">
      <c r="A858" s="17" t="s">
        <v>138</v>
      </c>
      <c r="B858" s="18" t="s">
        <v>8</v>
      </c>
      <c r="C858" s="18" t="s">
        <v>119</v>
      </c>
    </row>
    <row r="859">
      <c r="A859" s="17" t="s">
        <v>785</v>
      </c>
      <c r="B859" s="18" t="s">
        <v>59</v>
      </c>
      <c r="C859" s="18" t="s">
        <v>64</v>
      </c>
    </row>
    <row r="860">
      <c r="A860" s="17" t="s">
        <v>998</v>
      </c>
      <c r="B860" s="18" t="s">
        <v>13</v>
      </c>
      <c r="C860" s="18" t="s">
        <v>53</v>
      </c>
    </row>
    <row r="861">
      <c r="A861" s="17" t="s">
        <v>704</v>
      </c>
      <c r="B861" s="18" t="s">
        <v>59</v>
      </c>
      <c r="C861" s="18" t="s">
        <v>53</v>
      </c>
    </row>
    <row r="862">
      <c r="A862" s="17" t="s">
        <v>413</v>
      </c>
      <c r="B862" s="18" t="s">
        <v>8</v>
      </c>
      <c r="C862" s="18" t="s">
        <v>32</v>
      </c>
    </row>
    <row r="863">
      <c r="A863" s="17" t="s">
        <v>1101</v>
      </c>
      <c r="B863" s="18" t="s">
        <v>13</v>
      </c>
      <c r="C863" s="18" t="s">
        <v>47</v>
      </c>
    </row>
    <row r="864">
      <c r="A864" s="17" t="s">
        <v>811</v>
      </c>
      <c r="B864" s="18" t="s">
        <v>183</v>
      </c>
      <c r="C864" s="18" t="s">
        <v>35</v>
      </c>
    </row>
    <row r="865">
      <c r="A865" s="17" t="s">
        <v>1070</v>
      </c>
      <c r="B865" s="18" t="s">
        <v>13</v>
      </c>
      <c r="C865" s="18" t="s">
        <v>262</v>
      </c>
    </row>
    <row r="866">
      <c r="A866" s="17" t="s">
        <v>1028</v>
      </c>
      <c r="B866" s="18" t="s">
        <v>13</v>
      </c>
      <c r="C866" s="18" t="s">
        <v>39</v>
      </c>
    </row>
    <row r="867">
      <c r="A867" s="17" t="s">
        <v>965</v>
      </c>
      <c r="B867" s="18" t="s">
        <v>59</v>
      </c>
      <c r="C867" s="18" t="s">
        <v>262</v>
      </c>
    </row>
    <row r="868">
      <c r="A868" s="17" t="s">
        <v>171</v>
      </c>
      <c r="B868" s="18" t="s">
        <v>13</v>
      </c>
      <c r="C868" s="18" t="s">
        <v>10</v>
      </c>
    </row>
    <row r="869">
      <c r="A869" s="17" t="s">
        <v>317</v>
      </c>
      <c r="B869" s="18" t="s">
        <v>183</v>
      </c>
      <c r="C869" s="18" t="s">
        <v>28</v>
      </c>
    </row>
    <row r="870">
      <c r="A870" s="17" t="s">
        <v>1027</v>
      </c>
      <c r="B870" s="18" t="s">
        <v>13</v>
      </c>
      <c r="C870" s="18" t="s">
        <v>53</v>
      </c>
    </row>
    <row r="871">
      <c r="A871" s="17" t="s">
        <v>1225</v>
      </c>
      <c r="B871" s="18" t="s">
        <v>77</v>
      </c>
      <c r="C871" s="18" t="s">
        <v>262</v>
      </c>
    </row>
    <row r="872">
      <c r="A872" s="17" t="s">
        <v>303</v>
      </c>
      <c r="B872" s="18" t="s">
        <v>59</v>
      </c>
      <c r="C872" s="18" t="s">
        <v>47</v>
      </c>
    </row>
    <row r="873">
      <c r="A873" s="17" t="s">
        <v>148</v>
      </c>
      <c r="B873" s="18" t="s">
        <v>13</v>
      </c>
      <c r="C873" s="18" t="s">
        <v>21</v>
      </c>
    </row>
    <row r="874">
      <c r="A874" s="17" t="s">
        <v>1024</v>
      </c>
      <c r="B874" s="18" t="s">
        <v>13</v>
      </c>
      <c r="C874" s="18" t="s">
        <v>262</v>
      </c>
    </row>
    <row r="875">
      <c r="A875" s="17" t="s">
        <v>1154</v>
      </c>
      <c r="B875" s="18" t="s">
        <v>8</v>
      </c>
      <c r="C875" s="18" t="s">
        <v>262</v>
      </c>
    </row>
    <row r="876">
      <c r="A876" s="17" t="s">
        <v>1183</v>
      </c>
      <c r="B876" s="18" t="s">
        <v>8</v>
      </c>
      <c r="C876" s="18" t="s">
        <v>262</v>
      </c>
    </row>
    <row r="877">
      <c r="A877" s="17" t="s">
        <v>791</v>
      </c>
      <c r="B877" s="18" t="s">
        <v>183</v>
      </c>
      <c r="C877" s="9" t="s">
        <v>7</v>
      </c>
    </row>
    <row r="878">
      <c r="A878" s="17" t="s">
        <v>538</v>
      </c>
      <c r="B878" s="18" t="s">
        <v>13</v>
      </c>
      <c r="C878" s="18" t="s">
        <v>47</v>
      </c>
    </row>
    <row r="879">
      <c r="A879" s="17" t="s">
        <v>204</v>
      </c>
      <c r="B879" s="18" t="s">
        <v>8</v>
      </c>
      <c r="C879" s="9" t="s">
        <v>62</v>
      </c>
    </row>
    <row r="880">
      <c r="A880" s="17" t="s">
        <v>249</v>
      </c>
      <c r="B880" s="18" t="s">
        <v>13</v>
      </c>
      <c r="C880" s="18" t="s">
        <v>1285</v>
      </c>
    </row>
    <row r="881">
      <c r="A881" s="17" t="s">
        <v>746</v>
      </c>
      <c r="B881" s="18" t="s">
        <v>59</v>
      </c>
      <c r="C881" s="18" t="s">
        <v>28</v>
      </c>
    </row>
    <row r="882">
      <c r="A882" s="17" t="s">
        <v>978</v>
      </c>
      <c r="B882" s="18" t="s">
        <v>59</v>
      </c>
      <c r="C882" s="18" t="s">
        <v>262</v>
      </c>
    </row>
    <row r="883">
      <c r="A883" s="17" t="s">
        <v>415</v>
      </c>
      <c r="B883" s="18" t="s">
        <v>8</v>
      </c>
      <c r="C883" s="18" t="s">
        <v>81</v>
      </c>
    </row>
    <row r="884">
      <c r="A884" s="17" t="s">
        <v>153</v>
      </c>
      <c r="B884" s="18" t="s">
        <v>13</v>
      </c>
      <c r="C884" s="18" t="s">
        <v>37</v>
      </c>
    </row>
    <row r="885">
      <c r="A885" s="17" t="s">
        <v>126</v>
      </c>
      <c r="B885" s="18" t="s">
        <v>77</v>
      </c>
      <c r="C885" s="18" t="s">
        <v>43</v>
      </c>
    </row>
    <row r="886">
      <c r="A886" s="17" t="s">
        <v>1208</v>
      </c>
      <c r="B886" s="18" t="s">
        <v>77</v>
      </c>
      <c r="C886" s="18" t="s">
        <v>81</v>
      </c>
    </row>
    <row r="887">
      <c r="A887" s="17" t="s">
        <v>1218</v>
      </c>
      <c r="B887" s="18" t="s">
        <v>77</v>
      </c>
      <c r="C887" s="18" t="s">
        <v>73</v>
      </c>
    </row>
    <row r="888">
      <c r="A888" s="17" t="s">
        <v>737</v>
      </c>
      <c r="B888" s="18" t="s">
        <v>59</v>
      </c>
      <c r="C888" s="9" t="s">
        <v>55</v>
      </c>
    </row>
    <row r="889">
      <c r="A889" s="17" t="s">
        <v>737</v>
      </c>
      <c r="B889" s="18" t="s">
        <v>77</v>
      </c>
      <c r="C889" s="18" t="s">
        <v>37</v>
      </c>
    </row>
    <row r="890">
      <c r="A890" s="17" t="s">
        <v>932</v>
      </c>
      <c r="B890" s="18" t="s">
        <v>59</v>
      </c>
      <c r="C890" s="18" t="s">
        <v>262</v>
      </c>
    </row>
    <row r="891">
      <c r="A891" s="17" t="s">
        <v>838</v>
      </c>
      <c r="B891" s="18" t="s">
        <v>8</v>
      </c>
      <c r="C891" s="18" t="s">
        <v>32</v>
      </c>
    </row>
    <row r="892">
      <c r="A892" s="17" t="s">
        <v>810</v>
      </c>
      <c r="B892" s="18" t="s">
        <v>183</v>
      </c>
      <c r="C892" s="18" t="s">
        <v>99</v>
      </c>
    </row>
    <row r="893">
      <c r="A893" s="17" t="s">
        <v>316</v>
      </c>
      <c r="B893" s="18" t="s">
        <v>183</v>
      </c>
      <c r="C893" s="9" t="s">
        <v>37</v>
      </c>
    </row>
    <row r="894">
      <c r="A894" s="17" t="s">
        <v>1007</v>
      </c>
      <c r="B894" s="18" t="s">
        <v>13</v>
      </c>
      <c r="C894" s="18" t="s">
        <v>262</v>
      </c>
    </row>
    <row r="895">
      <c r="A895" s="17" t="s">
        <v>279</v>
      </c>
      <c r="B895" s="18" t="s">
        <v>77</v>
      </c>
      <c r="C895" s="18" t="s">
        <v>21</v>
      </c>
    </row>
    <row r="896">
      <c r="A896" s="17" t="s">
        <v>394</v>
      </c>
      <c r="B896" s="18" t="s">
        <v>8</v>
      </c>
      <c r="C896" s="9" t="s">
        <v>99</v>
      </c>
    </row>
    <row r="897">
      <c r="A897" s="17" t="s">
        <v>1107</v>
      </c>
      <c r="B897" s="18" t="s">
        <v>13</v>
      </c>
      <c r="C897" s="18" t="s">
        <v>262</v>
      </c>
    </row>
    <row r="898">
      <c r="A898" s="17" t="s">
        <v>355</v>
      </c>
      <c r="B898" s="18" t="s">
        <v>8</v>
      </c>
      <c r="C898" s="9" t="s">
        <v>39</v>
      </c>
    </row>
    <row r="899">
      <c r="A899" s="17" t="s">
        <v>294</v>
      </c>
      <c r="B899" s="18" t="s">
        <v>77</v>
      </c>
      <c r="C899" s="18" t="s">
        <v>10</v>
      </c>
    </row>
    <row r="900">
      <c r="A900" s="17" t="s">
        <v>509</v>
      </c>
      <c r="B900" s="18" t="s">
        <v>77</v>
      </c>
      <c r="C900" s="18" t="s">
        <v>7</v>
      </c>
    </row>
    <row r="901">
      <c r="A901" s="17" t="s">
        <v>886</v>
      </c>
      <c r="B901" s="18" t="s">
        <v>183</v>
      </c>
      <c r="C901" s="18" t="s">
        <v>21</v>
      </c>
    </row>
    <row r="902">
      <c r="A902" s="17" t="s">
        <v>479</v>
      </c>
      <c r="B902" s="18" t="s">
        <v>77</v>
      </c>
      <c r="C902" s="18" t="s">
        <v>73</v>
      </c>
    </row>
    <row r="903">
      <c r="A903" s="17" t="s">
        <v>905</v>
      </c>
      <c r="B903" s="18" t="s">
        <v>183</v>
      </c>
      <c r="C903" s="18" t="s">
        <v>262</v>
      </c>
    </row>
    <row r="904">
      <c r="A904" s="17" t="s">
        <v>223</v>
      </c>
      <c r="B904" s="18" t="s">
        <v>8</v>
      </c>
      <c r="C904" s="18" t="s">
        <v>19</v>
      </c>
    </row>
    <row r="905">
      <c r="A905" s="17" t="s">
        <v>910</v>
      </c>
      <c r="B905" s="18" t="s">
        <v>59</v>
      </c>
      <c r="C905" s="18" t="s">
        <v>73</v>
      </c>
    </row>
    <row r="906">
      <c r="A906" s="17" t="s">
        <v>543</v>
      </c>
      <c r="B906" s="18" t="s">
        <v>13</v>
      </c>
      <c r="C906" s="9" t="s">
        <v>47</v>
      </c>
    </row>
    <row r="907">
      <c r="A907" s="17" t="s">
        <v>646</v>
      </c>
      <c r="B907" s="18" t="s">
        <v>13</v>
      </c>
      <c r="C907" s="18" t="s">
        <v>47</v>
      </c>
    </row>
    <row r="908">
      <c r="A908" s="17" t="s">
        <v>198</v>
      </c>
      <c r="B908" s="18" t="s">
        <v>193</v>
      </c>
      <c r="C908" s="18" t="s">
        <v>28</v>
      </c>
    </row>
    <row r="909">
      <c r="A909" s="17" t="s">
        <v>52</v>
      </c>
      <c r="B909" s="18" t="s">
        <v>8</v>
      </c>
      <c r="C909" s="18" t="s">
        <v>53</v>
      </c>
    </row>
    <row r="910">
      <c r="A910" s="17" t="s">
        <v>1204</v>
      </c>
      <c r="B910" s="18" t="s">
        <v>8</v>
      </c>
      <c r="C910" s="18" t="s">
        <v>262</v>
      </c>
    </row>
    <row r="911">
      <c r="A911" s="17" t="s">
        <v>593</v>
      </c>
      <c r="B911" s="18" t="s">
        <v>13</v>
      </c>
      <c r="C911" s="18" t="s">
        <v>37</v>
      </c>
    </row>
    <row r="912">
      <c r="A912" s="17" t="s">
        <v>921</v>
      </c>
      <c r="B912" s="18" t="s">
        <v>59</v>
      </c>
      <c r="C912" s="18" t="s">
        <v>262</v>
      </c>
    </row>
    <row r="913">
      <c r="A913" s="17" t="s">
        <v>505</v>
      </c>
      <c r="B913" s="18" t="s">
        <v>77</v>
      </c>
      <c r="C913" s="18" t="s">
        <v>17</v>
      </c>
    </row>
    <row r="914">
      <c r="A914" s="17" t="s">
        <v>778</v>
      </c>
      <c r="B914" s="18" t="s">
        <v>59</v>
      </c>
      <c r="C914" s="18" t="s">
        <v>32</v>
      </c>
    </row>
    <row r="915">
      <c r="A915" s="17" t="s">
        <v>338</v>
      </c>
      <c r="B915" s="18" t="s">
        <v>193</v>
      </c>
      <c r="C915" s="18" t="s">
        <v>85</v>
      </c>
    </row>
    <row r="916">
      <c r="A916" s="17" t="s">
        <v>1166</v>
      </c>
      <c r="B916" s="18" t="s">
        <v>8</v>
      </c>
      <c r="C916" s="18" t="s">
        <v>262</v>
      </c>
    </row>
    <row r="917">
      <c r="A917" s="17" t="s">
        <v>887</v>
      </c>
      <c r="B917" s="18" t="s">
        <v>183</v>
      </c>
      <c r="C917" s="9" t="s">
        <v>262</v>
      </c>
    </row>
    <row r="918">
      <c r="A918" s="17" t="s">
        <v>947</v>
      </c>
      <c r="B918" s="18" t="s">
        <v>59</v>
      </c>
      <c r="C918" s="18" t="s">
        <v>262</v>
      </c>
    </row>
    <row r="919">
      <c r="A919" s="17" t="s">
        <v>1055</v>
      </c>
      <c r="B919" s="18" t="s">
        <v>13</v>
      </c>
      <c r="C919" s="18" t="s">
        <v>262</v>
      </c>
    </row>
    <row r="920">
      <c r="A920" s="17" t="s">
        <v>641</v>
      </c>
      <c r="B920" s="18" t="s">
        <v>13</v>
      </c>
      <c r="C920" s="18" t="s">
        <v>43</v>
      </c>
    </row>
    <row r="921">
      <c r="A921" s="17" t="s">
        <v>1134</v>
      </c>
      <c r="B921" s="18" t="s">
        <v>8</v>
      </c>
      <c r="C921" s="18" t="s">
        <v>262</v>
      </c>
    </row>
    <row r="922">
      <c r="A922" s="17" t="s">
        <v>760</v>
      </c>
      <c r="B922" s="18" t="s">
        <v>59</v>
      </c>
      <c r="C922" s="18" t="s">
        <v>35</v>
      </c>
    </row>
    <row r="923">
      <c r="A923" s="17" t="s">
        <v>648</v>
      </c>
      <c r="B923" s="18" t="s">
        <v>13</v>
      </c>
      <c r="C923" s="18" t="s">
        <v>10</v>
      </c>
    </row>
    <row r="924">
      <c r="A924" s="17" t="s">
        <v>615</v>
      </c>
      <c r="B924" s="18" t="s">
        <v>13</v>
      </c>
      <c r="C924" s="18" t="s">
        <v>32</v>
      </c>
    </row>
    <row r="925">
      <c r="A925" s="17" t="s">
        <v>523</v>
      </c>
      <c r="B925" s="18" t="s">
        <v>77</v>
      </c>
      <c r="C925" s="9" t="s">
        <v>39</v>
      </c>
    </row>
    <row r="926">
      <c r="A926" s="17" t="s">
        <v>149</v>
      </c>
      <c r="B926" s="18" t="s">
        <v>13</v>
      </c>
      <c r="C926" s="9" t="s">
        <v>62</v>
      </c>
    </row>
    <row r="927">
      <c r="A927" s="17" t="s">
        <v>361</v>
      </c>
      <c r="B927" s="18" t="s">
        <v>8</v>
      </c>
      <c r="C927" s="18" t="s">
        <v>99</v>
      </c>
    </row>
    <row r="928">
      <c r="A928" s="17" t="s">
        <v>211</v>
      </c>
      <c r="B928" s="18" t="s">
        <v>8</v>
      </c>
      <c r="C928" s="18" t="s">
        <v>39</v>
      </c>
    </row>
    <row r="929">
      <c r="A929" s="17" t="s">
        <v>1057</v>
      </c>
      <c r="B929" s="18" t="s">
        <v>13</v>
      </c>
      <c r="C929" s="18" t="s">
        <v>262</v>
      </c>
    </row>
    <row r="930">
      <c r="A930" s="17" t="s">
        <v>996</v>
      </c>
      <c r="B930" s="18" t="s">
        <v>13</v>
      </c>
      <c r="C930" s="18" t="s">
        <v>19</v>
      </c>
    </row>
    <row r="931">
      <c r="A931" s="17" t="s">
        <v>29</v>
      </c>
      <c r="B931" s="18" t="s">
        <v>13</v>
      </c>
      <c r="C931" s="18" t="s">
        <v>30</v>
      </c>
    </row>
    <row r="932">
      <c r="A932" s="17" t="s">
        <v>764</v>
      </c>
      <c r="B932" s="18" t="s">
        <v>59</v>
      </c>
      <c r="C932" s="18" t="s">
        <v>1285</v>
      </c>
    </row>
    <row r="933">
      <c r="A933" s="17" t="s">
        <v>977</v>
      </c>
      <c r="B933" s="18" t="s">
        <v>59</v>
      </c>
      <c r="C933" s="18" t="s">
        <v>262</v>
      </c>
    </row>
    <row r="934">
      <c r="A934" s="17" t="s">
        <v>891</v>
      </c>
      <c r="B934" s="18" t="s">
        <v>183</v>
      </c>
      <c r="C934" s="18" t="s">
        <v>262</v>
      </c>
    </row>
    <row r="935">
      <c r="A935" s="17" t="s">
        <v>889</v>
      </c>
      <c r="B935" s="18" t="s">
        <v>183</v>
      </c>
      <c r="C935" s="18" t="s">
        <v>262</v>
      </c>
    </row>
    <row r="936">
      <c r="A936" s="17" t="s">
        <v>914</v>
      </c>
      <c r="B936" s="18" t="s">
        <v>59</v>
      </c>
      <c r="C936" s="9" t="s">
        <v>10</v>
      </c>
    </row>
    <row r="937">
      <c r="A937" s="17" t="s">
        <v>264</v>
      </c>
      <c r="B937" s="18" t="s">
        <v>13</v>
      </c>
      <c r="C937" s="18" t="s">
        <v>53</v>
      </c>
    </row>
    <row r="938">
      <c r="A938" s="17" t="s">
        <v>1010</v>
      </c>
      <c r="B938" s="18" t="s">
        <v>13</v>
      </c>
      <c r="C938" s="18" t="s">
        <v>262</v>
      </c>
    </row>
    <row r="939">
      <c r="A939" s="17" t="s">
        <v>1090</v>
      </c>
      <c r="B939" s="18" t="s">
        <v>13</v>
      </c>
      <c r="C939" s="18" t="s">
        <v>23</v>
      </c>
    </row>
    <row r="940">
      <c r="A940" s="17" t="s">
        <v>1143</v>
      </c>
      <c r="B940" s="18" t="s">
        <v>8</v>
      </c>
      <c r="C940" s="18" t="s">
        <v>25</v>
      </c>
    </row>
    <row r="941">
      <c r="A941" s="17" t="s">
        <v>127</v>
      </c>
      <c r="B941" s="18" t="s">
        <v>59</v>
      </c>
      <c r="C941" s="18" t="s">
        <v>35</v>
      </c>
    </row>
    <row r="942">
      <c r="A942" s="17" t="s">
        <v>1195</v>
      </c>
      <c r="B942" s="18" t="s">
        <v>8</v>
      </c>
      <c r="C942" s="18" t="s">
        <v>262</v>
      </c>
    </row>
    <row r="943">
      <c r="A943" s="17" t="s">
        <v>556</v>
      </c>
      <c r="B943" s="18" t="s">
        <v>13</v>
      </c>
      <c r="C943" s="18" t="s">
        <v>262</v>
      </c>
    </row>
    <row r="944">
      <c r="A944" s="17" t="s">
        <v>1175</v>
      </c>
      <c r="B944" s="18" t="s">
        <v>8</v>
      </c>
      <c r="C944" s="18" t="s">
        <v>30</v>
      </c>
    </row>
    <row r="945">
      <c r="A945" s="17" t="s">
        <v>597</v>
      </c>
      <c r="B945" s="18" t="s">
        <v>13</v>
      </c>
      <c r="C945" s="18" t="s">
        <v>55</v>
      </c>
    </row>
    <row r="946">
      <c r="A946" s="17" t="s">
        <v>197</v>
      </c>
      <c r="B946" s="18" t="s">
        <v>193</v>
      </c>
      <c r="C946" s="18" t="s">
        <v>37</v>
      </c>
    </row>
    <row r="947">
      <c r="A947" s="17" t="s">
        <v>787</v>
      </c>
      <c r="B947" s="18" t="s">
        <v>59</v>
      </c>
      <c r="C947" s="18" t="s">
        <v>28</v>
      </c>
    </row>
    <row r="948">
      <c r="A948" s="17" t="s">
        <v>697</v>
      </c>
      <c r="B948" s="18" t="s">
        <v>13</v>
      </c>
      <c r="C948" s="9" t="s">
        <v>69</v>
      </c>
    </row>
    <row r="949">
      <c r="A949" s="17" t="s">
        <v>379</v>
      </c>
      <c r="B949" s="18" t="s">
        <v>8</v>
      </c>
      <c r="C949" s="18" t="s">
        <v>262</v>
      </c>
    </row>
    <row r="950">
      <c r="A950" s="17" t="s">
        <v>1038</v>
      </c>
      <c r="B950" s="18" t="s">
        <v>13</v>
      </c>
      <c r="C950" s="9" t="s">
        <v>30</v>
      </c>
    </row>
    <row r="951">
      <c r="A951" s="17" t="s">
        <v>481</v>
      </c>
      <c r="B951" s="18" t="s">
        <v>77</v>
      </c>
      <c r="C951" s="18" t="s">
        <v>73</v>
      </c>
    </row>
    <row r="952">
      <c r="A952" s="17" t="s">
        <v>908</v>
      </c>
      <c r="B952" s="18" t="s">
        <v>183</v>
      </c>
      <c r="C952" s="18" t="s">
        <v>262</v>
      </c>
    </row>
    <row r="953">
      <c r="A953" s="17" t="s">
        <v>473</v>
      </c>
      <c r="B953" s="18" t="s">
        <v>59</v>
      </c>
      <c r="C953" s="9" t="s">
        <v>41</v>
      </c>
    </row>
    <row r="954">
      <c r="A954" s="17" t="s">
        <v>1025</v>
      </c>
      <c r="B954" s="18" t="s">
        <v>13</v>
      </c>
      <c r="C954" s="18" t="s">
        <v>262</v>
      </c>
    </row>
    <row r="955">
      <c r="A955" s="17" t="s">
        <v>766</v>
      </c>
      <c r="B955" s="18" t="s">
        <v>59</v>
      </c>
      <c r="C955" s="18" t="s">
        <v>81</v>
      </c>
    </row>
    <row r="956">
      <c r="A956" s="17" t="s">
        <v>1036</v>
      </c>
      <c r="B956" s="18" t="s">
        <v>13</v>
      </c>
      <c r="C956" s="18" t="s">
        <v>262</v>
      </c>
    </row>
    <row r="957">
      <c r="A957" s="17" t="s">
        <v>295</v>
      </c>
      <c r="B957" s="18" t="s">
        <v>77</v>
      </c>
      <c r="C957" s="18" t="s">
        <v>39</v>
      </c>
    </row>
    <row r="958">
      <c r="A958" s="17" t="s">
        <v>50</v>
      </c>
      <c r="B958" s="18" t="s">
        <v>13</v>
      </c>
      <c r="C958" s="18" t="s">
        <v>19</v>
      </c>
    </row>
    <row r="959">
      <c r="A959" s="17" t="s">
        <v>951</v>
      </c>
      <c r="B959" s="18" t="s">
        <v>59</v>
      </c>
      <c r="C959" s="18" t="s">
        <v>262</v>
      </c>
    </row>
    <row r="960">
      <c r="A960" s="17" t="s">
        <v>329</v>
      </c>
      <c r="B960" s="18" t="s">
        <v>193</v>
      </c>
      <c r="C960" s="18" t="s">
        <v>21</v>
      </c>
    </row>
    <row r="961">
      <c r="A961" s="17" t="s">
        <v>535</v>
      </c>
      <c r="B961" s="18" t="s">
        <v>13</v>
      </c>
      <c r="C961" s="18" t="s">
        <v>10</v>
      </c>
    </row>
    <row r="962">
      <c r="A962" s="17" t="s">
        <v>1082</v>
      </c>
      <c r="B962" s="18" t="s">
        <v>13</v>
      </c>
      <c r="C962" s="18" t="s">
        <v>262</v>
      </c>
    </row>
    <row r="963">
      <c r="A963" s="17" t="s">
        <v>72</v>
      </c>
      <c r="B963" s="18" t="s">
        <v>13</v>
      </c>
      <c r="C963" s="18" t="s">
        <v>73</v>
      </c>
    </row>
    <row r="964">
      <c r="A964" s="17" t="s">
        <v>358</v>
      </c>
      <c r="B964" s="18" t="s">
        <v>8</v>
      </c>
      <c r="C964" s="18" t="s">
        <v>69</v>
      </c>
    </row>
    <row r="965">
      <c r="A965" s="17" t="s">
        <v>986</v>
      </c>
      <c r="B965" s="18" t="s">
        <v>59</v>
      </c>
      <c r="C965" s="18" t="s">
        <v>19</v>
      </c>
    </row>
    <row r="966">
      <c r="A966" s="17" t="s">
        <v>1168</v>
      </c>
      <c r="B966" s="18" t="s">
        <v>8</v>
      </c>
      <c r="C966" s="18" t="s">
        <v>25</v>
      </c>
    </row>
    <row r="967">
      <c r="A967" s="17" t="s">
        <v>495</v>
      </c>
      <c r="B967" s="18" t="s">
        <v>77</v>
      </c>
      <c r="C967" s="18" t="s">
        <v>35</v>
      </c>
    </row>
    <row r="968">
      <c r="A968" s="17" t="s">
        <v>885</v>
      </c>
      <c r="B968" s="18" t="s">
        <v>13</v>
      </c>
      <c r="C968" s="9" t="s">
        <v>43</v>
      </c>
    </row>
    <row r="969">
      <c r="A969" s="17" t="s">
        <v>1194</v>
      </c>
      <c r="B969" s="18" t="s">
        <v>8</v>
      </c>
      <c r="C969" s="18" t="s">
        <v>262</v>
      </c>
    </row>
    <row r="970">
      <c r="A970" s="17" t="s">
        <v>123</v>
      </c>
      <c r="B970" s="18" t="s">
        <v>77</v>
      </c>
      <c r="C970" s="18" t="s">
        <v>37</v>
      </c>
    </row>
    <row r="971">
      <c r="A971" s="17" t="s">
        <v>673</v>
      </c>
      <c r="B971" s="18" t="s">
        <v>13</v>
      </c>
      <c r="C971" s="18" t="s">
        <v>35</v>
      </c>
    </row>
    <row r="972">
      <c r="A972" s="17" t="s">
        <v>769</v>
      </c>
      <c r="B972" s="18" t="s">
        <v>59</v>
      </c>
      <c r="C972" s="18" t="s">
        <v>21</v>
      </c>
    </row>
    <row r="973">
      <c r="A973" s="17" t="s">
        <v>984</v>
      </c>
      <c r="B973" s="18" t="s">
        <v>59</v>
      </c>
      <c r="C973" s="9" t="s">
        <v>262</v>
      </c>
    </row>
    <row r="974">
      <c r="A974" s="17" t="s">
        <v>780</v>
      </c>
      <c r="B974" s="18" t="s">
        <v>59</v>
      </c>
      <c r="C974" s="9" t="s">
        <v>30</v>
      </c>
    </row>
    <row r="975">
      <c r="A975" s="17" t="s">
        <v>309</v>
      </c>
      <c r="B975" s="18" t="s">
        <v>59</v>
      </c>
      <c r="C975" s="9" t="s">
        <v>10</v>
      </c>
    </row>
    <row r="976">
      <c r="A976" s="17" t="s">
        <v>1048</v>
      </c>
      <c r="B976" s="18" t="s">
        <v>13</v>
      </c>
      <c r="C976" s="18" t="s">
        <v>262</v>
      </c>
    </row>
    <row r="977">
      <c r="A977" s="17" t="s">
        <v>1151</v>
      </c>
      <c r="B977" s="18" t="s">
        <v>8</v>
      </c>
      <c r="C977" s="18" t="s">
        <v>262</v>
      </c>
    </row>
    <row r="978">
      <c r="A978" s="17" t="s">
        <v>1084</v>
      </c>
      <c r="B978" s="18" t="s">
        <v>13</v>
      </c>
      <c r="C978" s="18" t="s">
        <v>262</v>
      </c>
    </row>
    <row r="979">
      <c r="A979" s="17" t="s">
        <v>375</v>
      </c>
      <c r="B979" s="18" t="s">
        <v>8</v>
      </c>
      <c r="C979" s="18" t="s">
        <v>41</v>
      </c>
    </row>
    <row r="980">
      <c r="A980" s="17" t="s">
        <v>985</v>
      </c>
      <c r="B980" s="18" t="s">
        <v>59</v>
      </c>
      <c r="C980" s="18" t="s">
        <v>58</v>
      </c>
    </row>
    <row r="981">
      <c r="A981" s="17" t="s">
        <v>128</v>
      </c>
      <c r="B981" s="18" t="s">
        <v>8</v>
      </c>
      <c r="C981" s="18" t="s">
        <v>32</v>
      </c>
    </row>
    <row r="982">
      <c r="A982" s="17" t="s">
        <v>430</v>
      </c>
      <c r="B982" s="18" t="s">
        <v>8</v>
      </c>
      <c r="C982" s="18" t="s">
        <v>21</v>
      </c>
    </row>
    <row r="983">
      <c r="A983" s="17" t="s">
        <v>522</v>
      </c>
      <c r="B983" s="18" t="s">
        <v>77</v>
      </c>
      <c r="C983" s="18" t="s">
        <v>1285</v>
      </c>
    </row>
    <row r="984">
      <c r="A984" s="17" t="s">
        <v>1039</v>
      </c>
      <c r="B984" s="18" t="s">
        <v>13</v>
      </c>
      <c r="C984" s="18" t="s">
        <v>262</v>
      </c>
    </row>
    <row r="985">
      <c r="A985" s="17" t="s">
        <v>98</v>
      </c>
      <c r="B985" s="18" t="s">
        <v>8</v>
      </c>
      <c r="C985" s="18" t="s">
        <v>99</v>
      </c>
    </row>
    <row r="986">
      <c r="A986" s="17" t="s">
        <v>624</v>
      </c>
      <c r="B986" s="18" t="s">
        <v>13</v>
      </c>
      <c r="C986" s="18" t="s">
        <v>43</v>
      </c>
    </row>
    <row r="987">
      <c r="A987" s="17" t="s">
        <v>382</v>
      </c>
      <c r="B987" s="18" t="s">
        <v>8</v>
      </c>
      <c r="C987" s="18" t="s">
        <v>85</v>
      </c>
    </row>
    <row r="988">
      <c r="A988" s="17" t="s">
        <v>61</v>
      </c>
      <c r="B988" s="18" t="s">
        <v>59</v>
      </c>
      <c r="C988" s="18" t="s">
        <v>62</v>
      </c>
    </row>
    <row r="989">
      <c r="A989" s="17" t="s">
        <v>395</v>
      </c>
      <c r="B989" s="18" t="s">
        <v>8</v>
      </c>
      <c r="C989" s="18" t="s">
        <v>19</v>
      </c>
    </row>
    <row r="990">
      <c r="A990" s="17" t="s">
        <v>1111</v>
      </c>
      <c r="B990" s="18" t="s">
        <v>13</v>
      </c>
      <c r="C990" s="18" t="s">
        <v>119</v>
      </c>
    </row>
    <row r="991">
      <c r="A991" s="17" t="s">
        <v>730</v>
      </c>
      <c r="B991" s="18" t="s">
        <v>59</v>
      </c>
      <c r="C991" s="18" t="s">
        <v>15</v>
      </c>
    </row>
    <row r="992">
      <c r="A992" s="17" t="s">
        <v>546</v>
      </c>
      <c r="B992" s="18" t="s">
        <v>13</v>
      </c>
      <c r="C992" s="18" t="s">
        <v>41</v>
      </c>
    </row>
    <row r="993">
      <c r="A993" s="17" t="s">
        <v>608</v>
      </c>
      <c r="B993" s="18" t="s">
        <v>13</v>
      </c>
      <c r="C993" s="9" t="s">
        <v>39</v>
      </c>
    </row>
    <row r="994">
      <c r="A994" s="17" t="s">
        <v>640</v>
      </c>
      <c r="B994" s="18" t="s">
        <v>13</v>
      </c>
      <c r="C994" s="18" t="s">
        <v>19</v>
      </c>
    </row>
    <row r="995">
      <c r="A995" s="17" t="s">
        <v>455</v>
      </c>
      <c r="B995" s="18" t="s">
        <v>8</v>
      </c>
      <c r="C995" s="9" t="s">
        <v>21</v>
      </c>
    </row>
    <row r="996">
      <c r="A996" s="17" t="s">
        <v>1079</v>
      </c>
      <c r="B996" s="18" t="s">
        <v>13</v>
      </c>
      <c r="C996" s="18" t="s">
        <v>19</v>
      </c>
    </row>
    <row r="997">
      <c r="A997" s="17" t="s">
        <v>373</v>
      </c>
      <c r="B997" s="18" t="s">
        <v>8</v>
      </c>
      <c r="C997" s="18" t="s">
        <v>55</v>
      </c>
    </row>
    <row r="998">
      <c r="A998" s="17" t="s">
        <v>774</v>
      </c>
      <c r="B998" s="18" t="s">
        <v>8</v>
      </c>
      <c r="C998" s="9" t="s">
        <v>69</v>
      </c>
    </row>
    <row r="999">
      <c r="A999" s="17" t="s">
        <v>175</v>
      </c>
      <c r="B999" s="18" t="s">
        <v>77</v>
      </c>
      <c r="C999" s="18" t="s">
        <v>99</v>
      </c>
    </row>
    <row r="1000">
      <c r="A1000" s="17" t="s">
        <v>498</v>
      </c>
      <c r="B1000" s="18" t="s">
        <v>77</v>
      </c>
      <c r="C1000" s="18" t="s">
        <v>55</v>
      </c>
    </row>
    <row r="1001">
      <c r="A1001" s="17" t="s">
        <v>942</v>
      </c>
      <c r="B1001" s="18" t="s">
        <v>59</v>
      </c>
      <c r="C1001" s="18" t="s">
        <v>262</v>
      </c>
    </row>
    <row r="1002">
      <c r="A1002" s="17" t="s">
        <v>1126</v>
      </c>
      <c r="B1002" s="18" t="s">
        <v>8</v>
      </c>
      <c r="C1002" s="9" t="s">
        <v>23</v>
      </c>
    </row>
    <row r="1003">
      <c r="A1003" s="17" t="s">
        <v>155</v>
      </c>
      <c r="B1003" s="18" t="s">
        <v>77</v>
      </c>
      <c r="C1003" s="18" t="s">
        <v>28</v>
      </c>
    </row>
    <row r="1004">
      <c r="A1004" s="17" t="s">
        <v>698</v>
      </c>
      <c r="B1004" s="18" t="s">
        <v>59</v>
      </c>
      <c r="C1004" s="18" t="s">
        <v>1285</v>
      </c>
    </row>
    <row r="1005">
      <c r="A1005" s="17" t="s">
        <v>1019</v>
      </c>
      <c r="B1005" s="18" t="s">
        <v>13</v>
      </c>
      <c r="C1005" s="18" t="s">
        <v>43</v>
      </c>
    </row>
    <row r="1006">
      <c r="A1006" s="17" t="s">
        <v>1136</v>
      </c>
      <c r="B1006" s="18" t="s">
        <v>8</v>
      </c>
      <c r="C1006" s="9" t="s">
        <v>262</v>
      </c>
    </row>
    <row r="1007">
      <c r="A1007" s="17" t="s">
        <v>345</v>
      </c>
      <c r="B1007" s="18" t="s">
        <v>8</v>
      </c>
      <c r="C1007" s="18" t="s">
        <v>28</v>
      </c>
    </row>
    <row r="1008">
      <c r="A1008" s="17" t="s">
        <v>132</v>
      </c>
      <c r="B1008" s="18" t="s">
        <v>13</v>
      </c>
      <c r="C1008" s="9" t="s">
        <v>21</v>
      </c>
    </row>
    <row r="1009">
      <c r="A1009" s="17" t="s">
        <v>680</v>
      </c>
      <c r="B1009" s="18" t="s">
        <v>13</v>
      </c>
      <c r="C1009" s="18" t="s">
        <v>35</v>
      </c>
    </row>
    <row r="1010">
      <c r="A1010" s="17" t="s">
        <v>1112</v>
      </c>
      <c r="B1010" s="18" t="s">
        <v>13</v>
      </c>
      <c r="C1010" s="18" t="s">
        <v>17</v>
      </c>
    </row>
    <row r="1011">
      <c r="A1011" s="17" t="s">
        <v>807</v>
      </c>
      <c r="B1011" s="18" t="s">
        <v>183</v>
      </c>
      <c r="C1011" s="18" t="s">
        <v>119</v>
      </c>
    </row>
    <row r="1012">
      <c r="A1012" s="17" t="s">
        <v>927</v>
      </c>
      <c r="B1012" s="18" t="s">
        <v>59</v>
      </c>
      <c r="C1012" s="9" t="s">
        <v>28</v>
      </c>
    </row>
    <row r="1013">
      <c r="A1013" s="17" t="s">
        <v>1197</v>
      </c>
      <c r="B1013" s="18" t="s">
        <v>8</v>
      </c>
      <c r="C1013" s="18" t="s">
        <v>262</v>
      </c>
    </row>
    <row r="1014">
      <c r="A1014" s="17" t="s">
        <v>176</v>
      </c>
      <c r="B1014" s="18" t="s">
        <v>77</v>
      </c>
      <c r="C1014" s="18" t="s">
        <v>39</v>
      </c>
    </row>
    <row r="1015">
      <c r="A1015" s="17" t="s">
        <v>901</v>
      </c>
      <c r="B1015" s="18" t="s">
        <v>183</v>
      </c>
      <c r="C1015" s="18" t="s">
        <v>262</v>
      </c>
    </row>
    <row r="1016">
      <c r="A1016" s="17" t="s">
        <v>575</v>
      </c>
      <c r="B1016" s="18" t="s">
        <v>13</v>
      </c>
      <c r="C1016" s="18" t="s">
        <v>344</v>
      </c>
    </row>
    <row r="1017">
      <c r="A1017" s="17" t="s">
        <v>392</v>
      </c>
      <c r="B1017" s="18" t="s">
        <v>8</v>
      </c>
      <c r="C1017" s="18" t="s">
        <v>17</v>
      </c>
    </row>
    <row r="1018">
      <c r="A1018" s="17" t="s">
        <v>351</v>
      </c>
      <c r="B1018" s="18" t="s">
        <v>8</v>
      </c>
      <c r="C1018" s="18" t="s">
        <v>69</v>
      </c>
    </row>
    <row r="1019">
      <c r="A1019" s="17" t="s">
        <v>370</v>
      </c>
      <c r="B1019" s="18" t="s">
        <v>13</v>
      </c>
      <c r="C1019" s="18" t="s">
        <v>119</v>
      </c>
    </row>
    <row r="1020">
      <c r="A1020" s="17" t="s">
        <v>416</v>
      </c>
      <c r="B1020" s="18" t="s">
        <v>8</v>
      </c>
      <c r="C1020" s="18" t="s">
        <v>7</v>
      </c>
    </row>
    <row r="1021">
      <c r="A1021" s="17" t="s">
        <v>577</v>
      </c>
      <c r="B1021" s="18" t="s">
        <v>13</v>
      </c>
      <c r="C1021" s="18" t="s">
        <v>58</v>
      </c>
    </row>
    <row r="1022">
      <c r="A1022" s="17" t="s">
        <v>210</v>
      </c>
      <c r="B1022" s="18" t="s">
        <v>8</v>
      </c>
      <c r="C1022" s="18" t="s">
        <v>89</v>
      </c>
    </row>
    <row r="1023">
      <c r="A1023" s="17" t="s">
        <v>357</v>
      </c>
      <c r="B1023" s="18" t="s">
        <v>8</v>
      </c>
      <c r="C1023" s="18" t="s">
        <v>58</v>
      </c>
    </row>
    <row r="1024">
      <c r="A1024" s="17" t="s">
        <v>189</v>
      </c>
      <c r="B1024" s="18" t="s">
        <v>183</v>
      </c>
      <c r="C1024" s="18" t="s">
        <v>30</v>
      </c>
    </row>
    <row r="1025">
      <c r="A1025" s="17" t="s">
        <v>165</v>
      </c>
      <c r="B1025" s="18" t="s">
        <v>13</v>
      </c>
      <c r="C1025" s="9" t="s">
        <v>19</v>
      </c>
    </row>
    <row r="1026">
      <c r="A1026" s="17" t="s">
        <v>1227</v>
      </c>
      <c r="B1026" s="18" t="s">
        <v>77</v>
      </c>
      <c r="C1026" s="18" t="s">
        <v>262</v>
      </c>
    </row>
    <row r="1027">
      <c r="A1027" s="17" t="s">
        <v>701</v>
      </c>
      <c r="B1027" s="18" t="s">
        <v>59</v>
      </c>
      <c r="C1027" s="9" t="s">
        <v>69</v>
      </c>
    </row>
    <row r="1028">
      <c r="A1028" s="17" t="s">
        <v>749</v>
      </c>
      <c r="B1028" s="18" t="s">
        <v>59</v>
      </c>
      <c r="C1028" s="18" t="s">
        <v>47</v>
      </c>
    </row>
    <row r="1029">
      <c r="A1029" s="17" t="s">
        <v>956</v>
      </c>
      <c r="B1029" s="18" t="s">
        <v>59</v>
      </c>
      <c r="C1029" s="18" t="s">
        <v>262</v>
      </c>
    </row>
    <row r="1030">
      <c r="A1030" s="17" t="s">
        <v>1164</v>
      </c>
      <c r="B1030" s="18" t="s">
        <v>8</v>
      </c>
      <c r="C1030" s="18" t="s">
        <v>262</v>
      </c>
    </row>
    <row r="1031">
      <c r="A1031" s="17" t="s">
        <v>181</v>
      </c>
      <c r="B1031" s="18" t="s">
        <v>59</v>
      </c>
      <c r="C1031" s="9" t="s">
        <v>344</v>
      </c>
    </row>
    <row r="1032">
      <c r="A1032" s="17" t="s">
        <v>476</v>
      </c>
      <c r="B1032" s="18" t="s">
        <v>77</v>
      </c>
      <c r="C1032" s="18" t="s">
        <v>58</v>
      </c>
    </row>
    <row r="1033">
      <c r="A1033" s="17" t="s">
        <v>568</v>
      </c>
      <c r="B1033" s="18" t="s">
        <v>13</v>
      </c>
      <c r="C1033" s="18" t="s">
        <v>37</v>
      </c>
    </row>
    <row r="1034">
      <c r="A1034" s="17" t="s">
        <v>732</v>
      </c>
      <c r="B1034" s="18" t="s">
        <v>59</v>
      </c>
      <c r="C1034" s="18" t="s">
        <v>28</v>
      </c>
    </row>
    <row r="1035">
      <c r="A1035" s="17" t="s">
        <v>100</v>
      </c>
      <c r="B1035" s="18" t="s">
        <v>13</v>
      </c>
      <c r="C1035" s="18" t="s">
        <v>85</v>
      </c>
    </row>
    <row r="1036">
      <c r="A1036" s="17" t="s">
        <v>913</v>
      </c>
      <c r="B1036" s="18" t="s">
        <v>59</v>
      </c>
      <c r="C1036" s="18" t="s">
        <v>85</v>
      </c>
    </row>
    <row r="1037">
      <c r="A1037" s="17" t="s">
        <v>555</v>
      </c>
      <c r="B1037" s="18" t="s">
        <v>13</v>
      </c>
      <c r="C1037" s="18" t="s">
        <v>119</v>
      </c>
    </row>
    <row r="1038">
      <c r="A1038" s="17" t="s">
        <v>1014</v>
      </c>
      <c r="B1038" s="18" t="s">
        <v>13</v>
      </c>
      <c r="C1038" s="18" t="s">
        <v>99</v>
      </c>
    </row>
    <row r="1039">
      <c r="A1039" s="17" t="s">
        <v>763</v>
      </c>
      <c r="B1039" s="18" t="s">
        <v>59</v>
      </c>
      <c r="C1039" s="18" t="s">
        <v>64</v>
      </c>
    </row>
    <row r="1040">
      <c r="A1040" s="17" t="s">
        <v>38</v>
      </c>
      <c r="B1040" s="18" t="s">
        <v>13</v>
      </c>
      <c r="C1040" s="18" t="s">
        <v>39</v>
      </c>
    </row>
    <row r="1041">
      <c r="A1041" s="17" t="s">
        <v>587</v>
      </c>
      <c r="B1041" s="18" t="s">
        <v>13</v>
      </c>
      <c r="C1041" s="18" t="s">
        <v>262</v>
      </c>
    </row>
    <row r="1042">
      <c r="A1042" s="17" t="s">
        <v>1071</v>
      </c>
      <c r="B1042" s="18" t="s">
        <v>13</v>
      </c>
      <c r="C1042" s="18" t="s">
        <v>43</v>
      </c>
    </row>
    <row r="1043">
      <c r="A1043" s="17" t="s">
        <v>233</v>
      </c>
      <c r="B1043" s="18" t="s">
        <v>8</v>
      </c>
      <c r="C1043" s="18" t="s">
        <v>28</v>
      </c>
    </row>
    <row r="1044">
      <c r="A1044" s="17" t="s">
        <v>478</v>
      </c>
      <c r="B1044" s="18" t="s">
        <v>77</v>
      </c>
      <c r="C1044" s="18" t="s">
        <v>53</v>
      </c>
    </row>
    <row r="1045">
      <c r="A1045" s="17" t="s">
        <v>635</v>
      </c>
      <c r="B1045" s="18" t="s">
        <v>13</v>
      </c>
      <c r="C1045" s="18" t="s">
        <v>25</v>
      </c>
    </row>
    <row r="1046">
      <c r="A1046" s="17" t="s">
        <v>925</v>
      </c>
      <c r="B1046" s="18" t="s">
        <v>59</v>
      </c>
      <c r="C1046" s="18" t="s">
        <v>73</v>
      </c>
    </row>
    <row r="1047">
      <c r="A1047" s="17" t="s">
        <v>248</v>
      </c>
      <c r="B1047" s="18" t="s">
        <v>13</v>
      </c>
      <c r="C1047" s="18" t="s">
        <v>344</v>
      </c>
    </row>
    <row r="1048">
      <c r="A1048" s="17" t="s">
        <v>958</v>
      </c>
      <c r="B1048" s="18" t="s">
        <v>59</v>
      </c>
      <c r="C1048" s="18" t="s">
        <v>23</v>
      </c>
    </row>
    <row r="1049">
      <c r="A1049" s="17" t="s">
        <v>259</v>
      </c>
      <c r="B1049" s="18" t="s">
        <v>13</v>
      </c>
      <c r="C1049" s="18" t="s">
        <v>55</v>
      </c>
    </row>
    <row r="1050">
      <c r="A1050" s="17" t="s">
        <v>1060</v>
      </c>
      <c r="B1050" s="18" t="s">
        <v>13</v>
      </c>
      <c r="C1050" s="18" t="s">
        <v>262</v>
      </c>
    </row>
    <row r="1051">
      <c r="A1051" s="17" t="s">
        <v>964</v>
      </c>
      <c r="B1051" s="18" t="s">
        <v>59</v>
      </c>
      <c r="C1051" s="18" t="s">
        <v>262</v>
      </c>
    </row>
    <row r="1052">
      <c r="A1052" s="17" t="s">
        <v>1062</v>
      </c>
      <c r="B1052" s="18" t="s">
        <v>13</v>
      </c>
      <c r="C1052" s="18" t="s">
        <v>37</v>
      </c>
    </row>
    <row r="1053">
      <c r="A1053" s="17" t="s">
        <v>263</v>
      </c>
      <c r="B1053" s="18" t="s">
        <v>13</v>
      </c>
      <c r="C1053" s="9" t="s">
        <v>53</v>
      </c>
    </row>
    <row r="1054">
      <c r="A1054" s="17" t="s">
        <v>201</v>
      </c>
      <c r="B1054" s="18" t="s">
        <v>193</v>
      </c>
      <c r="C1054" s="9" t="s">
        <v>73</v>
      </c>
    </row>
    <row r="1055">
      <c r="A1055" s="17" t="s">
        <v>1190</v>
      </c>
      <c r="B1055" s="18" t="s">
        <v>8</v>
      </c>
      <c r="C1055" s="18" t="s">
        <v>262</v>
      </c>
    </row>
    <row r="1056">
      <c r="A1056" s="17" t="s">
        <v>1189</v>
      </c>
      <c r="B1056" s="18" t="s">
        <v>8</v>
      </c>
      <c r="C1056" s="9" t="s">
        <v>262</v>
      </c>
    </row>
    <row r="1057">
      <c r="A1057" s="17" t="s">
        <v>1187</v>
      </c>
      <c r="B1057" s="18" t="s">
        <v>8</v>
      </c>
      <c r="C1057" s="18" t="s">
        <v>262</v>
      </c>
    </row>
    <row r="1058">
      <c r="A1058" s="17" t="s">
        <v>796</v>
      </c>
      <c r="B1058" s="18" t="s">
        <v>183</v>
      </c>
      <c r="C1058" s="18" t="s">
        <v>41</v>
      </c>
    </row>
    <row r="1059">
      <c r="A1059" s="17" t="s">
        <v>721</v>
      </c>
      <c r="B1059" s="18" t="s">
        <v>59</v>
      </c>
      <c r="C1059" s="18" t="s">
        <v>85</v>
      </c>
    </row>
    <row r="1060">
      <c r="A1060" s="17" t="s">
        <v>518</v>
      </c>
      <c r="B1060" s="18" t="s">
        <v>77</v>
      </c>
      <c r="C1060" s="18" t="s">
        <v>32</v>
      </c>
    </row>
    <row r="1061">
      <c r="A1061" s="17" t="s">
        <v>1087</v>
      </c>
      <c r="B1061" s="18" t="s">
        <v>13</v>
      </c>
      <c r="C1061" s="18" t="s">
        <v>262</v>
      </c>
    </row>
    <row r="1062">
      <c r="A1062" s="17" t="s">
        <v>540</v>
      </c>
      <c r="B1062" s="18" t="s">
        <v>13</v>
      </c>
      <c r="C1062" s="18" t="s">
        <v>262</v>
      </c>
    </row>
    <row r="1063">
      <c r="A1063" s="17" t="s">
        <v>1054</v>
      </c>
      <c r="B1063" s="18" t="s">
        <v>13</v>
      </c>
      <c r="C1063" s="18" t="s">
        <v>262</v>
      </c>
    </row>
    <row r="1064">
      <c r="A1064" s="17" t="s">
        <v>1123</v>
      </c>
      <c r="B1064" s="18" t="s">
        <v>8</v>
      </c>
      <c r="C1064" s="18" t="s">
        <v>344</v>
      </c>
    </row>
    <row r="1065">
      <c r="A1065" s="17" t="s">
        <v>790</v>
      </c>
      <c r="B1065" s="18" t="s">
        <v>183</v>
      </c>
      <c r="C1065" s="18" t="s">
        <v>89</v>
      </c>
    </row>
    <row r="1066">
      <c r="A1066" s="17" t="s">
        <v>782</v>
      </c>
      <c r="B1066" s="18" t="s">
        <v>59</v>
      </c>
      <c r="C1066" s="9" t="s">
        <v>17</v>
      </c>
    </row>
    <row r="1067">
      <c r="A1067" s="17" t="s">
        <v>157</v>
      </c>
      <c r="B1067" s="18" t="s">
        <v>59</v>
      </c>
      <c r="C1067" s="18" t="s">
        <v>1285</v>
      </c>
    </row>
    <row r="1068">
      <c r="A1068" s="17" t="s">
        <v>735</v>
      </c>
      <c r="B1068" s="18" t="s">
        <v>59</v>
      </c>
      <c r="C1068" s="18" t="s">
        <v>23</v>
      </c>
    </row>
    <row r="1069">
      <c r="A1069" s="17" t="s">
        <v>582</v>
      </c>
      <c r="B1069" s="18" t="s">
        <v>13</v>
      </c>
      <c r="C1069" s="18" t="s">
        <v>64</v>
      </c>
    </row>
    <row r="1070">
      <c r="A1070" s="17" t="s">
        <v>278</v>
      </c>
      <c r="B1070" s="18" t="s">
        <v>77</v>
      </c>
      <c r="C1070" s="18" t="s">
        <v>69</v>
      </c>
    </row>
    <row r="1071">
      <c r="A1071" s="17" t="s">
        <v>349</v>
      </c>
      <c r="B1071" s="18" t="s">
        <v>8</v>
      </c>
      <c r="C1071" s="18" t="s">
        <v>30</v>
      </c>
    </row>
    <row r="1072">
      <c r="A1072" s="17" t="s">
        <v>225</v>
      </c>
      <c r="B1072" s="18" t="s">
        <v>8</v>
      </c>
      <c r="C1072" s="18" t="s">
        <v>25</v>
      </c>
    </row>
    <row r="1073">
      <c r="A1073" s="17" t="s">
        <v>459</v>
      </c>
      <c r="B1073" s="18" t="s">
        <v>8</v>
      </c>
      <c r="C1073" s="18" t="s">
        <v>15</v>
      </c>
    </row>
    <row r="1074">
      <c r="A1074" s="17" t="s">
        <v>806</v>
      </c>
      <c r="B1074" s="18" t="s">
        <v>183</v>
      </c>
      <c r="C1074" s="18" t="s">
        <v>10</v>
      </c>
    </row>
    <row r="1075">
      <c r="A1075" s="17" t="s">
        <v>537</v>
      </c>
      <c r="B1075" s="18" t="s">
        <v>13</v>
      </c>
      <c r="C1075" s="18" t="s">
        <v>99</v>
      </c>
    </row>
    <row r="1076">
      <c r="A1076" s="17" t="s">
        <v>399</v>
      </c>
      <c r="B1076" s="18" t="s">
        <v>8</v>
      </c>
      <c r="C1076" s="18" t="s">
        <v>69</v>
      </c>
    </row>
  </sheetData>
  <autoFilter ref="$A$1:$C$1076"/>
  <customSheetViews>
    <customSheetView guid="{FB80A6A1-DAEA-42AE-92AD-E07A460E5CB5}" filter="1" showAutoFilter="1">
      <autoFilter ref="$A$1:$C$554"/>
    </customSheetView>
  </customSheetViews>
  <drawing r:id="rId1"/>
</worksheet>
</file>