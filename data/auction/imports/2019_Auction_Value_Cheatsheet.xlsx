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N" sheetId="1" r:id="rId4"/>
    <sheet state="visible" name="FFToolbox" sheetId="2" r:id="rId5"/>
    <sheet state="visible" name="Scout.com" sheetId="3" r:id="rId6"/>
    <sheet state="visible" name="FantasyPro" sheetId="4" r:id="rId7"/>
    <sheet state="visible" name="RotoWire" sheetId="5" r:id="rId8"/>
    <sheet state="visible" name="Masterview" sheetId="6" r:id="rId9"/>
    <sheet state="visible" name="Players We Want" sheetId="7" r:id="rId10"/>
    <sheet state="visible" name="Team Bye List" sheetId="8" r:id="rId11"/>
    <sheet state="visible" name="Keepers" sheetId="9" r:id="rId12"/>
  </sheets>
  <definedNames>
    <definedName hidden="1" localSheetId="0" name="_xlnm._FilterDatabase">ESPN!$A$1:$E$774</definedName>
    <definedName hidden="1" localSheetId="1" name="_xlnm._FilterDatabase">FFToolbox!$A$1:$E$201</definedName>
    <definedName hidden="1" localSheetId="2" name="_xlnm._FilterDatabase">Scout.com!$A$1:$E$159</definedName>
    <definedName hidden="1" localSheetId="3" name="_xlnm._FilterDatabase">FantasyPro!$A$1:$E$305</definedName>
    <definedName hidden="1" localSheetId="4" name="_xlnm._FilterDatabase">RotoWire!$A$1:$E$619</definedName>
    <definedName hidden="1" localSheetId="5" name="_xlnm._FilterDatabase">Masterview!$A$1:$K$774</definedName>
    <definedName hidden="1" localSheetId="4" name="Z_0BD78D33_B142_4323_A82C_0C46ADE1021F_.wvu.FilterData">RotoWire!$A$1:$E$619</definedName>
    <definedName hidden="1" localSheetId="4" name="Z_A558A935_2B1E_4855_B30A_2B8B635B8ED8_.wvu.FilterData">RotoWire!$A$1:$E$619</definedName>
  </definedNames>
  <calcPr/>
  <customWorkbookViews>
    <customWorkbookView activeSheetId="0" maximized="1" windowHeight="0" windowWidth="0" guid="{0BD78D33-B142-4323-A82C-0C46ADE1021F}" name="Filter 2"/>
    <customWorkbookView activeSheetId="0" maximized="1" windowHeight="0" windowWidth="0" guid="{A558A935-2B1E-4855-B30A-2B8B635B8ED8}" name="Filter 1"/>
  </customWorkbookViews>
</workbook>
</file>

<file path=xl/sharedStrings.xml><?xml version="1.0" encoding="utf-8"?>
<sst xmlns="http://schemas.openxmlformats.org/spreadsheetml/2006/main" count="9013" uniqueCount="980">
  <si>
    <t>Rank</t>
  </si>
  <si>
    <t>Name</t>
  </si>
  <si>
    <t>Team</t>
  </si>
  <si>
    <t>Position</t>
  </si>
  <si>
    <t>Value</t>
  </si>
  <si>
    <t>Saquon Barkley</t>
  </si>
  <si>
    <t>NYG</t>
  </si>
  <si>
    <t>RB</t>
  </si>
  <si>
    <t>Ezekiel Elliott</t>
  </si>
  <si>
    <t>DAL</t>
  </si>
  <si>
    <t>Travis Kelce</t>
  </si>
  <si>
    <t>KC</t>
  </si>
  <si>
    <t>TE</t>
  </si>
  <si>
    <t>Tyreek Hill</t>
  </si>
  <si>
    <t>WR</t>
  </si>
  <si>
    <t>Alvin Kamara</t>
  </si>
  <si>
    <t>NO</t>
  </si>
  <si>
    <t>DeAndre Hopkins</t>
  </si>
  <si>
    <t>HOU</t>
  </si>
  <si>
    <t>Julio Jones</t>
  </si>
  <si>
    <t>ATL</t>
  </si>
  <si>
    <t>Christian McCaffrey</t>
  </si>
  <si>
    <t>CAR</t>
  </si>
  <si>
    <t>Todd Gurley</t>
  </si>
  <si>
    <t>LAR</t>
  </si>
  <si>
    <t>David Johnson</t>
  </si>
  <si>
    <t>ARI</t>
  </si>
  <si>
    <t>Davante Adams</t>
  </si>
  <si>
    <t>GB</t>
  </si>
  <si>
    <t>Odell Beckham</t>
  </si>
  <si>
    <t>CLE</t>
  </si>
  <si>
    <t>Michael Thomas</t>
  </si>
  <si>
    <t>George Kittle</t>
  </si>
  <si>
    <t>SF</t>
  </si>
  <si>
    <t>JuJu Smith-Schuster</t>
  </si>
  <si>
    <t>PIT</t>
  </si>
  <si>
    <t>Mike Evans</t>
  </si>
  <si>
    <t>TB</t>
  </si>
  <si>
    <t>Patrick Mahomes</t>
  </si>
  <si>
    <t>QB</t>
  </si>
  <si>
    <t>Antonio Brown</t>
  </si>
  <si>
    <t>OAK</t>
  </si>
  <si>
    <t>Melvin Gordon</t>
  </si>
  <si>
    <t>LAC</t>
  </si>
  <si>
    <t>Keenan Allen</t>
  </si>
  <si>
    <t>Julian Edelman</t>
  </si>
  <si>
    <t>NE</t>
  </si>
  <si>
    <t>T.Y. Hilton</t>
  </si>
  <si>
    <t>IND</t>
  </si>
  <si>
    <t>Derrick Henry</t>
  </si>
  <si>
    <t>TEN</t>
  </si>
  <si>
    <t>Le'Veon Bell</t>
  </si>
  <si>
    <t>NYJ</t>
  </si>
  <si>
    <t>Joe Mixon</t>
  </si>
  <si>
    <t>CIN</t>
  </si>
  <si>
    <t>Amari Cooper</t>
  </si>
  <si>
    <t>James Conner</t>
  </si>
  <si>
    <t>Brandin Cooks</t>
  </si>
  <si>
    <t>Zach Ertz</t>
  </si>
  <si>
    <t>PHI</t>
  </si>
  <si>
    <t>Deshaun Watson</t>
  </si>
  <si>
    <t>Adam Thielen</t>
  </si>
  <si>
    <t>MIN</t>
  </si>
  <si>
    <t>Nick Chubb</t>
  </si>
  <si>
    <t>Dalvin Cook</t>
  </si>
  <si>
    <t>Mike Williams</t>
  </si>
  <si>
    <t>Robert Woods</t>
  </si>
  <si>
    <t>Sony Michel</t>
  </si>
  <si>
    <t>Tyler Lockett</t>
  </si>
  <si>
    <t>SEA</t>
  </si>
  <si>
    <t>Kenny Golladay</t>
  </si>
  <si>
    <t>DET</t>
  </si>
  <si>
    <t>Stefon Diggs</t>
  </si>
  <si>
    <t>Matt Ryan</t>
  </si>
  <si>
    <t>A.J. Green</t>
  </si>
  <si>
    <t>Evan Engram</t>
  </si>
  <si>
    <t>DJ Moore</t>
  </si>
  <si>
    <t>Chris Carson</t>
  </si>
  <si>
    <t>O.J. Howard</t>
  </si>
  <si>
    <t>Jared Cook</t>
  </si>
  <si>
    <t>Devonta Freeman</t>
  </si>
  <si>
    <t>Chris Godwin</t>
  </si>
  <si>
    <t>Alshon Jeffery</t>
  </si>
  <si>
    <t>Hunter Henry</t>
  </si>
  <si>
    <t>Cam Newton</t>
  </si>
  <si>
    <t>Marlon Mack</t>
  </si>
  <si>
    <t>Cooper Kupp</t>
  </si>
  <si>
    <t>Sterling Shepard</t>
  </si>
  <si>
    <t>Robby Anderson</t>
  </si>
  <si>
    <t>Calvin Ridley</t>
  </si>
  <si>
    <t>Leonard Fournette</t>
  </si>
  <si>
    <t>JAC</t>
  </si>
  <si>
    <t>Josh Gordon</t>
  </si>
  <si>
    <t>Josh Jacobs</t>
  </si>
  <si>
    <t>Aaron Rodgers</t>
  </si>
  <si>
    <t>Allen Robinson</t>
  </si>
  <si>
    <t>CHI</t>
  </si>
  <si>
    <t>Sammy Watkins</t>
  </si>
  <si>
    <t>Tyler Boyd</t>
  </si>
  <si>
    <t>Dak Prescott</t>
  </si>
  <si>
    <t>Kerryon Johnson</t>
  </si>
  <si>
    <t>Marvin Jones</t>
  </si>
  <si>
    <t>Aaron Jones</t>
  </si>
  <si>
    <t>Mark Ingram</t>
  </si>
  <si>
    <t>BAL</t>
  </si>
  <si>
    <t>Carson Wentz</t>
  </si>
  <si>
    <t>Jarvis Landry</t>
  </si>
  <si>
    <t>Vance McDonald</t>
  </si>
  <si>
    <t>David Njoku</t>
  </si>
  <si>
    <t>Austin Hooper</t>
  </si>
  <si>
    <t>Ben Roethlisberger</t>
  </si>
  <si>
    <t>Kyler Murray</t>
  </si>
  <si>
    <t>Delanie Walker</t>
  </si>
  <si>
    <t>Eric Ebron</t>
  </si>
  <si>
    <t>Dede Westbrook</t>
  </si>
  <si>
    <t>Baker Mayfield</t>
  </si>
  <si>
    <t>Greg Olsen</t>
  </si>
  <si>
    <t>Mark Andrews</t>
  </si>
  <si>
    <t>Curtis Samuel</t>
  </si>
  <si>
    <t>Greg Zuerlein</t>
  </si>
  <si>
    <t>K</t>
  </si>
  <si>
    <t>Emmanuel Sanders</t>
  </si>
  <si>
    <t>DEN</t>
  </si>
  <si>
    <t>Drew Brees</t>
  </si>
  <si>
    <t>Damien Williams</t>
  </si>
  <si>
    <t>Russell Wilson</t>
  </si>
  <si>
    <t>Trey Burton</t>
  </si>
  <si>
    <t>Larry Fitzgerald</t>
  </si>
  <si>
    <t>Justin Tucker</t>
  </si>
  <si>
    <t>Mitchell Trubisky</t>
  </si>
  <si>
    <t>Christian Kirk</t>
  </si>
  <si>
    <t>Jared Goff</t>
  </si>
  <si>
    <t>Harrison Butker</t>
  </si>
  <si>
    <t>Bears D/ST</t>
  </si>
  <si>
    <t>D/ST</t>
  </si>
  <si>
    <t>Wil Lutz</t>
  </si>
  <si>
    <t>Jameis Winston</t>
  </si>
  <si>
    <t>Ka'imi Fairbairn</t>
  </si>
  <si>
    <t>Bills D/ST</t>
  </si>
  <si>
    <t>BUF</t>
  </si>
  <si>
    <t>Saints D/ST</t>
  </si>
  <si>
    <t>Colts D/ST</t>
  </si>
  <si>
    <t>Vikings D/ST</t>
  </si>
  <si>
    <t>Eagles D/ST</t>
  </si>
  <si>
    <t>Tom Brady</t>
  </si>
  <si>
    <t>David Montgomery</t>
  </si>
  <si>
    <t>Robbie Gould</t>
  </si>
  <si>
    <t>Stephen Gostkowski</t>
  </si>
  <si>
    <t>Mike Badgley</t>
  </si>
  <si>
    <t>Mason Crosby</t>
  </si>
  <si>
    <t>Jake Elliott</t>
  </si>
  <si>
    <t>Brett Maher</t>
  </si>
  <si>
    <t>Ryan Succop</t>
  </si>
  <si>
    <t>Browns D/ST</t>
  </si>
  <si>
    <t>Rams D/ST</t>
  </si>
  <si>
    <t>Jaguars D/ST</t>
  </si>
  <si>
    <t>Panthers D/ST</t>
  </si>
  <si>
    <t>Titans D/ST</t>
  </si>
  <si>
    <t>Patriots D/ST</t>
  </si>
  <si>
    <t>Steelers D/ST</t>
  </si>
  <si>
    <t>Chargers D/ST</t>
  </si>
  <si>
    <t>Michael Gallup</t>
  </si>
  <si>
    <t>Kenny Stills</t>
  </si>
  <si>
    <t>MIA</t>
  </si>
  <si>
    <t>Redskins D/ST</t>
  </si>
  <si>
    <t>WAS</t>
  </si>
  <si>
    <t>Jamison Crowder</t>
  </si>
  <si>
    <t>Broncos D/ST</t>
  </si>
  <si>
    <t>Falcons D/ST</t>
  </si>
  <si>
    <t>49ers D/ST</t>
  </si>
  <si>
    <t>Texans D/ST</t>
  </si>
  <si>
    <t>Cardinals D/ST</t>
  </si>
  <si>
    <t>Ravens D/ST</t>
  </si>
  <si>
    <t>Chiefs D/ST</t>
  </si>
  <si>
    <t>Lions D/ST</t>
  </si>
  <si>
    <t>Jets D/ST</t>
  </si>
  <si>
    <t>Cowboys D/ST</t>
  </si>
  <si>
    <t>Packers D/ST</t>
  </si>
  <si>
    <t>Seahawks D/ST</t>
  </si>
  <si>
    <t>Bengals D/ST</t>
  </si>
  <si>
    <t>Giants D/ST</t>
  </si>
  <si>
    <t>Jordan Reed</t>
  </si>
  <si>
    <t>Buccaneers D/ST</t>
  </si>
  <si>
    <t>Dolphins D/ST</t>
  </si>
  <si>
    <t>Raiders D/ST</t>
  </si>
  <si>
    <t>Matt Prater</t>
  </si>
  <si>
    <t>Jack Doyle</t>
  </si>
  <si>
    <t>Aldrick Rosas</t>
  </si>
  <si>
    <t>Adam Vinatieri</t>
  </si>
  <si>
    <t>DeSean Jackson</t>
  </si>
  <si>
    <t>Jimmy Graham</t>
  </si>
  <si>
    <t>Will Fuller V</t>
  </si>
  <si>
    <t>Matt Gay</t>
  </si>
  <si>
    <t>Giorgio Tavecchio</t>
  </si>
  <si>
    <t>Kyle Rudolph</t>
  </si>
  <si>
    <t>Graham Gano</t>
  </si>
  <si>
    <t>Austin Seibert</t>
  </si>
  <si>
    <t>Corey Davis</t>
  </si>
  <si>
    <t>Courtland Sutton</t>
  </si>
  <si>
    <t>Daniel Carlson</t>
  </si>
  <si>
    <t>Chris Boswell</t>
  </si>
  <si>
    <t>Jason Myers</t>
  </si>
  <si>
    <t>Eddy Pineiro</t>
  </si>
  <si>
    <t>Josh Lambo</t>
  </si>
  <si>
    <t>Stephen Hauschka</t>
  </si>
  <si>
    <t>Tyrell Williams</t>
  </si>
  <si>
    <t>Randy Bullock</t>
  </si>
  <si>
    <t>Zane Gonzalez</t>
  </si>
  <si>
    <t>Andrew Luck</t>
  </si>
  <si>
    <t>Jason Sanders</t>
  </si>
  <si>
    <t>Donte Moncrief</t>
  </si>
  <si>
    <t>Brandon McManus</t>
  </si>
  <si>
    <t>Larmar Jackson</t>
  </si>
  <si>
    <t>Tyler Eifert</t>
  </si>
  <si>
    <t>Devin Funchess</t>
  </si>
  <si>
    <t>Dustin Hopkins</t>
  </si>
  <si>
    <t>Dante Pettis</t>
  </si>
  <si>
    <t>Darren Waller</t>
  </si>
  <si>
    <t>Philip Rivers</t>
  </si>
  <si>
    <t>Dallas Goedert</t>
  </si>
  <si>
    <t>Mohamed Sanu</t>
  </si>
  <si>
    <t>Keke Coutee</t>
  </si>
  <si>
    <t>John Brown</t>
  </si>
  <si>
    <t>Anthony Miller</t>
  </si>
  <si>
    <t>T.J. Hockenson</t>
  </si>
  <si>
    <t>DK Metcalf</t>
  </si>
  <si>
    <t>Jason Witten</t>
  </si>
  <si>
    <t>Will Dissly</t>
  </si>
  <si>
    <t>Derrius Guice</t>
  </si>
  <si>
    <t>Larmar Miller</t>
  </si>
  <si>
    <t>Kirk Cousins</t>
  </si>
  <si>
    <t>Kenyan Drake</t>
  </si>
  <si>
    <t>Geronimo Allison</t>
  </si>
  <si>
    <t>Chris Herndon</t>
  </si>
  <si>
    <t>Ted Ginn Jr.</t>
  </si>
  <si>
    <t>Noah Fant</t>
  </si>
  <si>
    <t>Paul Richardson</t>
  </si>
  <si>
    <t>Marquez Valdes-Scantling</t>
  </si>
  <si>
    <t>Josh Allen</t>
  </si>
  <si>
    <t>James Washington</t>
  </si>
  <si>
    <t>Mike Gesicki</t>
  </si>
  <si>
    <t>Cole Beasley</t>
  </si>
  <si>
    <t>Adam Humphries</t>
  </si>
  <si>
    <t>DaeSean Hamilton</t>
  </si>
  <si>
    <t>Albert Wilson</t>
  </si>
  <si>
    <t>Phillip Lindsay</t>
  </si>
  <si>
    <t>DJ Chark</t>
  </si>
  <si>
    <t>Marquise Brown</t>
  </si>
  <si>
    <t>Chris Conley</t>
  </si>
  <si>
    <t>James White</t>
  </si>
  <si>
    <t>Golden Tate</t>
  </si>
  <si>
    <t>DeVante Parker</t>
  </si>
  <si>
    <t>Gerald Everett</t>
  </si>
  <si>
    <t>Miles Sanders</t>
  </si>
  <si>
    <t>Greg Joseph</t>
  </si>
  <si>
    <t>Sam Ficken</t>
  </si>
  <si>
    <t>Cairo Santos</t>
  </si>
  <si>
    <t>Blair Walsh</t>
  </si>
  <si>
    <t>Dan Bailey</t>
  </si>
  <si>
    <t>Tevin Coleman</t>
  </si>
  <si>
    <t>Josh Doctson</t>
  </si>
  <si>
    <t>Taylor Gabriel</t>
  </si>
  <si>
    <t>Derek Carr</t>
  </si>
  <si>
    <t>Jimmy Garoppolo</t>
  </si>
  <si>
    <t>Quincy Enunwa</t>
  </si>
  <si>
    <t>A.J. Brown</t>
  </si>
  <si>
    <t>Matthew Stafford</t>
  </si>
  <si>
    <t>Mecole Hardman</t>
  </si>
  <si>
    <t>Deebo Samuel</t>
  </si>
  <si>
    <t>Zay Jones</t>
  </si>
  <si>
    <t>Vernon Davis</t>
  </si>
  <si>
    <t>Andy Isabella</t>
  </si>
  <si>
    <t>Jordan Thomas</t>
  </si>
  <si>
    <t>Randall Cobb</t>
  </si>
  <si>
    <t>Willie Snead IV</t>
  </si>
  <si>
    <t>Nelson Agholor</t>
  </si>
  <si>
    <t>Sam Darnold</t>
  </si>
  <si>
    <t>Benjamin Watson</t>
  </si>
  <si>
    <t>Danny Amendola</t>
  </si>
  <si>
    <t>David Moore</t>
  </si>
  <si>
    <t>Hayden Hurst</t>
  </si>
  <si>
    <t>Trey Quinn</t>
  </si>
  <si>
    <t>Geoff Swaim</t>
  </si>
  <si>
    <t>Cameron Brate</t>
  </si>
  <si>
    <t>Tre'Quan Smith</t>
  </si>
  <si>
    <t>Andy Dalton</t>
  </si>
  <si>
    <t>Irv Smith Jr.</t>
  </si>
  <si>
    <t>Parris Campbell</t>
  </si>
  <si>
    <t>Matt Breida</t>
  </si>
  <si>
    <t>John Ross</t>
  </si>
  <si>
    <t>Josh Oliver</t>
  </si>
  <si>
    <t>Terry McLARurin</t>
  </si>
  <si>
    <t>Rashard Higgins</t>
  </si>
  <si>
    <t>Tyler Kroft</t>
  </si>
  <si>
    <t>Travis Benjamin</t>
  </si>
  <si>
    <t>Marquise Goodwin</t>
  </si>
  <si>
    <t>Dawson Knox</t>
  </si>
  <si>
    <t>Xavier Grimble</t>
  </si>
  <si>
    <t>Jordan Akins</t>
  </si>
  <si>
    <t>Jesse James</t>
  </si>
  <si>
    <t>Ian Thomas</t>
  </si>
  <si>
    <t>Jarius Wright</t>
  </si>
  <si>
    <t>Peyton Barber</t>
  </si>
  <si>
    <t>Matt Lacosse</t>
  </si>
  <si>
    <t>Tarik Cohen</t>
  </si>
  <si>
    <t>Jacob Hollister</t>
  </si>
  <si>
    <t>Marcus Mariota</t>
  </si>
  <si>
    <t>Jace Sternberger</t>
  </si>
  <si>
    <t>Rashaad Penny</t>
  </si>
  <si>
    <t>Tyler Higbee</t>
  </si>
  <si>
    <t>Charles Clay</t>
  </si>
  <si>
    <t>Nick O'Leary</t>
  </si>
  <si>
    <t>Hunter Renfrow</t>
  </si>
  <si>
    <t>Breshad Perriman</t>
  </si>
  <si>
    <t>Logan Paulsen</t>
  </si>
  <si>
    <t>Preston Williams</t>
  </si>
  <si>
    <t>Demetrius Harris</t>
  </si>
  <si>
    <t>Latavius Murray</t>
  </si>
  <si>
    <t>Jake Butt</t>
  </si>
  <si>
    <t>Hakeem Butler</t>
  </si>
  <si>
    <t>Adam Shaheen</t>
  </si>
  <si>
    <t>Royce Freeman</t>
  </si>
  <si>
    <t>Mo Alie-Cox</t>
  </si>
  <si>
    <t>Robert Foster</t>
  </si>
  <si>
    <t>C.J. Uzomah</t>
  </si>
  <si>
    <t>N'Keal Harry</t>
  </si>
  <si>
    <t>Trent Taylor</t>
  </si>
  <si>
    <t>Marqise Lee</t>
  </si>
  <si>
    <t>Chad Beebe</t>
  </si>
  <si>
    <t>James O'Shaughnessy</t>
  </si>
  <si>
    <t>Chris Moore</t>
  </si>
  <si>
    <t>Virgil Green</t>
  </si>
  <si>
    <t>Miles Boykin</t>
  </si>
  <si>
    <t>Blake Jarwin</t>
  </si>
  <si>
    <t>Josh Hill</t>
  </si>
  <si>
    <t>Ryan Griffin</t>
  </si>
  <si>
    <t>Rhett Ellison</t>
  </si>
  <si>
    <t>Diontae Johnson</t>
  </si>
  <si>
    <t>LeSean McCoy</t>
  </si>
  <si>
    <t>Kahale Warring</t>
  </si>
  <si>
    <t>Ricky Seals-Jones</t>
  </si>
  <si>
    <t>Nick Boyle</t>
  </si>
  <si>
    <t>Maxx Williams</t>
  </si>
  <si>
    <t>Jordan Howard</t>
  </si>
  <si>
    <t>Jonnu Smith</t>
  </si>
  <si>
    <t>Cody Latimer</t>
  </si>
  <si>
    <t>Austin Ekeler</t>
  </si>
  <si>
    <t>Blake Bell</t>
  </si>
  <si>
    <t>Duke Johnson</t>
  </si>
  <si>
    <t>Deon Cain</t>
  </si>
  <si>
    <t>Trevon Wesco</t>
  </si>
  <si>
    <t>Dalton Schultz</t>
  </si>
  <si>
    <t>Jeremy Sprinkle</t>
  </si>
  <si>
    <t>Jeff Heuerman</t>
  </si>
  <si>
    <t>Durham Smythe</t>
  </si>
  <si>
    <t>Derek Carrier</t>
  </si>
  <si>
    <t>Nick Vannett</t>
  </si>
  <si>
    <t>Tim Patrick</t>
  </si>
  <si>
    <t>Foster Moreau</t>
  </si>
  <si>
    <t>Antonio Callaway</t>
  </si>
  <si>
    <t>Drew Sample</t>
  </si>
  <si>
    <t>Jalen Hurd</t>
  </si>
  <si>
    <t>KeeSean Johnson</t>
  </si>
  <si>
    <t>Jordan Taylor</t>
  </si>
  <si>
    <t>Anthony Firkser</t>
  </si>
  <si>
    <t>Levine Toilolo</t>
  </si>
  <si>
    <t>Daniel Brown</t>
  </si>
  <si>
    <t>C.J. Anderson</t>
  </si>
  <si>
    <t>Lance Kendricks</t>
  </si>
  <si>
    <t>JJ Arcega-Whiteside</t>
  </si>
  <si>
    <t>Gary Jennings Jr.</t>
  </si>
  <si>
    <t>Kalen BalLARge</t>
  </si>
  <si>
    <t>Justin Watson</t>
  </si>
  <si>
    <t>Dan Arnold</t>
  </si>
  <si>
    <t>Zach Gentry</t>
  </si>
  <si>
    <t>Chris Hogan</t>
  </si>
  <si>
    <t>Sean Culkin</t>
  </si>
  <si>
    <t>Robert Tonyan</t>
  </si>
  <si>
    <t>Luke Stocker</t>
  </si>
  <si>
    <t>Josh Perkins</t>
  </si>
  <si>
    <t>Ross Dwelley</t>
  </si>
  <si>
    <t>Chris Manhertz</t>
  </si>
  <si>
    <t>Deon Yelder</t>
  </si>
  <si>
    <t>Marcedes Lewis</t>
  </si>
  <si>
    <t>Cordarrelle Patterson</t>
  </si>
  <si>
    <t>Ryan Switzer</t>
  </si>
  <si>
    <t>Caleb Wilson</t>
  </si>
  <si>
    <t>Dwayne Allen</t>
  </si>
  <si>
    <t>Nyheim Hines</t>
  </si>
  <si>
    <t>Lee Smith</t>
  </si>
  <si>
    <t>Tommy Sweeney</t>
  </si>
  <si>
    <t>Seth DeValve</t>
  </si>
  <si>
    <t>Eric Saubert</t>
  </si>
  <si>
    <t>Scott Simonson</t>
  </si>
  <si>
    <t>Antony Auclair</t>
  </si>
  <si>
    <t>Keelan Cole</t>
  </si>
  <si>
    <t>Ben Braunecker</t>
  </si>
  <si>
    <t>David Morgan</t>
  </si>
  <si>
    <t>Tyler Conklin</t>
  </si>
  <si>
    <t>Alize Mack</t>
  </si>
  <si>
    <t>Kaden Smith</t>
  </si>
  <si>
    <t>Josh Reynolds</t>
  </si>
  <si>
    <t>Mason Schreck</t>
  </si>
  <si>
    <t>Troy Fumagalli</t>
  </si>
  <si>
    <t>Isaac Nauta</t>
  </si>
  <si>
    <t>Ryan Hewitt</t>
  </si>
  <si>
    <t>Demarcus Robinson</t>
  </si>
  <si>
    <t>Ronald Jones</t>
  </si>
  <si>
    <t>Justin Hardy</t>
  </si>
  <si>
    <t>Keith Kirkwood</t>
  </si>
  <si>
    <t>Darius Slayton</t>
  </si>
  <si>
    <t>Jamaal Williams</t>
  </si>
  <si>
    <t>Garrett Griffin</t>
  </si>
  <si>
    <t>Rico Gathers</t>
  </si>
  <si>
    <t>Cethan Carter</t>
  </si>
  <si>
    <t>Jordan Leggett</t>
  </si>
  <si>
    <t>Jason Croom</t>
  </si>
  <si>
    <t>Cole Wick</t>
  </si>
  <si>
    <t>Jerell Adams</t>
  </si>
  <si>
    <t>A.J. Derby</t>
  </si>
  <si>
    <t>Bucky Hodges</t>
  </si>
  <si>
    <t>Matt Flanagan</t>
  </si>
  <si>
    <t>Darrell Daniels</t>
  </si>
  <si>
    <t>Vince Mayle</t>
  </si>
  <si>
    <t>Johnny Mundt</t>
  </si>
  <si>
    <t>Jason Vander Laan</t>
  </si>
  <si>
    <t>Garrett Dickerson</t>
  </si>
  <si>
    <t>Ryan Izzo</t>
  </si>
  <si>
    <t>Jordan Franks</t>
  </si>
  <si>
    <t>Donnie Ernsberger</t>
  </si>
  <si>
    <t>Moritz Bohringer</t>
  </si>
  <si>
    <t>Ross Travis</t>
  </si>
  <si>
    <t>Stephen Anderson</t>
  </si>
  <si>
    <t>Austin Traylor</t>
  </si>
  <si>
    <t>Alex Ellis</t>
  </si>
  <si>
    <t>Evan Baylis</t>
  </si>
  <si>
    <t>Pharaoh Brown</t>
  </si>
  <si>
    <t>Cole Hikutini</t>
  </si>
  <si>
    <t>Ben Koyack</t>
  </si>
  <si>
    <t>Temarrick Hemingway</t>
  </si>
  <si>
    <t>Marcus Lucas</t>
  </si>
  <si>
    <t>Manasseh Garner</t>
  </si>
  <si>
    <t>Will Tye</t>
  </si>
  <si>
    <t>Clive Walford</t>
  </si>
  <si>
    <t>Jerome Cunningham</t>
  </si>
  <si>
    <t>Eric Tomlinson</t>
  </si>
  <si>
    <t>MyCole Pruitt</t>
  </si>
  <si>
    <t>Gabe Holmes</t>
  </si>
  <si>
    <t>Luke Willson</t>
  </si>
  <si>
    <t>Richard Rodgers</t>
  </si>
  <si>
    <t>Logan Thomas</t>
  </si>
  <si>
    <t>Orson Charles</t>
  </si>
  <si>
    <t>Garrett Celek</t>
  </si>
  <si>
    <t>Darren Fells</t>
  </si>
  <si>
    <t>Ed Dickson</t>
  </si>
  <si>
    <t>Jakeem Grant</t>
  </si>
  <si>
    <t>Equanimeous St. Brown</t>
  </si>
  <si>
    <t>Tavon Austin</t>
  </si>
  <si>
    <t>Marcell Ateman</t>
  </si>
  <si>
    <t>Frank Gore</t>
  </si>
  <si>
    <t>Russell Shepard</t>
  </si>
  <si>
    <t>J.J. Nelson</t>
  </si>
  <si>
    <t>Nick Foles</t>
  </si>
  <si>
    <t>Darrell Henderson</t>
  </si>
  <si>
    <t>Jaron Brown</t>
  </si>
  <si>
    <t>Giovani Bernard</t>
  </si>
  <si>
    <t>Dion Lewis</t>
  </si>
  <si>
    <t>Kendrick Bourne</t>
  </si>
  <si>
    <t>Alex Erickson</t>
  </si>
  <si>
    <t>Kelvin Harmon</t>
  </si>
  <si>
    <t>Torrey Smith</t>
  </si>
  <si>
    <t>Chris Lacy</t>
  </si>
  <si>
    <t>Travis Fulgham</t>
  </si>
  <si>
    <t>Phillip Dorsett</t>
  </si>
  <si>
    <t>Russell Gage</t>
  </si>
  <si>
    <t>Jalen Richard</t>
  </si>
  <si>
    <t>Josh Malone</t>
  </si>
  <si>
    <t>Eli Rogers</t>
  </si>
  <si>
    <t>Seth Roberts</t>
  </si>
  <si>
    <t>Jake Kumerow</t>
  </si>
  <si>
    <t>Allen Hurns</t>
  </si>
  <si>
    <t>Scott Miller</t>
  </si>
  <si>
    <t>Kareem Hunt</t>
  </si>
  <si>
    <t>Riley Ridley</t>
  </si>
  <si>
    <t>Jaylen Samuels</t>
  </si>
  <si>
    <t>Joshua Bellamy</t>
  </si>
  <si>
    <t>Taywan Taylor</t>
  </si>
  <si>
    <t>Tajae Sharpe</t>
  </si>
  <si>
    <t>Geremy Davis</t>
  </si>
  <si>
    <t>Bennie Fowler</t>
  </si>
  <si>
    <t>Demaryius Thomas</t>
  </si>
  <si>
    <t>Derrick Willies</t>
  </si>
  <si>
    <t>Isaiah McKenzie</t>
  </si>
  <si>
    <t>Chester Rogers</t>
  </si>
  <si>
    <t>Trevor Davis</t>
  </si>
  <si>
    <t>Austin Carr</t>
  </si>
  <si>
    <t>Mack Hollins</t>
  </si>
  <si>
    <t>DeAndre Carter</t>
  </si>
  <si>
    <t>Vyncint Smith</t>
  </si>
  <si>
    <t>Darius Jennings</t>
  </si>
  <si>
    <t>Javon Wims</t>
  </si>
  <si>
    <t>Greg Dortch</t>
  </si>
  <si>
    <t>Noah Brown</t>
  </si>
  <si>
    <t>Charone Peake</t>
  </si>
  <si>
    <t>Olabisi Johnson</t>
  </si>
  <si>
    <t>Ryan Grant</t>
  </si>
  <si>
    <t>Cam Sims</t>
  </si>
  <si>
    <t>Jaelen Strong</t>
  </si>
  <si>
    <t>Dwayne Harris</t>
  </si>
  <si>
    <t>Andre Roberts</t>
  </si>
  <si>
    <t>Jaleel Scott</t>
  </si>
  <si>
    <t>Terrelle Pryor</t>
  </si>
  <si>
    <t>Chris Thompson</t>
  </si>
  <si>
    <t>Marcus Green</t>
  </si>
  <si>
    <t>Cody Core</t>
  </si>
  <si>
    <t>Gehrig Dieter</t>
  </si>
  <si>
    <t>Byron Pringle</t>
  </si>
  <si>
    <t>KhaDarel Hodge</t>
  </si>
  <si>
    <t>Richie James</t>
  </si>
  <si>
    <t>Artavis Scott</t>
  </si>
  <si>
    <t>Juwann Winfree</t>
  </si>
  <si>
    <t>Keenan Reynolds</t>
  </si>
  <si>
    <t>Gus Edwards</t>
  </si>
  <si>
    <t>Duke Williams</t>
  </si>
  <si>
    <t>Braxton Berrios</t>
  </si>
  <si>
    <t>Pharoh Cooper</t>
  </si>
  <si>
    <t>Brendan Langley</t>
  </si>
  <si>
    <t>JoJo Natson</t>
  </si>
  <si>
    <t>Adrian Peterson</t>
  </si>
  <si>
    <t>Carlos Hyde</t>
  </si>
  <si>
    <t>Bobo Wilson</t>
  </si>
  <si>
    <t>Zach Pascal</t>
  </si>
  <si>
    <t>River Cracraft</t>
  </si>
  <si>
    <t>Jaydon Mickens</t>
  </si>
  <si>
    <t>Brandon Zylstra</t>
  </si>
  <si>
    <t>J.J. Jones</t>
  </si>
  <si>
    <t>Jalen Tolliver</t>
  </si>
  <si>
    <t>Cedrick Wilson</t>
  </si>
  <si>
    <t>Dillon Mitchell</t>
  </si>
  <si>
    <t>Krishawn Hogan</t>
  </si>
  <si>
    <t>Antoine Wesley</t>
  </si>
  <si>
    <t>John Ursua</t>
  </si>
  <si>
    <t>Deontay Burnett</t>
  </si>
  <si>
    <t>Mike Thomas</t>
  </si>
  <si>
    <t>Isaiah Ford</t>
  </si>
  <si>
    <t>Cam Phillips</t>
  </si>
  <si>
    <t>Trent Sherfield</t>
  </si>
  <si>
    <t>Allen Lazard</t>
  </si>
  <si>
    <t>Hunter Sharp</t>
  </si>
  <si>
    <t>Roger Lewis</t>
  </si>
  <si>
    <t>Jordan Lasley</t>
  </si>
  <si>
    <t>Simmie Cobbs Jr.</t>
  </si>
  <si>
    <t>Terry Godwin</t>
  </si>
  <si>
    <t>Tim White</t>
  </si>
  <si>
    <t>Auden Tate</t>
  </si>
  <si>
    <t>Emanuel Hall</t>
  </si>
  <si>
    <t>Cameron Batson</t>
  </si>
  <si>
    <t>Ray-Ray McCloud III</t>
  </si>
  <si>
    <t>Damion Ratley</t>
  </si>
  <si>
    <t>Isaac Whitney</t>
  </si>
  <si>
    <t>Quadree Henderson</t>
  </si>
  <si>
    <t>Corey Coleman</t>
  </si>
  <si>
    <t>Andy Jones</t>
  </si>
  <si>
    <t>Carlton Agudosi</t>
  </si>
  <si>
    <t>Keon Hatcher</t>
  </si>
  <si>
    <t>Alonzo Russell</t>
  </si>
  <si>
    <t>Brandon Reilly</t>
  </si>
  <si>
    <t>Kalif Raymond</t>
  </si>
  <si>
    <t>Amara Darboh</t>
  </si>
  <si>
    <t>Jehu Chesson</t>
  </si>
  <si>
    <t>Travin Dural</t>
  </si>
  <si>
    <t>Jester Weah</t>
  </si>
  <si>
    <t>Tanner Gentry</t>
  </si>
  <si>
    <t>Steven Mitchell</t>
  </si>
  <si>
    <t>Robert Davis</t>
  </si>
  <si>
    <t>J'Mon Moore</t>
  </si>
  <si>
    <t>Lance Lenoir</t>
  </si>
  <si>
    <t>Laquon Treadwell</t>
  </si>
  <si>
    <t>DeAngelo Yancey</t>
  </si>
  <si>
    <t>Dylan Cantrell</t>
  </si>
  <si>
    <t>Taquan Mizzell</t>
  </si>
  <si>
    <t>Darvin Kidsy</t>
  </si>
  <si>
    <t>Marcus Kemp</t>
  </si>
  <si>
    <t>Brandon Powell</t>
  </si>
  <si>
    <t>MaLAChi Dupre</t>
  </si>
  <si>
    <t>Chad Williams</t>
  </si>
  <si>
    <t>Chad Hansen</t>
  </si>
  <si>
    <t>Victor Bolden Jr.</t>
  </si>
  <si>
    <t>Johnny Holton</t>
  </si>
  <si>
    <t>Austin Proehl</t>
  </si>
  <si>
    <t>Daurice Fountain</t>
  </si>
  <si>
    <t>Cody Hollister</t>
  </si>
  <si>
    <t>Malik Turner</t>
  </si>
  <si>
    <t>Saeed Blacknall</t>
  </si>
  <si>
    <t>Jordan Matthews</t>
  </si>
  <si>
    <t>Nick Williams</t>
  </si>
  <si>
    <t>Rashad Ross</t>
  </si>
  <si>
    <t>TJ Jones</t>
  </si>
  <si>
    <t>De'Anthony Thomas</t>
  </si>
  <si>
    <t>Ricardo Louis</t>
  </si>
  <si>
    <t>Marcus Johnson</t>
  </si>
  <si>
    <t>Marken Michel</t>
  </si>
  <si>
    <t>Marvin Hall</t>
  </si>
  <si>
    <t>K.J. Brent</t>
  </si>
  <si>
    <t>Damiere Byrd</t>
  </si>
  <si>
    <t>Tanner McEvoy</t>
  </si>
  <si>
    <t>Maurice Harris</t>
  </si>
  <si>
    <t>Devin Smith</t>
  </si>
  <si>
    <t>Tre McBride</t>
  </si>
  <si>
    <t>Braxton Miller</t>
  </si>
  <si>
    <t>Tommylee Lewis</t>
  </si>
  <si>
    <t>DeAndrew White</t>
  </si>
  <si>
    <t>Cameron Meredith</t>
  </si>
  <si>
    <t>Michael Crabtree</t>
  </si>
  <si>
    <t>Matthew Slater</t>
  </si>
  <si>
    <t>Brice Butler</t>
  </si>
  <si>
    <t>Charles Johnson</t>
  </si>
  <si>
    <t>Brittan Golden</t>
  </si>
  <si>
    <t>Jermaine Kearse</t>
  </si>
  <si>
    <t>Deonte Thompson</t>
  </si>
  <si>
    <t>Michael Floyd</t>
  </si>
  <si>
    <t>Brian Quick</t>
  </si>
  <si>
    <t>Aldrick Robinson</t>
  </si>
  <si>
    <t>Dontrelle Inman</t>
  </si>
  <si>
    <t>Ito Smith</t>
  </si>
  <si>
    <t>Devin Singletary</t>
  </si>
  <si>
    <t>Jerick McKinnon</t>
  </si>
  <si>
    <t>Damien Harris</t>
  </si>
  <si>
    <t>Joe Flacco</t>
  </si>
  <si>
    <t>Ty Montgomery</t>
  </si>
  <si>
    <t>Alfred Blue</t>
  </si>
  <si>
    <t>Alexander Mattison</t>
  </si>
  <si>
    <t>Rex Burkhead</t>
  </si>
  <si>
    <t>Eli Manning</t>
  </si>
  <si>
    <t>Dontrell Hilliard</t>
  </si>
  <si>
    <t>Chase Edmonds</t>
  </si>
  <si>
    <t>Dexter Williams</t>
  </si>
  <si>
    <t>Darren Sproles</t>
  </si>
  <si>
    <t>Justice Hill</t>
  </si>
  <si>
    <t>Theo Riddick</t>
  </si>
  <si>
    <t>Malcolm Brown</t>
  </si>
  <si>
    <t>Dare Ogunbowale</t>
  </si>
  <si>
    <t>Bilal Powell</t>
  </si>
  <si>
    <t>Doug Martin</t>
  </si>
  <si>
    <t>Mike Davis</t>
  </si>
  <si>
    <t>Darwin Thompson</t>
  </si>
  <si>
    <t>Ryquell Armstead</t>
  </si>
  <si>
    <t>Cameron Artis-Payne</t>
  </si>
  <si>
    <t>Wayne Gallman</t>
  </si>
  <si>
    <t>Benny Snell Jr.</t>
  </si>
  <si>
    <t>Zach Zenner</t>
  </si>
  <si>
    <t>Tony Pollard</t>
  </si>
  <si>
    <t>Thomas Rawls</t>
  </si>
  <si>
    <t>T.J. Yeldon</t>
  </si>
  <si>
    <t>Mark Walton</t>
  </si>
  <si>
    <t>Qadree Ollison</t>
  </si>
  <si>
    <t>Jordan Wilkins</t>
  </si>
  <si>
    <t>J.D. McKissic</t>
  </si>
  <si>
    <t>Josh Rosen</t>
  </si>
  <si>
    <t>Justin Jackson</t>
  </si>
  <si>
    <t>Rod Smith</t>
  </si>
  <si>
    <t>Ty Johnson</t>
  </si>
  <si>
    <t>Josh Ferguson</t>
  </si>
  <si>
    <t>Andre Ellington</t>
  </si>
  <si>
    <t>Jordan Scarlett</t>
  </si>
  <si>
    <t>Dwayne Washington</t>
  </si>
  <si>
    <t>Ameer Abdullah</t>
  </si>
  <si>
    <t>Brian Hill</t>
  </si>
  <si>
    <t>Corey Clement</t>
  </si>
  <si>
    <t>Mike Boone</t>
  </si>
  <si>
    <t>Trenton Cannon</t>
  </si>
  <si>
    <t>T.J. Logan</t>
  </si>
  <si>
    <t>Bryce Love</t>
  </si>
  <si>
    <t>Devontae Booker</t>
  </si>
  <si>
    <t>Myles Gaskin</t>
  </si>
  <si>
    <t>Alfred Morris</t>
  </si>
  <si>
    <t>Travis Homer</t>
  </si>
  <si>
    <t>David Fluellen</t>
  </si>
  <si>
    <t>Darrel Williams</t>
  </si>
  <si>
    <t>Trayveon Williams</t>
  </si>
  <si>
    <t>John Kelly</t>
  </si>
  <si>
    <t>Karan Higdon</t>
  </si>
  <si>
    <t>Raheem Mostert</t>
  </si>
  <si>
    <t>Mike Weber</t>
  </si>
  <si>
    <t>D.J. Foster</t>
  </si>
  <si>
    <t>Ryan Nall</t>
  </si>
  <si>
    <t>Detrez Newsome</t>
  </si>
  <si>
    <t>Byron Marshall</t>
  </si>
  <si>
    <t>Boston Scott</t>
  </si>
  <si>
    <t>Tremon Smith</t>
  </si>
  <si>
    <t>Jeremy McNichols</t>
  </si>
  <si>
    <t>Bo Scarbrough</t>
  </si>
  <si>
    <t>D'Onta Foreman</t>
  </si>
  <si>
    <t>Roc Thomas</t>
  </si>
  <si>
    <t>Jeff Wilson Jr.</t>
  </si>
  <si>
    <t>Buddy Howell</t>
  </si>
  <si>
    <t>De'Lance Turner</t>
  </si>
  <si>
    <t>Kerrith Whyte Jr.</t>
  </si>
  <si>
    <t>Devante Mays</t>
  </si>
  <si>
    <t>Quinton Flowers</t>
  </si>
  <si>
    <t>Devine Ozigbo</t>
  </si>
  <si>
    <t>Rodney Anderson</t>
  </si>
  <si>
    <t>Bruce Anderson</t>
  </si>
  <si>
    <t>Josh Adams</t>
  </si>
  <si>
    <t>Elijah Holyfield</t>
  </si>
  <si>
    <t>Mark Thompson</t>
  </si>
  <si>
    <t>Matt Dayes</t>
  </si>
  <si>
    <t>David Williams</t>
  </si>
  <si>
    <t>Donnel Pumphrey</t>
  </si>
  <si>
    <t>Khalfani Muhammad</t>
  </si>
  <si>
    <t>Keith Ford</t>
  </si>
  <si>
    <t>Elijah Hood</t>
  </si>
  <si>
    <t>Shaun Wilson</t>
  </si>
  <si>
    <t>Samaje Perine</t>
  </si>
  <si>
    <t>Tra Carson</t>
  </si>
  <si>
    <t>Kenneth Dixon</t>
  </si>
  <si>
    <t>Jonathan Williams</t>
  </si>
  <si>
    <t>C.J. Prosise</t>
  </si>
  <si>
    <t>Darius Jackson</t>
  </si>
  <si>
    <t>Wendell Smallwood</t>
  </si>
  <si>
    <t>Elijah McGuire</t>
  </si>
  <si>
    <t>Troymaine Pope</t>
  </si>
  <si>
    <t>Justin Davis</t>
  </si>
  <si>
    <t>Paul Perkins</t>
  </si>
  <si>
    <t>De'Angelo Henderson</t>
  </si>
  <si>
    <t>Trey Edmunds</t>
  </si>
  <si>
    <t>DeAndre Washington</t>
  </si>
  <si>
    <t>Akeem Hunt</t>
  </si>
  <si>
    <t>Kenneth Farrow</t>
  </si>
  <si>
    <t>Tyler Ervin</t>
  </si>
  <si>
    <t>Charcandrick West</t>
  </si>
  <si>
    <t>Isaiah Crowell</t>
  </si>
  <si>
    <t>Senorise Perry</t>
  </si>
  <si>
    <t>Marcus Murphy</t>
  </si>
  <si>
    <t>Mack Brown</t>
  </si>
  <si>
    <t>Taiwan Jones</t>
  </si>
  <si>
    <t>Jacquizz Rodgers</t>
  </si>
  <si>
    <t>Brandon Bolden</t>
  </si>
  <si>
    <t>Spencer Ware</t>
  </si>
  <si>
    <t>Kerwynn Williams</t>
  </si>
  <si>
    <t>Kenjon Barner</t>
  </si>
  <si>
    <t>Case Keenum</t>
  </si>
  <si>
    <t>Dwayne Haskins</t>
  </si>
  <si>
    <t>Ryan Fitzpatrick</t>
  </si>
  <si>
    <t>Daniel Jones</t>
  </si>
  <si>
    <t>Drew Lock</t>
  </si>
  <si>
    <t>Jacoby Brissett</t>
  </si>
  <si>
    <t>Taysom Hill</t>
  </si>
  <si>
    <t>Colt McCoy</t>
  </si>
  <si>
    <t>BLARine Gabbert</t>
  </si>
  <si>
    <t>Robert Griffin III</t>
  </si>
  <si>
    <t>Nick Mullens</t>
  </si>
  <si>
    <t>Ryan Tannehill</t>
  </si>
  <si>
    <t>Gardner Minshew</t>
  </si>
  <si>
    <t>Josh McCown</t>
  </si>
  <si>
    <t>Brett Hundley</t>
  </si>
  <si>
    <t>Will Grier</t>
  </si>
  <si>
    <t>Matt Barkley</t>
  </si>
  <si>
    <t>Ryan Finley</t>
  </si>
  <si>
    <t>Chad Henne</t>
  </si>
  <si>
    <t>DeShone Kizer</t>
  </si>
  <si>
    <t>Joshua Dobbs</t>
  </si>
  <si>
    <t>Matt Schaub</t>
  </si>
  <si>
    <t>Blake Bortles</t>
  </si>
  <si>
    <t>Tyrod Taylor</t>
  </si>
  <si>
    <t>AJ McCarron</t>
  </si>
  <si>
    <t>Brian Hoyer</t>
  </si>
  <si>
    <t>Chase Daniel</t>
  </si>
  <si>
    <t>Teddy Bridgewater</t>
  </si>
  <si>
    <t>Mike Glennon</t>
  </si>
  <si>
    <t>Trevor Siemian</t>
  </si>
  <si>
    <t>Cooper Rush</t>
  </si>
  <si>
    <t>Sean Mannion</t>
  </si>
  <si>
    <t>Paxton Lynch</t>
  </si>
  <si>
    <t>Drew Stanton</t>
  </si>
  <si>
    <t>Tom Savage</t>
  </si>
  <si>
    <t>Trace McSorley</t>
  </si>
  <si>
    <t>CLARyton Thorson</t>
  </si>
  <si>
    <t>Mason Rudolph</t>
  </si>
  <si>
    <t>Easton Stick</t>
  </si>
  <si>
    <t>Joe Callahan</t>
  </si>
  <si>
    <t>Kyle Allen</t>
  </si>
  <si>
    <t>Davis Webb</t>
  </si>
  <si>
    <t>Danny Etling</t>
  </si>
  <si>
    <t>Luke Falk</t>
  </si>
  <si>
    <t>Kyle Lauletta</t>
  </si>
  <si>
    <t>Mike White</t>
  </si>
  <si>
    <t>Chad Kelly</t>
  </si>
  <si>
    <t>Nate Sudfeld</t>
  </si>
  <si>
    <t>C.J. Beathard</t>
  </si>
  <si>
    <t>Kyle Sloter</t>
  </si>
  <si>
    <t>Nathan Peterman</t>
  </si>
  <si>
    <t>Cardale Jones</t>
  </si>
  <si>
    <t>Tim Boyle</t>
  </si>
  <si>
    <t>Logan Woodside</t>
  </si>
  <si>
    <t>J.T. Barrett IV</t>
  </si>
  <si>
    <t>Alex McGough</t>
  </si>
  <si>
    <t>Brett Rypien</t>
  </si>
  <si>
    <t>Jarrett Stidham</t>
  </si>
  <si>
    <t>Chase Litton</t>
  </si>
  <si>
    <t>Garrett Gilbert</t>
  </si>
  <si>
    <t>David Fales</t>
  </si>
  <si>
    <t>Tyler Bray</t>
  </si>
  <si>
    <t>Taylor Heinicke</t>
  </si>
  <si>
    <t>Brandon Allen</t>
  </si>
  <si>
    <t>Jeff Driskel</t>
  </si>
  <si>
    <t>Kevin Hogan</t>
  </si>
  <si>
    <t>Cody Kessler</t>
  </si>
  <si>
    <t>Jake Rudock</t>
  </si>
  <si>
    <t>Alex Smith</t>
  </si>
  <si>
    <t>Joe Webb III</t>
  </si>
  <si>
    <t>Josh Johnson</t>
  </si>
  <si>
    <t>Alex Tanney</t>
  </si>
  <si>
    <t>Geno Smith</t>
  </si>
  <si>
    <t>JAX</t>
  </si>
  <si>
    <t>D.J. Moore</t>
  </si>
  <si>
    <t>Will Fuller</t>
  </si>
  <si>
    <t>Doug Baldwin</t>
  </si>
  <si>
    <t>---</t>
  </si>
  <si>
    <t>Chicago</t>
  </si>
  <si>
    <t>Cody Thompson</t>
  </si>
  <si>
    <t>Andrew Beck</t>
  </si>
  <si>
    <t>Penny Hart</t>
  </si>
  <si>
    <t>Kevin White</t>
  </si>
  <si>
    <t>Gary Jennings</t>
  </si>
  <si>
    <t>David Sills</t>
  </si>
  <si>
    <t>Reggie White Jr.</t>
  </si>
  <si>
    <t>Mitch Trubisky</t>
  </si>
  <si>
    <t>Ronald Jones II</t>
  </si>
  <si>
    <t>Damarea Crockett</t>
  </si>
  <si>
    <t>Reggie Bonnafon</t>
  </si>
  <si>
    <t>Kyle Juszczyk</t>
  </si>
  <si>
    <t>Ted Ginn</t>
  </si>
  <si>
    <t>D.K. Metcalf</t>
  </si>
  <si>
    <t>Devante Parker</t>
  </si>
  <si>
    <t>Willie Snead</t>
  </si>
  <si>
    <t>D.J. Chark</t>
  </si>
  <si>
    <t>Chris Herndon IV</t>
  </si>
  <si>
    <t>Michael Badgley</t>
  </si>
  <si>
    <t>Chicago Bears</t>
  </si>
  <si>
    <t>Los Angeles Rams</t>
  </si>
  <si>
    <t>New Orleans Saints</t>
  </si>
  <si>
    <t>Baltimore Ravens</t>
  </si>
  <si>
    <t>CleveLARnd Browns</t>
  </si>
  <si>
    <t>Minnesota Vikings</t>
  </si>
  <si>
    <t>PhiLARdelphia Eagles</t>
  </si>
  <si>
    <t>Pittsburgh Steelers</t>
  </si>
  <si>
    <t>Los Angeles Chargers</t>
  </si>
  <si>
    <t>Denver Broncos</t>
  </si>
  <si>
    <t>New EngLARnd Patriots</t>
  </si>
  <si>
    <t>Jacksonville Jaguars</t>
  </si>
  <si>
    <t>Buffalo Bills</t>
  </si>
  <si>
    <t>Houston Texans</t>
  </si>
  <si>
    <t>Indianapolis Colts</t>
  </si>
  <si>
    <t>Carolina Panthers</t>
  </si>
  <si>
    <t>Kansas City Chiefs</t>
  </si>
  <si>
    <t>Arizona Cardinals</t>
  </si>
  <si>
    <t>Washington Redskins</t>
  </si>
  <si>
    <t>Seattle Seahawks</t>
  </si>
  <si>
    <t>Dallas Cowboys</t>
  </si>
  <si>
    <t>Green Bay Packers</t>
  </si>
  <si>
    <t>Tennessee Titans</t>
  </si>
  <si>
    <t>New York Jets</t>
  </si>
  <si>
    <t>AtLARnta Falcons</t>
  </si>
  <si>
    <t>Detroit Lions</t>
  </si>
  <si>
    <t>San Francisco 49ers</t>
  </si>
  <si>
    <t>New York Giants</t>
  </si>
  <si>
    <t>Cincinnati Bengals</t>
  </si>
  <si>
    <t>Tampa Bay Buccaneers</t>
  </si>
  <si>
    <t>Miami Dolphins</t>
  </si>
  <si>
    <t>OakLARnd Raiders</t>
  </si>
  <si>
    <t>DeShaun Watson</t>
  </si>
  <si>
    <t>Juju Smith-Schuster</t>
  </si>
  <si>
    <t>Christian McCaffery</t>
  </si>
  <si>
    <t>Steven Hauschka</t>
  </si>
  <si>
    <t>Chandler Catanzaro</t>
  </si>
  <si>
    <t>FA</t>
  </si>
  <si>
    <t>Matthew Gay</t>
  </si>
  <si>
    <t>Rob Gronkowski</t>
  </si>
  <si>
    <t>Corey Acosta</t>
  </si>
  <si>
    <t>Redford Jones</t>
  </si>
  <si>
    <t>Jakobi Meyers</t>
  </si>
  <si>
    <t>Michael Roberts</t>
  </si>
  <si>
    <t>Antonio Gates</t>
  </si>
  <si>
    <t>Taywan Tayior</t>
  </si>
  <si>
    <t>Austin Seferian-Jenkins</t>
  </si>
  <si>
    <t>Kelvin Benjamin</t>
  </si>
  <si>
    <t>Darrius Shepherd</t>
  </si>
  <si>
    <t>Martavis Bryant</t>
  </si>
  <si>
    <t>Damion Willis</t>
  </si>
  <si>
    <t>Mike WalLACe</t>
  </si>
  <si>
    <t>Bruce Ellington</t>
  </si>
  <si>
    <t>Pierre Garcon</t>
  </si>
  <si>
    <t>Bisi Johnson</t>
  </si>
  <si>
    <t>Kelvin McKnight</t>
  </si>
  <si>
    <t>Fred Brown</t>
  </si>
  <si>
    <t>Trinity Benson</t>
  </si>
  <si>
    <t>Devin Gray</t>
  </si>
  <si>
    <t>OLARmide Zaccheaus</t>
  </si>
  <si>
    <t>Rodney Adams</t>
  </si>
  <si>
    <t>Quincy Adeboyejo</t>
  </si>
  <si>
    <t>Jaelon Acklin</t>
  </si>
  <si>
    <t>Joe Adams</t>
  </si>
  <si>
    <t>Rishard Matthews</t>
  </si>
  <si>
    <t>Jay Ajayi</t>
  </si>
  <si>
    <t>Benny Snell</t>
  </si>
  <si>
    <t>Chris Ivory</t>
  </si>
  <si>
    <t>LeGarrette Blount</t>
  </si>
  <si>
    <t>Jeff Wilson</t>
  </si>
  <si>
    <t>Kerrith Whyte</t>
  </si>
  <si>
    <t>James Develin</t>
  </si>
  <si>
    <t>Dave Williams</t>
  </si>
  <si>
    <t>Tony Brooks-James</t>
  </si>
  <si>
    <t>Devontae Jackson</t>
  </si>
  <si>
    <t>Chandler Cox</t>
  </si>
  <si>
    <t>Cullen GilLARspia</t>
  </si>
  <si>
    <t>Khalid Abdullah</t>
  </si>
  <si>
    <t>Chad Abram</t>
  </si>
  <si>
    <t>D. J. Adams</t>
  </si>
  <si>
    <t>Kapri Bibbs</t>
  </si>
  <si>
    <t>Bralon Addison</t>
  </si>
  <si>
    <t>Malcolm Agnew</t>
  </si>
  <si>
    <t>Robert Griffin</t>
  </si>
  <si>
    <t>Sam Bradford</t>
  </si>
  <si>
    <t>Derek Anderson</t>
  </si>
  <si>
    <t>Brock Osweiler</t>
  </si>
  <si>
    <t>Kurt Benkert</t>
  </si>
  <si>
    <t>Matt Cassel</t>
  </si>
  <si>
    <t>Vernon Adams</t>
  </si>
  <si>
    <t>Austin Allen</t>
  </si>
  <si>
    <t>Bryce Petty</t>
  </si>
  <si>
    <t>LARndry Jones</t>
  </si>
  <si>
    <t>EJ Manuel</t>
  </si>
  <si>
    <t>Matt Moore</t>
  </si>
  <si>
    <t>Brandon Weeden</t>
  </si>
  <si>
    <t>Scott Tolzien</t>
  </si>
  <si>
    <t>Austin Davis</t>
  </si>
  <si>
    <t>Tanner Lee</t>
  </si>
  <si>
    <t>Kellen Moore</t>
  </si>
  <si>
    <t>Colin Kaepernick</t>
  </si>
  <si>
    <t>Ryan Mallett</t>
  </si>
  <si>
    <t>T.J. Yates</t>
  </si>
  <si>
    <t>Joe Webb</t>
  </si>
  <si>
    <t>Kellen Clemens</t>
  </si>
  <si>
    <t>Jay Cutler</t>
  </si>
  <si>
    <t>J.T. Barrett</t>
  </si>
  <si>
    <t>Brandon Silvers</t>
  </si>
  <si>
    <t>Keeper</t>
  </si>
  <si>
    <t>Bye Week</t>
  </si>
  <si>
    <t>ESPN</t>
  </si>
  <si>
    <t>FFToolbox</t>
  </si>
  <si>
    <t>FantasyPro</t>
  </si>
  <si>
    <t>RotoWire</t>
  </si>
  <si>
    <t>Avg Going Rate</t>
  </si>
  <si>
    <t>Variation</t>
  </si>
  <si>
    <t>No</t>
  </si>
  <si>
    <t>Yes</t>
  </si>
  <si>
    <t>Matt DaYes</t>
  </si>
  <si>
    <t>Keeper Price</t>
  </si>
  <si>
    <t>Start Bid</t>
  </si>
  <si>
    <t>Avg Price</t>
  </si>
  <si>
    <t>Max Bid</t>
  </si>
  <si>
    <t>Amount</t>
  </si>
  <si>
    <t>QB1</t>
  </si>
  <si>
    <t>RB1</t>
  </si>
  <si>
    <t>JuJu Smith Schuster</t>
  </si>
  <si>
    <t>WR1</t>
  </si>
  <si>
    <t>WR2</t>
  </si>
  <si>
    <t>RB2</t>
  </si>
  <si>
    <t>WR3</t>
  </si>
  <si>
    <t>WR4</t>
  </si>
  <si>
    <t>QB2</t>
  </si>
  <si>
    <t>RB3</t>
  </si>
  <si>
    <t>WR5</t>
  </si>
  <si>
    <t>TE2</t>
  </si>
  <si>
    <t>RB4</t>
  </si>
  <si>
    <t>OJ Howard</t>
  </si>
  <si>
    <t>D/ST2</t>
  </si>
  <si>
    <t>Will Lutz</t>
  </si>
  <si>
    <t>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</si>
</sst>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##0;###0"/>
  </numFmts>
  <fonts count="17">
    <font>
      <sz val="10.0"/>
      <color rgb="FF000000"/>
      <name val="Arial"/>
    </font>
    <font>
      <b/>
      <sz val="11.0"/>
      <color rgb="FF000000"/>
      <name val="Calibri"/>
    </font>
    <font>
      <b/>
      <name val="Arial"/>
    </font>
    <font>
      <name val="Arial"/>
    </font>
    <font>
      <color rgb="FF454545"/>
      <name val="Proxima_regular"/>
    </font>
    <font/>
    <font>
      <color rgb="FF454545"/>
      <name val="Arial"/>
    </font>
    <font>
      <sz val="11.0"/>
      <color rgb="FF000000"/>
      <name val="Calibri"/>
    </font>
    <font>
      <b/>
      <color rgb="FF000000"/>
      <name val="Arial"/>
    </font>
    <font>
      <sz val="11.0"/>
      <name val="Helvetica Neue"/>
    </font>
    <font>
      <sz val="11.0"/>
      <color rgb="FF000000"/>
      <name val="Inconsolata"/>
    </font>
    <font>
      <b/>
    </font>
    <font>
      <color rgb="FF222222"/>
      <name val="&quot;Helvetica Neue&quot;"/>
    </font>
    <font>
      <color rgb="FF000000"/>
      <name val="Arial"/>
    </font>
    <font>
      <b/>
      <sz val="8.0"/>
      <color rgb="FF000000"/>
      <name val="Arial"/>
    </font>
    <font>
      <sz val="8.0"/>
      <name val="Arial"/>
    </font>
    <font>
      <sz val="8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808080"/>
      </bottom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80808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 shrinkToFit="0" wrapText="0"/>
    </xf>
    <xf borderId="1" fillId="4" fontId="3" numFmtId="0" xfId="0" applyAlignment="1" applyBorder="1" applyFont="1">
      <alignment shrinkToFit="0" wrapText="0"/>
    </xf>
    <xf borderId="1" fillId="4" fontId="3" numFmtId="164" xfId="0" applyAlignment="1" applyBorder="1" applyFont="1" applyNumberFormat="1">
      <alignment horizontal="center" shrinkToFit="0" wrapText="0"/>
    </xf>
    <xf borderId="1" fillId="4" fontId="3" numFmtId="0" xfId="0" applyAlignment="1" applyBorder="1" applyFont="1">
      <alignment readingOrder="0" shrinkToFit="0" wrapText="0"/>
    </xf>
    <xf borderId="2" fillId="4" fontId="4" numFmtId="0" xfId="0" applyAlignment="1" applyBorder="1" applyFont="1">
      <alignment horizontal="center" readingOrder="0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3" fillId="4" fontId="4" numFmtId="0" xfId="0" applyAlignment="1" applyBorder="1" applyFont="1">
      <alignment horizontal="center" readingOrder="0"/>
    </xf>
    <xf borderId="3" fillId="4" fontId="4" numFmtId="164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4" fillId="4" fontId="4" numFmtId="0" xfId="0" applyAlignment="1" applyBorder="1" applyFont="1">
      <alignment horizontal="center" readingOrder="0"/>
    </xf>
    <xf borderId="5" fillId="4" fontId="4" numFmtId="0" xfId="0" applyAlignment="1" applyBorder="1" applyFont="1">
      <alignment horizontal="center" readingOrder="0"/>
    </xf>
    <xf borderId="5" fillId="4" fontId="4" numFmtId="164" xfId="0" applyAlignment="1" applyBorder="1" applyFont="1" applyNumberFormat="1">
      <alignment horizontal="center"/>
    </xf>
    <xf borderId="1" fillId="4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4" fontId="6" numFmtId="164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horizontal="center" readingOrder="0" shrinkToFit="0" wrapText="0"/>
    </xf>
    <xf borderId="1" fillId="3" fontId="8" numFmtId="0" xfId="0" applyAlignment="1" applyBorder="1" applyFont="1">
      <alignment horizontal="center" readingOrder="0"/>
    </xf>
    <xf borderId="6" fillId="4" fontId="9" numFmtId="0" xfId="0" applyAlignment="1" applyBorder="1" applyFont="1">
      <alignment horizontal="center" readingOrder="0" vertical="bottom"/>
    </xf>
    <xf borderId="6" fillId="4" fontId="9" numFmtId="0" xfId="0" applyAlignment="1" applyBorder="1" applyFont="1">
      <alignment horizontal="center" vertical="bottom"/>
    </xf>
    <xf borderId="1" fillId="4" fontId="10" numFmtId="164" xfId="0" applyAlignment="1" applyBorder="1" applyFont="1" applyNumberFormat="1">
      <alignment horizontal="center"/>
    </xf>
    <xf borderId="1" fillId="4" fontId="5" numFmtId="164" xfId="0" applyAlignment="1" applyBorder="1" applyFont="1" applyNumberFormat="1">
      <alignment horizontal="center"/>
    </xf>
    <xf borderId="7" fillId="5" fontId="11" numFmtId="164" xfId="0" applyAlignment="1" applyBorder="1" applyFill="1" applyFont="1" applyNumberFormat="1">
      <alignment horizontal="center"/>
    </xf>
    <xf borderId="0" fillId="4" fontId="12" numFmtId="0" xfId="0" applyAlignment="1" applyFont="1">
      <alignment readingOrder="0" vertical="bottom"/>
    </xf>
    <xf borderId="1" fillId="4" fontId="12" numFmtId="0" xfId="0" applyAlignment="1" applyBorder="1" applyFont="1">
      <alignment horizontal="center" readingOrder="0" vertical="bottom"/>
    </xf>
    <xf borderId="1" fillId="4" fontId="12" numFmtId="164" xfId="0" applyAlignment="1" applyBorder="1" applyFont="1" applyNumberFormat="1">
      <alignment horizontal="center" readingOrder="0" vertical="bottom"/>
    </xf>
    <xf borderId="1" fillId="0" fontId="5" numFmtId="16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 readingOrder="0"/>
    </xf>
    <xf borderId="8" fillId="6" fontId="11" numFmtId="0" xfId="0" applyAlignment="1" applyBorder="1" applyFill="1" applyFont="1">
      <alignment horizontal="center" readingOrder="0"/>
    </xf>
    <xf borderId="9" fillId="6" fontId="11" numFmtId="0" xfId="0" applyAlignment="1" applyBorder="1" applyFont="1">
      <alignment horizontal="center" readingOrder="0"/>
    </xf>
    <xf borderId="10" fillId="6" fontId="11" numFmtId="0" xfId="0" applyAlignment="1" applyBorder="1" applyFont="1">
      <alignment horizontal="center" readingOrder="0"/>
    </xf>
    <xf borderId="1" fillId="7" fontId="12" numFmtId="0" xfId="0" applyAlignment="1" applyBorder="1" applyFill="1" applyFont="1">
      <alignment readingOrder="0" vertical="bottom"/>
    </xf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3" fillId="0" fontId="5" numFmtId="164" xfId="0" applyAlignment="1" applyBorder="1" applyFont="1" applyNumberFormat="1">
      <alignment horizontal="center" readingOrder="0"/>
    </xf>
    <xf borderId="14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5" fillId="0" fontId="5" numFmtId="164" xfId="0" applyAlignment="1" applyBorder="1" applyFont="1" applyNumberFormat="1">
      <alignment horizontal="center" readingOrder="0"/>
    </xf>
    <xf borderId="1" fillId="4" fontId="12" numFmtId="0" xfId="0" applyAlignment="1" applyBorder="1" applyFont="1">
      <alignment readingOrder="0" vertical="bottom"/>
    </xf>
    <xf borderId="16" fillId="0" fontId="5" numFmtId="0" xfId="0" applyAlignment="1" applyBorder="1" applyFont="1">
      <alignment readingOrder="0"/>
    </xf>
    <xf borderId="17" fillId="0" fontId="5" numFmtId="0" xfId="0" applyAlignment="1" applyBorder="1" applyFont="1">
      <alignment readingOrder="0"/>
    </xf>
    <xf borderId="18" fillId="0" fontId="5" numFmtId="164" xfId="0" applyAlignment="1" applyBorder="1" applyFont="1" applyNumberFormat="1">
      <alignment horizontal="center" readingOrder="0"/>
    </xf>
    <xf borderId="7" fillId="0" fontId="11" numFmtId="164" xfId="0" applyAlignment="1" applyBorder="1" applyFont="1" applyNumberFormat="1">
      <alignment horizontal="center"/>
    </xf>
    <xf borderId="19" fillId="0" fontId="9" numFmtId="0" xfId="0" applyAlignment="1" applyBorder="1" applyFont="1">
      <alignment vertical="bottom"/>
    </xf>
    <xf borderId="6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vertical="bottom"/>
    </xf>
    <xf borderId="6" fillId="0" fontId="5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" fillId="0" fontId="13" numFmtId="0" xfId="0" applyAlignment="1" applyBorder="1" applyFont="1">
      <alignment horizontal="center" readingOrder="0" shrinkToFit="0" wrapText="0"/>
    </xf>
    <xf borderId="1" fillId="6" fontId="14" numFmtId="165" xfId="0" applyAlignment="1" applyBorder="1" applyFont="1" applyNumberFormat="1">
      <alignment horizontal="center" shrinkToFit="0" wrapText="1"/>
    </xf>
    <xf borderId="6" fillId="6" fontId="14" numFmtId="165" xfId="0" applyAlignment="1" applyBorder="1" applyFont="1" applyNumberFormat="1">
      <alignment horizontal="center" readingOrder="0" shrinkToFit="0" vertical="center" wrapText="1"/>
    </xf>
    <xf borderId="1" fillId="4" fontId="15" numFmtId="0" xfId="0" applyAlignment="1" applyBorder="1" applyFont="1">
      <alignment shrinkToFit="0" wrapText="1"/>
    </xf>
    <xf borderId="1" fillId="0" fontId="16" numFmtId="165" xfId="0" applyAlignment="1" applyBorder="1" applyFont="1" applyNumberFormat="1">
      <alignment horizontal="center" shrinkToFit="0" wrapText="1"/>
    </xf>
    <xf borderId="6" fillId="0" fontId="16" numFmtId="164" xfId="0" applyAlignment="1" applyBorder="1" applyFont="1" applyNumberFormat="1">
      <alignment horizontal="center" readingOrder="0" shrinkToFit="0" vertical="center" wrapText="1"/>
    </xf>
    <xf borderId="1" fillId="4" fontId="15" numFmtId="0" xfId="0" applyAlignment="1" applyBorder="1" applyFont="1">
      <alignment readingOrder="0" shrinkToFit="0" wrapText="1"/>
    </xf>
    <xf borderId="6" fillId="4" fontId="15" numFmtId="0" xfId="0" applyAlignment="1" applyBorder="1" applyFont="1">
      <alignment readingOrder="0" shrinkToFit="0" vertical="center" wrapText="1"/>
    </xf>
    <xf borderId="1" fillId="0" fontId="16" numFmtId="165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1"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5">
        <v>1.0</v>
      </c>
      <c r="B2" s="6" t="s">
        <v>5</v>
      </c>
      <c r="C2" s="5" t="s">
        <v>6</v>
      </c>
      <c r="D2" s="5" t="s">
        <v>7</v>
      </c>
      <c r="E2" s="7">
        <v>77.0</v>
      </c>
    </row>
    <row r="3">
      <c r="A3" s="5">
        <v>2.0</v>
      </c>
      <c r="B3" s="6" t="s">
        <v>8</v>
      </c>
      <c r="C3" s="5" t="s">
        <v>9</v>
      </c>
      <c r="D3" s="5" t="s">
        <v>7</v>
      </c>
      <c r="E3" s="7">
        <v>73.0</v>
      </c>
    </row>
    <row r="4">
      <c r="A4" s="5">
        <v>3.0</v>
      </c>
      <c r="B4" s="6" t="s">
        <v>10</v>
      </c>
      <c r="C4" s="5" t="s">
        <v>11</v>
      </c>
      <c r="D4" s="5" t="s">
        <v>12</v>
      </c>
      <c r="E4" s="7">
        <v>68.0</v>
      </c>
    </row>
    <row r="5">
      <c r="A5" s="5">
        <v>4.0</v>
      </c>
      <c r="B5" s="6" t="s">
        <v>13</v>
      </c>
      <c r="C5" s="5" t="s">
        <v>11</v>
      </c>
      <c r="D5" s="5" t="s">
        <v>14</v>
      </c>
      <c r="E5" s="7">
        <v>67.0</v>
      </c>
    </row>
    <row r="6">
      <c r="A6" s="5">
        <v>5.0</v>
      </c>
      <c r="B6" s="6" t="s">
        <v>15</v>
      </c>
      <c r="C6" s="5" t="s">
        <v>16</v>
      </c>
      <c r="D6" s="5" t="s">
        <v>7</v>
      </c>
      <c r="E6" s="7">
        <v>59.0</v>
      </c>
    </row>
    <row r="7">
      <c r="A7" s="5">
        <v>6.0</v>
      </c>
      <c r="B7" s="6" t="s">
        <v>17</v>
      </c>
      <c r="C7" s="5" t="s">
        <v>18</v>
      </c>
      <c r="D7" s="5" t="s">
        <v>14</v>
      </c>
      <c r="E7" s="7">
        <v>60.0</v>
      </c>
    </row>
    <row r="8">
      <c r="A8" s="5">
        <v>7.0</v>
      </c>
      <c r="B8" s="6" t="s">
        <v>19</v>
      </c>
      <c r="C8" s="5" t="s">
        <v>20</v>
      </c>
      <c r="D8" s="5" t="s">
        <v>14</v>
      </c>
      <c r="E8" s="7">
        <v>58.0</v>
      </c>
    </row>
    <row r="9">
      <c r="A9" s="5">
        <v>8.0</v>
      </c>
      <c r="B9" s="6" t="s">
        <v>21</v>
      </c>
      <c r="C9" s="5" t="s">
        <v>22</v>
      </c>
      <c r="D9" s="5" t="s">
        <v>7</v>
      </c>
      <c r="E9" s="7">
        <v>55.0</v>
      </c>
    </row>
    <row r="10">
      <c r="A10" s="5">
        <v>9.0</v>
      </c>
      <c r="B10" s="6" t="s">
        <v>23</v>
      </c>
      <c r="C10" s="5" t="s">
        <v>24</v>
      </c>
      <c r="D10" s="5" t="s">
        <v>7</v>
      </c>
      <c r="E10" s="7">
        <v>54.0</v>
      </c>
    </row>
    <row r="11">
      <c r="A11" s="5">
        <v>10.0</v>
      </c>
      <c r="B11" s="6" t="s">
        <v>25</v>
      </c>
      <c r="C11" s="5" t="s">
        <v>26</v>
      </c>
      <c r="D11" s="5" t="s">
        <v>7</v>
      </c>
      <c r="E11" s="7">
        <v>52.0</v>
      </c>
    </row>
    <row r="12">
      <c r="A12" s="5">
        <v>11.0</v>
      </c>
      <c r="B12" s="6" t="s">
        <v>27</v>
      </c>
      <c r="C12" s="5" t="s">
        <v>28</v>
      </c>
      <c r="D12" s="5" t="s">
        <v>14</v>
      </c>
      <c r="E12" s="7">
        <v>52.0</v>
      </c>
    </row>
    <row r="13">
      <c r="A13" s="5">
        <v>12.0</v>
      </c>
      <c r="B13" s="6" t="s">
        <v>29</v>
      </c>
      <c r="C13" s="5" t="s">
        <v>30</v>
      </c>
      <c r="D13" s="5" t="s">
        <v>14</v>
      </c>
      <c r="E13" s="7">
        <v>51.0</v>
      </c>
    </row>
    <row r="14">
      <c r="A14" s="5">
        <v>13.0</v>
      </c>
      <c r="B14" s="6" t="s">
        <v>31</v>
      </c>
      <c r="C14" s="5" t="s">
        <v>16</v>
      </c>
      <c r="D14" s="5" t="s">
        <v>14</v>
      </c>
      <c r="E14" s="7">
        <v>50.0</v>
      </c>
    </row>
    <row r="15">
      <c r="A15" s="5">
        <v>14.0</v>
      </c>
      <c r="B15" s="6" t="s">
        <v>32</v>
      </c>
      <c r="C15" s="5" t="s">
        <v>33</v>
      </c>
      <c r="D15" s="5" t="s">
        <v>12</v>
      </c>
      <c r="E15" s="7">
        <v>49.0</v>
      </c>
    </row>
    <row r="16">
      <c r="A16" s="5">
        <v>15.0</v>
      </c>
      <c r="B16" s="6" t="s">
        <v>34</v>
      </c>
      <c r="C16" s="5" t="s">
        <v>35</v>
      </c>
      <c r="D16" s="5" t="s">
        <v>14</v>
      </c>
      <c r="E16" s="7">
        <v>49.0</v>
      </c>
    </row>
    <row r="17">
      <c r="A17" s="5">
        <v>16.0</v>
      </c>
      <c r="B17" s="6" t="s">
        <v>36</v>
      </c>
      <c r="C17" s="5" t="s">
        <v>37</v>
      </c>
      <c r="D17" s="5" t="s">
        <v>14</v>
      </c>
      <c r="E17" s="7">
        <v>49.0</v>
      </c>
    </row>
    <row r="18">
      <c r="A18" s="5">
        <v>17.0</v>
      </c>
      <c r="B18" s="6" t="s">
        <v>38</v>
      </c>
      <c r="C18" s="5" t="s">
        <v>11</v>
      </c>
      <c r="D18" s="5" t="s">
        <v>39</v>
      </c>
      <c r="E18" s="7">
        <v>45.0</v>
      </c>
    </row>
    <row r="19">
      <c r="A19" s="5">
        <v>18.0</v>
      </c>
      <c r="B19" s="6" t="s">
        <v>40</v>
      </c>
      <c r="C19" s="5" t="s">
        <v>41</v>
      </c>
      <c r="D19" s="5" t="s">
        <v>14</v>
      </c>
      <c r="E19" s="7">
        <v>44.0</v>
      </c>
    </row>
    <row r="20">
      <c r="A20" s="5">
        <v>19.0</v>
      </c>
      <c r="B20" s="6" t="s">
        <v>42</v>
      </c>
      <c r="C20" s="5" t="s">
        <v>43</v>
      </c>
      <c r="D20" s="5" t="s">
        <v>7</v>
      </c>
      <c r="E20" s="7">
        <v>42.0</v>
      </c>
    </row>
    <row r="21">
      <c r="A21" s="5">
        <v>20.0</v>
      </c>
      <c r="B21" s="6" t="s">
        <v>44</v>
      </c>
      <c r="C21" s="5" t="s">
        <v>43</v>
      </c>
      <c r="D21" s="5" t="s">
        <v>14</v>
      </c>
      <c r="E21" s="7">
        <v>42.0</v>
      </c>
    </row>
    <row r="22">
      <c r="A22" s="5">
        <v>21.0</v>
      </c>
      <c r="B22" s="6" t="s">
        <v>45</v>
      </c>
      <c r="C22" s="5" t="s">
        <v>46</v>
      </c>
      <c r="D22" s="5" t="s">
        <v>14</v>
      </c>
      <c r="E22" s="7">
        <v>39.0</v>
      </c>
    </row>
    <row r="23">
      <c r="A23" s="5">
        <v>22.0</v>
      </c>
      <c r="B23" s="6" t="s">
        <v>47</v>
      </c>
      <c r="C23" s="5" t="s">
        <v>48</v>
      </c>
      <c r="D23" s="5" t="s">
        <v>14</v>
      </c>
      <c r="E23" s="7">
        <v>39.0</v>
      </c>
    </row>
    <row r="24">
      <c r="A24" s="5">
        <v>23.0</v>
      </c>
      <c r="B24" s="6" t="s">
        <v>49</v>
      </c>
      <c r="C24" s="5" t="s">
        <v>50</v>
      </c>
      <c r="D24" s="5" t="s">
        <v>7</v>
      </c>
      <c r="E24" s="7">
        <v>38.0</v>
      </c>
    </row>
    <row r="25">
      <c r="A25" s="5">
        <v>24.0</v>
      </c>
      <c r="B25" s="6" t="s">
        <v>51</v>
      </c>
      <c r="C25" s="5" t="s">
        <v>52</v>
      </c>
      <c r="D25" s="5" t="s">
        <v>7</v>
      </c>
      <c r="E25" s="7">
        <v>38.0</v>
      </c>
    </row>
    <row r="26">
      <c r="A26" s="5">
        <v>25.0</v>
      </c>
      <c r="B26" s="6" t="s">
        <v>53</v>
      </c>
      <c r="C26" s="5" t="s">
        <v>54</v>
      </c>
      <c r="D26" s="5" t="s">
        <v>7</v>
      </c>
      <c r="E26" s="7">
        <v>37.0</v>
      </c>
    </row>
    <row r="27">
      <c r="A27" s="5">
        <v>26.0</v>
      </c>
      <c r="B27" s="6" t="s">
        <v>55</v>
      </c>
      <c r="C27" s="5" t="s">
        <v>9</v>
      </c>
      <c r="D27" s="5" t="s">
        <v>14</v>
      </c>
      <c r="E27" s="7">
        <v>36.0</v>
      </c>
    </row>
    <row r="28">
      <c r="A28" s="5">
        <v>27.0</v>
      </c>
      <c r="B28" s="6" t="s">
        <v>56</v>
      </c>
      <c r="C28" s="5" t="s">
        <v>35</v>
      </c>
      <c r="D28" s="5" t="s">
        <v>7</v>
      </c>
      <c r="E28" s="7">
        <v>35.0</v>
      </c>
    </row>
    <row r="29">
      <c r="A29" s="5">
        <v>28.0</v>
      </c>
      <c r="B29" s="6" t="s">
        <v>57</v>
      </c>
      <c r="C29" s="5" t="s">
        <v>24</v>
      </c>
      <c r="D29" s="5" t="s">
        <v>14</v>
      </c>
      <c r="E29" s="7">
        <v>34.0</v>
      </c>
    </row>
    <row r="30">
      <c r="A30" s="5">
        <v>29.0</v>
      </c>
      <c r="B30" s="6" t="s">
        <v>58</v>
      </c>
      <c r="C30" s="5" t="s">
        <v>59</v>
      </c>
      <c r="D30" s="5" t="s">
        <v>12</v>
      </c>
      <c r="E30" s="7">
        <v>34.0</v>
      </c>
    </row>
    <row r="31">
      <c r="A31" s="5">
        <v>30.0</v>
      </c>
      <c r="B31" s="6" t="s">
        <v>60</v>
      </c>
      <c r="C31" s="5" t="s">
        <v>18</v>
      </c>
      <c r="D31" s="5" t="s">
        <v>39</v>
      </c>
      <c r="E31" s="7">
        <v>33.0</v>
      </c>
    </row>
    <row r="32">
      <c r="A32" s="5">
        <v>31.0</v>
      </c>
      <c r="B32" s="6" t="s">
        <v>61</v>
      </c>
      <c r="C32" s="5" t="s">
        <v>62</v>
      </c>
      <c r="D32" s="5" t="s">
        <v>14</v>
      </c>
      <c r="E32" s="7">
        <v>31.0</v>
      </c>
    </row>
    <row r="33">
      <c r="A33" s="5">
        <v>32.0</v>
      </c>
      <c r="B33" s="6" t="s">
        <v>63</v>
      </c>
      <c r="C33" s="5" t="s">
        <v>30</v>
      </c>
      <c r="D33" s="5" t="s">
        <v>7</v>
      </c>
      <c r="E33" s="7">
        <v>31.0</v>
      </c>
    </row>
    <row r="34">
      <c r="A34" s="5">
        <v>33.0</v>
      </c>
      <c r="B34" s="6" t="s">
        <v>64</v>
      </c>
      <c r="C34" s="5" t="s">
        <v>62</v>
      </c>
      <c r="D34" s="5" t="s">
        <v>7</v>
      </c>
      <c r="E34" s="7">
        <v>29.0</v>
      </c>
    </row>
    <row r="35">
      <c r="A35" s="5">
        <v>34.0</v>
      </c>
      <c r="B35" s="6" t="s">
        <v>65</v>
      </c>
      <c r="C35" s="5" t="s">
        <v>43</v>
      </c>
      <c r="D35" s="5" t="s">
        <v>14</v>
      </c>
      <c r="E35" s="7">
        <v>26.0</v>
      </c>
    </row>
    <row r="36">
      <c r="A36" s="5">
        <v>35.0</v>
      </c>
      <c r="B36" s="6" t="s">
        <v>66</v>
      </c>
      <c r="C36" s="5" t="s">
        <v>24</v>
      </c>
      <c r="D36" s="5" t="s">
        <v>14</v>
      </c>
      <c r="E36" s="7">
        <v>25.0</v>
      </c>
    </row>
    <row r="37">
      <c r="A37" s="5">
        <v>36.0</v>
      </c>
      <c r="B37" s="6" t="s">
        <v>67</v>
      </c>
      <c r="C37" s="5" t="s">
        <v>46</v>
      </c>
      <c r="D37" s="5" t="s">
        <v>7</v>
      </c>
      <c r="E37" s="7">
        <v>23.0</v>
      </c>
    </row>
    <row r="38">
      <c r="A38" s="5">
        <v>37.0</v>
      </c>
      <c r="B38" s="6" t="s">
        <v>68</v>
      </c>
      <c r="C38" s="5" t="s">
        <v>69</v>
      </c>
      <c r="D38" s="5" t="s">
        <v>14</v>
      </c>
      <c r="E38" s="7">
        <v>23.0</v>
      </c>
    </row>
    <row r="39">
      <c r="A39" s="5">
        <v>38.0</v>
      </c>
      <c r="B39" s="8" t="s">
        <v>70</v>
      </c>
      <c r="C39" s="5" t="s">
        <v>71</v>
      </c>
      <c r="D39" s="5" t="s">
        <v>14</v>
      </c>
      <c r="E39" s="7">
        <v>23.0</v>
      </c>
    </row>
    <row r="40">
      <c r="A40" s="5">
        <v>39.0</v>
      </c>
      <c r="B40" s="6" t="s">
        <v>72</v>
      </c>
      <c r="C40" s="5" t="s">
        <v>62</v>
      </c>
      <c r="D40" s="5" t="s">
        <v>14</v>
      </c>
      <c r="E40" s="7">
        <v>22.0</v>
      </c>
    </row>
    <row r="41">
      <c r="A41" s="5">
        <v>40.0</v>
      </c>
      <c r="B41" s="6" t="s">
        <v>73</v>
      </c>
      <c r="C41" s="5" t="s">
        <v>20</v>
      </c>
      <c r="D41" s="5" t="s">
        <v>39</v>
      </c>
      <c r="E41" s="7">
        <v>22.0</v>
      </c>
    </row>
    <row r="42">
      <c r="A42" s="5">
        <v>41.0</v>
      </c>
      <c r="B42" s="6" t="s">
        <v>74</v>
      </c>
      <c r="C42" s="5" t="s">
        <v>54</v>
      </c>
      <c r="D42" s="5" t="s">
        <v>14</v>
      </c>
      <c r="E42" s="7">
        <v>22.0</v>
      </c>
    </row>
    <row r="43">
      <c r="A43" s="5">
        <v>42.0</v>
      </c>
      <c r="B43" s="6" t="s">
        <v>75</v>
      </c>
      <c r="C43" s="5" t="s">
        <v>6</v>
      </c>
      <c r="D43" s="5" t="s">
        <v>12</v>
      </c>
      <c r="E43" s="7">
        <v>21.0</v>
      </c>
    </row>
    <row r="44">
      <c r="A44" s="5">
        <v>43.0</v>
      </c>
      <c r="B44" s="6" t="s">
        <v>76</v>
      </c>
      <c r="C44" s="5" t="s">
        <v>22</v>
      </c>
      <c r="D44" s="5" t="s">
        <v>14</v>
      </c>
      <c r="E44" s="7">
        <v>21.0</v>
      </c>
    </row>
    <row r="45">
      <c r="A45" s="5">
        <v>44.0</v>
      </c>
      <c r="B45" s="6" t="s">
        <v>77</v>
      </c>
      <c r="C45" s="5" t="s">
        <v>69</v>
      </c>
      <c r="D45" s="5" t="s">
        <v>7</v>
      </c>
      <c r="E45" s="7">
        <v>21.0</v>
      </c>
    </row>
    <row r="46">
      <c r="A46" s="5">
        <v>45.0</v>
      </c>
      <c r="B46" s="6" t="s">
        <v>78</v>
      </c>
      <c r="C46" s="5" t="s">
        <v>37</v>
      </c>
      <c r="D46" s="5" t="s">
        <v>12</v>
      </c>
      <c r="E46" s="7">
        <v>21.0</v>
      </c>
    </row>
    <row r="47">
      <c r="A47" s="5">
        <v>46.0</v>
      </c>
      <c r="B47" s="6" t="s">
        <v>79</v>
      </c>
      <c r="C47" s="5" t="s">
        <v>16</v>
      </c>
      <c r="D47" s="5" t="s">
        <v>12</v>
      </c>
      <c r="E47" s="7">
        <v>20.0</v>
      </c>
    </row>
    <row r="48">
      <c r="A48" s="5">
        <v>47.0</v>
      </c>
      <c r="B48" s="6" t="s">
        <v>80</v>
      </c>
      <c r="C48" s="5" t="s">
        <v>20</v>
      </c>
      <c r="D48" s="5" t="s">
        <v>7</v>
      </c>
      <c r="E48" s="7">
        <v>20.0</v>
      </c>
    </row>
    <row r="49">
      <c r="A49" s="5">
        <v>48.0</v>
      </c>
      <c r="B49" s="6" t="s">
        <v>81</v>
      </c>
      <c r="C49" s="5" t="s">
        <v>37</v>
      </c>
      <c r="D49" s="5" t="s">
        <v>14</v>
      </c>
      <c r="E49" s="7">
        <v>20.0</v>
      </c>
    </row>
    <row r="50">
      <c r="A50" s="5">
        <v>49.0</v>
      </c>
      <c r="B50" s="6" t="s">
        <v>82</v>
      </c>
      <c r="C50" s="5" t="s">
        <v>59</v>
      </c>
      <c r="D50" s="5" t="s">
        <v>14</v>
      </c>
      <c r="E50" s="7">
        <v>19.0</v>
      </c>
    </row>
    <row r="51">
      <c r="A51" s="5">
        <v>50.0</v>
      </c>
      <c r="B51" s="6" t="s">
        <v>83</v>
      </c>
      <c r="C51" s="5" t="s">
        <v>43</v>
      </c>
      <c r="D51" s="5" t="s">
        <v>12</v>
      </c>
      <c r="E51" s="7">
        <v>19.0</v>
      </c>
    </row>
    <row r="52">
      <c r="A52" s="5">
        <v>51.0</v>
      </c>
      <c r="B52" s="6" t="s">
        <v>84</v>
      </c>
      <c r="C52" s="5" t="s">
        <v>22</v>
      </c>
      <c r="D52" s="5" t="s">
        <v>39</v>
      </c>
      <c r="E52" s="7">
        <v>19.0</v>
      </c>
    </row>
    <row r="53">
      <c r="A53" s="5">
        <v>52.0</v>
      </c>
      <c r="B53" s="6" t="s">
        <v>85</v>
      </c>
      <c r="C53" s="5" t="s">
        <v>48</v>
      </c>
      <c r="D53" s="5" t="s">
        <v>7</v>
      </c>
      <c r="E53" s="7">
        <v>19.0</v>
      </c>
    </row>
    <row r="54">
      <c r="A54" s="5">
        <v>53.0</v>
      </c>
      <c r="B54" s="6" t="s">
        <v>86</v>
      </c>
      <c r="C54" s="5" t="s">
        <v>24</v>
      </c>
      <c r="D54" s="5" t="s">
        <v>14</v>
      </c>
      <c r="E54" s="7">
        <v>19.0</v>
      </c>
    </row>
    <row r="55">
      <c r="A55" s="5">
        <v>54.0</v>
      </c>
      <c r="B55" s="6" t="s">
        <v>87</v>
      </c>
      <c r="C55" s="5" t="s">
        <v>6</v>
      </c>
      <c r="D55" s="5" t="s">
        <v>14</v>
      </c>
      <c r="E55" s="7">
        <v>19.0</v>
      </c>
    </row>
    <row r="56">
      <c r="A56" s="5">
        <v>55.0</v>
      </c>
      <c r="B56" s="6" t="s">
        <v>88</v>
      </c>
      <c r="C56" s="5" t="s">
        <v>52</v>
      </c>
      <c r="D56" s="5" t="s">
        <v>14</v>
      </c>
      <c r="E56" s="7">
        <v>18.0</v>
      </c>
    </row>
    <row r="57">
      <c r="A57" s="5">
        <v>56.0</v>
      </c>
      <c r="B57" s="6" t="s">
        <v>89</v>
      </c>
      <c r="C57" s="5" t="s">
        <v>20</v>
      </c>
      <c r="D57" s="5" t="s">
        <v>14</v>
      </c>
      <c r="E57" s="7">
        <v>18.0</v>
      </c>
    </row>
    <row r="58">
      <c r="A58" s="5">
        <v>57.0</v>
      </c>
      <c r="B58" s="6" t="s">
        <v>90</v>
      </c>
      <c r="C58" s="5" t="s">
        <v>91</v>
      </c>
      <c r="D58" s="5" t="s">
        <v>7</v>
      </c>
      <c r="E58" s="7">
        <v>18.0</v>
      </c>
    </row>
    <row r="59">
      <c r="A59" s="5">
        <v>58.0</v>
      </c>
      <c r="B59" s="6" t="s">
        <v>92</v>
      </c>
      <c r="C59" s="5" t="s">
        <v>46</v>
      </c>
      <c r="D59" s="5" t="s">
        <v>14</v>
      </c>
      <c r="E59" s="7">
        <v>18.0</v>
      </c>
    </row>
    <row r="60">
      <c r="A60" s="5">
        <v>59.0</v>
      </c>
      <c r="B60" s="6" t="s">
        <v>93</v>
      </c>
      <c r="C60" s="5" t="s">
        <v>41</v>
      </c>
      <c r="D60" s="5" t="s">
        <v>7</v>
      </c>
      <c r="E60" s="7">
        <v>18.0</v>
      </c>
    </row>
    <row r="61">
      <c r="A61" s="5">
        <v>60.0</v>
      </c>
      <c r="B61" s="6" t="s">
        <v>94</v>
      </c>
      <c r="C61" s="5" t="s">
        <v>28</v>
      </c>
      <c r="D61" s="5" t="s">
        <v>39</v>
      </c>
      <c r="E61" s="7">
        <v>17.0</v>
      </c>
    </row>
    <row r="62">
      <c r="A62" s="5">
        <v>61.0</v>
      </c>
      <c r="B62" s="6" t="s">
        <v>95</v>
      </c>
      <c r="C62" s="5" t="s">
        <v>96</v>
      </c>
      <c r="D62" s="5" t="s">
        <v>14</v>
      </c>
      <c r="E62" s="7">
        <v>17.0</v>
      </c>
    </row>
    <row r="63">
      <c r="A63" s="5">
        <v>62.0</v>
      </c>
      <c r="B63" s="6" t="s">
        <v>97</v>
      </c>
      <c r="C63" s="5" t="s">
        <v>11</v>
      </c>
      <c r="D63" s="5" t="s">
        <v>14</v>
      </c>
      <c r="E63" s="7">
        <v>16.0</v>
      </c>
    </row>
    <row r="64">
      <c r="A64" s="5">
        <v>63.0</v>
      </c>
      <c r="B64" s="6" t="s">
        <v>98</v>
      </c>
      <c r="C64" s="5" t="s">
        <v>54</v>
      </c>
      <c r="D64" s="5" t="s">
        <v>14</v>
      </c>
      <c r="E64" s="7">
        <v>16.0</v>
      </c>
    </row>
    <row r="65">
      <c r="A65" s="5">
        <v>64.0</v>
      </c>
      <c r="B65" s="6" t="s">
        <v>99</v>
      </c>
      <c r="C65" s="5" t="s">
        <v>9</v>
      </c>
      <c r="D65" s="5" t="s">
        <v>39</v>
      </c>
      <c r="E65" s="7">
        <v>15.0</v>
      </c>
    </row>
    <row r="66">
      <c r="A66" s="5">
        <v>65.0</v>
      </c>
      <c r="B66" s="6" t="s">
        <v>100</v>
      </c>
      <c r="C66" s="5" t="s">
        <v>71</v>
      </c>
      <c r="D66" s="5" t="s">
        <v>7</v>
      </c>
      <c r="E66" s="7">
        <v>13.0</v>
      </c>
    </row>
    <row r="67">
      <c r="A67" s="5">
        <v>66.0</v>
      </c>
      <c r="B67" s="8" t="s">
        <v>101</v>
      </c>
      <c r="C67" s="5" t="s">
        <v>71</v>
      </c>
      <c r="D67" s="5" t="s">
        <v>14</v>
      </c>
      <c r="E67" s="7">
        <v>12.0</v>
      </c>
    </row>
    <row r="68">
      <c r="A68" s="5">
        <v>67.0</v>
      </c>
      <c r="B68" s="6" t="s">
        <v>102</v>
      </c>
      <c r="C68" s="5" t="s">
        <v>28</v>
      </c>
      <c r="D68" s="5" t="s">
        <v>7</v>
      </c>
      <c r="E68" s="7">
        <v>12.0</v>
      </c>
    </row>
    <row r="69">
      <c r="A69" s="5">
        <v>68.0</v>
      </c>
      <c r="B69" s="8" t="s">
        <v>103</v>
      </c>
      <c r="C69" s="5" t="s">
        <v>104</v>
      </c>
      <c r="D69" s="5" t="s">
        <v>7</v>
      </c>
      <c r="E69" s="7">
        <v>12.0</v>
      </c>
    </row>
    <row r="70">
      <c r="A70" s="5">
        <v>69.0</v>
      </c>
      <c r="B70" s="6" t="s">
        <v>105</v>
      </c>
      <c r="C70" s="5" t="s">
        <v>59</v>
      </c>
      <c r="D70" s="5" t="s">
        <v>39</v>
      </c>
      <c r="E70" s="7">
        <v>11.0</v>
      </c>
    </row>
    <row r="71">
      <c r="A71" s="5">
        <v>70.0</v>
      </c>
      <c r="B71" s="8" t="s">
        <v>106</v>
      </c>
      <c r="C71" s="5" t="s">
        <v>30</v>
      </c>
      <c r="D71" s="5" t="s">
        <v>14</v>
      </c>
      <c r="E71" s="7">
        <v>11.0</v>
      </c>
    </row>
    <row r="72">
      <c r="A72" s="5">
        <v>71.0</v>
      </c>
      <c r="B72" s="6" t="s">
        <v>107</v>
      </c>
      <c r="C72" s="5" t="s">
        <v>35</v>
      </c>
      <c r="D72" s="5" t="s">
        <v>12</v>
      </c>
      <c r="E72" s="7">
        <v>10.0</v>
      </c>
    </row>
    <row r="73">
      <c r="A73" s="5">
        <v>72.0</v>
      </c>
      <c r="B73" s="6" t="s">
        <v>108</v>
      </c>
      <c r="C73" s="5" t="s">
        <v>30</v>
      </c>
      <c r="D73" s="5" t="s">
        <v>12</v>
      </c>
      <c r="E73" s="7">
        <v>10.0</v>
      </c>
    </row>
    <row r="74">
      <c r="A74" s="5">
        <v>73.0</v>
      </c>
      <c r="B74" s="6" t="s">
        <v>109</v>
      </c>
      <c r="C74" s="5" t="s">
        <v>20</v>
      </c>
      <c r="D74" s="5" t="s">
        <v>12</v>
      </c>
      <c r="E74" s="7">
        <v>8.0</v>
      </c>
    </row>
    <row r="75">
      <c r="A75" s="5">
        <v>74.0</v>
      </c>
      <c r="B75" s="6" t="s">
        <v>110</v>
      </c>
      <c r="C75" s="5" t="s">
        <v>35</v>
      </c>
      <c r="D75" s="5" t="s">
        <v>39</v>
      </c>
      <c r="E75" s="7">
        <v>8.0</v>
      </c>
    </row>
    <row r="76">
      <c r="A76" s="5">
        <v>75.0</v>
      </c>
      <c r="B76" s="6" t="s">
        <v>111</v>
      </c>
      <c r="C76" s="5" t="s">
        <v>26</v>
      </c>
      <c r="D76" s="5" t="s">
        <v>39</v>
      </c>
      <c r="E76" s="7">
        <v>8.0</v>
      </c>
    </row>
    <row r="77">
      <c r="A77" s="5">
        <v>76.0</v>
      </c>
      <c r="B77" s="8" t="s">
        <v>112</v>
      </c>
      <c r="C77" s="5" t="s">
        <v>50</v>
      </c>
      <c r="D77" s="5" t="s">
        <v>12</v>
      </c>
      <c r="E77" s="7">
        <v>7.0</v>
      </c>
    </row>
    <row r="78">
      <c r="A78" s="5">
        <v>77.0</v>
      </c>
      <c r="B78" s="6" t="s">
        <v>113</v>
      </c>
      <c r="C78" s="5" t="s">
        <v>48</v>
      </c>
      <c r="D78" s="5" t="s">
        <v>12</v>
      </c>
      <c r="E78" s="7">
        <v>7.0</v>
      </c>
    </row>
    <row r="79">
      <c r="A79" s="5">
        <v>78.0</v>
      </c>
      <c r="B79" s="6" t="s">
        <v>114</v>
      </c>
      <c r="C79" s="5" t="s">
        <v>91</v>
      </c>
      <c r="D79" s="5" t="s">
        <v>14</v>
      </c>
      <c r="E79" s="7">
        <v>7.0</v>
      </c>
    </row>
    <row r="80">
      <c r="A80" s="5">
        <v>79.0</v>
      </c>
      <c r="B80" s="6" t="s">
        <v>115</v>
      </c>
      <c r="C80" s="5" t="s">
        <v>30</v>
      </c>
      <c r="D80" s="5" t="s">
        <v>39</v>
      </c>
      <c r="E80" s="7">
        <v>6.0</v>
      </c>
    </row>
    <row r="81">
      <c r="A81" s="5">
        <v>80.0</v>
      </c>
      <c r="B81" s="6" t="s">
        <v>116</v>
      </c>
      <c r="C81" s="5" t="s">
        <v>22</v>
      </c>
      <c r="D81" s="5" t="s">
        <v>12</v>
      </c>
      <c r="E81" s="7">
        <v>6.0</v>
      </c>
    </row>
    <row r="82">
      <c r="A82" s="5">
        <v>81.0</v>
      </c>
      <c r="B82" s="6" t="s">
        <v>117</v>
      </c>
      <c r="C82" s="5" t="s">
        <v>104</v>
      </c>
      <c r="D82" s="5" t="s">
        <v>12</v>
      </c>
      <c r="E82" s="7">
        <v>5.0</v>
      </c>
    </row>
    <row r="83">
      <c r="A83" s="5">
        <v>82.0</v>
      </c>
      <c r="B83" s="6" t="s">
        <v>118</v>
      </c>
      <c r="C83" s="5" t="s">
        <v>22</v>
      </c>
      <c r="D83" s="5" t="s">
        <v>14</v>
      </c>
      <c r="E83" s="7">
        <v>5.0</v>
      </c>
    </row>
    <row r="84">
      <c r="A84" s="5">
        <v>83.0</v>
      </c>
      <c r="B84" s="6" t="s">
        <v>119</v>
      </c>
      <c r="C84" s="5" t="s">
        <v>24</v>
      </c>
      <c r="D84" s="5" t="s">
        <v>120</v>
      </c>
      <c r="E84" s="7">
        <v>5.0</v>
      </c>
    </row>
    <row r="85">
      <c r="A85" s="5">
        <v>84.0</v>
      </c>
      <c r="B85" s="6" t="s">
        <v>121</v>
      </c>
      <c r="C85" s="5" t="s">
        <v>122</v>
      </c>
      <c r="D85" s="5" t="s">
        <v>14</v>
      </c>
      <c r="E85" s="7">
        <v>5.0</v>
      </c>
    </row>
    <row r="86">
      <c r="A86" s="5">
        <v>85.0</v>
      </c>
      <c r="B86" s="6" t="s">
        <v>123</v>
      </c>
      <c r="C86" s="5" t="s">
        <v>16</v>
      </c>
      <c r="D86" s="5" t="s">
        <v>39</v>
      </c>
      <c r="E86" s="7">
        <v>5.0</v>
      </c>
    </row>
    <row r="87">
      <c r="A87" s="5">
        <v>86.0</v>
      </c>
      <c r="B87" s="6" t="s">
        <v>124</v>
      </c>
      <c r="C87" s="5" t="s">
        <v>11</v>
      </c>
      <c r="D87" s="5" t="s">
        <v>7</v>
      </c>
      <c r="E87" s="7">
        <v>4.0</v>
      </c>
    </row>
    <row r="88">
      <c r="A88" s="5">
        <v>87.0</v>
      </c>
      <c r="B88" s="6" t="s">
        <v>125</v>
      </c>
      <c r="C88" s="5" t="s">
        <v>69</v>
      </c>
      <c r="D88" s="5" t="s">
        <v>39</v>
      </c>
      <c r="E88" s="7">
        <v>4.0</v>
      </c>
    </row>
    <row r="89">
      <c r="A89" s="5">
        <v>88.0</v>
      </c>
      <c r="B89" s="6" t="s">
        <v>126</v>
      </c>
      <c r="C89" s="5" t="s">
        <v>96</v>
      </c>
      <c r="D89" s="5" t="s">
        <v>12</v>
      </c>
      <c r="E89" s="7">
        <v>4.0</v>
      </c>
    </row>
    <row r="90">
      <c r="A90" s="5">
        <v>89.0</v>
      </c>
      <c r="B90" s="8" t="s">
        <v>127</v>
      </c>
      <c r="C90" s="5" t="s">
        <v>26</v>
      </c>
      <c r="D90" s="5" t="s">
        <v>14</v>
      </c>
      <c r="E90" s="7">
        <v>3.0</v>
      </c>
    </row>
    <row r="91">
      <c r="A91" s="5">
        <v>90.0</v>
      </c>
      <c r="B91" s="6" t="s">
        <v>128</v>
      </c>
      <c r="C91" s="5" t="s">
        <v>104</v>
      </c>
      <c r="D91" s="5" t="s">
        <v>120</v>
      </c>
      <c r="E91" s="7">
        <v>3.0</v>
      </c>
    </row>
    <row r="92">
      <c r="A92" s="5">
        <v>91.0</v>
      </c>
      <c r="B92" s="6" t="s">
        <v>129</v>
      </c>
      <c r="C92" s="5" t="s">
        <v>96</v>
      </c>
      <c r="D92" s="5" t="s">
        <v>39</v>
      </c>
      <c r="E92" s="7">
        <v>3.0</v>
      </c>
    </row>
    <row r="93">
      <c r="A93" s="5">
        <v>92.0</v>
      </c>
      <c r="B93" s="6" t="s">
        <v>130</v>
      </c>
      <c r="C93" s="5" t="s">
        <v>26</v>
      </c>
      <c r="D93" s="5" t="s">
        <v>14</v>
      </c>
      <c r="E93" s="7">
        <v>3.0</v>
      </c>
    </row>
    <row r="94">
      <c r="A94" s="5">
        <v>93.0</v>
      </c>
      <c r="B94" s="6" t="s">
        <v>131</v>
      </c>
      <c r="C94" s="5" t="s">
        <v>24</v>
      </c>
      <c r="D94" s="5" t="s">
        <v>39</v>
      </c>
      <c r="E94" s="7">
        <v>3.0</v>
      </c>
    </row>
    <row r="95">
      <c r="A95" s="5">
        <v>94.0</v>
      </c>
      <c r="B95" s="6" t="s">
        <v>132</v>
      </c>
      <c r="C95" s="5" t="s">
        <v>11</v>
      </c>
      <c r="D95" s="5" t="s">
        <v>120</v>
      </c>
      <c r="E95" s="7">
        <v>1.0</v>
      </c>
    </row>
    <row r="96">
      <c r="A96" s="5">
        <v>95.0</v>
      </c>
      <c r="B96" s="6" t="s">
        <v>133</v>
      </c>
      <c r="C96" s="5" t="s">
        <v>96</v>
      </c>
      <c r="D96" s="5" t="s">
        <v>134</v>
      </c>
      <c r="E96" s="7">
        <v>1.0</v>
      </c>
    </row>
    <row r="97">
      <c r="A97" s="5">
        <v>96.0</v>
      </c>
      <c r="B97" s="6" t="s">
        <v>135</v>
      </c>
      <c r="C97" s="5" t="s">
        <v>16</v>
      </c>
      <c r="D97" s="5" t="s">
        <v>120</v>
      </c>
      <c r="E97" s="7">
        <v>1.0</v>
      </c>
    </row>
    <row r="98">
      <c r="A98" s="5">
        <v>97.0</v>
      </c>
      <c r="B98" s="6" t="s">
        <v>136</v>
      </c>
      <c r="C98" s="5" t="s">
        <v>37</v>
      </c>
      <c r="D98" s="5" t="s">
        <v>39</v>
      </c>
      <c r="E98" s="7">
        <v>1.0</v>
      </c>
    </row>
    <row r="99">
      <c r="A99" s="5">
        <v>98.0</v>
      </c>
      <c r="B99" s="6" t="s">
        <v>137</v>
      </c>
      <c r="C99" s="5" t="s">
        <v>18</v>
      </c>
      <c r="D99" s="5" t="s">
        <v>120</v>
      </c>
      <c r="E99" s="7">
        <v>1.0</v>
      </c>
    </row>
    <row r="100">
      <c r="A100" s="5">
        <v>99.0</v>
      </c>
      <c r="B100" s="6" t="s">
        <v>138</v>
      </c>
      <c r="C100" s="5" t="s">
        <v>139</v>
      </c>
      <c r="D100" s="5" t="s">
        <v>134</v>
      </c>
      <c r="E100" s="7">
        <v>1.0</v>
      </c>
    </row>
    <row r="101">
      <c r="A101" s="5">
        <v>100.0</v>
      </c>
      <c r="B101" s="6" t="s">
        <v>140</v>
      </c>
      <c r="C101" s="5" t="s">
        <v>16</v>
      </c>
      <c r="D101" s="5" t="s">
        <v>134</v>
      </c>
      <c r="E101" s="7">
        <v>1.0</v>
      </c>
    </row>
    <row r="102">
      <c r="A102" s="5">
        <v>101.0</v>
      </c>
      <c r="B102" s="6" t="s">
        <v>141</v>
      </c>
      <c r="C102" s="5" t="s">
        <v>48</v>
      </c>
      <c r="D102" s="5" t="s">
        <v>134</v>
      </c>
      <c r="E102" s="7">
        <v>1.0</v>
      </c>
    </row>
    <row r="103">
      <c r="A103" s="5">
        <v>102.0</v>
      </c>
      <c r="B103" s="6" t="s">
        <v>142</v>
      </c>
      <c r="C103" s="5" t="s">
        <v>62</v>
      </c>
      <c r="D103" s="5" t="s">
        <v>134</v>
      </c>
      <c r="E103" s="7">
        <v>1.0</v>
      </c>
    </row>
    <row r="104">
      <c r="A104" s="5">
        <v>103.0</v>
      </c>
      <c r="B104" s="6" t="s">
        <v>143</v>
      </c>
      <c r="C104" s="5" t="s">
        <v>59</v>
      </c>
      <c r="D104" s="5" t="s">
        <v>134</v>
      </c>
      <c r="E104" s="7">
        <v>1.0</v>
      </c>
    </row>
    <row r="105">
      <c r="A105" s="5">
        <v>104.0</v>
      </c>
      <c r="B105" s="6" t="s">
        <v>144</v>
      </c>
      <c r="C105" s="5" t="s">
        <v>46</v>
      </c>
      <c r="D105" s="5" t="s">
        <v>39</v>
      </c>
      <c r="E105" s="7">
        <v>1.0</v>
      </c>
    </row>
    <row r="106">
      <c r="A106" s="5">
        <v>105.0</v>
      </c>
      <c r="B106" s="6" t="s">
        <v>145</v>
      </c>
      <c r="C106" s="5" t="s">
        <v>96</v>
      </c>
      <c r="D106" s="5" t="s">
        <v>7</v>
      </c>
      <c r="E106" s="7">
        <v>1.0</v>
      </c>
    </row>
    <row r="107">
      <c r="A107" s="5">
        <v>106.0</v>
      </c>
      <c r="B107" s="6" t="s">
        <v>146</v>
      </c>
      <c r="C107" s="5" t="s">
        <v>33</v>
      </c>
      <c r="D107" s="5" t="s">
        <v>120</v>
      </c>
      <c r="E107" s="7">
        <v>1.0</v>
      </c>
    </row>
    <row r="108">
      <c r="A108" s="5">
        <v>107.0</v>
      </c>
      <c r="B108" s="6" t="s">
        <v>147</v>
      </c>
      <c r="C108" s="5" t="s">
        <v>46</v>
      </c>
      <c r="D108" s="5" t="s">
        <v>120</v>
      </c>
      <c r="E108" s="7">
        <v>1.0</v>
      </c>
    </row>
    <row r="109">
      <c r="A109" s="5">
        <v>108.0</v>
      </c>
      <c r="B109" s="6" t="s">
        <v>148</v>
      </c>
      <c r="C109" s="5" t="s">
        <v>43</v>
      </c>
      <c r="D109" s="5" t="s">
        <v>120</v>
      </c>
      <c r="E109" s="7">
        <v>1.0</v>
      </c>
    </row>
    <row r="110">
      <c r="A110" s="5">
        <v>109.0</v>
      </c>
      <c r="B110" s="6" t="s">
        <v>149</v>
      </c>
      <c r="C110" s="5" t="s">
        <v>28</v>
      </c>
      <c r="D110" s="5" t="s">
        <v>120</v>
      </c>
      <c r="E110" s="7">
        <v>1.0</v>
      </c>
    </row>
    <row r="111">
      <c r="A111" s="5">
        <v>110.0</v>
      </c>
      <c r="B111" s="6" t="s">
        <v>150</v>
      </c>
      <c r="C111" s="5" t="s">
        <v>59</v>
      </c>
      <c r="D111" s="5" t="s">
        <v>120</v>
      </c>
      <c r="E111" s="7">
        <v>1.0</v>
      </c>
    </row>
    <row r="112">
      <c r="A112" s="5">
        <v>111.0</v>
      </c>
      <c r="B112" s="6" t="s">
        <v>151</v>
      </c>
      <c r="C112" s="5" t="s">
        <v>9</v>
      </c>
      <c r="D112" s="5" t="s">
        <v>120</v>
      </c>
      <c r="E112" s="7">
        <v>1.0</v>
      </c>
    </row>
    <row r="113">
      <c r="A113" s="5">
        <v>112.0</v>
      </c>
      <c r="B113" s="6" t="s">
        <v>152</v>
      </c>
      <c r="C113" s="5" t="s">
        <v>50</v>
      </c>
      <c r="D113" s="5" t="s">
        <v>120</v>
      </c>
      <c r="E113" s="7">
        <v>1.0</v>
      </c>
    </row>
    <row r="114">
      <c r="A114" s="5">
        <v>113.0</v>
      </c>
      <c r="B114" s="6" t="s">
        <v>153</v>
      </c>
      <c r="C114" s="5" t="s">
        <v>30</v>
      </c>
      <c r="D114" s="5" t="s">
        <v>134</v>
      </c>
      <c r="E114" s="7">
        <v>1.0</v>
      </c>
    </row>
    <row r="115">
      <c r="A115" s="5">
        <v>114.0</v>
      </c>
      <c r="B115" s="6" t="s">
        <v>154</v>
      </c>
      <c r="C115" s="5" t="s">
        <v>24</v>
      </c>
      <c r="D115" s="5" t="s">
        <v>134</v>
      </c>
      <c r="E115" s="7">
        <v>1.0</v>
      </c>
    </row>
    <row r="116">
      <c r="A116" s="5">
        <v>115.0</v>
      </c>
      <c r="B116" s="6" t="s">
        <v>155</v>
      </c>
      <c r="C116" s="5" t="s">
        <v>91</v>
      </c>
      <c r="D116" s="5" t="s">
        <v>134</v>
      </c>
      <c r="E116" s="7">
        <v>1.0</v>
      </c>
    </row>
    <row r="117">
      <c r="A117" s="5">
        <v>116.0</v>
      </c>
      <c r="B117" s="6" t="s">
        <v>156</v>
      </c>
      <c r="C117" s="5" t="s">
        <v>22</v>
      </c>
      <c r="D117" s="5" t="s">
        <v>134</v>
      </c>
      <c r="E117" s="7">
        <v>1.0</v>
      </c>
    </row>
    <row r="118">
      <c r="A118" s="5">
        <v>117.0</v>
      </c>
      <c r="B118" s="6" t="s">
        <v>157</v>
      </c>
      <c r="C118" s="5" t="s">
        <v>50</v>
      </c>
      <c r="D118" s="5" t="s">
        <v>134</v>
      </c>
      <c r="E118" s="7">
        <v>1.0</v>
      </c>
    </row>
    <row r="119">
      <c r="A119" s="5">
        <v>118.0</v>
      </c>
      <c r="B119" s="6" t="s">
        <v>158</v>
      </c>
      <c r="C119" s="5" t="s">
        <v>46</v>
      </c>
      <c r="D119" s="5" t="s">
        <v>134</v>
      </c>
      <c r="E119" s="7">
        <v>1.0</v>
      </c>
    </row>
    <row r="120">
      <c r="A120" s="5">
        <v>119.0</v>
      </c>
      <c r="B120" s="6" t="s">
        <v>159</v>
      </c>
      <c r="C120" s="5" t="s">
        <v>35</v>
      </c>
      <c r="D120" s="5" t="s">
        <v>134</v>
      </c>
      <c r="E120" s="7">
        <v>1.0</v>
      </c>
    </row>
    <row r="121">
      <c r="A121" s="5">
        <v>120.0</v>
      </c>
      <c r="B121" s="6" t="s">
        <v>160</v>
      </c>
      <c r="C121" s="5" t="s">
        <v>43</v>
      </c>
      <c r="D121" s="5" t="s">
        <v>134</v>
      </c>
      <c r="E121" s="7">
        <v>1.0</v>
      </c>
    </row>
    <row r="122">
      <c r="A122" s="5">
        <v>121.0</v>
      </c>
      <c r="B122" s="6" t="s">
        <v>161</v>
      </c>
      <c r="C122" s="5" t="s">
        <v>9</v>
      </c>
      <c r="D122" s="5" t="s">
        <v>14</v>
      </c>
      <c r="E122" s="7">
        <v>1.0</v>
      </c>
    </row>
    <row r="123">
      <c r="A123" s="5">
        <v>122.0</v>
      </c>
      <c r="B123" s="6" t="s">
        <v>162</v>
      </c>
      <c r="C123" s="5" t="s">
        <v>163</v>
      </c>
      <c r="D123" s="5" t="s">
        <v>14</v>
      </c>
      <c r="E123" s="7">
        <v>1.0</v>
      </c>
    </row>
    <row r="124">
      <c r="A124" s="5">
        <v>123.0</v>
      </c>
      <c r="B124" s="6" t="s">
        <v>164</v>
      </c>
      <c r="C124" s="5" t="s">
        <v>165</v>
      </c>
      <c r="D124" s="5" t="s">
        <v>134</v>
      </c>
      <c r="E124" s="7">
        <v>1.0</v>
      </c>
    </row>
    <row r="125">
      <c r="A125" s="5">
        <v>124.0</v>
      </c>
      <c r="B125" s="6" t="s">
        <v>166</v>
      </c>
      <c r="C125" s="5" t="s">
        <v>52</v>
      </c>
      <c r="D125" s="5" t="s">
        <v>14</v>
      </c>
      <c r="E125" s="7">
        <v>1.0</v>
      </c>
    </row>
    <row r="126">
      <c r="A126" s="5">
        <v>125.0</v>
      </c>
      <c r="B126" s="6" t="s">
        <v>167</v>
      </c>
      <c r="C126" s="5" t="s">
        <v>122</v>
      </c>
      <c r="D126" s="5" t="s">
        <v>134</v>
      </c>
      <c r="E126" s="7">
        <v>1.0</v>
      </c>
    </row>
    <row r="127">
      <c r="A127" s="5">
        <v>126.0</v>
      </c>
      <c r="B127" s="6" t="s">
        <v>168</v>
      </c>
      <c r="C127" s="5" t="s">
        <v>20</v>
      </c>
      <c r="D127" s="5" t="s">
        <v>134</v>
      </c>
      <c r="E127" s="7">
        <v>1.0</v>
      </c>
    </row>
    <row r="128">
      <c r="A128" s="5">
        <v>127.0</v>
      </c>
      <c r="B128" s="6" t="s">
        <v>169</v>
      </c>
      <c r="C128" s="5" t="s">
        <v>33</v>
      </c>
      <c r="D128" s="5" t="s">
        <v>134</v>
      </c>
      <c r="E128" s="7">
        <v>1.0</v>
      </c>
    </row>
    <row r="129">
      <c r="A129" s="5">
        <v>128.0</v>
      </c>
      <c r="B129" s="6" t="s">
        <v>170</v>
      </c>
      <c r="C129" s="5" t="s">
        <v>18</v>
      </c>
      <c r="D129" s="5" t="s">
        <v>134</v>
      </c>
      <c r="E129" s="7">
        <v>1.0</v>
      </c>
    </row>
    <row r="130">
      <c r="A130" s="5">
        <v>129.0</v>
      </c>
      <c r="B130" s="6" t="s">
        <v>171</v>
      </c>
      <c r="C130" s="5" t="s">
        <v>26</v>
      </c>
      <c r="D130" s="5" t="s">
        <v>134</v>
      </c>
      <c r="E130" s="7">
        <v>1.0</v>
      </c>
    </row>
    <row r="131">
      <c r="A131" s="5">
        <v>130.0</v>
      </c>
      <c r="B131" s="6" t="s">
        <v>172</v>
      </c>
      <c r="C131" s="5" t="s">
        <v>104</v>
      </c>
      <c r="D131" s="5" t="s">
        <v>134</v>
      </c>
      <c r="E131" s="7">
        <v>1.0</v>
      </c>
    </row>
    <row r="132">
      <c r="A132" s="5">
        <v>131.0</v>
      </c>
      <c r="B132" s="6" t="s">
        <v>173</v>
      </c>
      <c r="C132" s="5" t="s">
        <v>11</v>
      </c>
      <c r="D132" s="5" t="s">
        <v>134</v>
      </c>
      <c r="E132" s="7">
        <v>1.0</v>
      </c>
    </row>
    <row r="133">
      <c r="A133" s="5">
        <v>132.0</v>
      </c>
      <c r="B133" s="6" t="s">
        <v>174</v>
      </c>
      <c r="C133" s="5" t="s">
        <v>71</v>
      </c>
      <c r="D133" s="5" t="s">
        <v>134</v>
      </c>
      <c r="E133" s="7">
        <v>1.0</v>
      </c>
    </row>
    <row r="134">
      <c r="A134" s="5">
        <v>133.0</v>
      </c>
      <c r="B134" s="6" t="s">
        <v>175</v>
      </c>
      <c r="C134" s="5" t="s">
        <v>52</v>
      </c>
      <c r="D134" s="5" t="s">
        <v>134</v>
      </c>
      <c r="E134" s="7">
        <v>1.0</v>
      </c>
    </row>
    <row r="135">
      <c r="A135" s="5">
        <v>134.0</v>
      </c>
      <c r="B135" s="6" t="s">
        <v>176</v>
      </c>
      <c r="C135" s="5" t="s">
        <v>9</v>
      </c>
      <c r="D135" s="5" t="s">
        <v>134</v>
      </c>
      <c r="E135" s="7">
        <v>1.0</v>
      </c>
    </row>
    <row r="136">
      <c r="A136" s="5">
        <v>135.0</v>
      </c>
      <c r="B136" s="6" t="s">
        <v>177</v>
      </c>
      <c r="C136" s="5" t="s">
        <v>28</v>
      </c>
      <c r="D136" s="5" t="s">
        <v>134</v>
      </c>
      <c r="E136" s="7">
        <v>1.0</v>
      </c>
    </row>
    <row r="137">
      <c r="A137" s="5">
        <v>136.0</v>
      </c>
      <c r="B137" s="6" t="s">
        <v>178</v>
      </c>
      <c r="C137" s="5" t="s">
        <v>69</v>
      </c>
      <c r="D137" s="5" t="s">
        <v>134</v>
      </c>
      <c r="E137" s="7">
        <v>1.0</v>
      </c>
    </row>
    <row r="138">
      <c r="A138" s="5">
        <v>137.0</v>
      </c>
      <c r="B138" s="6" t="s">
        <v>179</v>
      </c>
      <c r="C138" s="5" t="s">
        <v>54</v>
      </c>
      <c r="D138" s="5" t="s">
        <v>134</v>
      </c>
      <c r="E138" s="7">
        <v>1.0</v>
      </c>
    </row>
    <row r="139">
      <c r="A139" s="5">
        <v>138.0</v>
      </c>
      <c r="B139" s="6" t="s">
        <v>180</v>
      </c>
      <c r="C139" s="5" t="s">
        <v>6</v>
      </c>
      <c r="D139" s="5" t="s">
        <v>134</v>
      </c>
      <c r="E139" s="7">
        <v>1.0</v>
      </c>
    </row>
    <row r="140">
      <c r="A140" s="5">
        <v>139.0</v>
      </c>
      <c r="B140" s="6" t="s">
        <v>181</v>
      </c>
      <c r="C140" s="5" t="s">
        <v>165</v>
      </c>
      <c r="D140" s="5" t="s">
        <v>12</v>
      </c>
      <c r="E140" s="7">
        <v>1.0</v>
      </c>
    </row>
    <row r="141">
      <c r="A141" s="5">
        <v>140.0</v>
      </c>
      <c r="B141" s="6" t="s">
        <v>182</v>
      </c>
      <c r="C141" s="5" t="s">
        <v>37</v>
      </c>
      <c r="D141" s="5" t="s">
        <v>134</v>
      </c>
      <c r="E141" s="7">
        <v>1.0</v>
      </c>
    </row>
    <row r="142">
      <c r="A142" s="5">
        <v>141.0</v>
      </c>
      <c r="B142" s="6" t="s">
        <v>183</v>
      </c>
      <c r="C142" s="5" t="s">
        <v>163</v>
      </c>
      <c r="D142" s="5" t="s">
        <v>134</v>
      </c>
      <c r="E142" s="7">
        <v>1.0</v>
      </c>
    </row>
    <row r="143">
      <c r="A143" s="5">
        <v>142.0</v>
      </c>
      <c r="B143" s="6" t="s">
        <v>184</v>
      </c>
      <c r="C143" s="5" t="s">
        <v>41</v>
      </c>
      <c r="D143" s="5" t="s">
        <v>134</v>
      </c>
      <c r="E143" s="7">
        <v>1.0</v>
      </c>
    </row>
    <row r="144">
      <c r="A144" s="5">
        <v>143.0</v>
      </c>
      <c r="B144" s="6" t="s">
        <v>185</v>
      </c>
      <c r="C144" s="5" t="s">
        <v>71</v>
      </c>
      <c r="D144" s="5" t="s">
        <v>120</v>
      </c>
      <c r="E144" s="7">
        <v>1.0</v>
      </c>
    </row>
    <row r="145">
      <c r="A145" s="5">
        <v>144.0</v>
      </c>
      <c r="B145" s="6" t="s">
        <v>186</v>
      </c>
      <c r="C145" s="5" t="s">
        <v>48</v>
      </c>
      <c r="D145" s="5" t="s">
        <v>12</v>
      </c>
      <c r="E145" s="7">
        <v>0.0</v>
      </c>
    </row>
    <row r="146">
      <c r="A146" s="5">
        <v>145.0</v>
      </c>
      <c r="B146" s="6" t="s">
        <v>187</v>
      </c>
      <c r="C146" s="5" t="s">
        <v>6</v>
      </c>
      <c r="D146" s="5" t="s">
        <v>120</v>
      </c>
      <c r="E146" s="7">
        <v>0.0</v>
      </c>
    </row>
    <row r="147">
      <c r="A147" s="5">
        <v>146.0</v>
      </c>
      <c r="B147" s="6" t="s">
        <v>188</v>
      </c>
      <c r="C147" s="5" t="s">
        <v>48</v>
      </c>
      <c r="D147" s="5" t="s">
        <v>120</v>
      </c>
      <c r="E147" s="7">
        <v>0.0</v>
      </c>
    </row>
    <row r="148">
      <c r="A148" s="5">
        <v>147.0</v>
      </c>
      <c r="B148" s="6" t="s">
        <v>189</v>
      </c>
      <c r="C148" s="5" t="s">
        <v>59</v>
      </c>
      <c r="D148" s="5" t="s">
        <v>14</v>
      </c>
      <c r="E148" s="7">
        <v>0.0</v>
      </c>
    </row>
    <row r="149">
      <c r="A149" s="5">
        <v>148.0</v>
      </c>
      <c r="B149" s="6" t="s">
        <v>190</v>
      </c>
      <c r="C149" s="5" t="s">
        <v>28</v>
      </c>
      <c r="D149" s="5" t="s">
        <v>12</v>
      </c>
      <c r="E149" s="7">
        <v>0.0</v>
      </c>
    </row>
    <row r="150">
      <c r="A150" s="5">
        <v>149.0</v>
      </c>
      <c r="B150" s="6" t="s">
        <v>191</v>
      </c>
      <c r="C150" s="5" t="s">
        <v>18</v>
      </c>
      <c r="D150" s="5" t="s">
        <v>14</v>
      </c>
      <c r="E150" s="7">
        <v>0.0</v>
      </c>
    </row>
    <row r="151">
      <c r="A151" s="5">
        <v>150.0</v>
      </c>
      <c r="B151" s="6" t="s">
        <v>192</v>
      </c>
      <c r="C151" s="5" t="s">
        <v>37</v>
      </c>
      <c r="D151" s="5" t="s">
        <v>120</v>
      </c>
      <c r="E151" s="7">
        <v>0.0</v>
      </c>
    </row>
    <row r="152">
      <c r="A152" s="5">
        <v>151.0</v>
      </c>
      <c r="B152" s="6" t="s">
        <v>193</v>
      </c>
      <c r="C152" s="5" t="s">
        <v>20</v>
      </c>
      <c r="D152" s="5" t="s">
        <v>120</v>
      </c>
      <c r="E152" s="7">
        <v>0.0</v>
      </c>
    </row>
    <row r="153">
      <c r="A153" s="5">
        <v>152.0</v>
      </c>
      <c r="B153" s="6" t="s">
        <v>194</v>
      </c>
      <c r="C153" s="5" t="s">
        <v>62</v>
      </c>
      <c r="D153" s="5" t="s">
        <v>12</v>
      </c>
      <c r="E153" s="7">
        <v>0.0</v>
      </c>
    </row>
    <row r="154">
      <c r="A154" s="5">
        <v>153.0</v>
      </c>
      <c r="B154" s="6" t="s">
        <v>195</v>
      </c>
      <c r="C154" s="5" t="s">
        <v>22</v>
      </c>
      <c r="D154" s="5" t="s">
        <v>120</v>
      </c>
      <c r="E154" s="7">
        <v>0.0</v>
      </c>
    </row>
    <row r="155">
      <c r="A155" s="5">
        <v>154.0</v>
      </c>
      <c r="B155" s="6" t="s">
        <v>196</v>
      </c>
      <c r="C155" s="5" t="s">
        <v>30</v>
      </c>
      <c r="D155" s="5" t="s">
        <v>120</v>
      </c>
      <c r="E155" s="7">
        <v>0.0</v>
      </c>
    </row>
    <row r="156">
      <c r="A156" s="5">
        <v>155.0</v>
      </c>
      <c r="B156" s="6" t="s">
        <v>197</v>
      </c>
      <c r="C156" s="5" t="s">
        <v>50</v>
      </c>
      <c r="D156" s="5" t="s">
        <v>14</v>
      </c>
      <c r="E156" s="7">
        <v>0.0</v>
      </c>
    </row>
    <row r="157">
      <c r="A157" s="5">
        <v>156.0</v>
      </c>
      <c r="B157" s="8" t="s">
        <v>198</v>
      </c>
      <c r="C157" s="5" t="s">
        <v>122</v>
      </c>
      <c r="D157" s="5" t="s">
        <v>14</v>
      </c>
      <c r="E157" s="7">
        <v>0.0</v>
      </c>
    </row>
    <row r="158">
      <c r="A158" s="5">
        <v>157.0</v>
      </c>
      <c r="B158" s="6" t="s">
        <v>199</v>
      </c>
      <c r="C158" s="5" t="s">
        <v>41</v>
      </c>
      <c r="D158" s="5" t="s">
        <v>120</v>
      </c>
      <c r="E158" s="7">
        <v>0.0</v>
      </c>
    </row>
    <row r="159">
      <c r="A159" s="5">
        <v>158.0</v>
      </c>
      <c r="B159" s="6" t="s">
        <v>200</v>
      </c>
      <c r="C159" s="5" t="s">
        <v>35</v>
      </c>
      <c r="D159" s="5" t="s">
        <v>120</v>
      </c>
      <c r="E159" s="7">
        <v>0.0</v>
      </c>
    </row>
    <row r="160">
      <c r="A160" s="5">
        <v>159.0</v>
      </c>
      <c r="B160" s="6" t="s">
        <v>201</v>
      </c>
      <c r="C160" s="5" t="s">
        <v>69</v>
      </c>
      <c r="D160" s="5" t="s">
        <v>120</v>
      </c>
      <c r="E160" s="7">
        <v>0.0</v>
      </c>
    </row>
    <row r="161">
      <c r="A161" s="5">
        <v>160.0</v>
      </c>
      <c r="B161" s="6" t="s">
        <v>202</v>
      </c>
      <c r="C161" s="5" t="s">
        <v>96</v>
      </c>
      <c r="D161" s="5" t="s">
        <v>120</v>
      </c>
      <c r="E161" s="7">
        <v>0.0</v>
      </c>
    </row>
    <row r="162">
      <c r="A162" s="5">
        <v>161.0</v>
      </c>
      <c r="B162" s="8" t="s">
        <v>203</v>
      </c>
      <c r="C162" s="5" t="s">
        <v>91</v>
      </c>
      <c r="D162" s="5" t="s">
        <v>120</v>
      </c>
      <c r="E162" s="7">
        <v>0.0</v>
      </c>
    </row>
    <row r="163">
      <c r="A163" s="5">
        <v>162.0</v>
      </c>
      <c r="B163" s="6" t="s">
        <v>204</v>
      </c>
      <c r="C163" s="5" t="s">
        <v>139</v>
      </c>
      <c r="D163" s="5" t="s">
        <v>120</v>
      </c>
      <c r="E163" s="7">
        <v>0.0</v>
      </c>
    </row>
    <row r="164">
      <c r="A164" s="5">
        <v>163.0</v>
      </c>
      <c r="B164" s="6" t="s">
        <v>205</v>
      </c>
      <c r="C164" s="5" t="s">
        <v>41</v>
      </c>
      <c r="D164" s="5" t="s">
        <v>14</v>
      </c>
      <c r="E164" s="7">
        <v>0.0</v>
      </c>
    </row>
    <row r="165">
      <c r="A165" s="5">
        <v>164.0</v>
      </c>
      <c r="B165" s="6" t="s">
        <v>206</v>
      </c>
      <c r="C165" s="5" t="s">
        <v>54</v>
      </c>
      <c r="D165" s="5" t="s">
        <v>120</v>
      </c>
      <c r="E165" s="7">
        <v>0.0</v>
      </c>
    </row>
    <row r="166">
      <c r="A166" s="5">
        <v>165.0</v>
      </c>
      <c r="B166" s="6" t="s">
        <v>207</v>
      </c>
      <c r="C166" s="5" t="s">
        <v>26</v>
      </c>
      <c r="D166" s="5" t="s">
        <v>120</v>
      </c>
      <c r="E166" s="7">
        <v>0.0</v>
      </c>
    </row>
    <row r="167">
      <c r="A167" s="5">
        <v>166.0</v>
      </c>
      <c r="B167" s="6" t="s">
        <v>208</v>
      </c>
      <c r="C167" s="5" t="s">
        <v>48</v>
      </c>
      <c r="D167" s="5" t="s">
        <v>39</v>
      </c>
      <c r="E167" s="7">
        <v>0.0</v>
      </c>
    </row>
    <row r="168">
      <c r="A168" s="5">
        <v>167.0</v>
      </c>
      <c r="B168" s="6" t="s">
        <v>209</v>
      </c>
      <c r="C168" s="5" t="s">
        <v>163</v>
      </c>
      <c r="D168" s="5" t="s">
        <v>120</v>
      </c>
      <c r="E168" s="7">
        <v>0.0</v>
      </c>
    </row>
    <row r="169">
      <c r="A169" s="5">
        <v>168.0</v>
      </c>
      <c r="B169" s="6" t="s">
        <v>210</v>
      </c>
      <c r="C169" s="5" t="s">
        <v>35</v>
      </c>
      <c r="D169" s="5" t="s">
        <v>14</v>
      </c>
      <c r="E169" s="7">
        <v>0.0</v>
      </c>
    </row>
    <row r="170">
      <c r="A170" s="5">
        <v>169.0</v>
      </c>
      <c r="B170" s="6" t="s">
        <v>211</v>
      </c>
      <c r="C170" s="5" t="s">
        <v>122</v>
      </c>
      <c r="D170" s="5" t="s">
        <v>120</v>
      </c>
      <c r="E170" s="7">
        <v>0.0</v>
      </c>
    </row>
    <row r="171">
      <c r="A171" s="5">
        <v>170.0</v>
      </c>
      <c r="B171" s="8" t="s">
        <v>212</v>
      </c>
      <c r="C171" s="5" t="s">
        <v>104</v>
      </c>
      <c r="D171" s="5" t="s">
        <v>39</v>
      </c>
      <c r="E171" s="7">
        <v>0.0</v>
      </c>
    </row>
    <row r="172">
      <c r="A172" s="5">
        <v>171.0</v>
      </c>
      <c r="B172" s="6" t="s">
        <v>213</v>
      </c>
      <c r="C172" s="5" t="s">
        <v>54</v>
      </c>
      <c r="D172" s="5" t="s">
        <v>12</v>
      </c>
      <c r="E172" s="7">
        <v>0.0</v>
      </c>
    </row>
    <row r="173">
      <c r="A173" s="5">
        <v>172.0</v>
      </c>
      <c r="B173" s="6" t="s">
        <v>214</v>
      </c>
      <c r="C173" s="5" t="s">
        <v>48</v>
      </c>
      <c r="D173" s="5" t="s">
        <v>14</v>
      </c>
      <c r="E173" s="7">
        <v>0.0</v>
      </c>
    </row>
    <row r="174">
      <c r="A174" s="5">
        <v>173.0</v>
      </c>
      <c r="B174" s="6" t="s">
        <v>215</v>
      </c>
      <c r="C174" s="5" t="s">
        <v>165</v>
      </c>
      <c r="D174" s="5" t="s">
        <v>120</v>
      </c>
      <c r="E174" s="7">
        <v>0.0</v>
      </c>
    </row>
    <row r="175">
      <c r="A175" s="5">
        <v>174.0</v>
      </c>
      <c r="B175" s="6" t="s">
        <v>216</v>
      </c>
      <c r="C175" s="5" t="s">
        <v>33</v>
      </c>
      <c r="D175" s="5" t="s">
        <v>14</v>
      </c>
      <c r="E175" s="7">
        <v>0.0</v>
      </c>
    </row>
    <row r="176">
      <c r="A176" s="5">
        <v>175.0</v>
      </c>
      <c r="B176" s="6" t="s">
        <v>217</v>
      </c>
      <c r="C176" s="5" t="s">
        <v>41</v>
      </c>
      <c r="D176" s="5" t="s">
        <v>12</v>
      </c>
      <c r="E176" s="7">
        <v>0.0</v>
      </c>
    </row>
    <row r="177">
      <c r="A177" s="5">
        <v>176.0</v>
      </c>
      <c r="B177" s="6" t="s">
        <v>218</v>
      </c>
      <c r="C177" s="5" t="s">
        <v>43</v>
      </c>
      <c r="D177" s="5" t="s">
        <v>39</v>
      </c>
      <c r="E177" s="7">
        <v>0.0</v>
      </c>
    </row>
    <row r="178">
      <c r="A178" s="5">
        <v>177.0</v>
      </c>
      <c r="B178" s="8" t="s">
        <v>219</v>
      </c>
      <c r="C178" s="5" t="s">
        <v>59</v>
      </c>
      <c r="D178" s="5" t="s">
        <v>12</v>
      </c>
      <c r="E178" s="7">
        <v>0.0</v>
      </c>
    </row>
    <row r="179">
      <c r="A179" s="5">
        <v>178.0</v>
      </c>
      <c r="B179" s="6" t="s">
        <v>220</v>
      </c>
      <c r="C179" s="5" t="s">
        <v>20</v>
      </c>
      <c r="D179" s="5" t="s">
        <v>14</v>
      </c>
      <c r="E179" s="7">
        <v>0.0</v>
      </c>
    </row>
    <row r="180">
      <c r="A180" s="5">
        <v>179.0</v>
      </c>
      <c r="B180" s="6" t="s">
        <v>221</v>
      </c>
      <c r="C180" s="5" t="s">
        <v>18</v>
      </c>
      <c r="D180" s="5" t="s">
        <v>14</v>
      </c>
      <c r="E180" s="7">
        <v>0.0</v>
      </c>
    </row>
    <row r="181">
      <c r="A181" s="5">
        <v>180.0</v>
      </c>
      <c r="B181" s="6" t="s">
        <v>222</v>
      </c>
      <c r="C181" s="5" t="s">
        <v>139</v>
      </c>
      <c r="D181" s="5" t="s">
        <v>14</v>
      </c>
      <c r="E181" s="7">
        <v>0.0</v>
      </c>
    </row>
    <row r="182">
      <c r="A182" s="5">
        <v>181.0</v>
      </c>
      <c r="B182" s="6" t="s">
        <v>223</v>
      </c>
      <c r="C182" s="5" t="s">
        <v>96</v>
      </c>
      <c r="D182" s="5" t="s">
        <v>14</v>
      </c>
      <c r="E182" s="7">
        <v>0.0</v>
      </c>
    </row>
    <row r="183">
      <c r="A183" s="5">
        <v>182.0</v>
      </c>
      <c r="B183" s="6" t="s">
        <v>224</v>
      </c>
      <c r="C183" s="5" t="s">
        <v>71</v>
      </c>
      <c r="D183" s="5" t="s">
        <v>12</v>
      </c>
      <c r="E183" s="7">
        <v>0.0</v>
      </c>
    </row>
    <row r="184">
      <c r="A184" s="5">
        <v>183.0</v>
      </c>
      <c r="B184" s="6" t="s">
        <v>225</v>
      </c>
      <c r="C184" s="5" t="s">
        <v>69</v>
      </c>
      <c r="D184" s="5" t="s">
        <v>14</v>
      </c>
      <c r="E184" s="7">
        <v>0.0</v>
      </c>
    </row>
    <row r="185">
      <c r="A185" s="5">
        <v>184.0</v>
      </c>
      <c r="B185" s="6" t="s">
        <v>226</v>
      </c>
      <c r="C185" s="5" t="s">
        <v>9</v>
      </c>
      <c r="D185" s="5" t="s">
        <v>12</v>
      </c>
      <c r="E185" s="7">
        <v>0.0</v>
      </c>
    </row>
    <row r="186">
      <c r="A186" s="5">
        <v>185.0</v>
      </c>
      <c r="B186" s="6" t="s">
        <v>227</v>
      </c>
      <c r="C186" s="5" t="s">
        <v>69</v>
      </c>
      <c r="D186" s="5" t="s">
        <v>12</v>
      </c>
      <c r="E186" s="7">
        <v>0.0</v>
      </c>
    </row>
    <row r="187">
      <c r="A187" s="5">
        <v>186.0</v>
      </c>
      <c r="B187" s="6" t="s">
        <v>228</v>
      </c>
      <c r="C187" s="5" t="s">
        <v>165</v>
      </c>
      <c r="D187" s="5" t="s">
        <v>7</v>
      </c>
      <c r="E187" s="7">
        <v>0.0</v>
      </c>
    </row>
    <row r="188">
      <c r="A188" s="5">
        <v>187.0</v>
      </c>
      <c r="B188" s="8" t="s">
        <v>229</v>
      </c>
      <c r="C188" s="5" t="s">
        <v>18</v>
      </c>
      <c r="D188" s="5" t="s">
        <v>7</v>
      </c>
      <c r="E188" s="7">
        <v>0.0</v>
      </c>
    </row>
    <row r="189">
      <c r="A189" s="5">
        <v>188.0</v>
      </c>
      <c r="B189" s="6" t="s">
        <v>230</v>
      </c>
      <c r="C189" s="5" t="s">
        <v>62</v>
      </c>
      <c r="D189" s="5" t="s">
        <v>39</v>
      </c>
      <c r="E189" s="7">
        <v>0.0</v>
      </c>
    </row>
    <row r="190">
      <c r="A190" s="5">
        <v>189.0</v>
      </c>
      <c r="B190" s="6" t="s">
        <v>231</v>
      </c>
      <c r="C190" s="5" t="s">
        <v>163</v>
      </c>
      <c r="D190" s="5" t="s">
        <v>7</v>
      </c>
      <c r="E190" s="7">
        <v>0.0</v>
      </c>
    </row>
    <row r="191">
      <c r="A191" s="5">
        <v>190.0</v>
      </c>
      <c r="B191" s="6" t="s">
        <v>232</v>
      </c>
      <c r="C191" s="5" t="s">
        <v>28</v>
      </c>
      <c r="D191" s="5" t="s">
        <v>14</v>
      </c>
      <c r="E191" s="7">
        <v>0.0</v>
      </c>
    </row>
    <row r="192">
      <c r="A192" s="5">
        <v>191.0</v>
      </c>
      <c r="B192" s="6" t="s">
        <v>233</v>
      </c>
      <c r="C192" s="5" t="s">
        <v>52</v>
      </c>
      <c r="D192" s="5" t="s">
        <v>12</v>
      </c>
      <c r="E192" s="7">
        <v>0.0</v>
      </c>
    </row>
    <row r="193">
      <c r="A193" s="5">
        <v>192.0</v>
      </c>
      <c r="B193" s="6" t="s">
        <v>234</v>
      </c>
      <c r="C193" s="5" t="s">
        <v>16</v>
      </c>
      <c r="D193" s="5" t="s">
        <v>14</v>
      </c>
      <c r="E193" s="7">
        <v>0.0</v>
      </c>
    </row>
    <row r="194">
      <c r="A194" s="5">
        <v>193.0</v>
      </c>
      <c r="B194" s="6" t="s">
        <v>235</v>
      </c>
      <c r="C194" s="5" t="s">
        <v>122</v>
      </c>
      <c r="D194" s="5" t="s">
        <v>12</v>
      </c>
      <c r="E194" s="7">
        <v>0.0</v>
      </c>
    </row>
    <row r="195">
      <c r="A195" s="5">
        <v>194.0</v>
      </c>
      <c r="B195" s="6" t="s">
        <v>236</v>
      </c>
      <c r="C195" s="5" t="s">
        <v>165</v>
      </c>
      <c r="D195" s="5" t="s">
        <v>14</v>
      </c>
      <c r="E195" s="7">
        <v>0.0</v>
      </c>
    </row>
    <row r="196">
      <c r="A196" s="5">
        <v>195.0</v>
      </c>
      <c r="B196" s="6" t="s">
        <v>237</v>
      </c>
      <c r="C196" s="5" t="s">
        <v>28</v>
      </c>
      <c r="D196" s="5" t="s">
        <v>14</v>
      </c>
      <c r="E196" s="7">
        <v>0.0</v>
      </c>
    </row>
    <row r="197">
      <c r="A197" s="5">
        <v>196.0</v>
      </c>
      <c r="B197" s="6" t="s">
        <v>238</v>
      </c>
      <c r="C197" s="5" t="s">
        <v>139</v>
      </c>
      <c r="D197" s="5" t="s">
        <v>39</v>
      </c>
      <c r="E197" s="7">
        <v>0.0</v>
      </c>
    </row>
    <row r="198">
      <c r="A198" s="5">
        <v>197.0</v>
      </c>
      <c r="B198" s="6" t="s">
        <v>239</v>
      </c>
      <c r="C198" s="5" t="s">
        <v>35</v>
      </c>
      <c r="D198" s="5" t="s">
        <v>14</v>
      </c>
      <c r="E198" s="7">
        <v>0.0</v>
      </c>
    </row>
    <row r="199">
      <c r="A199" s="5">
        <v>198.0</v>
      </c>
      <c r="B199" s="6" t="s">
        <v>240</v>
      </c>
      <c r="C199" s="5" t="s">
        <v>163</v>
      </c>
      <c r="D199" s="5" t="s">
        <v>12</v>
      </c>
      <c r="E199" s="7">
        <v>0.0</v>
      </c>
    </row>
    <row r="200">
      <c r="A200" s="5">
        <v>199.0</v>
      </c>
      <c r="B200" s="6" t="s">
        <v>241</v>
      </c>
      <c r="C200" s="5" t="s">
        <v>139</v>
      </c>
      <c r="D200" s="5" t="s">
        <v>14</v>
      </c>
      <c r="E200" s="7">
        <v>0.0</v>
      </c>
    </row>
    <row r="201">
      <c r="A201" s="5">
        <v>200.0</v>
      </c>
      <c r="B201" s="6" t="s">
        <v>242</v>
      </c>
      <c r="C201" s="5" t="s">
        <v>50</v>
      </c>
      <c r="D201" s="5" t="s">
        <v>14</v>
      </c>
      <c r="E201" s="7">
        <v>0.0</v>
      </c>
    </row>
    <row r="202">
      <c r="A202" s="5">
        <v>201.0</v>
      </c>
      <c r="B202" s="6" t="s">
        <v>243</v>
      </c>
      <c r="C202" s="5" t="s">
        <v>122</v>
      </c>
      <c r="D202" s="5" t="s">
        <v>14</v>
      </c>
      <c r="E202" s="7">
        <v>0.0</v>
      </c>
    </row>
    <row r="203">
      <c r="A203" s="5">
        <v>202.0</v>
      </c>
      <c r="B203" s="6" t="s">
        <v>244</v>
      </c>
      <c r="C203" s="5" t="s">
        <v>163</v>
      </c>
      <c r="D203" s="5" t="s">
        <v>14</v>
      </c>
      <c r="E203" s="7">
        <v>0.0</v>
      </c>
    </row>
    <row r="204">
      <c r="A204" s="5">
        <v>203.0</v>
      </c>
      <c r="B204" s="6" t="s">
        <v>245</v>
      </c>
      <c r="C204" s="5" t="s">
        <v>122</v>
      </c>
      <c r="D204" s="5" t="s">
        <v>7</v>
      </c>
      <c r="E204" s="7">
        <v>0.0</v>
      </c>
    </row>
    <row r="205">
      <c r="A205" s="5">
        <v>204.0</v>
      </c>
      <c r="B205" s="6" t="s">
        <v>246</v>
      </c>
      <c r="C205" s="5" t="s">
        <v>91</v>
      </c>
      <c r="D205" s="5" t="s">
        <v>14</v>
      </c>
      <c r="E205" s="7">
        <v>0.0</v>
      </c>
    </row>
    <row r="206">
      <c r="A206" s="5">
        <v>205.0</v>
      </c>
      <c r="B206" s="6" t="s">
        <v>247</v>
      </c>
      <c r="C206" s="5" t="s">
        <v>104</v>
      </c>
      <c r="D206" s="5" t="s">
        <v>14</v>
      </c>
      <c r="E206" s="7">
        <v>0.0</v>
      </c>
    </row>
    <row r="207">
      <c r="A207" s="5">
        <v>206.0</v>
      </c>
      <c r="B207" s="6" t="s">
        <v>248</v>
      </c>
      <c r="C207" s="5" t="s">
        <v>91</v>
      </c>
      <c r="D207" s="5" t="s">
        <v>14</v>
      </c>
      <c r="E207" s="7">
        <v>0.0</v>
      </c>
    </row>
    <row r="208">
      <c r="A208" s="5">
        <v>207.0</v>
      </c>
      <c r="B208" s="6" t="s">
        <v>249</v>
      </c>
      <c r="C208" s="5" t="s">
        <v>46</v>
      </c>
      <c r="D208" s="5" t="s">
        <v>7</v>
      </c>
      <c r="E208" s="7">
        <v>0.0</v>
      </c>
    </row>
    <row r="209">
      <c r="A209" s="5">
        <v>208.0</v>
      </c>
      <c r="B209" s="6" t="s">
        <v>250</v>
      </c>
      <c r="C209" s="5" t="s">
        <v>6</v>
      </c>
      <c r="D209" s="5" t="s">
        <v>14</v>
      </c>
      <c r="E209" s="7">
        <v>0.0</v>
      </c>
    </row>
    <row r="210">
      <c r="A210" s="5">
        <v>209.0</v>
      </c>
      <c r="B210" s="6" t="s">
        <v>251</v>
      </c>
      <c r="C210" s="5" t="s">
        <v>163</v>
      </c>
      <c r="D210" s="5" t="s">
        <v>14</v>
      </c>
      <c r="E210" s="7">
        <v>0.0</v>
      </c>
    </row>
    <row r="211">
      <c r="A211" s="5">
        <v>210.0</v>
      </c>
      <c r="B211" s="6" t="s">
        <v>252</v>
      </c>
      <c r="C211" s="5" t="s">
        <v>24</v>
      </c>
      <c r="D211" s="5" t="s">
        <v>12</v>
      </c>
      <c r="E211" s="7">
        <v>0.0</v>
      </c>
    </row>
    <row r="212">
      <c r="A212" s="5">
        <v>211.0</v>
      </c>
      <c r="B212" s="6" t="s">
        <v>253</v>
      </c>
      <c r="C212" s="5" t="s">
        <v>59</v>
      </c>
      <c r="D212" s="5" t="s">
        <v>7</v>
      </c>
      <c r="E212" s="7">
        <v>0.0</v>
      </c>
    </row>
    <row r="213">
      <c r="A213" s="5">
        <v>212.0</v>
      </c>
      <c r="B213" s="6" t="s">
        <v>254</v>
      </c>
      <c r="C213" s="5" t="s">
        <v>30</v>
      </c>
      <c r="D213" s="5" t="s">
        <v>120</v>
      </c>
      <c r="E213" s="7">
        <v>0.0</v>
      </c>
    </row>
    <row r="214">
      <c r="A214" s="5">
        <v>219.0</v>
      </c>
      <c r="B214" s="6" t="s">
        <v>255</v>
      </c>
      <c r="C214" s="5" t="s">
        <v>28</v>
      </c>
      <c r="D214" s="5" t="s">
        <v>120</v>
      </c>
      <c r="E214" s="7">
        <v>0.0</v>
      </c>
    </row>
    <row r="215">
      <c r="A215" s="5">
        <v>223.0</v>
      </c>
      <c r="B215" s="6" t="s">
        <v>256</v>
      </c>
      <c r="C215" s="5" t="s">
        <v>37</v>
      </c>
      <c r="D215" s="5" t="s">
        <v>120</v>
      </c>
      <c r="E215" s="7">
        <v>0.0</v>
      </c>
    </row>
    <row r="216">
      <c r="A216" s="5">
        <v>233.0</v>
      </c>
      <c r="B216" s="8" t="s">
        <v>257</v>
      </c>
      <c r="C216" s="5" t="s">
        <v>20</v>
      </c>
      <c r="D216" s="5" t="s">
        <v>120</v>
      </c>
      <c r="E216" s="7">
        <v>0.0</v>
      </c>
    </row>
    <row r="217">
      <c r="A217" s="5">
        <v>235.0</v>
      </c>
      <c r="B217" s="6" t="s">
        <v>258</v>
      </c>
      <c r="C217" s="5" t="s">
        <v>62</v>
      </c>
      <c r="D217" s="5" t="s">
        <v>120</v>
      </c>
      <c r="E217" s="7">
        <v>0.0</v>
      </c>
    </row>
    <row r="218">
      <c r="A218" s="5">
        <v>236.0</v>
      </c>
      <c r="B218" s="6" t="s">
        <v>259</v>
      </c>
      <c r="C218" s="5" t="s">
        <v>33</v>
      </c>
      <c r="D218" s="5" t="s">
        <v>7</v>
      </c>
      <c r="E218" s="7">
        <v>0.0</v>
      </c>
    </row>
    <row r="219">
      <c r="A219" s="5">
        <v>237.0</v>
      </c>
      <c r="B219" s="6" t="s">
        <v>260</v>
      </c>
      <c r="C219" s="5" t="s">
        <v>165</v>
      </c>
      <c r="D219" s="5" t="s">
        <v>14</v>
      </c>
      <c r="E219" s="7">
        <v>0.0</v>
      </c>
    </row>
    <row r="220">
      <c r="A220" s="5">
        <v>238.0</v>
      </c>
      <c r="B220" s="6" t="s">
        <v>261</v>
      </c>
      <c r="C220" s="5" t="s">
        <v>96</v>
      </c>
      <c r="D220" s="5" t="s">
        <v>14</v>
      </c>
      <c r="E220" s="7">
        <v>0.0</v>
      </c>
    </row>
    <row r="221">
      <c r="A221" s="5">
        <v>239.0</v>
      </c>
      <c r="B221" s="6" t="s">
        <v>262</v>
      </c>
      <c r="C221" s="5" t="s">
        <v>41</v>
      </c>
      <c r="D221" s="5" t="s">
        <v>39</v>
      </c>
      <c r="E221" s="7">
        <v>0.0</v>
      </c>
    </row>
    <row r="222">
      <c r="A222" s="5">
        <v>240.0</v>
      </c>
      <c r="B222" s="6" t="s">
        <v>263</v>
      </c>
      <c r="C222" s="5" t="s">
        <v>33</v>
      </c>
      <c r="D222" s="5" t="s">
        <v>39</v>
      </c>
      <c r="E222" s="7">
        <v>0.0</v>
      </c>
    </row>
    <row r="223">
      <c r="A223" s="5">
        <v>241.0</v>
      </c>
      <c r="B223" s="6" t="s">
        <v>264</v>
      </c>
      <c r="C223" s="5" t="s">
        <v>52</v>
      </c>
      <c r="D223" s="5" t="s">
        <v>14</v>
      </c>
      <c r="E223" s="7">
        <v>0.0</v>
      </c>
    </row>
    <row r="224">
      <c r="A224" s="5">
        <v>242.0</v>
      </c>
      <c r="B224" s="6" t="s">
        <v>265</v>
      </c>
      <c r="C224" s="5" t="s">
        <v>50</v>
      </c>
      <c r="D224" s="5" t="s">
        <v>14</v>
      </c>
      <c r="E224" s="7">
        <v>0.0</v>
      </c>
    </row>
    <row r="225">
      <c r="A225" s="5">
        <v>243.0</v>
      </c>
      <c r="B225" s="6" t="s">
        <v>266</v>
      </c>
      <c r="C225" s="5" t="s">
        <v>71</v>
      </c>
      <c r="D225" s="5" t="s">
        <v>39</v>
      </c>
      <c r="E225" s="7">
        <v>0.0</v>
      </c>
    </row>
    <row r="226">
      <c r="A226" s="5">
        <v>244.0</v>
      </c>
      <c r="B226" s="6" t="s">
        <v>267</v>
      </c>
      <c r="C226" s="5" t="s">
        <v>11</v>
      </c>
      <c r="D226" s="5" t="s">
        <v>14</v>
      </c>
      <c r="E226" s="7">
        <v>0.0</v>
      </c>
    </row>
    <row r="227">
      <c r="A227" s="5">
        <v>245.0</v>
      </c>
      <c r="B227" s="6" t="s">
        <v>268</v>
      </c>
      <c r="C227" s="5" t="s">
        <v>33</v>
      </c>
      <c r="D227" s="5" t="s">
        <v>14</v>
      </c>
      <c r="E227" s="7">
        <v>0.0</v>
      </c>
    </row>
    <row r="228">
      <c r="A228" s="5">
        <v>246.0</v>
      </c>
      <c r="B228" s="6" t="s">
        <v>269</v>
      </c>
      <c r="C228" s="5" t="s">
        <v>139</v>
      </c>
      <c r="D228" s="5" t="s">
        <v>14</v>
      </c>
      <c r="E228" s="7">
        <v>0.0</v>
      </c>
    </row>
    <row r="229">
      <c r="A229" s="5">
        <v>247.0</v>
      </c>
      <c r="B229" s="6" t="s">
        <v>270</v>
      </c>
      <c r="C229" s="5" t="s">
        <v>165</v>
      </c>
      <c r="D229" s="5" t="s">
        <v>12</v>
      </c>
      <c r="E229" s="7">
        <v>0.0</v>
      </c>
    </row>
    <row r="230">
      <c r="A230" s="5">
        <v>248.0</v>
      </c>
      <c r="B230" s="8" t="s">
        <v>271</v>
      </c>
      <c r="C230" s="5" t="s">
        <v>26</v>
      </c>
      <c r="D230" s="5" t="s">
        <v>14</v>
      </c>
      <c r="E230" s="7">
        <v>0.0</v>
      </c>
    </row>
    <row r="231">
      <c r="A231" s="5">
        <v>249.0</v>
      </c>
      <c r="B231" s="6" t="s">
        <v>272</v>
      </c>
      <c r="C231" s="5" t="s">
        <v>18</v>
      </c>
      <c r="D231" s="5" t="s">
        <v>12</v>
      </c>
      <c r="E231" s="7">
        <v>0.0</v>
      </c>
    </row>
    <row r="232">
      <c r="A232" s="5">
        <v>250.0</v>
      </c>
      <c r="B232" s="6" t="s">
        <v>273</v>
      </c>
      <c r="C232" s="5" t="s">
        <v>9</v>
      </c>
      <c r="D232" s="5" t="s">
        <v>14</v>
      </c>
      <c r="E232" s="7">
        <v>0.0</v>
      </c>
    </row>
    <row r="233">
      <c r="A233" s="5">
        <v>251.0</v>
      </c>
      <c r="B233" s="6" t="s">
        <v>274</v>
      </c>
      <c r="C233" s="5" t="s">
        <v>104</v>
      </c>
      <c r="D233" s="5" t="s">
        <v>14</v>
      </c>
      <c r="E233" s="7">
        <v>0.0</v>
      </c>
    </row>
    <row r="234">
      <c r="A234" s="5">
        <v>252.0</v>
      </c>
      <c r="B234" s="6" t="s">
        <v>275</v>
      </c>
      <c r="C234" s="5" t="s">
        <v>59</v>
      </c>
      <c r="D234" s="5" t="s">
        <v>14</v>
      </c>
      <c r="E234" s="7">
        <v>0.0</v>
      </c>
    </row>
    <row r="235">
      <c r="A235" s="5">
        <v>253.0</v>
      </c>
      <c r="B235" s="6" t="s">
        <v>276</v>
      </c>
      <c r="C235" s="5" t="s">
        <v>52</v>
      </c>
      <c r="D235" s="5" t="s">
        <v>39</v>
      </c>
      <c r="E235" s="7">
        <v>0.0</v>
      </c>
    </row>
    <row r="236">
      <c r="A236" s="5">
        <v>254.0</v>
      </c>
      <c r="B236" s="6" t="s">
        <v>277</v>
      </c>
      <c r="C236" s="5" t="s">
        <v>46</v>
      </c>
      <c r="D236" s="5" t="s">
        <v>12</v>
      </c>
      <c r="E236" s="7">
        <v>0.0</v>
      </c>
    </row>
    <row r="237">
      <c r="A237" s="5">
        <v>255.0</v>
      </c>
      <c r="B237" s="8" t="s">
        <v>278</v>
      </c>
      <c r="C237" s="5" t="s">
        <v>71</v>
      </c>
      <c r="D237" s="5" t="s">
        <v>14</v>
      </c>
      <c r="E237" s="7">
        <v>0.0</v>
      </c>
    </row>
    <row r="238">
      <c r="A238" s="5">
        <v>256.0</v>
      </c>
      <c r="B238" s="6" t="s">
        <v>279</v>
      </c>
      <c r="C238" s="5" t="s">
        <v>69</v>
      </c>
      <c r="D238" s="5" t="s">
        <v>14</v>
      </c>
      <c r="E238" s="7">
        <v>0.0</v>
      </c>
    </row>
    <row r="239">
      <c r="A239" s="5">
        <v>257.0</v>
      </c>
      <c r="B239" s="6" t="s">
        <v>280</v>
      </c>
      <c r="C239" s="5" t="s">
        <v>104</v>
      </c>
      <c r="D239" s="5" t="s">
        <v>12</v>
      </c>
      <c r="E239" s="7">
        <v>0.0</v>
      </c>
    </row>
    <row r="240">
      <c r="A240" s="5">
        <v>258.0</v>
      </c>
      <c r="B240" s="6" t="s">
        <v>281</v>
      </c>
      <c r="C240" s="5" t="s">
        <v>165</v>
      </c>
      <c r="D240" s="5" t="s">
        <v>14</v>
      </c>
      <c r="E240" s="7">
        <v>0.0</v>
      </c>
    </row>
    <row r="241">
      <c r="A241" s="5">
        <v>259.0</v>
      </c>
      <c r="B241" s="6" t="s">
        <v>282</v>
      </c>
      <c r="C241" s="5" t="s">
        <v>91</v>
      </c>
      <c r="D241" s="5" t="s">
        <v>12</v>
      </c>
      <c r="E241" s="7">
        <v>0.0</v>
      </c>
    </row>
    <row r="242">
      <c r="A242" s="5">
        <v>260.0</v>
      </c>
      <c r="B242" s="6" t="s">
        <v>283</v>
      </c>
      <c r="C242" s="5" t="s">
        <v>37</v>
      </c>
      <c r="D242" s="5" t="s">
        <v>12</v>
      </c>
      <c r="E242" s="7">
        <v>0.0</v>
      </c>
    </row>
    <row r="243">
      <c r="A243" s="5">
        <v>261.0</v>
      </c>
      <c r="B243" s="6" t="s">
        <v>284</v>
      </c>
      <c r="C243" s="5" t="s">
        <v>16</v>
      </c>
      <c r="D243" s="5" t="s">
        <v>14</v>
      </c>
      <c r="E243" s="7">
        <v>0.0</v>
      </c>
    </row>
    <row r="244">
      <c r="A244" s="5">
        <v>262.0</v>
      </c>
      <c r="B244" s="6" t="s">
        <v>285</v>
      </c>
      <c r="C244" s="5" t="s">
        <v>54</v>
      </c>
      <c r="D244" s="5" t="s">
        <v>39</v>
      </c>
      <c r="E244" s="7">
        <v>0.0</v>
      </c>
    </row>
    <row r="245">
      <c r="A245" s="5">
        <v>263.0</v>
      </c>
      <c r="B245" s="6" t="s">
        <v>286</v>
      </c>
      <c r="C245" s="5" t="s">
        <v>62</v>
      </c>
      <c r="D245" s="5" t="s">
        <v>12</v>
      </c>
      <c r="E245" s="7">
        <v>0.0</v>
      </c>
    </row>
    <row r="246">
      <c r="A246" s="5">
        <v>264.0</v>
      </c>
      <c r="B246" s="6" t="s">
        <v>287</v>
      </c>
      <c r="C246" s="5" t="s">
        <v>48</v>
      </c>
      <c r="D246" s="5" t="s">
        <v>14</v>
      </c>
      <c r="E246" s="7">
        <v>0.0</v>
      </c>
    </row>
    <row r="247">
      <c r="A247" s="5">
        <v>265.0</v>
      </c>
      <c r="B247" s="6" t="s">
        <v>288</v>
      </c>
      <c r="C247" s="5" t="s">
        <v>33</v>
      </c>
      <c r="D247" s="5" t="s">
        <v>7</v>
      </c>
      <c r="E247" s="7">
        <v>0.0</v>
      </c>
    </row>
    <row r="248">
      <c r="A248" s="5">
        <v>266.0</v>
      </c>
      <c r="B248" s="6" t="s">
        <v>289</v>
      </c>
      <c r="C248" s="5" t="s">
        <v>54</v>
      </c>
      <c r="D248" s="5" t="s">
        <v>14</v>
      </c>
      <c r="E248" s="7">
        <v>0.0</v>
      </c>
    </row>
    <row r="249">
      <c r="A249" s="5">
        <v>267.0</v>
      </c>
      <c r="B249" s="6" t="s">
        <v>290</v>
      </c>
      <c r="C249" s="5" t="s">
        <v>91</v>
      </c>
      <c r="D249" s="5" t="s">
        <v>12</v>
      </c>
      <c r="E249" s="7">
        <v>0.0</v>
      </c>
    </row>
    <row r="250">
      <c r="A250" s="5">
        <v>268.0</v>
      </c>
      <c r="B250" s="8" t="s">
        <v>291</v>
      </c>
      <c r="C250" s="5" t="s">
        <v>165</v>
      </c>
      <c r="D250" s="5" t="s">
        <v>14</v>
      </c>
      <c r="E250" s="7">
        <v>0.0</v>
      </c>
    </row>
    <row r="251">
      <c r="A251" s="5">
        <v>269.0</v>
      </c>
      <c r="B251" s="6" t="s">
        <v>292</v>
      </c>
      <c r="C251" s="5" t="s">
        <v>30</v>
      </c>
      <c r="D251" s="5" t="s">
        <v>14</v>
      </c>
      <c r="E251" s="7">
        <v>0.0</v>
      </c>
    </row>
    <row r="252">
      <c r="A252" s="5">
        <v>270.0</v>
      </c>
      <c r="B252" s="6" t="s">
        <v>293</v>
      </c>
      <c r="C252" s="5" t="s">
        <v>139</v>
      </c>
      <c r="D252" s="5" t="s">
        <v>12</v>
      </c>
      <c r="E252" s="7">
        <v>0.0</v>
      </c>
    </row>
    <row r="253">
      <c r="A253" s="5">
        <v>271.0</v>
      </c>
      <c r="B253" s="6" t="s">
        <v>294</v>
      </c>
      <c r="C253" s="5" t="s">
        <v>43</v>
      </c>
      <c r="D253" s="5" t="s">
        <v>14</v>
      </c>
      <c r="E253" s="7">
        <v>0.0</v>
      </c>
    </row>
    <row r="254">
      <c r="A254" s="5">
        <v>272.0</v>
      </c>
      <c r="B254" s="6" t="s">
        <v>295</v>
      </c>
      <c r="C254" s="5" t="s">
        <v>33</v>
      </c>
      <c r="D254" s="5" t="s">
        <v>14</v>
      </c>
      <c r="E254" s="7">
        <v>0.0</v>
      </c>
    </row>
    <row r="255">
      <c r="A255" s="5">
        <v>273.0</v>
      </c>
      <c r="B255" s="6" t="s">
        <v>296</v>
      </c>
      <c r="C255" s="5" t="s">
        <v>139</v>
      </c>
      <c r="D255" s="5" t="s">
        <v>12</v>
      </c>
      <c r="E255" s="7">
        <v>0.0</v>
      </c>
    </row>
    <row r="256">
      <c r="A256" s="5">
        <v>274.0</v>
      </c>
      <c r="B256" s="6" t="s">
        <v>297</v>
      </c>
      <c r="C256" s="5" t="s">
        <v>35</v>
      </c>
      <c r="D256" s="5" t="s">
        <v>12</v>
      </c>
      <c r="E256" s="7">
        <v>0.0</v>
      </c>
    </row>
    <row r="257">
      <c r="A257" s="5">
        <v>275.0</v>
      </c>
      <c r="B257" s="6" t="s">
        <v>298</v>
      </c>
      <c r="C257" s="5" t="s">
        <v>18</v>
      </c>
      <c r="D257" s="5" t="s">
        <v>12</v>
      </c>
      <c r="E257" s="7">
        <v>0.0</v>
      </c>
    </row>
    <row r="258">
      <c r="A258" s="5">
        <v>276.0</v>
      </c>
      <c r="B258" s="6" t="s">
        <v>299</v>
      </c>
      <c r="C258" s="5" t="s">
        <v>71</v>
      </c>
      <c r="D258" s="5" t="s">
        <v>12</v>
      </c>
      <c r="E258" s="7">
        <v>0.0</v>
      </c>
    </row>
    <row r="259">
      <c r="A259" s="5">
        <v>277.0</v>
      </c>
      <c r="B259" s="6" t="s">
        <v>300</v>
      </c>
      <c r="C259" s="5" t="s">
        <v>22</v>
      </c>
      <c r="D259" s="5" t="s">
        <v>12</v>
      </c>
      <c r="E259" s="7">
        <v>0.0</v>
      </c>
    </row>
    <row r="260">
      <c r="A260" s="5">
        <v>278.0</v>
      </c>
      <c r="B260" s="6" t="s">
        <v>301</v>
      </c>
      <c r="C260" s="5" t="s">
        <v>22</v>
      </c>
      <c r="D260" s="5" t="s">
        <v>14</v>
      </c>
      <c r="E260" s="7">
        <v>0.0</v>
      </c>
    </row>
    <row r="261">
      <c r="A261" s="5">
        <v>279.0</v>
      </c>
      <c r="B261" s="6" t="s">
        <v>302</v>
      </c>
      <c r="C261" s="5" t="s">
        <v>37</v>
      </c>
      <c r="D261" s="5" t="s">
        <v>7</v>
      </c>
      <c r="E261" s="7">
        <v>0.0</v>
      </c>
    </row>
    <row r="262">
      <c r="A262" s="5">
        <v>280.0</v>
      </c>
      <c r="B262" s="8" t="s">
        <v>303</v>
      </c>
      <c r="C262" s="5" t="s">
        <v>46</v>
      </c>
      <c r="D262" s="5" t="s">
        <v>12</v>
      </c>
      <c r="E262" s="7">
        <v>0.0</v>
      </c>
    </row>
    <row r="263">
      <c r="A263" s="5">
        <v>281.0</v>
      </c>
      <c r="B263" s="6" t="s">
        <v>304</v>
      </c>
      <c r="C263" s="5" t="s">
        <v>96</v>
      </c>
      <c r="D263" s="5" t="s">
        <v>7</v>
      </c>
      <c r="E263" s="7">
        <v>0.0</v>
      </c>
    </row>
    <row r="264">
      <c r="A264" s="5">
        <v>282.0</v>
      </c>
      <c r="B264" s="6" t="s">
        <v>305</v>
      </c>
      <c r="C264" s="5" t="s">
        <v>69</v>
      </c>
      <c r="D264" s="5" t="s">
        <v>12</v>
      </c>
      <c r="E264" s="7">
        <v>0.0</v>
      </c>
    </row>
    <row r="265">
      <c r="A265" s="5">
        <v>283.0</v>
      </c>
      <c r="B265" s="6" t="s">
        <v>306</v>
      </c>
      <c r="C265" s="5" t="s">
        <v>50</v>
      </c>
      <c r="D265" s="5" t="s">
        <v>39</v>
      </c>
      <c r="E265" s="7">
        <v>0.0</v>
      </c>
    </row>
    <row r="266">
      <c r="A266" s="5">
        <v>284.0</v>
      </c>
      <c r="B266" s="6" t="s">
        <v>307</v>
      </c>
      <c r="C266" s="5" t="s">
        <v>28</v>
      </c>
      <c r="D266" s="5" t="s">
        <v>12</v>
      </c>
      <c r="E266" s="7">
        <v>0.0</v>
      </c>
    </row>
    <row r="267">
      <c r="A267" s="5">
        <v>285.0</v>
      </c>
      <c r="B267" s="6" t="s">
        <v>308</v>
      </c>
      <c r="C267" s="5" t="s">
        <v>69</v>
      </c>
      <c r="D267" s="5" t="s">
        <v>7</v>
      </c>
      <c r="E267" s="7">
        <v>0.0</v>
      </c>
    </row>
    <row r="268">
      <c r="A268" s="5">
        <v>286.0</v>
      </c>
      <c r="B268" s="6" t="s">
        <v>309</v>
      </c>
      <c r="C268" s="5" t="s">
        <v>24</v>
      </c>
      <c r="D268" s="5" t="s">
        <v>12</v>
      </c>
      <c r="E268" s="7">
        <v>0.0</v>
      </c>
    </row>
    <row r="269">
      <c r="A269" s="5">
        <v>287.0</v>
      </c>
      <c r="B269" s="8" t="s">
        <v>310</v>
      </c>
      <c r="C269" s="5" t="s">
        <v>26</v>
      </c>
      <c r="D269" s="5" t="s">
        <v>12</v>
      </c>
      <c r="E269" s="7">
        <v>0.0</v>
      </c>
    </row>
    <row r="270">
      <c r="A270" s="5">
        <v>288.0</v>
      </c>
      <c r="B270" s="6" t="s">
        <v>311</v>
      </c>
      <c r="C270" s="5" t="s">
        <v>163</v>
      </c>
      <c r="D270" s="5" t="s">
        <v>12</v>
      </c>
      <c r="E270" s="7">
        <v>0.0</v>
      </c>
    </row>
    <row r="271">
      <c r="A271" s="5">
        <v>289.0</v>
      </c>
      <c r="B271" s="6" t="s">
        <v>312</v>
      </c>
      <c r="C271" s="5" t="s">
        <v>41</v>
      </c>
      <c r="D271" s="5" t="s">
        <v>14</v>
      </c>
      <c r="E271" s="7">
        <v>0.0</v>
      </c>
    </row>
    <row r="272">
      <c r="A272" s="5">
        <v>290.0</v>
      </c>
      <c r="B272" s="6" t="s">
        <v>313</v>
      </c>
      <c r="C272" s="5" t="s">
        <v>37</v>
      </c>
      <c r="D272" s="5" t="s">
        <v>14</v>
      </c>
      <c r="E272" s="7">
        <v>0.0</v>
      </c>
    </row>
    <row r="273">
      <c r="A273" s="5">
        <v>291.0</v>
      </c>
      <c r="B273" s="6" t="s">
        <v>314</v>
      </c>
      <c r="C273" s="5" t="s">
        <v>20</v>
      </c>
      <c r="D273" s="5" t="s">
        <v>12</v>
      </c>
      <c r="E273" s="7">
        <v>0.0</v>
      </c>
    </row>
    <row r="274">
      <c r="A274" s="5">
        <v>292.0</v>
      </c>
      <c r="B274" s="6" t="s">
        <v>315</v>
      </c>
      <c r="C274" s="5" t="s">
        <v>163</v>
      </c>
      <c r="D274" s="5" t="s">
        <v>14</v>
      </c>
      <c r="E274" s="7">
        <v>0.0</v>
      </c>
    </row>
    <row r="275">
      <c r="A275" s="5">
        <v>293.0</v>
      </c>
      <c r="B275" s="6" t="s">
        <v>316</v>
      </c>
      <c r="C275" s="5" t="s">
        <v>30</v>
      </c>
      <c r="D275" s="5" t="s">
        <v>12</v>
      </c>
      <c r="E275" s="7">
        <v>0.0</v>
      </c>
    </row>
    <row r="276">
      <c r="A276" s="5">
        <v>294.0</v>
      </c>
      <c r="B276" s="8" t="s">
        <v>317</v>
      </c>
      <c r="C276" s="5" t="s">
        <v>16</v>
      </c>
      <c r="D276" s="5" t="s">
        <v>7</v>
      </c>
      <c r="E276" s="7">
        <v>0.0</v>
      </c>
    </row>
    <row r="277">
      <c r="A277" s="5">
        <v>295.0</v>
      </c>
      <c r="B277" s="6" t="s">
        <v>318</v>
      </c>
      <c r="C277" s="5" t="s">
        <v>122</v>
      </c>
      <c r="D277" s="5" t="s">
        <v>12</v>
      </c>
      <c r="E277" s="7">
        <v>0.0</v>
      </c>
    </row>
    <row r="278">
      <c r="A278" s="5">
        <v>296.0</v>
      </c>
      <c r="B278" s="6" t="s">
        <v>319</v>
      </c>
      <c r="C278" s="5" t="s">
        <v>26</v>
      </c>
      <c r="D278" s="5" t="s">
        <v>14</v>
      </c>
      <c r="E278" s="7">
        <v>0.0</v>
      </c>
    </row>
    <row r="279">
      <c r="A279" s="5">
        <v>297.0</v>
      </c>
      <c r="B279" s="6" t="s">
        <v>320</v>
      </c>
      <c r="C279" s="5" t="s">
        <v>96</v>
      </c>
      <c r="D279" s="5" t="s">
        <v>12</v>
      </c>
      <c r="E279" s="7">
        <v>0.0</v>
      </c>
    </row>
    <row r="280">
      <c r="A280" s="5">
        <v>298.0</v>
      </c>
      <c r="B280" s="6" t="s">
        <v>321</v>
      </c>
      <c r="C280" s="5" t="s">
        <v>122</v>
      </c>
      <c r="D280" s="5" t="s">
        <v>7</v>
      </c>
      <c r="E280" s="7">
        <v>0.0</v>
      </c>
    </row>
    <row r="281">
      <c r="A281" s="5">
        <v>299.0</v>
      </c>
      <c r="B281" s="6" t="s">
        <v>322</v>
      </c>
      <c r="C281" s="5" t="s">
        <v>48</v>
      </c>
      <c r="D281" s="5" t="s">
        <v>12</v>
      </c>
      <c r="E281" s="7">
        <v>0.0</v>
      </c>
    </row>
    <row r="282">
      <c r="A282" s="5">
        <v>300.0</v>
      </c>
      <c r="B282" s="6" t="s">
        <v>323</v>
      </c>
      <c r="C282" s="5" t="s">
        <v>139</v>
      </c>
      <c r="D282" s="5" t="s">
        <v>14</v>
      </c>
      <c r="E282" s="7">
        <v>0.0</v>
      </c>
    </row>
    <row r="283">
      <c r="A283" s="5">
        <v>301.0</v>
      </c>
      <c r="B283" s="6" t="s">
        <v>324</v>
      </c>
      <c r="C283" s="5" t="s">
        <v>54</v>
      </c>
      <c r="D283" s="5" t="s">
        <v>12</v>
      </c>
      <c r="E283" s="7">
        <v>0.0</v>
      </c>
    </row>
    <row r="284">
      <c r="A284" s="5">
        <v>302.0</v>
      </c>
      <c r="B284" s="6" t="s">
        <v>325</v>
      </c>
      <c r="C284" s="5" t="s">
        <v>46</v>
      </c>
      <c r="D284" s="5" t="s">
        <v>14</v>
      </c>
      <c r="E284" s="7">
        <v>0.0</v>
      </c>
    </row>
    <row r="285">
      <c r="A285" s="5">
        <v>303.0</v>
      </c>
      <c r="B285" s="6" t="s">
        <v>326</v>
      </c>
      <c r="C285" s="5" t="s">
        <v>33</v>
      </c>
      <c r="D285" s="5" t="s">
        <v>14</v>
      </c>
      <c r="E285" s="7">
        <v>0.0</v>
      </c>
    </row>
    <row r="286">
      <c r="A286" s="5">
        <v>304.0</v>
      </c>
      <c r="B286" s="6" t="s">
        <v>327</v>
      </c>
      <c r="C286" s="5" t="s">
        <v>91</v>
      </c>
      <c r="D286" s="5" t="s">
        <v>14</v>
      </c>
      <c r="E286" s="7">
        <v>0.0</v>
      </c>
    </row>
    <row r="287">
      <c r="A287" s="5">
        <v>305.0</v>
      </c>
      <c r="B287" s="6" t="s">
        <v>328</v>
      </c>
      <c r="C287" s="5" t="s">
        <v>62</v>
      </c>
      <c r="D287" s="5" t="s">
        <v>14</v>
      </c>
      <c r="E287" s="7">
        <v>0.0</v>
      </c>
    </row>
    <row r="288">
      <c r="A288" s="5">
        <v>306.0</v>
      </c>
      <c r="B288" s="6" t="s">
        <v>329</v>
      </c>
      <c r="C288" s="5" t="s">
        <v>91</v>
      </c>
      <c r="D288" s="5" t="s">
        <v>12</v>
      </c>
      <c r="E288" s="7">
        <v>0.0</v>
      </c>
    </row>
    <row r="289">
      <c r="A289" s="5">
        <v>307.0</v>
      </c>
      <c r="B289" s="6" t="s">
        <v>330</v>
      </c>
      <c r="C289" s="5" t="s">
        <v>104</v>
      </c>
      <c r="D289" s="5" t="s">
        <v>14</v>
      </c>
      <c r="E289" s="7">
        <v>0.0</v>
      </c>
    </row>
    <row r="290">
      <c r="A290" s="5">
        <v>308.0</v>
      </c>
      <c r="B290" s="6" t="s">
        <v>331</v>
      </c>
      <c r="C290" s="5" t="s">
        <v>43</v>
      </c>
      <c r="D290" s="5" t="s">
        <v>12</v>
      </c>
      <c r="E290" s="7">
        <v>0.0</v>
      </c>
    </row>
    <row r="291">
      <c r="A291" s="5">
        <v>309.0</v>
      </c>
      <c r="B291" s="6" t="s">
        <v>332</v>
      </c>
      <c r="C291" s="5" t="s">
        <v>104</v>
      </c>
      <c r="D291" s="5" t="s">
        <v>14</v>
      </c>
      <c r="E291" s="7">
        <v>0.0</v>
      </c>
    </row>
    <row r="292">
      <c r="A292" s="5">
        <v>310.0</v>
      </c>
      <c r="B292" s="8" t="s">
        <v>333</v>
      </c>
      <c r="C292" s="5" t="s">
        <v>9</v>
      </c>
      <c r="D292" s="5" t="s">
        <v>12</v>
      </c>
      <c r="E292" s="7">
        <v>0.0</v>
      </c>
    </row>
    <row r="293">
      <c r="A293" s="5">
        <v>311.0</v>
      </c>
      <c r="B293" s="6" t="s">
        <v>334</v>
      </c>
      <c r="C293" s="5" t="s">
        <v>16</v>
      </c>
      <c r="D293" s="5" t="s">
        <v>12</v>
      </c>
      <c r="E293" s="7">
        <v>0.0</v>
      </c>
    </row>
    <row r="294">
      <c r="A294" s="5">
        <v>312.0</v>
      </c>
      <c r="B294" s="6" t="s">
        <v>335</v>
      </c>
      <c r="C294" s="5" t="s">
        <v>52</v>
      </c>
      <c r="D294" s="5" t="s">
        <v>12</v>
      </c>
      <c r="E294" s="7">
        <v>0.0</v>
      </c>
    </row>
    <row r="295">
      <c r="A295" s="5">
        <v>313.0</v>
      </c>
      <c r="B295" s="6" t="s">
        <v>336</v>
      </c>
      <c r="C295" s="5" t="s">
        <v>6</v>
      </c>
      <c r="D295" s="5" t="s">
        <v>12</v>
      </c>
      <c r="E295" s="7">
        <v>0.0</v>
      </c>
    </row>
    <row r="296">
      <c r="A296" s="5">
        <v>314.0</v>
      </c>
      <c r="B296" s="6" t="s">
        <v>337</v>
      </c>
      <c r="C296" s="5" t="s">
        <v>35</v>
      </c>
      <c r="D296" s="5" t="s">
        <v>14</v>
      </c>
      <c r="E296" s="7">
        <v>0.0</v>
      </c>
    </row>
    <row r="297">
      <c r="A297" s="5">
        <v>315.0</v>
      </c>
      <c r="B297" s="6" t="s">
        <v>338</v>
      </c>
      <c r="C297" s="5" t="s">
        <v>139</v>
      </c>
      <c r="D297" s="5" t="s">
        <v>7</v>
      </c>
      <c r="E297" s="7">
        <v>0.0</v>
      </c>
    </row>
    <row r="298">
      <c r="A298" s="5">
        <v>316.0</v>
      </c>
      <c r="B298" s="6" t="s">
        <v>339</v>
      </c>
      <c r="C298" s="5" t="s">
        <v>18</v>
      </c>
      <c r="D298" s="5" t="s">
        <v>12</v>
      </c>
      <c r="E298" s="7">
        <v>0.0</v>
      </c>
    </row>
    <row r="299">
      <c r="A299" s="5">
        <v>317.0</v>
      </c>
      <c r="B299" s="6" t="s">
        <v>340</v>
      </c>
      <c r="C299" s="5" t="s">
        <v>26</v>
      </c>
      <c r="D299" s="5" t="s">
        <v>12</v>
      </c>
      <c r="E299" s="7">
        <v>0.0</v>
      </c>
    </row>
    <row r="300">
      <c r="A300" s="5">
        <v>318.0</v>
      </c>
      <c r="B300" s="6" t="s">
        <v>341</v>
      </c>
      <c r="C300" s="5" t="s">
        <v>104</v>
      </c>
      <c r="D300" s="5" t="s">
        <v>12</v>
      </c>
      <c r="E300" s="7">
        <v>0.0</v>
      </c>
    </row>
    <row r="301">
      <c r="A301" s="5">
        <v>319.0</v>
      </c>
      <c r="B301" s="6" t="s">
        <v>342</v>
      </c>
      <c r="C301" s="5" t="s">
        <v>26</v>
      </c>
      <c r="D301" s="5" t="s">
        <v>12</v>
      </c>
      <c r="E301" s="7">
        <v>0.0</v>
      </c>
    </row>
    <row r="302">
      <c r="A302" s="5">
        <v>320.0</v>
      </c>
      <c r="B302" s="6" t="s">
        <v>343</v>
      </c>
      <c r="C302" s="5" t="s">
        <v>59</v>
      </c>
      <c r="D302" s="5" t="s">
        <v>7</v>
      </c>
      <c r="E302" s="7">
        <v>0.0</v>
      </c>
    </row>
    <row r="303">
      <c r="A303" s="5">
        <v>321.0</v>
      </c>
      <c r="B303" s="6" t="s">
        <v>344</v>
      </c>
      <c r="C303" s="5" t="s">
        <v>50</v>
      </c>
      <c r="D303" s="5" t="s">
        <v>12</v>
      </c>
      <c r="E303" s="7">
        <v>0.0</v>
      </c>
    </row>
    <row r="304">
      <c r="A304" s="5">
        <v>322.0</v>
      </c>
      <c r="B304" s="8" t="s">
        <v>345</v>
      </c>
      <c r="C304" s="5" t="s">
        <v>6</v>
      </c>
      <c r="D304" s="5" t="s">
        <v>14</v>
      </c>
      <c r="E304" s="7">
        <v>0.0</v>
      </c>
    </row>
    <row r="305">
      <c r="A305" s="5">
        <v>323.0</v>
      </c>
      <c r="B305" s="6" t="s">
        <v>346</v>
      </c>
      <c r="C305" s="5" t="s">
        <v>43</v>
      </c>
      <c r="D305" s="5" t="s">
        <v>7</v>
      </c>
      <c r="E305" s="7">
        <v>0.0</v>
      </c>
    </row>
    <row r="306">
      <c r="A306" s="5">
        <v>324.0</v>
      </c>
      <c r="B306" s="8" t="s">
        <v>347</v>
      </c>
      <c r="C306" s="5" t="s">
        <v>11</v>
      </c>
      <c r="D306" s="5" t="s">
        <v>12</v>
      </c>
      <c r="E306" s="7">
        <v>0.0</v>
      </c>
    </row>
    <row r="307">
      <c r="A307" s="5">
        <v>325.0</v>
      </c>
      <c r="B307" s="8" t="s">
        <v>348</v>
      </c>
      <c r="C307" s="5" t="s">
        <v>18</v>
      </c>
      <c r="D307" s="5" t="s">
        <v>7</v>
      </c>
      <c r="E307" s="7">
        <v>0.0</v>
      </c>
    </row>
    <row r="308">
      <c r="A308" s="5">
        <v>326.0</v>
      </c>
      <c r="B308" s="6" t="s">
        <v>349</v>
      </c>
      <c r="C308" s="5" t="s">
        <v>48</v>
      </c>
      <c r="D308" s="5" t="s">
        <v>14</v>
      </c>
      <c r="E308" s="7">
        <v>0.0</v>
      </c>
    </row>
    <row r="309">
      <c r="A309" s="5">
        <v>327.0</v>
      </c>
      <c r="B309" s="6" t="s">
        <v>350</v>
      </c>
      <c r="C309" s="5" t="s">
        <v>52</v>
      </c>
      <c r="D309" s="5" t="s">
        <v>12</v>
      </c>
      <c r="E309" s="7">
        <v>0.0</v>
      </c>
    </row>
    <row r="310">
      <c r="A310" s="5">
        <v>328.0</v>
      </c>
      <c r="B310" s="6" t="s">
        <v>351</v>
      </c>
      <c r="C310" s="5" t="s">
        <v>9</v>
      </c>
      <c r="D310" s="5" t="s">
        <v>12</v>
      </c>
      <c r="E310" s="7">
        <v>0.0</v>
      </c>
    </row>
    <row r="311">
      <c r="A311" s="5">
        <v>329.0</v>
      </c>
      <c r="B311" s="6" t="s">
        <v>352</v>
      </c>
      <c r="C311" s="5" t="s">
        <v>165</v>
      </c>
      <c r="D311" s="5" t="s">
        <v>12</v>
      </c>
      <c r="E311" s="7">
        <v>0.0</v>
      </c>
    </row>
    <row r="312">
      <c r="A312" s="5">
        <v>330.0</v>
      </c>
      <c r="B312" s="6" t="s">
        <v>353</v>
      </c>
      <c r="C312" s="5" t="s">
        <v>122</v>
      </c>
      <c r="D312" s="5" t="s">
        <v>12</v>
      </c>
      <c r="E312" s="7">
        <v>0.0</v>
      </c>
    </row>
    <row r="313">
      <c r="A313" s="5">
        <v>331.0</v>
      </c>
      <c r="B313" s="6" t="s">
        <v>354</v>
      </c>
      <c r="C313" s="5" t="s">
        <v>163</v>
      </c>
      <c r="D313" s="5" t="s">
        <v>12</v>
      </c>
      <c r="E313" s="7">
        <v>0.0</v>
      </c>
    </row>
    <row r="314">
      <c r="A314" s="5">
        <v>332.0</v>
      </c>
      <c r="B314" s="6" t="s">
        <v>355</v>
      </c>
      <c r="C314" s="5" t="s">
        <v>41</v>
      </c>
      <c r="D314" s="5" t="s">
        <v>12</v>
      </c>
      <c r="E314" s="7">
        <v>0.0</v>
      </c>
    </row>
    <row r="315">
      <c r="A315" s="5">
        <v>333.0</v>
      </c>
      <c r="B315" s="6" t="s">
        <v>356</v>
      </c>
      <c r="C315" s="5" t="s">
        <v>69</v>
      </c>
      <c r="D315" s="5" t="s">
        <v>12</v>
      </c>
      <c r="E315" s="7">
        <v>0.0</v>
      </c>
    </row>
    <row r="316">
      <c r="A316" s="5">
        <v>334.0</v>
      </c>
      <c r="B316" s="6" t="s">
        <v>357</v>
      </c>
      <c r="C316" s="5" t="s">
        <v>122</v>
      </c>
      <c r="D316" s="5" t="s">
        <v>14</v>
      </c>
      <c r="E316" s="7">
        <v>0.0</v>
      </c>
    </row>
    <row r="317">
      <c r="A317" s="5">
        <v>335.0</v>
      </c>
      <c r="B317" s="6" t="s">
        <v>358</v>
      </c>
      <c r="C317" s="5" t="s">
        <v>41</v>
      </c>
      <c r="D317" s="5" t="s">
        <v>12</v>
      </c>
      <c r="E317" s="7">
        <v>0.0</v>
      </c>
    </row>
    <row r="318">
      <c r="A318" s="5">
        <v>336.0</v>
      </c>
      <c r="B318" s="8" t="s">
        <v>359</v>
      </c>
      <c r="C318" s="5" t="s">
        <v>30</v>
      </c>
      <c r="D318" s="5" t="s">
        <v>14</v>
      </c>
      <c r="E318" s="7">
        <v>0.0</v>
      </c>
    </row>
    <row r="319">
      <c r="A319" s="5">
        <v>337.0</v>
      </c>
      <c r="B319" s="6" t="s">
        <v>360</v>
      </c>
      <c r="C319" s="5" t="s">
        <v>54</v>
      </c>
      <c r="D319" s="5" t="s">
        <v>12</v>
      </c>
      <c r="E319" s="7">
        <v>0.0</v>
      </c>
    </row>
    <row r="320">
      <c r="A320" s="5">
        <v>338.0</v>
      </c>
      <c r="B320" s="6" t="s">
        <v>361</v>
      </c>
      <c r="C320" s="5" t="s">
        <v>33</v>
      </c>
      <c r="D320" s="5" t="s">
        <v>14</v>
      </c>
      <c r="E320" s="7">
        <v>0.0</v>
      </c>
    </row>
    <row r="321">
      <c r="A321" s="5">
        <v>339.0</v>
      </c>
      <c r="B321" s="6" t="s">
        <v>362</v>
      </c>
      <c r="C321" s="5" t="s">
        <v>26</v>
      </c>
      <c r="D321" s="5" t="s">
        <v>14</v>
      </c>
      <c r="E321" s="7">
        <v>0.0</v>
      </c>
    </row>
    <row r="322">
      <c r="A322" s="5">
        <v>340.0</v>
      </c>
      <c r="B322" s="6" t="s">
        <v>363</v>
      </c>
      <c r="C322" s="5" t="s">
        <v>62</v>
      </c>
      <c r="D322" s="5" t="s">
        <v>14</v>
      </c>
      <c r="E322" s="7">
        <v>0.0</v>
      </c>
    </row>
    <row r="323">
      <c r="A323" s="5">
        <v>341.0</v>
      </c>
      <c r="B323" s="6" t="s">
        <v>364</v>
      </c>
      <c r="C323" s="5" t="s">
        <v>50</v>
      </c>
      <c r="D323" s="5" t="s">
        <v>12</v>
      </c>
      <c r="E323" s="7">
        <v>0.0</v>
      </c>
    </row>
    <row r="324">
      <c r="A324" s="5">
        <v>342.0</v>
      </c>
      <c r="B324" s="6" t="s">
        <v>365</v>
      </c>
      <c r="C324" s="5" t="s">
        <v>33</v>
      </c>
      <c r="D324" s="5" t="s">
        <v>12</v>
      </c>
      <c r="E324" s="7">
        <v>0.0</v>
      </c>
    </row>
    <row r="325">
      <c r="A325" s="5">
        <v>343.0</v>
      </c>
      <c r="B325" s="6" t="s">
        <v>366</v>
      </c>
      <c r="C325" s="5" t="s">
        <v>52</v>
      </c>
      <c r="D325" s="5" t="s">
        <v>12</v>
      </c>
      <c r="E325" s="7">
        <v>0.0</v>
      </c>
    </row>
    <row r="326">
      <c r="A326" s="5">
        <v>344.0</v>
      </c>
      <c r="B326" s="6" t="s">
        <v>367</v>
      </c>
      <c r="C326" s="5" t="s">
        <v>71</v>
      </c>
      <c r="D326" s="5" t="s">
        <v>7</v>
      </c>
      <c r="E326" s="7">
        <v>0.0</v>
      </c>
    </row>
    <row r="327">
      <c r="A327" s="5">
        <v>345.0</v>
      </c>
      <c r="B327" s="8" t="s">
        <v>368</v>
      </c>
      <c r="C327" s="5" t="s">
        <v>46</v>
      </c>
      <c r="D327" s="5" t="s">
        <v>12</v>
      </c>
      <c r="E327" s="7">
        <v>0.0</v>
      </c>
    </row>
    <row r="328">
      <c r="A328" s="5">
        <v>346.0</v>
      </c>
      <c r="B328" s="6" t="s">
        <v>369</v>
      </c>
      <c r="C328" s="5" t="s">
        <v>59</v>
      </c>
      <c r="D328" s="5" t="s">
        <v>14</v>
      </c>
      <c r="E328" s="7">
        <v>0.0</v>
      </c>
    </row>
    <row r="329">
      <c r="A329" s="5">
        <v>347.0</v>
      </c>
      <c r="B329" s="6" t="s">
        <v>370</v>
      </c>
      <c r="C329" s="5" t="s">
        <v>69</v>
      </c>
      <c r="D329" s="5" t="s">
        <v>14</v>
      </c>
      <c r="E329" s="7">
        <v>0.0</v>
      </c>
    </row>
    <row r="330">
      <c r="A330" s="5">
        <v>348.0</v>
      </c>
      <c r="B330" s="8" t="s">
        <v>371</v>
      </c>
      <c r="C330" s="5" t="s">
        <v>163</v>
      </c>
      <c r="D330" s="5" t="s">
        <v>7</v>
      </c>
      <c r="E330" s="7">
        <v>0.0</v>
      </c>
    </row>
    <row r="331">
      <c r="A331" s="5">
        <v>349.0</v>
      </c>
      <c r="B331" s="6" t="s">
        <v>372</v>
      </c>
      <c r="C331" s="5" t="s">
        <v>37</v>
      </c>
      <c r="D331" s="5" t="s">
        <v>14</v>
      </c>
      <c r="E331" s="7">
        <v>0.0</v>
      </c>
    </row>
    <row r="332">
      <c r="A332" s="5">
        <v>350.0</v>
      </c>
      <c r="B332" s="6" t="s">
        <v>373</v>
      </c>
      <c r="C332" s="5" t="s">
        <v>16</v>
      </c>
      <c r="D332" s="5" t="s">
        <v>12</v>
      </c>
      <c r="E332" s="7">
        <v>0.0</v>
      </c>
    </row>
    <row r="333">
      <c r="A333" s="5">
        <v>351.0</v>
      </c>
      <c r="B333" s="6" t="s">
        <v>374</v>
      </c>
      <c r="C333" s="5" t="s">
        <v>35</v>
      </c>
      <c r="D333" s="5" t="s">
        <v>12</v>
      </c>
      <c r="E333" s="7">
        <v>0.0</v>
      </c>
    </row>
    <row r="334">
      <c r="A334" s="5">
        <v>352.0</v>
      </c>
      <c r="B334" s="6" t="s">
        <v>375</v>
      </c>
      <c r="C334" s="5" t="s">
        <v>22</v>
      </c>
      <c r="D334" s="5" t="s">
        <v>14</v>
      </c>
      <c r="E334" s="7">
        <v>0.0</v>
      </c>
    </row>
    <row r="335">
      <c r="A335" s="5">
        <v>353.0</v>
      </c>
      <c r="B335" s="6" t="s">
        <v>376</v>
      </c>
      <c r="C335" s="5" t="s">
        <v>43</v>
      </c>
      <c r="D335" s="5" t="s">
        <v>12</v>
      </c>
      <c r="E335" s="7">
        <v>0.0</v>
      </c>
    </row>
    <row r="336">
      <c r="A336" s="5">
        <v>354.0</v>
      </c>
      <c r="B336" s="6" t="s">
        <v>377</v>
      </c>
      <c r="C336" s="5" t="s">
        <v>28</v>
      </c>
      <c r="D336" s="5" t="s">
        <v>12</v>
      </c>
      <c r="E336" s="7">
        <v>0.0</v>
      </c>
    </row>
    <row r="337">
      <c r="A337" s="5">
        <v>355.0</v>
      </c>
      <c r="B337" s="6" t="s">
        <v>378</v>
      </c>
      <c r="C337" s="5" t="s">
        <v>20</v>
      </c>
      <c r="D337" s="5" t="s">
        <v>12</v>
      </c>
      <c r="E337" s="7">
        <v>0.0</v>
      </c>
    </row>
    <row r="338">
      <c r="A338" s="5">
        <v>356.0</v>
      </c>
      <c r="B338" s="6" t="s">
        <v>379</v>
      </c>
      <c r="C338" s="5" t="s">
        <v>59</v>
      </c>
      <c r="D338" s="5" t="s">
        <v>12</v>
      </c>
      <c r="E338" s="7">
        <v>0.0</v>
      </c>
    </row>
    <row r="339">
      <c r="A339" s="5">
        <v>357.0</v>
      </c>
      <c r="B339" s="6" t="s">
        <v>380</v>
      </c>
      <c r="C339" s="5" t="s">
        <v>33</v>
      </c>
      <c r="D339" s="5" t="s">
        <v>12</v>
      </c>
      <c r="E339" s="7">
        <v>0.0</v>
      </c>
    </row>
    <row r="340">
      <c r="A340" s="5">
        <v>358.0</v>
      </c>
      <c r="B340" s="6" t="s">
        <v>381</v>
      </c>
      <c r="C340" s="5" t="s">
        <v>22</v>
      </c>
      <c r="D340" s="5" t="s">
        <v>12</v>
      </c>
      <c r="E340" s="7">
        <v>0.0</v>
      </c>
    </row>
    <row r="341">
      <c r="A341" s="5">
        <v>359.0</v>
      </c>
      <c r="B341" s="6" t="s">
        <v>382</v>
      </c>
      <c r="C341" s="5" t="s">
        <v>11</v>
      </c>
      <c r="D341" s="5" t="s">
        <v>12</v>
      </c>
      <c r="E341" s="7">
        <v>0.0</v>
      </c>
    </row>
    <row r="342">
      <c r="A342" s="5">
        <v>360.0</v>
      </c>
      <c r="B342" s="6" t="s">
        <v>383</v>
      </c>
      <c r="C342" s="5" t="s">
        <v>28</v>
      </c>
      <c r="D342" s="5" t="s">
        <v>12</v>
      </c>
      <c r="E342" s="7">
        <v>0.0</v>
      </c>
    </row>
    <row r="343">
      <c r="A343" s="5">
        <v>361.0</v>
      </c>
      <c r="B343" s="6" t="s">
        <v>384</v>
      </c>
      <c r="C343" s="5" t="s">
        <v>96</v>
      </c>
      <c r="D343" s="5" t="s">
        <v>14</v>
      </c>
      <c r="E343" s="7">
        <v>0.0</v>
      </c>
    </row>
    <row r="344">
      <c r="A344" s="5">
        <v>362.0</v>
      </c>
      <c r="B344" s="6" t="s">
        <v>385</v>
      </c>
      <c r="C344" s="5" t="s">
        <v>35</v>
      </c>
      <c r="D344" s="5" t="s">
        <v>14</v>
      </c>
      <c r="E344" s="7">
        <v>0.0</v>
      </c>
    </row>
    <row r="345">
      <c r="A345" s="5">
        <v>363.0</v>
      </c>
      <c r="B345" s="6" t="s">
        <v>386</v>
      </c>
      <c r="C345" s="5" t="s">
        <v>26</v>
      </c>
      <c r="D345" s="5" t="s">
        <v>12</v>
      </c>
      <c r="E345" s="7">
        <v>0.0</v>
      </c>
    </row>
    <row r="346">
      <c r="A346" s="5">
        <v>364.0</v>
      </c>
      <c r="B346" s="6" t="s">
        <v>387</v>
      </c>
      <c r="C346" s="5" t="s">
        <v>163</v>
      </c>
      <c r="D346" s="5" t="s">
        <v>12</v>
      </c>
      <c r="E346" s="7">
        <v>0.0</v>
      </c>
    </row>
    <row r="347">
      <c r="A347" s="5">
        <v>365.0</v>
      </c>
      <c r="B347" s="6" t="s">
        <v>388</v>
      </c>
      <c r="C347" s="5" t="s">
        <v>48</v>
      </c>
      <c r="D347" s="5" t="s">
        <v>7</v>
      </c>
      <c r="E347" s="7">
        <v>0.0</v>
      </c>
    </row>
    <row r="348">
      <c r="A348" s="5">
        <v>366.0</v>
      </c>
      <c r="B348" s="6" t="s">
        <v>389</v>
      </c>
      <c r="C348" s="5" t="s">
        <v>139</v>
      </c>
      <c r="D348" s="5" t="s">
        <v>12</v>
      </c>
      <c r="E348" s="7">
        <v>0.0</v>
      </c>
    </row>
    <row r="349">
      <c r="A349" s="5">
        <v>367.0</v>
      </c>
      <c r="B349" s="6" t="s">
        <v>390</v>
      </c>
      <c r="C349" s="5" t="s">
        <v>139</v>
      </c>
      <c r="D349" s="5" t="s">
        <v>12</v>
      </c>
      <c r="E349" s="7">
        <v>0.0</v>
      </c>
    </row>
    <row r="350">
      <c r="A350" s="5">
        <v>368.0</v>
      </c>
      <c r="B350" s="6" t="s">
        <v>391</v>
      </c>
      <c r="C350" s="5" t="s">
        <v>30</v>
      </c>
      <c r="D350" s="5" t="s">
        <v>12</v>
      </c>
      <c r="E350" s="7">
        <v>0.0</v>
      </c>
    </row>
    <row r="351">
      <c r="A351" s="5">
        <v>369.0</v>
      </c>
      <c r="B351" s="6" t="s">
        <v>392</v>
      </c>
      <c r="C351" s="5" t="s">
        <v>46</v>
      </c>
      <c r="D351" s="5" t="s">
        <v>12</v>
      </c>
      <c r="E351" s="7">
        <v>0.0</v>
      </c>
    </row>
    <row r="352">
      <c r="A352" s="5">
        <v>370.0</v>
      </c>
      <c r="B352" s="6" t="s">
        <v>393</v>
      </c>
      <c r="C352" s="5" t="s">
        <v>6</v>
      </c>
      <c r="D352" s="5" t="s">
        <v>12</v>
      </c>
      <c r="E352" s="7">
        <v>0.0</v>
      </c>
    </row>
    <row r="353">
      <c r="A353" s="5">
        <v>371.0</v>
      </c>
      <c r="B353" s="8" t="s">
        <v>394</v>
      </c>
      <c r="C353" s="5" t="s">
        <v>37</v>
      </c>
      <c r="D353" s="5" t="s">
        <v>12</v>
      </c>
      <c r="E353" s="7">
        <v>0.0</v>
      </c>
    </row>
    <row r="354">
      <c r="A354" s="5">
        <v>372.0</v>
      </c>
      <c r="B354" s="8" t="s">
        <v>395</v>
      </c>
      <c r="C354" s="5" t="s">
        <v>91</v>
      </c>
      <c r="D354" s="5" t="s">
        <v>14</v>
      </c>
      <c r="E354" s="7">
        <v>0.0</v>
      </c>
    </row>
    <row r="355">
      <c r="A355" s="5">
        <v>373.0</v>
      </c>
      <c r="B355" s="6" t="s">
        <v>396</v>
      </c>
      <c r="C355" s="5" t="s">
        <v>96</v>
      </c>
      <c r="D355" s="5" t="s">
        <v>12</v>
      </c>
      <c r="E355" s="7">
        <v>0.0</v>
      </c>
    </row>
    <row r="356">
      <c r="A356" s="5">
        <v>374.0</v>
      </c>
      <c r="B356" s="6" t="s">
        <v>397</v>
      </c>
      <c r="C356" s="5" t="s">
        <v>62</v>
      </c>
      <c r="D356" s="5" t="s">
        <v>12</v>
      </c>
      <c r="E356" s="7">
        <v>0.0</v>
      </c>
    </row>
    <row r="357">
      <c r="A357" s="5">
        <v>375.0</v>
      </c>
      <c r="B357" s="6" t="s">
        <v>398</v>
      </c>
      <c r="C357" s="5" t="s">
        <v>62</v>
      </c>
      <c r="D357" s="5" t="s">
        <v>12</v>
      </c>
      <c r="E357" s="7">
        <v>0.0</v>
      </c>
    </row>
    <row r="358">
      <c r="A358" s="5">
        <v>376.0</v>
      </c>
      <c r="B358" s="6" t="s">
        <v>399</v>
      </c>
      <c r="C358" s="5" t="s">
        <v>16</v>
      </c>
      <c r="D358" s="5" t="s">
        <v>12</v>
      </c>
      <c r="E358" s="7">
        <v>0.0</v>
      </c>
    </row>
    <row r="359">
      <c r="A359" s="5">
        <v>377.0</v>
      </c>
      <c r="B359" s="6" t="s">
        <v>400</v>
      </c>
      <c r="C359" s="5" t="s">
        <v>33</v>
      </c>
      <c r="D359" s="5" t="s">
        <v>12</v>
      </c>
      <c r="E359" s="7">
        <v>0.0</v>
      </c>
    </row>
    <row r="360">
      <c r="A360" s="5">
        <v>378.0</v>
      </c>
      <c r="B360" s="6" t="s">
        <v>401</v>
      </c>
      <c r="C360" s="5" t="s">
        <v>24</v>
      </c>
      <c r="D360" s="5" t="s">
        <v>14</v>
      </c>
      <c r="E360" s="7">
        <v>0.0</v>
      </c>
    </row>
    <row r="361">
      <c r="A361" s="5">
        <v>379.0</v>
      </c>
      <c r="B361" s="6" t="s">
        <v>402</v>
      </c>
      <c r="C361" s="5" t="s">
        <v>54</v>
      </c>
      <c r="D361" s="5" t="s">
        <v>12</v>
      </c>
      <c r="E361" s="7">
        <v>0.0</v>
      </c>
    </row>
    <row r="362">
      <c r="A362" s="5">
        <v>380.0</v>
      </c>
      <c r="B362" s="6" t="s">
        <v>403</v>
      </c>
      <c r="C362" s="5" t="s">
        <v>122</v>
      </c>
      <c r="D362" s="5" t="s">
        <v>12</v>
      </c>
      <c r="E362" s="7">
        <v>0.0</v>
      </c>
    </row>
    <row r="363">
      <c r="A363" s="5">
        <v>381.0</v>
      </c>
      <c r="B363" s="6" t="s">
        <v>404</v>
      </c>
      <c r="C363" s="5" t="s">
        <v>71</v>
      </c>
      <c r="D363" s="5" t="s">
        <v>12</v>
      </c>
      <c r="E363" s="7">
        <v>0.0</v>
      </c>
    </row>
    <row r="364">
      <c r="A364" s="5">
        <v>382.0</v>
      </c>
      <c r="B364" s="6" t="s">
        <v>405</v>
      </c>
      <c r="C364" s="5" t="s">
        <v>50</v>
      </c>
      <c r="D364" s="5" t="s">
        <v>12</v>
      </c>
      <c r="E364" s="7">
        <v>0.0</v>
      </c>
    </row>
    <row r="365">
      <c r="A365" s="5">
        <v>383.0</v>
      </c>
      <c r="B365" s="6" t="s">
        <v>406</v>
      </c>
      <c r="C365" s="5" t="s">
        <v>11</v>
      </c>
      <c r="D365" s="5" t="s">
        <v>14</v>
      </c>
      <c r="E365" s="7">
        <v>0.0</v>
      </c>
    </row>
    <row r="366">
      <c r="A366" s="5">
        <v>384.0</v>
      </c>
      <c r="B366" s="6" t="s">
        <v>407</v>
      </c>
      <c r="C366" s="5" t="s">
        <v>37</v>
      </c>
      <c r="D366" s="5" t="s">
        <v>7</v>
      </c>
      <c r="E366" s="7">
        <v>0.0</v>
      </c>
    </row>
    <row r="367">
      <c r="A367" s="5">
        <v>385.0</v>
      </c>
      <c r="B367" s="6" t="s">
        <v>408</v>
      </c>
      <c r="C367" s="5" t="s">
        <v>20</v>
      </c>
      <c r="D367" s="5" t="s">
        <v>14</v>
      </c>
      <c r="E367" s="7">
        <v>0.0</v>
      </c>
    </row>
    <row r="368">
      <c r="A368" s="5">
        <v>386.0</v>
      </c>
      <c r="B368" s="6" t="s">
        <v>409</v>
      </c>
      <c r="C368" s="5" t="s">
        <v>16</v>
      </c>
      <c r="D368" s="5" t="s">
        <v>14</v>
      </c>
      <c r="E368" s="7">
        <v>0.0</v>
      </c>
    </row>
    <row r="369">
      <c r="A369" s="5">
        <v>387.0</v>
      </c>
      <c r="B369" s="8" t="s">
        <v>410</v>
      </c>
      <c r="C369" s="5" t="s">
        <v>6</v>
      </c>
      <c r="D369" s="5" t="s">
        <v>14</v>
      </c>
      <c r="E369" s="7">
        <v>0.0</v>
      </c>
    </row>
    <row r="370">
      <c r="A370" s="5">
        <v>388.0</v>
      </c>
      <c r="B370" s="6" t="s">
        <v>411</v>
      </c>
      <c r="C370" s="5" t="s">
        <v>28</v>
      </c>
      <c r="D370" s="5" t="s">
        <v>7</v>
      </c>
      <c r="E370" s="7">
        <v>0.0</v>
      </c>
    </row>
    <row r="371">
      <c r="A371" s="5">
        <v>389.0</v>
      </c>
      <c r="B371" s="6" t="s">
        <v>412</v>
      </c>
      <c r="C371" s="5" t="s">
        <v>16</v>
      </c>
      <c r="D371" s="5" t="s">
        <v>12</v>
      </c>
      <c r="E371" s="7">
        <v>0.0</v>
      </c>
    </row>
    <row r="372">
      <c r="A372" s="5">
        <v>390.0</v>
      </c>
      <c r="B372" s="6" t="s">
        <v>413</v>
      </c>
      <c r="C372" s="5" t="s">
        <v>30</v>
      </c>
      <c r="D372" s="5" t="s">
        <v>12</v>
      </c>
      <c r="E372" s="7">
        <v>0.0</v>
      </c>
    </row>
    <row r="373">
      <c r="A373" s="5">
        <v>393.0</v>
      </c>
      <c r="B373" s="6" t="s">
        <v>414</v>
      </c>
      <c r="C373" s="5" t="s">
        <v>54</v>
      </c>
      <c r="D373" s="5" t="s">
        <v>12</v>
      </c>
      <c r="E373" s="7">
        <v>0.0</v>
      </c>
    </row>
    <row r="374">
      <c r="A374" s="5">
        <v>394.0</v>
      </c>
      <c r="B374" s="6" t="s">
        <v>415</v>
      </c>
      <c r="C374" s="5" t="s">
        <v>37</v>
      </c>
      <c r="D374" s="5" t="s">
        <v>12</v>
      </c>
      <c r="E374" s="7">
        <v>0.0</v>
      </c>
    </row>
    <row r="375">
      <c r="A375" s="5">
        <v>395.0</v>
      </c>
      <c r="B375" s="6" t="s">
        <v>416</v>
      </c>
      <c r="C375" s="5" t="s">
        <v>139</v>
      </c>
      <c r="D375" s="5" t="s">
        <v>12</v>
      </c>
      <c r="E375" s="7">
        <v>0.0</v>
      </c>
    </row>
    <row r="376">
      <c r="A376" s="5">
        <v>397.0</v>
      </c>
      <c r="B376" s="6" t="s">
        <v>417</v>
      </c>
      <c r="C376" s="5" t="s">
        <v>50</v>
      </c>
      <c r="D376" s="5" t="s">
        <v>12</v>
      </c>
      <c r="E376" s="7">
        <v>0.0</v>
      </c>
    </row>
    <row r="377">
      <c r="A377" s="5">
        <v>398.0</v>
      </c>
      <c r="B377" s="6" t="s">
        <v>418</v>
      </c>
      <c r="C377" s="5" t="s">
        <v>18</v>
      </c>
      <c r="D377" s="5" t="s">
        <v>12</v>
      </c>
      <c r="E377" s="7">
        <v>0.0</v>
      </c>
    </row>
    <row r="378">
      <c r="A378" s="5">
        <v>399.0</v>
      </c>
      <c r="B378" s="6" t="s">
        <v>419</v>
      </c>
      <c r="C378" s="5" t="s">
        <v>16</v>
      </c>
      <c r="D378" s="5" t="s">
        <v>12</v>
      </c>
      <c r="E378" s="7">
        <v>0.0</v>
      </c>
    </row>
    <row r="379">
      <c r="A379" s="5">
        <v>400.0</v>
      </c>
      <c r="B379" s="6" t="s">
        <v>420</v>
      </c>
      <c r="C379" s="5" t="s">
        <v>52</v>
      </c>
      <c r="D379" s="5" t="s">
        <v>12</v>
      </c>
      <c r="E379" s="7">
        <v>0.0</v>
      </c>
    </row>
    <row r="380">
      <c r="A380" s="5">
        <v>403.0</v>
      </c>
      <c r="B380" s="8" t="s">
        <v>421</v>
      </c>
      <c r="C380" s="5" t="s">
        <v>165</v>
      </c>
      <c r="D380" s="5" t="s">
        <v>12</v>
      </c>
      <c r="E380" s="7">
        <v>0.0</v>
      </c>
    </row>
    <row r="381">
      <c r="A381" s="5">
        <v>404.0</v>
      </c>
      <c r="B381" s="6" t="s">
        <v>422</v>
      </c>
      <c r="C381" s="5" t="s">
        <v>26</v>
      </c>
      <c r="D381" s="5" t="s">
        <v>12</v>
      </c>
      <c r="E381" s="7">
        <v>0.0</v>
      </c>
    </row>
    <row r="382">
      <c r="A382" s="5">
        <v>405.0</v>
      </c>
      <c r="B382" s="6" t="s">
        <v>423</v>
      </c>
      <c r="C382" s="5" t="s">
        <v>43</v>
      </c>
      <c r="D382" s="5" t="s">
        <v>12</v>
      </c>
      <c r="E382" s="7">
        <v>0.0</v>
      </c>
    </row>
    <row r="383">
      <c r="A383" s="5">
        <v>406.0</v>
      </c>
      <c r="B383" s="6" t="s">
        <v>424</v>
      </c>
      <c r="C383" s="5" t="s">
        <v>24</v>
      </c>
      <c r="D383" s="5" t="s">
        <v>12</v>
      </c>
      <c r="E383" s="7">
        <v>0.0</v>
      </c>
    </row>
    <row r="384">
      <c r="A384" s="5">
        <v>408.0</v>
      </c>
      <c r="B384" s="8" t="s">
        <v>425</v>
      </c>
      <c r="C384" s="5" t="s">
        <v>22</v>
      </c>
      <c r="D384" s="5" t="s">
        <v>12</v>
      </c>
      <c r="E384" s="7">
        <v>0.0</v>
      </c>
    </row>
    <row r="385">
      <c r="A385" s="5">
        <v>409.0</v>
      </c>
      <c r="B385" s="6" t="s">
        <v>426</v>
      </c>
      <c r="C385" s="5" t="s">
        <v>6</v>
      </c>
      <c r="D385" s="5" t="s">
        <v>12</v>
      </c>
      <c r="E385" s="7">
        <v>0.0</v>
      </c>
    </row>
    <row r="386">
      <c r="A386" s="5">
        <v>413.0</v>
      </c>
      <c r="B386" s="6" t="s">
        <v>427</v>
      </c>
      <c r="C386" s="5" t="s">
        <v>46</v>
      </c>
      <c r="D386" s="5" t="s">
        <v>12</v>
      </c>
      <c r="E386" s="7">
        <v>0.0</v>
      </c>
    </row>
    <row r="387">
      <c r="A387" s="5">
        <v>414.0</v>
      </c>
      <c r="B387" s="6" t="s">
        <v>428</v>
      </c>
      <c r="C387" s="5" t="s">
        <v>54</v>
      </c>
      <c r="D387" s="5" t="s">
        <v>12</v>
      </c>
      <c r="E387" s="7">
        <v>0.0</v>
      </c>
    </row>
    <row r="388">
      <c r="A388" s="5">
        <v>415.0</v>
      </c>
      <c r="B388" s="6" t="s">
        <v>429</v>
      </c>
      <c r="C388" s="5" t="s">
        <v>91</v>
      </c>
      <c r="D388" s="5" t="s">
        <v>12</v>
      </c>
      <c r="E388" s="7">
        <v>0.0</v>
      </c>
    </row>
    <row r="389">
      <c r="A389" s="5">
        <v>417.0</v>
      </c>
      <c r="B389" s="6" t="s">
        <v>430</v>
      </c>
      <c r="C389" s="5" t="s">
        <v>54</v>
      </c>
      <c r="D389" s="5" t="s">
        <v>12</v>
      </c>
      <c r="E389" s="7">
        <v>0.0</v>
      </c>
    </row>
    <row r="390">
      <c r="A390" s="5">
        <v>418.0</v>
      </c>
      <c r="B390" s="6" t="s">
        <v>431</v>
      </c>
      <c r="C390" s="5" t="s">
        <v>48</v>
      </c>
      <c r="D390" s="5" t="s">
        <v>12</v>
      </c>
      <c r="E390" s="7">
        <v>0.0</v>
      </c>
    </row>
    <row r="391">
      <c r="A391" s="5">
        <v>420.0</v>
      </c>
      <c r="B391" s="6" t="s">
        <v>432</v>
      </c>
      <c r="C391" s="5" t="s">
        <v>46</v>
      </c>
      <c r="D391" s="5" t="s">
        <v>12</v>
      </c>
      <c r="E391" s="7">
        <v>0.0</v>
      </c>
    </row>
    <row r="392">
      <c r="A392" s="5">
        <v>421.0</v>
      </c>
      <c r="B392" s="6" t="s">
        <v>433</v>
      </c>
      <c r="C392" s="5" t="s">
        <v>71</v>
      </c>
      <c r="D392" s="5" t="s">
        <v>12</v>
      </c>
      <c r="E392" s="7">
        <v>0.0</v>
      </c>
    </row>
    <row r="393">
      <c r="A393" s="5">
        <v>422.0</v>
      </c>
      <c r="B393" s="6" t="s">
        <v>434</v>
      </c>
      <c r="C393" s="5" t="s">
        <v>59</v>
      </c>
      <c r="D393" s="5" t="s">
        <v>12</v>
      </c>
      <c r="E393" s="7">
        <v>0.0</v>
      </c>
    </row>
    <row r="394">
      <c r="A394" s="5">
        <v>425.0</v>
      </c>
      <c r="B394" s="6" t="s">
        <v>435</v>
      </c>
      <c r="C394" s="5" t="s">
        <v>28</v>
      </c>
      <c r="D394" s="5" t="s">
        <v>12</v>
      </c>
      <c r="E394" s="7">
        <v>0.0</v>
      </c>
    </row>
    <row r="395">
      <c r="A395" s="5">
        <v>426.0</v>
      </c>
      <c r="B395" s="6" t="s">
        <v>436</v>
      </c>
      <c r="C395" s="5" t="s">
        <v>30</v>
      </c>
      <c r="D395" s="5" t="s">
        <v>12</v>
      </c>
      <c r="E395" s="7">
        <v>0.0</v>
      </c>
    </row>
    <row r="396">
      <c r="A396" s="5">
        <v>428.0</v>
      </c>
      <c r="B396" s="6" t="s">
        <v>437</v>
      </c>
      <c r="C396" s="5" t="s">
        <v>62</v>
      </c>
      <c r="D396" s="5" t="s">
        <v>12</v>
      </c>
      <c r="E396" s="7">
        <v>0.0</v>
      </c>
    </row>
    <row r="397">
      <c r="A397" s="5">
        <v>429.0</v>
      </c>
      <c r="B397" s="6" t="s">
        <v>438</v>
      </c>
      <c r="C397" s="5" t="s">
        <v>91</v>
      </c>
      <c r="D397" s="5" t="s">
        <v>12</v>
      </c>
      <c r="E397" s="7">
        <v>0.0</v>
      </c>
    </row>
    <row r="398">
      <c r="A398" s="5">
        <v>432.0</v>
      </c>
      <c r="B398" s="6" t="s">
        <v>439</v>
      </c>
      <c r="C398" s="5" t="s">
        <v>22</v>
      </c>
      <c r="D398" s="5" t="s">
        <v>12</v>
      </c>
      <c r="E398" s="7">
        <v>0.0</v>
      </c>
    </row>
    <row r="399">
      <c r="A399" s="5">
        <v>435.0</v>
      </c>
      <c r="B399" s="6" t="s">
        <v>440</v>
      </c>
      <c r="C399" s="5" t="s">
        <v>9</v>
      </c>
      <c r="D399" s="5" t="s">
        <v>12</v>
      </c>
      <c r="E399" s="7">
        <v>0.0</v>
      </c>
    </row>
    <row r="400">
      <c r="A400" s="5">
        <v>436.0</v>
      </c>
      <c r="B400" s="6" t="s">
        <v>441</v>
      </c>
      <c r="C400" s="5" t="s">
        <v>11</v>
      </c>
      <c r="D400" s="5" t="s">
        <v>12</v>
      </c>
      <c r="E400" s="7">
        <v>0.0</v>
      </c>
    </row>
    <row r="401">
      <c r="A401" s="5">
        <v>437.0</v>
      </c>
      <c r="B401" s="6" t="s">
        <v>442</v>
      </c>
      <c r="C401" s="5" t="s">
        <v>59</v>
      </c>
      <c r="D401" s="5" t="s">
        <v>12</v>
      </c>
      <c r="E401" s="7">
        <v>0.0</v>
      </c>
    </row>
    <row r="402">
      <c r="A402" s="5">
        <v>438.0</v>
      </c>
      <c r="B402" s="6" t="s">
        <v>443</v>
      </c>
      <c r="C402" s="5" t="s">
        <v>163</v>
      </c>
      <c r="D402" s="5" t="s">
        <v>12</v>
      </c>
      <c r="E402" s="7">
        <v>0.0</v>
      </c>
    </row>
    <row r="403">
      <c r="A403" s="5">
        <v>441.0</v>
      </c>
      <c r="B403" s="6" t="s">
        <v>444</v>
      </c>
      <c r="C403" s="5" t="s">
        <v>71</v>
      </c>
      <c r="D403" s="5" t="s">
        <v>12</v>
      </c>
      <c r="E403" s="7">
        <v>0.0</v>
      </c>
    </row>
    <row r="404">
      <c r="A404" s="5">
        <v>442.0</v>
      </c>
      <c r="B404" s="6" t="s">
        <v>445</v>
      </c>
      <c r="C404" s="5" t="s">
        <v>52</v>
      </c>
      <c r="D404" s="5" t="s">
        <v>12</v>
      </c>
      <c r="E404" s="7">
        <v>0.0</v>
      </c>
    </row>
    <row r="405">
      <c r="A405" s="5">
        <v>443.0</v>
      </c>
      <c r="B405" s="6" t="s">
        <v>446</v>
      </c>
      <c r="C405" s="5" t="s">
        <v>50</v>
      </c>
      <c r="D405" s="5" t="s">
        <v>12</v>
      </c>
      <c r="E405" s="7">
        <v>0.0</v>
      </c>
    </row>
    <row r="406">
      <c r="A406" s="5">
        <v>446.0</v>
      </c>
      <c r="B406" s="6" t="s">
        <v>447</v>
      </c>
      <c r="C406" s="5" t="s">
        <v>48</v>
      </c>
      <c r="D406" s="5" t="s">
        <v>12</v>
      </c>
      <c r="E406" s="7">
        <v>0.0</v>
      </c>
    </row>
    <row r="407">
      <c r="A407" s="5">
        <v>448.0</v>
      </c>
      <c r="B407" s="6" t="s">
        <v>448</v>
      </c>
      <c r="C407" s="5" t="s">
        <v>41</v>
      </c>
      <c r="D407" s="5" t="s">
        <v>12</v>
      </c>
      <c r="E407" s="7">
        <v>0.0</v>
      </c>
    </row>
    <row r="408">
      <c r="A408" s="5">
        <v>454.0</v>
      </c>
      <c r="B408" s="6" t="s">
        <v>449</v>
      </c>
      <c r="C408" s="5" t="s">
        <v>59</v>
      </c>
      <c r="D408" s="5" t="s">
        <v>12</v>
      </c>
      <c r="E408" s="7">
        <v>0.0</v>
      </c>
    </row>
    <row r="409">
      <c r="A409" s="5">
        <v>455.0</v>
      </c>
      <c r="B409" s="6" t="s">
        <v>450</v>
      </c>
      <c r="C409" s="5" t="s">
        <v>71</v>
      </c>
      <c r="D409" s="5" t="s">
        <v>12</v>
      </c>
      <c r="E409" s="7">
        <v>0.0</v>
      </c>
    </row>
    <row r="410">
      <c r="A410" s="5">
        <v>457.0</v>
      </c>
      <c r="B410" s="6" t="s">
        <v>451</v>
      </c>
      <c r="C410" s="5" t="s">
        <v>122</v>
      </c>
      <c r="D410" s="5" t="s">
        <v>12</v>
      </c>
      <c r="E410" s="7">
        <v>0.0</v>
      </c>
    </row>
    <row r="411">
      <c r="A411" s="5">
        <v>464.0</v>
      </c>
      <c r="B411" s="6" t="s">
        <v>452</v>
      </c>
      <c r="C411" s="5" t="s">
        <v>33</v>
      </c>
      <c r="D411" s="5" t="s">
        <v>12</v>
      </c>
      <c r="E411" s="7">
        <v>0.0</v>
      </c>
    </row>
    <row r="412">
      <c r="A412" s="5">
        <v>466.0</v>
      </c>
      <c r="B412" s="6" t="s">
        <v>453</v>
      </c>
      <c r="C412" s="5" t="s">
        <v>18</v>
      </c>
      <c r="D412" s="5" t="s">
        <v>12</v>
      </c>
      <c r="E412" s="7">
        <v>0.0</v>
      </c>
    </row>
    <row r="413">
      <c r="A413" s="5">
        <v>474.0</v>
      </c>
      <c r="B413" s="6" t="s">
        <v>454</v>
      </c>
      <c r="C413" s="5" t="s">
        <v>69</v>
      </c>
      <c r="D413" s="5" t="s">
        <v>12</v>
      </c>
      <c r="E413" s="7">
        <v>0.0</v>
      </c>
    </row>
    <row r="414">
      <c r="A414" s="5">
        <v>479.0</v>
      </c>
      <c r="B414" s="6" t="s">
        <v>455</v>
      </c>
      <c r="C414" s="5" t="s">
        <v>163</v>
      </c>
      <c r="D414" s="5" t="s">
        <v>14</v>
      </c>
      <c r="E414" s="7">
        <v>0.0</v>
      </c>
    </row>
    <row r="415">
      <c r="A415" s="5">
        <v>480.0</v>
      </c>
      <c r="B415" s="6" t="s">
        <v>456</v>
      </c>
      <c r="C415" s="5" t="s">
        <v>28</v>
      </c>
      <c r="D415" s="5" t="s">
        <v>14</v>
      </c>
      <c r="E415" s="7">
        <v>0.0</v>
      </c>
    </row>
    <row r="416">
      <c r="A416" s="5">
        <v>481.0</v>
      </c>
      <c r="B416" s="6" t="s">
        <v>457</v>
      </c>
      <c r="C416" s="5" t="s">
        <v>9</v>
      </c>
      <c r="D416" s="5" t="s">
        <v>14</v>
      </c>
      <c r="E416" s="7">
        <v>0.0</v>
      </c>
    </row>
    <row r="417">
      <c r="A417" s="5">
        <v>482.0</v>
      </c>
      <c r="B417" s="6" t="s">
        <v>458</v>
      </c>
      <c r="C417" s="5" t="s">
        <v>41</v>
      </c>
      <c r="D417" s="5" t="s">
        <v>14</v>
      </c>
      <c r="E417" s="7">
        <v>0.0</v>
      </c>
    </row>
    <row r="418">
      <c r="A418" s="5">
        <v>483.0</v>
      </c>
      <c r="B418" s="6" t="s">
        <v>459</v>
      </c>
      <c r="C418" s="5" t="s">
        <v>139</v>
      </c>
      <c r="D418" s="5" t="s">
        <v>7</v>
      </c>
      <c r="E418" s="7">
        <v>0.0</v>
      </c>
    </row>
    <row r="419">
      <c r="A419" s="5">
        <v>484.0</v>
      </c>
      <c r="B419" s="6" t="s">
        <v>460</v>
      </c>
      <c r="C419" s="5" t="s">
        <v>6</v>
      </c>
      <c r="D419" s="5" t="s">
        <v>14</v>
      </c>
      <c r="E419" s="7">
        <v>0.0</v>
      </c>
    </row>
    <row r="420">
      <c r="A420" s="5">
        <v>485.0</v>
      </c>
      <c r="B420" s="6" t="s">
        <v>461</v>
      </c>
      <c r="C420" s="5" t="s">
        <v>41</v>
      </c>
      <c r="D420" s="5" t="s">
        <v>14</v>
      </c>
      <c r="E420" s="7">
        <v>0.0</v>
      </c>
    </row>
    <row r="421">
      <c r="A421" s="5">
        <v>486.0</v>
      </c>
      <c r="B421" s="6" t="s">
        <v>462</v>
      </c>
      <c r="C421" s="5" t="s">
        <v>91</v>
      </c>
      <c r="D421" s="5" t="s">
        <v>39</v>
      </c>
      <c r="E421" s="7">
        <v>0.0</v>
      </c>
    </row>
    <row r="422">
      <c r="A422" s="5">
        <v>487.0</v>
      </c>
      <c r="B422" s="6" t="s">
        <v>463</v>
      </c>
      <c r="C422" s="5" t="s">
        <v>24</v>
      </c>
      <c r="D422" s="5" t="s">
        <v>7</v>
      </c>
      <c r="E422" s="7">
        <v>0.0</v>
      </c>
    </row>
    <row r="423">
      <c r="A423" s="5">
        <v>488.0</v>
      </c>
      <c r="B423" s="6" t="s">
        <v>464</v>
      </c>
      <c r="C423" s="5" t="s">
        <v>69</v>
      </c>
      <c r="D423" s="5" t="s">
        <v>14</v>
      </c>
      <c r="E423" s="7">
        <v>0.0</v>
      </c>
    </row>
    <row r="424">
      <c r="A424" s="5">
        <v>489.0</v>
      </c>
      <c r="B424" s="6" t="s">
        <v>465</v>
      </c>
      <c r="C424" s="5" t="s">
        <v>54</v>
      </c>
      <c r="D424" s="5" t="s">
        <v>7</v>
      </c>
      <c r="E424" s="7">
        <v>0.0</v>
      </c>
    </row>
    <row r="425">
      <c r="A425" s="5">
        <v>490.0</v>
      </c>
      <c r="B425" s="6" t="s">
        <v>466</v>
      </c>
      <c r="C425" s="5" t="s">
        <v>50</v>
      </c>
      <c r="D425" s="5" t="s">
        <v>7</v>
      </c>
      <c r="E425" s="7">
        <v>0.0</v>
      </c>
    </row>
    <row r="426">
      <c r="A426" s="5">
        <v>491.0</v>
      </c>
      <c r="B426" s="6" t="s">
        <v>467</v>
      </c>
      <c r="C426" s="5" t="s">
        <v>33</v>
      </c>
      <c r="D426" s="5" t="s">
        <v>14</v>
      </c>
      <c r="E426" s="7">
        <v>0.0</v>
      </c>
    </row>
    <row r="427">
      <c r="A427" s="5">
        <v>492.0</v>
      </c>
      <c r="B427" s="6" t="s">
        <v>468</v>
      </c>
      <c r="C427" s="5" t="s">
        <v>54</v>
      </c>
      <c r="D427" s="5" t="s">
        <v>14</v>
      </c>
      <c r="E427" s="7">
        <v>0.0</v>
      </c>
    </row>
    <row r="428">
      <c r="A428" s="5">
        <v>493.0</v>
      </c>
      <c r="B428" s="6" t="s">
        <v>469</v>
      </c>
      <c r="C428" s="5" t="s">
        <v>165</v>
      </c>
      <c r="D428" s="5" t="s">
        <v>14</v>
      </c>
      <c r="E428" s="7">
        <v>0.0</v>
      </c>
    </row>
    <row r="429">
      <c r="A429" s="5">
        <v>494.0</v>
      </c>
      <c r="B429" s="6" t="s">
        <v>470</v>
      </c>
      <c r="C429" s="5" t="s">
        <v>22</v>
      </c>
      <c r="D429" s="5" t="s">
        <v>14</v>
      </c>
      <c r="E429" s="7">
        <v>0.0</v>
      </c>
    </row>
    <row r="430">
      <c r="A430" s="5">
        <v>495.0</v>
      </c>
      <c r="B430" s="8" t="s">
        <v>471</v>
      </c>
      <c r="C430" s="5" t="s">
        <v>71</v>
      </c>
      <c r="D430" s="5" t="s">
        <v>14</v>
      </c>
      <c r="E430" s="7">
        <v>0.0</v>
      </c>
    </row>
    <row r="431">
      <c r="A431" s="5">
        <v>496.0</v>
      </c>
      <c r="B431" s="6" t="s">
        <v>472</v>
      </c>
      <c r="C431" s="5" t="s">
        <v>71</v>
      </c>
      <c r="D431" s="5" t="s">
        <v>14</v>
      </c>
      <c r="E431" s="7">
        <v>0.0</v>
      </c>
    </row>
    <row r="432">
      <c r="A432" s="5">
        <v>497.0</v>
      </c>
      <c r="B432" s="6" t="s">
        <v>473</v>
      </c>
      <c r="C432" s="5" t="s">
        <v>46</v>
      </c>
      <c r="D432" s="5" t="s">
        <v>14</v>
      </c>
      <c r="E432" s="7">
        <v>0.0</v>
      </c>
    </row>
    <row r="433">
      <c r="A433" s="5">
        <v>498.0</v>
      </c>
      <c r="B433" s="6" t="s">
        <v>474</v>
      </c>
      <c r="C433" s="5" t="s">
        <v>20</v>
      </c>
      <c r="D433" s="5" t="s">
        <v>14</v>
      </c>
      <c r="E433" s="7">
        <v>0.0</v>
      </c>
    </row>
    <row r="434">
      <c r="A434" s="5">
        <v>499.0</v>
      </c>
      <c r="B434" s="6" t="s">
        <v>475</v>
      </c>
      <c r="C434" s="5" t="s">
        <v>41</v>
      </c>
      <c r="D434" s="5" t="s">
        <v>7</v>
      </c>
      <c r="E434" s="7">
        <v>0.0</v>
      </c>
    </row>
    <row r="435">
      <c r="A435" s="5">
        <v>500.0</v>
      </c>
      <c r="B435" s="6" t="s">
        <v>476</v>
      </c>
      <c r="C435" s="5" t="s">
        <v>54</v>
      </c>
      <c r="D435" s="5" t="s">
        <v>14</v>
      </c>
      <c r="E435" s="7">
        <v>0.0</v>
      </c>
    </row>
    <row r="436">
      <c r="A436" s="5">
        <v>501.0</v>
      </c>
      <c r="B436" s="6" t="s">
        <v>477</v>
      </c>
      <c r="C436" s="5" t="s">
        <v>35</v>
      </c>
      <c r="D436" s="5" t="s">
        <v>14</v>
      </c>
      <c r="E436" s="7">
        <v>0.0</v>
      </c>
    </row>
    <row r="437">
      <c r="A437" s="5">
        <v>502.0</v>
      </c>
      <c r="B437" s="6" t="s">
        <v>478</v>
      </c>
      <c r="C437" s="5" t="s">
        <v>104</v>
      </c>
      <c r="D437" s="5" t="s">
        <v>14</v>
      </c>
      <c r="E437" s="7">
        <v>0.0</v>
      </c>
    </row>
    <row r="438">
      <c r="A438" s="5">
        <v>503.0</v>
      </c>
      <c r="B438" s="6" t="s">
        <v>479</v>
      </c>
      <c r="C438" s="5" t="s">
        <v>28</v>
      </c>
      <c r="D438" s="5" t="s">
        <v>14</v>
      </c>
      <c r="E438" s="7">
        <v>0.0</v>
      </c>
    </row>
    <row r="439">
      <c r="A439" s="5">
        <v>504.0</v>
      </c>
      <c r="B439" s="6" t="s">
        <v>480</v>
      </c>
      <c r="C439" s="5" t="s">
        <v>163</v>
      </c>
      <c r="D439" s="5" t="s">
        <v>14</v>
      </c>
      <c r="E439" s="7">
        <v>0.0</v>
      </c>
    </row>
    <row r="440">
      <c r="A440" s="5">
        <v>505.0</v>
      </c>
      <c r="B440" s="6" t="s">
        <v>481</v>
      </c>
      <c r="C440" s="5" t="s">
        <v>37</v>
      </c>
      <c r="D440" s="5" t="s">
        <v>14</v>
      </c>
      <c r="E440" s="7">
        <v>0.0</v>
      </c>
    </row>
    <row r="441">
      <c r="A441" s="5">
        <v>506.0</v>
      </c>
      <c r="B441" s="6" t="s">
        <v>482</v>
      </c>
      <c r="C441" s="5" t="s">
        <v>30</v>
      </c>
      <c r="D441" s="5" t="s">
        <v>7</v>
      </c>
      <c r="E441" s="7">
        <v>0.0</v>
      </c>
    </row>
    <row r="442">
      <c r="A442" s="5">
        <v>507.0</v>
      </c>
      <c r="B442" s="6" t="s">
        <v>483</v>
      </c>
      <c r="C442" s="5" t="s">
        <v>96</v>
      </c>
      <c r="D442" s="5" t="s">
        <v>14</v>
      </c>
      <c r="E442" s="7">
        <v>0.0</v>
      </c>
    </row>
    <row r="443">
      <c r="A443" s="5">
        <v>508.0</v>
      </c>
      <c r="B443" s="6" t="s">
        <v>484</v>
      </c>
      <c r="C443" s="5" t="s">
        <v>35</v>
      </c>
      <c r="D443" s="5" t="s">
        <v>7</v>
      </c>
      <c r="E443" s="7">
        <v>0.0</v>
      </c>
    </row>
    <row r="444">
      <c r="A444" s="5">
        <v>510.0</v>
      </c>
      <c r="B444" s="8" t="s">
        <v>485</v>
      </c>
      <c r="C444" s="5" t="s">
        <v>52</v>
      </c>
      <c r="D444" s="5" t="s">
        <v>14</v>
      </c>
      <c r="E444" s="7">
        <v>0.0</v>
      </c>
    </row>
    <row r="445">
      <c r="A445" s="5">
        <v>511.0</v>
      </c>
      <c r="B445" s="6" t="s">
        <v>486</v>
      </c>
      <c r="C445" s="5" t="s">
        <v>50</v>
      </c>
      <c r="D445" s="5" t="s">
        <v>14</v>
      </c>
      <c r="E445" s="7">
        <v>0.0</v>
      </c>
    </row>
    <row r="446">
      <c r="A446" s="5">
        <v>512.0</v>
      </c>
      <c r="B446" s="6" t="s">
        <v>487</v>
      </c>
      <c r="C446" s="5" t="s">
        <v>50</v>
      </c>
      <c r="D446" s="5" t="s">
        <v>14</v>
      </c>
      <c r="E446" s="7">
        <v>0.0</v>
      </c>
    </row>
    <row r="447">
      <c r="A447" s="5">
        <v>513.0</v>
      </c>
      <c r="B447" s="6" t="s">
        <v>488</v>
      </c>
      <c r="C447" s="5" t="s">
        <v>43</v>
      </c>
      <c r="D447" s="5" t="s">
        <v>14</v>
      </c>
      <c r="E447" s="7">
        <v>0.0</v>
      </c>
    </row>
    <row r="448">
      <c r="A448" s="5">
        <v>514.0</v>
      </c>
      <c r="B448" s="6" t="s">
        <v>489</v>
      </c>
      <c r="C448" s="5" t="s">
        <v>6</v>
      </c>
      <c r="D448" s="5" t="s">
        <v>14</v>
      </c>
      <c r="E448" s="7">
        <v>0.0</v>
      </c>
    </row>
    <row r="449">
      <c r="A449" s="5">
        <v>515.0</v>
      </c>
      <c r="B449" s="6" t="s">
        <v>490</v>
      </c>
      <c r="C449" s="5" t="s">
        <v>46</v>
      </c>
      <c r="D449" s="5" t="s">
        <v>14</v>
      </c>
      <c r="E449" s="7">
        <v>0.0</v>
      </c>
    </row>
    <row r="450">
      <c r="A450" s="5">
        <v>516.0</v>
      </c>
      <c r="B450" s="6" t="s">
        <v>491</v>
      </c>
      <c r="C450" s="5" t="s">
        <v>30</v>
      </c>
      <c r="D450" s="5" t="s">
        <v>14</v>
      </c>
      <c r="E450" s="7">
        <v>0.0</v>
      </c>
    </row>
    <row r="451">
      <c r="A451" s="5">
        <v>517.0</v>
      </c>
      <c r="B451" s="6" t="s">
        <v>492</v>
      </c>
      <c r="C451" s="5" t="s">
        <v>139</v>
      </c>
      <c r="D451" s="5" t="s">
        <v>14</v>
      </c>
      <c r="E451" s="7">
        <v>0.0</v>
      </c>
    </row>
    <row r="452">
      <c r="A452" s="5">
        <v>518.0</v>
      </c>
      <c r="B452" s="6" t="s">
        <v>493</v>
      </c>
      <c r="C452" s="5" t="s">
        <v>48</v>
      </c>
      <c r="D452" s="5" t="s">
        <v>14</v>
      </c>
      <c r="E452" s="7">
        <v>0.0</v>
      </c>
    </row>
    <row r="453">
      <c r="A453" s="5">
        <v>519.0</v>
      </c>
      <c r="B453" s="6" t="s">
        <v>494</v>
      </c>
      <c r="C453" s="5" t="s">
        <v>28</v>
      </c>
      <c r="D453" s="5" t="s">
        <v>14</v>
      </c>
      <c r="E453" s="7">
        <v>0.0</v>
      </c>
    </row>
    <row r="454">
      <c r="A454" s="5">
        <v>520.0</v>
      </c>
      <c r="B454" s="6" t="s">
        <v>495</v>
      </c>
      <c r="C454" s="5" t="s">
        <v>16</v>
      </c>
      <c r="D454" s="5" t="s">
        <v>14</v>
      </c>
      <c r="E454" s="7">
        <v>0.0</v>
      </c>
    </row>
    <row r="455">
      <c r="A455" s="5">
        <v>521.0</v>
      </c>
      <c r="B455" s="6" t="s">
        <v>496</v>
      </c>
      <c r="C455" s="5" t="s">
        <v>59</v>
      </c>
      <c r="D455" s="5" t="s">
        <v>14</v>
      </c>
      <c r="E455" s="7">
        <v>0.0</v>
      </c>
    </row>
    <row r="456">
      <c r="A456" s="5">
        <v>522.0</v>
      </c>
      <c r="B456" s="6" t="s">
        <v>497</v>
      </c>
      <c r="C456" s="5" t="s">
        <v>18</v>
      </c>
      <c r="D456" s="5" t="s">
        <v>14</v>
      </c>
      <c r="E456" s="7">
        <v>0.0</v>
      </c>
    </row>
    <row r="457">
      <c r="A457" s="5">
        <v>523.0</v>
      </c>
      <c r="B457" s="6" t="s">
        <v>498</v>
      </c>
      <c r="C457" s="5" t="s">
        <v>18</v>
      </c>
      <c r="D457" s="5" t="s">
        <v>14</v>
      </c>
      <c r="E457" s="7">
        <v>0.0</v>
      </c>
    </row>
    <row r="458">
      <c r="A458" s="5">
        <v>524.0</v>
      </c>
      <c r="B458" s="6" t="s">
        <v>499</v>
      </c>
      <c r="C458" s="5" t="s">
        <v>50</v>
      </c>
      <c r="D458" s="5" t="s">
        <v>14</v>
      </c>
      <c r="E458" s="7">
        <v>0.0</v>
      </c>
    </row>
    <row r="459">
      <c r="A459" s="5">
        <v>525.0</v>
      </c>
      <c r="B459" s="6" t="s">
        <v>500</v>
      </c>
      <c r="C459" s="5" t="s">
        <v>96</v>
      </c>
      <c r="D459" s="5" t="s">
        <v>14</v>
      </c>
      <c r="E459" s="7">
        <v>0.0</v>
      </c>
    </row>
    <row r="460">
      <c r="A460" s="5">
        <v>526.0</v>
      </c>
      <c r="B460" s="6" t="s">
        <v>501</v>
      </c>
      <c r="C460" s="5" t="s">
        <v>52</v>
      </c>
      <c r="D460" s="5" t="s">
        <v>14</v>
      </c>
      <c r="E460" s="7">
        <v>0.0</v>
      </c>
    </row>
    <row r="461">
      <c r="A461" s="5">
        <v>527.0</v>
      </c>
      <c r="B461" s="6" t="s">
        <v>502</v>
      </c>
      <c r="C461" s="5" t="s">
        <v>9</v>
      </c>
      <c r="D461" s="5" t="s">
        <v>14</v>
      </c>
      <c r="E461" s="7">
        <v>0.0</v>
      </c>
    </row>
    <row r="462">
      <c r="A462" s="5">
        <v>528.0</v>
      </c>
      <c r="B462" s="6" t="s">
        <v>503</v>
      </c>
      <c r="C462" s="5" t="s">
        <v>52</v>
      </c>
      <c r="D462" s="5" t="s">
        <v>14</v>
      </c>
      <c r="E462" s="7">
        <v>0.0</v>
      </c>
    </row>
    <row r="463">
      <c r="A463" s="5">
        <v>529.0</v>
      </c>
      <c r="B463" s="8" t="s">
        <v>504</v>
      </c>
      <c r="C463" s="5" t="s">
        <v>62</v>
      </c>
      <c r="D463" s="5" t="s">
        <v>14</v>
      </c>
      <c r="E463" s="7">
        <v>0.0</v>
      </c>
    </row>
    <row r="464">
      <c r="A464" s="5">
        <v>530.0</v>
      </c>
      <c r="B464" s="6" t="s">
        <v>505</v>
      </c>
      <c r="C464" s="5" t="s">
        <v>41</v>
      </c>
      <c r="D464" s="5" t="s">
        <v>14</v>
      </c>
      <c r="E464" s="7">
        <v>0.0</v>
      </c>
    </row>
    <row r="465">
      <c r="A465" s="5">
        <v>531.0</v>
      </c>
      <c r="B465" s="6" t="s">
        <v>506</v>
      </c>
      <c r="C465" s="5" t="s">
        <v>165</v>
      </c>
      <c r="D465" s="5" t="s">
        <v>14</v>
      </c>
      <c r="E465" s="7">
        <v>0.0</v>
      </c>
    </row>
    <row r="466">
      <c r="A466" s="5">
        <v>532.0</v>
      </c>
      <c r="B466" s="6" t="s">
        <v>507</v>
      </c>
      <c r="C466" s="5" t="s">
        <v>30</v>
      </c>
      <c r="D466" s="5" t="s">
        <v>14</v>
      </c>
      <c r="E466" s="7">
        <v>0.0</v>
      </c>
    </row>
    <row r="467">
      <c r="A467" s="5">
        <v>533.0</v>
      </c>
      <c r="B467" s="6" t="s">
        <v>508</v>
      </c>
      <c r="C467" s="5" t="s">
        <v>41</v>
      </c>
      <c r="D467" s="5" t="s">
        <v>14</v>
      </c>
      <c r="E467" s="7">
        <v>0.0</v>
      </c>
    </row>
    <row r="468">
      <c r="A468" s="5">
        <v>534.0</v>
      </c>
      <c r="B468" s="6" t="s">
        <v>509</v>
      </c>
      <c r="C468" s="5" t="s">
        <v>139</v>
      </c>
      <c r="D468" s="5" t="s">
        <v>14</v>
      </c>
      <c r="E468" s="7">
        <v>0.0</v>
      </c>
    </row>
    <row r="469">
      <c r="A469" s="5">
        <v>535.0</v>
      </c>
      <c r="B469" s="6" t="s">
        <v>510</v>
      </c>
      <c r="C469" s="5" t="s">
        <v>104</v>
      </c>
      <c r="D469" s="5" t="s">
        <v>14</v>
      </c>
      <c r="E469" s="7">
        <v>0.0</v>
      </c>
    </row>
    <row r="470">
      <c r="A470" s="5">
        <v>536.0</v>
      </c>
      <c r="B470" s="6" t="s">
        <v>511</v>
      </c>
      <c r="C470" s="5" t="s">
        <v>91</v>
      </c>
      <c r="D470" s="5" t="s">
        <v>14</v>
      </c>
      <c r="E470" s="7">
        <v>0.0</v>
      </c>
    </row>
    <row r="471">
      <c r="A471" s="5">
        <v>537.0</v>
      </c>
      <c r="B471" s="6" t="s">
        <v>512</v>
      </c>
      <c r="C471" s="5" t="s">
        <v>165</v>
      </c>
      <c r="D471" s="5" t="s">
        <v>7</v>
      </c>
      <c r="E471" s="7">
        <v>0.0</v>
      </c>
    </row>
    <row r="472">
      <c r="A472" s="5">
        <v>538.0</v>
      </c>
      <c r="B472" s="6" t="s">
        <v>513</v>
      </c>
      <c r="C472" s="5" t="s">
        <v>20</v>
      </c>
      <c r="D472" s="5" t="s">
        <v>14</v>
      </c>
      <c r="E472" s="7">
        <v>0.0</v>
      </c>
    </row>
    <row r="473">
      <c r="A473" s="5">
        <v>539.0</v>
      </c>
      <c r="B473" s="6" t="s">
        <v>514</v>
      </c>
      <c r="C473" s="5" t="s">
        <v>54</v>
      </c>
      <c r="D473" s="5" t="s">
        <v>14</v>
      </c>
      <c r="E473" s="7">
        <v>0.0</v>
      </c>
    </row>
    <row r="474">
      <c r="A474" s="5">
        <v>540.0</v>
      </c>
      <c r="B474" s="6" t="s">
        <v>515</v>
      </c>
      <c r="C474" s="5" t="s">
        <v>11</v>
      </c>
      <c r="D474" s="5" t="s">
        <v>14</v>
      </c>
      <c r="E474" s="7">
        <v>0.0</v>
      </c>
    </row>
    <row r="475">
      <c r="A475" s="5">
        <v>541.0</v>
      </c>
      <c r="B475" s="6" t="s">
        <v>516</v>
      </c>
      <c r="C475" s="5" t="s">
        <v>11</v>
      </c>
      <c r="D475" s="5" t="s">
        <v>14</v>
      </c>
      <c r="E475" s="7">
        <v>0.0</v>
      </c>
    </row>
    <row r="476">
      <c r="A476" s="5">
        <v>542.0</v>
      </c>
      <c r="B476" s="6" t="s">
        <v>517</v>
      </c>
      <c r="C476" s="5" t="s">
        <v>24</v>
      </c>
      <c r="D476" s="5" t="s">
        <v>14</v>
      </c>
      <c r="E476" s="7">
        <v>0.0</v>
      </c>
    </row>
    <row r="477">
      <c r="A477" s="5">
        <v>543.0</v>
      </c>
      <c r="B477" s="6" t="s">
        <v>518</v>
      </c>
      <c r="C477" s="5" t="s">
        <v>33</v>
      </c>
      <c r="D477" s="5" t="s">
        <v>14</v>
      </c>
      <c r="E477" s="7">
        <v>0.0</v>
      </c>
    </row>
    <row r="478">
      <c r="A478" s="5">
        <v>544.0</v>
      </c>
      <c r="B478" s="6" t="s">
        <v>519</v>
      </c>
      <c r="C478" s="5" t="s">
        <v>43</v>
      </c>
      <c r="D478" s="5" t="s">
        <v>14</v>
      </c>
      <c r="E478" s="7">
        <v>0.0</v>
      </c>
    </row>
    <row r="479">
      <c r="A479" s="5">
        <v>545.0</v>
      </c>
      <c r="B479" s="6" t="s">
        <v>520</v>
      </c>
      <c r="C479" s="5" t="s">
        <v>122</v>
      </c>
      <c r="D479" s="5" t="s">
        <v>14</v>
      </c>
      <c r="E479" s="7">
        <v>0.0</v>
      </c>
    </row>
    <row r="480">
      <c r="A480" s="5">
        <v>546.0</v>
      </c>
      <c r="B480" s="6" t="s">
        <v>521</v>
      </c>
      <c r="C480" s="5" t="s">
        <v>69</v>
      </c>
      <c r="D480" s="5" t="s">
        <v>14</v>
      </c>
      <c r="E480" s="7">
        <v>0.0</v>
      </c>
    </row>
    <row r="481">
      <c r="A481" s="5">
        <v>547.0</v>
      </c>
      <c r="B481" s="6" t="s">
        <v>522</v>
      </c>
      <c r="C481" s="5" t="s">
        <v>104</v>
      </c>
      <c r="D481" s="5" t="s">
        <v>7</v>
      </c>
      <c r="E481" s="7">
        <v>0.0</v>
      </c>
    </row>
    <row r="482">
      <c r="A482" s="5">
        <v>548.0</v>
      </c>
      <c r="B482" s="6" t="s">
        <v>523</v>
      </c>
      <c r="C482" s="5" t="s">
        <v>139</v>
      </c>
      <c r="D482" s="5" t="s">
        <v>14</v>
      </c>
      <c r="E482" s="7">
        <v>0.0</v>
      </c>
    </row>
    <row r="483">
      <c r="A483" s="5">
        <v>549.0</v>
      </c>
      <c r="B483" s="6" t="s">
        <v>524</v>
      </c>
      <c r="C483" s="5" t="s">
        <v>46</v>
      </c>
      <c r="D483" s="5" t="s">
        <v>14</v>
      </c>
      <c r="E483" s="7">
        <v>0.0</v>
      </c>
    </row>
    <row r="484">
      <c r="A484" s="5">
        <v>550.0</v>
      </c>
      <c r="B484" s="6" t="s">
        <v>525</v>
      </c>
      <c r="C484" s="5" t="s">
        <v>26</v>
      </c>
      <c r="D484" s="5" t="s">
        <v>14</v>
      </c>
      <c r="E484" s="7">
        <v>0.0</v>
      </c>
    </row>
    <row r="485">
      <c r="A485" s="5">
        <v>551.0</v>
      </c>
      <c r="B485" s="8" t="s">
        <v>526</v>
      </c>
      <c r="C485" s="5" t="s">
        <v>122</v>
      </c>
      <c r="D485" s="5" t="s">
        <v>14</v>
      </c>
      <c r="E485" s="7">
        <v>0.0</v>
      </c>
    </row>
    <row r="486">
      <c r="A486" s="5">
        <v>552.0</v>
      </c>
      <c r="B486" s="6" t="s">
        <v>527</v>
      </c>
      <c r="C486" s="5" t="s">
        <v>24</v>
      </c>
      <c r="D486" s="5" t="s">
        <v>14</v>
      </c>
      <c r="E486" s="7">
        <v>0.0</v>
      </c>
    </row>
    <row r="487">
      <c r="A487" s="5">
        <v>553.0</v>
      </c>
      <c r="B487" s="6" t="s">
        <v>528</v>
      </c>
      <c r="C487" s="5" t="s">
        <v>165</v>
      </c>
      <c r="D487" s="5" t="s">
        <v>7</v>
      </c>
      <c r="E487" s="7">
        <v>0.0</v>
      </c>
    </row>
    <row r="488">
      <c r="A488" s="5">
        <v>554.0</v>
      </c>
      <c r="B488" s="6" t="s">
        <v>529</v>
      </c>
      <c r="C488" s="5" t="s">
        <v>11</v>
      </c>
      <c r="D488" s="5" t="s">
        <v>7</v>
      </c>
      <c r="E488" s="7">
        <v>0.0</v>
      </c>
    </row>
    <row r="489">
      <c r="A489" s="5">
        <v>555.0</v>
      </c>
      <c r="B489" s="6" t="s">
        <v>530</v>
      </c>
      <c r="C489" s="5" t="s">
        <v>37</v>
      </c>
      <c r="D489" s="5" t="s">
        <v>14</v>
      </c>
      <c r="E489" s="7">
        <v>0.0</v>
      </c>
    </row>
    <row r="490">
      <c r="A490" s="5">
        <v>556.0</v>
      </c>
      <c r="B490" s="6" t="s">
        <v>531</v>
      </c>
      <c r="C490" s="5" t="s">
        <v>48</v>
      </c>
      <c r="D490" s="5" t="s">
        <v>14</v>
      </c>
      <c r="E490" s="7">
        <v>0.0</v>
      </c>
    </row>
    <row r="491">
      <c r="A491" s="5">
        <v>557.0</v>
      </c>
      <c r="B491" s="6" t="s">
        <v>532</v>
      </c>
      <c r="C491" s="5" t="s">
        <v>122</v>
      </c>
      <c r="D491" s="5" t="s">
        <v>14</v>
      </c>
      <c r="E491" s="7">
        <v>0.0</v>
      </c>
    </row>
    <row r="492">
      <c r="A492" s="5">
        <v>558.0</v>
      </c>
      <c r="B492" s="6" t="s">
        <v>533</v>
      </c>
      <c r="C492" s="5" t="s">
        <v>22</v>
      </c>
      <c r="D492" s="5" t="s">
        <v>14</v>
      </c>
      <c r="E492" s="7">
        <v>0.0</v>
      </c>
    </row>
    <row r="493">
      <c r="A493" s="5">
        <v>559.0</v>
      </c>
      <c r="B493" s="6" t="s">
        <v>534</v>
      </c>
      <c r="C493" s="5" t="s">
        <v>62</v>
      </c>
      <c r="D493" s="5" t="s">
        <v>14</v>
      </c>
      <c r="E493" s="7">
        <v>0.0</v>
      </c>
    </row>
    <row r="494">
      <c r="A494" s="5">
        <v>560.0</v>
      </c>
      <c r="B494" s="6" t="s">
        <v>535</v>
      </c>
      <c r="C494" s="5" t="s">
        <v>52</v>
      </c>
      <c r="D494" s="5" t="s">
        <v>14</v>
      </c>
      <c r="E494" s="7">
        <v>0.0</v>
      </c>
    </row>
    <row r="495">
      <c r="A495" s="5">
        <v>561.0</v>
      </c>
      <c r="B495" s="6" t="s">
        <v>536</v>
      </c>
      <c r="C495" s="5" t="s">
        <v>11</v>
      </c>
      <c r="D495" s="5" t="s">
        <v>14</v>
      </c>
      <c r="E495" s="7">
        <v>0.0</v>
      </c>
    </row>
    <row r="496">
      <c r="A496" s="5">
        <v>563.0</v>
      </c>
      <c r="B496" s="6" t="s">
        <v>537</v>
      </c>
      <c r="C496" s="5" t="s">
        <v>9</v>
      </c>
      <c r="D496" s="5" t="s">
        <v>14</v>
      </c>
      <c r="E496" s="7">
        <v>0.0</v>
      </c>
    </row>
    <row r="497">
      <c r="A497" s="5">
        <v>564.0</v>
      </c>
      <c r="B497" s="6" t="s">
        <v>538</v>
      </c>
      <c r="C497" s="5" t="s">
        <v>62</v>
      </c>
      <c r="D497" s="5" t="s">
        <v>14</v>
      </c>
      <c r="E497" s="7">
        <v>0.0</v>
      </c>
    </row>
    <row r="498">
      <c r="A498" s="5">
        <v>565.0</v>
      </c>
      <c r="B498" s="6" t="s">
        <v>539</v>
      </c>
      <c r="C498" s="5" t="s">
        <v>48</v>
      </c>
      <c r="D498" s="5" t="s">
        <v>14</v>
      </c>
      <c r="E498" s="7">
        <v>0.0</v>
      </c>
    </row>
    <row r="499">
      <c r="A499" s="5">
        <v>566.0</v>
      </c>
      <c r="B499" s="6" t="s">
        <v>540</v>
      </c>
      <c r="C499" s="5" t="s">
        <v>104</v>
      </c>
      <c r="D499" s="5" t="s">
        <v>14</v>
      </c>
      <c r="E499" s="7">
        <v>0.0</v>
      </c>
    </row>
    <row r="500">
      <c r="A500" s="5">
        <v>569.0</v>
      </c>
      <c r="B500" s="6" t="s">
        <v>541</v>
      </c>
      <c r="C500" s="5" t="s">
        <v>69</v>
      </c>
      <c r="D500" s="5" t="s">
        <v>14</v>
      </c>
      <c r="E500" s="7">
        <v>0.0</v>
      </c>
    </row>
    <row r="501">
      <c r="A501" s="5">
        <v>570.0</v>
      </c>
      <c r="B501" s="6" t="s">
        <v>542</v>
      </c>
      <c r="C501" s="5" t="s">
        <v>52</v>
      </c>
      <c r="D501" s="5" t="s">
        <v>14</v>
      </c>
      <c r="E501" s="7">
        <v>0.0</v>
      </c>
    </row>
    <row r="502">
      <c r="A502" s="5">
        <v>572.0</v>
      </c>
      <c r="B502" s="6" t="s">
        <v>543</v>
      </c>
      <c r="C502" s="5" t="s">
        <v>24</v>
      </c>
      <c r="D502" s="5" t="s">
        <v>14</v>
      </c>
      <c r="E502" s="7">
        <v>0.0</v>
      </c>
    </row>
    <row r="503">
      <c r="A503" s="5">
        <v>573.0</v>
      </c>
      <c r="B503" s="6" t="s">
        <v>544</v>
      </c>
      <c r="C503" s="5" t="s">
        <v>163</v>
      </c>
      <c r="D503" s="5" t="s">
        <v>14</v>
      </c>
      <c r="E503" s="7">
        <v>0.0</v>
      </c>
    </row>
    <row r="504">
      <c r="A504" s="5">
        <v>574.0</v>
      </c>
      <c r="B504" s="6" t="s">
        <v>545</v>
      </c>
      <c r="C504" s="5" t="s">
        <v>139</v>
      </c>
      <c r="D504" s="5" t="s">
        <v>14</v>
      </c>
      <c r="E504" s="7">
        <v>0.0</v>
      </c>
    </row>
    <row r="505">
      <c r="A505" s="5">
        <v>576.0</v>
      </c>
      <c r="B505" s="6" t="s">
        <v>546</v>
      </c>
      <c r="C505" s="5" t="s">
        <v>26</v>
      </c>
      <c r="D505" s="5" t="s">
        <v>14</v>
      </c>
      <c r="E505" s="7">
        <v>0.0</v>
      </c>
    </row>
    <row r="506">
      <c r="A506" s="5">
        <v>578.0</v>
      </c>
      <c r="B506" s="8" t="s">
        <v>547</v>
      </c>
      <c r="C506" s="5" t="s">
        <v>28</v>
      </c>
      <c r="D506" s="5" t="s">
        <v>14</v>
      </c>
      <c r="E506" s="7">
        <v>0.0</v>
      </c>
    </row>
    <row r="507">
      <c r="A507" s="5">
        <v>579.0</v>
      </c>
      <c r="B507" s="6" t="s">
        <v>548</v>
      </c>
      <c r="C507" s="5" t="s">
        <v>54</v>
      </c>
      <c r="D507" s="5" t="s">
        <v>14</v>
      </c>
      <c r="E507" s="7">
        <v>0.0</v>
      </c>
    </row>
    <row r="508">
      <c r="A508" s="5">
        <v>580.0</v>
      </c>
      <c r="B508" s="6" t="s">
        <v>549</v>
      </c>
      <c r="C508" s="5" t="s">
        <v>48</v>
      </c>
      <c r="D508" s="5" t="s">
        <v>14</v>
      </c>
      <c r="E508" s="7">
        <v>0.0</v>
      </c>
    </row>
    <row r="509">
      <c r="A509" s="5">
        <v>581.0</v>
      </c>
      <c r="B509" s="8" t="s">
        <v>550</v>
      </c>
      <c r="C509" s="5" t="s">
        <v>71</v>
      </c>
      <c r="D509" s="5" t="s">
        <v>14</v>
      </c>
      <c r="E509" s="7">
        <v>0.0</v>
      </c>
    </row>
    <row r="510">
      <c r="A510" s="5">
        <v>582.0</v>
      </c>
      <c r="B510" s="6" t="s">
        <v>551</v>
      </c>
      <c r="C510" s="5" t="s">
        <v>16</v>
      </c>
      <c r="D510" s="5" t="s">
        <v>14</v>
      </c>
      <c r="E510" s="7">
        <v>0.0</v>
      </c>
    </row>
    <row r="511">
      <c r="A511" s="5">
        <v>584.0</v>
      </c>
      <c r="B511" s="6" t="s">
        <v>552</v>
      </c>
      <c r="C511" s="5" t="s">
        <v>22</v>
      </c>
      <c r="D511" s="5" t="s">
        <v>14</v>
      </c>
      <c r="E511" s="7">
        <v>0.0</v>
      </c>
    </row>
    <row r="512">
      <c r="A512" s="5">
        <v>585.0</v>
      </c>
      <c r="B512" s="6" t="s">
        <v>553</v>
      </c>
      <c r="C512" s="5" t="s">
        <v>52</v>
      </c>
      <c r="D512" s="5" t="s">
        <v>14</v>
      </c>
      <c r="E512" s="7">
        <v>0.0</v>
      </c>
    </row>
    <row r="513">
      <c r="A513" s="5">
        <v>586.0</v>
      </c>
      <c r="B513" s="6" t="s">
        <v>554</v>
      </c>
      <c r="C513" s="5" t="s">
        <v>54</v>
      </c>
      <c r="D513" s="5" t="s">
        <v>14</v>
      </c>
      <c r="E513" s="7">
        <v>0.0</v>
      </c>
    </row>
    <row r="514">
      <c r="A514" s="5">
        <v>587.0</v>
      </c>
      <c r="B514" s="6" t="s">
        <v>555</v>
      </c>
      <c r="C514" s="5" t="s">
        <v>37</v>
      </c>
      <c r="D514" s="5" t="s">
        <v>14</v>
      </c>
      <c r="E514" s="7">
        <v>0.0</v>
      </c>
    </row>
    <row r="515">
      <c r="A515" s="5">
        <v>588.0</v>
      </c>
      <c r="B515" s="6" t="s">
        <v>556</v>
      </c>
      <c r="C515" s="5" t="s">
        <v>50</v>
      </c>
      <c r="D515" s="5" t="s">
        <v>14</v>
      </c>
      <c r="E515" s="7">
        <v>0.0</v>
      </c>
    </row>
    <row r="516">
      <c r="A516" s="5">
        <v>589.0</v>
      </c>
      <c r="B516" s="6" t="s">
        <v>557</v>
      </c>
      <c r="C516" s="5" t="s">
        <v>139</v>
      </c>
      <c r="D516" s="5" t="s">
        <v>14</v>
      </c>
      <c r="E516" s="7">
        <v>0.0</v>
      </c>
    </row>
    <row r="517">
      <c r="A517" s="5">
        <v>590.0</v>
      </c>
      <c r="B517" s="6" t="s">
        <v>558</v>
      </c>
      <c r="C517" s="5" t="s">
        <v>30</v>
      </c>
      <c r="D517" s="5" t="s">
        <v>14</v>
      </c>
      <c r="E517" s="7">
        <v>0.0</v>
      </c>
    </row>
    <row r="518">
      <c r="A518" s="5">
        <v>591.0</v>
      </c>
      <c r="B518" s="6" t="s">
        <v>559</v>
      </c>
      <c r="C518" s="5" t="s">
        <v>18</v>
      </c>
      <c r="D518" s="5" t="s">
        <v>14</v>
      </c>
      <c r="E518" s="7">
        <v>0.0</v>
      </c>
    </row>
    <row r="519">
      <c r="A519" s="5">
        <v>593.0</v>
      </c>
      <c r="B519" s="6" t="s">
        <v>560</v>
      </c>
      <c r="C519" s="5" t="s">
        <v>91</v>
      </c>
      <c r="D519" s="5" t="s">
        <v>14</v>
      </c>
      <c r="E519" s="7">
        <v>0.0</v>
      </c>
    </row>
    <row r="520">
      <c r="A520" s="5">
        <v>594.0</v>
      </c>
      <c r="B520" s="6" t="s">
        <v>561</v>
      </c>
      <c r="C520" s="5" t="s">
        <v>6</v>
      </c>
      <c r="D520" s="5" t="s">
        <v>14</v>
      </c>
      <c r="E520" s="7">
        <v>0.0</v>
      </c>
    </row>
    <row r="521">
      <c r="A521" s="5">
        <v>600.0</v>
      </c>
      <c r="B521" s="6" t="s">
        <v>562</v>
      </c>
      <c r="C521" s="5" t="s">
        <v>71</v>
      </c>
      <c r="D521" s="5" t="s">
        <v>14</v>
      </c>
      <c r="E521" s="7">
        <v>0.0</v>
      </c>
    </row>
    <row r="522">
      <c r="A522" s="5">
        <v>602.0</v>
      </c>
      <c r="B522" s="6" t="s">
        <v>563</v>
      </c>
      <c r="C522" s="5" t="s">
        <v>59</v>
      </c>
      <c r="D522" s="5" t="s">
        <v>14</v>
      </c>
      <c r="E522" s="7">
        <v>0.0</v>
      </c>
    </row>
    <row r="523">
      <c r="A523" s="5">
        <v>603.0</v>
      </c>
      <c r="B523" s="6" t="s">
        <v>564</v>
      </c>
      <c r="C523" s="5" t="s">
        <v>41</v>
      </c>
      <c r="D523" s="5" t="s">
        <v>14</v>
      </c>
      <c r="E523" s="7">
        <v>0.0</v>
      </c>
    </row>
    <row r="524">
      <c r="A524" s="5">
        <v>605.0</v>
      </c>
      <c r="B524" s="6" t="s">
        <v>565</v>
      </c>
      <c r="C524" s="5" t="s">
        <v>6</v>
      </c>
      <c r="D524" s="5" t="s">
        <v>14</v>
      </c>
      <c r="E524" s="7">
        <v>0.0</v>
      </c>
    </row>
    <row r="525">
      <c r="A525" s="5">
        <v>607.0</v>
      </c>
      <c r="B525" s="6" t="s">
        <v>566</v>
      </c>
      <c r="C525" s="5" t="s">
        <v>35</v>
      </c>
      <c r="D525" s="5" t="s">
        <v>14</v>
      </c>
      <c r="E525" s="7">
        <v>0.0</v>
      </c>
    </row>
    <row r="526">
      <c r="A526" s="5">
        <v>609.0</v>
      </c>
      <c r="B526" s="6" t="s">
        <v>567</v>
      </c>
      <c r="C526" s="5" t="s">
        <v>50</v>
      </c>
      <c r="D526" s="5" t="s">
        <v>14</v>
      </c>
      <c r="E526" s="7">
        <v>0.0</v>
      </c>
    </row>
    <row r="527">
      <c r="A527" s="5">
        <v>612.0</v>
      </c>
      <c r="B527" s="6" t="s">
        <v>568</v>
      </c>
      <c r="C527" s="5" t="s">
        <v>69</v>
      </c>
      <c r="D527" s="5" t="s">
        <v>14</v>
      </c>
      <c r="E527" s="7">
        <v>0.0</v>
      </c>
    </row>
    <row r="528">
      <c r="A528" s="5">
        <v>613.0</v>
      </c>
      <c r="B528" s="6" t="s">
        <v>569</v>
      </c>
      <c r="C528" s="5" t="s">
        <v>165</v>
      </c>
      <c r="D528" s="5" t="s">
        <v>14</v>
      </c>
      <c r="E528" s="7">
        <v>0.0</v>
      </c>
    </row>
    <row r="529">
      <c r="A529" s="5">
        <v>614.0</v>
      </c>
      <c r="B529" s="6" t="s">
        <v>570</v>
      </c>
      <c r="C529" s="5" t="s">
        <v>16</v>
      </c>
      <c r="D529" s="5" t="s">
        <v>14</v>
      </c>
      <c r="E529" s="7">
        <v>0.0</v>
      </c>
    </row>
    <row r="530">
      <c r="A530" s="5">
        <v>615.0</v>
      </c>
      <c r="B530" s="6" t="s">
        <v>571</v>
      </c>
      <c r="C530" s="5" t="s">
        <v>18</v>
      </c>
      <c r="D530" s="5" t="s">
        <v>14</v>
      </c>
      <c r="E530" s="7">
        <v>0.0</v>
      </c>
    </row>
    <row r="531">
      <c r="A531" s="5">
        <v>616.0</v>
      </c>
      <c r="B531" s="6" t="s">
        <v>572</v>
      </c>
      <c r="C531" s="5" t="s">
        <v>96</v>
      </c>
      <c r="D531" s="5" t="s">
        <v>14</v>
      </c>
      <c r="E531" s="7">
        <v>0.0</v>
      </c>
    </row>
    <row r="532">
      <c r="A532" s="5">
        <v>619.0</v>
      </c>
      <c r="B532" s="6" t="s">
        <v>573</v>
      </c>
      <c r="C532" s="5" t="s">
        <v>18</v>
      </c>
      <c r="D532" s="5" t="s">
        <v>14</v>
      </c>
      <c r="E532" s="7">
        <v>0.0</v>
      </c>
    </row>
    <row r="533">
      <c r="A533" s="5">
        <v>622.0</v>
      </c>
      <c r="B533" s="6" t="s">
        <v>574</v>
      </c>
      <c r="C533" s="5" t="s">
        <v>165</v>
      </c>
      <c r="D533" s="5" t="s">
        <v>14</v>
      </c>
      <c r="E533" s="7">
        <v>0.0</v>
      </c>
    </row>
    <row r="534">
      <c r="A534" s="5">
        <v>625.0</v>
      </c>
      <c r="B534" s="6" t="s">
        <v>575</v>
      </c>
      <c r="C534" s="5" t="s">
        <v>28</v>
      </c>
      <c r="D534" s="5" t="s">
        <v>14</v>
      </c>
      <c r="E534" s="7">
        <v>0.0</v>
      </c>
    </row>
    <row r="535">
      <c r="A535" s="5">
        <v>627.0</v>
      </c>
      <c r="B535" s="8" t="s">
        <v>576</v>
      </c>
      <c r="C535" s="5" t="s">
        <v>9</v>
      </c>
      <c r="D535" s="5" t="s">
        <v>14</v>
      </c>
      <c r="E535" s="7">
        <v>0.0</v>
      </c>
    </row>
    <row r="536">
      <c r="A536" s="5">
        <v>628.0</v>
      </c>
      <c r="B536" s="8" t="s">
        <v>577</v>
      </c>
      <c r="C536" s="5" t="s">
        <v>62</v>
      </c>
      <c r="D536" s="5" t="s">
        <v>14</v>
      </c>
      <c r="E536" s="7">
        <v>0.0</v>
      </c>
    </row>
    <row r="537">
      <c r="A537" s="5">
        <v>632.0</v>
      </c>
      <c r="B537" s="6" t="s">
        <v>578</v>
      </c>
      <c r="C537" s="5" t="s">
        <v>50</v>
      </c>
      <c r="D537" s="5" t="s">
        <v>14</v>
      </c>
      <c r="E537" s="7">
        <v>0.0</v>
      </c>
    </row>
    <row r="538">
      <c r="A538" s="5">
        <v>633.0</v>
      </c>
      <c r="B538" s="8" t="s">
        <v>579</v>
      </c>
      <c r="C538" s="5" t="s">
        <v>43</v>
      </c>
      <c r="D538" s="5" t="s">
        <v>14</v>
      </c>
      <c r="E538" s="7">
        <v>0.0</v>
      </c>
    </row>
    <row r="539">
      <c r="A539" s="5">
        <v>634.0</v>
      </c>
      <c r="B539" s="6" t="s">
        <v>580</v>
      </c>
      <c r="C539" s="5" t="s">
        <v>96</v>
      </c>
      <c r="D539" s="5" t="s">
        <v>14</v>
      </c>
      <c r="E539" s="7">
        <v>0.0</v>
      </c>
    </row>
    <row r="540">
      <c r="A540" s="5">
        <v>636.0</v>
      </c>
      <c r="B540" s="6" t="s">
        <v>581</v>
      </c>
      <c r="C540" s="5" t="s">
        <v>165</v>
      </c>
      <c r="D540" s="5" t="s">
        <v>14</v>
      </c>
      <c r="E540" s="7">
        <v>0.0</v>
      </c>
    </row>
    <row r="541">
      <c r="A541" s="5">
        <v>638.0</v>
      </c>
      <c r="B541" s="6" t="s">
        <v>582</v>
      </c>
      <c r="C541" s="5" t="s">
        <v>11</v>
      </c>
      <c r="D541" s="5" t="s">
        <v>14</v>
      </c>
      <c r="E541" s="7">
        <v>0.0</v>
      </c>
    </row>
    <row r="542">
      <c r="A542" s="5">
        <v>639.0</v>
      </c>
      <c r="B542" s="6" t="s">
        <v>583</v>
      </c>
      <c r="C542" s="5" t="s">
        <v>71</v>
      </c>
      <c r="D542" s="5" t="s">
        <v>14</v>
      </c>
      <c r="E542" s="7">
        <v>0.0</v>
      </c>
    </row>
    <row r="543">
      <c r="A543" s="5">
        <v>640.0</v>
      </c>
      <c r="B543" s="8" t="s">
        <v>584</v>
      </c>
      <c r="C543" s="5" t="s">
        <v>43</v>
      </c>
      <c r="D543" s="5" t="s">
        <v>14</v>
      </c>
      <c r="E543" s="7">
        <v>0.0</v>
      </c>
    </row>
    <row r="544">
      <c r="A544" s="5">
        <v>643.0</v>
      </c>
      <c r="B544" s="6" t="s">
        <v>585</v>
      </c>
      <c r="C544" s="5" t="s">
        <v>26</v>
      </c>
      <c r="D544" s="5" t="s">
        <v>14</v>
      </c>
      <c r="E544" s="7">
        <v>0.0</v>
      </c>
    </row>
    <row r="545">
      <c r="A545" s="5">
        <v>644.0</v>
      </c>
      <c r="B545" s="6" t="s">
        <v>586</v>
      </c>
      <c r="C545" s="5" t="s">
        <v>18</v>
      </c>
      <c r="D545" s="5" t="s">
        <v>14</v>
      </c>
      <c r="E545" s="7">
        <v>0.0</v>
      </c>
    </row>
    <row r="546">
      <c r="A546" s="5">
        <v>647.0</v>
      </c>
      <c r="B546" s="6" t="s">
        <v>512</v>
      </c>
      <c r="C546" s="5" t="s">
        <v>33</v>
      </c>
      <c r="D546" s="5" t="s">
        <v>14</v>
      </c>
      <c r="E546" s="7">
        <v>0.0</v>
      </c>
    </row>
    <row r="547">
      <c r="A547" s="5">
        <v>649.0</v>
      </c>
      <c r="B547" s="6" t="s">
        <v>587</v>
      </c>
      <c r="C547" s="5" t="s">
        <v>139</v>
      </c>
      <c r="D547" s="5" t="s">
        <v>14</v>
      </c>
      <c r="E547" s="7">
        <v>0.0</v>
      </c>
    </row>
    <row r="548">
      <c r="A548" s="5">
        <v>651.0</v>
      </c>
      <c r="B548" s="6" t="s">
        <v>588</v>
      </c>
      <c r="C548" s="5" t="s">
        <v>35</v>
      </c>
      <c r="D548" s="5" t="s">
        <v>14</v>
      </c>
      <c r="E548" s="7">
        <v>0.0</v>
      </c>
    </row>
    <row r="549">
      <c r="A549" s="5">
        <v>652.0</v>
      </c>
      <c r="B549" s="6" t="s">
        <v>589</v>
      </c>
      <c r="C549" s="5" t="s">
        <v>24</v>
      </c>
      <c r="D549" s="5" t="s">
        <v>14</v>
      </c>
      <c r="E549" s="7">
        <v>0.0</v>
      </c>
    </row>
    <row r="550">
      <c r="A550" s="5">
        <v>653.0</v>
      </c>
      <c r="B550" s="6" t="s">
        <v>590</v>
      </c>
      <c r="C550" s="5" t="s">
        <v>48</v>
      </c>
      <c r="D550" s="5" t="s">
        <v>14</v>
      </c>
      <c r="E550" s="7">
        <v>0.0</v>
      </c>
    </row>
    <row r="551">
      <c r="A551" s="5">
        <v>654.0</v>
      </c>
      <c r="B551" s="6" t="s">
        <v>591</v>
      </c>
      <c r="C551" s="5" t="s">
        <v>50</v>
      </c>
      <c r="D551" s="5" t="s">
        <v>14</v>
      </c>
      <c r="E551" s="7">
        <v>0.0</v>
      </c>
    </row>
    <row r="552">
      <c r="A552" s="5">
        <v>655.0</v>
      </c>
      <c r="B552" s="6" t="s">
        <v>592</v>
      </c>
      <c r="C552" s="5" t="s">
        <v>69</v>
      </c>
      <c r="D552" s="5" t="s">
        <v>14</v>
      </c>
      <c r="E552" s="7">
        <v>0.0</v>
      </c>
    </row>
    <row r="553">
      <c r="A553" s="5">
        <v>656.0</v>
      </c>
      <c r="B553" s="8" t="s">
        <v>593</v>
      </c>
      <c r="C553" s="5" t="s">
        <v>163</v>
      </c>
      <c r="D553" s="5" t="s">
        <v>14</v>
      </c>
      <c r="E553" s="7">
        <v>0.0</v>
      </c>
    </row>
    <row r="554">
      <c r="A554" s="5">
        <v>657.0</v>
      </c>
      <c r="B554" s="6" t="s">
        <v>594</v>
      </c>
      <c r="C554" s="5" t="s">
        <v>33</v>
      </c>
      <c r="D554" s="5" t="s">
        <v>14</v>
      </c>
      <c r="E554" s="7">
        <v>0.0</v>
      </c>
    </row>
    <row r="555">
      <c r="A555" s="5">
        <v>658.0</v>
      </c>
      <c r="B555" s="6" t="s">
        <v>595</v>
      </c>
      <c r="C555" s="5" t="s">
        <v>122</v>
      </c>
      <c r="D555" s="5" t="s">
        <v>14</v>
      </c>
      <c r="E555" s="7">
        <v>0.0</v>
      </c>
    </row>
    <row r="556">
      <c r="A556" s="5">
        <v>660.0</v>
      </c>
      <c r="B556" s="6" t="s">
        <v>596</v>
      </c>
      <c r="C556" s="5" t="s">
        <v>22</v>
      </c>
      <c r="D556" s="5" t="s">
        <v>14</v>
      </c>
      <c r="E556" s="7">
        <v>0.0</v>
      </c>
    </row>
    <row r="557">
      <c r="A557" s="5">
        <v>661.0</v>
      </c>
      <c r="B557" s="6" t="s">
        <v>597</v>
      </c>
      <c r="C557" s="5" t="s">
        <v>6</v>
      </c>
      <c r="D557" s="5" t="s">
        <v>14</v>
      </c>
      <c r="E557" s="7">
        <v>0.0</v>
      </c>
    </row>
    <row r="558">
      <c r="A558" s="5">
        <v>666.0</v>
      </c>
      <c r="B558" s="6" t="s">
        <v>598</v>
      </c>
      <c r="C558" s="5" t="s">
        <v>11</v>
      </c>
      <c r="D558" s="5" t="s">
        <v>14</v>
      </c>
      <c r="E558" s="7">
        <v>0.0</v>
      </c>
    </row>
    <row r="559">
      <c r="A559" s="5">
        <v>685.0</v>
      </c>
      <c r="B559" s="6" t="s">
        <v>599</v>
      </c>
      <c r="C559" s="5" t="s">
        <v>163</v>
      </c>
      <c r="D559" s="5" t="s">
        <v>14</v>
      </c>
      <c r="E559" s="7">
        <v>0.0</v>
      </c>
    </row>
    <row r="560">
      <c r="A560" s="5">
        <v>687.0</v>
      </c>
      <c r="B560" s="6" t="s">
        <v>600</v>
      </c>
      <c r="C560" s="5" t="s">
        <v>48</v>
      </c>
      <c r="D560" s="5" t="s">
        <v>14</v>
      </c>
      <c r="E560" s="7">
        <v>0.0</v>
      </c>
    </row>
    <row r="561">
      <c r="A561" s="5">
        <v>691.0</v>
      </c>
      <c r="B561" s="6" t="s">
        <v>601</v>
      </c>
      <c r="C561" s="5" t="s">
        <v>59</v>
      </c>
      <c r="D561" s="5" t="s">
        <v>14</v>
      </c>
      <c r="E561" s="7">
        <v>0.0</v>
      </c>
    </row>
    <row r="562">
      <c r="A562" s="5">
        <v>692.0</v>
      </c>
      <c r="B562" s="6" t="s">
        <v>602</v>
      </c>
      <c r="C562" s="5" t="s">
        <v>96</v>
      </c>
      <c r="D562" s="5" t="s">
        <v>14</v>
      </c>
      <c r="E562" s="7">
        <v>0.0</v>
      </c>
    </row>
    <row r="563">
      <c r="A563" s="5">
        <v>694.0</v>
      </c>
      <c r="B563" s="6" t="s">
        <v>603</v>
      </c>
      <c r="C563" s="5" t="s">
        <v>37</v>
      </c>
      <c r="D563" s="5" t="s">
        <v>14</v>
      </c>
      <c r="E563" s="7">
        <v>0.0</v>
      </c>
    </row>
    <row r="564">
      <c r="A564" s="5">
        <v>695.0</v>
      </c>
      <c r="B564" s="6" t="s">
        <v>604</v>
      </c>
      <c r="C564" s="5" t="s">
        <v>26</v>
      </c>
      <c r="D564" s="5" t="s">
        <v>14</v>
      </c>
      <c r="E564" s="7">
        <v>0.0</v>
      </c>
    </row>
    <row r="565">
      <c r="A565" s="5">
        <v>696.0</v>
      </c>
      <c r="B565" s="6" t="s">
        <v>605</v>
      </c>
      <c r="C565" s="5" t="s">
        <v>50</v>
      </c>
      <c r="D565" s="5" t="s">
        <v>14</v>
      </c>
      <c r="E565" s="7">
        <v>0.0</v>
      </c>
    </row>
    <row r="566">
      <c r="A566" s="5">
        <v>703.0</v>
      </c>
      <c r="B566" s="6" t="s">
        <v>606</v>
      </c>
      <c r="C566" s="5" t="s">
        <v>46</v>
      </c>
      <c r="D566" s="5" t="s">
        <v>14</v>
      </c>
      <c r="E566" s="7">
        <v>0.0</v>
      </c>
    </row>
    <row r="567">
      <c r="A567" s="5">
        <v>706.0</v>
      </c>
      <c r="B567" s="6" t="s">
        <v>607</v>
      </c>
      <c r="C567" s="5" t="s">
        <v>9</v>
      </c>
      <c r="D567" s="5" t="s">
        <v>14</v>
      </c>
      <c r="E567" s="7">
        <v>0.0</v>
      </c>
    </row>
    <row r="568">
      <c r="A568" s="5">
        <v>708.0</v>
      </c>
      <c r="B568" s="6" t="s">
        <v>608</v>
      </c>
      <c r="C568" s="5" t="s">
        <v>91</v>
      </c>
      <c r="D568" s="5" t="s">
        <v>14</v>
      </c>
      <c r="E568" s="7">
        <v>0.0</v>
      </c>
    </row>
    <row r="569">
      <c r="A569" s="5">
        <v>709.0</v>
      </c>
      <c r="B569" s="6" t="s">
        <v>609</v>
      </c>
      <c r="C569" s="5" t="s">
        <v>30</v>
      </c>
      <c r="D569" s="5" t="s">
        <v>14</v>
      </c>
      <c r="E569" s="7">
        <v>0.0</v>
      </c>
    </row>
    <row r="570">
      <c r="A570" s="5">
        <v>712.0</v>
      </c>
      <c r="B570" s="6" t="s">
        <v>610</v>
      </c>
      <c r="C570" s="5" t="s">
        <v>71</v>
      </c>
      <c r="D570" s="5" t="s">
        <v>14</v>
      </c>
      <c r="E570" s="7">
        <v>0.0</v>
      </c>
    </row>
    <row r="571">
      <c r="A571" s="5">
        <v>714.0</v>
      </c>
      <c r="B571" s="6" t="s">
        <v>611</v>
      </c>
      <c r="C571" s="5" t="s">
        <v>22</v>
      </c>
      <c r="D571" s="5" t="s">
        <v>14</v>
      </c>
      <c r="E571" s="7">
        <v>0.0</v>
      </c>
    </row>
    <row r="572">
      <c r="A572" s="5">
        <v>717.0</v>
      </c>
      <c r="B572" s="6" t="s">
        <v>612</v>
      </c>
      <c r="C572" s="5" t="s">
        <v>46</v>
      </c>
      <c r="D572" s="5" t="s">
        <v>14</v>
      </c>
      <c r="E572" s="7">
        <v>0.0</v>
      </c>
    </row>
    <row r="573">
      <c r="A573" s="5">
        <v>725.0</v>
      </c>
      <c r="B573" s="6" t="s">
        <v>613</v>
      </c>
      <c r="C573" s="5" t="s">
        <v>26</v>
      </c>
      <c r="D573" s="5" t="s">
        <v>14</v>
      </c>
      <c r="E573" s="7">
        <v>0.0</v>
      </c>
    </row>
    <row r="574">
      <c r="A574" s="5">
        <v>733.0</v>
      </c>
      <c r="B574" s="8" t="s">
        <v>614</v>
      </c>
      <c r="C574" s="5" t="s">
        <v>46</v>
      </c>
      <c r="D574" s="5" t="s">
        <v>14</v>
      </c>
      <c r="E574" s="7">
        <v>0.0</v>
      </c>
    </row>
    <row r="575">
      <c r="A575" s="5">
        <v>737.0</v>
      </c>
      <c r="B575" s="6" t="s">
        <v>615</v>
      </c>
      <c r="C575" s="5" t="s">
        <v>163</v>
      </c>
      <c r="D575" s="5" t="s">
        <v>14</v>
      </c>
      <c r="E575" s="7">
        <v>0.0</v>
      </c>
    </row>
    <row r="576">
      <c r="A576" s="5">
        <v>738.0</v>
      </c>
      <c r="B576" s="6" t="s">
        <v>616</v>
      </c>
      <c r="C576" s="5" t="s">
        <v>59</v>
      </c>
      <c r="D576" s="5" t="s">
        <v>14</v>
      </c>
      <c r="E576" s="7">
        <v>0.0</v>
      </c>
    </row>
    <row r="577">
      <c r="A577" s="5">
        <v>741.0</v>
      </c>
      <c r="B577" s="6" t="s">
        <v>617</v>
      </c>
      <c r="C577" s="5" t="s">
        <v>6</v>
      </c>
      <c r="D577" s="5" t="s">
        <v>14</v>
      </c>
      <c r="E577" s="7">
        <v>0.0</v>
      </c>
    </row>
    <row r="578">
      <c r="A578" s="5">
        <v>743.0</v>
      </c>
      <c r="B578" s="6" t="s">
        <v>618</v>
      </c>
      <c r="C578" s="5" t="s">
        <v>71</v>
      </c>
      <c r="D578" s="5" t="s">
        <v>14</v>
      </c>
      <c r="E578" s="7">
        <v>0.0</v>
      </c>
    </row>
    <row r="579">
      <c r="A579" s="5">
        <v>747.0</v>
      </c>
      <c r="B579" s="6" t="s">
        <v>619</v>
      </c>
      <c r="C579" s="5" t="s">
        <v>52</v>
      </c>
      <c r="D579" s="5" t="s">
        <v>14</v>
      </c>
      <c r="E579" s="7">
        <v>0.0</v>
      </c>
    </row>
    <row r="580">
      <c r="A580" s="5">
        <v>749.0</v>
      </c>
      <c r="B580" s="6" t="s">
        <v>620</v>
      </c>
      <c r="C580" s="5" t="s">
        <v>104</v>
      </c>
      <c r="D580" s="5" t="s">
        <v>14</v>
      </c>
      <c r="E580" s="7">
        <v>0.0</v>
      </c>
    </row>
    <row r="581">
      <c r="A581" s="5">
        <v>751.0</v>
      </c>
      <c r="B581" s="6" t="s">
        <v>621</v>
      </c>
      <c r="C581" s="5" t="s">
        <v>165</v>
      </c>
      <c r="D581" s="5" t="s">
        <v>14</v>
      </c>
      <c r="E581" s="7">
        <v>0.0</v>
      </c>
    </row>
    <row r="582">
      <c r="A582" s="5">
        <v>753.0</v>
      </c>
      <c r="B582" s="6" t="s">
        <v>622</v>
      </c>
      <c r="C582" s="5" t="s">
        <v>22</v>
      </c>
      <c r="D582" s="5" t="s">
        <v>14</v>
      </c>
      <c r="E582" s="7">
        <v>0.0</v>
      </c>
    </row>
    <row r="583">
      <c r="A583" s="5">
        <v>756.0</v>
      </c>
      <c r="B583" s="6" t="s">
        <v>623</v>
      </c>
      <c r="C583" s="5" t="s">
        <v>43</v>
      </c>
      <c r="D583" s="5" t="s">
        <v>14</v>
      </c>
      <c r="E583" s="7">
        <v>0.0</v>
      </c>
    </row>
    <row r="584">
      <c r="A584" s="5">
        <v>759.0</v>
      </c>
      <c r="B584" s="6" t="s">
        <v>624</v>
      </c>
      <c r="C584" s="5" t="s">
        <v>20</v>
      </c>
      <c r="D584" s="5" t="s">
        <v>7</v>
      </c>
      <c r="E584" s="7">
        <v>0.0</v>
      </c>
    </row>
    <row r="585">
      <c r="A585" s="5">
        <v>760.0</v>
      </c>
      <c r="B585" s="6" t="s">
        <v>625</v>
      </c>
      <c r="C585" s="5" t="s">
        <v>139</v>
      </c>
      <c r="D585" s="5" t="s">
        <v>7</v>
      </c>
      <c r="E585" s="7">
        <v>0.0</v>
      </c>
    </row>
    <row r="586">
      <c r="A586" s="5">
        <v>761.0</v>
      </c>
      <c r="B586" s="6" t="s">
        <v>626</v>
      </c>
      <c r="C586" s="5" t="s">
        <v>33</v>
      </c>
      <c r="D586" s="5" t="s">
        <v>7</v>
      </c>
      <c r="E586" s="7">
        <v>0.0</v>
      </c>
    </row>
    <row r="587">
      <c r="A587" s="5">
        <v>762.0</v>
      </c>
      <c r="B587" s="6" t="s">
        <v>627</v>
      </c>
      <c r="C587" s="5" t="s">
        <v>46</v>
      </c>
      <c r="D587" s="5" t="s">
        <v>7</v>
      </c>
      <c r="E587" s="7">
        <v>0.0</v>
      </c>
    </row>
    <row r="588">
      <c r="A588" s="5">
        <v>763.0</v>
      </c>
      <c r="B588" s="8" t="s">
        <v>628</v>
      </c>
      <c r="C588" s="5" t="s">
        <v>122</v>
      </c>
      <c r="D588" s="5" t="s">
        <v>39</v>
      </c>
      <c r="E588" s="7">
        <v>0.0</v>
      </c>
    </row>
    <row r="589">
      <c r="A589" s="5">
        <v>764.0</v>
      </c>
      <c r="B589" s="6" t="s">
        <v>629</v>
      </c>
      <c r="C589" s="5" t="s">
        <v>52</v>
      </c>
      <c r="D589" s="5" t="s">
        <v>7</v>
      </c>
      <c r="E589" s="7">
        <v>0.0</v>
      </c>
    </row>
    <row r="590">
      <c r="A590" s="5">
        <v>765.0</v>
      </c>
      <c r="B590" s="6" t="s">
        <v>630</v>
      </c>
      <c r="C590" s="5" t="s">
        <v>91</v>
      </c>
      <c r="D590" s="5" t="s">
        <v>7</v>
      </c>
      <c r="E590" s="7">
        <v>0.0</v>
      </c>
    </row>
    <row r="591">
      <c r="A591" s="5">
        <v>766.0</v>
      </c>
      <c r="B591" s="6" t="s">
        <v>631</v>
      </c>
      <c r="C591" s="5" t="s">
        <v>62</v>
      </c>
      <c r="D591" s="5" t="s">
        <v>7</v>
      </c>
      <c r="E591" s="7">
        <v>0.0</v>
      </c>
    </row>
    <row r="592">
      <c r="A592" s="5">
        <v>767.0</v>
      </c>
      <c r="B592" s="6" t="s">
        <v>632</v>
      </c>
      <c r="C592" s="5" t="s">
        <v>46</v>
      </c>
      <c r="D592" s="5" t="s">
        <v>7</v>
      </c>
      <c r="E592" s="7">
        <v>0.0</v>
      </c>
    </row>
    <row r="593">
      <c r="A593" s="5">
        <v>768.0</v>
      </c>
      <c r="B593" s="6" t="s">
        <v>633</v>
      </c>
      <c r="C593" s="5" t="s">
        <v>6</v>
      </c>
      <c r="D593" s="5" t="s">
        <v>39</v>
      </c>
      <c r="E593" s="7">
        <v>0.0</v>
      </c>
    </row>
    <row r="594">
      <c r="A594" s="5">
        <v>769.0</v>
      </c>
      <c r="B594" s="6" t="s">
        <v>634</v>
      </c>
      <c r="C594" s="5" t="s">
        <v>30</v>
      </c>
      <c r="D594" s="5" t="s">
        <v>7</v>
      </c>
      <c r="E594" s="7">
        <v>0.0</v>
      </c>
    </row>
    <row r="595">
      <c r="A595" s="5">
        <v>770.0</v>
      </c>
      <c r="B595" s="6" t="s">
        <v>635</v>
      </c>
      <c r="C595" s="5" t="s">
        <v>26</v>
      </c>
      <c r="D595" s="5" t="s">
        <v>7</v>
      </c>
      <c r="E595" s="7">
        <v>0.0</v>
      </c>
    </row>
    <row r="596">
      <c r="A596" s="5">
        <v>771.0</v>
      </c>
      <c r="B596" s="6" t="s">
        <v>636</v>
      </c>
      <c r="C596" s="5" t="s">
        <v>28</v>
      </c>
      <c r="D596" s="5" t="s">
        <v>7</v>
      </c>
      <c r="E596" s="7">
        <v>0.0</v>
      </c>
    </row>
    <row r="597">
      <c r="A597" s="5">
        <v>772.0</v>
      </c>
      <c r="B597" s="6" t="s">
        <v>637</v>
      </c>
      <c r="C597" s="5" t="s">
        <v>59</v>
      </c>
      <c r="D597" s="5" t="s">
        <v>7</v>
      </c>
      <c r="E597" s="7">
        <v>0.0</v>
      </c>
    </row>
    <row r="598">
      <c r="A598" s="5">
        <v>773.0</v>
      </c>
      <c r="B598" s="6" t="s">
        <v>638</v>
      </c>
      <c r="C598" s="5" t="s">
        <v>104</v>
      </c>
      <c r="D598" s="5" t="s">
        <v>7</v>
      </c>
      <c r="E598" s="7">
        <v>0.0</v>
      </c>
    </row>
    <row r="599">
      <c r="A599" s="5">
        <v>774.0</v>
      </c>
      <c r="B599" s="6" t="s">
        <v>639</v>
      </c>
      <c r="C599" s="5" t="s">
        <v>122</v>
      </c>
      <c r="D599" s="5" t="s">
        <v>7</v>
      </c>
      <c r="E599" s="7">
        <v>0.0</v>
      </c>
    </row>
    <row r="600">
      <c r="A600" s="5">
        <v>775.0</v>
      </c>
      <c r="B600" s="6" t="s">
        <v>640</v>
      </c>
      <c r="C600" s="5" t="s">
        <v>24</v>
      </c>
      <c r="D600" s="5" t="s">
        <v>7</v>
      </c>
      <c r="E600" s="7">
        <v>0.0</v>
      </c>
    </row>
    <row r="601">
      <c r="A601" s="5">
        <v>776.0</v>
      </c>
      <c r="B601" s="6" t="s">
        <v>641</v>
      </c>
      <c r="C601" s="5" t="s">
        <v>37</v>
      </c>
      <c r="D601" s="5" t="s">
        <v>7</v>
      </c>
      <c r="E601" s="7">
        <v>0.0</v>
      </c>
    </row>
    <row r="602">
      <c r="A602" s="5">
        <v>777.0</v>
      </c>
      <c r="B602" s="8" t="s">
        <v>642</v>
      </c>
      <c r="C602" s="5" t="s">
        <v>52</v>
      </c>
      <c r="D602" s="5" t="s">
        <v>7</v>
      </c>
      <c r="E602" s="7">
        <v>0.0</v>
      </c>
    </row>
    <row r="603">
      <c r="A603" s="5">
        <v>778.0</v>
      </c>
      <c r="B603" s="6" t="s">
        <v>643</v>
      </c>
      <c r="C603" s="5" t="s">
        <v>41</v>
      </c>
      <c r="D603" s="5" t="s">
        <v>7</v>
      </c>
      <c r="E603" s="7">
        <v>0.0</v>
      </c>
    </row>
    <row r="604">
      <c r="A604" s="5">
        <v>779.0</v>
      </c>
      <c r="B604" s="6" t="s">
        <v>644</v>
      </c>
      <c r="C604" s="5" t="s">
        <v>96</v>
      </c>
      <c r="D604" s="5" t="s">
        <v>7</v>
      </c>
      <c r="E604" s="7">
        <v>0.0</v>
      </c>
    </row>
    <row r="605">
      <c r="A605" s="5">
        <v>780.0</v>
      </c>
      <c r="B605" s="6" t="s">
        <v>645</v>
      </c>
      <c r="C605" s="5" t="s">
        <v>11</v>
      </c>
      <c r="D605" s="5" t="s">
        <v>7</v>
      </c>
      <c r="E605" s="7">
        <v>0.0</v>
      </c>
    </row>
    <row r="606">
      <c r="A606" s="5">
        <v>781.0</v>
      </c>
      <c r="B606" s="6" t="s">
        <v>646</v>
      </c>
      <c r="C606" s="5" t="s">
        <v>91</v>
      </c>
      <c r="D606" s="5" t="s">
        <v>7</v>
      </c>
      <c r="E606" s="7">
        <v>0.0</v>
      </c>
    </row>
    <row r="607">
      <c r="A607" s="5">
        <v>782.0</v>
      </c>
      <c r="B607" s="6" t="s">
        <v>647</v>
      </c>
      <c r="C607" s="5" t="s">
        <v>22</v>
      </c>
      <c r="D607" s="5" t="s">
        <v>7</v>
      </c>
      <c r="E607" s="7">
        <v>0.0</v>
      </c>
    </row>
    <row r="608">
      <c r="A608" s="5">
        <v>783.0</v>
      </c>
      <c r="B608" s="6" t="s">
        <v>648</v>
      </c>
      <c r="C608" s="5" t="s">
        <v>6</v>
      </c>
      <c r="D608" s="5" t="s">
        <v>7</v>
      </c>
      <c r="E608" s="7">
        <v>0.0</v>
      </c>
    </row>
    <row r="609">
      <c r="A609" s="5">
        <v>784.0</v>
      </c>
      <c r="B609" s="6" t="s">
        <v>649</v>
      </c>
      <c r="C609" s="5" t="s">
        <v>35</v>
      </c>
      <c r="D609" s="5" t="s">
        <v>7</v>
      </c>
      <c r="E609" s="7">
        <v>0.0</v>
      </c>
    </row>
    <row r="610">
      <c r="A610" s="5">
        <v>785.0</v>
      </c>
      <c r="B610" s="6" t="s">
        <v>650</v>
      </c>
      <c r="C610" s="5" t="s">
        <v>71</v>
      </c>
      <c r="D610" s="5" t="s">
        <v>7</v>
      </c>
      <c r="E610" s="7">
        <v>0.0</v>
      </c>
    </row>
    <row r="611">
      <c r="A611" s="5">
        <v>786.0</v>
      </c>
      <c r="B611" s="8" t="s">
        <v>651</v>
      </c>
      <c r="C611" s="5" t="s">
        <v>9</v>
      </c>
      <c r="D611" s="5" t="s">
        <v>7</v>
      </c>
      <c r="E611" s="7">
        <v>0.0</v>
      </c>
    </row>
    <row r="612">
      <c r="A612" s="5">
        <v>787.0</v>
      </c>
      <c r="B612" s="6" t="s">
        <v>652</v>
      </c>
      <c r="C612" s="5" t="s">
        <v>91</v>
      </c>
      <c r="D612" s="5" t="s">
        <v>7</v>
      </c>
      <c r="E612" s="7">
        <v>0.0</v>
      </c>
    </row>
    <row r="613">
      <c r="A613" s="5">
        <v>788.0</v>
      </c>
      <c r="B613" s="6" t="s">
        <v>653</v>
      </c>
      <c r="C613" s="5" t="s">
        <v>139</v>
      </c>
      <c r="D613" s="5" t="s">
        <v>7</v>
      </c>
      <c r="E613" s="7">
        <v>0.0</v>
      </c>
    </row>
    <row r="614">
      <c r="A614" s="5">
        <v>789.0</v>
      </c>
      <c r="B614" s="6" t="s">
        <v>654</v>
      </c>
      <c r="C614" s="5" t="s">
        <v>163</v>
      </c>
      <c r="D614" s="5" t="s">
        <v>7</v>
      </c>
      <c r="E614" s="7">
        <v>0.0</v>
      </c>
    </row>
    <row r="615">
      <c r="A615" s="5">
        <v>790.0</v>
      </c>
      <c r="B615" s="6" t="s">
        <v>655</v>
      </c>
      <c r="C615" s="5" t="s">
        <v>20</v>
      </c>
      <c r="D615" s="5" t="s">
        <v>7</v>
      </c>
      <c r="E615" s="7">
        <v>0.0</v>
      </c>
    </row>
    <row r="616">
      <c r="A616" s="5">
        <v>791.0</v>
      </c>
      <c r="B616" s="6" t="s">
        <v>656</v>
      </c>
      <c r="C616" s="5" t="s">
        <v>48</v>
      </c>
      <c r="D616" s="5" t="s">
        <v>7</v>
      </c>
      <c r="E616" s="7">
        <v>0.0</v>
      </c>
    </row>
    <row r="617">
      <c r="A617" s="5">
        <v>792.0</v>
      </c>
      <c r="B617" s="6" t="s">
        <v>657</v>
      </c>
      <c r="C617" s="5" t="s">
        <v>69</v>
      </c>
      <c r="D617" s="5" t="s">
        <v>7</v>
      </c>
      <c r="E617" s="7">
        <v>0.0</v>
      </c>
    </row>
    <row r="618">
      <c r="A618" s="5">
        <v>793.0</v>
      </c>
      <c r="B618" s="6" t="s">
        <v>658</v>
      </c>
      <c r="C618" s="5" t="s">
        <v>163</v>
      </c>
      <c r="D618" s="5" t="s">
        <v>39</v>
      </c>
      <c r="E618" s="7">
        <v>0.0</v>
      </c>
    </row>
    <row r="619">
      <c r="A619" s="5">
        <v>794.0</v>
      </c>
      <c r="B619" s="6" t="s">
        <v>659</v>
      </c>
      <c r="C619" s="5" t="s">
        <v>43</v>
      </c>
      <c r="D619" s="5" t="s">
        <v>7</v>
      </c>
      <c r="E619" s="7">
        <v>0.0</v>
      </c>
    </row>
    <row r="620">
      <c r="A620" s="5">
        <v>795.0</v>
      </c>
      <c r="B620" s="6" t="s">
        <v>660</v>
      </c>
      <c r="C620" s="5" t="s">
        <v>6</v>
      </c>
      <c r="D620" s="5" t="s">
        <v>7</v>
      </c>
      <c r="E620" s="7">
        <v>0.0</v>
      </c>
    </row>
    <row r="621">
      <c r="A621" s="5">
        <v>796.0</v>
      </c>
      <c r="B621" s="6" t="s">
        <v>661</v>
      </c>
      <c r="C621" s="5" t="s">
        <v>71</v>
      </c>
      <c r="D621" s="5" t="s">
        <v>7</v>
      </c>
      <c r="E621" s="7">
        <v>0.0</v>
      </c>
    </row>
    <row r="622">
      <c r="A622" s="5">
        <v>797.0</v>
      </c>
      <c r="B622" s="6" t="s">
        <v>662</v>
      </c>
      <c r="C622" s="5" t="s">
        <v>18</v>
      </c>
      <c r="D622" s="5" t="s">
        <v>7</v>
      </c>
      <c r="E622" s="7">
        <v>0.0</v>
      </c>
    </row>
    <row r="623">
      <c r="A623" s="5">
        <v>798.0</v>
      </c>
      <c r="B623" s="6" t="s">
        <v>663</v>
      </c>
      <c r="C623" s="5" t="s">
        <v>37</v>
      </c>
      <c r="D623" s="5" t="s">
        <v>7</v>
      </c>
      <c r="E623" s="7">
        <v>0.0</v>
      </c>
    </row>
    <row r="624">
      <c r="A624" s="5">
        <v>799.0</v>
      </c>
      <c r="B624" s="6" t="s">
        <v>664</v>
      </c>
      <c r="C624" s="5" t="s">
        <v>22</v>
      </c>
      <c r="D624" s="5" t="s">
        <v>7</v>
      </c>
      <c r="E624" s="7">
        <v>0.0</v>
      </c>
    </row>
    <row r="625">
      <c r="A625" s="5">
        <v>800.0</v>
      </c>
      <c r="B625" s="6" t="s">
        <v>665</v>
      </c>
      <c r="C625" s="5" t="s">
        <v>16</v>
      </c>
      <c r="D625" s="5" t="s">
        <v>7</v>
      </c>
      <c r="E625" s="7">
        <v>0.0</v>
      </c>
    </row>
    <row r="626">
      <c r="A626" s="5">
        <v>801.0</v>
      </c>
      <c r="B626" s="8" t="s">
        <v>666</v>
      </c>
      <c r="C626" s="5" t="s">
        <v>62</v>
      </c>
      <c r="D626" s="5" t="s">
        <v>7</v>
      </c>
      <c r="E626" s="7">
        <v>0.0</v>
      </c>
    </row>
    <row r="627">
      <c r="A627" s="5">
        <v>802.0</v>
      </c>
      <c r="B627" s="6" t="s">
        <v>667</v>
      </c>
      <c r="C627" s="5" t="s">
        <v>20</v>
      </c>
      <c r="D627" s="5" t="s">
        <v>7</v>
      </c>
      <c r="E627" s="7">
        <v>0.0</v>
      </c>
    </row>
    <row r="628">
      <c r="A628" s="5">
        <v>803.0</v>
      </c>
      <c r="B628" s="6" t="s">
        <v>668</v>
      </c>
      <c r="C628" s="5" t="s">
        <v>59</v>
      </c>
      <c r="D628" s="5" t="s">
        <v>7</v>
      </c>
      <c r="E628" s="7">
        <v>0.0</v>
      </c>
    </row>
    <row r="629">
      <c r="A629" s="5">
        <v>804.0</v>
      </c>
      <c r="B629" s="6" t="s">
        <v>669</v>
      </c>
      <c r="C629" s="5" t="s">
        <v>62</v>
      </c>
      <c r="D629" s="5" t="s">
        <v>7</v>
      </c>
      <c r="E629" s="7">
        <v>0.0</v>
      </c>
    </row>
    <row r="630">
      <c r="A630" s="5">
        <v>805.0</v>
      </c>
      <c r="B630" s="6" t="s">
        <v>670</v>
      </c>
      <c r="C630" s="5" t="s">
        <v>52</v>
      </c>
      <c r="D630" s="5" t="s">
        <v>7</v>
      </c>
      <c r="E630" s="7">
        <v>0.0</v>
      </c>
    </row>
    <row r="631">
      <c r="A631" s="5">
        <v>806.0</v>
      </c>
      <c r="B631" s="6" t="s">
        <v>671</v>
      </c>
      <c r="C631" s="5" t="s">
        <v>26</v>
      </c>
      <c r="D631" s="5" t="s">
        <v>7</v>
      </c>
      <c r="E631" s="7">
        <v>0.0</v>
      </c>
    </row>
    <row r="632">
      <c r="A632" s="5">
        <v>807.0</v>
      </c>
      <c r="B632" s="6" t="s">
        <v>672</v>
      </c>
      <c r="C632" s="5" t="s">
        <v>165</v>
      </c>
      <c r="D632" s="5" t="s">
        <v>7</v>
      </c>
      <c r="E632" s="7">
        <v>0.0</v>
      </c>
    </row>
    <row r="633">
      <c r="A633" s="5">
        <v>808.0</v>
      </c>
      <c r="B633" s="6" t="s">
        <v>673</v>
      </c>
      <c r="C633" s="5" t="s">
        <v>122</v>
      </c>
      <c r="D633" s="5" t="s">
        <v>7</v>
      </c>
      <c r="E633" s="7">
        <v>0.0</v>
      </c>
    </row>
    <row r="634">
      <c r="A634" s="5">
        <v>809.0</v>
      </c>
      <c r="B634" s="6" t="s">
        <v>674</v>
      </c>
      <c r="C634" s="5" t="s">
        <v>163</v>
      </c>
      <c r="D634" s="5" t="s">
        <v>7</v>
      </c>
      <c r="E634" s="7">
        <v>0.0</v>
      </c>
    </row>
    <row r="635">
      <c r="A635" s="5">
        <v>810.0</v>
      </c>
      <c r="B635" s="6" t="s">
        <v>675</v>
      </c>
      <c r="C635" s="5" t="s">
        <v>9</v>
      </c>
      <c r="D635" s="5" t="s">
        <v>7</v>
      </c>
      <c r="E635" s="7">
        <v>0.0</v>
      </c>
    </row>
    <row r="636">
      <c r="A636" s="5">
        <v>811.0</v>
      </c>
      <c r="B636" s="6" t="s">
        <v>676</v>
      </c>
      <c r="C636" s="5" t="s">
        <v>69</v>
      </c>
      <c r="D636" s="5" t="s">
        <v>7</v>
      </c>
      <c r="E636" s="7">
        <v>0.0</v>
      </c>
    </row>
    <row r="637">
      <c r="A637" s="5">
        <v>812.0</v>
      </c>
      <c r="B637" s="6" t="s">
        <v>677</v>
      </c>
      <c r="C637" s="5" t="s">
        <v>50</v>
      </c>
      <c r="D637" s="5" t="s">
        <v>7</v>
      </c>
      <c r="E637" s="7">
        <v>0.0</v>
      </c>
    </row>
    <row r="638">
      <c r="A638" s="5">
        <v>813.0</v>
      </c>
      <c r="B638" s="6" t="s">
        <v>678</v>
      </c>
      <c r="C638" s="5" t="s">
        <v>11</v>
      </c>
      <c r="D638" s="5" t="s">
        <v>7</v>
      </c>
      <c r="E638" s="7">
        <v>0.0</v>
      </c>
    </row>
    <row r="639">
      <c r="A639" s="5">
        <v>814.0</v>
      </c>
      <c r="B639" s="6" t="s">
        <v>679</v>
      </c>
      <c r="C639" s="5" t="s">
        <v>54</v>
      </c>
      <c r="D639" s="5" t="s">
        <v>7</v>
      </c>
      <c r="E639" s="7">
        <v>0.0</v>
      </c>
    </row>
    <row r="640">
      <c r="A640" s="5">
        <v>815.0</v>
      </c>
      <c r="B640" s="6" t="s">
        <v>680</v>
      </c>
      <c r="C640" s="5" t="s">
        <v>24</v>
      </c>
      <c r="D640" s="5" t="s">
        <v>7</v>
      </c>
      <c r="E640" s="7">
        <v>0.0</v>
      </c>
    </row>
    <row r="641">
      <c r="A641" s="5">
        <v>816.0</v>
      </c>
      <c r="B641" s="6" t="s">
        <v>681</v>
      </c>
      <c r="C641" s="5" t="s">
        <v>18</v>
      </c>
      <c r="D641" s="5" t="s">
        <v>7</v>
      </c>
      <c r="E641" s="7">
        <v>0.0</v>
      </c>
    </row>
    <row r="642">
      <c r="A642" s="5">
        <v>817.0</v>
      </c>
      <c r="B642" s="6" t="s">
        <v>682</v>
      </c>
      <c r="C642" s="5" t="s">
        <v>33</v>
      </c>
      <c r="D642" s="5" t="s">
        <v>7</v>
      </c>
      <c r="E642" s="7">
        <v>0.0</v>
      </c>
    </row>
    <row r="643">
      <c r="A643" s="5">
        <v>818.0</v>
      </c>
      <c r="B643" s="6" t="s">
        <v>683</v>
      </c>
      <c r="C643" s="5" t="s">
        <v>9</v>
      </c>
      <c r="D643" s="5" t="s">
        <v>7</v>
      </c>
      <c r="E643" s="7">
        <v>0.0</v>
      </c>
    </row>
    <row r="644">
      <c r="A644" s="5">
        <v>819.0</v>
      </c>
      <c r="B644" s="6" t="s">
        <v>684</v>
      </c>
      <c r="C644" s="5" t="s">
        <v>26</v>
      </c>
      <c r="D644" s="5" t="s">
        <v>7</v>
      </c>
      <c r="E644" s="7">
        <v>0.0</v>
      </c>
    </row>
    <row r="645">
      <c r="A645" s="5">
        <v>820.0</v>
      </c>
      <c r="B645" s="6" t="s">
        <v>685</v>
      </c>
      <c r="C645" s="5" t="s">
        <v>96</v>
      </c>
      <c r="D645" s="5" t="s">
        <v>7</v>
      </c>
      <c r="E645" s="7">
        <v>0.0</v>
      </c>
    </row>
    <row r="646">
      <c r="A646" s="5">
        <v>821.0</v>
      </c>
      <c r="B646" s="6" t="s">
        <v>686</v>
      </c>
      <c r="C646" s="5" t="s">
        <v>43</v>
      </c>
      <c r="D646" s="5" t="s">
        <v>7</v>
      </c>
      <c r="E646" s="7">
        <v>0.0</v>
      </c>
    </row>
    <row r="647">
      <c r="A647" s="5">
        <v>822.0</v>
      </c>
      <c r="B647" s="6" t="s">
        <v>687</v>
      </c>
      <c r="C647" s="5" t="s">
        <v>165</v>
      </c>
      <c r="D647" s="5" t="s">
        <v>7</v>
      </c>
      <c r="E647" s="7">
        <v>0.0</v>
      </c>
    </row>
    <row r="648">
      <c r="A648" s="5">
        <v>823.0</v>
      </c>
      <c r="B648" s="6" t="s">
        <v>688</v>
      </c>
      <c r="C648" s="5" t="s">
        <v>59</v>
      </c>
      <c r="D648" s="5" t="s">
        <v>7</v>
      </c>
      <c r="E648" s="7">
        <v>0.0</v>
      </c>
    </row>
    <row r="649">
      <c r="A649" s="5">
        <v>824.0</v>
      </c>
      <c r="B649" s="6" t="s">
        <v>689</v>
      </c>
      <c r="C649" s="5" t="s">
        <v>11</v>
      </c>
      <c r="D649" s="5" t="s">
        <v>7</v>
      </c>
      <c r="E649" s="7">
        <v>0.0</v>
      </c>
    </row>
    <row r="650">
      <c r="A650" s="5">
        <v>826.0</v>
      </c>
      <c r="B650" s="6" t="s">
        <v>690</v>
      </c>
      <c r="C650" s="5" t="s">
        <v>50</v>
      </c>
      <c r="D650" s="5" t="s">
        <v>7</v>
      </c>
      <c r="E650" s="7">
        <v>0.0</v>
      </c>
    </row>
    <row r="651">
      <c r="A651" s="5">
        <v>827.0</v>
      </c>
      <c r="B651" s="6" t="s">
        <v>691</v>
      </c>
      <c r="C651" s="5" t="s">
        <v>69</v>
      </c>
      <c r="D651" s="5" t="s">
        <v>7</v>
      </c>
      <c r="E651" s="7">
        <v>0.0</v>
      </c>
    </row>
    <row r="652">
      <c r="A652" s="5">
        <v>828.0</v>
      </c>
      <c r="B652" s="6" t="s">
        <v>692</v>
      </c>
      <c r="C652" s="5" t="s">
        <v>48</v>
      </c>
      <c r="D652" s="5" t="s">
        <v>7</v>
      </c>
      <c r="E652" s="7">
        <v>0.0</v>
      </c>
    </row>
    <row r="653">
      <c r="A653" s="5">
        <v>829.0</v>
      </c>
      <c r="B653" s="6" t="s">
        <v>693</v>
      </c>
      <c r="C653" s="5" t="s">
        <v>91</v>
      </c>
      <c r="D653" s="5" t="s">
        <v>7</v>
      </c>
      <c r="E653" s="7">
        <v>0.0</v>
      </c>
    </row>
    <row r="654">
      <c r="A654" s="5">
        <v>830.0</v>
      </c>
      <c r="B654" s="6" t="s">
        <v>694</v>
      </c>
      <c r="C654" s="5" t="s">
        <v>33</v>
      </c>
      <c r="D654" s="5" t="s">
        <v>7</v>
      </c>
      <c r="E654" s="7">
        <v>0.0</v>
      </c>
    </row>
    <row r="655">
      <c r="A655" s="5">
        <v>831.0</v>
      </c>
      <c r="B655" s="6" t="s">
        <v>695</v>
      </c>
      <c r="C655" s="5" t="s">
        <v>18</v>
      </c>
      <c r="D655" s="5" t="s">
        <v>7</v>
      </c>
      <c r="E655" s="7">
        <v>0.0</v>
      </c>
    </row>
    <row r="656">
      <c r="A656" s="5">
        <v>832.0</v>
      </c>
      <c r="B656" s="8" t="s">
        <v>696</v>
      </c>
      <c r="C656" s="5" t="s">
        <v>104</v>
      </c>
      <c r="D656" s="5" t="s">
        <v>7</v>
      </c>
      <c r="E656" s="7">
        <v>0.0</v>
      </c>
    </row>
    <row r="657">
      <c r="A657" s="5">
        <v>833.0</v>
      </c>
      <c r="B657" s="6" t="s">
        <v>697</v>
      </c>
      <c r="C657" s="5" t="s">
        <v>96</v>
      </c>
      <c r="D657" s="5" t="s">
        <v>7</v>
      </c>
      <c r="E657" s="7">
        <v>0.0</v>
      </c>
    </row>
    <row r="658">
      <c r="A658" s="5">
        <v>834.0</v>
      </c>
      <c r="B658" s="6" t="s">
        <v>698</v>
      </c>
      <c r="C658" s="5" t="s">
        <v>91</v>
      </c>
      <c r="D658" s="5" t="s">
        <v>7</v>
      </c>
      <c r="E658" s="7">
        <v>0.0</v>
      </c>
    </row>
    <row r="659">
      <c r="A659" s="5">
        <v>837.0</v>
      </c>
      <c r="B659" s="6" t="s">
        <v>699</v>
      </c>
      <c r="C659" s="5" t="s">
        <v>54</v>
      </c>
      <c r="D659" s="5" t="s">
        <v>7</v>
      </c>
      <c r="E659" s="7">
        <v>0.0</v>
      </c>
    </row>
    <row r="660">
      <c r="A660" s="5">
        <v>838.0</v>
      </c>
      <c r="B660" s="6" t="s">
        <v>700</v>
      </c>
      <c r="C660" s="5" t="s">
        <v>16</v>
      </c>
      <c r="D660" s="5" t="s">
        <v>7</v>
      </c>
      <c r="E660" s="7">
        <v>0.0</v>
      </c>
    </row>
    <row r="661">
      <c r="A661" s="5">
        <v>839.0</v>
      </c>
      <c r="B661" s="6" t="s">
        <v>701</v>
      </c>
      <c r="C661" s="5" t="s">
        <v>54</v>
      </c>
      <c r="D661" s="5" t="s">
        <v>7</v>
      </c>
      <c r="E661" s="7">
        <v>0.0</v>
      </c>
    </row>
    <row r="662">
      <c r="A662" s="5">
        <v>841.0</v>
      </c>
      <c r="B662" s="6" t="s">
        <v>702</v>
      </c>
      <c r="C662" s="5" t="s">
        <v>37</v>
      </c>
      <c r="D662" s="5" t="s">
        <v>7</v>
      </c>
      <c r="E662" s="7">
        <v>0.0</v>
      </c>
    </row>
    <row r="663">
      <c r="A663" s="5">
        <v>842.0</v>
      </c>
      <c r="B663" s="6" t="s">
        <v>703</v>
      </c>
      <c r="C663" s="5" t="s">
        <v>59</v>
      </c>
      <c r="D663" s="5" t="s">
        <v>7</v>
      </c>
      <c r="E663" s="7">
        <v>0.0</v>
      </c>
    </row>
    <row r="664">
      <c r="A664" s="5">
        <v>843.0</v>
      </c>
      <c r="B664" s="6" t="s">
        <v>704</v>
      </c>
      <c r="C664" s="5" t="s">
        <v>22</v>
      </c>
      <c r="D664" s="5" t="s">
        <v>7</v>
      </c>
      <c r="E664" s="7">
        <v>0.0</v>
      </c>
    </row>
    <row r="665">
      <c r="A665" s="5">
        <v>844.0</v>
      </c>
      <c r="B665" s="6" t="s">
        <v>705</v>
      </c>
      <c r="C665" s="5" t="s">
        <v>71</v>
      </c>
      <c r="D665" s="5" t="s">
        <v>7</v>
      </c>
      <c r="E665" s="7">
        <v>0.0</v>
      </c>
    </row>
    <row r="666">
      <c r="A666" s="5">
        <v>845.0</v>
      </c>
      <c r="B666" s="6" t="s">
        <v>706</v>
      </c>
      <c r="C666" s="5" t="s">
        <v>16</v>
      </c>
      <c r="D666" s="5" t="s">
        <v>7</v>
      </c>
      <c r="E666" s="7">
        <v>0.0</v>
      </c>
    </row>
    <row r="667">
      <c r="A667" s="5">
        <v>847.0</v>
      </c>
      <c r="B667" s="6" t="s">
        <v>707</v>
      </c>
      <c r="C667" s="5" t="s">
        <v>122</v>
      </c>
      <c r="D667" s="5" t="s">
        <v>7</v>
      </c>
      <c r="E667" s="7">
        <v>0.0</v>
      </c>
    </row>
    <row r="668">
      <c r="A668" s="5">
        <v>849.0</v>
      </c>
      <c r="B668" s="6" t="s">
        <v>708</v>
      </c>
      <c r="C668" s="5" t="s">
        <v>59</v>
      </c>
      <c r="D668" s="5" t="s">
        <v>7</v>
      </c>
      <c r="E668" s="7">
        <v>0.0</v>
      </c>
    </row>
    <row r="669">
      <c r="A669" s="5">
        <v>850.0</v>
      </c>
      <c r="B669" s="6" t="s">
        <v>709</v>
      </c>
      <c r="C669" s="5" t="s">
        <v>122</v>
      </c>
      <c r="D669" s="5" t="s">
        <v>7</v>
      </c>
      <c r="E669" s="7">
        <v>0.0</v>
      </c>
    </row>
    <row r="670">
      <c r="A670" s="5">
        <v>852.0</v>
      </c>
      <c r="B670" s="6" t="s">
        <v>710</v>
      </c>
      <c r="C670" s="5" t="s">
        <v>28</v>
      </c>
      <c r="D670" s="5" t="s">
        <v>7</v>
      </c>
      <c r="E670" s="7">
        <v>0.0</v>
      </c>
    </row>
    <row r="671">
      <c r="A671" s="5">
        <v>853.0</v>
      </c>
      <c r="B671" s="6" t="s">
        <v>711</v>
      </c>
      <c r="C671" s="5" t="s">
        <v>91</v>
      </c>
      <c r="D671" s="5" t="s">
        <v>7</v>
      </c>
      <c r="E671" s="7">
        <v>0.0</v>
      </c>
    </row>
    <row r="672">
      <c r="A672" s="5">
        <v>854.0</v>
      </c>
      <c r="B672" s="6" t="s">
        <v>712</v>
      </c>
      <c r="C672" s="5" t="s">
        <v>165</v>
      </c>
      <c r="D672" s="5" t="s">
        <v>7</v>
      </c>
      <c r="E672" s="7">
        <v>0.0</v>
      </c>
    </row>
    <row r="673">
      <c r="A673" s="5">
        <v>855.0</v>
      </c>
      <c r="B673" s="6" t="s">
        <v>713</v>
      </c>
      <c r="C673" s="5" t="s">
        <v>165</v>
      </c>
      <c r="D673" s="5" t="s">
        <v>7</v>
      </c>
      <c r="E673" s="7">
        <v>0.0</v>
      </c>
    </row>
    <row r="674">
      <c r="A674" s="5">
        <v>858.0</v>
      </c>
      <c r="B674" s="6" t="s">
        <v>714</v>
      </c>
      <c r="C674" s="5" t="s">
        <v>28</v>
      </c>
      <c r="D674" s="5" t="s">
        <v>7</v>
      </c>
      <c r="E674" s="7">
        <v>0.0</v>
      </c>
    </row>
    <row r="675">
      <c r="A675" s="5">
        <v>859.0</v>
      </c>
      <c r="B675" s="6" t="s">
        <v>715</v>
      </c>
      <c r="C675" s="5" t="s">
        <v>104</v>
      </c>
      <c r="D675" s="5" t="s">
        <v>7</v>
      </c>
      <c r="E675" s="7">
        <v>0.0</v>
      </c>
    </row>
    <row r="676">
      <c r="A676" s="5">
        <v>861.0</v>
      </c>
      <c r="B676" s="6" t="s">
        <v>716</v>
      </c>
      <c r="C676" s="5" t="s">
        <v>48</v>
      </c>
      <c r="D676" s="5" t="s">
        <v>7</v>
      </c>
      <c r="E676" s="7">
        <v>0.0</v>
      </c>
    </row>
    <row r="677">
      <c r="A677" s="5">
        <v>863.0</v>
      </c>
      <c r="B677" s="6" t="s">
        <v>717</v>
      </c>
      <c r="C677" s="5" t="s">
        <v>69</v>
      </c>
      <c r="D677" s="5" t="s">
        <v>7</v>
      </c>
      <c r="E677" s="7">
        <v>0.0</v>
      </c>
    </row>
    <row r="678">
      <c r="A678" s="5">
        <v>864.0</v>
      </c>
      <c r="B678" s="6" t="s">
        <v>718</v>
      </c>
      <c r="C678" s="5" t="s">
        <v>9</v>
      </c>
      <c r="D678" s="5" t="s">
        <v>7</v>
      </c>
      <c r="E678" s="7">
        <v>0.0</v>
      </c>
    </row>
    <row r="679">
      <c r="A679" s="5">
        <v>868.0</v>
      </c>
      <c r="B679" s="6" t="s">
        <v>719</v>
      </c>
      <c r="C679" s="5" t="s">
        <v>59</v>
      </c>
      <c r="D679" s="5" t="s">
        <v>7</v>
      </c>
      <c r="E679" s="7">
        <v>0.0</v>
      </c>
    </row>
    <row r="680">
      <c r="A680" s="5">
        <v>869.0</v>
      </c>
      <c r="B680" s="6" t="s">
        <v>720</v>
      </c>
      <c r="C680" s="5" t="s">
        <v>52</v>
      </c>
      <c r="D680" s="5" t="s">
        <v>7</v>
      </c>
      <c r="E680" s="7">
        <v>0.0</v>
      </c>
    </row>
    <row r="681">
      <c r="A681" s="5">
        <v>871.0</v>
      </c>
      <c r="B681" s="6" t="s">
        <v>721</v>
      </c>
      <c r="C681" s="5" t="s">
        <v>43</v>
      </c>
      <c r="D681" s="5" t="s">
        <v>7</v>
      </c>
      <c r="E681" s="7">
        <v>0.0</v>
      </c>
    </row>
    <row r="682">
      <c r="A682" s="5">
        <v>874.0</v>
      </c>
      <c r="B682" s="6" t="s">
        <v>722</v>
      </c>
      <c r="C682" s="5" t="s">
        <v>24</v>
      </c>
      <c r="D682" s="5" t="s">
        <v>7</v>
      </c>
      <c r="E682" s="7">
        <v>0.0</v>
      </c>
    </row>
    <row r="683">
      <c r="A683" s="5">
        <v>877.0</v>
      </c>
      <c r="B683" s="6" t="s">
        <v>723</v>
      </c>
      <c r="C683" s="5" t="s">
        <v>6</v>
      </c>
      <c r="D683" s="5" t="s">
        <v>7</v>
      </c>
      <c r="E683" s="7">
        <v>0.0</v>
      </c>
    </row>
    <row r="684">
      <c r="A684" s="5">
        <v>879.0</v>
      </c>
      <c r="B684" s="6" t="s">
        <v>724</v>
      </c>
      <c r="C684" s="5" t="s">
        <v>62</v>
      </c>
      <c r="D684" s="5" t="s">
        <v>7</v>
      </c>
      <c r="E684" s="7">
        <v>0.0</v>
      </c>
    </row>
    <row r="685">
      <c r="A685" s="5">
        <v>880.0</v>
      </c>
      <c r="B685" s="6" t="s">
        <v>725</v>
      </c>
      <c r="C685" s="5" t="s">
        <v>35</v>
      </c>
      <c r="D685" s="5" t="s">
        <v>7</v>
      </c>
      <c r="E685" s="7">
        <v>0.0</v>
      </c>
    </row>
    <row r="686">
      <c r="A686" s="5">
        <v>887.0</v>
      </c>
      <c r="B686" s="6" t="s">
        <v>726</v>
      </c>
      <c r="C686" s="5" t="s">
        <v>41</v>
      </c>
      <c r="D686" s="5" t="s">
        <v>7</v>
      </c>
      <c r="E686" s="7">
        <v>0.0</v>
      </c>
    </row>
    <row r="687">
      <c r="A687" s="5">
        <v>890.0</v>
      </c>
      <c r="B687" s="6" t="s">
        <v>727</v>
      </c>
      <c r="C687" s="5" t="s">
        <v>50</v>
      </c>
      <c r="D687" s="5" t="s">
        <v>7</v>
      </c>
      <c r="E687" s="7">
        <v>0.0</v>
      </c>
    </row>
    <row r="688">
      <c r="A688" s="5">
        <v>891.0</v>
      </c>
      <c r="B688" s="6" t="s">
        <v>728</v>
      </c>
      <c r="C688" s="5" t="s">
        <v>163</v>
      </c>
      <c r="D688" s="5" t="s">
        <v>7</v>
      </c>
      <c r="E688" s="7">
        <v>0.0</v>
      </c>
    </row>
    <row r="689">
      <c r="A689" s="5">
        <v>895.0</v>
      </c>
      <c r="B689" s="6" t="s">
        <v>729</v>
      </c>
      <c r="C689" s="5" t="s">
        <v>104</v>
      </c>
      <c r="D689" s="5" t="s">
        <v>7</v>
      </c>
      <c r="E689" s="7">
        <v>0.0</v>
      </c>
    </row>
    <row r="690">
      <c r="A690" s="5">
        <v>900.0</v>
      </c>
      <c r="B690" s="6" t="s">
        <v>730</v>
      </c>
      <c r="C690" s="5" t="s">
        <v>48</v>
      </c>
      <c r="D690" s="5" t="s">
        <v>7</v>
      </c>
      <c r="E690" s="7">
        <v>0.0</v>
      </c>
    </row>
    <row r="691">
      <c r="A691" s="5">
        <v>901.0</v>
      </c>
      <c r="B691" s="6" t="s">
        <v>731</v>
      </c>
      <c r="C691" s="5" t="s">
        <v>41</v>
      </c>
      <c r="D691" s="5" t="s">
        <v>7</v>
      </c>
      <c r="E691" s="7">
        <v>0.0</v>
      </c>
    </row>
    <row r="692">
      <c r="A692" s="5">
        <v>902.0</v>
      </c>
      <c r="B692" s="6" t="s">
        <v>732</v>
      </c>
      <c r="C692" s="5" t="s">
        <v>139</v>
      </c>
      <c r="D692" s="5" t="s">
        <v>7</v>
      </c>
      <c r="E692" s="7">
        <v>0.0</v>
      </c>
    </row>
    <row r="693">
      <c r="A693" s="5">
        <v>905.0</v>
      </c>
      <c r="B693" s="6" t="s">
        <v>733</v>
      </c>
      <c r="C693" s="5" t="s">
        <v>139</v>
      </c>
      <c r="D693" s="5" t="s">
        <v>7</v>
      </c>
      <c r="E693" s="7">
        <v>0.0</v>
      </c>
    </row>
    <row r="694">
      <c r="A694" s="5">
        <v>909.0</v>
      </c>
      <c r="B694" s="6" t="s">
        <v>734</v>
      </c>
      <c r="C694" s="5" t="s">
        <v>41</v>
      </c>
      <c r="D694" s="5" t="s">
        <v>7</v>
      </c>
      <c r="E694" s="7">
        <v>0.0</v>
      </c>
    </row>
    <row r="695">
      <c r="A695" s="5">
        <v>916.0</v>
      </c>
      <c r="B695" s="6" t="s">
        <v>735</v>
      </c>
      <c r="C695" s="5" t="s">
        <v>18</v>
      </c>
      <c r="D695" s="5" t="s">
        <v>7</v>
      </c>
      <c r="E695" s="7">
        <v>0.0</v>
      </c>
    </row>
    <row r="696">
      <c r="A696" s="5">
        <v>917.0</v>
      </c>
      <c r="B696" s="6" t="s">
        <v>736</v>
      </c>
      <c r="C696" s="5" t="s">
        <v>16</v>
      </c>
      <c r="D696" s="5" t="s">
        <v>7</v>
      </c>
      <c r="E696" s="7">
        <v>0.0</v>
      </c>
    </row>
    <row r="697">
      <c r="A697" s="5">
        <v>923.0</v>
      </c>
      <c r="B697" s="6" t="s">
        <v>737</v>
      </c>
      <c r="C697" s="5" t="s">
        <v>46</v>
      </c>
      <c r="D697" s="5" t="s">
        <v>7</v>
      </c>
      <c r="E697" s="7">
        <v>0.0</v>
      </c>
    </row>
    <row r="698">
      <c r="A698" s="5">
        <v>930.0</v>
      </c>
      <c r="B698" s="6" t="s">
        <v>738</v>
      </c>
      <c r="C698" s="5" t="s">
        <v>48</v>
      </c>
      <c r="D698" s="5" t="s">
        <v>7</v>
      </c>
      <c r="E698" s="7">
        <v>0.0</v>
      </c>
    </row>
    <row r="699">
      <c r="A699" s="5">
        <v>931.0</v>
      </c>
      <c r="B699" s="6" t="s">
        <v>739</v>
      </c>
      <c r="C699" s="5" t="s">
        <v>16</v>
      </c>
      <c r="D699" s="5" t="s">
        <v>7</v>
      </c>
      <c r="E699" s="7">
        <v>0.0</v>
      </c>
    </row>
    <row r="700">
      <c r="A700" s="5">
        <v>932.0</v>
      </c>
      <c r="B700" s="6" t="s">
        <v>740</v>
      </c>
      <c r="C700" s="5" t="s">
        <v>20</v>
      </c>
      <c r="D700" s="5" t="s">
        <v>7</v>
      </c>
      <c r="E700" s="7">
        <v>0.0</v>
      </c>
    </row>
    <row r="701">
      <c r="A701" s="5">
        <v>944.0</v>
      </c>
      <c r="B701" s="6" t="s">
        <v>741</v>
      </c>
      <c r="C701" s="5" t="s">
        <v>165</v>
      </c>
      <c r="D701" s="5" t="s">
        <v>39</v>
      </c>
      <c r="E701" s="7">
        <v>0.0</v>
      </c>
    </row>
    <row r="702">
      <c r="A702" s="5">
        <v>945.0</v>
      </c>
      <c r="B702" s="6" t="s">
        <v>742</v>
      </c>
      <c r="C702" s="5" t="s">
        <v>165</v>
      </c>
      <c r="D702" s="5" t="s">
        <v>39</v>
      </c>
      <c r="E702" s="7">
        <v>0.0</v>
      </c>
    </row>
    <row r="703">
      <c r="A703" s="5">
        <v>946.0</v>
      </c>
      <c r="B703" s="6" t="s">
        <v>743</v>
      </c>
      <c r="C703" s="5" t="s">
        <v>163</v>
      </c>
      <c r="D703" s="5" t="s">
        <v>39</v>
      </c>
      <c r="E703" s="7">
        <v>0.0</v>
      </c>
    </row>
    <row r="704">
      <c r="A704" s="5">
        <v>947.0</v>
      </c>
      <c r="B704" s="6" t="s">
        <v>744</v>
      </c>
      <c r="C704" s="5" t="s">
        <v>6</v>
      </c>
      <c r="D704" s="5" t="s">
        <v>39</v>
      </c>
      <c r="E704" s="7">
        <v>0.0</v>
      </c>
    </row>
    <row r="705">
      <c r="A705" s="5">
        <v>948.0</v>
      </c>
      <c r="B705" s="6" t="s">
        <v>745</v>
      </c>
      <c r="C705" s="5" t="s">
        <v>122</v>
      </c>
      <c r="D705" s="5" t="s">
        <v>39</v>
      </c>
      <c r="E705" s="7">
        <v>0.0</v>
      </c>
    </row>
    <row r="706">
      <c r="A706" s="5">
        <v>949.0</v>
      </c>
      <c r="B706" s="6" t="s">
        <v>746</v>
      </c>
      <c r="C706" s="5" t="s">
        <v>48</v>
      </c>
      <c r="D706" s="5" t="s">
        <v>39</v>
      </c>
      <c r="E706" s="7">
        <v>0.0</v>
      </c>
    </row>
    <row r="707">
      <c r="A707" s="5">
        <v>950.0</v>
      </c>
      <c r="B707" s="6" t="s">
        <v>747</v>
      </c>
      <c r="C707" s="5" t="s">
        <v>16</v>
      </c>
      <c r="D707" s="5" t="s">
        <v>39</v>
      </c>
      <c r="E707" s="7">
        <v>0.0</v>
      </c>
    </row>
    <row r="708">
      <c r="A708" s="5">
        <v>951.0</v>
      </c>
      <c r="B708" s="6" t="s">
        <v>748</v>
      </c>
      <c r="C708" s="5" t="s">
        <v>165</v>
      </c>
      <c r="D708" s="5" t="s">
        <v>39</v>
      </c>
      <c r="E708" s="7">
        <v>0.0</v>
      </c>
    </row>
    <row r="709">
      <c r="A709" s="5">
        <v>952.0</v>
      </c>
      <c r="B709" s="8" t="s">
        <v>749</v>
      </c>
      <c r="C709" s="5" t="s">
        <v>37</v>
      </c>
      <c r="D709" s="5" t="s">
        <v>39</v>
      </c>
      <c r="E709" s="7">
        <v>0.0</v>
      </c>
    </row>
    <row r="710">
      <c r="A710" s="5">
        <v>953.0</v>
      </c>
      <c r="B710" s="6" t="s">
        <v>750</v>
      </c>
      <c r="C710" s="5" t="s">
        <v>104</v>
      </c>
      <c r="D710" s="5" t="s">
        <v>39</v>
      </c>
      <c r="E710" s="7">
        <v>0.0</v>
      </c>
    </row>
    <row r="711">
      <c r="A711" s="5">
        <v>954.0</v>
      </c>
      <c r="B711" s="6" t="s">
        <v>751</v>
      </c>
      <c r="C711" s="5" t="s">
        <v>33</v>
      </c>
      <c r="D711" s="5" t="s">
        <v>39</v>
      </c>
      <c r="E711" s="7">
        <v>0.0</v>
      </c>
    </row>
    <row r="712">
      <c r="A712" s="5">
        <v>955.0</v>
      </c>
      <c r="B712" s="6" t="s">
        <v>752</v>
      </c>
      <c r="C712" s="5" t="s">
        <v>50</v>
      </c>
      <c r="D712" s="5" t="s">
        <v>39</v>
      </c>
      <c r="E712" s="7">
        <v>0.0</v>
      </c>
    </row>
    <row r="713">
      <c r="A713" s="5">
        <v>956.0</v>
      </c>
      <c r="B713" s="6" t="s">
        <v>753</v>
      </c>
      <c r="C713" s="5" t="s">
        <v>91</v>
      </c>
      <c r="D713" s="5" t="s">
        <v>39</v>
      </c>
      <c r="E713" s="7">
        <v>0.0</v>
      </c>
    </row>
    <row r="714">
      <c r="A714" s="5">
        <v>957.0</v>
      </c>
      <c r="B714" s="6" t="s">
        <v>754</v>
      </c>
      <c r="C714" s="5" t="s">
        <v>59</v>
      </c>
      <c r="D714" s="5" t="s">
        <v>39</v>
      </c>
      <c r="E714" s="7">
        <v>0.0</v>
      </c>
    </row>
    <row r="715">
      <c r="A715" s="5">
        <v>958.0</v>
      </c>
      <c r="B715" s="6" t="s">
        <v>755</v>
      </c>
      <c r="C715" s="5" t="s">
        <v>26</v>
      </c>
      <c r="D715" s="5" t="s">
        <v>39</v>
      </c>
      <c r="E715" s="7">
        <v>0.0</v>
      </c>
    </row>
    <row r="716">
      <c r="A716" s="5">
        <v>959.0</v>
      </c>
      <c r="B716" s="6" t="s">
        <v>756</v>
      </c>
      <c r="C716" s="5" t="s">
        <v>22</v>
      </c>
      <c r="D716" s="5" t="s">
        <v>39</v>
      </c>
      <c r="E716" s="7">
        <v>0.0</v>
      </c>
    </row>
    <row r="717">
      <c r="A717" s="5">
        <v>960.0</v>
      </c>
      <c r="B717" s="6" t="s">
        <v>757</v>
      </c>
      <c r="C717" s="5" t="s">
        <v>139</v>
      </c>
      <c r="D717" s="5" t="s">
        <v>39</v>
      </c>
      <c r="E717" s="7">
        <v>0.0</v>
      </c>
    </row>
    <row r="718">
      <c r="A718" s="5">
        <v>961.0</v>
      </c>
      <c r="B718" s="6" t="s">
        <v>758</v>
      </c>
      <c r="C718" s="5" t="s">
        <v>54</v>
      </c>
      <c r="D718" s="5" t="s">
        <v>39</v>
      </c>
      <c r="E718" s="7">
        <v>0.0</v>
      </c>
    </row>
    <row r="719">
      <c r="A719" s="5">
        <v>962.0</v>
      </c>
      <c r="B719" s="6" t="s">
        <v>759</v>
      </c>
      <c r="C719" s="5" t="s">
        <v>11</v>
      </c>
      <c r="D719" s="5" t="s">
        <v>39</v>
      </c>
      <c r="E719" s="7">
        <v>0.0</v>
      </c>
    </row>
    <row r="720">
      <c r="A720" s="5">
        <v>963.0</v>
      </c>
      <c r="B720" s="6" t="s">
        <v>760</v>
      </c>
      <c r="C720" s="5" t="s">
        <v>28</v>
      </c>
      <c r="D720" s="5" t="s">
        <v>39</v>
      </c>
      <c r="E720" s="7">
        <v>0.0</v>
      </c>
    </row>
    <row r="721">
      <c r="A721" s="5">
        <v>964.0</v>
      </c>
      <c r="B721" s="6" t="s">
        <v>761</v>
      </c>
      <c r="C721" s="5" t="s">
        <v>35</v>
      </c>
      <c r="D721" s="5" t="s">
        <v>39</v>
      </c>
      <c r="E721" s="7">
        <v>0.0</v>
      </c>
    </row>
    <row r="722">
      <c r="A722" s="5">
        <v>965.0</v>
      </c>
      <c r="B722" s="6" t="s">
        <v>762</v>
      </c>
      <c r="C722" s="5" t="s">
        <v>20</v>
      </c>
      <c r="D722" s="5" t="s">
        <v>39</v>
      </c>
      <c r="E722" s="7">
        <v>0.0</v>
      </c>
    </row>
    <row r="723">
      <c r="A723" s="5">
        <v>966.0</v>
      </c>
      <c r="B723" s="8" t="s">
        <v>763</v>
      </c>
      <c r="C723" s="5" t="s">
        <v>24</v>
      </c>
      <c r="D723" s="5" t="s">
        <v>39</v>
      </c>
      <c r="E723" s="7">
        <v>0.0</v>
      </c>
    </row>
    <row r="724">
      <c r="A724" s="5">
        <v>967.0</v>
      </c>
      <c r="B724" s="6" t="s">
        <v>764</v>
      </c>
      <c r="C724" s="5" t="s">
        <v>43</v>
      </c>
      <c r="D724" s="5" t="s">
        <v>39</v>
      </c>
      <c r="E724" s="7">
        <v>0.0</v>
      </c>
    </row>
    <row r="725">
      <c r="A725" s="5">
        <v>968.0</v>
      </c>
      <c r="B725" s="6" t="s">
        <v>765</v>
      </c>
      <c r="C725" s="5" t="s">
        <v>18</v>
      </c>
      <c r="D725" s="5" t="s">
        <v>39</v>
      </c>
      <c r="E725" s="7">
        <v>0.0</v>
      </c>
    </row>
    <row r="726">
      <c r="A726" s="5">
        <v>969.0</v>
      </c>
      <c r="B726" s="6" t="s">
        <v>766</v>
      </c>
      <c r="C726" s="5" t="s">
        <v>46</v>
      </c>
      <c r="D726" s="5" t="s">
        <v>39</v>
      </c>
      <c r="E726" s="7">
        <v>0.0</v>
      </c>
    </row>
    <row r="727">
      <c r="A727" s="5">
        <v>970.0</v>
      </c>
      <c r="B727" s="6" t="s">
        <v>767</v>
      </c>
      <c r="C727" s="5" t="s">
        <v>96</v>
      </c>
      <c r="D727" s="5" t="s">
        <v>39</v>
      </c>
      <c r="E727" s="7">
        <v>0.0</v>
      </c>
    </row>
    <row r="728">
      <c r="A728" s="5">
        <v>971.0</v>
      </c>
      <c r="B728" s="6" t="s">
        <v>768</v>
      </c>
      <c r="C728" s="5" t="s">
        <v>16</v>
      </c>
      <c r="D728" s="5" t="s">
        <v>39</v>
      </c>
      <c r="E728" s="7">
        <v>0.0</v>
      </c>
    </row>
    <row r="729">
      <c r="A729" s="5">
        <v>972.0</v>
      </c>
      <c r="B729" s="6" t="s">
        <v>769</v>
      </c>
      <c r="C729" s="5" t="s">
        <v>41</v>
      </c>
      <c r="D729" s="5" t="s">
        <v>39</v>
      </c>
      <c r="E729" s="7">
        <v>0.0</v>
      </c>
    </row>
    <row r="730">
      <c r="A730" s="5">
        <v>973.0</v>
      </c>
      <c r="B730" s="6" t="s">
        <v>770</v>
      </c>
      <c r="C730" s="5" t="s">
        <v>52</v>
      </c>
      <c r="D730" s="5" t="s">
        <v>39</v>
      </c>
      <c r="E730" s="7">
        <v>0.0</v>
      </c>
    </row>
    <row r="731">
      <c r="A731" s="5">
        <v>974.0</v>
      </c>
      <c r="B731" s="6" t="s">
        <v>771</v>
      </c>
      <c r="C731" s="5" t="s">
        <v>9</v>
      </c>
      <c r="D731" s="5" t="s">
        <v>39</v>
      </c>
      <c r="E731" s="7">
        <v>0.0</v>
      </c>
    </row>
    <row r="732">
      <c r="A732" s="5">
        <v>975.0</v>
      </c>
      <c r="B732" s="6" t="s">
        <v>772</v>
      </c>
      <c r="C732" s="5" t="s">
        <v>62</v>
      </c>
      <c r="D732" s="5" t="s">
        <v>39</v>
      </c>
      <c r="E732" s="7">
        <v>0.0</v>
      </c>
    </row>
    <row r="733">
      <c r="A733" s="5">
        <v>976.0</v>
      </c>
      <c r="B733" s="6" t="s">
        <v>773</v>
      </c>
      <c r="C733" s="5" t="s">
        <v>69</v>
      </c>
      <c r="D733" s="5" t="s">
        <v>39</v>
      </c>
      <c r="E733" s="7">
        <v>0.0</v>
      </c>
    </row>
    <row r="734">
      <c r="A734" s="5">
        <v>977.0</v>
      </c>
      <c r="B734" s="6" t="s">
        <v>774</v>
      </c>
      <c r="C734" s="5" t="s">
        <v>30</v>
      </c>
      <c r="D734" s="5" t="s">
        <v>39</v>
      </c>
      <c r="E734" s="7">
        <v>0.0</v>
      </c>
    </row>
    <row r="735">
      <c r="A735" s="5">
        <v>978.0</v>
      </c>
      <c r="B735" s="6" t="s">
        <v>775</v>
      </c>
      <c r="C735" s="5" t="s">
        <v>71</v>
      </c>
      <c r="D735" s="5" t="s">
        <v>39</v>
      </c>
      <c r="E735" s="7">
        <v>0.0</v>
      </c>
    </row>
    <row r="736">
      <c r="A736" s="5">
        <v>979.0</v>
      </c>
      <c r="B736" s="6" t="s">
        <v>776</v>
      </c>
      <c r="C736" s="5" t="s">
        <v>104</v>
      </c>
      <c r="D736" s="5" t="s">
        <v>39</v>
      </c>
      <c r="E736" s="7">
        <v>0.0</v>
      </c>
    </row>
    <row r="737">
      <c r="A737" s="5">
        <v>980.0</v>
      </c>
      <c r="B737" s="8" t="s">
        <v>777</v>
      </c>
      <c r="C737" s="5" t="s">
        <v>59</v>
      </c>
      <c r="D737" s="5" t="s">
        <v>39</v>
      </c>
      <c r="E737" s="7">
        <v>0.0</v>
      </c>
    </row>
    <row r="738">
      <c r="A738" s="5">
        <v>981.0</v>
      </c>
      <c r="B738" s="6" t="s">
        <v>778</v>
      </c>
      <c r="C738" s="5" t="s">
        <v>35</v>
      </c>
      <c r="D738" s="5" t="s">
        <v>39</v>
      </c>
      <c r="E738" s="7">
        <v>0.0</v>
      </c>
    </row>
    <row r="739">
      <c r="A739" s="5">
        <v>982.0</v>
      </c>
      <c r="B739" s="6" t="s">
        <v>779</v>
      </c>
      <c r="C739" s="5" t="s">
        <v>43</v>
      </c>
      <c r="D739" s="5" t="s">
        <v>39</v>
      </c>
      <c r="E739" s="7">
        <v>0.0</v>
      </c>
    </row>
    <row r="740">
      <c r="A740" s="5">
        <v>983.0</v>
      </c>
      <c r="B740" s="8" t="s">
        <v>780</v>
      </c>
      <c r="C740" s="5" t="s">
        <v>104</v>
      </c>
      <c r="D740" s="5" t="s">
        <v>39</v>
      </c>
      <c r="E740" s="7">
        <v>0.0</v>
      </c>
    </row>
    <row r="741">
      <c r="A741" s="5">
        <v>984.0</v>
      </c>
      <c r="B741" s="6" t="s">
        <v>781</v>
      </c>
      <c r="C741" s="5" t="s">
        <v>22</v>
      </c>
      <c r="D741" s="5" t="s">
        <v>39</v>
      </c>
      <c r="E741" s="7">
        <v>0.0</v>
      </c>
    </row>
    <row r="742">
      <c r="A742" s="5">
        <v>986.0</v>
      </c>
      <c r="B742" s="6" t="s">
        <v>782</v>
      </c>
      <c r="C742" s="5" t="s">
        <v>52</v>
      </c>
      <c r="D742" s="5" t="s">
        <v>39</v>
      </c>
      <c r="E742" s="7">
        <v>0.0</v>
      </c>
    </row>
    <row r="743">
      <c r="A743" s="5">
        <v>987.0</v>
      </c>
      <c r="B743" s="6" t="s">
        <v>783</v>
      </c>
      <c r="C743" s="5" t="s">
        <v>20</v>
      </c>
      <c r="D743" s="5" t="s">
        <v>39</v>
      </c>
      <c r="E743" s="7">
        <v>0.0</v>
      </c>
    </row>
    <row r="744">
      <c r="A744" s="5">
        <v>988.0</v>
      </c>
      <c r="B744" s="6" t="s">
        <v>784</v>
      </c>
      <c r="C744" s="5" t="s">
        <v>52</v>
      </c>
      <c r="D744" s="5" t="s">
        <v>39</v>
      </c>
      <c r="E744" s="7">
        <v>0.0</v>
      </c>
    </row>
    <row r="745">
      <c r="A745" s="5">
        <v>989.0</v>
      </c>
      <c r="B745" s="8" t="s">
        <v>785</v>
      </c>
      <c r="C745" s="5" t="s">
        <v>6</v>
      </c>
      <c r="D745" s="5" t="s">
        <v>39</v>
      </c>
      <c r="E745" s="7">
        <v>0.0</v>
      </c>
    </row>
    <row r="746">
      <c r="A746" s="5">
        <v>990.0</v>
      </c>
      <c r="B746" s="6" t="s">
        <v>786</v>
      </c>
      <c r="C746" s="5" t="s">
        <v>9</v>
      </c>
      <c r="D746" s="5" t="s">
        <v>39</v>
      </c>
      <c r="E746" s="7">
        <v>0.0</v>
      </c>
    </row>
    <row r="747">
      <c r="A747" s="5">
        <v>991.0</v>
      </c>
      <c r="B747" s="6" t="s">
        <v>787</v>
      </c>
      <c r="C747" s="5" t="s">
        <v>48</v>
      </c>
      <c r="D747" s="5" t="s">
        <v>39</v>
      </c>
      <c r="E747" s="7">
        <v>0.0</v>
      </c>
    </row>
    <row r="748">
      <c r="A748" s="5">
        <v>992.0</v>
      </c>
      <c r="B748" s="6" t="s">
        <v>788</v>
      </c>
      <c r="C748" s="5" t="s">
        <v>59</v>
      </c>
      <c r="D748" s="5" t="s">
        <v>39</v>
      </c>
      <c r="E748" s="7">
        <v>0.0</v>
      </c>
    </row>
    <row r="749">
      <c r="A749" s="5">
        <v>993.0</v>
      </c>
      <c r="B749" s="6" t="s">
        <v>789</v>
      </c>
      <c r="C749" s="5" t="s">
        <v>33</v>
      </c>
      <c r="D749" s="5" t="s">
        <v>39</v>
      </c>
      <c r="E749" s="7">
        <v>0.0</v>
      </c>
    </row>
    <row r="750">
      <c r="A750" s="5">
        <v>994.0</v>
      </c>
      <c r="B750" s="6" t="s">
        <v>790</v>
      </c>
      <c r="C750" s="5" t="s">
        <v>62</v>
      </c>
      <c r="D750" s="5" t="s">
        <v>39</v>
      </c>
      <c r="E750" s="7">
        <v>0.0</v>
      </c>
    </row>
    <row r="751">
      <c r="A751" s="5">
        <v>995.0</v>
      </c>
      <c r="B751" s="6" t="s">
        <v>791</v>
      </c>
      <c r="C751" s="5" t="s">
        <v>41</v>
      </c>
      <c r="D751" s="5" t="s">
        <v>39</v>
      </c>
      <c r="E751" s="7">
        <v>0.0</v>
      </c>
    </row>
    <row r="752">
      <c r="A752" s="5">
        <v>996.0</v>
      </c>
      <c r="B752" s="6" t="s">
        <v>792</v>
      </c>
      <c r="C752" s="5" t="s">
        <v>43</v>
      </c>
      <c r="D752" s="5" t="s">
        <v>39</v>
      </c>
      <c r="E752" s="7">
        <v>0.0</v>
      </c>
    </row>
    <row r="753">
      <c r="A753" s="5">
        <v>997.0</v>
      </c>
      <c r="B753" s="6" t="s">
        <v>793</v>
      </c>
      <c r="C753" s="5" t="s">
        <v>28</v>
      </c>
      <c r="D753" s="5" t="s">
        <v>39</v>
      </c>
      <c r="E753" s="7">
        <v>0.0</v>
      </c>
    </row>
    <row r="754">
      <c r="A754" s="5">
        <v>998.0</v>
      </c>
      <c r="B754" s="6" t="s">
        <v>794</v>
      </c>
      <c r="C754" s="5" t="s">
        <v>50</v>
      </c>
      <c r="D754" s="5" t="s">
        <v>39</v>
      </c>
      <c r="E754" s="7">
        <v>0.0</v>
      </c>
    </row>
    <row r="755">
      <c r="A755" s="5">
        <v>999.0</v>
      </c>
      <c r="B755" s="6" t="s">
        <v>795</v>
      </c>
      <c r="C755" s="5" t="s">
        <v>69</v>
      </c>
      <c r="D755" s="5" t="s">
        <v>39</v>
      </c>
      <c r="E755" s="7">
        <v>0.0</v>
      </c>
    </row>
    <row r="756">
      <c r="A756" s="5">
        <v>1001.0</v>
      </c>
      <c r="B756" s="6" t="s">
        <v>796</v>
      </c>
      <c r="C756" s="5" t="s">
        <v>91</v>
      </c>
      <c r="D756" s="5" t="s">
        <v>39</v>
      </c>
      <c r="E756" s="7">
        <v>0.0</v>
      </c>
    </row>
    <row r="757">
      <c r="A757" s="5">
        <v>1003.0</v>
      </c>
      <c r="B757" s="6" t="s">
        <v>797</v>
      </c>
      <c r="C757" s="5" t="s">
        <v>122</v>
      </c>
      <c r="D757" s="5" t="s">
        <v>39</v>
      </c>
      <c r="E757" s="7">
        <v>0.0</v>
      </c>
    </row>
    <row r="758">
      <c r="A758" s="5">
        <v>1004.0</v>
      </c>
      <c r="B758" s="6" t="s">
        <v>798</v>
      </c>
      <c r="C758" s="5" t="s">
        <v>46</v>
      </c>
      <c r="D758" s="5" t="s">
        <v>39</v>
      </c>
      <c r="E758" s="7">
        <v>0.0</v>
      </c>
    </row>
    <row r="759">
      <c r="A759" s="5">
        <v>1005.0</v>
      </c>
      <c r="B759" s="6" t="s">
        <v>799</v>
      </c>
      <c r="C759" s="5" t="s">
        <v>11</v>
      </c>
      <c r="D759" s="5" t="s">
        <v>39</v>
      </c>
      <c r="E759" s="7">
        <v>0.0</v>
      </c>
    </row>
    <row r="760">
      <c r="A760" s="5">
        <v>1006.0</v>
      </c>
      <c r="B760" s="6" t="s">
        <v>800</v>
      </c>
      <c r="C760" s="5" t="s">
        <v>30</v>
      </c>
      <c r="D760" s="5" t="s">
        <v>39</v>
      </c>
      <c r="E760" s="7">
        <v>0.0</v>
      </c>
    </row>
    <row r="761">
      <c r="A761" s="5">
        <v>1007.0</v>
      </c>
      <c r="B761" s="6" t="s">
        <v>801</v>
      </c>
      <c r="C761" s="5" t="s">
        <v>71</v>
      </c>
      <c r="D761" s="5" t="s">
        <v>39</v>
      </c>
      <c r="E761" s="7">
        <v>0.0</v>
      </c>
    </row>
    <row r="762">
      <c r="A762" s="5">
        <v>1008.0</v>
      </c>
      <c r="B762" s="6" t="s">
        <v>335</v>
      </c>
      <c r="C762" s="5" t="s">
        <v>37</v>
      </c>
      <c r="D762" s="5" t="s">
        <v>39</v>
      </c>
      <c r="E762" s="7">
        <v>0.0</v>
      </c>
    </row>
    <row r="763">
      <c r="A763" s="5">
        <v>1009.0</v>
      </c>
      <c r="B763" s="6" t="s">
        <v>802</v>
      </c>
      <c r="C763" s="5" t="s">
        <v>96</v>
      </c>
      <c r="D763" s="5" t="s">
        <v>39</v>
      </c>
      <c r="E763" s="7">
        <v>0.0</v>
      </c>
    </row>
    <row r="764">
      <c r="A764" s="5">
        <v>1012.0</v>
      </c>
      <c r="B764" s="6" t="s">
        <v>803</v>
      </c>
      <c r="C764" s="5" t="s">
        <v>22</v>
      </c>
      <c r="D764" s="5" t="s">
        <v>39</v>
      </c>
      <c r="E764" s="7">
        <v>0.0</v>
      </c>
    </row>
    <row r="765">
      <c r="A765" s="5">
        <v>1013.0</v>
      </c>
      <c r="B765" s="6" t="s">
        <v>804</v>
      </c>
      <c r="C765" s="5" t="s">
        <v>24</v>
      </c>
      <c r="D765" s="5" t="s">
        <v>39</v>
      </c>
      <c r="E765" s="7">
        <v>0.0</v>
      </c>
    </row>
    <row r="766">
      <c r="A766" s="5">
        <v>1016.0</v>
      </c>
      <c r="B766" s="6" t="s">
        <v>805</v>
      </c>
      <c r="C766" s="5" t="s">
        <v>54</v>
      </c>
      <c r="D766" s="5" t="s">
        <v>39</v>
      </c>
      <c r="E766" s="7">
        <v>0.0</v>
      </c>
    </row>
    <row r="767">
      <c r="A767" s="5">
        <v>1018.0</v>
      </c>
      <c r="B767" s="6" t="s">
        <v>806</v>
      </c>
      <c r="C767" s="5" t="s">
        <v>122</v>
      </c>
      <c r="D767" s="5" t="s">
        <v>39</v>
      </c>
      <c r="E767" s="7">
        <v>0.0</v>
      </c>
    </row>
    <row r="768">
      <c r="A768" s="5">
        <v>1019.0</v>
      </c>
      <c r="B768" s="6" t="s">
        <v>807</v>
      </c>
      <c r="C768" s="5" t="s">
        <v>59</v>
      </c>
      <c r="D768" s="5" t="s">
        <v>39</v>
      </c>
      <c r="E768" s="7">
        <v>0.0</v>
      </c>
    </row>
    <row r="769">
      <c r="A769" s="5">
        <v>1020.0</v>
      </c>
      <c r="B769" s="6" t="s">
        <v>808</v>
      </c>
      <c r="C769" s="5" t="s">
        <v>163</v>
      </c>
      <c r="D769" s="5" t="s">
        <v>39</v>
      </c>
      <c r="E769" s="7">
        <v>0.0</v>
      </c>
    </row>
    <row r="770">
      <c r="A770" s="5">
        <v>1023.0</v>
      </c>
      <c r="B770" s="6" t="s">
        <v>809</v>
      </c>
      <c r="C770" s="5" t="s">
        <v>165</v>
      </c>
      <c r="D770" s="5" t="s">
        <v>39</v>
      </c>
      <c r="E770" s="7">
        <v>0.0</v>
      </c>
    </row>
    <row r="771">
      <c r="A771" s="5">
        <v>1029.0</v>
      </c>
      <c r="B771" s="6" t="s">
        <v>810</v>
      </c>
      <c r="C771" s="5" t="s">
        <v>18</v>
      </c>
      <c r="D771" s="5" t="s">
        <v>39</v>
      </c>
      <c r="E771" s="7">
        <v>0.0</v>
      </c>
    </row>
    <row r="772">
      <c r="A772" s="5">
        <v>1031.0</v>
      </c>
      <c r="B772" s="6" t="s">
        <v>811</v>
      </c>
      <c r="C772" s="5" t="s">
        <v>71</v>
      </c>
      <c r="D772" s="5" t="s">
        <v>39</v>
      </c>
      <c r="E772" s="7">
        <v>0.0</v>
      </c>
    </row>
    <row r="773">
      <c r="A773" s="5">
        <v>1033.0</v>
      </c>
      <c r="B773" s="6" t="s">
        <v>812</v>
      </c>
      <c r="C773" s="5" t="s">
        <v>6</v>
      </c>
      <c r="D773" s="5" t="s">
        <v>39</v>
      </c>
      <c r="E773" s="7">
        <v>0.0</v>
      </c>
    </row>
    <row r="774">
      <c r="A774" s="5">
        <v>1034.0</v>
      </c>
      <c r="B774" s="6" t="s">
        <v>813</v>
      </c>
      <c r="C774" s="5" t="s">
        <v>69</v>
      </c>
      <c r="D774" s="5" t="s">
        <v>39</v>
      </c>
      <c r="E774" s="7">
        <v>0.0</v>
      </c>
    </row>
  </sheetData>
  <autoFilter ref="$A$1:$E$77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9">
        <v>1.0</v>
      </c>
      <c r="B2" s="10" t="s">
        <v>5</v>
      </c>
      <c r="C2" s="11" t="s">
        <v>6</v>
      </c>
      <c r="D2" s="12" t="s">
        <v>7</v>
      </c>
      <c r="E2" s="13">
        <v>53.0</v>
      </c>
    </row>
    <row r="3">
      <c r="A3" s="9">
        <v>2.0</v>
      </c>
      <c r="B3" s="10" t="s">
        <v>21</v>
      </c>
      <c r="C3" s="11" t="s">
        <v>22</v>
      </c>
      <c r="D3" s="12" t="s">
        <v>7</v>
      </c>
      <c r="E3" s="13">
        <v>50.0</v>
      </c>
    </row>
    <row r="4">
      <c r="A4" s="9">
        <v>3.0</v>
      </c>
      <c r="B4" s="10" t="s">
        <v>15</v>
      </c>
      <c r="C4" s="11" t="s">
        <v>16</v>
      </c>
      <c r="D4" s="12" t="s">
        <v>7</v>
      </c>
      <c r="E4" s="13">
        <v>49.0</v>
      </c>
    </row>
    <row r="5">
      <c r="A5" s="9">
        <v>4.0</v>
      </c>
      <c r="B5" s="10" t="s">
        <v>8</v>
      </c>
      <c r="C5" s="11" t="s">
        <v>9</v>
      </c>
      <c r="D5" s="12" t="s">
        <v>7</v>
      </c>
      <c r="E5" s="13">
        <v>45.0</v>
      </c>
    </row>
    <row r="6">
      <c r="A6" s="9">
        <v>5.0</v>
      </c>
      <c r="B6" s="10" t="s">
        <v>17</v>
      </c>
      <c r="C6" s="11" t="s">
        <v>18</v>
      </c>
      <c r="D6" s="12" t="s">
        <v>14</v>
      </c>
      <c r="E6" s="13">
        <v>44.0</v>
      </c>
    </row>
    <row r="7">
      <c r="A7" s="9">
        <v>6.0</v>
      </c>
      <c r="B7" s="10" t="s">
        <v>19</v>
      </c>
      <c r="C7" s="11" t="s">
        <v>20</v>
      </c>
      <c r="D7" s="12" t="s">
        <v>14</v>
      </c>
      <c r="E7" s="13">
        <v>44.0</v>
      </c>
    </row>
    <row r="8">
      <c r="A8" s="9">
        <v>7.0</v>
      </c>
      <c r="B8" s="10" t="s">
        <v>27</v>
      </c>
      <c r="C8" s="11" t="s">
        <v>28</v>
      </c>
      <c r="D8" s="12" t="s">
        <v>14</v>
      </c>
      <c r="E8" s="13">
        <v>43.0</v>
      </c>
    </row>
    <row r="9">
      <c r="A9" s="9">
        <v>8.0</v>
      </c>
      <c r="B9" s="10" t="s">
        <v>31</v>
      </c>
      <c r="C9" s="11" t="s">
        <v>16</v>
      </c>
      <c r="D9" s="12" t="s">
        <v>14</v>
      </c>
      <c r="E9" s="13">
        <v>41.0</v>
      </c>
    </row>
    <row r="10">
      <c r="A10" s="9">
        <v>9.0</v>
      </c>
      <c r="B10" s="10" t="s">
        <v>34</v>
      </c>
      <c r="C10" s="11" t="s">
        <v>35</v>
      </c>
      <c r="D10" s="12" t="s">
        <v>14</v>
      </c>
      <c r="E10" s="13">
        <v>40.0</v>
      </c>
    </row>
    <row r="11">
      <c r="A11" s="9">
        <v>10.0</v>
      </c>
      <c r="B11" s="10" t="s">
        <v>25</v>
      </c>
      <c r="C11" s="11" t="s">
        <v>26</v>
      </c>
      <c r="D11" s="12" t="s">
        <v>7</v>
      </c>
      <c r="E11" s="13">
        <v>40.0</v>
      </c>
    </row>
    <row r="12">
      <c r="A12" s="9">
        <v>11.0</v>
      </c>
      <c r="B12" s="10" t="s">
        <v>51</v>
      </c>
      <c r="C12" s="11" t="s">
        <v>52</v>
      </c>
      <c r="D12" s="12" t="s">
        <v>7</v>
      </c>
      <c r="E12" s="13">
        <v>39.0</v>
      </c>
    </row>
    <row r="13">
      <c r="A13" s="9">
        <v>12.0</v>
      </c>
      <c r="B13" s="10" t="s">
        <v>56</v>
      </c>
      <c r="C13" s="11" t="s">
        <v>35</v>
      </c>
      <c r="D13" s="12" t="s">
        <v>7</v>
      </c>
      <c r="E13" s="13">
        <v>38.0</v>
      </c>
    </row>
    <row r="14">
      <c r="A14" s="9">
        <v>13.0</v>
      </c>
      <c r="B14" s="10" t="s">
        <v>29</v>
      </c>
      <c r="C14" s="11" t="s">
        <v>30</v>
      </c>
      <c r="D14" s="12" t="s">
        <v>14</v>
      </c>
      <c r="E14" s="13">
        <v>37.0</v>
      </c>
    </row>
    <row r="15">
      <c r="A15" s="9">
        <v>14.0</v>
      </c>
      <c r="B15" s="10" t="s">
        <v>10</v>
      </c>
      <c r="C15" s="11" t="s">
        <v>11</v>
      </c>
      <c r="D15" s="12" t="s">
        <v>12</v>
      </c>
      <c r="E15" s="13">
        <v>36.0</v>
      </c>
    </row>
    <row r="16">
      <c r="A16" s="9">
        <v>15.0</v>
      </c>
      <c r="B16" s="10" t="s">
        <v>13</v>
      </c>
      <c r="C16" s="11" t="s">
        <v>11</v>
      </c>
      <c r="D16" s="12" t="s">
        <v>14</v>
      </c>
      <c r="E16" s="13">
        <v>36.0</v>
      </c>
    </row>
    <row r="17">
      <c r="A17" s="9">
        <v>16.0</v>
      </c>
      <c r="B17" s="10" t="s">
        <v>63</v>
      </c>
      <c r="C17" s="11" t="s">
        <v>30</v>
      </c>
      <c r="D17" s="12" t="s">
        <v>7</v>
      </c>
      <c r="E17" s="13">
        <v>36.0</v>
      </c>
    </row>
    <row r="18">
      <c r="A18" s="9">
        <v>17.0</v>
      </c>
      <c r="B18" s="10" t="s">
        <v>64</v>
      </c>
      <c r="C18" s="11" t="s">
        <v>62</v>
      </c>
      <c r="D18" s="12" t="s">
        <v>7</v>
      </c>
      <c r="E18" s="13">
        <v>34.0</v>
      </c>
    </row>
    <row r="19">
      <c r="A19" s="9">
        <v>18.0</v>
      </c>
      <c r="B19" s="10" t="s">
        <v>36</v>
      </c>
      <c r="C19" s="11" t="s">
        <v>37</v>
      </c>
      <c r="D19" s="12" t="s">
        <v>14</v>
      </c>
      <c r="E19" s="13">
        <v>34.0</v>
      </c>
    </row>
    <row r="20">
      <c r="A20" s="9">
        <v>19.0</v>
      </c>
      <c r="B20" s="10" t="s">
        <v>53</v>
      </c>
      <c r="C20" s="11" t="s">
        <v>54</v>
      </c>
      <c r="D20" s="12" t="s">
        <v>7</v>
      </c>
      <c r="E20" s="13">
        <v>34.0</v>
      </c>
    </row>
    <row r="21">
      <c r="A21" s="9">
        <v>20.0</v>
      </c>
      <c r="B21" s="10" t="s">
        <v>40</v>
      </c>
      <c r="C21" s="11" t="s">
        <v>41</v>
      </c>
      <c r="D21" s="12" t="s">
        <v>14</v>
      </c>
      <c r="E21" s="13">
        <v>33.0</v>
      </c>
    </row>
    <row r="22">
      <c r="A22" s="9">
        <v>21.0</v>
      </c>
      <c r="B22" s="10" t="s">
        <v>44</v>
      </c>
      <c r="C22" s="14" t="s">
        <v>43</v>
      </c>
      <c r="D22" s="12" t="s">
        <v>14</v>
      </c>
      <c r="E22" s="13">
        <v>33.0</v>
      </c>
    </row>
    <row r="23">
      <c r="A23" s="9">
        <v>22.0</v>
      </c>
      <c r="B23" s="10" t="s">
        <v>32</v>
      </c>
      <c r="C23" s="11" t="s">
        <v>33</v>
      </c>
      <c r="D23" s="12" t="s">
        <v>12</v>
      </c>
      <c r="E23" s="13">
        <v>31.0</v>
      </c>
    </row>
    <row r="24">
      <c r="A24" s="9">
        <v>23.0</v>
      </c>
      <c r="B24" s="10" t="s">
        <v>47</v>
      </c>
      <c r="C24" s="11" t="s">
        <v>48</v>
      </c>
      <c r="D24" s="12" t="s">
        <v>14</v>
      </c>
      <c r="E24" s="13">
        <v>29.0</v>
      </c>
    </row>
    <row r="25">
      <c r="A25" s="9">
        <v>24.0</v>
      </c>
      <c r="B25" s="10" t="s">
        <v>58</v>
      </c>
      <c r="C25" s="11" t="s">
        <v>59</v>
      </c>
      <c r="D25" s="12" t="s">
        <v>12</v>
      </c>
      <c r="E25" s="13">
        <v>28.0</v>
      </c>
    </row>
    <row r="26">
      <c r="A26" s="9">
        <v>25.0</v>
      </c>
      <c r="B26" s="10" t="s">
        <v>100</v>
      </c>
      <c r="C26" s="11" t="s">
        <v>71</v>
      </c>
      <c r="D26" s="12" t="s">
        <v>7</v>
      </c>
      <c r="E26" s="13">
        <v>28.0</v>
      </c>
    </row>
    <row r="27">
      <c r="A27" s="9">
        <v>26.0</v>
      </c>
      <c r="B27" s="10" t="s">
        <v>124</v>
      </c>
      <c r="C27" s="11" t="s">
        <v>11</v>
      </c>
      <c r="D27" s="12" t="s">
        <v>7</v>
      </c>
      <c r="E27" s="13">
        <v>28.0</v>
      </c>
    </row>
    <row r="28">
      <c r="A28" s="9">
        <v>27.0</v>
      </c>
      <c r="B28" s="10" t="s">
        <v>23</v>
      </c>
      <c r="C28" s="14" t="s">
        <v>24</v>
      </c>
      <c r="D28" s="12" t="s">
        <v>7</v>
      </c>
      <c r="E28" s="13">
        <v>27.0</v>
      </c>
    </row>
    <row r="29">
      <c r="A29" s="9">
        <v>28.0</v>
      </c>
      <c r="B29" s="10" t="s">
        <v>55</v>
      </c>
      <c r="C29" s="11" t="s">
        <v>9</v>
      </c>
      <c r="D29" s="12" t="s">
        <v>14</v>
      </c>
      <c r="E29" s="13">
        <v>27.0</v>
      </c>
    </row>
    <row r="30">
      <c r="A30" s="9">
        <v>29.0</v>
      </c>
      <c r="B30" s="10" t="s">
        <v>72</v>
      </c>
      <c r="C30" s="11" t="s">
        <v>62</v>
      </c>
      <c r="D30" s="12" t="s">
        <v>14</v>
      </c>
      <c r="E30" s="13">
        <v>27.0</v>
      </c>
    </row>
    <row r="31">
      <c r="A31" s="9">
        <v>30.0</v>
      </c>
      <c r="B31" s="10" t="s">
        <v>61</v>
      </c>
      <c r="C31" s="11" t="s">
        <v>62</v>
      </c>
      <c r="D31" s="12" t="s">
        <v>14</v>
      </c>
      <c r="E31" s="13">
        <v>27.0</v>
      </c>
    </row>
    <row r="32">
      <c r="A32" s="9">
        <v>31.0</v>
      </c>
      <c r="B32" s="10" t="s">
        <v>80</v>
      </c>
      <c r="C32" s="11" t="s">
        <v>20</v>
      </c>
      <c r="D32" s="12" t="s">
        <v>7</v>
      </c>
      <c r="E32" s="13">
        <v>26.0</v>
      </c>
    </row>
    <row r="33">
      <c r="A33" s="9">
        <v>32.0</v>
      </c>
      <c r="B33" s="10" t="s">
        <v>45</v>
      </c>
      <c r="C33" s="11" t="s">
        <v>46</v>
      </c>
      <c r="D33" s="12" t="s">
        <v>14</v>
      </c>
      <c r="E33" s="13">
        <v>25.0</v>
      </c>
    </row>
    <row r="34">
      <c r="A34" s="9">
        <v>33.0</v>
      </c>
      <c r="B34" s="10" t="s">
        <v>102</v>
      </c>
      <c r="C34" s="11" t="s">
        <v>28</v>
      </c>
      <c r="D34" s="12" t="s">
        <v>7</v>
      </c>
      <c r="E34" s="13">
        <v>25.0</v>
      </c>
    </row>
    <row r="35">
      <c r="A35" s="9">
        <v>34.0</v>
      </c>
      <c r="B35" s="10" t="s">
        <v>85</v>
      </c>
      <c r="C35" s="11" t="s">
        <v>48</v>
      </c>
      <c r="D35" s="12" t="s">
        <v>7</v>
      </c>
      <c r="E35" s="13">
        <v>25.0</v>
      </c>
    </row>
    <row r="36">
      <c r="A36" s="9">
        <v>35.0</v>
      </c>
      <c r="B36" s="10" t="s">
        <v>49</v>
      </c>
      <c r="C36" s="11" t="s">
        <v>50</v>
      </c>
      <c r="D36" s="12" t="s">
        <v>7</v>
      </c>
      <c r="E36" s="13">
        <v>24.0</v>
      </c>
    </row>
    <row r="37">
      <c r="A37" s="9">
        <v>36.0</v>
      </c>
      <c r="B37" s="10" t="s">
        <v>66</v>
      </c>
      <c r="C37" s="14" t="s">
        <v>24</v>
      </c>
      <c r="D37" s="12" t="s">
        <v>14</v>
      </c>
      <c r="E37" s="13">
        <v>24.0</v>
      </c>
    </row>
    <row r="38">
      <c r="A38" s="9">
        <v>37.0</v>
      </c>
      <c r="B38" s="10" t="s">
        <v>57</v>
      </c>
      <c r="C38" s="14" t="s">
        <v>24</v>
      </c>
      <c r="D38" s="12" t="s">
        <v>14</v>
      </c>
      <c r="E38" s="13">
        <v>24.0</v>
      </c>
    </row>
    <row r="39">
      <c r="A39" s="9">
        <v>38.0</v>
      </c>
      <c r="B39" s="10" t="s">
        <v>81</v>
      </c>
      <c r="C39" s="11" t="s">
        <v>37</v>
      </c>
      <c r="D39" s="12" t="s">
        <v>14</v>
      </c>
      <c r="E39" s="13">
        <v>24.0</v>
      </c>
    </row>
    <row r="40">
      <c r="A40" s="9">
        <v>39.0</v>
      </c>
      <c r="B40" s="10" t="s">
        <v>90</v>
      </c>
      <c r="C40" s="11" t="s">
        <v>814</v>
      </c>
      <c r="D40" s="12" t="s">
        <v>7</v>
      </c>
      <c r="E40" s="13">
        <v>23.0</v>
      </c>
    </row>
    <row r="41">
      <c r="A41" s="9">
        <v>40.0</v>
      </c>
      <c r="B41" s="15" t="s">
        <v>70</v>
      </c>
      <c r="C41" s="11" t="s">
        <v>71</v>
      </c>
      <c r="D41" s="12" t="s">
        <v>14</v>
      </c>
      <c r="E41" s="13">
        <v>20.0</v>
      </c>
    </row>
    <row r="42">
      <c r="A42" s="9">
        <v>41.0</v>
      </c>
      <c r="B42" s="10" t="s">
        <v>38</v>
      </c>
      <c r="C42" s="11" t="s">
        <v>11</v>
      </c>
      <c r="D42" s="12" t="s">
        <v>39</v>
      </c>
      <c r="E42" s="13">
        <v>19.0</v>
      </c>
    </row>
    <row r="43">
      <c r="A43" s="9">
        <v>42.0</v>
      </c>
      <c r="B43" s="10" t="s">
        <v>42</v>
      </c>
      <c r="C43" s="14" t="s">
        <v>43</v>
      </c>
      <c r="D43" s="12" t="s">
        <v>7</v>
      </c>
      <c r="E43" s="13">
        <v>19.0</v>
      </c>
    </row>
    <row r="44">
      <c r="A44" s="9">
        <v>43.0</v>
      </c>
      <c r="B44" s="10" t="s">
        <v>68</v>
      </c>
      <c r="C44" s="11" t="s">
        <v>69</v>
      </c>
      <c r="D44" s="12" t="s">
        <v>14</v>
      </c>
      <c r="E44" s="13">
        <v>19.0</v>
      </c>
    </row>
    <row r="45">
      <c r="A45" s="9">
        <v>44.0</v>
      </c>
      <c r="B45" s="10" t="s">
        <v>93</v>
      </c>
      <c r="C45" s="11" t="s">
        <v>41</v>
      </c>
      <c r="D45" s="12" t="s">
        <v>7</v>
      </c>
      <c r="E45" s="13">
        <v>19.0</v>
      </c>
    </row>
    <row r="46">
      <c r="A46" s="9">
        <v>45.0</v>
      </c>
      <c r="B46" s="10" t="s">
        <v>145</v>
      </c>
      <c r="C46" s="11" t="s">
        <v>96</v>
      </c>
      <c r="D46" s="12" t="s">
        <v>7</v>
      </c>
      <c r="E46" s="13">
        <v>19.0</v>
      </c>
    </row>
    <row r="47">
      <c r="A47" s="9">
        <v>46.0</v>
      </c>
      <c r="B47" s="10" t="s">
        <v>77</v>
      </c>
      <c r="C47" s="11" t="s">
        <v>69</v>
      </c>
      <c r="D47" s="12" t="s">
        <v>7</v>
      </c>
      <c r="E47" s="13">
        <v>19.0</v>
      </c>
    </row>
    <row r="48">
      <c r="A48" s="9">
        <v>47.0</v>
      </c>
      <c r="B48" s="10" t="s">
        <v>98</v>
      </c>
      <c r="C48" s="11" t="s">
        <v>54</v>
      </c>
      <c r="D48" s="12" t="s">
        <v>14</v>
      </c>
      <c r="E48" s="13">
        <v>19.0</v>
      </c>
    </row>
    <row r="49">
      <c r="A49" s="9">
        <v>48.0</v>
      </c>
      <c r="B49" s="10" t="s">
        <v>86</v>
      </c>
      <c r="C49" s="14" t="s">
        <v>24</v>
      </c>
      <c r="D49" s="12" t="s">
        <v>14</v>
      </c>
      <c r="E49" s="13">
        <v>19.0</v>
      </c>
    </row>
    <row r="50">
      <c r="A50" s="9">
        <v>49.0</v>
      </c>
      <c r="B50" s="10" t="s">
        <v>103</v>
      </c>
      <c r="C50" s="11" t="s">
        <v>104</v>
      </c>
      <c r="D50" s="12" t="s">
        <v>7</v>
      </c>
      <c r="E50" s="13">
        <v>18.0</v>
      </c>
    </row>
    <row r="51">
      <c r="A51" s="9">
        <v>50.0</v>
      </c>
      <c r="B51" s="10" t="s">
        <v>599</v>
      </c>
      <c r="C51" s="11" t="s">
        <v>163</v>
      </c>
      <c r="D51" s="12" t="s">
        <v>14</v>
      </c>
      <c r="E51" s="13">
        <v>17.0</v>
      </c>
    </row>
    <row r="52">
      <c r="A52" s="9">
        <v>51.0</v>
      </c>
      <c r="B52" s="10" t="s">
        <v>65</v>
      </c>
      <c r="C52" s="14" t="s">
        <v>43</v>
      </c>
      <c r="D52" s="12" t="s">
        <v>14</v>
      </c>
      <c r="E52" s="13">
        <v>17.0</v>
      </c>
    </row>
    <row r="53">
      <c r="A53" s="9">
        <v>52.0</v>
      </c>
      <c r="B53" s="10" t="s">
        <v>95</v>
      </c>
      <c r="C53" s="11" t="s">
        <v>96</v>
      </c>
      <c r="D53" s="12" t="s">
        <v>14</v>
      </c>
      <c r="E53" s="13">
        <v>17.0</v>
      </c>
    </row>
    <row r="54">
      <c r="A54" s="9">
        <v>53.0</v>
      </c>
      <c r="B54" s="10" t="s">
        <v>510</v>
      </c>
      <c r="C54" s="11" t="s">
        <v>104</v>
      </c>
      <c r="D54" s="12" t="s">
        <v>14</v>
      </c>
      <c r="E54" s="13">
        <v>16.0</v>
      </c>
    </row>
    <row r="55">
      <c r="A55" s="9">
        <v>54.0</v>
      </c>
      <c r="B55" s="10" t="s">
        <v>60</v>
      </c>
      <c r="C55" s="11" t="s">
        <v>18</v>
      </c>
      <c r="D55" s="12" t="s">
        <v>39</v>
      </c>
      <c r="E55" s="13">
        <v>16.0</v>
      </c>
    </row>
    <row r="56">
      <c r="A56" s="9">
        <v>55.0</v>
      </c>
      <c r="B56" s="10" t="s">
        <v>78</v>
      </c>
      <c r="C56" s="11" t="s">
        <v>37</v>
      </c>
      <c r="D56" s="12" t="s">
        <v>12</v>
      </c>
      <c r="E56" s="13">
        <v>16.0</v>
      </c>
    </row>
    <row r="57">
      <c r="A57" s="9">
        <v>56.0</v>
      </c>
      <c r="B57" s="10" t="s">
        <v>89</v>
      </c>
      <c r="C57" s="11" t="s">
        <v>20</v>
      </c>
      <c r="D57" s="12" t="s">
        <v>14</v>
      </c>
      <c r="E57" s="13">
        <v>16.0</v>
      </c>
    </row>
    <row r="58">
      <c r="A58" s="9">
        <v>57.0</v>
      </c>
      <c r="B58" s="10" t="s">
        <v>82</v>
      </c>
      <c r="C58" s="11" t="s">
        <v>59</v>
      </c>
      <c r="D58" s="12" t="s">
        <v>14</v>
      </c>
      <c r="E58" s="13">
        <v>16.0</v>
      </c>
    </row>
    <row r="59">
      <c r="A59" s="9">
        <v>58.0</v>
      </c>
      <c r="B59" s="10" t="s">
        <v>249</v>
      </c>
      <c r="C59" s="11" t="s">
        <v>46</v>
      </c>
      <c r="D59" s="12" t="s">
        <v>7</v>
      </c>
      <c r="E59" s="13">
        <v>15.0</v>
      </c>
    </row>
    <row r="60">
      <c r="A60" s="9">
        <v>59.0</v>
      </c>
      <c r="B60" s="10" t="s">
        <v>815</v>
      </c>
      <c r="C60" s="11" t="s">
        <v>22</v>
      </c>
      <c r="D60" s="12" t="s">
        <v>14</v>
      </c>
      <c r="E60" s="13">
        <v>15.0</v>
      </c>
    </row>
    <row r="61">
      <c r="A61" s="9">
        <v>60.0</v>
      </c>
      <c r="B61" s="10" t="s">
        <v>67</v>
      </c>
      <c r="C61" s="11" t="s">
        <v>46</v>
      </c>
      <c r="D61" s="12" t="s">
        <v>7</v>
      </c>
      <c r="E61" s="13">
        <v>14.0</v>
      </c>
    </row>
    <row r="62">
      <c r="A62" s="9">
        <v>61.0</v>
      </c>
      <c r="B62" s="10" t="s">
        <v>88</v>
      </c>
      <c r="C62" s="11" t="s">
        <v>52</v>
      </c>
      <c r="D62" s="12" t="s">
        <v>14</v>
      </c>
      <c r="E62" s="13">
        <v>14.0</v>
      </c>
    </row>
    <row r="63">
      <c r="A63" s="9">
        <v>62.0</v>
      </c>
      <c r="B63" s="10" t="s">
        <v>94</v>
      </c>
      <c r="C63" s="11" t="s">
        <v>28</v>
      </c>
      <c r="D63" s="12" t="s">
        <v>39</v>
      </c>
      <c r="E63" s="13">
        <v>14.0</v>
      </c>
    </row>
    <row r="64">
      <c r="A64" s="9">
        <v>63.0</v>
      </c>
      <c r="B64" s="10" t="s">
        <v>75</v>
      </c>
      <c r="C64" s="11" t="s">
        <v>6</v>
      </c>
      <c r="D64" s="12" t="s">
        <v>12</v>
      </c>
      <c r="E64" s="13">
        <v>14.0</v>
      </c>
    </row>
    <row r="65">
      <c r="A65" s="9">
        <v>64.0</v>
      </c>
      <c r="B65" s="10" t="s">
        <v>245</v>
      </c>
      <c r="C65" s="11" t="s">
        <v>122</v>
      </c>
      <c r="D65" s="12" t="s">
        <v>7</v>
      </c>
      <c r="E65" s="13">
        <v>14.0</v>
      </c>
    </row>
    <row r="66">
      <c r="A66" s="9">
        <v>65.0</v>
      </c>
      <c r="B66" s="10" t="s">
        <v>259</v>
      </c>
      <c r="C66" s="11" t="s">
        <v>33</v>
      </c>
      <c r="D66" s="12" t="s">
        <v>7</v>
      </c>
      <c r="E66" s="13">
        <v>14.0</v>
      </c>
    </row>
    <row r="67">
      <c r="A67" s="9">
        <v>66.0</v>
      </c>
      <c r="B67" s="15" t="s">
        <v>106</v>
      </c>
      <c r="C67" s="11" t="s">
        <v>30</v>
      </c>
      <c r="D67" s="12" t="s">
        <v>14</v>
      </c>
      <c r="E67" s="13">
        <v>13.0</v>
      </c>
    </row>
    <row r="68">
      <c r="A68" s="9">
        <v>67.0</v>
      </c>
      <c r="B68" s="10" t="s">
        <v>231</v>
      </c>
      <c r="C68" s="11" t="s">
        <v>163</v>
      </c>
      <c r="D68" s="12" t="s">
        <v>7</v>
      </c>
      <c r="E68" s="13">
        <v>13.0</v>
      </c>
    </row>
    <row r="69">
      <c r="A69" s="9">
        <v>68.0</v>
      </c>
      <c r="B69" s="10" t="s">
        <v>130</v>
      </c>
      <c r="C69" s="11" t="s">
        <v>26</v>
      </c>
      <c r="D69" s="12" t="s">
        <v>14</v>
      </c>
      <c r="E69" s="13">
        <v>13.0</v>
      </c>
    </row>
    <row r="70">
      <c r="A70" s="9">
        <v>69.0</v>
      </c>
      <c r="B70" s="10" t="s">
        <v>73</v>
      </c>
      <c r="C70" s="11" t="s">
        <v>20</v>
      </c>
      <c r="D70" s="12" t="s">
        <v>39</v>
      </c>
      <c r="E70" s="13">
        <v>12.0</v>
      </c>
    </row>
    <row r="71">
      <c r="A71" s="9">
        <v>70.0</v>
      </c>
      <c r="B71" s="10" t="s">
        <v>79</v>
      </c>
      <c r="C71" s="11" t="s">
        <v>16</v>
      </c>
      <c r="D71" s="12" t="s">
        <v>12</v>
      </c>
      <c r="E71" s="13">
        <v>12.0</v>
      </c>
    </row>
    <row r="72">
      <c r="A72" s="9">
        <v>71.0</v>
      </c>
      <c r="B72" s="10" t="s">
        <v>74</v>
      </c>
      <c r="C72" s="11" t="s">
        <v>54</v>
      </c>
      <c r="D72" s="12" t="s">
        <v>14</v>
      </c>
      <c r="E72" s="13">
        <v>12.0</v>
      </c>
    </row>
    <row r="73">
      <c r="A73" s="9">
        <v>72.0</v>
      </c>
      <c r="B73" s="10" t="s">
        <v>253</v>
      </c>
      <c r="C73" s="11" t="s">
        <v>59</v>
      </c>
      <c r="D73" s="12" t="s">
        <v>7</v>
      </c>
      <c r="E73" s="13">
        <v>12.0</v>
      </c>
    </row>
    <row r="74">
      <c r="A74" s="9">
        <v>73.0</v>
      </c>
      <c r="B74" s="10" t="s">
        <v>83</v>
      </c>
      <c r="C74" s="14" t="s">
        <v>43</v>
      </c>
      <c r="D74" s="12" t="s">
        <v>12</v>
      </c>
      <c r="E74" s="13">
        <v>11.0</v>
      </c>
    </row>
    <row r="75">
      <c r="A75" s="9">
        <v>74.0</v>
      </c>
      <c r="B75" s="15" t="s">
        <v>229</v>
      </c>
      <c r="C75" s="11" t="s">
        <v>18</v>
      </c>
      <c r="D75" s="12" t="s">
        <v>7</v>
      </c>
      <c r="E75" s="13">
        <v>11.0</v>
      </c>
    </row>
    <row r="76">
      <c r="A76" s="9">
        <v>75.0</v>
      </c>
      <c r="B76" s="10" t="s">
        <v>114</v>
      </c>
      <c r="C76" s="11" t="s">
        <v>814</v>
      </c>
      <c r="D76" s="12" t="s">
        <v>14</v>
      </c>
      <c r="E76" s="13">
        <v>11.0</v>
      </c>
    </row>
    <row r="77">
      <c r="A77" s="9">
        <v>76.0</v>
      </c>
      <c r="B77" s="10" t="s">
        <v>92</v>
      </c>
      <c r="C77" s="11" t="s">
        <v>46</v>
      </c>
      <c r="D77" s="12" t="s">
        <v>14</v>
      </c>
      <c r="E77" s="13">
        <v>11.0</v>
      </c>
    </row>
    <row r="78">
      <c r="A78" s="9">
        <v>77.0</v>
      </c>
      <c r="B78" s="10" t="s">
        <v>580</v>
      </c>
      <c r="C78" s="11" t="s">
        <v>96</v>
      </c>
      <c r="D78" s="12" t="s">
        <v>14</v>
      </c>
      <c r="E78" s="13">
        <v>10.0</v>
      </c>
    </row>
    <row r="79">
      <c r="A79" s="9">
        <v>78.0</v>
      </c>
      <c r="B79" s="10" t="s">
        <v>115</v>
      </c>
      <c r="C79" s="11" t="s">
        <v>30</v>
      </c>
      <c r="D79" s="12" t="s">
        <v>39</v>
      </c>
      <c r="E79" s="13">
        <v>10.0</v>
      </c>
    </row>
    <row r="80">
      <c r="A80" s="9">
        <v>79.0</v>
      </c>
      <c r="B80" s="10" t="s">
        <v>304</v>
      </c>
      <c r="C80" s="11" t="s">
        <v>96</v>
      </c>
      <c r="D80" s="12" t="s">
        <v>7</v>
      </c>
      <c r="E80" s="13">
        <v>10.0</v>
      </c>
    </row>
    <row r="81">
      <c r="A81" s="9">
        <v>80.0</v>
      </c>
      <c r="B81" s="10" t="s">
        <v>816</v>
      </c>
      <c r="C81" s="11" t="s">
        <v>18</v>
      </c>
      <c r="D81" s="12" t="s">
        <v>14</v>
      </c>
      <c r="E81" s="13">
        <v>10.0</v>
      </c>
    </row>
    <row r="82">
      <c r="A82" s="9">
        <v>81.0</v>
      </c>
      <c r="B82" s="10" t="s">
        <v>97</v>
      </c>
      <c r="C82" s="11" t="s">
        <v>11</v>
      </c>
      <c r="D82" s="12" t="s">
        <v>14</v>
      </c>
      <c r="E82" s="13">
        <v>10.0</v>
      </c>
    </row>
    <row r="83">
      <c r="A83" s="9">
        <v>82.0</v>
      </c>
      <c r="B83" s="10" t="s">
        <v>118</v>
      </c>
      <c r="C83" s="11" t="s">
        <v>22</v>
      </c>
      <c r="D83" s="12" t="s">
        <v>14</v>
      </c>
      <c r="E83" s="13">
        <v>10.0</v>
      </c>
    </row>
    <row r="84">
      <c r="A84" s="9">
        <v>83.0</v>
      </c>
      <c r="B84" s="10" t="s">
        <v>208</v>
      </c>
      <c r="C84" s="11" t="s">
        <v>48</v>
      </c>
      <c r="D84" s="12" t="s">
        <v>39</v>
      </c>
      <c r="E84" s="13">
        <v>9.0</v>
      </c>
    </row>
    <row r="85">
      <c r="A85" s="9">
        <v>84.0</v>
      </c>
      <c r="B85" s="10" t="s">
        <v>84</v>
      </c>
      <c r="C85" s="11" t="s">
        <v>22</v>
      </c>
      <c r="D85" s="12" t="s">
        <v>39</v>
      </c>
      <c r="E85" s="13">
        <v>9.0</v>
      </c>
    </row>
    <row r="86">
      <c r="A86" s="9">
        <v>85.0</v>
      </c>
      <c r="B86" s="10" t="s">
        <v>346</v>
      </c>
      <c r="C86" s="14" t="s">
        <v>43</v>
      </c>
      <c r="D86" s="12" t="s">
        <v>7</v>
      </c>
      <c r="E86" s="13">
        <v>9.0</v>
      </c>
    </row>
    <row r="87">
      <c r="A87" s="9">
        <v>86.0</v>
      </c>
      <c r="B87" s="10" t="s">
        <v>744</v>
      </c>
      <c r="C87" s="11" t="s">
        <v>6</v>
      </c>
      <c r="D87" s="12" t="s">
        <v>39</v>
      </c>
      <c r="E87" s="13">
        <v>9.0</v>
      </c>
    </row>
    <row r="88">
      <c r="A88" s="9">
        <v>87.0</v>
      </c>
      <c r="B88" s="15" t="s">
        <v>785</v>
      </c>
      <c r="C88" s="11" t="s">
        <v>6</v>
      </c>
      <c r="D88" s="12" t="s">
        <v>39</v>
      </c>
      <c r="E88" s="13">
        <v>9.0</v>
      </c>
    </row>
    <row r="89">
      <c r="A89" s="9">
        <v>88.0</v>
      </c>
      <c r="B89" s="10" t="s">
        <v>87</v>
      </c>
      <c r="C89" s="11" t="s">
        <v>6</v>
      </c>
      <c r="D89" s="12" t="s">
        <v>14</v>
      </c>
      <c r="E89" s="13">
        <v>8.0</v>
      </c>
    </row>
    <row r="90">
      <c r="A90" s="9">
        <v>89.0</v>
      </c>
      <c r="B90" s="10" t="s">
        <v>197</v>
      </c>
      <c r="C90" s="11" t="s">
        <v>50</v>
      </c>
      <c r="D90" s="12" t="s">
        <v>14</v>
      </c>
      <c r="E90" s="13">
        <v>8.0</v>
      </c>
    </row>
    <row r="91">
      <c r="A91" s="9">
        <v>90.0</v>
      </c>
      <c r="B91" s="15" t="s">
        <v>127</v>
      </c>
      <c r="C91" s="11" t="s">
        <v>26</v>
      </c>
      <c r="D91" s="12" t="s">
        <v>14</v>
      </c>
      <c r="E91" s="13">
        <v>8.0</v>
      </c>
    </row>
    <row r="92">
      <c r="A92" s="9">
        <v>91.0</v>
      </c>
      <c r="B92" s="10" t="s">
        <v>101</v>
      </c>
      <c r="C92" s="11" t="s">
        <v>71</v>
      </c>
      <c r="D92" s="12" t="s">
        <v>14</v>
      </c>
      <c r="E92" s="13">
        <v>8.0</v>
      </c>
    </row>
    <row r="93">
      <c r="A93" s="9">
        <v>92.0</v>
      </c>
      <c r="B93" s="10" t="s">
        <v>105</v>
      </c>
      <c r="C93" s="11" t="s">
        <v>59</v>
      </c>
      <c r="D93" s="12" t="s">
        <v>39</v>
      </c>
      <c r="E93" s="13">
        <v>7.0</v>
      </c>
    </row>
    <row r="94">
      <c r="A94" s="9">
        <v>93.0</v>
      </c>
      <c r="B94" s="10" t="s">
        <v>125</v>
      </c>
      <c r="C94" s="11" t="s">
        <v>69</v>
      </c>
      <c r="D94" s="12" t="s">
        <v>39</v>
      </c>
      <c r="E94" s="13">
        <v>7.0</v>
      </c>
    </row>
    <row r="95">
      <c r="A95" s="9">
        <v>94.0</v>
      </c>
      <c r="B95" s="10" t="s">
        <v>113</v>
      </c>
      <c r="C95" s="11" t="s">
        <v>48</v>
      </c>
      <c r="D95" s="12" t="s">
        <v>12</v>
      </c>
      <c r="E95" s="13">
        <v>7.0</v>
      </c>
    </row>
    <row r="96">
      <c r="A96" s="9">
        <v>95.0</v>
      </c>
      <c r="B96" s="10" t="s">
        <v>107</v>
      </c>
      <c r="C96" s="11" t="s">
        <v>35</v>
      </c>
      <c r="D96" s="12" t="s">
        <v>12</v>
      </c>
      <c r="E96" s="13">
        <v>7.0</v>
      </c>
    </row>
    <row r="97">
      <c r="A97" s="9">
        <v>96.0</v>
      </c>
      <c r="B97" s="10" t="s">
        <v>228</v>
      </c>
      <c r="C97" s="11" t="s">
        <v>165</v>
      </c>
      <c r="D97" s="12" t="s">
        <v>7</v>
      </c>
      <c r="E97" s="13">
        <v>7.0</v>
      </c>
    </row>
    <row r="98">
      <c r="A98" s="9">
        <v>97.0</v>
      </c>
      <c r="B98" s="15" t="s">
        <v>317</v>
      </c>
      <c r="C98" s="11" t="s">
        <v>16</v>
      </c>
      <c r="D98" s="12" t="s">
        <v>7</v>
      </c>
      <c r="E98" s="13">
        <v>7.0</v>
      </c>
    </row>
    <row r="99">
      <c r="A99" s="9">
        <v>98.0</v>
      </c>
      <c r="B99" s="10" t="s">
        <v>745</v>
      </c>
      <c r="C99" s="11" t="s">
        <v>122</v>
      </c>
      <c r="D99" s="12" t="s">
        <v>39</v>
      </c>
      <c r="E99" s="13">
        <v>7.0</v>
      </c>
    </row>
    <row r="100">
      <c r="A100" s="9">
        <v>99.0</v>
      </c>
      <c r="B100" s="10" t="s">
        <v>121</v>
      </c>
      <c r="C100" s="11" t="s">
        <v>122</v>
      </c>
      <c r="D100" s="12" t="s">
        <v>14</v>
      </c>
      <c r="E100" s="13">
        <v>7.0</v>
      </c>
    </row>
    <row r="101">
      <c r="A101" s="9">
        <v>100.0</v>
      </c>
      <c r="B101" s="10" t="s">
        <v>308</v>
      </c>
      <c r="C101" s="11" t="s">
        <v>69</v>
      </c>
      <c r="D101" s="12" t="s">
        <v>7</v>
      </c>
      <c r="E101" s="13">
        <v>6.0</v>
      </c>
    </row>
    <row r="102">
      <c r="A102" s="9">
        <v>101.0</v>
      </c>
      <c r="B102" s="10" t="s">
        <v>216</v>
      </c>
      <c r="C102" s="11" t="s">
        <v>33</v>
      </c>
      <c r="D102" s="12" t="s">
        <v>14</v>
      </c>
      <c r="E102" s="13">
        <v>6.0</v>
      </c>
    </row>
    <row r="103">
      <c r="A103" s="9">
        <v>102.0</v>
      </c>
      <c r="B103" s="10" t="s">
        <v>321</v>
      </c>
      <c r="C103" s="11" t="s">
        <v>122</v>
      </c>
      <c r="D103" s="12" t="s">
        <v>7</v>
      </c>
      <c r="E103" s="13">
        <v>6.0</v>
      </c>
    </row>
    <row r="104">
      <c r="A104" s="9">
        <v>103.0</v>
      </c>
      <c r="B104" s="10" t="s">
        <v>778</v>
      </c>
      <c r="C104" s="11" t="s">
        <v>35</v>
      </c>
      <c r="D104" s="12" t="s">
        <v>39</v>
      </c>
      <c r="E104" s="13">
        <v>6.0</v>
      </c>
    </row>
    <row r="105">
      <c r="A105" s="9">
        <v>104.0</v>
      </c>
      <c r="B105" s="10" t="s">
        <v>688</v>
      </c>
      <c r="C105" s="11" t="s">
        <v>59</v>
      </c>
      <c r="D105" s="12" t="s">
        <v>7</v>
      </c>
      <c r="E105" s="13">
        <v>5.0</v>
      </c>
    </row>
    <row r="106">
      <c r="A106" s="9">
        <v>105.0</v>
      </c>
      <c r="B106" s="10" t="s">
        <v>817</v>
      </c>
      <c r="C106" s="11" t="s">
        <v>818</v>
      </c>
      <c r="D106" s="12" t="s">
        <v>14</v>
      </c>
      <c r="E106" s="13">
        <v>5.0</v>
      </c>
    </row>
    <row r="107">
      <c r="A107" s="9">
        <v>106.0</v>
      </c>
      <c r="B107" s="10" t="s">
        <v>781</v>
      </c>
      <c r="C107" s="11" t="s">
        <v>22</v>
      </c>
      <c r="D107" s="12" t="s">
        <v>39</v>
      </c>
      <c r="E107" s="13">
        <v>5.0</v>
      </c>
    </row>
    <row r="108">
      <c r="A108" s="9">
        <v>107.0</v>
      </c>
      <c r="B108" s="10" t="s">
        <v>108</v>
      </c>
      <c r="C108" s="11" t="s">
        <v>30</v>
      </c>
      <c r="D108" s="12" t="s">
        <v>12</v>
      </c>
      <c r="E108" s="13">
        <v>5.0</v>
      </c>
    </row>
    <row r="109">
      <c r="A109" s="9">
        <v>108.0</v>
      </c>
      <c r="B109" s="10" t="s">
        <v>109</v>
      </c>
      <c r="C109" s="11" t="s">
        <v>20</v>
      </c>
      <c r="D109" s="12" t="s">
        <v>12</v>
      </c>
      <c r="E109" s="13">
        <v>5.0</v>
      </c>
    </row>
    <row r="110">
      <c r="A110" s="9">
        <v>109.0</v>
      </c>
      <c r="B110" s="10" t="s">
        <v>136</v>
      </c>
      <c r="C110" s="11" t="s">
        <v>37</v>
      </c>
      <c r="D110" s="12" t="s">
        <v>39</v>
      </c>
      <c r="E110" s="13">
        <v>5.0</v>
      </c>
    </row>
    <row r="111">
      <c r="A111" s="9">
        <v>110.0</v>
      </c>
      <c r="B111" s="10" t="s">
        <v>123</v>
      </c>
      <c r="C111" s="11" t="s">
        <v>16</v>
      </c>
      <c r="D111" s="12" t="s">
        <v>39</v>
      </c>
      <c r="E111" s="13">
        <v>5.0</v>
      </c>
    </row>
    <row r="112">
      <c r="A112" s="9">
        <v>111.0</v>
      </c>
      <c r="B112" s="10" t="s">
        <v>99</v>
      </c>
      <c r="C112" s="11" t="s">
        <v>9</v>
      </c>
      <c r="D112" s="12" t="s">
        <v>39</v>
      </c>
      <c r="E112" s="13">
        <v>5.0</v>
      </c>
    </row>
    <row r="113">
      <c r="A113" s="9">
        <v>112.0</v>
      </c>
      <c r="B113" s="15" t="s">
        <v>212</v>
      </c>
      <c r="C113" s="11" t="s">
        <v>104</v>
      </c>
      <c r="D113" s="12" t="s">
        <v>39</v>
      </c>
      <c r="E113" s="13">
        <v>5.0</v>
      </c>
    </row>
    <row r="114">
      <c r="A114" s="9">
        <v>113.0</v>
      </c>
      <c r="B114" s="10" t="s">
        <v>111</v>
      </c>
      <c r="C114" s="11" t="s">
        <v>26</v>
      </c>
      <c r="D114" s="12" t="s">
        <v>39</v>
      </c>
      <c r="E114" s="13">
        <v>5.0</v>
      </c>
    </row>
    <row r="115">
      <c r="A115" s="9">
        <v>114.0</v>
      </c>
      <c r="B115" s="10" t="s">
        <v>463</v>
      </c>
      <c r="C115" s="14" t="s">
        <v>24</v>
      </c>
      <c r="D115" s="12" t="s">
        <v>7</v>
      </c>
      <c r="E115" s="13">
        <v>5.0</v>
      </c>
    </row>
    <row r="116">
      <c r="A116" s="9">
        <v>115.0</v>
      </c>
      <c r="B116" s="10" t="s">
        <v>210</v>
      </c>
      <c r="C116" s="11" t="s">
        <v>35</v>
      </c>
      <c r="D116" s="12" t="s">
        <v>14</v>
      </c>
      <c r="E116" s="13">
        <v>5.0</v>
      </c>
    </row>
    <row r="117">
      <c r="A117" s="9">
        <v>116.0</v>
      </c>
      <c r="B117" s="10" t="s">
        <v>348</v>
      </c>
      <c r="C117" s="11" t="s">
        <v>18</v>
      </c>
      <c r="D117" s="12" t="s">
        <v>7</v>
      </c>
      <c r="E117" s="13">
        <v>5.0</v>
      </c>
    </row>
    <row r="118">
      <c r="A118" s="9">
        <v>117.0</v>
      </c>
      <c r="B118" s="10" t="s">
        <v>288</v>
      </c>
      <c r="C118" s="11" t="s">
        <v>33</v>
      </c>
      <c r="D118" s="12" t="s">
        <v>7</v>
      </c>
      <c r="E118" s="13">
        <v>5.0</v>
      </c>
    </row>
    <row r="119">
      <c r="A119" s="9">
        <v>118.0</v>
      </c>
      <c r="B119" s="10" t="s">
        <v>373</v>
      </c>
      <c r="C119" s="11" t="s">
        <v>16</v>
      </c>
      <c r="D119" s="12" t="s">
        <v>12</v>
      </c>
      <c r="E119" s="13">
        <v>5.0</v>
      </c>
    </row>
    <row r="120">
      <c r="A120" s="9">
        <v>119.0</v>
      </c>
      <c r="B120" s="10" t="s">
        <v>492</v>
      </c>
      <c r="C120" s="11" t="s">
        <v>139</v>
      </c>
      <c r="D120" s="12" t="s">
        <v>14</v>
      </c>
      <c r="E120" s="13">
        <v>4.0</v>
      </c>
    </row>
    <row r="121">
      <c r="A121" s="9">
        <v>120.0</v>
      </c>
      <c r="B121" s="10" t="s">
        <v>131</v>
      </c>
      <c r="C121" s="14" t="s">
        <v>24</v>
      </c>
      <c r="D121" s="12" t="s">
        <v>39</v>
      </c>
      <c r="E121" s="13">
        <v>4.0</v>
      </c>
    </row>
    <row r="122">
      <c r="A122" s="9">
        <v>121.0</v>
      </c>
      <c r="B122" s="10" t="s">
        <v>117</v>
      </c>
      <c r="C122" s="11" t="s">
        <v>104</v>
      </c>
      <c r="D122" s="12" t="s">
        <v>12</v>
      </c>
      <c r="E122" s="13">
        <v>4.0</v>
      </c>
    </row>
    <row r="123">
      <c r="A123" s="9">
        <v>122.0</v>
      </c>
      <c r="B123" s="10" t="s">
        <v>110</v>
      </c>
      <c r="C123" s="11" t="s">
        <v>35</v>
      </c>
      <c r="D123" s="12" t="s">
        <v>39</v>
      </c>
      <c r="E123" s="13">
        <v>4.0</v>
      </c>
    </row>
    <row r="124">
      <c r="A124" s="9">
        <v>123.0</v>
      </c>
      <c r="B124" s="10" t="s">
        <v>343</v>
      </c>
      <c r="C124" s="11" t="s">
        <v>59</v>
      </c>
      <c r="D124" s="12" t="s">
        <v>7</v>
      </c>
      <c r="E124" s="13">
        <v>4.0</v>
      </c>
    </row>
    <row r="125">
      <c r="A125" s="9">
        <v>124.0</v>
      </c>
      <c r="B125" s="15" t="s">
        <v>198</v>
      </c>
      <c r="C125" s="11" t="s">
        <v>122</v>
      </c>
      <c r="D125" s="12" t="s">
        <v>14</v>
      </c>
      <c r="E125" s="13">
        <v>4.0</v>
      </c>
    </row>
    <row r="126">
      <c r="A126" s="9">
        <v>125.0</v>
      </c>
      <c r="B126" s="10" t="s">
        <v>232</v>
      </c>
      <c r="C126" s="11" t="s">
        <v>28</v>
      </c>
      <c r="D126" s="12" t="s">
        <v>14</v>
      </c>
      <c r="E126" s="13">
        <v>4.0</v>
      </c>
    </row>
    <row r="127">
      <c r="A127" s="9">
        <v>126.0</v>
      </c>
      <c r="B127" s="10" t="s">
        <v>237</v>
      </c>
      <c r="C127" s="11" t="s">
        <v>28</v>
      </c>
      <c r="D127" s="12" t="s">
        <v>14</v>
      </c>
      <c r="E127" s="13">
        <v>4.0</v>
      </c>
    </row>
    <row r="128">
      <c r="A128" s="9">
        <v>127.0</v>
      </c>
      <c r="B128" s="10" t="s">
        <v>166</v>
      </c>
      <c r="C128" s="11" t="s">
        <v>52</v>
      </c>
      <c r="D128" s="12" t="s">
        <v>14</v>
      </c>
      <c r="E128" s="13">
        <v>4.0</v>
      </c>
    </row>
    <row r="129">
      <c r="A129" s="9">
        <v>128.0</v>
      </c>
      <c r="B129" s="10" t="s">
        <v>733</v>
      </c>
      <c r="C129" s="11" t="s">
        <v>139</v>
      </c>
      <c r="D129" s="12" t="s">
        <v>7</v>
      </c>
      <c r="E129" s="13">
        <v>4.0</v>
      </c>
    </row>
    <row r="130">
      <c r="A130" s="9">
        <v>129.0</v>
      </c>
      <c r="B130" s="10" t="s">
        <v>488</v>
      </c>
      <c r="C130" s="14" t="s">
        <v>43</v>
      </c>
      <c r="D130" s="12" t="s">
        <v>14</v>
      </c>
      <c r="E130" s="13">
        <v>3.0</v>
      </c>
    </row>
    <row r="131">
      <c r="A131" s="9">
        <v>130.0</v>
      </c>
      <c r="B131" s="10" t="s">
        <v>515</v>
      </c>
      <c r="C131" s="11" t="s">
        <v>11</v>
      </c>
      <c r="D131" s="12" t="s">
        <v>14</v>
      </c>
      <c r="E131" s="13">
        <v>3.0</v>
      </c>
    </row>
    <row r="132">
      <c r="A132" s="9">
        <v>131.0</v>
      </c>
      <c r="B132" s="15" t="s">
        <v>112</v>
      </c>
      <c r="C132" s="11" t="s">
        <v>50</v>
      </c>
      <c r="D132" s="12" t="s">
        <v>12</v>
      </c>
      <c r="E132" s="13">
        <v>3.0</v>
      </c>
    </row>
    <row r="133">
      <c r="A133" s="9">
        <v>132.0</v>
      </c>
      <c r="B133" s="10" t="s">
        <v>218</v>
      </c>
      <c r="C133" s="14" t="s">
        <v>43</v>
      </c>
      <c r="D133" s="12" t="s">
        <v>39</v>
      </c>
      <c r="E133" s="13">
        <v>3.0</v>
      </c>
    </row>
    <row r="134">
      <c r="A134" s="9">
        <v>133.0</v>
      </c>
      <c r="B134" s="10" t="s">
        <v>181</v>
      </c>
      <c r="C134" s="11" t="s">
        <v>165</v>
      </c>
      <c r="D134" s="12" t="s">
        <v>12</v>
      </c>
      <c r="E134" s="13">
        <v>3.0</v>
      </c>
    </row>
    <row r="135">
      <c r="A135" s="9">
        <v>134.0</v>
      </c>
      <c r="B135" s="10" t="s">
        <v>338</v>
      </c>
      <c r="C135" s="11" t="s">
        <v>139</v>
      </c>
      <c r="D135" s="12" t="s">
        <v>7</v>
      </c>
      <c r="E135" s="13">
        <v>3.0</v>
      </c>
    </row>
    <row r="136">
      <c r="A136" s="9">
        <v>135.0</v>
      </c>
      <c r="B136" s="15" t="s">
        <v>371</v>
      </c>
      <c r="C136" s="11" t="s">
        <v>163</v>
      </c>
      <c r="D136" s="12" t="s">
        <v>7</v>
      </c>
      <c r="E136" s="13">
        <v>3.0</v>
      </c>
    </row>
    <row r="137">
      <c r="A137" s="9">
        <v>136.0</v>
      </c>
      <c r="B137" s="10" t="s">
        <v>221</v>
      </c>
      <c r="C137" s="11" t="s">
        <v>18</v>
      </c>
      <c r="D137" s="12" t="s">
        <v>14</v>
      </c>
      <c r="E137" s="13">
        <v>3.0</v>
      </c>
    </row>
    <row r="138">
      <c r="A138" s="9">
        <v>137.0</v>
      </c>
      <c r="B138" s="10" t="s">
        <v>220</v>
      </c>
      <c r="C138" s="11" t="s">
        <v>20</v>
      </c>
      <c r="D138" s="12" t="s">
        <v>14</v>
      </c>
      <c r="E138" s="13">
        <v>3.0</v>
      </c>
    </row>
    <row r="139">
      <c r="A139" s="9">
        <v>138.0</v>
      </c>
      <c r="B139" s="10" t="s">
        <v>189</v>
      </c>
      <c r="C139" s="11" t="s">
        <v>59</v>
      </c>
      <c r="D139" s="12" t="s">
        <v>14</v>
      </c>
      <c r="E139" s="13">
        <v>3.0</v>
      </c>
    </row>
    <row r="140">
      <c r="A140" s="9">
        <v>139.0</v>
      </c>
      <c r="B140" s="10" t="s">
        <v>466</v>
      </c>
      <c r="C140" s="11" t="s">
        <v>50</v>
      </c>
      <c r="D140" s="12" t="s">
        <v>7</v>
      </c>
      <c r="E140" s="13">
        <v>3.0</v>
      </c>
    </row>
    <row r="141">
      <c r="A141" s="9">
        <v>140.0</v>
      </c>
      <c r="B141" s="10" t="s">
        <v>223</v>
      </c>
      <c r="C141" s="11" t="s">
        <v>96</v>
      </c>
      <c r="D141" s="12" t="s">
        <v>14</v>
      </c>
      <c r="E141" s="13">
        <v>3.0</v>
      </c>
    </row>
    <row r="142">
      <c r="A142" s="9">
        <v>141.0</v>
      </c>
      <c r="B142" s="10" t="s">
        <v>302</v>
      </c>
      <c r="C142" s="11" t="s">
        <v>37</v>
      </c>
      <c r="D142" s="12" t="s">
        <v>7</v>
      </c>
      <c r="E142" s="13">
        <v>3.0</v>
      </c>
    </row>
    <row r="143">
      <c r="A143" s="9">
        <v>142.0</v>
      </c>
      <c r="B143" s="10" t="s">
        <v>469</v>
      </c>
      <c r="C143" s="11" t="s">
        <v>165</v>
      </c>
      <c r="D143" s="12" t="s">
        <v>14</v>
      </c>
      <c r="E143" s="13">
        <v>3.0</v>
      </c>
    </row>
    <row r="144">
      <c r="A144" s="9">
        <v>143.0</v>
      </c>
      <c r="B144" s="10" t="s">
        <v>416</v>
      </c>
      <c r="C144" s="11" t="s">
        <v>139</v>
      </c>
      <c r="D144" s="12" t="s">
        <v>12</v>
      </c>
      <c r="E144" s="13">
        <v>2.0</v>
      </c>
    </row>
    <row r="145">
      <c r="A145" s="9">
        <v>144.0</v>
      </c>
      <c r="B145" s="10" t="s">
        <v>305</v>
      </c>
      <c r="C145" s="11" t="s">
        <v>69</v>
      </c>
      <c r="D145" s="12" t="s">
        <v>12</v>
      </c>
      <c r="E145" s="13">
        <v>2.0</v>
      </c>
    </row>
    <row r="146">
      <c r="A146" s="9">
        <v>145.0</v>
      </c>
      <c r="B146" s="10" t="s">
        <v>819</v>
      </c>
      <c r="C146" s="11" t="s">
        <v>96</v>
      </c>
      <c r="D146" s="12" t="s">
        <v>134</v>
      </c>
      <c r="E146" s="13">
        <v>2.0</v>
      </c>
    </row>
    <row r="147">
      <c r="A147" s="9">
        <v>146.0</v>
      </c>
      <c r="B147" s="10" t="s">
        <v>194</v>
      </c>
      <c r="C147" s="11" t="s">
        <v>62</v>
      </c>
      <c r="D147" s="12" t="s">
        <v>12</v>
      </c>
      <c r="E147" s="13">
        <v>2.0</v>
      </c>
    </row>
    <row r="148">
      <c r="A148" s="9">
        <v>147.0</v>
      </c>
      <c r="B148" s="10" t="s">
        <v>126</v>
      </c>
      <c r="C148" s="11" t="s">
        <v>96</v>
      </c>
      <c r="D148" s="12" t="s">
        <v>12</v>
      </c>
      <c r="E148" s="13">
        <v>2.0</v>
      </c>
    </row>
    <row r="149">
      <c r="A149" s="9">
        <v>148.0</v>
      </c>
      <c r="B149" s="10" t="s">
        <v>388</v>
      </c>
      <c r="C149" s="11" t="s">
        <v>48</v>
      </c>
      <c r="D149" s="12" t="s">
        <v>7</v>
      </c>
      <c r="E149" s="13">
        <v>2.0</v>
      </c>
    </row>
    <row r="150">
      <c r="A150" s="9">
        <v>149.0</v>
      </c>
      <c r="B150" s="10" t="s">
        <v>407</v>
      </c>
      <c r="C150" s="11" t="s">
        <v>37</v>
      </c>
      <c r="D150" s="12" t="s">
        <v>7</v>
      </c>
      <c r="E150" s="13">
        <v>2.0</v>
      </c>
    </row>
    <row r="151">
      <c r="A151" s="9">
        <v>150.0</v>
      </c>
      <c r="B151" s="10" t="s">
        <v>484</v>
      </c>
      <c r="C151" s="11" t="s">
        <v>35</v>
      </c>
      <c r="D151" s="12" t="s">
        <v>7</v>
      </c>
      <c r="E151" s="13">
        <v>2.0</v>
      </c>
    </row>
    <row r="152">
      <c r="A152" s="9">
        <v>151.0</v>
      </c>
      <c r="B152" s="10" t="s">
        <v>161</v>
      </c>
      <c r="C152" s="11" t="s">
        <v>9</v>
      </c>
      <c r="D152" s="12" t="s">
        <v>14</v>
      </c>
      <c r="E152" s="13">
        <v>2.0</v>
      </c>
    </row>
    <row r="153">
      <c r="A153" s="9">
        <v>152.0</v>
      </c>
      <c r="B153" s="10" t="s">
        <v>512</v>
      </c>
      <c r="C153" s="11" t="s">
        <v>165</v>
      </c>
      <c r="D153" s="12" t="s">
        <v>7</v>
      </c>
      <c r="E153" s="13">
        <v>2.0</v>
      </c>
    </row>
    <row r="154">
      <c r="A154" s="9">
        <v>153.0</v>
      </c>
      <c r="B154" s="10" t="s">
        <v>475</v>
      </c>
      <c r="C154" s="11" t="s">
        <v>41</v>
      </c>
      <c r="D154" s="12" t="s">
        <v>7</v>
      </c>
      <c r="E154" s="13">
        <v>2.0</v>
      </c>
    </row>
    <row r="155">
      <c r="A155" s="9">
        <v>154.0</v>
      </c>
      <c r="B155" s="10" t="s">
        <v>296</v>
      </c>
      <c r="C155" s="11" t="s">
        <v>139</v>
      </c>
      <c r="D155" s="12" t="s">
        <v>12</v>
      </c>
      <c r="E155" s="13">
        <v>2.0</v>
      </c>
    </row>
    <row r="156">
      <c r="A156" s="9">
        <v>155.0</v>
      </c>
      <c r="B156" s="10" t="s">
        <v>214</v>
      </c>
      <c r="C156" s="11" t="s">
        <v>48</v>
      </c>
      <c r="D156" s="12" t="s">
        <v>14</v>
      </c>
      <c r="E156" s="13">
        <v>2.0</v>
      </c>
    </row>
    <row r="157">
      <c r="A157" s="9">
        <v>156.0</v>
      </c>
      <c r="B157" s="10" t="s">
        <v>162</v>
      </c>
      <c r="C157" s="11" t="s">
        <v>163</v>
      </c>
      <c r="D157" s="12" t="s">
        <v>14</v>
      </c>
      <c r="E157" s="13">
        <v>2.0</v>
      </c>
    </row>
    <row r="158">
      <c r="A158" s="9">
        <v>157.0</v>
      </c>
      <c r="B158" s="10" t="s">
        <v>679</v>
      </c>
      <c r="C158" s="11" t="s">
        <v>54</v>
      </c>
      <c r="D158" s="12" t="s">
        <v>7</v>
      </c>
      <c r="E158" s="13">
        <v>2.0</v>
      </c>
    </row>
    <row r="159">
      <c r="A159" s="9">
        <v>158.0</v>
      </c>
      <c r="B159" s="10" t="s">
        <v>680</v>
      </c>
      <c r="C159" s="14" t="s">
        <v>24</v>
      </c>
      <c r="D159" s="12" t="s">
        <v>7</v>
      </c>
      <c r="E159" s="13">
        <v>2.0</v>
      </c>
    </row>
    <row r="160">
      <c r="A160" s="9">
        <v>159.0</v>
      </c>
      <c r="B160" s="10" t="s">
        <v>820</v>
      </c>
      <c r="C160" s="11" t="s">
        <v>11</v>
      </c>
      <c r="D160" s="12" t="s">
        <v>14</v>
      </c>
      <c r="E160" s="13">
        <v>1.0</v>
      </c>
    </row>
    <row r="161">
      <c r="A161" s="9">
        <v>160.0</v>
      </c>
      <c r="B161" s="10" t="s">
        <v>821</v>
      </c>
      <c r="C161" s="11" t="s">
        <v>46</v>
      </c>
      <c r="D161" s="12" t="s">
        <v>12</v>
      </c>
      <c r="E161" s="13">
        <v>1.0</v>
      </c>
    </row>
    <row r="162">
      <c r="A162" s="9">
        <v>161.0</v>
      </c>
      <c r="B162" s="10" t="s">
        <v>756</v>
      </c>
      <c r="C162" s="11" t="s">
        <v>22</v>
      </c>
      <c r="D162" s="12" t="s">
        <v>39</v>
      </c>
      <c r="E162" s="13">
        <v>1.0</v>
      </c>
    </row>
    <row r="163">
      <c r="A163" s="9">
        <v>162.0</v>
      </c>
      <c r="B163" s="10" t="s">
        <v>822</v>
      </c>
      <c r="C163" s="11" t="s">
        <v>48</v>
      </c>
      <c r="D163" s="12" t="s">
        <v>14</v>
      </c>
      <c r="E163" s="13">
        <v>1.0</v>
      </c>
    </row>
    <row r="164">
      <c r="A164" s="9">
        <v>163.0</v>
      </c>
      <c r="B164" s="10" t="s">
        <v>477</v>
      </c>
      <c r="C164" s="11" t="s">
        <v>35</v>
      </c>
      <c r="D164" s="12" t="s">
        <v>14</v>
      </c>
      <c r="E164" s="13">
        <v>1.0</v>
      </c>
    </row>
    <row r="165">
      <c r="A165" s="9">
        <v>164.0</v>
      </c>
      <c r="B165" s="10" t="s">
        <v>747</v>
      </c>
      <c r="C165" s="11" t="s">
        <v>16</v>
      </c>
      <c r="D165" s="12" t="s">
        <v>39</v>
      </c>
      <c r="E165" s="13">
        <v>1.0</v>
      </c>
    </row>
    <row r="166">
      <c r="A166" s="9">
        <v>165.0</v>
      </c>
      <c r="B166" s="10" t="s">
        <v>144</v>
      </c>
      <c r="C166" s="11" t="s">
        <v>46</v>
      </c>
      <c r="D166" s="12" t="s">
        <v>39</v>
      </c>
      <c r="E166" s="13">
        <v>1.0</v>
      </c>
    </row>
    <row r="167">
      <c r="A167" s="9">
        <v>166.0</v>
      </c>
      <c r="B167" s="10" t="s">
        <v>230</v>
      </c>
      <c r="C167" s="11" t="s">
        <v>62</v>
      </c>
      <c r="D167" s="12" t="s">
        <v>39</v>
      </c>
      <c r="E167" s="13">
        <v>1.0</v>
      </c>
    </row>
    <row r="168">
      <c r="A168" s="9">
        <v>167.0</v>
      </c>
      <c r="B168" s="10" t="s">
        <v>190</v>
      </c>
      <c r="C168" s="11" t="s">
        <v>28</v>
      </c>
      <c r="D168" s="12" t="s">
        <v>12</v>
      </c>
      <c r="E168" s="13">
        <v>1.0</v>
      </c>
    </row>
    <row r="169">
      <c r="A169" s="9">
        <v>168.0</v>
      </c>
      <c r="B169" s="10" t="s">
        <v>263</v>
      </c>
      <c r="C169" s="11" t="s">
        <v>33</v>
      </c>
      <c r="D169" s="12" t="s">
        <v>39</v>
      </c>
      <c r="E169" s="13">
        <v>1.0</v>
      </c>
    </row>
    <row r="170">
      <c r="A170" s="9">
        <v>169.0</v>
      </c>
      <c r="B170" s="10" t="s">
        <v>129</v>
      </c>
      <c r="C170" s="11" t="s">
        <v>96</v>
      </c>
      <c r="D170" s="12" t="s">
        <v>39</v>
      </c>
      <c r="E170" s="13">
        <v>1.0</v>
      </c>
    </row>
    <row r="171">
      <c r="A171" s="9">
        <v>170.0</v>
      </c>
      <c r="B171" s="10" t="s">
        <v>186</v>
      </c>
      <c r="C171" s="11" t="s">
        <v>48</v>
      </c>
      <c r="D171" s="12" t="s">
        <v>12</v>
      </c>
      <c r="E171" s="13">
        <v>1.0</v>
      </c>
    </row>
    <row r="172">
      <c r="A172" s="9">
        <v>171.0</v>
      </c>
      <c r="B172" s="10" t="s">
        <v>238</v>
      </c>
      <c r="C172" s="11" t="s">
        <v>139</v>
      </c>
      <c r="D172" s="12" t="s">
        <v>39</v>
      </c>
      <c r="E172" s="13">
        <v>1.0</v>
      </c>
    </row>
    <row r="173">
      <c r="A173" s="9">
        <v>172.0</v>
      </c>
      <c r="B173" s="10" t="s">
        <v>318</v>
      </c>
      <c r="C173" s="11" t="s">
        <v>122</v>
      </c>
      <c r="D173" s="12" t="s">
        <v>12</v>
      </c>
      <c r="E173" s="13">
        <v>1.0</v>
      </c>
    </row>
    <row r="174">
      <c r="A174" s="9">
        <v>173.0</v>
      </c>
      <c r="B174" s="10" t="s">
        <v>624</v>
      </c>
      <c r="C174" s="11" t="s">
        <v>20</v>
      </c>
      <c r="D174" s="12" t="s">
        <v>7</v>
      </c>
      <c r="E174" s="13">
        <v>1.0</v>
      </c>
    </row>
    <row r="175">
      <c r="A175" s="9">
        <v>174.0</v>
      </c>
      <c r="B175" s="10" t="s">
        <v>482</v>
      </c>
      <c r="C175" s="11" t="s">
        <v>30</v>
      </c>
      <c r="D175" s="12" t="s">
        <v>7</v>
      </c>
      <c r="E175" s="13">
        <v>1.0</v>
      </c>
    </row>
    <row r="176">
      <c r="A176" s="9">
        <v>175.0</v>
      </c>
      <c r="B176" s="10" t="s">
        <v>768</v>
      </c>
      <c r="C176" s="11" t="s">
        <v>16</v>
      </c>
      <c r="D176" s="12" t="s">
        <v>39</v>
      </c>
      <c r="E176" s="13">
        <v>1.0</v>
      </c>
    </row>
    <row r="177">
      <c r="A177" s="9">
        <v>176.0</v>
      </c>
      <c r="B177" s="10" t="s">
        <v>222</v>
      </c>
      <c r="C177" s="11" t="s">
        <v>139</v>
      </c>
      <c r="D177" s="12" t="s">
        <v>14</v>
      </c>
      <c r="E177" s="13">
        <v>1.0</v>
      </c>
    </row>
    <row r="178">
      <c r="A178" s="9">
        <v>177.0</v>
      </c>
      <c r="B178" s="10" t="s">
        <v>788</v>
      </c>
      <c r="C178" s="11" t="s">
        <v>59</v>
      </c>
      <c r="D178" s="12" t="s">
        <v>39</v>
      </c>
      <c r="E178" s="13">
        <v>1.0</v>
      </c>
    </row>
    <row r="179">
      <c r="A179" s="9">
        <v>178.0</v>
      </c>
      <c r="B179" s="10" t="s">
        <v>625</v>
      </c>
      <c r="C179" s="11" t="s">
        <v>139</v>
      </c>
      <c r="D179" s="12" t="s">
        <v>7</v>
      </c>
      <c r="E179" s="13">
        <v>1.0</v>
      </c>
    </row>
    <row r="180">
      <c r="A180" s="9">
        <v>179.0</v>
      </c>
      <c r="B180" s="10" t="s">
        <v>528</v>
      </c>
      <c r="C180" s="11" t="s">
        <v>165</v>
      </c>
      <c r="D180" s="12" t="s">
        <v>7</v>
      </c>
      <c r="E180" s="13">
        <v>1.0</v>
      </c>
    </row>
    <row r="181">
      <c r="A181" s="9">
        <v>180.0</v>
      </c>
      <c r="B181" s="10" t="s">
        <v>465</v>
      </c>
      <c r="C181" s="11" t="s">
        <v>54</v>
      </c>
      <c r="D181" s="12" t="s">
        <v>7</v>
      </c>
      <c r="E181" s="13">
        <v>1.0</v>
      </c>
    </row>
    <row r="182">
      <c r="A182" s="9">
        <v>181.0</v>
      </c>
      <c r="B182" s="10" t="s">
        <v>234</v>
      </c>
      <c r="C182" s="11" t="s">
        <v>16</v>
      </c>
      <c r="D182" s="12" t="s">
        <v>14</v>
      </c>
      <c r="E182" s="13">
        <v>1.0</v>
      </c>
    </row>
    <row r="183">
      <c r="A183" s="9">
        <v>182.0</v>
      </c>
      <c r="B183" s="10" t="s">
        <v>367</v>
      </c>
      <c r="C183" s="11" t="s">
        <v>71</v>
      </c>
      <c r="D183" s="12" t="s">
        <v>7</v>
      </c>
      <c r="E183" s="13">
        <v>1.0</v>
      </c>
    </row>
    <row r="184">
      <c r="A184" s="9">
        <v>183.0</v>
      </c>
      <c r="B184" s="10" t="s">
        <v>205</v>
      </c>
      <c r="C184" s="11" t="s">
        <v>41</v>
      </c>
      <c r="D184" s="12" t="s">
        <v>14</v>
      </c>
      <c r="E184" s="13">
        <v>1.0</v>
      </c>
    </row>
    <row r="185">
      <c r="A185" s="9">
        <v>184.0</v>
      </c>
      <c r="B185" s="10" t="s">
        <v>411</v>
      </c>
      <c r="C185" s="11" t="s">
        <v>28</v>
      </c>
      <c r="D185" s="12" t="s">
        <v>7</v>
      </c>
      <c r="E185" s="13">
        <v>1.0</v>
      </c>
    </row>
    <row r="186">
      <c r="A186" s="9">
        <v>185.0</v>
      </c>
      <c r="B186" s="10" t="s">
        <v>250</v>
      </c>
      <c r="C186" s="11" t="s">
        <v>6</v>
      </c>
      <c r="D186" s="12" t="s">
        <v>14</v>
      </c>
      <c r="E186" s="13">
        <v>1.0</v>
      </c>
    </row>
    <row r="187">
      <c r="A187" s="9">
        <v>186.0</v>
      </c>
      <c r="B187" s="10" t="s">
        <v>703</v>
      </c>
      <c r="C187" s="11" t="s">
        <v>59</v>
      </c>
      <c r="D187" s="12" t="s">
        <v>7</v>
      </c>
      <c r="E187" s="13">
        <v>1.0</v>
      </c>
    </row>
    <row r="188">
      <c r="A188" s="9">
        <v>187.0</v>
      </c>
      <c r="B188" s="10" t="s">
        <v>326</v>
      </c>
      <c r="C188" s="11" t="s">
        <v>33</v>
      </c>
      <c r="D188" s="12" t="s">
        <v>14</v>
      </c>
      <c r="E188" s="13">
        <v>1.0</v>
      </c>
    </row>
    <row r="189">
      <c r="A189" s="9">
        <v>188.0</v>
      </c>
      <c r="B189" s="10" t="s">
        <v>243</v>
      </c>
      <c r="C189" s="11" t="s">
        <v>122</v>
      </c>
      <c r="D189" s="12" t="s">
        <v>14</v>
      </c>
      <c r="E189" s="13">
        <v>1.0</v>
      </c>
    </row>
    <row r="190">
      <c r="A190" s="9">
        <v>189.0</v>
      </c>
      <c r="B190" s="10" t="s">
        <v>713</v>
      </c>
      <c r="C190" s="11" t="s">
        <v>165</v>
      </c>
      <c r="D190" s="12" t="s">
        <v>7</v>
      </c>
      <c r="E190" s="13">
        <v>1.0</v>
      </c>
    </row>
    <row r="191">
      <c r="A191" s="9">
        <v>190.0</v>
      </c>
      <c r="B191" s="10" t="s">
        <v>823</v>
      </c>
      <c r="C191" s="11" t="s">
        <v>818</v>
      </c>
      <c r="D191" s="12" t="s">
        <v>14</v>
      </c>
      <c r="E191" s="13">
        <v>1.0</v>
      </c>
    </row>
    <row r="192">
      <c r="A192" s="9">
        <v>191.0</v>
      </c>
      <c r="B192" s="15" t="s">
        <v>666</v>
      </c>
      <c r="C192" s="11" t="s">
        <v>62</v>
      </c>
      <c r="D192" s="12" t="s">
        <v>7</v>
      </c>
      <c r="E192" s="13">
        <v>1.0</v>
      </c>
    </row>
    <row r="193">
      <c r="A193" s="9">
        <v>192.0</v>
      </c>
      <c r="B193" s="10" t="s">
        <v>824</v>
      </c>
      <c r="C193" s="11" t="s">
        <v>69</v>
      </c>
      <c r="D193" s="12" t="s">
        <v>14</v>
      </c>
      <c r="E193" s="13">
        <v>1.0</v>
      </c>
    </row>
    <row r="194">
      <c r="A194" s="9">
        <v>193.0</v>
      </c>
      <c r="B194" s="10" t="s">
        <v>612</v>
      </c>
      <c r="C194" s="11" t="s">
        <v>46</v>
      </c>
      <c r="D194" s="12" t="s">
        <v>14</v>
      </c>
      <c r="E194" s="13">
        <v>1.0</v>
      </c>
    </row>
    <row r="195">
      <c r="A195" s="9">
        <v>194.0</v>
      </c>
      <c r="B195" s="10" t="s">
        <v>480</v>
      </c>
      <c r="C195" s="11" t="s">
        <v>163</v>
      </c>
      <c r="D195" s="12" t="s">
        <v>14</v>
      </c>
      <c r="E195" s="13">
        <v>1.0</v>
      </c>
    </row>
    <row r="196">
      <c r="A196" s="9">
        <v>195.0</v>
      </c>
      <c r="B196" s="10" t="s">
        <v>483</v>
      </c>
      <c r="C196" s="11" t="s">
        <v>96</v>
      </c>
      <c r="D196" s="12" t="s">
        <v>14</v>
      </c>
      <c r="E196" s="13">
        <v>1.0</v>
      </c>
    </row>
    <row r="197">
      <c r="A197" s="9">
        <v>196.0</v>
      </c>
      <c r="B197" s="10" t="s">
        <v>825</v>
      </c>
      <c r="C197" s="11" t="s">
        <v>139</v>
      </c>
      <c r="D197" s="12" t="s">
        <v>14</v>
      </c>
      <c r="E197" s="13">
        <v>0.0</v>
      </c>
    </row>
    <row r="198">
      <c r="A198" s="9">
        <v>197.0</v>
      </c>
      <c r="B198" s="10" t="s">
        <v>360</v>
      </c>
      <c r="C198" s="11" t="s">
        <v>54</v>
      </c>
      <c r="D198" s="12" t="s">
        <v>12</v>
      </c>
      <c r="E198" s="13">
        <v>0.0</v>
      </c>
    </row>
    <row r="199">
      <c r="A199" s="9">
        <v>198.0</v>
      </c>
      <c r="B199" s="10" t="s">
        <v>826</v>
      </c>
      <c r="C199" s="11" t="s">
        <v>6</v>
      </c>
      <c r="D199" s="12" t="s">
        <v>14</v>
      </c>
      <c r="E199" s="13">
        <v>0.0</v>
      </c>
    </row>
    <row r="200">
      <c r="A200" s="9">
        <v>199.0</v>
      </c>
      <c r="B200" s="10" t="s">
        <v>349</v>
      </c>
      <c r="C200" s="11" t="s">
        <v>48</v>
      </c>
      <c r="D200" s="12" t="s">
        <v>14</v>
      </c>
      <c r="E200" s="13">
        <v>0.0</v>
      </c>
    </row>
    <row r="201">
      <c r="A201" s="9">
        <v>200.0</v>
      </c>
      <c r="B201" s="10" t="s">
        <v>753</v>
      </c>
      <c r="C201" s="11" t="s">
        <v>814</v>
      </c>
      <c r="D201" s="12" t="s">
        <v>39</v>
      </c>
      <c r="E201" s="13">
        <v>0.0</v>
      </c>
    </row>
  </sheetData>
  <autoFilter ref="$A$1:$E$2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9">
        <v>1.0</v>
      </c>
      <c r="B2" s="10"/>
      <c r="C2" s="11"/>
      <c r="D2" s="12"/>
      <c r="E2" s="13"/>
    </row>
    <row r="3">
      <c r="A3" s="9">
        <v>2.0</v>
      </c>
      <c r="B3" s="10"/>
      <c r="C3" s="11"/>
      <c r="D3" s="12"/>
      <c r="E3" s="13"/>
    </row>
    <row r="4">
      <c r="A4" s="9">
        <v>3.0</v>
      </c>
      <c r="B4" s="10"/>
      <c r="C4" s="11"/>
      <c r="D4" s="12"/>
      <c r="E4" s="13"/>
    </row>
    <row r="5">
      <c r="A5" s="9">
        <v>4.0</v>
      </c>
      <c r="B5" s="10"/>
      <c r="C5" s="11"/>
      <c r="D5" s="12"/>
      <c r="E5" s="13"/>
    </row>
    <row r="6">
      <c r="A6" s="9">
        <v>5.0</v>
      </c>
      <c r="B6" s="10"/>
      <c r="C6" s="11"/>
      <c r="D6" s="12"/>
      <c r="E6" s="13"/>
    </row>
    <row r="7">
      <c r="A7" s="9">
        <v>6.0</v>
      </c>
      <c r="B7" s="10"/>
      <c r="C7" s="11"/>
      <c r="D7" s="12"/>
      <c r="E7" s="13"/>
    </row>
    <row r="8">
      <c r="A8" s="9">
        <v>7.0</v>
      </c>
      <c r="B8" s="10"/>
      <c r="C8" s="11"/>
      <c r="D8" s="12"/>
      <c r="E8" s="13"/>
    </row>
    <row r="9">
      <c r="A9" s="9">
        <v>8.0</v>
      </c>
      <c r="B9" s="10"/>
      <c r="C9" s="11"/>
      <c r="D9" s="12"/>
      <c r="E9" s="13"/>
    </row>
    <row r="10">
      <c r="A10" s="9">
        <v>9.0</v>
      </c>
      <c r="B10" s="10"/>
      <c r="C10" s="11"/>
      <c r="D10" s="12"/>
      <c r="E10" s="13"/>
    </row>
    <row r="11">
      <c r="A11" s="9">
        <v>10.0</v>
      </c>
      <c r="B11" s="10"/>
      <c r="C11" s="11"/>
      <c r="D11" s="12"/>
      <c r="E11" s="13"/>
    </row>
    <row r="12">
      <c r="A12" s="9">
        <v>11.0</v>
      </c>
      <c r="B12" s="10"/>
      <c r="C12" s="11"/>
      <c r="D12" s="12"/>
      <c r="E12" s="13"/>
    </row>
    <row r="13">
      <c r="A13" s="9">
        <v>12.0</v>
      </c>
      <c r="B13" s="10"/>
      <c r="C13" s="11"/>
      <c r="D13" s="12"/>
      <c r="E13" s="13"/>
    </row>
    <row r="14">
      <c r="A14" s="9">
        <v>13.0</v>
      </c>
      <c r="B14" s="10"/>
      <c r="C14" s="11"/>
      <c r="D14" s="12"/>
      <c r="E14" s="13"/>
    </row>
    <row r="15">
      <c r="A15" s="9">
        <v>14.0</v>
      </c>
      <c r="B15" s="10"/>
      <c r="C15" s="14"/>
      <c r="D15" s="12"/>
      <c r="E15" s="13"/>
    </row>
    <row r="16">
      <c r="A16" s="9">
        <v>15.0</v>
      </c>
      <c r="B16" s="10"/>
      <c r="C16" s="11"/>
      <c r="D16" s="12"/>
      <c r="E16" s="13"/>
    </row>
    <row r="17">
      <c r="A17" s="9">
        <v>16.0</v>
      </c>
      <c r="B17" s="10"/>
      <c r="C17" s="11"/>
      <c r="D17" s="12"/>
      <c r="E17" s="13"/>
    </row>
    <row r="18">
      <c r="A18" s="9">
        <v>17.0</v>
      </c>
      <c r="B18" s="10"/>
      <c r="C18" s="11"/>
      <c r="D18" s="12"/>
      <c r="E18" s="13"/>
    </row>
    <row r="19">
      <c r="A19" s="9">
        <v>18.0</v>
      </c>
      <c r="B19" s="10"/>
      <c r="C19" s="11"/>
      <c r="D19" s="12"/>
      <c r="E19" s="13"/>
    </row>
    <row r="20">
      <c r="A20" s="9">
        <v>19.0</v>
      </c>
      <c r="B20" s="10"/>
      <c r="C20" s="11"/>
      <c r="D20" s="12"/>
      <c r="E20" s="13"/>
    </row>
    <row r="21">
      <c r="A21" s="9">
        <v>20.0</v>
      </c>
      <c r="B21" s="10"/>
      <c r="C21" s="11"/>
      <c r="D21" s="12"/>
      <c r="E21" s="13"/>
    </row>
    <row r="22">
      <c r="A22" s="9">
        <v>21.0</v>
      </c>
      <c r="B22" s="10"/>
      <c r="C22" s="11"/>
      <c r="D22" s="12"/>
      <c r="E22" s="13"/>
    </row>
    <row r="23">
      <c r="A23" s="9">
        <v>22.0</v>
      </c>
      <c r="B23" s="10"/>
      <c r="C23" s="11"/>
      <c r="D23" s="12"/>
      <c r="E23" s="13"/>
    </row>
    <row r="24">
      <c r="A24" s="9">
        <v>23.0</v>
      </c>
      <c r="B24" s="10"/>
      <c r="C24" s="11"/>
      <c r="D24" s="12"/>
      <c r="E24" s="13"/>
    </row>
    <row r="25">
      <c r="A25" s="9">
        <v>24.0</v>
      </c>
      <c r="B25" s="10"/>
      <c r="C25" s="11"/>
      <c r="D25" s="12"/>
      <c r="E25" s="13"/>
    </row>
    <row r="26">
      <c r="A26" s="9">
        <v>25.0</v>
      </c>
      <c r="B26" s="10"/>
      <c r="C26" s="11"/>
      <c r="D26" s="12"/>
      <c r="E26" s="13"/>
    </row>
    <row r="27">
      <c r="A27" s="9">
        <v>26.0</v>
      </c>
      <c r="B27" s="10"/>
      <c r="C27" s="11"/>
      <c r="D27" s="12"/>
      <c r="E27" s="13"/>
    </row>
    <row r="28">
      <c r="A28" s="9">
        <v>27.0</v>
      </c>
      <c r="B28" s="10"/>
      <c r="C28" s="11"/>
      <c r="D28" s="12"/>
      <c r="E28" s="13"/>
    </row>
    <row r="29">
      <c r="A29" s="9">
        <v>28.0</v>
      </c>
      <c r="B29" s="10"/>
      <c r="C29" s="11"/>
      <c r="D29" s="12"/>
      <c r="E29" s="13"/>
    </row>
    <row r="30">
      <c r="A30" s="9">
        <v>29.0</v>
      </c>
      <c r="B30" s="10"/>
      <c r="C30" s="11"/>
      <c r="D30" s="12"/>
      <c r="E30" s="13"/>
    </row>
    <row r="31">
      <c r="A31" s="9">
        <v>30.0</v>
      </c>
      <c r="B31" s="10"/>
      <c r="C31" s="11"/>
      <c r="D31" s="12"/>
      <c r="E31" s="13"/>
    </row>
    <row r="32">
      <c r="A32" s="9">
        <v>31.0</v>
      </c>
      <c r="B32" s="10"/>
      <c r="C32" s="11"/>
      <c r="D32" s="12"/>
      <c r="E32" s="13"/>
    </row>
    <row r="33">
      <c r="A33" s="9">
        <v>32.0</v>
      </c>
      <c r="B33" s="10"/>
      <c r="C33" s="11"/>
      <c r="D33" s="12"/>
      <c r="E33" s="13"/>
    </row>
    <row r="34">
      <c r="A34" s="9">
        <v>33.0</v>
      </c>
      <c r="B34" s="10"/>
      <c r="C34" s="11"/>
      <c r="D34" s="12"/>
      <c r="E34" s="13"/>
    </row>
    <row r="35">
      <c r="A35" s="9">
        <v>34.0</v>
      </c>
      <c r="B35" s="10"/>
      <c r="C35" s="11"/>
      <c r="D35" s="12"/>
      <c r="E35" s="13"/>
    </row>
    <row r="36">
      <c r="A36" s="9">
        <v>35.0</v>
      </c>
      <c r="B36" s="10"/>
      <c r="C36" s="11"/>
      <c r="D36" s="12"/>
      <c r="E36" s="13"/>
    </row>
    <row r="37">
      <c r="A37" s="9">
        <v>36.0</v>
      </c>
      <c r="B37" s="10"/>
      <c r="C37" s="11"/>
      <c r="D37" s="12"/>
      <c r="E37" s="13"/>
    </row>
    <row r="38">
      <c r="A38" s="9">
        <v>37.0</v>
      </c>
      <c r="B38" s="10"/>
      <c r="C38" s="11"/>
      <c r="D38" s="12"/>
      <c r="E38" s="13"/>
    </row>
    <row r="39">
      <c r="A39" s="9">
        <v>38.0</v>
      </c>
      <c r="B39" s="10"/>
      <c r="C39" s="11"/>
      <c r="D39" s="12"/>
      <c r="E39" s="13"/>
    </row>
    <row r="40">
      <c r="A40" s="9">
        <v>39.0</v>
      </c>
      <c r="B40" s="10"/>
      <c r="C40" s="11"/>
      <c r="D40" s="12"/>
      <c r="E40" s="13"/>
    </row>
    <row r="41">
      <c r="A41" s="9">
        <v>40.0</v>
      </c>
      <c r="B41" s="10"/>
      <c r="C41" s="11"/>
      <c r="D41" s="12"/>
      <c r="E41" s="13"/>
    </row>
    <row r="42">
      <c r="A42" s="9">
        <v>41.0</v>
      </c>
      <c r="B42" s="10"/>
      <c r="C42" s="11"/>
      <c r="D42" s="12"/>
      <c r="E42" s="13"/>
    </row>
    <row r="43">
      <c r="A43" s="9">
        <v>42.0</v>
      </c>
      <c r="B43" s="10"/>
      <c r="C43" s="11"/>
      <c r="D43" s="12"/>
      <c r="E43" s="13"/>
    </row>
    <row r="44">
      <c r="A44" s="9">
        <v>43.0</v>
      </c>
      <c r="B44" s="10"/>
      <c r="C44" s="11"/>
      <c r="D44" s="12"/>
      <c r="E44" s="13"/>
    </row>
    <row r="45">
      <c r="A45" s="9">
        <v>44.0</v>
      </c>
      <c r="B45" s="10"/>
      <c r="C45" s="11"/>
      <c r="D45" s="12"/>
      <c r="E45" s="13"/>
    </row>
    <row r="46">
      <c r="A46" s="9">
        <v>45.0</v>
      </c>
      <c r="B46" s="10"/>
      <c r="C46" s="11"/>
      <c r="D46" s="12"/>
      <c r="E46" s="13"/>
    </row>
    <row r="47">
      <c r="A47" s="9">
        <v>46.0</v>
      </c>
      <c r="B47" s="10"/>
      <c r="C47" s="11"/>
      <c r="D47" s="12"/>
      <c r="E47" s="13"/>
    </row>
    <row r="48">
      <c r="A48" s="9">
        <v>47.0</v>
      </c>
      <c r="B48" s="10"/>
      <c r="C48" s="11"/>
      <c r="D48" s="12"/>
      <c r="E48" s="13"/>
    </row>
    <row r="49">
      <c r="A49" s="9">
        <v>48.0</v>
      </c>
      <c r="B49" s="10"/>
      <c r="C49" s="11"/>
      <c r="D49" s="12"/>
      <c r="E49" s="13"/>
    </row>
    <row r="50">
      <c r="A50" s="9">
        <v>49.0</v>
      </c>
      <c r="B50" s="10"/>
      <c r="C50" s="11"/>
      <c r="D50" s="12"/>
      <c r="E50" s="13"/>
    </row>
    <row r="51">
      <c r="A51" s="16">
        <v>50.0</v>
      </c>
      <c r="B51" s="10"/>
      <c r="C51" s="11"/>
      <c r="D51" s="17"/>
      <c r="E51" s="18"/>
    </row>
    <row r="52">
      <c r="A52" s="19">
        <v>51.0</v>
      </c>
      <c r="B52" s="20"/>
      <c r="C52" s="21"/>
      <c r="D52" s="19"/>
      <c r="E52" s="22"/>
    </row>
    <row r="53">
      <c r="A53" s="19">
        <v>52.0</v>
      </c>
      <c r="B53" s="20"/>
      <c r="C53" s="21"/>
      <c r="D53" s="19"/>
      <c r="E53" s="22"/>
    </row>
    <row r="54">
      <c r="A54" s="19">
        <v>53.0</v>
      </c>
      <c r="B54" s="20"/>
      <c r="C54" s="21"/>
      <c r="D54" s="19"/>
      <c r="E54" s="22"/>
    </row>
    <row r="55">
      <c r="A55" s="19">
        <v>54.0</v>
      </c>
      <c r="B55" s="20"/>
      <c r="C55" s="21"/>
      <c r="D55" s="19"/>
      <c r="E55" s="22"/>
    </row>
    <row r="56">
      <c r="A56" s="19">
        <v>55.0</v>
      </c>
      <c r="B56" s="20"/>
      <c r="C56" s="21"/>
      <c r="D56" s="19"/>
      <c r="E56" s="22"/>
    </row>
    <row r="57">
      <c r="A57" s="19">
        <v>56.0</v>
      </c>
      <c r="B57" s="20"/>
      <c r="C57" s="21"/>
      <c r="D57" s="19"/>
      <c r="E57" s="22"/>
    </row>
    <row r="58">
      <c r="A58" s="19">
        <v>57.0</v>
      </c>
      <c r="B58" s="20"/>
      <c r="C58" s="21"/>
      <c r="D58" s="19"/>
      <c r="E58" s="22"/>
    </row>
    <row r="59">
      <c r="A59" s="19">
        <v>58.0</v>
      </c>
      <c r="B59" s="20"/>
      <c r="C59" s="21"/>
      <c r="D59" s="19"/>
      <c r="E59" s="22"/>
    </row>
    <row r="60">
      <c r="A60" s="19">
        <v>59.0</v>
      </c>
      <c r="B60" s="20"/>
      <c r="C60" s="21"/>
      <c r="D60" s="19"/>
      <c r="E60" s="22"/>
    </row>
    <row r="61">
      <c r="A61" s="19">
        <v>60.0</v>
      </c>
      <c r="B61" s="20"/>
      <c r="C61" s="21"/>
      <c r="D61" s="19"/>
      <c r="E61" s="22"/>
    </row>
    <row r="62">
      <c r="A62" s="19">
        <v>61.0</v>
      </c>
      <c r="B62" s="20"/>
      <c r="C62" s="21"/>
      <c r="D62" s="19"/>
      <c r="E62" s="22"/>
    </row>
    <row r="63">
      <c r="A63" s="19">
        <v>62.0</v>
      </c>
      <c r="B63" s="20"/>
      <c r="C63" s="21"/>
      <c r="D63" s="19"/>
      <c r="E63" s="22"/>
    </row>
    <row r="64">
      <c r="A64" s="19">
        <v>63.0</v>
      </c>
      <c r="B64" s="20"/>
      <c r="C64" s="21"/>
      <c r="D64" s="19"/>
      <c r="E64" s="22"/>
    </row>
    <row r="65">
      <c r="A65" s="19">
        <v>64.0</v>
      </c>
      <c r="B65" s="20"/>
      <c r="C65" s="21"/>
      <c r="D65" s="19"/>
      <c r="E65" s="22"/>
    </row>
    <row r="66">
      <c r="A66" s="19">
        <v>65.0</v>
      </c>
      <c r="B66" s="20"/>
      <c r="C66" s="21"/>
      <c r="D66" s="19"/>
      <c r="E66" s="22"/>
    </row>
    <row r="67">
      <c r="A67" s="19">
        <v>66.0</v>
      </c>
      <c r="B67" s="20"/>
      <c r="C67" s="21"/>
      <c r="D67" s="19"/>
      <c r="E67" s="22"/>
    </row>
    <row r="68">
      <c r="A68" s="19">
        <v>67.0</v>
      </c>
      <c r="B68" s="20"/>
      <c r="C68" s="21"/>
      <c r="D68" s="19"/>
      <c r="E68" s="22"/>
    </row>
    <row r="69">
      <c r="A69" s="19">
        <v>68.0</v>
      </c>
      <c r="B69" s="20"/>
      <c r="C69" s="21"/>
      <c r="D69" s="19"/>
      <c r="E69" s="22"/>
    </row>
    <row r="70">
      <c r="A70" s="19">
        <v>69.0</v>
      </c>
      <c r="B70" s="20"/>
      <c r="C70" s="21"/>
      <c r="D70" s="19"/>
      <c r="E70" s="22"/>
    </row>
    <row r="71">
      <c r="A71" s="19">
        <v>70.0</v>
      </c>
      <c r="B71" s="20"/>
      <c r="C71" s="21"/>
      <c r="D71" s="19"/>
      <c r="E71" s="22"/>
    </row>
    <row r="72">
      <c r="A72" s="19">
        <v>71.0</v>
      </c>
      <c r="B72" s="20"/>
      <c r="C72" s="21"/>
      <c r="D72" s="19"/>
      <c r="E72" s="22"/>
    </row>
    <row r="73">
      <c r="A73" s="19">
        <v>72.0</v>
      </c>
      <c r="B73" s="20"/>
      <c r="C73" s="21"/>
      <c r="D73" s="19"/>
      <c r="E73" s="22"/>
    </row>
    <row r="74">
      <c r="A74" s="19">
        <v>73.0</v>
      </c>
      <c r="B74" s="20"/>
      <c r="C74" s="21"/>
      <c r="D74" s="19"/>
      <c r="E74" s="22"/>
    </row>
    <row r="75">
      <c r="A75" s="19">
        <v>74.0</v>
      </c>
      <c r="B75" s="20"/>
      <c r="C75" s="21"/>
      <c r="D75" s="19"/>
      <c r="E75" s="22"/>
    </row>
    <row r="76">
      <c r="A76" s="19">
        <v>75.0</v>
      </c>
      <c r="B76" s="20"/>
      <c r="C76" s="21"/>
      <c r="D76" s="19"/>
      <c r="E76" s="22"/>
    </row>
    <row r="77">
      <c r="A77" s="19">
        <v>76.0</v>
      </c>
      <c r="B77" s="20"/>
      <c r="C77" s="21"/>
      <c r="D77" s="19"/>
      <c r="E77" s="22"/>
    </row>
    <row r="78">
      <c r="A78" s="19">
        <v>77.0</v>
      </c>
      <c r="B78" s="20"/>
      <c r="C78" s="21"/>
      <c r="D78" s="19"/>
      <c r="E78" s="22"/>
    </row>
    <row r="79">
      <c r="A79" s="19">
        <v>78.0</v>
      </c>
      <c r="B79" s="20"/>
      <c r="C79" s="21"/>
      <c r="D79" s="19"/>
      <c r="E79" s="22"/>
    </row>
    <row r="80">
      <c r="A80" s="19">
        <v>79.0</v>
      </c>
      <c r="B80" s="20"/>
      <c r="C80" s="21"/>
      <c r="D80" s="19"/>
      <c r="E80" s="22"/>
    </row>
    <row r="81">
      <c r="A81" s="19">
        <v>80.0</v>
      </c>
      <c r="B81" s="20"/>
      <c r="C81" s="21"/>
      <c r="D81" s="19"/>
      <c r="E81" s="22"/>
    </row>
    <row r="82">
      <c r="A82" s="19">
        <v>81.0</v>
      </c>
      <c r="B82" s="20"/>
      <c r="C82" s="21"/>
      <c r="D82" s="19"/>
      <c r="E82" s="22"/>
    </row>
    <row r="83">
      <c r="A83" s="19">
        <v>82.0</v>
      </c>
      <c r="B83" s="20"/>
      <c r="C83" s="21"/>
      <c r="D83" s="19"/>
      <c r="E83" s="22"/>
    </row>
    <row r="84">
      <c r="A84" s="19">
        <v>83.0</v>
      </c>
      <c r="B84" s="20"/>
      <c r="C84" s="21"/>
      <c r="D84" s="19"/>
      <c r="E84" s="22"/>
    </row>
    <row r="85">
      <c r="A85" s="19">
        <v>84.0</v>
      </c>
      <c r="B85" s="20"/>
      <c r="C85" s="21"/>
      <c r="D85" s="19"/>
      <c r="E85" s="22"/>
    </row>
    <row r="86">
      <c r="A86" s="19">
        <v>85.0</v>
      </c>
      <c r="B86" s="20"/>
      <c r="C86" s="21"/>
      <c r="D86" s="19"/>
      <c r="E86" s="22"/>
    </row>
    <row r="87">
      <c r="A87" s="19">
        <v>86.0</v>
      </c>
      <c r="B87" s="20"/>
      <c r="C87" s="21"/>
      <c r="D87" s="19"/>
      <c r="E87" s="22"/>
    </row>
    <row r="88">
      <c r="A88" s="19">
        <v>87.0</v>
      </c>
      <c r="B88" s="20"/>
      <c r="C88" s="21"/>
      <c r="D88" s="19"/>
      <c r="E88" s="22"/>
    </row>
    <row r="89">
      <c r="A89" s="19">
        <v>88.0</v>
      </c>
      <c r="B89" s="20"/>
      <c r="C89" s="21"/>
      <c r="D89" s="19"/>
      <c r="E89" s="22"/>
    </row>
    <row r="90">
      <c r="A90" s="19">
        <v>89.0</v>
      </c>
      <c r="B90" s="20"/>
      <c r="C90" s="21"/>
      <c r="D90" s="19"/>
      <c r="E90" s="22"/>
    </row>
    <row r="91">
      <c r="A91" s="19">
        <v>90.0</v>
      </c>
      <c r="B91" s="20"/>
      <c r="C91" s="21"/>
      <c r="D91" s="19"/>
      <c r="E91" s="22"/>
    </row>
    <row r="92">
      <c r="A92" s="19">
        <v>91.0</v>
      </c>
      <c r="B92" s="20"/>
      <c r="C92" s="21"/>
      <c r="D92" s="19"/>
      <c r="E92" s="22"/>
    </row>
    <row r="93">
      <c r="A93" s="19">
        <v>92.0</v>
      </c>
      <c r="B93" s="20"/>
      <c r="C93" s="21"/>
      <c r="D93" s="19"/>
      <c r="E93" s="22"/>
    </row>
    <row r="94">
      <c r="A94" s="19">
        <v>93.0</v>
      </c>
      <c r="B94" s="20"/>
      <c r="C94" s="21"/>
      <c r="D94" s="19"/>
      <c r="E94" s="22"/>
    </row>
    <row r="95">
      <c r="A95" s="19">
        <v>97.0</v>
      </c>
      <c r="B95" s="20"/>
      <c r="C95" s="21"/>
      <c r="D95" s="19"/>
      <c r="E95" s="22"/>
    </row>
    <row r="96">
      <c r="A96" s="19">
        <v>100.0</v>
      </c>
      <c r="B96" s="20"/>
      <c r="C96" s="21"/>
      <c r="D96" s="19"/>
      <c r="E96" s="22"/>
    </row>
    <row r="97">
      <c r="A97" s="19">
        <v>101.0</v>
      </c>
      <c r="B97" s="20"/>
      <c r="C97" s="21"/>
      <c r="D97" s="19"/>
      <c r="E97" s="22"/>
    </row>
    <row r="98">
      <c r="A98" s="19">
        <v>102.0</v>
      </c>
      <c r="B98" s="20"/>
      <c r="C98" s="21"/>
      <c r="D98" s="19"/>
      <c r="E98" s="22"/>
    </row>
    <row r="99">
      <c r="A99" s="19">
        <v>103.0</v>
      </c>
      <c r="B99" s="20"/>
      <c r="C99" s="21"/>
      <c r="D99" s="19"/>
      <c r="E99" s="22"/>
    </row>
    <row r="100">
      <c r="A100" s="19">
        <v>105.0</v>
      </c>
      <c r="B100" s="20"/>
      <c r="C100" s="21"/>
      <c r="D100" s="19"/>
      <c r="E100" s="22"/>
    </row>
    <row r="101">
      <c r="A101" s="19">
        <v>106.0</v>
      </c>
      <c r="B101" s="20"/>
      <c r="C101" s="21"/>
      <c r="D101" s="19"/>
      <c r="E101" s="22"/>
    </row>
    <row r="102">
      <c r="A102" s="19">
        <v>107.0</v>
      </c>
      <c r="B102" s="20"/>
      <c r="C102" s="21"/>
      <c r="D102" s="19"/>
      <c r="E102" s="22"/>
    </row>
    <row r="103">
      <c r="A103" s="19">
        <v>109.0</v>
      </c>
      <c r="B103" s="20"/>
      <c r="C103" s="21"/>
      <c r="D103" s="19"/>
      <c r="E103" s="22"/>
    </row>
    <row r="104">
      <c r="A104" s="19">
        <v>110.0</v>
      </c>
      <c r="B104" s="20"/>
      <c r="C104" s="21"/>
      <c r="D104" s="19"/>
      <c r="E104" s="22"/>
    </row>
    <row r="105">
      <c r="A105" s="19">
        <v>111.0</v>
      </c>
      <c r="B105" s="20"/>
      <c r="C105" s="21"/>
      <c r="D105" s="19"/>
      <c r="E105" s="22"/>
    </row>
    <row r="106">
      <c r="A106" s="19">
        <v>112.0</v>
      </c>
      <c r="B106" s="20"/>
      <c r="C106" s="21"/>
      <c r="D106" s="19"/>
      <c r="E106" s="22"/>
    </row>
    <row r="107">
      <c r="A107" s="19">
        <v>113.0</v>
      </c>
      <c r="B107" s="20"/>
      <c r="C107" s="21"/>
      <c r="D107" s="19"/>
      <c r="E107" s="22"/>
    </row>
    <row r="108">
      <c r="A108" s="19">
        <v>114.0</v>
      </c>
      <c r="B108" s="20"/>
      <c r="C108" s="21"/>
      <c r="D108" s="19"/>
      <c r="E108" s="22"/>
    </row>
    <row r="109">
      <c r="A109" s="19">
        <v>116.0</v>
      </c>
      <c r="B109" s="20"/>
      <c r="C109" s="21"/>
      <c r="D109" s="19"/>
      <c r="E109" s="22"/>
    </row>
    <row r="110">
      <c r="A110" s="19">
        <v>117.0</v>
      </c>
      <c r="B110" s="20"/>
      <c r="C110" s="21"/>
      <c r="D110" s="19"/>
      <c r="E110" s="22"/>
    </row>
    <row r="111">
      <c r="A111" s="19">
        <v>118.0</v>
      </c>
      <c r="B111" s="20"/>
      <c r="C111" s="21"/>
      <c r="D111" s="19"/>
      <c r="E111" s="22"/>
    </row>
    <row r="112">
      <c r="A112" s="19">
        <v>121.0</v>
      </c>
      <c r="B112" s="20"/>
      <c r="C112" s="21"/>
      <c r="D112" s="19"/>
      <c r="E112" s="22"/>
    </row>
    <row r="113">
      <c r="A113" s="19">
        <v>127.0</v>
      </c>
      <c r="B113" s="20"/>
      <c r="C113" s="21"/>
      <c r="D113" s="19"/>
      <c r="E113" s="22"/>
    </row>
    <row r="114">
      <c r="A114" s="19">
        <v>130.0</v>
      </c>
      <c r="B114" s="20"/>
      <c r="C114" s="21"/>
      <c r="D114" s="19"/>
      <c r="E114" s="22"/>
    </row>
    <row r="115">
      <c r="A115" s="19">
        <v>134.0</v>
      </c>
      <c r="B115" s="20"/>
      <c r="C115" s="21"/>
      <c r="D115" s="19"/>
      <c r="E115" s="22"/>
    </row>
    <row r="116">
      <c r="A116" s="19">
        <v>135.0</v>
      </c>
      <c r="B116" s="20"/>
      <c r="C116" s="21"/>
      <c r="D116" s="19"/>
      <c r="E116" s="22"/>
    </row>
    <row r="117">
      <c r="A117" s="19">
        <v>136.0</v>
      </c>
      <c r="B117" s="20"/>
      <c r="C117" s="21"/>
      <c r="D117" s="19"/>
      <c r="E117" s="22"/>
    </row>
    <row r="118">
      <c r="A118" s="19">
        <v>137.0</v>
      </c>
      <c r="B118" s="20"/>
      <c r="C118" s="21"/>
      <c r="D118" s="19"/>
      <c r="E118" s="22"/>
    </row>
    <row r="119">
      <c r="A119" s="19">
        <v>138.0</v>
      </c>
      <c r="B119" s="20"/>
      <c r="C119" s="21"/>
      <c r="D119" s="19"/>
      <c r="E119" s="22"/>
    </row>
    <row r="120">
      <c r="A120" s="19">
        <v>139.0</v>
      </c>
      <c r="B120" s="20"/>
      <c r="C120" s="21"/>
      <c r="D120" s="19"/>
      <c r="E120" s="22"/>
    </row>
    <row r="121">
      <c r="A121" s="19">
        <v>140.0</v>
      </c>
      <c r="B121" s="20"/>
      <c r="C121" s="21"/>
      <c r="D121" s="19"/>
      <c r="E121" s="22"/>
    </row>
    <row r="122">
      <c r="A122" s="19">
        <v>141.0</v>
      </c>
      <c r="B122" s="20"/>
      <c r="C122" s="21"/>
      <c r="D122" s="19"/>
      <c r="E122" s="22"/>
    </row>
    <row r="123">
      <c r="A123" s="19">
        <v>142.0</v>
      </c>
      <c r="B123" s="20"/>
      <c r="C123" s="21"/>
      <c r="D123" s="19"/>
      <c r="E123" s="22"/>
    </row>
    <row r="124">
      <c r="A124" s="19">
        <v>143.0</v>
      </c>
      <c r="B124" s="20"/>
      <c r="C124" s="21"/>
      <c r="D124" s="19"/>
      <c r="E124" s="22"/>
    </row>
    <row r="125">
      <c r="A125" s="19">
        <v>144.0</v>
      </c>
      <c r="B125" s="20"/>
      <c r="C125" s="21"/>
      <c r="D125" s="19"/>
      <c r="E125" s="22"/>
    </row>
    <row r="126">
      <c r="A126" s="19">
        <v>145.0</v>
      </c>
      <c r="B126" s="20"/>
      <c r="C126" s="21"/>
      <c r="D126" s="19"/>
      <c r="E126" s="22"/>
    </row>
    <row r="127">
      <c r="A127" s="19">
        <v>146.0</v>
      </c>
      <c r="B127" s="20"/>
      <c r="C127" s="21"/>
      <c r="D127" s="19"/>
      <c r="E127" s="22"/>
    </row>
    <row r="128">
      <c r="A128" s="19">
        <v>147.0</v>
      </c>
      <c r="B128" s="20"/>
      <c r="C128" s="21"/>
      <c r="D128" s="19"/>
      <c r="E128" s="22"/>
    </row>
    <row r="129">
      <c r="A129" s="19">
        <v>148.0</v>
      </c>
      <c r="B129" s="20"/>
      <c r="C129" s="21"/>
      <c r="D129" s="19"/>
      <c r="E129" s="22"/>
    </row>
    <row r="130">
      <c r="A130" s="19">
        <v>149.0</v>
      </c>
      <c r="B130" s="20"/>
      <c r="C130" s="21"/>
      <c r="D130" s="19"/>
      <c r="E130" s="22"/>
    </row>
    <row r="131">
      <c r="A131" s="19">
        <v>150.0</v>
      </c>
      <c r="B131" s="20"/>
      <c r="C131" s="21"/>
      <c r="D131" s="19"/>
      <c r="E131" s="22"/>
    </row>
    <row r="132">
      <c r="A132" s="19">
        <v>151.0</v>
      </c>
      <c r="B132" s="20"/>
      <c r="C132" s="21"/>
      <c r="D132" s="19"/>
      <c r="E132" s="22"/>
    </row>
    <row r="133">
      <c r="A133" s="19">
        <v>152.0</v>
      </c>
      <c r="B133" s="20"/>
      <c r="C133" s="21"/>
      <c r="D133" s="19"/>
      <c r="E133" s="22"/>
    </row>
    <row r="134">
      <c r="A134" s="19">
        <v>153.0</v>
      </c>
      <c r="B134" s="20"/>
      <c r="C134" s="21"/>
      <c r="D134" s="19"/>
      <c r="E134" s="22"/>
    </row>
    <row r="135">
      <c r="A135" s="19">
        <v>154.0</v>
      </c>
      <c r="B135" s="20"/>
      <c r="C135" s="21"/>
      <c r="D135" s="19"/>
      <c r="E135" s="22"/>
    </row>
    <row r="136">
      <c r="A136" s="19">
        <v>155.0</v>
      </c>
      <c r="B136" s="20"/>
      <c r="C136" s="21"/>
      <c r="D136" s="19"/>
      <c r="E136" s="22"/>
    </row>
    <row r="137">
      <c r="A137" s="19">
        <v>156.0</v>
      </c>
      <c r="B137" s="20"/>
      <c r="C137" s="21"/>
      <c r="D137" s="19"/>
      <c r="E137" s="22"/>
    </row>
    <row r="138">
      <c r="A138" s="19">
        <v>157.0</v>
      </c>
      <c r="B138" s="20"/>
      <c r="C138" s="21"/>
      <c r="D138" s="19"/>
      <c r="E138" s="22"/>
    </row>
    <row r="139">
      <c r="A139" s="19">
        <v>158.0</v>
      </c>
      <c r="B139" s="20"/>
      <c r="C139" s="21"/>
      <c r="D139" s="19"/>
      <c r="E139" s="22"/>
    </row>
    <row r="140">
      <c r="A140" s="19">
        <v>159.0</v>
      </c>
      <c r="B140" s="20"/>
      <c r="C140" s="21"/>
      <c r="D140" s="19"/>
      <c r="E140" s="22"/>
    </row>
    <row r="141">
      <c r="A141" s="19">
        <v>160.0</v>
      </c>
      <c r="B141" s="20"/>
      <c r="C141" s="21"/>
      <c r="D141" s="19"/>
      <c r="E141" s="22"/>
    </row>
    <row r="142">
      <c r="A142" s="19">
        <v>161.0</v>
      </c>
      <c r="B142" s="20"/>
      <c r="C142" s="21"/>
      <c r="D142" s="19"/>
      <c r="E142" s="22"/>
    </row>
    <row r="143">
      <c r="A143" s="19">
        <v>162.0</v>
      </c>
      <c r="B143" s="20"/>
      <c r="C143" s="21"/>
      <c r="D143" s="19"/>
      <c r="E143" s="22"/>
    </row>
    <row r="144">
      <c r="A144" s="19">
        <v>163.0</v>
      </c>
      <c r="B144" s="20"/>
      <c r="C144" s="21"/>
      <c r="D144" s="19"/>
      <c r="E144" s="22"/>
    </row>
    <row r="145">
      <c r="A145" s="19">
        <v>164.0</v>
      </c>
      <c r="B145" s="20"/>
      <c r="C145" s="21"/>
      <c r="D145" s="19"/>
      <c r="E145" s="22"/>
    </row>
    <row r="146">
      <c r="A146" s="19">
        <v>165.0</v>
      </c>
      <c r="B146" s="20"/>
      <c r="C146" s="21"/>
      <c r="D146" s="19"/>
      <c r="E146" s="22"/>
    </row>
    <row r="147">
      <c r="A147" s="19">
        <v>167.0</v>
      </c>
      <c r="B147" s="20"/>
      <c r="C147" s="21"/>
      <c r="D147" s="19"/>
      <c r="E147" s="22"/>
    </row>
    <row r="148">
      <c r="A148" s="19">
        <v>169.0</v>
      </c>
      <c r="B148" s="20"/>
      <c r="C148" s="21"/>
      <c r="D148" s="19"/>
      <c r="E148" s="22"/>
    </row>
    <row r="149">
      <c r="A149" s="19">
        <v>173.0</v>
      </c>
      <c r="B149" s="20"/>
      <c r="C149" s="21"/>
      <c r="D149" s="19"/>
      <c r="E149" s="22"/>
    </row>
    <row r="150">
      <c r="A150" s="19">
        <v>179.0</v>
      </c>
      <c r="B150" s="20"/>
      <c r="C150" s="21"/>
      <c r="D150" s="19"/>
      <c r="E150" s="22"/>
    </row>
    <row r="151">
      <c r="A151" s="19">
        <v>181.0</v>
      </c>
      <c r="B151" s="20"/>
      <c r="C151" s="21"/>
      <c r="D151" s="19"/>
      <c r="E151" s="22"/>
    </row>
    <row r="152">
      <c r="A152" s="19">
        <v>182.0</v>
      </c>
      <c r="B152" s="20"/>
      <c r="C152" s="21"/>
      <c r="D152" s="19"/>
      <c r="E152" s="22"/>
    </row>
    <row r="153">
      <c r="A153" s="19">
        <v>184.0</v>
      </c>
      <c r="B153" s="20"/>
      <c r="C153" s="21"/>
      <c r="D153" s="19"/>
      <c r="E153" s="22"/>
    </row>
    <row r="154">
      <c r="A154" s="19">
        <v>187.0</v>
      </c>
      <c r="B154" s="20"/>
      <c r="C154" s="21"/>
      <c r="D154" s="19"/>
      <c r="E154" s="22"/>
    </row>
    <row r="155">
      <c r="A155" s="19">
        <v>189.0</v>
      </c>
      <c r="B155" s="20"/>
      <c r="C155" s="21"/>
      <c r="D155" s="19"/>
      <c r="E155" s="22"/>
    </row>
    <row r="156">
      <c r="A156" s="19">
        <v>192.0</v>
      </c>
      <c r="B156" s="20"/>
      <c r="C156" s="21"/>
      <c r="D156" s="19"/>
      <c r="E156" s="22"/>
    </row>
    <row r="157">
      <c r="A157" s="19">
        <v>194.0</v>
      </c>
      <c r="B157" s="20"/>
      <c r="C157" s="21"/>
      <c r="D157" s="19"/>
      <c r="E157" s="22"/>
    </row>
    <row r="158">
      <c r="A158" s="19">
        <v>195.0</v>
      </c>
      <c r="B158" s="20"/>
      <c r="C158" s="21"/>
      <c r="D158" s="19"/>
      <c r="E158" s="22"/>
    </row>
    <row r="159">
      <c r="A159" s="19">
        <v>196.0</v>
      </c>
      <c r="B159" s="20"/>
      <c r="C159" s="21"/>
      <c r="D159" s="19"/>
      <c r="E159" s="22"/>
    </row>
  </sheetData>
  <autoFilter ref="$A$1:$E$15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5">
        <v>1.0</v>
      </c>
      <c r="B2" s="6" t="s">
        <v>38</v>
      </c>
      <c r="C2" s="5" t="s">
        <v>11</v>
      </c>
      <c r="D2" s="5" t="s">
        <v>39</v>
      </c>
      <c r="E2" s="7">
        <v>33.0</v>
      </c>
    </row>
    <row r="3">
      <c r="A3" s="5">
        <v>2.0</v>
      </c>
      <c r="B3" s="6" t="s">
        <v>60</v>
      </c>
      <c r="C3" s="5" t="s">
        <v>18</v>
      </c>
      <c r="D3" s="5" t="s">
        <v>39</v>
      </c>
      <c r="E3" s="7">
        <v>23.0</v>
      </c>
    </row>
    <row r="4">
      <c r="A4" s="5">
        <v>3.0</v>
      </c>
      <c r="B4" s="6" t="s">
        <v>94</v>
      </c>
      <c r="C4" s="5" t="s">
        <v>28</v>
      </c>
      <c r="D4" s="5" t="s">
        <v>39</v>
      </c>
      <c r="E4" s="7">
        <v>20.0</v>
      </c>
    </row>
    <row r="5">
      <c r="A5" s="5">
        <v>4.0</v>
      </c>
      <c r="B5" s="6" t="s">
        <v>73</v>
      </c>
      <c r="C5" s="5" t="s">
        <v>20</v>
      </c>
      <c r="D5" s="5" t="s">
        <v>39</v>
      </c>
      <c r="E5" s="7">
        <v>16.0</v>
      </c>
    </row>
    <row r="6">
      <c r="A6" s="5">
        <v>5.0</v>
      </c>
      <c r="B6" s="6" t="s">
        <v>84</v>
      </c>
      <c r="C6" s="5" t="s">
        <v>22</v>
      </c>
      <c r="D6" s="5" t="s">
        <v>39</v>
      </c>
      <c r="E6" s="7">
        <v>14.0</v>
      </c>
    </row>
    <row r="7">
      <c r="A7" s="5">
        <v>6.0</v>
      </c>
      <c r="B7" s="6" t="s">
        <v>105</v>
      </c>
      <c r="C7" s="5" t="s">
        <v>59</v>
      </c>
      <c r="D7" s="5" t="s">
        <v>39</v>
      </c>
      <c r="E7" s="7">
        <v>11.0</v>
      </c>
    </row>
    <row r="8">
      <c r="A8" s="5">
        <v>7.0</v>
      </c>
      <c r="B8" s="6" t="s">
        <v>123</v>
      </c>
      <c r="C8" s="5" t="s">
        <v>16</v>
      </c>
      <c r="D8" s="5" t="s">
        <v>39</v>
      </c>
      <c r="E8" s="7">
        <v>10.0</v>
      </c>
    </row>
    <row r="9">
      <c r="A9" s="5">
        <v>8.0</v>
      </c>
      <c r="B9" s="6" t="s">
        <v>110</v>
      </c>
      <c r="C9" s="5" t="s">
        <v>35</v>
      </c>
      <c r="D9" s="5" t="s">
        <v>39</v>
      </c>
      <c r="E9" s="7">
        <v>9.0</v>
      </c>
    </row>
    <row r="10">
      <c r="A10" s="5">
        <v>9.0</v>
      </c>
      <c r="B10" s="6" t="s">
        <v>115</v>
      </c>
      <c r="C10" s="5" t="s">
        <v>30</v>
      </c>
      <c r="D10" s="5" t="s">
        <v>39</v>
      </c>
      <c r="E10" s="7">
        <v>9.0</v>
      </c>
    </row>
    <row r="11">
      <c r="A11" s="5">
        <v>10.0</v>
      </c>
      <c r="B11" s="6" t="s">
        <v>136</v>
      </c>
      <c r="C11" s="5" t="s">
        <v>37</v>
      </c>
      <c r="D11" s="5" t="s">
        <v>39</v>
      </c>
      <c r="E11" s="7">
        <v>9.0</v>
      </c>
    </row>
    <row r="12">
      <c r="A12" s="5">
        <v>11.0</v>
      </c>
      <c r="B12" s="6" t="s">
        <v>99</v>
      </c>
      <c r="C12" s="5" t="s">
        <v>9</v>
      </c>
      <c r="D12" s="5" t="s">
        <v>39</v>
      </c>
      <c r="E12" s="7">
        <v>9.0</v>
      </c>
    </row>
    <row r="13">
      <c r="A13" s="5">
        <v>12.0</v>
      </c>
      <c r="B13" s="6" t="s">
        <v>131</v>
      </c>
      <c r="C13" s="5" t="s">
        <v>24</v>
      </c>
      <c r="D13" s="5" t="s">
        <v>39</v>
      </c>
      <c r="E13" s="7">
        <v>8.0</v>
      </c>
    </row>
    <row r="14">
      <c r="A14" s="5">
        <v>13.0</v>
      </c>
      <c r="B14" s="8" t="s">
        <v>212</v>
      </c>
      <c r="C14" s="5" t="s">
        <v>104</v>
      </c>
      <c r="D14" s="5" t="s">
        <v>39</v>
      </c>
      <c r="E14" s="7">
        <v>7.0</v>
      </c>
    </row>
    <row r="15">
      <c r="A15" s="5">
        <v>14.0</v>
      </c>
      <c r="B15" s="6" t="s">
        <v>125</v>
      </c>
      <c r="C15" s="5" t="s">
        <v>69</v>
      </c>
      <c r="D15" s="5" t="s">
        <v>39</v>
      </c>
      <c r="E15" s="7">
        <v>7.0</v>
      </c>
    </row>
    <row r="16">
      <c r="A16" s="5">
        <v>15.0</v>
      </c>
      <c r="B16" s="6" t="s">
        <v>827</v>
      </c>
      <c r="C16" s="5" t="s">
        <v>96</v>
      </c>
      <c r="D16" s="5" t="s">
        <v>39</v>
      </c>
      <c r="E16" s="7">
        <v>6.0</v>
      </c>
    </row>
    <row r="17">
      <c r="A17" s="5">
        <v>16.0</v>
      </c>
      <c r="B17" s="6" t="s">
        <v>144</v>
      </c>
      <c r="C17" s="5" t="s">
        <v>46</v>
      </c>
      <c r="D17" s="5" t="s">
        <v>39</v>
      </c>
      <c r="E17" s="7">
        <v>6.0</v>
      </c>
    </row>
    <row r="18">
      <c r="A18" s="5">
        <v>17.0</v>
      </c>
      <c r="B18" s="6" t="s">
        <v>218</v>
      </c>
      <c r="C18" s="5" t="s">
        <v>43</v>
      </c>
      <c r="D18" s="5" t="s">
        <v>39</v>
      </c>
      <c r="E18" s="7">
        <v>5.0</v>
      </c>
    </row>
    <row r="19">
      <c r="A19" s="5">
        <v>18.0</v>
      </c>
      <c r="B19" s="6" t="s">
        <v>230</v>
      </c>
      <c r="C19" s="5" t="s">
        <v>62</v>
      </c>
      <c r="D19" s="5" t="s">
        <v>39</v>
      </c>
      <c r="E19" s="7">
        <v>4.0</v>
      </c>
    </row>
    <row r="20">
      <c r="A20" s="5">
        <v>19.0</v>
      </c>
      <c r="B20" s="6" t="s">
        <v>111</v>
      </c>
      <c r="C20" s="5" t="s">
        <v>26</v>
      </c>
      <c r="D20" s="5" t="s">
        <v>39</v>
      </c>
      <c r="E20" s="7">
        <v>3.0</v>
      </c>
    </row>
    <row r="21">
      <c r="A21" s="5">
        <v>20.0</v>
      </c>
      <c r="B21" s="6" t="s">
        <v>238</v>
      </c>
      <c r="C21" s="5" t="s">
        <v>139</v>
      </c>
      <c r="D21" s="5" t="s">
        <v>39</v>
      </c>
      <c r="E21" s="7">
        <v>2.0</v>
      </c>
    </row>
    <row r="22">
      <c r="A22" s="5">
        <v>21.0</v>
      </c>
      <c r="B22" s="6" t="s">
        <v>263</v>
      </c>
      <c r="C22" s="5" t="s">
        <v>33</v>
      </c>
      <c r="D22" s="5" t="s">
        <v>39</v>
      </c>
      <c r="E22" s="7">
        <v>1.0</v>
      </c>
    </row>
    <row r="23">
      <c r="A23" s="5">
        <v>22.0</v>
      </c>
      <c r="B23" s="6" t="s">
        <v>262</v>
      </c>
      <c r="C23" s="5" t="s">
        <v>41</v>
      </c>
      <c r="D23" s="5" t="s">
        <v>39</v>
      </c>
      <c r="E23" s="7">
        <v>0.0</v>
      </c>
    </row>
    <row r="24">
      <c r="A24" s="5">
        <v>23.0</v>
      </c>
      <c r="B24" s="6" t="s">
        <v>266</v>
      </c>
      <c r="C24" s="5" t="s">
        <v>71</v>
      </c>
      <c r="D24" s="5" t="s">
        <v>39</v>
      </c>
      <c r="E24" s="7">
        <v>0.0</v>
      </c>
    </row>
    <row r="25">
      <c r="A25" s="5">
        <v>24.0</v>
      </c>
      <c r="B25" s="6" t="s">
        <v>746</v>
      </c>
      <c r="C25" s="5" t="s">
        <v>48</v>
      </c>
      <c r="D25" s="5" t="s">
        <v>39</v>
      </c>
      <c r="E25" s="7">
        <v>0.0</v>
      </c>
    </row>
    <row r="26">
      <c r="A26" s="5">
        <v>25.0</v>
      </c>
      <c r="B26" s="6" t="s">
        <v>276</v>
      </c>
      <c r="C26" s="5" t="s">
        <v>52</v>
      </c>
      <c r="D26" s="5" t="s">
        <v>39</v>
      </c>
      <c r="E26" s="7">
        <v>0.0</v>
      </c>
    </row>
    <row r="27">
      <c r="A27" s="5">
        <v>26.0</v>
      </c>
      <c r="B27" s="6" t="s">
        <v>285</v>
      </c>
      <c r="C27" s="5" t="s">
        <v>54</v>
      </c>
      <c r="D27" s="5" t="s">
        <v>39</v>
      </c>
      <c r="E27" s="7">
        <v>0.0</v>
      </c>
    </row>
    <row r="28">
      <c r="A28" s="5">
        <v>27.0</v>
      </c>
      <c r="B28" s="6" t="s">
        <v>306</v>
      </c>
      <c r="C28" s="5" t="s">
        <v>50</v>
      </c>
      <c r="D28" s="5" t="s">
        <v>39</v>
      </c>
      <c r="E28" s="7">
        <v>0.0</v>
      </c>
    </row>
    <row r="29">
      <c r="A29" s="5">
        <v>28.0</v>
      </c>
      <c r="B29" s="6" t="s">
        <v>462</v>
      </c>
      <c r="C29" s="5" t="s">
        <v>91</v>
      </c>
      <c r="D29" s="5" t="s">
        <v>39</v>
      </c>
      <c r="E29" s="7">
        <v>0.0</v>
      </c>
    </row>
    <row r="30">
      <c r="A30" s="5">
        <v>29.0</v>
      </c>
      <c r="B30" s="6" t="s">
        <v>633</v>
      </c>
      <c r="C30" s="5" t="s">
        <v>6</v>
      </c>
      <c r="D30" s="5" t="s">
        <v>39</v>
      </c>
      <c r="E30" s="7">
        <v>0.0</v>
      </c>
    </row>
    <row r="31">
      <c r="A31" s="5">
        <v>30.0</v>
      </c>
      <c r="B31" s="8" t="s">
        <v>628</v>
      </c>
      <c r="C31" s="5" t="s">
        <v>122</v>
      </c>
      <c r="D31" s="5" t="s">
        <v>39</v>
      </c>
      <c r="E31" s="7">
        <v>0.0</v>
      </c>
    </row>
    <row r="32">
      <c r="A32" s="5">
        <v>31.0</v>
      </c>
      <c r="B32" s="6" t="s">
        <v>743</v>
      </c>
      <c r="C32" s="5" t="s">
        <v>163</v>
      </c>
      <c r="D32" s="5" t="s">
        <v>39</v>
      </c>
      <c r="E32" s="7">
        <v>0.0</v>
      </c>
    </row>
    <row r="33">
      <c r="A33" s="5">
        <v>32.0</v>
      </c>
      <c r="B33" s="6" t="s">
        <v>742</v>
      </c>
      <c r="C33" s="5" t="s">
        <v>165</v>
      </c>
      <c r="D33" s="5" t="s">
        <v>39</v>
      </c>
      <c r="E33" s="7">
        <v>0.0</v>
      </c>
    </row>
    <row r="34">
      <c r="A34" s="5">
        <v>33.0</v>
      </c>
      <c r="B34" s="6" t="s">
        <v>5</v>
      </c>
      <c r="C34" s="5" t="s">
        <v>6</v>
      </c>
      <c r="D34" s="5" t="s">
        <v>7</v>
      </c>
      <c r="E34" s="7">
        <v>64.0</v>
      </c>
    </row>
    <row r="35">
      <c r="A35" s="5">
        <v>34.0</v>
      </c>
      <c r="B35" s="6" t="s">
        <v>15</v>
      </c>
      <c r="C35" s="5" t="s">
        <v>16</v>
      </c>
      <c r="D35" s="5" t="s">
        <v>7</v>
      </c>
      <c r="E35" s="7">
        <v>57.0</v>
      </c>
    </row>
    <row r="36">
      <c r="A36" s="5">
        <v>35.0</v>
      </c>
      <c r="B36" s="6" t="s">
        <v>21</v>
      </c>
      <c r="C36" s="5" t="s">
        <v>22</v>
      </c>
      <c r="D36" s="5" t="s">
        <v>7</v>
      </c>
      <c r="E36" s="7">
        <v>57.0</v>
      </c>
    </row>
    <row r="37">
      <c r="A37" s="5">
        <v>36.0</v>
      </c>
      <c r="B37" s="6" t="s">
        <v>8</v>
      </c>
      <c r="C37" s="5" t="s">
        <v>9</v>
      </c>
      <c r="D37" s="5" t="s">
        <v>7</v>
      </c>
      <c r="E37" s="7">
        <v>53.0</v>
      </c>
    </row>
    <row r="38">
      <c r="A38" s="5">
        <v>37.0</v>
      </c>
      <c r="B38" s="6" t="s">
        <v>51</v>
      </c>
      <c r="C38" s="5" t="s">
        <v>52</v>
      </c>
      <c r="D38" s="5" t="s">
        <v>7</v>
      </c>
      <c r="E38" s="7">
        <v>41.0</v>
      </c>
    </row>
    <row r="39">
      <c r="A39" s="5">
        <v>38.0</v>
      </c>
      <c r="B39" s="6" t="s">
        <v>25</v>
      </c>
      <c r="C39" s="5" t="s">
        <v>26</v>
      </c>
      <c r="D39" s="5" t="s">
        <v>7</v>
      </c>
      <c r="E39" s="7">
        <v>41.0</v>
      </c>
    </row>
    <row r="40">
      <c r="A40" s="5">
        <v>39.0</v>
      </c>
      <c r="B40" s="6" t="s">
        <v>56</v>
      </c>
      <c r="C40" s="5" t="s">
        <v>35</v>
      </c>
      <c r="D40" s="5" t="s">
        <v>7</v>
      </c>
      <c r="E40" s="7">
        <v>40.0</v>
      </c>
    </row>
    <row r="41">
      <c r="A41" s="5">
        <v>40.0</v>
      </c>
      <c r="B41" s="6" t="s">
        <v>23</v>
      </c>
      <c r="C41" s="5" t="s">
        <v>24</v>
      </c>
      <c r="D41" s="5" t="s">
        <v>7</v>
      </c>
      <c r="E41" s="7">
        <v>39.0</v>
      </c>
    </row>
    <row r="42">
      <c r="A42" s="5">
        <v>41.0</v>
      </c>
      <c r="B42" s="6" t="s">
        <v>53</v>
      </c>
      <c r="C42" s="5" t="s">
        <v>54</v>
      </c>
      <c r="D42" s="5" t="s">
        <v>7</v>
      </c>
      <c r="E42" s="7">
        <v>37.0</v>
      </c>
    </row>
    <row r="43">
      <c r="A43" s="5">
        <v>42.0</v>
      </c>
      <c r="B43" s="6" t="s">
        <v>63</v>
      </c>
      <c r="C43" s="5" t="s">
        <v>30</v>
      </c>
      <c r="D43" s="5" t="s">
        <v>7</v>
      </c>
      <c r="E43" s="7">
        <v>37.0</v>
      </c>
    </row>
    <row r="44">
      <c r="A44" s="5">
        <v>43.0</v>
      </c>
      <c r="B44" s="6" t="s">
        <v>64</v>
      </c>
      <c r="C44" s="5" t="s">
        <v>62</v>
      </c>
      <c r="D44" s="5" t="s">
        <v>7</v>
      </c>
      <c r="E44" s="7">
        <v>34.0</v>
      </c>
    </row>
    <row r="45">
      <c r="A45" s="5">
        <v>44.0</v>
      </c>
      <c r="B45" s="6" t="s">
        <v>124</v>
      </c>
      <c r="C45" s="5" t="s">
        <v>11</v>
      </c>
      <c r="D45" s="5" t="s">
        <v>7</v>
      </c>
      <c r="E45" s="7">
        <v>30.0</v>
      </c>
    </row>
    <row r="46">
      <c r="A46" s="5">
        <v>45.0</v>
      </c>
      <c r="B46" s="6" t="s">
        <v>49</v>
      </c>
      <c r="C46" s="5" t="s">
        <v>50</v>
      </c>
      <c r="D46" s="5" t="s">
        <v>7</v>
      </c>
      <c r="E46" s="7">
        <v>29.0</v>
      </c>
    </row>
    <row r="47">
      <c r="A47" s="5">
        <v>46.0</v>
      </c>
      <c r="B47" s="6" t="s">
        <v>77</v>
      </c>
      <c r="C47" s="5" t="s">
        <v>69</v>
      </c>
      <c r="D47" s="5" t="s">
        <v>7</v>
      </c>
      <c r="E47" s="7">
        <v>29.0</v>
      </c>
    </row>
    <row r="48">
      <c r="A48" s="5">
        <v>47.0</v>
      </c>
      <c r="B48" s="6" t="s">
        <v>100</v>
      </c>
      <c r="C48" s="5" t="s">
        <v>71</v>
      </c>
      <c r="D48" s="5" t="s">
        <v>7</v>
      </c>
      <c r="E48" s="7">
        <v>28.0</v>
      </c>
    </row>
    <row r="49">
      <c r="A49" s="5">
        <v>48.0</v>
      </c>
      <c r="B49" s="6" t="s">
        <v>90</v>
      </c>
      <c r="C49" s="5" t="s">
        <v>91</v>
      </c>
      <c r="D49" s="5" t="s">
        <v>7</v>
      </c>
      <c r="E49" s="7">
        <v>28.0</v>
      </c>
    </row>
    <row r="50">
      <c r="A50" s="5">
        <v>49.0</v>
      </c>
      <c r="B50" s="6" t="s">
        <v>102</v>
      </c>
      <c r="C50" s="5" t="s">
        <v>28</v>
      </c>
      <c r="D50" s="5" t="s">
        <v>7</v>
      </c>
      <c r="E50" s="7">
        <v>24.0</v>
      </c>
    </row>
    <row r="51">
      <c r="A51" s="5">
        <v>50.0</v>
      </c>
      <c r="B51" s="6" t="s">
        <v>80</v>
      </c>
      <c r="C51" s="5" t="s">
        <v>20</v>
      </c>
      <c r="D51" s="5" t="s">
        <v>7</v>
      </c>
      <c r="E51" s="7">
        <v>23.0</v>
      </c>
    </row>
    <row r="52">
      <c r="A52" s="5">
        <v>51.0</v>
      </c>
      <c r="B52" s="6" t="s">
        <v>42</v>
      </c>
      <c r="C52" s="5" t="s">
        <v>43</v>
      </c>
      <c r="D52" s="5" t="s">
        <v>7</v>
      </c>
      <c r="E52" s="7">
        <v>23.0</v>
      </c>
    </row>
    <row r="53">
      <c r="A53" s="5">
        <v>52.0</v>
      </c>
      <c r="B53" s="6" t="s">
        <v>85</v>
      </c>
      <c r="C53" s="5" t="s">
        <v>48</v>
      </c>
      <c r="D53" s="5" t="s">
        <v>7</v>
      </c>
      <c r="E53" s="7">
        <v>23.0</v>
      </c>
    </row>
    <row r="54">
      <c r="A54" s="5">
        <v>53.0</v>
      </c>
      <c r="B54" s="6" t="s">
        <v>93</v>
      </c>
      <c r="C54" s="5" t="s">
        <v>41</v>
      </c>
      <c r="D54" s="5" t="s">
        <v>7</v>
      </c>
      <c r="E54" s="7">
        <v>22.0</v>
      </c>
    </row>
    <row r="55">
      <c r="A55" s="5">
        <v>54.0</v>
      </c>
      <c r="B55" s="6" t="s">
        <v>67</v>
      </c>
      <c r="C55" s="5" t="s">
        <v>46</v>
      </c>
      <c r="D55" s="5" t="s">
        <v>7</v>
      </c>
      <c r="E55" s="7">
        <v>21.0</v>
      </c>
    </row>
    <row r="56">
      <c r="A56" s="5">
        <v>55.0</v>
      </c>
      <c r="B56" s="6" t="s">
        <v>145</v>
      </c>
      <c r="C56" s="5" t="s">
        <v>96</v>
      </c>
      <c r="D56" s="5" t="s">
        <v>7</v>
      </c>
      <c r="E56" s="7">
        <v>20.0</v>
      </c>
    </row>
    <row r="57">
      <c r="A57" s="5">
        <v>56.0</v>
      </c>
      <c r="B57" s="6" t="s">
        <v>103</v>
      </c>
      <c r="C57" s="5" t="s">
        <v>104</v>
      </c>
      <c r="D57" s="5" t="s">
        <v>7</v>
      </c>
      <c r="E57" s="7">
        <v>19.0</v>
      </c>
    </row>
    <row r="58">
      <c r="A58" s="5">
        <v>57.0</v>
      </c>
      <c r="B58" s="6" t="s">
        <v>245</v>
      </c>
      <c r="C58" s="5" t="s">
        <v>122</v>
      </c>
      <c r="D58" s="5" t="s">
        <v>7</v>
      </c>
      <c r="E58" s="7">
        <v>18.0</v>
      </c>
    </row>
    <row r="59">
      <c r="A59" s="5">
        <v>58.0</v>
      </c>
      <c r="B59" s="6" t="s">
        <v>231</v>
      </c>
      <c r="C59" s="5" t="s">
        <v>163</v>
      </c>
      <c r="D59" s="5" t="s">
        <v>7</v>
      </c>
      <c r="E59" s="7">
        <v>15.0</v>
      </c>
    </row>
    <row r="60">
      <c r="A60" s="5">
        <v>59.0</v>
      </c>
      <c r="B60" s="6" t="s">
        <v>259</v>
      </c>
      <c r="C60" s="5" t="s">
        <v>33</v>
      </c>
      <c r="D60" s="5" t="s">
        <v>7</v>
      </c>
      <c r="E60" s="7">
        <v>13.0</v>
      </c>
    </row>
    <row r="61">
      <c r="A61" s="5">
        <v>60.0</v>
      </c>
      <c r="B61" s="6" t="s">
        <v>249</v>
      </c>
      <c r="C61" s="5" t="s">
        <v>46</v>
      </c>
      <c r="D61" s="5" t="s">
        <v>7</v>
      </c>
      <c r="E61" s="7">
        <v>12.0</v>
      </c>
    </row>
    <row r="62">
      <c r="A62" s="5">
        <v>61.0</v>
      </c>
      <c r="B62" s="6" t="s">
        <v>346</v>
      </c>
      <c r="C62" s="5" t="s">
        <v>43</v>
      </c>
      <c r="D62" s="5" t="s">
        <v>7</v>
      </c>
      <c r="E62" s="7">
        <v>11.0</v>
      </c>
    </row>
    <row r="63">
      <c r="A63" s="5">
        <v>62.0</v>
      </c>
      <c r="B63" s="6" t="s">
        <v>228</v>
      </c>
      <c r="C63" s="5" t="s">
        <v>165</v>
      </c>
      <c r="D63" s="5" t="s">
        <v>7</v>
      </c>
      <c r="E63" s="7">
        <v>11.0</v>
      </c>
    </row>
    <row r="64">
      <c r="A64" s="5">
        <v>63.0</v>
      </c>
      <c r="B64" s="6" t="s">
        <v>348</v>
      </c>
      <c r="C64" s="5" t="s">
        <v>18</v>
      </c>
      <c r="D64" s="5" t="s">
        <v>7</v>
      </c>
      <c r="E64" s="7">
        <v>11.0</v>
      </c>
    </row>
    <row r="65">
      <c r="A65" s="5">
        <v>64.0</v>
      </c>
      <c r="B65" s="6" t="s">
        <v>253</v>
      </c>
      <c r="C65" s="5" t="s">
        <v>59</v>
      </c>
      <c r="D65" s="5" t="s">
        <v>7</v>
      </c>
      <c r="E65" s="7">
        <v>10.0</v>
      </c>
    </row>
    <row r="66">
      <c r="A66" s="5">
        <v>65.0</v>
      </c>
      <c r="B66" s="6" t="s">
        <v>302</v>
      </c>
      <c r="C66" s="5" t="s">
        <v>37</v>
      </c>
      <c r="D66" s="5" t="s">
        <v>7</v>
      </c>
      <c r="E66" s="7">
        <v>10.0</v>
      </c>
    </row>
    <row r="67">
      <c r="A67" s="5">
        <v>66.0</v>
      </c>
      <c r="B67" s="6" t="s">
        <v>304</v>
      </c>
      <c r="C67" s="5" t="s">
        <v>96</v>
      </c>
      <c r="D67" s="5" t="s">
        <v>7</v>
      </c>
      <c r="E67" s="7">
        <v>9.0</v>
      </c>
    </row>
    <row r="68">
      <c r="A68" s="5">
        <v>67.0</v>
      </c>
      <c r="B68" s="8" t="s">
        <v>317</v>
      </c>
      <c r="C68" s="5" t="s">
        <v>16</v>
      </c>
      <c r="D68" s="5" t="s">
        <v>7</v>
      </c>
      <c r="E68" s="7">
        <v>9.0</v>
      </c>
    </row>
    <row r="69">
      <c r="A69" s="5">
        <v>68.0</v>
      </c>
      <c r="B69" s="6" t="s">
        <v>338</v>
      </c>
      <c r="C69" s="5" t="s">
        <v>139</v>
      </c>
      <c r="D69" s="5" t="s">
        <v>7</v>
      </c>
      <c r="E69" s="7">
        <v>9.0</v>
      </c>
    </row>
    <row r="70">
      <c r="A70" s="5">
        <v>69.0</v>
      </c>
      <c r="B70" s="6" t="s">
        <v>308</v>
      </c>
      <c r="C70" s="5" t="s">
        <v>69</v>
      </c>
      <c r="D70" s="5" t="s">
        <v>7</v>
      </c>
      <c r="E70" s="7">
        <v>8.0</v>
      </c>
    </row>
    <row r="71">
      <c r="A71" s="5">
        <v>70.0</v>
      </c>
      <c r="B71" s="6" t="s">
        <v>343</v>
      </c>
      <c r="C71" s="5" t="s">
        <v>59</v>
      </c>
      <c r="D71" s="5" t="s">
        <v>7</v>
      </c>
      <c r="E71" s="7">
        <v>8.0</v>
      </c>
    </row>
    <row r="72">
      <c r="A72" s="5">
        <v>71.0</v>
      </c>
      <c r="B72" s="6" t="s">
        <v>321</v>
      </c>
      <c r="C72" s="5" t="s">
        <v>122</v>
      </c>
      <c r="D72" s="5" t="s">
        <v>7</v>
      </c>
      <c r="E72" s="7">
        <v>7.0</v>
      </c>
    </row>
    <row r="73">
      <c r="A73" s="5">
        <v>72.0</v>
      </c>
      <c r="B73" s="6" t="s">
        <v>463</v>
      </c>
      <c r="C73" s="5" t="s">
        <v>24</v>
      </c>
      <c r="D73" s="5" t="s">
        <v>7</v>
      </c>
      <c r="E73" s="7">
        <v>7.0</v>
      </c>
    </row>
    <row r="74">
      <c r="A74" s="5">
        <v>73.0</v>
      </c>
      <c r="B74" s="8" t="s">
        <v>371</v>
      </c>
      <c r="C74" s="5" t="s">
        <v>163</v>
      </c>
      <c r="D74" s="5" t="s">
        <v>7</v>
      </c>
      <c r="E74" s="7">
        <v>7.0</v>
      </c>
    </row>
    <row r="75">
      <c r="A75" s="5">
        <v>74.0</v>
      </c>
      <c r="B75" s="6" t="s">
        <v>288</v>
      </c>
      <c r="C75" s="5" t="s">
        <v>33</v>
      </c>
      <c r="D75" s="5" t="s">
        <v>7</v>
      </c>
      <c r="E75" s="7">
        <v>7.0</v>
      </c>
    </row>
    <row r="76">
      <c r="A76" s="5">
        <v>75.0</v>
      </c>
      <c r="B76" s="6" t="s">
        <v>466</v>
      </c>
      <c r="C76" s="5" t="s">
        <v>50</v>
      </c>
      <c r="D76" s="5" t="s">
        <v>7</v>
      </c>
      <c r="E76" s="7">
        <v>6.0</v>
      </c>
    </row>
    <row r="77">
      <c r="A77" s="5">
        <v>76.0</v>
      </c>
      <c r="B77" s="6" t="s">
        <v>528</v>
      </c>
      <c r="C77" s="5" t="s">
        <v>165</v>
      </c>
      <c r="D77" s="5" t="s">
        <v>7</v>
      </c>
      <c r="E77" s="7">
        <v>6.0</v>
      </c>
    </row>
    <row r="78">
      <c r="A78" s="5">
        <v>77.0</v>
      </c>
      <c r="B78" s="6" t="s">
        <v>484</v>
      </c>
      <c r="C78" s="5" t="s">
        <v>35</v>
      </c>
      <c r="D78" s="5" t="s">
        <v>7</v>
      </c>
      <c r="E78" s="7">
        <v>5.0</v>
      </c>
    </row>
    <row r="79">
      <c r="A79" s="5">
        <v>78.0</v>
      </c>
      <c r="B79" s="6" t="s">
        <v>828</v>
      </c>
      <c r="C79" s="5" t="s">
        <v>37</v>
      </c>
      <c r="D79" s="5" t="s">
        <v>7</v>
      </c>
      <c r="E79" s="7">
        <v>5.0</v>
      </c>
    </row>
    <row r="80">
      <c r="A80" s="5">
        <v>79.0</v>
      </c>
      <c r="B80" s="6" t="s">
        <v>367</v>
      </c>
      <c r="C80" s="5" t="s">
        <v>71</v>
      </c>
      <c r="D80" s="5" t="s">
        <v>7</v>
      </c>
      <c r="E80" s="7">
        <v>5.0</v>
      </c>
    </row>
    <row r="81">
      <c r="A81" s="5">
        <v>80.0</v>
      </c>
      <c r="B81" s="6" t="s">
        <v>411</v>
      </c>
      <c r="C81" s="5" t="s">
        <v>28</v>
      </c>
      <c r="D81" s="5" t="s">
        <v>7</v>
      </c>
      <c r="E81" s="7">
        <v>5.0</v>
      </c>
    </row>
    <row r="82">
      <c r="A82" s="5">
        <v>81.0</v>
      </c>
      <c r="B82" s="6" t="s">
        <v>624</v>
      </c>
      <c r="C82" s="5" t="s">
        <v>20</v>
      </c>
      <c r="D82" s="5" t="s">
        <v>7</v>
      </c>
      <c r="E82" s="7">
        <v>4.0</v>
      </c>
    </row>
    <row r="83">
      <c r="A83" s="5">
        <v>82.0</v>
      </c>
      <c r="B83" s="6" t="s">
        <v>475</v>
      </c>
      <c r="C83" s="5" t="s">
        <v>41</v>
      </c>
      <c r="D83" s="5" t="s">
        <v>7</v>
      </c>
      <c r="E83" s="7">
        <v>4.0</v>
      </c>
    </row>
    <row r="84">
      <c r="A84" s="5">
        <v>83.0</v>
      </c>
      <c r="B84" s="6" t="s">
        <v>388</v>
      </c>
      <c r="C84" s="5" t="s">
        <v>48</v>
      </c>
      <c r="D84" s="5" t="s">
        <v>7</v>
      </c>
      <c r="E84" s="7">
        <v>4.0</v>
      </c>
    </row>
    <row r="85">
      <c r="A85" s="5">
        <v>84.0</v>
      </c>
      <c r="B85" s="6" t="s">
        <v>512</v>
      </c>
      <c r="C85" s="5" t="s">
        <v>165</v>
      </c>
      <c r="D85" s="5" t="s">
        <v>7</v>
      </c>
      <c r="E85" s="7">
        <v>4.0</v>
      </c>
    </row>
    <row r="86">
      <c r="A86" s="5">
        <v>85.0</v>
      </c>
      <c r="B86" s="6" t="s">
        <v>482</v>
      </c>
      <c r="C86" s="5" t="s">
        <v>30</v>
      </c>
      <c r="D86" s="5" t="s">
        <v>7</v>
      </c>
      <c r="E86" s="7">
        <v>4.0</v>
      </c>
    </row>
    <row r="87">
      <c r="A87" s="5">
        <v>86.0</v>
      </c>
      <c r="B87" s="6" t="s">
        <v>465</v>
      </c>
      <c r="C87" s="5" t="s">
        <v>54</v>
      </c>
      <c r="D87" s="5" t="s">
        <v>7</v>
      </c>
      <c r="E87" s="7">
        <v>3.0</v>
      </c>
    </row>
    <row r="88">
      <c r="A88" s="5">
        <v>87.0</v>
      </c>
      <c r="B88" s="6" t="s">
        <v>627</v>
      </c>
      <c r="C88" s="5" t="s">
        <v>46</v>
      </c>
      <c r="D88" s="5" t="s">
        <v>7</v>
      </c>
      <c r="E88" s="7">
        <v>3.0</v>
      </c>
    </row>
    <row r="89">
      <c r="A89" s="5">
        <v>88.0</v>
      </c>
      <c r="B89" s="6" t="s">
        <v>522</v>
      </c>
      <c r="C89" s="5" t="s">
        <v>104</v>
      </c>
      <c r="D89" s="5" t="s">
        <v>7</v>
      </c>
      <c r="E89" s="7">
        <v>3.0</v>
      </c>
    </row>
    <row r="90">
      <c r="A90" s="5">
        <v>89.0</v>
      </c>
      <c r="B90" s="6" t="s">
        <v>659</v>
      </c>
      <c r="C90" s="5" t="s">
        <v>43</v>
      </c>
      <c r="D90" s="5" t="s">
        <v>7</v>
      </c>
      <c r="E90" s="7">
        <v>3.0</v>
      </c>
    </row>
    <row r="91">
      <c r="A91" s="5">
        <v>90.0</v>
      </c>
      <c r="B91" s="6" t="s">
        <v>625</v>
      </c>
      <c r="C91" s="5" t="s">
        <v>139</v>
      </c>
      <c r="D91" s="5" t="s">
        <v>7</v>
      </c>
      <c r="E91" s="7">
        <v>2.0</v>
      </c>
    </row>
    <row r="92">
      <c r="A92" s="5">
        <v>91.0</v>
      </c>
      <c r="B92" s="6" t="s">
        <v>645</v>
      </c>
      <c r="C92" s="5" t="s">
        <v>11</v>
      </c>
      <c r="D92" s="5" t="s">
        <v>7</v>
      </c>
      <c r="E92" s="7">
        <v>2.0</v>
      </c>
    </row>
    <row r="93">
      <c r="A93" s="5">
        <v>92.0</v>
      </c>
      <c r="B93" s="6" t="s">
        <v>626</v>
      </c>
      <c r="C93" s="5" t="s">
        <v>33</v>
      </c>
      <c r="D93" s="5" t="s">
        <v>7</v>
      </c>
      <c r="E93" s="7">
        <v>2.0</v>
      </c>
    </row>
    <row r="94">
      <c r="A94" s="5">
        <v>93.0</v>
      </c>
      <c r="B94" s="6" t="s">
        <v>459</v>
      </c>
      <c r="C94" s="5" t="s">
        <v>139</v>
      </c>
      <c r="D94" s="5" t="s">
        <v>7</v>
      </c>
      <c r="E94" s="7">
        <v>2.0</v>
      </c>
    </row>
    <row r="95">
      <c r="A95" s="5">
        <v>94.0</v>
      </c>
      <c r="B95" s="6" t="s">
        <v>631</v>
      </c>
      <c r="C95" s="5" t="s">
        <v>62</v>
      </c>
      <c r="D95" s="5" t="s">
        <v>7</v>
      </c>
      <c r="E95" s="7">
        <v>2.0</v>
      </c>
    </row>
    <row r="96">
      <c r="A96" s="5">
        <v>95.0</v>
      </c>
      <c r="B96" s="6" t="s">
        <v>638</v>
      </c>
      <c r="C96" s="5" t="s">
        <v>104</v>
      </c>
      <c r="D96" s="5" t="s">
        <v>7</v>
      </c>
      <c r="E96" s="7">
        <v>2.0</v>
      </c>
    </row>
    <row r="97">
      <c r="A97" s="5">
        <v>96.0</v>
      </c>
      <c r="B97" s="6" t="s">
        <v>644</v>
      </c>
      <c r="C97" s="5" t="s">
        <v>96</v>
      </c>
      <c r="D97" s="5" t="s">
        <v>7</v>
      </c>
      <c r="E97" s="7">
        <v>1.0</v>
      </c>
    </row>
    <row r="98">
      <c r="A98" s="5">
        <v>97.0</v>
      </c>
      <c r="B98" s="6" t="s">
        <v>701</v>
      </c>
      <c r="C98" s="5" t="s">
        <v>54</v>
      </c>
      <c r="D98" s="5" t="s">
        <v>7</v>
      </c>
      <c r="E98" s="7">
        <v>1.0</v>
      </c>
    </row>
    <row r="99">
      <c r="A99" s="5">
        <v>98.0</v>
      </c>
      <c r="B99" s="6" t="s">
        <v>630</v>
      </c>
      <c r="C99" s="5" t="s">
        <v>91</v>
      </c>
      <c r="D99" s="5" t="s">
        <v>7</v>
      </c>
      <c r="E99" s="7">
        <v>1.0</v>
      </c>
    </row>
    <row r="100">
      <c r="A100" s="5">
        <v>99.0</v>
      </c>
      <c r="B100" s="6" t="s">
        <v>829</v>
      </c>
      <c r="C100" s="5" t="s">
        <v>18</v>
      </c>
      <c r="D100" s="5" t="s">
        <v>7</v>
      </c>
      <c r="E100" s="7">
        <v>0.0</v>
      </c>
    </row>
    <row r="101">
      <c r="A101" s="5">
        <v>100.0</v>
      </c>
      <c r="B101" s="6" t="s">
        <v>629</v>
      </c>
      <c r="C101" s="5" t="s">
        <v>52</v>
      </c>
      <c r="D101" s="5" t="s">
        <v>7</v>
      </c>
      <c r="E101" s="7">
        <v>0.0</v>
      </c>
    </row>
    <row r="102">
      <c r="A102" s="5">
        <v>101.0</v>
      </c>
      <c r="B102" s="8" t="s">
        <v>651</v>
      </c>
      <c r="C102" s="5" t="s">
        <v>9</v>
      </c>
      <c r="D102" s="5" t="s">
        <v>7</v>
      </c>
      <c r="E102" s="7">
        <v>0.0</v>
      </c>
    </row>
    <row r="103">
      <c r="A103" s="5">
        <v>102.0</v>
      </c>
      <c r="B103" s="8" t="s">
        <v>642</v>
      </c>
      <c r="C103" s="5" t="s">
        <v>52</v>
      </c>
      <c r="D103" s="5" t="s">
        <v>7</v>
      </c>
      <c r="E103" s="7">
        <v>0.0</v>
      </c>
    </row>
    <row r="104">
      <c r="A104" s="5">
        <v>103.0</v>
      </c>
      <c r="B104" s="6" t="s">
        <v>643</v>
      </c>
      <c r="C104" s="5" t="s">
        <v>41</v>
      </c>
      <c r="D104" s="5" t="s">
        <v>7</v>
      </c>
      <c r="E104" s="7">
        <v>0.0</v>
      </c>
    </row>
    <row r="105">
      <c r="A105" s="5">
        <v>104.0</v>
      </c>
      <c r="B105" s="6" t="s">
        <v>635</v>
      </c>
      <c r="C105" s="5" t="s">
        <v>26</v>
      </c>
      <c r="D105" s="5" t="s">
        <v>7</v>
      </c>
      <c r="E105" s="7">
        <v>0.0</v>
      </c>
    </row>
    <row r="106">
      <c r="A106" s="5">
        <v>105.0</v>
      </c>
      <c r="B106" s="6" t="s">
        <v>662</v>
      </c>
      <c r="C106" s="5" t="s">
        <v>18</v>
      </c>
      <c r="D106" s="5" t="s">
        <v>7</v>
      </c>
      <c r="E106" s="7">
        <v>0.0</v>
      </c>
    </row>
    <row r="107">
      <c r="A107" s="5">
        <v>106.0</v>
      </c>
      <c r="B107" s="6" t="s">
        <v>668</v>
      </c>
      <c r="C107" s="5" t="s">
        <v>59</v>
      </c>
      <c r="D107" s="5" t="s">
        <v>7</v>
      </c>
      <c r="E107" s="7">
        <v>0.0</v>
      </c>
    </row>
    <row r="108">
      <c r="A108" s="5">
        <v>107.0</v>
      </c>
      <c r="B108" s="6" t="s">
        <v>632</v>
      </c>
      <c r="C108" s="5" t="s">
        <v>46</v>
      </c>
      <c r="D108" s="5" t="s">
        <v>7</v>
      </c>
      <c r="E108" s="7">
        <v>0.0</v>
      </c>
    </row>
    <row r="109">
      <c r="A109" s="5">
        <v>108.0</v>
      </c>
      <c r="B109" s="6" t="s">
        <v>661</v>
      </c>
      <c r="C109" s="5" t="s">
        <v>71</v>
      </c>
      <c r="D109" s="5" t="s">
        <v>7</v>
      </c>
      <c r="E109" s="7">
        <v>0.0</v>
      </c>
    </row>
    <row r="110">
      <c r="A110" s="5">
        <v>109.0</v>
      </c>
      <c r="B110" s="6" t="s">
        <v>639</v>
      </c>
      <c r="C110" s="5" t="s">
        <v>122</v>
      </c>
      <c r="D110" s="5" t="s">
        <v>7</v>
      </c>
      <c r="E110" s="7">
        <v>0.0</v>
      </c>
    </row>
    <row r="111">
      <c r="A111" s="5">
        <v>110.0</v>
      </c>
      <c r="B111" s="6" t="s">
        <v>634</v>
      </c>
      <c r="C111" s="5" t="s">
        <v>30</v>
      </c>
      <c r="D111" s="5" t="s">
        <v>7</v>
      </c>
      <c r="E111" s="7">
        <v>0.0</v>
      </c>
    </row>
    <row r="112">
      <c r="A112" s="5">
        <v>111.0</v>
      </c>
      <c r="B112" s="6" t="s">
        <v>648</v>
      </c>
      <c r="C112" s="5" t="s">
        <v>6</v>
      </c>
      <c r="D112" s="5" t="s">
        <v>7</v>
      </c>
      <c r="E112" s="7">
        <v>0.0</v>
      </c>
    </row>
    <row r="113">
      <c r="A113" s="5">
        <v>112.0</v>
      </c>
      <c r="B113" s="6" t="s">
        <v>653</v>
      </c>
      <c r="C113" s="5" t="s">
        <v>139</v>
      </c>
      <c r="D113" s="5" t="s">
        <v>7</v>
      </c>
      <c r="E113" s="7">
        <v>0.0</v>
      </c>
    </row>
    <row r="114">
      <c r="A114" s="5">
        <v>113.0</v>
      </c>
      <c r="B114" s="6" t="s">
        <v>529</v>
      </c>
      <c r="C114" s="5" t="s">
        <v>11</v>
      </c>
      <c r="D114" s="5" t="s">
        <v>7</v>
      </c>
      <c r="E114" s="7">
        <v>0.0</v>
      </c>
    </row>
    <row r="115">
      <c r="A115" s="5">
        <v>114.0</v>
      </c>
      <c r="B115" s="6" t="s">
        <v>646</v>
      </c>
      <c r="C115" s="5" t="s">
        <v>91</v>
      </c>
      <c r="D115" s="5" t="s">
        <v>7</v>
      </c>
      <c r="E115" s="7">
        <v>0.0</v>
      </c>
    </row>
    <row r="116">
      <c r="A116" s="5">
        <v>115.0</v>
      </c>
      <c r="B116" s="6" t="s">
        <v>695</v>
      </c>
      <c r="C116" s="5" t="s">
        <v>18</v>
      </c>
      <c r="D116" s="5" t="s">
        <v>7</v>
      </c>
      <c r="E116" s="7">
        <v>0.0</v>
      </c>
    </row>
    <row r="117">
      <c r="A117" s="5">
        <v>116.0</v>
      </c>
      <c r="B117" s="6" t="s">
        <v>640</v>
      </c>
      <c r="C117" s="5" t="s">
        <v>24</v>
      </c>
      <c r="D117" s="5" t="s">
        <v>7</v>
      </c>
      <c r="E117" s="7">
        <v>0.0</v>
      </c>
    </row>
    <row r="118">
      <c r="A118" s="5">
        <v>117.0</v>
      </c>
      <c r="B118" s="6" t="s">
        <v>647</v>
      </c>
      <c r="C118" s="5" t="s">
        <v>22</v>
      </c>
      <c r="D118" s="5" t="s">
        <v>7</v>
      </c>
      <c r="E118" s="7">
        <v>0.0</v>
      </c>
    </row>
    <row r="119">
      <c r="A119" s="5">
        <v>118.0</v>
      </c>
      <c r="B119" s="6" t="s">
        <v>650</v>
      </c>
      <c r="C119" s="5" t="s">
        <v>71</v>
      </c>
      <c r="D119" s="5" t="s">
        <v>7</v>
      </c>
      <c r="E119" s="7">
        <v>0.0</v>
      </c>
    </row>
    <row r="120">
      <c r="A120" s="5">
        <v>119.0</v>
      </c>
      <c r="B120" s="6" t="s">
        <v>737</v>
      </c>
      <c r="C120" s="5" t="s">
        <v>46</v>
      </c>
      <c r="D120" s="5" t="s">
        <v>7</v>
      </c>
      <c r="E120" s="7">
        <v>0.0</v>
      </c>
    </row>
    <row r="121">
      <c r="A121" s="5">
        <v>120.0</v>
      </c>
      <c r="B121" s="6" t="s">
        <v>720</v>
      </c>
      <c r="C121" s="5" t="s">
        <v>52</v>
      </c>
      <c r="D121" s="5" t="s">
        <v>7</v>
      </c>
      <c r="E121" s="7">
        <v>0.0</v>
      </c>
    </row>
    <row r="122">
      <c r="A122" s="5">
        <v>121.0</v>
      </c>
      <c r="B122" s="6" t="s">
        <v>667</v>
      </c>
      <c r="C122" s="5" t="s">
        <v>20</v>
      </c>
      <c r="D122" s="5" t="s">
        <v>7</v>
      </c>
      <c r="E122" s="7">
        <v>0.0</v>
      </c>
    </row>
    <row r="123">
      <c r="A123" s="5">
        <v>122.0</v>
      </c>
      <c r="B123" s="6" t="s">
        <v>657</v>
      </c>
      <c r="C123" s="5" t="s">
        <v>69</v>
      </c>
      <c r="D123" s="5" t="s">
        <v>7</v>
      </c>
      <c r="E123" s="7">
        <v>0.0</v>
      </c>
    </row>
    <row r="124">
      <c r="A124" s="5">
        <v>123.0</v>
      </c>
      <c r="B124" s="6" t="s">
        <v>830</v>
      </c>
      <c r="C124" s="5" t="s">
        <v>22</v>
      </c>
      <c r="D124" s="5" t="s">
        <v>7</v>
      </c>
      <c r="E124" s="7">
        <v>0.0</v>
      </c>
    </row>
    <row r="125">
      <c r="A125" s="5">
        <v>124.0</v>
      </c>
      <c r="B125" s="6" t="s">
        <v>636</v>
      </c>
      <c r="C125" s="5" t="s">
        <v>28</v>
      </c>
      <c r="D125" s="5" t="s">
        <v>7</v>
      </c>
      <c r="E125" s="7">
        <v>0.0</v>
      </c>
    </row>
    <row r="126">
      <c r="A126" s="5">
        <v>125.0</v>
      </c>
      <c r="B126" s="6" t="s">
        <v>831</v>
      </c>
      <c r="C126" s="5" t="s">
        <v>33</v>
      </c>
      <c r="D126" s="5" t="s">
        <v>7</v>
      </c>
      <c r="E126" s="7">
        <v>0.0</v>
      </c>
    </row>
    <row r="127">
      <c r="A127" s="5">
        <v>126.0</v>
      </c>
      <c r="B127" s="6" t="s">
        <v>663</v>
      </c>
      <c r="C127" s="5" t="s">
        <v>37</v>
      </c>
      <c r="D127" s="5" t="s">
        <v>7</v>
      </c>
      <c r="E127" s="7">
        <v>0.0</v>
      </c>
    </row>
    <row r="128">
      <c r="A128" s="5">
        <v>127.0</v>
      </c>
      <c r="B128" s="6" t="s">
        <v>673</v>
      </c>
      <c r="C128" s="5" t="s">
        <v>122</v>
      </c>
      <c r="D128" s="5" t="s">
        <v>7</v>
      </c>
      <c r="E128" s="7">
        <v>0.0</v>
      </c>
    </row>
    <row r="129">
      <c r="A129" s="5">
        <v>128.0</v>
      </c>
      <c r="B129" s="6" t="s">
        <v>656</v>
      </c>
      <c r="C129" s="5" t="s">
        <v>48</v>
      </c>
      <c r="D129" s="5" t="s">
        <v>7</v>
      </c>
      <c r="E129" s="7">
        <v>0.0</v>
      </c>
    </row>
    <row r="130">
      <c r="A130" s="5">
        <v>129.0</v>
      </c>
      <c r="B130" s="6" t="s">
        <v>637</v>
      </c>
      <c r="C130" s="5" t="s">
        <v>59</v>
      </c>
      <c r="D130" s="5" t="s">
        <v>7</v>
      </c>
      <c r="E130" s="7">
        <v>0.0</v>
      </c>
    </row>
    <row r="131">
      <c r="A131" s="5">
        <v>130.0</v>
      </c>
      <c r="B131" s="6" t="s">
        <v>715</v>
      </c>
      <c r="C131" s="5" t="s">
        <v>104</v>
      </c>
      <c r="D131" s="5" t="s">
        <v>7</v>
      </c>
      <c r="E131" s="7">
        <v>0.0</v>
      </c>
    </row>
    <row r="132">
      <c r="A132" s="5">
        <v>131.0</v>
      </c>
      <c r="B132" s="6" t="s">
        <v>674</v>
      </c>
      <c r="C132" s="5" t="s">
        <v>163</v>
      </c>
      <c r="D132" s="5" t="s">
        <v>7</v>
      </c>
      <c r="E132" s="7">
        <v>0.0</v>
      </c>
    </row>
    <row r="133">
      <c r="A133" s="5">
        <v>132.0</v>
      </c>
      <c r="B133" s="6" t="s">
        <v>17</v>
      </c>
      <c r="C133" s="5" t="s">
        <v>18</v>
      </c>
      <c r="D133" s="5" t="s">
        <v>14</v>
      </c>
      <c r="E133" s="7">
        <v>47.0</v>
      </c>
    </row>
    <row r="134">
      <c r="A134" s="5">
        <v>133.0</v>
      </c>
      <c r="B134" s="6" t="s">
        <v>19</v>
      </c>
      <c r="C134" s="5" t="s">
        <v>20</v>
      </c>
      <c r="D134" s="5" t="s">
        <v>14</v>
      </c>
      <c r="E134" s="7">
        <v>46.0</v>
      </c>
    </row>
    <row r="135">
      <c r="A135" s="5">
        <v>134.0</v>
      </c>
      <c r="B135" s="6" t="s">
        <v>13</v>
      </c>
      <c r="C135" s="5" t="s">
        <v>11</v>
      </c>
      <c r="D135" s="5" t="s">
        <v>14</v>
      </c>
      <c r="E135" s="7">
        <v>44.0</v>
      </c>
    </row>
    <row r="136">
      <c r="A136" s="5">
        <v>135.0</v>
      </c>
      <c r="B136" s="6" t="s">
        <v>27</v>
      </c>
      <c r="C136" s="5" t="s">
        <v>28</v>
      </c>
      <c r="D136" s="5" t="s">
        <v>14</v>
      </c>
      <c r="E136" s="7">
        <v>43.0</v>
      </c>
    </row>
    <row r="137">
      <c r="A137" s="5">
        <v>136.0</v>
      </c>
      <c r="B137" s="6" t="s">
        <v>34</v>
      </c>
      <c r="C137" s="5" t="s">
        <v>35</v>
      </c>
      <c r="D137" s="5" t="s">
        <v>14</v>
      </c>
      <c r="E137" s="7">
        <v>40.0</v>
      </c>
    </row>
    <row r="138">
      <c r="A138" s="5">
        <v>137.0</v>
      </c>
      <c r="B138" s="6" t="s">
        <v>36</v>
      </c>
      <c r="C138" s="5" t="s">
        <v>37</v>
      </c>
      <c r="D138" s="5" t="s">
        <v>14</v>
      </c>
      <c r="E138" s="7">
        <v>36.0</v>
      </c>
    </row>
    <row r="139">
      <c r="A139" s="5">
        <v>138.0</v>
      </c>
      <c r="B139" s="6" t="s">
        <v>31</v>
      </c>
      <c r="C139" s="5" t="s">
        <v>16</v>
      </c>
      <c r="D139" s="5" t="s">
        <v>14</v>
      </c>
      <c r="E139" s="7">
        <v>36.0</v>
      </c>
    </row>
    <row r="140">
      <c r="A140" s="5">
        <v>139.0</v>
      </c>
      <c r="B140" s="8" t="s">
        <v>29</v>
      </c>
      <c r="C140" s="5" t="s">
        <v>30</v>
      </c>
      <c r="D140" s="5" t="s">
        <v>14</v>
      </c>
      <c r="E140" s="7">
        <v>35.0</v>
      </c>
    </row>
    <row r="141">
      <c r="A141" s="5">
        <v>140.0</v>
      </c>
      <c r="B141" s="6" t="s">
        <v>40</v>
      </c>
      <c r="C141" s="5" t="s">
        <v>41</v>
      </c>
      <c r="D141" s="5" t="s">
        <v>14</v>
      </c>
      <c r="E141" s="7">
        <v>32.0</v>
      </c>
    </row>
    <row r="142">
      <c r="A142" s="5">
        <v>141.0</v>
      </c>
      <c r="B142" s="6" t="s">
        <v>44</v>
      </c>
      <c r="C142" s="5" t="s">
        <v>43</v>
      </c>
      <c r="D142" s="5" t="s">
        <v>14</v>
      </c>
      <c r="E142" s="7">
        <v>30.0</v>
      </c>
    </row>
    <row r="143">
      <c r="A143" s="5">
        <v>142.0</v>
      </c>
      <c r="B143" s="6" t="s">
        <v>61</v>
      </c>
      <c r="C143" s="5" t="s">
        <v>62</v>
      </c>
      <c r="D143" s="5" t="s">
        <v>14</v>
      </c>
      <c r="E143" s="7">
        <v>25.0</v>
      </c>
    </row>
    <row r="144">
      <c r="A144" s="5">
        <v>143.0</v>
      </c>
      <c r="B144" s="6" t="s">
        <v>57</v>
      </c>
      <c r="C144" s="5" t="s">
        <v>24</v>
      </c>
      <c r="D144" s="5" t="s">
        <v>14</v>
      </c>
      <c r="E144" s="7">
        <v>24.0</v>
      </c>
    </row>
    <row r="145">
      <c r="A145" s="5">
        <v>144.0</v>
      </c>
      <c r="B145" s="6" t="s">
        <v>45</v>
      </c>
      <c r="C145" s="5" t="s">
        <v>46</v>
      </c>
      <c r="D145" s="5" t="s">
        <v>14</v>
      </c>
      <c r="E145" s="7">
        <v>24.0</v>
      </c>
    </row>
    <row r="146">
      <c r="A146" s="5">
        <v>145.0</v>
      </c>
      <c r="B146" s="6" t="s">
        <v>55</v>
      </c>
      <c r="C146" s="5" t="s">
        <v>9</v>
      </c>
      <c r="D146" s="5" t="s">
        <v>14</v>
      </c>
      <c r="E146" s="7">
        <v>24.0</v>
      </c>
    </row>
    <row r="147">
      <c r="A147" s="5">
        <v>146.0</v>
      </c>
      <c r="B147" s="6" t="s">
        <v>66</v>
      </c>
      <c r="C147" s="5" t="s">
        <v>24</v>
      </c>
      <c r="D147" s="5" t="s">
        <v>14</v>
      </c>
      <c r="E147" s="7">
        <v>22.0</v>
      </c>
    </row>
    <row r="148">
      <c r="A148" s="5">
        <v>147.0</v>
      </c>
      <c r="B148" s="6" t="s">
        <v>72</v>
      </c>
      <c r="C148" s="5" t="s">
        <v>62</v>
      </c>
      <c r="D148" s="5" t="s">
        <v>14</v>
      </c>
      <c r="E148" s="7">
        <v>21.0</v>
      </c>
    </row>
    <row r="149">
      <c r="A149" s="5">
        <v>148.0</v>
      </c>
      <c r="B149" s="6" t="s">
        <v>68</v>
      </c>
      <c r="C149" s="5" t="s">
        <v>69</v>
      </c>
      <c r="D149" s="5" t="s">
        <v>14</v>
      </c>
      <c r="E149" s="7">
        <v>21.0</v>
      </c>
    </row>
    <row r="150">
      <c r="A150" s="5">
        <v>149.0</v>
      </c>
      <c r="B150" s="6" t="s">
        <v>47</v>
      </c>
      <c r="C150" s="5" t="s">
        <v>48</v>
      </c>
      <c r="D150" s="5" t="s">
        <v>14</v>
      </c>
      <c r="E150" s="7">
        <v>20.0</v>
      </c>
    </row>
    <row r="151">
      <c r="A151" s="5">
        <v>150.0</v>
      </c>
      <c r="B151" s="8" t="s">
        <v>70</v>
      </c>
      <c r="C151" s="5" t="s">
        <v>71</v>
      </c>
      <c r="D151" s="5" t="s">
        <v>14</v>
      </c>
      <c r="E151" s="7">
        <v>19.0</v>
      </c>
    </row>
    <row r="152">
      <c r="A152" s="5">
        <v>151.0</v>
      </c>
      <c r="B152" s="6" t="s">
        <v>86</v>
      </c>
      <c r="C152" s="5" t="s">
        <v>24</v>
      </c>
      <c r="D152" s="5" t="s">
        <v>14</v>
      </c>
      <c r="E152" s="7">
        <v>16.0</v>
      </c>
    </row>
    <row r="153">
      <c r="A153" s="5">
        <v>152.0</v>
      </c>
      <c r="B153" s="6" t="s">
        <v>81</v>
      </c>
      <c r="C153" s="5" t="s">
        <v>37</v>
      </c>
      <c r="D153" s="5" t="s">
        <v>14</v>
      </c>
      <c r="E153" s="7">
        <v>15.0</v>
      </c>
    </row>
    <row r="154">
      <c r="A154" s="5">
        <v>153.0</v>
      </c>
      <c r="B154" s="6" t="s">
        <v>65</v>
      </c>
      <c r="C154" s="5" t="s">
        <v>43</v>
      </c>
      <c r="D154" s="5" t="s">
        <v>14</v>
      </c>
      <c r="E154" s="7">
        <v>14.0</v>
      </c>
    </row>
    <row r="155">
      <c r="A155" s="5">
        <v>154.0</v>
      </c>
      <c r="B155" s="6" t="s">
        <v>98</v>
      </c>
      <c r="C155" s="5" t="s">
        <v>54</v>
      </c>
      <c r="D155" s="5" t="s">
        <v>14</v>
      </c>
      <c r="E155" s="7">
        <v>14.0</v>
      </c>
    </row>
    <row r="156">
      <c r="A156" s="5">
        <v>155.0</v>
      </c>
      <c r="B156" s="6" t="s">
        <v>74</v>
      </c>
      <c r="C156" s="5" t="s">
        <v>54</v>
      </c>
      <c r="D156" s="5" t="s">
        <v>14</v>
      </c>
      <c r="E156" s="7">
        <v>12.0</v>
      </c>
    </row>
    <row r="157">
      <c r="A157" s="5">
        <v>156.0</v>
      </c>
      <c r="B157" s="6" t="s">
        <v>82</v>
      </c>
      <c r="C157" s="5" t="s">
        <v>59</v>
      </c>
      <c r="D157" s="5" t="s">
        <v>14</v>
      </c>
      <c r="E157" s="7">
        <v>12.0</v>
      </c>
    </row>
    <row r="158">
      <c r="A158" s="5">
        <v>157.0</v>
      </c>
      <c r="B158" s="6" t="s">
        <v>95</v>
      </c>
      <c r="C158" s="5" t="s">
        <v>96</v>
      </c>
      <c r="D158" s="5" t="s">
        <v>14</v>
      </c>
      <c r="E158" s="7">
        <v>10.0</v>
      </c>
    </row>
    <row r="159">
      <c r="A159" s="5">
        <v>158.0</v>
      </c>
      <c r="B159" s="6" t="s">
        <v>815</v>
      </c>
      <c r="C159" s="5" t="s">
        <v>22</v>
      </c>
      <c r="D159" s="5" t="s">
        <v>14</v>
      </c>
      <c r="E159" s="7">
        <v>10.0</v>
      </c>
    </row>
    <row r="160">
      <c r="A160" s="5">
        <v>159.0</v>
      </c>
      <c r="B160" s="6" t="s">
        <v>97</v>
      </c>
      <c r="C160" s="5" t="s">
        <v>11</v>
      </c>
      <c r="D160" s="5" t="s">
        <v>14</v>
      </c>
      <c r="E160" s="7">
        <v>9.0</v>
      </c>
    </row>
    <row r="161">
      <c r="A161" s="5">
        <v>160.0</v>
      </c>
      <c r="B161" s="6" t="s">
        <v>89</v>
      </c>
      <c r="C161" s="5" t="s">
        <v>20</v>
      </c>
      <c r="D161" s="5" t="s">
        <v>14</v>
      </c>
      <c r="E161" s="7">
        <v>9.0</v>
      </c>
    </row>
    <row r="162">
      <c r="A162" s="5">
        <v>161.0</v>
      </c>
      <c r="B162" s="6" t="s">
        <v>92</v>
      </c>
      <c r="C162" s="5" t="s">
        <v>46</v>
      </c>
      <c r="D162" s="5" t="s">
        <v>14</v>
      </c>
      <c r="E162" s="7">
        <v>8.0</v>
      </c>
    </row>
    <row r="163">
      <c r="A163" s="5">
        <v>162.0</v>
      </c>
      <c r="B163" s="6" t="s">
        <v>88</v>
      </c>
      <c r="C163" s="5" t="s">
        <v>52</v>
      </c>
      <c r="D163" s="5" t="s">
        <v>14</v>
      </c>
      <c r="E163" s="7">
        <v>8.0</v>
      </c>
    </row>
    <row r="164">
      <c r="A164" s="5">
        <v>163.0</v>
      </c>
      <c r="B164" s="8" t="s">
        <v>106</v>
      </c>
      <c r="C164" s="5" t="s">
        <v>30</v>
      </c>
      <c r="D164" s="5" t="s">
        <v>14</v>
      </c>
      <c r="E164" s="7">
        <v>8.0</v>
      </c>
    </row>
    <row r="165">
      <c r="A165" s="5">
        <v>164.0</v>
      </c>
      <c r="B165" s="6" t="s">
        <v>101</v>
      </c>
      <c r="C165" s="5" t="s">
        <v>71</v>
      </c>
      <c r="D165" s="5" t="s">
        <v>14</v>
      </c>
      <c r="E165" s="7">
        <v>8.0</v>
      </c>
    </row>
    <row r="166">
      <c r="A166" s="5">
        <v>165.0</v>
      </c>
      <c r="B166" s="6" t="s">
        <v>130</v>
      </c>
      <c r="C166" s="5" t="s">
        <v>26</v>
      </c>
      <c r="D166" s="5" t="s">
        <v>14</v>
      </c>
      <c r="E166" s="7">
        <v>6.0</v>
      </c>
    </row>
    <row r="167">
      <c r="A167" s="5">
        <v>166.0</v>
      </c>
      <c r="B167" s="6" t="s">
        <v>87</v>
      </c>
      <c r="C167" s="5" t="s">
        <v>6</v>
      </c>
      <c r="D167" s="5" t="s">
        <v>14</v>
      </c>
      <c r="E167" s="7">
        <v>6.0</v>
      </c>
    </row>
    <row r="168">
      <c r="A168" s="5">
        <v>167.0</v>
      </c>
      <c r="B168" s="6" t="s">
        <v>816</v>
      </c>
      <c r="C168" s="5" t="s">
        <v>18</v>
      </c>
      <c r="D168" s="5" t="s">
        <v>14</v>
      </c>
      <c r="E168" s="7">
        <v>6.0</v>
      </c>
    </row>
    <row r="169">
      <c r="A169" s="5">
        <v>168.0</v>
      </c>
      <c r="B169" s="6" t="s">
        <v>118</v>
      </c>
      <c r="C169" s="5" t="s">
        <v>22</v>
      </c>
      <c r="D169" s="5" t="s">
        <v>14</v>
      </c>
      <c r="E169" s="7">
        <v>6.0</v>
      </c>
    </row>
    <row r="170">
      <c r="A170" s="5">
        <v>169.0</v>
      </c>
      <c r="B170" s="6" t="s">
        <v>216</v>
      </c>
      <c r="C170" s="5" t="s">
        <v>33</v>
      </c>
      <c r="D170" s="5" t="s">
        <v>14</v>
      </c>
      <c r="E170" s="7">
        <v>6.0</v>
      </c>
    </row>
    <row r="171">
      <c r="A171" s="5">
        <v>170.0</v>
      </c>
      <c r="B171" s="6" t="s">
        <v>114</v>
      </c>
      <c r="C171" s="5" t="s">
        <v>91</v>
      </c>
      <c r="D171" s="5" t="s">
        <v>14</v>
      </c>
      <c r="E171" s="7">
        <v>5.0</v>
      </c>
    </row>
    <row r="172">
      <c r="A172" s="5">
        <v>171.0</v>
      </c>
      <c r="B172" s="6" t="s">
        <v>121</v>
      </c>
      <c r="C172" s="5" t="s">
        <v>122</v>
      </c>
      <c r="D172" s="5" t="s">
        <v>14</v>
      </c>
      <c r="E172" s="7">
        <v>5.0</v>
      </c>
    </row>
    <row r="173">
      <c r="A173" s="5">
        <v>172.0</v>
      </c>
      <c r="B173" s="6" t="s">
        <v>197</v>
      </c>
      <c r="C173" s="5" t="s">
        <v>50</v>
      </c>
      <c r="D173" s="5" t="s">
        <v>14</v>
      </c>
      <c r="E173" s="7">
        <v>5.0</v>
      </c>
    </row>
    <row r="174">
      <c r="A174" s="5">
        <v>173.0</v>
      </c>
      <c r="B174" s="8" t="s">
        <v>127</v>
      </c>
      <c r="C174" s="5" t="s">
        <v>26</v>
      </c>
      <c r="D174" s="5" t="s">
        <v>14</v>
      </c>
      <c r="E174" s="7">
        <v>4.0</v>
      </c>
    </row>
    <row r="175">
      <c r="A175" s="5">
        <v>174.0</v>
      </c>
      <c r="B175" s="6" t="s">
        <v>162</v>
      </c>
      <c r="C175" s="5" t="s">
        <v>163</v>
      </c>
      <c r="D175" s="5" t="s">
        <v>14</v>
      </c>
      <c r="E175" s="7">
        <v>4.0</v>
      </c>
    </row>
    <row r="176">
      <c r="A176" s="5">
        <v>175.0</v>
      </c>
      <c r="B176" s="6" t="s">
        <v>189</v>
      </c>
      <c r="C176" s="5" t="s">
        <v>59</v>
      </c>
      <c r="D176" s="5" t="s">
        <v>14</v>
      </c>
      <c r="E176" s="7">
        <v>3.0</v>
      </c>
    </row>
    <row r="177">
      <c r="A177" s="5">
        <v>176.0</v>
      </c>
      <c r="B177" s="8" t="s">
        <v>198</v>
      </c>
      <c r="C177" s="5" t="s">
        <v>122</v>
      </c>
      <c r="D177" s="5" t="s">
        <v>14</v>
      </c>
      <c r="E177" s="7">
        <v>3.0</v>
      </c>
    </row>
    <row r="178">
      <c r="A178" s="5">
        <v>177.0</v>
      </c>
      <c r="B178" s="6" t="s">
        <v>220</v>
      </c>
      <c r="C178" s="5" t="s">
        <v>20</v>
      </c>
      <c r="D178" s="5" t="s">
        <v>14</v>
      </c>
      <c r="E178" s="7">
        <v>3.0</v>
      </c>
    </row>
    <row r="179">
      <c r="A179" s="5">
        <v>178.0</v>
      </c>
      <c r="B179" s="6" t="s">
        <v>161</v>
      </c>
      <c r="C179" s="5" t="s">
        <v>9</v>
      </c>
      <c r="D179" s="5" t="s">
        <v>14</v>
      </c>
      <c r="E179" s="7">
        <v>3.0</v>
      </c>
    </row>
    <row r="180">
      <c r="A180" s="5">
        <v>179.0</v>
      </c>
      <c r="B180" s="6" t="s">
        <v>210</v>
      </c>
      <c r="C180" s="5" t="s">
        <v>35</v>
      </c>
      <c r="D180" s="5" t="s">
        <v>14</v>
      </c>
      <c r="E180" s="7">
        <v>3.0</v>
      </c>
    </row>
    <row r="181">
      <c r="A181" s="5">
        <v>180.0</v>
      </c>
      <c r="B181" s="6" t="s">
        <v>166</v>
      </c>
      <c r="C181" s="5" t="s">
        <v>52</v>
      </c>
      <c r="D181" s="5" t="s">
        <v>14</v>
      </c>
      <c r="E181" s="7">
        <v>3.0</v>
      </c>
    </row>
    <row r="182">
      <c r="A182" s="5">
        <v>181.0</v>
      </c>
      <c r="B182" s="6" t="s">
        <v>205</v>
      </c>
      <c r="C182" s="5" t="s">
        <v>41</v>
      </c>
      <c r="D182" s="5" t="s">
        <v>14</v>
      </c>
      <c r="E182" s="7">
        <v>2.0</v>
      </c>
    </row>
    <row r="183">
      <c r="A183" s="5">
        <v>182.0</v>
      </c>
      <c r="B183" s="6" t="s">
        <v>232</v>
      </c>
      <c r="C183" s="5" t="s">
        <v>28</v>
      </c>
      <c r="D183" s="5" t="s">
        <v>14</v>
      </c>
      <c r="E183" s="7">
        <v>2.0</v>
      </c>
    </row>
    <row r="184">
      <c r="A184" s="5">
        <v>183.0</v>
      </c>
      <c r="B184" s="6" t="s">
        <v>237</v>
      </c>
      <c r="C184" s="5" t="s">
        <v>28</v>
      </c>
      <c r="D184" s="5" t="s">
        <v>14</v>
      </c>
      <c r="E184" s="7">
        <v>2.0</v>
      </c>
    </row>
    <row r="185">
      <c r="A185" s="5">
        <v>184.0</v>
      </c>
      <c r="B185" s="6" t="s">
        <v>222</v>
      </c>
      <c r="C185" s="5" t="s">
        <v>139</v>
      </c>
      <c r="D185" s="5" t="s">
        <v>14</v>
      </c>
      <c r="E185" s="7">
        <v>2.0</v>
      </c>
    </row>
    <row r="186">
      <c r="A186" s="5">
        <v>185.0</v>
      </c>
      <c r="B186" s="6" t="s">
        <v>832</v>
      </c>
      <c r="C186" s="5" t="s">
        <v>16</v>
      </c>
      <c r="D186" s="5" t="s">
        <v>14</v>
      </c>
      <c r="E186" s="7">
        <v>2.0</v>
      </c>
    </row>
    <row r="187">
      <c r="A187" s="5">
        <v>186.0</v>
      </c>
      <c r="B187" s="6" t="s">
        <v>244</v>
      </c>
      <c r="C187" s="5" t="s">
        <v>163</v>
      </c>
      <c r="D187" s="5" t="s">
        <v>14</v>
      </c>
      <c r="E187" s="7">
        <v>1.0</v>
      </c>
    </row>
    <row r="188">
      <c r="A188" s="5">
        <v>187.0</v>
      </c>
      <c r="B188" s="6" t="s">
        <v>223</v>
      </c>
      <c r="C188" s="5" t="s">
        <v>96</v>
      </c>
      <c r="D188" s="5" t="s">
        <v>14</v>
      </c>
      <c r="E188" s="7">
        <v>1.0</v>
      </c>
    </row>
    <row r="189">
      <c r="A189" s="5">
        <v>188.0</v>
      </c>
      <c r="B189" s="6" t="s">
        <v>243</v>
      </c>
      <c r="C189" s="5" t="s">
        <v>122</v>
      </c>
      <c r="D189" s="5" t="s">
        <v>14</v>
      </c>
      <c r="E189" s="7">
        <v>1.0</v>
      </c>
    </row>
    <row r="190">
      <c r="A190" s="5">
        <v>189.0</v>
      </c>
      <c r="B190" s="6" t="s">
        <v>239</v>
      </c>
      <c r="C190" s="5" t="s">
        <v>35</v>
      </c>
      <c r="D190" s="5" t="s">
        <v>14</v>
      </c>
      <c r="E190" s="7">
        <v>0.0</v>
      </c>
    </row>
    <row r="191">
      <c r="A191" s="5">
        <v>190.0</v>
      </c>
      <c r="B191" s="6" t="s">
        <v>295</v>
      </c>
      <c r="C191" s="5" t="s">
        <v>33</v>
      </c>
      <c r="D191" s="5" t="s">
        <v>14</v>
      </c>
      <c r="E191" s="7">
        <v>0.0</v>
      </c>
    </row>
    <row r="192">
      <c r="A192" s="5">
        <v>191.0</v>
      </c>
      <c r="B192" s="6" t="s">
        <v>221</v>
      </c>
      <c r="C192" s="5" t="s">
        <v>18</v>
      </c>
      <c r="D192" s="5" t="s">
        <v>14</v>
      </c>
      <c r="E192" s="7">
        <v>0.0</v>
      </c>
    </row>
    <row r="193">
      <c r="A193" s="5">
        <v>192.0</v>
      </c>
      <c r="B193" s="6" t="s">
        <v>833</v>
      </c>
      <c r="C193" s="5" t="s">
        <v>69</v>
      </c>
      <c r="D193" s="5" t="s">
        <v>14</v>
      </c>
      <c r="E193" s="7">
        <v>0.0</v>
      </c>
    </row>
    <row r="194">
      <c r="A194" s="5">
        <v>193.0</v>
      </c>
      <c r="B194" s="6" t="s">
        <v>250</v>
      </c>
      <c r="C194" s="5" t="s">
        <v>6</v>
      </c>
      <c r="D194" s="5" t="s">
        <v>14</v>
      </c>
      <c r="E194" s="7">
        <v>0.0</v>
      </c>
    </row>
    <row r="195">
      <c r="A195" s="5">
        <v>194.0</v>
      </c>
      <c r="B195" s="6" t="s">
        <v>834</v>
      </c>
      <c r="C195" s="5" t="s">
        <v>163</v>
      </c>
      <c r="D195" s="5" t="s">
        <v>14</v>
      </c>
      <c r="E195" s="7">
        <v>0.0</v>
      </c>
    </row>
    <row r="196">
      <c r="A196" s="5">
        <v>195.0</v>
      </c>
      <c r="B196" s="6" t="s">
        <v>247</v>
      </c>
      <c r="C196" s="5" t="s">
        <v>104</v>
      </c>
      <c r="D196" s="5" t="s">
        <v>14</v>
      </c>
      <c r="E196" s="7">
        <v>0.0</v>
      </c>
    </row>
    <row r="197">
      <c r="A197" s="5">
        <v>196.0</v>
      </c>
      <c r="B197" s="6" t="s">
        <v>327</v>
      </c>
      <c r="C197" s="5" t="s">
        <v>91</v>
      </c>
      <c r="D197" s="5" t="s">
        <v>14</v>
      </c>
      <c r="E197" s="7">
        <v>0.0</v>
      </c>
    </row>
    <row r="198">
      <c r="A198" s="5">
        <v>197.0</v>
      </c>
      <c r="B198" s="6" t="s">
        <v>236</v>
      </c>
      <c r="C198" s="5" t="s">
        <v>165</v>
      </c>
      <c r="D198" s="5" t="s">
        <v>14</v>
      </c>
      <c r="E198" s="7">
        <v>0.0</v>
      </c>
    </row>
    <row r="199">
      <c r="A199" s="5">
        <v>198.0</v>
      </c>
      <c r="B199" s="6" t="s">
        <v>269</v>
      </c>
      <c r="C199" s="5" t="s">
        <v>139</v>
      </c>
      <c r="D199" s="5" t="s">
        <v>14</v>
      </c>
      <c r="E199" s="7">
        <v>0.0</v>
      </c>
    </row>
    <row r="200">
      <c r="A200" s="5">
        <v>199.0</v>
      </c>
      <c r="B200" s="6" t="s">
        <v>242</v>
      </c>
      <c r="C200" s="5" t="s">
        <v>50</v>
      </c>
      <c r="D200" s="5" t="s">
        <v>14</v>
      </c>
      <c r="E200" s="7">
        <v>0.0</v>
      </c>
    </row>
    <row r="201">
      <c r="A201" s="5">
        <v>200.0</v>
      </c>
      <c r="B201" s="6" t="s">
        <v>214</v>
      </c>
      <c r="C201" s="5" t="s">
        <v>48</v>
      </c>
      <c r="D201" s="5" t="s">
        <v>14</v>
      </c>
      <c r="E201" s="7">
        <v>0.0</v>
      </c>
    </row>
    <row r="202">
      <c r="A202" s="5">
        <v>201.0</v>
      </c>
      <c r="B202" s="6" t="s">
        <v>323</v>
      </c>
      <c r="C202" s="5" t="s">
        <v>139</v>
      </c>
      <c r="D202" s="5" t="s">
        <v>14</v>
      </c>
      <c r="E202" s="7">
        <v>0.0</v>
      </c>
    </row>
    <row r="203">
      <c r="A203" s="5">
        <v>202.0</v>
      </c>
      <c r="B203" s="6" t="s">
        <v>261</v>
      </c>
      <c r="C203" s="5" t="s">
        <v>96</v>
      </c>
      <c r="D203" s="5" t="s">
        <v>14</v>
      </c>
      <c r="E203" s="7">
        <v>0.0</v>
      </c>
    </row>
    <row r="204">
      <c r="A204" s="5">
        <v>203.0</v>
      </c>
      <c r="B204" s="6" t="s">
        <v>264</v>
      </c>
      <c r="C204" s="5" t="s">
        <v>52</v>
      </c>
      <c r="D204" s="5" t="s">
        <v>14</v>
      </c>
      <c r="E204" s="7">
        <v>0.0</v>
      </c>
    </row>
    <row r="205">
      <c r="A205" s="5">
        <v>204.0</v>
      </c>
      <c r="B205" s="6" t="s">
        <v>268</v>
      </c>
      <c r="C205" s="5" t="s">
        <v>33</v>
      </c>
      <c r="D205" s="5" t="s">
        <v>14</v>
      </c>
      <c r="E205" s="7">
        <v>0.0</v>
      </c>
    </row>
    <row r="206">
      <c r="A206" s="5">
        <v>205.0</v>
      </c>
      <c r="B206" s="6" t="s">
        <v>260</v>
      </c>
      <c r="C206" s="5" t="s">
        <v>165</v>
      </c>
      <c r="D206" s="5" t="s">
        <v>14</v>
      </c>
      <c r="E206" s="7">
        <v>0.0</v>
      </c>
    </row>
    <row r="207">
      <c r="A207" s="5">
        <v>206.0</v>
      </c>
      <c r="B207" s="8" t="s">
        <v>278</v>
      </c>
      <c r="C207" s="5" t="s">
        <v>71</v>
      </c>
      <c r="D207" s="5" t="s">
        <v>14</v>
      </c>
      <c r="E207" s="7">
        <v>0.0</v>
      </c>
    </row>
    <row r="208">
      <c r="A208" s="5">
        <v>207.0</v>
      </c>
      <c r="B208" s="6" t="s">
        <v>284</v>
      </c>
      <c r="C208" s="5" t="s">
        <v>16</v>
      </c>
      <c r="D208" s="5" t="s">
        <v>14</v>
      </c>
      <c r="E208" s="7">
        <v>0.0</v>
      </c>
    </row>
    <row r="209">
      <c r="A209" s="5">
        <v>208.0</v>
      </c>
      <c r="B209" s="6" t="s">
        <v>241</v>
      </c>
      <c r="C209" s="5" t="s">
        <v>139</v>
      </c>
      <c r="D209" s="5" t="s">
        <v>14</v>
      </c>
      <c r="E209" s="7">
        <v>0.0</v>
      </c>
    </row>
    <row r="210">
      <c r="A210" s="5">
        <v>209.0</v>
      </c>
      <c r="B210" s="6" t="s">
        <v>835</v>
      </c>
      <c r="C210" s="5" t="s">
        <v>104</v>
      </c>
      <c r="D210" s="5" t="s">
        <v>14</v>
      </c>
      <c r="E210" s="7">
        <v>0.0</v>
      </c>
    </row>
    <row r="211">
      <c r="A211" s="5">
        <v>210.0</v>
      </c>
      <c r="B211" s="6" t="s">
        <v>292</v>
      </c>
      <c r="C211" s="5" t="s">
        <v>30</v>
      </c>
      <c r="D211" s="5" t="s">
        <v>14</v>
      </c>
      <c r="E211" s="7">
        <v>0.0</v>
      </c>
    </row>
    <row r="212">
      <c r="A212" s="5">
        <v>211.0</v>
      </c>
      <c r="B212" s="6" t="s">
        <v>273</v>
      </c>
      <c r="C212" s="5" t="s">
        <v>9</v>
      </c>
      <c r="D212" s="5" t="s">
        <v>14</v>
      </c>
      <c r="E212" s="7">
        <v>0.0</v>
      </c>
    </row>
    <row r="213">
      <c r="A213" s="5">
        <v>212.0</v>
      </c>
      <c r="B213" s="6" t="s">
        <v>275</v>
      </c>
      <c r="C213" s="5" t="s">
        <v>59</v>
      </c>
      <c r="D213" s="5" t="s">
        <v>14</v>
      </c>
      <c r="E213" s="7">
        <v>0.0</v>
      </c>
    </row>
    <row r="214">
      <c r="A214" s="5">
        <v>213.0</v>
      </c>
      <c r="B214" s="6" t="s">
        <v>313</v>
      </c>
      <c r="C214" s="5" t="s">
        <v>37</v>
      </c>
      <c r="D214" s="5" t="s">
        <v>14</v>
      </c>
      <c r="E214" s="7">
        <v>0.0</v>
      </c>
    </row>
    <row r="215">
      <c r="A215" s="5">
        <v>214.0</v>
      </c>
      <c r="B215" s="6" t="s">
        <v>332</v>
      </c>
      <c r="C215" s="5" t="s">
        <v>104</v>
      </c>
      <c r="D215" s="5" t="s">
        <v>14</v>
      </c>
      <c r="E215" s="7">
        <v>0.0</v>
      </c>
    </row>
    <row r="216">
      <c r="A216" s="5">
        <v>215.0</v>
      </c>
      <c r="B216" s="6" t="s">
        <v>248</v>
      </c>
      <c r="C216" s="5" t="s">
        <v>91</v>
      </c>
      <c r="D216" s="5" t="s">
        <v>14</v>
      </c>
      <c r="E216" s="7">
        <v>0.0</v>
      </c>
    </row>
    <row r="217">
      <c r="A217" s="5">
        <v>216.0</v>
      </c>
      <c r="B217" s="6" t="s">
        <v>265</v>
      </c>
      <c r="C217" s="5" t="s">
        <v>50</v>
      </c>
      <c r="D217" s="5" t="s">
        <v>14</v>
      </c>
      <c r="E217" s="7">
        <v>0.0</v>
      </c>
    </row>
    <row r="218">
      <c r="A218" s="5">
        <v>217.0</v>
      </c>
      <c r="B218" s="6" t="s">
        <v>289</v>
      </c>
      <c r="C218" s="5" t="s">
        <v>54</v>
      </c>
      <c r="D218" s="5" t="s">
        <v>14</v>
      </c>
      <c r="E218" s="7">
        <v>0.0</v>
      </c>
    </row>
    <row r="219">
      <c r="A219" s="5">
        <v>218.0</v>
      </c>
      <c r="B219" s="6" t="s">
        <v>325</v>
      </c>
      <c r="C219" s="5" t="s">
        <v>46</v>
      </c>
      <c r="D219" s="5" t="s">
        <v>14</v>
      </c>
      <c r="E219" s="7">
        <v>0.0</v>
      </c>
    </row>
    <row r="220">
      <c r="A220" s="5">
        <v>219.0</v>
      </c>
      <c r="B220" s="6" t="s">
        <v>279</v>
      </c>
      <c r="C220" s="5" t="s">
        <v>69</v>
      </c>
      <c r="D220" s="5" t="s">
        <v>14</v>
      </c>
      <c r="E220" s="7">
        <v>0.0</v>
      </c>
    </row>
    <row r="221">
      <c r="A221" s="5">
        <v>220.0</v>
      </c>
      <c r="B221" s="8" t="s">
        <v>291</v>
      </c>
      <c r="C221" s="5" t="s">
        <v>165</v>
      </c>
      <c r="D221" s="5" t="s">
        <v>14</v>
      </c>
      <c r="E221" s="7">
        <v>0.0</v>
      </c>
    </row>
    <row r="222">
      <c r="A222" s="5">
        <v>221.0</v>
      </c>
      <c r="B222" s="6" t="s">
        <v>267</v>
      </c>
      <c r="C222" s="5" t="s">
        <v>11</v>
      </c>
      <c r="D222" s="5" t="s">
        <v>14</v>
      </c>
      <c r="E222" s="7">
        <v>0.0</v>
      </c>
    </row>
    <row r="223">
      <c r="A223" s="5">
        <v>222.0</v>
      </c>
      <c r="B223" s="6" t="s">
        <v>287</v>
      </c>
      <c r="C223" s="5" t="s">
        <v>48</v>
      </c>
      <c r="D223" s="5" t="s">
        <v>14</v>
      </c>
      <c r="E223" s="7">
        <v>0.0</v>
      </c>
    </row>
    <row r="224">
      <c r="A224" s="5">
        <v>223.0</v>
      </c>
      <c r="B224" s="6" t="s">
        <v>294</v>
      </c>
      <c r="C224" s="5" t="s">
        <v>43</v>
      </c>
      <c r="D224" s="5" t="s">
        <v>14</v>
      </c>
      <c r="E224" s="7">
        <v>0.0</v>
      </c>
    </row>
    <row r="225">
      <c r="A225" s="5">
        <v>224.0</v>
      </c>
      <c r="B225" s="8" t="s">
        <v>271</v>
      </c>
      <c r="C225" s="5" t="s">
        <v>26</v>
      </c>
      <c r="D225" s="5" t="s">
        <v>14</v>
      </c>
      <c r="E225" s="7">
        <v>0.0</v>
      </c>
    </row>
    <row r="226">
      <c r="A226" s="5">
        <v>225.0</v>
      </c>
      <c r="B226" s="6" t="s">
        <v>281</v>
      </c>
      <c r="C226" s="5" t="s">
        <v>165</v>
      </c>
      <c r="D226" s="5" t="s">
        <v>14</v>
      </c>
      <c r="E226" s="7">
        <v>0.0</v>
      </c>
    </row>
    <row r="227">
      <c r="A227" s="5">
        <v>226.0</v>
      </c>
      <c r="B227" s="8" t="s">
        <v>345</v>
      </c>
      <c r="C227" s="5" t="s">
        <v>6</v>
      </c>
      <c r="D227" s="5" t="s">
        <v>14</v>
      </c>
      <c r="E227" s="7">
        <v>0.0</v>
      </c>
    </row>
    <row r="228">
      <c r="A228" s="5">
        <v>227.0</v>
      </c>
      <c r="B228" s="6" t="s">
        <v>836</v>
      </c>
      <c r="C228" s="5" t="s">
        <v>91</v>
      </c>
      <c r="D228" s="5" t="s">
        <v>14</v>
      </c>
      <c r="E228" s="7">
        <v>0.0</v>
      </c>
    </row>
    <row r="229">
      <c r="A229" s="5">
        <v>228.0</v>
      </c>
      <c r="B229" s="6" t="s">
        <v>10</v>
      </c>
      <c r="C229" s="5" t="s">
        <v>11</v>
      </c>
      <c r="D229" s="5" t="s">
        <v>12</v>
      </c>
      <c r="E229" s="7">
        <v>46.0</v>
      </c>
    </row>
    <row r="230">
      <c r="A230" s="5">
        <v>229.0</v>
      </c>
      <c r="B230" s="6" t="s">
        <v>32</v>
      </c>
      <c r="C230" s="5" t="s">
        <v>33</v>
      </c>
      <c r="D230" s="5" t="s">
        <v>12</v>
      </c>
      <c r="E230" s="7">
        <v>36.0</v>
      </c>
    </row>
    <row r="231">
      <c r="A231" s="5">
        <v>230.0</v>
      </c>
      <c r="B231" s="6" t="s">
        <v>58</v>
      </c>
      <c r="C231" s="5" t="s">
        <v>59</v>
      </c>
      <c r="D231" s="5" t="s">
        <v>12</v>
      </c>
      <c r="E231" s="7">
        <v>28.0</v>
      </c>
    </row>
    <row r="232">
      <c r="A232" s="5">
        <v>231.0</v>
      </c>
      <c r="B232" s="6" t="s">
        <v>78</v>
      </c>
      <c r="C232" s="5" t="s">
        <v>37</v>
      </c>
      <c r="D232" s="5" t="s">
        <v>12</v>
      </c>
      <c r="E232" s="7">
        <v>20.0</v>
      </c>
    </row>
    <row r="233">
      <c r="A233" s="5">
        <v>232.0</v>
      </c>
      <c r="B233" s="6" t="s">
        <v>79</v>
      </c>
      <c r="C233" s="5" t="s">
        <v>16</v>
      </c>
      <c r="D233" s="5" t="s">
        <v>12</v>
      </c>
      <c r="E233" s="7">
        <v>17.0</v>
      </c>
    </row>
    <row r="234">
      <c r="A234" s="5">
        <v>233.0</v>
      </c>
      <c r="B234" s="6" t="s">
        <v>75</v>
      </c>
      <c r="C234" s="5" t="s">
        <v>6</v>
      </c>
      <c r="D234" s="5" t="s">
        <v>12</v>
      </c>
      <c r="E234" s="7">
        <v>17.0</v>
      </c>
    </row>
    <row r="235">
      <c r="A235" s="5">
        <v>234.0</v>
      </c>
      <c r="B235" s="6" t="s">
        <v>83</v>
      </c>
      <c r="C235" s="5" t="s">
        <v>43</v>
      </c>
      <c r="D235" s="5" t="s">
        <v>12</v>
      </c>
      <c r="E235" s="7">
        <v>15.0</v>
      </c>
    </row>
    <row r="236">
      <c r="A236" s="5">
        <v>235.0</v>
      </c>
      <c r="B236" s="6" t="s">
        <v>107</v>
      </c>
      <c r="C236" s="5" t="s">
        <v>35</v>
      </c>
      <c r="D236" s="5" t="s">
        <v>12</v>
      </c>
      <c r="E236" s="7">
        <v>10.0</v>
      </c>
    </row>
    <row r="237">
      <c r="A237" s="5">
        <v>236.0</v>
      </c>
      <c r="B237" s="6" t="s">
        <v>108</v>
      </c>
      <c r="C237" s="5" t="s">
        <v>30</v>
      </c>
      <c r="D237" s="5" t="s">
        <v>12</v>
      </c>
      <c r="E237" s="7">
        <v>8.0</v>
      </c>
    </row>
    <row r="238">
      <c r="A238" s="5">
        <v>237.0</v>
      </c>
      <c r="B238" s="8" t="s">
        <v>112</v>
      </c>
      <c r="C238" s="5" t="s">
        <v>50</v>
      </c>
      <c r="D238" s="5" t="s">
        <v>12</v>
      </c>
      <c r="E238" s="7">
        <v>6.0</v>
      </c>
    </row>
    <row r="239">
      <c r="A239" s="5">
        <v>238.0</v>
      </c>
      <c r="B239" s="6" t="s">
        <v>181</v>
      </c>
      <c r="C239" s="5" t="s">
        <v>165</v>
      </c>
      <c r="D239" s="5" t="s">
        <v>12</v>
      </c>
      <c r="E239" s="7">
        <v>5.0</v>
      </c>
    </row>
    <row r="240">
      <c r="A240" s="5">
        <v>239.0</v>
      </c>
      <c r="B240" s="6" t="s">
        <v>109</v>
      </c>
      <c r="C240" s="5" t="s">
        <v>20</v>
      </c>
      <c r="D240" s="5" t="s">
        <v>12</v>
      </c>
      <c r="E240" s="7">
        <v>5.0</v>
      </c>
    </row>
    <row r="241">
      <c r="A241" s="5">
        <v>240.0</v>
      </c>
      <c r="B241" s="6" t="s">
        <v>117</v>
      </c>
      <c r="C241" s="5" t="s">
        <v>104</v>
      </c>
      <c r="D241" s="5" t="s">
        <v>12</v>
      </c>
      <c r="E241" s="7">
        <v>5.0</v>
      </c>
    </row>
    <row r="242">
      <c r="A242" s="5">
        <v>241.0</v>
      </c>
      <c r="B242" s="6" t="s">
        <v>116</v>
      </c>
      <c r="C242" s="5" t="s">
        <v>22</v>
      </c>
      <c r="D242" s="5" t="s">
        <v>12</v>
      </c>
      <c r="E242" s="7">
        <v>4.0</v>
      </c>
    </row>
    <row r="243">
      <c r="A243" s="5">
        <v>242.0</v>
      </c>
      <c r="B243" s="6" t="s">
        <v>126</v>
      </c>
      <c r="C243" s="5" t="s">
        <v>96</v>
      </c>
      <c r="D243" s="5" t="s">
        <v>12</v>
      </c>
      <c r="E243" s="7">
        <v>4.0</v>
      </c>
    </row>
    <row r="244">
      <c r="A244" s="5">
        <v>243.0</v>
      </c>
      <c r="B244" s="6" t="s">
        <v>113</v>
      </c>
      <c r="C244" s="5" t="s">
        <v>48</v>
      </c>
      <c r="D244" s="5" t="s">
        <v>12</v>
      </c>
      <c r="E244" s="7">
        <v>3.0</v>
      </c>
    </row>
    <row r="245">
      <c r="A245" s="5">
        <v>244.0</v>
      </c>
      <c r="B245" s="6" t="s">
        <v>190</v>
      </c>
      <c r="C245" s="5" t="s">
        <v>28</v>
      </c>
      <c r="D245" s="5" t="s">
        <v>12</v>
      </c>
      <c r="E245" s="7">
        <v>3.0</v>
      </c>
    </row>
    <row r="246">
      <c r="A246" s="5">
        <v>245.0</v>
      </c>
      <c r="B246" s="6" t="s">
        <v>194</v>
      </c>
      <c r="C246" s="5" t="s">
        <v>62</v>
      </c>
      <c r="D246" s="5" t="s">
        <v>12</v>
      </c>
      <c r="E246" s="7">
        <v>3.0</v>
      </c>
    </row>
    <row r="247">
      <c r="A247" s="5">
        <v>246.0</v>
      </c>
      <c r="B247" s="6" t="s">
        <v>224</v>
      </c>
      <c r="C247" s="5" t="s">
        <v>71</v>
      </c>
      <c r="D247" s="5" t="s">
        <v>12</v>
      </c>
      <c r="E247" s="7">
        <v>2.0</v>
      </c>
    </row>
    <row r="248">
      <c r="A248" s="5">
        <v>247.0</v>
      </c>
      <c r="B248" s="6" t="s">
        <v>235</v>
      </c>
      <c r="C248" s="5" t="s">
        <v>122</v>
      </c>
      <c r="D248" s="5" t="s">
        <v>12</v>
      </c>
      <c r="E248" s="7">
        <v>2.0</v>
      </c>
    </row>
    <row r="249">
      <c r="A249" s="5">
        <v>248.0</v>
      </c>
      <c r="B249" s="6" t="s">
        <v>213</v>
      </c>
      <c r="C249" s="5" t="s">
        <v>54</v>
      </c>
      <c r="D249" s="5" t="s">
        <v>12</v>
      </c>
      <c r="E249" s="7">
        <v>2.0</v>
      </c>
    </row>
    <row r="250">
      <c r="A250" s="5">
        <v>249.0</v>
      </c>
      <c r="B250" s="6" t="s">
        <v>186</v>
      </c>
      <c r="C250" s="5" t="s">
        <v>48</v>
      </c>
      <c r="D250" s="5" t="s">
        <v>12</v>
      </c>
      <c r="E250" s="7">
        <v>1.0</v>
      </c>
    </row>
    <row r="251">
      <c r="A251" s="5">
        <v>250.0</v>
      </c>
      <c r="B251" s="6" t="s">
        <v>226</v>
      </c>
      <c r="C251" s="5" t="s">
        <v>9</v>
      </c>
      <c r="D251" s="5" t="s">
        <v>12</v>
      </c>
      <c r="E251" s="7">
        <v>0.0</v>
      </c>
    </row>
    <row r="252">
      <c r="A252" s="5">
        <v>251.0</v>
      </c>
      <c r="B252" s="6" t="s">
        <v>837</v>
      </c>
      <c r="C252" s="5" t="s">
        <v>52</v>
      </c>
      <c r="D252" s="5" t="s">
        <v>12</v>
      </c>
      <c r="E252" s="7">
        <v>0.0</v>
      </c>
    </row>
    <row r="253">
      <c r="A253" s="5">
        <v>252.0</v>
      </c>
      <c r="B253" s="6" t="s">
        <v>217</v>
      </c>
      <c r="C253" s="5" t="s">
        <v>41</v>
      </c>
      <c r="D253" s="5" t="s">
        <v>12</v>
      </c>
      <c r="E253" s="7">
        <v>0.0</v>
      </c>
    </row>
    <row r="254">
      <c r="A254" s="5">
        <v>253.0</v>
      </c>
      <c r="B254" s="8" t="s">
        <v>219</v>
      </c>
      <c r="C254" s="5" t="s">
        <v>59</v>
      </c>
      <c r="D254" s="5" t="s">
        <v>12</v>
      </c>
      <c r="E254" s="7">
        <v>0.0</v>
      </c>
    </row>
    <row r="255">
      <c r="A255" s="5">
        <v>254.0</v>
      </c>
      <c r="B255" s="6" t="s">
        <v>227</v>
      </c>
      <c r="C255" s="5" t="s">
        <v>69</v>
      </c>
      <c r="D255" s="5" t="s">
        <v>12</v>
      </c>
      <c r="E255" s="7">
        <v>0.0</v>
      </c>
    </row>
    <row r="256">
      <c r="A256" s="5">
        <v>255.0</v>
      </c>
      <c r="B256" s="6" t="s">
        <v>119</v>
      </c>
      <c r="C256" s="5" t="s">
        <v>24</v>
      </c>
      <c r="D256" s="5" t="s">
        <v>120</v>
      </c>
      <c r="E256" s="7">
        <v>1.0</v>
      </c>
    </row>
    <row r="257">
      <c r="A257" s="5">
        <v>256.0</v>
      </c>
      <c r="B257" s="6" t="s">
        <v>128</v>
      </c>
      <c r="C257" s="5" t="s">
        <v>104</v>
      </c>
      <c r="D257" s="5" t="s">
        <v>120</v>
      </c>
      <c r="E257" s="7">
        <v>1.0</v>
      </c>
    </row>
    <row r="258">
      <c r="A258" s="5">
        <v>257.0</v>
      </c>
      <c r="B258" s="6" t="s">
        <v>147</v>
      </c>
      <c r="C258" s="5" t="s">
        <v>46</v>
      </c>
      <c r="D258" s="5" t="s">
        <v>120</v>
      </c>
      <c r="E258" s="7">
        <v>1.0</v>
      </c>
    </row>
    <row r="259">
      <c r="A259" s="5">
        <v>258.0</v>
      </c>
      <c r="B259" s="6" t="s">
        <v>135</v>
      </c>
      <c r="C259" s="5" t="s">
        <v>16</v>
      </c>
      <c r="D259" s="5" t="s">
        <v>120</v>
      </c>
      <c r="E259" s="7">
        <v>1.0</v>
      </c>
    </row>
    <row r="260">
      <c r="A260" s="5">
        <v>259.0</v>
      </c>
      <c r="B260" s="6" t="s">
        <v>132</v>
      </c>
      <c r="C260" s="5" t="s">
        <v>11</v>
      </c>
      <c r="D260" s="5" t="s">
        <v>120</v>
      </c>
      <c r="E260" s="7">
        <v>1.0</v>
      </c>
    </row>
    <row r="261">
      <c r="A261" s="5">
        <v>260.0</v>
      </c>
      <c r="B261" s="6" t="s">
        <v>137</v>
      </c>
      <c r="C261" s="5" t="s">
        <v>18</v>
      </c>
      <c r="D261" s="5" t="s">
        <v>120</v>
      </c>
      <c r="E261" s="7">
        <v>1.0</v>
      </c>
    </row>
    <row r="262">
      <c r="A262" s="5">
        <v>261.0</v>
      </c>
      <c r="B262" s="6" t="s">
        <v>146</v>
      </c>
      <c r="C262" s="5" t="s">
        <v>33</v>
      </c>
      <c r="D262" s="5" t="s">
        <v>120</v>
      </c>
      <c r="E262" s="7">
        <v>1.0</v>
      </c>
    </row>
    <row r="263">
      <c r="A263" s="5">
        <v>262.0</v>
      </c>
      <c r="B263" s="6" t="s">
        <v>838</v>
      </c>
      <c r="C263" s="5" t="s">
        <v>43</v>
      </c>
      <c r="D263" s="5" t="s">
        <v>120</v>
      </c>
      <c r="E263" s="7">
        <v>1.0</v>
      </c>
    </row>
    <row r="264">
      <c r="A264" s="5">
        <v>263.0</v>
      </c>
      <c r="B264" s="6" t="s">
        <v>192</v>
      </c>
      <c r="C264" s="5" t="s">
        <v>37</v>
      </c>
      <c r="D264" s="5" t="s">
        <v>120</v>
      </c>
      <c r="E264" s="7">
        <v>1.0</v>
      </c>
    </row>
    <row r="265">
      <c r="A265" s="5">
        <v>264.0</v>
      </c>
      <c r="B265" s="6" t="s">
        <v>150</v>
      </c>
      <c r="C265" s="5" t="s">
        <v>59</v>
      </c>
      <c r="D265" s="5" t="s">
        <v>120</v>
      </c>
      <c r="E265" s="7">
        <v>1.0</v>
      </c>
    </row>
    <row r="266">
      <c r="A266" s="5">
        <v>265.0</v>
      </c>
      <c r="B266" s="6" t="s">
        <v>151</v>
      </c>
      <c r="C266" s="5" t="s">
        <v>9</v>
      </c>
      <c r="D266" s="5" t="s">
        <v>120</v>
      </c>
      <c r="E266" s="7">
        <v>1.0</v>
      </c>
    </row>
    <row r="267">
      <c r="A267" s="5">
        <v>266.0</v>
      </c>
      <c r="B267" s="6" t="s">
        <v>149</v>
      </c>
      <c r="C267" s="5" t="s">
        <v>28</v>
      </c>
      <c r="D267" s="5" t="s">
        <v>120</v>
      </c>
      <c r="E267" s="7">
        <v>1.0</v>
      </c>
    </row>
    <row r="268">
      <c r="A268" s="5">
        <v>267.0</v>
      </c>
      <c r="B268" s="6" t="s">
        <v>185</v>
      </c>
      <c r="C268" s="5" t="s">
        <v>71</v>
      </c>
      <c r="D268" s="5" t="s">
        <v>120</v>
      </c>
      <c r="E268" s="7">
        <v>0.0</v>
      </c>
    </row>
    <row r="269">
      <c r="A269" s="5">
        <v>268.0</v>
      </c>
      <c r="B269" s="6" t="s">
        <v>196</v>
      </c>
      <c r="C269" s="5" t="s">
        <v>30</v>
      </c>
      <c r="D269" s="5" t="s">
        <v>120</v>
      </c>
      <c r="E269" s="7">
        <v>0.0</v>
      </c>
    </row>
    <row r="270">
      <c r="A270" s="5">
        <v>269.0</v>
      </c>
      <c r="B270" s="6" t="s">
        <v>195</v>
      </c>
      <c r="C270" s="5" t="s">
        <v>22</v>
      </c>
      <c r="D270" s="5" t="s">
        <v>120</v>
      </c>
      <c r="E270" s="7">
        <v>0.0</v>
      </c>
    </row>
    <row r="271">
      <c r="A271" s="5">
        <v>270.0</v>
      </c>
      <c r="B271" s="6" t="s">
        <v>152</v>
      </c>
      <c r="C271" s="5" t="s">
        <v>50</v>
      </c>
      <c r="D271" s="5" t="s">
        <v>120</v>
      </c>
      <c r="E271" s="7">
        <v>0.0</v>
      </c>
    </row>
    <row r="272">
      <c r="A272" s="5">
        <v>271.0</v>
      </c>
      <c r="B272" s="6" t="s">
        <v>201</v>
      </c>
      <c r="C272" s="5" t="s">
        <v>69</v>
      </c>
      <c r="D272" s="5" t="s">
        <v>120</v>
      </c>
      <c r="E272" s="7">
        <v>0.0</v>
      </c>
    </row>
    <row r="273">
      <c r="A273" s="5">
        <v>272.0</v>
      </c>
      <c r="B273" s="6" t="s">
        <v>188</v>
      </c>
      <c r="C273" s="5" t="s">
        <v>48</v>
      </c>
      <c r="D273" s="5" t="s">
        <v>120</v>
      </c>
      <c r="E273" s="7">
        <v>0.0</v>
      </c>
    </row>
    <row r="274">
      <c r="A274" s="5">
        <v>273.0</v>
      </c>
      <c r="B274" s="6" t="s">
        <v>839</v>
      </c>
      <c r="C274" s="5" t="s">
        <v>96</v>
      </c>
      <c r="D274" s="5" t="s">
        <v>134</v>
      </c>
      <c r="E274" s="7">
        <v>2.0</v>
      </c>
    </row>
    <row r="275">
      <c r="A275" s="5">
        <v>274.0</v>
      </c>
      <c r="B275" s="6" t="s">
        <v>840</v>
      </c>
      <c r="C275" s="5" t="s">
        <v>24</v>
      </c>
      <c r="D275" s="5" t="s">
        <v>134</v>
      </c>
      <c r="E275" s="7">
        <v>2.0</v>
      </c>
    </row>
    <row r="276">
      <c r="A276" s="5">
        <v>275.0</v>
      </c>
      <c r="B276" s="6" t="s">
        <v>841</v>
      </c>
      <c r="C276" s="5" t="s">
        <v>16</v>
      </c>
      <c r="D276" s="5" t="s">
        <v>134</v>
      </c>
      <c r="E276" s="7">
        <v>1.0</v>
      </c>
    </row>
    <row r="277">
      <c r="A277" s="5">
        <v>276.0</v>
      </c>
      <c r="B277" s="6" t="s">
        <v>842</v>
      </c>
      <c r="C277" s="5" t="s">
        <v>104</v>
      </c>
      <c r="D277" s="5" t="s">
        <v>134</v>
      </c>
      <c r="E277" s="7">
        <v>1.0</v>
      </c>
    </row>
    <row r="278">
      <c r="A278" s="5">
        <v>277.0</v>
      </c>
      <c r="B278" s="8" t="s">
        <v>843</v>
      </c>
      <c r="C278" s="5" t="s">
        <v>30</v>
      </c>
      <c r="D278" s="5" t="s">
        <v>134</v>
      </c>
      <c r="E278" s="7">
        <v>1.0</v>
      </c>
    </row>
    <row r="279">
      <c r="A279" s="5">
        <v>278.0</v>
      </c>
      <c r="B279" s="6" t="s">
        <v>844</v>
      </c>
      <c r="C279" s="5" t="s">
        <v>62</v>
      </c>
      <c r="D279" s="5" t="s">
        <v>134</v>
      </c>
      <c r="E279" s="7">
        <v>1.0</v>
      </c>
    </row>
    <row r="280">
      <c r="A280" s="5">
        <v>279.0</v>
      </c>
      <c r="B280" s="8" t="s">
        <v>845</v>
      </c>
      <c r="C280" s="5" t="s">
        <v>59</v>
      </c>
      <c r="D280" s="5" t="s">
        <v>134</v>
      </c>
      <c r="E280" s="7">
        <v>1.0</v>
      </c>
    </row>
    <row r="281">
      <c r="A281" s="5">
        <v>280.0</v>
      </c>
      <c r="B281" s="6" t="s">
        <v>846</v>
      </c>
      <c r="C281" s="5" t="s">
        <v>35</v>
      </c>
      <c r="D281" s="5" t="s">
        <v>134</v>
      </c>
      <c r="E281" s="7">
        <v>1.0</v>
      </c>
    </row>
    <row r="282">
      <c r="A282" s="5">
        <v>281.0</v>
      </c>
      <c r="B282" s="6" t="s">
        <v>847</v>
      </c>
      <c r="C282" s="5" t="s">
        <v>43</v>
      </c>
      <c r="D282" s="5" t="s">
        <v>134</v>
      </c>
      <c r="E282" s="7">
        <v>1.0</v>
      </c>
    </row>
    <row r="283">
      <c r="A283" s="5">
        <v>282.0</v>
      </c>
      <c r="B283" s="6" t="s">
        <v>848</v>
      </c>
      <c r="C283" s="5" t="s">
        <v>122</v>
      </c>
      <c r="D283" s="5" t="s">
        <v>134</v>
      </c>
      <c r="E283" s="7">
        <v>1.0</v>
      </c>
    </row>
    <row r="284">
      <c r="A284" s="5">
        <v>283.0</v>
      </c>
      <c r="B284" s="8" t="s">
        <v>849</v>
      </c>
      <c r="C284" s="5" t="s">
        <v>46</v>
      </c>
      <c r="D284" s="5" t="s">
        <v>134</v>
      </c>
      <c r="E284" s="7">
        <v>1.0</v>
      </c>
    </row>
    <row r="285">
      <c r="A285" s="5">
        <v>284.0</v>
      </c>
      <c r="B285" s="6" t="s">
        <v>850</v>
      </c>
      <c r="C285" s="5" t="s">
        <v>91</v>
      </c>
      <c r="D285" s="5" t="s">
        <v>134</v>
      </c>
      <c r="E285" s="7">
        <v>1.0</v>
      </c>
    </row>
    <row r="286">
      <c r="A286" s="5">
        <v>285.0</v>
      </c>
      <c r="B286" s="6" t="s">
        <v>851</v>
      </c>
      <c r="C286" s="5" t="s">
        <v>139</v>
      </c>
      <c r="D286" s="5" t="s">
        <v>134</v>
      </c>
      <c r="E286" s="7">
        <v>0.0</v>
      </c>
    </row>
    <row r="287">
      <c r="A287" s="5">
        <v>286.0</v>
      </c>
      <c r="B287" s="6" t="s">
        <v>852</v>
      </c>
      <c r="C287" s="5" t="s">
        <v>18</v>
      </c>
      <c r="D287" s="5" t="s">
        <v>134</v>
      </c>
      <c r="E287" s="7">
        <v>0.0</v>
      </c>
    </row>
    <row r="288">
      <c r="A288" s="5">
        <v>287.0</v>
      </c>
      <c r="B288" s="6" t="s">
        <v>853</v>
      </c>
      <c r="C288" s="5" t="s">
        <v>48</v>
      </c>
      <c r="D288" s="5" t="s">
        <v>134</v>
      </c>
      <c r="E288" s="7">
        <v>0.0</v>
      </c>
    </row>
    <row r="289">
      <c r="A289" s="5">
        <v>288.0</v>
      </c>
      <c r="B289" s="6" t="s">
        <v>854</v>
      </c>
      <c r="C289" s="5" t="s">
        <v>22</v>
      </c>
      <c r="D289" s="5" t="s">
        <v>134</v>
      </c>
      <c r="E289" s="7">
        <v>0.0</v>
      </c>
    </row>
    <row r="290">
      <c r="A290" s="5">
        <v>289.0</v>
      </c>
      <c r="B290" s="6" t="s">
        <v>855</v>
      </c>
      <c r="C290" s="5" t="s">
        <v>11</v>
      </c>
      <c r="D290" s="5" t="s">
        <v>134</v>
      </c>
      <c r="E290" s="7">
        <v>0.0</v>
      </c>
    </row>
    <row r="291">
      <c r="A291" s="5">
        <v>290.0</v>
      </c>
      <c r="B291" s="6" t="s">
        <v>856</v>
      </c>
      <c r="C291" s="5" t="s">
        <v>26</v>
      </c>
      <c r="D291" s="5" t="s">
        <v>134</v>
      </c>
      <c r="E291" s="7">
        <v>0.0</v>
      </c>
    </row>
    <row r="292">
      <c r="A292" s="5">
        <v>291.0</v>
      </c>
      <c r="B292" s="6" t="s">
        <v>857</v>
      </c>
      <c r="C292" s="5" t="s">
        <v>165</v>
      </c>
      <c r="D292" s="5" t="s">
        <v>134</v>
      </c>
      <c r="E292" s="7">
        <v>0.0</v>
      </c>
    </row>
    <row r="293">
      <c r="A293" s="5">
        <v>292.0</v>
      </c>
      <c r="B293" s="6" t="s">
        <v>858</v>
      </c>
      <c r="C293" s="5" t="s">
        <v>69</v>
      </c>
      <c r="D293" s="5" t="s">
        <v>134</v>
      </c>
      <c r="E293" s="7">
        <v>0.0</v>
      </c>
    </row>
    <row r="294">
      <c r="A294" s="5">
        <v>293.0</v>
      </c>
      <c r="B294" s="8" t="s">
        <v>859</v>
      </c>
      <c r="C294" s="5" t="s">
        <v>9</v>
      </c>
      <c r="D294" s="5" t="s">
        <v>134</v>
      </c>
      <c r="E294" s="7">
        <v>0.0</v>
      </c>
    </row>
    <row r="295">
      <c r="A295" s="5">
        <v>294.0</v>
      </c>
      <c r="B295" s="6" t="s">
        <v>860</v>
      </c>
      <c r="C295" s="5" t="s">
        <v>28</v>
      </c>
      <c r="D295" s="5" t="s">
        <v>134</v>
      </c>
      <c r="E295" s="7">
        <v>0.0</v>
      </c>
    </row>
    <row r="296">
      <c r="A296" s="5">
        <v>295.0</v>
      </c>
      <c r="B296" s="6" t="s">
        <v>861</v>
      </c>
      <c r="C296" s="5" t="s">
        <v>50</v>
      </c>
      <c r="D296" s="5" t="s">
        <v>134</v>
      </c>
      <c r="E296" s="7">
        <v>0.0</v>
      </c>
    </row>
    <row r="297">
      <c r="A297" s="5">
        <v>296.0</v>
      </c>
      <c r="B297" s="6" t="s">
        <v>862</v>
      </c>
      <c r="C297" s="5" t="s">
        <v>52</v>
      </c>
      <c r="D297" s="5" t="s">
        <v>134</v>
      </c>
      <c r="E297" s="7">
        <v>0.0</v>
      </c>
    </row>
    <row r="298">
      <c r="A298" s="5">
        <v>297.0</v>
      </c>
      <c r="B298" s="8" t="s">
        <v>863</v>
      </c>
      <c r="C298" s="5" t="s">
        <v>20</v>
      </c>
      <c r="D298" s="5" t="s">
        <v>134</v>
      </c>
      <c r="E298" s="7">
        <v>0.0</v>
      </c>
    </row>
    <row r="299">
      <c r="A299" s="5">
        <v>298.0</v>
      </c>
      <c r="B299" s="6" t="s">
        <v>864</v>
      </c>
      <c r="C299" s="5" t="s">
        <v>71</v>
      </c>
      <c r="D299" s="5" t="s">
        <v>134</v>
      </c>
      <c r="E299" s="7">
        <v>0.0</v>
      </c>
    </row>
    <row r="300">
      <c r="A300" s="5">
        <v>299.0</v>
      </c>
      <c r="B300" s="6" t="s">
        <v>865</v>
      </c>
      <c r="C300" s="5" t="s">
        <v>33</v>
      </c>
      <c r="D300" s="5" t="s">
        <v>134</v>
      </c>
      <c r="E300" s="7">
        <v>0.0</v>
      </c>
    </row>
    <row r="301">
      <c r="A301" s="5">
        <v>300.0</v>
      </c>
      <c r="B301" s="6" t="s">
        <v>866</v>
      </c>
      <c r="C301" s="5" t="s">
        <v>6</v>
      </c>
      <c r="D301" s="5" t="s">
        <v>134</v>
      </c>
      <c r="E301" s="7">
        <v>0.0</v>
      </c>
    </row>
    <row r="302">
      <c r="A302" s="5">
        <v>301.0</v>
      </c>
      <c r="B302" s="6" t="s">
        <v>867</v>
      </c>
      <c r="C302" s="5" t="s">
        <v>54</v>
      </c>
      <c r="D302" s="5" t="s">
        <v>134</v>
      </c>
      <c r="E302" s="7">
        <v>0.0</v>
      </c>
    </row>
    <row r="303">
      <c r="A303" s="5">
        <v>302.0</v>
      </c>
      <c r="B303" s="6" t="s">
        <v>868</v>
      </c>
      <c r="C303" s="5" t="s">
        <v>37</v>
      </c>
      <c r="D303" s="5" t="s">
        <v>134</v>
      </c>
      <c r="E303" s="7">
        <v>0.0</v>
      </c>
    </row>
    <row r="304">
      <c r="A304" s="5">
        <v>303.0</v>
      </c>
      <c r="B304" s="6" t="s">
        <v>869</v>
      </c>
      <c r="C304" s="5" t="s">
        <v>163</v>
      </c>
      <c r="D304" s="5" t="s">
        <v>134</v>
      </c>
      <c r="E304" s="7">
        <v>0.0</v>
      </c>
    </row>
    <row r="305">
      <c r="A305" s="5">
        <v>304.0</v>
      </c>
      <c r="B305" s="8" t="s">
        <v>870</v>
      </c>
      <c r="C305" s="5" t="s">
        <v>41</v>
      </c>
      <c r="D305" s="5" t="s">
        <v>134</v>
      </c>
      <c r="E305" s="7">
        <v>0.0</v>
      </c>
    </row>
  </sheetData>
  <autoFilter ref="$A$1:$E$305">
    <sortState ref="A1:E305">
      <sortCondition ref="A1:A305"/>
      <sortCondition ref="B1:B30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5">
        <v>1.0</v>
      </c>
      <c r="B2" s="8" t="s">
        <v>38</v>
      </c>
      <c r="C2" s="5" t="s">
        <v>11</v>
      </c>
      <c r="D2" s="5" t="s">
        <v>39</v>
      </c>
      <c r="E2" s="7">
        <v>114.0</v>
      </c>
    </row>
    <row r="3">
      <c r="A3" s="5">
        <v>2.0</v>
      </c>
      <c r="B3" s="8" t="s">
        <v>115</v>
      </c>
      <c r="C3" s="5" t="s">
        <v>30</v>
      </c>
      <c r="D3" s="5" t="s">
        <v>39</v>
      </c>
      <c r="E3" s="7">
        <v>97.0</v>
      </c>
    </row>
    <row r="4">
      <c r="A4" s="5">
        <v>3.0</v>
      </c>
      <c r="B4" s="8" t="s">
        <v>73</v>
      </c>
      <c r="C4" s="5" t="s">
        <v>20</v>
      </c>
      <c r="D4" s="5" t="s">
        <v>39</v>
      </c>
      <c r="E4" s="7">
        <v>90.0</v>
      </c>
    </row>
    <row r="5">
      <c r="A5" s="5">
        <v>4.0</v>
      </c>
      <c r="B5" s="8" t="s">
        <v>110</v>
      </c>
      <c r="C5" s="5" t="s">
        <v>35</v>
      </c>
      <c r="D5" s="5" t="s">
        <v>39</v>
      </c>
      <c r="E5" s="7">
        <v>80.0</v>
      </c>
    </row>
    <row r="6">
      <c r="A6" s="5">
        <v>5.0</v>
      </c>
      <c r="B6" s="8" t="s">
        <v>131</v>
      </c>
      <c r="C6" s="5" t="s">
        <v>24</v>
      </c>
      <c r="D6" s="5" t="s">
        <v>39</v>
      </c>
      <c r="E6" s="7">
        <v>71.0</v>
      </c>
    </row>
    <row r="7">
      <c r="A7" s="5">
        <v>6.0</v>
      </c>
      <c r="B7" s="8" t="s">
        <v>5</v>
      </c>
      <c r="C7" s="5" t="s">
        <v>6</v>
      </c>
      <c r="D7" s="5" t="s">
        <v>7</v>
      </c>
      <c r="E7" s="7">
        <v>66.0</v>
      </c>
    </row>
    <row r="8">
      <c r="A8" s="5">
        <v>7.0</v>
      </c>
      <c r="B8" s="8" t="s">
        <v>19</v>
      </c>
      <c r="C8" s="5" t="s">
        <v>20</v>
      </c>
      <c r="D8" s="5" t="s">
        <v>14</v>
      </c>
      <c r="E8" s="7">
        <v>59.0</v>
      </c>
    </row>
    <row r="9">
      <c r="A9" s="5">
        <v>8.0</v>
      </c>
      <c r="B9" s="8" t="s">
        <v>871</v>
      </c>
      <c r="C9" s="5" t="s">
        <v>18</v>
      </c>
      <c r="D9" s="5" t="s">
        <v>39</v>
      </c>
      <c r="E9" s="7">
        <v>56.0</v>
      </c>
    </row>
    <row r="10">
      <c r="A10" s="5">
        <v>9.0</v>
      </c>
      <c r="B10" s="8" t="s">
        <v>105</v>
      </c>
      <c r="C10" s="5" t="s">
        <v>59</v>
      </c>
      <c r="D10" s="5" t="s">
        <v>39</v>
      </c>
      <c r="E10" s="7">
        <v>54.0</v>
      </c>
    </row>
    <row r="11">
      <c r="A11" s="5">
        <v>10.0</v>
      </c>
      <c r="B11" s="8" t="s">
        <v>17</v>
      </c>
      <c r="C11" s="5" t="s">
        <v>18</v>
      </c>
      <c r="D11" s="5" t="s">
        <v>14</v>
      </c>
      <c r="E11" s="7">
        <v>52.0</v>
      </c>
    </row>
    <row r="12">
      <c r="A12" s="5">
        <v>11.0</v>
      </c>
      <c r="B12" s="8" t="s">
        <v>10</v>
      </c>
      <c r="C12" s="5" t="s">
        <v>11</v>
      </c>
      <c r="D12" s="5" t="s">
        <v>12</v>
      </c>
      <c r="E12" s="7">
        <v>52.0</v>
      </c>
    </row>
    <row r="13">
      <c r="A13" s="5">
        <v>12.0</v>
      </c>
      <c r="B13" s="8" t="s">
        <v>94</v>
      </c>
      <c r="C13" s="5" t="s">
        <v>28</v>
      </c>
      <c r="D13" s="5" t="s">
        <v>39</v>
      </c>
      <c r="E13" s="7">
        <v>51.0</v>
      </c>
    </row>
    <row r="14">
      <c r="A14" s="5">
        <v>13.0</v>
      </c>
      <c r="B14" s="8" t="s">
        <v>32</v>
      </c>
      <c r="C14" s="5" t="s">
        <v>33</v>
      </c>
      <c r="D14" s="5" t="s">
        <v>12</v>
      </c>
      <c r="E14" s="7">
        <v>50.0</v>
      </c>
    </row>
    <row r="15">
      <c r="A15" s="5">
        <v>14.0</v>
      </c>
      <c r="B15" s="8" t="s">
        <v>872</v>
      </c>
      <c r="C15" s="5" t="s">
        <v>35</v>
      </c>
      <c r="D15" s="5" t="s">
        <v>14</v>
      </c>
      <c r="E15" s="7">
        <v>50.0</v>
      </c>
    </row>
    <row r="16">
      <c r="A16" s="5">
        <v>15.0</v>
      </c>
      <c r="B16" s="8" t="s">
        <v>29</v>
      </c>
      <c r="C16" s="5" t="s">
        <v>30</v>
      </c>
      <c r="D16" s="5" t="s">
        <v>14</v>
      </c>
      <c r="E16" s="7">
        <v>49.0</v>
      </c>
    </row>
    <row r="17">
      <c r="A17" s="5">
        <v>16.0</v>
      </c>
      <c r="B17" s="8" t="s">
        <v>263</v>
      </c>
      <c r="C17" s="5" t="s">
        <v>33</v>
      </c>
      <c r="D17" s="5" t="s">
        <v>39</v>
      </c>
      <c r="E17" s="7">
        <v>49.0</v>
      </c>
    </row>
    <row r="18">
      <c r="A18" s="5">
        <v>17.0</v>
      </c>
      <c r="B18" s="8" t="s">
        <v>36</v>
      </c>
      <c r="C18" s="5" t="s">
        <v>37</v>
      </c>
      <c r="D18" s="5" t="s">
        <v>14</v>
      </c>
      <c r="E18" s="7">
        <v>47.0</v>
      </c>
    </row>
    <row r="19">
      <c r="A19" s="5">
        <v>18.0</v>
      </c>
      <c r="B19" s="8" t="s">
        <v>13</v>
      </c>
      <c r="C19" s="5" t="s">
        <v>11</v>
      </c>
      <c r="D19" s="5" t="s">
        <v>14</v>
      </c>
      <c r="E19" s="7">
        <v>47.0</v>
      </c>
    </row>
    <row r="20">
      <c r="A20" s="5">
        <v>19.0</v>
      </c>
      <c r="B20" s="8" t="s">
        <v>51</v>
      </c>
      <c r="C20" s="5" t="s">
        <v>52</v>
      </c>
      <c r="D20" s="5" t="s">
        <v>7</v>
      </c>
      <c r="E20" s="7">
        <v>43.0</v>
      </c>
    </row>
    <row r="21">
      <c r="A21" s="5">
        <v>20.0</v>
      </c>
      <c r="B21" s="8" t="s">
        <v>262</v>
      </c>
      <c r="C21" s="5" t="s">
        <v>41</v>
      </c>
      <c r="D21" s="5" t="s">
        <v>39</v>
      </c>
      <c r="E21" s="7">
        <v>42.0</v>
      </c>
    </row>
    <row r="22">
      <c r="A22" s="5">
        <v>21.0</v>
      </c>
      <c r="B22" s="8" t="s">
        <v>27</v>
      </c>
      <c r="C22" s="5" t="s">
        <v>28</v>
      </c>
      <c r="D22" s="5" t="s">
        <v>14</v>
      </c>
      <c r="E22" s="7">
        <v>41.0</v>
      </c>
    </row>
    <row r="23">
      <c r="A23" s="5">
        <v>22.0</v>
      </c>
      <c r="B23" s="8" t="s">
        <v>8</v>
      </c>
      <c r="C23" s="5" t="s">
        <v>9</v>
      </c>
      <c r="D23" s="5" t="s">
        <v>7</v>
      </c>
      <c r="E23" s="7">
        <v>40.0</v>
      </c>
    </row>
    <row r="24">
      <c r="A24" s="5">
        <v>23.0</v>
      </c>
      <c r="B24" s="8" t="s">
        <v>15</v>
      </c>
      <c r="C24" s="5" t="s">
        <v>16</v>
      </c>
      <c r="D24" s="5" t="s">
        <v>7</v>
      </c>
      <c r="E24" s="7">
        <v>38.0</v>
      </c>
    </row>
    <row r="25">
      <c r="A25" s="5">
        <v>24.0</v>
      </c>
      <c r="B25" s="8" t="s">
        <v>25</v>
      </c>
      <c r="C25" s="5" t="s">
        <v>26</v>
      </c>
      <c r="D25" s="5" t="s">
        <v>7</v>
      </c>
      <c r="E25" s="7">
        <v>37.0</v>
      </c>
    </row>
    <row r="26">
      <c r="A26" s="5">
        <v>25.0</v>
      </c>
      <c r="B26" s="8" t="s">
        <v>873</v>
      </c>
      <c r="C26" s="5" t="s">
        <v>22</v>
      </c>
      <c r="D26" s="5" t="s">
        <v>7</v>
      </c>
      <c r="E26" s="7">
        <v>36.0</v>
      </c>
    </row>
    <row r="27">
      <c r="A27" s="5">
        <v>26.0</v>
      </c>
      <c r="B27" s="8" t="s">
        <v>58</v>
      </c>
      <c r="C27" s="5" t="s">
        <v>59</v>
      </c>
      <c r="D27" s="5" t="s">
        <v>12</v>
      </c>
      <c r="E27" s="7">
        <v>36.0</v>
      </c>
    </row>
    <row r="28">
      <c r="A28" s="5">
        <v>27.0</v>
      </c>
      <c r="B28" s="8" t="s">
        <v>61</v>
      </c>
      <c r="C28" s="5" t="s">
        <v>62</v>
      </c>
      <c r="D28" s="5" t="s">
        <v>14</v>
      </c>
      <c r="E28" s="7">
        <v>36.0</v>
      </c>
    </row>
    <row r="29">
      <c r="A29" s="5">
        <v>28.0</v>
      </c>
      <c r="B29" s="8" t="s">
        <v>31</v>
      </c>
      <c r="C29" s="5" t="s">
        <v>16</v>
      </c>
      <c r="D29" s="5" t="s">
        <v>14</v>
      </c>
      <c r="E29" s="7">
        <v>36.0</v>
      </c>
    </row>
    <row r="30">
      <c r="A30" s="5">
        <v>29.0</v>
      </c>
      <c r="B30" s="8" t="s">
        <v>40</v>
      </c>
      <c r="C30" s="5" t="s">
        <v>41</v>
      </c>
      <c r="D30" s="5" t="s">
        <v>14</v>
      </c>
      <c r="E30" s="7">
        <v>35.0</v>
      </c>
    </row>
    <row r="31">
      <c r="A31" s="5">
        <v>30.0</v>
      </c>
      <c r="B31" s="8" t="s">
        <v>144</v>
      </c>
      <c r="C31" s="5" t="s">
        <v>46</v>
      </c>
      <c r="D31" s="5" t="s">
        <v>39</v>
      </c>
      <c r="E31" s="7">
        <v>31.0</v>
      </c>
    </row>
    <row r="32">
      <c r="A32" s="5">
        <v>31.0</v>
      </c>
      <c r="B32" s="8" t="s">
        <v>57</v>
      </c>
      <c r="C32" s="5" t="s">
        <v>24</v>
      </c>
      <c r="D32" s="5" t="s">
        <v>14</v>
      </c>
      <c r="E32" s="7">
        <v>31.0</v>
      </c>
    </row>
    <row r="33">
      <c r="A33" s="5">
        <v>32.0</v>
      </c>
      <c r="B33" s="8" t="s">
        <v>63</v>
      </c>
      <c r="C33" s="5" t="s">
        <v>30</v>
      </c>
      <c r="D33" s="5" t="s">
        <v>7</v>
      </c>
      <c r="E33" s="7">
        <v>29.0</v>
      </c>
    </row>
    <row r="34">
      <c r="A34" s="5">
        <v>33.0</v>
      </c>
      <c r="B34" s="8" t="s">
        <v>56</v>
      </c>
      <c r="C34" s="5" t="s">
        <v>35</v>
      </c>
      <c r="D34" s="5" t="s">
        <v>7</v>
      </c>
      <c r="E34" s="7">
        <v>27.0</v>
      </c>
    </row>
    <row r="35">
      <c r="A35" s="5">
        <v>34.0</v>
      </c>
      <c r="B35" s="8" t="s">
        <v>44</v>
      </c>
      <c r="C35" s="5" t="s">
        <v>43</v>
      </c>
      <c r="D35" s="5" t="s">
        <v>14</v>
      </c>
      <c r="E35" s="7">
        <v>27.0</v>
      </c>
    </row>
    <row r="36">
      <c r="A36" s="5">
        <v>35.0</v>
      </c>
      <c r="B36" s="8" t="s">
        <v>136</v>
      </c>
      <c r="C36" s="5" t="s">
        <v>37</v>
      </c>
      <c r="D36" s="5" t="s">
        <v>39</v>
      </c>
      <c r="E36" s="7">
        <v>27.0</v>
      </c>
    </row>
    <row r="37">
      <c r="A37" s="5">
        <v>36.0</v>
      </c>
      <c r="B37" s="8" t="s">
        <v>70</v>
      </c>
      <c r="C37" s="5" t="s">
        <v>71</v>
      </c>
      <c r="D37" s="5" t="s">
        <v>14</v>
      </c>
      <c r="E37" s="7">
        <v>26.0</v>
      </c>
    </row>
    <row r="38">
      <c r="A38" s="5">
        <v>37.0</v>
      </c>
      <c r="B38" s="8" t="s">
        <v>66</v>
      </c>
      <c r="C38" s="5" t="s">
        <v>24</v>
      </c>
      <c r="D38" s="5" t="s">
        <v>14</v>
      </c>
      <c r="E38" s="7">
        <v>24.0</v>
      </c>
    </row>
    <row r="39">
      <c r="A39" s="5">
        <v>38.0</v>
      </c>
      <c r="B39" s="8" t="s">
        <v>75</v>
      </c>
      <c r="C39" s="5" t="s">
        <v>6</v>
      </c>
      <c r="D39" s="5" t="s">
        <v>12</v>
      </c>
      <c r="E39" s="7">
        <v>24.0</v>
      </c>
    </row>
    <row r="40">
      <c r="A40" s="5">
        <v>39.0</v>
      </c>
      <c r="B40" s="8" t="s">
        <v>81</v>
      </c>
      <c r="C40" s="5" t="s">
        <v>37</v>
      </c>
      <c r="D40" s="5" t="s">
        <v>14</v>
      </c>
      <c r="E40" s="7">
        <v>23.0</v>
      </c>
    </row>
    <row r="41">
      <c r="A41" s="5">
        <v>40.0</v>
      </c>
      <c r="B41" s="8" t="s">
        <v>815</v>
      </c>
      <c r="C41" s="5" t="s">
        <v>22</v>
      </c>
      <c r="D41" s="5" t="s">
        <v>14</v>
      </c>
      <c r="E41" s="7">
        <v>23.0</v>
      </c>
    </row>
    <row r="42">
      <c r="A42" s="5">
        <v>41.0</v>
      </c>
      <c r="B42" s="8" t="s">
        <v>47</v>
      </c>
      <c r="C42" s="5" t="s">
        <v>48</v>
      </c>
      <c r="D42" s="5" t="s">
        <v>14</v>
      </c>
      <c r="E42" s="7">
        <v>22.0</v>
      </c>
    </row>
    <row r="43">
      <c r="A43" s="5">
        <v>42.0</v>
      </c>
      <c r="B43" s="8" t="s">
        <v>78</v>
      </c>
      <c r="C43" s="5" t="s">
        <v>37</v>
      </c>
      <c r="D43" s="5" t="s">
        <v>12</v>
      </c>
      <c r="E43" s="7">
        <v>22.0</v>
      </c>
    </row>
    <row r="44">
      <c r="A44" s="5">
        <v>43.0</v>
      </c>
      <c r="B44" s="8" t="s">
        <v>90</v>
      </c>
      <c r="C44" s="5" t="s">
        <v>814</v>
      </c>
      <c r="D44" s="5" t="s">
        <v>7</v>
      </c>
      <c r="E44" s="7">
        <v>22.0</v>
      </c>
    </row>
    <row r="45">
      <c r="A45" s="5">
        <v>44.0</v>
      </c>
      <c r="B45" s="8" t="s">
        <v>53</v>
      </c>
      <c r="C45" s="5" t="s">
        <v>54</v>
      </c>
      <c r="D45" s="5" t="s">
        <v>7</v>
      </c>
      <c r="E45" s="7">
        <v>20.0</v>
      </c>
    </row>
    <row r="46">
      <c r="A46" s="5">
        <v>45.0</v>
      </c>
      <c r="B46" s="8" t="s">
        <v>72</v>
      </c>
      <c r="C46" s="5" t="s">
        <v>62</v>
      </c>
      <c r="D46" s="5" t="s">
        <v>14</v>
      </c>
      <c r="E46" s="7">
        <v>20.0</v>
      </c>
    </row>
    <row r="47">
      <c r="A47" s="5">
        <v>46.0</v>
      </c>
      <c r="B47" s="8" t="s">
        <v>64</v>
      </c>
      <c r="C47" s="5" t="s">
        <v>62</v>
      </c>
      <c r="D47" s="5" t="s">
        <v>7</v>
      </c>
      <c r="E47" s="7">
        <v>19.0</v>
      </c>
    </row>
    <row r="48">
      <c r="A48" s="5">
        <v>47.0</v>
      </c>
      <c r="B48" s="8" t="s">
        <v>55</v>
      </c>
      <c r="C48" s="5" t="s">
        <v>9</v>
      </c>
      <c r="D48" s="5" t="s">
        <v>14</v>
      </c>
      <c r="E48" s="7">
        <v>19.0</v>
      </c>
    </row>
    <row r="49">
      <c r="A49" s="5">
        <v>48.0</v>
      </c>
      <c r="B49" s="8" t="s">
        <v>85</v>
      </c>
      <c r="C49" s="5" t="s">
        <v>48</v>
      </c>
      <c r="D49" s="5" t="s">
        <v>7</v>
      </c>
      <c r="E49" s="7">
        <v>19.0</v>
      </c>
    </row>
    <row r="50">
      <c r="A50" s="5">
        <v>49.0</v>
      </c>
      <c r="B50" s="8" t="s">
        <v>230</v>
      </c>
      <c r="C50" s="5" t="s">
        <v>62</v>
      </c>
      <c r="D50" s="5" t="s">
        <v>39</v>
      </c>
      <c r="E50" s="7">
        <v>18.0</v>
      </c>
    </row>
    <row r="51">
      <c r="A51" s="5">
        <v>50.0</v>
      </c>
      <c r="B51" s="8" t="s">
        <v>102</v>
      </c>
      <c r="C51" s="5" t="s">
        <v>28</v>
      </c>
      <c r="D51" s="5" t="s">
        <v>7</v>
      </c>
      <c r="E51" s="7">
        <v>18.0</v>
      </c>
    </row>
    <row r="52">
      <c r="A52" s="5">
        <v>51.0</v>
      </c>
      <c r="B52" s="8" t="s">
        <v>124</v>
      </c>
      <c r="C52" s="5" t="s">
        <v>11</v>
      </c>
      <c r="D52" s="5" t="s">
        <v>7</v>
      </c>
      <c r="E52" s="7">
        <v>16.0</v>
      </c>
    </row>
    <row r="53">
      <c r="A53" s="5">
        <v>52.0</v>
      </c>
      <c r="B53" s="8" t="s">
        <v>79</v>
      </c>
      <c r="C53" s="5" t="s">
        <v>16</v>
      </c>
      <c r="D53" s="5" t="s">
        <v>12</v>
      </c>
      <c r="E53" s="7">
        <v>16.0</v>
      </c>
    </row>
    <row r="54">
      <c r="A54" s="5">
        <v>53.0</v>
      </c>
      <c r="B54" s="8" t="s">
        <v>98</v>
      </c>
      <c r="C54" s="5" t="s">
        <v>54</v>
      </c>
      <c r="D54" s="5" t="s">
        <v>14</v>
      </c>
      <c r="E54" s="7">
        <v>16.0</v>
      </c>
    </row>
    <row r="55">
      <c r="A55" s="5">
        <v>54.0</v>
      </c>
      <c r="B55" s="8" t="s">
        <v>145</v>
      </c>
      <c r="C55" s="5" t="s">
        <v>96</v>
      </c>
      <c r="D55" s="5" t="s">
        <v>7</v>
      </c>
      <c r="E55" s="7">
        <v>15.0</v>
      </c>
    </row>
    <row r="56">
      <c r="A56" s="5">
        <v>55.0</v>
      </c>
      <c r="B56" s="8" t="s">
        <v>67</v>
      </c>
      <c r="C56" s="5" t="s">
        <v>46</v>
      </c>
      <c r="D56" s="5" t="s">
        <v>7</v>
      </c>
      <c r="E56" s="7">
        <v>15.0</v>
      </c>
    </row>
    <row r="57">
      <c r="A57" s="5">
        <v>56.0</v>
      </c>
      <c r="B57" s="8" t="s">
        <v>106</v>
      </c>
      <c r="C57" s="5" t="s">
        <v>30</v>
      </c>
      <c r="D57" s="5" t="s">
        <v>14</v>
      </c>
      <c r="E57" s="7">
        <v>14.0</v>
      </c>
    </row>
    <row r="58">
      <c r="A58" s="5">
        <v>57.0</v>
      </c>
      <c r="B58" s="8" t="s">
        <v>23</v>
      </c>
      <c r="C58" s="5" t="s">
        <v>24</v>
      </c>
      <c r="D58" s="5" t="s">
        <v>7</v>
      </c>
      <c r="E58" s="7">
        <v>14.0</v>
      </c>
    </row>
    <row r="59">
      <c r="A59" s="5">
        <v>58.0</v>
      </c>
      <c r="B59" s="8" t="s">
        <v>107</v>
      </c>
      <c r="C59" s="5" t="s">
        <v>35</v>
      </c>
      <c r="D59" s="5" t="s">
        <v>12</v>
      </c>
      <c r="E59" s="7">
        <v>14.0</v>
      </c>
    </row>
    <row r="60">
      <c r="A60" s="5">
        <v>59.0</v>
      </c>
      <c r="B60" s="8" t="s">
        <v>100</v>
      </c>
      <c r="C60" s="5" t="s">
        <v>71</v>
      </c>
      <c r="D60" s="5" t="s">
        <v>7</v>
      </c>
      <c r="E60" s="7">
        <v>13.0</v>
      </c>
    </row>
    <row r="61">
      <c r="A61" s="5">
        <v>60.0</v>
      </c>
      <c r="B61" s="8" t="s">
        <v>218</v>
      </c>
      <c r="C61" s="5" t="s">
        <v>43</v>
      </c>
      <c r="D61" s="5" t="s">
        <v>39</v>
      </c>
      <c r="E61" s="7">
        <v>12.0</v>
      </c>
    </row>
    <row r="62">
      <c r="A62" s="5">
        <v>61.0</v>
      </c>
      <c r="B62" s="8" t="s">
        <v>87</v>
      </c>
      <c r="C62" s="5" t="s">
        <v>6</v>
      </c>
      <c r="D62" s="5" t="s">
        <v>14</v>
      </c>
      <c r="E62" s="7">
        <v>12.0</v>
      </c>
    </row>
    <row r="63">
      <c r="A63" s="5">
        <v>62.0</v>
      </c>
      <c r="B63" s="8" t="s">
        <v>45</v>
      </c>
      <c r="C63" s="5" t="s">
        <v>46</v>
      </c>
      <c r="D63" s="5" t="s">
        <v>14</v>
      </c>
      <c r="E63" s="7">
        <v>12.0</v>
      </c>
    </row>
    <row r="64">
      <c r="A64" s="5">
        <v>63.0</v>
      </c>
      <c r="B64" s="8" t="s">
        <v>65</v>
      </c>
      <c r="C64" s="5" t="s">
        <v>43</v>
      </c>
      <c r="D64" s="5" t="s">
        <v>14</v>
      </c>
      <c r="E64" s="7">
        <v>12.0</v>
      </c>
    </row>
    <row r="65">
      <c r="A65" s="5">
        <v>64.0</v>
      </c>
      <c r="B65" s="8" t="s">
        <v>93</v>
      </c>
      <c r="C65" s="5" t="s">
        <v>41</v>
      </c>
      <c r="D65" s="5" t="s">
        <v>7</v>
      </c>
      <c r="E65" s="7">
        <v>11.0</v>
      </c>
    </row>
    <row r="66">
      <c r="A66" s="5">
        <v>65.0</v>
      </c>
      <c r="B66" s="8" t="s">
        <v>68</v>
      </c>
      <c r="C66" s="5" t="s">
        <v>69</v>
      </c>
      <c r="D66" s="5" t="s">
        <v>14</v>
      </c>
      <c r="E66" s="7">
        <v>11.0</v>
      </c>
    </row>
    <row r="67">
      <c r="A67" s="5">
        <v>66.0</v>
      </c>
      <c r="B67" s="8" t="s">
        <v>103</v>
      </c>
      <c r="C67" s="5" t="s">
        <v>104</v>
      </c>
      <c r="D67" s="5" t="s">
        <v>7</v>
      </c>
      <c r="E67" s="7">
        <v>10.0</v>
      </c>
    </row>
    <row r="68">
      <c r="A68" s="5">
        <v>67.0</v>
      </c>
      <c r="B68" s="8" t="s">
        <v>117</v>
      </c>
      <c r="C68" s="5" t="s">
        <v>104</v>
      </c>
      <c r="D68" s="5" t="s">
        <v>12</v>
      </c>
      <c r="E68" s="7">
        <v>10.0</v>
      </c>
    </row>
    <row r="69">
      <c r="A69" s="5">
        <v>68.0</v>
      </c>
      <c r="B69" s="8" t="s">
        <v>83</v>
      </c>
      <c r="C69" s="5" t="s">
        <v>43</v>
      </c>
      <c r="D69" s="5" t="s">
        <v>12</v>
      </c>
      <c r="E69" s="7">
        <v>10.0</v>
      </c>
    </row>
    <row r="70">
      <c r="A70" s="5">
        <v>69.0</v>
      </c>
      <c r="B70" s="8" t="s">
        <v>114</v>
      </c>
      <c r="C70" s="5" t="s">
        <v>814</v>
      </c>
      <c r="D70" s="5" t="s">
        <v>14</v>
      </c>
      <c r="E70" s="7">
        <v>10.0</v>
      </c>
    </row>
    <row r="71">
      <c r="A71" s="5">
        <v>70.0</v>
      </c>
      <c r="B71" s="8" t="s">
        <v>80</v>
      </c>
      <c r="C71" s="5" t="s">
        <v>20</v>
      </c>
      <c r="D71" s="5" t="s">
        <v>7</v>
      </c>
      <c r="E71" s="7">
        <v>10.0</v>
      </c>
    </row>
    <row r="72">
      <c r="A72" s="5">
        <v>71.0</v>
      </c>
      <c r="B72" s="8" t="s">
        <v>197</v>
      </c>
      <c r="C72" s="5" t="s">
        <v>50</v>
      </c>
      <c r="D72" s="5" t="s">
        <v>14</v>
      </c>
      <c r="E72" s="7">
        <v>9.0</v>
      </c>
    </row>
    <row r="73">
      <c r="A73" s="5">
        <v>72.0</v>
      </c>
      <c r="B73" s="8" t="s">
        <v>95</v>
      </c>
      <c r="C73" s="5" t="s">
        <v>96</v>
      </c>
      <c r="D73" s="5" t="s">
        <v>14</v>
      </c>
      <c r="E73" s="7">
        <v>9.0</v>
      </c>
    </row>
    <row r="74">
      <c r="A74" s="5">
        <v>73.0</v>
      </c>
      <c r="B74" s="8" t="s">
        <v>89</v>
      </c>
      <c r="C74" s="5" t="s">
        <v>20</v>
      </c>
      <c r="D74" s="5" t="s">
        <v>14</v>
      </c>
      <c r="E74" s="7">
        <v>8.0</v>
      </c>
    </row>
    <row r="75">
      <c r="A75" s="5">
        <v>74.0</v>
      </c>
      <c r="B75" s="8" t="s">
        <v>88</v>
      </c>
      <c r="C75" s="5" t="s">
        <v>52</v>
      </c>
      <c r="D75" s="5" t="s">
        <v>14</v>
      </c>
      <c r="E75" s="7">
        <v>8.0</v>
      </c>
    </row>
    <row r="76">
      <c r="A76" s="5">
        <v>75.0</v>
      </c>
      <c r="B76" s="8" t="s">
        <v>49</v>
      </c>
      <c r="C76" s="5" t="s">
        <v>50</v>
      </c>
      <c r="D76" s="5" t="s">
        <v>7</v>
      </c>
      <c r="E76" s="7">
        <v>8.0</v>
      </c>
    </row>
    <row r="77">
      <c r="A77" s="5">
        <v>76.0</v>
      </c>
      <c r="B77" s="8" t="s">
        <v>86</v>
      </c>
      <c r="C77" s="5" t="s">
        <v>24</v>
      </c>
      <c r="D77" s="5" t="s">
        <v>14</v>
      </c>
      <c r="E77" s="7">
        <v>7.0</v>
      </c>
    </row>
    <row r="78">
      <c r="A78" s="5">
        <v>77.0</v>
      </c>
      <c r="B78" s="8" t="s">
        <v>116</v>
      </c>
      <c r="C78" s="5" t="s">
        <v>22</v>
      </c>
      <c r="D78" s="5" t="s">
        <v>12</v>
      </c>
      <c r="E78" s="7">
        <v>6.0</v>
      </c>
    </row>
    <row r="79">
      <c r="A79" s="5">
        <v>78.0</v>
      </c>
      <c r="B79" s="8" t="s">
        <v>82</v>
      </c>
      <c r="C79" s="5" t="s">
        <v>59</v>
      </c>
      <c r="D79" s="5" t="s">
        <v>14</v>
      </c>
      <c r="E79" s="7">
        <v>6.0</v>
      </c>
    </row>
    <row r="80">
      <c r="A80" s="5">
        <v>79.0</v>
      </c>
      <c r="B80" s="8" t="s">
        <v>112</v>
      </c>
      <c r="C80" s="5" t="s">
        <v>50</v>
      </c>
      <c r="D80" s="5" t="s">
        <v>12</v>
      </c>
      <c r="E80" s="7">
        <v>4.0</v>
      </c>
    </row>
    <row r="81">
      <c r="A81" s="5">
        <v>80.0</v>
      </c>
      <c r="B81" s="8" t="s">
        <v>74</v>
      </c>
      <c r="C81" s="5" t="s">
        <v>54</v>
      </c>
      <c r="D81" s="5" t="s">
        <v>14</v>
      </c>
      <c r="E81" s="7">
        <v>4.0</v>
      </c>
    </row>
    <row r="82">
      <c r="A82" s="5">
        <v>81.0</v>
      </c>
      <c r="B82" s="8" t="s">
        <v>119</v>
      </c>
      <c r="C82" s="5" t="s">
        <v>24</v>
      </c>
      <c r="D82" s="5" t="s">
        <v>120</v>
      </c>
      <c r="E82" s="7">
        <v>4.0</v>
      </c>
    </row>
    <row r="83">
      <c r="A83" s="5">
        <v>82.0</v>
      </c>
      <c r="B83" s="8" t="s">
        <v>245</v>
      </c>
      <c r="C83" s="5" t="s">
        <v>122</v>
      </c>
      <c r="D83" s="5" t="s">
        <v>7</v>
      </c>
      <c r="E83" s="7">
        <v>3.0</v>
      </c>
    </row>
    <row r="84">
      <c r="A84" s="5">
        <v>83.0</v>
      </c>
      <c r="B84" s="8" t="s">
        <v>108</v>
      </c>
      <c r="C84" s="5" t="s">
        <v>30</v>
      </c>
      <c r="D84" s="5" t="s">
        <v>12</v>
      </c>
      <c r="E84" s="7">
        <v>3.0</v>
      </c>
    </row>
    <row r="85">
      <c r="A85" s="5">
        <v>84.0</v>
      </c>
      <c r="B85" s="8" t="s">
        <v>128</v>
      </c>
      <c r="C85" s="5" t="s">
        <v>104</v>
      </c>
      <c r="D85" s="5" t="s">
        <v>120</v>
      </c>
      <c r="E85" s="7">
        <v>3.0</v>
      </c>
    </row>
    <row r="86">
      <c r="A86" s="5">
        <v>85.0</v>
      </c>
      <c r="B86" s="8" t="s">
        <v>190</v>
      </c>
      <c r="C86" s="5" t="s">
        <v>28</v>
      </c>
      <c r="D86" s="5" t="s">
        <v>12</v>
      </c>
      <c r="E86" s="7">
        <v>3.0</v>
      </c>
    </row>
    <row r="87">
      <c r="A87" s="5">
        <v>86.0</v>
      </c>
      <c r="B87" s="8" t="s">
        <v>121</v>
      </c>
      <c r="C87" s="5" t="s">
        <v>122</v>
      </c>
      <c r="D87" s="5" t="s">
        <v>14</v>
      </c>
      <c r="E87" s="7">
        <v>3.0</v>
      </c>
    </row>
    <row r="88">
      <c r="A88" s="5">
        <v>87.0</v>
      </c>
      <c r="B88" s="8" t="s">
        <v>137</v>
      </c>
      <c r="C88" s="5" t="s">
        <v>18</v>
      </c>
      <c r="D88" s="5" t="s">
        <v>120</v>
      </c>
      <c r="E88" s="7">
        <v>2.0</v>
      </c>
    </row>
    <row r="89">
      <c r="A89" s="5">
        <v>88.0</v>
      </c>
      <c r="B89" s="8" t="s">
        <v>132</v>
      </c>
      <c r="C89" s="5" t="s">
        <v>11</v>
      </c>
      <c r="D89" s="5" t="s">
        <v>120</v>
      </c>
      <c r="E89" s="7">
        <v>2.0</v>
      </c>
    </row>
    <row r="90">
      <c r="A90" s="5">
        <v>89.0</v>
      </c>
      <c r="B90" s="8" t="s">
        <v>189</v>
      </c>
      <c r="C90" s="5" t="s">
        <v>59</v>
      </c>
      <c r="D90" s="5" t="s">
        <v>14</v>
      </c>
      <c r="E90" s="7">
        <v>2.0</v>
      </c>
    </row>
    <row r="91">
      <c r="A91" s="5">
        <v>90.0</v>
      </c>
      <c r="B91" s="8" t="s">
        <v>201</v>
      </c>
      <c r="C91" s="5" t="s">
        <v>69</v>
      </c>
      <c r="D91" s="5" t="s">
        <v>120</v>
      </c>
      <c r="E91" s="7">
        <v>1.0</v>
      </c>
    </row>
    <row r="92">
      <c r="A92" s="5">
        <v>91.0</v>
      </c>
      <c r="B92" s="8" t="s">
        <v>194</v>
      </c>
      <c r="C92" s="5" t="s">
        <v>62</v>
      </c>
      <c r="D92" s="5" t="s">
        <v>12</v>
      </c>
      <c r="E92" s="7">
        <v>1.0</v>
      </c>
    </row>
    <row r="93">
      <c r="A93" s="5">
        <v>92.0</v>
      </c>
      <c r="B93" s="8" t="s">
        <v>111</v>
      </c>
      <c r="C93" s="5" t="s">
        <v>26</v>
      </c>
      <c r="D93" s="5" t="s">
        <v>39</v>
      </c>
      <c r="E93" s="7">
        <v>1.0</v>
      </c>
    </row>
    <row r="94">
      <c r="A94" s="5">
        <v>93.0</v>
      </c>
      <c r="B94" s="8" t="s">
        <v>147</v>
      </c>
      <c r="C94" s="5" t="s">
        <v>46</v>
      </c>
      <c r="D94" s="5" t="s">
        <v>120</v>
      </c>
      <c r="E94" s="7">
        <v>1.0</v>
      </c>
    </row>
    <row r="95">
      <c r="A95" s="5">
        <v>94.0</v>
      </c>
      <c r="B95" s="8" t="s">
        <v>216</v>
      </c>
      <c r="C95" s="5" t="s">
        <v>33</v>
      </c>
      <c r="D95" s="5" t="s">
        <v>14</v>
      </c>
      <c r="E95" s="7">
        <v>1.0</v>
      </c>
    </row>
    <row r="96">
      <c r="A96" s="5">
        <v>95.0</v>
      </c>
      <c r="B96" s="8" t="s">
        <v>130</v>
      </c>
      <c r="C96" s="5" t="s">
        <v>26</v>
      </c>
      <c r="D96" s="5" t="s">
        <v>14</v>
      </c>
      <c r="E96" s="7">
        <v>1.0</v>
      </c>
    </row>
    <row r="97">
      <c r="A97" s="5">
        <v>96.0</v>
      </c>
      <c r="B97" s="8" t="s">
        <v>271</v>
      </c>
      <c r="C97" s="5" t="s">
        <v>26</v>
      </c>
      <c r="D97" s="5" t="s">
        <v>14</v>
      </c>
      <c r="E97" s="7">
        <v>1.0</v>
      </c>
    </row>
    <row r="98">
      <c r="A98" s="5">
        <v>97.0</v>
      </c>
      <c r="B98" s="8" t="s">
        <v>92</v>
      </c>
      <c r="C98" s="5" t="s">
        <v>46</v>
      </c>
      <c r="D98" s="5" t="s">
        <v>14</v>
      </c>
      <c r="E98" s="7">
        <v>1.0</v>
      </c>
    </row>
    <row r="99">
      <c r="A99" s="5">
        <v>98.0</v>
      </c>
      <c r="B99" s="8" t="s">
        <v>109</v>
      </c>
      <c r="C99" s="5" t="s">
        <v>20</v>
      </c>
      <c r="D99" s="5" t="s">
        <v>12</v>
      </c>
      <c r="E99" s="7">
        <v>1.0</v>
      </c>
    </row>
    <row r="100">
      <c r="A100" s="5">
        <v>99.0</v>
      </c>
      <c r="B100" s="8" t="s">
        <v>188</v>
      </c>
      <c r="C100" s="5" t="s">
        <v>48</v>
      </c>
      <c r="D100" s="5" t="s">
        <v>120</v>
      </c>
      <c r="E100" s="7">
        <v>1.0</v>
      </c>
    </row>
    <row r="101">
      <c r="A101" s="5">
        <v>100.0</v>
      </c>
      <c r="B101" s="8" t="s">
        <v>151</v>
      </c>
      <c r="C101" s="5" t="s">
        <v>9</v>
      </c>
      <c r="D101" s="5" t="s">
        <v>120</v>
      </c>
      <c r="E101" s="7">
        <v>1.0</v>
      </c>
    </row>
    <row r="102">
      <c r="A102" s="5">
        <v>101.0</v>
      </c>
      <c r="B102" s="8" t="s">
        <v>135</v>
      </c>
      <c r="C102" s="5" t="s">
        <v>16</v>
      </c>
      <c r="D102" s="5" t="s">
        <v>120</v>
      </c>
      <c r="E102" s="7">
        <v>1.0</v>
      </c>
    </row>
    <row r="103">
      <c r="A103" s="5">
        <v>102.0</v>
      </c>
      <c r="B103" s="8" t="s">
        <v>187</v>
      </c>
      <c r="C103" s="5" t="s">
        <v>6</v>
      </c>
      <c r="D103" s="5" t="s">
        <v>120</v>
      </c>
      <c r="E103" s="7">
        <v>1.0</v>
      </c>
    </row>
    <row r="104">
      <c r="A104" s="5">
        <v>103.0</v>
      </c>
      <c r="B104" s="8" t="s">
        <v>146</v>
      </c>
      <c r="C104" s="5" t="s">
        <v>33</v>
      </c>
      <c r="D104" s="5" t="s">
        <v>120</v>
      </c>
      <c r="E104" s="7">
        <v>1.0</v>
      </c>
    </row>
    <row r="105">
      <c r="A105" s="5">
        <v>104.0</v>
      </c>
      <c r="B105" s="8" t="s">
        <v>149</v>
      </c>
      <c r="C105" s="5" t="s">
        <v>28</v>
      </c>
      <c r="D105" s="5" t="s">
        <v>120</v>
      </c>
      <c r="E105" s="7">
        <v>1.0</v>
      </c>
    </row>
    <row r="106">
      <c r="A106" s="5">
        <v>105.0</v>
      </c>
      <c r="B106" s="8" t="s">
        <v>228</v>
      </c>
      <c r="C106" s="5" t="s">
        <v>165</v>
      </c>
      <c r="D106" s="5" t="s">
        <v>7</v>
      </c>
      <c r="E106" s="7">
        <v>0.0</v>
      </c>
    </row>
    <row r="107">
      <c r="A107" s="5">
        <v>106.0</v>
      </c>
      <c r="B107" s="8" t="s">
        <v>118</v>
      </c>
      <c r="C107" s="5" t="s">
        <v>22</v>
      </c>
      <c r="D107" s="5" t="s">
        <v>14</v>
      </c>
      <c r="E107" s="7">
        <v>0.0</v>
      </c>
    </row>
    <row r="108">
      <c r="A108" s="5">
        <v>107.0</v>
      </c>
      <c r="B108" s="8" t="s">
        <v>219</v>
      </c>
      <c r="C108" s="5" t="s">
        <v>59</v>
      </c>
      <c r="D108" s="5" t="s">
        <v>12</v>
      </c>
      <c r="E108" s="7">
        <v>0.0</v>
      </c>
    </row>
    <row r="109">
      <c r="A109" s="5">
        <v>108.0</v>
      </c>
      <c r="B109" s="8" t="s">
        <v>266</v>
      </c>
      <c r="C109" s="5" t="s">
        <v>71</v>
      </c>
      <c r="D109" s="5" t="s">
        <v>39</v>
      </c>
      <c r="E109" s="7">
        <v>0.0</v>
      </c>
    </row>
    <row r="110">
      <c r="A110" s="5">
        <v>109.0</v>
      </c>
      <c r="B110" s="8" t="s">
        <v>185</v>
      </c>
      <c r="C110" s="5" t="s">
        <v>71</v>
      </c>
      <c r="D110" s="5" t="s">
        <v>120</v>
      </c>
      <c r="E110" s="7">
        <v>0.0</v>
      </c>
    </row>
    <row r="111">
      <c r="A111" s="5">
        <v>110.0</v>
      </c>
      <c r="B111" s="8" t="s">
        <v>150</v>
      </c>
      <c r="C111" s="5" t="s">
        <v>59</v>
      </c>
      <c r="D111" s="5" t="s">
        <v>120</v>
      </c>
      <c r="E111" s="7">
        <v>0.0</v>
      </c>
    </row>
    <row r="112">
      <c r="A112" s="5">
        <v>111.0</v>
      </c>
      <c r="B112" s="8" t="s">
        <v>193</v>
      </c>
      <c r="C112" s="5" t="s">
        <v>20</v>
      </c>
      <c r="D112" s="5" t="s">
        <v>120</v>
      </c>
      <c r="E112" s="7">
        <v>0.0</v>
      </c>
    </row>
    <row r="113">
      <c r="A113" s="5">
        <v>112.0</v>
      </c>
      <c r="B113" s="8" t="s">
        <v>838</v>
      </c>
      <c r="C113" s="5" t="s">
        <v>43</v>
      </c>
      <c r="D113" s="5" t="s">
        <v>120</v>
      </c>
      <c r="E113" s="7">
        <v>0.0</v>
      </c>
    </row>
    <row r="114">
      <c r="A114" s="5">
        <v>113.0</v>
      </c>
      <c r="B114" s="8" t="s">
        <v>195</v>
      </c>
      <c r="C114" s="5" t="s">
        <v>22</v>
      </c>
      <c r="D114" s="5" t="s">
        <v>120</v>
      </c>
      <c r="E114" s="7">
        <v>0.0</v>
      </c>
    </row>
    <row r="115">
      <c r="A115" s="5">
        <v>114.0</v>
      </c>
      <c r="B115" s="8" t="s">
        <v>816</v>
      </c>
      <c r="C115" s="5" t="s">
        <v>18</v>
      </c>
      <c r="D115" s="5" t="s">
        <v>14</v>
      </c>
      <c r="E115" s="7">
        <v>0.0</v>
      </c>
    </row>
    <row r="116">
      <c r="A116" s="5">
        <v>115.0</v>
      </c>
      <c r="B116" s="8" t="s">
        <v>202</v>
      </c>
      <c r="C116" s="5" t="s">
        <v>96</v>
      </c>
      <c r="D116" s="5" t="s">
        <v>120</v>
      </c>
      <c r="E116" s="7">
        <v>0.0</v>
      </c>
    </row>
    <row r="117">
      <c r="A117" s="5">
        <v>116.0</v>
      </c>
      <c r="B117" s="8" t="s">
        <v>222</v>
      </c>
      <c r="C117" s="5" t="s">
        <v>139</v>
      </c>
      <c r="D117" s="5" t="s">
        <v>14</v>
      </c>
      <c r="E117" s="7">
        <v>0.0</v>
      </c>
    </row>
    <row r="118">
      <c r="A118" s="5">
        <v>117.0</v>
      </c>
      <c r="B118" s="8" t="s">
        <v>196</v>
      </c>
      <c r="C118" s="5" t="s">
        <v>30</v>
      </c>
      <c r="D118" s="5" t="s">
        <v>120</v>
      </c>
      <c r="E118" s="7">
        <v>0.0</v>
      </c>
    </row>
    <row r="119">
      <c r="A119" s="5">
        <v>118.0</v>
      </c>
      <c r="B119" s="8" t="s">
        <v>203</v>
      </c>
      <c r="C119" s="5" t="s">
        <v>814</v>
      </c>
      <c r="D119" s="5" t="s">
        <v>120</v>
      </c>
      <c r="E119" s="7">
        <v>0.0</v>
      </c>
    </row>
    <row r="120">
      <c r="A120" s="5">
        <v>119.0</v>
      </c>
      <c r="B120" s="8" t="s">
        <v>200</v>
      </c>
      <c r="C120" s="5" t="s">
        <v>35</v>
      </c>
      <c r="D120" s="5" t="s">
        <v>120</v>
      </c>
      <c r="E120" s="7">
        <v>0.0</v>
      </c>
    </row>
    <row r="121">
      <c r="A121" s="5">
        <v>120.0</v>
      </c>
      <c r="B121" s="8" t="s">
        <v>152</v>
      </c>
      <c r="C121" s="5" t="s">
        <v>50</v>
      </c>
      <c r="D121" s="5" t="s">
        <v>120</v>
      </c>
      <c r="E121" s="7">
        <v>0.0</v>
      </c>
    </row>
    <row r="122">
      <c r="A122" s="5">
        <v>121.0</v>
      </c>
      <c r="B122" s="8" t="s">
        <v>206</v>
      </c>
      <c r="C122" s="5" t="s">
        <v>54</v>
      </c>
      <c r="D122" s="5" t="s">
        <v>120</v>
      </c>
      <c r="E122" s="7">
        <v>0.0</v>
      </c>
    </row>
    <row r="123">
      <c r="A123" s="5">
        <v>122.0</v>
      </c>
      <c r="B123" s="8" t="s">
        <v>237</v>
      </c>
      <c r="C123" s="5" t="s">
        <v>28</v>
      </c>
      <c r="D123" s="5" t="s">
        <v>14</v>
      </c>
      <c r="E123" s="7">
        <v>0.0</v>
      </c>
    </row>
    <row r="124">
      <c r="A124" s="5">
        <v>123.0</v>
      </c>
      <c r="B124" s="8" t="s">
        <v>874</v>
      </c>
      <c r="C124" s="5" t="s">
        <v>139</v>
      </c>
      <c r="D124" s="5" t="s">
        <v>120</v>
      </c>
      <c r="E124" s="7">
        <v>0.0</v>
      </c>
    </row>
    <row r="125">
      <c r="A125" s="5">
        <v>124.0</v>
      </c>
      <c r="B125" s="8" t="s">
        <v>199</v>
      </c>
      <c r="C125" s="5" t="s">
        <v>41</v>
      </c>
      <c r="D125" s="5" t="s">
        <v>120</v>
      </c>
      <c r="E125" s="7">
        <v>0.0</v>
      </c>
    </row>
    <row r="126">
      <c r="A126" s="5">
        <v>125.0</v>
      </c>
      <c r="B126" s="8" t="s">
        <v>42</v>
      </c>
      <c r="C126" s="5" t="s">
        <v>43</v>
      </c>
      <c r="D126" s="5" t="s">
        <v>7</v>
      </c>
      <c r="E126" s="7">
        <v>0.0</v>
      </c>
    </row>
    <row r="127">
      <c r="A127" s="5">
        <v>126.0</v>
      </c>
      <c r="B127" s="8" t="s">
        <v>215</v>
      </c>
      <c r="C127" s="5" t="s">
        <v>165</v>
      </c>
      <c r="D127" s="5" t="s">
        <v>120</v>
      </c>
      <c r="E127" s="7">
        <v>0.0</v>
      </c>
    </row>
    <row r="128">
      <c r="A128" s="5">
        <v>127.0</v>
      </c>
      <c r="B128" s="8" t="s">
        <v>875</v>
      </c>
      <c r="C128" s="5" t="s">
        <v>876</v>
      </c>
      <c r="D128" s="5" t="s">
        <v>120</v>
      </c>
      <c r="E128" s="7">
        <v>0.0</v>
      </c>
    </row>
    <row r="129">
      <c r="A129" s="5">
        <v>128.0</v>
      </c>
      <c r="B129" s="8" t="s">
        <v>77</v>
      </c>
      <c r="C129" s="5" t="s">
        <v>69</v>
      </c>
      <c r="D129" s="5" t="s">
        <v>7</v>
      </c>
      <c r="E129" s="7">
        <v>0.0</v>
      </c>
    </row>
    <row r="130">
      <c r="A130" s="5">
        <v>129.0</v>
      </c>
      <c r="B130" s="8" t="s">
        <v>258</v>
      </c>
      <c r="C130" s="5" t="s">
        <v>62</v>
      </c>
      <c r="D130" s="5" t="s">
        <v>120</v>
      </c>
      <c r="E130" s="7">
        <v>0.0</v>
      </c>
    </row>
    <row r="131">
      <c r="A131" s="5">
        <v>130.0</v>
      </c>
      <c r="B131" s="8" t="s">
        <v>877</v>
      </c>
      <c r="C131" s="5" t="s">
        <v>37</v>
      </c>
      <c r="D131" s="5" t="s">
        <v>120</v>
      </c>
      <c r="E131" s="7">
        <v>0.0</v>
      </c>
    </row>
    <row r="132">
      <c r="A132" s="5">
        <v>131.0</v>
      </c>
      <c r="B132" s="8" t="s">
        <v>209</v>
      </c>
      <c r="C132" s="5" t="s">
        <v>163</v>
      </c>
      <c r="D132" s="5" t="s">
        <v>120</v>
      </c>
      <c r="E132" s="7">
        <v>0.0</v>
      </c>
    </row>
    <row r="133">
      <c r="A133" s="5">
        <v>132.0</v>
      </c>
      <c r="B133" s="8" t="s">
        <v>181</v>
      </c>
      <c r="C133" s="5" t="s">
        <v>165</v>
      </c>
      <c r="D133" s="5" t="s">
        <v>12</v>
      </c>
      <c r="E133" s="7">
        <v>0.0</v>
      </c>
    </row>
    <row r="134">
      <c r="A134" s="5">
        <v>133.0</v>
      </c>
      <c r="B134" s="8" t="s">
        <v>348</v>
      </c>
      <c r="C134" s="5" t="s">
        <v>18</v>
      </c>
      <c r="D134" s="5" t="s">
        <v>7</v>
      </c>
      <c r="E134" s="7">
        <v>0.0</v>
      </c>
    </row>
    <row r="135">
      <c r="A135" s="5">
        <v>134.0</v>
      </c>
      <c r="B135" s="8" t="s">
        <v>126</v>
      </c>
      <c r="C135" s="5" t="s">
        <v>96</v>
      </c>
      <c r="D135" s="5" t="s">
        <v>12</v>
      </c>
      <c r="E135" s="7">
        <v>0.0</v>
      </c>
    </row>
    <row r="136">
      <c r="A136" s="5">
        <v>135.0</v>
      </c>
      <c r="B136" s="8" t="s">
        <v>211</v>
      </c>
      <c r="C136" s="5" t="s">
        <v>122</v>
      </c>
      <c r="D136" s="5" t="s">
        <v>120</v>
      </c>
      <c r="E136" s="7">
        <v>0.0</v>
      </c>
    </row>
    <row r="137">
      <c r="A137" s="5">
        <v>136.0</v>
      </c>
      <c r="B137" s="8" t="s">
        <v>291</v>
      </c>
      <c r="C137" s="5" t="s">
        <v>165</v>
      </c>
      <c r="D137" s="5" t="s">
        <v>14</v>
      </c>
      <c r="E137" s="7">
        <v>0.0</v>
      </c>
    </row>
    <row r="138">
      <c r="A138" s="5">
        <v>137.0</v>
      </c>
      <c r="B138" s="8" t="s">
        <v>186</v>
      </c>
      <c r="C138" s="5" t="s">
        <v>48</v>
      </c>
      <c r="D138" s="5" t="s">
        <v>12</v>
      </c>
      <c r="E138" s="7">
        <v>0.0</v>
      </c>
    </row>
    <row r="139">
      <c r="A139" s="5">
        <v>138.0</v>
      </c>
      <c r="B139" s="8" t="s">
        <v>217</v>
      </c>
      <c r="C139" s="5" t="s">
        <v>41</v>
      </c>
      <c r="D139" s="5" t="s">
        <v>12</v>
      </c>
      <c r="E139" s="7">
        <v>0.0</v>
      </c>
    </row>
    <row r="140">
      <c r="A140" s="5">
        <v>139.0</v>
      </c>
      <c r="B140" s="8" t="s">
        <v>210</v>
      </c>
      <c r="C140" s="5" t="s">
        <v>35</v>
      </c>
      <c r="D140" s="5" t="s">
        <v>14</v>
      </c>
      <c r="E140" s="7">
        <v>0.0</v>
      </c>
    </row>
    <row r="141">
      <c r="A141" s="5">
        <v>140.0</v>
      </c>
      <c r="B141" s="8" t="s">
        <v>235</v>
      </c>
      <c r="C141" s="5" t="s">
        <v>122</v>
      </c>
      <c r="D141" s="5" t="s">
        <v>12</v>
      </c>
      <c r="E141" s="7">
        <v>0.0</v>
      </c>
    </row>
    <row r="142">
      <c r="A142" s="5">
        <v>141.0</v>
      </c>
      <c r="B142" s="8" t="s">
        <v>207</v>
      </c>
      <c r="C142" s="5" t="s">
        <v>26</v>
      </c>
      <c r="D142" s="5" t="s">
        <v>120</v>
      </c>
      <c r="E142" s="7">
        <v>0.0</v>
      </c>
    </row>
    <row r="143">
      <c r="A143" s="5">
        <v>142.0</v>
      </c>
      <c r="B143" s="8" t="s">
        <v>251</v>
      </c>
      <c r="C143" s="5" t="s">
        <v>163</v>
      </c>
      <c r="D143" s="5" t="s">
        <v>14</v>
      </c>
      <c r="E143" s="7">
        <v>0.0</v>
      </c>
    </row>
    <row r="144">
      <c r="A144" s="5">
        <v>143.0</v>
      </c>
      <c r="B144" s="8" t="s">
        <v>264</v>
      </c>
      <c r="C144" s="5" t="s">
        <v>52</v>
      </c>
      <c r="D144" s="5" t="s">
        <v>14</v>
      </c>
      <c r="E144" s="7">
        <v>0.0</v>
      </c>
    </row>
    <row r="145">
      <c r="A145" s="5">
        <v>144.0</v>
      </c>
      <c r="B145" s="8" t="s">
        <v>162</v>
      </c>
      <c r="C145" s="5" t="s">
        <v>163</v>
      </c>
      <c r="D145" s="5" t="s">
        <v>14</v>
      </c>
      <c r="E145" s="7">
        <v>0.0</v>
      </c>
    </row>
    <row r="146">
      <c r="A146" s="5">
        <v>145.0</v>
      </c>
      <c r="B146" s="8" t="s">
        <v>97</v>
      </c>
      <c r="C146" s="5" t="s">
        <v>11</v>
      </c>
      <c r="D146" s="5" t="s">
        <v>14</v>
      </c>
      <c r="E146" s="7">
        <v>0.0</v>
      </c>
    </row>
    <row r="147">
      <c r="A147" s="5">
        <v>146.0</v>
      </c>
      <c r="B147" s="8" t="s">
        <v>233</v>
      </c>
      <c r="C147" s="5" t="s">
        <v>52</v>
      </c>
      <c r="D147" s="5" t="s">
        <v>12</v>
      </c>
      <c r="E147" s="7">
        <v>0.0</v>
      </c>
    </row>
    <row r="148">
      <c r="A148" s="5">
        <v>147.0</v>
      </c>
      <c r="B148" s="8" t="s">
        <v>205</v>
      </c>
      <c r="C148" s="5" t="s">
        <v>41</v>
      </c>
      <c r="D148" s="5" t="s">
        <v>14</v>
      </c>
      <c r="E148" s="7">
        <v>0.0</v>
      </c>
    </row>
    <row r="149">
      <c r="A149" s="5">
        <v>148.0</v>
      </c>
      <c r="B149" s="8" t="s">
        <v>198</v>
      </c>
      <c r="C149" s="5" t="s">
        <v>122</v>
      </c>
      <c r="D149" s="5" t="s">
        <v>14</v>
      </c>
      <c r="E149" s="7">
        <v>0.0</v>
      </c>
    </row>
    <row r="150">
      <c r="A150" s="5">
        <v>149.0</v>
      </c>
      <c r="B150" s="8" t="s">
        <v>101</v>
      </c>
      <c r="C150" s="5" t="s">
        <v>71</v>
      </c>
      <c r="D150" s="5" t="s">
        <v>14</v>
      </c>
      <c r="E150" s="7">
        <v>0.0</v>
      </c>
    </row>
    <row r="151">
      <c r="A151" s="5">
        <v>150.0</v>
      </c>
      <c r="B151" s="8" t="s">
        <v>247</v>
      </c>
      <c r="C151" s="5" t="s">
        <v>104</v>
      </c>
      <c r="D151" s="5" t="s">
        <v>14</v>
      </c>
      <c r="E151" s="7">
        <v>0.0</v>
      </c>
    </row>
    <row r="152">
      <c r="A152" s="5">
        <v>151.0</v>
      </c>
      <c r="B152" s="8" t="s">
        <v>223</v>
      </c>
      <c r="C152" s="5" t="s">
        <v>96</v>
      </c>
      <c r="D152" s="5" t="s">
        <v>14</v>
      </c>
      <c r="E152" s="7">
        <v>0.0</v>
      </c>
    </row>
    <row r="153">
      <c r="A153" s="5">
        <v>152.0</v>
      </c>
      <c r="B153" s="8" t="s">
        <v>113</v>
      </c>
      <c r="C153" s="5" t="s">
        <v>48</v>
      </c>
      <c r="D153" s="5" t="s">
        <v>12</v>
      </c>
      <c r="E153" s="7">
        <v>0.0</v>
      </c>
    </row>
    <row r="154">
      <c r="A154" s="5">
        <v>153.0</v>
      </c>
      <c r="B154" s="8" t="s">
        <v>224</v>
      </c>
      <c r="C154" s="5" t="s">
        <v>71</v>
      </c>
      <c r="D154" s="5" t="s">
        <v>12</v>
      </c>
      <c r="E154" s="7">
        <v>0.0</v>
      </c>
    </row>
    <row r="155">
      <c r="A155" s="5">
        <v>154.0</v>
      </c>
      <c r="B155" s="8" t="s">
        <v>272</v>
      </c>
      <c r="C155" s="5" t="s">
        <v>18</v>
      </c>
      <c r="D155" s="5" t="s">
        <v>12</v>
      </c>
      <c r="E155" s="7">
        <v>0.0</v>
      </c>
    </row>
    <row r="156">
      <c r="A156" s="5">
        <v>155.0</v>
      </c>
      <c r="B156" s="8" t="s">
        <v>324</v>
      </c>
      <c r="C156" s="5" t="s">
        <v>54</v>
      </c>
      <c r="D156" s="5" t="s">
        <v>12</v>
      </c>
      <c r="E156" s="7">
        <v>0.0</v>
      </c>
    </row>
    <row r="157">
      <c r="A157" s="5">
        <v>156.0</v>
      </c>
      <c r="B157" s="8" t="s">
        <v>161</v>
      </c>
      <c r="C157" s="5" t="s">
        <v>9</v>
      </c>
      <c r="D157" s="5" t="s">
        <v>14</v>
      </c>
      <c r="E157" s="7">
        <v>0.0</v>
      </c>
    </row>
    <row r="158">
      <c r="A158" s="5">
        <v>157.0</v>
      </c>
      <c r="B158" s="8" t="s">
        <v>166</v>
      </c>
      <c r="C158" s="5" t="s">
        <v>52</v>
      </c>
      <c r="D158" s="5" t="s">
        <v>14</v>
      </c>
      <c r="E158" s="7">
        <v>0.0</v>
      </c>
    </row>
    <row r="159">
      <c r="A159" s="5">
        <v>158.0</v>
      </c>
      <c r="B159" s="8" t="s">
        <v>250</v>
      </c>
      <c r="C159" s="5" t="s">
        <v>6</v>
      </c>
      <c r="D159" s="5" t="s">
        <v>14</v>
      </c>
      <c r="E159" s="7">
        <v>0.0</v>
      </c>
    </row>
    <row r="160">
      <c r="A160" s="5">
        <v>159.0</v>
      </c>
      <c r="B160" s="8" t="s">
        <v>267</v>
      </c>
      <c r="C160" s="5" t="s">
        <v>11</v>
      </c>
      <c r="D160" s="5" t="s">
        <v>14</v>
      </c>
      <c r="E160" s="7">
        <v>0.0</v>
      </c>
    </row>
    <row r="161">
      <c r="A161" s="5">
        <v>160.0</v>
      </c>
      <c r="B161" s="8" t="s">
        <v>268</v>
      </c>
      <c r="C161" s="5" t="s">
        <v>33</v>
      </c>
      <c r="D161" s="5" t="s">
        <v>14</v>
      </c>
      <c r="E161" s="7">
        <v>0.0</v>
      </c>
    </row>
    <row r="162">
      <c r="A162" s="5">
        <v>161.0</v>
      </c>
      <c r="B162" s="8" t="s">
        <v>220</v>
      </c>
      <c r="C162" s="5" t="s">
        <v>20</v>
      </c>
      <c r="D162" s="5" t="s">
        <v>14</v>
      </c>
      <c r="E162" s="7">
        <v>0.0</v>
      </c>
    </row>
    <row r="163">
      <c r="A163" s="5">
        <v>162.0</v>
      </c>
      <c r="B163" s="8" t="s">
        <v>239</v>
      </c>
      <c r="C163" s="5" t="s">
        <v>35</v>
      </c>
      <c r="D163" s="5" t="s">
        <v>14</v>
      </c>
      <c r="E163" s="7">
        <v>0.0</v>
      </c>
    </row>
    <row r="164">
      <c r="A164" s="5">
        <v>163.0</v>
      </c>
      <c r="B164" s="8" t="s">
        <v>227</v>
      </c>
      <c r="C164" s="5" t="s">
        <v>69</v>
      </c>
      <c r="D164" s="5" t="s">
        <v>12</v>
      </c>
      <c r="E164" s="7">
        <v>0.0</v>
      </c>
    </row>
    <row r="165">
      <c r="A165" s="5">
        <v>164.0</v>
      </c>
      <c r="B165" s="8" t="s">
        <v>325</v>
      </c>
      <c r="C165" s="5" t="s">
        <v>46</v>
      </c>
      <c r="D165" s="5" t="s">
        <v>14</v>
      </c>
      <c r="E165" s="7">
        <v>0.0</v>
      </c>
    </row>
    <row r="166">
      <c r="A166" s="5">
        <v>165.0</v>
      </c>
      <c r="B166" s="8" t="s">
        <v>240</v>
      </c>
      <c r="C166" s="5" t="s">
        <v>163</v>
      </c>
      <c r="D166" s="5" t="s">
        <v>12</v>
      </c>
      <c r="E166" s="7">
        <v>0.0</v>
      </c>
    </row>
    <row r="167">
      <c r="A167" s="5">
        <v>166.0</v>
      </c>
      <c r="B167" s="8" t="s">
        <v>280</v>
      </c>
      <c r="C167" s="5" t="s">
        <v>104</v>
      </c>
      <c r="D167" s="5" t="s">
        <v>12</v>
      </c>
      <c r="E167" s="7">
        <v>0.0</v>
      </c>
    </row>
    <row r="168">
      <c r="A168" s="5">
        <v>167.0</v>
      </c>
      <c r="B168" s="8" t="s">
        <v>287</v>
      </c>
      <c r="C168" s="5" t="s">
        <v>48</v>
      </c>
      <c r="D168" s="5" t="s">
        <v>14</v>
      </c>
      <c r="E168" s="7">
        <v>0.0</v>
      </c>
    </row>
    <row r="169">
      <c r="A169" s="5">
        <v>168.0</v>
      </c>
      <c r="B169" s="8" t="s">
        <v>296</v>
      </c>
      <c r="C169" s="5" t="s">
        <v>139</v>
      </c>
      <c r="D169" s="5" t="s">
        <v>12</v>
      </c>
      <c r="E169" s="7">
        <v>0.0</v>
      </c>
    </row>
    <row r="170">
      <c r="A170" s="5">
        <v>169.0</v>
      </c>
      <c r="B170" s="8" t="s">
        <v>232</v>
      </c>
      <c r="C170" s="5" t="s">
        <v>28</v>
      </c>
      <c r="D170" s="5" t="s">
        <v>14</v>
      </c>
      <c r="E170" s="7">
        <v>0.0</v>
      </c>
    </row>
    <row r="171">
      <c r="A171" s="5">
        <v>170.0</v>
      </c>
      <c r="B171" s="8" t="s">
        <v>292</v>
      </c>
      <c r="C171" s="5" t="s">
        <v>30</v>
      </c>
      <c r="D171" s="5" t="s">
        <v>14</v>
      </c>
      <c r="E171" s="7">
        <v>0.0</v>
      </c>
    </row>
    <row r="172">
      <c r="A172" s="5">
        <v>171.0</v>
      </c>
      <c r="B172" s="8" t="s">
        <v>127</v>
      </c>
      <c r="C172" s="5" t="s">
        <v>26</v>
      </c>
      <c r="D172" s="5" t="s">
        <v>14</v>
      </c>
      <c r="E172" s="7">
        <v>0.0</v>
      </c>
    </row>
    <row r="173">
      <c r="A173" s="5">
        <v>172.0</v>
      </c>
      <c r="B173" s="8" t="s">
        <v>221</v>
      </c>
      <c r="C173" s="5" t="s">
        <v>18</v>
      </c>
      <c r="D173" s="5" t="s">
        <v>14</v>
      </c>
      <c r="E173" s="7">
        <v>0.0</v>
      </c>
    </row>
    <row r="174">
      <c r="A174" s="5">
        <v>173.0</v>
      </c>
      <c r="B174" s="8" t="s">
        <v>303</v>
      </c>
      <c r="C174" s="5" t="s">
        <v>46</v>
      </c>
      <c r="D174" s="5" t="s">
        <v>12</v>
      </c>
      <c r="E174" s="7">
        <v>0.0</v>
      </c>
    </row>
    <row r="175">
      <c r="A175" s="5">
        <v>174.0</v>
      </c>
      <c r="B175" s="8" t="s">
        <v>333</v>
      </c>
      <c r="C175" s="5" t="s">
        <v>9</v>
      </c>
      <c r="D175" s="5" t="s">
        <v>12</v>
      </c>
      <c r="E175" s="7">
        <v>0.0</v>
      </c>
    </row>
    <row r="176">
      <c r="A176" s="5">
        <v>175.0</v>
      </c>
      <c r="B176" s="8" t="s">
        <v>836</v>
      </c>
      <c r="C176" s="5" t="s">
        <v>814</v>
      </c>
      <c r="D176" s="5" t="s">
        <v>14</v>
      </c>
      <c r="E176" s="7">
        <v>0.0</v>
      </c>
    </row>
    <row r="177">
      <c r="A177" s="5">
        <v>176.0</v>
      </c>
      <c r="B177" s="8" t="s">
        <v>284</v>
      </c>
      <c r="C177" s="5" t="s">
        <v>16</v>
      </c>
      <c r="D177" s="5" t="s">
        <v>14</v>
      </c>
      <c r="E177" s="7">
        <v>0.0</v>
      </c>
    </row>
    <row r="178">
      <c r="A178" s="5">
        <v>177.0</v>
      </c>
      <c r="B178" s="8" t="s">
        <v>275</v>
      </c>
      <c r="C178" s="5" t="s">
        <v>59</v>
      </c>
      <c r="D178" s="5" t="s">
        <v>14</v>
      </c>
      <c r="E178" s="7">
        <v>0.0</v>
      </c>
    </row>
    <row r="179">
      <c r="A179" s="5">
        <v>178.0</v>
      </c>
      <c r="B179" s="8" t="s">
        <v>252</v>
      </c>
      <c r="C179" s="5" t="s">
        <v>24</v>
      </c>
      <c r="D179" s="5" t="s">
        <v>12</v>
      </c>
      <c r="E179" s="7">
        <v>0.0</v>
      </c>
    </row>
    <row r="180">
      <c r="A180" s="5">
        <v>179.0</v>
      </c>
      <c r="B180" s="8" t="s">
        <v>833</v>
      </c>
      <c r="C180" s="5" t="s">
        <v>69</v>
      </c>
      <c r="D180" s="5" t="s">
        <v>14</v>
      </c>
      <c r="E180" s="7">
        <v>0.0</v>
      </c>
    </row>
    <row r="181">
      <c r="A181" s="5">
        <v>180.0</v>
      </c>
      <c r="B181" s="8" t="s">
        <v>332</v>
      </c>
      <c r="C181" s="5" t="s">
        <v>104</v>
      </c>
      <c r="D181" s="5" t="s">
        <v>14</v>
      </c>
      <c r="E181" s="7">
        <v>0.0</v>
      </c>
    </row>
    <row r="182">
      <c r="A182" s="5">
        <v>181.0</v>
      </c>
      <c r="B182" s="8" t="s">
        <v>259</v>
      </c>
      <c r="C182" s="5" t="s">
        <v>33</v>
      </c>
      <c r="D182" s="5" t="s">
        <v>7</v>
      </c>
      <c r="E182" s="7">
        <v>0.0</v>
      </c>
    </row>
    <row r="183">
      <c r="A183" s="5">
        <v>182.0</v>
      </c>
      <c r="B183" s="8" t="s">
        <v>295</v>
      </c>
      <c r="C183" s="5" t="s">
        <v>33</v>
      </c>
      <c r="D183" s="5" t="s">
        <v>14</v>
      </c>
      <c r="E183" s="7">
        <v>0.0</v>
      </c>
    </row>
    <row r="184">
      <c r="A184" s="5">
        <v>183.0</v>
      </c>
      <c r="B184" s="8" t="s">
        <v>299</v>
      </c>
      <c r="C184" s="5" t="s">
        <v>71</v>
      </c>
      <c r="D184" s="5" t="s">
        <v>12</v>
      </c>
      <c r="E184" s="7">
        <v>0.0</v>
      </c>
    </row>
    <row r="185">
      <c r="A185" s="5">
        <v>184.0</v>
      </c>
      <c r="B185" s="8" t="s">
        <v>307</v>
      </c>
      <c r="C185" s="5" t="s">
        <v>28</v>
      </c>
      <c r="D185" s="5" t="s">
        <v>12</v>
      </c>
      <c r="E185" s="7">
        <v>0.0</v>
      </c>
    </row>
    <row r="186">
      <c r="A186" s="5">
        <v>185.0</v>
      </c>
      <c r="B186" s="8" t="s">
        <v>213</v>
      </c>
      <c r="C186" s="5" t="s">
        <v>54</v>
      </c>
      <c r="D186" s="5" t="s">
        <v>12</v>
      </c>
      <c r="E186" s="7">
        <v>0.0</v>
      </c>
    </row>
    <row r="187">
      <c r="A187" s="5">
        <v>186.0</v>
      </c>
      <c r="B187" s="8" t="s">
        <v>308</v>
      </c>
      <c r="C187" s="5" t="s">
        <v>69</v>
      </c>
      <c r="D187" s="5" t="s">
        <v>7</v>
      </c>
      <c r="E187" s="7">
        <v>0.0</v>
      </c>
    </row>
    <row r="188">
      <c r="A188" s="5">
        <v>187.0</v>
      </c>
      <c r="B188" s="8" t="s">
        <v>289</v>
      </c>
      <c r="C188" s="5" t="s">
        <v>54</v>
      </c>
      <c r="D188" s="5" t="s">
        <v>14</v>
      </c>
      <c r="E188" s="7">
        <v>0.0</v>
      </c>
    </row>
    <row r="189">
      <c r="A189" s="5">
        <v>188.0</v>
      </c>
      <c r="B189" s="8" t="s">
        <v>99</v>
      </c>
      <c r="C189" s="5" t="s">
        <v>9</v>
      </c>
      <c r="D189" s="5" t="s">
        <v>39</v>
      </c>
      <c r="E189" s="7">
        <v>0.0</v>
      </c>
    </row>
    <row r="190">
      <c r="A190" s="5">
        <v>189.0</v>
      </c>
      <c r="B190" s="8" t="s">
        <v>323</v>
      </c>
      <c r="C190" s="5" t="s">
        <v>139</v>
      </c>
      <c r="D190" s="5" t="s">
        <v>14</v>
      </c>
      <c r="E190" s="7">
        <v>0.0</v>
      </c>
    </row>
    <row r="191">
      <c r="A191" s="5">
        <v>190.0</v>
      </c>
      <c r="B191" s="8" t="s">
        <v>353</v>
      </c>
      <c r="C191" s="5" t="s">
        <v>122</v>
      </c>
      <c r="D191" s="5" t="s">
        <v>12</v>
      </c>
      <c r="E191" s="7">
        <v>0.0</v>
      </c>
    </row>
    <row r="192">
      <c r="A192" s="5">
        <v>191.0</v>
      </c>
      <c r="B192" s="8" t="s">
        <v>283</v>
      </c>
      <c r="C192" s="5" t="s">
        <v>37</v>
      </c>
      <c r="D192" s="5" t="s">
        <v>12</v>
      </c>
      <c r="E192" s="7">
        <v>0.0</v>
      </c>
    </row>
    <row r="193">
      <c r="A193" s="5">
        <v>192.0</v>
      </c>
      <c r="B193" s="8" t="s">
        <v>362</v>
      </c>
      <c r="C193" s="5" t="s">
        <v>26</v>
      </c>
      <c r="D193" s="5" t="s">
        <v>14</v>
      </c>
      <c r="E193" s="7">
        <v>0.0</v>
      </c>
    </row>
    <row r="194">
      <c r="A194" s="5">
        <v>193.0</v>
      </c>
      <c r="B194" s="8" t="s">
        <v>244</v>
      </c>
      <c r="C194" s="5" t="s">
        <v>163</v>
      </c>
      <c r="D194" s="5" t="s">
        <v>14</v>
      </c>
      <c r="E194" s="7">
        <v>0.0</v>
      </c>
    </row>
    <row r="195">
      <c r="A195" s="5">
        <v>194.0</v>
      </c>
      <c r="B195" s="8" t="s">
        <v>327</v>
      </c>
      <c r="C195" s="5" t="s">
        <v>814</v>
      </c>
      <c r="D195" s="5" t="s">
        <v>14</v>
      </c>
      <c r="E195" s="7">
        <v>0.0</v>
      </c>
    </row>
    <row r="196">
      <c r="A196" s="5">
        <v>195.0</v>
      </c>
      <c r="B196" s="8" t="s">
        <v>248</v>
      </c>
      <c r="C196" s="5" t="s">
        <v>814</v>
      </c>
      <c r="D196" s="5" t="s">
        <v>14</v>
      </c>
      <c r="E196" s="7">
        <v>0.0</v>
      </c>
    </row>
    <row r="197">
      <c r="A197" s="5">
        <v>196.0</v>
      </c>
      <c r="B197" s="8" t="s">
        <v>490</v>
      </c>
      <c r="C197" s="5" t="s">
        <v>46</v>
      </c>
      <c r="D197" s="5" t="s">
        <v>14</v>
      </c>
      <c r="E197" s="7">
        <v>0.0</v>
      </c>
    </row>
    <row r="198">
      <c r="A198" s="5">
        <v>197.0</v>
      </c>
      <c r="B198" s="8" t="s">
        <v>330</v>
      </c>
      <c r="C198" s="5" t="s">
        <v>104</v>
      </c>
      <c r="D198" s="5" t="s">
        <v>14</v>
      </c>
      <c r="E198" s="7">
        <v>0.0</v>
      </c>
    </row>
    <row r="199">
      <c r="A199" s="5">
        <v>198.0</v>
      </c>
      <c r="B199" s="8" t="s">
        <v>310</v>
      </c>
      <c r="C199" s="5" t="s">
        <v>26</v>
      </c>
      <c r="D199" s="5" t="s">
        <v>12</v>
      </c>
      <c r="E199" s="7">
        <v>0.0</v>
      </c>
    </row>
    <row r="200">
      <c r="A200" s="5">
        <v>199.0</v>
      </c>
      <c r="B200" s="8" t="s">
        <v>270</v>
      </c>
      <c r="C200" s="5" t="s">
        <v>165</v>
      </c>
      <c r="D200" s="5" t="s">
        <v>12</v>
      </c>
      <c r="E200" s="7">
        <v>0.0</v>
      </c>
    </row>
    <row r="201">
      <c r="A201" s="5">
        <v>200.0</v>
      </c>
      <c r="B201" s="8" t="s">
        <v>315</v>
      </c>
      <c r="C201" s="5" t="s">
        <v>163</v>
      </c>
      <c r="D201" s="5" t="s">
        <v>14</v>
      </c>
      <c r="E201" s="7">
        <v>0.0</v>
      </c>
    </row>
    <row r="202">
      <c r="A202" s="5">
        <v>201.0</v>
      </c>
      <c r="B202" s="8" t="s">
        <v>317</v>
      </c>
      <c r="C202" s="5" t="s">
        <v>16</v>
      </c>
      <c r="D202" s="5" t="s">
        <v>7</v>
      </c>
      <c r="E202" s="7">
        <v>0.0</v>
      </c>
    </row>
    <row r="203">
      <c r="A203" s="5">
        <v>202.0</v>
      </c>
      <c r="B203" s="8" t="s">
        <v>265</v>
      </c>
      <c r="C203" s="5" t="s">
        <v>50</v>
      </c>
      <c r="D203" s="5" t="s">
        <v>14</v>
      </c>
      <c r="E203" s="7">
        <v>0.0</v>
      </c>
    </row>
    <row r="204">
      <c r="A204" s="5">
        <v>203.0</v>
      </c>
      <c r="B204" s="8" t="s">
        <v>256</v>
      </c>
      <c r="C204" s="5" t="s">
        <v>37</v>
      </c>
      <c r="D204" s="5" t="s">
        <v>120</v>
      </c>
      <c r="E204" s="7">
        <v>0.0</v>
      </c>
    </row>
    <row r="205">
      <c r="A205" s="5">
        <v>204.0</v>
      </c>
      <c r="B205" s="8" t="s">
        <v>269</v>
      </c>
      <c r="C205" s="5" t="s">
        <v>139</v>
      </c>
      <c r="D205" s="5" t="s">
        <v>14</v>
      </c>
      <c r="E205" s="7">
        <v>0.0</v>
      </c>
    </row>
    <row r="206">
      <c r="A206" s="5">
        <v>205.0</v>
      </c>
      <c r="B206" s="8" t="s">
        <v>261</v>
      </c>
      <c r="C206" s="5" t="s">
        <v>96</v>
      </c>
      <c r="D206" s="5" t="s">
        <v>14</v>
      </c>
      <c r="E206" s="7">
        <v>0.0</v>
      </c>
    </row>
    <row r="207">
      <c r="A207" s="5">
        <v>206.0</v>
      </c>
      <c r="B207" s="8" t="s">
        <v>832</v>
      </c>
      <c r="C207" s="5" t="s">
        <v>16</v>
      </c>
      <c r="D207" s="5" t="s">
        <v>14</v>
      </c>
      <c r="E207" s="7">
        <v>0.0</v>
      </c>
    </row>
    <row r="208">
      <c r="A208" s="5">
        <v>207.0</v>
      </c>
      <c r="B208" s="8" t="s">
        <v>878</v>
      </c>
      <c r="C208" s="5" t="s">
        <v>876</v>
      </c>
      <c r="D208" s="5" t="s">
        <v>12</v>
      </c>
      <c r="E208" s="7">
        <v>0.0</v>
      </c>
    </row>
    <row r="209">
      <c r="A209" s="5">
        <v>208.0</v>
      </c>
      <c r="B209" s="8" t="s">
        <v>254</v>
      </c>
      <c r="C209" s="5" t="s">
        <v>30</v>
      </c>
      <c r="D209" s="5" t="s">
        <v>120</v>
      </c>
      <c r="E209" s="7">
        <v>0.0</v>
      </c>
    </row>
    <row r="210">
      <c r="A210" s="5">
        <v>209.0</v>
      </c>
      <c r="B210" s="8" t="s">
        <v>824</v>
      </c>
      <c r="C210" s="5" t="s">
        <v>69</v>
      </c>
      <c r="D210" s="5" t="s">
        <v>14</v>
      </c>
      <c r="E210" s="7">
        <v>0.0</v>
      </c>
    </row>
    <row r="211">
      <c r="A211" s="5">
        <v>210.0</v>
      </c>
      <c r="B211" s="8" t="s">
        <v>300</v>
      </c>
      <c r="C211" s="5" t="s">
        <v>22</v>
      </c>
      <c r="D211" s="5" t="s">
        <v>12</v>
      </c>
      <c r="E211" s="7">
        <v>0.0</v>
      </c>
    </row>
    <row r="212">
      <c r="A212" s="5">
        <v>211.0</v>
      </c>
      <c r="B212" s="8" t="s">
        <v>298</v>
      </c>
      <c r="C212" s="5" t="s">
        <v>18</v>
      </c>
      <c r="D212" s="5" t="s">
        <v>12</v>
      </c>
      <c r="E212" s="7">
        <v>0.0</v>
      </c>
    </row>
    <row r="213">
      <c r="A213" s="5">
        <v>212.0</v>
      </c>
      <c r="B213" s="8" t="s">
        <v>129</v>
      </c>
      <c r="C213" s="5" t="s">
        <v>96</v>
      </c>
      <c r="D213" s="5" t="s">
        <v>39</v>
      </c>
      <c r="E213" s="7">
        <v>0.0</v>
      </c>
    </row>
    <row r="214">
      <c r="A214" s="5">
        <v>213.0</v>
      </c>
      <c r="B214" s="8" t="s">
        <v>242</v>
      </c>
      <c r="C214" s="5" t="s">
        <v>50</v>
      </c>
      <c r="D214" s="5" t="s">
        <v>14</v>
      </c>
      <c r="E214" s="7">
        <v>0.0</v>
      </c>
    </row>
    <row r="215">
      <c r="A215" s="5">
        <v>214.0</v>
      </c>
      <c r="B215" s="8" t="s">
        <v>125</v>
      </c>
      <c r="C215" s="5" t="s">
        <v>69</v>
      </c>
      <c r="D215" s="5" t="s">
        <v>39</v>
      </c>
      <c r="E215" s="7">
        <v>0.0</v>
      </c>
    </row>
    <row r="216">
      <c r="A216" s="5">
        <v>215.0</v>
      </c>
      <c r="B216" s="8" t="s">
        <v>231</v>
      </c>
      <c r="C216" s="5" t="s">
        <v>163</v>
      </c>
      <c r="D216" s="5" t="s">
        <v>7</v>
      </c>
      <c r="E216" s="7">
        <v>0.0</v>
      </c>
    </row>
    <row r="217">
      <c r="A217" s="5">
        <v>216.0</v>
      </c>
      <c r="B217" s="8" t="s">
        <v>214</v>
      </c>
      <c r="C217" s="5" t="s">
        <v>48</v>
      </c>
      <c r="D217" s="5" t="s">
        <v>14</v>
      </c>
      <c r="E217" s="7">
        <v>0.0</v>
      </c>
    </row>
    <row r="218">
      <c r="A218" s="5">
        <v>217.0</v>
      </c>
      <c r="B218" s="8" t="s">
        <v>313</v>
      </c>
      <c r="C218" s="5" t="s">
        <v>37</v>
      </c>
      <c r="D218" s="5" t="s">
        <v>14</v>
      </c>
      <c r="E218" s="7">
        <v>0.0</v>
      </c>
    </row>
    <row r="219">
      <c r="A219" s="5">
        <v>218.0</v>
      </c>
      <c r="B219" s="8" t="s">
        <v>281</v>
      </c>
      <c r="C219" s="5" t="s">
        <v>165</v>
      </c>
      <c r="D219" s="5" t="s">
        <v>14</v>
      </c>
      <c r="E219" s="7">
        <v>0.0</v>
      </c>
    </row>
    <row r="220">
      <c r="A220" s="5">
        <v>219.0</v>
      </c>
      <c r="B220" s="8" t="s">
        <v>835</v>
      </c>
      <c r="C220" s="5" t="s">
        <v>104</v>
      </c>
      <c r="D220" s="5" t="s">
        <v>14</v>
      </c>
      <c r="E220" s="7">
        <v>0.0</v>
      </c>
    </row>
    <row r="221">
      <c r="A221" s="5">
        <v>220.0</v>
      </c>
      <c r="B221" s="8" t="s">
        <v>320</v>
      </c>
      <c r="C221" s="5" t="s">
        <v>96</v>
      </c>
      <c r="D221" s="5" t="s">
        <v>12</v>
      </c>
      <c r="E221" s="7">
        <v>0.0</v>
      </c>
    </row>
    <row r="222">
      <c r="A222" s="5">
        <v>221.0</v>
      </c>
      <c r="B222" s="8" t="s">
        <v>282</v>
      </c>
      <c r="C222" s="5" t="s">
        <v>814</v>
      </c>
      <c r="D222" s="5" t="s">
        <v>12</v>
      </c>
      <c r="E222" s="7">
        <v>0.0</v>
      </c>
    </row>
    <row r="223">
      <c r="A223" s="5">
        <v>222.0</v>
      </c>
      <c r="B223" s="8" t="s">
        <v>371</v>
      </c>
      <c r="C223" s="5" t="s">
        <v>163</v>
      </c>
      <c r="D223" s="5" t="s">
        <v>7</v>
      </c>
      <c r="E223" s="7">
        <v>0.0</v>
      </c>
    </row>
    <row r="224">
      <c r="A224" s="5">
        <v>223.0</v>
      </c>
      <c r="B224" s="8" t="s">
        <v>879</v>
      </c>
      <c r="C224" s="5" t="s">
        <v>876</v>
      </c>
      <c r="D224" s="5" t="s">
        <v>120</v>
      </c>
      <c r="E224" s="7">
        <v>0.0</v>
      </c>
    </row>
    <row r="225">
      <c r="A225" s="5">
        <v>224.0</v>
      </c>
      <c r="B225" s="8" t="s">
        <v>880</v>
      </c>
      <c r="C225" s="5" t="s">
        <v>876</v>
      </c>
      <c r="D225" s="5" t="s">
        <v>120</v>
      </c>
      <c r="E225" s="7">
        <v>0.0</v>
      </c>
    </row>
    <row r="226">
      <c r="A226" s="5">
        <v>225.0</v>
      </c>
      <c r="B226" s="8" t="s">
        <v>249</v>
      </c>
      <c r="C226" s="5" t="s">
        <v>46</v>
      </c>
      <c r="D226" s="5" t="s">
        <v>7</v>
      </c>
      <c r="E226" s="7">
        <v>0.0</v>
      </c>
    </row>
    <row r="227">
      <c r="A227" s="5">
        <v>226.0</v>
      </c>
      <c r="B227" s="8" t="s">
        <v>253</v>
      </c>
      <c r="C227" s="5" t="s">
        <v>59</v>
      </c>
      <c r="D227" s="5" t="s">
        <v>7</v>
      </c>
      <c r="E227" s="7">
        <v>0.0</v>
      </c>
    </row>
    <row r="228">
      <c r="A228" s="5">
        <v>227.0</v>
      </c>
      <c r="B228" s="8" t="s">
        <v>335</v>
      </c>
      <c r="C228" s="5" t="s">
        <v>52</v>
      </c>
      <c r="D228" s="5" t="s">
        <v>12</v>
      </c>
      <c r="E228" s="7">
        <v>0.0</v>
      </c>
    </row>
    <row r="229">
      <c r="A229" s="5">
        <v>228.0</v>
      </c>
      <c r="B229" s="8" t="s">
        <v>236</v>
      </c>
      <c r="C229" s="5" t="s">
        <v>165</v>
      </c>
      <c r="D229" s="5" t="s">
        <v>14</v>
      </c>
      <c r="E229" s="7">
        <v>0.0</v>
      </c>
    </row>
    <row r="230">
      <c r="A230" s="5">
        <v>229.0</v>
      </c>
      <c r="B230" s="8" t="s">
        <v>344</v>
      </c>
      <c r="C230" s="5" t="s">
        <v>50</v>
      </c>
      <c r="D230" s="5" t="s">
        <v>12</v>
      </c>
      <c r="E230" s="7">
        <v>0.0</v>
      </c>
    </row>
    <row r="231">
      <c r="A231" s="5">
        <v>230.0</v>
      </c>
      <c r="B231" s="8" t="s">
        <v>260</v>
      </c>
      <c r="C231" s="5" t="s">
        <v>165</v>
      </c>
      <c r="D231" s="5" t="s">
        <v>14</v>
      </c>
      <c r="E231" s="7">
        <v>0.0</v>
      </c>
    </row>
    <row r="232">
      <c r="A232" s="5">
        <v>231.0</v>
      </c>
      <c r="B232" s="8" t="s">
        <v>277</v>
      </c>
      <c r="C232" s="5" t="s">
        <v>46</v>
      </c>
      <c r="D232" s="5" t="s">
        <v>12</v>
      </c>
      <c r="E232" s="7">
        <v>0.0</v>
      </c>
    </row>
    <row r="233">
      <c r="A233" s="5">
        <v>232.0</v>
      </c>
      <c r="B233" s="8" t="s">
        <v>359</v>
      </c>
      <c r="C233" s="5" t="s">
        <v>30</v>
      </c>
      <c r="D233" s="5" t="s">
        <v>14</v>
      </c>
      <c r="E233" s="7">
        <v>0.0</v>
      </c>
    </row>
    <row r="234">
      <c r="A234" s="5">
        <v>233.0</v>
      </c>
      <c r="B234" s="8" t="s">
        <v>479</v>
      </c>
      <c r="C234" s="5" t="s">
        <v>28</v>
      </c>
      <c r="D234" s="5" t="s">
        <v>14</v>
      </c>
      <c r="E234" s="7">
        <v>0.0</v>
      </c>
    </row>
    <row r="235">
      <c r="A235" s="5">
        <v>234.0</v>
      </c>
      <c r="B235" s="8" t="s">
        <v>828</v>
      </c>
      <c r="C235" s="5" t="s">
        <v>37</v>
      </c>
      <c r="D235" s="5" t="s">
        <v>7</v>
      </c>
      <c r="E235" s="7">
        <v>0.0</v>
      </c>
    </row>
    <row r="236">
      <c r="A236" s="5">
        <v>235.0</v>
      </c>
      <c r="B236" s="8" t="s">
        <v>309</v>
      </c>
      <c r="C236" s="5" t="s">
        <v>24</v>
      </c>
      <c r="D236" s="5" t="s">
        <v>12</v>
      </c>
      <c r="E236" s="7">
        <v>0.0</v>
      </c>
    </row>
    <row r="237">
      <c r="A237" s="5">
        <v>236.0</v>
      </c>
      <c r="B237" s="8" t="s">
        <v>226</v>
      </c>
      <c r="C237" s="5" t="s">
        <v>9</v>
      </c>
      <c r="D237" s="5" t="s">
        <v>12</v>
      </c>
      <c r="E237" s="7">
        <v>0.0</v>
      </c>
    </row>
    <row r="238">
      <c r="A238" s="5">
        <v>237.0</v>
      </c>
      <c r="B238" s="8" t="s">
        <v>340</v>
      </c>
      <c r="C238" s="5" t="s">
        <v>26</v>
      </c>
      <c r="D238" s="5" t="s">
        <v>12</v>
      </c>
      <c r="E238" s="7">
        <v>0.0</v>
      </c>
    </row>
    <row r="239">
      <c r="A239" s="5">
        <v>238.0</v>
      </c>
      <c r="B239" s="8" t="s">
        <v>881</v>
      </c>
      <c r="C239" s="5" t="s">
        <v>46</v>
      </c>
      <c r="D239" s="5" t="s">
        <v>14</v>
      </c>
      <c r="E239" s="7">
        <v>0.0</v>
      </c>
    </row>
    <row r="240">
      <c r="A240" s="5">
        <v>239.0</v>
      </c>
      <c r="B240" s="8" t="s">
        <v>463</v>
      </c>
      <c r="C240" s="5" t="s">
        <v>24</v>
      </c>
      <c r="D240" s="5" t="s">
        <v>7</v>
      </c>
      <c r="E240" s="7">
        <v>0.0</v>
      </c>
    </row>
    <row r="241">
      <c r="A241" s="5">
        <v>240.0</v>
      </c>
      <c r="B241" s="8" t="s">
        <v>473</v>
      </c>
      <c r="C241" s="5" t="s">
        <v>46</v>
      </c>
      <c r="D241" s="5" t="s">
        <v>14</v>
      </c>
      <c r="E241" s="7">
        <v>0.0</v>
      </c>
    </row>
    <row r="242">
      <c r="A242" s="5">
        <v>241.0</v>
      </c>
      <c r="B242" s="8" t="s">
        <v>286</v>
      </c>
      <c r="C242" s="5" t="s">
        <v>62</v>
      </c>
      <c r="D242" s="5" t="s">
        <v>12</v>
      </c>
      <c r="E242" s="7">
        <v>0.0</v>
      </c>
    </row>
    <row r="243">
      <c r="A243" s="5">
        <v>242.0</v>
      </c>
      <c r="B243" s="8" t="s">
        <v>358</v>
      </c>
      <c r="C243" s="5" t="s">
        <v>41</v>
      </c>
      <c r="D243" s="5" t="s">
        <v>12</v>
      </c>
      <c r="E243" s="7">
        <v>0.0</v>
      </c>
    </row>
    <row r="244">
      <c r="A244" s="5">
        <v>243.0</v>
      </c>
      <c r="B244" s="8" t="s">
        <v>273</v>
      </c>
      <c r="C244" s="5" t="s">
        <v>9</v>
      </c>
      <c r="D244" s="5" t="s">
        <v>14</v>
      </c>
      <c r="E244" s="7">
        <v>0.0</v>
      </c>
    </row>
    <row r="245">
      <c r="A245" s="5">
        <v>244.0</v>
      </c>
      <c r="B245" s="8" t="s">
        <v>395</v>
      </c>
      <c r="C245" s="5" t="s">
        <v>814</v>
      </c>
      <c r="D245" s="5" t="s">
        <v>14</v>
      </c>
      <c r="E245" s="7">
        <v>0.0</v>
      </c>
    </row>
    <row r="246">
      <c r="A246" s="5">
        <v>245.0</v>
      </c>
      <c r="B246" s="8" t="s">
        <v>410</v>
      </c>
      <c r="C246" s="5" t="s">
        <v>6</v>
      </c>
      <c r="D246" s="5" t="s">
        <v>14</v>
      </c>
      <c r="E246" s="7">
        <v>0.0</v>
      </c>
    </row>
    <row r="247">
      <c r="A247" s="5">
        <v>246.0</v>
      </c>
      <c r="B247" s="8" t="s">
        <v>290</v>
      </c>
      <c r="C247" s="5" t="s">
        <v>814</v>
      </c>
      <c r="D247" s="5" t="s">
        <v>12</v>
      </c>
      <c r="E247" s="7">
        <v>0.0</v>
      </c>
    </row>
    <row r="248">
      <c r="A248" s="5">
        <v>247.0</v>
      </c>
      <c r="B248" s="8" t="s">
        <v>278</v>
      </c>
      <c r="C248" s="5" t="s">
        <v>71</v>
      </c>
      <c r="D248" s="5" t="s">
        <v>14</v>
      </c>
      <c r="E248" s="7">
        <v>0.0</v>
      </c>
    </row>
    <row r="249">
      <c r="A249" s="5">
        <v>248.0</v>
      </c>
      <c r="B249" s="8" t="s">
        <v>455</v>
      </c>
      <c r="C249" s="5" t="s">
        <v>163</v>
      </c>
      <c r="D249" s="5" t="s">
        <v>14</v>
      </c>
      <c r="E249" s="7">
        <v>0.0</v>
      </c>
    </row>
    <row r="250">
      <c r="A250" s="5">
        <v>249.0</v>
      </c>
      <c r="B250" s="8" t="s">
        <v>882</v>
      </c>
      <c r="C250" s="5" t="s">
        <v>876</v>
      </c>
      <c r="D250" s="5" t="s">
        <v>12</v>
      </c>
      <c r="E250" s="7">
        <v>0.0</v>
      </c>
    </row>
    <row r="251">
      <c r="A251" s="5">
        <v>250.0</v>
      </c>
      <c r="B251" s="8" t="s">
        <v>360</v>
      </c>
      <c r="C251" s="5" t="s">
        <v>54</v>
      </c>
      <c r="D251" s="5" t="s">
        <v>12</v>
      </c>
      <c r="E251" s="7">
        <v>0.0</v>
      </c>
    </row>
    <row r="252">
      <c r="A252" s="5">
        <v>251.0</v>
      </c>
      <c r="B252" s="8" t="s">
        <v>241</v>
      </c>
      <c r="C252" s="5" t="s">
        <v>139</v>
      </c>
      <c r="D252" s="5" t="s">
        <v>14</v>
      </c>
      <c r="E252" s="7">
        <v>0.0</v>
      </c>
    </row>
    <row r="253">
      <c r="A253" s="5">
        <v>252.0</v>
      </c>
      <c r="B253" s="8" t="s">
        <v>356</v>
      </c>
      <c r="C253" s="5" t="s">
        <v>69</v>
      </c>
      <c r="D253" s="5" t="s">
        <v>12</v>
      </c>
      <c r="E253" s="7">
        <v>0.0</v>
      </c>
    </row>
    <row r="254">
      <c r="A254" s="5">
        <v>253.0</v>
      </c>
      <c r="B254" s="8" t="s">
        <v>346</v>
      </c>
      <c r="C254" s="5" t="s">
        <v>43</v>
      </c>
      <c r="D254" s="5" t="s">
        <v>7</v>
      </c>
      <c r="E254" s="7">
        <v>0.0</v>
      </c>
    </row>
    <row r="255">
      <c r="A255" s="5">
        <v>254.0</v>
      </c>
      <c r="B255" s="8" t="s">
        <v>302</v>
      </c>
      <c r="C255" s="5" t="s">
        <v>37</v>
      </c>
      <c r="D255" s="5" t="s">
        <v>7</v>
      </c>
      <c r="E255" s="7">
        <v>0.0</v>
      </c>
    </row>
    <row r="256">
      <c r="A256" s="5">
        <v>255.0</v>
      </c>
      <c r="B256" s="8" t="s">
        <v>645</v>
      </c>
      <c r="C256" s="5" t="s">
        <v>11</v>
      </c>
      <c r="D256" s="5" t="s">
        <v>7</v>
      </c>
      <c r="E256" s="7">
        <v>0.0</v>
      </c>
    </row>
    <row r="257">
      <c r="A257" s="5">
        <v>256.0</v>
      </c>
      <c r="B257" s="8" t="s">
        <v>288</v>
      </c>
      <c r="C257" s="5" t="s">
        <v>33</v>
      </c>
      <c r="D257" s="5" t="s">
        <v>7</v>
      </c>
      <c r="E257" s="7">
        <v>0.0</v>
      </c>
    </row>
    <row r="258">
      <c r="A258" s="5">
        <v>257.0</v>
      </c>
      <c r="B258" s="8" t="s">
        <v>343</v>
      </c>
      <c r="C258" s="5" t="s">
        <v>59</v>
      </c>
      <c r="D258" s="5" t="s">
        <v>7</v>
      </c>
      <c r="E258" s="7">
        <v>0.0</v>
      </c>
    </row>
    <row r="259">
      <c r="A259" s="5">
        <v>258.0</v>
      </c>
      <c r="B259" s="8" t="s">
        <v>452</v>
      </c>
      <c r="C259" s="5" t="s">
        <v>33</v>
      </c>
      <c r="D259" s="5" t="s">
        <v>12</v>
      </c>
      <c r="E259" s="7">
        <v>0.0</v>
      </c>
    </row>
    <row r="260">
      <c r="A260" s="5">
        <v>259.0</v>
      </c>
      <c r="B260" s="8" t="s">
        <v>883</v>
      </c>
      <c r="C260" s="5" t="s">
        <v>876</v>
      </c>
      <c r="D260" s="5" t="s">
        <v>12</v>
      </c>
      <c r="E260" s="7">
        <v>0.0</v>
      </c>
    </row>
    <row r="261">
      <c r="A261" s="5">
        <v>260.0</v>
      </c>
      <c r="B261" s="8" t="s">
        <v>316</v>
      </c>
      <c r="C261" s="5" t="s">
        <v>30</v>
      </c>
      <c r="D261" s="5" t="s">
        <v>12</v>
      </c>
      <c r="E261" s="7">
        <v>0.0</v>
      </c>
    </row>
    <row r="262">
      <c r="A262" s="5">
        <v>261.0</v>
      </c>
      <c r="B262" s="8" t="s">
        <v>594</v>
      </c>
      <c r="C262" s="5" t="s">
        <v>33</v>
      </c>
      <c r="D262" s="5" t="s">
        <v>14</v>
      </c>
      <c r="E262" s="7">
        <v>0.0</v>
      </c>
    </row>
    <row r="263">
      <c r="A263" s="5">
        <v>262.0</v>
      </c>
      <c r="B263" s="8" t="s">
        <v>293</v>
      </c>
      <c r="C263" s="5" t="s">
        <v>139</v>
      </c>
      <c r="D263" s="5" t="s">
        <v>12</v>
      </c>
      <c r="E263" s="7">
        <v>0.0</v>
      </c>
    </row>
    <row r="264">
      <c r="A264" s="5">
        <v>263.0</v>
      </c>
      <c r="B264" s="8" t="s">
        <v>329</v>
      </c>
      <c r="C264" s="5" t="s">
        <v>814</v>
      </c>
      <c r="D264" s="5" t="s">
        <v>12</v>
      </c>
      <c r="E264" s="7">
        <v>0.0</v>
      </c>
    </row>
    <row r="265">
      <c r="A265" s="5">
        <v>264.0</v>
      </c>
      <c r="B265" s="8" t="s">
        <v>304</v>
      </c>
      <c r="C265" s="5" t="s">
        <v>96</v>
      </c>
      <c r="D265" s="5" t="s">
        <v>7</v>
      </c>
      <c r="E265" s="7">
        <v>0.0</v>
      </c>
    </row>
    <row r="266">
      <c r="A266" s="5">
        <v>265.0</v>
      </c>
      <c r="B266" s="8" t="s">
        <v>625</v>
      </c>
      <c r="C266" s="5" t="s">
        <v>139</v>
      </c>
      <c r="D266" s="5" t="s">
        <v>7</v>
      </c>
      <c r="E266" s="7">
        <v>0.0</v>
      </c>
    </row>
    <row r="267">
      <c r="A267" s="5">
        <v>266.0</v>
      </c>
      <c r="B267" s="8" t="s">
        <v>334</v>
      </c>
      <c r="C267" s="5" t="s">
        <v>16</v>
      </c>
      <c r="D267" s="5" t="s">
        <v>12</v>
      </c>
      <c r="E267" s="7">
        <v>0.0</v>
      </c>
    </row>
    <row r="268">
      <c r="A268" s="5">
        <v>267.0</v>
      </c>
      <c r="B268" s="8" t="s">
        <v>374</v>
      </c>
      <c r="C268" s="5" t="s">
        <v>35</v>
      </c>
      <c r="D268" s="5" t="s">
        <v>12</v>
      </c>
      <c r="E268" s="7">
        <v>0.0</v>
      </c>
    </row>
    <row r="269">
      <c r="A269" s="5">
        <v>268.0</v>
      </c>
      <c r="B269" s="8" t="s">
        <v>336</v>
      </c>
      <c r="C269" s="5" t="s">
        <v>6</v>
      </c>
      <c r="D269" s="5" t="s">
        <v>12</v>
      </c>
      <c r="E269" s="7">
        <v>0.0</v>
      </c>
    </row>
    <row r="270">
      <c r="A270" s="5">
        <v>269.0</v>
      </c>
      <c r="B270" s="8" t="s">
        <v>373</v>
      </c>
      <c r="C270" s="5" t="s">
        <v>16</v>
      </c>
      <c r="D270" s="5" t="s">
        <v>12</v>
      </c>
      <c r="E270" s="7">
        <v>0.0</v>
      </c>
    </row>
    <row r="271">
      <c r="A271" s="5">
        <v>270.0</v>
      </c>
      <c r="B271" s="8" t="s">
        <v>364</v>
      </c>
      <c r="C271" s="5" t="s">
        <v>50</v>
      </c>
      <c r="D271" s="5" t="s">
        <v>12</v>
      </c>
      <c r="E271" s="7">
        <v>0.0</v>
      </c>
    </row>
    <row r="272">
      <c r="A272" s="5">
        <v>271.0</v>
      </c>
      <c r="B272" s="8" t="s">
        <v>478</v>
      </c>
      <c r="C272" s="5" t="s">
        <v>104</v>
      </c>
      <c r="D272" s="5" t="s">
        <v>14</v>
      </c>
      <c r="E272" s="7">
        <v>0.0</v>
      </c>
    </row>
    <row r="273">
      <c r="A273" s="5">
        <v>272.0</v>
      </c>
      <c r="B273" s="8" t="s">
        <v>369</v>
      </c>
      <c r="C273" s="5" t="s">
        <v>59</v>
      </c>
      <c r="D273" s="5" t="s">
        <v>14</v>
      </c>
      <c r="E273" s="7">
        <v>0.0</v>
      </c>
    </row>
    <row r="274">
      <c r="A274" s="5">
        <v>273.0</v>
      </c>
      <c r="B274" s="8" t="s">
        <v>659</v>
      </c>
      <c r="C274" s="5" t="s">
        <v>43</v>
      </c>
      <c r="D274" s="5" t="s">
        <v>7</v>
      </c>
      <c r="E274" s="7">
        <v>0.0</v>
      </c>
    </row>
    <row r="275">
      <c r="A275" s="5">
        <v>274.0</v>
      </c>
      <c r="B275" s="8" t="s">
        <v>386</v>
      </c>
      <c r="C275" s="5" t="s">
        <v>26</v>
      </c>
      <c r="D275" s="5" t="s">
        <v>12</v>
      </c>
      <c r="E275" s="7">
        <v>0.0</v>
      </c>
    </row>
    <row r="276">
      <c r="A276" s="5">
        <v>275.0</v>
      </c>
      <c r="B276" s="8" t="s">
        <v>345</v>
      </c>
      <c r="C276" s="5" t="s">
        <v>6</v>
      </c>
      <c r="D276" s="5" t="s">
        <v>14</v>
      </c>
      <c r="E276" s="7">
        <v>0.0</v>
      </c>
    </row>
    <row r="277">
      <c r="A277" s="5">
        <v>276.0</v>
      </c>
      <c r="B277" s="8" t="s">
        <v>518</v>
      </c>
      <c r="C277" s="5" t="s">
        <v>33</v>
      </c>
      <c r="D277" s="5" t="s">
        <v>14</v>
      </c>
      <c r="E277" s="7">
        <v>0.0</v>
      </c>
    </row>
    <row r="278">
      <c r="A278" s="5">
        <v>277.0</v>
      </c>
      <c r="B278" s="8" t="s">
        <v>651</v>
      </c>
      <c r="C278" s="5" t="s">
        <v>9</v>
      </c>
      <c r="D278" s="5" t="s">
        <v>7</v>
      </c>
      <c r="E278" s="7">
        <v>0.0</v>
      </c>
    </row>
    <row r="279">
      <c r="A279" s="5">
        <v>278.0</v>
      </c>
      <c r="B279" s="8" t="s">
        <v>331</v>
      </c>
      <c r="C279" s="5" t="s">
        <v>43</v>
      </c>
      <c r="D279" s="5" t="s">
        <v>12</v>
      </c>
      <c r="E279" s="7">
        <v>0.0</v>
      </c>
    </row>
    <row r="280">
      <c r="A280" s="5">
        <v>279.0</v>
      </c>
      <c r="B280" s="8" t="s">
        <v>351</v>
      </c>
      <c r="C280" s="5" t="s">
        <v>9</v>
      </c>
      <c r="D280" s="5" t="s">
        <v>12</v>
      </c>
      <c r="E280" s="7">
        <v>0.0</v>
      </c>
    </row>
    <row r="281">
      <c r="A281" s="5">
        <v>280.0</v>
      </c>
      <c r="B281" s="8" t="s">
        <v>505</v>
      </c>
      <c r="C281" s="5" t="s">
        <v>41</v>
      </c>
      <c r="D281" s="5" t="s">
        <v>14</v>
      </c>
      <c r="E281" s="7">
        <v>0.0</v>
      </c>
    </row>
    <row r="282">
      <c r="A282" s="5">
        <v>281.0</v>
      </c>
      <c r="B282" s="8" t="s">
        <v>623</v>
      </c>
      <c r="C282" s="5" t="s">
        <v>43</v>
      </c>
      <c r="D282" s="5" t="s">
        <v>14</v>
      </c>
      <c r="E282" s="7">
        <v>0.0</v>
      </c>
    </row>
    <row r="283">
      <c r="A283" s="5">
        <v>282.0</v>
      </c>
      <c r="B283" s="8" t="s">
        <v>322</v>
      </c>
      <c r="C283" s="5" t="s">
        <v>48</v>
      </c>
      <c r="D283" s="5" t="s">
        <v>12</v>
      </c>
      <c r="E283" s="7">
        <v>0.0</v>
      </c>
    </row>
    <row r="284">
      <c r="A284" s="5">
        <v>283.0</v>
      </c>
      <c r="B284" s="8" t="s">
        <v>305</v>
      </c>
      <c r="C284" s="5" t="s">
        <v>69</v>
      </c>
      <c r="D284" s="5" t="s">
        <v>12</v>
      </c>
      <c r="E284" s="7">
        <v>0.0</v>
      </c>
    </row>
    <row r="285">
      <c r="A285" s="5">
        <v>284.0</v>
      </c>
      <c r="B285" s="8" t="s">
        <v>384</v>
      </c>
      <c r="C285" s="5" t="s">
        <v>96</v>
      </c>
      <c r="D285" s="5" t="s">
        <v>14</v>
      </c>
      <c r="E285" s="7">
        <v>0.0</v>
      </c>
    </row>
    <row r="286">
      <c r="A286" s="5">
        <v>285.0</v>
      </c>
      <c r="B286" s="8" t="s">
        <v>341</v>
      </c>
      <c r="C286" s="5" t="s">
        <v>104</v>
      </c>
      <c r="D286" s="5" t="s">
        <v>12</v>
      </c>
      <c r="E286" s="7">
        <v>0.0</v>
      </c>
    </row>
    <row r="287">
      <c r="A287" s="5">
        <v>286.0</v>
      </c>
      <c r="B287" s="8" t="s">
        <v>243</v>
      </c>
      <c r="C287" s="5" t="s">
        <v>122</v>
      </c>
      <c r="D287" s="5" t="s">
        <v>14</v>
      </c>
      <c r="E287" s="7">
        <v>0.0</v>
      </c>
    </row>
    <row r="288">
      <c r="A288" s="5">
        <v>287.0</v>
      </c>
      <c r="B288" s="8" t="s">
        <v>385</v>
      </c>
      <c r="C288" s="5" t="s">
        <v>35</v>
      </c>
      <c r="D288" s="5" t="s">
        <v>14</v>
      </c>
      <c r="E288" s="7">
        <v>0.0</v>
      </c>
    </row>
    <row r="289">
      <c r="A289" s="5">
        <v>288.0</v>
      </c>
      <c r="B289" s="8" t="s">
        <v>466</v>
      </c>
      <c r="C289" s="5" t="s">
        <v>50</v>
      </c>
      <c r="D289" s="5" t="s">
        <v>7</v>
      </c>
      <c r="E289" s="7">
        <v>0.0</v>
      </c>
    </row>
    <row r="290">
      <c r="A290" s="5">
        <v>289.0</v>
      </c>
      <c r="B290" s="8" t="s">
        <v>529</v>
      </c>
      <c r="C290" s="5" t="s">
        <v>11</v>
      </c>
      <c r="D290" s="5" t="s">
        <v>7</v>
      </c>
      <c r="E290" s="7">
        <v>0.0</v>
      </c>
    </row>
    <row r="291">
      <c r="A291" s="5">
        <v>290.0</v>
      </c>
      <c r="B291" s="8" t="s">
        <v>401</v>
      </c>
      <c r="C291" s="5" t="s">
        <v>24</v>
      </c>
      <c r="D291" s="5" t="s">
        <v>14</v>
      </c>
      <c r="E291" s="7">
        <v>0.0</v>
      </c>
    </row>
    <row r="292">
      <c r="A292" s="5">
        <v>291.0</v>
      </c>
      <c r="B292" s="8" t="s">
        <v>363</v>
      </c>
      <c r="C292" s="5" t="s">
        <v>62</v>
      </c>
      <c r="D292" s="5" t="s">
        <v>14</v>
      </c>
      <c r="E292" s="7">
        <v>0.0</v>
      </c>
    </row>
    <row r="293">
      <c r="A293" s="5">
        <v>292.0</v>
      </c>
      <c r="B293" s="8" t="s">
        <v>884</v>
      </c>
      <c r="C293" s="5" t="s">
        <v>50</v>
      </c>
      <c r="D293" s="5" t="s">
        <v>14</v>
      </c>
      <c r="E293" s="7">
        <v>0.0</v>
      </c>
    </row>
    <row r="294">
      <c r="A294" s="5">
        <v>293.0</v>
      </c>
      <c r="B294" s="8" t="s">
        <v>301</v>
      </c>
      <c r="C294" s="5" t="s">
        <v>22</v>
      </c>
      <c r="D294" s="5" t="s">
        <v>14</v>
      </c>
      <c r="E294" s="7">
        <v>0.0</v>
      </c>
    </row>
    <row r="295">
      <c r="A295" s="5">
        <v>294.0</v>
      </c>
      <c r="B295" s="8" t="s">
        <v>456</v>
      </c>
      <c r="C295" s="5" t="s">
        <v>28</v>
      </c>
      <c r="D295" s="5" t="s">
        <v>14</v>
      </c>
      <c r="E295" s="7">
        <v>0.0</v>
      </c>
    </row>
    <row r="296">
      <c r="A296" s="5">
        <v>295.0</v>
      </c>
      <c r="B296" s="8" t="s">
        <v>294</v>
      </c>
      <c r="C296" s="5" t="s">
        <v>43</v>
      </c>
      <c r="D296" s="5" t="s">
        <v>14</v>
      </c>
      <c r="E296" s="7">
        <v>0.0</v>
      </c>
    </row>
    <row r="297">
      <c r="A297" s="5">
        <v>296.0</v>
      </c>
      <c r="B297" s="8" t="s">
        <v>885</v>
      </c>
      <c r="C297" s="5" t="s">
        <v>876</v>
      </c>
      <c r="D297" s="5" t="s">
        <v>12</v>
      </c>
      <c r="E297" s="7">
        <v>0.0</v>
      </c>
    </row>
    <row r="298">
      <c r="A298" s="5">
        <v>297.0</v>
      </c>
      <c r="B298" s="8" t="s">
        <v>321</v>
      </c>
      <c r="C298" s="5" t="s">
        <v>122</v>
      </c>
      <c r="D298" s="5" t="s">
        <v>7</v>
      </c>
      <c r="E298" s="7">
        <v>0.0</v>
      </c>
    </row>
    <row r="299">
      <c r="A299" s="5">
        <v>298.0</v>
      </c>
      <c r="B299" s="8" t="s">
        <v>326</v>
      </c>
      <c r="C299" s="5" t="s">
        <v>33</v>
      </c>
      <c r="D299" s="5" t="s">
        <v>14</v>
      </c>
      <c r="E299" s="7">
        <v>0.0</v>
      </c>
    </row>
    <row r="300">
      <c r="A300" s="5">
        <v>299.0</v>
      </c>
      <c r="B300" s="8" t="s">
        <v>484</v>
      </c>
      <c r="C300" s="5" t="s">
        <v>35</v>
      </c>
      <c r="D300" s="5" t="s">
        <v>7</v>
      </c>
      <c r="E300" s="7">
        <v>0.0</v>
      </c>
    </row>
    <row r="301">
      <c r="A301" s="5">
        <v>300.0</v>
      </c>
      <c r="B301" s="8" t="s">
        <v>361</v>
      </c>
      <c r="C301" s="5" t="s">
        <v>33</v>
      </c>
      <c r="D301" s="5" t="s">
        <v>14</v>
      </c>
      <c r="E301" s="7">
        <v>0.0</v>
      </c>
    </row>
    <row r="302">
      <c r="A302" s="5">
        <v>301.0</v>
      </c>
      <c r="B302" s="8" t="s">
        <v>338</v>
      </c>
      <c r="C302" s="5" t="s">
        <v>139</v>
      </c>
      <c r="D302" s="5" t="s">
        <v>7</v>
      </c>
      <c r="E302" s="7">
        <v>0.0</v>
      </c>
    </row>
    <row r="303">
      <c r="A303" s="5">
        <v>302.0</v>
      </c>
      <c r="B303" s="8" t="s">
        <v>449</v>
      </c>
      <c r="C303" s="5" t="s">
        <v>59</v>
      </c>
      <c r="D303" s="5" t="s">
        <v>12</v>
      </c>
      <c r="E303" s="7">
        <v>0.0</v>
      </c>
    </row>
    <row r="304">
      <c r="A304" s="5">
        <v>303.0</v>
      </c>
      <c r="B304" s="8" t="s">
        <v>470</v>
      </c>
      <c r="C304" s="5" t="s">
        <v>22</v>
      </c>
      <c r="D304" s="5" t="s">
        <v>14</v>
      </c>
      <c r="E304" s="7">
        <v>0.0</v>
      </c>
    </row>
    <row r="305">
      <c r="A305" s="5">
        <v>304.0</v>
      </c>
      <c r="B305" s="8" t="s">
        <v>406</v>
      </c>
      <c r="C305" s="5" t="s">
        <v>11</v>
      </c>
      <c r="D305" s="5" t="s">
        <v>14</v>
      </c>
      <c r="E305" s="7">
        <v>0.0</v>
      </c>
    </row>
    <row r="306">
      <c r="A306" s="5">
        <v>305.0</v>
      </c>
      <c r="B306" s="8" t="s">
        <v>375</v>
      </c>
      <c r="C306" s="5" t="s">
        <v>22</v>
      </c>
      <c r="D306" s="5" t="s">
        <v>14</v>
      </c>
      <c r="E306" s="7">
        <v>0.0</v>
      </c>
    </row>
    <row r="307">
      <c r="A307" s="5">
        <v>306.0</v>
      </c>
      <c r="B307" s="8" t="s">
        <v>350</v>
      </c>
      <c r="C307" s="5" t="s">
        <v>52</v>
      </c>
      <c r="D307" s="5" t="s">
        <v>12</v>
      </c>
      <c r="E307" s="7">
        <v>0.0</v>
      </c>
    </row>
    <row r="308">
      <c r="A308" s="5">
        <v>307.0</v>
      </c>
      <c r="B308" s="8" t="s">
        <v>400</v>
      </c>
      <c r="C308" s="5" t="s">
        <v>33</v>
      </c>
      <c r="D308" s="5" t="s">
        <v>12</v>
      </c>
      <c r="E308" s="7">
        <v>0.0</v>
      </c>
    </row>
    <row r="309">
      <c r="A309" s="5">
        <v>308.0</v>
      </c>
      <c r="B309" s="8" t="s">
        <v>279</v>
      </c>
      <c r="C309" s="5" t="s">
        <v>69</v>
      </c>
      <c r="D309" s="5" t="s">
        <v>14</v>
      </c>
      <c r="E309" s="7">
        <v>0.0</v>
      </c>
    </row>
    <row r="310">
      <c r="A310" s="5">
        <v>309.0</v>
      </c>
      <c r="B310" s="8" t="s">
        <v>367</v>
      </c>
      <c r="C310" s="5" t="s">
        <v>71</v>
      </c>
      <c r="D310" s="5" t="s">
        <v>7</v>
      </c>
      <c r="E310" s="7">
        <v>0.0</v>
      </c>
    </row>
    <row r="311">
      <c r="A311" s="5">
        <v>310.0</v>
      </c>
      <c r="B311" s="8" t="s">
        <v>339</v>
      </c>
      <c r="C311" s="5" t="s">
        <v>18</v>
      </c>
      <c r="D311" s="5" t="s">
        <v>12</v>
      </c>
      <c r="E311" s="7">
        <v>0.0</v>
      </c>
    </row>
    <row r="312">
      <c r="A312" s="5">
        <v>311.0</v>
      </c>
      <c r="B312" s="8" t="s">
        <v>606</v>
      </c>
      <c r="C312" s="5" t="s">
        <v>876</v>
      </c>
      <c r="D312" s="5" t="s">
        <v>14</v>
      </c>
      <c r="E312" s="7">
        <v>0.0</v>
      </c>
    </row>
    <row r="313">
      <c r="A313" s="5">
        <v>312.0</v>
      </c>
      <c r="B313" s="8" t="s">
        <v>409</v>
      </c>
      <c r="C313" s="5" t="s">
        <v>16</v>
      </c>
      <c r="D313" s="5" t="s">
        <v>14</v>
      </c>
      <c r="E313" s="7">
        <v>0.0</v>
      </c>
    </row>
    <row r="314">
      <c r="A314" s="5">
        <v>313.0</v>
      </c>
      <c r="B314" s="8" t="s">
        <v>337</v>
      </c>
      <c r="C314" s="5" t="s">
        <v>35</v>
      </c>
      <c r="D314" s="5" t="s">
        <v>14</v>
      </c>
      <c r="E314" s="7">
        <v>0.0</v>
      </c>
    </row>
    <row r="315">
      <c r="A315" s="5">
        <v>314.0</v>
      </c>
      <c r="B315" s="8" t="s">
        <v>613</v>
      </c>
      <c r="C315" s="5" t="s">
        <v>26</v>
      </c>
      <c r="D315" s="5" t="s">
        <v>14</v>
      </c>
      <c r="E315" s="7">
        <v>0.0</v>
      </c>
    </row>
    <row r="316">
      <c r="A316" s="5">
        <v>315.0</v>
      </c>
      <c r="B316" s="8" t="s">
        <v>467</v>
      </c>
      <c r="C316" s="5" t="s">
        <v>33</v>
      </c>
      <c r="D316" s="5" t="s">
        <v>14</v>
      </c>
      <c r="E316" s="7">
        <v>0.0</v>
      </c>
    </row>
    <row r="317">
      <c r="A317" s="5">
        <v>316.0</v>
      </c>
      <c r="B317" s="8" t="s">
        <v>318</v>
      </c>
      <c r="C317" s="5" t="s">
        <v>122</v>
      </c>
      <c r="D317" s="5" t="s">
        <v>12</v>
      </c>
      <c r="E317" s="7">
        <v>0.0</v>
      </c>
    </row>
    <row r="318">
      <c r="A318" s="5">
        <v>317.0</v>
      </c>
      <c r="B318" s="8" t="s">
        <v>404</v>
      </c>
      <c r="C318" s="5" t="s">
        <v>71</v>
      </c>
      <c r="D318" s="5" t="s">
        <v>12</v>
      </c>
      <c r="E318" s="7">
        <v>0.0</v>
      </c>
    </row>
    <row r="319">
      <c r="A319" s="5">
        <v>318.0</v>
      </c>
      <c r="B319" s="8" t="s">
        <v>399</v>
      </c>
      <c r="C319" s="5" t="s">
        <v>16</v>
      </c>
      <c r="D319" s="5" t="s">
        <v>12</v>
      </c>
      <c r="E319" s="7">
        <v>0.0</v>
      </c>
    </row>
    <row r="320">
      <c r="A320" s="5">
        <v>319.0</v>
      </c>
      <c r="B320" s="8" t="s">
        <v>403</v>
      </c>
      <c r="C320" s="5" t="s">
        <v>122</v>
      </c>
      <c r="D320" s="5" t="s">
        <v>12</v>
      </c>
      <c r="E320" s="7">
        <v>0.0</v>
      </c>
    </row>
    <row r="321">
      <c r="A321" s="5">
        <v>320.0</v>
      </c>
      <c r="B321" s="8" t="s">
        <v>585</v>
      </c>
      <c r="C321" s="5" t="s">
        <v>26</v>
      </c>
      <c r="D321" s="5" t="s">
        <v>14</v>
      </c>
      <c r="E321" s="7">
        <v>0.0</v>
      </c>
    </row>
    <row r="322">
      <c r="A322" s="5">
        <v>321.0</v>
      </c>
      <c r="B322" s="8" t="s">
        <v>372</v>
      </c>
      <c r="C322" s="5" t="s">
        <v>37</v>
      </c>
      <c r="D322" s="5" t="s">
        <v>14</v>
      </c>
      <c r="E322" s="7">
        <v>0.0</v>
      </c>
    </row>
    <row r="323">
      <c r="A323" s="5">
        <v>322.0</v>
      </c>
      <c r="B323" s="8" t="s">
        <v>528</v>
      </c>
      <c r="C323" s="5" t="s">
        <v>165</v>
      </c>
      <c r="D323" s="5" t="s">
        <v>7</v>
      </c>
      <c r="E323" s="7">
        <v>0.0</v>
      </c>
    </row>
    <row r="324">
      <c r="A324" s="5">
        <v>323.0</v>
      </c>
      <c r="B324" s="8" t="s">
        <v>477</v>
      </c>
      <c r="C324" s="5" t="s">
        <v>35</v>
      </c>
      <c r="D324" s="5" t="s">
        <v>14</v>
      </c>
      <c r="E324" s="7">
        <v>0.0</v>
      </c>
    </row>
    <row r="325">
      <c r="A325" s="5">
        <v>324.0</v>
      </c>
      <c r="B325" s="8" t="s">
        <v>357</v>
      </c>
      <c r="C325" s="5" t="s">
        <v>122</v>
      </c>
      <c r="D325" s="5" t="s">
        <v>14</v>
      </c>
      <c r="E325" s="7">
        <v>0.0</v>
      </c>
    </row>
    <row r="326">
      <c r="A326" s="5">
        <v>325.0</v>
      </c>
      <c r="B326" s="8" t="s">
        <v>644</v>
      </c>
      <c r="C326" s="5" t="s">
        <v>96</v>
      </c>
      <c r="D326" s="5" t="s">
        <v>7</v>
      </c>
      <c r="E326" s="7">
        <v>0.0</v>
      </c>
    </row>
    <row r="327">
      <c r="A327" s="5">
        <v>326.0</v>
      </c>
      <c r="B327" s="8" t="s">
        <v>392</v>
      </c>
      <c r="C327" s="5" t="s">
        <v>46</v>
      </c>
      <c r="D327" s="5" t="s">
        <v>12</v>
      </c>
      <c r="E327" s="7">
        <v>0.0</v>
      </c>
    </row>
    <row r="328">
      <c r="A328" s="5">
        <v>327.0</v>
      </c>
      <c r="B328" s="8" t="s">
        <v>378</v>
      </c>
      <c r="C328" s="5" t="s">
        <v>20</v>
      </c>
      <c r="D328" s="5" t="s">
        <v>12</v>
      </c>
      <c r="E328" s="7">
        <v>0.0</v>
      </c>
    </row>
    <row r="329">
      <c r="A329" s="5">
        <v>328.0</v>
      </c>
      <c r="B329" s="8" t="s">
        <v>480</v>
      </c>
      <c r="C329" s="5" t="s">
        <v>163</v>
      </c>
      <c r="D329" s="5" t="s">
        <v>14</v>
      </c>
      <c r="E329" s="7">
        <v>0.0</v>
      </c>
    </row>
    <row r="330">
      <c r="A330" s="5">
        <v>329.0</v>
      </c>
      <c r="B330" s="8" t="s">
        <v>469</v>
      </c>
      <c r="C330" s="5" t="s">
        <v>165</v>
      </c>
      <c r="D330" s="5" t="s">
        <v>14</v>
      </c>
      <c r="E330" s="7">
        <v>0.0</v>
      </c>
    </row>
    <row r="331">
      <c r="A331" s="5">
        <v>330.0</v>
      </c>
      <c r="B331" s="8" t="s">
        <v>314</v>
      </c>
      <c r="C331" s="5" t="s">
        <v>20</v>
      </c>
      <c r="D331" s="5" t="s">
        <v>12</v>
      </c>
      <c r="E331" s="7">
        <v>0.0</v>
      </c>
    </row>
    <row r="332">
      <c r="A332" s="5">
        <v>331.0</v>
      </c>
      <c r="B332" s="8" t="s">
        <v>886</v>
      </c>
      <c r="C332" s="5" t="s">
        <v>876</v>
      </c>
      <c r="D332" s="5" t="s">
        <v>14</v>
      </c>
      <c r="E332" s="7">
        <v>0.0</v>
      </c>
    </row>
    <row r="333">
      <c r="A333" s="5">
        <v>332.0</v>
      </c>
      <c r="B333" s="8" t="s">
        <v>475</v>
      </c>
      <c r="C333" s="5" t="s">
        <v>41</v>
      </c>
      <c r="D333" s="5" t="s">
        <v>7</v>
      </c>
      <c r="E333" s="7">
        <v>0.0</v>
      </c>
    </row>
    <row r="334">
      <c r="A334" s="5">
        <v>333.0</v>
      </c>
      <c r="B334" s="8" t="s">
        <v>493</v>
      </c>
      <c r="C334" s="5" t="s">
        <v>48</v>
      </c>
      <c r="D334" s="5" t="s">
        <v>14</v>
      </c>
      <c r="E334" s="7">
        <v>0.0</v>
      </c>
    </row>
    <row r="335">
      <c r="A335" s="5">
        <v>334.0</v>
      </c>
      <c r="B335" s="8" t="s">
        <v>887</v>
      </c>
      <c r="C335" s="5" t="s">
        <v>28</v>
      </c>
      <c r="D335" s="5" t="s">
        <v>14</v>
      </c>
      <c r="E335" s="7">
        <v>0.0</v>
      </c>
    </row>
    <row r="336">
      <c r="A336" s="5">
        <v>335.0</v>
      </c>
      <c r="B336" s="8" t="s">
        <v>531</v>
      </c>
      <c r="C336" s="5" t="s">
        <v>48</v>
      </c>
      <c r="D336" s="5" t="s">
        <v>14</v>
      </c>
      <c r="E336" s="7">
        <v>0.0</v>
      </c>
    </row>
    <row r="337">
      <c r="A337" s="5">
        <v>336.0</v>
      </c>
      <c r="B337" s="8" t="s">
        <v>631</v>
      </c>
      <c r="C337" s="5" t="s">
        <v>62</v>
      </c>
      <c r="D337" s="5" t="s">
        <v>7</v>
      </c>
      <c r="E337" s="7">
        <v>0.0</v>
      </c>
    </row>
    <row r="338">
      <c r="A338" s="5">
        <v>337.0</v>
      </c>
      <c r="B338" s="8" t="s">
        <v>541</v>
      </c>
      <c r="C338" s="5" t="s">
        <v>69</v>
      </c>
      <c r="D338" s="5" t="s">
        <v>14</v>
      </c>
      <c r="E338" s="7">
        <v>0.0</v>
      </c>
    </row>
    <row r="339">
      <c r="A339" s="5">
        <v>338.0</v>
      </c>
      <c r="B339" s="8" t="s">
        <v>312</v>
      </c>
      <c r="C339" s="5" t="s">
        <v>41</v>
      </c>
      <c r="D339" s="5" t="s">
        <v>14</v>
      </c>
      <c r="E339" s="7">
        <v>0.0</v>
      </c>
    </row>
    <row r="340">
      <c r="A340" s="5">
        <v>339.0</v>
      </c>
      <c r="B340" s="8" t="s">
        <v>483</v>
      </c>
      <c r="C340" s="5" t="s">
        <v>96</v>
      </c>
      <c r="D340" s="5" t="s">
        <v>14</v>
      </c>
      <c r="E340" s="7">
        <v>0.0</v>
      </c>
    </row>
    <row r="341">
      <c r="A341" s="5">
        <v>340.0</v>
      </c>
      <c r="B341" s="8" t="s">
        <v>472</v>
      </c>
      <c r="C341" s="5" t="s">
        <v>71</v>
      </c>
      <c r="D341" s="5" t="s">
        <v>14</v>
      </c>
      <c r="E341" s="7">
        <v>0.0</v>
      </c>
    </row>
    <row r="342">
      <c r="A342" s="5">
        <v>341.0</v>
      </c>
      <c r="B342" s="8" t="s">
        <v>829</v>
      </c>
      <c r="C342" s="5" t="s">
        <v>18</v>
      </c>
      <c r="D342" s="5" t="s">
        <v>7</v>
      </c>
      <c r="E342" s="7">
        <v>0.0</v>
      </c>
    </row>
    <row r="343">
      <c r="A343" s="5">
        <v>342.0</v>
      </c>
      <c r="B343" s="8" t="s">
        <v>888</v>
      </c>
      <c r="C343" s="5" t="s">
        <v>876</v>
      </c>
      <c r="D343" s="5" t="s">
        <v>14</v>
      </c>
      <c r="E343" s="7">
        <v>0.0</v>
      </c>
    </row>
    <row r="344">
      <c r="A344" s="5">
        <v>343.0</v>
      </c>
      <c r="B344" s="8" t="s">
        <v>487</v>
      </c>
      <c r="C344" s="5" t="s">
        <v>50</v>
      </c>
      <c r="D344" s="5" t="s">
        <v>14</v>
      </c>
      <c r="E344" s="7">
        <v>0.0</v>
      </c>
    </row>
    <row r="345">
      <c r="A345" s="5">
        <v>344.0</v>
      </c>
      <c r="B345" s="8" t="s">
        <v>609</v>
      </c>
      <c r="C345" s="5" t="s">
        <v>30</v>
      </c>
      <c r="D345" s="5" t="s">
        <v>14</v>
      </c>
      <c r="E345" s="7">
        <v>0.0</v>
      </c>
    </row>
    <row r="346">
      <c r="A346" s="5">
        <v>345.0</v>
      </c>
      <c r="B346" s="8" t="s">
        <v>889</v>
      </c>
      <c r="C346" s="5" t="s">
        <v>54</v>
      </c>
      <c r="D346" s="5" t="s">
        <v>14</v>
      </c>
      <c r="E346" s="7">
        <v>0.0</v>
      </c>
    </row>
    <row r="347">
      <c r="A347" s="5">
        <v>346.0</v>
      </c>
      <c r="B347" s="8" t="s">
        <v>498</v>
      </c>
      <c r="C347" s="5" t="s">
        <v>18</v>
      </c>
      <c r="D347" s="5" t="s">
        <v>14</v>
      </c>
      <c r="E347" s="7">
        <v>0.0</v>
      </c>
    </row>
    <row r="348">
      <c r="A348" s="5">
        <v>347.0</v>
      </c>
      <c r="B348" s="8" t="s">
        <v>624</v>
      </c>
      <c r="C348" s="5" t="s">
        <v>20</v>
      </c>
      <c r="D348" s="5" t="s">
        <v>7</v>
      </c>
      <c r="E348" s="7">
        <v>0.0</v>
      </c>
    </row>
    <row r="349">
      <c r="A349" s="5">
        <v>348.0</v>
      </c>
      <c r="B349" s="8" t="s">
        <v>577</v>
      </c>
      <c r="C349" s="5" t="s">
        <v>62</v>
      </c>
      <c r="D349" s="5" t="s">
        <v>14</v>
      </c>
      <c r="E349" s="7">
        <v>0.0</v>
      </c>
    </row>
    <row r="350">
      <c r="A350" s="5">
        <v>349.0</v>
      </c>
      <c r="B350" s="8" t="s">
        <v>627</v>
      </c>
      <c r="C350" s="5" t="s">
        <v>46</v>
      </c>
      <c r="D350" s="5" t="s">
        <v>7</v>
      </c>
      <c r="E350" s="7">
        <v>0.0</v>
      </c>
    </row>
    <row r="351">
      <c r="A351" s="5">
        <v>350.0</v>
      </c>
      <c r="B351" s="8" t="s">
        <v>388</v>
      </c>
      <c r="C351" s="5" t="s">
        <v>48</v>
      </c>
      <c r="D351" s="5" t="s">
        <v>7</v>
      </c>
      <c r="E351" s="7">
        <v>0.0</v>
      </c>
    </row>
    <row r="352">
      <c r="A352" s="5">
        <v>351.0</v>
      </c>
      <c r="B352" s="8" t="s">
        <v>890</v>
      </c>
      <c r="C352" s="5" t="s">
        <v>876</v>
      </c>
      <c r="D352" s="5" t="s">
        <v>14</v>
      </c>
      <c r="E352" s="7">
        <v>0.0</v>
      </c>
    </row>
    <row r="353">
      <c r="A353" s="5">
        <v>352.0</v>
      </c>
      <c r="B353" s="8" t="s">
        <v>457</v>
      </c>
      <c r="C353" s="5" t="s">
        <v>9</v>
      </c>
      <c r="D353" s="5" t="s">
        <v>14</v>
      </c>
      <c r="E353" s="7">
        <v>0.0</v>
      </c>
    </row>
    <row r="354">
      <c r="A354" s="5">
        <v>353.0</v>
      </c>
      <c r="B354" s="8" t="s">
        <v>468</v>
      </c>
      <c r="C354" s="5" t="s">
        <v>54</v>
      </c>
      <c r="D354" s="5" t="s">
        <v>14</v>
      </c>
      <c r="E354" s="7">
        <v>0.0</v>
      </c>
    </row>
    <row r="355">
      <c r="A355" s="5">
        <v>354.0</v>
      </c>
      <c r="B355" s="8" t="s">
        <v>891</v>
      </c>
      <c r="C355" s="5" t="s">
        <v>876</v>
      </c>
      <c r="D355" s="5" t="s">
        <v>14</v>
      </c>
      <c r="E355" s="7">
        <v>0.0</v>
      </c>
    </row>
    <row r="356">
      <c r="A356" s="5">
        <v>355.0</v>
      </c>
      <c r="B356" s="8" t="s">
        <v>522</v>
      </c>
      <c r="C356" s="5" t="s">
        <v>104</v>
      </c>
      <c r="D356" s="5" t="s">
        <v>7</v>
      </c>
      <c r="E356" s="7">
        <v>0.0</v>
      </c>
    </row>
    <row r="357">
      <c r="A357" s="5">
        <v>356.0</v>
      </c>
      <c r="B357" s="8" t="s">
        <v>411</v>
      </c>
      <c r="C357" s="5" t="s">
        <v>28</v>
      </c>
      <c r="D357" s="5" t="s">
        <v>7</v>
      </c>
      <c r="E357" s="7">
        <v>0.0</v>
      </c>
    </row>
    <row r="358">
      <c r="A358" s="5">
        <v>357.0</v>
      </c>
      <c r="B358" s="8" t="s">
        <v>892</v>
      </c>
      <c r="C358" s="5" t="s">
        <v>876</v>
      </c>
      <c r="D358" s="5" t="s">
        <v>14</v>
      </c>
      <c r="E358" s="7">
        <v>0.0</v>
      </c>
    </row>
    <row r="359">
      <c r="A359" s="5">
        <v>358.0</v>
      </c>
      <c r="B359" s="8" t="s">
        <v>513</v>
      </c>
      <c r="C359" s="5" t="s">
        <v>20</v>
      </c>
      <c r="D359" s="5" t="s">
        <v>14</v>
      </c>
      <c r="E359" s="7">
        <v>0.0</v>
      </c>
    </row>
    <row r="360">
      <c r="A360" s="5">
        <v>359.0</v>
      </c>
      <c r="B360" s="8" t="s">
        <v>123</v>
      </c>
      <c r="C360" s="5" t="s">
        <v>16</v>
      </c>
      <c r="D360" s="5" t="s">
        <v>39</v>
      </c>
      <c r="E360" s="7">
        <v>0.0</v>
      </c>
    </row>
    <row r="361">
      <c r="A361" s="5">
        <v>360.0</v>
      </c>
      <c r="B361" s="8" t="s">
        <v>497</v>
      </c>
      <c r="C361" s="5" t="s">
        <v>18</v>
      </c>
      <c r="D361" s="5" t="s">
        <v>14</v>
      </c>
      <c r="E361" s="7">
        <v>0.0</v>
      </c>
    </row>
    <row r="362">
      <c r="A362" s="5">
        <v>361.0</v>
      </c>
      <c r="B362" s="8" t="s">
        <v>638</v>
      </c>
      <c r="C362" s="5" t="s">
        <v>104</v>
      </c>
      <c r="D362" s="5" t="s">
        <v>7</v>
      </c>
      <c r="E362" s="7">
        <v>0.0</v>
      </c>
    </row>
    <row r="363">
      <c r="A363" s="5">
        <v>362.0</v>
      </c>
      <c r="B363" s="8" t="s">
        <v>276</v>
      </c>
      <c r="C363" s="5" t="s">
        <v>52</v>
      </c>
      <c r="D363" s="5" t="s">
        <v>39</v>
      </c>
      <c r="E363" s="7">
        <v>0.0</v>
      </c>
    </row>
    <row r="364">
      <c r="A364" s="5">
        <v>363.0</v>
      </c>
      <c r="B364" s="8" t="s">
        <v>632</v>
      </c>
      <c r="C364" s="5" t="s">
        <v>46</v>
      </c>
      <c r="D364" s="5" t="s">
        <v>7</v>
      </c>
      <c r="E364" s="7">
        <v>0.0</v>
      </c>
    </row>
    <row r="365">
      <c r="A365" s="5">
        <v>364.0</v>
      </c>
      <c r="B365" s="8" t="s">
        <v>84</v>
      </c>
      <c r="C365" s="5" t="s">
        <v>22</v>
      </c>
      <c r="D365" s="5" t="s">
        <v>39</v>
      </c>
      <c r="E365" s="7">
        <v>0.0</v>
      </c>
    </row>
    <row r="366">
      <c r="A366" s="5">
        <v>365.0</v>
      </c>
      <c r="B366" s="8" t="s">
        <v>464</v>
      </c>
      <c r="C366" s="5" t="s">
        <v>69</v>
      </c>
      <c r="D366" s="5" t="s">
        <v>14</v>
      </c>
      <c r="E366" s="7">
        <v>0.0</v>
      </c>
    </row>
    <row r="367">
      <c r="A367" s="5">
        <v>366.0</v>
      </c>
      <c r="B367" s="8" t="s">
        <v>823</v>
      </c>
      <c r="C367" s="5" t="s">
        <v>876</v>
      </c>
      <c r="D367" s="5" t="s">
        <v>14</v>
      </c>
      <c r="E367" s="7">
        <v>0.0</v>
      </c>
    </row>
    <row r="368">
      <c r="A368" s="5">
        <v>367.0</v>
      </c>
      <c r="B368" s="8" t="s">
        <v>349</v>
      </c>
      <c r="C368" s="5" t="s">
        <v>48</v>
      </c>
      <c r="D368" s="5" t="s">
        <v>14</v>
      </c>
      <c r="E368" s="7">
        <v>0.0</v>
      </c>
    </row>
    <row r="369">
      <c r="A369" s="5">
        <v>368.0</v>
      </c>
      <c r="B369" s="8" t="s">
        <v>626</v>
      </c>
      <c r="C369" s="5" t="s">
        <v>33</v>
      </c>
      <c r="D369" s="5" t="s">
        <v>7</v>
      </c>
      <c r="E369" s="7">
        <v>0.0</v>
      </c>
    </row>
    <row r="370">
      <c r="A370" s="5">
        <v>369.0</v>
      </c>
      <c r="B370" s="8" t="s">
        <v>512</v>
      </c>
      <c r="C370" s="5" t="s">
        <v>165</v>
      </c>
      <c r="D370" s="5" t="s">
        <v>7</v>
      </c>
      <c r="E370" s="7">
        <v>0.0</v>
      </c>
    </row>
    <row r="371">
      <c r="A371" s="5">
        <v>370.0</v>
      </c>
      <c r="B371" s="8" t="s">
        <v>328</v>
      </c>
      <c r="C371" s="5" t="s">
        <v>62</v>
      </c>
      <c r="D371" s="5" t="s">
        <v>14</v>
      </c>
      <c r="E371" s="7">
        <v>0.0</v>
      </c>
    </row>
    <row r="372">
      <c r="A372" s="5">
        <v>371.0</v>
      </c>
      <c r="B372" s="8" t="s">
        <v>408</v>
      </c>
      <c r="C372" s="5" t="s">
        <v>20</v>
      </c>
      <c r="D372" s="5" t="s">
        <v>14</v>
      </c>
      <c r="E372" s="7">
        <v>0.0</v>
      </c>
    </row>
    <row r="373">
      <c r="A373" s="5">
        <v>372.0</v>
      </c>
      <c r="B373" s="8" t="s">
        <v>635</v>
      </c>
      <c r="C373" s="5" t="s">
        <v>26</v>
      </c>
      <c r="D373" s="5" t="s">
        <v>7</v>
      </c>
      <c r="E373" s="7">
        <v>0.0</v>
      </c>
    </row>
    <row r="374">
      <c r="A374" s="5">
        <v>373.0</v>
      </c>
      <c r="B374" s="8" t="s">
        <v>618</v>
      </c>
      <c r="C374" s="5" t="s">
        <v>71</v>
      </c>
      <c r="D374" s="5" t="s">
        <v>14</v>
      </c>
      <c r="E374" s="7">
        <v>0.0</v>
      </c>
    </row>
    <row r="375">
      <c r="A375" s="5">
        <v>374.0</v>
      </c>
      <c r="B375" s="8" t="s">
        <v>653</v>
      </c>
      <c r="C375" s="5" t="s">
        <v>139</v>
      </c>
      <c r="D375" s="5" t="s">
        <v>7</v>
      </c>
      <c r="E375" s="7">
        <v>0.0</v>
      </c>
    </row>
    <row r="376">
      <c r="A376" s="5">
        <v>375.0</v>
      </c>
      <c r="B376" s="8" t="s">
        <v>465</v>
      </c>
      <c r="C376" s="5" t="s">
        <v>54</v>
      </c>
      <c r="D376" s="5" t="s">
        <v>7</v>
      </c>
      <c r="E376" s="7">
        <v>0.0</v>
      </c>
    </row>
    <row r="377">
      <c r="A377" s="5">
        <v>376.0</v>
      </c>
      <c r="B377" s="8" t="s">
        <v>640</v>
      </c>
      <c r="C377" s="5" t="s">
        <v>24</v>
      </c>
      <c r="D377" s="5" t="s">
        <v>7</v>
      </c>
      <c r="E377" s="7">
        <v>0.0</v>
      </c>
    </row>
    <row r="378">
      <c r="A378" s="5">
        <v>377.0</v>
      </c>
      <c r="B378" s="8" t="s">
        <v>636</v>
      </c>
      <c r="C378" s="5" t="s">
        <v>28</v>
      </c>
      <c r="D378" s="5" t="s">
        <v>7</v>
      </c>
      <c r="E378" s="7">
        <v>0.0</v>
      </c>
    </row>
    <row r="379">
      <c r="A379" s="5">
        <v>378.0</v>
      </c>
      <c r="B379" s="8" t="s">
        <v>552</v>
      </c>
      <c r="C379" s="5" t="s">
        <v>22</v>
      </c>
      <c r="D379" s="5" t="s">
        <v>14</v>
      </c>
      <c r="E379" s="7">
        <v>0.0</v>
      </c>
    </row>
    <row r="380">
      <c r="A380" s="5">
        <v>379.0</v>
      </c>
      <c r="B380" s="8" t="s">
        <v>499</v>
      </c>
      <c r="C380" s="5" t="s">
        <v>50</v>
      </c>
      <c r="D380" s="5" t="s">
        <v>14</v>
      </c>
      <c r="E380" s="7">
        <v>0.0</v>
      </c>
    </row>
    <row r="381">
      <c r="A381" s="5">
        <v>380.0</v>
      </c>
      <c r="B381" s="8" t="s">
        <v>482</v>
      </c>
      <c r="C381" s="5" t="s">
        <v>30</v>
      </c>
      <c r="D381" s="5" t="s">
        <v>7</v>
      </c>
      <c r="E381" s="7">
        <v>0.0</v>
      </c>
    </row>
    <row r="382">
      <c r="A382" s="5">
        <v>381.0</v>
      </c>
      <c r="B382" s="8" t="s">
        <v>538</v>
      </c>
      <c r="C382" s="5" t="s">
        <v>62</v>
      </c>
      <c r="D382" s="5" t="s">
        <v>14</v>
      </c>
      <c r="E382" s="7">
        <v>0.0</v>
      </c>
    </row>
    <row r="383">
      <c r="A383" s="5">
        <v>382.0</v>
      </c>
      <c r="B383" s="8" t="s">
        <v>893</v>
      </c>
      <c r="C383" s="5" t="s">
        <v>62</v>
      </c>
      <c r="D383" s="5" t="s">
        <v>14</v>
      </c>
      <c r="E383" s="7">
        <v>0.0</v>
      </c>
    </row>
    <row r="384">
      <c r="A384" s="5">
        <v>383.0</v>
      </c>
      <c r="B384" s="8" t="s">
        <v>656</v>
      </c>
      <c r="C384" s="5" t="s">
        <v>48</v>
      </c>
      <c r="D384" s="5" t="s">
        <v>7</v>
      </c>
      <c r="E384" s="7">
        <v>0.0</v>
      </c>
    </row>
    <row r="385">
      <c r="A385" s="5">
        <v>384.0</v>
      </c>
      <c r="B385" s="8" t="s">
        <v>474</v>
      </c>
      <c r="C385" s="5" t="s">
        <v>20</v>
      </c>
      <c r="D385" s="5" t="s">
        <v>14</v>
      </c>
      <c r="E385" s="7">
        <v>0.0</v>
      </c>
    </row>
    <row r="386">
      <c r="A386" s="5">
        <v>385.0</v>
      </c>
      <c r="B386" s="8" t="s">
        <v>894</v>
      </c>
      <c r="C386" s="5" t="s">
        <v>122</v>
      </c>
      <c r="D386" s="5" t="s">
        <v>14</v>
      </c>
      <c r="E386" s="7">
        <v>0.0</v>
      </c>
    </row>
    <row r="387">
      <c r="A387" s="5">
        <v>386.0</v>
      </c>
      <c r="B387" s="8" t="s">
        <v>629</v>
      </c>
      <c r="C387" s="5" t="s">
        <v>52</v>
      </c>
      <c r="D387" s="5" t="s">
        <v>7</v>
      </c>
      <c r="E387" s="7">
        <v>0.0</v>
      </c>
    </row>
    <row r="388">
      <c r="A388" s="5">
        <v>387.0</v>
      </c>
      <c r="B388" s="8" t="s">
        <v>481</v>
      </c>
      <c r="C388" s="5" t="s">
        <v>37</v>
      </c>
      <c r="D388" s="5" t="s">
        <v>14</v>
      </c>
      <c r="E388" s="7">
        <v>0.0</v>
      </c>
    </row>
    <row r="389">
      <c r="A389" s="5">
        <v>388.0</v>
      </c>
      <c r="B389" s="8" t="s">
        <v>602</v>
      </c>
      <c r="C389" s="5" t="s">
        <v>96</v>
      </c>
      <c r="D389" s="5" t="s">
        <v>14</v>
      </c>
      <c r="E389" s="7">
        <v>0.0</v>
      </c>
    </row>
    <row r="390">
      <c r="A390" s="5">
        <v>389.0</v>
      </c>
      <c r="B390" s="8" t="s">
        <v>895</v>
      </c>
      <c r="C390" s="5" t="s">
        <v>122</v>
      </c>
      <c r="D390" s="5" t="s">
        <v>14</v>
      </c>
      <c r="E390" s="7">
        <v>0.0</v>
      </c>
    </row>
    <row r="391">
      <c r="A391" s="5">
        <v>390.0</v>
      </c>
      <c r="B391" s="8" t="s">
        <v>664</v>
      </c>
      <c r="C391" s="5" t="s">
        <v>22</v>
      </c>
      <c r="D391" s="5" t="s">
        <v>7</v>
      </c>
      <c r="E391" s="7">
        <v>0.0</v>
      </c>
    </row>
    <row r="392">
      <c r="A392" s="5">
        <v>391.0</v>
      </c>
      <c r="B392" s="8" t="s">
        <v>520</v>
      </c>
      <c r="C392" s="5" t="s">
        <v>122</v>
      </c>
      <c r="D392" s="5" t="s">
        <v>14</v>
      </c>
      <c r="E392" s="7">
        <v>0.0</v>
      </c>
    </row>
    <row r="393">
      <c r="A393" s="5">
        <v>392.0</v>
      </c>
      <c r="B393" s="8" t="s">
        <v>285</v>
      </c>
      <c r="C393" s="5" t="s">
        <v>54</v>
      </c>
      <c r="D393" s="5" t="s">
        <v>39</v>
      </c>
      <c r="E393" s="7">
        <v>0.0</v>
      </c>
    </row>
    <row r="394">
      <c r="A394" s="5">
        <v>393.0</v>
      </c>
      <c r="B394" s="8" t="s">
        <v>509</v>
      </c>
      <c r="C394" s="5" t="s">
        <v>139</v>
      </c>
      <c r="D394" s="5" t="s">
        <v>14</v>
      </c>
      <c r="E394" s="7">
        <v>0.0</v>
      </c>
    </row>
    <row r="395">
      <c r="A395" s="5">
        <v>394.0</v>
      </c>
      <c r="B395" s="8" t="s">
        <v>646</v>
      </c>
      <c r="C395" s="5" t="s">
        <v>814</v>
      </c>
      <c r="D395" s="5" t="s">
        <v>7</v>
      </c>
      <c r="E395" s="7">
        <v>0.0</v>
      </c>
    </row>
    <row r="396">
      <c r="A396" s="5">
        <v>395.0</v>
      </c>
      <c r="B396" s="8" t="s">
        <v>668</v>
      </c>
      <c r="C396" s="5" t="s">
        <v>59</v>
      </c>
      <c r="D396" s="5" t="s">
        <v>7</v>
      </c>
      <c r="E396" s="7">
        <v>0.0</v>
      </c>
    </row>
    <row r="397">
      <c r="A397" s="5">
        <v>396.0</v>
      </c>
      <c r="B397" s="8" t="s">
        <v>719</v>
      </c>
      <c r="C397" s="5" t="s">
        <v>59</v>
      </c>
      <c r="D397" s="5" t="s">
        <v>7</v>
      </c>
      <c r="E397" s="7">
        <v>0.0</v>
      </c>
    </row>
    <row r="398">
      <c r="A398" s="5">
        <v>397.0</v>
      </c>
      <c r="B398" s="8" t="s">
        <v>738</v>
      </c>
      <c r="C398" s="5" t="s">
        <v>48</v>
      </c>
      <c r="D398" s="5" t="s">
        <v>7</v>
      </c>
      <c r="E398" s="7">
        <v>0.0</v>
      </c>
    </row>
    <row r="399">
      <c r="A399" s="5">
        <v>398.0</v>
      </c>
      <c r="B399" s="8" t="s">
        <v>657</v>
      </c>
      <c r="C399" s="5" t="s">
        <v>69</v>
      </c>
      <c r="D399" s="5" t="s">
        <v>7</v>
      </c>
      <c r="E399" s="7">
        <v>0.0</v>
      </c>
    </row>
    <row r="400">
      <c r="A400" s="5">
        <v>399.0</v>
      </c>
      <c r="B400" s="8" t="s">
        <v>526</v>
      </c>
      <c r="C400" s="5" t="s">
        <v>122</v>
      </c>
      <c r="D400" s="5" t="s">
        <v>14</v>
      </c>
      <c r="E400" s="7">
        <v>0.0</v>
      </c>
    </row>
    <row r="401">
      <c r="A401" s="5">
        <v>400.0</v>
      </c>
      <c r="B401" s="8" t="s">
        <v>508</v>
      </c>
      <c r="C401" s="5" t="s">
        <v>41</v>
      </c>
      <c r="D401" s="5" t="s">
        <v>14</v>
      </c>
      <c r="E401" s="7">
        <v>0.0</v>
      </c>
    </row>
    <row r="402">
      <c r="A402" s="5">
        <v>401.0</v>
      </c>
      <c r="B402" s="8" t="s">
        <v>674</v>
      </c>
      <c r="C402" s="5" t="s">
        <v>163</v>
      </c>
      <c r="D402" s="5" t="s">
        <v>7</v>
      </c>
      <c r="E402" s="7">
        <v>0.0</v>
      </c>
    </row>
    <row r="403">
      <c r="A403" s="5">
        <v>402.0</v>
      </c>
      <c r="B403" s="8" t="s">
        <v>896</v>
      </c>
      <c r="C403" s="5" t="s">
        <v>122</v>
      </c>
      <c r="D403" s="5" t="s">
        <v>14</v>
      </c>
      <c r="E403" s="7">
        <v>0.0</v>
      </c>
    </row>
    <row r="404">
      <c r="A404" s="5">
        <v>403.0</v>
      </c>
      <c r="B404" s="8" t="s">
        <v>897</v>
      </c>
      <c r="C404" s="5" t="s">
        <v>20</v>
      </c>
      <c r="D404" s="5" t="s">
        <v>14</v>
      </c>
      <c r="E404" s="7">
        <v>0.0</v>
      </c>
    </row>
    <row r="405">
      <c r="A405" s="5">
        <v>404.0</v>
      </c>
      <c r="B405" s="8" t="s">
        <v>898</v>
      </c>
      <c r="C405" s="5" t="s">
        <v>20</v>
      </c>
      <c r="D405" s="5" t="s">
        <v>14</v>
      </c>
      <c r="E405" s="7">
        <v>0.0</v>
      </c>
    </row>
    <row r="406">
      <c r="A406" s="5">
        <v>405.0</v>
      </c>
      <c r="B406" s="8" t="s">
        <v>462</v>
      </c>
      <c r="C406" s="5" t="s">
        <v>814</v>
      </c>
      <c r="D406" s="5" t="s">
        <v>39</v>
      </c>
      <c r="E406" s="7">
        <v>0.0</v>
      </c>
    </row>
    <row r="407">
      <c r="A407" s="5">
        <v>406.0</v>
      </c>
      <c r="B407" s="8" t="s">
        <v>663</v>
      </c>
      <c r="C407" s="5" t="s">
        <v>37</v>
      </c>
      <c r="D407" s="5" t="s">
        <v>7</v>
      </c>
      <c r="E407" s="7">
        <v>0.0</v>
      </c>
    </row>
    <row r="408">
      <c r="A408" s="5">
        <v>407.0</v>
      </c>
      <c r="B408" s="8" t="s">
        <v>532</v>
      </c>
      <c r="C408" s="5" t="s">
        <v>122</v>
      </c>
      <c r="D408" s="5" t="s">
        <v>14</v>
      </c>
      <c r="E408" s="7">
        <v>0.0</v>
      </c>
    </row>
    <row r="409">
      <c r="A409" s="5">
        <v>408.0</v>
      </c>
      <c r="B409" s="8" t="s">
        <v>527</v>
      </c>
      <c r="C409" s="5" t="s">
        <v>24</v>
      </c>
      <c r="D409" s="5" t="s">
        <v>14</v>
      </c>
      <c r="E409" s="7">
        <v>0.0</v>
      </c>
    </row>
    <row r="410">
      <c r="A410" s="5">
        <v>409.0</v>
      </c>
      <c r="B410" s="8" t="s">
        <v>899</v>
      </c>
      <c r="C410" s="5" t="s">
        <v>876</v>
      </c>
      <c r="D410" s="5" t="s">
        <v>14</v>
      </c>
      <c r="E410" s="7">
        <v>0.0</v>
      </c>
    </row>
    <row r="411">
      <c r="A411" s="5">
        <v>410.0</v>
      </c>
      <c r="B411" s="8" t="s">
        <v>900</v>
      </c>
      <c r="C411" s="5" t="s">
        <v>52</v>
      </c>
      <c r="D411" s="5" t="s">
        <v>14</v>
      </c>
      <c r="E411" s="7">
        <v>0.0</v>
      </c>
    </row>
    <row r="412">
      <c r="A412" s="5">
        <v>411.0</v>
      </c>
      <c r="B412" s="8" t="s">
        <v>319</v>
      </c>
      <c r="C412" s="5" t="s">
        <v>26</v>
      </c>
      <c r="D412" s="5" t="s">
        <v>14</v>
      </c>
      <c r="E412" s="7">
        <v>0.0</v>
      </c>
    </row>
    <row r="413">
      <c r="A413" s="5">
        <v>412.0</v>
      </c>
      <c r="B413" s="8" t="s">
        <v>901</v>
      </c>
      <c r="C413" s="5" t="s">
        <v>876</v>
      </c>
      <c r="D413" s="5" t="s">
        <v>14</v>
      </c>
      <c r="E413" s="7">
        <v>0.0</v>
      </c>
    </row>
    <row r="414">
      <c r="A414" s="5">
        <v>413.0</v>
      </c>
      <c r="B414" s="8" t="s">
        <v>902</v>
      </c>
      <c r="C414" s="5" t="s">
        <v>876</v>
      </c>
      <c r="D414" s="5" t="s">
        <v>14</v>
      </c>
      <c r="E414" s="7">
        <v>0.0</v>
      </c>
    </row>
    <row r="415">
      <c r="A415" s="5">
        <v>414.0</v>
      </c>
      <c r="B415" s="8" t="s">
        <v>903</v>
      </c>
      <c r="C415" s="5" t="s">
        <v>876</v>
      </c>
      <c r="D415" s="5" t="s">
        <v>14</v>
      </c>
      <c r="E415" s="7">
        <v>0.0</v>
      </c>
    </row>
    <row r="416">
      <c r="A416" s="5">
        <v>415.0</v>
      </c>
      <c r="B416" s="8" t="s">
        <v>817</v>
      </c>
      <c r="C416" s="5" t="s">
        <v>876</v>
      </c>
      <c r="D416" s="5" t="s">
        <v>14</v>
      </c>
      <c r="E416" s="7">
        <v>0.0</v>
      </c>
    </row>
    <row r="417">
      <c r="A417" s="5">
        <v>416.0</v>
      </c>
      <c r="B417" s="8" t="s">
        <v>561</v>
      </c>
      <c r="C417" s="5" t="s">
        <v>6</v>
      </c>
      <c r="D417" s="5" t="s">
        <v>14</v>
      </c>
      <c r="E417" s="7">
        <v>0.0</v>
      </c>
    </row>
    <row r="418">
      <c r="A418" s="5">
        <v>417.0</v>
      </c>
      <c r="B418" s="8" t="s">
        <v>525</v>
      </c>
      <c r="C418" s="5" t="s">
        <v>26</v>
      </c>
      <c r="D418" s="5" t="s">
        <v>14</v>
      </c>
      <c r="E418" s="7">
        <v>0.0</v>
      </c>
    </row>
    <row r="419">
      <c r="A419" s="5">
        <v>418.0</v>
      </c>
      <c r="B419" s="8" t="s">
        <v>715</v>
      </c>
      <c r="C419" s="5" t="s">
        <v>104</v>
      </c>
      <c r="D419" s="5" t="s">
        <v>7</v>
      </c>
      <c r="E419" s="7">
        <v>0.0</v>
      </c>
    </row>
    <row r="420">
      <c r="A420" s="5">
        <v>419.0</v>
      </c>
      <c r="B420" s="8" t="s">
        <v>642</v>
      </c>
      <c r="C420" s="5" t="s">
        <v>52</v>
      </c>
      <c r="D420" s="5" t="s">
        <v>7</v>
      </c>
      <c r="E420" s="7">
        <v>0.0</v>
      </c>
    </row>
    <row r="421">
      <c r="A421" s="5">
        <v>420.0</v>
      </c>
      <c r="B421" s="8" t="s">
        <v>459</v>
      </c>
      <c r="C421" s="5" t="s">
        <v>139</v>
      </c>
      <c r="D421" s="5" t="s">
        <v>7</v>
      </c>
      <c r="E421" s="7">
        <v>0.0</v>
      </c>
    </row>
    <row r="422">
      <c r="A422" s="5">
        <v>421.0</v>
      </c>
      <c r="B422" s="8" t="s">
        <v>639</v>
      </c>
      <c r="C422" s="5" t="s">
        <v>122</v>
      </c>
      <c r="D422" s="5" t="s">
        <v>7</v>
      </c>
      <c r="E422" s="7">
        <v>0.0</v>
      </c>
    </row>
    <row r="423">
      <c r="A423" s="5">
        <v>422.0</v>
      </c>
      <c r="B423" s="8" t="s">
        <v>630</v>
      </c>
      <c r="C423" s="5" t="s">
        <v>814</v>
      </c>
      <c r="D423" s="5" t="s">
        <v>7</v>
      </c>
      <c r="E423" s="7">
        <v>0.0</v>
      </c>
    </row>
    <row r="424">
      <c r="A424" s="5">
        <v>423.0</v>
      </c>
      <c r="B424" s="8" t="s">
        <v>658</v>
      </c>
      <c r="C424" s="5" t="s">
        <v>163</v>
      </c>
      <c r="D424" s="5" t="s">
        <v>39</v>
      </c>
      <c r="E424" s="7">
        <v>0.0</v>
      </c>
    </row>
    <row r="425">
      <c r="A425" s="5">
        <v>424.0</v>
      </c>
      <c r="B425" s="8" t="s">
        <v>736</v>
      </c>
      <c r="C425" s="5" t="s">
        <v>16</v>
      </c>
      <c r="D425" s="5" t="s">
        <v>7</v>
      </c>
      <c r="E425" s="7">
        <v>0.0</v>
      </c>
    </row>
    <row r="426">
      <c r="A426" s="5">
        <v>425.0</v>
      </c>
      <c r="B426" s="8" t="s">
        <v>701</v>
      </c>
      <c r="C426" s="5" t="s">
        <v>54</v>
      </c>
      <c r="D426" s="5" t="s">
        <v>7</v>
      </c>
      <c r="E426" s="7">
        <v>0.0</v>
      </c>
    </row>
    <row r="427">
      <c r="A427" s="5">
        <v>426.0</v>
      </c>
      <c r="B427" s="8" t="s">
        <v>673</v>
      </c>
      <c r="C427" s="5" t="s">
        <v>122</v>
      </c>
      <c r="D427" s="5" t="s">
        <v>7</v>
      </c>
      <c r="E427" s="7">
        <v>0.0</v>
      </c>
    </row>
    <row r="428">
      <c r="A428" s="5">
        <v>427.0</v>
      </c>
      <c r="B428" s="8" t="s">
        <v>648</v>
      </c>
      <c r="C428" s="5" t="s">
        <v>6</v>
      </c>
      <c r="D428" s="5" t="s">
        <v>7</v>
      </c>
      <c r="E428" s="7">
        <v>0.0</v>
      </c>
    </row>
    <row r="429">
      <c r="A429" s="5">
        <v>428.0</v>
      </c>
      <c r="B429" s="8" t="s">
        <v>643</v>
      </c>
      <c r="C429" s="5" t="s">
        <v>41</v>
      </c>
      <c r="D429" s="5" t="s">
        <v>7</v>
      </c>
      <c r="E429" s="7">
        <v>0.0</v>
      </c>
    </row>
    <row r="430">
      <c r="A430" s="5">
        <v>429.0</v>
      </c>
      <c r="B430" s="8" t="s">
        <v>650</v>
      </c>
      <c r="C430" s="5" t="s">
        <v>71</v>
      </c>
      <c r="D430" s="5" t="s">
        <v>7</v>
      </c>
      <c r="E430" s="7">
        <v>0.0</v>
      </c>
    </row>
    <row r="431">
      <c r="A431" s="5">
        <v>430.0</v>
      </c>
      <c r="B431" s="8" t="s">
        <v>634</v>
      </c>
      <c r="C431" s="5" t="s">
        <v>30</v>
      </c>
      <c r="D431" s="5" t="s">
        <v>7</v>
      </c>
      <c r="E431" s="7">
        <v>0.0</v>
      </c>
    </row>
    <row r="432">
      <c r="A432" s="5">
        <v>431.0</v>
      </c>
      <c r="B432" s="8" t="s">
        <v>831</v>
      </c>
      <c r="C432" s="5" t="s">
        <v>33</v>
      </c>
      <c r="D432" s="5" t="s">
        <v>7</v>
      </c>
      <c r="E432" s="7">
        <v>0.0</v>
      </c>
    </row>
    <row r="433">
      <c r="A433" s="5">
        <v>432.0</v>
      </c>
      <c r="B433" s="8" t="s">
        <v>655</v>
      </c>
      <c r="C433" s="5" t="s">
        <v>20</v>
      </c>
      <c r="D433" s="5" t="s">
        <v>7</v>
      </c>
      <c r="E433" s="7">
        <v>0.0</v>
      </c>
    </row>
    <row r="434">
      <c r="A434" s="5">
        <v>433.0</v>
      </c>
      <c r="B434" s="8" t="s">
        <v>726</v>
      </c>
      <c r="C434" s="5" t="s">
        <v>41</v>
      </c>
      <c r="D434" s="5" t="s">
        <v>7</v>
      </c>
      <c r="E434" s="7">
        <v>0.0</v>
      </c>
    </row>
    <row r="435">
      <c r="A435" s="5">
        <v>434.0</v>
      </c>
      <c r="B435" s="8" t="s">
        <v>678</v>
      </c>
      <c r="C435" s="5" t="s">
        <v>11</v>
      </c>
      <c r="D435" s="5" t="s">
        <v>7</v>
      </c>
      <c r="E435" s="7">
        <v>0.0</v>
      </c>
    </row>
    <row r="436">
      <c r="A436" s="5">
        <v>435.0</v>
      </c>
      <c r="B436" s="8" t="s">
        <v>720</v>
      </c>
      <c r="C436" s="5" t="s">
        <v>52</v>
      </c>
      <c r="D436" s="5" t="s">
        <v>7</v>
      </c>
      <c r="E436" s="7">
        <v>0.0</v>
      </c>
    </row>
    <row r="437">
      <c r="A437" s="5">
        <v>436.0</v>
      </c>
      <c r="B437" s="8" t="s">
        <v>667</v>
      </c>
      <c r="C437" s="5" t="s">
        <v>20</v>
      </c>
      <c r="D437" s="5" t="s">
        <v>7</v>
      </c>
      <c r="E437" s="7">
        <v>0.0</v>
      </c>
    </row>
    <row r="438">
      <c r="A438" s="5">
        <v>437.0</v>
      </c>
      <c r="B438" s="8" t="s">
        <v>904</v>
      </c>
      <c r="C438" s="5" t="s">
        <v>876</v>
      </c>
      <c r="D438" s="5" t="s">
        <v>7</v>
      </c>
      <c r="E438" s="7">
        <v>0.0</v>
      </c>
    </row>
    <row r="439">
      <c r="A439" s="5">
        <v>438.0</v>
      </c>
      <c r="B439" s="8" t="s">
        <v>670</v>
      </c>
      <c r="C439" s="5" t="s">
        <v>52</v>
      </c>
      <c r="D439" s="5" t="s">
        <v>7</v>
      </c>
      <c r="E439" s="7">
        <v>0.0</v>
      </c>
    </row>
    <row r="440">
      <c r="A440" s="5">
        <v>439.0</v>
      </c>
      <c r="B440" s="8" t="s">
        <v>680</v>
      </c>
      <c r="C440" s="5" t="s">
        <v>24</v>
      </c>
      <c r="D440" s="5" t="s">
        <v>7</v>
      </c>
      <c r="E440" s="7">
        <v>0.0</v>
      </c>
    </row>
    <row r="441">
      <c r="A441" s="5">
        <v>440.0</v>
      </c>
      <c r="B441" s="8" t="s">
        <v>703</v>
      </c>
      <c r="C441" s="5" t="s">
        <v>59</v>
      </c>
      <c r="D441" s="5" t="s">
        <v>7</v>
      </c>
      <c r="E441" s="7">
        <v>0.0</v>
      </c>
    </row>
    <row r="442">
      <c r="A442" s="5">
        <v>441.0</v>
      </c>
      <c r="B442" s="8" t="s">
        <v>672</v>
      </c>
      <c r="C442" s="5" t="s">
        <v>165</v>
      </c>
      <c r="D442" s="5" t="s">
        <v>7</v>
      </c>
      <c r="E442" s="7">
        <v>0.0</v>
      </c>
    </row>
    <row r="443">
      <c r="A443" s="5">
        <v>442.0</v>
      </c>
      <c r="B443" s="8" t="s">
        <v>665</v>
      </c>
      <c r="C443" s="5" t="s">
        <v>16</v>
      </c>
      <c r="D443" s="5" t="s">
        <v>7</v>
      </c>
      <c r="E443" s="7">
        <v>0.0</v>
      </c>
    </row>
    <row r="444">
      <c r="A444" s="5">
        <v>443.0</v>
      </c>
      <c r="B444" s="8" t="s">
        <v>905</v>
      </c>
      <c r="C444" s="5" t="s">
        <v>35</v>
      </c>
      <c r="D444" s="5" t="s">
        <v>7</v>
      </c>
      <c r="E444" s="7">
        <v>0.0</v>
      </c>
    </row>
    <row r="445">
      <c r="A445" s="5">
        <v>444.0</v>
      </c>
      <c r="B445" s="8" t="s">
        <v>676</v>
      </c>
      <c r="C445" s="5" t="s">
        <v>69</v>
      </c>
      <c r="D445" s="5" t="s">
        <v>7</v>
      </c>
      <c r="E445" s="7">
        <v>0.0</v>
      </c>
    </row>
    <row r="446">
      <c r="A446" s="5">
        <v>445.0</v>
      </c>
      <c r="B446" s="8" t="s">
        <v>723</v>
      </c>
      <c r="C446" s="5" t="s">
        <v>6</v>
      </c>
      <c r="D446" s="5" t="s">
        <v>7</v>
      </c>
      <c r="E446" s="7">
        <v>0.0</v>
      </c>
    </row>
    <row r="447">
      <c r="A447" s="5">
        <v>446.0</v>
      </c>
      <c r="B447" s="8" t="s">
        <v>906</v>
      </c>
      <c r="C447" s="5" t="s">
        <v>876</v>
      </c>
      <c r="D447" s="5" t="s">
        <v>7</v>
      </c>
      <c r="E447" s="7">
        <v>0.0</v>
      </c>
    </row>
    <row r="448">
      <c r="A448" s="5">
        <v>447.0</v>
      </c>
      <c r="B448" s="8" t="s">
        <v>662</v>
      </c>
      <c r="C448" s="5" t="s">
        <v>18</v>
      </c>
      <c r="D448" s="5" t="s">
        <v>7</v>
      </c>
      <c r="E448" s="7">
        <v>0.0</v>
      </c>
    </row>
    <row r="449">
      <c r="A449" s="5">
        <v>448.0</v>
      </c>
      <c r="B449" s="8" t="s">
        <v>679</v>
      </c>
      <c r="C449" s="5" t="s">
        <v>54</v>
      </c>
      <c r="D449" s="5" t="s">
        <v>7</v>
      </c>
      <c r="E449" s="7">
        <v>0.0</v>
      </c>
    </row>
    <row r="450">
      <c r="A450" s="5">
        <v>449.0</v>
      </c>
      <c r="B450" s="8" t="s">
        <v>661</v>
      </c>
      <c r="C450" s="5" t="s">
        <v>71</v>
      </c>
      <c r="D450" s="5" t="s">
        <v>7</v>
      </c>
      <c r="E450" s="7">
        <v>0.0</v>
      </c>
    </row>
    <row r="451">
      <c r="A451" s="5">
        <v>450.0</v>
      </c>
      <c r="B451" s="8" t="s">
        <v>637</v>
      </c>
      <c r="C451" s="5" t="s">
        <v>59</v>
      </c>
      <c r="D451" s="5" t="s">
        <v>7</v>
      </c>
      <c r="E451" s="7">
        <v>0.0</v>
      </c>
    </row>
    <row r="452">
      <c r="A452" s="5">
        <v>451.0</v>
      </c>
      <c r="B452" s="8" t="s">
        <v>677</v>
      </c>
      <c r="C452" s="5" t="s">
        <v>50</v>
      </c>
      <c r="D452" s="5" t="s">
        <v>7</v>
      </c>
      <c r="E452" s="7">
        <v>0.0</v>
      </c>
    </row>
    <row r="453">
      <c r="A453" s="5">
        <v>452.0</v>
      </c>
      <c r="B453" s="8" t="s">
        <v>683</v>
      </c>
      <c r="C453" s="5" t="s">
        <v>9</v>
      </c>
      <c r="D453" s="5" t="s">
        <v>7</v>
      </c>
      <c r="E453" s="7">
        <v>0.0</v>
      </c>
    </row>
    <row r="454">
      <c r="A454" s="5">
        <v>453.0</v>
      </c>
      <c r="B454" s="8" t="s">
        <v>681</v>
      </c>
      <c r="C454" s="5" t="s">
        <v>18</v>
      </c>
      <c r="D454" s="5" t="s">
        <v>7</v>
      </c>
      <c r="E454" s="7">
        <v>0.0</v>
      </c>
    </row>
    <row r="455">
      <c r="A455" s="5">
        <v>454.0</v>
      </c>
      <c r="B455" s="8" t="s">
        <v>740</v>
      </c>
      <c r="C455" s="5" t="s">
        <v>20</v>
      </c>
      <c r="D455" s="5" t="s">
        <v>7</v>
      </c>
      <c r="E455" s="7">
        <v>0.0</v>
      </c>
    </row>
    <row r="456">
      <c r="A456" s="5">
        <v>455.0</v>
      </c>
      <c r="B456" s="8" t="s">
        <v>907</v>
      </c>
      <c r="C456" s="5" t="s">
        <v>876</v>
      </c>
      <c r="D456" s="5" t="s">
        <v>7</v>
      </c>
      <c r="E456" s="7">
        <v>0.0</v>
      </c>
    </row>
    <row r="457">
      <c r="A457" s="5">
        <v>456.0</v>
      </c>
      <c r="B457" s="8" t="s">
        <v>908</v>
      </c>
      <c r="C457" s="5" t="s">
        <v>33</v>
      </c>
      <c r="D457" s="5" t="s">
        <v>7</v>
      </c>
      <c r="E457" s="7">
        <v>0.0</v>
      </c>
    </row>
    <row r="458">
      <c r="A458" s="5">
        <v>457.0</v>
      </c>
      <c r="B458" s="8" t="s">
        <v>686</v>
      </c>
      <c r="C458" s="5" t="s">
        <v>43</v>
      </c>
      <c r="D458" s="5" t="s">
        <v>7</v>
      </c>
      <c r="E458" s="7">
        <v>0.0</v>
      </c>
    </row>
    <row r="459">
      <c r="A459" s="5">
        <v>458.0</v>
      </c>
      <c r="B459" s="8" t="s">
        <v>669</v>
      </c>
      <c r="C459" s="5" t="s">
        <v>62</v>
      </c>
      <c r="D459" s="5" t="s">
        <v>7</v>
      </c>
      <c r="E459" s="7">
        <v>0.0</v>
      </c>
    </row>
    <row r="460">
      <c r="A460" s="5">
        <v>459.0</v>
      </c>
      <c r="B460" s="8" t="s">
        <v>709</v>
      </c>
      <c r="C460" s="5" t="s">
        <v>122</v>
      </c>
      <c r="D460" s="5" t="s">
        <v>7</v>
      </c>
      <c r="E460" s="7">
        <v>0.0</v>
      </c>
    </row>
    <row r="461">
      <c r="A461" s="5">
        <v>460.0</v>
      </c>
      <c r="B461" s="8" t="s">
        <v>909</v>
      </c>
      <c r="C461" s="5" t="s">
        <v>96</v>
      </c>
      <c r="D461" s="5" t="s">
        <v>7</v>
      </c>
      <c r="E461" s="7">
        <v>0.0</v>
      </c>
    </row>
    <row r="462">
      <c r="A462" s="5">
        <v>461.0</v>
      </c>
      <c r="B462" s="8" t="s">
        <v>238</v>
      </c>
      <c r="C462" s="5" t="s">
        <v>139</v>
      </c>
      <c r="D462" s="5" t="s">
        <v>39</v>
      </c>
      <c r="E462" s="7">
        <v>0.0</v>
      </c>
    </row>
    <row r="463">
      <c r="A463" s="5">
        <v>462.0</v>
      </c>
      <c r="B463" s="8" t="s">
        <v>910</v>
      </c>
      <c r="C463" s="5" t="s">
        <v>46</v>
      </c>
      <c r="D463" s="5" t="s">
        <v>7</v>
      </c>
      <c r="E463" s="7">
        <v>0.0</v>
      </c>
    </row>
    <row r="464">
      <c r="A464" s="5">
        <v>463.0</v>
      </c>
      <c r="B464" s="8" t="s">
        <v>671</v>
      </c>
      <c r="C464" s="5" t="s">
        <v>26</v>
      </c>
      <c r="D464" s="5" t="s">
        <v>7</v>
      </c>
      <c r="E464" s="7">
        <v>0.0</v>
      </c>
    </row>
    <row r="465">
      <c r="A465" s="5">
        <v>464.0</v>
      </c>
      <c r="B465" s="8" t="s">
        <v>666</v>
      </c>
      <c r="C465" s="5" t="s">
        <v>62</v>
      </c>
      <c r="D465" s="5" t="s">
        <v>7</v>
      </c>
      <c r="E465" s="7">
        <v>0.0</v>
      </c>
    </row>
    <row r="466">
      <c r="A466" s="5">
        <v>465.0</v>
      </c>
      <c r="B466" s="8" t="s">
        <v>911</v>
      </c>
      <c r="C466" s="5" t="s">
        <v>122</v>
      </c>
      <c r="D466" s="5" t="s">
        <v>7</v>
      </c>
      <c r="E466" s="7">
        <v>0.0</v>
      </c>
    </row>
    <row r="467">
      <c r="A467" s="5">
        <v>466.0</v>
      </c>
      <c r="B467" s="8" t="s">
        <v>912</v>
      </c>
      <c r="C467" s="5" t="s">
        <v>20</v>
      </c>
      <c r="D467" s="5" t="s">
        <v>7</v>
      </c>
      <c r="E467" s="7">
        <v>0.0</v>
      </c>
    </row>
    <row r="468">
      <c r="A468" s="5">
        <v>467.0</v>
      </c>
      <c r="B468" s="8" t="s">
        <v>913</v>
      </c>
      <c r="C468" s="5" t="s">
        <v>122</v>
      </c>
      <c r="D468" s="5" t="s">
        <v>7</v>
      </c>
      <c r="E468" s="7">
        <v>0.0</v>
      </c>
    </row>
    <row r="469">
      <c r="A469" s="5">
        <v>468.0</v>
      </c>
      <c r="B469" s="8" t="s">
        <v>914</v>
      </c>
      <c r="C469" s="5" t="s">
        <v>163</v>
      </c>
      <c r="D469" s="5" t="s">
        <v>7</v>
      </c>
      <c r="E469" s="7">
        <v>0.0</v>
      </c>
    </row>
    <row r="470">
      <c r="A470" s="5">
        <v>469.0</v>
      </c>
      <c r="B470" s="8" t="s">
        <v>915</v>
      </c>
      <c r="C470" s="5" t="s">
        <v>18</v>
      </c>
      <c r="D470" s="5" t="s">
        <v>7</v>
      </c>
      <c r="E470" s="7">
        <v>0.0</v>
      </c>
    </row>
    <row r="471">
      <c r="A471" s="5">
        <v>470.0</v>
      </c>
      <c r="B471" s="8" t="s">
        <v>692</v>
      </c>
      <c r="C471" s="5" t="s">
        <v>876</v>
      </c>
      <c r="D471" s="5" t="s">
        <v>7</v>
      </c>
      <c r="E471" s="7">
        <v>0.0</v>
      </c>
    </row>
    <row r="472">
      <c r="A472" s="5">
        <v>471.0</v>
      </c>
      <c r="B472" s="8" t="s">
        <v>916</v>
      </c>
      <c r="C472" s="5" t="s">
        <v>876</v>
      </c>
      <c r="D472" s="5" t="s">
        <v>7</v>
      </c>
      <c r="E472" s="7">
        <v>0.0</v>
      </c>
    </row>
    <row r="473">
      <c r="A473" s="5">
        <v>472.0</v>
      </c>
      <c r="B473" s="8" t="s">
        <v>731</v>
      </c>
      <c r="C473" s="5" t="s">
        <v>41</v>
      </c>
      <c r="D473" s="5" t="s">
        <v>7</v>
      </c>
      <c r="E473" s="7">
        <v>0.0</v>
      </c>
    </row>
    <row r="474">
      <c r="A474" s="5">
        <v>473.0</v>
      </c>
      <c r="B474" s="8" t="s">
        <v>917</v>
      </c>
      <c r="C474" s="5" t="s">
        <v>876</v>
      </c>
      <c r="D474" s="5" t="s">
        <v>7</v>
      </c>
      <c r="E474" s="7">
        <v>0.0</v>
      </c>
    </row>
    <row r="475">
      <c r="A475" s="5">
        <v>474.0</v>
      </c>
      <c r="B475" s="8" t="s">
        <v>918</v>
      </c>
      <c r="C475" s="5" t="s">
        <v>876</v>
      </c>
      <c r="D475" s="5" t="s">
        <v>7</v>
      </c>
      <c r="E475" s="7">
        <v>0.0</v>
      </c>
    </row>
    <row r="476">
      <c r="A476" s="5">
        <v>475.0</v>
      </c>
      <c r="B476" s="8" t="s">
        <v>919</v>
      </c>
      <c r="C476" s="5" t="s">
        <v>876</v>
      </c>
      <c r="D476" s="5" t="s">
        <v>7</v>
      </c>
      <c r="E476" s="7">
        <v>0.0</v>
      </c>
    </row>
    <row r="477">
      <c r="A477" s="5">
        <v>476.0</v>
      </c>
      <c r="B477" s="8" t="s">
        <v>920</v>
      </c>
      <c r="C477" s="5" t="s">
        <v>876</v>
      </c>
      <c r="D477" s="5" t="s">
        <v>7</v>
      </c>
      <c r="E477" s="7">
        <v>0.0</v>
      </c>
    </row>
    <row r="478">
      <c r="A478" s="5">
        <v>477.0</v>
      </c>
      <c r="B478" s="8" t="s">
        <v>921</v>
      </c>
      <c r="C478" s="5" t="s">
        <v>876</v>
      </c>
      <c r="D478" s="5" t="s">
        <v>7</v>
      </c>
      <c r="E478" s="7">
        <v>0.0</v>
      </c>
    </row>
    <row r="479">
      <c r="A479" s="5">
        <v>478.0</v>
      </c>
      <c r="B479" s="8" t="s">
        <v>229</v>
      </c>
      <c r="C479" s="5" t="s">
        <v>18</v>
      </c>
      <c r="D479" s="5" t="s">
        <v>7</v>
      </c>
      <c r="E479" s="7">
        <v>0.0</v>
      </c>
    </row>
    <row r="480">
      <c r="A480" s="5">
        <v>479.0</v>
      </c>
      <c r="B480" s="8" t="s">
        <v>746</v>
      </c>
      <c r="C480" s="5" t="s">
        <v>48</v>
      </c>
      <c r="D480" s="5" t="s">
        <v>39</v>
      </c>
      <c r="E480" s="7">
        <v>0.0</v>
      </c>
    </row>
    <row r="481">
      <c r="A481" s="5">
        <v>480.0</v>
      </c>
      <c r="B481" s="8" t="s">
        <v>212</v>
      </c>
      <c r="C481" s="5" t="s">
        <v>104</v>
      </c>
      <c r="D481" s="5" t="s">
        <v>39</v>
      </c>
      <c r="E481" s="7">
        <v>0.0</v>
      </c>
    </row>
    <row r="482">
      <c r="A482" s="5">
        <v>481.0</v>
      </c>
      <c r="B482" s="8" t="s">
        <v>306</v>
      </c>
      <c r="C482" s="5" t="s">
        <v>50</v>
      </c>
      <c r="D482" s="5" t="s">
        <v>39</v>
      </c>
      <c r="E482" s="7">
        <v>0.0</v>
      </c>
    </row>
    <row r="483">
      <c r="A483" s="5">
        <v>482.0</v>
      </c>
      <c r="B483" s="8" t="s">
        <v>633</v>
      </c>
      <c r="C483" s="5" t="s">
        <v>6</v>
      </c>
      <c r="D483" s="5" t="s">
        <v>39</v>
      </c>
      <c r="E483" s="7">
        <v>0.0</v>
      </c>
    </row>
    <row r="484">
      <c r="A484" s="5">
        <v>483.0</v>
      </c>
      <c r="B484" s="8" t="s">
        <v>628</v>
      </c>
      <c r="C484" s="5" t="s">
        <v>122</v>
      </c>
      <c r="D484" s="5" t="s">
        <v>39</v>
      </c>
      <c r="E484" s="7">
        <v>0.0</v>
      </c>
    </row>
    <row r="485">
      <c r="A485" s="5">
        <v>484.0</v>
      </c>
      <c r="B485" s="8" t="s">
        <v>741</v>
      </c>
      <c r="C485" s="5" t="s">
        <v>165</v>
      </c>
      <c r="D485" s="5" t="s">
        <v>39</v>
      </c>
      <c r="E485" s="7">
        <v>0.0</v>
      </c>
    </row>
    <row r="486">
      <c r="A486" s="5">
        <v>485.0</v>
      </c>
      <c r="B486" s="8" t="s">
        <v>742</v>
      </c>
      <c r="C486" s="5" t="s">
        <v>165</v>
      </c>
      <c r="D486" s="5" t="s">
        <v>39</v>
      </c>
      <c r="E486" s="7">
        <v>0.0</v>
      </c>
    </row>
    <row r="487">
      <c r="A487" s="5">
        <v>486.0</v>
      </c>
      <c r="B487" s="8" t="s">
        <v>744</v>
      </c>
      <c r="C487" s="5" t="s">
        <v>6</v>
      </c>
      <c r="D487" s="5" t="s">
        <v>39</v>
      </c>
      <c r="E487" s="7">
        <v>0.0</v>
      </c>
    </row>
    <row r="488">
      <c r="A488" s="5">
        <v>487.0</v>
      </c>
      <c r="B488" s="8" t="s">
        <v>745</v>
      </c>
      <c r="C488" s="5" t="s">
        <v>122</v>
      </c>
      <c r="D488" s="5" t="s">
        <v>39</v>
      </c>
      <c r="E488" s="7">
        <v>0.0</v>
      </c>
    </row>
    <row r="489">
      <c r="A489" s="5">
        <v>488.0</v>
      </c>
      <c r="B489" s="8" t="s">
        <v>743</v>
      </c>
      <c r="C489" s="5" t="s">
        <v>163</v>
      </c>
      <c r="D489" s="5" t="s">
        <v>39</v>
      </c>
      <c r="E489" s="7">
        <v>0.0</v>
      </c>
    </row>
    <row r="490">
      <c r="A490" s="5">
        <v>489.0</v>
      </c>
      <c r="B490" s="8" t="s">
        <v>752</v>
      </c>
      <c r="C490" s="5" t="s">
        <v>50</v>
      </c>
      <c r="D490" s="5" t="s">
        <v>39</v>
      </c>
      <c r="E490" s="7">
        <v>0.0</v>
      </c>
    </row>
    <row r="491">
      <c r="A491" s="5">
        <v>490.0</v>
      </c>
      <c r="B491" s="8" t="s">
        <v>776</v>
      </c>
      <c r="C491" s="5" t="s">
        <v>104</v>
      </c>
      <c r="D491" s="5" t="s">
        <v>39</v>
      </c>
      <c r="E491" s="7">
        <v>0.0</v>
      </c>
    </row>
    <row r="492">
      <c r="A492" s="5">
        <v>491.0</v>
      </c>
      <c r="B492" s="8" t="s">
        <v>922</v>
      </c>
      <c r="C492" s="5" t="s">
        <v>104</v>
      </c>
      <c r="D492" s="5" t="s">
        <v>39</v>
      </c>
      <c r="E492" s="7">
        <v>0.0</v>
      </c>
    </row>
    <row r="493">
      <c r="A493" s="5">
        <v>492.0</v>
      </c>
      <c r="B493" s="8" t="s">
        <v>923</v>
      </c>
      <c r="C493" s="5" t="s">
        <v>876</v>
      </c>
      <c r="D493" s="5" t="s">
        <v>39</v>
      </c>
      <c r="E493" s="7">
        <v>0.0</v>
      </c>
    </row>
    <row r="494">
      <c r="A494" s="5">
        <v>493.0</v>
      </c>
      <c r="B494" s="8" t="s">
        <v>756</v>
      </c>
      <c r="C494" s="5" t="s">
        <v>22</v>
      </c>
      <c r="D494" s="5" t="s">
        <v>39</v>
      </c>
      <c r="E494" s="7">
        <v>0.0</v>
      </c>
    </row>
    <row r="495">
      <c r="A495" s="5">
        <v>494.0</v>
      </c>
      <c r="B495" s="8" t="s">
        <v>751</v>
      </c>
      <c r="C495" s="5" t="s">
        <v>33</v>
      </c>
      <c r="D495" s="5" t="s">
        <v>39</v>
      </c>
      <c r="E495" s="7">
        <v>0.0</v>
      </c>
    </row>
    <row r="496">
      <c r="A496" s="5">
        <v>495.0</v>
      </c>
      <c r="B496" s="8" t="s">
        <v>748</v>
      </c>
      <c r="C496" s="5" t="s">
        <v>165</v>
      </c>
      <c r="D496" s="5" t="s">
        <v>39</v>
      </c>
      <c r="E496" s="7">
        <v>0.0</v>
      </c>
    </row>
    <row r="497">
      <c r="A497" s="5">
        <v>496.0</v>
      </c>
      <c r="B497" s="8" t="s">
        <v>803</v>
      </c>
      <c r="C497" s="5" t="s">
        <v>22</v>
      </c>
      <c r="D497" s="5" t="s">
        <v>39</v>
      </c>
      <c r="E497" s="7">
        <v>0.0</v>
      </c>
    </row>
    <row r="498">
      <c r="A498" s="5">
        <v>497.0</v>
      </c>
      <c r="B498" s="8" t="s">
        <v>764</v>
      </c>
      <c r="C498" s="5" t="s">
        <v>43</v>
      </c>
      <c r="D498" s="5" t="s">
        <v>39</v>
      </c>
      <c r="E498" s="7">
        <v>0.0</v>
      </c>
    </row>
    <row r="499">
      <c r="A499" s="5">
        <v>498.0</v>
      </c>
      <c r="B499" s="8" t="s">
        <v>757</v>
      </c>
      <c r="C499" s="5" t="s">
        <v>139</v>
      </c>
      <c r="D499" s="5" t="s">
        <v>39</v>
      </c>
      <c r="E499" s="7">
        <v>0.0</v>
      </c>
    </row>
    <row r="500">
      <c r="A500" s="5">
        <v>499.0</v>
      </c>
      <c r="B500" s="8" t="s">
        <v>754</v>
      </c>
      <c r="C500" s="5" t="s">
        <v>59</v>
      </c>
      <c r="D500" s="5" t="s">
        <v>39</v>
      </c>
      <c r="E500" s="7">
        <v>0.0</v>
      </c>
    </row>
    <row r="501">
      <c r="A501" s="5">
        <v>500.0</v>
      </c>
      <c r="B501" s="8" t="s">
        <v>763</v>
      </c>
      <c r="C501" s="5" t="s">
        <v>24</v>
      </c>
      <c r="D501" s="5" t="s">
        <v>39</v>
      </c>
      <c r="E501" s="7">
        <v>0.0</v>
      </c>
    </row>
    <row r="502">
      <c r="A502" s="5">
        <v>501.0</v>
      </c>
      <c r="B502" s="8" t="s">
        <v>766</v>
      </c>
      <c r="C502" s="5" t="s">
        <v>46</v>
      </c>
      <c r="D502" s="5" t="s">
        <v>39</v>
      </c>
      <c r="E502" s="7">
        <v>0.0</v>
      </c>
    </row>
    <row r="503">
      <c r="A503" s="5">
        <v>502.0</v>
      </c>
      <c r="B503" s="8" t="s">
        <v>924</v>
      </c>
      <c r="C503" s="5" t="s">
        <v>876</v>
      </c>
      <c r="D503" s="5" t="s">
        <v>39</v>
      </c>
      <c r="E503" s="7">
        <v>0.0</v>
      </c>
    </row>
    <row r="504">
      <c r="A504" s="5">
        <v>503.0</v>
      </c>
      <c r="B504" s="8" t="s">
        <v>787</v>
      </c>
      <c r="C504" s="5" t="s">
        <v>48</v>
      </c>
      <c r="D504" s="5" t="s">
        <v>39</v>
      </c>
      <c r="E504" s="7">
        <v>0.0</v>
      </c>
    </row>
    <row r="505">
      <c r="A505" s="5">
        <v>504.0</v>
      </c>
      <c r="B505" s="8" t="s">
        <v>811</v>
      </c>
      <c r="C505" s="5" t="s">
        <v>71</v>
      </c>
      <c r="D505" s="5" t="s">
        <v>39</v>
      </c>
      <c r="E505" s="7">
        <v>0.0</v>
      </c>
    </row>
    <row r="506">
      <c r="A506" s="5">
        <v>505.0</v>
      </c>
      <c r="B506" s="8" t="s">
        <v>749</v>
      </c>
      <c r="C506" s="5" t="s">
        <v>37</v>
      </c>
      <c r="D506" s="5" t="s">
        <v>39</v>
      </c>
      <c r="E506" s="7">
        <v>0.0</v>
      </c>
    </row>
    <row r="507">
      <c r="A507" s="5">
        <v>506.0</v>
      </c>
      <c r="B507" s="8" t="s">
        <v>925</v>
      </c>
      <c r="C507" s="5" t="s">
        <v>876</v>
      </c>
      <c r="D507" s="5" t="s">
        <v>39</v>
      </c>
      <c r="E507" s="7">
        <v>0.0</v>
      </c>
    </row>
    <row r="508">
      <c r="A508" s="5">
        <v>507.0</v>
      </c>
      <c r="B508" s="8" t="s">
        <v>758</v>
      </c>
      <c r="C508" s="5" t="s">
        <v>54</v>
      </c>
      <c r="D508" s="5" t="s">
        <v>39</v>
      </c>
      <c r="E508" s="7">
        <v>0.0</v>
      </c>
    </row>
    <row r="509">
      <c r="A509" s="5">
        <v>508.0</v>
      </c>
      <c r="B509" s="8" t="s">
        <v>760</v>
      </c>
      <c r="C509" s="5" t="s">
        <v>28</v>
      </c>
      <c r="D509" s="5" t="s">
        <v>39</v>
      </c>
      <c r="E509" s="7">
        <v>0.0</v>
      </c>
    </row>
    <row r="510">
      <c r="A510" s="5">
        <v>509.0</v>
      </c>
      <c r="B510" s="8" t="s">
        <v>788</v>
      </c>
      <c r="C510" s="5" t="s">
        <v>59</v>
      </c>
      <c r="D510" s="5" t="s">
        <v>39</v>
      </c>
      <c r="E510" s="7">
        <v>0.0</v>
      </c>
    </row>
    <row r="511">
      <c r="A511" s="5">
        <v>510.0</v>
      </c>
      <c r="B511" s="8" t="s">
        <v>767</v>
      </c>
      <c r="C511" s="5" t="s">
        <v>96</v>
      </c>
      <c r="D511" s="5" t="s">
        <v>39</v>
      </c>
      <c r="E511" s="7">
        <v>0.0</v>
      </c>
    </row>
    <row r="512">
      <c r="A512" s="5">
        <v>511.0</v>
      </c>
      <c r="B512" s="8" t="s">
        <v>768</v>
      </c>
      <c r="C512" s="5" t="s">
        <v>16</v>
      </c>
      <c r="D512" s="5" t="s">
        <v>39</v>
      </c>
      <c r="E512" s="7">
        <v>0.0</v>
      </c>
    </row>
    <row r="513">
      <c r="A513" s="5">
        <v>512.0</v>
      </c>
      <c r="B513" s="8" t="s">
        <v>789</v>
      </c>
      <c r="C513" s="5" t="s">
        <v>33</v>
      </c>
      <c r="D513" s="5" t="s">
        <v>39</v>
      </c>
      <c r="E513" s="7">
        <v>0.0</v>
      </c>
    </row>
    <row r="514">
      <c r="A514" s="5">
        <v>513.0</v>
      </c>
      <c r="B514" s="8" t="s">
        <v>806</v>
      </c>
      <c r="C514" s="5" t="s">
        <v>122</v>
      </c>
      <c r="D514" s="5" t="s">
        <v>39</v>
      </c>
      <c r="E514" s="7">
        <v>0.0</v>
      </c>
    </row>
    <row r="515">
      <c r="A515" s="5">
        <v>514.0</v>
      </c>
      <c r="B515" s="8" t="s">
        <v>770</v>
      </c>
      <c r="C515" s="5" t="s">
        <v>52</v>
      </c>
      <c r="D515" s="5" t="s">
        <v>39</v>
      </c>
      <c r="E515" s="7">
        <v>0.0</v>
      </c>
    </row>
    <row r="516">
      <c r="A516" s="5">
        <v>515.0</v>
      </c>
      <c r="B516" s="8" t="s">
        <v>807</v>
      </c>
      <c r="C516" s="5" t="s">
        <v>59</v>
      </c>
      <c r="D516" s="5" t="s">
        <v>39</v>
      </c>
      <c r="E516" s="7">
        <v>0.0</v>
      </c>
    </row>
    <row r="517">
      <c r="A517" s="5">
        <v>516.0</v>
      </c>
      <c r="B517" s="8" t="s">
        <v>765</v>
      </c>
      <c r="C517" s="5" t="s">
        <v>18</v>
      </c>
      <c r="D517" s="5" t="s">
        <v>39</v>
      </c>
      <c r="E517" s="7">
        <v>0.0</v>
      </c>
    </row>
    <row r="518">
      <c r="A518" s="5">
        <v>517.0</v>
      </c>
      <c r="B518" s="8" t="s">
        <v>813</v>
      </c>
      <c r="C518" s="5" t="s">
        <v>69</v>
      </c>
      <c r="D518" s="5" t="s">
        <v>39</v>
      </c>
      <c r="E518" s="7">
        <v>0.0</v>
      </c>
    </row>
    <row r="519">
      <c r="A519" s="5">
        <v>518.0</v>
      </c>
      <c r="B519" s="8" t="s">
        <v>779</v>
      </c>
      <c r="C519" s="5" t="s">
        <v>43</v>
      </c>
      <c r="D519" s="5" t="s">
        <v>39</v>
      </c>
      <c r="E519" s="7">
        <v>0.0</v>
      </c>
    </row>
    <row r="520">
      <c r="A520" s="5">
        <v>519.0</v>
      </c>
      <c r="B520" s="8" t="s">
        <v>926</v>
      </c>
      <c r="C520" s="5" t="s">
        <v>20</v>
      </c>
      <c r="D520" s="5" t="s">
        <v>39</v>
      </c>
      <c r="E520" s="7">
        <v>0.0</v>
      </c>
    </row>
    <row r="521">
      <c r="A521" s="5">
        <v>520.0</v>
      </c>
      <c r="B521" s="8" t="s">
        <v>798</v>
      </c>
      <c r="C521" s="5" t="s">
        <v>46</v>
      </c>
      <c r="D521" s="5" t="s">
        <v>39</v>
      </c>
      <c r="E521" s="7">
        <v>0.0</v>
      </c>
    </row>
    <row r="522">
      <c r="A522" s="5">
        <v>521.0</v>
      </c>
      <c r="B522" s="8" t="s">
        <v>759</v>
      </c>
      <c r="C522" s="5" t="s">
        <v>11</v>
      </c>
      <c r="D522" s="5" t="s">
        <v>39</v>
      </c>
      <c r="E522" s="7">
        <v>0.0</v>
      </c>
    </row>
    <row r="523">
      <c r="A523" s="5">
        <v>522.0</v>
      </c>
      <c r="B523" s="8" t="s">
        <v>762</v>
      </c>
      <c r="C523" s="5" t="s">
        <v>20</v>
      </c>
      <c r="D523" s="5" t="s">
        <v>39</v>
      </c>
      <c r="E523" s="7">
        <v>0.0</v>
      </c>
    </row>
    <row r="524">
      <c r="A524" s="5">
        <v>523.0</v>
      </c>
      <c r="B524" s="8" t="s">
        <v>797</v>
      </c>
      <c r="C524" s="5" t="s">
        <v>122</v>
      </c>
      <c r="D524" s="5" t="s">
        <v>39</v>
      </c>
      <c r="E524" s="7">
        <v>0.0</v>
      </c>
    </row>
    <row r="525">
      <c r="A525" s="5">
        <v>524.0</v>
      </c>
      <c r="B525" s="8" t="s">
        <v>747</v>
      </c>
      <c r="C525" s="5" t="s">
        <v>16</v>
      </c>
      <c r="D525" s="5" t="s">
        <v>39</v>
      </c>
      <c r="E525" s="7">
        <v>0.0</v>
      </c>
    </row>
    <row r="526">
      <c r="A526" s="5">
        <v>525.0</v>
      </c>
      <c r="B526" s="8" t="s">
        <v>778</v>
      </c>
      <c r="C526" s="5" t="s">
        <v>35</v>
      </c>
      <c r="D526" s="5" t="s">
        <v>39</v>
      </c>
      <c r="E526" s="7">
        <v>0.0</v>
      </c>
    </row>
    <row r="527">
      <c r="A527" s="5">
        <v>526.0</v>
      </c>
      <c r="B527" s="8" t="s">
        <v>805</v>
      </c>
      <c r="C527" s="5" t="s">
        <v>54</v>
      </c>
      <c r="D527" s="5" t="s">
        <v>39</v>
      </c>
      <c r="E527" s="7">
        <v>0.0</v>
      </c>
    </row>
    <row r="528">
      <c r="A528" s="5">
        <v>527.0</v>
      </c>
      <c r="B528" s="8" t="s">
        <v>791</v>
      </c>
      <c r="C528" s="5" t="s">
        <v>41</v>
      </c>
      <c r="D528" s="5" t="s">
        <v>39</v>
      </c>
      <c r="E528" s="7">
        <v>0.0</v>
      </c>
    </row>
    <row r="529">
      <c r="A529" s="5">
        <v>528.0</v>
      </c>
      <c r="B529" s="8" t="s">
        <v>777</v>
      </c>
      <c r="C529" s="5" t="s">
        <v>59</v>
      </c>
      <c r="D529" s="5" t="s">
        <v>39</v>
      </c>
      <c r="E529" s="7">
        <v>0.0</v>
      </c>
    </row>
    <row r="530">
      <c r="A530" s="5">
        <v>529.0</v>
      </c>
      <c r="B530" s="8" t="s">
        <v>753</v>
      </c>
      <c r="C530" s="5" t="s">
        <v>814</v>
      </c>
      <c r="D530" s="5" t="s">
        <v>39</v>
      </c>
      <c r="E530" s="7">
        <v>0.0</v>
      </c>
    </row>
    <row r="531">
      <c r="A531" s="5">
        <v>530.0</v>
      </c>
      <c r="B531" s="8" t="s">
        <v>927</v>
      </c>
      <c r="C531" s="5" t="s">
        <v>876</v>
      </c>
      <c r="D531" s="5" t="s">
        <v>39</v>
      </c>
      <c r="E531" s="7">
        <v>0.0</v>
      </c>
    </row>
    <row r="532">
      <c r="A532" s="5">
        <v>531.0</v>
      </c>
      <c r="B532" s="8" t="s">
        <v>761</v>
      </c>
      <c r="C532" s="5" t="s">
        <v>35</v>
      </c>
      <c r="D532" s="5" t="s">
        <v>39</v>
      </c>
      <c r="E532" s="7">
        <v>0.0</v>
      </c>
    </row>
    <row r="533">
      <c r="A533" s="5">
        <v>532.0</v>
      </c>
      <c r="B533" s="8" t="s">
        <v>769</v>
      </c>
      <c r="C533" s="5" t="s">
        <v>41</v>
      </c>
      <c r="D533" s="5" t="s">
        <v>39</v>
      </c>
      <c r="E533" s="7">
        <v>0.0</v>
      </c>
    </row>
    <row r="534">
      <c r="A534" s="5">
        <v>533.0</v>
      </c>
      <c r="B534" s="8" t="s">
        <v>809</v>
      </c>
      <c r="C534" s="5" t="s">
        <v>165</v>
      </c>
      <c r="D534" s="5" t="s">
        <v>39</v>
      </c>
      <c r="E534" s="7">
        <v>0.0</v>
      </c>
    </row>
    <row r="535">
      <c r="A535" s="5">
        <v>534.0</v>
      </c>
      <c r="B535" s="8" t="s">
        <v>208</v>
      </c>
      <c r="C535" s="5" t="s">
        <v>48</v>
      </c>
      <c r="D535" s="5" t="s">
        <v>39</v>
      </c>
      <c r="E535" s="7">
        <v>0.0</v>
      </c>
    </row>
    <row r="536">
      <c r="A536" s="5">
        <v>535.0</v>
      </c>
      <c r="B536" s="8" t="s">
        <v>928</v>
      </c>
      <c r="C536" s="5" t="s">
        <v>876</v>
      </c>
      <c r="D536" s="5" t="s">
        <v>39</v>
      </c>
      <c r="E536" s="7">
        <v>0.0</v>
      </c>
    </row>
    <row r="537">
      <c r="A537" s="5">
        <v>536.0</v>
      </c>
      <c r="B537" s="8" t="s">
        <v>929</v>
      </c>
      <c r="C537" s="5" t="s">
        <v>876</v>
      </c>
      <c r="D537" s="5" t="s">
        <v>39</v>
      </c>
      <c r="E537" s="7">
        <v>0.0</v>
      </c>
    </row>
    <row r="538">
      <c r="A538" s="5">
        <v>537.0</v>
      </c>
      <c r="B538" s="8" t="s">
        <v>765</v>
      </c>
      <c r="C538" s="5" t="s">
        <v>139</v>
      </c>
      <c r="D538" s="5" t="s">
        <v>39</v>
      </c>
      <c r="E538" s="7">
        <v>0.0</v>
      </c>
    </row>
    <row r="539">
      <c r="A539" s="5">
        <v>538.0</v>
      </c>
      <c r="B539" s="8" t="s">
        <v>743</v>
      </c>
      <c r="C539" s="5" t="s">
        <v>37</v>
      </c>
      <c r="D539" s="5" t="s">
        <v>39</v>
      </c>
      <c r="E539" s="7">
        <v>0.0</v>
      </c>
    </row>
    <row r="540">
      <c r="A540" s="5">
        <v>539.0</v>
      </c>
      <c r="B540" s="8" t="s">
        <v>754</v>
      </c>
      <c r="C540" s="5" t="s">
        <v>52</v>
      </c>
      <c r="D540" s="5" t="s">
        <v>39</v>
      </c>
      <c r="E540" s="7">
        <v>0.0</v>
      </c>
    </row>
    <row r="541">
      <c r="A541" s="5">
        <v>540.0</v>
      </c>
      <c r="B541" s="8" t="s">
        <v>791</v>
      </c>
      <c r="C541" s="5" t="s">
        <v>139</v>
      </c>
      <c r="D541" s="5" t="s">
        <v>39</v>
      </c>
      <c r="E541" s="7">
        <v>0.0</v>
      </c>
    </row>
    <row r="542">
      <c r="A542" s="5">
        <v>541.0</v>
      </c>
      <c r="B542" s="8" t="s">
        <v>768</v>
      </c>
      <c r="C542" s="5" t="s">
        <v>52</v>
      </c>
      <c r="D542" s="5" t="s">
        <v>39</v>
      </c>
      <c r="E542" s="7">
        <v>0.0</v>
      </c>
    </row>
    <row r="543">
      <c r="A543" s="5">
        <v>542.0</v>
      </c>
      <c r="B543" s="8" t="s">
        <v>778</v>
      </c>
      <c r="C543" s="5" t="s">
        <v>35</v>
      </c>
      <c r="D543" s="5" t="s">
        <v>39</v>
      </c>
      <c r="E543" s="7">
        <v>0.0</v>
      </c>
    </row>
    <row r="544">
      <c r="A544" s="5">
        <v>543.0</v>
      </c>
      <c r="B544" s="8" t="s">
        <v>774</v>
      </c>
      <c r="C544" s="5" t="s">
        <v>30</v>
      </c>
      <c r="D544" s="5" t="s">
        <v>39</v>
      </c>
      <c r="E544" s="7">
        <v>0.0</v>
      </c>
    </row>
    <row r="545">
      <c r="A545" s="5">
        <v>544.0</v>
      </c>
      <c r="B545" s="8" t="s">
        <v>925</v>
      </c>
      <c r="C545" s="5" t="s">
        <v>163</v>
      </c>
      <c r="D545" s="5" t="s">
        <v>39</v>
      </c>
      <c r="E545" s="7">
        <v>0.0</v>
      </c>
    </row>
    <row r="546">
      <c r="A546" s="5">
        <v>545.0</v>
      </c>
      <c r="B546" s="8" t="s">
        <v>746</v>
      </c>
      <c r="C546" s="5" t="s">
        <v>48</v>
      </c>
      <c r="D546" s="5" t="s">
        <v>39</v>
      </c>
      <c r="E546" s="7">
        <v>0.0</v>
      </c>
    </row>
    <row r="547">
      <c r="A547" s="5">
        <v>546.0</v>
      </c>
      <c r="B547" s="8" t="s">
        <v>782</v>
      </c>
      <c r="C547" s="5" t="s">
        <v>6</v>
      </c>
      <c r="D547" s="5" t="s">
        <v>39</v>
      </c>
      <c r="E547" s="7">
        <v>0.0</v>
      </c>
    </row>
    <row r="548">
      <c r="A548" s="5">
        <v>547.0</v>
      </c>
      <c r="B548" s="8" t="s">
        <v>760</v>
      </c>
      <c r="C548" s="5" t="s">
        <v>28</v>
      </c>
      <c r="D548" s="5" t="s">
        <v>39</v>
      </c>
      <c r="E548" s="7">
        <v>0.0</v>
      </c>
    </row>
    <row r="549">
      <c r="A549" s="5">
        <v>548.0</v>
      </c>
      <c r="B549" s="8" t="s">
        <v>930</v>
      </c>
      <c r="C549" s="5" t="s">
        <v>163</v>
      </c>
      <c r="D549" s="5" t="s">
        <v>39</v>
      </c>
      <c r="E549" s="7">
        <v>0.0</v>
      </c>
    </row>
    <row r="550">
      <c r="A550" s="5">
        <v>549.0</v>
      </c>
      <c r="B550" s="8" t="s">
        <v>766</v>
      </c>
      <c r="C550" s="5" t="s">
        <v>46</v>
      </c>
      <c r="D550" s="5" t="s">
        <v>39</v>
      </c>
      <c r="E550" s="7">
        <v>0.0</v>
      </c>
    </row>
    <row r="551">
      <c r="A551" s="5">
        <v>550.0</v>
      </c>
      <c r="B551" s="8" t="s">
        <v>769</v>
      </c>
      <c r="C551" s="5" t="s">
        <v>26</v>
      </c>
      <c r="D551" s="5" t="s">
        <v>39</v>
      </c>
      <c r="E551" s="7">
        <v>0.0</v>
      </c>
    </row>
    <row r="552">
      <c r="A552" s="5">
        <v>551.0</v>
      </c>
      <c r="B552" s="8" t="s">
        <v>787</v>
      </c>
      <c r="C552" s="5" t="s">
        <v>122</v>
      </c>
      <c r="D552" s="5" t="s">
        <v>39</v>
      </c>
      <c r="E552" s="7">
        <v>0.0</v>
      </c>
    </row>
    <row r="553">
      <c r="A553" s="5">
        <v>552.0</v>
      </c>
      <c r="B553" s="8" t="s">
        <v>931</v>
      </c>
      <c r="C553" s="5" t="s">
        <v>35</v>
      </c>
      <c r="D553" s="5" t="s">
        <v>39</v>
      </c>
      <c r="E553" s="7">
        <v>0.0</v>
      </c>
    </row>
    <row r="554">
      <c r="A554" s="5">
        <v>553.0</v>
      </c>
      <c r="B554" s="8" t="s">
        <v>759</v>
      </c>
      <c r="C554" s="5" t="s">
        <v>11</v>
      </c>
      <c r="D554" s="5" t="s">
        <v>39</v>
      </c>
      <c r="E554" s="7">
        <v>0.0</v>
      </c>
    </row>
    <row r="555">
      <c r="A555" s="5">
        <v>554.0</v>
      </c>
      <c r="B555" s="8" t="s">
        <v>924</v>
      </c>
      <c r="C555" s="5" t="s">
        <v>876</v>
      </c>
      <c r="D555" s="5" t="s">
        <v>39</v>
      </c>
      <c r="E555" s="7">
        <v>0.0</v>
      </c>
    </row>
    <row r="556">
      <c r="A556" s="5">
        <v>555.0</v>
      </c>
      <c r="B556" s="8" t="s">
        <v>932</v>
      </c>
      <c r="C556" s="5" t="s">
        <v>41</v>
      </c>
      <c r="D556" s="5" t="s">
        <v>39</v>
      </c>
      <c r="E556" s="7">
        <v>0.0</v>
      </c>
    </row>
    <row r="557">
      <c r="A557" s="5">
        <v>556.0</v>
      </c>
      <c r="B557" s="8" t="s">
        <v>762</v>
      </c>
      <c r="C557" s="5" t="s">
        <v>20</v>
      </c>
      <c r="D557" s="5" t="s">
        <v>39</v>
      </c>
      <c r="E557" s="7">
        <v>0.0</v>
      </c>
    </row>
    <row r="558">
      <c r="A558" s="5">
        <v>557.0</v>
      </c>
      <c r="B558" s="8" t="s">
        <v>785</v>
      </c>
      <c r="C558" s="5" t="s">
        <v>6</v>
      </c>
      <c r="D558" s="5" t="s">
        <v>39</v>
      </c>
      <c r="E558" s="7">
        <v>0.0</v>
      </c>
    </row>
    <row r="559">
      <c r="A559" s="5">
        <v>558.0</v>
      </c>
      <c r="B559" s="8" t="s">
        <v>749</v>
      </c>
      <c r="C559" s="5" t="s">
        <v>50</v>
      </c>
      <c r="D559" s="5" t="s">
        <v>39</v>
      </c>
      <c r="E559" s="7">
        <v>0.0</v>
      </c>
    </row>
    <row r="560">
      <c r="A560" s="5">
        <v>559.0</v>
      </c>
      <c r="B560" s="8" t="s">
        <v>755</v>
      </c>
      <c r="C560" s="5" t="s">
        <v>28</v>
      </c>
      <c r="D560" s="5" t="s">
        <v>39</v>
      </c>
      <c r="E560" s="7">
        <v>0.0</v>
      </c>
    </row>
    <row r="561">
      <c r="A561" s="5">
        <v>560.0</v>
      </c>
      <c r="B561" s="8" t="s">
        <v>933</v>
      </c>
      <c r="C561" s="5" t="s">
        <v>876</v>
      </c>
      <c r="D561" s="5" t="s">
        <v>39</v>
      </c>
      <c r="E561" s="7">
        <v>0.0</v>
      </c>
    </row>
    <row r="562">
      <c r="A562" s="5">
        <v>561.0</v>
      </c>
      <c r="B562" s="8" t="s">
        <v>922</v>
      </c>
      <c r="C562" s="5" t="s">
        <v>104</v>
      </c>
      <c r="D562" s="5" t="s">
        <v>39</v>
      </c>
      <c r="E562" s="7">
        <v>0.0</v>
      </c>
    </row>
    <row r="563">
      <c r="A563" s="5">
        <v>562.0</v>
      </c>
      <c r="B563" s="8" t="s">
        <v>784</v>
      </c>
      <c r="C563" s="5" t="s">
        <v>50</v>
      </c>
      <c r="D563" s="5" t="s">
        <v>39</v>
      </c>
      <c r="E563" s="7">
        <v>0.0</v>
      </c>
    </row>
    <row r="564">
      <c r="A564" s="5">
        <v>563.0</v>
      </c>
      <c r="B564" s="8" t="s">
        <v>813</v>
      </c>
      <c r="C564" s="5" t="s">
        <v>43</v>
      </c>
      <c r="D564" s="5" t="s">
        <v>39</v>
      </c>
      <c r="E564" s="7">
        <v>0.0</v>
      </c>
    </row>
    <row r="565">
      <c r="A565" s="5">
        <v>564.0</v>
      </c>
      <c r="B565" s="8" t="s">
        <v>767</v>
      </c>
      <c r="C565" s="5" t="s">
        <v>96</v>
      </c>
      <c r="D565" s="5" t="s">
        <v>39</v>
      </c>
      <c r="E565" s="7">
        <v>0.0</v>
      </c>
    </row>
    <row r="566">
      <c r="A566" s="5">
        <v>565.0</v>
      </c>
      <c r="B566" s="8" t="s">
        <v>927</v>
      </c>
      <c r="C566" s="5" t="s">
        <v>71</v>
      </c>
      <c r="D566" s="5" t="s">
        <v>39</v>
      </c>
      <c r="E566" s="7">
        <v>0.0</v>
      </c>
    </row>
    <row r="567">
      <c r="A567" s="5">
        <v>566.0</v>
      </c>
      <c r="B567" s="8" t="s">
        <v>772</v>
      </c>
      <c r="C567" s="5" t="s">
        <v>24</v>
      </c>
      <c r="D567" s="5" t="s">
        <v>39</v>
      </c>
      <c r="E567" s="7">
        <v>0.0</v>
      </c>
    </row>
    <row r="568">
      <c r="A568" s="5">
        <v>567.0</v>
      </c>
      <c r="B568" s="8" t="s">
        <v>748</v>
      </c>
      <c r="C568" s="5" t="s">
        <v>165</v>
      </c>
      <c r="D568" s="5" t="s">
        <v>39</v>
      </c>
      <c r="E568" s="7">
        <v>0.0</v>
      </c>
    </row>
    <row r="569">
      <c r="A569" s="5">
        <v>568.0</v>
      </c>
      <c r="B569" s="8" t="s">
        <v>747</v>
      </c>
      <c r="C569" s="5" t="s">
        <v>16</v>
      </c>
      <c r="D569" s="5" t="s">
        <v>39</v>
      </c>
      <c r="E569" s="7">
        <v>0.0</v>
      </c>
    </row>
    <row r="570">
      <c r="A570" s="5">
        <v>569.0</v>
      </c>
      <c r="B570" s="8" t="s">
        <v>792</v>
      </c>
      <c r="C570" s="5" t="s">
        <v>43</v>
      </c>
      <c r="D570" s="5" t="s">
        <v>39</v>
      </c>
      <c r="E570" s="7">
        <v>0.0</v>
      </c>
    </row>
    <row r="571">
      <c r="A571" s="5">
        <v>570.0</v>
      </c>
      <c r="B571" s="8" t="s">
        <v>761</v>
      </c>
      <c r="C571" s="5" t="s">
        <v>35</v>
      </c>
      <c r="D571" s="5" t="s">
        <v>39</v>
      </c>
      <c r="E571" s="7">
        <v>0.0</v>
      </c>
    </row>
    <row r="572">
      <c r="A572" s="5">
        <v>571.0</v>
      </c>
      <c r="B572" s="8" t="s">
        <v>789</v>
      </c>
      <c r="C572" s="5" t="s">
        <v>33</v>
      </c>
      <c r="D572" s="5" t="s">
        <v>39</v>
      </c>
      <c r="E572" s="7">
        <v>0.0</v>
      </c>
    </row>
    <row r="573">
      <c r="A573" s="5">
        <v>572.0</v>
      </c>
      <c r="B573" s="8" t="s">
        <v>808</v>
      </c>
      <c r="C573" s="5" t="s">
        <v>71</v>
      </c>
      <c r="D573" s="5" t="s">
        <v>39</v>
      </c>
      <c r="E573" s="7">
        <v>0.0</v>
      </c>
    </row>
    <row r="574">
      <c r="A574" s="5">
        <v>573.0</v>
      </c>
      <c r="B574" s="8" t="s">
        <v>807</v>
      </c>
      <c r="C574" s="5" t="s">
        <v>91</v>
      </c>
      <c r="D574" s="5" t="s">
        <v>39</v>
      </c>
      <c r="E574" s="7">
        <v>0.0</v>
      </c>
    </row>
    <row r="575">
      <c r="A575" s="5">
        <v>574.0</v>
      </c>
      <c r="B575" s="8" t="s">
        <v>806</v>
      </c>
      <c r="C575" s="5" t="s">
        <v>165</v>
      </c>
      <c r="D575" s="5" t="s">
        <v>39</v>
      </c>
      <c r="E575" s="7">
        <v>0.0</v>
      </c>
    </row>
    <row r="576">
      <c r="A576" s="5">
        <v>575.0</v>
      </c>
      <c r="B576" s="8" t="s">
        <v>770</v>
      </c>
      <c r="C576" s="5" t="s">
        <v>62</v>
      </c>
      <c r="D576" s="5" t="s">
        <v>39</v>
      </c>
      <c r="E576" s="7">
        <v>0.0</v>
      </c>
    </row>
    <row r="577">
      <c r="A577" s="5">
        <v>576.0</v>
      </c>
      <c r="B577" s="8" t="s">
        <v>934</v>
      </c>
      <c r="C577" s="5" t="s">
        <v>18</v>
      </c>
      <c r="D577" s="5" t="s">
        <v>39</v>
      </c>
      <c r="E577" s="7">
        <v>0.0</v>
      </c>
    </row>
    <row r="578">
      <c r="A578" s="5">
        <v>577.0</v>
      </c>
      <c r="B578" s="8" t="s">
        <v>775</v>
      </c>
      <c r="C578" s="5" t="s">
        <v>16</v>
      </c>
      <c r="D578" s="5" t="s">
        <v>39</v>
      </c>
      <c r="E578" s="7">
        <v>0.0</v>
      </c>
    </row>
    <row r="579">
      <c r="A579" s="5">
        <v>578.0</v>
      </c>
      <c r="B579" s="8" t="s">
        <v>935</v>
      </c>
      <c r="C579" s="5" t="s">
        <v>876</v>
      </c>
      <c r="D579" s="5" t="s">
        <v>39</v>
      </c>
      <c r="E579" s="7">
        <v>0.0</v>
      </c>
    </row>
    <row r="580">
      <c r="A580" s="5">
        <v>579.0</v>
      </c>
      <c r="B580" s="8" t="s">
        <v>788</v>
      </c>
      <c r="C580" s="5" t="s">
        <v>59</v>
      </c>
      <c r="D580" s="5" t="s">
        <v>39</v>
      </c>
      <c r="E580" s="7">
        <v>0.0</v>
      </c>
    </row>
    <row r="581">
      <c r="A581" s="5">
        <v>580.0</v>
      </c>
      <c r="B581" s="8" t="s">
        <v>771</v>
      </c>
      <c r="C581" s="5" t="s">
        <v>9</v>
      </c>
      <c r="D581" s="5" t="s">
        <v>39</v>
      </c>
      <c r="E581" s="7">
        <v>0.0</v>
      </c>
    </row>
    <row r="582">
      <c r="A582" s="5">
        <v>581.0</v>
      </c>
      <c r="B582" s="8" t="s">
        <v>936</v>
      </c>
      <c r="C582" s="5" t="s">
        <v>69</v>
      </c>
      <c r="D582" s="5" t="s">
        <v>39</v>
      </c>
      <c r="E582" s="7">
        <v>0.0</v>
      </c>
    </row>
    <row r="583">
      <c r="A583" s="5">
        <v>582.0</v>
      </c>
      <c r="B583" s="8" t="s">
        <v>937</v>
      </c>
      <c r="C583" s="5" t="s">
        <v>91</v>
      </c>
      <c r="D583" s="5" t="s">
        <v>39</v>
      </c>
      <c r="E583" s="7">
        <v>0.0</v>
      </c>
    </row>
    <row r="584">
      <c r="A584" s="5">
        <v>583.0</v>
      </c>
      <c r="B584" s="8" t="s">
        <v>938</v>
      </c>
      <c r="C584" s="5" t="s">
        <v>876</v>
      </c>
      <c r="D584" s="5" t="s">
        <v>39</v>
      </c>
      <c r="E584" s="7">
        <v>0.0</v>
      </c>
    </row>
    <row r="585">
      <c r="A585" s="5">
        <v>584.0</v>
      </c>
      <c r="B585" s="8" t="s">
        <v>939</v>
      </c>
      <c r="C585" s="5" t="s">
        <v>876</v>
      </c>
      <c r="D585" s="5" t="s">
        <v>39</v>
      </c>
      <c r="E585" s="7">
        <v>0.0</v>
      </c>
    </row>
    <row r="586">
      <c r="A586" s="5">
        <v>585.0</v>
      </c>
      <c r="B586" s="8" t="s">
        <v>773</v>
      </c>
      <c r="C586" s="5" t="s">
        <v>122</v>
      </c>
      <c r="D586" s="5" t="s">
        <v>39</v>
      </c>
      <c r="E586" s="7">
        <v>0.0</v>
      </c>
    </row>
    <row r="587">
      <c r="A587" s="5">
        <v>586.0</v>
      </c>
      <c r="B587" s="8" t="s">
        <v>940</v>
      </c>
      <c r="C587" s="5" t="s">
        <v>876</v>
      </c>
      <c r="D587" s="5" t="s">
        <v>39</v>
      </c>
      <c r="E587" s="7">
        <v>0.0</v>
      </c>
    </row>
    <row r="588">
      <c r="A588" s="5">
        <v>587.0</v>
      </c>
      <c r="B588" s="8" t="s">
        <v>941</v>
      </c>
      <c r="C588" s="5" t="s">
        <v>876</v>
      </c>
      <c r="D588" s="5" t="s">
        <v>39</v>
      </c>
      <c r="E588" s="7">
        <v>0.0</v>
      </c>
    </row>
    <row r="589">
      <c r="A589" s="5">
        <v>588.0</v>
      </c>
      <c r="B589" s="8" t="s">
        <v>942</v>
      </c>
      <c r="C589" s="5" t="s">
        <v>18</v>
      </c>
      <c r="D589" s="5" t="s">
        <v>39</v>
      </c>
      <c r="E589" s="7">
        <v>0.0</v>
      </c>
    </row>
    <row r="590">
      <c r="A590" s="5">
        <v>589.0</v>
      </c>
      <c r="B590" s="8" t="s">
        <v>943</v>
      </c>
      <c r="C590" s="5" t="s">
        <v>876</v>
      </c>
      <c r="D590" s="5" t="s">
        <v>39</v>
      </c>
      <c r="E590" s="7">
        <v>0.0</v>
      </c>
    </row>
    <row r="591">
      <c r="A591" s="5">
        <v>590.0</v>
      </c>
      <c r="B591" s="8" t="s">
        <v>944</v>
      </c>
      <c r="C591" s="5" t="s">
        <v>876</v>
      </c>
      <c r="D591" s="5" t="s">
        <v>39</v>
      </c>
      <c r="E591" s="7">
        <v>0.0</v>
      </c>
    </row>
    <row r="592">
      <c r="A592" s="5">
        <v>591.0</v>
      </c>
      <c r="B592" s="8" t="s">
        <v>945</v>
      </c>
      <c r="C592" s="5" t="s">
        <v>16</v>
      </c>
      <c r="D592" s="5" t="s">
        <v>39</v>
      </c>
      <c r="E592" s="7">
        <v>0.0</v>
      </c>
    </row>
    <row r="593">
      <c r="A593" s="5">
        <v>592.0</v>
      </c>
      <c r="B593" s="8" t="s">
        <v>799</v>
      </c>
      <c r="C593" s="5" t="s">
        <v>11</v>
      </c>
      <c r="D593" s="5" t="s">
        <v>39</v>
      </c>
      <c r="E593" s="7">
        <v>0.0</v>
      </c>
    </row>
    <row r="594">
      <c r="A594" s="5">
        <v>593.0</v>
      </c>
      <c r="B594" s="8" t="s">
        <v>926</v>
      </c>
      <c r="C594" s="5" t="s">
        <v>20</v>
      </c>
      <c r="D594" s="5" t="s">
        <v>39</v>
      </c>
      <c r="E594" s="7">
        <v>0.0</v>
      </c>
    </row>
    <row r="595">
      <c r="A595" s="5">
        <v>594.0</v>
      </c>
      <c r="B595" s="8" t="s">
        <v>786</v>
      </c>
      <c r="C595" s="5" t="s">
        <v>9</v>
      </c>
      <c r="D595" s="5" t="s">
        <v>39</v>
      </c>
      <c r="E595" s="7">
        <v>0.0</v>
      </c>
    </row>
    <row r="596">
      <c r="A596" s="5">
        <v>595.0</v>
      </c>
      <c r="B596" s="8" t="s">
        <v>946</v>
      </c>
      <c r="C596" s="5" t="s">
        <v>876</v>
      </c>
      <c r="D596" s="5" t="s">
        <v>39</v>
      </c>
      <c r="E596" s="7">
        <v>0.0</v>
      </c>
    </row>
    <row r="597">
      <c r="A597" s="5">
        <v>596.0</v>
      </c>
      <c r="B597" s="8" t="s">
        <v>796</v>
      </c>
      <c r="C597" s="5" t="s">
        <v>69</v>
      </c>
      <c r="D597" s="5" t="s">
        <v>39</v>
      </c>
      <c r="E597" s="7">
        <v>0.0</v>
      </c>
    </row>
    <row r="598">
      <c r="A598" s="5">
        <v>597.0</v>
      </c>
      <c r="B598" s="8" t="s">
        <v>794</v>
      </c>
      <c r="C598" s="5" t="s">
        <v>54</v>
      </c>
      <c r="D598" s="5" t="s">
        <v>39</v>
      </c>
      <c r="E598" s="7">
        <v>0.0</v>
      </c>
    </row>
    <row r="599">
      <c r="A599" s="5">
        <v>598.0</v>
      </c>
      <c r="B599" s="8" t="s">
        <v>783</v>
      </c>
      <c r="C599" s="5" t="s">
        <v>46</v>
      </c>
      <c r="D599" s="5" t="s">
        <v>39</v>
      </c>
      <c r="E599" s="7">
        <v>0.0</v>
      </c>
    </row>
    <row r="600">
      <c r="A600" s="5">
        <v>599.0</v>
      </c>
      <c r="B600" s="8" t="s">
        <v>854</v>
      </c>
      <c r="C600" s="5" t="s">
        <v>22</v>
      </c>
      <c r="D600" s="5" t="s">
        <v>134</v>
      </c>
      <c r="E600" s="7">
        <v>0.0</v>
      </c>
    </row>
    <row r="601">
      <c r="A601" s="5">
        <v>600.0</v>
      </c>
      <c r="B601" s="8" t="s">
        <v>856</v>
      </c>
      <c r="C601" s="5" t="s">
        <v>26</v>
      </c>
      <c r="D601" s="5" t="s">
        <v>134</v>
      </c>
      <c r="E601" s="7">
        <v>0.0</v>
      </c>
    </row>
    <row r="602">
      <c r="A602" s="5">
        <v>601.0</v>
      </c>
      <c r="B602" s="8" t="s">
        <v>864</v>
      </c>
      <c r="C602" s="5" t="s">
        <v>71</v>
      </c>
      <c r="D602" s="5" t="s">
        <v>134</v>
      </c>
      <c r="E602" s="7">
        <v>0.0</v>
      </c>
    </row>
    <row r="603">
      <c r="A603" s="5">
        <v>602.0</v>
      </c>
      <c r="B603" s="8" t="s">
        <v>861</v>
      </c>
      <c r="C603" s="5" t="s">
        <v>50</v>
      </c>
      <c r="D603" s="5" t="s">
        <v>134</v>
      </c>
      <c r="E603" s="7">
        <v>0.0</v>
      </c>
    </row>
    <row r="604">
      <c r="A604" s="5">
        <v>603.0</v>
      </c>
      <c r="B604" s="8" t="s">
        <v>839</v>
      </c>
      <c r="C604" s="5" t="s">
        <v>96</v>
      </c>
      <c r="D604" s="5" t="s">
        <v>134</v>
      </c>
      <c r="E604" s="7">
        <v>0.0</v>
      </c>
    </row>
    <row r="605">
      <c r="A605" s="5">
        <v>604.0</v>
      </c>
      <c r="B605" s="8" t="s">
        <v>843</v>
      </c>
      <c r="C605" s="5" t="s">
        <v>30</v>
      </c>
      <c r="D605" s="5" t="s">
        <v>134</v>
      </c>
      <c r="E605" s="7">
        <v>0.0</v>
      </c>
    </row>
    <row r="606">
      <c r="A606" s="5">
        <v>605.0</v>
      </c>
      <c r="B606" s="8" t="s">
        <v>868</v>
      </c>
      <c r="C606" s="5" t="s">
        <v>37</v>
      </c>
      <c r="D606" s="5" t="s">
        <v>134</v>
      </c>
      <c r="E606" s="7">
        <v>0.0</v>
      </c>
    </row>
    <row r="607">
      <c r="A607" s="5">
        <v>606.0</v>
      </c>
      <c r="B607" s="8" t="s">
        <v>858</v>
      </c>
      <c r="C607" s="5" t="s">
        <v>69</v>
      </c>
      <c r="D607" s="5" t="s">
        <v>134</v>
      </c>
      <c r="E607" s="7">
        <v>0.0</v>
      </c>
    </row>
    <row r="608">
      <c r="A608" s="5">
        <v>607.0</v>
      </c>
      <c r="B608" s="8" t="s">
        <v>857</v>
      </c>
      <c r="C608" s="5" t="s">
        <v>165</v>
      </c>
      <c r="D608" s="5" t="s">
        <v>134</v>
      </c>
      <c r="E608" s="7">
        <v>0.0</v>
      </c>
    </row>
    <row r="609">
      <c r="A609" s="5">
        <v>608.0</v>
      </c>
      <c r="B609" s="8" t="s">
        <v>859</v>
      </c>
      <c r="C609" s="5" t="s">
        <v>9</v>
      </c>
      <c r="D609" s="5" t="s">
        <v>134</v>
      </c>
      <c r="E609" s="7">
        <v>0.0</v>
      </c>
    </row>
    <row r="610">
      <c r="A610" s="5">
        <v>609.0</v>
      </c>
      <c r="B610" s="8" t="s">
        <v>867</v>
      </c>
      <c r="C610" s="5" t="s">
        <v>54</v>
      </c>
      <c r="D610" s="5" t="s">
        <v>134</v>
      </c>
      <c r="E610" s="7">
        <v>0.0</v>
      </c>
    </row>
    <row r="611">
      <c r="A611" s="5">
        <v>610.0</v>
      </c>
      <c r="B611" s="8" t="s">
        <v>860</v>
      </c>
      <c r="C611" s="5" t="s">
        <v>28</v>
      </c>
      <c r="D611" s="5" t="s">
        <v>134</v>
      </c>
      <c r="E611" s="7">
        <v>0.0</v>
      </c>
    </row>
    <row r="612">
      <c r="A612" s="5">
        <v>611.0</v>
      </c>
      <c r="B612" s="8" t="s">
        <v>870</v>
      </c>
      <c r="C612" s="5" t="s">
        <v>41</v>
      </c>
      <c r="D612" s="5" t="s">
        <v>134</v>
      </c>
      <c r="E612" s="7">
        <v>0.0</v>
      </c>
    </row>
    <row r="613">
      <c r="A613" s="5">
        <v>612.0</v>
      </c>
      <c r="B613" s="8" t="s">
        <v>866</v>
      </c>
      <c r="C613" s="5" t="s">
        <v>6</v>
      </c>
      <c r="D613" s="5" t="s">
        <v>134</v>
      </c>
      <c r="E613" s="7">
        <v>0.0</v>
      </c>
    </row>
    <row r="614">
      <c r="A614" s="5">
        <v>613.0</v>
      </c>
      <c r="B614" s="8" t="s">
        <v>855</v>
      </c>
      <c r="C614" s="5" t="s">
        <v>11</v>
      </c>
      <c r="D614" s="5" t="s">
        <v>134</v>
      </c>
      <c r="E614" s="7">
        <v>0.0</v>
      </c>
    </row>
    <row r="615">
      <c r="A615" s="5">
        <v>614.0</v>
      </c>
      <c r="B615" s="8" t="s">
        <v>851</v>
      </c>
      <c r="C615" s="5" t="s">
        <v>139</v>
      </c>
      <c r="D615" s="5" t="s">
        <v>134</v>
      </c>
      <c r="E615" s="7">
        <v>0.0</v>
      </c>
    </row>
    <row r="616">
      <c r="A616" s="5">
        <v>615.0</v>
      </c>
      <c r="B616" s="8" t="s">
        <v>862</v>
      </c>
      <c r="C616" s="5" t="s">
        <v>52</v>
      </c>
      <c r="D616" s="5" t="s">
        <v>134</v>
      </c>
      <c r="E616" s="7">
        <v>0.0</v>
      </c>
    </row>
    <row r="617">
      <c r="A617" s="5">
        <v>616.0</v>
      </c>
      <c r="B617" s="8" t="s">
        <v>865</v>
      </c>
      <c r="C617" s="5" t="s">
        <v>33</v>
      </c>
      <c r="D617" s="5" t="s">
        <v>134</v>
      </c>
      <c r="E617" s="7">
        <v>0.0</v>
      </c>
    </row>
    <row r="618">
      <c r="A618" s="5">
        <v>617.0</v>
      </c>
      <c r="B618" s="8" t="s">
        <v>853</v>
      </c>
      <c r="C618" s="5" t="s">
        <v>48</v>
      </c>
      <c r="D618" s="5" t="s">
        <v>134</v>
      </c>
      <c r="E618" s="7">
        <v>0.0</v>
      </c>
    </row>
    <row r="619">
      <c r="A619" s="5">
        <v>618.0</v>
      </c>
      <c r="B619" s="8" t="s">
        <v>869</v>
      </c>
      <c r="C619" s="5" t="s">
        <v>163</v>
      </c>
      <c r="D619" s="5" t="s">
        <v>134</v>
      </c>
      <c r="E619" s="7">
        <v>0.0</v>
      </c>
    </row>
  </sheetData>
  <autoFilter ref="$A$1:$E$619">
    <sortState ref="A1:E619">
      <sortCondition ref="A1:A619"/>
      <sortCondition ref="B1:B619"/>
    </sortState>
  </autoFilter>
  <customSheetViews>
    <customSheetView guid="{0BD78D33-B142-4323-A82C-0C46ADE1021F}" filter="1" showAutoFilter="1">
      <autoFilter ref="$A$1:$E$619"/>
    </customSheetView>
    <customSheetView guid="{A558A935-2B1E-4855-B30A-2B8B635B8ED8}" filter="1" showAutoFilter="1">
      <autoFilter ref="$A$1:$E$619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3" width="8.63"/>
    <col customWidth="1" min="4" max="4" width="9.88"/>
    <col customWidth="1" min="5" max="5" width="10.38"/>
    <col customWidth="1" min="7" max="7" width="11.88"/>
  </cols>
  <sheetData>
    <row r="1">
      <c r="A1" s="23" t="s">
        <v>1</v>
      </c>
      <c r="B1" s="23" t="s">
        <v>947</v>
      </c>
      <c r="C1" s="23" t="s">
        <v>2</v>
      </c>
      <c r="D1" s="23" t="s">
        <v>3</v>
      </c>
      <c r="E1" s="23" t="s">
        <v>948</v>
      </c>
      <c r="F1" s="23" t="s">
        <v>949</v>
      </c>
      <c r="G1" s="23" t="s">
        <v>950</v>
      </c>
      <c r="H1" s="23" t="s">
        <v>951</v>
      </c>
      <c r="I1" s="23" t="s">
        <v>952</v>
      </c>
      <c r="J1" s="24" t="s">
        <v>953</v>
      </c>
      <c r="K1" s="23" t="s">
        <v>954</v>
      </c>
    </row>
    <row r="2" hidden="1">
      <c r="A2" s="6" t="s">
        <v>5</v>
      </c>
      <c r="B2" s="25" t="s">
        <v>955</v>
      </c>
      <c r="C2" s="5" t="s">
        <v>6</v>
      </c>
      <c r="D2" s="5" t="s">
        <v>7</v>
      </c>
      <c r="E2" s="26">
        <f>vlookup(C2,'Team Bye List'!$A$1:$B$33,2,False)</f>
        <v>11</v>
      </c>
      <c r="F2" s="27">
        <f>if(ISNA(vlookup($A2, ESPN!$B$2:$E$257, 4, false)), 0, vlookup($A2, ESPN!$B$2:$E$257, 4, false))</f>
        <v>77</v>
      </c>
      <c r="G2" s="27">
        <f>if(ISNA(vlookup($A2, FFToolbox!$B$2:$E$239, 4, false)), 0, vlookup($A2, FFToolbox!$B$2:$E$239, 4, false))</f>
        <v>53</v>
      </c>
      <c r="H2" s="27">
        <f>if(ISNA(vlookup($A2, FantasyPro!$B$2:$E$305, 4, false)), 0, vlookup($A2, FantasyPro!$B$2:$E$305, 4, false))</f>
        <v>64</v>
      </c>
      <c r="I2" s="27">
        <f>if(ISNA(vlookup($A2, RotoWire!$B$2:$E$681, 4, false)), 0, vlookup($A2, RotoWire!$B$2:$E$681, 4, false))</f>
        <v>66</v>
      </c>
      <c r="J2" s="28">
        <f t="shared" ref="J2:J774" si="1">Average(F2:I2)</f>
        <v>65</v>
      </c>
      <c r="K2" s="28">
        <f t="shared" ref="K2:K774" si="2">max(F2:I2)-min(F2:I2)</f>
        <v>24</v>
      </c>
    </row>
    <row r="3" hidden="1">
      <c r="A3" s="6" t="s">
        <v>8</v>
      </c>
      <c r="B3" s="25" t="s">
        <v>956</v>
      </c>
      <c r="C3" s="5" t="s">
        <v>9</v>
      </c>
      <c r="D3" s="5" t="s">
        <v>7</v>
      </c>
      <c r="E3" s="26">
        <f>vlookup(C3,'Team Bye List'!$A$1:$B$33,2,False)</f>
        <v>8</v>
      </c>
      <c r="F3" s="27">
        <f>if(ISNA(vlookup($A3, ESPN!$B$2:$E$257, 4, false)), 0, vlookup($A3, ESPN!$B$2:$E$257, 4, false))</f>
        <v>73</v>
      </c>
      <c r="G3" s="27">
        <f>if(ISNA(vlookup($A3, FFToolbox!$B$2:$E$239, 4, false)), 0, vlookup($A3, FFToolbox!$B$2:$E$239, 4, false))</f>
        <v>45</v>
      </c>
      <c r="H3" s="27">
        <f>if(ISNA(vlookup($A3, FantasyPro!$B$2:$E$316, 4, false)), 0, vlookup($A3, FantasyPro!$B$2:$E$316, 4, false))</f>
        <v>53</v>
      </c>
      <c r="I3" s="27">
        <f>if(ISNA(vlookup($A3, RotoWire!$B$2:$E$681, 4, false)), 0, vlookup($A3, RotoWire!$B$2:$E$681, 4, false))</f>
        <v>40</v>
      </c>
      <c r="J3" s="28">
        <f t="shared" si="1"/>
        <v>52.75</v>
      </c>
      <c r="K3" s="28">
        <f t="shared" si="2"/>
        <v>33</v>
      </c>
    </row>
    <row r="4">
      <c r="A4" s="6" t="s">
        <v>38</v>
      </c>
      <c r="B4" s="25" t="s">
        <v>956</v>
      </c>
      <c r="C4" s="5" t="s">
        <v>11</v>
      </c>
      <c r="D4" s="5" t="s">
        <v>39</v>
      </c>
      <c r="E4" s="26">
        <f>vlookup(C4,'Team Bye List'!$A$1:$B$33,2,False)</f>
        <v>12</v>
      </c>
      <c r="F4" s="27">
        <f>if(ISNA(vlookup($A4, ESPN!$B$2:$E$257, 4, false)), 0, vlookup($A4, ESPN!$B$2:$E$257, 4, false))</f>
        <v>45</v>
      </c>
      <c r="G4" s="27">
        <f>if(ISNA(vlookup($A4, FFToolbox!$B$2:$E$239, 4, false)), 0, vlookup($A4, FFToolbox!$B$2:$E$239, 4, false))</f>
        <v>19</v>
      </c>
      <c r="H4" s="27">
        <f>if(ISNA(vlookup($A4, FantasyPro!$B$2:$E$316, 4, false)), 0, vlookup($A4, FantasyPro!$B$2:$E$316, 4, false))</f>
        <v>33</v>
      </c>
      <c r="I4" s="27">
        <f>if(ISNA(vlookup($A4, RotoWire!$B$2:$E$681, 4, false)), 0, vlookup($A4, RotoWire!$B$2:$E$681, 4, false))</f>
        <v>114</v>
      </c>
      <c r="J4" s="28">
        <f t="shared" si="1"/>
        <v>52.75</v>
      </c>
      <c r="K4" s="28">
        <f t="shared" si="2"/>
        <v>95</v>
      </c>
    </row>
    <row r="5" hidden="1">
      <c r="A5" s="6" t="s">
        <v>19</v>
      </c>
      <c r="B5" s="25" t="s">
        <v>955</v>
      </c>
      <c r="C5" s="5" t="s">
        <v>20</v>
      </c>
      <c r="D5" s="5" t="s">
        <v>14</v>
      </c>
      <c r="E5" s="26">
        <f>vlookup(C5,'Team Bye List'!$A$1:$B$33,2,False)</f>
        <v>9</v>
      </c>
      <c r="F5" s="27">
        <f>if(ISNA(vlookup($A5, ESPN!$B$2:$E$257, 4, false)), 0, vlookup($A5, ESPN!$B$2:$E$257, 4, false))</f>
        <v>58</v>
      </c>
      <c r="G5" s="27">
        <f>if(ISNA(vlookup($A5, FFToolbox!$B$2:$E$239, 4, false)), 0, vlookup($A5, FFToolbox!$B$2:$E$239, 4, false))</f>
        <v>44</v>
      </c>
      <c r="H5" s="27">
        <f>if(ISNA(vlookup($A5, FantasyPro!$B$2:$E$316, 4, false)), 0, vlookup($A5, FantasyPro!$B$2:$E$316, 4, false))</f>
        <v>46</v>
      </c>
      <c r="I5" s="27">
        <f>if(ISNA(vlookup($A5, RotoWire!$B$2:$E$681, 4, false)), 0, vlookup($A5, RotoWire!$B$2:$E$681, 4, false))</f>
        <v>59</v>
      </c>
      <c r="J5" s="28">
        <f t="shared" si="1"/>
        <v>51.75</v>
      </c>
      <c r="K5" s="28">
        <f t="shared" si="2"/>
        <v>15</v>
      </c>
    </row>
    <row r="6" hidden="1">
      <c r="A6" s="6" t="s">
        <v>15</v>
      </c>
      <c r="B6" s="25" t="s">
        <v>956</v>
      </c>
      <c r="C6" s="5" t="s">
        <v>16</v>
      </c>
      <c r="D6" s="5" t="s">
        <v>7</v>
      </c>
      <c r="E6" s="26">
        <f>vlookup(C6,'Team Bye List'!$A$1:$B$33,2,False)</f>
        <v>9</v>
      </c>
      <c r="F6" s="27">
        <f>if(ISNA(vlookup($A6, ESPN!$B$2:$E$257, 4, false)), 0, vlookup($A6, ESPN!$B$2:$E$257, 4, false))</f>
        <v>59</v>
      </c>
      <c r="G6" s="27">
        <f>if(ISNA(vlookup($A6, FFToolbox!$B$2:$E$239, 4, false)), 0, vlookup($A6, FFToolbox!$B$2:$E$239, 4, false))</f>
        <v>49</v>
      </c>
      <c r="H6" s="27">
        <f>if(ISNA(vlookup($A6, FantasyPro!$B$2:$E$316, 4, false)), 0, vlookup($A6, FantasyPro!$B$2:$E$316, 4, false))</f>
        <v>57</v>
      </c>
      <c r="I6" s="27">
        <f>if(ISNA(vlookup($A6, RotoWire!$B$2:$E$681, 4, false)), 0, vlookup($A6, RotoWire!$B$2:$E$681, 4, false))</f>
        <v>38</v>
      </c>
      <c r="J6" s="28">
        <f t="shared" si="1"/>
        <v>50.75</v>
      </c>
      <c r="K6" s="28">
        <f t="shared" si="2"/>
        <v>21</v>
      </c>
    </row>
    <row r="7" hidden="1">
      <c r="A7" s="6" t="s">
        <v>17</v>
      </c>
      <c r="B7" s="25" t="s">
        <v>956</v>
      </c>
      <c r="C7" s="5" t="s">
        <v>18</v>
      </c>
      <c r="D7" s="5" t="s">
        <v>14</v>
      </c>
      <c r="E7" s="26">
        <f>vlookup(C7,'Team Bye List'!$A$1:$B$33,2,False)</f>
        <v>10</v>
      </c>
      <c r="F7" s="27">
        <f>if(ISNA(vlookup($A7, ESPN!$B$2:$E$257, 4, false)), 0, vlookup($A7, ESPN!$B$2:$E$257, 4, false))</f>
        <v>60</v>
      </c>
      <c r="G7" s="27">
        <f>if(ISNA(vlookup($A7, FFToolbox!$B$2:$E$239, 4, false)), 0, vlookup($A7, FFToolbox!$B$2:$E$239, 4, false))</f>
        <v>44</v>
      </c>
      <c r="H7" s="27">
        <f>if(ISNA(vlookup($A7, FantasyPro!$B$2:$E$316, 4, false)), 0, vlookup($A7, FantasyPro!$B$2:$E$316, 4, false))</f>
        <v>47</v>
      </c>
      <c r="I7" s="27">
        <f>if(ISNA(vlookup($A7, RotoWire!$B$2:$E$681, 4, false)), 0, vlookup($A7, RotoWire!$B$2:$E$681, 4, false))</f>
        <v>52</v>
      </c>
      <c r="J7" s="28">
        <f t="shared" si="1"/>
        <v>50.75</v>
      </c>
      <c r="K7" s="28">
        <f t="shared" si="2"/>
        <v>16</v>
      </c>
    </row>
    <row r="8" hidden="1">
      <c r="A8" s="6" t="s">
        <v>10</v>
      </c>
      <c r="B8" s="25" t="s">
        <v>956</v>
      </c>
      <c r="C8" s="5" t="s">
        <v>11</v>
      </c>
      <c r="D8" s="5" t="s">
        <v>12</v>
      </c>
      <c r="E8" s="26">
        <f>vlookup(C8,'Team Bye List'!$A$1:$B$33,2,False)</f>
        <v>12</v>
      </c>
      <c r="F8" s="27">
        <f>if(ISNA(vlookup($A8, ESPN!$B$2:$E$257, 4, false)), 0, vlookup($A8, ESPN!$B$2:$E$257, 4, false))</f>
        <v>68</v>
      </c>
      <c r="G8" s="27">
        <f>if(ISNA(vlookup($A8, FFToolbox!$B$2:$E$239, 4, false)), 0, vlookup($A8, FFToolbox!$B$2:$E$239, 4, false))</f>
        <v>36</v>
      </c>
      <c r="H8" s="27">
        <f>if(ISNA(vlookup($A8, FantasyPro!$B$2:$E$316, 4, false)), 0, vlookup($A8, FantasyPro!$B$2:$E$316, 4, false))</f>
        <v>46</v>
      </c>
      <c r="I8" s="27">
        <f>if(ISNA(vlookup($A8, RotoWire!$B$2:$E$681, 4, false)), 0, vlookup($A8, RotoWire!$B$2:$E$681, 4, false))</f>
        <v>52</v>
      </c>
      <c r="J8" s="28">
        <f t="shared" si="1"/>
        <v>50.5</v>
      </c>
      <c r="K8" s="28">
        <f t="shared" si="2"/>
        <v>32</v>
      </c>
    </row>
    <row r="9" hidden="1">
      <c r="A9" s="6" t="s">
        <v>13</v>
      </c>
      <c r="B9" s="25" t="s">
        <v>956</v>
      </c>
      <c r="C9" s="5" t="s">
        <v>11</v>
      </c>
      <c r="D9" s="5" t="s">
        <v>14</v>
      </c>
      <c r="E9" s="26">
        <f>vlookup(C9,'Team Bye List'!$A$1:$B$33,2,False)</f>
        <v>12</v>
      </c>
      <c r="F9" s="27">
        <f>if(ISNA(vlookup($A9, ESPN!$B$2:$E$257, 4, false)), 0, vlookup($A9, ESPN!$B$2:$E$257, 4, false))</f>
        <v>67</v>
      </c>
      <c r="G9" s="27">
        <f>if(ISNA(vlookup($A9, FFToolbox!$B$2:$E$239, 4, false)), 0, vlookup($A9, FFToolbox!$B$2:$E$239, 4, false))</f>
        <v>36</v>
      </c>
      <c r="H9" s="27">
        <f>if(ISNA(vlookup($A9, FantasyPro!$B$2:$E$316, 4, false)), 0, vlookup($A9, FantasyPro!$B$2:$E$316, 4, false))</f>
        <v>44</v>
      </c>
      <c r="I9" s="27">
        <f>if(ISNA(vlookup($A9, RotoWire!$B$2:$E$681, 4, false)), 0, vlookup($A9, RotoWire!$B$2:$E$681, 4, false))</f>
        <v>47</v>
      </c>
      <c r="J9" s="28">
        <f t="shared" si="1"/>
        <v>48.5</v>
      </c>
      <c r="K9" s="28">
        <f t="shared" si="2"/>
        <v>31</v>
      </c>
    </row>
    <row r="10" hidden="1">
      <c r="A10" s="6" t="s">
        <v>27</v>
      </c>
      <c r="B10" s="25" t="s">
        <v>956</v>
      </c>
      <c r="C10" s="5" t="s">
        <v>28</v>
      </c>
      <c r="D10" s="5" t="s">
        <v>14</v>
      </c>
      <c r="E10" s="26">
        <f>vlookup(C10,'Team Bye List'!$A$1:$B$33,2,False)</f>
        <v>11</v>
      </c>
      <c r="F10" s="27">
        <f>if(ISNA(vlookup($A10, ESPN!$B$2:$E$257, 4, false)), 0, vlookup($A10, ESPN!$B$2:$E$257, 4, false))</f>
        <v>52</v>
      </c>
      <c r="G10" s="27">
        <f>if(ISNA(vlookup($A10, FFToolbox!$B$2:$E$239, 4, false)), 0, vlookup($A10, FFToolbox!$B$2:$E$239, 4, false))</f>
        <v>43</v>
      </c>
      <c r="H10" s="27">
        <f>if(ISNA(vlookup($A10, FantasyPro!$B$2:$E$316, 4, false)), 0, vlookup($A10, FantasyPro!$B$2:$E$316, 4, false))</f>
        <v>43</v>
      </c>
      <c r="I10" s="27">
        <f>if(ISNA(vlookup($A10, RotoWire!$B$2:$E$681, 4, false)), 0, vlookup($A10, RotoWire!$B$2:$E$681, 4, false))</f>
        <v>41</v>
      </c>
      <c r="J10" s="28">
        <f t="shared" si="1"/>
        <v>44.75</v>
      </c>
      <c r="K10" s="28">
        <f t="shared" si="2"/>
        <v>11</v>
      </c>
    </row>
    <row r="11" hidden="1">
      <c r="A11" s="6" t="s">
        <v>34</v>
      </c>
      <c r="B11" s="25" t="s">
        <v>955</v>
      </c>
      <c r="C11" s="5" t="s">
        <v>35</v>
      </c>
      <c r="D11" s="5" t="s">
        <v>14</v>
      </c>
      <c r="E11" s="26">
        <f>vlookup(C11,'Team Bye List'!$A$1:$B$33,2,False)</f>
        <v>7</v>
      </c>
      <c r="F11" s="27">
        <f>if(ISNA(vlookup($A11, ESPN!$B$2:$E$257, 4, false)), 0, vlookup($A11, ESPN!$B$2:$E$257, 4, false))</f>
        <v>49</v>
      </c>
      <c r="G11" s="27">
        <f>if(ISNA(vlookup($A11, FFToolbox!$B$2:$E$239, 4, false)), 0, vlookup($A11, FFToolbox!$B$2:$E$239, 4, false))</f>
        <v>40</v>
      </c>
      <c r="H11" s="27">
        <f>if(ISNA(vlookup($A11, FantasyPro!$B$2:$E$316, 4, false)), 0, vlookup($A11, FantasyPro!$B$2:$E$316, 4, false))</f>
        <v>40</v>
      </c>
      <c r="I11" s="27">
        <f>if(ISNA(vlookup($A11, RotoWire!$B$2:$E$681, 4, false)), 0, vlookup($A11, RotoWire!$B$2:$E$681, 4, false))</f>
        <v>50</v>
      </c>
      <c r="J11" s="28">
        <f t="shared" si="1"/>
        <v>44.75</v>
      </c>
      <c r="K11" s="28">
        <f t="shared" si="2"/>
        <v>10</v>
      </c>
    </row>
    <row r="12" hidden="1">
      <c r="A12" s="6" t="s">
        <v>29</v>
      </c>
      <c r="B12" s="25" t="s">
        <v>955</v>
      </c>
      <c r="C12" s="5" t="s">
        <v>30</v>
      </c>
      <c r="D12" s="5" t="s">
        <v>14</v>
      </c>
      <c r="E12" s="26">
        <f>vlookup(C12,'Team Bye List'!$A$1:$B$33,2,False)</f>
        <v>7</v>
      </c>
      <c r="F12" s="27">
        <f>if(ISNA(vlookup($A12, ESPN!$B$2:$E$257, 4, false)), 0, vlookup($A12, ESPN!$B$2:$E$257, 4, false))</f>
        <v>51</v>
      </c>
      <c r="G12" s="27">
        <f>if(ISNA(vlookup($A12, FFToolbox!$B$2:$E$239, 4, false)), 0, vlookup($A12, FFToolbox!$B$2:$E$239, 4, false))</f>
        <v>37</v>
      </c>
      <c r="H12" s="27">
        <f>if(ISNA(vlookup($A12, FantasyPro!$B$2:$E$316, 4, false)), 0, vlookup($A12, FantasyPro!$B$2:$E$316, 4, false))</f>
        <v>35</v>
      </c>
      <c r="I12" s="27">
        <f>if(ISNA(vlookup($A12, RotoWire!$B$2:$E$681, 4, false)), 0, vlookup($A12, RotoWire!$B$2:$E$681, 4, false))</f>
        <v>49</v>
      </c>
      <c r="J12" s="28">
        <f t="shared" si="1"/>
        <v>43</v>
      </c>
      <c r="K12" s="28">
        <f t="shared" si="2"/>
        <v>16</v>
      </c>
    </row>
    <row r="13" hidden="1">
      <c r="A13" s="6" t="s">
        <v>25</v>
      </c>
      <c r="B13" s="25" t="s">
        <v>956</v>
      </c>
      <c r="C13" s="5" t="s">
        <v>26</v>
      </c>
      <c r="D13" s="5" t="s">
        <v>7</v>
      </c>
      <c r="E13" s="26">
        <f>vlookup(C13,'Team Bye List'!$A$1:$B$33,2,False)</f>
        <v>12</v>
      </c>
      <c r="F13" s="27">
        <f>if(ISNA(vlookup($A13, ESPN!$B$2:$E$257, 4, false)), 0, vlookup($A13, ESPN!$B$2:$E$257, 4, false))</f>
        <v>52</v>
      </c>
      <c r="G13" s="27">
        <f>if(ISNA(vlookup($A13, FFToolbox!$B$2:$E$239, 4, false)), 0, vlookup($A13, FFToolbox!$B$2:$E$239, 4, false))</f>
        <v>40</v>
      </c>
      <c r="H13" s="27">
        <f>if(ISNA(vlookup($A13, FantasyPro!$B$2:$E$316, 4, false)), 0, vlookup($A13, FantasyPro!$B$2:$E$316, 4, false))</f>
        <v>41</v>
      </c>
      <c r="I13" s="27">
        <f>if(ISNA(vlookup($A13, RotoWire!$B$2:$E$681, 4, false)), 0, vlookup($A13, RotoWire!$B$2:$E$681, 4, false))</f>
        <v>37</v>
      </c>
      <c r="J13" s="28">
        <f t="shared" si="1"/>
        <v>42.5</v>
      </c>
      <c r="K13" s="28">
        <f t="shared" si="2"/>
        <v>15</v>
      </c>
    </row>
    <row r="14" hidden="1">
      <c r="A14" s="6" t="s">
        <v>32</v>
      </c>
      <c r="B14" s="25" t="s">
        <v>956</v>
      </c>
      <c r="C14" s="5" t="s">
        <v>33</v>
      </c>
      <c r="D14" s="5" t="s">
        <v>12</v>
      </c>
      <c r="E14" s="26">
        <f>vlookup(C14,'Team Bye List'!$A$1:$B$33,2,False)</f>
        <v>4</v>
      </c>
      <c r="F14" s="27">
        <f>if(ISNA(vlookup($A14, ESPN!$B$2:$E$257, 4, false)), 0, vlookup($A14, ESPN!$B$2:$E$257, 4, false))</f>
        <v>49</v>
      </c>
      <c r="G14" s="27">
        <f>if(ISNA(vlookup($A14, FFToolbox!$B$2:$E$239, 4, false)), 0, vlookup($A14, FFToolbox!$B$2:$E$239, 4, false))</f>
        <v>31</v>
      </c>
      <c r="H14" s="27">
        <f>if(ISNA(vlookup($A14, FantasyPro!$B$2:$E$316, 4, false)), 0, vlookup($A14, FantasyPro!$B$2:$E$316, 4, false))</f>
        <v>36</v>
      </c>
      <c r="I14" s="27">
        <f>if(ISNA(vlookup($A14, RotoWire!$B$2:$E$681, 4, false)), 0, vlookup($A14, RotoWire!$B$2:$E$681, 4, false))</f>
        <v>50</v>
      </c>
      <c r="J14" s="28">
        <f t="shared" si="1"/>
        <v>41.5</v>
      </c>
      <c r="K14" s="28">
        <f t="shared" si="2"/>
        <v>19</v>
      </c>
    </row>
    <row r="15" hidden="1">
      <c r="A15" s="6" t="s">
        <v>36</v>
      </c>
      <c r="B15" s="25" t="s">
        <v>955</v>
      </c>
      <c r="C15" s="5" t="s">
        <v>37</v>
      </c>
      <c r="D15" s="5" t="s">
        <v>14</v>
      </c>
      <c r="E15" s="26">
        <f>vlookup(C15,'Team Bye List'!$A$1:$B$33,2,False)</f>
        <v>7</v>
      </c>
      <c r="F15" s="27">
        <f>if(ISNA(vlookup($A15, ESPN!$B$2:$E$257, 4, false)), 0, vlookup($A15, ESPN!$B$2:$E$257, 4, false))</f>
        <v>49</v>
      </c>
      <c r="G15" s="27">
        <f>if(ISNA(vlookup($A15, FFToolbox!$B$2:$E$239, 4, false)), 0, vlookup($A15, FFToolbox!$B$2:$E$239, 4, false))</f>
        <v>34</v>
      </c>
      <c r="H15" s="27">
        <f>if(ISNA(vlookup($A15, FantasyPro!$B$2:$E$316, 4, false)), 0, vlookup($A15, FantasyPro!$B$2:$E$316, 4, false))</f>
        <v>36</v>
      </c>
      <c r="I15" s="27">
        <f>if(ISNA(vlookup($A15, RotoWire!$B$2:$E$681, 4, false)), 0, vlookup($A15, RotoWire!$B$2:$E$681, 4, false))</f>
        <v>47</v>
      </c>
      <c r="J15" s="28">
        <f t="shared" si="1"/>
        <v>41.5</v>
      </c>
      <c r="K15" s="28">
        <f t="shared" si="2"/>
        <v>15</v>
      </c>
    </row>
    <row r="16" hidden="1">
      <c r="A16" s="6" t="s">
        <v>31</v>
      </c>
      <c r="B16" s="25" t="s">
        <v>956</v>
      </c>
      <c r="C16" s="5" t="s">
        <v>16</v>
      </c>
      <c r="D16" s="5" t="s">
        <v>14</v>
      </c>
      <c r="E16" s="26">
        <f>vlookup(C16,'Team Bye List'!$A$1:$B$33,2,False)</f>
        <v>9</v>
      </c>
      <c r="F16" s="27">
        <f>if(ISNA(vlookup($A16, ESPN!$B$2:$E$257, 4, false)), 0, vlookup($A16, ESPN!$B$2:$E$257, 4, false))</f>
        <v>50</v>
      </c>
      <c r="G16" s="27">
        <f>if(ISNA(vlookup($A16, FFToolbox!$B$2:$E$239, 4, false)), 0, vlookup($A16, FFToolbox!$B$2:$E$239, 4, false))</f>
        <v>41</v>
      </c>
      <c r="H16" s="27">
        <f>if(ISNA(vlookup($A16, FantasyPro!$B$2:$E$316, 4, false)), 0, vlookup($A16, FantasyPro!$B$2:$E$316, 4, false))</f>
        <v>36</v>
      </c>
      <c r="I16" s="27">
        <f>if(ISNA(vlookup($A16, RotoWire!$B$2:$E$681, 4, false)), 0, vlookup($A16, RotoWire!$B$2:$E$681, 4, false))</f>
        <v>36</v>
      </c>
      <c r="J16" s="28">
        <f t="shared" si="1"/>
        <v>40.75</v>
      </c>
      <c r="K16" s="28">
        <f t="shared" si="2"/>
        <v>14</v>
      </c>
    </row>
    <row r="17" hidden="1">
      <c r="A17" s="6" t="s">
        <v>21</v>
      </c>
      <c r="B17" s="25" t="s">
        <v>956</v>
      </c>
      <c r="C17" s="5" t="s">
        <v>22</v>
      </c>
      <c r="D17" s="5" t="s">
        <v>7</v>
      </c>
      <c r="E17" s="26">
        <f>vlookup(C17,'Team Bye List'!$A$1:$B$33,2,False)</f>
        <v>7</v>
      </c>
      <c r="F17" s="27">
        <f>if(ISNA(vlookup($A17, ESPN!$B$2:$E$257, 4, false)), 0, vlookup($A17, ESPN!$B$2:$E$257, 4, false))</f>
        <v>55</v>
      </c>
      <c r="G17" s="27">
        <f>if(ISNA(vlookup($A17, FFToolbox!$B$2:$E$239, 4, false)), 0, vlookup($A17, FFToolbox!$B$2:$E$239, 4, false))</f>
        <v>50</v>
      </c>
      <c r="H17" s="27">
        <f>if(ISNA(vlookup($A17, FantasyPro!$B$2:$E$316, 4, false)), 0, vlookup($A17, FantasyPro!$B$2:$E$316, 4, false))</f>
        <v>57</v>
      </c>
      <c r="I17" s="27">
        <f>if(ISNA(vlookup($A17, RotoWire!$B$2:$E$681, 4, false)), 0, vlookup($A17, RotoWire!$B$2:$E$681, 4, false))</f>
        <v>0</v>
      </c>
      <c r="J17" s="28">
        <f t="shared" si="1"/>
        <v>40.5</v>
      </c>
      <c r="K17" s="28">
        <f t="shared" si="2"/>
        <v>57</v>
      </c>
    </row>
    <row r="18" hidden="1">
      <c r="A18" s="6" t="s">
        <v>51</v>
      </c>
      <c r="B18" s="25" t="s">
        <v>955</v>
      </c>
      <c r="C18" s="5" t="s">
        <v>52</v>
      </c>
      <c r="D18" s="5" t="s">
        <v>7</v>
      </c>
      <c r="E18" s="26">
        <f>vlookup(C18,'Team Bye List'!$A$1:$B$33,2,False)</f>
        <v>4</v>
      </c>
      <c r="F18" s="27">
        <f>if(ISNA(vlookup($A18, ESPN!$B$2:$E$257, 4, false)), 0, vlookup($A18, ESPN!$B$2:$E$257, 4, false))</f>
        <v>38</v>
      </c>
      <c r="G18" s="27">
        <f>if(ISNA(vlookup($A18, FFToolbox!$B$2:$E$239, 4, false)), 0, vlookup($A18, FFToolbox!$B$2:$E$239, 4, false))</f>
        <v>39</v>
      </c>
      <c r="H18" s="27">
        <f>if(ISNA(vlookup($A18, FantasyPro!$B$2:$E$316, 4, false)), 0, vlookup($A18, FantasyPro!$B$2:$E$316, 4, false))</f>
        <v>41</v>
      </c>
      <c r="I18" s="27">
        <f>if(ISNA(vlookup($A18, RotoWire!$B$2:$E$681, 4, false)), 0, vlookup($A18, RotoWire!$B$2:$E$681, 4, false))</f>
        <v>43</v>
      </c>
      <c r="J18" s="28">
        <f t="shared" si="1"/>
        <v>40.25</v>
      </c>
      <c r="K18" s="28">
        <f t="shared" si="2"/>
        <v>5</v>
      </c>
    </row>
    <row r="19" hidden="1">
      <c r="A19" s="6" t="s">
        <v>40</v>
      </c>
      <c r="B19" s="25" t="s">
        <v>955</v>
      </c>
      <c r="C19" s="5" t="s">
        <v>41</v>
      </c>
      <c r="D19" s="5" t="s">
        <v>14</v>
      </c>
      <c r="E19" s="26">
        <f>vlookup(C19,'Team Bye List'!$A$1:$B$33,2,False)</f>
        <v>6</v>
      </c>
      <c r="F19" s="27">
        <f>if(ISNA(vlookup($A19, ESPN!$B$2:$E$257, 4, false)), 0, vlookup($A19, ESPN!$B$2:$E$257, 4, false))</f>
        <v>44</v>
      </c>
      <c r="G19" s="27">
        <f>if(ISNA(vlookup($A19, FFToolbox!$B$2:$E$239, 4, false)), 0, vlookup($A19, FFToolbox!$B$2:$E$239, 4, false))</f>
        <v>33</v>
      </c>
      <c r="H19" s="27">
        <f>if(ISNA(vlookup($A19, FantasyPro!$B$2:$E$316, 4, false)), 0, vlookup($A19, FantasyPro!$B$2:$E$316, 4, false))</f>
        <v>32</v>
      </c>
      <c r="I19" s="27">
        <f>if(ISNA(vlookup($A19, RotoWire!$B$2:$E$681, 4, false)), 0, vlookup($A19, RotoWire!$B$2:$E$681, 4, false))</f>
        <v>35</v>
      </c>
      <c r="J19" s="28">
        <f t="shared" si="1"/>
        <v>36</v>
      </c>
      <c r="K19" s="28">
        <f t="shared" si="2"/>
        <v>12</v>
      </c>
    </row>
    <row r="20" hidden="1">
      <c r="A20" s="6" t="s">
        <v>56</v>
      </c>
      <c r="B20" s="25" t="s">
        <v>956</v>
      </c>
      <c r="C20" s="5" t="s">
        <v>35</v>
      </c>
      <c r="D20" s="5" t="s">
        <v>7</v>
      </c>
      <c r="E20" s="26">
        <f>vlookup(C20,'Team Bye List'!$A$1:$B$33,2,False)</f>
        <v>7</v>
      </c>
      <c r="F20" s="27">
        <f>if(ISNA(vlookup($A20, ESPN!$B$2:$E$257, 4, false)), 0, vlookup($A20, ESPN!$B$2:$E$257, 4, false))</f>
        <v>35</v>
      </c>
      <c r="G20" s="27">
        <f>if(ISNA(vlookup($A20, FFToolbox!$B$2:$E$239, 4, false)), 0, vlookup($A20, FFToolbox!$B$2:$E$239, 4, false))</f>
        <v>38</v>
      </c>
      <c r="H20" s="27">
        <f>if(ISNA(vlookup($A20, FantasyPro!$B$2:$E$316, 4, false)), 0, vlookup($A20, FantasyPro!$B$2:$E$316, 4, false))</f>
        <v>40</v>
      </c>
      <c r="I20" s="27">
        <f>if(ISNA(vlookup($A20, RotoWire!$B$2:$E$681, 4, false)), 0, vlookup($A20, RotoWire!$B$2:$E$681, 4, false))</f>
        <v>27</v>
      </c>
      <c r="J20" s="28">
        <f t="shared" si="1"/>
        <v>35</v>
      </c>
      <c r="K20" s="28">
        <f t="shared" si="2"/>
        <v>13</v>
      </c>
    </row>
    <row r="21">
      <c r="A21" s="6" t="s">
        <v>73</v>
      </c>
      <c r="B21" s="25" t="s">
        <v>956</v>
      </c>
      <c r="C21" s="5" t="s">
        <v>20</v>
      </c>
      <c r="D21" s="5" t="s">
        <v>39</v>
      </c>
      <c r="E21" s="26">
        <f>vlookup(C21,'Team Bye List'!$A$1:$B$33,2,False)</f>
        <v>9</v>
      </c>
      <c r="F21" s="27">
        <f>if(ISNA(vlookup($A21, ESPN!$B$2:$E$257, 4, false)), 0, vlookup($A21, ESPN!$B$2:$E$257, 4, false))</f>
        <v>22</v>
      </c>
      <c r="G21" s="27">
        <f>if(ISNA(vlookup($A21, FFToolbox!$B$2:$E$239, 4, false)), 0, vlookup($A21, FFToolbox!$B$2:$E$239, 4, false))</f>
        <v>12</v>
      </c>
      <c r="H21" s="27">
        <f>if(ISNA(vlookup($A21, FantasyPro!$B$2:$E$316, 4, false)), 0, vlookup($A21, FantasyPro!$B$2:$E$316, 4, false))</f>
        <v>16</v>
      </c>
      <c r="I21" s="27">
        <f>if(ISNA(vlookup($A21, RotoWire!$B$2:$E$681, 4, false)), 0, vlookup($A21, RotoWire!$B$2:$E$681, 4, false))</f>
        <v>90</v>
      </c>
      <c r="J21" s="28">
        <f t="shared" si="1"/>
        <v>35</v>
      </c>
      <c r="K21" s="28">
        <f t="shared" si="2"/>
        <v>78</v>
      </c>
    </row>
    <row r="22" hidden="1">
      <c r="A22" s="6" t="s">
        <v>23</v>
      </c>
      <c r="B22" s="25" t="s">
        <v>956</v>
      </c>
      <c r="C22" s="5" t="s">
        <v>24</v>
      </c>
      <c r="D22" s="5" t="s">
        <v>7</v>
      </c>
      <c r="E22" s="26">
        <f>vlookup(C22,'Team Bye List'!$A$1:$B$33,2,False)</f>
        <v>9</v>
      </c>
      <c r="F22" s="27">
        <f>if(ISNA(vlookup($A22, ESPN!$B$2:$E$257, 4, false)), 0, vlookup($A22, ESPN!$B$2:$E$257, 4, false))</f>
        <v>54</v>
      </c>
      <c r="G22" s="27">
        <f>if(ISNA(vlookup($A22, FFToolbox!$B$2:$E$239, 4, false)), 0, vlookup($A22, FFToolbox!$B$2:$E$239, 4, false))</f>
        <v>27</v>
      </c>
      <c r="H22" s="27">
        <f>if(ISNA(vlookup($A22, FantasyPro!$B$2:$E$316, 4, false)), 0, vlookup($A22, FantasyPro!$B$2:$E$316, 4, false))</f>
        <v>39</v>
      </c>
      <c r="I22" s="27">
        <f>if(ISNA(vlookup($A22, RotoWire!$B$2:$E$681, 4, false)), 0, vlookup($A22, RotoWire!$B$2:$E$681, 4, false))</f>
        <v>14</v>
      </c>
      <c r="J22" s="28">
        <f t="shared" si="1"/>
        <v>33.5</v>
      </c>
      <c r="K22" s="28">
        <f t="shared" si="2"/>
        <v>40</v>
      </c>
    </row>
    <row r="23" hidden="1">
      <c r="A23" s="6" t="s">
        <v>63</v>
      </c>
      <c r="B23" s="25" t="s">
        <v>956</v>
      </c>
      <c r="C23" s="5" t="s">
        <v>30</v>
      </c>
      <c r="D23" s="5" t="s">
        <v>7</v>
      </c>
      <c r="E23" s="26">
        <f>vlookup(C23,'Team Bye List'!$A$1:$B$33,2,False)</f>
        <v>7</v>
      </c>
      <c r="F23" s="27">
        <f>if(ISNA(vlookup($A23, ESPN!$B$2:$E$257, 4, false)), 0, vlookup($A23, ESPN!$B$2:$E$257, 4, false))</f>
        <v>31</v>
      </c>
      <c r="G23" s="27">
        <f>if(ISNA(vlookup($A23, FFToolbox!$B$2:$E$239, 4, false)), 0, vlookup($A23, FFToolbox!$B$2:$E$239, 4, false))</f>
        <v>36</v>
      </c>
      <c r="H23" s="27">
        <f>if(ISNA(vlookup($A23, FantasyPro!$B$2:$E$316, 4, false)), 0, vlookup($A23, FantasyPro!$B$2:$E$316, 4, false))</f>
        <v>37</v>
      </c>
      <c r="I23" s="27">
        <f>if(ISNA(vlookup($A23, RotoWire!$B$2:$E$681, 4, false)), 0, vlookup($A23, RotoWire!$B$2:$E$681, 4, false))</f>
        <v>29</v>
      </c>
      <c r="J23" s="28">
        <f t="shared" si="1"/>
        <v>33.25</v>
      </c>
      <c r="K23" s="28">
        <f t="shared" si="2"/>
        <v>8</v>
      </c>
    </row>
    <row r="24" hidden="1">
      <c r="A24" s="6" t="s">
        <v>44</v>
      </c>
      <c r="B24" s="25" t="s">
        <v>955</v>
      </c>
      <c r="C24" s="5" t="s">
        <v>43</v>
      </c>
      <c r="D24" s="5" t="s">
        <v>14</v>
      </c>
      <c r="E24" s="26">
        <f>vlookup(C24,'Team Bye List'!$A$1:$B$33,2,False)</f>
        <v>12</v>
      </c>
      <c r="F24" s="27">
        <f>if(ISNA(vlookup($A24, ESPN!$B$2:$E$257, 4, false)), 0, vlookup($A24, ESPN!$B$2:$E$257, 4, false))</f>
        <v>42</v>
      </c>
      <c r="G24" s="27">
        <f>if(ISNA(vlookup($A24, FFToolbox!$B$2:$E$239, 4, false)), 0, vlookup($A24, FFToolbox!$B$2:$E$239, 4, false))</f>
        <v>33</v>
      </c>
      <c r="H24" s="27">
        <f>if(ISNA(vlookup($A24, FantasyPro!$B$2:$E$316, 4, false)), 0, vlookup($A24, FantasyPro!$B$2:$E$316, 4, false))</f>
        <v>30</v>
      </c>
      <c r="I24" s="27">
        <f>if(ISNA(vlookup($A24, RotoWire!$B$2:$E$681, 4, false)), 0, vlookup($A24, RotoWire!$B$2:$E$681, 4, false))</f>
        <v>27</v>
      </c>
      <c r="J24" s="28">
        <f t="shared" si="1"/>
        <v>33</v>
      </c>
      <c r="K24" s="28">
        <f t="shared" si="2"/>
        <v>15</v>
      </c>
    </row>
    <row r="25">
      <c r="A25" s="6" t="s">
        <v>60</v>
      </c>
      <c r="B25" s="25" t="s">
        <v>956</v>
      </c>
      <c r="C25" s="5" t="s">
        <v>18</v>
      </c>
      <c r="D25" s="5" t="s">
        <v>39</v>
      </c>
      <c r="E25" s="26">
        <f>vlookup(C25,'Team Bye List'!$A$1:$B$33,2,False)</f>
        <v>10</v>
      </c>
      <c r="F25" s="27">
        <f>if(ISNA(vlookup($A25, ESPN!$B$2:$E$257, 4, false)), 0, vlookup($A25, ESPN!$B$2:$E$257, 4, false))</f>
        <v>33</v>
      </c>
      <c r="G25" s="27">
        <f>if(ISNA(vlookup($A25, FFToolbox!$B$2:$E$239, 4, false)), 0, vlookup($A25, FFToolbox!$B$2:$E$239, 4, false))</f>
        <v>16</v>
      </c>
      <c r="H25" s="27">
        <f>if(ISNA(vlookup($A25, FantasyPro!$B$2:$E$316, 4, false)), 0, vlookup($A25, FantasyPro!$B$2:$E$316, 4, false))</f>
        <v>23</v>
      </c>
      <c r="I25" s="27">
        <f>if(ISNA(vlookup($A25, RotoWire!$B$2:$E$681, 4, false)), 0, vlookup($A25, RotoWire!$B$2:$E$681, 4, false))</f>
        <v>56</v>
      </c>
      <c r="J25" s="28">
        <f t="shared" si="1"/>
        <v>32</v>
      </c>
      <c r="K25" s="28">
        <f t="shared" si="2"/>
        <v>40</v>
      </c>
    </row>
    <row r="26" hidden="1">
      <c r="A26" s="6" t="s">
        <v>53</v>
      </c>
      <c r="B26" s="25" t="s">
        <v>955</v>
      </c>
      <c r="C26" s="5" t="s">
        <v>54</v>
      </c>
      <c r="D26" s="5" t="s">
        <v>7</v>
      </c>
      <c r="E26" s="26">
        <f>vlookup(C26,'Team Bye List'!$A$1:$B$33,2,False)</f>
        <v>9</v>
      </c>
      <c r="F26" s="27">
        <f>if(ISNA(vlookup($A26, ESPN!$B$2:$E$257, 4, false)), 0, vlookup($A26, ESPN!$B$2:$E$257, 4, false))</f>
        <v>37</v>
      </c>
      <c r="G26" s="27">
        <f>if(ISNA(vlookup($A26, FFToolbox!$B$2:$E$239, 4, false)), 0, vlookup($A26, FFToolbox!$B$2:$E$239, 4, false))</f>
        <v>34</v>
      </c>
      <c r="H26" s="27">
        <f>if(ISNA(vlookup($A26, FantasyPro!$B$2:$E$316, 4, false)), 0, vlookup($A26, FantasyPro!$B$2:$E$316, 4, false))</f>
        <v>37</v>
      </c>
      <c r="I26" s="27">
        <f>if(ISNA(vlookup($A26, RotoWire!$B$2:$E$681, 4, false)), 0, vlookup($A26, RotoWire!$B$2:$E$681, 4, false))</f>
        <v>20</v>
      </c>
      <c r="J26" s="28">
        <f t="shared" si="1"/>
        <v>32</v>
      </c>
      <c r="K26" s="28">
        <f t="shared" si="2"/>
        <v>17</v>
      </c>
    </row>
    <row r="27" hidden="1">
      <c r="A27" s="6" t="s">
        <v>58</v>
      </c>
      <c r="B27" s="25" t="s">
        <v>955</v>
      </c>
      <c r="C27" s="5" t="s">
        <v>59</v>
      </c>
      <c r="D27" s="5" t="s">
        <v>12</v>
      </c>
      <c r="E27" s="26">
        <f>vlookup(C27,'Team Bye List'!$A$1:$B$33,2,False)</f>
        <v>10</v>
      </c>
      <c r="F27" s="27">
        <f>if(ISNA(vlookup($A27, ESPN!$B$2:$E$257, 4, false)), 0, vlookup($A27, ESPN!$B$2:$E$257, 4, false))</f>
        <v>34</v>
      </c>
      <c r="G27" s="27">
        <f>if(ISNA(vlookup($A27, FFToolbox!$B$2:$E$239, 4, false)), 0, vlookup($A27, FFToolbox!$B$2:$E$239, 4, false))</f>
        <v>28</v>
      </c>
      <c r="H27" s="27">
        <f>if(ISNA(vlookup($A27, FantasyPro!$B$2:$E$316, 4, false)), 0, vlookup($A27, FantasyPro!$B$2:$E$316, 4, false))</f>
        <v>28</v>
      </c>
      <c r="I27" s="27">
        <f>if(ISNA(vlookup($A27, RotoWire!$B$2:$E$681, 4, false)), 0, vlookup($A27, RotoWire!$B$2:$E$681, 4, false))</f>
        <v>36</v>
      </c>
      <c r="J27" s="28">
        <f t="shared" si="1"/>
        <v>31.5</v>
      </c>
      <c r="K27" s="28">
        <f t="shared" si="2"/>
        <v>8</v>
      </c>
    </row>
    <row r="28">
      <c r="A28" s="6" t="s">
        <v>115</v>
      </c>
      <c r="B28" s="25" t="s">
        <v>956</v>
      </c>
      <c r="C28" s="5" t="s">
        <v>30</v>
      </c>
      <c r="D28" s="5" t="s">
        <v>39</v>
      </c>
      <c r="E28" s="26">
        <f>vlookup(C28,'Team Bye List'!$A$1:$B$33,2,False)</f>
        <v>7</v>
      </c>
      <c r="F28" s="27">
        <f>if(ISNA(vlookup($A28, ESPN!$B$2:$E$257, 4, false)), 0, vlookup($A28, ESPN!$B$2:$E$257, 4, false))</f>
        <v>6</v>
      </c>
      <c r="G28" s="27">
        <f>if(ISNA(vlookup($A28, FFToolbox!$B$2:$E$239, 4, false)), 0, vlookup($A28, FFToolbox!$B$2:$E$239, 4, false))</f>
        <v>10</v>
      </c>
      <c r="H28" s="27">
        <f>if(ISNA(vlookup($A28, FantasyPro!$B$2:$E$316, 4, false)), 0, vlookup($A28, FantasyPro!$B$2:$E$316, 4, false))</f>
        <v>9</v>
      </c>
      <c r="I28" s="27">
        <f>if(ISNA(vlookup($A28, RotoWire!$B$2:$E$681, 4, false)), 0, vlookup($A28, RotoWire!$B$2:$E$681, 4, false))</f>
        <v>97</v>
      </c>
      <c r="J28" s="28">
        <f t="shared" si="1"/>
        <v>30.5</v>
      </c>
      <c r="K28" s="28">
        <f t="shared" si="2"/>
        <v>91</v>
      </c>
    </row>
    <row r="29" hidden="1">
      <c r="A29" s="6" t="s">
        <v>61</v>
      </c>
      <c r="B29" s="25" t="s">
        <v>956</v>
      </c>
      <c r="C29" s="5" t="s">
        <v>62</v>
      </c>
      <c r="D29" s="5" t="s">
        <v>14</v>
      </c>
      <c r="E29" s="26">
        <f>vlookup(C29,'Team Bye List'!$A$1:$B$33,2,False)</f>
        <v>12</v>
      </c>
      <c r="F29" s="27">
        <f>if(ISNA(vlookup($A29, ESPN!$B$2:$E$257, 4, false)), 0, vlookup($A29, ESPN!$B$2:$E$257, 4, false))</f>
        <v>31</v>
      </c>
      <c r="G29" s="27">
        <f>if(ISNA(vlookup($A29, FFToolbox!$B$2:$E$239, 4, false)), 0, vlookup($A29, FFToolbox!$B$2:$E$239, 4, false))</f>
        <v>27</v>
      </c>
      <c r="H29" s="27">
        <f>if(ISNA(vlookup($A29, FantasyPro!$B$2:$E$316, 4, false)), 0, vlookup($A29, FantasyPro!$B$2:$E$316, 4, false))</f>
        <v>25</v>
      </c>
      <c r="I29" s="27">
        <f>if(ISNA(vlookup($A29, RotoWire!$B$2:$E$681, 4, false)), 0, vlookup($A29, RotoWire!$B$2:$E$681, 4, false))</f>
        <v>36</v>
      </c>
      <c r="J29" s="28">
        <f t="shared" si="1"/>
        <v>29.75</v>
      </c>
      <c r="K29" s="28">
        <f t="shared" si="2"/>
        <v>11</v>
      </c>
    </row>
    <row r="30" hidden="1">
      <c r="A30" s="6" t="s">
        <v>64</v>
      </c>
      <c r="B30" s="25" t="s">
        <v>955</v>
      </c>
      <c r="C30" s="5" t="s">
        <v>62</v>
      </c>
      <c r="D30" s="5" t="s">
        <v>7</v>
      </c>
      <c r="E30" s="26">
        <f>vlookup(C30,'Team Bye List'!$A$1:$B$33,2,False)</f>
        <v>12</v>
      </c>
      <c r="F30" s="27">
        <f>if(ISNA(vlookup($A30, ESPN!$B$2:$E$257, 4, false)), 0, vlookup($A30, ESPN!$B$2:$E$257, 4, false))</f>
        <v>29</v>
      </c>
      <c r="G30" s="27">
        <f>if(ISNA(vlookup($A30, FFToolbox!$B$2:$E$239, 4, false)), 0, vlookup($A30, FFToolbox!$B$2:$E$239, 4, false))</f>
        <v>34</v>
      </c>
      <c r="H30" s="27">
        <f>if(ISNA(vlookup($A30, FantasyPro!$B$2:$E$316, 4, false)), 0, vlookup($A30, FantasyPro!$B$2:$E$316, 4, false))</f>
        <v>34</v>
      </c>
      <c r="I30" s="27">
        <f>if(ISNA(vlookup($A30, RotoWire!$B$2:$E$681, 4, false)), 0, vlookup($A30, RotoWire!$B$2:$E$681, 4, false))</f>
        <v>19</v>
      </c>
      <c r="J30" s="28">
        <f t="shared" si="1"/>
        <v>29</v>
      </c>
      <c r="K30" s="28">
        <f t="shared" si="2"/>
        <v>15</v>
      </c>
    </row>
    <row r="31" hidden="1">
      <c r="A31" s="6" t="s">
        <v>57</v>
      </c>
      <c r="B31" s="25" t="s">
        <v>955</v>
      </c>
      <c r="C31" s="5" t="s">
        <v>24</v>
      </c>
      <c r="D31" s="5" t="s">
        <v>14</v>
      </c>
      <c r="E31" s="26">
        <f>vlookup(C31,'Team Bye List'!$A$1:$B$33,2,False)</f>
        <v>9</v>
      </c>
      <c r="F31" s="27">
        <f>if(ISNA(vlookup($A31, ESPN!$B$2:$E$257, 4, false)), 0, vlookup($A31, ESPN!$B$2:$E$257, 4, false))</f>
        <v>34</v>
      </c>
      <c r="G31" s="27">
        <f>if(ISNA(vlookup($A31, FFToolbox!$B$2:$E$239, 4, false)), 0, vlookup($A31, FFToolbox!$B$2:$E$239, 4, false))</f>
        <v>24</v>
      </c>
      <c r="H31" s="27">
        <f>if(ISNA(vlookup($A31, FantasyPro!$B$2:$E$316, 4, false)), 0, vlookup($A31, FantasyPro!$B$2:$E$316, 4, false))</f>
        <v>24</v>
      </c>
      <c r="I31" s="27">
        <f>if(ISNA(vlookup($A31, RotoWire!$B$2:$E$681, 4, false)), 0, vlookup($A31, RotoWire!$B$2:$E$681, 4, false))</f>
        <v>31</v>
      </c>
      <c r="J31" s="28">
        <f t="shared" si="1"/>
        <v>28.25</v>
      </c>
      <c r="K31" s="28">
        <f t="shared" si="2"/>
        <v>10</v>
      </c>
    </row>
    <row r="32" hidden="1">
      <c r="A32" s="6" t="s">
        <v>47</v>
      </c>
      <c r="B32" s="25" t="s">
        <v>955</v>
      </c>
      <c r="C32" s="5" t="s">
        <v>48</v>
      </c>
      <c r="D32" s="5" t="s">
        <v>14</v>
      </c>
      <c r="E32" s="26">
        <f>vlookup(C32,'Team Bye List'!$A$1:$B$33,2,False)</f>
        <v>6</v>
      </c>
      <c r="F32" s="27">
        <f>if(ISNA(vlookup($A32, ESPN!$B$2:$E$257, 4, false)), 0, vlookup($A32, ESPN!$B$2:$E$257, 4, false))</f>
        <v>39</v>
      </c>
      <c r="G32" s="27">
        <f>if(ISNA(vlookup($A32, FFToolbox!$B$2:$E$239, 4, false)), 0, vlookup($A32, FFToolbox!$B$2:$E$239, 4, false))</f>
        <v>29</v>
      </c>
      <c r="H32" s="27">
        <f>if(ISNA(vlookup($A32, FantasyPro!$B$2:$E$316, 4, false)), 0, vlookup($A32, FantasyPro!$B$2:$E$316, 4, false))</f>
        <v>20</v>
      </c>
      <c r="I32" s="27">
        <f>if(ISNA(vlookup($A32, RotoWire!$B$2:$E$681, 4, false)), 0, vlookup($A32, RotoWire!$B$2:$E$681, 4, false))</f>
        <v>22</v>
      </c>
      <c r="J32" s="28">
        <f t="shared" si="1"/>
        <v>27.5</v>
      </c>
      <c r="K32" s="28">
        <f t="shared" si="2"/>
        <v>19</v>
      </c>
    </row>
    <row r="33" hidden="1">
      <c r="A33" s="6" t="s">
        <v>55</v>
      </c>
      <c r="B33" s="25" t="s">
        <v>956</v>
      </c>
      <c r="C33" s="5" t="s">
        <v>9</v>
      </c>
      <c r="D33" s="5" t="s">
        <v>14</v>
      </c>
      <c r="E33" s="26">
        <f>vlookup(C33,'Team Bye List'!$A$1:$B$33,2,False)</f>
        <v>8</v>
      </c>
      <c r="F33" s="27">
        <f>if(ISNA(vlookup($A33, ESPN!$B$2:$E$257, 4, false)), 0, vlookup($A33, ESPN!$B$2:$E$257, 4, false))</f>
        <v>36</v>
      </c>
      <c r="G33" s="27">
        <f>if(ISNA(vlookup($A33, FFToolbox!$B$2:$E$239, 4, false)), 0, vlookup($A33, FFToolbox!$B$2:$E$239, 4, false))</f>
        <v>27</v>
      </c>
      <c r="H33" s="27">
        <f>if(ISNA(vlookup($A33, FantasyPro!$B$2:$E$316, 4, false)), 0, vlookup($A33, FantasyPro!$B$2:$E$316, 4, false))</f>
        <v>24</v>
      </c>
      <c r="I33" s="27">
        <f>if(ISNA(vlookup($A33, RotoWire!$B$2:$E$681, 4, false)), 0, vlookup($A33, RotoWire!$B$2:$E$681, 4, false))</f>
        <v>19</v>
      </c>
      <c r="J33" s="28">
        <f t="shared" si="1"/>
        <v>26.5</v>
      </c>
      <c r="K33" s="28">
        <f t="shared" si="2"/>
        <v>17</v>
      </c>
    </row>
    <row r="34">
      <c r="A34" s="6" t="s">
        <v>94</v>
      </c>
      <c r="B34" s="25" t="s">
        <v>955</v>
      </c>
      <c r="C34" s="5" t="s">
        <v>28</v>
      </c>
      <c r="D34" s="5" t="s">
        <v>39</v>
      </c>
      <c r="E34" s="26">
        <f>vlookup(C34,'Team Bye List'!$A$1:$B$33,2,False)</f>
        <v>11</v>
      </c>
      <c r="F34" s="27">
        <f>if(ISNA(vlookup($A34, ESPN!$B$2:$E$257, 4, false)), 0, vlookup($A34, ESPN!$B$2:$E$257, 4, false))</f>
        <v>17</v>
      </c>
      <c r="G34" s="27">
        <f>if(ISNA(vlookup($A34, FFToolbox!$B$2:$E$239, 4, false)), 0, vlookup($A34, FFToolbox!$B$2:$E$239, 4, false))</f>
        <v>14</v>
      </c>
      <c r="H34" s="27">
        <f>if(ISNA(vlookup($A34, FantasyPro!$B$2:$E$316, 4, false)), 0, vlookup($A34, FantasyPro!$B$2:$E$316, 4, false))</f>
        <v>20</v>
      </c>
      <c r="I34" s="27">
        <f>if(ISNA(vlookup($A34, RotoWire!$B$2:$E$681, 4, false)), 0, vlookup($A34, RotoWire!$B$2:$E$681, 4, false))</f>
        <v>51</v>
      </c>
      <c r="J34" s="28">
        <f t="shared" si="1"/>
        <v>25.5</v>
      </c>
      <c r="K34" s="28">
        <f t="shared" si="2"/>
        <v>37</v>
      </c>
    </row>
    <row r="35">
      <c r="A35" s="6" t="s">
        <v>110</v>
      </c>
      <c r="B35" s="25" t="s">
        <v>955</v>
      </c>
      <c r="C35" s="5" t="s">
        <v>35</v>
      </c>
      <c r="D35" s="5" t="s">
        <v>39</v>
      </c>
      <c r="E35" s="26">
        <f>vlookup(C35,'Team Bye List'!$A$1:$B$33,2,False)</f>
        <v>7</v>
      </c>
      <c r="F35" s="27">
        <f>if(ISNA(vlookup($A35, ESPN!$B$2:$E$257, 4, false)), 0, vlookup($A35, ESPN!$B$2:$E$257, 4, false))</f>
        <v>8</v>
      </c>
      <c r="G35" s="27">
        <f>if(ISNA(vlookup($A35, FFToolbox!$B$2:$E$239, 4, false)), 0, vlookup($A35, FFToolbox!$B$2:$E$239, 4, false))</f>
        <v>4</v>
      </c>
      <c r="H35" s="27">
        <f>if(ISNA(vlookup($A35, FantasyPro!$B$2:$E$316, 4, false)), 0, vlookup($A35, FantasyPro!$B$2:$E$316, 4, false))</f>
        <v>9</v>
      </c>
      <c r="I35" s="27">
        <f>if(ISNA(vlookup($A35, RotoWire!$B$2:$E$681, 4, false)), 0, vlookup($A35, RotoWire!$B$2:$E$681, 4, false))</f>
        <v>80</v>
      </c>
      <c r="J35" s="28">
        <f t="shared" si="1"/>
        <v>25.25</v>
      </c>
      <c r="K35" s="28">
        <f t="shared" si="2"/>
        <v>76</v>
      </c>
    </row>
    <row r="36" hidden="1">
      <c r="A36" s="6" t="s">
        <v>45</v>
      </c>
      <c r="B36" s="25" t="s">
        <v>955</v>
      </c>
      <c r="C36" s="5" t="s">
        <v>46</v>
      </c>
      <c r="D36" s="5" t="s">
        <v>14</v>
      </c>
      <c r="E36" s="26">
        <f>vlookup(C36,'Team Bye List'!$A$1:$B$33,2,False)</f>
        <v>10</v>
      </c>
      <c r="F36" s="27">
        <f>if(ISNA(vlookup($A36, ESPN!$B$2:$E$257, 4, false)), 0, vlookup($A36, ESPN!$B$2:$E$257, 4, false))</f>
        <v>39</v>
      </c>
      <c r="G36" s="27">
        <f>if(ISNA(vlookup($A36, FFToolbox!$B$2:$E$239, 4, false)), 0, vlookup($A36, FFToolbox!$B$2:$E$239, 4, false))</f>
        <v>25</v>
      </c>
      <c r="H36" s="27">
        <f>if(ISNA(vlookup($A36, FantasyPro!$B$2:$E$316, 4, false)), 0, vlookup($A36, FantasyPro!$B$2:$E$316, 4, false))</f>
        <v>24</v>
      </c>
      <c r="I36" s="27">
        <f>if(ISNA(vlookup($A36, RotoWire!$B$2:$E$681, 4, false)), 0, vlookup($A36, RotoWire!$B$2:$E$681, 4, false))</f>
        <v>12</v>
      </c>
      <c r="J36" s="28">
        <f t="shared" si="1"/>
        <v>25</v>
      </c>
      <c r="K36" s="28">
        <f t="shared" si="2"/>
        <v>27</v>
      </c>
    </row>
    <row r="37" hidden="1">
      <c r="A37" s="6" t="s">
        <v>49</v>
      </c>
      <c r="B37" s="25" t="s">
        <v>955</v>
      </c>
      <c r="C37" s="5" t="s">
        <v>50</v>
      </c>
      <c r="D37" s="5" t="s">
        <v>7</v>
      </c>
      <c r="E37" s="26">
        <f>vlookup(C37,'Team Bye List'!$A$1:$B$33,2,False)</f>
        <v>11</v>
      </c>
      <c r="F37" s="27">
        <f>if(ISNA(vlookup($A37, ESPN!$B$2:$E$257, 4, false)), 0, vlookup($A37, ESPN!$B$2:$E$257, 4, false))</f>
        <v>38</v>
      </c>
      <c r="G37" s="27">
        <f>if(ISNA(vlookup($A37, FFToolbox!$B$2:$E$239, 4, false)), 0, vlookup($A37, FFToolbox!$B$2:$E$239, 4, false))</f>
        <v>24</v>
      </c>
      <c r="H37" s="27">
        <f>if(ISNA(vlookup($A37, FantasyPro!$B$2:$E$316, 4, false)), 0, vlookup($A37, FantasyPro!$B$2:$E$316, 4, false))</f>
        <v>29</v>
      </c>
      <c r="I37" s="27">
        <f>if(ISNA(vlookup($A37, RotoWire!$B$2:$E$681, 4, false)), 0, vlookup($A37, RotoWire!$B$2:$E$681, 4, false))</f>
        <v>8</v>
      </c>
      <c r="J37" s="28">
        <f t="shared" si="1"/>
        <v>24.75</v>
      </c>
      <c r="K37" s="28">
        <f t="shared" si="2"/>
        <v>30</v>
      </c>
    </row>
    <row r="38" hidden="1">
      <c r="A38" s="6" t="s">
        <v>66</v>
      </c>
      <c r="B38" s="25" t="s">
        <v>956</v>
      </c>
      <c r="C38" s="5" t="s">
        <v>24</v>
      </c>
      <c r="D38" s="5" t="s">
        <v>14</v>
      </c>
      <c r="E38" s="26">
        <f>vlookup(C38,'Team Bye List'!$A$1:$B$33,2,False)</f>
        <v>9</v>
      </c>
      <c r="F38" s="27">
        <f>if(ISNA(vlookup($A38, ESPN!$B$2:$E$257, 4, false)), 0, vlookup($A38, ESPN!$B$2:$E$257, 4, false))</f>
        <v>25</v>
      </c>
      <c r="G38" s="27">
        <f>if(ISNA(vlookup($A38, FFToolbox!$B$2:$E$239, 4, false)), 0, vlookup($A38, FFToolbox!$B$2:$E$239, 4, false))</f>
        <v>24</v>
      </c>
      <c r="H38" s="27">
        <f>if(ISNA(vlookup($A38, FantasyPro!$B$2:$E$316, 4, false)), 0, vlookup($A38, FantasyPro!$B$2:$E$316, 4, false))</f>
        <v>22</v>
      </c>
      <c r="I38" s="27">
        <f>if(ISNA(vlookup($A38, RotoWire!$B$2:$E$681, 4, false)), 0, vlookup($A38, RotoWire!$B$2:$E$681, 4, false))</f>
        <v>24</v>
      </c>
      <c r="J38" s="28">
        <f t="shared" si="1"/>
        <v>23.75</v>
      </c>
      <c r="K38" s="28">
        <f t="shared" si="2"/>
        <v>3</v>
      </c>
    </row>
    <row r="39" hidden="1">
      <c r="A39" s="6" t="s">
        <v>90</v>
      </c>
      <c r="B39" s="25" t="s">
        <v>955</v>
      </c>
      <c r="C39" s="5" t="s">
        <v>91</v>
      </c>
      <c r="D39" s="5" t="s">
        <v>7</v>
      </c>
      <c r="E39" s="26">
        <f>vlookup(C39,'Team Bye List'!$A$1:$B$33,2,False)</f>
        <v>10</v>
      </c>
      <c r="F39" s="27">
        <f>if(ISNA(vlookup($A39, ESPN!$B$2:$E$257, 4, false)), 0, vlookup($A39, ESPN!$B$2:$E$257, 4, false))</f>
        <v>18</v>
      </c>
      <c r="G39" s="27">
        <f>if(ISNA(vlookup($A39, FFToolbox!$B$2:$E$239, 4, false)), 0, vlookup($A39, FFToolbox!$B$2:$E$239, 4, false))</f>
        <v>23</v>
      </c>
      <c r="H39" s="27">
        <f>if(ISNA(vlookup($A39, FantasyPro!$B$2:$E$316, 4, false)), 0, vlookup($A39, FantasyPro!$B$2:$E$316, 4, false))</f>
        <v>28</v>
      </c>
      <c r="I39" s="27">
        <f>if(ISNA(vlookup($A39, RotoWire!$B$2:$E$681, 4, false)), 0, vlookup($A39, RotoWire!$B$2:$E$681, 4, false))</f>
        <v>22</v>
      </c>
      <c r="J39" s="28">
        <f t="shared" si="1"/>
        <v>22.75</v>
      </c>
      <c r="K39" s="28">
        <f t="shared" si="2"/>
        <v>10</v>
      </c>
    </row>
    <row r="40" hidden="1">
      <c r="A40" s="6" t="s">
        <v>72</v>
      </c>
      <c r="B40" s="25" t="s">
        <v>956</v>
      </c>
      <c r="C40" s="5" t="s">
        <v>62</v>
      </c>
      <c r="D40" s="5" t="s">
        <v>14</v>
      </c>
      <c r="E40" s="26">
        <f>vlookup(C40,'Team Bye List'!$A$1:$B$33,2,False)</f>
        <v>12</v>
      </c>
      <c r="F40" s="27">
        <f>if(ISNA(vlookup($A40, ESPN!$B$2:$E$257, 4, false)), 0, vlookup($A40, ESPN!$B$2:$E$257, 4, false))</f>
        <v>22</v>
      </c>
      <c r="G40" s="27">
        <f>if(ISNA(vlookup($A40, FFToolbox!$B$2:$E$239, 4, false)), 0, vlookup($A40, FFToolbox!$B$2:$E$239, 4, false))</f>
        <v>27</v>
      </c>
      <c r="H40" s="27">
        <f>if(ISNA(vlookup($A40, FantasyPro!$B$2:$E$316, 4, false)), 0, vlookup($A40, FantasyPro!$B$2:$E$316, 4, false))</f>
        <v>21</v>
      </c>
      <c r="I40" s="27">
        <f>if(ISNA(vlookup($A40, RotoWire!$B$2:$E$681, 4, false)), 0, vlookup($A40, RotoWire!$B$2:$E$681, 4, false))</f>
        <v>20</v>
      </c>
      <c r="J40" s="28">
        <f t="shared" si="1"/>
        <v>22.5</v>
      </c>
      <c r="K40" s="28">
        <f t="shared" si="2"/>
        <v>7</v>
      </c>
    </row>
    <row r="41" hidden="1">
      <c r="A41" s="8" t="s">
        <v>70</v>
      </c>
      <c r="B41" s="25" t="s">
        <v>955</v>
      </c>
      <c r="C41" s="5" t="s">
        <v>71</v>
      </c>
      <c r="D41" s="5" t="s">
        <v>14</v>
      </c>
      <c r="E41" s="26">
        <f>vlookup(C41,'Team Bye List'!$A$1:$B$33,2,False)</f>
        <v>5</v>
      </c>
      <c r="F41" s="27">
        <f>if(ISNA(vlookup($A41, ESPN!$B$2:$E$257, 4, false)), 0, vlookup($A41, ESPN!$B$2:$E$257, 4, false))</f>
        <v>23</v>
      </c>
      <c r="G41" s="27">
        <f>if(ISNA(vlookup($A41, FFToolbox!$B$2:$E$239, 4, false)), 0, vlookup($A41, FFToolbox!$B$2:$E$239, 4, false))</f>
        <v>20</v>
      </c>
      <c r="H41" s="27">
        <f>if(ISNA(vlookup($A41, FantasyPro!$B$2:$E$316, 4, false)), 0, vlookup($A41, FantasyPro!$B$2:$E$316, 4, false))</f>
        <v>19</v>
      </c>
      <c r="I41" s="27">
        <f>if(ISNA(vlookup($A41, RotoWire!$B$2:$E$681, 4, false)), 0, vlookup($A41, RotoWire!$B$2:$E$681, 4, false))</f>
        <v>26</v>
      </c>
      <c r="J41" s="28">
        <f t="shared" si="1"/>
        <v>22</v>
      </c>
      <c r="K41" s="28">
        <f t="shared" si="2"/>
        <v>7</v>
      </c>
    </row>
    <row r="42">
      <c r="A42" s="6" t="s">
        <v>131</v>
      </c>
      <c r="B42" s="25" t="s">
        <v>955</v>
      </c>
      <c r="C42" s="5" t="s">
        <v>24</v>
      </c>
      <c r="D42" s="5" t="s">
        <v>39</v>
      </c>
      <c r="E42" s="26">
        <f>vlookup(C42,'Team Bye List'!$A$1:$B$33,2,False)</f>
        <v>9</v>
      </c>
      <c r="F42" s="27">
        <f>if(ISNA(vlookup($A42, ESPN!$B$2:$E$257, 4, false)), 0, vlookup($A42, ESPN!$B$2:$E$257, 4, false))</f>
        <v>3</v>
      </c>
      <c r="G42" s="27">
        <f>if(ISNA(vlookup($A42, FFToolbox!$B$2:$E$239, 4, false)), 0, vlookup($A42, FFToolbox!$B$2:$E$239, 4, false))</f>
        <v>4</v>
      </c>
      <c r="H42" s="27">
        <f>if(ISNA(vlookup($A42, FantasyPro!$B$2:$E$316, 4, false)), 0, vlookup($A42, FantasyPro!$B$2:$E$316, 4, false))</f>
        <v>8</v>
      </c>
      <c r="I42" s="27">
        <f>if(ISNA(vlookup($A42, RotoWire!$B$2:$E$681, 4, false)), 0, vlookup($A42, RotoWire!$B$2:$E$681, 4, false))</f>
        <v>71</v>
      </c>
      <c r="J42" s="28">
        <f t="shared" si="1"/>
        <v>21.5</v>
      </c>
      <c r="K42" s="28">
        <f t="shared" si="2"/>
        <v>68</v>
      </c>
    </row>
    <row r="43" hidden="1">
      <c r="A43" s="6" t="s">
        <v>85</v>
      </c>
      <c r="B43" s="25" t="s">
        <v>955</v>
      </c>
      <c r="C43" s="5" t="s">
        <v>48</v>
      </c>
      <c r="D43" s="5" t="s">
        <v>7</v>
      </c>
      <c r="E43" s="26">
        <f>vlookup(C43,'Team Bye List'!$A$1:$B$33,2,False)</f>
        <v>6</v>
      </c>
      <c r="F43" s="27">
        <f>if(ISNA(vlookup($A43, ESPN!$B$2:$E$257, 4, false)), 0, vlookup($A43, ESPN!$B$2:$E$257, 4, false))</f>
        <v>19</v>
      </c>
      <c r="G43" s="27">
        <f>if(ISNA(vlookup($A43, FFToolbox!$B$2:$E$239, 4, false)), 0, vlookup($A43, FFToolbox!$B$2:$E$239, 4, false))</f>
        <v>25</v>
      </c>
      <c r="H43" s="27">
        <f>if(ISNA(vlookup($A43, FantasyPro!$B$2:$E$316, 4, false)), 0, vlookup($A43, FantasyPro!$B$2:$E$316, 4, false))</f>
        <v>23</v>
      </c>
      <c r="I43" s="27">
        <f>if(ISNA(vlookup($A43, RotoWire!$B$2:$E$681, 4, false)), 0, vlookup($A43, RotoWire!$B$2:$E$681, 4, false))</f>
        <v>19</v>
      </c>
      <c r="J43" s="28">
        <f t="shared" si="1"/>
        <v>21.5</v>
      </c>
      <c r="K43" s="28">
        <f t="shared" si="2"/>
        <v>6</v>
      </c>
    </row>
    <row r="44" hidden="1">
      <c r="A44" s="6" t="s">
        <v>42</v>
      </c>
      <c r="B44" s="25" t="s">
        <v>955</v>
      </c>
      <c r="C44" s="5" t="s">
        <v>43</v>
      </c>
      <c r="D44" s="5" t="s">
        <v>7</v>
      </c>
      <c r="E44" s="26">
        <f>vlookup(C44,'Team Bye List'!$A$1:$B$33,2,False)</f>
        <v>12</v>
      </c>
      <c r="F44" s="27">
        <f>if(ISNA(vlookup($A44, ESPN!$B$2:$E$257, 4, false)), 0, vlookup($A44, ESPN!$B$2:$E$257, 4, false))</f>
        <v>42</v>
      </c>
      <c r="G44" s="27">
        <f>if(ISNA(vlookup($A44, FFToolbox!$B$2:$E$239, 4, false)), 0, vlookup($A44, FFToolbox!$B$2:$E$239, 4, false))</f>
        <v>19</v>
      </c>
      <c r="H44" s="27">
        <f>if(ISNA(vlookup($A44, FantasyPro!$B$2:$E$316, 4, false)), 0, vlookup($A44, FantasyPro!$B$2:$E$316, 4, false))</f>
        <v>23</v>
      </c>
      <c r="I44" s="27">
        <f>if(ISNA(vlookup($A44, RotoWire!$B$2:$E$681, 4, false)), 0, vlookup($A44, RotoWire!$B$2:$E$681, 4, false))</f>
        <v>0</v>
      </c>
      <c r="J44" s="28">
        <f t="shared" si="1"/>
        <v>21</v>
      </c>
      <c r="K44" s="28">
        <f t="shared" si="2"/>
        <v>42</v>
      </c>
    </row>
    <row r="45">
      <c r="A45" s="6" t="s">
        <v>105</v>
      </c>
      <c r="B45" s="25" t="s">
        <v>955</v>
      </c>
      <c r="C45" s="5" t="s">
        <v>59</v>
      </c>
      <c r="D45" s="5" t="s">
        <v>39</v>
      </c>
      <c r="E45" s="26">
        <f>vlookup(C45,'Team Bye List'!$A$1:$B$33,2,False)</f>
        <v>10</v>
      </c>
      <c r="F45" s="27">
        <f>if(ISNA(vlookup($A45, ESPN!$B$2:$E$257, 4, false)), 0, vlookup($A45, ESPN!$B$2:$E$257, 4, false))</f>
        <v>11</v>
      </c>
      <c r="G45" s="27">
        <f>if(ISNA(vlookup($A45, FFToolbox!$B$2:$E$239, 4, false)), 0, vlookup($A45, FFToolbox!$B$2:$E$239, 4, false))</f>
        <v>7</v>
      </c>
      <c r="H45" s="27">
        <f>if(ISNA(vlookup($A45, FantasyPro!$B$2:$E$316, 4, false)), 0, vlookup($A45, FantasyPro!$B$2:$E$316, 4, false))</f>
        <v>11</v>
      </c>
      <c r="I45" s="27">
        <f>if(ISNA(vlookup($A45, RotoWire!$B$2:$E$681, 4, false)), 0, vlookup($A45, RotoWire!$B$2:$E$681, 4, false))</f>
        <v>54</v>
      </c>
      <c r="J45" s="28">
        <f t="shared" si="1"/>
        <v>20.75</v>
      </c>
      <c r="K45" s="28">
        <f t="shared" si="2"/>
        <v>47</v>
      </c>
    </row>
    <row r="46" hidden="1">
      <c r="A46" s="6" t="s">
        <v>81</v>
      </c>
      <c r="B46" s="25" t="s">
        <v>956</v>
      </c>
      <c r="C46" s="5" t="s">
        <v>37</v>
      </c>
      <c r="D46" s="5" t="s">
        <v>14</v>
      </c>
      <c r="E46" s="26">
        <f>vlookup(C46,'Team Bye List'!$A$1:$B$33,2,False)</f>
        <v>7</v>
      </c>
      <c r="F46" s="27">
        <f>if(ISNA(vlookup($A46, ESPN!$B$2:$E$257, 4, false)), 0, vlookup($A46, ESPN!$B$2:$E$257, 4, false))</f>
        <v>20</v>
      </c>
      <c r="G46" s="27">
        <f>if(ISNA(vlookup($A46, FFToolbox!$B$2:$E$239, 4, false)), 0, vlookup($A46, FFToolbox!$B$2:$E$239, 4, false))</f>
        <v>24</v>
      </c>
      <c r="H46" s="27">
        <f>if(ISNA(vlookup($A46, FantasyPro!$B$2:$E$316, 4, false)), 0, vlookup($A46, FantasyPro!$B$2:$E$316, 4, false))</f>
        <v>15</v>
      </c>
      <c r="I46" s="27">
        <f>if(ISNA(vlookup($A46, RotoWire!$B$2:$E$681, 4, false)), 0, vlookup($A46, RotoWire!$B$2:$E$681, 4, false))</f>
        <v>23</v>
      </c>
      <c r="J46" s="28">
        <f t="shared" si="1"/>
        <v>20.5</v>
      </c>
      <c r="K46" s="28">
        <f t="shared" si="2"/>
        <v>9</v>
      </c>
    </row>
    <row r="47" hidden="1">
      <c r="A47" s="6" t="s">
        <v>100</v>
      </c>
      <c r="B47" s="25" t="s">
        <v>956</v>
      </c>
      <c r="C47" s="5" t="s">
        <v>71</v>
      </c>
      <c r="D47" s="5" t="s">
        <v>7</v>
      </c>
      <c r="E47" s="26">
        <f>vlookup(C47,'Team Bye List'!$A$1:$B$33,2,False)</f>
        <v>5</v>
      </c>
      <c r="F47" s="27">
        <f>if(ISNA(vlookup($A47, ESPN!$B$2:$E$257, 4, false)), 0, vlookup($A47, ESPN!$B$2:$E$257, 4, false))</f>
        <v>13</v>
      </c>
      <c r="G47" s="27">
        <f>if(ISNA(vlookup($A47, FFToolbox!$B$2:$E$239, 4, false)), 0, vlookup($A47, FFToolbox!$B$2:$E$239, 4, false))</f>
        <v>28</v>
      </c>
      <c r="H47" s="27">
        <f>if(ISNA(vlookup($A47, FantasyPro!$B$2:$E$316, 4, false)), 0, vlookup($A47, FantasyPro!$B$2:$E$316, 4, false))</f>
        <v>28</v>
      </c>
      <c r="I47" s="27">
        <f>if(ISNA(vlookup($A47, RotoWire!$B$2:$E$681, 4, false)), 0, vlookup($A47, RotoWire!$B$2:$E$681, 4, false))</f>
        <v>13</v>
      </c>
      <c r="J47" s="28">
        <f t="shared" si="1"/>
        <v>20.5</v>
      </c>
      <c r="K47" s="28">
        <f t="shared" si="2"/>
        <v>15</v>
      </c>
    </row>
    <row r="48" hidden="1">
      <c r="A48" s="6" t="s">
        <v>102</v>
      </c>
      <c r="B48" s="25" t="s">
        <v>955</v>
      </c>
      <c r="C48" s="5" t="s">
        <v>28</v>
      </c>
      <c r="D48" s="5" t="s">
        <v>7</v>
      </c>
      <c r="E48" s="26">
        <f>vlookup(C48,'Team Bye List'!$A$1:$B$33,2,False)</f>
        <v>11</v>
      </c>
      <c r="F48" s="27">
        <f>if(ISNA(vlookup($A48, ESPN!$B$2:$E$257, 4, false)), 0, vlookup($A48, ESPN!$B$2:$E$257, 4, false))</f>
        <v>12</v>
      </c>
      <c r="G48" s="27">
        <f>if(ISNA(vlookup($A48, FFToolbox!$B$2:$E$239, 4, false)), 0, vlookup($A48, FFToolbox!$B$2:$E$239, 4, false))</f>
        <v>25</v>
      </c>
      <c r="H48" s="27">
        <f>if(ISNA(vlookup($A48, FantasyPro!$B$2:$E$316, 4, false)), 0, vlookup($A48, FantasyPro!$B$2:$E$316, 4, false))</f>
        <v>24</v>
      </c>
      <c r="I48" s="27">
        <f>if(ISNA(vlookup($A48, RotoWire!$B$2:$E$681, 4, false)), 0, vlookup($A48, RotoWire!$B$2:$E$681, 4, false))</f>
        <v>18</v>
      </c>
      <c r="J48" s="28">
        <f t="shared" si="1"/>
        <v>19.75</v>
      </c>
      <c r="K48" s="28">
        <f t="shared" si="2"/>
        <v>13</v>
      </c>
    </row>
    <row r="49" hidden="1">
      <c r="A49" s="6" t="s">
        <v>80</v>
      </c>
      <c r="B49" s="25" t="s">
        <v>955</v>
      </c>
      <c r="C49" s="5" t="s">
        <v>20</v>
      </c>
      <c r="D49" s="5" t="s">
        <v>7</v>
      </c>
      <c r="E49" s="26">
        <f>vlookup(C49,'Team Bye List'!$A$1:$B$33,2,False)</f>
        <v>9</v>
      </c>
      <c r="F49" s="27">
        <f>if(ISNA(vlookup($A49, ESPN!$B$2:$E$257, 4, false)), 0, vlookup($A49, ESPN!$B$2:$E$257, 4, false))</f>
        <v>20</v>
      </c>
      <c r="G49" s="27">
        <f>if(ISNA(vlookup($A49, FFToolbox!$B$2:$E$239, 4, false)), 0, vlookup($A49, FFToolbox!$B$2:$E$239, 4, false))</f>
        <v>26</v>
      </c>
      <c r="H49" s="27">
        <f>if(ISNA(vlookup($A49, FantasyPro!$B$2:$E$316, 4, false)), 0, vlookup($A49, FantasyPro!$B$2:$E$316, 4, false))</f>
        <v>23</v>
      </c>
      <c r="I49" s="27">
        <f>if(ISNA(vlookup($A49, RotoWire!$B$2:$E$681, 4, false)), 0, vlookup($A49, RotoWire!$B$2:$E$681, 4, false))</f>
        <v>10</v>
      </c>
      <c r="J49" s="28">
        <f t="shared" si="1"/>
        <v>19.75</v>
      </c>
      <c r="K49" s="28">
        <f t="shared" si="2"/>
        <v>16</v>
      </c>
    </row>
    <row r="50" hidden="1">
      <c r="A50" s="6" t="s">
        <v>78</v>
      </c>
      <c r="B50" s="25" t="s">
        <v>955</v>
      </c>
      <c r="C50" s="5" t="s">
        <v>37</v>
      </c>
      <c r="D50" s="5" t="s">
        <v>12</v>
      </c>
      <c r="E50" s="26">
        <f>vlookup(C50,'Team Bye List'!$A$1:$B$33,2,False)</f>
        <v>7</v>
      </c>
      <c r="F50" s="27">
        <f>if(ISNA(vlookup($A50, ESPN!$B$2:$E$257, 4, false)), 0, vlookup($A50, ESPN!$B$2:$E$257, 4, false))</f>
        <v>21</v>
      </c>
      <c r="G50" s="27">
        <f>if(ISNA(vlookup($A50, FFToolbox!$B$2:$E$239, 4, false)), 0, vlookup($A50, FFToolbox!$B$2:$E$239, 4, false))</f>
        <v>16</v>
      </c>
      <c r="H50" s="27">
        <f>if(ISNA(vlookup($A50, FantasyPro!$B$2:$E$316, 4, false)), 0, vlookup($A50, FantasyPro!$B$2:$E$316, 4, false))</f>
        <v>20</v>
      </c>
      <c r="I50" s="27">
        <f>if(ISNA(vlookup($A50, RotoWire!$B$2:$E$681, 4, false)), 0, vlookup($A50, RotoWire!$B$2:$E$681, 4, false))</f>
        <v>22</v>
      </c>
      <c r="J50" s="28">
        <f t="shared" si="1"/>
        <v>19.75</v>
      </c>
      <c r="K50" s="28">
        <f t="shared" si="2"/>
        <v>6</v>
      </c>
    </row>
    <row r="51" hidden="1">
      <c r="A51" s="6" t="s">
        <v>124</v>
      </c>
      <c r="B51" s="25" t="s">
        <v>955</v>
      </c>
      <c r="C51" s="5" t="s">
        <v>11</v>
      </c>
      <c r="D51" s="5" t="s">
        <v>7</v>
      </c>
      <c r="E51" s="26">
        <f>vlookup(C51,'Team Bye List'!$A$1:$B$33,2,False)</f>
        <v>12</v>
      </c>
      <c r="F51" s="27">
        <f>if(ISNA(vlookup($A51, ESPN!$B$2:$E$257, 4, false)), 0, vlookup($A51, ESPN!$B$2:$E$257, 4, false))</f>
        <v>4</v>
      </c>
      <c r="G51" s="27">
        <f>if(ISNA(vlookup($A51, FFToolbox!$B$2:$E$239, 4, false)), 0, vlookup($A51, FFToolbox!$B$2:$E$239, 4, false))</f>
        <v>28</v>
      </c>
      <c r="H51" s="27">
        <f>if(ISNA(vlookup($A51, FantasyPro!$B$2:$E$316, 4, false)), 0, vlookup($A51, FantasyPro!$B$2:$E$316, 4, false))</f>
        <v>30</v>
      </c>
      <c r="I51" s="27">
        <f>if(ISNA(vlookup($A51, RotoWire!$B$2:$E$681, 4, false)), 0, vlookup($A51, RotoWire!$B$2:$E$681, 4, false))</f>
        <v>16</v>
      </c>
      <c r="J51" s="28">
        <f t="shared" si="1"/>
        <v>19.5</v>
      </c>
      <c r="K51" s="28">
        <f t="shared" si="2"/>
        <v>26</v>
      </c>
    </row>
    <row r="52" hidden="1">
      <c r="A52" s="6" t="s">
        <v>75</v>
      </c>
      <c r="B52" s="25" t="s">
        <v>956</v>
      </c>
      <c r="C52" s="5" t="s">
        <v>6</v>
      </c>
      <c r="D52" s="5" t="s">
        <v>12</v>
      </c>
      <c r="E52" s="26">
        <f>vlookup(C52,'Team Bye List'!$A$1:$B$33,2,False)</f>
        <v>11</v>
      </c>
      <c r="F52" s="27">
        <f>if(ISNA(vlookup($A52, ESPN!$B$2:$E$257, 4, false)), 0, vlookup($A52, ESPN!$B$2:$E$257, 4, false))</f>
        <v>21</v>
      </c>
      <c r="G52" s="27">
        <f>if(ISNA(vlookup($A52, FFToolbox!$B$2:$E$239, 4, false)), 0, vlookup($A52, FFToolbox!$B$2:$E$239, 4, false))</f>
        <v>14</v>
      </c>
      <c r="H52" s="27">
        <f>if(ISNA(vlookup($A52, FantasyPro!$B$2:$E$316, 4, false)), 0, vlookup($A52, FantasyPro!$B$2:$E$316, 4, false))</f>
        <v>17</v>
      </c>
      <c r="I52" s="27">
        <f>if(ISNA(vlookup($A52, RotoWire!$B$2:$E$681, 4, false)), 0, vlookup($A52, RotoWire!$B$2:$E$681, 4, false))</f>
        <v>24</v>
      </c>
      <c r="J52" s="28">
        <f t="shared" si="1"/>
        <v>19</v>
      </c>
      <c r="K52" s="28">
        <f t="shared" si="2"/>
        <v>10</v>
      </c>
    </row>
    <row r="53" hidden="1">
      <c r="A53" s="6" t="s">
        <v>68</v>
      </c>
      <c r="B53" s="25" t="s">
        <v>956</v>
      </c>
      <c r="C53" s="5" t="s">
        <v>69</v>
      </c>
      <c r="D53" s="5" t="s">
        <v>14</v>
      </c>
      <c r="E53" s="26">
        <f>vlookup(C53,'Team Bye List'!$A$1:$B$33,2,False)</f>
        <v>11</v>
      </c>
      <c r="F53" s="27">
        <f>if(ISNA(vlookup($A53, ESPN!$B$2:$E$257, 4, false)), 0, vlookup($A53, ESPN!$B$2:$E$257, 4, false))</f>
        <v>23</v>
      </c>
      <c r="G53" s="27">
        <f>if(ISNA(vlookup($A53, FFToolbox!$B$2:$E$239, 4, false)), 0, vlookup($A53, FFToolbox!$B$2:$E$239, 4, false))</f>
        <v>19</v>
      </c>
      <c r="H53" s="27">
        <f>if(ISNA(vlookup($A53, FantasyPro!$B$2:$E$316, 4, false)), 0, vlookup($A53, FantasyPro!$B$2:$E$316, 4, false))</f>
        <v>21</v>
      </c>
      <c r="I53" s="27">
        <f>if(ISNA(vlookup($A53, RotoWire!$B$2:$E$681, 4, false)), 0, vlookup($A53, RotoWire!$B$2:$E$681, 4, false))</f>
        <v>11</v>
      </c>
      <c r="J53" s="28">
        <f t="shared" si="1"/>
        <v>18.5</v>
      </c>
      <c r="K53" s="28">
        <f t="shared" si="2"/>
        <v>12</v>
      </c>
    </row>
    <row r="54" hidden="1">
      <c r="A54" s="6" t="s">
        <v>67</v>
      </c>
      <c r="B54" s="25" t="s">
        <v>955</v>
      </c>
      <c r="C54" s="5" t="s">
        <v>46</v>
      </c>
      <c r="D54" s="5" t="s">
        <v>7</v>
      </c>
      <c r="E54" s="26">
        <f>vlookup(C54,'Team Bye List'!$A$1:$B$33,2,False)</f>
        <v>10</v>
      </c>
      <c r="F54" s="27">
        <f>if(ISNA(vlookup($A54, ESPN!$B$2:$E$257, 4, false)), 0, vlookup($A54, ESPN!$B$2:$E$257, 4, false))</f>
        <v>23</v>
      </c>
      <c r="G54" s="27">
        <f>if(ISNA(vlookup($A54, FFToolbox!$B$2:$E$239, 4, false)), 0, vlookup($A54, FFToolbox!$B$2:$E$239, 4, false))</f>
        <v>14</v>
      </c>
      <c r="H54" s="27">
        <f>if(ISNA(vlookup($A54, FantasyPro!$B$2:$E$316, 4, false)), 0, vlookup($A54, FantasyPro!$B$2:$E$316, 4, false))</f>
        <v>21</v>
      </c>
      <c r="I54" s="27">
        <f>if(ISNA(vlookup($A54, RotoWire!$B$2:$E$681, 4, false)), 0, vlookup($A54, RotoWire!$B$2:$E$681, 4, false))</f>
        <v>15</v>
      </c>
      <c r="J54" s="28">
        <f t="shared" si="1"/>
        <v>18.25</v>
      </c>
      <c r="K54" s="28">
        <f t="shared" si="2"/>
        <v>9</v>
      </c>
    </row>
    <row r="55" hidden="1">
      <c r="A55" s="6" t="s">
        <v>93</v>
      </c>
      <c r="B55" s="25" t="s">
        <v>955</v>
      </c>
      <c r="C55" s="5" t="s">
        <v>41</v>
      </c>
      <c r="D55" s="5" t="s">
        <v>7</v>
      </c>
      <c r="E55" s="26">
        <f>vlookup(C55,'Team Bye List'!$A$1:$B$33,2,False)</f>
        <v>6</v>
      </c>
      <c r="F55" s="27">
        <f>if(ISNA(vlookup($A55, ESPN!$B$2:$E$257, 4, false)), 0, vlookup($A55, ESPN!$B$2:$E$257, 4, false))</f>
        <v>18</v>
      </c>
      <c r="G55" s="27">
        <f>if(ISNA(vlookup($A55, FFToolbox!$B$2:$E$239, 4, false)), 0, vlookup($A55, FFToolbox!$B$2:$E$239, 4, false))</f>
        <v>19</v>
      </c>
      <c r="H55" s="27">
        <f>if(ISNA(vlookup($A55, FantasyPro!$B$2:$E$316, 4, false)), 0, vlookup($A55, FantasyPro!$B$2:$E$316, 4, false))</f>
        <v>22</v>
      </c>
      <c r="I55" s="27">
        <f>if(ISNA(vlookup($A55, RotoWire!$B$2:$E$681, 4, false)), 0, vlookup($A55, RotoWire!$B$2:$E$681, 4, false))</f>
        <v>11</v>
      </c>
      <c r="J55" s="28">
        <f t="shared" si="1"/>
        <v>17.5</v>
      </c>
      <c r="K55" s="28">
        <f t="shared" si="2"/>
        <v>11</v>
      </c>
    </row>
    <row r="56" hidden="1">
      <c r="A56" s="6" t="s">
        <v>77</v>
      </c>
      <c r="B56" s="25" t="s">
        <v>955</v>
      </c>
      <c r="C56" s="5" t="s">
        <v>69</v>
      </c>
      <c r="D56" s="5" t="s">
        <v>7</v>
      </c>
      <c r="E56" s="26">
        <f>vlookup(C56,'Team Bye List'!$A$1:$B$33,2,False)</f>
        <v>11</v>
      </c>
      <c r="F56" s="27">
        <f>if(ISNA(vlookup($A56, ESPN!$B$2:$E$257, 4, false)), 0, vlookup($A56, ESPN!$B$2:$E$257, 4, false))</f>
        <v>21</v>
      </c>
      <c r="G56" s="27">
        <f>if(ISNA(vlookup($A56, FFToolbox!$B$2:$E$239, 4, false)), 0, vlookup($A56, FFToolbox!$B$2:$E$239, 4, false))</f>
        <v>19</v>
      </c>
      <c r="H56" s="27">
        <f>if(ISNA(vlookup($A56, FantasyPro!$B$2:$E$316, 4, false)), 0, vlookup($A56, FantasyPro!$B$2:$E$316, 4, false))</f>
        <v>29</v>
      </c>
      <c r="I56" s="27">
        <f>if(ISNA(vlookup($A56, RotoWire!$B$2:$E$681, 4, false)), 0, vlookup($A56, RotoWire!$B$2:$E$681, 4, false))</f>
        <v>0</v>
      </c>
      <c r="J56" s="28">
        <f t="shared" si="1"/>
        <v>17.25</v>
      </c>
      <c r="K56" s="28">
        <f t="shared" si="2"/>
        <v>29</v>
      </c>
    </row>
    <row r="57" hidden="1">
      <c r="A57" s="6" t="s">
        <v>65</v>
      </c>
      <c r="B57" s="25" t="s">
        <v>955</v>
      </c>
      <c r="C57" s="5" t="s">
        <v>43</v>
      </c>
      <c r="D57" s="5" t="s">
        <v>14</v>
      </c>
      <c r="E57" s="26">
        <f>vlookup(C57,'Team Bye List'!$A$1:$B$33,2,False)</f>
        <v>12</v>
      </c>
      <c r="F57" s="27">
        <f>if(ISNA(vlookup($A57, ESPN!$B$2:$E$257, 4, false)), 0, vlookup($A57, ESPN!$B$2:$E$257, 4, false))</f>
        <v>26</v>
      </c>
      <c r="G57" s="27">
        <f>if(ISNA(vlookup($A57, FFToolbox!$B$2:$E$239, 4, false)), 0, vlookup($A57, FFToolbox!$B$2:$E$239, 4, false))</f>
        <v>17</v>
      </c>
      <c r="H57" s="27">
        <f>if(ISNA(vlookup($A57, FantasyPro!$B$2:$E$316, 4, false)), 0, vlookup($A57, FantasyPro!$B$2:$E$316, 4, false))</f>
        <v>14</v>
      </c>
      <c r="I57" s="27">
        <f>if(ISNA(vlookup($A57, RotoWire!$B$2:$E$681, 4, false)), 0, vlookup($A57, RotoWire!$B$2:$E$681, 4, false))</f>
        <v>12</v>
      </c>
      <c r="J57" s="28">
        <f t="shared" si="1"/>
        <v>17.25</v>
      </c>
      <c r="K57" s="28">
        <f t="shared" si="2"/>
        <v>14</v>
      </c>
    </row>
    <row r="58" hidden="1">
      <c r="A58" s="6" t="s">
        <v>79</v>
      </c>
      <c r="B58" s="25" t="s">
        <v>955</v>
      </c>
      <c r="C58" s="5" t="s">
        <v>16</v>
      </c>
      <c r="D58" s="5" t="s">
        <v>12</v>
      </c>
      <c r="E58" s="26">
        <f>vlookup(C58,'Team Bye List'!$A$1:$B$33,2,False)</f>
        <v>9</v>
      </c>
      <c r="F58" s="27">
        <f>if(ISNA(vlookup($A58, ESPN!$B$2:$E$257, 4, false)), 0, vlookup($A58, ESPN!$B$2:$E$257, 4, false))</f>
        <v>20</v>
      </c>
      <c r="G58" s="27">
        <f>if(ISNA(vlookup($A58, FFToolbox!$B$2:$E$239, 4, false)), 0, vlookup($A58, FFToolbox!$B$2:$E$239, 4, false))</f>
        <v>12</v>
      </c>
      <c r="H58" s="27">
        <f>if(ISNA(vlookup($A58, FantasyPro!$B$2:$E$316, 4, false)), 0, vlookup($A58, FantasyPro!$B$2:$E$316, 4, false))</f>
        <v>17</v>
      </c>
      <c r="I58" s="27">
        <f>if(ISNA(vlookup($A58, RotoWire!$B$2:$E$681, 4, false)), 0, vlookup($A58, RotoWire!$B$2:$E$681, 4, false))</f>
        <v>16</v>
      </c>
      <c r="J58" s="28">
        <f t="shared" si="1"/>
        <v>16.25</v>
      </c>
      <c r="K58" s="28">
        <f t="shared" si="2"/>
        <v>8</v>
      </c>
    </row>
    <row r="59" hidden="1">
      <c r="A59" s="6" t="s">
        <v>98</v>
      </c>
      <c r="B59" s="25" t="s">
        <v>955</v>
      </c>
      <c r="C59" s="5" t="s">
        <v>54</v>
      </c>
      <c r="D59" s="5" t="s">
        <v>14</v>
      </c>
      <c r="E59" s="26">
        <f>vlookup(C59,'Team Bye List'!$A$1:$B$33,2,False)</f>
        <v>9</v>
      </c>
      <c r="F59" s="27">
        <f>if(ISNA(vlookup($A59, ESPN!$B$2:$E$257, 4, false)), 0, vlookup($A59, ESPN!$B$2:$E$257, 4, false))</f>
        <v>16</v>
      </c>
      <c r="G59" s="27">
        <f>if(ISNA(vlookup($A59, FFToolbox!$B$2:$E$239, 4, false)), 0, vlookup($A59, FFToolbox!$B$2:$E$239, 4, false))</f>
        <v>19</v>
      </c>
      <c r="H59" s="27">
        <f>if(ISNA(vlookup($A59, FantasyPro!$B$2:$E$316, 4, false)), 0, vlookup($A59, FantasyPro!$B$2:$E$316, 4, false))</f>
        <v>14</v>
      </c>
      <c r="I59" s="27">
        <f>if(ISNA(vlookup($A59, RotoWire!$B$2:$E$681, 4, false)), 0, vlookup($A59, RotoWire!$B$2:$E$681, 4, false))</f>
        <v>16</v>
      </c>
      <c r="J59" s="28">
        <f t="shared" si="1"/>
        <v>16.25</v>
      </c>
      <c r="K59" s="28">
        <f t="shared" si="2"/>
        <v>5</v>
      </c>
    </row>
    <row r="60" hidden="1">
      <c r="A60" s="6" t="s">
        <v>86</v>
      </c>
      <c r="B60" s="25" t="s">
        <v>955</v>
      </c>
      <c r="C60" s="5" t="s">
        <v>24</v>
      </c>
      <c r="D60" s="5" t="s">
        <v>14</v>
      </c>
      <c r="E60" s="26">
        <f>vlookup(C60,'Team Bye List'!$A$1:$B$33,2,False)</f>
        <v>9</v>
      </c>
      <c r="F60" s="27">
        <f>if(ISNA(vlookup($A60, ESPN!$B$2:$E$257, 4, false)), 0, vlookup($A60, ESPN!$B$2:$E$257, 4, false))</f>
        <v>19</v>
      </c>
      <c r="G60" s="27">
        <f>if(ISNA(vlookup($A60, FFToolbox!$B$2:$E$239, 4, false)), 0, vlookup($A60, FFToolbox!$B$2:$E$239, 4, false))</f>
        <v>19</v>
      </c>
      <c r="H60" s="27">
        <f>if(ISNA(vlookup($A60, FantasyPro!$B$2:$E$316, 4, false)), 0, vlookup($A60, FantasyPro!$B$2:$E$316, 4, false))</f>
        <v>16</v>
      </c>
      <c r="I60" s="27">
        <f>if(ISNA(vlookup($A60, RotoWire!$B$2:$E$681, 4, false)), 0, vlookup($A60, RotoWire!$B$2:$E$681, 4, false))</f>
        <v>7</v>
      </c>
      <c r="J60" s="28">
        <f t="shared" si="1"/>
        <v>15.25</v>
      </c>
      <c r="K60" s="28">
        <f t="shared" si="2"/>
        <v>12</v>
      </c>
    </row>
    <row r="61" hidden="1">
      <c r="A61" s="6" t="s">
        <v>103</v>
      </c>
      <c r="B61" s="25" t="s">
        <v>955</v>
      </c>
      <c r="C61" s="5" t="s">
        <v>104</v>
      </c>
      <c r="D61" s="5" t="s">
        <v>7</v>
      </c>
      <c r="E61" s="26">
        <f>vlookup(C61,'Team Bye List'!$A$1:$B$33,2,False)</f>
        <v>8</v>
      </c>
      <c r="F61" s="27">
        <f>if(ISNA(vlookup($A61, ESPN!$B$2:$E$257, 4, false)), 0, vlookup($A61, ESPN!$B$2:$E$257, 4, false))</f>
        <v>12</v>
      </c>
      <c r="G61" s="27">
        <f>if(ISNA(vlookup($A61, FFToolbox!$B$2:$E$239, 4, false)), 0, vlookup($A61, FFToolbox!$B$2:$E$239, 4, false))</f>
        <v>18</v>
      </c>
      <c r="H61" s="27">
        <f>if(ISNA(vlookup($A61, FantasyPro!$B$2:$E$316, 4, false)), 0, vlookup($A61, FantasyPro!$B$2:$E$316, 4, false))</f>
        <v>19</v>
      </c>
      <c r="I61" s="27">
        <f>if(ISNA(vlookup($A61, RotoWire!$B$2:$E$681, 4, false)), 0, vlookup($A61, RotoWire!$B$2:$E$681, 4, false))</f>
        <v>10</v>
      </c>
      <c r="J61" s="28">
        <f t="shared" si="1"/>
        <v>14.75</v>
      </c>
      <c r="K61" s="28">
        <f t="shared" si="2"/>
        <v>9</v>
      </c>
    </row>
    <row r="62" hidden="1">
      <c r="A62" s="6" t="s">
        <v>145</v>
      </c>
      <c r="B62" s="25" t="s">
        <v>955</v>
      </c>
      <c r="C62" s="5" t="s">
        <v>96</v>
      </c>
      <c r="D62" s="5" t="s">
        <v>7</v>
      </c>
      <c r="E62" s="26">
        <f>vlookup(C62,'Team Bye List'!$A$1:$B$33,2,False)</f>
        <v>6</v>
      </c>
      <c r="F62" s="27">
        <f>if(ISNA(vlookup($A62, ESPN!$B$2:$E$257, 4, false)), 0, vlookup($A62, ESPN!$B$2:$E$257, 4, false))</f>
        <v>1</v>
      </c>
      <c r="G62" s="27">
        <f>if(ISNA(vlookup($A62, FFToolbox!$B$2:$E$239, 4, false)), 0, vlookup($A62, FFToolbox!$B$2:$E$239, 4, false))</f>
        <v>19</v>
      </c>
      <c r="H62" s="27">
        <f>if(ISNA(vlookup($A62, FantasyPro!$B$2:$E$316, 4, false)), 0, vlookup($A62, FantasyPro!$B$2:$E$316, 4, false))</f>
        <v>20</v>
      </c>
      <c r="I62" s="27">
        <f>if(ISNA(vlookup($A62, RotoWire!$B$2:$E$681, 4, false)), 0, vlookup($A62, RotoWire!$B$2:$E$681, 4, false))</f>
        <v>15</v>
      </c>
      <c r="J62" s="28">
        <f t="shared" si="1"/>
        <v>13.75</v>
      </c>
      <c r="K62" s="28">
        <f t="shared" si="2"/>
        <v>19</v>
      </c>
    </row>
    <row r="63" hidden="1">
      <c r="A63" s="6" t="s">
        <v>83</v>
      </c>
      <c r="B63" s="25" t="s">
        <v>955</v>
      </c>
      <c r="C63" s="5" t="s">
        <v>43</v>
      </c>
      <c r="D63" s="5" t="s">
        <v>12</v>
      </c>
      <c r="E63" s="26">
        <f>vlookup(C63,'Team Bye List'!$A$1:$B$33,2,False)</f>
        <v>12</v>
      </c>
      <c r="F63" s="27">
        <f>if(ISNA(vlookup($A63, ESPN!$B$2:$E$257, 4, false)), 0, vlookup($A63, ESPN!$B$2:$E$257, 4, false))</f>
        <v>19</v>
      </c>
      <c r="G63" s="27">
        <f>if(ISNA(vlookup($A63, FFToolbox!$B$2:$E$239, 4, false)), 0, vlookup($A63, FFToolbox!$B$2:$E$239, 4, false))</f>
        <v>11</v>
      </c>
      <c r="H63" s="27">
        <f>if(ISNA(vlookup($A63, FantasyPro!$B$2:$E$316, 4, false)), 0, vlookup($A63, FantasyPro!$B$2:$E$316, 4, false))</f>
        <v>15</v>
      </c>
      <c r="I63" s="27">
        <f>if(ISNA(vlookup($A63, RotoWire!$B$2:$E$681, 4, false)), 0, vlookup($A63, RotoWire!$B$2:$E$681, 4, false))</f>
        <v>10</v>
      </c>
      <c r="J63" s="28">
        <f t="shared" si="1"/>
        <v>13.75</v>
      </c>
      <c r="K63" s="28">
        <f t="shared" si="2"/>
        <v>9</v>
      </c>
    </row>
    <row r="64" hidden="1">
      <c r="A64" s="6" t="s">
        <v>95</v>
      </c>
      <c r="B64" s="25" t="s">
        <v>955</v>
      </c>
      <c r="C64" s="5" t="s">
        <v>96</v>
      </c>
      <c r="D64" s="5" t="s">
        <v>14</v>
      </c>
      <c r="E64" s="26">
        <f>vlookup(C64,'Team Bye List'!$A$1:$B$33,2,False)</f>
        <v>6</v>
      </c>
      <c r="F64" s="27">
        <f>if(ISNA(vlookup($A64, ESPN!$B$2:$E$257, 4, false)), 0, vlookup($A64, ESPN!$B$2:$E$257, 4, false))</f>
        <v>17</v>
      </c>
      <c r="G64" s="27">
        <f>if(ISNA(vlookup($A64, FFToolbox!$B$2:$E$239, 4, false)), 0, vlookup($A64, FFToolbox!$B$2:$E$239, 4, false))</f>
        <v>17</v>
      </c>
      <c r="H64" s="27">
        <f>if(ISNA(vlookup($A64, FantasyPro!$B$2:$E$316, 4, false)), 0, vlookup($A64, FantasyPro!$B$2:$E$316, 4, false))</f>
        <v>10</v>
      </c>
      <c r="I64" s="27">
        <f>if(ISNA(vlookup($A64, RotoWire!$B$2:$E$681, 4, false)), 0, vlookup($A64, RotoWire!$B$2:$E$681, 4, false))</f>
        <v>9</v>
      </c>
      <c r="J64" s="28">
        <f t="shared" si="1"/>
        <v>13.25</v>
      </c>
      <c r="K64" s="28">
        <f t="shared" si="2"/>
        <v>8</v>
      </c>
    </row>
    <row r="65" hidden="1">
      <c r="A65" s="6" t="s">
        <v>82</v>
      </c>
      <c r="B65" s="25" t="s">
        <v>955</v>
      </c>
      <c r="C65" s="5" t="s">
        <v>59</v>
      </c>
      <c r="D65" s="5" t="s">
        <v>14</v>
      </c>
      <c r="E65" s="26">
        <f>vlookup(C65,'Team Bye List'!$A$1:$B$33,2,False)</f>
        <v>10</v>
      </c>
      <c r="F65" s="27">
        <f>if(ISNA(vlookup($A65, ESPN!$B$2:$E$257, 4, false)), 0, vlookup($A65, ESPN!$B$2:$E$257, 4, false))</f>
        <v>19</v>
      </c>
      <c r="G65" s="27">
        <f>if(ISNA(vlookup($A65, FFToolbox!$B$2:$E$239, 4, false)), 0, vlookup($A65, FFToolbox!$B$2:$E$239, 4, false))</f>
        <v>16</v>
      </c>
      <c r="H65" s="27">
        <f>if(ISNA(vlookup($A65, FantasyPro!$B$2:$E$316, 4, false)), 0, vlookup($A65, FantasyPro!$B$2:$E$316, 4, false))</f>
        <v>12</v>
      </c>
      <c r="I65" s="27">
        <f>if(ISNA(vlookup($A65, RotoWire!$B$2:$E$681, 4, false)), 0, vlookup($A65, RotoWire!$B$2:$E$681, 4, false))</f>
        <v>6</v>
      </c>
      <c r="J65" s="28">
        <f t="shared" si="1"/>
        <v>13.25</v>
      </c>
      <c r="K65" s="28">
        <f t="shared" si="2"/>
        <v>13</v>
      </c>
    </row>
    <row r="66" hidden="1">
      <c r="A66" s="6" t="s">
        <v>89</v>
      </c>
      <c r="B66" s="25" t="s">
        <v>956</v>
      </c>
      <c r="C66" s="5" t="s">
        <v>20</v>
      </c>
      <c r="D66" s="5" t="s">
        <v>14</v>
      </c>
      <c r="E66" s="26">
        <f>vlookup(C66,'Team Bye List'!$A$1:$B$33,2,False)</f>
        <v>9</v>
      </c>
      <c r="F66" s="27">
        <f>if(ISNA(vlookup($A66, ESPN!$B$2:$E$257, 4, false)), 0, vlookup($A66, ESPN!$B$2:$E$257, 4, false))</f>
        <v>18</v>
      </c>
      <c r="G66" s="27">
        <f>if(ISNA(vlookup($A66, FFToolbox!$B$2:$E$239, 4, false)), 0, vlookup($A66, FFToolbox!$B$2:$E$239, 4, false))</f>
        <v>16</v>
      </c>
      <c r="H66" s="27">
        <f>if(ISNA(vlookup($A66, FantasyPro!$B$2:$E$316, 4, false)), 0, vlookup($A66, FantasyPro!$B$2:$E$316, 4, false))</f>
        <v>9</v>
      </c>
      <c r="I66" s="27">
        <f>if(ISNA(vlookup($A66, RotoWire!$B$2:$E$681, 4, false)), 0, vlookup($A66, RotoWire!$B$2:$E$681, 4, false))</f>
        <v>8</v>
      </c>
      <c r="J66" s="28">
        <f t="shared" si="1"/>
        <v>12.75</v>
      </c>
      <c r="K66" s="28">
        <f t="shared" si="2"/>
        <v>10</v>
      </c>
    </row>
    <row r="67">
      <c r="A67" s="6" t="s">
        <v>263</v>
      </c>
      <c r="B67" s="25" t="s">
        <v>955</v>
      </c>
      <c r="C67" s="5" t="s">
        <v>33</v>
      </c>
      <c r="D67" s="5" t="s">
        <v>39</v>
      </c>
      <c r="E67" s="26">
        <f>vlookup(C67,'Team Bye List'!$A$1:$B$33,2,False)</f>
        <v>4</v>
      </c>
      <c r="F67" s="27">
        <f>if(ISNA(vlookup($A67, ESPN!$B$2:$E$257, 4, false)), 0, vlookup($A67, ESPN!$B$2:$E$257, 4, false))</f>
        <v>0</v>
      </c>
      <c r="G67" s="27">
        <f>if(ISNA(vlookup($A67, FFToolbox!$B$2:$E$239, 4, false)), 0, vlookup($A67, FFToolbox!$B$2:$E$239, 4, false))</f>
        <v>1</v>
      </c>
      <c r="H67" s="27">
        <f>if(ISNA(vlookup($A67, FantasyPro!$B$2:$E$316, 4, false)), 0, vlookup($A67, FantasyPro!$B$2:$E$316, 4, false))</f>
        <v>1</v>
      </c>
      <c r="I67" s="27">
        <f>if(ISNA(vlookup($A67, RotoWire!$B$2:$E$681, 4, false)), 0, vlookup($A67, RotoWire!$B$2:$E$681, 4, false))</f>
        <v>49</v>
      </c>
      <c r="J67" s="28">
        <f t="shared" si="1"/>
        <v>12.75</v>
      </c>
      <c r="K67" s="28">
        <f t="shared" si="2"/>
        <v>49</v>
      </c>
    </row>
    <row r="68" hidden="1">
      <c r="A68" s="6" t="s">
        <v>74</v>
      </c>
      <c r="B68" s="25" t="s">
        <v>955</v>
      </c>
      <c r="C68" s="5" t="s">
        <v>54</v>
      </c>
      <c r="D68" s="5" t="s">
        <v>14</v>
      </c>
      <c r="E68" s="26">
        <f>vlookup(C68,'Team Bye List'!$A$1:$B$33,2,False)</f>
        <v>9</v>
      </c>
      <c r="F68" s="27">
        <f>if(ISNA(vlookup($A68, ESPN!$B$2:$E$257, 4, false)), 0, vlookup($A68, ESPN!$B$2:$E$257, 4, false))</f>
        <v>22</v>
      </c>
      <c r="G68" s="27">
        <f>if(ISNA(vlookup($A68, FFToolbox!$B$2:$E$239, 4, false)), 0, vlookup($A68, FFToolbox!$B$2:$E$239, 4, false))</f>
        <v>12</v>
      </c>
      <c r="H68" s="27">
        <f>if(ISNA(vlookup($A68, FantasyPro!$B$2:$E$316, 4, false)), 0, vlookup($A68, FantasyPro!$B$2:$E$316, 4, false))</f>
        <v>12</v>
      </c>
      <c r="I68" s="27">
        <f>if(ISNA(vlookup($A68, RotoWire!$B$2:$E$681, 4, false)), 0, vlookup($A68, RotoWire!$B$2:$E$681, 4, false))</f>
        <v>4</v>
      </c>
      <c r="J68" s="28">
        <f t="shared" si="1"/>
        <v>12.5</v>
      </c>
      <c r="K68" s="28">
        <f t="shared" si="2"/>
        <v>18</v>
      </c>
    </row>
    <row r="69" hidden="1">
      <c r="A69" s="6" t="s">
        <v>88</v>
      </c>
      <c r="B69" s="25" t="s">
        <v>955</v>
      </c>
      <c r="C69" s="5" t="s">
        <v>52</v>
      </c>
      <c r="D69" s="5" t="s">
        <v>14</v>
      </c>
      <c r="E69" s="26">
        <f>vlookup(C69,'Team Bye List'!$A$1:$B$33,2,False)</f>
        <v>4</v>
      </c>
      <c r="F69" s="27">
        <f>if(ISNA(vlookup($A69, ESPN!$B$2:$E$257, 4, false)), 0, vlookup($A69, ESPN!$B$2:$E$257, 4, false))</f>
        <v>18</v>
      </c>
      <c r="G69" s="27">
        <f>if(ISNA(vlookup($A69, FFToolbox!$B$2:$E$239, 4, false)), 0, vlookup($A69, FFToolbox!$B$2:$E$239, 4, false))</f>
        <v>14</v>
      </c>
      <c r="H69" s="27">
        <f>if(ISNA(vlookup($A69, FantasyPro!$B$2:$E$316, 4, false)), 0, vlookup($A69, FantasyPro!$B$2:$E$316, 4, false))</f>
        <v>8</v>
      </c>
      <c r="I69" s="27">
        <f>if(ISNA(vlookup($A69, RotoWire!$B$2:$E$681, 4, false)), 0, vlookup($A69, RotoWire!$B$2:$E$681, 4, false))</f>
        <v>8</v>
      </c>
      <c r="J69" s="28">
        <f t="shared" si="1"/>
        <v>12</v>
      </c>
      <c r="K69" s="28">
        <f t="shared" si="2"/>
        <v>10</v>
      </c>
    </row>
    <row r="70" hidden="1">
      <c r="A70" s="8" t="s">
        <v>106</v>
      </c>
      <c r="B70" s="25" t="s">
        <v>955</v>
      </c>
      <c r="C70" s="5" t="s">
        <v>30</v>
      </c>
      <c r="D70" s="5" t="s">
        <v>14</v>
      </c>
      <c r="E70" s="26">
        <f>vlookup(C70,'Team Bye List'!$A$1:$B$33,2,False)</f>
        <v>7</v>
      </c>
      <c r="F70" s="27">
        <f>if(ISNA(vlookup($A70, ESPN!$B$2:$E$257, 4, false)), 0, vlookup($A70, ESPN!$B$2:$E$257, 4, false))</f>
        <v>11</v>
      </c>
      <c r="G70" s="27">
        <f>if(ISNA(vlookup($A70, FFToolbox!$B$2:$E$239, 4, false)), 0, vlookup($A70, FFToolbox!$B$2:$E$239, 4, false))</f>
        <v>13</v>
      </c>
      <c r="H70" s="27">
        <f>if(ISNA(vlookup($A70, FantasyPro!$B$2:$E$316, 4, false)), 0, vlookup($A70, FantasyPro!$B$2:$E$316, 4, false))</f>
        <v>8</v>
      </c>
      <c r="I70" s="27">
        <f>if(ISNA(vlookup($A70, RotoWire!$B$2:$E$681, 4, false)), 0, vlookup($A70, RotoWire!$B$2:$E$681, 4, false))</f>
        <v>14</v>
      </c>
      <c r="J70" s="28">
        <f t="shared" si="1"/>
        <v>11.5</v>
      </c>
      <c r="K70" s="28">
        <f t="shared" si="2"/>
        <v>6</v>
      </c>
    </row>
    <row r="71" hidden="1">
      <c r="A71" s="6" t="s">
        <v>87</v>
      </c>
      <c r="B71" s="25" t="s">
        <v>955</v>
      </c>
      <c r="C71" s="5" t="s">
        <v>6</v>
      </c>
      <c r="D71" s="5" t="s">
        <v>14</v>
      </c>
      <c r="E71" s="26">
        <f>vlookup(C71,'Team Bye List'!$A$1:$B$33,2,False)</f>
        <v>11</v>
      </c>
      <c r="F71" s="27">
        <f>if(ISNA(vlookup($A71, ESPN!$B$2:$E$257, 4, false)), 0, vlookup($A71, ESPN!$B$2:$E$257, 4, false))</f>
        <v>19</v>
      </c>
      <c r="G71" s="27">
        <f>if(ISNA(vlookup($A71, FFToolbox!$B$2:$E$239, 4, false)), 0, vlookup($A71, FFToolbox!$B$2:$E$239, 4, false))</f>
        <v>8</v>
      </c>
      <c r="H71" s="27">
        <f>if(ISNA(vlookup($A71, FantasyPro!$B$2:$E$316, 4, false)), 0, vlookup($A71, FantasyPro!$B$2:$E$316, 4, false))</f>
        <v>6</v>
      </c>
      <c r="I71" s="27">
        <f>if(ISNA(vlookup($A71, RotoWire!$B$2:$E$681, 4, false)), 0, vlookup($A71, RotoWire!$B$2:$E$681, 4, false))</f>
        <v>12</v>
      </c>
      <c r="J71" s="28">
        <f t="shared" si="1"/>
        <v>11.25</v>
      </c>
      <c r="K71" s="28">
        <f t="shared" si="2"/>
        <v>13</v>
      </c>
    </row>
    <row r="72">
      <c r="A72" s="6" t="s">
        <v>84</v>
      </c>
      <c r="B72" s="25" t="s">
        <v>955</v>
      </c>
      <c r="C72" s="5" t="s">
        <v>22</v>
      </c>
      <c r="D72" s="5" t="s">
        <v>39</v>
      </c>
      <c r="E72" s="26">
        <f>vlookup(C72,'Team Bye List'!$A$1:$B$33,2,False)</f>
        <v>7</v>
      </c>
      <c r="F72" s="27">
        <f>if(ISNA(vlookup($A72, ESPN!$B$2:$E$257, 4, false)), 0, vlookup($A72, ESPN!$B$2:$E$257, 4, false))</f>
        <v>19</v>
      </c>
      <c r="G72" s="27">
        <f>if(ISNA(vlookup($A72, FFToolbox!$B$2:$E$239, 4, false)), 0, vlookup($A72, FFToolbox!$B$2:$E$239, 4, false))</f>
        <v>9</v>
      </c>
      <c r="H72" s="27">
        <f>if(ISNA(vlookup($A72, FantasyPro!$B$2:$E$316, 4, false)), 0, vlookup($A72, FantasyPro!$B$2:$E$316, 4, false))</f>
        <v>14</v>
      </c>
      <c r="I72" s="27">
        <f>if(ISNA(vlookup($A72, RotoWire!$B$2:$E$681, 4, false)), 0, vlookup($A72, RotoWire!$B$2:$E$681, 4, false))</f>
        <v>0</v>
      </c>
      <c r="J72" s="28">
        <f t="shared" si="1"/>
        <v>10.5</v>
      </c>
      <c r="K72" s="28">
        <f t="shared" si="2"/>
        <v>19</v>
      </c>
    </row>
    <row r="73">
      <c r="A73" s="6" t="s">
        <v>262</v>
      </c>
      <c r="B73" s="25" t="s">
        <v>955</v>
      </c>
      <c r="C73" s="5" t="s">
        <v>41</v>
      </c>
      <c r="D73" s="5" t="s">
        <v>39</v>
      </c>
      <c r="E73" s="26">
        <f>vlookup(C73,'Team Bye List'!$A$1:$B$33,2,False)</f>
        <v>6</v>
      </c>
      <c r="F73" s="27">
        <f>if(ISNA(vlookup($A73, ESPN!$B$2:$E$257, 4, false)), 0, vlookup($A73, ESPN!$B$2:$E$257, 4, false))</f>
        <v>0</v>
      </c>
      <c r="G73" s="27">
        <f>if(ISNA(vlookup($A73, FFToolbox!$B$2:$E$239, 4, false)), 0, vlookup($A73, FFToolbox!$B$2:$E$239, 4, false))</f>
        <v>0</v>
      </c>
      <c r="H73" s="27">
        <f>if(ISNA(vlookup($A73, FantasyPro!$B$2:$E$316, 4, false)), 0, vlookup($A73, FantasyPro!$B$2:$E$316, 4, false))</f>
        <v>0</v>
      </c>
      <c r="I73" s="27">
        <f>if(ISNA(vlookup($A73, RotoWire!$B$2:$E$681, 4, false)), 0, vlookup($A73, RotoWire!$B$2:$E$681, 4, false))</f>
        <v>42</v>
      </c>
      <c r="J73" s="28">
        <f t="shared" si="1"/>
        <v>10.5</v>
      </c>
      <c r="K73" s="28">
        <f t="shared" si="2"/>
        <v>42</v>
      </c>
    </row>
    <row r="74">
      <c r="A74" s="6" t="s">
        <v>136</v>
      </c>
      <c r="B74" s="25" t="s">
        <v>955</v>
      </c>
      <c r="C74" s="5" t="s">
        <v>37</v>
      </c>
      <c r="D74" s="5" t="s">
        <v>39</v>
      </c>
      <c r="E74" s="26">
        <f>vlookup(C74,'Team Bye List'!$A$1:$B$33,2,False)</f>
        <v>7</v>
      </c>
      <c r="F74" s="27">
        <f>if(ISNA(vlookup($A74, ESPN!$B$2:$E$257, 4, false)), 0, vlookup($A74, ESPN!$B$2:$E$257, 4, false))</f>
        <v>1</v>
      </c>
      <c r="G74" s="27">
        <f>if(ISNA(vlookup($A74, FFToolbox!$B$2:$E$239, 4, false)), 0, vlookup($A74, FFToolbox!$B$2:$E$239, 4, false))</f>
        <v>5</v>
      </c>
      <c r="H74" s="27">
        <f>if(ISNA(vlookup($A74, FantasyPro!$B$2:$E$316, 4, false)), 0, vlookup($A74, FantasyPro!$B$2:$E$316, 4, false))</f>
        <v>9</v>
      </c>
      <c r="I74" s="27">
        <f>if(ISNA(vlookup($A74, RotoWire!$B$2:$E$681, 4, false)), 0, vlookup($A74, RotoWire!$B$2:$E$681, 4, false))</f>
        <v>27</v>
      </c>
      <c r="J74" s="28">
        <f t="shared" si="1"/>
        <v>10.5</v>
      </c>
      <c r="K74" s="28">
        <f t="shared" si="2"/>
        <v>26</v>
      </c>
    </row>
    <row r="75" hidden="1">
      <c r="A75" s="6" t="s">
        <v>107</v>
      </c>
      <c r="B75" s="25" t="s">
        <v>955</v>
      </c>
      <c r="C75" s="5" t="s">
        <v>35</v>
      </c>
      <c r="D75" s="5" t="s">
        <v>12</v>
      </c>
      <c r="E75" s="26">
        <f>vlookup(C75,'Team Bye List'!$A$1:$B$33,2,False)</f>
        <v>7</v>
      </c>
      <c r="F75" s="27">
        <f>if(ISNA(vlookup($A75, ESPN!$B$2:$E$257, 4, false)), 0, vlookup($A75, ESPN!$B$2:$E$257, 4, false))</f>
        <v>10</v>
      </c>
      <c r="G75" s="27">
        <f>if(ISNA(vlookup($A75, FFToolbox!$B$2:$E$239, 4, false)), 0, vlookup($A75, FFToolbox!$B$2:$E$239, 4, false))</f>
        <v>7</v>
      </c>
      <c r="H75" s="27">
        <f>if(ISNA(vlookup($A75, FantasyPro!$B$2:$E$316, 4, false)), 0, vlookup($A75, FantasyPro!$B$2:$E$316, 4, false))</f>
        <v>10</v>
      </c>
      <c r="I75" s="27">
        <f>if(ISNA(vlookup($A75, RotoWire!$B$2:$E$681, 4, false)), 0, vlookup($A75, RotoWire!$B$2:$E$681, 4, false))</f>
        <v>14</v>
      </c>
      <c r="J75" s="28">
        <f t="shared" si="1"/>
        <v>10.25</v>
      </c>
      <c r="K75" s="28">
        <f t="shared" si="2"/>
        <v>7</v>
      </c>
    </row>
    <row r="76">
      <c r="A76" s="6" t="s">
        <v>144</v>
      </c>
      <c r="B76" s="25" t="s">
        <v>955</v>
      </c>
      <c r="C76" s="5" t="s">
        <v>46</v>
      </c>
      <c r="D76" s="5" t="s">
        <v>39</v>
      </c>
      <c r="E76" s="26">
        <f>vlookup(C76,'Team Bye List'!$A$1:$B$33,2,False)</f>
        <v>10</v>
      </c>
      <c r="F76" s="27">
        <f>if(ISNA(vlookup($A76, ESPN!$B$2:$E$257, 4, false)), 0, vlookup($A76, ESPN!$B$2:$E$257, 4, false))</f>
        <v>1</v>
      </c>
      <c r="G76" s="27">
        <f>if(ISNA(vlookup($A76, FFToolbox!$B$2:$E$239, 4, false)), 0, vlookup($A76, FFToolbox!$B$2:$E$239, 4, false))</f>
        <v>1</v>
      </c>
      <c r="H76" s="27">
        <f>if(ISNA(vlookup($A76, FantasyPro!$B$2:$E$316, 4, false)), 0, vlookup($A76, FantasyPro!$B$2:$E$316, 4, false))</f>
        <v>6</v>
      </c>
      <c r="I76" s="27">
        <f>if(ISNA(vlookup($A76, RotoWire!$B$2:$E$681, 4, false)), 0, vlookup($A76, RotoWire!$B$2:$E$681, 4, false))</f>
        <v>31</v>
      </c>
      <c r="J76" s="28">
        <f t="shared" si="1"/>
        <v>9.75</v>
      </c>
      <c r="K76" s="28">
        <f t="shared" si="2"/>
        <v>30</v>
      </c>
    </row>
    <row r="77" hidden="1">
      <c r="A77" s="6" t="s">
        <v>92</v>
      </c>
      <c r="B77" s="25" t="s">
        <v>955</v>
      </c>
      <c r="C77" s="5" t="s">
        <v>46</v>
      </c>
      <c r="D77" s="5" t="s">
        <v>14</v>
      </c>
      <c r="E77" s="26">
        <f>vlookup(C77,'Team Bye List'!$A$1:$B$33,2,False)</f>
        <v>10</v>
      </c>
      <c r="F77" s="27">
        <f>if(ISNA(vlookup($A77, ESPN!$B$2:$E$257, 4, false)), 0, vlookup($A77, ESPN!$B$2:$E$257, 4, false))</f>
        <v>18</v>
      </c>
      <c r="G77" s="27">
        <f>if(ISNA(vlookup($A77, FFToolbox!$B$2:$E$239, 4, false)), 0, vlookup($A77, FFToolbox!$B$2:$E$239, 4, false))</f>
        <v>11</v>
      </c>
      <c r="H77" s="27">
        <f>if(ISNA(vlookup($A77, FantasyPro!$B$2:$E$316, 4, false)), 0, vlookup($A77, FantasyPro!$B$2:$E$316, 4, false))</f>
        <v>8</v>
      </c>
      <c r="I77" s="27">
        <f>if(ISNA(vlookup($A77, RotoWire!$B$2:$E$681, 4, false)), 0, vlookup($A77, RotoWire!$B$2:$E$681, 4, false))</f>
        <v>1</v>
      </c>
      <c r="J77" s="28">
        <f t="shared" si="1"/>
        <v>9.5</v>
      </c>
      <c r="K77" s="28">
        <f t="shared" si="2"/>
        <v>17</v>
      </c>
    </row>
    <row r="78" hidden="1">
      <c r="A78" s="6" t="s">
        <v>245</v>
      </c>
      <c r="B78" s="25" t="s">
        <v>955</v>
      </c>
      <c r="C78" s="5" t="s">
        <v>122</v>
      </c>
      <c r="D78" s="5" t="s">
        <v>7</v>
      </c>
      <c r="E78" s="26">
        <f>vlookup(C78,'Team Bye List'!$A$1:$B$33,2,False)</f>
        <v>10</v>
      </c>
      <c r="F78" s="27">
        <f>if(ISNA(vlookup($A78, ESPN!$B$2:$E$257, 4, false)), 0, vlookup($A78, ESPN!$B$2:$E$257, 4, false))</f>
        <v>0</v>
      </c>
      <c r="G78" s="27">
        <f>if(ISNA(vlookup($A78, FFToolbox!$B$2:$E$239, 4, false)), 0, vlookup($A78, FFToolbox!$B$2:$E$239, 4, false))</f>
        <v>14</v>
      </c>
      <c r="H78" s="27">
        <f>if(ISNA(vlookup($A78, FantasyPro!$B$2:$E$316, 4, false)), 0, vlookup($A78, FantasyPro!$B$2:$E$316, 4, false))</f>
        <v>18</v>
      </c>
      <c r="I78" s="27">
        <f>if(ISNA(vlookup($A78, RotoWire!$B$2:$E$681, 4, false)), 0, vlookup($A78, RotoWire!$B$2:$E$681, 4, false))</f>
        <v>3</v>
      </c>
      <c r="J78" s="28">
        <f t="shared" si="1"/>
        <v>8.75</v>
      </c>
      <c r="K78" s="28">
        <f t="shared" si="2"/>
        <v>18</v>
      </c>
    </row>
    <row r="79" hidden="1">
      <c r="A79" s="6" t="s">
        <v>97</v>
      </c>
      <c r="B79" s="25" t="s">
        <v>955</v>
      </c>
      <c r="C79" s="5" t="s">
        <v>11</v>
      </c>
      <c r="D79" s="5" t="s">
        <v>14</v>
      </c>
      <c r="E79" s="26">
        <f>vlookup(C79,'Team Bye List'!$A$1:$B$33,2,False)</f>
        <v>12</v>
      </c>
      <c r="F79" s="27">
        <f>if(ISNA(vlookup($A79, ESPN!$B$2:$E$257, 4, false)), 0, vlookup($A79, ESPN!$B$2:$E$257, 4, false))</f>
        <v>16</v>
      </c>
      <c r="G79" s="27">
        <f>if(ISNA(vlookup($A79, FFToolbox!$B$2:$E$239, 4, false)), 0, vlookup($A79, FFToolbox!$B$2:$E$239, 4, false))</f>
        <v>10</v>
      </c>
      <c r="H79" s="27">
        <f>if(ISNA(vlookup($A79, FantasyPro!$B$2:$E$316, 4, false)), 0, vlookup($A79, FantasyPro!$B$2:$E$316, 4, false))</f>
        <v>9</v>
      </c>
      <c r="I79" s="27">
        <f>if(ISNA(vlookup($A79, RotoWire!$B$2:$E$681, 4, false)), 0, vlookup($A79, RotoWire!$B$2:$E$681, 4, false))</f>
        <v>0</v>
      </c>
      <c r="J79" s="28">
        <f t="shared" si="1"/>
        <v>8.75</v>
      </c>
      <c r="K79" s="28">
        <f t="shared" si="2"/>
        <v>16</v>
      </c>
    </row>
    <row r="80" hidden="1">
      <c r="A80" s="6" t="s">
        <v>114</v>
      </c>
      <c r="B80" s="25" t="s">
        <v>955</v>
      </c>
      <c r="C80" s="5" t="s">
        <v>91</v>
      </c>
      <c r="D80" s="5" t="s">
        <v>14</v>
      </c>
      <c r="E80" s="26">
        <f>vlookup(C80,'Team Bye List'!$A$1:$B$33,2,False)</f>
        <v>10</v>
      </c>
      <c r="F80" s="27">
        <f>if(ISNA(vlookup($A80, ESPN!$B$2:$E$257, 4, false)), 0, vlookup($A80, ESPN!$B$2:$E$257, 4, false))</f>
        <v>7</v>
      </c>
      <c r="G80" s="27">
        <f>if(ISNA(vlookup($A80, FFToolbox!$B$2:$E$239, 4, false)), 0, vlookup($A80, FFToolbox!$B$2:$E$239, 4, false))</f>
        <v>11</v>
      </c>
      <c r="H80" s="27">
        <f>if(ISNA(vlookup($A80, FantasyPro!$B$2:$E$316, 4, false)), 0, vlookup($A80, FantasyPro!$B$2:$E$316, 4, false))</f>
        <v>5</v>
      </c>
      <c r="I80" s="27">
        <f>if(ISNA(vlookup($A80, RotoWire!$B$2:$E$681, 4, false)), 0, vlookup($A80, RotoWire!$B$2:$E$681, 4, false))</f>
        <v>10</v>
      </c>
      <c r="J80" s="28">
        <f t="shared" si="1"/>
        <v>8.25</v>
      </c>
      <c r="K80" s="28">
        <f t="shared" si="2"/>
        <v>6</v>
      </c>
    </row>
    <row r="81">
      <c r="A81" s="6" t="s">
        <v>99</v>
      </c>
      <c r="B81" s="25" t="s">
        <v>955</v>
      </c>
      <c r="C81" s="5" t="s">
        <v>9</v>
      </c>
      <c r="D81" s="5" t="s">
        <v>39</v>
      </c>
      <c r="E81" s="26">
        <f>vlookup(C81,'Team Bye List'!$A$1:$B$33,2,False)</f>
        <v>8</v>
      </c>
      <c r="F81" s="27">
        <f>if(ISNA(vlookup($A81, ESPN!$B$2:$E$257, 4, false)), 0, vlookup($A81, ESPN!$B$2:$E$257, 4, false))</f>
        <v>15</v>
      </c>
      <c r="G81" s="27">
        <f>if(ISNA(vlookup($A81, FFToolbox!$B$2:$E$239, 4, false)), 0, vlookup($A81, FFToolbox!$B$2:$E$239, 4, false))</f>
        <v>5</v>
      </c>
      <c r="H81" s="27">
        <f>if(ISNA(vlookup($A81, FantasyPro!$B$2:$E$316, 4, false)), 0, vlookup($A81, FantasyPro!$B$2:$E$316, 4, false))</f>
        <v>9</v>
      </c>
      <c r="I81" s="27">
        <f>if(ISNA(vlookup($A81, RotoWire!$B$2:$E$681, 4, false)), 0, vlookup($A81, RotoWire!$B$2:$E$681, 4, false))</f>
        <v>0</v>
      </c>
      <c r="J81" s="28">
        <f t="shared" si="1"/>
        <v>7.25</v>
      </c>
      <c r="K81" s="28">
        <f t="shared" si="2"/>
        <v>15</v>
      </c>
    </row>
    <row r="82" hidden="1">
      <c r="A82" s="6" t="s">
        <v>231</v>
      </c>
      <c r="B82" s="25" t="s">
        <v>955</v>
      </c>
      <c r="C82" s="5" t="s">
        <v>163</v>
      </c>
      <c r="D82" s="5" t="s">
        <v>7</v>
      </c>
      <c r="E82" s="26">
        <f>vlookup(C82,'Team Bye List'!$A$1:$B$33,2,False)</f>
        <v>5</v>
      </c>
      <c r="F82" s="27">
        <f>if(ISNA(vlookup($A82, ESPN!$B$2:$E$257, 4, false)), 0, vlookup($A82, ESPN!$B$2:$E$257, 4, false))</f>
        <v>0</v>
      </c>
      <c r="G82" s="27">
        <f>if(ISNA(vlookup($A82, FFToolbox!$B$2:$E$239, 4, false)), 0, vlookup($A82, FFToolbox!$B$2:$E$239, 4, false))</f>
        <v>13</v>
      </c>
      <c r="H82" s="27">
        <f>if(ISNA(vlookup($A82, FantasyPro!$B$2:$E$316, 4, false)), 0, vlookup($A82, FantasyPro!$B$2:$E$316, 4, false))</f>
        <v>15</v>
      </c>
      <c r="I82" s="27">
        <f>if(ISNA(vlookup($A82, RotoWire!$B$2:$E$681, 4, false)), 0, vlookup($A82, RotoWire!$B$2:$E$681, 4, false))</f>
        <v>0</v>
      </c>
      <c r="J82" s="28">
        <f t="shared" si="1"/>
        <v>7</v>
      </c>
      <c r="K82" s="28">
        <f t="shared" si="2"/>
        <v>15</v>
      </c>
    </row>
    <row r="83" hidden="1">
      <c r="A83" s="6" t="s">
        <v>101</v>
      </c>
      <c r="B83" s="25" t="s">
        <v>955</v>
      </c>
      <c r="C83" s="5" t="s">
        <v>71</v>
      </c>
      <c r="D83" s="5" t="s">
        <v>14</v>
      </c>
      <c r="E83" s="26">
        <f>vlookup(C83,'Team Bye List'!$A$1:$B$33,2,False)</f>
        <v>5</v>
      </c>
      <c r="F83" s="27">
        <f>if(ISNA(vlookup($A83, ESPN!$B$2:$E$257, 4, false)), 0, vlookup($A83, ESPN!$B$2:$E$257, 4, false))</f>
        <v>12</v>
      </c>
      <c r="G83" s="27">
        <f>if(ISNA(vlookup($A83, FFToolbox!$B$2:$E$239, 4, false)), 0, vlookup($A83, FFToolbox!$B$2:$E$239, 4, false))</f>
        <v>8</v>
      </c>
      <c r="H83" s="27">
        <f>if(ISNA(vlookup($A83, FantasyPro!$B$2:$E$316, 4, false)), 0, vlookup($A83, FantasyPro!$B$2:$E$316, 4, false))</f>
        <v>8</v>
      </c>
      <c r="I83" s="27">
        <f>if(ISNA(vlookup($A83, RotoWire!$B$2:$E$681, 4, false)), 0, vlookup($A83, RotoWire!$B$2:$E$681, 4, false))</f>
        <v>0</v>
      </c>
      <c r="J83" s="28">
        <f t="shared" si="1"/>
        <v>7</v>
      </c>
      <c r="K83" s="28">
        <f t="shared" si="2"/>
        <v>12</v>
      </c>
    </row>
    <row r="84" hidden="1">
      <c r="A84" s="6" t="s">
        <v>249</v>
      </c>
      <c r="B84" s="25" t="s">
        <v>955</v>
      </c>
      <c r="C84" s="5" t="s">
        <v>46</v>
      </c>
      <c r="D84" s="5" t="s">
        <v>7</v>
      </c>
      <c r="E84" s="26">
        <f>vlookup(C84,'Team Bye List'!$A$1:$B$33,2,False)</f>
        <v>10</v>
      </c>
      <c r="F84" s="27">
        <f>if(ISNA(vlookup($A84, ESPN!$B$2:$E$257, 4, false)), 0, vlookup($A84, ESPN!$B$2:$E$257, 4, false))</f>
        <v>0</v>
      </c>
      <c r="G84" s="27">
        <f>if(ISNA(vlookup($A84, FFToolbox!$B$2:$E$239, 4, false)), 0, vlookup($A84, FFToolbox!$B$2:$E$239, 4, false))</f>
        <v>15</v>
      </c>
      <c r="H84" s="27">
        <f>if(ISNA(vlookup($A84, FantasyPro!$B$2:$E$316, 4, false)), 0, vlookup($A84, FantasyPro!$B$2:$E$316, 4, false))</f>
        <v>12</v>
      </c>
      <c r="I84" s="27">
        <f>if(ISNA(vlookup($A84, RotoWire!$B$2:$E$681, 4, false)), 0, vlookup($A84, RotoWire!$B$2:$E$681, 4, false))</f>
        <v>0</v>
      </c>
      <c r="J84" s="28">
        <f t="shared" si="1"/>
        <v>6.75</v>
      </c>
      <c r="K84" s="28">
        <f t="shared" si="2"/>
        <v>15</v>
      </c>
    </row>
    <row r="85" hidden="1">
      <c r="A85" s="6" t="s">
        <v>259</v>
      </c>
      <c r="B85" s="25" t="s">
        <v>955</v>
      </c>
      <c r="C85" s="5" t="s">
        <v>33</v>
      </c>
      <c r="D85" s="5" t="s">
        <v>7</v>
      </c>
      <c r="E85" s="26">
        <f>vlookup(C85,'Team Bye List'!$A$1:$B$33,2,False)</f>
        <v>4</v>
      </c>
      <c r="F85" s="27">
        <f>if(ISNA(vlookup($A85, ESPN!$B$2:$E$257, 4, false)), 0, vlookup($A85, ESPN!$B$2:$E$257, 4, false))</f>
        <v>0</v>
      </c>
      <c r="G85" s="27">
        <f>if(ISNA(vlookup($A85, FFToolbox!$B$2:$E$239, 4, false)), 0, vlookup($A85, FFToolbox!$B$2:$E$239, 4, false))</f>
        <v>14</v>
      </c>
      <c r="H85" s="27">
        <f>if(ISNA(vlookup($A85, FantasyPro!$B$2:$E$316, 4, false)), 0, vlookup($A85, FantasyPro!$B$2:$E$316, 4, false))</f>
        <v>13</v>
      </c>
      <c r="I85" s="27">
        <f>if(ISNA(vlookup($A85, RotoWire!$B$2:$E$681, 4, false)), 0, vlookup($A85, RotoWire!$B$2:$E$681, 4, false))</f>
        <v>0</v>
      </c>
      <c r="J85" s="28">
        <f t="shared" si="1"/>
        <v>6.75</v>
      </c>
      <c r="K85" s="28">
        <f t="shared" si="2"/>
        <v>14</v>
      </c>
    </row>
    <row r="86" hidden="1">
      <c r="A86" s="6" t="s">
        <v>108</v>
      </c>
      <c r="B86" s="25" t="s">
        <v>955</v>
      </c>
      <c r="C86" s="5" t="s">
        <v>30</v>
      </c>
      <c r="D86" s="5" t="s">
        <v>12</v>
      </c>
      <c r="E86" s="26">
        <f>vlookup(C86,'Team Bye List'!$A$1:$B$33,2,False)</f>
        <v>7</v>
      </c>
      <c r="F86" s="27">
        <f>if(ISNA(vlookup($A86, ESPN!$B$2:$E$257, 4, false)), 0, vlookup($A86, ESPN!$B$2:$E$257, 4, false))</f>
        <v>10</v>
      </c>
      <c r="G86" s="27">
        <f>if(ISNA(vlookup($A86, FFToolbox!$B$2:$E$239, 4, false)), 0, vlookup($A86, FFToolbox!$B$2:$E$239, 4, false))</f>
        <v>5</v>
      </c>
      <c r="H86" s="27">
        <f>if(ISNA(vlookup($A86, FantasyPro!$B$2:$E$316, 4, false)), 0, vlookup($A86, FantasyPro!$B$2:$E$316, 4, false))</f>
        <v>8</v>
      </c>
      <c r="I86" s="27">
        <f>if(ISNA(vlookup($A86, RotoWire!$B$2:$E$681, 4, false)), 0, vlookup($A86, RotoWire!$B$2:$E$681, 4, false))</f>
        <v>3</v>
      </c>
      <c r="J86" s="28">
        <f t="shared" si="1"/>
        <v>6.5</v>
      </c>
      <c r="K86" s="28">
        <f t="shared" si="2"/>
        <v>7</v>
      </c>
    </row>
    <row r="87" hidden="1">
      <c r="A87" s="6" t="s">
        <v>117</v>
      </c>
      <c r="B87" s="25" t="s">
        <v>955</v>
      </c>
      <c r="C87" s="5" t="s">
        <v>104</v>
      </c>
      <c r="D87" s="5" t="s">
        <v>12</v>
      </c>
      <c r="E87" s="26">
        <f>vlookup(C87,'Team Bye List'!$A$1:$B$33,2,False)</f>
        <v>8</v>
      </c>
      <c r="F87" s="27">
        <f>if(ISNA(vlookup($A87, ESPN!$B$2:$E$257, 4, false)), 0, vlookup($A87, ESPN!$B$2:$E$257, 4, false))</f>
        <v>5</v>
      </c>
      <c r="G87" s="27">
        <f>if(ISNA(vlookup($A87, FFToolbox!$B$2:$E$239, 4, false)), 0, vlookup($A87, FFToolbox!$B$2:$E$239, 4, false))</f>
        <v>4</v>
      </c>
      <c r="H87" s="27">
        <f>if(ISNA(vlookup($A87, FantasyPro!$B$2:$E$316, 4, false)), 0, vlookup($A87, FantasyPro!$B$2:$E$316, 4, false))</f>
        <v>5</v>
      </c>
      <c r="I87" s="27">
        <f>if(ISNA(vlookup($A87, RotoWire!$B$2:$E$681, 4, false)), 0, vlookup($A87, RotoWire!$B$2:$E$681, 4, false))</f>
        <v>10</v>
      </c>
      <c r="J87" s="28">
        <f t="shared" si="1"/>
        <v>6</v>
      </c>
      <c r="K87" s="28">
        <f t="shared" si="2"/>
        <v>6</v>
      </c>
    </row>
    <row r="88" hidden="1">
      <c r="A88" s="6" t="s">
        <v>130</v>
      </c>
      <c r="B88" s="25" t="s">
        <v>955</v>
      </c>
      <c r="C88" s="5" t="s">
        <v>26</v>
      </c>
      <c r="D88" s="5" t="s">
        <v>14</v>
      </c>
      <c r="E88" s="26">
        <f>vlookup(C88,'Team Bye List'!$A$1:$B$33,2,False)</f>
        <v>12</v>
      </c>
      <c r="F88" s="27">
        <f>if(ISNA(vlookup($A88, ESPN!$B$2:$E$257, 4, false)), 0, vlookup($A88, ESPN!$B$2:$E$257, 4, false))</f>
        <v>3</v>
      </c>
      <c r="G88" s="27">
        <f>if(ISNA(vlookup($A88, FFToolbox!$B$2:$E$239, 4, false)), 0, vlookup($A88, FFToolbox!$B$2:$E$239, 4, false))</f>
        <v>13</v>
      </c>
      <c r="H88" s="27">
        <f>if(ISNA(vlookup($A88, FantasyPro!$B$2:$E$316, 4, false)), 0, vlookup($A88, FantasyPro!$B$2:$E$316, 4, false))</f>
        <v>6</v>
      </c>
      <c r="I88" s="27">
        <f>if(ISNA(vlookup($A88, RotoWire!$B$2:$E$681, 4, false)), 0, vlookup($A88, RotoWire!$B$2:$E$681, 4, false))</f>
        <v>1</v>
      </c>
      <c r="J88" s="28">
        <f t="shared" si="1"/>
        <v>5.75</v>
      </c>
      <c r="K88" s="28">
        <f t="shared" si="2"/>
        <v>12</v>
      </c>
    </row>
    <row r="89">
      <c r="A89" s="6" t="s">
        <v>230</v>
      </c>
      <c r="B89" s="25" t="s">
        <v>955</v>
      </c>
      <c r="C89" s="5" t="s">
        <v>62</v>
      </c>
      <c r="D89" s="5" t="s">
        <v>39</v>
      </c>
      <c r="E89" s="26">
        <f>vlookup(C89,'Team Bye List'!$A$1:$B$33,2,False)</f>
        <v>12</v>
      </c>
      <c r="F89" s="27">
        <f>if(ISNA(vlookup($A89, ESPN!$B$2:$E$257, 4, false)), 0, vlookup($A89, ESPN!$B$2:$E$257, 4, false))</f>
        <v>0</v>
      </c>
      <c r="G89" s="27">
        <f>if(ISNA(vlookup($A89, FFToolbox!$B$2:$E$239, 4, false)), 0, vlookup($A89, FFToolbox!$B$2:$E$239, 4, false))</f>
        <v>1</v>
      </c>
      <c r="H89" s="27">
        <f>if(ISNA(vlookup($A89, FantasyPro!$B$2:$E$316, 4, false)), 0, vlookup($A89, FantasyPro!$B$2:$E$316, 4, false))</f>
        <v>4</v>
      </c>
      <c r="I89" s="27">
        <f>if(ISNA(vlookup($A89, RotoWire!$B$2:$E$681, 4, false)), 0, vlookup($A89, RotoWire!$B$2:$E$681, 4, false))</f>
        <v>18</v>
      </c>
      <c r="J89" s="28">
        <f t="shared" si="1"/>
        <v>5.75</v>
      </c>
      <c r="K89" s="28">
        <f t="shared" si="2"/>
        <v>18</v>
      </c>
    </row>
    <row r="90" hidden="1">
      <c r="A90" s="6" t="s">
        <v>197</v>
      </c>
      <c r="B90" s="25" t="s">
        <v>955</v>
      </c>
      <c r="C90" s="5" t="s">
        <v>50</v>
      </c>
      <c r="D90" s="5" t="s">
        <v>14</v>
      </c>
      <c r="E90" s="26">
        <f>vlookup(C90,'Team Bye List'!$A$1:$B$33,2,False)</f>
        <v>11</v>
      </c>
      <c r="F90" s="27">
        <f>if(ISNA(vlookup($A90, ESPN!$B$2:$E$257, 4, false)), 0, vlookup($A90, ESPN!$B$2:$E$257, 4, false))</f>
        <v>0</v>
      </c>
      <c r="G90" s="27">
        <f>if(ISNA(vlookup($A90, FFToolbox!$B$2:$E$239, 4, false)), 0, vlookup($A90, FFToolbox!$B$2:$E$239, 4, false))</f>
        <v>8</v>
      </c>
      <c r="H90" s="27">
        <f>if(ISNA(vlookup($A90, FantasyPro!$B$2:$E$316, 4, false)), 0, vlookup($A90, FantasyPro!$B$2:$E$316, 4, false))</f>
        <v>5</v>
      </c>
      <c r="I90" s="27">
        <f>if(ISNA(vlookup($A90, RotoWire!$B$2:$E$681, 4, false)), 0, vlookup($A90, RotoWire!$B$2:$E$681, 4, false))</f>
        <v>9</v>
      </c>
      <c r="J90" s="28">
        <f t="shared" si="1"/>
        <v>5.5</v>
      </c>
      <c r="K90" s="28">
        <f t="shared" si="2"/>
        <v>9</v>
      </c>
    </row>
    <row r="91" hidden="1">
      <c r="A91" s="6" t="s">
        <v>253</v>
      </c>
      <c r="B91" s="25" t="s">
        <v>955</v>
      </c>
      <c r="C91" s="5" t="s">
        <v>59</v>
      </c>
      <c r="D91" s="5" t="s">
        <v>7</v>
      </c>
      <c r="E91" s="26">
        <f>vlookup(C91,'Team Bye List'!$A$1:$B$33,2,False)</f>
        <v>10</v>
      </c>
      <c r="F91" s="27">
        <f>if(ISNA(vlookup($A91, ESPN!$B$2:$E$257, 4, false)), 0, vlookup($A91, ESPN!$B$2:$E$257, 4, false))</f>
        <v>0</v>
      </c>
      <c r="G91" s="27">
        <f>if(ISNA(vlookup($A91, FFToolbox!$B$2:$E$239, 4, false)), 0, vlookup($A91, FFToolbox!$B$2:$E$239, 4, false))</f>
        <v>12</v>
      </c>
      <c r="H91" s="27">
        <f>if(ISNA(vlookup($A91, FantasyPro!$B$2:$E$316, 4, false)), 0, vlookup($A91, FantasyPro!$B$2:$E$316, 4, false))</f>
        <v>10</v>
      </c>
      <c r="I91" s="27">
        <f>if(ISNA(vlookup($A91, RotoWire!$B$2:$E$681, 4, false)), 0, vlookup($A91, RotoWire!$B$2:$E$681, 4, false))</f>
        <v>0</v>
      </c>
      <c r="J91" s="28">
        <f t="shared" si="1"/>
        <v>5.5</v>
      </c>
      <c r="K91" s="28">
        <f t="shared" si="2"/>
        <v>12</v>
      </c>
    </row>
    <row r="92" hidden="1">
      <c r="A92" s="6" t="s">
        <v>118</v>
      </c>
      <c r="B92" s="25" t="s">
        <v>955</v>
      </c>
      <c r="C92" s="5" t="s">
        <v>22</v>
      </c>
      <c r="D92" s="5" t="s">
        <v>14</v>
      </c>
      <c r="E92" s="26">
        <f>vlookup(C92,'Team Bye List'!$A$1:$B$33,2,False)</f>
        <v>7</v>
      </c>
      <c r="F92" s="27">
        <f>if(ISNA(vlookup($A92, ESPN!$B$2:$E$257, 4, false)), 0, vlookup($A92, ESPN!$B$2:$E$257, 4, false))</f>
        <v>5</v>
      </c>
      <c r="G92" s="27">
        <f>if(ISNA(vlookup($A92, FFToolbox!$B$2:$E$239, 4, false)), 0, vlookup($A92, FFToolbox!$B$2:$E$239, 4, false))</f>
        <v>10</v>
      </c>
      <c r="H92" s="27">
        <f>if(ISNA(vlookup($A92, FantasyPro!$B$2:$E$316, 4, false)), 0, vlookup($A92, FantasyPro!$B$2:$E$316, 4, false))</f>
        <v>6</v>
      </c>
      <c r="I92" s="27">
        <f>if(ISNA(vlookup($A92, RotoWire!$B$2:$E$681, 4, false)), 0, vlookup($A92, RotoWire!$B$2:$E$681, 4, false))</f>
        <v>0</v>
      </c>
      <c r="J92" s="28">
        <f t="shared" si="1"/>
        <v>5.25</v>
      </c>
      <c r="K92" s="28">
        <f t="shared" si="2"/>
        <v>10</v>
      </c>
    </row>
    <row r="93" hidden="1">
      <c r="A93" s="6" t="s">
        <v>76</v>
      </c>
      <c r="B93" s="25" t="s">
        <v>955</v>
      </c>
      <c r="C93" s="5" t="s">
        <v>22</v>
      </c>
      <c r="D93" s="5" t="s">
        <v>14</v>
      </c>
      <c r="E93" s="26">
        <f>vlookup(C93,'Team Bye List'!$A$1:$B$33,2,False)</f>
        <v>7</v>
      </c>
      <c r="F93" s="27">
        <f>if(ISNA(vlookup($A93, ESPN!$B$2:$E$257, 4, false)), 0, vlookup($A93, ESPN!$B$2:$E$257, 4, false))</f>
        <v>21</v>
      </c>
      <c r="G93" s="27">
        <f>if(ISNA(vlookup($A93, FFToolbox!$B$2:$E$239, 4, false)), 0, vlookup($A93, FFToolbox!$B$2:$E$239, 4, false))</f>
        <v>0</v>
      </c>
      <c r="H93" s="27">
        <f>if(ISNA(vlookup($A93, FantasyPro!$B$2:$E$316, 4, false)), 0, vlookup($A93, FantasyPro!$B$2:$E$316, 4, false))</f>
        <v>0</v>
      </c>
      <c r="I93" s="27">
        <f>if(ISNA(vlookup($A93, RotoWire!$B$2:$E$681, 4, false)), 0, vlookup($A93, RotoWire!$B$2:$E$681, 4, false))</f>
        <v>0</v>
      </c>
      <c r="J93" s="28">
        <f t="shared" si="1"/>
        <v>5.25</v>
      </c>
      <c r="K93" s="28">
        <f t="shared" si="2"/>
        <v>21</v>
      </c>
    </row>
    <row r="94" hidden="1">
      <c r="A94" s="6" t="s">
        <v>346</v>
      </c>
      <c r="B94" s="25" t="s">
        <v>955</v>
      </c>
      <c r="C94" s="5" t="s">
        <v>43</v>
      </c>
      <c r="D94" s="5" t="s">
        <v>7</v>
      </c>
      <c r="E94" s="26">
        <f>vlookup(C94,'Team Bye List'!$A$1:$B$33,2,False)</f>
        <v>12</v>
      </c>
      <c r="F94" s="27">
        <f>if(ISNA(vlookup($A94, ESPN!$B$2:$E$257, 4, false)), 0, vlookup($A94, ESPN!$B$2:$E$257, 4, false))</f>
        <v>0</v>
      </c>
      <c r="G94" s="27">
        <f>if(ISNA(vlookup($A94, FFToolbox!$B$2:$E$239, 4, false)), 0, vlookup($A94, FFToolbox!$B$2:$E$239, 4, false))</f>
        <v>9</v>
      </c>
      <c r="H94" s="27">
        <f>if(ISNA(vlookup($A94, FantasyPro!$B$2:$E$316, 4, false)), 0, vlookup($A94, FantasyPro!$B$2:$E$316, 4, false))</f>
        <v>11</v>
      </c>
      <c r="I94" s="27">
        <f>if(ISNA(vlookup($A94, RotoWire!$B$2:$E$681, 4, false)), 0, vlookup($A94, RotoWire!$B$2:$E$681, 4, false))</f>
        <v>0</v>
      </c>
      <c r="J94" s="28">
        <f t="shared" si="1"/>
        <v>5</v>
      </c>
      <c r="K94" s="28">
        <f t="shared" si="2"/>
        <v>11</v>
      </c>
    </row>
    <row r="95" hidden="1">
      <c r="A95" s="8" t="s">
        <v>112</v>
      </c>
      <c r="B95" s="25" t="s">
        <v>955</v>
      </c>
      <c r="C95" s="5" t="s">
        <v>50</v>
      </c>
      <c r="D95" s="5" t="s">
        <v>12</v>
      </c>
      <c r="E95" s="26">
        <f>vlookup(C95,'Team Bye List'!$A$1:$B$33,2,False)</f>
        <v>11</v>
      </c>
      <c r="F95" s="27">
        <f>if(ISNA(vlookup($A95, ESPN!$B$2:$E$257, 4, false)), 0, vlookup($A95, ESPN!$B$2:$E$257, 4, false))</f>
        <v>7</v>
      </c>
      <c r="G95" s="27">
        <f>if(ISNA(vlookup($A95, FFToolbox!$B$2:$E$239, 4, false)), 0, vlookup($A95, FFToolbox!$B$2:$E$239, 4, false))</f>
        <v>3</v>
      </c>
      <c r="H95" s="27">
        <f>if(ISNA(vlookup($A95, FantasyPro!$B$2:$E$316, 4, false)), 0, vlookup($A95, FantasyPro!$B$2:$E$316, 4, false))</f>
        <v>6</v>
      </c>
      <c r="I95" s="27">
        <f>if(ISNA(vlookup($A95, RotoWire!$B$2:$E$681, 4, false)), 0, vlookup($A95, RotoWire!$B$2:$E$681, 4, false))</f>
        <v>4</v>
      </c>
      <c r="J95" s="28">
        <f t="shared" si="1"/>
        <v>5</v>
      </c>
      <c r="K95" s="28">
        <f t="shared" si="2"/>
        <v>4</v>
      </c>
    </row>
    <row r="96">
      <c r="A96" s="6" t="s">
        <v>123</v>
      </c>
      <c r="B96" s="25" t="s">
        <v>955</v>
      </c>
      <c r="C96" s="5" t="s">
        <v>16</v>
      </c>
      <c r="D96" s="5" t="s">
        <v>39</v>
      </c>
      <c r="E96" s="26">
        <f>vlookup(C96,'Team Bye List'!$A$1:$B$33,2,False)</f>
        <v>9</v>
      </c>
      <c r="F96" s="27">
        <f>if(ISNA(vlookup($A96, ESPN!$B$2:$E$257, 4, false)), 0, vlookup($A96, ESPN!$B$2:$E$257, 4, false))</f>
        <v>5</v>
      </c>
      <c r="G96" s="27">
        <f>if(ISNA(vlookup($A96, FFToolbox!$B$2:$E$239, 4, false)), 0, vlookup($A96, FFToolbox!$B$2:$E$239, 4, false))</f>
        <v>5</v>
      </c>
      <c r="H96" s="27">
        <f>if(ISNA(vlookup($A96, FantasyPro!$B$2:$E$316, 4, false)), 0, vlookup($A96, FantasyPro!$B$2:$E$316, 4, false))</f>
        <v>10</v>
      </c>
      <c r="I96" s="27">
        <f>if(ISNA(vlookup($A96, RotoWire!$B$2:$E$681, 4, false)), 0, vlookup($A96, RotoWire!$B$2:$E$681, 4, false))</f>
        <v>0</v>
      </c>
      <c r="J96" s="28">
        <f t="shared" si="1"/>
        <v>5</v>
      </c>
      <c r="K96" s="28">
        <f t="shared" si="2"/>
        <v>10</v>
      </c>
    </row>
    <row r="97" hidden="1">
      <c r="A97" s="6" t="s">
        <v>121</v>
      </c>
      <c r="B97" s="25" t="s">
        <v>955</v>
      </c>
      <c r="C97" s="5" t="s">
        <v>122</v>
      </c>
      <c r="D97" s="5" t="s">
        <v>14</v>
      </c>
      <c r="E97" s="26">
        <f>vlookup(C97,'Team Bye List'!$A$1:$B$33,2,False)</f>
        <v>10</v>
      </c>
      <c r="F97" s="27">
        <f>if(ISNA(vlookup($A97, ESPN!$B$2:$E$257, 4, false)), 0, vlookup($A97, ESPN!$B$2:$E$257, 4, false))</f>
        <v>5</v>
      </c>
      <c r="G97" s="27">
        <f>if(ISNA(vlookup($A97, FFToolbox!$B$2:$E$239, 4, false)), 0, vlookup($A97, FFToolbox!$B$2:$E$239, 4, false))</f>
        <v>7</v>
      </c>
      <c r="H97" s="27">
        <f>if(ISNA(vlookup($A97, FantasyPro!$B$2:$E$316, 4, false)), 0, vlookup($A97, FantasyPro!$B$2:$E$316, 4, false))</f>
        <v>5</v>
      </c>
      <c r="I97" s="27">
        <f>if(ISNA(vlookup($A97, RotoWire!$B$2:$E$681, 4, false)), 0, vlookup($A97, RotoWire!$B$2:$E$681, 4, false))</f>
        <v>3</v>
      </c>
      <c r="J97" s="28">
        <f t="shared" si="1"/>
        <v>5</v>
      </c>
      <c r="K97" s="28">
        <f t="shared" si="2"/>
        <v>4</v>
      </c>
    </row>
    <row r="98">
      <c r="A98" s="6" t="s">
        <v>218</v>
      </c>
      <c r="B98" s="25" t="s">
        <v>955</v>
      </c>
      <c r="C98" s="5" t="s">
        <v>43</v>
      </c>
      <c r="D98" s="5" t="s">
        <v>39</v>
      </c>
      <c r="E98" s="26">
        <f>vlookup(C98,'Team Bye List'!$A$1:$B$33,2,False)</f>
        <v>12</v>
      </c>
      <c r="F98" s="27">
        <f>if(ISNA(vlookup($A98, ESPN!$B$2:$E$257, 4, false)), 0, vlookup($A98, ESPN!$B$2:$E$257, 4, false))</f>
        <v>0</v>
      </c>
      <c r="G98" s="27">
        <f>if(ISNA(vlookup($A98, FFToolbox!$B$2:$E$239, 4, false)), 0, vlookup($A98, FFToolbox!$B$2:$E$239, 4, false))</f>
        <v>3</v>
      </c>
      <c r="H98" s="27">
        <f>if(ISNA(vlookup($A98, FantasyPro!$B$2:$E$316, 4, false)), 0, vlookup($A98, FantasyPro!$B$2:$E$316, 4, false))</f>
        <v>5</v>
      </c>
      <c r="I98" s="27">
        <f>if(ISNA(vlookup($A98, RotoWire!$B$2:$E$681, 4, false)), 0, vlookup($A98, RotoWire!$B$2:$E$681, 4, false))</f>
        <v>12</v>
      </c>
      <c r="J98" s="28">
        <f t="shared" si="1"/>
        <v>5</v>
      </c>
      <c r="K98" s="28">
        <f t="shared" si="2"/>
        <v>12</v>
      </c>
    </row>
    <row r="99" hidden="1">
      <c r="A99" s="6" t="s">
        <v>109</v>
      </c>
      <c r="B99" s="25" t="s">
        <v>955</v>
      </c>
      <c r="C99" s="5" t="s">
        <v>20</v>
      </c>
      <c r="D99" s="5" t="s">
        <v>12</v>
      </c>
      <c r="E99" s="26">
        <f>vlookup(C99,'Team Bye List'!$A$1:$B$33,2,False)</f>
        <v>9</v>
      </c>
      <c r="F99" s="27">
        <f>if(ISNA(vlookup($A99, ESPN!$B$2:$E$257, 4, false)), 0, vlookup($A99, ESPN!$B$2:$E$257, 4, false))</f>
        <v>8</v>
      </c>
      <c r="G99" s="27">
        <f>if(ISNA(vlookup($A99, FFToolbox!$B$2:$E$239, 4, false)), 0, vlookup($A99, FFToolbox!$B$2:$E$239, 4, false))</f>
        <v>5</v>
      </c>
      <c r="H99" s="27">
        <f>if(ISNA(vlookup($A99, FantasyPro!$B$2:$E$316, 4, false)), 0, vlookup($A99, FantasyPro!$B$2:$E$316, 4, false))</f>
        <v>5</v>
      </c>
      <c r="I99" s="27">
        <f>if(ISNA(vlookup($A99, RotoWire!$B$2:$E$681, 4, false)), 0, vlookup($A99, RotoWire!$B$2:$E$681, 4, false))</f>
        <v>1</v>
      </c>
      <c r="J99" s="28">
        <f t="shared" si="1"/>
        <v>4.75</v>
      </c>
      <c r="K99" s="28">
        <f t="shared" si="2"/>
        <v>7</v>
      </c>
    </row>
    <row r="100" hidden="1">
      <c r="A100" s="6" t="s">
        <v>304</v>
      </c>
      <c r="B100" s="25" t="s">
        <v>956</v>
      </c>
      <c r="C100" s="5" t="s">
        <v>96</v>
      </c>
      <c r="D100" s="5" t="s">
        <v>7</v>
      </c>
      <c r="E100" s="26">
        <f>vlookup(C100,'Team Bye List'!$A$1:$B$33,2,False)</f>
        <v>6</v>
      </c>
      <c r="F100" s="27">
        <f>if(ISNA(vlookup($A100, ESPN!$B$2:$E$257, 4, false)), 0, vlookup($A100, ESPN!$B$2:$E$257, 4, false))</f>
        <v>0</v>
      </c>
      <c r="G100" s="27">
        <f>if(ISNA(vlookup($A100, FFToolbox!$B$2:$E$239, 4, false)), 0, vlookup($A100, FFToolbox!$B$2:$E$239, 4, false))</f>
        <v>10</v>
      </c>
      <c r="H100" s="27">
        <f>if(ISNA(vlookup($A100, FantasyPro!$B$2:$E$316, 4, false)), 0, vlookup($A100, FantasyPro!$B$2:$E$316, 4, false))</f>
        <v>9</v>
      </c>
      <c r="I100" s="27">
        <f>if(ISNA(vlookup($A100, RotoWire!$B$2:$E$681, 4, false)), 0, vlookup($A100, RotoWire!$B$2:$E$681, 4, false))</f>
        <v>0</v>
      </c>
      <c r="J100" s="28">
        <f t="shared" si="1"/>
        <v>4.75</v>
      </c>
      <c r="K100" s="28">
        <f t="shared" si="2"/>
        <v>10</v>
      </c>
    </row>
    <row r="101" hidden="1">
      <c r="A101" s="6" t="s">
        <v>228</v>
      </c>
      <c r="B101" s="25" t="s">
        <v>955</v>
      </c>
      <c r="C101" s="5" t="s">
        <v>165</v>
      </c>
      <c r="D101" s="5" t="s">
        <v>7</v>
      </c>
      <c r="E101" s="26">
        <f>vlookup(C101,'Team Bye List'!$A$1:$B$33,2,False)</f>
        <v>10</v>
      </c>
      <c r="F101" s="27">
        <f>if(ISNA(vlookup($A101, ESPN!$B$2:$E$257, 4, false)), 0, vlookup($A101, ESPN!$B$2:$E$257, 4, false))</f>
        <v>0</v>
      </c>
      <c r="G101" s="27">
        <f>if(ISNA(vlookup($A101, FFToolbox!$B$2:$E$239, 4, false)), 0, vlookup($A101, FFToolbox!$B$2:$E$239, 4, false))</f>
        <v>7</v>
      </c>
      <c r="H101" s="27">
        <f>if(ISNA(vlookup($A101, FantasyPro!$B$2:$E$316, 4, false)), 0, vlookup($A101, FantasyPro!$B$2:$E$316, 4, false))</f>
        <v>11</v>
      </c>
      <c r="I101" s="27">
        <f>if(ISNA(vlookup($A101, RotoWire!$B$2:$E$681, 4, false)), 0, vlookup($A101, RotoWire!$B$2:$E$681, 4, false))</f>
        <v>0</v>
      </c>
      <c r="J101" s="28">
        <f t="shared" si="1"/>
        <v>4.5</v>
      </c>
      <c r="K101" s="28">
        <f t="shared" si="2"/>
        <v>11</v>
      </c>
    </row>
    <row r="102">
      <c r="A102" s="6" t="s">
        <v>125</v>
      </c>
      <c r="B102" s="25" t="s">
        <v>955</v>
      </c>
      <c r="C102" s="5" t="s">
        <v>69</v>
      </c>
      <c r="D102" s="5" t="s">
        <v>39</v>
      </c>
      <c r="E102" s="26">
        <f>vlookup(C102,'Team Bye List'!$A$1:$B$33,2,False)</f>
        <v>11</v>
      </c>
      <c r="F102" s="27">
        <f>if(ISNA(vlookup($A102, ESPN!$B$2:$E$257, 4, false)), 0, vlookup($A102, ESPN!$B$2:$E$257, 4, false))</f>
        <v>4</v>
      </c>
      <c r="G102" s="27">
        <f>if(ISNA(vlookup($A102, FFToolbox!$B$2:$E$239, 4, false)), 0, vlookup($A102, FFToolbox!$B$2:$E$239, 4, false))</f>
        <v>7</v>
      </c>
      <c r="H102" s="27">
        <f>if(ISNA(vlookup($A102, FantasyPro!$B$2:$E$316, 4, false)), 0, vlookup($A102, FantasyPro!$B$2:$E$316, 4, false))</f>
        <v>7</v>
      </c>
      <c r="I102" s="27">
        <f>if(ISNA(vlookup($A102, RotoWire!$B$2:$E$681, 4, false)), 0, vlookup($A102, RotoWire!$B$2:$E$681, 4, false))</f>
        <v>0</v>
      </c>
      <c r="J102" s="28">
        <f t="shared" si="1"/>
        <v>4.5</v>
      </c>
      <c r="K102" s="28">
        <f t="shared" si="2"/>
        <v>7</v>
      </c>
    </row>
    <row r="103" hidden="1">
      <c r="A103" s="6" t="s">
        <v>113</v>
      </c>
      <c r="B103" s="25" t="s">
        <v>955</v>
      </c>
      <c r="C103" s="5" t="s">
        <v>48</v>
      </c>
      <c r="D103" s="5" t="s">
        <v>12</v>
      </c>
      <c r="E103" s="26">
        <f>vlookup(C103,'Team Bye List'!$A$1:$B$33,2,False)</f>
        <v>6</v>
      </c>
      <c r="F103" s="27">
        <f>if(ISNA(vlookup($A103, ESPN!$B$2:$E$257, 4, false)), 0, vlookup($A103, ESPN!$B$2:$E$257, 4, false))</f>
        <v>7</v>
      </c>
      <c r="G103" s="27">
        <f>if(ISNA(vlookup($A103, FFToolbox!$B$2:$E$239, 4, false)), 0, vlookup($A103, FFToolbox!$B$2:$E$239, 4, false))</f>
        <v>7</v>
      </c>
      <c r="H103" s="27">
        <f>if(ISNA(vlookup($A103, FantasyPro!$B$2:$E$316, 4, false)), 0, vlookup($A103, FantasyPro!$B$2:$E$316, 4, false))</f>
        <v>3</v>
      </c>
      <c r="I103" s="27">
        <f>if(ISNA(vlookup($A103, RotoWire!$B$2:$E$681, 4, false)), 0, vlookup($A103, RotoWire!$B$2:$E$681, 4, false))</f>
        <v>0</v>
      </c>
      <c r="J103" s="28">
        <f t="shared" si="1"/>
        <v>4.25</v>
      </c>
      <c r="K103" s="28">
        <f t="shared" si="2"/>
        <v>7</v>
      </c>
    </row>
    <row r="104">
      <c r="A104" s="6" t="s">
        <v>111</v>
      </c>
      <c r="B104" s="25" t="s">
        <v>955</v>
      </c>
      <c r="C104" s="5" t="s">
        <v>26</v>
      </c>
      <c r="D104" s="5" t="s">
        <v>39</v>
      </c>
      <c r="E104" s="26">
        <f>vlookup(C104,'Team Bye List'!$A$1:$B$33,2,False)</f>
        <v>12</v>
      </c>
      <c r="F104" s="27">
        <f>if(ISNA(vlookup($A104, ESPN!$B$2:$E$257, 4, false)), 0, vlookup($A104, ESPN!$B$2:$E$257, 4, false))</f>
        <v>8</v>
      </c>
      <c r="G104" s="27">
        <f>if(ISNA(vlookup($A104, FFToolbox!$B$2:$E$239, 4, false)), 0, vlookup($A104, FFToolbox!$B$2:$E$239, 4, false))</f>
        <v>5</v>
      </c>
      <c r="H104" s="27">
        <f>if(ISNA(vlookup($A104, FantasyPro!$B$2:$E$316, 4, false)), 0, vlookup($A104, FantasyPro!$B$2:$E$316, 4, false))</f>
        <v>3</v>
      </c>
      <c r="I104" s="27">
        <f>if(ISNA(vlookup($A104, RotoWire!$B$2:$E$681, 4, false)), 0, vlookup($A104, RotoWire!$B$2:$E$681, 4, false))</f>
        <v>1</v>
      </c>
      <c r="J104" s="28">
        <f t="shared" si="1"/>
        <v>4.25</v>
      </c>
      <c r="K104" s="28">
        <f t="shared" si="2"/>
        <v>7</v>
      </c>
    </row>
    <row r="105" hidden="1">
      <c r="A105" s="6" t="s">
        <v>599</v>
      </c>
      <c r="B105" s="25" t="s">
        <v>955</v>
      </c>
      <c r="C105" s="5" t="s">
        <v>163</v>
      </c>
      <c r="D105" s="5" t="s">
        <v>14</v>
      </c>
      <c r="E105" s="26">
        <f>vlookup(C105,'Team Bye List'!$A$1:$B$33,2,False)</f>
        <v>5</v>
      </c>
      <c r="F105" s="27">
        <f>if(ISNA(vlookup($A105, ESPN!$B$2:$E$257, 4, false)), 0, vlookup($A105, ESPN!$B$2:$E$257, 4, false))</f>
        <v>0</v>
      </c>
      <c r="G105" s="27">
        <f>if(ISNA(vlookup($A105, FFToolbox!$B$2:$E$239, 4, false)), 0, vlookup($A105, FFToolbox!$B$2:$E$239, 4, false))</f>
        <v>17</v>
      </c>
      <c r="H105" s="27">
        <f>if(ISNA(vlookup($A105, FantasyPro!$B$2:$E$316, 4, false)), 0, vlookup($A105, FantasyPro!$B$2:$E$316, 4, false))</f>
        <v>0</v>
      </c>
      <c r="I105" s="27">
        <f>if(ISNA(vlookup($A105, RotoWire!$B$2:$E$681, 4, false)), 0, vlookup($A105, RotoWire!$B$2:$E$681, 4, false))</f>
        <v>0</v>
      </c>
      <c r="J105" s="28">
        <f t="shared" si="1"/>
        <v>4.25</v>
      </c>
      <c r="K105" s="28">
        <f t="shared" si="2"/>
        <v>17</v>
      </c>
    </row>
    <row r="106" hidden="1">
      <c r="A106" s="6" t="s">
        <v>348</v>
      </c>
      <c r="B106" s="25" t="s">
        <v>955</v>
      </c>
      <c r="C106" s="5" t="s">
        <v>18</v>
      </c>
      <c r="D106" s="5" t="s">
        <v>7</v>
      </c>
      <c r="E106" s="26">
        <f>vlookup(C106,'Team Bye List'!$A$1:$B$33,2,False)</f>
        <v>10</v>
      </c>
      <c r="F106" s="27">
        <f>if(ISNA(vlookup($A106, ESPN!$B$2:$E$257, 4, false)), 0, vlookup($A106, ESPN!$B$2:$E$257, 4, false))</f>
        <v>0</v>
      </c>
      <c r="G106" s="27">
        <f>if(ISNA(vlookup($A106, FFToolbox!$B$2:$E$239, 4, false)), 0, vlookup($A106, FFToolbox!$B$2:$E$239, 4, false))</f>
        <v>5</v>
      </c>
      <c r="H106" s="27">
        <f>if(ISNA(vlookup($A106, FantasyPro!$B$2:$E$316, 4, false)), 0, vlookup($A106, FantasyPro!$B$2:$E$316, 4, false))</f>
        <v>11</v>
      </c>
      <c r="I106" s="27">
        <f>if(ISNA(vlookup($A106, RotoWire!$B$2:$E$681, 4, false)), 0, vlookup($A106, RotoWire!$B$2:$E$681, 4, false))</f>
        <v>0</v>
      </c>
      <c r="J106" s="28">
        <f t="shared" si="1"/>
        <v>4</v>
      </c>
      <c r="K106" s="28">
        <f t="shared" si="2"/>
        <v>11</v>
      </c>
    </row>
    <row r="107" hidden="1">
      <c r="A107" s="6" t="s">
        <v>116</v>
      </c>
      <c r="B107" s="25" t="s">
        <v>955</v>
      </c>
      <c r="C107" s="5" t="s">
        <v>22</v>
      </c>
      <c r="D107" s="5" t="s">
        <v>12</v>
      </c>
      <c r="E107" s="26">
        <f>vlookup(C107,'Team Bye List'!$A$1:$B$33,2,False)</f>
        <v>7</v>
      </c>
      <c r="F107" s="27">
        <f>if(ISNA(vlookup($A107, ESPN!$B$2:$E$257, 4, false)), 0, vlookup($A107, ESPN!$B$2:$E$257, 4, false))</f>
        <v>6</v>
      </c>
      <c r="G107" s="27">
        <f>if(ISNA(vlookup($A107, FFToolbox!$B$2:$E$239, 4, false)), 0, vlookup($A107, FFToolbox!$B$2:$E$239, 4, false))</f>
        <v>0</v>
      </c>
      <c r="H107" s="27">
        <f>if(ISNA(vlookup($A107, FantasyPro!$B$2:$E$316, 4, false)), 0, vlookup($A107, FantasyPro!$B$2:$E$316, 4, false))</f>
        <v>4</v>
      </c>
      <c r="I107" s="27">
        <f>if(ISNA(vlookup($A107, RotoWire!$B$2:$E$681, 4, false)), 0, vlookup($A107, RotoWire!$B$2:$E$681, 4, false))</f>
        <v>6</v>
      </c>
      <c r="J107" s="28">
        <f t="shared" si="1"/>
        <v>4</v>
      </c>
      <c r="K107" s="28">
        <f t="shared" si="2"/>
        <v>6</v>
      </c>
    </row>
    <row r="108" hidden="1">
      <c r="A108" s="6" t="s">
        <v>510</v>
      </c>
      <c r="B108" s="25" t="s">
        <v>955</v>
      </c>
      <c r="C108" s="5" t="s">
        <v>104</v>
      </c>
      <c r="D108" s="5" t="s">
        <v>14</v>
      </c>
      <c r="E108" s="26">
        <f>vlookup(C108,'Team Bye List'!$A$1:$B$33,2,False)</f>
        <v>8</v>
      </c>
      <c r="F108" s="27">
        <f>if(ISNA(vlookup($A108, ESPN!$B$2:$E$257, 4, false)), 0, vlookup($A108, ESPN!$B$2:$E$257, 4, false))</f>
        <v>0</v>
      </c>
      <c r="G108" s="27">
        <f>if(ISNA(vlookup($A108, FFToolbox!$B$2:$E$239, 4, false)), 0, vlookup($A108, FFToolbox!$B$2:$E$239, 4, false))</f>
        <v>16</v>
      </c>
      <c r="H108" s="27">
        <f>if(ISNA(vlookup($A108, FantasyPro!$B$2:$E$316, 4, false)), 0, vlookup($A108, FantasyPro!$B$2:$E$316, 4, false))</f>
        <v>0</v>
      </c>
      <c r="I108" s="27">
        <f>if(ISNA(vlookup($A108, RotoWire!$B$2:$E$681, 4, false)), 0, vlookup($A108, RotoWire!$B$2:$E$681, 4, false))</f>
        <v>0</v>
      </c>
      <c r="J108" s="28">
        <f t="shared" si="1"/>
        <v>4</v>
      </c>
      <c r="K108" s="28">
        <f t="shared" si="2"/>
        <v>16</v>
      </c>
    </row>
    <row r="109" hidden="1">
      <c r="A109" s="8" t="s">
        <v>317</v>
      </c>
      <c r="B109" s="25" t="s">
        <v>955</v>
      </c>
      <c r="C109" s="5" t="s">
        <v>16</v>
      </c>
      <c r="D109" s="5" t="s">
        <v>7</v>
      </c>
      <c r="E109" s="26">
        <f>vlookup(C109,'Team Bye List'!$A$1:$B$33,2,False)</f>
        <v>9</v>
      </c>
      <c r="F109" s="27">
        <f>if(ISNA(vlookup($A109, ESPN!$B$2:$E$257, 4, false)), 0, vlookup($A109, ESPN!$B$2:$E$257, 4, false))</f>
        <v>0</v>
      </c>
      <c r="G109" s="27">
        <f>if(ISNA(vlookup($A109, FFToolbox!$B$2:$E$239, 4, false)), 0, vlookup($A109, FFToolbox!$B$2:$E$239, 4, false))</f>
        <v>7</v>
      </c>
      <c r="H109" s="27">
        <f>if(ISNA(vlookup($A109, FantasyPro!$B$2:$E$316, 4, false)), 0, vlookup($A109, FantasyPro!$B$2:$E$316, 4, false))</f>
        <v>9</v>
      </c>
      <c r="I109" s="27">
        <f>if(ISNA(vlookup($A109, RotoWire!$B$2:$E$681, 4, false)), 0, vlookup($A109, RotoWire!$B$2:$E$681, 4, false))</f>
        <v>0</v>
      </c>
      <c r="J109" s="28">
        <f t="shared" si="1"/>
        <v>4</v>
      </c>
      <c r="K109" s="28">
        <f t="shared" si="2"/>
        <v>9</v>
      </c>
    </row>
    <row r="110" hidden="1">
      <c r="A110" s="8" t="s">
        <v>127</v>
      </c>
      <c r="B110" s="25" t="s">
        <v>955</v>
      </c>
      <c r="C110" s="5" t="s">
        <v>26</v>
      </c>
      <c r="D110" s="5" t="s">
        <v>14</v>
      </c>
      <c r="E110" s="26">
        <f>vlookup(C110,'Team Bye List'!$A$1:$B$33,2,False)</f>
        <v>12</v>
      </c>
      <c r="F110" s="27">
        <f>if(ISNA(vlookup($A110, ESPN!$B$2:$E$257, 4, false)), 0, vlookup($A110, ESPN!$B$2:$E$257, 4, false))</f>
        <v>3</v>
      </c>
      <c r="G110" s="27">
        <f>if(ISNA(vlookup($A110, FFToolbox!$B$2:$E$239, 4, false)), 0, vlookup($A110, FFToolbox!$B$2:$E$239, 4, false))</f>
        <v>8</v>
      </c>
      <c r="H110" s="27">
        <f>if(ISNA(vlookup($A110, FantasyPro!$B$2:$E$316, 4, false)), 0, vlookup($A110, FantasyPro!$B$2:$E$316, 4, false))</f>
        <v>4</v>
      </c>
      <c r="I110" s="27">
        <f>if(ISNA(vlookup($A110, RotoWire!$B$2:$E$681, 4, false)), 0, vlookup($A110, RotoWire!$B$2:$E$681, 4, false))</f>
        <v>0</v>
      </c>
      <c r="J110" s="28">
        <f t="shared" si="1"/>
        <v>3.75</v>
      </c>
      <c r="K110" s="28">
        <f t="shared" si="2"/>
        <v>8</v>
      </c>
    </row>
    <row r="111" hidden="1">
      <c r="A111" s="6" t="s">
        <v>308</v>
      </c>
      <c r="B111" s="25" t="s">
        <v>955</v>
      </c>
      <c r="C111" s="5" t="s">
        <v>69</v>
      </c>
      <c r="D111" s="5" t="s">
        <v>7</v>
      </c>
      <c r="E111" s="26">
        <f>vlookup(C111,'Team Bye List'!$A$1:$B$33,2,False)</f>
        <v>11</v>
      </c>
      <c r="F111" s="27">
        <f>if(ISNA(vlookup($A111, ESPN!$B$2:$E$257, 4, false)), 0, vlookup($A111, ESPN!$B$2:$E$257, 4, false))</f>
        <v>0</v>
      </c>
      <c r="G111" s="27">
        <f>if(ISNA(vlookup($A111, FFToolbox!$B$2:$E$239, 4, false)), 0, vlookup($A111, FFToolbox!$B$2:$E$239, 4, false))</f>
        <v>6</v>
      </c>
      <c r="H111" s="27">
        <f>if(ISNA(vlookup($A111, FantasyPro!$B$2:$E$316, 4, false)), 0, vlookup($A111, FantasyPro!$B$2:$E$316, 4, false))</f>
        <v>8</v>
      </c>
      <c r="I111" s="27">
        <f>if(ISNA(vlookup($A111, RotoWire!$B$2:$E$681, 4, false)), 0, vlookup($A111, RotoWire!$B$2:$E$681, 4, false))</f>
        <v>0</v>
      </c>
      <c r="J111" s="28">
        <f t="shared" si="1"/>
        <v>3.5</v>
      </c>
      <c r="K111" s="28">
        <f t="shared" si="2"/>
        <v>8</v>
      </c>
    </row>
    <row r="112" hidden="1">
      <c r="A112" s="6" t="s">
        <v>216</v>
      </c>
      <c r="B112" s="25" t="s">
        <v>955</v>
      </c>
      <c r="C112" s="5" t="s">
        <v>33</v>
      </c>
      <c r="D112" s="5" t="s">
        <v>14</v>
      </c>
      <c r="E112" s="26">
        <f>vlookup(C112,'Team Bye List'!$A$1:$B$33,2,False)</f>
        <v>4</v>
      </c>
      <c r="F112" s="27">
        <f>if(ISNA(vlookup($A112, ESPN!$B$2:$E$257, 4, false)), 0, vlookup($A112, ESPN!$B$2:$E$257, 4, false))</f>
        <v>0</v>
      </c>
      <c r="G112" s="27">
        <f>if(ISNA(vlookup($A112, FFToolbox!$B$2:$E$239, 4, false)), 0, vlookup($A112, FFToolbox!$B$2:$E$239, 4, false))</f>
        <v>6</v>
      </c>
      <c r="H112" s="27">
        <f>if(ISNA(vlookup($A112, FantasyPro!$B$2:$E$316, 4, false)), 0, vlookup($A112, FantasyPro!$B$2:$E$316, 4, false))</f>
        <v>6</v>
      </c>
      <c r="I112" s="27">
        <f>if(ISNA(vlookup($A112, RotoWire!$B$2:$E$681, 4, false)), 0, vlookup($A112, RotoWire!$B$2:$E$681, 4, false))</f>
        <v>1</v>
      </c>
      <c r="J112" s="28">
        <f t="shared" si="1"/>
        <v>3.25</v>
      </c>
      <c r="K112" s="28">
        <f t="shared" si="2"/>
        <v>6</v>
      </c>
    </row>
    <row r="113" hidden="1">
      <c r="A113" s="6" t="s">
        <v>302</v>
      </c>
      <c r="B113" s="25" t="s">
        <v>955</v>
      </c>
      <c r="C113" s="5" t="s">
        <v>37</v>
      </c>
      <c r="D113" s="5" t="s">
        <v>7</v>
      </c>
      <c r="E113" s="26">
        <f>vlookup(C113,'Team Bye List'!$A$1:$B$33,2,False)</f>
        <v>7</v>
      </c>
      <c r="F113" s="27">
        <f>if(ISNA(vlookup($A113, ESPN!$B$2:$E$257, 4, false)), 0, vlookup($A113, ESPN!$B$2:$E$257, 4, false))</f>
        <v>0</v>
      </c>
      <c r="G113" s="27">
        <f>if(ISNA(vlookup($A113, FFToolbox!$B$2:$E$239, 4, false)), 0, vlookup($A113, FFToolbox!$B$2:$E$239, 4, false))</f>
        <v>3</v>
      </c>
      <c r="H113" s="27">
        <f>if(ISNA(vlookup($A113, FantasyPro!$B$2:$E$316, 4, false)), 0, vlookup($A113, FantasyPro!$B$2:$E$316, 4, false))</f>
        <v>10</v>
      </c>
      <c r="I113" s="27">
        <f>if(ISNA(vlookup($A113, RotoWire!$B$2:$E$681, 4, false)), 0, vlookup($A113, RotoWire!$B$2:$E$681, 4, false))</f>
        <v>0</v>
      </c>
      <c r="J113" s="28">
        <f t="shared" si="1"/>
        <v>3.25</v>
      </c>
      <c r="K113" s="28">
        <f t="shared" si="2"/>
        <v>10</v>
      </c>
    </row>
    <row r="114" hidden="1">
      <c r="A114" s="6" t="s">
        <v>321</v>
      </c>
      <c r="B114" s="25" t="s">
        <v>955</v>
      </c>
      <c r="C114" s="5" t="s">
        <v>122</v>
      </c>
      <c r="D114" s="5" t="s">
        <v>7</v>
      </c>
      <c r="E114" s="26">
        <f>vlookup(C114,'Team Bye List'!$A$1:$B$33,2,False)</f>
        <v>10</v>
      </c>
      <c r="F114" s="27">
        <f>if(ISNA(vlookup($A114, ESPN!$B$2:$E$257, 4, false)), 0, vlookup($A114, ESPN!$B$2:$E$257, 4, false))</f>
        <v>0</v>
      </c>
      <c r="G114" s="27">
        <f>if(ISNA(vlookup($A114, FFToolbox!$B$2:$E$239, 4, false)), 0, vlookup($A114, FFToolbox!$B$2:$E$239, 4, false))</f>
        <v>6</v>
      </c>
      <c r="H114" s="27">
        <f>if(ISNA(vlookup($A114, FantasyPro!$B$2:$E$316, 4, false)), 0, vlookup($A114, FantasyPro!$B$2:$E$316, 4, false))</f>
        <v>7</v>
      </c>
      <c r="I114" s="27">
        <f>if(ISNA(vlookup($A114, RotoWire!$B$2:$E$681, 4, false)), 0, vlookup($A114, RotoWire!$B$2:$E$681, 4, false))</f>
        <v>0</v>
      </c>
      <c r="J114" s="28">
        <f t="shared" si="1"/>
        <v>3.25</v>
      </c>
      <c r="K114" s="28">
        <f t="shared" si="2"/>
        <v>7</v>
      </c>
    </row>
    <row r="115" hidden="1">
      <c r="A115" s="6" t="s">
        <v>463</v>
      </c>
      <c r="B115" s="25" t="s">
        <v>955</v>
      </c>
      <c r="C115" s="5" t="s">
        <v>24</v>
      </c>
      <c r="D115" s="5" t="s">
        <v>7</v>
      </c>
      <c r="E115" s="26">
        <f>vlookup(C115,'Team Bye List'!$A$1:$B$33,2,False)</f>
        <v>9</v>
      </c>
      <c r="F115" s="27">
        <f>if(ISNA(vlookup($A115, ESPN!$B$2:$E$257, 4, false)), 0, vlookup($A115, ESPN!$B$2:$E$257, 4, false))</f>
        <v>0</v>
      </c>
      <c r="G115" s="27">
        <f>if(ISNA(vlookup($A115, FFToolbox!$B$2:$E$239, 4, false)), 0, vlookup($A115, FFToolbox!$B$2:$E$239, 4, false))</f>
        <v>5</v>
      </c>
      <c r="H115" s="27">
        <f>if(ISNA(vlookup($A115, FantasyPro!$B$2:$E$316, 4, false)), 0, vlookup($A115, FantasyPro!$B$2:$E$316, 4, false))</f>
        <v>7</v>
      </c>
      <c r="I115" s="27">
        <f>if(ISNA(vlookup($A115, RotoWire!$B$2:$E$681, 4, false)), 0, vlookup($A115, RotoWire!$B$2:$E$681, 4, false))</f>
        <v>0</v>
      </c>
      <c r="J115" s="28">
        <f t="shared" si="1"/>
        <v>3</v>
      </c>
      <c r="K115" s="28">
        <f t="shared" si="2"/>
        <v>7</v>
      </c>
    </row>
    <row r="116" hidden="1">
      <c r="A116" s="6" t="s">
        <v>343</v>
      </c>
      <c r="B116" s="25" t="s">
        <v>955</v>
      </c>
      <c r="C116" s="5" t="s">
        <v>59</v>
      </c>
      <c r="D116" s="5" t="s">
        <v>7</v>
      </c>
      <c r="E116" s="26">
        <f>vlookup(C116,'Team Bye List'!$A$1:$B$33,2,False)</f>
        <v>10</v>
      </c>
      <c r="F116" s="27">
        <f>if(ISNA(vlookup($A116, ESPN!$B$2:$E$257, 4, false)), 0, vlookup($A116, ESPN!$B$2:$E$257, 4, false))</f>
        <v>0</v>
      </c>
      <c r="G116" s="27">
        <f>if(ISNA(vlookup($A116, FFToolbox!$B$2:$E$239, 4, false)), 0, vlookup($A116, FFToolbox!$B$2:$E$239, 4, false))</f>
        <v>4</v>
      </c>
      <c r="H116" s="27">
        <f>if(ISNA(vlookup($A116, FantasyPro!$B$2:$E$316, 4, false)), 0, vlookup($A116, FantasyPro!$B$2:$E$316, 4, false))</f>
        <v>8</v>
      </c>
      <c r="I116" s="27">
        <f>if(ISNA(vlookup($A116, RotoWire!$B$2:$E$681, 4, false)), 0, vlookup($A116, RotoWire!$B$2:$E$681, 4, false))</f>
        <v>0</v>
      </c>
      <c r="J116" s="28">
        <f t="shared" si="1"/>
        <v>3</v>
      </c>
      <c r="K116" s="28">
        <f t="shared" si="2"/>
        <v>8</v>
      </c>
    </row>
    <row r="117">
      <c r="A117" s="8" t="s">
        <v>212</v>
      </c>
      <c r="B117" s="25" t="s">
        <v>956</v>
      </c>
      <c r="C117" s="5" t="s">
        <v>104</v>
      </c>
      <c r="D117" s="5" t="s">
        <v>39</v>
      </c>
      <c r="E117" s="26">
        <f>vlookup(C117,'Team Bye List'!$A$1:$B$33,2,False)</f>
        <v>8</v>
      </c>
      <c r="F117" s="27">
        <f>if(ISNA(vlookup($A117, ESPN!$B$2:$E$257, 4, false)), 0, vlookup($A117, ESPN!$B$2:$E$257, 4, false))</f>
        <v>0</v>
      </c>
      <c r="G117" s="27">
        <f>if(ISNA(vlookup($A117, FFToolbox!$B$2:$E$239, 4, false)), 0, vlookup($A117, FFToolbox!$B$2:$E$239, 4, false))</f>
        <v>5</v>
      </c>
      <c r="H117" s="27">
        <f>if(ISNA(vlookup($A117, FantasyPro!$B$2:$E$316, 4, false)), 0, vlookup($A117, FantasyPro!$B$2:$E$316, 4, false))</f>
        <v>7</v>
      </c>
      <c r="I117" s="27">
        <f>if(ISNA(vlookup($A117, RotoWire!$B$2:$E$681, 4, false)), 0, vlookup($A117, RotoWire!$B$2:$E$681, 4, false))</f>
        <v>0</v>
      </c>
      <c r="J117" s="28">
        <f t="shared" si="1"/>
        <v>3</v>
      </c>
      <c r="K117" s="28">
        <f t="shared" si="2"/>
        <v>7</v>
      </c>
    </row>
    <row r="118" hidden="1">
      <c r="A118" s="6" t="s">
        <v>338</v>
      </c>
      <c r="B118" s="25" t="s">
        <v>955</v>
      </c>
      <c r="C118" s="5" t="s">
        <v>139</v>
      </c>
      <c r="D118" s="5" t="s">
        <v>7</v>
      </c>
      <c r="E118" s="26">
        <f>vlookup(C118,'Team Bye List'!$A$1:$B$33,2,False)</f>
        <v>6</v>
      </c>
      <c r="F118" s="27">
        <f>if(ISNA(vlookup($A118, ESPN!$B$2:$E$257, 4, false)), 0, vlookup($A118, ESPN!$B$2:$E$257, 4, false))</f>
        <v>0</v>
      </c>
      <c r="G118" s="27">
        <f>if(ISNA(vlookup($A118, FFToolbox!$B$2:$E$239, 4, false)), 0, vlookup($A118, FFToolbox!$B$2:$E$239, 4, false))</f>
        <v>3</v>
      </c>
      <c r="H118" s="27">
        <f>if(ISNA(vlookup($A118, FantasyPro!$B$2:$E$316, 4, false)), 0, vlookup($A118, FantasyPro!$B$2:$E$316, 4, false))</f>
        <v>9</v>
      </c>
      <c r="I118" s="27">
        <f>if(ISNA(vlookup($A118, RotoWire!$B$2:$E$681, 4, false)), 0, vlookup($A118, RotoWire!$B$2:$E$681, 4, false))</f>
        <v>0</v>
      </c>
      <c r="J118" s="28">
        <f t="shared" si="1"/>
        <v>3</v>
      </c>
      <c r="K118" s="28">
        <f t="shared" si="2"/>
        <v>9</v>
      </c>
    </row>
    <row r="119" hidden="1">
      <c r="A119" s="6" t="s">
        <v>288</v>
      </c>
      <c r="B119" s="25" t="s">
        <v>955</v>
      </c>
      <c r="C119" s="5" t="s">
        <v>33</v>
      </c>
      <c r="D119" s="5" t="s">
        <v>7</v>
      </c>
      <c r="E119" s="26">
        <f>vlookup(C119,'Team Bye List'!$A$1:$B$33,2,False)</f>
        <v>4</v>
      </c>
      <c r="F119" s="27">
        <f>if(ISNA(vlookup($A119, ESPN!$B$2:$E$257, 4, false)), 0, vlookup($A119, ESPN!$B$2:$E$257, 4, false))</f>
        <v>0</v>
      </c>
      <c r="G119" s="27">
        <f>if(ISNA(vlookup($A119, FFToolbox!$B$2:$E$239, 4, false)), 0, vlookup($A119, FFToolbox!$B$2:$E$239, 4, false))</f>
        <v>5</v>
      </c>
      <c r="H119" s="27">
        <f>if(ISNA(vlookup($A119, FantasyPro!$B$2:$E$316, 4, false)), 0, vlookup($A119, FantasyPro!$B$2:$E$316, 4, false))</f>
        <v>7</v>
      </c>
      <c r="I119" s="27">
        <f>if(ISNA(vlookup($A119, RotoWire!$B$2:$E$681, 4, false)), 0, vlookup($A119, RotoWire!$B$2:$E$681, 4, false))</f>
        <v>0</v>
      </c>
      <c r="J119" s="28">
        <f t="shared" si="1"/>
        <v>3</v>
      </c>
      <c r="K119" s="28">
        <f t="shared" si="2"/>
        <v>7</v>
      </c>
    </row>
    <row r="120" hidden="1">
      <c r="A120" s="8" t="s">
        <v>229</v>
      </c>
      <c r="B120" s="25" t="s">
        <v>955</v>
      </c>
      <c r="C120" s="5" t="s">
        <v>18</v>
      </c>
      <c r="D120" s="5" t="s">
        <v>7</v>
      </c>
      <c r="E120" s="26">
        <f>vlookup(C120,'Team Bye List'!$A$1:$B$33,2,False)</f>
        <v>10</v>
      </c>
      <c r="F120" s="27">
        <f>if(ISNA(vlookup($A120, ESPN!$B$2:$E$257, 4, false)), 0, vlookup($A120, ESPN!$B$2:$E$257, 4, false))</f>
        <v>0</v>
      </c>
      <c r="G120" s="27">
        <f>if(ISNA(vlookup($A120, FFToolbox!$B$2:$E$239, 4, false)), 0, vlookup($A120, FFToolbox!$B$2:$E$239, 4, false))</f>
        <v>11</v>
      </c>
      <c r="H120" s="27">
        <f>if(ISNA(vlookup($A120, FantasyPro!$B$2:$E$316, 4, false)), 0, vlookup($A120, FantasyPro!$B$2:$E$316, 4, false))</f>
        <v>0</v>
      </c>
      <c r="I120" s="27">
        <f>if(ISNA(vlookup($A120, RotoWire!$B$2:$E$681, 4, false)), 0, vlookup($A120, RotoWire!$B$2:$E$681, 4, false))</f>
        <v>0</v>
      </c>
      <c r="J120" s="28">
        <f t="shared" si="1"/>
        <v>2.75</v>
      </c>
      <c r="K120" s="28">
        <f t="shared" si="2"/>
        <v>11</v>
      </c>
    </row>
    <row r="121" hidden="1">
      <c r="A121" s="6" t="s">
        <v>119</v>
      </c>
      <c r="B121" s="25" t="s">
        <v>955</v>
      </c>
      <c r="C121" s="5" t="s">
        <v>24</v>
      </c>
      <c r="D121" s="5" t="s">
        <v>120</v>
      </c>
      <c r="E121" s="26">
        <f>vlookup(C121,'Team Bye List'!$A$1:$B$33,2,False)</f>
        <v>9</v>
      </c>
      <c r="F121" s="27">
        <f>if(ISNA(vlookup($A121, ESPN!$B$2:$E$257, 4, false)), 0, vlookup($A121, ESPN!$B$2:$E$257, 4, false))</f>
        <v>5</v>
      </c>
      <c r="G121" s="27">
        <f>if(ISNA(vlookup($A121, FFToolbox!$B$2:$E$239, 4, false)), 0, vlookup($A121, FFToolbox!$B$2:$E$239, 4, false))</f>
        <v>0</v>
      </c>
      <c r="H121" s="27">
        <f>if(ISNA(vlookup($A121, FantasyPro!$B$2:$E$316, 4, false)), 0, vlookup($A121, FantasyPro!$B$2:$E$316, 4, false))</f>
        <v>1</v>
      </c>
      <c r="I121" s="27">
        <f>if(ISNA(vlookup($A121, RotoWire!$B$2:$E$681, 4, false)), 0, vlookup($A121, RotoWire!$B$2:$E$681, 4, false))</f>
        <v>4</v>
      </c>
      <c r="J121" s="28">
        <f t="shared" si="1"/>
        <v>2.5</v>
      </c>
      <c r="K121" s="28">
        <f t="shared" si="2"/>
        <v>5</v>
      </c>
    </row>
    <row r="122" hidden="1">
      <c r="A122" s="6" t="s">
        <v>371</v>
      </c>
      <c r="B122" s="25" t="s">
        <v>955</v>
      </c>
      <c r="C122" s="5" t="s">
        <v>163</v>
      </c>
      <c r="D122" s="5" t="s">
        <v>7</v>
      </c>
      <c r="E122" s="26">
        <f>vlookup(C122,'Team Bye List'!$A$1:$B$33,2,False)</f>
        <v>5</v>
      </c>
      <c r="F122" s="27">
        <f>if(ISNA(vlookup($A122, ESPN!$B$2:$E$257, 4, false)), 0, vlookup($A122, ESPN!$B$2:$E$257, 4, false))</f>
        <v>0</v>
      </c>
      <c r="G122" s="27">
        <f>if(ISNA(vlookup($A122, FFToolbox!$B$2:$E$239, 4, false)), 0, vlookup($A122, FFToolbox!$B$2:$E$239, 4, false))</f>
        <v>3</v>
      </c>
      <c r="H122" s="27">
        <f>if(ISNA(vlookup($A122, FantasyPro!$B$2:$E$316, 4, false)), 0, vlookup($A122, FantasyPro!$B$2:$E$316, 4, false))</f>
        <v>7</v>
      </c>
      <c r="I122" s="27">
        <f>if(ISNA(vlookup($A122, RotoWire!$B$2:$E$681, 4, false)), 0, vlookup($A122, RotoWire!$B$2:$E$681, 4, false))</f>
        <v>0</v>
      </c>
      <c r="J122" s="28">
        <f t="shared" si="1"/>
        <v>2.5</v>
      </c>
      <c r="K122" s="28">
        <f t="shared" si="2"/>
        <v>7</v>
      </c>
    </row>
    <row r="123" hidden="1">
      <c r="A123" s="6" t="s">
        <v>580</v>
      </c>
      <c r="B123" s="25" t="s">
        <v>955</v>
      </c>
      <c r="C123" s="5" t="s">
        <v>96</v>
      </c>
      <c r="D123" s="5" t="s">
        <v>14</v>
      </c>
      <c r="E123" s="26">
        <f>vlookup(C123,'Team Bye List'!$A$1:$B$33,2,False)</f>
        <v>6</v>
      </c>
      <c r="F123" s="27">
        <f>if(ISNA(vlookup($A123, ESPN!$B$2:$E$257, 4, false)), 0, vlookup($A123, ESPN!$B$2:$E$257, 4, false))</f>
        <v>0</v>
      </c>
      <c r="G123" s="27">
        <f>if(ISNA(vlookup($A123, FFToolbox!$B$2:$E$239, 4, false)), 0, vlookup($A123, FFToolbox!$B$2:$E$239, 4, false))</f>
        <v>10</v>
      </c>
      <c r="H123" s="27">
        <f>if(ISNA(vlookup($A123, FantasyPro!$B$2:$E$316, 4, false)), 0, vlookup($A123, FantasyPro!$B$2:$E$316, 4, false))</f>
        <v>0</v>
      </c>
      <c r="I123" s="27">
        <f>if(ISNA(vlookup($A123, RotoWire!$B$2:$E$681, 4, false)), 0, vlookup($A123, RotoWire!$B$2:$E$681, 4, false))</f>
        <v>0</v>
      </c>
      <c r="J123" s="28">
        <f t="shared" si="1"/>
        <v>2.5</v>
      </c>
      <c r="K123" s="28">
        <f t="shared" si="2"/>
        <v>10</v>
      </c>
    </row>
    <row r="124" hidden="1">
      <c r="A124" s="6" t="s">
        <v>126</v>
      </c>
      <c r="B124" s="25" t="s">
        <v>955</v>
      </c>
      <c r="C124" s="5" t="s">
        <v>96</v>
      </c>
      <c r="D124" s="5" t="s">
        <v>12</v>
      </c>
      <c r="E124" s="26">
        <f>vlookup(C124,'Team Bye List'!$A$1:$B$33,2,False)</f>
        <v>6</v>
      </c>
      <c r="F124" s="27">
        <f>if(ISNA(vlookup($A124, ESPN!$B$2:$E$257, 4, false)), 0, vlookup($A124, ESPN!$B$2:$E$257, 4, false))</f>
        <v>4</v>
      </c>
      <c r="G124" s="27">
        <f>if(ISNA(vlookup($A124, FFToolbox!$B$2:$E$239, 4, false)), 0, vlookup($A124, FFToolbox!$B$2:$E$239, 4, false))</f>
        <v>2</v>
      </c>
      <c r="H124" s="27">
        <f>if(ISNA(vlookup($A124, FantasyPro!$B$2:$E$316, 4, false)), 0, vlookup($A124, FantasyPro!$B$2:$E$316, 4, false))</f>
        <v>4</v>
      </c>
      <c r="I124" s="27">
        <f>if(ISNA(vlookup($A124, RotoWire!$B$2:$E$681, 4, false)), 0, vlookup($A124, RotoWire!$B$2:$E$681, 4, false))</f>
        <v>0</v>
      </c>
      <c r="J124" s="28">
        <f t="shared" si="1"/>
        <v>2.5</v>
      </c>
      <c r="K124" s="28">
        <f t="shared" si="2"/>
        <v>4</v>
      </c>
    </row>
    <row r="125">
      <c r="A125" s="6" t="s">
        <v>208</v>
      </c>
      <c r="B125" s="25" t="s">
        <v>955</v>
      </c>
      <c r="C125" s="5" t="s">
        <v>48</v>
      </c>
      <c r="D125" s="5" t="s">
        <v>39</v>
      </c>
      <c r="E125" s="26">
        <f>vlookup(C125,'Team Bye List'!$A$1:$B$33,2,False)</f>
        <v>6</v>
      </c>
      <c r="F125" s="27">
        <f>if(ISNA(vlookup($A125, ESPN!$B$2:$E$257, 4, false)), 0, vlookup($A125, ESPN!$B$2:$E$257, 4, false))</f>
        <v>0</v>
      </c>
      <c r="G125" s="27">
        <f>if(ISNA(vlookup($A125, FFToolbox!$B$2:$E$239, 4, false)), 0, vlookup($A125, FFToolbox!$B$2:$E$239, 4, false))</f>
        <v>9</v>
      </c>
      <c r="H125" s="27">
        <f>if(ISNA(vlookup($A125, FantasyPro!$B$2:$E$316, 4, false)), 0, vlookup($A125, FantasyPro!$B$2:$E$316, 4, false))</f>
        <v>0</v>
      </c>
      <c r="I125" s="27">
        <f>if(ISNA(vlookup($A125, RotoWire!$B$2:$E$681, 4, false)), 0, vlookup($A125, RotoWire!$B$2:$E$681, 4, false))</f>
        <v>0</v>
      </c>
      <c r="J125" s="28">
        <f t="shared" si="1"/>
        <v>2.25</v>
      </c>
      <c r="K125" s="28">
        <f t="shared" si="2"/>
        <v>9</v>
      </c>
    </row>
    <row r="126">
      <c r="A126" s="6" t="s">
        <v>744</v>
      </c>
      <c r="B126" s="25" t="s">
        <v>955</v>
      </c>
      <c r="C126" s="5" t="s">
        <v>6</v>
      </c>
      <c r="D126" s="5" t="s">
        <v>39</v>
      </c>
      <c r="E126" s="26">
        <f>vlookup(C126,'Team Bye List'!$A$1:$B$33,2,False)</f>
        <v>11</v>
      </c>
      <c r="F126" s="27">
        <f>if(ISNA(vlookup($A126, ESPN!$B$2:$E$257, 4, false)), 0, vlookup($A126, ESPN!$B$2:$E$257, 4, false))</f>
        <v>0</v>
      </c>
      <c r="G126" s="27">
        <f>if(ISNA(vlookup($A126, FFToolbox!$B$2:$E$239, 4, false)), 0, vlookup($A126, FFToolbox!$B$2:$E$239, 4, false))</f>
        <v>9</v>
      </c>
      <c r="H126" s="27">
        <f>if(ISNA(vlookup($A126, FantasyPro!$B$2:$E$316, 4, false)), 0, vlookup($A126, FantasyPro!$B$2:$E$316, 4, false))</f>
        <v>0</v>
      </c>
      <c r="I126" s="27">
        <f>if(ISNA(vlookup($A126, RotoWire!$B$2:$E$681, 4, false)), 0, vlookup($A126, RotoWire!$B$2:$E$681, 4, false))</f>
        <v>0</v>
      </c>
      <c r="J126" s="28">
        <f t="shared" si="1"/>
        <v>2.25</v>
      </c>
      <c r="K126" s="28">
        <f t="shared" si="2"/>
        <v>9</v>
      </c>
    </row>
    <row r="127" hidden="1">
      <c r="A127" s="6" t="s">
        <v>466</v>
      </c>
      <c r="B127" s="25" t="s">
        <v>955</v>
      </c>
      <c r="C127" s="5" t="s">
        <v>50</v>
      </c>
      <c r="D127" s="5" t="s">
        <v>7</v>
      </c>
      <c r="E127" s="26">
        <f>vlookup(C127,'Team Bye List'!$A$1:$B$33,2,False)</f>
        <v>11</v>
      </c>
      <c r="F127" s="27">
        <f>if(ISNA(vlookup($A127, ESPN!$B$2:$E$257, 4, false)), 0, vlookup($A127, ESPN!$B$2:$E$257, 4, false))</f>
        <v>0</v>
      </c>
      <c r="G127" s="27">
        <f>if(ISNA(vlookup($A127, FFToolbox!$B$2:$E$239, 4, false)), 0, vlookup($A127, FFToolbox!$B$2:$E$239, 4, false))</f>
        <v>3</v>
      </c>
      <c r="H127" s="27">
        <f>if(ISNA(vlookup($A127, FantasyPro!$B$2:$E$316, 4, false)), 0, vlookup($A127, FantasyPro!$B$2:$E$316, 4, false))</f>
        <v>6</v>
      </c>
      <c r="I127" s="27">
        <f>if(ISNA(vlookup($A127, RotoWire!$B$2:$E$681, 4, false)), 0, vlookup($A127, RotoWire!$B$2:$E$681, 4, false))</f>
        <v>0</v>
      </c>
      <c r="J127" s="28">
        <f t="shared" si="1"/>
        <v>2.25</v>
      </c>
      <c r="K127" s="28">
        <f t="shared" si="2"/>
        <v>6</v>
      </c>
    </row>
    <row r="128" hidden="1">
      <c r="A128" s="6" t="s">
        <v>181</v>
      </c>
      <c r="B128" s="25" t="s">
        <v>955</v>
      </c>
      <c r="C128" s="5" t="s">
        <v>165</v>
      </c>
      <c r="D128" s="5" t="s">
        <v>12</v>
      </c>
      <c r="E128" s="26">
        <f>vlookup(C128,'Team Bye List'!$A$1:$B$33,2,False)</f>
        <v>10</v>
      </c>
      <c r="F128" s="27">
        <f>if(ISNA(vlookup($A128, ESPN!$B$2:$E$257, 4, false)), 0, vlookup($A128, ESPN!$B$2:$E$257, 4, false))</f>
        <v>1</v>
      </c>
      <c r="G128" s="27">
        <f>if(ISNA(vlookup($A128, FFToolbox!$B$2:$E$239, 4, false)), 0, vlookup($A128, FFToolbox!$B$2:$E$239, 4, false))</f>
        <v>3</v>
      </c>
      <c r="H128" s="27">
        <f>if(ISNA(vlookup($A128, FantasyPro!$B$2:$E$316, 4, false)), 0, vlookup($A128, FantasyPro!$B$2:$E$316, 4, false))</f>
        <v>5</v>
      </c>
      <c r="I128" s="27">
        <f>if(ISNA(vlookup($A128, RotoWire!$B$2:$E$681, 4, false)), 0, vlookup($A128, RotoWire!$B$2:$E$681, 4, false))</f>
        <v>0</v>
      </c>
      <c r="J128" s="28">
        <f t="shared" si="1"/>
        <v>2.25</v>
      </c>
      <c r="K128" s="28">
        <f t="shared" si="2"/>
        <v>5</v>
      </c>
    </row>
    <row r="129">
      <c r="A129" s="8" t="s">
        <v>785</v>
      </c>
      <c r="B129" s="25" t="s">
        <v>955</v>
      </c>
      <c r="C129" s="5" t="s">
        <v>6</v>
      </c>
      <c r="D129" s="5" t="s">
        <v>39</v>
      </c>
      <c r="E129" s="26">
        <f>vlookup(C129,'Team Bye List'!$A$1:$B$33,2,False)</f>
        <v>11</v>
      </c>
      <c r="F129" s="27">
        <f>if(ISNA(vlookup($A129, ESPN!$B$2:$E$257, 4, false)), 0, vlookup($A129, ESPN!$B$2:$E$257, 4, false))</f>
        <v>0</v>
      </c>
      <c r="G129" s="27">
        <f>if(ISNA(vlookup($A129, FFToolbox!$B$2:$E$239, 4, false)), 0, vlookup($A129, FFToolbox!$B$2:$E$239, 4, false))</f>
        <v>9</v>
      </c>
      <c r="H129" s="27">
        <f>if(ISNA(vlookup($A129, FantasyPro!$B$2:$E$316, 4, false)), 0, vlookup($A129, FantasyPro!$B$2:$E$316, 4, false))</f>
        <v>0</v>
      </c>
      <c r="I129" s="27">
        <f>if(ISNA(vlookup($A129, RotoWire!$B$2:$E$681, 4, false)), 0, vlookup($A129, RotoWire!$B$2:$E$681, 4, false))</f>
        <v>0</v>
      </c>
      <c r="J129" s="28">
        <f t="shared" si="1"/>
        <v>2.25</v>
      </c>
      <c r="K129" s="28">
        <f t="shared" si="2"/>
        <v>9</v>
      </c>
    </row>
    <row r="130" hidden="1">
      <c r="A130" s="6" t="s">
        <v>189</v>
      </c>
      <c r="B130" s="25" t="s">
        <v>955</v>
      </c>
      <c r="C130" s="5" t="s">
        <v>59</v>
      </c>
      <c r="D130" s="5" t="s">
        <v>14</v>
      </c>
      <c r="E130" s="26">
        <f>vlookup(C130,'Team Bye List'!$A$1:$B$33,2,False)</f>
        <v>10</v>
      </c>
      <c r="F130" s="27">
        <f>if(ISNA(vlookup($A130, ESPN!$B$2:$E$257, 4, false)), 0, vlookup($A130, ESPN!$B$2:$E$257, 4, false))</f>
        <v>0</v>
      </c>
      <c r="G130" s="27">
        <f>if(ISNA(vlookup($A130, FFToolbox!$B$2:$E$239, 4, false)), 0, vlookup($A130, FFToolbox!$B$2:$E$239, 4, false))</f>
        <v>3</v>
      </c>
      <c r="H130" s="27">
        <f>if(ISNA(vlookup($A130, FantasyPro!$B$2:$E$316, 4, false)), 0, vlookup($A130, FantasyPro!$B$2:$E$316, 4, false))</f>
        <v>3</v>
      </c>
      <c r="I130" s="27">
        <f>if(ISNA(vlookup($A130, RotoWire!$B$2:$E$681, 4, false)), 0, vlookup($A130, RotoWire!$B$2:$E$681, 4, false))</f>
        <v>2</v>
      </c>
      <c r="J130" s="28">
        <f t="shared" si="1"/>
        <v>2</v>
      </c>
      <c r="K130" s="28">
        <f t="shared" si="2"/>
        <v>3</v>
      </c>
    </row>
    <row r="131" hidden="1">
      <c r="A131" s="6" t="s">
        <v>210</v>
      </c>
      <c r="B131" s="25" t="s">
        <v>955</v>
      </c>
      <c r="C131" s="5" t="s">
        <v>35</v>
      </c>
      <c r="D131" s="5" t="s">
        <v>14</v>
      </c>
      <c r="E131" s="26">
        <f>vlookup(C131,'Team Bye List'!$A$1:$B$33,2,False)</f>
        <v>7</v>
      </c>
      <c r="F131" s="27">
        <f>if(ISNA(vlookup($A131, ESPN!$B$2:$E$257, 4, false)), 0, vlookup($A131, ESPN!$B$2:$E$257, 4, false))</f>
        <v>0</v>
      </c>
      <c r="G131" s="27">
        <f>if(ISNA(vlookup($A131, FFToolbox!$B$2:$E$239, 4, false)), 0, vlookup($A131, FFToolbox!$B$2:$E$239, 4, false))</f>
        <v>5</v>
      </c>
      <c r="H131" s="27">
        <f>if(ISNA(vlookup($A131, FantasyPro!$B$2:$E$316, 4, false)), 0, vlookup($A131, FantasyPro!$B$2:$E$316, 4, false))</f>
        <v>3</v>
      </c>
      <c r="I131" s="27">
        <f>if(ISNA(vlookup($A131, RotoWire!$B$2:$E$681, 4, false)), 0, vlookup($A131, RotoWire!$B$2:$E$681, 4, false))</f>
        <v>0</v>
      </c>
      <c r="J131" s="28">
        <f t="shared" si="1"/>
        <v>2</v>
      </c>
      <c r="K131" s="28">
        <f t="shared" si="2"/>
        <v>5</v>
      </c>
    </row>
    <row r="132" hidden="1">
      <c r="A132" s="6" t="s">
        <v>166</v>
      </c>
      <c r="B132" s="25" t="s">
        <v>955</v>
      </c>
      <c r="C132" s="5" t="s">
        <v>52</v>
      </c>
      <c r="D132" s="5" t="s">
        <v>14</v>
      </c>
      <c r="E132" s="26">
        <f>vlookup(C132,'Team Bye List'!$A$1:$B$33,2,False)</f>
        <v>4</v>
      </c>
      <c r="F132" s="27">
        <f>if(ISNA(vlookup($A132, ESPN!$B$2:$E$257, 4, false)), 0, vlookup($A132, ESPN!$B$2:$E$257, 4, false))</f>
        <v>1</v>
      </c>
      <c r="G132" s="27">
        <f>if(ISNA(vlookup($A132, FFToolbox!$B$2:$E$239, 4, false)), 0, vlookup($A132, FFToolbox!$B$2:$E$239, 4, false))</f>
        <v>4</v>
      </c>
      <c r="H132" s="27">
        <f>if(ISNA(vlookup($A132, FantasyPro!$B$2:$E$316, 4, false)), 0, vlookup($A132, FantasyPro!$B$2:$E$316, 4, false))</f>
        <v>3</v>
      </c>
      <c r="I132" s="27">
        <f>if(ISNA(vlookup($A132, RotoWire!$B$2:$E$681, 4, false)), 0, vlookup($A132, RotoWire!$B$2:$E$681, 4, false))</f>
        <v>0</v>
      </c>
      <c r="J132" s="28">
        <f t="shared" si="1"/>
        <v>2</v>
      </c>
      <c r="K132" s="28">
        <f t="shared" si="2"/>
        <v>4</v>
      </c>
    </row>
    <row r="133" hidden="1">
      <c r="A133" s="6" t="s">
        <v>528</v>
      </c>
      <c r="B133" s="25" t="s">
        <v>955</v>
      </c>
      <c r="C133" s="5" t="s">
        <v>165</v>
      </c>
      <c r="D133" s="5" t="s">
        <v>7</v>
      </c>
      <c r="E133" s="26">
        <f>vlookup(C133,'Team Bye List'!$A$1:$B$33,2,False)</f>
        <v>10</v>
      </c>
      <c r="F133" s="27">
        <f>if(ISNA(vlookup($A133, ESPN!$B$2:$E$257, 4, false)), 0, vlookup($A133, ESPN!$B$2:$E$257, 4, false))</f>
        <v>0</v>
      </c>
      <c r="G133" s="27">
        <f>if(ISNA(vlookup($A133, FFToolbox!$B$2:$E$239, 4, false)), 0, vlookup($A133, FFToolbox!$B$2:$E$239, 4, false))</f>
        <v>1</v>
      </c>
      <c r="H133" s="27">
        <f>if(ISNA(vlookup($A133, FantasyPro!$B$2:$E$316, 4, false)), 0, vlookup($A133, FantasyPro!$B$2:$E$316, 4, false))</f>
        <v>6</v>
      </c>
      <c r="I133" s="27">
        <f>if(ISNA(vlookup($A133, RotoWire!$B$2:$E$681, 4, false)), 0, vlookup($A133, RotoWire!$B$2:$E$681, 4, false))</f>
        <v>0</v>
      </c>
      <c r="J133" s="28">
        <f t="shared" si="1"/>
        <v>1.75</v>
      </c>
      <c r="K133" s="28">
        <f t="shared" si="2"/>
        <v>6</v>
      </c>
    </row>
    <row r="134" hidden="1">
      <c r="A134" s="8" t="s">
        <v>198</v>
      </c>
      <c r="B134" s="25" t="s">
        <v>955</v>
      </c>
      <c r="C134" s="5" t="s">
        <v>122</v>
      </c>
      <c r="D134" s="5" t="s">
        <v>14</v>
      </c>
      <c r="E134" s="26">
        <f>vlookup(C134,'Team Bye List'!$A$1:$B$33,2,False)</f>
        <v>10</v>
      </c>
      <c r="F134" s="27">
        <f>if(ISNA(vlookup($A134, ESPN!$B$2:$E$257, 4, false)), 0, vlookup($A134, ESPN!$B$2:$E$257, 4, false))</f>
        <v>0</v>
      </c>
      <c r="G134" s="27">
        <f>if(ISNA(vlookup($A134, FFToolbox!$B$2:$E$239, 4, false)), 0, vlookup($A134, FFToolbox!$B$2:$E$239, 4, false))</f>
        <v>4</v>
      </c>
      <c r="H134" s="27">
        <f>if(ISNA(vlookup($A134, FantasyPro!$B$2:$E$316, 4, false)), 0, vlookup($A134, FantasyPro!$B$2:$E$316, 4, false))</f>
        <v>3</v>
      </c>
      <c r="I134" s="27">
        <f>if(ISNA(vlookup($A134, RotoWire!$B$2:$E$681, 4, false)), 0, vlookup($A134, RotoWire!$B$2:$E$681, 4, false))</f>
        <v>0</v>
      </c>
      <c r="J134" s="28">
        <f t="shared" si="1"/>
        <v>1.75</v>
      </c>
      <c r="K134" s="28">
        <f t="shared" si="2"/>
        <v>4</v>
      </c>
    </row>
    <row r="135">
      <c r="A135" s="6" t="s">
        <v>745</v>
      </c>
      <c r="B135" s="25" t="s">
        <v>955</v>
      </c>
      <c r="C135" s="5" t="s">
        <v>122</v>
      </c>
      <c r="D135" s="5" t="s">
        <v>39</v>
      </c>
      <c r="E135" s="26">
        <f>vlookup(C135,'Team Bye List'!$A$1:$B$33,2,False)</f>
        <v>10</v>
      </c>
      <c r="F135" s="27">
        <f>if(ISNA(vlookup($A135, ESPN!$B$2:$E$257, 4, false)), 0, vlookup($A135, ESPN!$B$2:$E$257, 4, false))</f>
        <v>0</v>
      </c>
      <c r="G135" s="27">
        <f>if(ISNA(vlookup($A135, FFToolbox!$B$2:$E$239, 4, false)), 0, vlookup($A135, FFToolbox!$B$2:$E$239, 4, false))</f>
        <v>7</v>
      </c>
      <c r="H135" s="27">
        <f>if(ISNA(vlookup($A135, FantasyPro!$B$2:$E$316, 4, false)), 0, vlookup($A135, FantasyPro!$B$2:$E$316, 4, false))</f>
        <v>0</v>
      </c>
      <c r="I135" s="27">
        <f>if(ISNA(vlookup($A135, RotoWire!$B$2:$E$681, 4, false)), 0, vlookup($A135, RotoWire!$B$2:$E$681, 4, false))</f>
        <v>0</v>
      </c>
      <c r="J135" s="28">
        <f t="shared" si="1"/>
        <v>1.75</v>
      </c>
      <c r="K135" s="28">
        <f t="shared" si="2"/>
        <v>7</v>
      </c>
    </row>
    <row r="136" hidden="1">
      <c r="A136" s="6" t="s">
        <v>484</v>
      </c>
      <c r="B136" s="25" t="s">
        <v>955</v>
      </c>
      <c r="C136" s="5" t="s">
        <v>35</v>
      </c>
      <c r="D136" s="5" t="s">
        <v>7</v>
      </c>
      <c r="E136" s="26">
        <f>vlookup(C136,'Team Bye List'!$A$1:$B$33,2,False)</f>
        <v>7</v>
      </c>
      <c r="F136" s="27">
        <f>if(ISNA(vlookup($A136, ESPN!$B$2:$E$257, 4, false)), 0, vlookup($A136, ESPN!$B$2:$E$257, 4, false))</f>
        <v>0</v>
      </c>
      <c r="G136" s="27">
        <f>if(ISNA(vlookup($A136, FFToolbox!$B$2:$E$239, 4, false)), 0, vlookup($A136, FFToolbox!$B$2:$E$239, 4, false))</f>
        <v>2</v>
      </c>
      <c r="H136" s="27">
        <f>if(ISNA(vlookup($A136, FantasyPro!$B$2:$E$316, 4, false)), 0, vlookup($A136, FantasyPro!$B$2:$E$316, 4, false))</f>
        <v>5</v>
      </c>
      <c r="I136" s="27">
        <f>if(ISNA(vlookup($A136, RotoWire!$B$2:$E$681, 4, false)), 0, vlookup($A136, RotoWire!$B$2:$E$681, 4, false))</f>
        <v>0</v>
      </c>
      <c r="J136" s="28">
        <f t="shared" si="1"/>
        <v>1.75</v>
      </c>
      <c r="K136" s="28">
        <f t="shared" si="2"/>
        <v>5</v>
      </c>
    </row>
    <row r="137" hidden="1">
      <c r="A137" s="6" t="s">
        <v>190</v>
      </c>
      <c r="B137" s="25" t="s">
        <v>955</v>
      </c>
      <c r="C137" s="5" t="s">
        <v>28</v>
      </c>
      <c r="D137" s="5" t="s">
        <v>12</v>
      </c>
      <c r="E137" s="26">
        <f>vlookup(C137,'Team Bye List'!$A$1:$B$33,2,False)</f>
        <v>11</v>
      </c>
      <c r="F137" s="27">
        <f>if(ISNA(vlookup($A137, ESPN!$B$2:$E$257, 4, false)), 0, vlookup($A137, ESPN!$B$2:$E$257, 4, false))</f>
        <v>0</v>
      </c>
      <c r="G137" s="27">
        <f>if(ISNA(vlookup($A137, FFToolbox!$B$2:$E$239, 4, false)), 0, vlookup($A137, FFToolbox!$B$2:$E$239, 4, false))</f>
        <v>1</v>
      </c>
      <c r="H137" s="27">
        <f>if(ISNA(vlookup($A137, FantasyPro!$B$2:$E$316, 4, false)), 0, vlookup($A137, FantasyPro!$B$2:$E$316, 4, false))</f>
        <v>3</v>
      </c>
      <c r="I137" s="27">
        <f>if(ISNA(vlookup($A137, RotoWire!$B$2:$E$681, 4, false)), 0, vlookup($A137, RotoWire!$B$2:$E$681, 4, false))</f>
        <v>3</v>
      </c>
      <c r="J137" s="28">
        <f t="shared" si="1"/>
        <v>1.75</v>
      </c>
      <c r="K137" s="28">
        <f t="shared" si="2"/>
        <v>3</v>
      </c>
    </row>
    <row r="138" hidden="1">
      <c r="A138" s="6" t="s">
        <v>128</v>
      </c>
      <c r="B138" s="25" t="s">
        <v>955</v>
      </c>
      <c r="C138" s="5" t="s">
        <v>104</v>
      </c>
      <c r="D138" s="5" t="s">
        <v>120</v>
      </c>
      <c r="E138" s="26">
        <f>vlookup(C138,'Team Bye List'!$A$1:$B$33,2,False)</f>
        <v>8</v>
      </c>
      <c r="F138" s="27">
        <f>if(ISNA(vlookup($A138, ESPN!$B$2:$E$257, 4, false)), 0, vlookup($A138, ESPN!$B$2:$E$257, 4, false))</f>
        <v>3</v>
      </c>
      <c r="G138" s="27">
        <f>if(ISNA(vlookup($A138, FFToolbox!$B$2:$E$239, 4, false)), 0, vlookup($A138, FFToolbox!$B$2:$E$239, 4, false))</f>
        <v>0</v>
      </c>
      <c r="H138" s="27">
        <f>if(ISNA(vlookup($A138, FantasyPro!$B$2:$E$316, 4, false)), 0, vlookup($A138, FantasyPro!$B$2:$E$316, 4, false))</f>
        <v>1</v>
      </c>
      <c r="I138" s="27">
        <f>if(ISNA(vlookup($A138, RotoWire!$B$2:$E$681, 4, false)), 0, vlookup($A138, RotoWire!$B$2:$E$681, 4, false))</f>
        <v>3</v>
      </c>
      <c r="J138" s="28">
        <f t="shared" si="1"/>
        <v>1.75</v>
      </c>
      <c r="K138" s="28">
        <f t="shared" si="2"/>
        <v>3</v>
      </c>
    </row>
    <row r="139" hidden="1">
      <c r="A139" s="6" t="s">
        <v>162</v>
      </c>
      <c r="B139" s="25" t="s">
        <v>955</v>
      </c>
      <c r="C139" s="5" t="s">
        <v>163</v>
      </c>
      <c r="D139" s="5" t="s">
        <v>14</v>
      </c>
      <c r="E139" s="26">
        <f>vlookup(C139,'Team Bye List'!$A$1:$B$33,2,False)</f>
        <v>5</v>
      </c>
      <c r="F139" s="27">
        <f>if(ISNA(vlookup($A139, ESPN!$B$2:$E$257, 4, false)), 0, vlookup($A139, ESPN!$B$2:$E$257, 4, false))</f>
        <v>1</v>
      </c>
      <c r="G139" s="27">
        <f>if(ISNA(vlookup($A139, FFToolbox!$B$2:$E$239, 4, false)), 0, vlookup($A139, FFToolbox!$B$2:$E$239, 4, false))</f>
        <v>2</v>
      </c>
      <c r="H139" s="27">
        <f>if(ISNA(vlookup($A139, FantasyPro!$B$2:$E$316, 4, false)), 0, vlookup($A139, FantasyPro!$B$2:$E$316, 4, false))</f>
        <v>4</v>
      </c>
      <c r="I139" s="27">
        <f>if(ISNA(vlookup($A139, RotoWire!$B$2:$E$681, 4, false)), 0, vlookup($A139, RotoWire!$B$2:$E$681, 4, false))</f>
        <v>0</v>
      </c>
      <c r="J139" s="28">
        <f t="shared" si="1"/>
        <v>1.75</v>
      </c>
      <c r="K139" s="28">
        <f t="shared" si="2"/>
        <v>4</v>
      </c>
    </row>
    <row r="140" hidden="1">
      <c r="A140" s="6" t="s">
        <v>367</v>
      </c>
      <c r="B140" s="25" t="s">
        <v>955</v>
      </c>
      <c r="C140" s="5" t="s">
        <v>71</v>
      </c>
      <c r="D140" s="5" t="s">
        <v>7</v>
      </c>
      <c r="E140" s="26">
        <f>vlookup(C140,'Team Bye List'!$A$1:$B$33,2,False)</f>
        <v>5</v>
      </c>
      <c r="F140" s="27">
        <f>if(ISNA(vlookup($A140, ESPN!$B$2:$E$257, 4, false)), 0, vlookup($A140, ESPN!$B$2:$E$257, 4, false))</f>
        <v>0</v>
      </c>
      <c r="G140" s="27">
        <f>if(ISNA(vlookup($A140, FFToolbox!$B$2:$E$239, 4, false)), 0, vlookup($A140, FFToolbox!$B$2:$E$239, 4, false))</f>
        <v>1</v>
      </c>
      <c r="H140" s="27">
        <f>if(ISNA(vlookup($A140, FantasyPro!$B$2:$E$316, 4, false)), 0, vlookup($A140, FantasyPro!$B$2:$E$316, 4, false))</f>
        <v>5</v>
      </c>
      <c r="I140" s="27">
        <f>if(ISNA(vlookup($A140, RotoWire!$B$2:$E$681, 4, false)), 0, vlookup($A140, RotoWire!$B$2:$E$681, 4, false))</f>
        <v>0</v>
      </c>
      <c r="J140" s="28">
        <f t="shared" si="1"/>
        <v>1.5</v>
      </c>
      <c r="K140" s="28">
        <f t="shared" si="2"/>
        <v>5</v>
      </c>
    </row>
    <row r="141" hidden="1">
      <c r="A141" s="6" t="s">
        <v>512</v>
      </c>
      <c r="B141" s="25" t="s">
        <v>955</v>
      </c>
      <c r="C141" s="5" t="s">
        <v>165</v>
      </c>
      <c r="D141" s="5" t="s">
        <v>7</v>
      </c>
      <c r="E141" s="26">
        <f>vlookup(C141,'Team Bye List'!$A$1:$B$33,2,False)</f>
        <v>10</v>
      </c>
      <c r="F141" s="27">
        <f>if(ISNA(vlookup($A141, ESPN!$B$2:$E$257, 4, false)), 0, vlookup($A141, ESPN!$B$2:$E$257, 4, false))</f>
        <v>0</v>
      </c>
      <c r="G141" s="27">
        <f>if(ISNA(vlookup($A141, FFToolbox!$B$2:$E$239, 4, false)), 0, vlookup($A141, FFToolbox!$B$2:$E$239, 4, false))</f>
        <v>2</v>
      </c>
      <c r="H141" s="27">
        <f>if(ISNA(vlookup($A141, FantasyPro!$B$2:$E$316, 4, false)), 0, vlookup($A141, FantasyPro!$B$2:$E$316, 4, false))</f>
        <v>4</v>
      </c>
      <c r="I141" s="27">
        <f>if(ISNA(vlookup($A141, RotoWire!$B$2:$E$681, 4, false)), 0, vlookup($A141, RotoWire!$B$2:$E$681, 4, false))</f>
        <v>0</v>
      </c>
      <c r="J141" s="28">
        <f t="shared" si="1"/>
        <v>1.5</v>
      </c>
      <c r="K141" s="28">
        <f t="shared" si="2"/>
        <v>4</v>
      </c>
    </row>
    <row r="142" hidden="1">
      <c r="A142" s="6" t="s">
        <v>512</v>
      </c>
      <c r="B142" s="25" t="s">
        <v>955</v>
      </c>
      <c r="C142" s="5" t="s">
        <v>33</v>
      </c>
      <c r="D142" s="5" t="s">
        <v>14</v>
      </c>
      <c r="E142" s="26">
        <f>vlookup(C142,'Team Bye List'!$A$1:$B$33,2,False)</f>
        <v>4</v>
      </c>
      <c r="F142" s="27">
        <f>if(ISNA(vlookup($A142, ESPN!$B$2:$E$257, 4, false)), 0, vlookup($A142, ESPN!$B$2:$E$257, 4, false))</f>
        <v>0</v>
      </c>
      <c r="G142" s="27">
        <f>if(ISNA(vlookup($A142, FFToolbox!$B$2:$E$239, 4, false)), 0, vlookup($A142, FFToolbox!$B$2:$E$239, 4, false))</f>
        <v>2</v>
      </c>
      <c r="H142" s="27">
        <f>if(ISNA(vlookup($A142, FantasyPro!$B$2:$E$316, 4, false)), 0, vlookup($A142, FantasyPro!$B$2:$E$316, 4, false))</f>
        <v>4</v>
      </c>
      <c r="I142" s="27">
        <f>if(ISNA(vlookup($A142, RotoWire!$B$2:$E$681, 4, false)), 0, vlookup($A142, RotoWire!$B$2:$E$681, 4, false))</f>
        <v>0</v>
      </c>
      <c r="J142" s="28">
        <f t="shared" si="1"/>
        <v>1.5</v>
      </c>
      <c r="K142" s="28">
        <f t="shared" si="2"/>
        <v>4</v>
      </c>
    </row>
    <row r="143" hidden="1">
      <c r="A143" s="6" t="s">
        <v>232</v>
      </c>
      <c r="B143" s="25" t="s">
        <v>955</v>
      </c>
      <c r="C143" s="5" t="s">
        <v>28</v>
      </c>
      <c r="D143" s="5" t="s">
        <v>14</v>
      </c>
      <c r="E143" s="26">
        <f>vlookup(C143,'Team Bye List'!$A$1:$B$33,2,False)</f>
        <v>11</v>
      </c>
      <c r="F143" s="27">
        <f>if(ISNA(vlookup($A143, ESPN!$B$2:$E$257, 4, false)), 0, vlookup($A143, ESPN!$B$2:$E$257, 4, false))</f>
        <v>0</v>
      </c>
      <c r="G143" s="27">
        <f>if(ISNA(vlookup($A143, FFToolbox!$B$2:$E$239, 4, false)), 0, vlookup($A143, FFToolbox!$B$2:$E$239, 4, false))</f>
        <v>4</v>
      </c>
      <c r="H143" s="27">
        <f>if(ISNA(vlookup($A143, FantasyPro!$B$2:$E$316, 4, false)), 0, vlookup($A143, FantasyPro!$B$2:$E$316, 4, false))</f>
        <v>2</v>
      </c>
      <c r="I143" s="27">
        <f>if(ISNA(vlookup($A143, RotoWire!$B$2:$E$681, 4, false)), 0, vlookup($A143, RotoWire!$B$2:$E$681, 4, false))</f>
        <v>0</v>
      </c>
      <c r="J143" s="28">
        <f t="shared" si="1"/>
        <v>1.5</v>
      </c>
      <c r="K143" s="28">
        <f t="shared" si="2"/>
        <v>4</v>
      </c>
    </row>
    <row r="144" hidden="1">
      <c r="A144" s="6" t="s">
        <v>475</v>
      </c>
      <c r="B144" s="25" t="s">
        <v>955</v>
      </c>
      <c r="C144" s="5" t="s">
        <v>41</v>
      </c>
      <c r="D144" s="5" t="s">
        <v>7</v>
      </c>
      <c r="E144" s="26">
        <f>vlookup(C144,'Team Bye List'!$A$1:$B$33,2,False)</f>
        <v>6</v>
      </c>
      <c r="F144" s="27">
        <f>if(ISNA(vlookup($A144, ESPN!$B$2:$E$257, 4, false)), 0, vlookup($A144, ESPN!$B$2:$E$257, 4, false))</f>
        <v>0</v>
      </c>
      <c r="G144" s="27">
        <f>if(ISNA(vlookup($A144, FFToolbox!$B$2:$E$239, 4, false)), 0, vlookup($A144, FFToolbox!$B$2:$E$239, 4, false))</f>
        <v>2</v>
      </c>
      <c r="H144" s="27">
        <f>if(ISNA(vlookup($A144, FantasyPro!$B$2:$E$316, 4, false)), 0, vlookup($A144, FantasyPro!$B$2:$E$316, 4, false))</f>
        <v>4</v>
      </c>
      <c r="I144" s="27">
        <f>if(ISNA(vlookup($A144, RotoWire!$B$2:$E$681, 4, false)), 0, vlookup($A144, RotoWire!$B$2:$E$681, 4, false))</f>
        <v>0</v>
      </c>
      <c r="J144" s="28">
        <f t="shared" si="1"/>
        <v>1.5</v>
      </c>
      <c r="K144" s="28">
        <f t="shared" si="2"/>
        <v>4</v>
      </c>
    </row>
    <row r="145" hidden="1">
      <c r="A145" s="6" t="s">
        <v>411</v>
      </c>
      <c r="B145" s="25" t="s">
        <v>955</v>
      </c>
      <c r="C145" s="5" t="s">
        <v>28</v>
      </c>
      <c r="D145" s="5" t="s">
        <v>7</v>
      </c>
      <c r="E145" s="26">
        <f>vlookup(C145,'Team Bye List'!$A$1:$B$33,2,False)</f>
        <v>11</v>
      </c>
      <c r="F145" s="27">
        <f>if(ISNA(vlookup($A145, ESPN!$B$2:$E$257, 4, false)), 0, vlookup($A145, ESPN!$B$2:$E$257, 4, false))</f>
        <v>0</v>
      </c>
      <c r="G145" s="27">
        <f>if(ISNA(vlookup($A145, FFToolbox!$B$2:$E$239, 4, false)), 0, vlookup($A145, FFToolbox!$B$2:$E$239, 4, false))</f>
        <v>1</v>
      </c>
      <c r="H145" s="27">
        <f>if(ISNA(vlookup($A145, FantasyPro!$B$2:$E$316, 4, false)), 0, vlookup($A145, FantasyPro!$B$2:$E$316, 4, false))</f>
        <v>5</v>
      </c>
      <c r="I145" s="27">
        <f>if(ISNA(vlookup($A145, RotoWire!$B$2:$E$681, 4, false)), 0, vlookup($A145, RotoWire!$B$2:$E$681, 4, false))</f>
        <v>0</v>
      </c>
      <c r="J145" s="28">
        <f t="shared" si="1"/>
        <v>1.5</v>
      </c>
      <c r="K145" s="28">
        <f t="shared" si="2"/>
        <v>5</v>
      </c>
    </row>
    <row r="146" hidden="1">
      <c r="A146" s="6" t="s">
        <v>194</v>
      </c>
      <c r="B146" s="25" t="s">
        <v>955</v>
      </c>
      <c r="C146" s="5" t="s">
        <v>62</v>
      </c>
      <c r="D146" s="5" t="s">
        <v>12</v>
      </c>
      <c r="E146" s="26">
        <f>vlookup(C146,'Team Bye List'!$A$1:$B$33,2,False)</f>
        <v>12</v>
      </c>
      <c r="F146" s="27">
        <f>if(ISNA(vlookup($A146, ESPN!$B$2:$E$257, 4, false)), 0, vlookup($A146, ESPN!$B$2:$E$257, 4, false))</f>
        <v>0</v>
      </c>
      <c r="G146" s="27">
        <f>if(ISNA(vlookup($A146, FFToolbox!$B$2:$E$239, 4, false)), 0, vlookup($A146, FFToolbox!$B$2:$E$239, 4, false))</f>
        <v>2</v>
      </c>
      <c r="H146" s="27">
        <f>if(ISNA(vlookup($A146, FantasyPro!$B$2:$E$316, 4, false)), 0, vlookup($A146, FantasyPro!$B$2:$E$316, 4, false))</f>
        <v>3</v>
      </c>
      <c r="I146" s="27">
        <f>if(ISNA(vlookup($A146, RotoWire!$B$2:$E$681, 4, false)), 0, vlookup($A146, RotoWire!$B$2:$E$681, 4, false))</f>
        <v>1</v>
      </c>
      <c r="J146" s="28">
        <f t="shared" si="1"/>
        <v>1.5</v>
      </c>
      <c r="K146" s="28">
        <f t="shared" si="2"/>
        <v>3</v>
      </c>
    </row>
    <row r="147" hidden="1">
      <c r="A147" s="6" t="s">
        <v>237</v>
      </c>
      <c r="B147" s="25" t="s">
        <v>955</v>
      </c>
      <c r="C147" s="5" t="s">
        <v>28</v>
      </c>
      <c r="D147" s="5" t="s">
        <v>14</v>
      </c>
      <c r="E147" s="26">
        <f>vlookup(C147,'Team Bye List'!$A$1:$B$33,2,False)</f>
        <v>11</v>
      </c>
      <c r="F147" s="27">
        <f>if(ISNA(vlookup($A147, ESPN!$B$2:$E$257, 4, false)), 0, vlookup($A147, ESPN!$B$2:$E$257, 4, false))</f>
        <v>0</v>
      </c>
      <c r="G147" s="27">
        <f>if(ISNA(vlookup($A147, FFToolbox!$B$2:$E$239, 4, false)), 0, vlookup($A147, FFToolbox!$B$2:$E$239, 4, false))</f>
        <v>4</v>
      </c>
      <c r="H147" s="27">
        <f>if(ISNA(vlookup($A147, FantasyPro!$B$2:$E$316, 4, false)), 0, vlookup($A147, FantasyPro!$B$2:$E$316, 4, false))</f>
        <v>2</v>
      </c>
      <c r="I147" s="27">
        <f>if(ISNA(vlookup($A147, RotoWire!$B$2:$E$681, 4, false)), 0, vlookup($A147, RotoWire!$B$2:$E$681, 4, false))</f>
        <v>0</v>
      </c>
      <c r="J147" s="28">
        <f t="shared" si="1"/>
        <v>1.5</v>
      </c>
      <c r="K147" s="28">
        <f t="shared" si="2"/>
        <v>4</v>
      </c>
    </row>
    <row r="148">
      <c r="A148" s="6" t="s">
        <v>778</v>
      </c>
      <c r="B148" s="25" t="s">
        <v>955</v>
      </c>
      <c r="C148" s="5" t="s">
        <v>35</v>
      </c>
      <c r="D148" s="5" t="s">
        <v>39</v>
      </c>
      <c r="E148" s="26">
        <f>vlookup(C148,'Team Bye List'!$A$1:$B$33,2,False)</f>
        <v>7</v>
      </c>
      <c r="F148" s="27">
        <f>if(ISNA(vlookup($A148, ESPN!$B$2:$E$257, 4, false)), 0, vlookup($A148, ESPN!$B$2:$E$257, 4, false))</f>
        <v>0</v>
      </c>
      <c r="G148" s="27">
        <f>if(ISNA(vlookup($A148, FFToolbox!$B$2:$E$239, 4, false)), 0, vlookup($A148, FFToolbox!$B$2:$E$239, 4, false))</f>
        <v>6</v>
      </c>
      <c r="H148" s="27">
        <f>if(ISNA(vlookup($A148, FantasyPro!$B$2:$E$316, 4, false)), 0, vlookup($A148, FantasyPro!$B$2:$E$316, 4, false))</f>
        <v>0</v>
      </c>
      <c r="I148" s="27">
        <f>if(ISNA(vlookup($A148, RotoWire!$B$2:$E$681, 4, false)), 0, vlookup($A148, RotoWire!$B$2:$E$681, 4, false))</f>
        <v>0</v>
      </c>
      <c r="J148" s="28">
        <f t="shared" si="1"/>
        <v>1.5</v>
      </c>
      <c r="K148" s="28">
        <f t="shared" si="2"/>
        <v>6</v>
      </c>
    </row>
    <row r="149" hidden="1">
      <c r="A149" s="6" t="s">
        <v>161</v>
      </c>
      <c r="B149" s="25" t="s">
        <v>955</v>
      </c>
      <c r="C149" s="5" t="s">
        <v>9</v>
      </c>
      <c r="D149" s="5" t="s">
        <v>14</v>
      </c>
      <c r="E149" s="26">
        <f>vlookup(C149,'Team Bye List'!$A$1:$B$33,2,False)</f>
        <v>8</v>
      </c>
      <c r="F149" s="27">
        <f>if(ISNA(vlookup($A149, ESPN!$B$2:$E$257, 4, false)), 0, vlookup($A149, ESPN!$B$2:$E$257, 4, false))</f>
        <v>1</v>
      </c>
      <c r="G149" s="27">
        <f>if(ISNA(vlookup($A149, FFToolbox!$B$2:$E$239, 4, false)), 0, vlookup($A149, FFToolbox!$B$2:$E$239, 4, false))</f>
        <v>2</v>
      </c>
      <c r="H149" s="27">
        <f>if(ISNA(vlookup($A149, FantasyPro!$B$2:$E$316, 4, false)), 0, vlookup($A149, FantasyPro!$B$2:$E$316, 4, false))</f>
        <v>3</v>
      </c>
      <c r="I149" s="27">
        <f>if(ISNA(vlookup($A149, RotoWire!$B$2:$E$681, 4, false)), 0, vlookup($A149, RotoWire!$B$2:$E$681, 4, false))</f>
        <v>0</v>
      </c>
      <c r="J149" s="28">
        <f t="shared" si="1"/>
        <v>1.5</v>
      </c>
      <c r="K149" s="28">
        <f t="shared" si="2"/>
        <v>3</v>
      </c>
    </row>
    <row r="150" hidden="1">
      <c r="A150" s="6" t="s">
        <v>220</v>
      </c>
      <c r="B150" s="25" t="s">
        <v>955</v>
      </c>
      <c r="C150" s="5" t="s">
        <v>20</v>
      </c>
      <c r="D150" s="5" t="s">
        <v>14</v>
      </c>
      <c r="E150" s="26">
        <f>vlookup(C150,'Team Bye List'!$A$1:$B$33,2,False)</f>
        <v>9</v>
      </c>
      <c r="F150" s="27">
        <f>if(ISNA(vlookup($A150, ESPN!$B$2:$E$257, 4, false)), 0, vlookup($A150, ESPN!$B$2:$E$257, 4, false))</f>
        <v>0</v>
      </c>
      <c r="G150" s="27">
        <f>if(ISNA(vlookup($A150, FFToolbox!$B$2:$E$239, 4, false)), 0, vlookup($A150, FFToolbox!$B$2:$E$239, 4, false))</f>
        <v>3</v>
      </c>
      <c r="H150" s="27">
        <f>if(ISNA(vlookup($A150, FantasyPro!$B$2:$E$316, 4, false)), 0, vlookup($A150, FantasyPro!$B$2:$E$316, 4, false))</f>
        <v>3</v>
      </c>
      <c r="I150" s="27">
        <f>if(ISNA(vlookup($A150, RotoWire!$B$2:$E$681, 4, false)), 0, vlookup($A150, RotoWire!$B$2:$E$681, 4, false))</f>
        <v>0</v>
      </c>
      <c r="J150" s="28">
        <f t="shared" si="1"/>
        <v>1.5</v>
      </c>
      <c r="K150" s="28">
        <f t="shared" si="2"/>
        <v>3</v>
      </c>
    </row>
    <row r="151" hidden="1">
      <c r="A151" s="6" t="s">
        <v>388</v>
      </c>
      <c r="B151" s="25" t="s">
        <v>955</v>
      </c>
      <c r="C151" s="5" t="s">
        <v>48</v>
      </c>
      <c r="D151" s="5" t="s">
        <v>7</v>
      </c>
      <c r="E151" s="26">
        <f>vlookup(C151,'Team Bye List'!$A$1:$B$33,2,False)</f>
        <v>6</v>
      </c>
      <c r="F151" s="27">
        <f>if(ISNA(vlookup($A151, ESPN!$B$2:$E$257, 4, false)), 0, vlookup($A151, ESPN!$B$2:$E$257, 4, false))</f>
        <v>0</v>
      </c>
      <c r="G151" s="27">
        <f>if(ISNA(vlookup($A151, FFToolbox!$B$2:$E$239, 4, false)), 0, vlookup($A151, FFToolbox!$B$2:$E$239, 4, false))</f>
        <v>2</v>
      </c>
      <c r="H151" s="27">
        <f>if(ISNA(vlookup($A151, FantasyPro!$B$2:$E$316, 4, false)), 0, vlookup($A151, FantasyPro!$B$2:$E$316, 4, false))</f>
        <v>4</v>
      </c>
      <c r="I151" s="27">
        <f>if(ISNA(vlookup($A151, RotoWire!$B$2:$E$681, 4, false)), 0, vlookup($A151, RotoWire!$B$2:$E$681, 4, false))</f>
        <v>0</v>
      </c>
      <c r="J151" s="28">
        <f t="shared" si="1"/>
        <v>1.5</v>
      </c>
      <c r="K151" s="28">
        <f t="shared" si="2"/>
        <v>4</v>
      </c>
    </row>
    <row r="152" hidden="1">
      <c r="A152" s="6" t="s">
        <v>688</v>
      </c>
      <c r="B152" s="25" t="s">
        <v>955</v>
      </c>
      <c r="C152" s="5" t="s">
        <v>59</v>
      </c>
      <c r="D152" s="5" t="s">
        <v>7</v>
      </c>
      <c r="E152" s="26">
        <f>vlookup(C152,'Team Bye List'!$A$1:$B$33,2,False)</f>
        <v>10</v>
      </c>
      <c r="F152" s="27">
        <f>if(ISNA(vlookup($A152, ESPN!$B$2:$E$257, 4, false)), 0, vlookup($A152, ESPN!$B$2:$E$257, 4, false))</f>
        <v>0</v>
      </c>
      <c r="G152" s="27">
        <f>if(ISNA(vlookup($A152, FFToolbox!$B$2:$E$239, 4, false)), 0, vlookup($A152, FFToolbox!$B$2:$E$239, 4, false))</f>
        <v>5</v>
      </c>
      <c r="H152" s="27">
        <f>if(ISNA(vlookup($A152, FantasyPro!$B$2:$E$316, 4, false)), 0, vlookup($A152, FantasyPro!$B$2:$E$316, 4, false))</f>
        <v>0</v>
      </c>
      <c r="I152" s="27">
        <f>if(ISNA(vlookup($A152, RotoWire!$B$2:$E$681, 4, false)), 0, vlookup($A152, RotoWire!$B$2:$E$681, 4, false))</f>
        <v>0</v>
      </c>
      <c r="J152" s="28">
        <f t="shared" si="1"/>
        <v>1.25</v>
      </c>
      <c r="K152" s="28">
        <f t="shared" si="2"/>
        <v>5</v>
      </c>
    </row>
    <row r="153" hidden="1">
      <c r="A153" s="6" t="s">
        <v>373</v>
      </c>
      <c r="B153" s="25" t="s">
        <v>955</v>
      </c>
      <c r="C153" s="5" t="s">
        <v>16</v>
      </c>
      <c r="D153" s="5" t="s">
        <v>12</v>
      </c>
      <c r="E153" s="26">
        <f>vlookup(C153,'Team Bye List'!$A$1:$B$33,2,False)</f>
        <v>9</v>
      </c>
      <c r="F153" s="27">
        <f>if(ISNA(vlookup($A153, ESPN!$B$2:$E$257, 4, false)), 0, vlookup($A153, ESPN!$B$2:$E$257, 4, false))</f>
        <v>0</v>
      </c>
      <c r="G153" s="27">
        <f>if(ISNA(vlookup($A153, FFToolbox!$B$2:$E$239, 4, false)), 0, vlookup($A153, FFToolbox!$B$2:$E$239, 4, false))</f>
        <v>5</v>
      </c>
      <c r="H153" s="27">
        <f>if(ISNA(vlookup($A153, FantasyPro!$B$2:$E$316, 4, false)), 0, vlookup($A153, FantasyPro!$B$2:$E$316, 4, false))</f>
        <v>0</v>
      </c>
      <c r="I153" s="27">
        <f>if(ISNA(vlookup($A153, RotoWire!$B$2:$E$681, 4, false)), 0, vlookup($A153, RotoWire!$B$2:$E$681, 4, false))</f>
        <v>0</v>
      </c>
      <c r="J153" s="28">
        <f t="shared" si="1"/>
        <v>1.25</v>
      </c>
      <c r="K153" s="28">
        <f t="shared" si="2"/>
        <v>5</v>
      </c>
    </row>
    <row r="154" hidden="1">
      <c r="A154" s="6" t="s">
        <v>624</v>
      </c>
      <c r="B154" s="25" t="s">
        <v>955</v>
      </c>
      <c r="C154" s="5" t="s">
        <v>20</v>
      </c>
      <c r="D154" s="5" t="s">
        <v>7</v>
      </c>
      <c r="E154" s="26">
        <f>vlookup(C154,'Team Bye List'!$A$1:$B$33,2,False)</f>
        <v>9</v>
      </c>
      <c r="F154" s="27">
        <f>if(ISNA(vlookup($A154, ESPN!$B$2:$E$257, 4, false)), 0, vlookup($A154, ESPN!$B$2:$E$257, 4, false))</f>
        <v>0</v>
      </c>
      <c r="G154" s="27">
        <f>if(ISNA(vlookup($A154, FFToolbox!$B$2:$E$239, 4, false)), 0, vlookup($A154, FFToolbox!$B$2:$E$239, 4, false))</f>
        <v>1</v>
      </c>
      <c r="H154" s="27">
        <f>if(ISNA(vlookup($A154, FantasyPro!$B$2:$E$316, 4, false)), 0, vlookup($A154, FantasyPro!$B$2:$E$316, 4, false))</f>
        <v>4</v>
      </c>
      <c r="I154" s="27">
        <f>if(ISNA(vlookup($A154, RotoWire!$B$2:$E$681, 4, false)), 0, vlookup($A154, RotoWire!$B$2:$E$681, 4, false))</f>
        <v>0</v>
      </c>
      <c r="J154" s="28">
        <f t="shared" si="1"/>
        <v>1.25</v>
      </c>
      <c r="K154" s="28">
        <f t="shared" si="2"/>
        <v>4</v>
      </c>
    </row>
    <row r="155" hidden="1">
      <c r="A155" s="6" t="s">
        <v>482</v>
      </c>
      <c r="B155" s="25" t="s">
        <v>955</v>
      </c>
      <c r="C155" s="5" t="s">
        <v>30</v>
      </c>
      <c r="D155" s="5" t="s">
        <v>7</v>
      </c>
      <c r="E155" s="26">
        <f>vlookup(C155,'Team Bye List'!$A$1:$B$33,2,False)</f>
        <v>7</v>
      </c>
      <c r="F155" s="27">
        <f>if(ISNA(vlookup($A155, ESPN!$B$2:$E$257, 4, false)), 0, vlookup($A155, ESPN!$B$2:$E$257, 4, false))</f>
        <v>0</v>
      </c>
      <c r="G155" s="27">
        <f>if(ISNA(vlookup($A155, FFToolbox!$B$2:$E$239, 4, false)), 0, vlookup($A155, FFToolbox!$B$2:$E$239, 4, false))</f>
        <v>1</v>
      </c>
      <c r="H155" s="27">
        <f>if(ISNA(vlookup($A155, FantasyPro!$B$2:$E$316, 4, false)), 0, vlookup($A155, FantasyPro!$B$2:$E$316, 4, false))</f>
        <v>4</v>
      </c>
      <c r="I155" s="27">
        <f>if(ISNA(vlookup($A155, RotoWire!$B$2:$E$681, 4, false)), 0, vlookup($A155, RotoWire!$B$2:$E$681, 4, false))</f>
        <v>0</v>
      </c>
      <c r="J155" s="28">
        <f t="shared" si="1"/>
        <v>1.25</v>
      </c>
      <c r="K155" s="28">
        <f t="shared" si="2"/>
        <v>4</v>
      </c>
    </row>
    <row r="156">
      <c r="A156" s="6" t="s">
        <v>781</v>
      </c>
      <c r="B156" s="25" t="s">
        <v>955</v>
      </c>
      <c r="C156" s="5" t="s">
        <v>22</v>
      </c>
      <c r="D156" s="5" t="s">
        <v>39</v>
      </c>
      <c r="E156" s="26">
        <f>vlookup(C156,'Team Bye List'!$A$1:$B$33,2,False)</f>
        <v>7</v>
      </c>
      <c r="F156" s="27">
        <f>if(ISNA(vlookup($A156, ESPN!$B$2:$E$257, 4, false)), 0, vlookup($A156, ESPN!$B$2:$E$257, 4, false))</f>
        <v>0</v>
      </c>
      <c r="G156" s="27">
        <f>if(ISNA(vlookup($A156, FFToolbox!$B$2:$E$239, 4, false)), 0, vlookup($A156, FFToolbox!$B$2:$E$239, 4, false))</f>
        <v>5</v>
      </c>
      <c r="H156" s="27">
        <f>if(ISNA(vlookup($A156, FantasyPro!$B$2:$E$316, 4, false)), 0, vlookup($A156, FantasyPro!$B$2:$E$316, 4, false))</f>
        <v>0</v>
      </c>
      <c r="I156" s="27">
        <f>if(ISNA(vlookup($A156, RotoWire!$B$2:$E$681, 4, false)), 0, vlookup($A156, RotoWire!$B$2:$E$681, 4, false))</f>
        <v>0</v>
      </c>
      <c r="J156" s="28">
        <f t="shared" si="1"/>
        <v>1.25</v>
      </c>
      <c r="K156" s="28">
        <f t="shared" si="2"/>
        <v>5</v>
      </c>
    </row>
    <row r="157" hidden="1">
      <c r="A157" s="6" t="s">
        <v>223</v>
      </c>
      <c r="B157" s="25" t="s">
        <v>955</v>
      </c>
      <c r="C157" s="5" t="s">
        <v>96</v>
      </c>
      <c r="D157" s="5" t="s">
        <v>14</v>
      </c>
      <c r="E157" s="26">
        <f>vlookup(C157,'Team Bye List'!$A$1:$B$33,2,False)</f>
        <v>6</v>
      </c>
      <c r="F157" s="27">
        <f>if(ISNA(vlookup($A157, ESPN!$B$2:$E$257, 4, false)), 0, vlookup($A157, ESPN!$B$2:$E$257, 4, false))</f>
        <v>0</v>
      </c>
      <c r="G157" s="27">
        <f>if(ISNA(vlookup($A157, FFToolbox!$B$2:$E$239, 4, false)), 0, vlookup($A157, FFToolbox!$B$2:$E$239, 4, false))</f>
        <v>3</v>
      </c>
      <c r="H157" s="27">
        <f>if(ISNA(vlookup($A157, FantasyPro!$B$2:$E$316, 4, false)), 0, vlookup($A157, FantasyPro!$B$2:$E$316, 4, false))</f>
        <v>1</v>
      </c>
      <c r="I157" s="27">
        <f>if(ISNA(vlookup($A157, RotoWire!$B$2:$E$681, 4, false)), 0, vlookup($A157, RotoWire!$B$2:$E$681, 4, false))</f>
        <v>0</v>
      </c>
      <c r="J157" s="28">
        <f t="shared" si="1"/>
        <v>1</v>
      </c>
      <c r="K157" s="28">
        <f t="shared" si="2"/>
        <v>3</v>
      </c>
    </row>
    <row r="158" hidden="1">
      <c r="A158" s="6" t="s">
        <v>465</v>
      </c>
      <c r="B158" s="25" t="s">
        <v>955</v>
      </c>
      <c r="C158" s="5" t="s">
        <v>54</v>
      </c>
      <c r="D158" s="5" t="s">
        <v>7</v>
      </c>
      <c r="E158" s="26">
        <f>vlookup(C158,'Team Bye List'!$A$1:$B$33,2,False)</f>
        <v>9</v>
      </c>
      <c r="F158" s="27">
        <f>if(ISNA(vlookup($A158, ESPN!$B$2:$E$257, 4, false)), 0, vlookup($A158, ESPN!$B$2:$E$257, 4, false))</f>
        <v>0</v>
      </c>
      <c r="G158" s="27">
        <f>if(ISNA(vlookup($A158, FFToolbox!$B$2:$E$239, 4, false)), 0, vlookup($A158, FFToolbox!$B$2:$E$239, 4, false))</f>
        <v>1</v>
      </c>
      <c r="H158" s="27">
        <f>if(ISNA(vlookup($A158, FantasyPro!$B$2:$E$316, 4, false)), 0, vlookup($A158, FantasyPro!$B$2:$E$316, 4, false))</f>
        <v>3</v>
      </c>
      <c r="I158" s="27">
        <f>if(ISNA(vlookup($A158, RotoWire!$B$2:$E$681, 4, false)), 0, vlookup($A158, RotoWire!$B$2:$E$681, 4, false))</f>
        <v>0</v>
      </c>
      <c r="J158" s="28">
        <f t="shared" si="1"/>
        <v>1</v>
      </c>
      <c r="K158" s="28">
        <f t="shared" si="2"/>
        <v>3</v>
      </c>
    </row>
    <row r="159" hidden="1">
      <c r="A159" s="6" t="s">
        <v>132</v>
      </c>
      <c r="B159" s="25" t="s">
        <v>955</v>
      </c>
      <c r="C159" s="5" t="s">
        <v>11</v>
      </c>
      <c r="D159" s="5" t="s">
        <v>120</v>
      </c>
      <c r="E159" s="26">
        <f>vlookup(C159,'Team Bye List'!$A$1:$B$33,2,False)</f>
        <v>12</v>
      </c>
      <c r="F159" s="27">
        <f>if(ISNA(vlookup($A159, ESPN!$B$2:$E$257, 4, false)), 0, vlookup($A159, ESPN!$B$2:$E$257, 4, false))</f>
        <v>1</v>
      </c>
      <c r="G159" s="27">
        <f>if(ISNA(vlookup($A159, FFToolbox!$B$2:$E$239, 4, false)), 0, vlookup($A159, FFToolbox!$B$2:$E$239, 4, false))</f>
        <v>0</v>
      </c>
      <c r="H159" s="27">
        <f>if(ISNA(vlookup($A159, FantasyPro!$B$2:$E$316, 4, false)), 0, vlookup($A159, FantasyPro!$B$2:$E$316, 4, false))</f>
        <v>1</v>
      </c>
      <c r="I159" s="27">
        <f>if(ISNA(vlookup($A159, RotoWire!$B$2:$E$681, 4, false)), 0, vlookup($A159, RotoWire!$B$2:$E$681, 4, false))</f>
        <v>2</v>
      </c>
      <c r="J159" s="28">
        <f t="shared" si="1"/>
        <v>1</v>
      </c>
      <c r="K159" s="28">
        <f t="shared" si="2"/>
        <v>2</v>
      </c>
    </row>
    <row r="160" hidden="1">
      <c r="A160" s="6" t="s">
        <v>492</v>
      </c>
      <c r="B160" s="25" t="s">
        <v>955</v>
      </c>
      <c r="C160" s="5" t="s">
        <v>139</v>
      </c>
      <c r="D160" s="5" t="s">
        <v>14</v>
      </c>
      <c r="E160" s="26">
        <f>vlookup(C160,'Team Bye List'!$A$1:$B$33,2,False)</f>
        <v>6</v>
      </c>
      <c r="F160" s="27">
        <f>if(ISNA(vlookup($A160, ESPN!$B$2:$E$257, 4, false)), 0, vlookup($A160, ESPN!$B$2:$E$257, 4, false))</f>
        <v>0</v>
      </c>
      <c r="G160" s="27">
        <f>if(ISNA(vlookup($A160, FFToolbox!$B$2:$E$239, 4, false)), 0, vlookup($A160, FFToolbox!$B$2:$E$239, 4, false))</f>
        <v>4</v>
      </c>
      <c r="H160" s="27">
        <f>if(ISNA(vlookup($A160, FantasyPro!$B$2:$E$316, 4, false)), 0, vlookup($A160, FantasyPro!$B$2:$E$316, 4, false))</f>
        <v>0</v>
      </c>
      <c r="I160" s="27">
        <f>if(ISNA(vlookup($A160, RotoWire!$B$2:$E$681, 4, false)), 0, vlookup($A160, RotoWire!$B$2:$E$681, 4, false))</f>
        <v>0</v>
      </c>
      <c r="J160" s="28">
        <f t="shared" si="1"/>
        <v>1</v>
      </c>
      <c r="K160" s="28">
        <f t="shared" si="2"/>
        <v>4</v>
      </c>
    </row>
    <row r="161" hidden="1">
      <c r="A161" s="6" t="s">
        <v>137</v>
      </c>
      <c r="B161" s="25" t="s">
        <v>955</v>
      </c>
      <c r="C161" s="5" t="s">
        <v>18</v>
      </c>
      <c r="D161" s="5" t="s">
        <v>120</v>
      </c>
      <c r="E161" s="26">
        <f>vlookup(C161,'Team Bye List'!$A$1:$B$33,2,False)</f>
        <v>10</v>
      </c>
      <c r="F161" s="27">
        <f>if(ISNA(vlookup($A161, ESPN!$B$2:$E$257, 4, false)), 0, vlookup($A161, ESPN!$B$2:$E$257, 4, false))</f>
        <v>1</v>
      </c>
      <c r="G161" s="27">
        <f>if(ISNA(vlookup($A161, FFToolbox!$B$2:$E$239, 4, false)), 0, vlookup($A161, FFToolbox!$B$2:$E$239, 4, false))</f>
        <v>0</v>
      </c>
      <c r="H161" s="27">
        <f>if(ISNA(vlookup($A161, FantasyPro!$B$2:$E$316, 4, false)), 0, vlookup($A161, FantasyPro!$B$2:$E$316, 4, false))</f>
        <v>1</v>
      </c>
      <c r="I161" s="27">
        <f>if(ISNA(vlookup($A161, RotoWire!$B$2:$E$681, 4, false)), 0, vlookup($A161, RotoWire!$B$2:$E$681, 4, false))</f>
        <v>2</v>
      </c>
      <c r="J161" s="28">
        <f t="shared" si="1"/>
        <v>1</v>
      </c>
      <c r="K161" s="28">
        <f t="shared" si="2"/>
        <v>2</v>
      </c>
    </row>
    <row r="162" hidden="1">
      <c r="A162" s="6" t="s">
        <v>733</v>
      </c>
      <c r="B162" s="25" t="s">
        <v>955</v>
      </c>
      <c r="C162" s="5" t="s">
        <v>139</v>
      </c>
      <c r="D162" s="5" t="s">
        <v>7</v>
      </c>
      <c r="E162" s="26">
        <f>vlookup(C162,'Team Bye List'!$A$1:$B$33,2,False)</f>
        <v>6</v>
      </c>
      <c r="F162" s="27">
        <f>if(ISNA(vlookup($A162, ESPN!$B$2:$E$257, 4, false)), 0, vlookup($A162, ESPN!$B$2:$E$257, 4, false))</f>
        <v>0</v>
      </c>
      <c r="G162" s="27">
        <f>if(ISNA(vlookup($A162, FFToolbox!$B$2:$E$239, 4, false)), 0, vlookup($A162, FFToolbox!$B$2:$E$239, 4, false))</f>
        <v>4</v>
      </c>
      <c r="H162" s="27">
        <f>if(ISNA(vlookup($A162, FantasyPro!$B$2:$E$316, 4, false)), 0, vlookup($A162, FantasyPro!$B$2:$E$316, 4, false))</f>
        <v>0</v>
      </c>
      <c r="I162" s="27">
        <f>if(ISNA(vlookup($A162, RotoWire!$B$2:$E$681, 4, false)), 0, vlookup($A162, RotoWire!$B$2:$E$681, 4, false))</f>
        <v>0</v>
      </c>
      <c r="J162" s="28">
        <f t="shared" si="1"/>
        <v>1</v>
      </c>
      <c r="K162" s="28">
        <f t="shared" si="2"/>
        <v>4</v>
      </c>
    </row>
    <row r="163">
      <c r="A163" s="6" t="s">
        <v>129</v>
      </c>
      <c r="B163" s="25" t="s">
        <v>955</v>
      </c>
      <c r="C163" s="5" t="s">
        <v>96</v>
      </c>
      <c r="D163" s="5" t="s">
        <v>39</v>
      </c>
      <c r="E163" s="26">
        <f>vlookup(C163,'Team Bye List'!$A$1:$B$33,2,False)</f>
        <v>6</v>
      </c>
      <c r="F163" s="27">
        <f>if(ISNA(vlookup($A163, ESPN!$B$2:$E$257, 4, false)), 0, vlookup($A163, ESPN!$B$2:$E$257, 4, false))</f>
        <v>3</v>
      </c>
      <c r="G163" s="27">
        <f>if(ISNA(vlookup($A163, FFToolbox!$B$2:$E$239, 4, false)), 0, vlookup($A163, FFToolbox!$B$2:$E$239, 4, false))</f>
        <v>1</v>
      </c>
      <c r="H163" s="27">
        <f>if(ISNA(vlookup($A163, FantasyPro!$B$2:$E$316, 4, false)), 0, vlookup($A163, FantasyPro!$B$2:$E$316, 4, false))</f>
        <v>0</v>
      </c>
      <c r="I163" s="27">
        <f>if(ISNA(vlookup($A163, RotoWire!$B$2:$E$681, 4, false)), 0, vlookup($A163, RotoWire!$B$2:$E$681, 4, false))</f>
        <v>0</v>
      </c>
      <c r="J163" s="28">
        <f t="shared" si="1"/>
        <v>1</v>
      </c>
      <c r="K163" s="28">
        <f t="shared" si="2"/>
        <v>3</v>
      </c>
    </row>
    <row r="164" hidden="1">
      <c r="A164" s="6" t="s">
        <v>151</v>
      </c>
      <c r="B164" s="25" t="s">
        <v>955</v>
      </c>
      <c r="C164" s="5" t="s">
        <v>9</v>
      </c>
      <c r="D164" s="5" t="s">
        <v>120</v>
      </c>
      <c r="E164" s="26">
        <f>vlookup(C164,'Team Bye List'!$A$1:$B$33,2,False)</f>
        <v>8</v>
      </c>
      <c r="F164" s="27">
        <f>if(ISNA(vlookup($A164, ESPN!$B$2:$E$257, 4, false)), 0, vlookup($A164, ESPN!$B$2:$E$257, 4, false))</f>
        <v>1</v>
      </c>
      <c r="G164" s="27">
        <f>if(ISNA(vlookup($A164, FFToolbox!$B$2:$E$239, 4, false)), 0, vlookup($A164, FFToolbox!$B$2:$E$239, 4, false))</f>
        <v>0</v>
      </c>
      <c r="H164" s="27">
        <f>if(ISNA(vlookup($A164, FantasyPro!$B$2:$E$316, 4, false)), 0, vlookup($A164, FantasyPro!$B$2:$E$316, 4, false))</f>
        <v>1</v>
      </c>
      <c r="I164" s="27">
        <f>if(ISNA(vlookup($A164, RotoWire!$B$2:$E$681, 4, false)), 0, vlookup($A164, RotoWire!$B$2:$E$681, 4, false))</f>
        <v>1</v>
      </c>
      <c r="J164" s="28">
        <f t="shared" si="1"/>
        <v>0.75</v>
      </c>
      <c r="K164" s="28">
        <f t="shared" si="2"/>
        <v>1</v>
      </c>
    </row>
    <row r="165" hidden="1">
      <c r="A165" s="6" t="s">
        <v>627</v>
      </c>
      <c r="B165" s="25" t="s">
        <v>955</v>
      </c>
      <c r="C165" s="5" t="s">
        <v>46</v>
      </c>
      <c r="D165" s="5" t="s">
        <v>7</v>
      </c>
      <c r="E165" s="26">
        <f>vlookup(C165,'Team Bye List'!$A$1:$B$33,2,False)</f>
        <v>10</v>
      </c>
      <c r="F165" s="27">
        <f>if(ISNA(vlookup($A165, ESPN!$B$2:$E$257, 4, false)), 0, vlookup($A165, ESPN!$B$2:$E$257, 4, false))</f>
        <v>0</v>
      </c>
      <c r="G165" s="27">
        <f>if(ISNA(vlookup($A165, FFToolbox!$B$2:$E$239, 4, false)), 0, vlookup($A165, FFToolbox!$B$2:$E$239, 4, false))</f>
        <v>0</v>
      </c>
      <c r="H165" s="27">
        <f>if(ISNA(vlookup($A165, FantasyPro!$B$2:$E$316, 4, false)), 0, vlookup($A165, FantasyPro!$B$2:$E$316, 4, false))</f>
        <v>3</v>
      </c>
      <c r="I165" s="27">
        <f>if(ISNA(vlookup($A165, RotoWire!$B$2:$E$681, 4, false)), 0, vlookup($A165, RotoWire!$B$2:$E$681, 4, false))</f>
        <v>0</v>
      </c>
      <c r="J165" s="28">
        <f t="shared" si="1"/>
        <v>0.75</v>
      </c>
      <c r="K165" s="28">
        <f t="shared" si="2"/>
        <v>3</v>
      </c>
    </row>
    <row r="166" hidden="1">
      <c r="A166" s="6" t="s">
        <v>625</v>
      </c>
      <c r="B166" s="25" t="s">
        <v>955</v>
      </c>
      <c r="C166" s="5" t="s">
        <v>139</v>
      </c>
      <c r="D166" s="5" t="s">
        <v>7</v>
      </c>
      <c r="E166" s="26">
        <f>vlookup(C166,'Team Bye List'!$A$1:$B$33,2,False)</f>
        <v>6</v>
      </c>
      <c r="F166" s="27">
        <f>if(ISNA(vlookup($A166, ESPN!$B$2:$E$257, 4, false)), 0, vlookup($A166, ESPN!$B$2:$E$257, 4, false))</f>
        <v>0</v>
      </c>
      <c r="G166" s="27">
        <f>if(ISNA(vlookup($A166, FFToolbox!$B$2:$E$239, 4, false)), 0, vlookup($A166, FFToolbox!$B$2:$E$239, 4, false))</f>
        <v>1</v>
      </c>
      <c r="H166" s="27">
        <f>if(ISNA(vlookup($A166, FantasyPro!$B$2:$E$316, 4, false)), 0, vlookup($A166, FantasyPro!$B$2:$E$316, 4, false))</f>
        <v>2</v>
      </c>
      <c r="I166" s="27">
        <f>if(ISNA(vlookup($A166, RotoWire!$B$2:$E$681, 4, false)), 0, vlookup($A166, RotoWire!$B$2:$E$681, 4, false))</f>
        <v>0</v>
      </c>
      <c r="J166" s="28">
        <f t="shared" si="1"/>
        <v>0.75</v>
      </c>
      <c r="K166" s="28">
        <f t="shared" si="2"/>
        <v>2</v>
      </c>
    </row>
    <row r="167" hidden="1">
      <c r="A167" s="6" t="s">
        <v>515</v>
      </c>
      <c r="B167" s="25" t="s">
        <v>955</v>
      </c>
      <c r="C167" s="5" t="s">
        <v>11</v>
      </c>
      <c r="D167" s="5" t="s">
        <v>14</v>
      </c>
      <c r="E167" s="26">
        <f>vlookup(C167,'Team Bye List'!$A$1:$B$33,2,False)</f>
        <v>12</v>
      </c>
      <c r="F167" s="27">
        <f>if(ISNA(vlookup($A167, ESPN!$B$2:$E$257, 4, false)), 0, vlookup($A167, ESPN!$B$2:$E$257, 4, false))</f>
        <v>0</v>
      </c>
      <c r="G167" s="27">
        <f>if(ISNA(vlookup($A167, FFToolbox!$B$2:$E$239, 4, false)), 0, vlookup($A167, FFToolbox!$B$2:$E$239, 4, false))</f>
        <v>3</v>
      </c>
      <c r="H167" s="27">
        <f>if(ISNA(vlookup($A167, FantasyPro!$B$2:$E$316, 4, false)), 0, vlookup($A167, FantasyPro!$B$2:$E$316, 4, false))</f>
        <v>0</v>
      </c>
      <c r="I167" s="27">
        <f>if(ISNA(vlookup($A167, RotoWire!$B$2:$E$681, 4, false)), 0, vlookup($A167, RotoWire!$B$2:$E$681, 4, false))</f>
        <v>0</v>
      </c>
      <c r="J167" s="28">
        <f t="shared" si="1"/>
        <v>0.75</v>
      </c>
      <c r="K167" s="28">
        <f t="shared" si="2"/>
        <v>3</v>
      </c>
    </row>
    <row r="168" hidden="1">
      <c r="A168" s="6" t="s">
        <v>488</v>
      </c>
      <c r="B168" s="25" t="s">
        <v>955</v>
      </c>
      <c r="C168" s="5" t="s">
        <v>43</v>
      </c>
      <c r="D168" s="5" t="s">
        <v>14</v>
      </c>
      <c r="E168" s="26">
        <f>vlookup(C168,'Team Bye List'!$A$1:$B$33,2,False)</f>
        <v>12</v>
      </c>
      <c r="F168" s="27">
        <f>if(ISNA(vlookup($A168, ESPN!$B$2:$E$257, 4, false)), 0, vlookup($A168, ESPN!$B$2:$E$257, 4, false))</f>
        <v>0</v>
      </c>
      <c r="G168" s="27">
        <f>if(ISNA(vlookup($A168, FFToolbox!$B$2:$E$239, 4, false)), 0, vlookup($A168, FFToolbox!$B$2:$E$239, 4, false))</f>
        <v>3</v>
      </c>
      <c r="H168" s="27">
        <f>if(ISNA(vlookup($A168, FantasyPro!$B$2:$E$316, 4, false)), 0, vlookup($A168, FantasyPro!$B$2:$E$316, 4, false))</f>
        <v>0</v>
      </c>
      <c r="I168" s="27">
        <f>if(ISNA(vlookup($A168, RotoWire!$B$2:$E$681, 4, false)), 0, vlookup($A168, RotoWire!$B$2:$E$681, 4, false))</f>
        <v>0</v>
      </c>
      <c r="J168" s="28">
        <f t="shared" si="1"/>
        <v>0.75</v>
      </c>
      <c r="K168" s="28">
        <f t="shared" si="2"/>
        <v>3</v>
      </c>
    </row>
    <row r="169" hidden="1">
      <c r="A169" s="6" t="s">
        <v>522</v>
      </c>
      <c r="B169" s="25" t="s">
        <v>955</v>
      </c>
      <c r="C169" s="5" t="s">
        <v>104</v>
      </c>
      <c r="D169" s="5" t="s">
        <v>7</v>
      </c>
      <c r="E169" s="26">
        <f>vlookup(C169,'Team Bye List'!$A$1:$B$33,2,False)</f>
        <v>8</v>
      </c>
      <c r="F169" s="27">
        <f>if(ISNA(vlookup($A169, ESPN!$B$2:$E$257, 4, false)), 0, vlookup($A169, ESPN!$B$2:$E$257, 4, false))</f>
        <v>0</v>
      </c>
      <c r="G169" s="27">
        <f>if(ISNA(vlookup($A169, FFToolbox!$B$2:$E$239, 4, false)), 0, vlookup($A169, FFToolbox!$B$2:$E$239, 4, false))</f>
        <v>0</v>
      </c>
      <c r="H169" s="27">
        <f>if(ISNA(vlookup($A169, FantasyPro!$B$2:$E$316, 4, false)), 0, vlookup($A169, FantasyPro!$B$2:$E$316, 4, false))</f>
        <v>3</v>
      </c>
      <c r="I169" s="27">
        <f>if(ISNA(vlookup($A169, RotoWire!$B$2:$E$681, 4, false)), 0, vlookup($A169, RotoWire!$B$2:$E$681, 4, false))</f>
        <v>0</v>
      </c>
      <c r="J169" s="28">
        <f t="shared" si="1"/>
        <v>0.75</v>
      </c>
      <c r="K169" s="28">
        <f t="shared" si="2"/>
        <v>3</v>
      </c>
    </row>
    <row r="170" hidden="1">
      <c r="A170" s="6" t="s">
        <v>222</v>
      </c>
      <c r="B170" s="25" t="s">
        <v>955</v>
      </c>
      <c r="C170" s="5" t="s">
        <v>139</v>
      </c>
      <c r="D170" s="5" t="s">
        <v>14</v>
      </c>
      <c r="E170" s="26">
        <f>vlookup(C170,'Team Bye List'!$A$1:$B$33,2,False)</f>
        <v>6</v>
      </c>
      <c r="F170" s="27">
        <f>if(ISNA(vlookup($A170, ESPN!$B$2:$E$257, 4, false)), 0, vlookup($A170, ESPN!$B$2:$E$257, 4, false))</f>
        <v>0</v>
      </c>
      <c r="G170" s="27">
        <f>if(ISNA(vlookup($A170, FFToolbox!$B$2:$E$239, 4, false)), 0, vlookup($A170, FFToolbox!$B$2:$E$239, 4, false))</f>
        <v>1</v>
      </c>
      <c r="H170" s="27">
        <f>if(ISNA(vlookup($A170, FantasyPro!$B$2:$E$316, 4, false)), 0, vlookup($A170, FantasyPro!$B$2:$E$316, 4, false))</f>
        <v>2</v>
      </c>
      <c r="I170" s="27">
        <f>if(ISNA(vlookup($A170, RotoWire!$B$2:$E$681, 4, false)), 0, vlookup($A170, RotoWire!$B$2:$E$681, 4, false))</f>
        <v>0</v>
      </c>
      <c r="J170" s="28">
        <f t="shared" si="1"/>
        <v>0.75</v>
      </c>
      <c r="K170" s="28">
        <f t="shared" si="2"/>
        <v>2</v>
      </c>
    </row>
    <row r="171">
      <c r="A171" s="6" t="s">
        <v>238</v>
      </c>
      <c r="B171" s="25" t="s">
        <v>955</v>
      </c>
      <c r="C171" s="5" t="s">
        <v>139</v>
      </c>
      <c r="D171" s="5" t="s">
        <v>39</v>
      </c>
      <c r="E171" s="26">
        <f>vlookup(C171,'Team Bye List'!$A$1:$B$33,2,False)</f>
        <v>6</v>
      </c>
      <c r="F171" s="27">
        <f>if(ISNA(vlookup($A171, ESPN!$B$2:$E$257, 4, false)), 0, vlookup($A171, ESPN!$B$2:$E$257, 4, false))</f>
        <v>0</v>
      </c>
      <c r="G171" s="27">
        <f>if(ISNA(vlookup($A171, FFToolbox!$B$2:$E$239, 4, false)), 0, vlookup($A171, FFToolbox!$B$2:$E$239, 4, false))</f>
        <v>1</v>
      </c>
      <c r="H171" s="27">
        <f>if(ISNA(vlookup($A171, FantasyPro!$B$2:$E$316, 4, false)), 0, vlookup($A171, FantasyPro!$B$2:$E$316, 4, false))</f>
        <v>2</v>
      </c>
      <c r="I171" s="27">
        <f>if(ISNA(vlookup($A171, RotoWire!$B$2:$E$681, 4, false)), 0, vlookup($A171, RotoWire!$B$2:$E$681, 4, false))</f>
        <v>0</v>
      </c>
      <c r="J171" s="28">
        <f t="shared" si="1"/>
        <v>0.75</v>
      </c>
      <c r="K171" s="28">
        <f t="shared" si="2"/>
        <v>2</v>
      </c>
    </row>
    <row r="172" hidden="1">
      <c r="A172" s="6" t="s">
        <v>659</v>
      </c>
      <c r="B172" s="25" t="s">
        <v>955</v>
      </c>
      <c r="C172" s="5" t="s">
        <v>43</v>
      </c>
      <c r="D172" s="5" t="s">
        <v>7</v>
      </c>
      <c r="E172" s="26">
        <f>vlookup(C172,'Team Bye List'!$A$1:$B$33,2,False)</f>
        <v>12</v>
      </c>
      <c r="F172" s="27">
        <f>if(ISNA(vlookup($A172, ESPN!$B$2:$E$257, 4, false)), 0, vlookup($A172, ESPN!$B$2:$E$257, 4, false))</f>
        <v>0</v>
      </c>
      <c r="G172" s="27">
        <f>if(ISNA(vlookup($A172, FFToolbox!$B$2:$E$239, 4, false)), 0, vlookup($A172, FFToolbox!$B$2:$E$239, 4, false))</f>
        <v>0</v>
      </c>
      <c r="H172" s="27">
        <f>if(ISNA(vlookup($A172, FantasyPro!$B$2:$E$316, 4, false)), 0, vlookup($A172, FantasyPro!$B$2:$E$316, 4, false))</f>
        <v>3</v>
      </c>
      <c r="I172" s="27">
        <f>if(ISNA(vlookup($A172, RotoWire!$B$2:$E$681, 4, false)), 0, vlookup($A172, RotoWire!$B$2:$E$681, 4, false))</f>
        <v>0</v>
      </c>
      <c r="J172" s="28">
        <f t="shared" si="1"/>
        <v>0.75</v>
      </c>
      <c r="K172" s="28">
        <f t="shared" si="2"/>
        <v>3</v>
      </c>
    </row>
    <row r="173" hidden="1">
      <c r="A173" s="6" t="s">
        <v>221</v>
      </c>
      <c r="B173" s="25" t="s">
        <v>955</v>
      </c>
      <c r="C173" s="5" t="s">
        <v>18</v>
      </c>
      <c r="D173" s="5" t="s">
        <v>14</v>
      </c>
      <c r="E173" s="26">
        <f>vlookup(C173,'Team Bye List'!$A$1:$B$33,2,False)</f>
        <v>10</v>
      </c>
      <c r="F173" s="27">
        <f>if(ISNA(vlookup($A173, ESPN!$B$2:$E$257, 4, false)), 0, vlookup($A173, ESPN!$B$2:$E$257, 4, false))</f>
        <v>0</v>
      </c>
      <c r="G173" s="27">
        <f>if(ISNA(vlookup($A173, FFToolbox!$B$2:$E$239, 4, false)), 0, vlookup($A173, FFToolbox!$B$2:$E$239, 4, false))</f>
        <v>3</v>
      </c>
      <c r="H173" s="27">
        <f>if(ISNA(vlookup($A173, FantasyPro!$B$2:$E$316, 4, false)), 0, vlookup($A173, FantasyPro!$B$2:$E$316, 4, false))</f>
        <v>0</v>
      </c>
      <c r="I173" s="27">
        <f>if(ISNA(vlookup($A173, RotoWire!$B$2:$E$681, 4, false)), 0, vlookup($A173, RotoWire!$B$2:$E$681, 4, false))</f>
        <v>0</v>
      </c>
      <c r="J173" s="28">
        <f t="shared" si="1"/>
        <v>0.75</v>
      </c>
      <c r="K173" s="28">
        <f t="shared" si="2"/>
        <v>3</v>
      </c>
    </row>
    <row r="174" hidden="1">
      <c r="A174" s="6" t="s">
        <v>469</v>
      </c>
      <c r="B174" s="25" t="s">
        <v>955</v>
      </c>
      <c r="C174" s="5" t="s">
        <v>165</v>
      </c>
      <c r="D174" s="5" t="s">
        <v>14</v>
      </c>
      <c r="E174" s="26">
        <f>vlookup(C174,'Team Bye List'!$A$1:$B$33,2,False)</f>
        <v>10</v>
      </c>
      <c r="F174" s="27">
        <f>if(ISNA(vlookup($A174, ESPN!$B$2:$E$257, 4, false)), 0, vlookup($A174, ESPN!$B$2:$E$257, 4, false))</f>
        <v>0</v>
      </c>
      <c r="G174" s="27">
        <f>if(ISNA(vlookup($A174, FFToolbox!$B$2:$E$239, 4, false)), 0, vlookup($A174, FFToolbox!$B$2:$E$239, 4, false))</f>
        <v>3</v>
      </c>
      <c r="H174" s="27">
        <f>if(ISNA(vlookup($A174, FantasyPro!$B$2:$E$316, 4, false)), 0, vlookup($A174, FantasyPro!$B$2:$E$316, 4, false))</f>
        <v>0</v>
      </c>
      <c r="I174" s="27">
        <f>if(ISNA(vlookup($A174, RotoWire!$B$2:$E$681, 4, false)), 0, vlookup($A174, RotoWire!$B$2:$E$681, 4, false))</f>
        <v>0</v>
      </c>
      <c r="J174" s="28">
        <f t="shared" si="1"/>
        <v>0.75</v>
      </c>
      <c r="K174" s="28">
        <f t="shared" si="2"/>
        <v>3</v>
      </c>
    </row>
    <row r="175" hidden="1">
      <c r="A175" s="6" t="s">
        <v>149</v>
      </c>
      <c r="B175" s="25" t="s">
        <v>955</v>
      </c>
      <c r="C175" s="5" t="s">
        <v>28</v>
      </c>
      <c r="D175" s="5" t="s">
        <v>120</v>
      </c>
      <c r="E175" s="26">
        <f>vlookup(C175,'Team Bye List'!$A$1:$B$33,2,False)</f>
        <v>11</v>
      </c>
      <c r="F175" s="27">
        <f>if(ISNA(vlookup($A175, ESPN!$B$2:$E$257, 4, false)), 0, vlookup($A175, ESPN!$B$2:$E$257, 4, false))</f>
        <v>1</v>
      </c>
      <c r="G175" s="27">
        <f>if(ISNA(vlookup($A175, FFToolbox!$B$2:$E$239, 4, false)), 0, vlookup($A175, FFToolbox!$B$2:$E$239, 4, false))</f>
        <v>0</v>
      </c>
      <c r="H175" s="27">
        <f>if(ISNA(vlookup($A175, FantasyPro!$B$2:$E$316, 4, false)), 0, vlookup($A175, FantasyPro!$B$2:$E$316, 4, false))</f>
        <v>1</v>
      </c>
      <c r="I175" s="27">
        <f>if(ISNA(vlookup($A175, RotoWire!$B$2:$E$681, 4, false)), 0, vlookup($A175, RotoWire!$B$2:$E$681, 4, false))</f>
        <v>1</v>
      </c>
      <c r="J175" s="28">
        <f t="shared" si="1"/>
        <v>0.75</v>
      </c>
      <c r="K175" s="28">
        <f t="shared" si="2"/>
        <v>1</v>
      </c>
    </row>
    <row r="176" hidden="1">
      <c r="A176" s="6" t="s">
        <v>146</v>
      </c>
      <c r="B176" s="25" t="s">
        <v>955</v>
      </c>
      <c r="C176" s="5" t="s">
        <v>33</v>
      </c>
      <c r="D176" s="5" t="s">
        <v>120</v>
      </c>
      <c r="E176" s="26">
        <f>vlookup(C176,'Team Bye List'!$A$1:$B$33,2,False)</f>
        <v>4</v>
      </c>
      <c r="F176" s="27">
        <f>if(ISNA(vlookup($A176, ESPN!$B$2:$E$257, 4, false)), 0, vlookup($A176, ESPN!$B$2:$E$257, 4, false))</f>
        <v>1</v>
      </c>
      <c r="G176" s="27">
        <f>if(ISNA(vlookup($A176, FFToolbox!$B$2:$E$239, 4, false)), 0, vlookup($A176, FFToolbox!$B$2:$E$239, 4, false))</f>
        <v>0</v>
      </c>
      <c r="H176" s="27">
        <f>if(ISNA(vlookup($A176, FantasyPro!$B$2:$E$316, 4, false)), 0, vlookup($A176, FantasyPro!$B$2:$E$316, 4, false))</f>
        <v>1</v>
      </c>
      <c r="I176" s="27">
        <f>if(ISNA(vlookup($A176, RotoWire!$B$2:$E$681, 4, false)), 0, vlookup($A176, RotoWire!$B$2:$E$681, 4, false))</f>
        <v>1</v>
      </c>
      <c r="J176" s="28">
        <f t="shared" si="1"/>
        <v>0.75</v>
      </c>
      <c r="K176" s="28">
        <f t="shared" si="2"/>
        <v>1</v>
      </c>
    </row>
    <row r="177" hidden="1">
      <c r="A177" s="6" t="s">
        <v>147</v>
      </c>
      <c r="B177" s="25" t="s">
        <v>955</v>
      </c>
      <c r="C177" s="5" t="s">
        <v>46</v>
      </c>
      <c r="D177" s="5" t="s">
        <v>120</v>
      </c>
      <c r="E177" s="26">
        <f>vlookup(C177,'Team Bye List'!$A$1:$B$33,2,False)</f>
        <v>10</v>
      </c>
      <c r="F177" s="27">
        <f>if(ISNA(vlookup($A177, ESPN!$B$2:$E$257, 4, false)), 0, vlookup($A177, ESPN!$B$2:$E$257, 4, false))</f>
        <v>1</v>
      </c>
      <c r="G177" s="27">
        <f>if(ISNA(vlookup($A177, FFToolbox!$B$2:$E$239, 4, false)), 0, vlookup($A177, FFToolbox!$B$2:$E$239, 4, false))</f>
        <v>0</v>
      </c>
      <c r="H177" s="27">
        <f>if(ISNA(vlookup($A177, FantasyPro!$B$2:$E$316, 4, false)), 0, vlookup($A177, FantasyPro!$B$2:$E$316, 4, false))</f>
        <v>1</v>
      </c>
      <c r="I177" s="27">
        <f>if(ISNA(vlookup($A177, RotoWire!$B$2:$E$681, 4, false)), 0, vlookup($A177, RotoWire!$B$2:$E$681, 4, false))</f>
        <v>1</v>
      </c>
      <c r="J177" s="28">
        <f t="shared" si="1"/>
        <v>0.75</v>
      </c>
      <c r="K177" s="28">
        <f t="shared" si="2"/>
        <v>1</v>
      </c>
    </row>
    <row r="178" hidden="1">
      <c r="A178" s="6" t="s">
        <v>205</v>
      </c>
      <c r="B178" s="25" t="s">
        <v>955</v>
      </c>
      <c r="C178" s="5" t="s">
        <v>41</v>
      </c>
      <c r="D178" s="5" t="s">
        <v>14</v>
      </c>
      <c r="E178" s="26">
        <f>vlookup(C178,'Team Bye List'!$A$1:$B$33,2,False)</f>
        <v>6</v>
      </c>
      <c r="F178" s="27">
        <f>if(ISNA(vlookup($A178, ESPN!$B$2:$E$257, 4, false)), 0, vlookup($A178, ESPN!$B$2:$E$257, 4, false))</f>
        <v>0</v>
      </c>
      <c r="G178" s="27">
        <f>if(ISNA(vlookup($A178, FFToolbox!$B$2:$E$239, 4, false)), 0, vlookup($A178, FFToolbox!$B$2:$E$239, 4, false))</f>
        <v>1</v>
      </c>
      <c r="H178" s="27">
        <f>if(ISNA(vlookup($A178, FantasyPro!$B$2:$E$316, 4, false)), 0, vlookup($A178, FantasyPro!$B$2:$E$316, 4, false))</f>
        <v>2</v>
      </c>
      <c r="I178" s="27">
        <f>if(ISNA(vlookup($A178, RotoWire!$B$2:$E$681, 4, false)), 0, vlookup($A178, RotoWire!$B$2:$E$681, 4, false))</f>
        <v>0</v>
      </c>
      <c r="J178" s="28">
        <f t="shared" si="1"/>
        <v>0.75</v>
      </c>
      <c r="K178" s="28">
        <f t="shared" si="2"/>
        <v>2</v>
      </c>
    </row>
    <row r="179" hidden="1">
      <c r="A179" s="6" t="s">
        <v>135</v>
      </c>
      <c r="B179" s="25" t="s">
        <v>955</v>
      </c>
      <c r="C179" s="5" t="s">
        <v>16</v>
      </c>
      <c r="D179" s="5" t="s">
        <v>120</v>
      </c>
      <c r="E179" s="26">
        <f>vlookup(C179,'Team Bye List'!$A$1:$B$33,2,False)</f>
        <v>9</v>
      </c>
      <c r="F179" s="27">
        <f>if(ISNA(vlookup($A179, ESPN!$B$2:$E$257, 4, false)), 0, vlookup($A179, ESPN!$B$2:$E$257, 4, false))</f>
        <v>1</v>
      </c>
      <c r="G179" s="27">
        <f>if(ISNA(vlookup($A179, FFToolbox!$B$2:$E$239, 4, false)), 0, vlookup($A179, FFToolbox!$B$2:$E$239, 4, false))</f>
        <v>0</v>
      </c>
      <c r="H179" s="27">
        <f>if(ISNA(vlookup($A179, FantasyPro!$B$2:$E$316, 4, false)), 0, vlookup($A179, FantasyPro!$B$2:$E$316, 4, false))</f>
        <v>1</v>
      </c>
      <c r="I179" s="27">
        <f>if(ISNA(vlookup($A179, RotoWire!$B$2:$E$681, 4, false)), 0, vlookup($A179, RotoWire!$B$2:$E$681, 4, false))</f>
        <v>1</v>
      </c>
      <c r="J179" s="28">
        <f t="shared" si="1"/>
        <v>0.75</v>
      </c>
      <c r="K179" s="28">
        <f t="shared" si="2"/>
        <v>1</v>
      </c>
    </row>
    <row r="180" hidden="1">
      <c r="A180" s="6" t="s">
        <v>631</v>
      </c>
      <c r="B180" s="25" t="s">
        <v>955</v>
      </c>
      <c r="C180" s="5" t="s">
        <v>62</v>
      </c>
      <c r="D180" s="5" t="s">
        <v>7</v>
      </c>
      <c r="E180" s="26">
        <f>vlookup(C180,'Team Bye List'!$A$1:$B$33,2,False)</f>
        <v>12</v>
      </c>
      <c r="F180" s="27">
        <f>if(ISNA(vlookup($A180, ESPN!$B$2:$E$257, 4, false)), 0, vlookup($A180, ESPN!$B$2:$E$257, 4, false))</f>
        <v>0</v>
      </c>
      <c r="G180" s="27">
        <f>if(ISNA(vlookup($A180, FFToolbox!$B$2:$E$239, 4, false)), 0, vlookup($A180, FFToolbox!$B$2:$E$239, 4, false))</f>
        <v>0</v>
      </c>
      <c r="H180" s="27">
        <f>if(ISNA(vlookup($A180, FantasyPro!$B$2:$E$316, 4, false)), 0, vlookup($A180, FantasyPro!$B$2:$E$316, 4, false))</f>
        <v>2</v>
      </c>
      <c r="I180" s="27">
        <f>if(ISNA(vlookup($A180, RotoWire!$B$2:$E$681, 4, false)), 0, vlookup($A180, RotoWire!$B$2:$E$681, 4, false))</f>
        <v>0</v>
      </c>
      <c r="J180" s="28">
        <f t="shared" si="1"/>
        <v>0.5</v>
      </c>
      <c r="K180" s="28">
        <f t="shared" si="2"/>
        <v>2</v>
      </c>
    </row>
    <row r="181" hidden="1">
      <c r="A181" s="6" t="s">
        <v>243</v>
      </c>
      <c r="B181" s="25" t="s">
        <v>955</v>
      </c>
      <c r="C181" s="5" t="s">
        <v>122</v>
      </c>
      <c r="D181" s="5" t="s">
        <v>14</v>
      </c>
      <c r="E181" s="26">
        <f>vlookup(C181,'Team Bye List'!$A$1:$B$33,2,False)</f>
        <v>10</v>
      </c>
      <c r="F181" s="27">
        <f>if(ISNA(vlookup($A181, ESPN!$B$2:$E$257, 4, false)), 0, vlookup($A181, ESPN!$B$2:$E$257, 4, false))</f>
        <v>0</v>
      </c>
      <c r="G181" s="27">
        <f>if(ISNA(vlookup($A181, FFToolbox!$B$2:$E$239, 4, false)), 0, vlookup($A181, FFToolbox!$B$2:$E$239, 4, false))</f>
        <v>1</v>
      </c>
      <c r="H181" s="27">
        <f>if(ISNA(vlookup($A181, FantasyPro!$B$2:$E$316, 4, false)), 0, vlookup($A181, FantasyPro!$B$2:$E$316, 4, false))</f>
        <v>1</v>
      </c>
      <c r="I181" s="27">
        <f>if(ISNA(vlookup($A181, RotoWire!$B$2:$E$681, 4, false)), 0, vlookup($A181, RotoWire!$B$2:$E$681, 4, false))</f>
        <v>0</v>
      </c>
      <c r="J181" s="28">
        <f t="shared" si="1"/>
        <v>0.5</v>
      </c>
      <c r="K181" s="28">
        <f t="shared" si="2"/>
        <v>1</v>
      </c>
    </row>
    <row r="182" hidden="1">
      <c r="A182" s="6" t="s">
        <v>645</v>
      </c>
      <c r="B182" s="25" t="s">
        <v>955</v>
      </c>
      <c r="C182" s="5" t="s">
        <v>11</v>
      </c>
      <c r="D182" s="5" t="s">
        <v>7</v>
      </c>
      <c r="E182" s="26">
        <f>vlookup(C182,'Team Bye List'!$A$1:$B$33,2,False)</f>
        <v>12</v>
      </c>
      <c r="F182" s="27">
        <f>if(ISNA(vlookup($A182, ESPN!$B$2:$E$257, 4, false)), 0, vlookup($A182, ESPN!$B$2:$E$257, 4, false))</f>
        <v>0</v>
      </c>
      <c r="G182" s="27">
        <f>if(ISNA(vlookup($A182, FFToolbox!$B$2:$E$239, 4, false)), 0, vlookup($A182, FFToolbox!$B$2:$E$239, 4, false))</f>
        <v>0</v>
      </c>
      <c r="H182" s="27">
        <f>if(ISNA(vlookup($A182, FantasyPro!$B$2:$E$316, 4, false)), 0, vlookup($A182, FantasyPro!$B$2:$E$316, 4, false))</f>
        <v>2</v>
      </c>
      <c r="I182" s="27">
        <f>if(ISNA(vlookup($A182, RotoWire!$B$2:$E$681, 4, false)), 0, vlookup($A182, RotoWire!$B$2:$E$681, 4, false))</f>
        <v>0</v>
      </c>
      <c r="J182" s="28">
        <f t="shared" si="1"/>
        <v>0.5</v>
      </c>
      <c r="K182" s="28">
        <f t="shared" si="2"/>
        <v>2</v>
      </c>
    </row>
    <row r="183" hidden="1">
      <c r="A183" s="6" t="s">
        <v>296</v>
      </c>
      <c r="B183" s="25" t="s">
        <v>955</v>
      </c>
      <c r="C183" s="5" t="s">
        <v>139</v>
      </c>
      <c r="D183" s="5" t="s">
        <v>12</v>
      </c>
      <c r="E183" s="26">
        <f>vlookup(C183,'Team Bye List'!$A$1:$B$33,2,False)</f>
        <v>6</v>
      </c>
      <c r="F183" s="27">
        <f>if(ISNA(vlookup($A183, ESPN!$B$2:$E$257, 4, false)), 0, vlookup($A183, ESPN!$B$2:$E$257, 4, false))</f>
        <v>0</v>
      </c>
      <c r="G183" s="27">
        <f>if(ISNA(vlookup($A183, FFToolbox!$B$2:$E$239, 4, false)), 0, vlookup($A183, FFToolbox!$B$2:$E$239, 4, false))</f>
        <v>2</v>
      </c>
      <c r="H183" s="27">
        <f>if(ISNA(vlookup($A183, FantasyPro!$B$2:$E$316, 4, false)), 0, vlookup($A183, FantasyPro!$B$2:$E$316, 4, false))</f>
        <v>0</v>
      </c>
      <c r="I183" s="27">
        <f>if(ISNA(vlookup($A183, RotoWire!$B$2:$E$681, 4, false)), 0, vlookup($A183, RotoWire!$B$2:$E$681, 4, false))</f>
        <v>0</v>
      </c>
      <c r="J183" s="28">
        <f t="shared" si="1"/>
        <v>0.5</v>
      </c>
      <c r="K183" s="28">
        <f t="shared" si="2"/>
        <v>2</v>
      </c>
    </row>
    <row r="184" hidden="1">
      <c r="A184" s="6" t="s">
        <v>214</v>
      </c>
      <c r="B184" s="25" t="s">
        <v>955</v>
      </c>
      <c r="C184" s="5" t="s">
        <v>48</v>
      </c>
      <c r="D184" s="5" t="s">
        <v>14</v>
      </c>
      <c r="E184" s="26">
        <f>vlookup(C184,'Team Bye List'!$A$1:$B$33,2,False)</f>
        <v>6</v>
      </c>
      <c r="F184" s="27">
        <f>if(ISNA(vlookup($A184, ESPN!$B$2:$E$257, 4, false)), 0, vlookup($A184, ESPN!$B$2:$E$257, 4, false))</f>
        <v>0</v>
      </c>
      <c r="G184" s="27">
        <f>if(ISNA(vlookup($A184, FFToolbox!$B$2:$E$239, 4, false)), 0, vlookup($A184, FFToolbox!$B$2:$E$239, 4, false))</f>
        <v>2</v>
      </c>
      <c r="H184" s="27">
        <f>if(ISNA(vlookup($A184, FantasyPro!$B$2:$E$316, 4, false)), 0, vlookup($A184, FantasyPro!$B$2:$E$316, 4, false))</f>
        <v>0</v>
      </c>
      <c r="I184" s="27">
        <f>if(ISNA(vlookup($A184, RotoWire!$B$2:$E$681, 4, false)), 0, vlookup($A184, RotoWire!$B$2:$E$681, 4, false))</f>
        <v>0</v>
      </c>
      <c r="J184" s="28">
        <f t="shared" si="1"/>
        <v>0.5</v>
      </c>
      <c r="K184" s="28">
        <f t="shared" si="2"/>
        <v>2</v>
      </c>
    </row>
    <row r="185" hidden="1">
      <c r="A185" s="6" t="s">
        <v>459</v>
      </c>
      <c r="B185" s="25" t="s">
        <v>955</v>
      </c>
      <c r="C185" s="5" t="s">
        <v>139</v>
      </c>
      <c r="D185" s="5" t="s">
        <v>7</v>
      </c>
      <c r="E185" s="26">
        <f>vlookup(C185,'Team Bye List'!$A$1:$B$33,2,False)</f>
        <v>6</v>
      </c>
      <c r="F185" s="27">
        <f>if(ISNA(vlookup($A185, ESPN!$B$2:$E$257, 4, false)), 0, vlookup($A185, ESPN!$B$2:$E$257, 4, false))</f>
        <v>0</v>
      </c>
      <c r="G185" s="27">
        <f>if(ISNA(vlookup($A185, FFToolbox!$B$2:$E$239, 4, false)), 0, vlookup($A185, FFToolbox!$B$2:$E$239, 4, false))</f>
        <v>0</v>
      </c>
      <c r="H185" s="27">
        <f>if(ISNA(vlookup($A185, FantasyPro!$B$2:$E$316, 4, false)), 0, vlookup($A185, FantasyPro!$B$2:$E$316, 4, false))</f>
        <v>2</v>
      </c>
      <c r="I185" s="27">
        <f>if(ISNA(vlookup($A185, RotoWire!$B$2:$E$681, 4, false)), 0, vlookup($A185, RotoWire!$B$2:$E$681, 4, false))</f>
        <v>0</v>
      </c>
      <c r="J185" s="28">
        <f t="shared" si="1"/>
        <v>0.5</v>
      </c>
      <c r="K185" s="28">
        <f t="shared" si="2"/>
        <v>2</v>
      </c>
    </row>
    <row r="186" hidden="1">
      <c r="A186" s="6" t="s">
        <v>186</v>
      </c>
      <c r="B186" s="25" t="s">
        <v>955</v>
      </c>
      <c r="C186" s="5" t="s">
        <v>48</v>
      </c>
      <c r="D186" s="5" t="s">
        <v>12</v>
      </c>
      <c r="E186" s="26">
        <f>vlookup(C186,'Team Bye List'!$A$1:$B$33,2,False)</f>
        <v>6</v>
      </c>
      <c r="F186" s="27">
        <f>if(ISNA(vlookup($A186, ESPN!$B$2:$E$257, 4, false)), 0, vlookup($A186, ESPN!$B$2:$E$257, 4, false))</f>
        <v>0</v>
      </c>
      <c r="G186" s="27">
        <f>if(ISNA(vlookup($A186, FFToolbox!$B$2:$E$239, 4, false)), 0, vlookup($A186, FFToolbox!$B$2:$E$239, 4, false))</f>
        <v>1</v>
      </c>
      <c r="H186" s="27">
        <f>if(ISNA(vlookup($A186, FantasyPro!$B$2:$E$316, 4, false)), 0, vlookup($A186, FantasyPro!$B$2:$E$316, 4, false))</f>
        <v>1</v>
      </c>
      <c r="I186" s="27">
        <f>if(ISNA(vlookup($A186, RotoWire!$B$2:$E$681, 4, false)), 0, vlookup($A186, RotoWire!$B$2:$E$681, 4, false))</f>
        <v>0</v>
      </c>
      <c r="J186" s="28">
        <f t="shared" si="1"/>
        <v>0.5</v>
      </c>
      <c r="K186" s="28">
        <f t="shared" si="2"/>
        <v>1</v>
      </c>
    </row>
    <row r="187" hidden="1">
      <c r="A187" s="6" t="s">
        <v>305</v>
      </c>
      <c r="B187" s="25" t="s">
        <v>955</v>
      </c>
      <c r="C187" s="5" t="s">
        <v>69</v>
      </c>
      <c r="D187" s="5" t="s">
        <v>12</v>
      </c>
      <c r="E187" s="26">
        <f>vlookup(C187,'Team Bye List'!$A$1:$B$33,2,False)</f>
        <v>11</v>
      </c>
      <c r="F187" s="27">
        <f>if(ISNA(vlookup($A187, ESPN!$B$2:$E$257, 4, false)), 0, vlookup($A187, ESPN!$B$2:$E$257, 4, false))</f>
        <v>0</v>
      </c>
      <c r="G187" s="27">
        <f>if(ISNA(vlookup($A187, FFToolbox!$B$2:$E$239, 4, false)), 0, vlookup($A187, FFToolbox!$B$2:$E$239, 4, false))</f>
        <v>2</v>
      </c>
      <c r="H187" s="27">
        <f>if(ISNA(vlookup($A187, FantasyPro!$B$2:$E$316, 4, false)), 0, vlookup($A187, FantasyPro!$B$2:$E$316, 4, false))</f>
        <v>0</v>
      </c>
      <c r="I187" s="27">
        <f>if(ISNA(vlookup($A187, RotoWire!$B$2:$E$681, 4, false)), 0, vlookup($A187, RotoWire!$B$2:$E$681, 4, false))</f>
        <v>0</v>
      </c>
      <c r="J187" s="28">
        <f t="shared" si="1"/>
        <v>0.5</v>
      </c>
      <c r="K187" s="28">
        <f t="shared" si="2"/>
        <v>2</v>
      </c>
    </row>
    <row r="188" hidden="1">
      <c r="A188" s="6" t="s">
        <v>150</v>
      </c>
      <c r="B188" s="25" t="s">
        <v>955</v>
      </c>
      <c r="C188" s="5" t="s">
        <v>59</v>
      </c>
      <c r="D188" s="5" t="s">
        <v>120</v>
      </c>
      <c r="E188" s="26">
        <f>vlookup(C188,'Team Bye List'!$A$1:$B$33,2,False)</f>
        <v>10</v>
      </c>
      <c r="F188" s="27">
        <f>if(ISNA(vlookup($A188, ESPN!$B$2:$E$257, 4, false)), 0, vlookup($A188, ESPN!$B$2:$E$257, 4, false))</f>
        <v>1</v>
      </c>
      <c r="G188" s="27">
        <f>if(ISNA(vlookup($A188, FFToolbox!$B$2:$E$239, 4, false)), 0, vlookup($A188, FFToolbox!$B$2:$E$239, 4, false))</f>
        <v>0</v>
      </c>
      <c r="H188" s="27">
        <f>if(ISNA(vlookup($A188, FantasyPro!$B$2:$E$316, 4, false)), 0, vlookup($A188, FantasyPro!$B$2:$E$316, 4, false))</f>
        <v>1</v>
      </c>
      <c r="I188" s="27">
        <f>if(ISNA(vlookup($A188, RotoWire!$B$2:$E$681, 4, false)), 0, vlookup($A188, RotoWire!$B$2:$E$681, 4, false))</f>
        <v>0</v>
      </c>
      <c r="J188" s="28">
        <f t="shared" si="1"/>
        <v>0.5</v>
      </c>
      <c r="K188" s="28">
        <f t="shared" si="2"/>
        <v>1</v>
      </c>
    </row>
    <row r="189" hidden="1">
      <c r="A189" s="6" t="s">
        <v>416</v>
      </c>
      <c r="B189" s="25" t="s">
        <v>955</v>
      </c>
      <c r="C189" s="5" t="s">
        <v>139</v>
      </c>
      <c r="D189" s="5" t="s">
        <v>12</v>
      </c>
      <c r="E189" s="26">
        <f>vlookup(C189,'Team Bye List'!$A$1:$B$33,2,False)</f>
        <v>6</v>
      </c>
      <c r="F189" s="27">
        <f>if(ISNA(vlookup($A189, ESPN!$B$2:$E$257, 4, false)), 0, vlookup($A189, ESPN!$B$2:$E$257, 4, false))</f>
        <v>0</v>
      </c>
      <c r="G189" s="27">
        <f>if(ISNA(vlookup($A189, FFToolbox!$B$2:$E$239, 4, false)), 0, vlookup($A189, FFToolbox!$B$2:$E$239, 4, false))</f>
        <v>2</v>
      </c>
      <c r="H189" s="27">
        <f>if(ISNA(vlookup($A189, FantasyPro!$B$2:$E$316, 4, false)), 0, vlookup($A189, FantasyPro!$B$2:$E$316, 4, false))</f>
        <v>0</v>
      </c>
      <c r="I189" s="27">
        <f>if(ISNA(vlookup($A189, RotoWire!$B$2:$E$681, 4, false)), 0, vlookup($A189, RotoWire!$B$2:$E$681, 4, false))</f>
        <v>0</v>
      </c>
      <c r="J189" s="28">
        <f t="shared" si="1"/>
        <v>0.5</v>
      </c>
      <c r="K189" s="28">
        <f t="shared" si="2"/>
        <v>2</v>
      </c>
    </row>
    <row r="190" hidden="1">
      <c r="A190" s="6" t="s">
        <v>626</v>
      </c>
      <c r="B190" s="25" t="s">
        <v>955</v>
      </c>
      <c r="C190" s="5" t="s">
        <v>33</v>
      </c>
      <c r="D190" s="5" t="s">
        <v>7</v>
      </c>
      <c r="E190" s="26">
        <f>vlookup(C190,'Team Bye List'!$A$1:$B$33,2,False)</f>
        <v>4</v>
      </c>
      <c r="F190" s="27">
        <f>if(ISNA(vlookup($A190, ESPN!$B$2:$E$257, 4, false)), 0, vlookup($A190, ESPN!$B$2:$E$257, 4, false))</f>
        <v>0</v>
      </c>
      <c r="G190" s="27">
        <f>if(ISNA(vlookup($A190, FFToolbox!$B$2:$E$239, 4, false)), 0, vlookup($A190, FFToolbox!$B$2:$E$239, 4, false))</f>
        <v>0</v>
      </c>
      <c r="H190" s="27">
        <f>if(ISNA(vlookup($A190, FantasyPro!$B$2:$E$316, 4, false)), 0, vlookup($A190, FantasyPro!$B$2:$E$316, 4, false))</f>
        <v>2</v>
      </c>
      <c r="I190" s="27">
        <f>if(ISNA(vlookup($A190, RotoWire!$B$2:$E$681, 4, false)), 0, vlookup($A190, RotoWire!$B$2:$E$681, 4, false))</f>
        <v>0</v>
      </c>
      <c r="J190" s="28">
        <f t="shared" si="1"/>
        <v>0.5</v>
      </c>
      <c r="K190" s="28">
        <f t="shared" si="2"/>
        <v>2</v>
      </c>
    </row>
    <row r="191" hidden="1">
      <c r="A191" s="6" t="s">
        <v>680</v>
      </c>
      <c r="B191" s="25" t="s">
        <v>955</v>
      </c>
      <c r="C191" s="5" t="s">
        <v>24</v>
      </c>
      <c r="D191" s="5" t="s">
        <v>7</v>
      </c>
      <c r="E191" s="26">
        <f>vlookup(C191,'Team Bye List'!$A$1:$B$33,2,False)</f>
        <v>9</v>
      </c>
      <c r="F191" s="27">
        <f>if(ISNA(vlookup($A191, ESPN!$B$2:$E$257, 4, false)), 0, vlookup($A191, ESPN!$B$2:$E$257, 4, false))</f>
        <v>0</v>
      </c>
      <c r="G191" s="27">
        <f>if(ISNA(vlookup($A191, FFToolbox!$B$2:$E$239, 4, false)), 0, vlookup($A191, FFToolbox!$B$2:$E$239, 4, false))</f>
        <v>2</v>
      </c>
      <c r="H191" s="27">
        <f>if(ISNA(vlookup($A191, FantasyPro!$B$2:$E$316, 4, false)), 0, vlookup($A191, FantasyPro!$B$2:$E$316, 4, false))</f>
        <v>0</v>
      </c>
      <c r="I191" s="27">
        <f>if(ISNA(vlookup($A191, RotoWire!$B$2:$E$681, 4, false)), 0, vlookup($A191, RotoWire!$B$2:$E$681, 4, false))</f>
        <v>0</v>
      </c>
      <c r="J191" s="28">
        <f t="shared" si="1"/>
        <v>0.5</v>
      </c>
      <c r="K191" s="28">
        <f t="shared" si="2"/>
        <v>2</v>
      </c>
    </row>
    <row r="192" hidden="1">
      <c r="A192" s="6" t="s">
        <v>638</v>
      </c>
      <c r="B192" s="25" t="s">
        <v>955</v>
      </c>
      <c r="C192" s="5" t="s">
        <v>104</v>
      </c>
      <c r="D192" s="5" t="s">
        <v>7</v>
      </c>
      <c r="E192" s="26">
        <f>vlookup(C192,'Team Bye List'!$A$1:$B$33,2,False)</f>
        <v>8</v>
      </c>
      <c r="F192" s="27">
        <f>if(ISNA(vlookup($A192, ESPN!$B$2:$E$257, 4, false)), 0, vlookup($A192, ESPN!$B$2:$E$257, 4, false))</f>
        <v>0</v>
      </c>
      <c r="G192" s="27">
        <f>if(ISNA(vlookup($A192, FFToolbox!$B$2:$E$239, 4, false)), 0, vlookup($A192, FFToolbox!$B$2:$E$239, 4, false))</f>
        <v>0</v>
      </c>
      <c r="H192" s="27">
        <f>if(ISNA(vlookup($A192, FantasyPro!$B$2:$E$316, 4, false)), 0, vlookup($A192, FantasyPro!$B$2:$E$316, 4, false))</f>
        <v>2</v>
      </c>
      <c r="I192" s="27">
        <f>if(ISNA(vlookup($A192, RotoWire!$B$2:$E$681, 4, false)), 0, vlookup($A192, RotoWire!$B$2:$E$681, 4, false))</f>
        <v>0</v>
      </c>
      <c r="J192" s="28">
        <f t="shared" si="1"/>
        <v>0.5</v>
      </c>
      <c r="K192" s="28">
        <f t="shared" si="2"/>
        <v>2</v>
      </c>
    </row>
    <row r="193" hidden="1">
      <c r="A193" s="6" t="s">
        <v>235</v>
      </c>
      <c r="B193" s="25" t="s">
        <v>955</v>
      </c>
      <c r="C193" s="5" t="s">
        <v>122</v>
      </c>
      <c r="D193" s="5" t="s">
        <v>12</v>
      </c>
      <c r="E193" s="26">
        <f>vlookup(C193,'Team Bye List'!$A$1:$B$33,2,False)</f>
        <v>10</v>
      </c>
      <c r="F193" s="27">
        <f>if(ISNA(vlookup($A193, ESPN!$B$2:$E$257, 4, false)), 0, vlookup($A193, ESPN!$B$2:$E$257, 4, false))</f>
        <v>0</v>
      </c>
      <c r="G193" s="27">
        <f>if(ISNA(vlookup($A193, FFToolbox!$B$2:$E$239, 4, false)), 0, vlookup($A193, FFToolbox!$B$2:$E$239, 4, false))</f>
        <v>0</v>
      </c>
      <c r="H193" s="27">
        <f>if(ISNA(vlookup($A193, FantasyPro!$B$2:$E$316, 4, false)), 0, vlookup($A193, FantasyPro!$B$2:$E$316, 4, false))</f>
        <v>2</v>
      </c>
      <c r="I193" s="27">
        <f>if(ISNA(vlookup($A193, RotoWire!$B$2:$E$681, 4, false)), 0, vlookup($A193, RotoWire!$B$2:$E$681, 4, false))</f>
        <v>0</v>
      </c>
      <c r="J193" s="28">
        <f t="shared" si="1"/>
        <v>0.5</v>
      </c>
      <c r="K193" s="28">
        <f t="shared" si="2"/>
        <v>2</v>
      </c>
    </row>
    <row r="194" hidden="1">
      <c r="A194" s="6" t="s">
        <v>407</v>
      </c>
      <c r="B194" s="25" t="s">
        <v>955</v>
      </c>
      <c r="C194" s="5" t="s">
        <v>37</v>
      </c>
      <c r="D194" s="5" t="s">
        <v>7</v>
      </c>
      <c r="E194" s="26">
        <f>vlookup(C194,'Team Bye List'!$A$1:$B$33,2,False)</f>
        <v>7</v>
      </c>
      <c r="F194" s="27">
        <f>if(ISNA(vlookup($A194, ESPN!$B$2:$E$257, 4, false)), 0, vlookup($A194, ESPN!$B$2:$E$257, 4, false))</f>
        <v>0</v>
      </c>
      <c r="G194" s="27">
        <f>if(ISNA(vlookup($A194, FFToolbox!$B$2:$E$239, 4, false)), 0, vlookup($A194, FFToolbox!$B$2:$E$239, 4, false))</f>
        <v>2</v>
      </c>
      <c r="H194" s="27">
        <f>if(ISNA(vlookup($A194, FantasyPro!$B$2:$E$316, 4, false)), 0, vlookup($A194, FantasyPro!$B$2:$E$316, 4, false))</f>
        <v>0</v>
      </c>
      <c r="I194" s="27">
        <f>if(ISNA(vlookup($A194, RotoWire!$B$2:$E$681, 4, false)), 0, vlookup($A194, RotoWire!$B$2:$E$681, 4, false))</f>
        <v>0</v>
      </c>
      <c r="J194" s="28">
        <f t="shared" si="1"/>
        <v>0.5</v>
      </c>
      <c r="K194" s="28">
        <f t="shared" si="2"/>
        <v>2</v>
      </c>
    </row>
    <row r="195" hidden="1">
      <c r="A195" s="6" t="s">
        <v>224</v>
      </c>
      <c r="B195" s="25" t="s">
        <v>955</v>
      </c>
      <c r="C195" s="5" t="s">
        <v>71</v>
      </c>
      <c r="D195" s="5" t="s">
        <v>12</v>
      </c>
      <c r="E195" s="26">
        <f>vlookup(C195,'Team Bye List'!$A$1:$B$33,2,False)</f>
        <v>5</v>
      </c>
      <c r="F195" s="27">
        <f>if(ISNA(vlookup($A195, ESPN!$B$2:$E$257, 4, false)), 0, vlookup($A195, ESPN!$B$2:$E$257, 4, false))</f>
        <v>0</v>
      </c>
      <c r="G195" s="27">
        <f>if(ISNA(vlookup($A195, FFToolbox!$B$2:$E$239, 4, false)), 0, vlookup($A195, FFToolbox!$B$2:$E$239, 4, false))</f>
        <v>0</v>
      </c>
      <c r="H195" s="27">
        <f>if(ISNA(vlookup($A195, FantasyPro!$B$2:$E$316, 4, false)), 0, vlookup($A195, FantasyPro!$B$2:$E$316, 4, false))</f>
        <v>2</v>
      </c>
      <c r="I195" s="27">
        <f>if(ISNA(vlookup($A195, RotoWire!$B$2:$E$681, 4, false)), 0, vlookup($A195, RotoWire!$B$2:$E$681, 4, false))</f>
        <v>0</v>
      </c>
      <c r="J195" s="28">
        <f t="shared" si="1"/>
        <v>0.5</v>
      </c>
      <c r="K195" s="28">
        <f t="shared" si="2"/>
        <v>2</v>
      </c>
    </row>
    <row r="196" hidden="1">
      <c r="A196" s="6" t="s">
        <v>679</v>
      </c>
      <c r="B196" s="25" t="s">
        <v>955</v>
      </c>
      <c r="C196" s="5" t="s">
        <v>54</v>
      </c>
      <c r="D196" s="5" t="s">
        <v>7</v>
      </c>
      <c r="E196" s="26">
        <f>vlookup(C196,'Team Bye List'!$A$1:$B$33,2,False)</f>
        <v>9</v>
      </c>
      <c r="F196" s="27">
        <f>if(ISNA(vlookup($A196, ESPN!$B$2:$E$257, 4, false)), 0, vlookup($A196, ESPN!$B$2:$E$257, 4, false))</f>
        <v>0</v>
      </c>
      <c r="G196" s="27">
        <f>if(ISNA(vlookup($A196, FFToolbox!$B$2:$E$239, 4, false)), 0, vlookup($A196, FFToolbox!$B$2:$E$239, 4, false))</f>
        <v>2</v>
      </c>
      <c r="H196" s="27">
        <f>if(ISNA(vlookup($A196, FantasyPro!$B$2:$E$316, 4, false)), 0, vlookup($A196, FantasyPro!$B$2:$E$316, 4, false))</f>
        <v>0</v>
      </c>
      <c r="I196" s="27">
        <f>if(ISNA(vlookup($A196, RotoWire!$B$2:$E$681, 4, false)), 0, vlookup($A196, RotoWire!$B$2:$E$681, 4, false))</f>
        <v>0</v>
      </c>
      <c r="J196" s="28">
        <f t="shared" si="1"/>
        <v>0.5</v>
      </c>
      <c r="K196" s="28">
        <f t="shared" si="2"/>
        <v>2</v>
      </c>
    </row>
    <row r="197" hidden="1">
      <c r="A197" s="6" t="s">
        <v>213</v>
      </c>
      <c r="B197" s="25" t="s">
        <v>955</v>
      </c>
      <c r="C197" s="5" t="s">
        <v>54</v>
      </c>
      <c r="D197" s="5" t="s">
        <v>12</v>
      </c>
      <c r="E197" s="26">
        <f>vlookup(C197,'Team Bye List'!$A$1:$B$33,2,False)</f>
        <v>9</v>
      </c>
      <c r="F197" s="27">
        <f>if(ISNA(vlookup($A197, ESPN!$B$2:$E$257, 4, false)), 0, vlookup($A197, ESPN!$B$2:$E$257, 4, false))</f>
        <v>0</v>
      </c>
      <c r="G197" s="27">
        <f>if(ISNA(vlookup($A197, FFToolbox!$B$2:$E$239, 4, false)), 0, vlookup($A197, FFToolbox!$B$2:$E$239, 4, false))</f>
        <v>0</v>
      </c>
      <c r="H197" s="27">
        <f>if(ISNA(vlookup($A197, FantasyPro!$B$2:$E$316, 4, false)), 0, vlookup($A197, FantasyPro!$B$2:$E$316, 4, false))</f>
        <v>2</v>
      </c>
      <c r="I197" s="27">
        <f>if(ISNA(vlookup($A197, RotoWire!$B$2:$E$681, 4, false)), 0, vlookup($A197, RotoWire!$B$2:$E$681, 4, false))</f>
        <v>0</v>
      </c>
      <c r="J197" s="28">
        <f t="shared" si="1"/>
        <v>0.5</v>
      </c>
      <c r="K197" s="28">
        <f t="shared" si="2"/>
        <v>2</v>
      </c>
    </row>
    <row r="198" hidden="1">
      <c r="A198" s="6" t="s">
        <v>169</v>
      </c>
      <c r="B198" s="25" t="s">
        <v>955</v>
      </c>
      <c r="C198" s="5" t="s">
        <v>33</v>
      </c>
      <c r="D198" s="5" t="s">
        <v>134</v>
      </c>
      <c r="E198" s="26">
        <f>vlookup(C198,'Team Bye List'!$A$1:$B$33,2,False)</f>
        <v>4</v>
      </c>
      <c r="F198" s="27">
        <f>if(ISNA(vlookup($A198, ESPN!$B$2:$E$257, 4, false)), 0, vlookup($A198, ESPN!$B$2:$E$257, 4, false))</f>
        <v>1</v>
      </c>
      <c r="G198" s="27">
        <f>if(ISNA(vlookup($A198, FFToolbox!$B$2:$E$239, 4, false)), 0, vlookup($A198, FFToolbox!$B$2:$E$239, 4, false))</f>
        <v>0</v>
      </c>
      <c r="H198" s="27">
        <f>if(ISNA(vlookup($A198, FantasyPro!$B$2:$E$316, 4, false)), 0, vlookup($A198, FantasyPro!$B$2:$E$316, 4, false))</f>
        <v>0</v>
      </c>
      <c r="I198" s="27">
        <f>if(ISNA(vlookup($A198, RotoWire!$B$2:$E$681, 4, false)), 0, vlookup($A198, RotoWire!$B$2:$E$681, 4, false))</f>
        <v>0</v>
      </c>
      <c r="J198" s="28">
        <f t="shared" si="1"/>
        <v>0.25</v>
      </c>
      <c r="K198" s="28">
        <f t="shared" si="2"/>
        <v>1</v>
      </c>
    </row>
    <row r="199" hidden="1">
      <c r="A199" s="6" t="s">
        <v>188</v>
      </c>
      <c r="B199" s="25" t="s">
        <v>955</v>
      </c>
      <c r="C199" s="5" t="s">
        <v>48</v>
      </c>
      <c r="D199" s="5" t="s">
        <v>120</v>
      </c>
      <c r="E199" s="26">
        <f>vlookup(C199,'Team Bye List'!$A$1:$B$33,2,False)</f>
        <v>6</v>
      </c>
      <c r="F199" s="27">
        <f>if(ISNA(vlookup($A199, ESPN!$B$2:$E$257, 4, false)), 0, vlookup($A199, ESPN!$B$2:$E$257, 4, false))</f>
        <v>0</v>
      </c>
      <c r="G199" s="27">
        <f>if(ISNA(vlookup($A199, FFToolbox!$B$2:$E$239, 4, false)), 0, vlookup($A199, FFToolbox!$B$2:$E$239, 4, false))</f>
        <v>0</v>
      </c>
      <c r="H199" s="27">
        <f>if(ISNA(vlookup($A199, FantasyPro!$B$2:$E$316, 4, false)), 0, vlookup($A199, FantasyPro!$B$2:$E$316, 4, false))</f>
        <v>0</v>
      </c>
      <c r="I199" s="27">
        <f>if(ISNA(vlookup($A199, RotoWire!$B$2:$E$681, 4, false)), 0, vlookup($A199, RotoWire!$B$2:$E$681, 4, false))</f>
        <v>1</v>
      </c>
      <c r="J199" s="28">
        <f t="shared" si="1"/>
        <v>0.25</v>
      </c>
      <c r="K199" s="28">
        <f t="shared" si="2"/>
        <v>1</v>
      </c>
    </row>
    <row r="200" hidden="1">
      <c r="A200" s="6" t="s">
        <v>244</v>
      </c>
      <c r="B200" s="25" t="s">
        <v>955</v>
      </c>
      <c r="C200" s="5" t="s">
        <v>163</v>
      </c>
      <c r="D200" s="5" t="s">
        <v>14</v>
      </c>
      <c r="E200" s="26">
        <f>vlookup(C200,'Team Bye List'!$A$1:$B$33,2,False)</f>
        <v>5</v>
      </c>
      <c r="F200" s="27">
        <f>if(ISNA(vlookup($A200, ESPN!$B$2:$E$257, 4, false)), 0, vlookup($A200, ESPN!$B$2:$E$257, 4, false))</f>
        <v>0</v>
      </c>
      <c r="G200" s="27">
        <f>if(ISNA(vlookup($A200, FFToolbox!$B$2:$E$239, 4, false)), 0, vlookup($A200, FFToolbox!$B$2:$E$239, 4, false))</f>
        <v>0</v>
      </c>
      <c r="H200" s="27">
        <f>if(ISNA(vlookup($A200, FantasyPro!$B$2:$E$316, 4, false)), 0, vlookup($A200, FantasyPro!$B$2:$E$316, 4, false))</f>
        <v>1</v>
      </c>
      <c r="I200" s="27">
        <f>if(ISNA(vlookup($A200, RotoWire!$B$2:$E$681, 4, false)), 0, vlookup($A200, RotoWire!$B$2:$E$681, 4, false))</f>
        <v>0</v>
      </c>
      <c r="J200" s="28">
        <f t="shared" si="1"/>
        <v>0.25</v>
      </c>
      <c r="K200" s="28">
        <f t="shared" si="2"/>
        <v>1</v>
      </c>
    </row>
    <row r="201" hidden="1">
      <c r="A201" s="6" t="s">
        <v>187</v>
      </c>
      <c r="B201" s="25" t="s">
        <v>955</v>
      </c>
      <c r="C201" s="5" t="s">
        <v>6</v>
      </c>
      <c r="D201" s="5" t="s">
        <v>120</v>
      </c>
      <c r="E201" s="26">
        <f>vlookup(C201,'Team Bye List'!$A$1:$B$33,2,False)</f>
        <v>11</v>
      </c>
      <c r="F201" s="27">
        <f>if(ISNA(vlookup($A201, ESPN!$B$2:$E$257, 4, false)), 0, vlookup($A201, ESPN!$B$2:$E$257, 4, false))</f>
        <v>0</v>
      </c>
      <c r="G201" s="27">
        <f>if(ISNA(vlookup($A201, FFToolbox!$B$2:$E$239, 4, false)), 0, vlookup($A201, FFToolbox!$B$2:$E$239, 4, false))</f>
        <v>0</v>
      </c>
      <c r="H201" s="27">
        <f>if(ISNA(vlookup($A201, FantasyPro!$B$2:$E$316, 4, false)), 0, vlookup($A201, FantasyPro!$B$2:$E$316, 4, false))</f>
        <v>0</v>
      </c>
      <c r="I201" s="27">
        <f>if(ISNA(vlookup($A201, RotoWire!$B$2:$E$681, 4, false)), 0, vlookup($A201, RotoWire!$B$2:$E$681, 4, false))</f>
        <v>1</v>
      </c>
      <c r="J201" s="28">
        <f t="shared" si="1"/>
        <v>0.25</v>
      </c>
      <c r="K201" s="28">
        <f t="shared" si="2"/>
        <v>1</v>
      </c>
    </row>
    <row r="202" hidden="1">
      <c r="A202" s="6" t="s">
        <v>630</v>
      </c>
      <c r="B202" s="25" t="s">
        <v>955</v>
      </c>
      <c r="C202" s="5" t="s">
        <v>91</v>
      </c>
      <c r="D202" s="5" t="s">
        <v>7</v>
      </c>
      <c r="E202" s="26">
        <f>vlookup(C202,'Team Bye List'!$A$1:$B$33,2,False)</f>
        <v>10</v>
      </c>
      <c r="F202" s="27">
        <f>if(ISNA(vlookup($A202, ESPN!$B$2:$E$257, 4, false)), 0, vlookup($A202, ESPN!$B$2:$E$257, 4, false))</f>
        <v>0</v>
      </c>
      <c r="G202" s="27">
        <f>if(ISNA(vlookup($A202, FFToolbox!$B$2:$E$239, 4, false)), 0, vlookup($A202, FFToolbox!$B$2:$E$239, 4, false))</f>
        <v>0</v>
      </c>
      <c r="H202" s="27">
        <f>if(ISNA(vlookup($A202, FantasyPro!$B$2:$E$316, 4, false)), 0, vlookup($A202, FantasyPro!$B$2:$E$316, 4, false))</f>
        <v>1</v>
      </c>
      <c r="I202" s="27">
        <f>if(ISNA(vlookup($A202, RotoWire!$B$2:$E$681, 4, false)), 0, vlookup($A202, RotoWire!$B$2:$E$681, 4, false))</f>
        <v>0</v>
      </c>
      <c r="J202" s="28">
        <f t="shared" si="1"/>
        <v>0.25</v>
      </c>
      <c r="K202" s="28">
        <f t="shared" si="2"/>
        <v>1</v>
      </c>
    </row>
    <row r="203" hidden="1">
      <c r="A203" s="6" t="s">
        <v>480</v>
      </c>
      <c r="B203" s="25" t="s">
        <v>955</v>
      </c>
      <c r="C203" s="5" t="s">
        <v>163</v>
      </c>
      <c r="D203" s="5" t="s">
        <v>14</v>
      </c>
      <c r="E203" s="26">
        <f>vlookup(C203,'Team Bye List'!$A$1:$B$33,2,False)</f>
        <v>5</v>
      </c>
      <c r="F203" s="27">
        <f>if(ISNA(vlookup($A203, ESPN!$B$2:$E$257, 4, false)), 0, vlookup($A203, ESPN!$B$2:$E$257, 4, false))</f>
        <v>0</v>
      </c>
      <c r="G203" s="27">
        <f>if(ISNA(vlookup($A203, FFToolbox!$B$2:$E$239, 4, false)), 0, vlookup($A203, FFToolbox!$B$2:$E$239, 4, false))</f>
        <v>1</v>
      </c>
      <c r="H203" s="27">
        <f>if(ISNA(vlookup($A203, FantasyPro!$B$2:$E$316, 4, false)), 0, vlookup($A203, FantasyPro!$B$2:$E$316, 4, false))</f>
        <v>0</v>
      </c>
      <c r="I203" s="27">
        <f>if(ISNA(vlookup($A203, RotoWire!$B$2:$E$681, 4, false)), 0, vlookup($A203, RotoWire!$B$2:$E$681, 4, false))</f>
        <v>0</v>
      </c>
      <c r="J203" s="28">
        <f t="shared" si="1"/>
        <v>0.25</v>
      </c>
      <c r="K203" s="28">
        <f t="shared" si="2"/>
        <v>1</v>
      </c>
    </row>
    <row r="204" hidden="1">
      <c r="A204" s="8" t="s">
        <v>666</v>
      </c>
      <c r="B204" s="25" t="s">
        <v>955</v>
      </c>
      <c r="C204" s="5" t="s">
        <v>62</v>
      </c>
      <c r="D204" s="5" t="s">
        <v>7</v>
      </c>
      <c r="E204" s="26">
        <f>vlookup(C204,'Team Bye List'!$A$1:$B$33,2,False)</f>
        <v>12</v>
      </c>
      <c r="F204" s="27">
        <f>if(ISNA(vlookup($A204, ESPN!$B$2:$E$257, 4, false)), 0, vlookup($A204, ESPN!$B$2:$E$257, 4, false))</f>
        <v>0</v>
      </c>
      <c r="G204" s="27">
        <f>if(ISNA(vlookup($A204, FFToolbox!$B$2:$E$239, 4, false)), 0, vlookup($A204, FFToolbox!$B$2:$E$239, 4, false))</f>
        <v>1</v>
      </c>
      <c r="H204" s="27">
        <f>if(ISNA(vlookup($A204, FantasyPro!$B$2:$E$316, 4, false)), 0, vlookup($A204, FantasyPro!$B$2:$E$316, 4, false))</f>
        <v>0</v>
      </c>
      <c r="I204" s="27">
        <f>if(ISNA(vlookup($A204, RotoWire!$B$2:$E$681, 4, false)), 0, vlookup($A204, RotoWire!$B$2:$E$681, 4, false))</f>
        <v>0</v>
      </c>
      <c r="J204" s="28">
        <f t="shared" si="1"/>
        <v>0.25</v>
      </c>
      <c r="K204" s="28">
        <f t="shared" si="2"/>
        <v>1</v>
      </c>
    </row>
    <row r="205" hidden="1">
      <c r="A205" s="8" t="s">
        <v>271</v>
      </c>
      <c r="B205" s="25" t="s">
        <v>955</v>
      </c>
      <c r="C205" s="5" t="s">
        <v>26</v>
      </c>
      <c r="D205" s="5" t="s">
        <v>14</v>
      </c>
      <c r="E205" s="26">
        <f>vlookup(C205,'Team Bye List'!$A$1:$B$33,2,False)</f>
        <v>12</v>
      </c>
      <c r="F205" s="27">
        <f>if(ISNA(vlookup($A205, ESPN!$B$2:$E$257, 4, false)), 0, vlookup($A205, ESPN!$B$2:$E$257, 4, false))</f>
        <v>0</v>
      </c>
      <c r="G205" s="27">
        <f>if(ISNA(vlookup($A205, FFToolbox!$B$2:$E$239, 4, false)), 0, vlookup($A205, FFToolbox!$B$2:$E$239, 4, false))</f>
        <v>0</v>
      </c>
      <c r="H205" s="27">
        <f>if(ISNA(vlookup($A205, FantasyPro!$B$2:$E$316, 4, false)), 0, vlookup($A205, FantasyPro!$B$2:$E$316, 4, false))</f>
        <v>0</v>
      </c>
      <c r="I205" s="27">
        <f>if(ISNA(vlookup($A205, RotoWire!$B$2:$E$681, 4, false)), 0, vlookup($A205, RotoWire!$B$2:$E$681, 4, false))</f>
        <v>1</v>
      </c>
      <c r="J205" s="28">
        <f t="shared" si="1"/>
        <v>0.25</v>
      </c>
      <c r="K205" s="28">
        <f t="shared" si="2"/>
        <v>1</v>
      </c>
    </row>
    <row r="206" hidden="1">
      <c r="A206" s="6" t="s">
        <v>133</v>
      </c>
      <c r="B206" s="25" t="s">
        <v>955</v>
      </c>
      <c r="C206" s="5" t="s">
        <v>96</v>
      </c>
      <c r="D206" s="5" t="s">
        <v>134</v>
      </c>
      <c r="E206" s="26">
        <f>vlookup(C206,'Team Bye List'!$A$1:$B$33,2,False)</f>
        <v>6</v>
      </c>
      <c r="F206" s="27">
        <f>if(ISNA(vlookup($A206, ESPN!$B$2:$E$257, 4, false)), 0, vlookup($A206, ESPN!$B$2:$E$257, 4, false))</f>
        <v>1</v>
      </c>
      <c r="G206" s="27">
        <f>if(ISNA(vlookup($A206, FFToolbox!$B$2:$E$239, 4, false)), 0, vlookup($A206, FFToolbox!$B$2:$E$239, 4, false))</f>
        <v>0</v>
      </c>
      <c r="H206" s="27">
        <f>if(ISNA(vlookup($A206, FantasyPro!$B$2:$E$316, 4, false)), 0, vlookup($A206, FantasyPro!$B$2:$E$316, 4, false))</f>
        <v>0</v>
      </c>
      <c r="I206" s="27">
        <f>if(ISNA(vlookup($A206, RotoWire!$B$2:$E$681, 4, false)), 0, vlookup($A206, RotoWire!$B$2:$E$681, 4, false))</f>
        <v>0</v>
      </c>
      <c r="J206" s="28">
        <f t="shared" si="1"/>
        <v>0.25</v>
      </c>
      <c r="K206" s="28">
        <f t="shared" si="2"/>
        <v>1</v>
      </c>
    </row>
    <row r="207" hidden="1">
      <c r="A207" s="6" t="s">
        <v>179</v>
      </c>
      <c r="B207" s="25" t="s">
        <v>955</v>
      </c>
      <c r="C207" s="5" t="s">
        <v>54</v>
      </c>
      <c r="D207" s="5" t="s">
        <v>134</v>
      </c>
      <c r="E207" s="26">
        <f>vlookup(C207,'Team Bye List'!$A$1:$B$33,2,False)</f>
        <v>9</v>
      </c>
      <c r="F207" s="27">
        <f>if(ISNA(vlookup($A207, ESPN!$B$2:$E$257, 4, false)), 0, vlookup($A207, ESPN!$B$2:$E$257, 4, false))</f>
        <v>1</v>
      </c>
      <c r="G207" s="27">
        <f>if(ISNA(vlookup($A207, FFToolbox!$B$2:$E$239, 4, false)), 0, vlookup($A207, FFToolbox!$B$2:$E$239, 4, false))</f>
        <v>0</v>
      </c>
      <c r="H207" s="27">
        <f>if(ISNA(vlookup($A207, FantasyPro!$B$2:$E$316, 4, false)), 0, vlookup($A207, FantasyPro!$B$2:$E$316, 4, false))</f>
        <v>0</v>
      </c>
      <c r="I207" s="27">
        <f>if(ISNA(vlookup($A207, RotoWire!$B$2:$E$681, 4, false)), 0, vlookup($A207, RotoWire!$B$2:$E$681, 4, false))</f>
        <v>0</v>
      </c>
      <c r="J207" s="28">
        <f t="shared" si="1"/>
        <v>0.25</v>
      </c>
      <c r="K207" s="28">
        <f t="shared" si="2"/>
        <v>1</v>
      </c>
    </row>
    <row r="208" hidden="1">
      <c r="A208" s="6" t="s">
        <v>138</v>
      </c>
      <c r="B208" s="25" t="s">
        <v>955</v>
      </c>
      <c r="C208" s="5" t="s">
        <v>139</v>
      </c>
      <c r="D208" s="5" t="s">
        <v>134</v>
      </c>
      <c r="E208" s="26">
        <f>vlookup(C208,'Team Bye List'!$A$1:$B$33,2,False)</f>
        <v>6</v>
      </c>
      <c r="F208" s="27">
        <f>if(ISNA(vlookup($A208, ESPN!$B$2:$E$257, 4, false)), 0, vlookup($A208, ESPN!$B$2:$E$257, 4, false))</f>
        <v>1</v>
      </c>
      <c r="G208" s="27">
        <f>if(ISNA(vlookup($A208, FFToolbox!$B$2:$E$239, 4, false)), 0, vlookup($A208, FFToolbox!$B$2:$E$239, 4, false))</f>
        <v>0</v>
      </c>
      <c r="H208" s="27">
        <f>if(ISNA(vlookup($A208, FantasyPro!$B$2:$E$316, 4, false)), 0, vlookup($A208, FantasyPro!$B$2:$E$316, 4, false))</f>
        <v>0</v>
      </c>
      <c r="I208" s="27">
        <f>if(ISNA(vlookup($A208, RotoWire!$B$2:$E$681, 4, false)), 0, vlookup($A208, RotoWire!$B$2:$E$681, 4, false))</f>
        <v>0</v>
      </c>
      <c r="J208" s="28">
        <f t="shared" si="1"/>
        <v>0.25</v>
      </c>
      <c r="K208" s="28">
        <f t="shared" si="2"/>
        <v>1</v>
      </c>
    </row>
    <row r="209" hidden="1">
      <c r="A209" s="6" t="s">
        <v>167</v>
      </c>
      <c r="B209" s="25" t="s">
        <v>955</v>
      </c>
      <c r="C209" s="5" t="s">
        <v>122</v>
      </c>
      <c r="D209" s="5" t="s">
        <v>134</v>
      </c>
      <c r="E209" s="26">
        <f>vlookup(C209,'Team Bye List'!$A$1:$B$33,2,False)</f>
        <v>10</v>
      </c>
      <c r="F209" s="27">
        <f>if(ISNA(vlookup($A209, ESPN!$B$2:$E$257, 4, false)), 0, vlookup($A209, ESPN!$B$2:$E$257, 4, false))</f>
        <v>1</v>
      </c>
      <c r="G209" s="27">
        <f>if(ISNA(vlookup($A209, FFToolbox!$B$2:$E$239, 4, false)), 0, vlookup($A209, FFToolbox!$B$2:$E$239, 4, false))</f>
        <v>0</v>
      </c>
      <c r="H209" s="27">
        <f>if(ISNA(vlookup($A209, FantasyPro!$B$2:$E$316, 4, false)), 0, vlookup($A209, FantasyPro!$B$2:$E$316, 4, false))</f>
        <v>0</v>
      </c>
      <c r="I209" s="27">
        <f>if(ISNA(vlookup($A209, RotoWire!$B$2:$E$681, 4, false)), 0, vlookup($A209, RotoWire!$B$2:$E$681, 4, false))</f>
        <v>0</v>
      </c>
      <c r="J209" s="28">
        <f t="shared" si="1"/>
        <v>0.25</v>
      </c>
      <c r="K209" s="28">
        <f t="shared" si="2"/>
        <v>1</v>
      </c>
    </row>
    <row r="210" hidden="1">
      <c r="A210" s="6" t="s">
        <v>153</v>
      </c>
      <c r="B210" s="25" t="s">
        <v>955</v>
      </c>
      <c r="C210" s="5" t="s">
        <v>30</v>
      </c>
      <c r="D210" s="5" t="s">
        <v>134</v>
      </c>
      <c r="E210" s="26">
        <f>vlookup(C210,'Team Bye List'!$A$1:$B$33,2,False)</f>
        <v>7</v>
      </c>
      <c r="F210" s="27">
        <f>if(ISNA(vlookup($A210, ESPN!$B$2:$E$257, 4, false)), 0, vlookup($A210, ESPN!$B$2:$E$257, 4, false))</f>
        <v>1</v>
      </c>
      <c r="G210" s="27">
        <f>if(ISNA(vlookup($A210, FFToolbox!$B$2:$E$239, 4, false)), 0, vlookup($A210, FFToolbox!$B$2:$E$239, 4, false))</f>
        <v>0</v>
      </c>
      <c r="H210" s="27">
        <f>if(ISNA(vlookup($A210, FantasyPro!$B$2:$E$316, 4, false)), 0, vlookup($A210, FantasyPro!$B$2:$E$316, 4, false))</f>
        <v>0</v>
      </c>
      <c r="I210" s="27">
        <f>if(ISNA(vlookup($A210, RotoWire!$B$2:$E$681, 4, false)), 0, vlookup($A210, RotoWire!$B$2:$E$681, 4, false))</f>
        <v>0</v>
      </c>
      <c r="J210" s="28">
        <f t="shared" si="1"/>
        <v>0.25</v>
      </c>
      <c r="K210" s="28">
        <f t="shared" si="2"/>
        <v>1</v>
      </c>
    </row>
    <row r="211" hidden="1">
      <c r="A211" s="6" t="s">
        <v>182</v>
      </c>
      <c r="B211" s="25" t="s">
        <v>955</v>
      </c>
      <c r="C211" s="5" t="s">
        <v>37</v>
      </c>
      <c r="D211" s="5" t="s">
        <v>134</v>
      </c>
      <c r="E211" s="26">
        <f>vlookup(C211,'Team Bye List'!$A$1:$B$33,2,False)</f>
        <v>7</v>
      </c>
      <c r="F211" s="27">
        <f>if(ISNA(vlookup($A211, ESPN!$B$2:$E$257, 4, false)), 0, vlookup($A211, ESPN!$B$2:$E$257, 4, false))</f>
        <v>1</v>
      </c>
      <c r="G211" s="27">
        <f>if(ISNA(vlookup($A211, FFToolbox!$B$2:$E$239, 4, false)), 0, vlookup($A211, FFToolbox!$B$2:$E$239, 4, false))</f>
        <v>0</v>
      </c>
      <c r="H211" s="27">
        <f>if(ISNA(vlookup($A211, FantasyPro!$B$2:$E$316, 4, false)), 0, vlookup($A211, FantasyPro!$B$2:$E$316, 4, false))</f>
        <v>0</v>
      </c>
      <c r="I211" s="27">
        <f>if(ISNA(vlookup($A211, RotoWire!$B$2:$E$681, 4, false)), 0, vlookup($A211, RotoWire!$B$2:$E$681, 4, false))</f>
        <v>0</v>
      </c>
      <c r="J211" s="28">
        <f t="shared" si="1"/>
        <v>0.25</v>
      </c>
      <c r="K211" s="28">
        <f t="shared" si="2"/>
        <v>1</v>
      </c>
    </row>
    <row r="212" hidden="1">
      <c r="A212" s="6" t="s">
        <v>612</v>
      </c>
      <c r="B212" s="25" t="s">
        <v>955</v>
      </c>
      <c r="C212" s="5" t="s">
        <v>46</v>
      </c>
      <c r="D212" s="5" t="s">
        <v>14</v>
      </c>
      <c r="E212" s="26">
        <f>vlookup(C212,'Team Bye List'!$A$1:$B$33,2,False)</f>
        <v>10</v>
      </c>
      <c r="F212" s="27">
        <f>if(ISNA(vlookup($A212, ESPN!$B$2:$E$257, 4, false)), 0, vlookup($A212, ESPN!$B$2:$E$257, 4, false))</f>
        <v>0</v>
      </c>
      <c r="G212" s="27">
        <f>if(ISNA(vlookup($A212, FFToolbox!$B$2:$E$239, 4, false)), 0, vlookup($A212, FFToolbox!$B$2:$E$239, 4, false))</f>
        <v>1</v>
      </c>
      <c r="H212" s="27">
        <f>if(ISNA(vlookup($A212, FantasyPro!$B$2:$E$316, 4, false)), 0, vlookup($A212, FantasyPro!$B$2:$E$316, 4, false))</f>
        <v>0</v>
      </c>
      <c r="I212" s="27">
        <f>if(ISNA(vlookup($A212, RotoWire!$B$2:$E$681, 4, false)), 0, vlookup($A212, RotoWire!$B$2:$E$681, 4, false))</f>
        <v>0</v>
      </c>
      <c r="J212" s="28">
        <f t="shared" si="1"/>
        <v>0.25</v>
      </c>
      <c r="K212" s="28">
        <f t="shared" si="2"/>
        <v>1</v>
      </c>
    </row>
    <row r="213" hidden="1">
      <c r="A213" s="6" t="s">
        <v>171</v>
      </c>
      <c r="B213" s="25" t="s">
        <v>955</v>
      </c>
      <c r="C213" s="5" t="s">
        <v>26</v>
      </c>
      <c r="D213" s="5" t="s">
        <v>134</v>
      </c>
      <c r="E213" s="26">
        <f>vlookup(C213,'Team Bye List'!$A$1:$B$33,2,False)</f>
        <v>12</v>
      </c>
      <c r="F213" s="27">
        <f>if(ISNA(vlookup($A213, ESPN!$B$2:$E$257, 4, false)), 0, vlookup($A213, ESPN!$B$2:$E$257, 4, false))</f>
        <v>1</v>
      </c>
      <c r="G213" s="27">
        <f>if(ISNA(vlookup($A213, FFToolbox!$B$2:$E$239, 4, false)), 0, vlookup($A213, FFToolbox!$B$2:$E$239, 4, false))</f>
        <v>0</v>
      </c>
      <c r="H213" s="27">
        <f>if(ISNA(vlookup($A213, FantasyPro!$B$2:$E$316, 4, false)), 0, vlookup($A213, FantasyPro!$B$2:$E$316, 4, false))</f>
        <v>0</v>
      </c>
      <c r="I213" s="27">
        <f>if(ISNA(vlookup($A213, RotoWire!$B$2:$E$681, 4, false)), 0, vlookup($A213, RotoWire!$B$2:$E$681, 4, false))</f>
        <v>0</v>
      </c>
      <c r="J213" s="28">
        <f t="shared" si="1"/>
        <v>0.25</v>
      </c>
      <c r="K213" s="28">
        <f t="shared" si="2"/>
        <v>1</v>
      </c>
    </row>
    <row r="214" hidden="1">
      <c r="A214" s="6" t="s">
        <v>160</v>
      </c>
      <c r="B214" s="25" t="s">
        <v>955</v>
      </c>
      <c r="C214" s="5" t="s">
        <v>43</v>
      </c>
      <c r="D214" s="5" t="s">
        <v>134</v>
      </c>
      <c r="E214" s="26">
        <f>vlookup(C214,'Team Bye List'!$A$1:$B$33,2,False)</f>
        <v>12</v>
      </c>
      <c r="F214" s="27">
        <f>if(ISNA(vlookup($A214, ESPN!$B$2:$E$257, 4, false)), 0, vlookup($A214, ESPN!$B$2:$E$257, 4, false))</f>
        <v>1</v>
      </c>
      <c r="G214" s="27">
        <f>if(ISNA(vlookup($A214, FFToolbox!$B$2:$E$239, 4, false)), 0, vlookup($A214, FFToolbox!$B$2:$E$239, 4, false))</f>
        <v>0</v>
      </c>
      <c r="H214" s="27">
        <f>if(ISNA(vlookup($A214, FantasyPro!$B$2:$E$316, 4, false)), 0, vlookup($A214, FantasyPro!$B$2:$E$316, 4, false))</f>
        <v>0</v>
      </c>
      <c r="I214" s="27">
        <f>if(ISNA(vlookup($A214, RotoWire!$B$2:$E$681, 4, false)), 0, vlookup($A214, RotoWire!$B$2:$E$681, 4, false))</f>
        <v>0</v>
      </c>
      <c r="J214" s="28">
        <f t="shared" si="1"/>
        <v>0.25</v>
      </c>
      <c r="K214" s="28">
        <f t="shared" si="2"/>
        <v>1</v>
      </c>
    </row>
    <row r="215" hidden="1">
      <c r="A215" s="6" t="s">
        <v>173</v>
      </c>
      <c r="B215" s="25" t="s">
        <v>955</v>
      </c>
      <c r="C215" s="5" t="s">
        <v>11</v>
      </c>
      <c r="D215" s="5" t="s">
        <v>134</v>
      </c>
      <c r="E215" s="26">
        <f>vlookup(C215,'Team Bye List'!$A$1:$B$33,2,False)</f>
        <v>12</v>
      </c>
      <c r="F215" s="27">
        <f>if(ISNA(vlookup($A215, ESPN!$B$2:$E$257, 4, false)), 0, vlookup($A215, ESPN!$B$2:$E$257, 4, false))</f>
        <v>1</v>
      </c>
      <c r="G215" s="27">
        <f>if(ISNA(vlookup($A215, FFToolbox!$B$2:$E$239, 4, false)), 0, vlookup($A215, FFToolbox!$B$2:$E$239, 4, false))</f>
        <v>0</v>
      </c>
      <c r="H215" s="27">
        <f>if(ISNA(vlookup($A215, FantasyPro!$B$2:$E$316, 4, false)), 0, vlookup($A215, FantasyPro!$B$2:$E$316, 4, false))</f>
        <v>0</v>
      </c>
      <c r="I215" s="27">
        <f>if(ISNA(vlookup($A215, RotoWire!$B$2:$E$681, 4, false)), 0, vlookup($A215, RotoWire!$B$2:$E$681, 4, false))</f>
        <v>0</v>
      </c>
      <c r="J215" s="28">
        <f t="shared" si="1"/>
        <v>0.25</v>
      </c>
      <c r="K215" s="28">
        <f t="shared" si="2"/>
        <v>1</v>
      </c>
    </row>
    <row r="216" hidden="1">
      <c r="A216" s="6" t="s">
        <v>141</v>
      </c>
      <c r="B216" s="25" t="s">
        <v>955</v>
      </c>
      <c r="C216" s="5" t="s">
        <v>48</v>
      </c>
      <c r="D216" s="5" t="s">
        <v>134</v>
      </c>
      <c r="E216" s="26">
        <f>vlookup(C216,'Team Bye List'!$A$1:$B$33,2,False)</f>
        <v>6</v>
      </c>
      <c r="F216" s="27">
        <f>if(ISNA(vlookup($A216, ESPN!$B$2:$E$257, 4, false)), 0, vlookup($A216, ESPN!$B$2:$E$257, 4, false))</f>
        <v>1</v>
      </c>
      <c r="G216" s="27">
        <f>if(ISNA(vlookup($A216, FFToolbox!$B$2:$E$239, 4, false)), 0, vlookup($A216, FFToolbox!$B$2:$E$239, 4, false))</f>
        <v>0</v>
      </c>
      <c r="H216" s="27">
        <f>if(ISNA(vlookup($A216, FantasyPro!$B$2:$E$316, 4, false)), 0, vlookup($A216, FantasyPro!$B$2:$E$316, 4, false))</f>
        <v>0</v>
      </c>
      <c r="I216" s="27">
        <f>if(ISNA(vlookup($A216, RotoWire!$B$2:$E$681, 4, false)), 0, vlookup($A216, RotoWire!$B$2:$E$681, 4, false))</f>
        <v>0</v>
      </c>
      <c r="J216" s="28">
        <f t="shared" si="1"/>
        <v>0.25</v>
      </c>
      <c r="K216" s="28">
        <f t="shared" si="2"/>
        <v>1</v>
      </c>
    </row>
    <row r="217" hidden="1">
      <c r="A217" s="6" t="s">
        <v>176</v>
      </c>
      <c r="B217" s="25" t="s">
        <v>955</v>
      </c>
      <c r="C217" s="5" t="s">
        <v>9</v>
      </c>
      <c r="D217" s="5" t="s">
        <v>134</v>
      </c>
      <c r="E217" s="26">
        <f>vlookup(C217,'Team Bye List'!$A$1:$B$33,2,False)</f>
        <v>8</v>
      </c>
      <c r="F217" s="27">
        <f>if(ISNA(vlookup($A217, ESPN!$B$2:$E$257, 4, false)), 0, vlookup($A217, ESPN!$B$2:$E$257, 4, false))</f>
        <v>1</v>
      </c>
      <c r="G217" s="27">
        <f>if(ISNA(vlookup($A217, FFToolbox!$B$2:$E$239, 4, false)), 0, vlookup($A217, FFToolbox!$B$2:$E$239, 4, false))</f>
        <v>0</v>
      </c>
      <c r="H217" s="27">
        <f>if(ISNA(vlookup($A217, FantasyPro!$B$2:$E$316, 4, false)), 0, vlookup($A217, FantasyPro!$B$2:$E$316, 4, false))</f>
        <v>0</v>
      </c>
      <c r="I217" s="27">
        <f>if(ISNA(vlookup($A217, RotoWire!$B$2:$E$681, 4, false)), 0, vlookup($A217, RotoWire!$B$2:$E$681, 4, false))</f>
        <v>0</v>
      </c>
      <c r="J217" s="28">
        <f t="shared" si="1"/>
        <v>0.25</v>
      </c>
      <c r="K217" s="28">
        <f t="shared" si="2"/>
        <v>1</v>
      </c>
    </row>
    <row r="218" hidden="1">
      <c r="A218" s="6" t="s">
        <v>183</v>
      </c>
      <c r="B218" s="25" t="s">
        <v>955</v>
      </c>
      <c r="C218" s="5" t="s">
        <v>163</v>
      </c>
      <c r="D218" s="5" t="s">
        <v>134</v>
      </c>
      <c r="E218" s="26">
        <f>vlookup(C218,'Team Bye List'!$A$1:$B$33,2,False)</f>
        <v>5</v>
      </c>
      <c r="F218" s="27">
        <f>if(ISNA(vlookup($A218, ESPN!$B$2:$E$257, 4, false)), 0, vlookup($A218, ESPN!$B$2:$E$257, 4, false))</f>
        <v>1</v>
      </c>
      <c r="G218" s="27">
        <f>if(ISNA(vlookup($A218, FFToolbox!$B$2:$E$239, 4, false)), 0, vlookup($A218, FFToolbox!$B$2:$E$239, 4, false))</f>
        <v>0</v>
      </c>
      <c r="H218" s="27">
        <f>if(ISNA(vlookup($A218, FantasyPro!$B$2:$E$316, 4, false)), 0, vlookup($A218, FantasyPro!$B$2:$E$316, 4, false))</f>
        <v>0</v>
      </c>
      <c r="I218" s="27">
        <f>if(ISNA(vlookup($A218, RotoWire!$B$2:$E$681, 4, false)), 0, vlookup($A218, RotoWire!$B$2:$E$681, 4, false))</f>
        <v>0</v>
      </c>
      <c r="J218" s="28">
        <f t="shared" si="1"/>
        <v>0.25</v>
      </c>
      <c r="K218" s="28">
        <f t="shared" si="2"/>
        <v>1</v>
      </c>
    </row>
    <row r="219" hidden="1">
      <c r="A219" s="6" t="s">
        <v>143</v>
      </c>
      <c r="B219" s="25" t="s">
        <v>955</v>
      </c>
      <c r="C219" s="5" t="s">
        <v>59</v>
      </c>
      <c r="D219" s="5" t="s">
        <v>134</v>
      </c>
      <c r="E219" s="26">
        <f>vlookup(C219,'Team Bye List'!$A$1:$B$33,2,False)</f>
        <v>10</v>
      </c>
      <c r="F219" s="27">
        <f>if(ISNA(vlookup($A219, ESPN!$B$2:$E$257, 4, false)), 0, vlookup($A219, ESPN!$B$2:$E$257, 4, false))</f>
        <v>1</v>
      </c>
      <c r="G219" s="27">
        <f>if(ISNA(vlookup($A219, FFToolbox!$B$2:$E$239, 4, false)), 0, vlookup($A219, FFToolbox!$B$2:$E$239, 4, false))</f>
        <v>0</v>
      </c>
      <c r="H219" s="27">
        <f>if(ISNA(vlookup($A219, FantasyPro!$B$2:$E$316, 4, false)), 0, vlookup($A219, FantasyPro!$B$2:$E$316, 4, false))</f>
        <v>0</v>
      </c>
      <c r="I219" s="27">
        <f>if(ISNA(vlookup($A219, RotoWire!$B$2:$E$681, 4, false)), 0, vlookup($A219, RotoWire!$B$2:$E$681, 4, false))</f>
        <v>0</v>
      </c>
      <c r="J219" s="28">
        <f t="shared" si="1"/>
        <v>0.25</v>
      </c>
      <c r="K219" s="28">
        <f t="shared" si="2"/>
        <v>1</v>
      </c>
    </row>
    <row r="220" hidden="1">
      <c r="A220" s="6" t="s">
        <v>477</v>
      </c>
      <c r="B220" s="25" t="s">
        <v>955</v>
      </c>
      <c r="C220" s="5" t="s">
        <v>35</v>
      </c>
      <c r="D220" s="5" t="s">
        <v>14</v>
      </c>
      <c r="E220" s="26">
        <f>vlookup(C220,'Team Bye List'!$A$1:$B$33,2,False)</f>
        <v>7</v>
      </c>
      <c r="F220" s="27">
        <f>if(ISNA(vlookup($A220, ESPN!$B$2:$E$257, 4, false)), 0, vlookup($A220, ESPN!$B$2:$E$257, 4, false))</f>
        <v>0</v>
      </c>
      <c r="G220" s="27">
        <f>if(ISNA(vlookup($A220, FFToolbox!$B$2:$E$239, 4, false)), 0, vlookup($A220, FFToolbox!$B$2:$E$239, 4, false))</f>
        <v>1</v>
      </c>
      <c r="H220" s="27">
        <f>if(ISNA(vlookup($A220, FantasyPro!$B$2:$E$316, 4, false)), 0, vlookup($A220, FantasyPro!$B$2:$E$316, 4, false))</f>
        <v>0</v>
      </c>
      <c r="I220" s="27">
        <f>if(ISNA(vlookup($A220, RotoWire!$B$2:$E$681, 4, false)), 0, vlookup($A220, RotoWire!$B$2:$E$681, 4, false))</f>
        <v>0</v>
      </c>
      <c r="J220" s="28">
        <f t="shared" si="1"/>
        <v>0.25</v>
      </c>
      <c r="K220" s="28">
        <f t="shared" si="2"/>
        <v>1</v>
      </c>
    </row>
    <row r="221" hidden="1">
      <c r="A221" s="6" t="s">
        <v>168</v>
      </c>
      <c r="B221" s="25" t="s">
        <v>955</v>
      </c>
      <c r="C221" s="5" t="s">
        <v>20</v>
      </c>
      <c r="D221" s="5" t="s">
        <v>134</v>
      </c>
      <c r="E221" s="26">
        <f>vlookup(C221,'Team Bye List'!$A$1:$B$33,2,False)</f>
        <v>9</v>
      </c>
      <c r="F221" s="27">
        <f>if(ISNA(vlookup($A221, ESPN!$B$2:$E$257, 4, false)), 0, vlookup($A221, ESPN!$B$2:$E$257, 4, false))</f>
        <v>1</v>
      </c>
      <c r="G221" s="27">
        <f>if(ISNA(vlookup($A221, FFToolbox!$B$2:$E$239, 4, false)), 0, vlookup($A221, FFToolbox!$B$2:$E$239, 4, false))</f>
        <v>0</v>
      </c>
      <c r="H221" s="27">
        <f>if(ISNA(vlookup($A221, FantasyPro!$B$2:$E$316, 4, false)), 0, vlookup($A221, FantasyPro!$B$2:$E$316, 4, false))</f>
        <v>0</v>
      </c>
      <c r="I221" s="27">
        <f>if(ISNA(vlookup($A221, RotoWire!$B$2:$E$681, 4, false)), 0, vlookup($A221, RotoWire!$B$2:$E$681, 4, false))</f>
        <v>0</v>
      </c>
      <c r="J221" s="28">
        <f t="shared" si="1"/>
        <v>0.25</v>
      </c>
      <c r="K221" s="28">
        <f t="shared" si="2"/>
        <v>1</v>
      </c>
    </row>
    <row r="222" hidden="1">
      <c r="A222" s="6" t="s">
        <v>180</v>
      </c>
      <c r="B222" s="25" t="s">
        <v>955</v>
      </c>
      <c r="C222" s="5" t="s">
        <v>6</v>
      </c>
      <c r="D222" s="5" t="s">
        <v>134</v>
      </c>
      <c r="E222" s="26">
        <f>vlookup(C222,'Team Bye List'!$A$1:$B$33,2,False)</f>
        <v>11</v>
      </c>
      <c r="F222" s="27">
        <f>if(ISNA(vlookup($A222, ESPN!$B$2:$E$257, 4, false)), 0, vlookup($A222, ESPN!$B$2:$E$257, 4, false))</f>
        <v>1</v>
      </c>
      <c r="G222" s="27">
        <f>if(ISNA(vlookup($A222, FFToolbox!$B$2:$E$239, 4, false)), 0, vlookup($A222, FFToolbox!$B$2:$E$239, 4, false))</f>
        <v>0</v>
      </c>
      <c r="H222" s="27">
        <f>if(ISNA(vlookup($A222, FantasyPro!$B$2:$E$316, 4, false)), 0, vlookup($A222, FantasyPro!$B$2:$E$316, 4, false))</f>
        <v>0</v>
      </c>
      <c r="I222" s="27">
        <f>if(ISNA(vlookup($A222, RotoWire!$B$2:$E$681, 4, false)), 0, vlookup($A222, RotoWire!$B$2:$E$681, 4, false))</f>
        <v>0</v>
      </c>
      <c r="J222" s="28">
        <f t="shared" si="1"/>
        <v>0.25</v>
      </c>
      <c r="K222" s="28">
        <f t="shared" si="2"/>
        <v>1</v>
      </c>
    </row>
    <row r="223" hidden="1">
      <c r="A223" s="6" t="s">
        <v>250</v>
      </c>
      <c r="B223" s="25" t="s">
        <v>955</v>
      </c>
      <c r="C223" s="5" t="s">
        <v>6</v>
      </c>
      <c r="D223" s="5" t="s">
        <v>14</v>
      </c>
      <c r="E223" s="26">
        <f>vlookup(C223,'Team Bye List'!$A$1:$B$33,2,False)</f>
        <v>11</v>
      </c>
      <c r="F223" s="27">
        <f>if(ISNA(vlookup($A223, ESPN!$B$2:$E$257, 4, false)), 0, vlookup($A223, ESPN!$B$2:$E$257, 4, false))</f>
        <v>0</v>
      </c>
      <c r="G223" s="27">
        <f>if(ISNA(vlookup($A223, FFToolbox!$B$2:$E$239, 4, false)), 0, vlookup($A223, FFToolbox!$B$2:$E$239, 4, false))</f>
        <v>1</v>
      </c>
      <c r="H223" s="27">
        <f>if(ISNA(vlookup($A223, FantasyPro!$B$2:$E$316, 4, false)), 0, vlookup($A223, FantasyPro!$B$2:$E$316, 4, false))</f>
        <v>0</v>
      </c>
      <c r="I223" s="27">
        <f>if(ISNA(vlookup($A223, RotoWire!$B$2:$E$681, 4, false)), 0, vlookup($A223, RotoWire!$B$2:$E$681, 4, false))</f>
        <v>0</v>
      </c>
      <c r="J223" s="28">
        <f t="shared" si="1"/>
        <v>0.25</v>
      </c>
      <c r="K223" s="28">
        <f t="shared" si="2"/>
        <v>1</v>
      </c>
    </row>
    <row r="224" hidden="1">
      <c r="A224" s="6" t="s">
        <v>155</v>
      </c>
      <c r="B224" s="25" t="s">
        <v>955</v>
      </c>
      <c r="C224" s="5" t="s">
        <v>91</v>
      </c>
      <c r="D224" s="5" t="s">
        <v>134</v>
      </c>
      <c r="E224" s="26">
        <f>vlookup(C224,'Team Bye List'!$A$1:$B$33,2,False)</f>
        <v>10</v>
      </c>
      <c r="F224" s="27">
        <f>if(ISNA(vlookup($A224, ESPN!$B$2:$E$257, 4, false)), 0, vlookup($A224, ESPN!$B$2:$E$257, 4, false))</f>
        <v>1</v>
      </c>
      <c r="G224" s="27">
        <f>if(ISNA(vlookup($A224, FFToolbox!$B$2:$E$239, 4, false)), 0, vlookup($A224, FFToolbox!$B$2:$E$239, 4, false))</f>
        <v>0</v>
      </c>
      <c r="H224" s="27">
        <f>if(ISNA(vlookup($A224, FantasyPro!$B$2:$E$316, 4, false)), 0, vlookup($A224, FantasyPro!$B$2:$E$316, 4, false))</f>
        <v>0</v>
      </c>
      <c r="I224" s="27">
        <f>if(ISNA(vlookup($A224, RotoWire!$B$2:$E$681, 4, false)), 0, vlookup($A224, RotoWire!$B$2:$E$681, 4, false))</f>
        <v>0</v>
      </c>
      <c r="J224" s="28">
        <f t="shared" si="1"/>
        <v>0.25</v>
      </c>
      <c r="K224" s="28">
        <f t="shared" si="2"/>
        <v>1</v>
      </c>
    </row>
    <row r="225" hidden="1">
      <c r="A225" s="6" t="s">
        <v>318</v>
      </c>
      <c r="B225" s="25" t="s">
        <v>955</v>
      </c>
      <c r="C225" s="5" t="s">
        <v>122</v>
      </c>
      <c r="D225" s="5" t="s">
        <v>12</v>
      </c>
      <c r="E225" s="26">
        <f>vlookup(C225,'Team Bye List'!$A$1:$B$33,2,False)</f>
        <v>10</v>
      </c>
      <c r="F225" s="27">
        <f>if(ISNA(vlookup($A225, ESPN!$B$2:$E$257, 4, false)), 0, vlookup($A225, ESPN!$B$2:$E$257, 4, false))</f>
        <v>0</v>
      </c>
      <c r="G225" s="27">
        <f>if(ISNA(vlookup($A225, FFToolbox!$B$2:$E$239, 4, false)), 0, vlookup($A225, FFToolbox!$B$2:$E$239, 4, false))</f>
        <v>1</v>
      </c>
      <c r="H225" s="27">
        <f>if(ISNA(vlookup($A225, FantasyPro!$B$2:$E$316, 4, false)), 0, vlookup($A225, FantasyPro!$B$2:$E$316, 4, false))</f>
        <v>0</v>
      </c>
      <c r="I225" s="27">
        <f>if(ISNA(vlookup($A225, RotoWire!$B$2:$E$681, 4, false)), 0, vlookup($A225, RotoWire!$B$2:$E$681, 4, false))</f>
        <v>0</v>
      </c>
      <c r="J225" s="28">
        <f t="shared" si="1"/>
        <v>0.25</v>
      </c>
      <c r="K225" s="28">
        <f t="shared" si="2"/>
        <v>1</v>
      </c>
    </row>
    <row r="226" hidden="1">
      <c r="A226" s="6" t="s">
        <v>201</v>
      </c>
      <c r="B226" s="25" t="s">
        <v>955</v>
      </c>
      <c r="C226" s="5" t="s">
        <v>69</v>
      </c>
      <c r="D226" s="5" t="s">
        <v>120</v>
      </c>
      <c r="E226" s="26">
        <f>vlookup(C226,'Team Bye List'!$A$1:$B$33,2,False)</f>
        <v>11</v>
      </c>
      <c r="F226" s="27">
        <f>if(ISNA(vlookup($A226, ESPN!$B$2:$E$257, 4, false)), 0, vlookup($A226, ESPN!$B$2:$E$257, 4, false))</f>
        <v>0</v>
      </c>
      <c r="G226" s="27">
        <f>if(ISNA(vlookup($A226, FFToolbox!$B$2:$E$239, 4, false)), 0, vlookup($A226, FFToolbox!$B$2:$E$239, 4, false))</f>
        <v>0</v>
      </c>
      <c r="H226" s="27">
        <f>if(ISNA(vlookup($A226, FantasyPro!$B$2:$E$316, 4, false)), 0, vlookup($A226, FantasyPro!$B$2:$E$316, 4, false))</f>
        <v>0</v>
      </c>
      <c r="I226" s="27">
        <f>if(ISNA(vlookup($A226, RotoWire!$B$2:$E$681, 4, false)), 0, vlookup($A226, RotoWire!$B$2:$E$681, 4, false))</f>
        <v>1</v>
      </c>
      <c r="J226" s="28">
        <f t="shared" si="1"/>
        <v>0.25</v>
      </c>
      <c r="K226" s="28">
        <f t="shared" si="2"/>
        <v>1</v>
      </c>
    </row>
    <row r="227" hidden="1">
      <c r="A227" s="6" t="s">
        <v>175</v>
      </c>
      <c r="B227" s="25" t="s">
        <v>955</v>
      </c>
      <c r="C227" s="5" t="s">
        <v>52</v>
      </c>
      <c r="D227" s="5" t="s">
        <v>134</v>
      </c>
      <c r="E227" s="26">
        <f>vlookup(C227,'Team Bye List'!$A$1:$B$33,2,False)</f>
        <v>4</v>
      </c>
      <c r="F227" s="27">
        <f>if(ISNA(vlookup($A227, ESPN!$B$2:$E$257, 4, false)), 0, vlookup($A227, ESPN!$B$2:$E$257, 4, false))</f>
        <v>1</v>
      </c>
      <c r="G227" s="27">
        <f>if(ISNA(vlookup($A227, FFToolbox!$B$2:$E$239, 4, false)), 0, vlookup($A227, FFToolbox!$B$2:$E$239, 4, false))</f>
        <v>0</v>
      </c>
      <c r="H227" s="27">
        <f>if(ISNA(vlookup($A227, FantasyPro!$B$2:$E$316, 4, false)), 0, vlookup($A227, FantasyPro!$B$2:$E$316, 4, false))</f>
        <v>0</v>
      </c>
      <c r="I227" s="27">
        <f>if(ISNA(vlookup($A227, RotoWire!$B$2:$E$681, 4, false)), 0, vlookup($A227, RotoWire!$B$2:$E$681, 4, false))</f>
        <v>0</v>
      </c>
      <c r="J227" s="28">
        <f t="shared" si="1"/>
        <v>0.25</v>
      </c>
      <c r="K227" s="28">
        <f t="shared" si="2"/>
        <v>1</v>
      </c>
    </row>
    <row r="228" hidden="1">
      <c r="A228" s="6" t="s">
        <v>703</v>
      </c>
      <c r="B228" s="25" t="s">
        <v>955</v>
      </c>
      <c r="C228" s="5" t="s">
        <v>59</v>
      </c>
      <c r="D228" s="5" t="s">
        <v>7</v>
      </c>
      <c r="E228" s="26">
        <f>vlookup(C228,'Team Bye List'!$A$1:$B$33,2,False)</f>
        <v>10</v>
      </c>
      <c r="F228" s="27">
        <f>if(ISNA(vlookup($A228, ESPN!$B$2:$E$257, 4, false)), 0, vlookup($A228, ESPN!$B$2:$E$257, 4, false))</f>
        <v>0</v>
      </c>
      <c r="G228" s="27">
        <f>if(ISNA(vlookup($A228, FFToolbox!$B$2:$E$239, 4, false)), 0, vlookup($A228, FFToolbox!$B$2:$E$239, 4, false))</f>
        <v>1</v>
      </c>
      <c r="H228" s="27">
        <f>if(ISNA(vlookup($A228, FantasyPro!$B$2:$E$316, 4, false)), 0, vlookup($A228, FantasyPro!$B$2:$E$316, 4, false))</f>
        <v>0</v>
      </c>
      <c r="I228" s="27">
        <f>if(ISNA(vlookup($A228, RotoWire!$B$2:$E$681, 4, false)), 0, vlookup($A228, RotoWire!$B$2:$E$681, 4, false))</f>
        <v>0</v>
      </c>
      <c r="J228" s="28">
        <f t="shared" si="1"/>
        <v>0.25</v>
      </c>
      <c r="K228" s="28">
        <f t="shared" si="2"/>
        <v>1</v>
      </c>
    </row>
    <row r="229" hidden="1">
      <c r="A229" s="6" t="s">
        <v>174</v>
      </c>
      <c r="B229" s="25" t="s">
        <v>955</v>
      </c>
      <c r="C229" s="5" t="s">
        <v>71</v>
      </c>
      <c r="D229" s="5" t="s">
        <v>134</v>
      </c>
      <c r="E229" s="26">
        <f>vlookup(C229,'Team Bye List'!$A$1:$B$33,2,False)</f>
        <v>5</v>
      </c>
      <c r="F229" s="27">
        <f>if(ISNA(vlookup($A229, ESPN!$B$2:$E$257, 4, false)), 0, vlookup($A229, ESPN!$B$2:$E$257, 4, false))</f>
        <v>1</v>
      </c>
      <c r="G229" s="27">
        <f>if(ISNA(vlookup($A229, FFToolbox!$B$2:$E$239, 4, false)), 0, vlookup($A229, FFToolbox!$B$2:$E$239, 4, false))</f>
        <v>0</v>
      </c>
      <c r="H229" s="27">
        <f>if(ISNA(vlookup($A229, FantasyPro!$B$2:$E$316, 4, false)), 0, vlookup($A229, FantasyPro!$B$2:$E$316, 4, false))</f>
        <v>0</v>
      </c>
      <c r="I229" s="27">
        <f>if(ISNA(vlookup($A229, RotoWire!$B$2:$E$681, 4, false)), 0, vlookup($A229, RotoWire!$B$2:$E$681, 4, false))</f>
        <v>0</v>
      </c>
      <c r="J229" s="28">
        <f t="shared" si="1"/>
        <v>0.25</v>
      </c>
      <c r="K229" s="28">
        <f t="shared" si="2"/>
        <v>1</v>
      </c>
    </row>
    <row r="230" hidden="1">
      <c r="A230" s="6" t="s">
        <v>192</v>
      </c>
      <c r="B230" s="25" t="s">
        <v>955</v>
      </c>
      <c r="C230" s="5" t="s">
        <v>37</v>
      </c>
      <c r="D230" s="5" t="s">
        <v>120</v>
      </c>
      <c r="E230" s="26">
        <f>vlookup(C230,'Team Bye List'!$A$1:$B$33,2,False)</f>
        <v>7</v>
      </c>
      <c r="F230" s="27">
        <f>if(ISNA(vlookup($A230, ESPN!$B$2:$E$257, 4, false)), 0, vlookup($A230, ESPN!$B$2:$E$257, 4, false))</f>
        <v>0</v>
      </c>
      <c r="G230" s="27">
        <f>if(ISNA(vlookup($A230, FFToolbox!$B$2:$E$239, 4, false)), 0, vlookup($A230, FFToolbox!$B$2:$E$239, 4, false))</f>
        <v>0</v>
      </c>
      <c r="H230" s="27">
        <f>if(ISNA(vlookup($A230, FantasyPro!$B$2:$E$316, 4, false)), 0, vlookup($A230, FantasyPro!$B$2:$E$316, 4, false))</f>
        <v>1</v>
      </c>
      <c r="I230" s="27">
        <f>if(ISNA(vlookup($A230, RotoWire!$B$2:$E$681, 4, false)), 0, vlookup($A230, RotoWire!$B$2:$E$681, 4, false))</f>
        <v>0</v>
      </c>
      <c r="J230" s="28">
        <f t="shared" si="1"/>
        <v>0.25</v>
      </c>
      <c r="K230" s="28">
        <f t="shared" si="2"/>
        <v>1</v>
      </c>
    </row>
    <row r="231" hidden="1">
      <c r="A231" s="6" t="s">
        <v>185</v>
      </c>
      <c r="B231" s="25" t="s">
        <v>955</v>
      </c>
      <c r="C231" s="5" t="s">
        <v>71</v>
      </c>
      <c r="D231" s="5" t="s">
        <v>120</v>
      </c>
      <c r="E231" s="26">
        <f>vlookup(C231,'Team Bye List'!$A$1:$B$33,2,False)</f>
        <v>5</v>
      </c>
      <c r="F231" s="27">
        <f>if(ISNA(vlookup($A231, ESPN!$B$2:$E$257, 4, false)), 0, vlookup($A231, ESPN!$B$2:$E$257, 4, false))</f>
        <v>1</v>
      </c>
      <c r="G231" s="27">
        <f>if(ISNA(vlookup($A231, FFToolbox!$B$2:$E$239, 4, false)), 0, vlookup($A231, FFToolbox!$B$2:$E$239, 4, false))</f>
        <v>0</v>
      </c>
      <c r="H231" s="27">
        <f>if(ISNA(vlookup($A231, FantasyPro!$B$2:$E$316, 4, false)), 0, vlookup($A231, FantasyPro!$B$2:$E$316, 4, false))</f>
        <v>0</v>
      </c>
      <c r="I231" s="27">
        <f>if(ISNA(vlookup($A231, RotoWire!$B$2:$E$681, 4, false)), 0, vlookup($A231, RotoWire!$B$2:$E$681, 4, false))</f>
        <v>0</v>
      </c>
      <c r="J231" s="28">
        <f t="shared" si="1"/>
        <v>0.25</v>
      </c>
      <c r="K231" s="28">
        <f t="shared" si="2"/>
        <v>1</v>
      </c>
    </row>
    <row r="232" hidden="1">
      <c r="A232" s="6" t="s">
        <v>148</v>
      </c>
      <c r="B232" s="25" t="s">
        <v>955</v>
      </c>
      <c r="C232" s="5" t="s">
        <v>43</v>
      </c>
      <c r="D232" s="5" t="s">
        <v>120</v>
      </c>
      <c r="E232" s="26">
        <f>vlookup(C232,'Team Bye List'!$A$1:$B$33,2,False)</f>
        <v>12</v>
      </c>
      <c r="F232" s="27">
        <f>if(ISNA(vlookup($A232, ESPN!$B$2:$E$257, 4, false)), 0, vlookup($A232, ESPN!$B$2:$E$257, 4, false))</f>
        <v>1</v>
      </c>
      <c r="G232" s="27">
        <f>if(ISNA(vlookup($A232, FFToolbox!$B$2:$E$239, 4, false)), 0, vlookup($A232, FFToolbox!$B$2:$E$239, 4, false))</f>
        <v>0</v>
      </c>
      <c r="H232" s="27">
        <f>if(ISNA(vlookup($A232, FantasyPro!$B$2:$E$316, 4, false)), 0, vlookup($A232, FantasyPro!$B$2:$E$316, 4, false))</f>
        <v>0</v>
      </c>
      <c r="I232" s="27">
        <f>if(ISNA(vlookup($A232, RotoWire!$B$2:$E$681, 4, false)), 0, vlookup($A232, RotoWire!$B$2:$E$681, 4, false))</f>
        <v>0</v>
      </c>
      <c r="J232" s="28">
        <f t="shared" si="1"/>
        <v>0.25</v>
      </c>
      <c r="K232" s="28">
        <f t="shared" si="2"/>
        <v>1</v>
      </c>
    </row>
    <row r="233" hidden="1">
      <c r="A233" s="6" t="s">
        <v>644</v>
      </c>
      <c r="B233" s="25" t="s">
        <v>955</v>
      </c>
      <c r="C233" s="5" t="s">
        <v>96</v>
      </c>
      <c r="D233" s="5" t="s">
        <v>7</v>
      </c>
      <c r="E233" s="26">
        <f>vlookup(C233,'Team Bye List'!$A$1:$B$33,2,False)</f>
        <v>6</v>
      </c>
      <c r="F233" s="27">
        <f>if(ISNA(vlookup($A233, ESPN!$B$2:$E$257, 4, false)), 0, vlookup($A233, ESPN!$B$2:$E$257, 4, false))</f>
        <v>0</v>
      </c>
      <c r="G233" s="27">
        <f>if(ISNA(vlookup($A233, FFToolbox!$B$2:$E$239, 4, false)), 0, vlookup($A233, FFToolbox!$B$2:$E$239, 4, false))</f>
        <v>0</v>
      </c>
      <c r="H233" s="27">
        <f>if(ISNA(vlookup($A233, FantasyPro!$B$2:$E$316, 4, false)), 0, vlookup($A233, FantasyPro!$B$2:$E$316, 4, false))</f>
        <v>1</v>
      </c>
      <c r="I233" s="27">
        <f>if(ISNA(vlookup($A233, RotoWire!$B$2:$E$681, 4, false)), 0, vlookup($A233, RotoWire!$B$2:$E$681, 4, false))</f>
        <v>0</v>
      </c>
      <c r="J233" s="28">
        <f t="shared" si="1"/>
        <v>0.25</v>
      </c>
      <c r="K233" s="28">
        <f t="shared" si="2"/>
        <v>1</v>
      </c>
    </row>
    <row r="234">
      <c r="A234" s="6" t="s">
        <v>788</v>
      </c>
      <c r="B234" s="25" t="s">
        <v>955</v>
      </c>
      <c r="C234" s="5" t="s">
        <v>59</v>
      </c>
      <c r="D234" s="5" t="s">
        <v>39</v>
      </c>
      <c r="E234" s="26">
        <f>vlookup(C234,'Team Bye List'!$A$1:$B$33,2,False)</f>
        <v>10</v>
      </c>
      <c r="F234" s="27">
        <f>if(ISNA(vlookup($A234, ESPN!$B$2:$E$257, 4, false)), 0, vlookup($A234, ESPN!$B$2:$E$257, 4, false))</f>
        <v>0</v>
      </c>
      <c r="G234" s="27">
        <f>if(ISNA(vlookup($A234, FFToolbox!$B$2:$E$239, 4, false)), 0, vlookup($A234, FFToolbox!$B$2:$E$239, 4, false))</f>
        <v>1</v>
      </c>
      <c r="H234" s="27">
        <f>if(ISNA(vlookup($A234, FantasyPro!$B$2:$E$316, 4, false)), 0, vlookup($A234, FantasyPro!$B$2:$E$316, 4, false))</f>
        <v>0</v>
      </c>
      <c r="I234" s="27">
        <f>if(ISNA(vlookup($A234, RotoWire!$B$2:$E$681, 4, false)), 0, vlookup($A234, RotoWire!$B$2:$E$681, 4, false))</f>
        <v>0</v>
      </c>
      <c r="J234" s="28">
        <f t="shared" si="1"/>
        <v>0.25</v>
      </c>
      <c r="K234" s="28">
        <f t="shared" si="2"/>
        <v>1</v>
      </c>
    </row>
    <row r="235" hidden="1">
      <c r="A235" s="6" t="s">
        <v>177</v>
      </c>
      <c r="B235" s="25" t="s">
        <v>955</v>
      </c>
      <c r="C235" s="5" t="s">
        <v>28</v>
      </c>
      <c r="D235" s="5" t="s">
        <v>134</v>
      </c>
      <c r="E235" s="26">
        <f>vlookup(C235,'Team Bye List'!$A$1:$B$33,2,False)</f>
        <v>11</v>
      </c>
      <c r="F235" s="27">
        <f>if(ISNA(vlookup($A235, ESPN!$B$2:$E$257, 4, false)), 0, vlookup($A235, ESPN!$B$2:$E$257, 4, false))</f>
        <v>1</v>
      </c>
      <c r="G235" s="27">
        <f>if(ISNA(vlookup($A235, FFToolbox!$B$2:$E$239, 4, false)), 0, vlookup($A235, FFToolbox!$B$2:$E$239, 4, false))</f>
        <v>0</v>
      </c>
      <c r="H235" s="27">
        <f>if(ISNA(vlookup($A235, FantasyPro!$B$2:$E$316, 4, false)), 0, vlookup($A235, FantasyPro!$B$2:$E$316, 4, false))</f>
        <v>0</v>
      </c>
      <c r="I235" s="27">
        <f>if(ISNA(vlookup($A235, RotoWire!$B$2:$E$681, 4, false)), 0, vlookup($A235, RotoWire!$B$2:$E$681, 4, false))</f>
        <v>0</v>
      </c>
      <c r="J235" s="28">
        <f t="shared" si="1"/>
        <v>0.25</v>
      </c>
      <c r="K235" s="28">
        <f t="shared" si="2"/>
        <v>1</v>
      </c>
    </row>
    <row r="236" hidden="1">
      <c r="A236" s="6" t="s">
        <v>156</v>
      </c>
      <c r="B236" s="25" t="s">
        <v>955</v>
      </c>
      <c r="C236" s="5" t="s">
        <v>22</v>
      </c>
      <c r="D236" s="5" t="s">
        <v>134</v>
      </c>
      <c r="E236" s="26">
        <f>vlookup(C236,'Team Bye List'!$A$1:$B$33,2,False)</f>
        <v>7</v>
      </c>
      <c r="F236" s="27">
        <f>if(ISNA(vlookup($A236, ESPN!$B$2:$E$257, 4, false)), 0, vlookup($A236, ESPN!$B$2:$E$257, 4, false))</f>
        <v>1</v>
      </c>
      <c r="G236" s="27">
        <f>if(ISNA(vlookup($A236, FFToolbox!$B$2:$E$239, 4, false)), 0, vlookup($A236, FFToolbox!$B$2:$E$239, 4, false))</f>
        <v>0</v>
      </c>
      <c r="H236" s="27">
        <f>if(ISNA(vlookup($A236, FantasyPro!$B$2:$E$316, 4, false)), 0, vlookup($A236, FantasyPro!$B$2:$E$316, 4, false))</f>
        <v>0</v>
      </c>
      <c r="I236" s="27">
        <f>if(ISNA(vlookup($A236, RotoWire!$B$2:$E$681, 4, false)), 0, vlookup($A236, RotoWire!$B$2:$E$681, 4, false))</f>
        <v>0</v>
      </c>
      <c r="J236" s="28">
        <f t="shared" si="1"/>
        <v>0.25</v>
      </c>
      <c r="K236" s="28">
        <f t="shared" si="2"/>
        <v>1</v>
      </c>
    </row>
    <row r="237" hidden="1">
      <c r="A237" s="6" t="s">
        <v>158</v>
      </c>
      <c r="B237" s="25" t="s">
        <v>955</v>
      </c>
      <c r="C237" s="5" t="s">
        <v>46</v>
      </c>
      <c r="D237" s="5" t="s">
        <v>134</v>
      </c>
      <c r="E237" s="26">
        <f>vlookup(C237,'Team Bye List'!$A$1:$B$33,2,False)</f>
        <v>10</v>
      </c>
      <c r="F237" s="27">
        <f>if(ISNA(vlookup($A237, ESPN!$B$2:$E$257, 4, false)), 0, vlookup($A237, ESPN!$B$2:$E$257, 4, false))</f>
        <v>1</v>
      </c>
      <c r="G237" s="27">
        <f>if(ISNA(vlookup($A237, FFToolbox!$B$2:$E$239, 4, false)), 0, vlookup($A237, FFToolbox!$B$2:$E$239, 4, false))</f>
        <v>0</v>
      </c>
      <c r="H237" s="27">
        <f>if(ISNA(vlookup($A237, FantasyPro!$B$2:$E$316, 4, false)), 0, vlookup($A237, FantasyPro!$B$2:$E$316, 4, false))</f>
        <v>0</v>
      </c>
      <c r="I237" s="27">
        <f>if(ISNA(vlookup($A237, RotoWire!$B$2:$E$681, 4, false)), 0, vlookup($A237, RotoWire!$B$2:$E$681, 4, false))</f>
        <v>0</v>
      </c>
      <c r="J237" s="28">
        <f t="shared" si="1"/>
        <v>0.25</v>
      </c>
      <c r="K237" s="28">
        <f t="shared" si="2"/>
        <v>1</v>
      </c>
    </row>
    <row r="238" hidden="1">
      <c r="A238" s="6" t="s">
        <v>184</v>
      </c>
      <c r="B238" s="25" t="s">
        <v>955</v>
      </c>
      <c r="C238" s="5" t="s">
        <v>41</v>
      </c>
      <c r="D238" s="5" t="s">
        <v>134</v>
      </c>
      <c r="E238" s="26">
        <f>vlookup(C238,'Team Bye List'!$A$1:$B$33,2,False)</f>
        <v>6</v>
      </c>
      <c r="F238" s="27">
        <f>if(ISNA(vlookup($A238, ESPN!$B$2:$E$257, 4, false)), 0, vlookup($A238, ESPN!$B$2:$E$257, 4, false))</f>
        <v>1</v>
      </c>
      <c r="G238" s="27">
        <f>if(ISNA(vlookup($A238, FFToolbox!$B$2:$E$239, 4, false)), 0, vlookup($A238, FFToolbox!$B$2:$E$239, 4, false))</f>
        <v>0</v>
      </c>
      <c r="H238" s="27">
        <f>if(ISNA(vlookup($A238, FantasyPro!$B$2:$E$316, 4, false)), 0, vlookup($A238, FantasyPro!$B$2:$E$316, 4, false))</f>
        <v>0</v>
      </c>
      <c r="I238" s="27">
        <f>if(ISNA(vlookup($A238, RotoWire!$B$2:$E$681, 4, false)), 0, vlookup($A238, RotoWire!$B$2:$E$681, 4, false))</f>
        <v>0</v>
      </c>
      <c r="J238" s="28">
        <f t="shared" si="1"/>
        <v>0.25</v>
      </c>
      <c r="K238" s="28">
        <f t="shared" si="2"/>
        <v>1</v>
      </c>
    </row>
    <row r="239" hidden="1">
      <c r="A239" s="6" t="s">
        <v>154</v>
      </c>
      <c r="B239" s="25" t="s">
        <v>955</v>
      </c>
      <c r="C239" s="5" t="s">
        <v>24</v>
      </c>
      <c r="D239" s="5" t="s">
        <v>134</v>
      </c>
      <c r="E239" s="26">
        <f>vlookup(C239,'Team Bye List'!$A$1:$B$33,2,False)</f>
        <v>9</v>
      </c>
      <c r="F239" s="27">
        <f>if(ISNA(vlookup($A239, ESPN!$B$2:$E$257, 4, false)), 0, vlookup($A239, ESPN!$B$2:$E$257, 4, false))</f>
        <v>1</v>
      </c>
      <c r="G239" s="27">
        <f>if(ISNA(vlookup($A239, FFToolbox!$B$2:$E$239, 4, false)), 0, vlookup($A239, FFToolbox!$B$2:$E$239, 4, false))</f>
        <v>0</v>
      </c>
      <c r="H239" s="27">
        <f>if(ISNA(vlookup($A239, FantasyPro!$B$2:$E$316, 4, false)), 0, vlookup($A239, FantasyPro!$B$2:$E$316, 4, false))</f>
        <v>0</v>
      </c>
      <c r="I239" s="27">
        <f>if(ISNA(vlookup($A239, RotoWire!$B$2:$E$681, 4, false)), 0, vlookup($A239, RotoWire!$B$2:$E$681, 4, false))</f>
        <v>0</v>
      </c>
      <c r="J239" s="28">
        <f t="shared" si="1"/>
        <v>0.25</v>
      </c>
      <c r="K239" s="28">
        <f t="shared" si="2"/>
        <v>1</v>
      </c>
    </row>
    <row r="240" hidden="1">
      <c r="A240" s="6" t="s">
        <v>172</v>
      </c>
      <c r="B240" s="25" t="s">
        <v>955</v>
      </c>
      <c r="C240" s="5" t="s">
        <v>104</v>
      </c>
      <c r="D240" s="5" t="s">
        <v>134</v>
      </c>
      <c r="E240" s="26">
        <f>vlookup(C240,'Team Bye List'!$A$1:$B$33,2,False)</f>
        <v>8</v>
      </c>
      <c r="F240" s="27">
        <f>if(ISNA(vlookup($A240, ESPN!$B$2:$E$257, 4, false)), 0, vlookup($A240, ESPN!$B$2:$E$257, 4, false))</f>
        <v>1</v>
      </c>
      <c r="G240" s="27">
        <f>if(ISNA(vlookup($A240, FFToolbox!$B$2:$E$239, 4, false)), 0, vlookup($A240, FFToolbox!$B$2:$E$239, 4, false))</f>
        <v>0</v>
      </c>
      <c r="H240" s="27">
        <f>if(ISNA(vlookup($A240, FantasyPro!$B$2:$E$316, 4, false)), 0, vlookup($A240, FantasyPro!$B$2:$E$316, 4, false))</f>
        <v>0</v>
      </c>
      <c r="I240" s="27">
        <f>if(ISNA(vlookup($A240, RotoWire!$B$2:$E$681, 4, false)), 0, vlookup($A240, RotoWire!$B$2:$E$681, 4, false))</f>
        <v>0</v>
      </c>
      <c r="J240" s="28">
        <f t="shared" si="1"/>
        <v>0.25</v>
      </c>
      <c r="K240" s="28">
        <f t="shared" si="2"/>
        <v>1</v>
      </c>
    </row>
    <row r="241" hidden="1">
      <c r="A241" s="6" t="s">
        <v>164</v>
      </c>
      <c r="B241" s="25" t="s">
        <v>955</v>
      </c>
      <c r="C241" s="5" t="s">
        <v>165</v>
      </c>
      <c r="D241" s="5" t="s">
        <v>134</v>
      </c>
      <c r="E241" s="26">
        <f>vlookup(C241,'Team Bye List'!$A$1:$B$33,2,False)</f>
        <v>10</v>
      </c>
      <c r="F241" s="27">
        <f>if(ISNA(vlookup($A241, ESPN!$B$2:$E$257, 4, false)), 0, vlookup($A241, ESPN!$B$2:$E$257, 4, false))</f>
        <v>1</v>
      </c>
      <c r="G241" s="27">
        <f>if(ISNA(vlookup($A241, FFToolbox!$B$2:$E$239, 4, false)), 0, vlookup($A241, FFToolbox!$B$2:$E$239, 4, false))</f>
        <v>0</v>
      </c>
      <c r="H241" s="27">
        <f>if(ISNA(vlookup($A241, FantasyPro!$B$2:$E$316, 4, false)), 0, vlookup($A241, FantasyPro!$B$2:$E$316, 4, false))</f>
        <v>0</v>
      </c>
      <c r="I241" s="27">
        <f>if(ISNA(vlookup($A241, RotoWire!$B$2:$E$681, 4, false)), 0, vlookup($A241, RotoWire!$B$2:$E$681, 4, false))</f>
        <v>0</v>
      </c>
      <c r="J241" s="28">
        <f t="shared" si="1"/>
        <v>0.25</v>
      </c>
      <c r="K241" s="28">
        <f t="shared" si="2"/>
        <v>1</v>
      </c>
    </row>
    <row r="242" hidden="1">
      <c r="A242" s="6" t="s">
        <v>483</v>
      </c>
      <c r="B242" s="25" t="s">
        <v>955</v>
      </c>
      <c r="C242" s="5" t="s">
        <v>96</v>
      </c>
      <c r="D242" s="5" t="s">
        <v>14</v>
      </c>
      <c r="E242" s="26">
        <f>vlookup(C242,'Team Bye List'!$A$1:$B$33,2,False)</f>
        <v>6</v>
      </c>
      <c r="F242" s="27">
        <f>if(ISNA(vlookup($A242, ESPN!$B$2:$E$257, 4, false)), 0, vlookup($A242, ESPN!$B$2:$E$257, 4, false))</f>
        <v>0</v>
      </c>
      <c r="G242" s="27">
        <f>if(ISNA(vlookup($A242, FFToolbox!$B$2:$E$239, 4, false)), 0, vlookup($A242, FFToolbox!$B$2:$E$239, 4, false))</f>
        <v>1</v>
      </c>
      <c r="H242" s="27">
        <f>if(ISNA(vlookup($A242, FantasyPro!$B$2:$E$316, 4, false)), 0, vlookup($A242, FantasyPro!$B$2:$E$316, 4, false))</f>
        <v>0</v>
      </c>
      <c r="I242" s="27">
        <f>if(ISNA(vlookup($A242, RotoWire!$B$2:$E$681, 4, false)), 0, vlookup($A242, RotoWire!$B$2:$E$681, 4, false))</f>
        <v>0</v>
      </c>
      <c r="J242" s="28">
        <f t="shared" si="1"/>
        <v>0.25</v>
      </c>
      <c r="K242" s="28">
        <f t="shared" si="2"/>
        <v>1</v>
      </c>
    </row>
    <row r="243" hidden="1">
      <c r="A243" s="6" t="s">
        <v>701</v>
      </c>
      <c r="B243" s="25" t="s">
        <v>955</v>
      </c>
      <c r="C243" s="5" t="s">
        <v>54</v>
      </c>
      <c r="D243" s="5" t="s">
        <v>7</v>
      </c>
      <c r="E243" s="26">
        <f>vlookup(C243,'Team Bye List'!$A$1:$B$33,2,False)</f>
        <v>9</v>
      </c>
      <c r="F243" s="27">
        <f>if(ISNA(vlookup($A243, ESPN!$B$2:$E$257, 4, false)), 0, vlookup($A243, ESPN!$B$2:$E$257, 4, false))</f>
        <v>0</v>
      </c>
      <c r="G243" s="27">
        <f>if(ISNA(vlookup($A243, FFToolbox!$B$2:$E$239, 4, false)), 0, vlookup($A243, FFToolbox!$B$2:$E$239, 4, false))</f>
        <v>0</v>
      </c>
      <c r="H243" s="27">
        <f>if(ISNA(vlookup($A243, FantasyPro!$B$2:$E$316, 4, false)), 0, vlookup($A243, FantasyPro!$B$2:$E$316, 4, false))</f>
        <v>1</v>
      </c>
      <c r="I243" s="27">
        <f>if(ISNA(vlookup($A243, RotoWire!$B$2:$E$681, 4, false)), 0, vlookup($A243, RotoWire!$B$2:$E$681, 4, false))</f>
        <v>0</v>
      </c>
      <c r="J243" s="28">
        <f t="shared" si="1"/>
        <v>0.25</v>
      </c>
      <c r="K243" s="28">
        <f t="shared" si="2"/>
        <v>1</v>
      </c>
    </row>
    <row r="244" hidden="1">
      <c r="A244" s="6" t="s">
        <v>152</v>
      </c>
      <c r="B244" s="25" t="s">
        <v>955</v>
      </c>
      <c r="C244" s="5" t="s">
        <v>50</v>
      </c>
      <c r="D244" s="5" t="s">
        <v>120</v>
      </c>
      <c r="E244" s="26">
        <f>vlookup(C244,'Team Bye List'!$A$1:$B$33,2,False)</f>
        <v>11</v>
      </c>
      <c r="F244" s="27">
        <f>if(ISNA(vlookup($A244, ESPN!$B$2:$E$257, 4, false)), 0, vlookup($A244, ESPN!$B$2:$E$257, 4, false))</f>
        <v>1</v>
      </c>
      <c r="G244" s="27">
        <f>if(ISNA(vlookup($A244, FFToolbox!$B$2:$E$239, 4, false)), 0, vlookup($A244, FFToolbox!$B$2:$E$239, 4, false))</f>
        <v>0</v>
      </c>
      <c r="H244" s="27">
        <f>if(ISNA(vlookup($A244, FantasyPro!$B$2:$E$316, 4, false)), 0, vlookup($A244, FantasyPro!$B$2:$E$316, 4, false))</f>
        <v>0</v>
      </c>
      <c r="I244" s="27">
        <f>if(ISNA(vlookup($A244, RotoWire!$B$2:$E$681, 4, false)), 0, vlookup($A244, RotoWire!$B$2:$E$681, 4, false))</f>
        <v>0</v>
      </c>
      <c r="J244" s="28">
        <f t="shared" si="1"/>
        <v>0.25</v>
      </c>
      <c r="K244" s="28">
        <f t="shared" si="2"/>
        <v>1</v>
      </c>
    </row>
    <row r="245" hidden="1">
      <c r="A245" s="6" t="s">
        <v>140</v>
      </c>
      <c r="B245" s="25" t="s">
        <v>955</v>
      </c>
      <c r="C245" s="5" t="s">
        <v>16</v>
      </c>
      <c r="D245" s="5" t="s">
        <v>134</v>
      </c>
      <c r="E245" s="26">
        <f>vlookup(C245,'Team Bye List'!$A$1:$B$33,2,False)</f>
        <v>9</v>
      </c>
      <c r="F245" s="27">
        <f>if(ISNA(vlookup($A245, ESPN!$B$2:$E$257, 4, false)), 0, vlookup($A245, ESPN!$B$2:$E$257, 4, false))</f>
        <v>1</v>
      </c>
      <c r="G245" s="27">
        <f>if(ISNA(vlookup($A245, FFToolbox!$B$2:$E$239, 4, false)), 0, vlookup($A245, FFToolbox!$B$2:$E$239, 4, false))</f>
        <v>0</v>
      </c>
      <c r="H245" s="27">
        <f>if(ISNA(vlookup($A245, FantasyPro!$B$2:$E$316, 4, false)), 0, vlookup($A245, FantasyPro!$B$2:$E$316, 4, false))</f>
        <v>0</v>
      </c>
      <c r="I245" s="27">
        <f>if(ISNA(vlookup($A245, RotoWire!$B$2:$E$681, 4, false)), 0, vlookup($A245, RotoWire!$B$2:$E$681, 4, false))</f>
        <v>0</v>
      </c>
      <c r="J245" s="28">
        <f t="shared" si="1"/>
        <v>0.25</v>
      </c>
      <c r="K245" s="28">
        <f t="shared" si="2"/>
        <v>1</v>
      </c>
    </row>
    <row r="246" hidden="1">
      <c r="A246" s="6" t="s">
        <v>713</v>
      </c>
      <c r="B246" s="25" t="s">
        <v>955</v>
      </c>
      <c r="C246" s="5" t="s">
        <v>165</v>
      </c>
      <c r="D246" s="5" t="s">
        <v>7</v>
      </c>
      <c r="E246" s="26">
        <f>vlookup(C246,'Team Bye List'!$A$1:$B$33,2,False)</f>
        <v>10</v>
      </c>
      <c r="F246" s="27">
        <f>if(ISNA(vlookup($A246, ESPN!$B$2:$E$257, 4, false)), 0, vlookup($A246, ESPN!$B$2:$E$257, 4, false))</f>
        <v>0</v>
      </c>
      <c r="G246" s="27">
        <f>if(ISNA(vlookup($A246, FFToolbox!$B$2:$E$239, 4, false)), 0, vlookup($A246, FFToolbox!$B$2:$E$239, 4, false))</f>
        <v>1</v>
      </c>
      <c r="H246" s="27">
        <f>if(ISNA(vlookup($A246, FantasyPro!$B$2:$E$316, 4, false)), 0, vlookup($A246, FantasyPro!$B$2:$E$316, 4, false))</f>
        <v>0</v>
      </c>
      <c r="I246" s="27">
        <f>if(ISNA(vlookup($A246, RotoWire!$B$2:$E$681, 4, false)), 0, vlookup($A246, RotoWire!$B$2:$E$681, 4, false))</f>
        <v>0</v>
      </c>
      <c r="J246" s="28">
        <f t="shared" si="1"/>
        <v>0.25</v>
      </c>
      <c r="K246" s="28">
        <f t="shared" si="2"/>
        <v>1</v>
      </c>
    </row>
    <row r="247" hidden="1">
      <c r="A247" s="6" t="s">
        <v>178</v>
      </c>
      <c r="B247" s="25" t="s">
        <v>955</v>
      </c>
      <c r="C247" s="5" t="s">
        <v>69</v>
      </c>
      <c r="D247" s="5" t="s">
        <v>134</v>
      </c>
      <c r="E247" s="26">
        <f>vlookup(C247,'Team Bye List'!$A$1:$B$33,2,False)</f>
        <v>11</v>
      </c>
      <c r="F247" s="27">
        <f>if(ISNA(vlookup($A247, ESPN!$B$2:$E$257, 4, false)), 0, vlookup($A247, ESPN!$B$2:$E$257, 4, false))</f>
        <v>1</v>
      </c>
      <c r="G247" s="27">
        <f>if(ISNA(vlookup($A247, FFToolbox!$B$2:$E$239, 4, false)), 0, vlookup($A247, FFToolbox!$B$2:$E$239, 4, false))</f>
        <v>0</v>
      </c>
      <c r="H247" s="27">
        <f>if(ISNA(vlookup($A247, FantasyPro!$B$2:$E$316, 4, false)), 0, vlookup($A247, FantasyPro!$B$2:$E$316, 4, false))</f>
        <v>0</v>
      </c>
      <c r="I247" s="27">
        <f>if(ISNA(vlookup($A247, RotoWire!$B$2:$E$681, 4, false)), 0, vlookup($A247, RotoWire!$B$2:$E$681, 4, false))</f>
        <v>0</v>
      </c>
      <c r="J247" s="28">
        <f t="shared" si="1"/>
        <v>0.25</v>
      </c>
      <c r="K247" s="28">
        <f t="shared" si="2"/>
        <v>1</v>
      </c>
    </row>
    <row r="248" hidden="1">
      <c r="A248" s="6" t="s">
        <v>159</v>
      </c>
      <c r="B248" s="25" t="s">
        <v>955</v>
      </c>
      <c r="C248" s="5" t="s">
        <v>35</v>
      </c>
      <c r="D248" s="5" t="s">
        <v>134</v>
      </c>
      <c r="E248" s="26">
        <f>vlookup(C248,'Team Bye List'!$A$1:$B$33,2,False)</f>
        <v>7</v>
      </c>
      <c r="F248" s="27">
        <f>if(ISNA(vlookup($A248, ESPN!$B$2:$E$257, 4, false)), 0, vlookup($A248, ESPN!$B$2:$E$257, 4, false))</f>
        <v>1</v>
      </c>
      <c r="G248" s="27">
        <f>if(ISNA(vlookup($A248, FFToolbox!$B$2:$E$239, 4, false)), 0, vlookup($A248, FFToolbox!$B$2:$E$239, 4, false))</f>
        <v>0</v>
      </c>
      <c r="H248" s="27">
        <f>if(ISNA(vlookup($A248, FantasyPro!$B$2:$E$316, 4, false)), 0, vlookup($A248, FantasyPro!$B$2:$E$316, 4, false))</f>
        <v>0</v>
      </c>
      <c r="I248" s="27">
        <f>if(ISNA(vlookup($A248, RotoWire!$B$2:$E$681, 4, false)), 0, vlookup($A248, RotoWire!$B$2:$E$681, 4, false))</f>
        <v>0</v>
      </c>
      <c r="J248" s="28">
        <f t="shared" si="1"/>
        <v>0.25</v>
      </c>
      <c r="K248" s="28">
        <f t="shared" si="2"/>
        <v>1</v>
      </c>
    </row>
    <row r="249">
      <c r="A249" s="6" t="s">
        <v>747</v>
      </c>
      <c r="B249" s="25" t="s">
        <v>955</v>
      </c>
      <c r="C249" s="5" t="s">
        <v>16</v>
      </c>
      <c r="D249" s="5" t="s">
        <v>39</v>
      </c>
      <c r="E249" s="26">
        <f>vlookup(C249,'Team Bye List'!$A$1:$B$33,2,False)</f>
        <v>9</v>
      </c>
      <c r="F249" s="27">
        <f>if(ISNA(vlookup($A249, ESPN!$B$2:$E$257, 4, false)), 0, vlookup($A249, ESPN!$B$2:$E$257, 4, false))</f>
        <v>0</v>
      </c>
      <c r="G249" s="27">
        <f>if(ISNA(vlookup($A249, FFToolbox!$B$2:$E$239, 4, false)), 0, vlookup($A249, FFToolbox!$B$2:$E$239, 4, false))</f>
        <v>1</v>
      </c>
      <c r="H249" s="27">
        <f>if(ISNA(vlookup($A249, FantasyPro!$B$2:$E$316, 4, false)), 0, vlookup($A249, FantasyPro!$B$2:$E$316, 4, false))</f>
        <v>0</v>
      </c>
      <c r="I249" s="27">
        <f>if(ISNA(vlookup($A249, RotoWire!$B$2:$E$681, 4, false)), 0, vlookup($A249, RotoWire!$B$2:$E$681, 4, false))</f>
        <v>0</v>
      </c>
      <c r="J249" s="28">
        <f t="shared" si="1"/>
        <v>0.25</v>
      </c>
      <c r="K249" s="28">
        <f t="shared" si="2"/>
        <v>1</v>
      </c>
    </row>
    <row r="250" hidden="1">
      <c r="A250" s="6" t="s">
        <v>234</v>
      </c>
      <c r="B250" s="25" t="s">
        <v>955</v>
      </c>
      <c r="C250" s="5" t="s">
        <v>16</v>
      </c>
      <c r="D250" s="5" t="s">
        <v>14</v>
      </c>
      <c r="E250" s="26">
        <f>vlookup(C250,'Team Bye List'!$A$1:$B$33,2,False)</f>
        <v>9</v>
      </c>
      <c r="F250" s="27">
        <f>if(ISNA(vlookup($A250, ESPN!$B$2:$E$257, 4, false)), 0, vlookup($A250, ESPN!$B$2:$E$257, 4, false))</f>
        <v>0</v>
      </c>
      <c r="G250" s="27">
        <f>if(ISNA(vlookup($A250, FFToolbox!$B$2:$E$239, 4, false)), 0, vlookup($A250, FFToolbox!$B$2:$E$239, 4, false))</f>
        <v>1</v>
      </c>
      <c r="H250" s="27">
        <f>if(ISNA(vlookup($A250, FantasyPro!$B$2:$E$316, 4, false)), 0, vlookup($A250, FantasyPro!$B$2:$E$316, 4, false))</f>
        <v>0</v>
      </c>
      <c r="I250" s="27">
        <f>if(ISNA(vlookup($A250, RotoWire!$B$2:$E$681, 4, false)), 0, vlookup($A250, RotoWire!$B$2:$E$681, 4, false))</f>
        <v>0</v>
      </c>
      <c r="J250" s="28">
        <f t="shared" si="1"/>
        <v>0.25</v>
      </c>
      <c r="K250" s="28">
        <f t="shared" si="2"/>
        <v>1</v>
      </c>
    </row>
    <row r="251">
      <c r="A251" s="6" t="s">
        <v>768</v>
      </c>
      <c r="B251" s="25" t="s">
        <v>955</v>
      </c>
      <c r="C251" s="5" t="s">
        <v>16</v>
      </c>
      <c r="D251" s="5" t="s">
        <v>39</v>
      </c>
      <c r="E251" s="26">
        <f>vlookup(C251,'Team Bye List'!$A$1:$B$33,2,False)</f>
        <v>9</v>
      </c>
      <c r="F251" s="27">
        <f>if(ISNA(vlookup($A251, ESPN!$B$2:$E$257, 4, false)), 0, vlookup($A251, ESPN!$B$2:$E$257, 4, false))</f>
        <v>0</v>
      </c>
      <c r="G251" s="27">
        <f>if(ISNA(vlookup($A251, FFToolbox!$B$2:$E$239, 4, false)), 0, vlookup($A251, FFToolbox!$B$2:$E$239, 4, false))</f>
        <v>1</v>
      </c>
      <c r="H251" s="27">
        <f>if(ISNA(vlookup($A251, FantasyPro!$B$2:$E$316, 4, false)), 0, vlookup($A251, FantasyPro!$B$2:$E$316, 4, false))</f>
        <v>0</v>
      </c>
      <c r="I251" s="27">
        <f>if(ISNA(vlookup($A251, RotoWire!$B$2:$E$681, 4, false)), 0, vlookup($A251, RotoWire!$B$2:$E$681, 4, false))</f>
        <v>0</v>
      </c>
      <c r="J251" s="28">
        <f t="shared" si="1"/>
        <v>0.25</v>
      </c>
      <c r="K251" s="28">
        <f t="shared" si="2"/>
        <v>1</v>
      </c>
    </row>
    <row r="252" hidden="1">
      <c r="A252" s="6" t="s">
        <v>170</v>
      </c>
      <c r="B252" s="25" t="s">
        <v>955</v>
      </c>
      <c r="C252" s="5" t="s">
        <v>18</v>
      </c>
      <c r="D252" s="5" t="s">
        <v>134</v>
      </c>
      <c r="E252" s="26">
        <f>vlookup(C252,'Team Bye List'!$A$1:$B$33,2,False)</f>
        <v>10</v>
      </c>
      <c r="F252" s="27">
        <f>if(ISNA(vlookup($A252, ESPN!$B$2:$E$257, 4, false)), 0, vlookup($A252, ESPN!$B$2:$E$257, 4, false))</f>
        <v>1</v>
      </c>
      <c r="G252" s="27">
        <f>if(ISNA(vlookup($A252, FFToolbox!$B$2:$E$239, 4, false)), 0, vlookup($A252, FFToolbox!$B$2:$E$239, 4, false))</f>
        <v>0</v>
      </c>
      <c r="H252" s="27">
        <f>if(ISNA(vlookup($A252, FantasyPro!$B$2:$E$316, 4, false)), 0, vlookup($A252, FantasyPro!$B$2:$E$316, 4, false))</f>
        <v>0</v>
      </c>
      <c r="I252" s="27">
        <f>if(ISNA(vlookup($A252, RotoWire!$B$2:$E$681, 4, false)), 0, vlookup($A252, RotoWire!$B$2:$E$681, 4, false))</f>
        <v>0</v>
      </c>
      <c r="J252" s="28">
        <f t="shared" si="1"/>
        <v>0.25</v>
      </c>
      <c r="K252" s="28">
        <f t="shared" si="2"/>
        <v>1</v>
      </c>
    </row>
    <row r="253" hidden="1">
      <c r="A253" s="6" t="s">
        <v>157</v>
      </c>
      <c r="B253" s="25" t="s">
        <v>955</v>
      </c>
      <c r="C253" s="5" t="s">
        <v>50</v>
      </c>
      <c r="D253" s="5" t="s">
        <v>134</v>
      </c>
      <c r="E253" s="26">
        <f>vlookup(C253,'Team Bye List'!$A$1:$B$33,2,False)</f>
        <v>11</v>
      </c>
      <c r="F253" s="27">
        <f>if(ISNA(vlookup($A253, ESPN!$B$2:$E$257, 4, false)), 0, vlookup($A253, ESPN!$B$2:$E$257, 4, false))</f>
        <v>1</v>
      </c>
      <c r="G253" s="27">
        <f>if(ISNA(vlookup($A253, FFToolbox!$B$2:$E$239, 4, false)), 0, vlookup($A253, FFToolbox!$B$2:$E$239, 4, false))</f>
        <v>0</v>
      </c>
      <c r="H253" s="27">
        <f>if(ISNA(vlookup($A253, FantasyPro!$B$2:$E$316, 4, false)), 0, vlookup($A253, FantasyPro!$B$2:$E$316, 4, false))</f>
        <v>0</v>
      </c>
      <c r="I253" s="27">
        <f>if(ISNA(vlookup($A253, RotoWire!$B$2:$E$681, 4, false)), 0, vlookup($A253, RotoWire!$B$2:$E$681, 4, false))</f>
        <v>0</v>
      </c>
      <c r="J253" s="28">
        <f t="shared" si="1"/>
        <v>0.25</v>
      </c>
      <c r="K253" s="28">
        <f t="shared" si="2"/>
        <v>1</v>
      </c>
    </row>
    <row r="254" hidden="1">
      <c r="A254" s="6" t="s">
        <v>326</v>
      </c>
      <c r="B254" s="25" t="s">
        <v>955</v>
      </c>
      <c r="C254" s="5" t="s">
        <v>33</v>
      </c>
      <c r="D254" s="5" t="s">
        <v>14</v>
      </c>
      <c r="E254" s="26">
        <f>vlookup(C254,'Team Bye List'!$A$1:$B$33,2,False)</f>
        <v>4</v>
      </c>
      <c r="F254" s="27">
        <f>if(ISNA(vlookup($A254, ESPN!$B$2:$E$257, 4, false)), 0, vlookup($A254, ESPN!$B$2:$E$257, 4, false))</f>
        <v>0</v>
      </c>
      <c r="G254" s="27">
        <f>if(ISNA(vlookup($A254, FFToolbox!$B$2:$E$239, 4, false)), 0, vlookup($A254, FFToolbox!$B$2:$E$239, 4, false))</f>
        <v>1</v>
      </c>
      <c r="H254" s="27">
        <f>if(ISNA(vlookup($A254, FantasyPro!$B$2:$E$316, 4, false)), 0, vlookup($A254, FantasyPro!$B$2:$E$316, 4, false))</f>
        <v>0</v>
      </c>
      <c r="I254" s="27">
        <f>if(ISNA(vlookup($A254, RotoWire!$B$2:$E$681, 4, false)), 0, vlookup($A254, RotoWire!$B$2:$E$681, 4, false))</f>
        <v>0</v>
      </c>
      <c r="J254" s="28">
        <f t="shared" si="1"/>
        <v>0.25</v>
      </c>
      <c r="K254" s="28">
        <f t="shared" si="2"/>
        <v>1</v>
      </c>
    </row>
    <row r="255" hidden="1">
      <c r="A255" s="6" t="s">
        <v>142</v>
      </c>
      <c r="B255" s="25" t="s">
        <v>955</v>
      </c>
      <c r="C255" s="5" t="s">
        <v>62</v>
      </c>
      <c r="D255" s="5" t="s">
        <v>134</v>
      </c>
      <c r="E255" s="26">
        <f>vlookup(C255,'Team Bye List'!$A$1:$B$33,2,False)</f>
        <v>12</v>
      </c>
      <c r="F255" s="27">
        <f>if(ISNA(vlookup($A255, ESPN!$B$2:$E$257, 4, false)), 0, vlookup($A255, ESPN!$B$2:$E$257, 4, false))</f>
        <v>1</v>
      </c>
      <c r="G255" s="27">
        <f>if(ISNA(vlookup($A255, FFToolbox!$B$2:$E$239, 4, false)), 0, vlookup($A255, FFToolbox!$B$2:$E$239, 4, false))</f>
        <v>0</v>
      </c>
      <c r="H255" s="27">
        <f>if(ISNA(vlookup($A255, FantasyPro!$B$2:$E$316, 4, false)), 0, vlookup($A255, FantasyPro!$B$2:$E$316, 4, false))</f>
        <v>0</v>
      </c>
      <c r="I255" s="27">
        <f>if(ISNA(vlookup($A255, RotoWire!$B$2:$E$681, 4, false)), 0, vlookup($A255, RotoWire!$B$2:$E$681, 4, false))</f>
        <v>0</v>
      </c>
      <c r="J255" s="28">
        <f t="shared" si="1"/>
        <v>0.25</v>
      </c>
      <c r="K255" s="28">
        <f t="shared" si="2"/>
        <v>1</v>
      </c>
    </row>
    <row r="256">
      <c r="A256" s="6" t="s">
        <v>756</v>
      </c>
      <c r="B256" s="25" t="s">
        <v>955</v>
      </c>
      <c r="C256" s="5" t="s">
        <v>22</v>
      </c>
      <c r="D256" s="5" t="s">
        <v>39</v>
      </c>
      <c r="E256" s="26">
        <f>vlookup(C256,'Team Bye List'!$A$1:$B$33,2,False)</f>
        <v>7</v>
      </c>
      <c r="F256" s="27">
        <f>if(ISNA(vlookup($A256, ESPN!$B$2:$E$257, 4, false)), 0, vlookup($A256, ESPN!$B$2:$E$257, 4, false))</f>
        <v>0</v>
      </c>
      <c r="G256" s="27">
        <f>if(ISNA(vlookup($A256, FFToolbox!$B$2:$E$239, 4, false)), 0, vlookup($A256, FFToolbox!$B$2:$E$239, 4, false))</f>
        <v>1</v>
      </c>
      <c r="H256" s="27">
        <f>if(ISNA(vlookup($A256, FantasyPro!$B$2:$E$316, 4, false)), 0, vlookup($A256, FantasyPro!$B$2:$E$316, 4, false))</f>
        <v>0</v>
      </c>
      <c r="I256" s="27">
        <f>if(ISNA(vlookup($A256, RotoWire!$B$2:$E$681, 4, false)), 0, vlookup($A256, RotoWire!$B$2:$E$681, 4, false))</f>
        <v>0</v>
      </c>
      <c r="J256" s="28">
        <f t="shared" si="1"/>
        <v>0.25</v>
      </c>
      <c r="K256" s="28">
        <f t="shared" si="2"/>
        <v>1</v>
      </c>
    </row>
    <row r="257" hidden="1">
      <c r="A257" s="6" t="s">
        <v>265</v>
      </c>
      <c r="B257" s="25" t="s">
        <v>955</v>
      </c>
      <c r="C257" s="5" t="s">
        <v>50</v>
      </c>
      <c r="D257" s="5" t="s">
        <v>14</v>
      </c>
      <c r="E257" s="26">
        <f>vlookup(C257,'Team Bye List'!$A$1:$B$33,2,False)</f>
        <v>11</v>
      </c>
      <c r="F257" s="27">
        <f>if(ISNA(vlookup($A257, ESPN!$B$2:$E$257, 4, false)), 0, vlookup($A257, ESPN!$B$2:$E$257, 4, false))</f>
        <v>0</v>
      </c>
      <c r="G257" s="27">
        <f>if(ISNA(vlookup($A257, FFToolbox!$B$2:$E$239, 4, false)), 0, vlookup($A257, FFToolbox!$B$2:$E$239, 4, false))</f>
        <v>0</v>
      </c>
      <c r="H257" s="27">
        <f>if(ISNA(vlookup($A257, FantasyPro!$B$2:$E$316, 4, false)), 0, vlookup($A257, FantasyPro!$B$2:$E$316, 4, false))</f>
        <v>0</v>
      </c>
      <c r="I257" s="27">
        <f>if(ISNA(vlookup($A257, RotoWire!$B$2:$E$681, 4, false)), 0, vlookup($A257, RotoWire!$B$2:$E$681, 4, false))</f>
        <v>0</v>
      </c>
      <c r="J257" s="28">
        <f t="shared" si="1"/>
        <v>0</v>
      </c>
      <c r="K257" s="28">
        <f t="shared" si="2"/>
        <v>0</v>
      </c>
    </row>
    <row r="258" hidden="1">
      <c r="A258" s="6" t="s">
        <v>419</v>
      </c>
      <c r="B258" s="25" t="s">
        <v>955</v>
      </c>
      <c r="C258" s="5" t="s">
        <v>16</v>
      </c>
      <c r="D258" s="5" t="s">
        <v>12</v>
      </c>
      <c r="E258" s="26">
        <f>vlookup(C258,'Team Bye List'!$A$1:$B$33,2,False)</f>
        <v>9</v>
      </c>
      <c r="F258" s="27">
        <f>if(ISNA(vlookup($A258, ESPN!$B$2:$E$257, 4, false)), 0, vlookup($A258, ESPN!$B$2:$E$257, 4, false))</f>
        <v>0</v>
      </c>
      <c r="G258" s="27">
        <f>if(ISNA(vlookup($A258, FFToolbox!$B$2:$E$239, 4, false)), 0, vlookup($A258, FFToolbox!$B$2:$E$239, 4, false))</f>
        <v>0</v>
      </c>
      <c r="H258" s="27">
        <f>if(ISNA(vlookup($A258, FantasyPro!$B$2:$E$316, 4, false)), 0, vlookup($A258, FantasyPro!$B$2:$E$316, 4, false))</f>
        <v>0</v>
      </c>
      <c r="I258" s="27">
        <f>if(ISNA(vlookup($A258, RotoWire!$B$2:$E$681, 4, false)), 0, vlookup($A258, RotoWire!$B$2:$E$681, 4, false))</f>
        <v>0</v>
      </c>
      <c r="J258" s="28">
        <f t="shared" si="1"/>
        <v>0</v>
      </c>
      <c r="K258" s="28">
        <f t="shared" si="2"/>
        <v>0</v>
      </c>
    </row>
    <row r="259" hidden="1">
      <c r="A259" s="6" t="s">
        <v>242</v>
      </c>
      <c r="B259" s="25" t="s">
        <v>955</v>
      </c>
      <c r="C259" s="5" t="s">
        <v>50</v>
      </c>
      <c r="D259" s="5" t="s">
        <v>14</v>
      </c>
      <c r="E259" s="26">
        <f>vlookup(C259,'Team Bye List'!$A$1:$B$33,2,False)</f>
        <v>11</v>
      </c>
      <c r="F259" s="27">
        <f>if(ISNA(vlookup($A259, ESPN!$B$2:$E$257, 4, false)), 0, vlookup($A259, ESPN!$B$2:$E$257, 4, false))</f>
        <v>0</v>
      </c>
      <c r="G259" s="27">
        <f>if(ISNA(vlookup($A259, FFToolbox!$B$2:$E$239, 4, false)), 0, vlookup($A259, FFToolbox!$B$2:$E$239, 4, false))</f>
        <v>0</v>
      </c>
      <c r="H259" s="27">
        <f>if(ISNA(vlookup($A259, FantasyPro!$B$2:$E$316, 4, false)), 0, vlookup($A259, FantasyPro!$B$2:$E$316, 4, false))</f>
        <v>0</v>
      </c>
      <c r="I259" s="27">
        <f>if(ISNA(vlookup($A259, RotoWire!$B$2:$E$681, 4, false)), 0, vlookup($A259, RotoWire!$B$2:$E$681, 4, false))</f>
        <v>0</v>
      </c>
      <c r="J259" s="28">
        <f t="shared" si="1"/>
        <v>0</v>
      </c>
      <c r="K259" s="28">
        <f t="shared" si="2"/>
        <v>0</v>
      </c>
    </row>
    <row r="260" hidden="1">
      <c r="A260" s="6" t="s">
        <v>320</v>
      </c>
      <c r="B260" s="25" t="s">
        <v>955</v>
      </c>
      <c r="C260" s="5" t="s">
        <v>96</v>
      </c>
      <c r="D260" s="5" t="s">
        <v>12</v>
      </c>
      <c r="E260" s="26">
        <f>vlookup(C260,'Team Bye List'!$A$1:$B$33,2,False)</f>
        <v>6</v>
      </c>
      <c r="F260" s="27">
        <f>if(ISNA(vlookup($A260, ESPN!$B$2:$E$257, 4, false)), 0, vlookup($A260, ESPN!$B$2:$E$257, 4, false))</f>
        <v>0</v>
      </c>
      <c r="G260" s="27">
        <f>if(ISNA(vlookup($A260, FFToolbox!$B$2:$E$239, 4, false)), 0, vlookup($A260, FFToolbox!$B$2:$E$239, 4, false))</f>
        <v>0</v>
      </c>
      <c r="H260" s="27">
        <f>if(ISNA(vlookup($A260, FantasyPro!$B$2:$E$316, 4, false)), 0, vlookup($A260, FantasyPro!$B$2:$E$316, 4, false))</f>
        <v>0</v>
      </c>
      <c r="I260" s="27">
        <f>if(ISNA(vlookup($A260, RotoWire!$B$2:$E$681, 4, false)), 0, vlookup($A260, RotoWire!$B$2:$E$681, 4, false))</f>
        <v>0</v>
      </c>
      <c r="J260" s="28">
        <f t="shared" si="1"/>
        <v>0</v>
      </c>
      <c r="K260" s="28">
        <f t="shared" si="2"/>
        <v>0</v>
      </c>
    </row>
    <row r="261">
      <c r="A261" s="6" t="s">
        <v>765</v>
      </c>
      <c r="B261" s="25" t="s">
        <v>955</v>
      </c>
      <c r="C261" s="5" t="s">
        <v>18</v>
      </c>
      <c r="D261" s="5" t="s">
        <v>39</v>
      </c>
      <c r="E261" s="26">
        <f>vlookup(C261,'Team Bye List'!$A$1:$B$33,2,False)</f>
        <v>10</v>
      </c>
      <c r="F261" s="27">
        <f>if(ISNA(vlookup($A261, ESPN!$B$2:$E$257, 4, false)), 0, vlookup($A261, ESPN!$B$2:$E$257, 4, false))</f>
        <v>0</v>
      </c>
      <c r="G261" s="27">
        <f>if(ISNA(vlookup($A261, FFToolbox!$B$2:$E$239, 4, false)), 0, vlookup($A261, FFToolbox!$B$2:$E$239, 4, false))</f>
        <v>0</v>
      </c>
      <c r="H261" s="27">
        <f>if(ISNA(vlookup($A261, FantasyPro!$B$2:$E$316, 4, false)), 0, vlookup($A261, FantasyPro!$B$2:$E$316, 4, false))</f>
        <v>0</v>
      </c>
      <c r="I261" s="27">
        <f>if(ISNA(vlookup($A261, RotoWire!$B$2:$E$681, 4, false)), 0, vlookup($A261, RotoWire!$B$2:$E$681, 4, false))</f>
        <v>0</v>
      </c>
      <c r="J261" s="28">
        <f t="shared" si="1"/>
        <v>0</v>
      </c>
      <c r="K261" s="28">
        <f t="shared" si="2"/>
        <v>0</v>
      </c>
    </row>
    <row r="262" hidden="1">
      <c r="A262" s="6" t="s">
        <v>727</v>
      </c>
      <c r="B262" s="25" t="s">
        <v>955</v>
      </c>
      <c r="C262" s="5" t="s">
        <v>50</v>
      </c>
      <c r="D262" s="5" t="s">
        <v>7</v>
      </c>
      <c r="E262" s="26">
        <f>vlookup(C262,'Team Bye List'!$A$1:$B$33,2,False)</f>
        <v>11</v>
      </c>
      <c r="F262" s="27">
        <f>if(ISNA(vlookup($A262, ESPN!$B$2:$E$257, 4, false)), 0, vlookup($A262, ESPN!$B$2:$E$257, 4, false))</f>
        <v>0</v>
      </c>
      <c r="G262" s="27">
        <f>if(ISNA(vlookup($A262, FFToolbox!$B$2:$E$239, 4, false)), 0, vlookup($A262, FFToolbox!$B$2:$E$239, 4, false))</f>
        <v>0</v>
      </c>
      <c r="H262" s="27">
        <f>if(ISNA(vlookup($A262, FantasyPro!$B$2:$E$316, 4, false)), 0, vlookup($A262, FantasyPro!$B$2:$E$316, 4, false))</f>
        <v>0</v>
      </c>
      <c r="I262" s="27">
        <f>if(ISNA(vlookup($A262, RotoWire!$B$2:$E$681, 4, false)), 0, vlookup($A262, RotoWire!$B$2:$E$681, 4, false))</f>
        <v>0</v>
      </c>
      <c r="J262" s="28">
        <f t="shared" si="1"/>
        <v>0</v>
      </c>
      <c r="K262" s="28">
        <f t="shared" si="2"/>
        <v>0</v>
      </c>
    </row>
    <row r="263" hidden="1">
      <c r="A263" s="6" t="s">
        <v>622</v>
      </c>
      <c r="B263" s="25" t="s">
        <v>955</v>
      </c>
      <c r="C263" s="5" t="s">
        <v>22</v>
      </c>
      <c r="D263" s="5" t="s">
        <v>14</v>
      </c>
      <c r="E263" s="26">
        <f>vlookup(C263,'Team Bye List'!$A$1:$B$33,2,False)</f>
        <v>7</v>
      </c>
      <c r="F263" s="27">
        <f>if(ISNA(vlookup($A263, ESPN!$B$2:$E$257, 4, false)), 0, vlookup($A263, ESPN!$B$2:$E$257, 4, false))</f>
        <v>0</v>
      </c>
      <c r="G263" s="27">
        <f>if(ISNA(vlookup($A263, FFToolbox!$B$2:$E$239, 4, false)), 0, vlookup($A263, FFToolbox!$B$2:$E$239, 4, false))</f>
        <v>0</v>
      </c>
      <c r="H263" s="27">
        <f>if(ISNA(vlookup($A263, FantasyPro!$B$2:$E$316, 4, false)), 0, vlookup($A263, FantasyPro!$B$2:$E$316, 4, false))</f>
        <v>0</v>
      </c>
      <c r="I263" s="27">
        <f>if(ISNA(vlookup($A263, RotoWire!$B$2:$E$681, 4, false)), 0, vlookup($A263, RotoWire!$B$2:$E$681, 4, false))</f>
        <v>0</v>
      </c>
      <c r="J263" s="28">
        <f t="shared" si="1"/>
        <v>0</v>
      </c>
      <c r="K263" s="28">
        <f t="shared" si="2"/>
        <v>0</v>
      </c>
    </row>
    <row r="264" hidden="1">
      <c r="A264" s="6" t="s">
        <v>434</v>
      </c>
      <c r="B264" s="25" t="s">
        <v>955</v>
      </c>
      <c r="C264" s="5" t="s">
        <v>59</v>
      </c>
      <c r="D264" s="5" t="s">
        <v>12</v>
      </c>
      <c r="E264" s="26">
        <f>vlookup(C264,'Team Bye List'!$A$1:$B$33,2,False)</f>
        <v>10</v>
      </c>
      <c r="F264" s="27">
        <f>if(ISNA(vlookup($A264, ESPN!$B$2:$E$257, 4, false)), 0, vlookup($A264, ESPN!$B$2:$E$257, 4, false))</f>
        <v>0</v>
      </c>
      <c r="G264" s="27">
        <f>if(ISNA(vlookup($A264, FFToolbox!$B$2:$E$239, 4, false)), 0, vlookup($A264, FFToolbox!$B$2:$E$239, 4, false))</f>
        <v>0</v>
      </c>
      <c r="H264" s="27">
        <f>if(ISNA(vlookup($A264, FantasyPro!$B$2:$E$316, 4, false)), 0, vlookup($A264, FantasyPro!$B$2:$E$316, 4, false))</f>
        <v>0</v>
      </c>
      <c r="I264" s="27">
        <f>if(ISNA(vlookup($A264, RotoWire!$B$2:$E$681, 4, false)), 0, vlookup($A264, RotoWire!$B$2:$E$681, 4, false))</f>
        <v>0</v>
      </c>
      <c r="J264" s="28">
        <f t="shared" si="1"/>
        <v>0</v>
      </c>
      <c r="K264" s="28">
        <f t="shared" si="2"/>
        <v>0</v>
      </c>
    </row>
    <row r="265" hidden="1">
      <c r="A265" s="6" t="s">
        <v>468</v>
      </c>
      <c r="B265" s="25" t="s">
        <v>955</v>
      </c>
      <c r="C265" s="5" t="s">
        <v>54</v>
      </c>
      <c r="D265" s="5" t="s">
        <v>14</v>
      </c>
      <c r="E265" s="26">
        <f>vlookup(C265,'Team Bye List'!$A$1:$B$33,2,False)</f>
        <v>9</v>
      </c>
      <c r="F265" s="27">
        <f>if(ISNA(vlookup($A265, ESPN!$B$2:$E$257, 4, false)), 0, vlookup($A265, ESPN!$B$2:$E$257, 4, false))</f>
        <v>0</v>
      </c>
      <c r="G265" s="27">
        <f>if(ISNA(vlookup($A265, FFToolbox!$B$2:$E$239, 4, false)), 0, vlookup($A265, FFToolbox!$B$2:$E$239, 4, false))</f>
        <v>0</v>
      </c>
      <c r="H265" s="27">
        <f>if(ISNA(vlookup($A265, FantasyPro!$B$2:$E$316, 4, false)), 0, vlookup($A265, FantasyPro!$B$2:$E$316, 4, false))</f>
        <v>0</v>
      </c>
      <c r="I265" s="27">
        <f>if(ISNA(vlookup($A265, RotoWire!$B$2:$E$681, 4, false)), 0, vlookup($A265, RotoWire!$B$2:$E$681, 4, false))</f>
        <v>0</v>
      </c>
      <c r="J265" s="28">
        <f t="shared" si="1"/>
        <v>0</v>
      </c>
      <c r="K265" s="28">
        <f t="shared" si="2"/>
        <v>0</v>
      </c>
    </row>
    <row r="266">
      <c r="A266" s="6" t="s">
        <v>796</v>
      </c>
      <c r="B266" s="25" t="s">
        <v>955</v>
      </c>
      <c r="C266" s="5" t="s">
        <v>91</v>
      </c>
      <c r="D266" s="5" t="s">
        <v>39</v>
      </c>
      <c r="E266" s="26">
        <f>vlookup(C266,'Team Bye List'!$A$1:$B$33,2,False)</f>
        <v>10</v>
      </c>
      <c r="F266" s="27">
        <f>if(ISNA(vlookup($A266, ESPN!$B$2:$E$257, 4, false)), 0, vlookup($A266, ESPN!$B$2:$E$257, 4, false))</f>
        <v>0</v>
      </c>
      <c r="G266" s="27">
        <f>if(ISNA(vlookup($A266, FFToolbox!$B$2:$E$239, 4, false)), 0, vlookup($A266, FFToolbox!$B$2:$E$239, 4, false))</f>
        <v>0</v>
      </c>
      <c r="H266" s="27">
        <f>if(ISNA(vlookup($A266, FantasyPro!$B$2:$E$316, 4, false)), 0, vlookup($A266, FantasyPro!$B$2:$E$316, 4, false))</f>
        <v>0</v>
      </c>
      <c r="I266" s="27">
        <f>if(ISNA(vlookup($A266, RotoWire!$B$2:$E$681, 4, false)), 0, vlookup($A266, RotoWire!$B$2:$E$681, 4, false))</f>
        <v>0</v>
      </c>
      <c r="J266" s="28">
        <f t="shared" si="1"/>
        <v>0</v>
      </c>
      <c r="K266" s="28">
        <f t="shared" si="2"/>
        <v>0</v>
      </c>
    </row>
    <row r="267">
      <c r="A267" s="6" t="s">
        <v>809</v>
      </c>
      <c r="B267" s="25" t="s">
        <v>955</v>
      </c>
      <c r="C267" s="5" t="s">
        <v>165</v>
      </c>
      <c r="D267" s="5" t="s">
        <v>39</v>
      </c>
      <c r="E267" s="26">
        <f>vlookup(C267,'Team Bye List'!$A$1:$B$33,2,False)</f>
        <v>10</v>
      </c>
      <c r="F267" s="27">
        <f>if(ISNA(vlookup($A267, ESPN!$B$2:$E$257, 4, false)), 0, vlookup($A267, ESPN!$B$2:$E$257, 4, false))</f>
        <v>0</v>
      </c>
      <c r="G267" s="27">
        <f>if(ISNA(vlookup($A267, FFToolbox!$B$2:$E$239, 4, false)), 0, vlookup($A267, FFToolbox!$B$2:$E$239, 4, false))</f>
        <v>0</v>
      </c>
      <c r="H267" s="27">
        <f>if(ISNA(vlookup($A267, FantasyPro!$B$2:$E$316, 4, false)), 0, vlookup($A267, FantasyPro!$B$2:$E$316, 4, false))</f>
        <v>0</v>
      </c>
      <c r="I267" s="27">
        <f>if(ISNA(vlookup($A267, RotoWire!$B$2:$E$681, 4, false)), 0, vlookup($A267, RotoWire!$B$2:$E$681, 4, false))</f>
        <v>0</v>
      </c>
      <c r="J267" s="28">
        <f t="shared" si="1"/>
        <v>0</v>
      </c>
      <c r="K267" s="28">
        <f t="shared" si="2"/>
        <v>0</v>
      </c>
    </row>
    <row r="268">
      <c r="A268" s="6" t="s">
        <v>812</v>
      </c>
      <c r="B268" s="25" t="s">
        <v>955</v>
      </c>
      <c r="C268" s="5" t="s">
        <v>6</v>
      </c>
      <c r="D268" s="5" t="s">
        <v>39</v>
      </c>
      <c r="E268" s="26">
        <f>vlookup(C268,'Team Bye List'!$A$1:$B$33,2,False)</f>
        <v>11</v>
      </c>
      <c r="F268" s="27">
        <f>if(ISNA(vlookup($A268, ESPN!$B$2:$E$257, 4, false)), 0, vlookup($A268, ESPN!$B$2:$E$257, 4, false))</f>
        <v>0</v>
      </c>
      <c r="G268" s="27">
        <f>if(ISNA(vlookup($A268, FFToolbox!$B$2:$E$239, 4, false)), 0, vlookup($A268, FFToolbox!$B$2:$E$239, 4, false))</f>
        <v>0</v>
      </c>
      <c r="H268" s="27">
        <f>if(ISNA(vlookup($A268, FantasyPro!$B$2:$E$316, 4, false)), 0, vlookup($A268, FantasyPro!$B$2:$E$316, 4, false))</f>
        <v>0</v>
      </c>
      <c r="I268" s="27">
        <f>if(ISNA(vlookup($A268, RotoWire!$B$2:$E$681, 4, false)), 0, vlookup($A268, RotoWire!$B$2:$E$681, 4, false))</f>
        <v>0</v>
      </c>
      <c r="J268" s="28">
        <f t="shared" si="1"/>
        <v>0</v>
      </c>
      <c r="K268" s="28">
        <f t="shared" si="2"/>
        <v>0</v>
      </c>
    </row>
    <row r="269" hidden="1">
      <c r="A269" s="6" t="s">
        <v>675</v>
      </c>
      <c r="B269" s="25" t="s">
        <v>955</v>
      </c>
      <c r="C269" s="5" t="s">
        <v>9</v>
      </c>
      <c r="D269" s="5" t="s">
        <v>7</v>
      </c>
      <c r="E269" s="26">
        <f>vlookup(C269,'Team Bye List'!$A$1:$B$33,2,False)</f>
        <v>8</v>
      </c>
      <c r="F269" s="27">
        <f>if(ISNA(vlookup($A269, ESPN!$B$2:$E$257, 4, false)), 0, vlookup($A269, ESPN!$B$2:$E$257, 4, false))</f>
        <v>0</v>
      </c>
      <c r="G269" s="27">
        <f>if(ISNA(vlookup($A269, FFToolbox!$B$2:$E$239, 4, false)), 0, vlookup($A269, FFToolbox!$B$2:$E$239, 4, false))</f>
        <v>0</v>
      </c>
      <c r="H269" s="27">
        <f>if(ISNA(vlookup($A269, FantasyPro!$B$2:$E$316, 4, false)), 0, vlookup($A269, FantasyPro!$B$2:$E$316, 4, false))</f>
        <v>0</v>
      </c>
      <c r="I269" s="27">
        <f>if(ISNA(vlookup($A269, RotoWire!$B$2:$E$681, 4, false)), 0, vlookup($A269, RotoWire!$B$2:$E$681, 4, false))</f>
        <v>0</v>
      </c>
      <c r="J269" s="28">
        <f t="shared" si="1"/>
        <v>0</v>
      </c>
      <c r="K269" s="28">
        <f t="shared" si="2"/>
        <v>0</v>
      </c>
    </row>
    <row r="270" hidden="1">
      <c r="A270" s="6" t="s">
        <v>399</v>
      </c>
      <c r="B270" s="25" t="s">
        <v>955</v>
      </c>
      <c r="C270" s="5" t="s">
        <v>16</v>
      </c>
      <c r="D270" s="5" t="s">
        <v>12</v>
      </c>
      <c r="E270" s="26">
        <f>vlookup(C270,'Team Bye List'!$A$1:$B$33,2,False)</f>
        <v>9</v>
      </c>
      <c r="F270" s="27">
        <f>if(ISNA(vlookup($A270, ESPN!$B$2:$E$257, 4, false)), 0, vlookup($A270, ESPN!$B$2:$E$257, 4, false))</f>
        <v>0</v>
      </c>
      <c r="G270" s="27">
        <f>if(ISNA(vlookup($A270, FFToolbox!$B$2:$E$239, 4, false)), 0, vlookup($A270, FFToolbox!$B$2:$E$239, 4, false))</f>
        <v>0</v>
      </c>
      <c r="H270" s="27">
        <f>if(ISNA(vlookup($A270, FantasyPro!$B$2:$E$316, 4, false)), 0, vlookup($A270, FantasyPro!$B$2:$E$316, 4, false))</f>
        <v>0</v>
      </c>
      <c r="I270" s="27">
        <f>if(ISNA(vlookup($A270, RotoWire!$B$2:$E$681, 4, false)), 0, vlookup($A270, RotoWire!$B$2:$E$681, 4, false))</f>
        <v>0</v>
      </c>
      <c r="J270" s="28">
        <f t="shared" si="1"/>
        <v>0</v>
      </c>
      <c r="K270" s="28">
        <f t="shared" si="2"/>
        <v>0</v>
      </c>
    </row>
    <row r="271" hidden="1">
      <c r="A271" s="8" t="s">
        <v>547</v>
      </c>
      <c r="B271" s="25" t="s">
        <v>955</v>
      </c>
      <c r="C271" s="5" t="s">
        <v>28</v>
      </c>
      <c r="D271" s="5" t="s">
        <v>14</v>
      </c>
      <c r="E271" s="26">
        <f>vlookup(C271,'Team Bye List'!$A$1:$B$33,2,False)</f>
        <v>11</v>
      </c>
      <c r="F271" s="27">
        <f>if(ISNA(vlookup($A271, ESPN!$B$2:$E$257, 4, false)), 0, vlookup($A271, ESPN!$B$2:$E$257, 4, false))</f>
        <v>0</v>
      </c>
      <c r="G271" s="27">
        <f>if(ISNA(vlookup($A271, FFToolbox!$B$2:$E$239, 4, false)), 0, vlookup($A271, FFToolbox!$B$2:$E$239, 4, false))</f>
        <v>0</v>
      </c>
      <c r="H271" s="27">
        <f>if(ISNA(vlookup($A271, FantasyPro!$B$2:$E$316, 4, false)), 0, vlookup($A271, FantasyPro!$B$2:$E$316, 4, false))</f>
        <v>0</v>
      </c>
      <c r="I271" s="27">
        <f>if(ISNA(vlookup($A271, RotoWire!$B$2:$E$681, 4, false)), 0, vlookup($A271, RotoWire!$B$2:$E$681, 4, false))</f>
        <v>0</v>
      </c>
      <c r="J271" s="28">
        <f t="shared" si="1"/>
        <v>0</v>
      </c>
      <c r="K271" s="28">
        <f t="shared" si="2"/>
        <v>0</v>
      </c>
    </row>
    <row r="272" hidden="1">
      <c r="A272" s="6" t="s">
        <v>565</v>
      </c>
      <c r="B272" s="25" t="s">
        <v>955</v>
      </c>
      <c r="C272" s="5" t="s">
        <v>6</v>
      </c>
      <c r="D272" s="5" t="s">
        <v>14</v>
      </c>
      <c r="E272" s="26">
        <f>vlookup(C272,'Team Bye List'!$A$1:$B$33,2,False)</f>
        <v>11</v>
      </c>
      <c r="F272" s="27">
        <f>if(ISNA(vlookup($A272, ESPN!$B$2:$E$257, 4, false)), 0, vlookup($A272, ESPN!$B$2:$E$257, 4, false))</f>
        <v>0</v>
      </c>
      <c r="G272" s="27">
        <f>if(ISNA(vlookup($A272, FFToolbox!$B$2:$E$239, 4, false)), 0, vlookup($A272, FFToolbox!$B$2:$E$239, 4, false))</f>
        <v>0</v>
      </c>
      <c r="H272" s="27">
        <f>if(ISNA(vlookup($A272, FantasyPro!$B$2:$E$316, 4, false)), 0, vlookup($A272, FantasyPro!$B$2:$E$316, 4, false))</f>
        <v>0</v>
      </c>
      <c r="I272" s="27">
        <f>if(ISNA(vlookup($A272, RotoWire!$B$2:$E$681, 4, false)), 0, vlookup($A272, RotoWire!$B$2:$E$681, 4, false))</f>
        <v>0</v>
      </c>
      <c r="J272" s="28">
        <f t="shared" si="1"/>
        <v>0</v>
      </c>
      <c r="K272" s="28">
        <f t="shared" si="2"/>
        <v>0</v>
      </c>
    </row>
    <row r="273" hidden="1">
      <c r="A273" s="6" t="s">
        <v>568</v>
      </c>
      <c r="B273" s="25" t="s">
        <v>955</v>
      </c>
      <c r="C273" s="5" t="s">
        <v>69</v>
      </c>
      <c r="D273" s="5" t="s">
        <v>14</v>
      </c>
      <c r="E273" s="26">
        <f>vlookup(C273,'Team Bye List'!$A$1:$B$33,2,False)</f>
        <v>11</v>
      </c>
      <c r="F273" s="27">
        <f>if(ISNA(vlookup($A273, ESPN!$B$2:$E$257, 4, false)), 0, vlookup($A273, ESPN!$B$2:$E$257, 4, false))</f>
        <v>0</v>
      </c>
      <c r="G273" s="27">
        <f>if(ISNA(vlookup($A273, FFToolbox!$B$2:$E$239, 4, false)), 0, vlookup($A273, FFToolbox!$B$2:$E$239, 4, false))</f>
        <v>0</v>
      </c>
      <c r="H273" s="27">
        <f>if(ISNA(vlookup($A273, FantasyPro!$B$2:$E$316, 4, false)), 0, vlookup($A273, FantasyPro!$B$2:$E$316, 4, false))</f>
        <v>0</v>
      </c>
      <c r="I273" s="27">
        <f>if(ISNA(vlookup($A273, RotoWire!$B$2:$E$681, 4, false)), 0, vlookup($A273, RotoWire!$B$2:$E$681, 4, false))</f>
        <v>0</v>
      </c>
      <c r="J273" s="28">
        <f t="shared" si="1"/>
        <v>0</v>
      </c>
      <c r="K273" s="28">
        <f t="shared" si="2"/>
        <v>0</v>
      </c>
    </row>
    <row r="274" hidden="1">
      <c r="A274" s="6" t="s">
        <v>663</v>
      </c>
      <c r="B274" s="25" t="s">
        <v>955</v>
      </c>
      <c r="C274" s="5" t="s">
        <v>37</v>
      </c>
      <c r="D274" s="5" t="s">
        <v>7</v>
      </c>
      <c r="E274" s="26">
        <f>vlookup(C274,'Team Bye List'!$A$1:$B$33,2,False)</f>
        <v>7</v>
      </c>
      <c r="F274" s="27">
        <f>if(ISNA(vlookup($A274, ESPN!$B$2:$E$257, 4, false)), 0, vlookup($A274, ESPN!$B$2:$E$257, 4, false))</f>
        <v>0</v>
      </c>
      <c r="G274" s="27">
        <f>if(ISNA(vlookup($A274, FFToolbox!$B$2:$E$239, 4, false)), 0, vlookup($A274, FFToolbox!$B$2:$E$239, 4, false))</f>
        <v>0</v>
      </c>
      <c r="H274" s="27">
        <f>if(ISNA(vlookup($A274, FantasyPro!$B$2:$E$316, 4, false)), 0, vlookup($A274, FantasyPro!$B$2:$E$316, 4, false))</f>
        <v>0</v>
      </c>
      <c r="I274" s="27">
        <f>if(ISNA(vlookup($A274, RotoWire!$B$2:$E$681, 4, false)), 0, vlookup($A274, RotoWire!$B$2:$E$681, 4, false))</f>
        <v>0</v>
      </c>
      <c r="J274" s="28">
        <f t="shared" si="1"/>
        <v>0</v>
      </c>
      <c r="K274" s="28">
        <f t="shared" si="2"/>
        <v>0</v>
      </c>
    </row>
    <row r="275" hidden="1">
      <c r="A275" s="6" t="s">
        <v>509</v>
      </c>
      <c r="B275" s="25" t="s">
        <v>955</v>
      </c>
      <c r="C275" s="5" t="s">
        <v>139</v>
      </c>
      <c r="D275" s="5" t="s">
        <v>14</v>
      </c>
      <c r="E275" s="26">
        <f>vlookup(C275,'Team Bye List'!$A$1:$B$33,2,False)</f>
        <v>6</v>
      </c>
      <c r="F275" s="27">
        <f>if(ISNA(vlookup($A275, ESPN!$B$2:$E$257, 4, false)), 0, vlookup($A275, ESPN!$B$2:$E$257, 4, false))</f>
        <v>0</v>
      </c>
      <c r="G275" s="27">
        <f>if(ISNA(vlookup($A275, FFToolbox!$B$2:$E$239, 4, false)), 0, vlookup($A275, FFToolbox!$B$2:$E$239, 4, false))</f>
        <v>0</v>
      </c>
      <c r="H275" s="27">
        <f>if(ISNA(vlookup($A275, FantasyPro!$B$2:$E$316, 4, false)), 0, vlookup($A275, FantasyPro!$B$2:$E$316, 4, false))</f>
        <v>0</v>
      </c>
      <c r="I275" s="27">
        <f>if(ISNA(vlookup($A275, RotoWire!$B$2:$E$681, 4, false)), 0, vlookup($A275, RotoWire!$B$2:$E$681, 4, false))</f>
        <v>0</v>
      </c>
      <c r="J275" s="28">
        <f t="shared" si="1"/>
        <v>0</v>
      </c>
      <c r="K275" s="28">
        <f t="shared" si="2"/>
        <v>0</v>
      </c>
    </row>
    <row r="276">
      <c r="A276" s="6" t="s">
        <v>285</v>
      </c>
      <c r="B276" s="25" t="s">
        <v>955</v>
      </c>
      <c r="C276" s="5" t="s">
        <v>54</v>
      </c>
      <c r="D276" s="5" t="s">
        <v>39</v>
      </c>
      <c r="E276" s="26">
        <f>vlookup(C276,'Team Bye List'!$A$1:$B$33,2,False)</f>
        <v>9</v>
      </c>
      <c r="F276" s="27">
        <f>if(ISNA(vlookup($A276, ESPN!$B$2:$E$257, 4, false)), 0, vlookup($A276, ESPN!$B$2:$E$257, 4, false))</f>
        <v>0</v>
      </c>
      <c r="G276" s="27">
        <f>if(ISNA(vlookup($A276, FFToolbox!$B$2:$E$239, 4, false)), 0, vlookup($A276, FFToolbox!$B$2:$E$239, 4, false))</f>
        <v>0</v>
      </c>
      <c r="H276" s="27">
        <f>if(ISNA(vlookup($A276, FantasyPro!$B$2:$E$316, 4, false)), 0, vlookup($A276, FantasyPro!$B$2:$E$316, 4, false))</f>
        <v>0</v>
      </c>
      <c r="I276" s="27">
        <f>if(ISNA(vlookup($A276, RotoWire!$B$2:$E$681, 4, false)), 0, vlookup($A276, RotoWire!$B$2:$E$681, 4, false))</f>
        <v>0</v>
      </c>
      <c r="J276" s="28">
        <f t="shared" si="1"/>
        <v>0</v>
      </c>
      <c r="K276" s="28">
        <f t="shared" si="2"/>
        <v>0</v>
      </c>
    </row>
    <row r="277" hidden="1">
      <c r="A277" s="6" t="s">
        <v>562</v>
      </c>
      <c r="B277" s="25" t="s">
        <v>955</v>
      </c>
      <c r="C277" s="5" t="s">
        <v>71</v>
      </c>
      <c r="D277" s="5" t="s">
        <v>14</v>
      </c>
      <c r="E277" s="26">
        <f>vlookup(C277,'Team Bye List'!$A$1:$B$33,2,False)</f>
        <v>5</v>
      </c>
      <c r="F277" s="27">
        <f>if(ISNA(vlookup($A277, ESPN!$B$2:$E$257, 4, false)), 0, vlookup($A277, ESPN!$B$2:$E$257, 4, false))</f>
        <v>0</v>
      </c>
      <c r="G277" s="27">
        <f>if(ISNA(vlookup($A277, FFToolbox!$B$2:$E$239, 4, false)), 0, vlookup($A277, FFToolbox!$B$2:$E$239, 4, false))</f>
        <v>0</v>
      </c>
      <c r="H277" s="27">
        <f>if(ISNA(vlookup($A277, FantasyPro!$B$2:$E$316, 4, false)), 0, vlookup($A277, FantasyPro!$B$2:$E$316, 4, false))</f>
        <v>0</v>
      </c>
      <c r="I277" s="27">
        <f>if(ISNA(vlookup($A277, RotoWire!$B$2:$E$681, 4, false)), 0, vlookup($A277, RotoWire!$B$2:$E$681, 4, false))</f>
        <v>0</v>
      </c>
      <c r="J277" s="28">
        <f t="shared" si="1"/>
        <v>0</v>
      </c>
      <c r="K277" s="28">
        <f t="shared" si="2"/>
        <v>0</v>
      </c>
    </row>
    <row r="278" hidden="1">
      <c r="A278" s="6" t="s">
        <v>364</v>
      </c>
      <c r="B278" s="25" t="s">
        <v>955</v>
      </c>
      <c r="C278" s="5" t="s">
        <v>50</v>
      </c>
      <c r="D278" s="5" t="s">
        <v>12</v>
      </c>
      <c r="E278" s="26">
        <f>vlookup(C278,'Team Bye List'!$A$1:$B$33,2,False)</f>
        <v>11</v>
      </c>
      <c r="F278" s="27">
        <f>if(ISNA(vlookup($A278, ESPN!$B$2:$E$257, 4, false)), 0, vlookup($A278, ESPN!$B$2:$E$257, 4, false))</f>
        <v>0</v>
      </c>
      <c r="G278" s="27">
        <f>if(ISNA(vlookup($A278, FFToolbox!$B$2:$E$239, 4, false)), 0, vlookup($A278, FFToolbox!$B$2:$E$239, 4, false))</f>
        <v>0</v>
      </c>
      <c r="H278" s="27">
        <f>if(ISNA(vlookup($A278, FantasyPro!$B$2:$E$316, 4, false)), 0, vlookup($A278, FantasyPro!$B$2:$E$316, 4, false))</f>
        <v>0</v>
      </c>
      <c r="I278" s="27">
        <f>if(ISNA(vlookup($A278, RotoWire!$B$2:$E$681, 4, false)), 0, vlookup($A278, RotoWire!$B$2:$E$681, 4, false))</f>
        <v>0</v>
      </c>
      <c r="J278" s="28">
        <f t="shared" si="1"/>
        <v>0</v>
      </c>
      <c r="K278" s="28">
        <f t="shared" si="2"/>
        <v>0</v>
      </c>
    </row>
    <row r="279" hidden="1">
      <c r="A279" s="6" t="s">
        <v>540</v>
      </c>
      <c r="B279" s="25" t="s">
        <v>955</v>
      </c>
      <c r="C279" s="5" t="s">
        <v>104</v>
      </c>
      <c r="D279" s="5" t="s">
        <v>14</v>
      </c>
      <c r="E279" s="26">
        <f>vlookup(C279,'Team Bye List'!$A$1:$B$33,2,False)</f>
        <v>8</v>
      </c>
      <c r="F279" s="27">
        <f>if(ISNA(vlookup($A279, ESPN!$B$2:$E$257, 4, false)), 0, vlookup($A279, ESPN!$B$2:$E$257, 4, false))</f>
        <v>0</v>
      </c>
      <c r="G279" s="27">
        <f>if(ISNA(vlookup($A279, FFToolbox!$B$2:$E$239, 4, false)), 0, vlookup($A279, FFToolbox!$B$2:$E$239, 4, false))</f>
        <v>0</v>
      </c>
      <c r="H279" s="27">
        <f>if(ISNA(vlookup($A279, FantasyPro!$B$2:$E$316, 4, false)), 0, vlookup($A279, FantasyPro!$B$2:$E$316, 4, false))</f>
        <v>0</v>
      </c>
      <c r="I279" s="27">
        <f>if(ISNA(vlookup($A279, RotoWire!$B$2:$E$681, 4, false)), 0, vlookup($A279, RotoWire!$B$2:$E$681, 4, false))</f>
        <v>0</v>
      </c>
      <c r="J279" s="28">
        <f t="shared" si="1"/>
        <v>0</v>
      </c>
      <c r="K279" s="28">
        <f t="shared" si="2"/>
        <v>0</v>
      </c>
    </row>
    <row r="280" hidden="1">
      <c r="A280" s="8" t="s">
        <v>359</v>
      </c>
      <c r="B280" s="25" t="s">
        <v>955</v>
      </c>
      <c r="C280" s="5" t="s">
        <v>30</v>
      </c>
      <c r="D280" s="5" t="s">
        <v>14</v>
      </c>
      <c r="E280" s="26">
        <f>vlookup(C280,'Team Bye List'!$A$1:$B$33,2,False)</f>
        <v>7</v>
      </c>
      <c r="F280" s="27">
        <f>if(ISNA(vlookup($A280, ESPN!$B$2:$E$257, 4, false)), 0, vlookup($A280, ESPN!$B$2:$E$257, 4, false))</f>
        <v>0</v>
      </c>
      <c r="G280" s="27">
        <f>if(ISNA(vlookup($A280, FFToolbox!$B$2:$E$239, 4, false)), 0, vlookup($A280, FFToolbox!$B$2:$E$239, 4, false))</f>
        <v>0</v>
      </c>
      <c r="H280" s="27">
        <f>if(ISNA(vlookup($A280, FantasyPro!$B$2:$E$316, 4, false)), 0, vlookup($A280, FantasyPro!$B$2:$E$316, 4, false))</f>
        <v>0</v>
      </c>
      <c r="I280" s="27">
        <f>if(ISNA(vlookup($A280, RotoWire!$B$2:$E$681, 4, false)), 0, vlookup($A280, RotoWire!$B$2:$E$681, 4, false))</f>
        <v>0</v>
      </c>
      <c r="J280" s="28">
        <f t="shared" si="1"/>
        <v>0</v>
      </c>
      <c r="K280" s="28">
        <f t="shared" si="2"/>
        <v>0</v>
      </c>
    </row>
    <row r="281" hidden="1">
      <c r="A281" s="8" t="s">
        <v>394</v>
      </c>
      <c r="B281" s="25" t="s">
        <v>955</v>
      </c>
      <c r="C281" s="5" t="s">
        <v>37</v>
      </c>
      <c r="D281" s="5" t="s">
        <v>12</v>
      </c>
      <c r="E281" s="26">
        <f>vlookup(C281,'Team Bye List'!$A$1:$B$33,2,False)</f>
        <v>7</v>
      </c>
      <c r="F281" s="27">
        <f>if(ISNA(vlookup($A281, ESPN!$B$2:$E$257, 4, false)), 0, vlookup($A281, ESPN!$B$2:$E$257, 4, false))</f>
        <v>0</v>
      </c>
      <c r="G281" s="27">
        <f>if(ISNA(vlookup($A281, FFToolbox!$B$2:$E$239, 4, false)), 0, vlookup($A281, FFToolbox!$B$2:$E$239, 4, false))</f>
        <v>0</v>
      </c>
      <c r="H281" s="27">
        <f>if(ISNA(vlookup($A281, FantasyPro!$B$2:$E$316, 4, false)), 0, vlookup($A281, FantasyPro!$B$2:$E$316, 4, false))</f>
        <v>0</v>
      </c>
      <c r="I281" s="27">
        <f>if(ISNA(vlookup($A281, RotoWire!$B$2:$E$681, 4, false)), 0, vlookup($A281, RotoWire!$B$2:$E$681, 4, false))</f>
        <v>0</v>
      </c>
      <c r="J281" s="28">
        <f t="shared" si="1"/>
        <v>0</v>
      </c>
      <c r="K281" s="28">
        <f t="shared" si="2"/>
        <v>0</v>
      </c>
    </row>
    <row r="282" hidden="1">
      <c r="A282" s="6" t="s">
        <v>519</v>
      </c>
      <c r="B282" s="25" t="s">
        <v>955</v>
      </c>
      <c r="C282" s="5" t="s">
        <v>43</v>
      </c>
      <c r="D282" s="5" t="s">
        <v>14</v>
      </c>
      <c r="E282" s="26">
        <f>vlookup(C282,'Team Bye List'!$A$1:$B$33,2,False)</f>
        <v>12</v>
      </c>
      <c r="F282" s="27">
        <f>if(ISNA(vlookup($A282, ESPN!$B$2:$E$257, 4, false)), 0, vlookup($A282, ESPN!$B$2:$E$257, 4, false))</f>
        <v>0</v>
      </c>
      <c r="G282" s="27">
        <f>if(ISNA(vlookup($A282, FFToolbox!$B$2:$E$239, 4, false)), 0, vlookup($A282, FFToolbox!$B$2:$E$239, 4, false))</f>
        <v>0</v>
      </c>
      <c r="H282" s="27">
        <f>if(ISNA(vlookup($A282, FantasyPro!$B$2:$E$316, 4, false)), 0, vlookup($A282, FantasyPro!$B$2:$E$316, 4, false))</f>
        <v>0</v>
      </c>
      <c r="I282" s="27">
        <f>if(ISNA(vlookup($A282, RotoWire!$B$2:$E$681, 4, false)), 0, vlookup($A282, RotoWire!$B$2:$E$681, 4, false))</f>
        <v>0</v>
      </c>
      <c r="J282" s="28">
        <f t="shared" si="1"/>
        <v>0</v>
      </c>
      <c r="K282" s="28">
        <f t="shared" si="2"/>
        <v>0</v>
      </c>
    </row>
    <row r="283" hidden="1">
      <c r="A283" s="6" t="s">
        <v>554</v>
      </c>
      <c r="B283" s="25" t="s">
        <v>955</v>
      </c>
      <c r="C283" s="5" t="s">
        <v>54</v>
      </c>
      <c r="D283" s="5" t="s">
        <v>14</v>
      </c>
      <c r="E283" s="26">
        <f>vlookup(C283,'Team Bye List'!$A$1:$B$33,2,False)</f>
        <v>9</v>
      </c>
      <c r="F283" s="27">
        <f>if(ISNA(vlookup($A283, ESPN!$B$2:$E$257, 4, false)), 0, vlookup($A283, ESPN!$B$2:$E$257, 4, false))</f>
        <v>0</v>
      </c>
      <c r="G283" s="27">
        <f>if(ISNA(vlookup($A283, FFToolbox!$B$2:$E$239, 4, false)), 0, vlookup($A283, FFToolbox!$B$2:$E$239, 4, false))</f>
        <v>0</v>
      </c>
      <c r="H283" s="27">
        <f>if(ISNA(vlookup($A283, FantasyPro!$B$2:$E$316, 4, false)), 0, vlookup($A283, FantasyPro!$B$2:$E$316, 4, false))</f>
        <v>0</v>
      </c>
      <c r="I283" s="27">
        <f>if(ISNA(vlookup($A283, RotoWire!$B$2:$E$681, 4, false)), 0, vlookup($A283, RotoWire!$B$2:$E$681, 4, false))</f>
        <v>0</v>
      </c>
      <c r="J283" s="28">
        <f t="shared" si="1"/>
        <v>0</v>
      </c>
      <c r="K283" s="28">
        <f t="shared" si="2"/>
        <v>0</v>
      </c>
    </row>
    <row r="284" hidden="1">
      <c r="A284" s="6" t="s">
        <v>495</v>
      </c>
      <c r="B284" s="25" t="s">
        <v>955</v>
      </c>
      <c r="C284" s="5" t="s">
        <v>16</v>
      </c>
      <c r="D284" s="5" t="s">
        <v>14</v>
      </c>
      <c r="E284" s="26">
        <f>vlookup(C284,'Team Bye List'!$A$1:$B$33,2,False)</f>
        <v>9</v>
      </c>
      <c r="F284" s="27">
        <f>if(ISNA(vlookup($A284, ESPN!$B$2:$E$257, 4, false)), 0, vlookup($A284, ESPN!$B$2:$E$257, 4, false))</f>
        <v>0</v>
      </c>
      <c r="G284" s="27">
        <f>if(ISNA(vlookup($A284, FFToolbox!$B$2:$E$239, 4, false)), 0, vlookup($A284, FFToolbox!$B$2:$E$239, 4, false))</f>
        <v>0</v>
      </c>
      <c r="H284" s="27">
        <f>if(ISNA(vlookup($A284, FantasyPro!$B$2:$E$316, 4, false)), 0, vlookup($A284, FantasyPro!$B$2:$E$316, 4, false))</f>
        <v>0</v>
      </c>
      <c r="I284" s="27">
        <f>if(ISNA(vlookup($A284, RotoWire!$B$2:$E$681, 4, false)), 0, vlookup($A284, RotoWire!$B$2:$E$681, 4, false))</f>
        <v>0</v>
      </c>
      <c r="J284" s="28">
        <f t="shared" si="1"/>
        <v>0</v>
      </c>
      <c r="K284" s="28">
        <f t="shared" si="2"/>
        <v>0</v>
      </c>
    </row>
    <row r="285" hidden="1">
      <c r="A285" s="6" t="s">
        <v>589</v>
      </c>
      <c r="B285" s="25" t="s">
        <v>955</v>
      </c>
      <c r="C285" s="5" t="s">
        <v>24</v>
      </c>
      <c r="D285" s="5" t="s">
        <v>14</v>
      </c>
      <c r="E285" s="26">
        <f>vlookup(C285,'Team Bye List'!$A$1:$B$33,2,False)</f>
        <v>9</v>
      </c>
      <c r="F285" s="27">
        <f>if(ISNA(vlookup($A285, ESPN!$B$2:$E$257, 4, false)), 0, vlookup($A285, ESPN!$B$2:$E$257, 4, false))</f>
        <v>0</v>
      </c>
      <c r="G285" s="27">
        <f>if(ISNA(vlookup($A285, FFToolbox!$B$2:$E$239, 4, false)), 0, vlookup($A285, FFToolbox!$B$2:$E$239, 4, false))</f>
        <v>0</v>
      </c>
      <c r="H285" s="27">
        <f>if(ISNA(vlookup($A285, FantasyPro!$B$2:$E$316, 4, false)), 0, vlookup($A285, FantasyPro!$B$2:$E$316, 4, false))</f>
        <v>0</v>
      </c>
      <c r="I285" s="27">
        <f>if(ISNA(vlookup($A285, RotoWire!$B$2:$E$681, 4, false)), 0, vlookup($A285, RotoWire!$B$2:$E$681, 4, false))</f>
        <v>0</v>
      </c>
      <c r="J285" s="28">
        <f t="shared" si="1"/>
        <v>0</v>
      </c>
      <c r="K285" s="28">
        <f t="shared" si="2"/>
        <v>0</v>
      </c>
    </row>
    <row r="286" hidden="1">
      <c r="A286" s="6" t="s">
        <v>196</v>
      </c>
      <c r="B286" s="25" t="s">
        <v>955</v>
      </c>
      <c r="C286" s="5" t="s">
        <v>30</v>
      </c>
      <c r="D286" s="5" t="s">
        <v>120</v>
      </c>
      <c r="E286" s="26">
        <f>vlookup(C286,'Team Bye List'!$A$1:$B$33,2,False)</f>
        <v>7</v>
      </c>
      <c r="F286" s="27">
        <f>if(ISNA(vlookup($A286, ESPN!$B$2:$E$257, 4, false)), 0, vlookup($A286, ESPN!$B$2:$E$257, 4, false))</f>
        <v>0</v>
      </c>
      <c r="G286" s="27">
        <f>if(ISNA(vlookup($A286, FFToolbox!$B$2:$E$239, 4, false)), 0, vlookup($A286, FFToolbox!$B$2:$E$239, 4, false))</f>
        <v>0</v>
      </c>
      <c r="H286" s="27">
        <f>if(ISNA(vlookup($A286, FantasyPro!$B$2:$E$316, 4, false)), 0, vlookup($A286, FantasyPro!$B$2:$E$316, 4, false))</f>
        <v>0</v>
      </c>
      <c r="I286" s="27">
        <f>if(ISNA(vlookup($A286, RotoWire!$B$2:$E$681, 4, false)), 0, vlookup($A286, RotoWire!$B$2:$E$681, 4, false))</f>
        <v>0</v>
      </c>
      <c r="J286" s="28">
        <f t="shared" si="1"/>
        <v>0</v>
      </c>
      <c r="K286" s="28">
        <f t="shared" si="2"/>
        <v>0</v>
      </c>
    </row>
    <row r="287" hidden="1">
      <c r="A287" s="6" t="s">
        <v>433</v>
      </c>
      <c r="B287" s="25" t="s">
        <v>955</v>
      </c>
      <c r="C287" s="5" t="s">
        <v>71</v>
      </c>
      <c r="D287" s="5" t="s">
        <v>12</v>
      </c>
      <c r="E287" s="26">
        <f>vlookup(C287,'Team Bye List'!$A$1:$B$33,2,False)</f>
        <v>5</v>
      </c>
      <c r="F287" s="27">
        <f>if(ISNA(vlookup($A287, ESPN!$B$2:$E$257, 4, false)), 0, vlookup($A287, ESPN!$B$2:$E$257, 4, false))</f>
        <v>0</v>
      </c>
      <c r="G287" s="27">
        <f>if(ISNA(vlookup($A287, FFToolbox!$B$2:$E$239, 4, false)), 0, vlookup($A287, FFToolbox!$B$2:$E$239, 4, false))</f>
        <v>0</v>
      </c>
      <c r="H287" s="27">
        <f>if(ISNA(vlookup($A287, FantasyPro!$B$2:$E$316, 4, false)), 0, vlookup($A287, FantasyPro!$B$2:$E$316, 4, false))</f>
        <v>0</v>
      </c>
      <c r="I287" s="27">
        <f>if(ISNA(vlookup($A287, RotoWire!$B$2:$E$681, 4, false)), 0, vlookup($A287, RotoWire!$B$2:$E$681, 4, false))</f>
        <v>0</v>
      </c>
      <c r="J287" s="28">
        <f t="shared" si="1"/>
        <v>0</v>
      </c>
      <c r="K287" s="28">
        <f t="shared" si="2"/>
        <v>0</v>
      </c>
    </row>
    <row r="288" hidden="1">
      <c r="A288" s="6" t="s">
        <v>396</v>
      </c>
      <c r="B288" s="25" t="s">
        <v>955</v>
      </c>
      <c r="C288" s="5" t="s">
        <v>96</v>
      </c>
      <c r="D288" s="5" t="s">
        <v>12</v>
      </c>
      <c r="E288" s="26">
        <f>vlookup(C288,'Team Bye List'!$A$1:$B$33,2,False)</f>
        <v>6</v>
      </c>
      <c r="F288" s="27">
        <f>if(ISNA(vlookup($A288, ESPN!$B$2:$E$257, 4, false)), 0, vlookup($A288, ESPN!$B$2:$E$257, 4, false))</f>
        <v>0</v>
      </c>
      <c r="G288" s="27">
        <f>if(ISNA(vlookup($A288, FFToolbox!$B$2:$E$239, 4, false)), 0, vlookup($A288, FFToolbox!$B$2:$E$239, 4, false))</f>
        <v>0</v>
      </c>
      <c r="H288" s="27">
        <f>if(ISNA(vlookup($A288, FantasyPro!$B$2:$E$316, 4, false)), 0, vlookup($A288, FantasyPro!$B$2:$E$316, 4, false))</f>
        <v>0</v>
      </c>
      <c r="I288" s="27">
        <f>if(ISNA(vlookup($A288, RotoWire!$B$2:$E$681, 4, false)), 0, vlookup($A288, RotoWire!$B$2:$E$681, 4, false))</f>
        <v>0</v>
      </c>
      <c r="J288" s="28">
        <f t="shared" si="1"/>
        <v>0</v>
      </c>
      <c r="K288" s="28">
        <f t="shared" si="2"/>
        <v>0</v>
      </c>
    </row>
    <row r="289" hidden="1">
      <c r="A289" s="6" t="s">
        <v>438</v>
      </c>
      <c r="B289" s="25" t="s">
        <v>955</v>
      </c>
      <c r="C289" s="5" t="s">
        <v>91</v>
      </c>
      <c r="D289" s="5" t="s">
        <v>12</v>
      </c>
      <c r="E289" s="26">
        <f>vlookup(C289,'Team Bye List'!$A$1:$B$33,2,False)</f>
        <v>10</v>
      </c>
      <c r="F289" s="27">
        <f>if(ISNA(vlookup($A289, ESPN!$B$2:$E$257, 4, false)), 0, vlookup($A289, ESPN!$B$2:$E$257, 4, false))</f>
        <v>0</v>
      </c>
      <c r="G289" s="27">
        <f>if(ISNA(vlookup($A289, FFToolbox!$B$2:$E$239, 4, false)), 0, vlookup($A289, FFToolbox!$B$2:$E$239, 4, false))</f>
        <v>0</v>
      </c>
      <c r="H289" s="27">
        <f>if(ISNA(vlookup($A289, FantasyPro!$B$2:$E$316, 4, false)), 0, vlookup($A289, FantasyPro!$B$2:$E$316, 4, false))</f>
        <v>0</v>
      </c>
      <c r="I289" s="27">
        <f>if(ISNA(vlookup($A289, RotoWire!$B$2:$E$681, 4, false)), 0, vlookup($A289, RotoWire!$B$2:$E$681, 4, false))</f>
        <v>0</v>
      </c>
      <c r="J289" s="28">
        <f t="shared" si="1"/>
        <v>0</v>
      </c>
      <c r="K289" s="28">
        <f t="shared" si="2"/>
        <v>0</v>
      </c>
    </row>
    <row r="290" hidden="1">
      <c r="A290" s="6" t="s">
        <v>277</v>
      </c>
      <c r="B290" s="25" t="s">
        <v>955</v>
      </c>
      <c r="C290" s="5" t="s">
        <v>46</v>
      </c>
      <c r="D290" s="5" t="s">
        <v>12</v>
      </c>
      <c r="E290" s="26">
        <f>vlookup(C290,'Team Bye List'!$A$1:$B$33,2,False)</f>
        <v>10</v>
      </c>
      <c r="F290" s="27">
        <f>if(ISNA(vlookup($A290, ESPN!$B$2:$E$257, 4, false)), 0, vlookup($A290, ESPN!$B$2:$E$257, 4, false))</f>
        <v>0</v>
      </c>
      <c r="G290" s="27">
        <f>if(ISNA(vlookup($A290, FFToolbox!$B$2:$E$239, 4, false)), 0, vlookup($A290, FFToolbox!$B$2:$E$239, 4, false))</f>
        <v>0</v>
      </c>
      <c r="H290" s="27">
        <f>if(ISNA(vlookup($A290, FantasyPro!$B$2:$E$316, 4, false)), 0, vlookup($A290, FantasyPro!$B$2:$E$316, 4, false))</f>
        <v>0</v>
      </c>
      <c r="I290" s="27">
        <f>if(ISNA(vlookup($A290, RotoWire!$B$2:$E$681, 4, false)), 0, vlookup($A290, RotoWire!$B$2:$E$681, 4, false))</f>
        <v>0</v>
      </c>
      <c r="J290" s="28">
        <f t="shared" si="1"/>
        <v>0</v>
      </c>
      <c r="K290" s="28">
        <f t="shared" si="2"/>
        <v>0</v>
      </c>
    </row>
    <row r="291" hidden="1">
      <c r="A291" s="6" t="s">
        <v>489</v>
      </c>
      <c r="B291" s="25" t="s">
        <v>955</v>
      </c>
      <c r="C291" s="5" t="s">
        <v>6</v>
      </c>
      <c r="D291" s="5" t="s">
        <v>14</v>
      </c>
      <c r="E291" s="26">
        <f>vlookup(C291,'Team Bye List'!$A$1:$B$33,2,False)</f>
        <v>11</v>
      </c>
      <c r="F291" s="27">
        <f>if(ISNA(vlookup($A291, ESPN!$B$2:$E$257, 4, false)), 0, vlookup($A291, ESPN!$B$2:$E$257, 4, false))</f>
        <v>0</v>
      </c>
      <c r="G291" s="27">
        <f>if(ISNA(vlookup($A291, FFToolbox!$B$2:$E$239, 4, false)), 0, vlookup($A291, FFToolbox!$B$2:$E$239, 4, false))</f>
        <v>0</v>
      </c>
      <c r="H291" s="27">
        <f>if(ISNA(vlookup($A291, FantasyPro!$B$2:$E$316, 4, false)), 0, vlookup($A291, FantasyPro!$B$2:$E$316, 4, false))</f>
        <v>0</v>
      </c>
      <c r="I291" s="27">
        <f>if(ISNA(vlookup($A291, RotoWire!$B$2:$E$681, 4, false)), 0, vlookup($A291, RotoWire!$B$2:$E$681, 4, false))</f>
        <v>0</v>
      </c>
      <c r="J291" s="28">
        <f t="shared" si="1"/>
        <v>0</v>
      </c>
      <c r="K291" s="28">
        <f t="shared" si="2"/>
        <v>0</v>
      </c>
    </row>
    <row r="292" hidden="1">
      <c r="A292" s="6" t="s">
        <v>649</v>
      </c>
      <c r="B292" s="25" t="s">
        <v>955</v>
      </c>
      <c r="C292" s="5" t="s">
        <v>35</v>
      </c>
      <c r="D292" s="5" t="s">
        <v>7</v>
      </c>
      <c r="E292" s="26">
        <f>vlookup(C292,'Team Bye List'!$A$1:$B$33,2,False)</f>
        <v>7</v>
      </c>
      <c r="F292" s="27">
        <f>if(ISNA(vlookup($A292, ESPN!$B$2:$E$257, 4, false)), 0, vlookup($A292, ESPN!$B$2:$E$257, 4, false))</f>
        <v>0</v>
      </c>
      <c r="G292" s="27">
        <f>if(ISNA(vlookup($A292, FFToolbox!$B$2:$E$239, 4, false)), 0, vlookup($A292, FFToolbox!$B$2:$E$239, 4, false))</f>
        <v>0</v>
      </c>
      <c r="H292" s="27">
        <f>if(ISNA(vlookup($A292, FantasyPro!$B$2:$E$316, 4, false)), 0, vlookup($A292, FantasyPro!$B$2:$E$316, 4, false))</f>
        <v>0</v>
      </c>
      <c r="I292" s="27">
        <f>if(ISNA(vlookup($A292, RotoWire!$B$2:$E$681, 4, false)), 0, vlookup($A292, RotoWire!$B$2:$E$681, 4, false))</f>
        <v>0</v>
      </c>
      <c r="J292" s="28">
        <f t="shared" si="1"/>
        <v>0</v>
      </c>
      <c r="K292" s="28">
        <f t="shared" si="2"/>
        <v>0</v>
      </c>
    </row>
    <row r="293" hidden="1">
      <c r="A293" s="8" t="s">
        <v>642</v>
      </c>
      <c r="B293" s="25" t="s">
        <v>955</v>
      </c>
      <c r="C293" s="5" t="s">
        <v>52</v>
      </c>
      <c r="D293" s="5" t="s">
        <v>7</v>
      </c>
      <c r="E293" s="26">
        <f>vlookup(C293,'Team Bye List'!$A$1:$B$33,2,False)</f>
        <v>4</v>
      </c>
      <c r="F293" s="27">
        <f>if(ISNA(vlookup($A293, ESPN!$B$2:$E$257, 4, false)), 0, vlookup($A293, ESPN!$B$2:$E$257, 4, false))</f>
        <v>0</v>
      </c>
      <c r="G293" s="27">
        <f>if(ISNA(vlookup($A293, FFToolbox!$B$2:$E$239, 4, false)), 0, vlookup($A293, FFToolbox!$B$2:$E$239, 4, false))</f>
        <v>0</v>
      </c>
      <c r="H293" s="27">
        <f>if(ISNA(vlookup($A293, FantasyPro!$B$2:$E$316, 4, false)), 0, vlookup($A293, FantasyPro!$B$2:$E$316, 4, false))</f>
        <v>0</v>
      </c>
      <c r="I293" s="27">
        <f>if(ISNA(vlookup($A293, RotoWire!$B$2:$E$681, 4, false)), 0, vlookup($A293, RotoWire!$B$2:$E$681, 4, false))</f>
        <v>0</v>
      </c>
      <c r="J293" s="28">
        <f t="shared" si="1"/>
        <v>0</v>
      </c>
      <c r="K293" s="28">
        <f t="shared" si="2"/>
        <v>0</v>
      </c>
    </row>
    <row r="294" hidden="1">
      <c r="A294" s="8" t="s">
        <v>257</v>
      </c>
      <c r="B294" s="25" t="s">
        <v>955</v>
      </c>
      <c r="C294" s="5" t="s">
        <v>20</v>
      </c>
      <c r="D294" s="5" t="s">
        <v>120</v>
      </c>
      <c r="E294" s="26">
        <f>vlookup(C294,'Team Bye List'!$A$1:$B$33,2,False)</f>
        <v>9</v>
      </c>
      <c r="F294" s="27">
        <f>if(ISNA(vlookup($A294, ESPN!$B$2:$E$257, 4, false)), 0, vlookup($A294, ESPN!$B$2:$E$257, 4, false))</f>
        <v>0</v>
      </c>
      <c r="G294" s="27">
        <f>if(ISNA(vlookup($A294, FFToolbox!$B$2:$E$239, 4, false)), 0, vlookup($A294, FFToolbox!$B$2:$E$239, 4, false))</f>
        <v>0</v>
      </c>
      <c r="H294" s="27">
        <f>if(ISNA(vlookup($A294, FantasyPro!$B$2:$E$316, 4, false)), 0, vlookup($A294, FantasyPro!$B$2:$E$316, 4, false))</f>
        <v>0</v>
      </c>
      <c r="I294" s="27">
        <f>if(ISNA(vlookup($A294, RotoWire!$B$2:$E$681, 4, false)), 0, vlookup($A294, RotoWire!$B$2:$E$681, 4, false))</f>
        <v>0</v>
      </c>
      <c r="J294" s="28">
        <f t="shared" si="1"/>
        <v>0</v>
      </c>
      <c r="K294" s="28">
        <f t="shared" si="2"/>
        <v>0</v>
      </c>
    </row>
    <row r="295" hidden="1">
      <c r="A295" s="8" t="s">
        <v>347</v>
      </c>
      <c r="B295" s="25" t="s">
        <v>955</v>
      </c>
      <c r="C295" s="5" t="s">
        <v>11</v>
      </c>
      <c r="D295" s="5" t="s">
        <v>12</v>
      </c>
      <c r="E295" s="26">
        <f>vlookup(C295,'Team Bye List'!$A$1:$B$33,2,False)</f>
        <v>12</v>
      </c>
      <c r="F295" s="27">
        <f>if(ISNA(vlookup($A295, ESPN!$B$2:$E$257, 4, false)), 0, vlookup($A295, ESPN!$B$2:$E$257, 4, false))</f>
        <v>0</v>
      </c>
      <c r="G295" s="27">
        <f>if(ISNA(vlookup($A295, FFToolbox!$B$2:$E$239, 4, false)), 0, vlookup($A295, FFToolbox!$B$2:$E$239, 4, false))</f>
        <v>0</v>
      </c>
      <c r="H295" s="27">
        <f>if(ISNA(vlookup($A295, FantasyPro!$B$2:$E$316, 4, false)), 0, vlookup($A295, FantasyPro!$B$2:$E$316, 4, false))</f>
        <v>0</v>
      </c>
      <c r="I295" s="27">
        <f>if(ISNA(vlookup($A295, RotoWire!$B$2:$E$681, 4, false)), 0, vlookup($A295, RotoWire!$B$2:$E$681, 4, false))</f>
        <v>0</v>
      </c>
      <c r="J295" s="28">
        <f t="shared" si="1"/>
        <v>0</v>
      </c>
      <c r="K295" s="28">
        <f t="shared" si="2"/>
        <v>0</v>
      </c>
    </row>
    <row r="296">
      <c r="A296" s="8" t="s">
        <v>763</v>
      </c>
      <c r="B296" s="25" t="s">
        <v>955</v>
      </c>
      <c r="C296" s="5" t="s">
        <v>24</v>
      </c>
      <c r="D296" s="5" t="s">
        <v>39</v>
      </c>
      <c r="E296" s="26">
        <f>vlookup(C296,'Team Bye List'!$A$1:$B$33,2,False)</f>
        <v>9</v>
      </c>
      <c r="F296" s="27">
        <f>if(ISNA(vlookup($A296, ESPN!$B$2:$E$257, 4, false)), 0, vlookup($A296, ESPN!$B$2:$E$257, 4, false))</f>
        <v>0</v>
      </c>
      <c r="G296" s="27">
        <f>if(ISNA(vlookup($A296, FFToolbox!$B$2:$E$239, 4, false)), 0, vlookup($A296, FFToolbox!$B$2:$E$239, 4, false))</f>
        <v>0</v>
      </c>
      <c r="H296" s="27">
        <f>if(ISNA(vlookup($A296, FantasyPro!$B$2:$E$316, 4, false)), 0, vlookup($A296, FantasyPro!$B$2:$E$316, 4, false))</f>
        <v>0</v>
      </c>
      <c r="I296" s="27">
        <f>if(ISNA(vlookup($A296, RotoWire!$B$2:$E$681, 4, false)), 0, vlookup($A296, RotoWire!$B$2:$E$681, 4, false))</f>
        <v>0</v>
      </c>
      <c r="J296" s="28">
        <f t="shared" si="1"/>
        <v>0</v>
      </c>
      <c r="K296" s="28">
        <f t="shared" si="2"/>
        <v>0</v>
      </c>
    </row>
    <row r="297" hidden="1">
      <c r="A297" s="8" t="s">
        <v>333</v>
      </c>
      <c r="B297" s="25" t="s">
        <v>955</v>
      </c>
      <c r="C297" s="5" t="s">
        <v>9</v>
      </c>
      <c r="D297" s="5" t="s">
        <v>12</v>
      </c>
      <c r="E297" s="26">
        <f>vlookup(C297,'Team Bye List'!$A$1:$B$33,2,False)</f>
        <v>8</v>
      </c>
      <c r="F297" s="27">
        <f>if(ISNA(vlookup($A297, ESPN!$B$2:$E$257, 4, false)), 0, vlookup($A297, ESPN!$B$2:$E$257, 4, false))</f>
        <v>0</v>
      </c>
      <c r="G297" s="27">
        <f>if(ISNA(vlookup($A297, FFToolbox!$B$2:$E$239, 4, false)), 0, vlookup($A297, FFToolbox!$B$2:$E$239, 4, false))</f>
        <v>0</v>
      </c>
      <c r="H297" s="27">
        <f>if(ISNA(vlookup($A297, FantasyPro!$B$2:$E$316, 4, false)), 0, vlookup($A297, FantasyPro!$B$2:$E$316, 4, false))</f>
        <v>0</v>
      </c>
      <c r="I297" s="27">
        <f>if(ISNA(vlookup($A297, RotoWire!$B$2:$E$681, 4, false)), 0, vlookup($A297, RotoWire!$B$2:$E$681, 4, false))</f>
        <v>0</v>
      </c>
      <c r="J297" s="28">
        <f t="shared" si="1"/>
        <v>0</v>
      </c>
      <c r="K297" s="28">
        <f t="shared" si="2"/>
        <v>0</v>
      </c>
    </row>
    <row r="298">
      <c r="A298" s="6" t="s">
        <v>749</v>
      </c>
      <c r="B298" s="25" t="s">
        <v>955</v>
      </c>
      <c r="C298" s="5" t="s">
        <v>37</v>
      </c>
      <c r="D298" s="5" t="s">
        <v>39</v>
      </c>
      <c r="E298" s="26">
        <f>vlookup(C298,'Team Bye List'!$A$1:$B$33,2,False)</f>
        <v>7</v>
      </c>
      <c r="F298" s="27">
        <f>if(ISNA(vlookup($A298, ESPN!$B$2:$E$257, 4, false)), 0, vlookup($A298, ESPN!$B$2:$E$257, 4, false))</f>
        <v>0</v>
      </c>
      <c r="G298" s="27">
        <f>if(ISNA(vlookup($A298, FFToolbox!$B$2:$E$239, 4, false)), 0, vlookup($A298, FFToolbox!$B$2:$E$239, 4, false))</f>
        <v>0</v>
      </c>
      <c r="H298" s="27">
        <f>if(ISNA(vlookup($A298, FantasyPro!$B$2:$E$316, 4, false)), 0, vlookup($A298, FantasyPro!$B$2:$E$316, 4, false))</f>
        <v>0</v>
      </c>
      <c r="I298" s="27">
        <f>if(ISNA(vlookup($A298, RotoWire!$B$2:$E$681, 4, false)), 0, vlookup($A298, RotoWire!$B$2:$E$681, 4, false))</f>
        <v>0</v>
      </c>
      <c r="J298" s="28">
        <f t="shared" si="1"/>
        <v>0</v>
      </c>
      <c r="K298" s="28">
        <f t="shared" si="2"/>
        <v>0</v>
      </c>
    </row>
    <row r="299" hidden="1">
      <c r="A299" s="6" t="s">
        <v>691</v>
      </c>
      <c r="B299" s="25" t="s">
        <v>955</v>
      </c>
      <c r="C299" s="5" t="s">
        <v>69</v>
      </c>
      <c r="D299" s="5" t="s">
        <v>7</v>
      </c>
      <c r="E299" s="26">
        <f>vlookup(C299,'Team Bye List'!$A$1:$B$33,2,False)</f>
        <v>11</v>
      </c>
      <c r="F299" s="27">
        <f>if(ISNA(vlookup($A299, ESPN!$B$2:$E$257, 4, false)), 0, vlookup($A299, ESPN!$B$2:$E$257, 4, false))</f>
        <v>0</v>
      </c>
      <c r="G299" s="27">
        <f>if(ISNA(vlookup($A299, FFToolbox!$B$2:$E$239, 4, false)), 0, vlookup($A299, FFToolbox!$B$2:$E$239, 4, false))</f>
        <v>0</v>
      </c>
      <c r="H299" s="27">
        <f>if(ISNA(vlookup($A299, FantasyPro!$B$2:$E$316, 4, false)), 0, vlookup($A299, FantasyPro!$B$2:$E$316, 4, false))</f>
        <v>0</v>
      </c>
      <c r="I299" s="27">
        <f>if(ISNA(vlookup($A299, RotoWire!$B$2:$E$681, 4, false)), 0, vlookup($A299, RotoWire!$B$2:$E$681, 4, false))</f>
        <v>0</v>
      </c>
      <c r="J299" s="28">
        <f t="shared" si="1"/>
        <v>0</v>
      </c>
      <c r="K299" s="28">
        <f t="shared" si="2"/>
        <v>0</v>
      </c>
    </row>
    <row r="300" hidden="1">
      <c r="A300" s="6" t="s">
        <v>530</v>
      </c>
      <c r="B300" s="25" t="s">
        <v>955</v>
      </c>
      <c r="C300" s="5" t="s">
        <v>37</v>
      </c>
      <c r="D300" s="5" t="s">
        <v>14</v>
      </c>
      <c r="E300" s="26">
        <f>vlookup(C300,'Team Bye List'!$A$1:$B$33,2,False)</f>
        <v>7</v>
      </c>
      <c r="F300" s="27">
        <f>if(ISNA(vlookup($A300, ESPN!$B$2:$E$257, 4, false)), 0, vlookup($A300, ESPN!$B$2:$E$257, 4, false))</f>
        <v>0</v>
      </c>
      <c r="G300" s="27">
        <f>if(ISNA(vlookup($A300, FFToolbox!$B$2:$E$239, 4, false)), 0, vlookup($A300, FFToolbox!$B$2:$E$239, 4, false))</f>
        <v>0</v>
      </c>
      <c r="H300" s="27">
        <f>if(ISNA(vlookup($A300, FantasyPro!$B$2:$E$316, 4, false)), 0, vlookup($A300, FantasyPro!$B$2:$E$316, 4, false))</f>
        <v>0</v>
      </c>
      <c r="I300" s="27">
        <f>if(ISNA(vlookup($A300, RotoWire!$B$2:$E$681, 4, false)), 0, vlookup($A300, RotoWire!$B$2:$E$681, 4, false))</f>
        <v>0</v>
      </c>
      <c r="J300" s="28">
        <f t="shared" si="1"/>
        <v>0</v>
      </c>
      <c r="K300" s="28">
        <f t="shared" si="2"/>
        <v>0</v>
      </c>
    </row>
    <row r="301">
      <c r="A301" s="6" t="s">
        <v>804</v>
      </c>
      <c r="B301" s="25" t="s">
        <v>955</v>
      </c>
      <c r="C301" s="5" t="s">
        <v>24</v>
      </c>
      <c r="D301" s="5" t="s">
        <v>39</v>
      </c>
      <c r="E301" s="26">
        <f>vlookup(C301,'Team Bye List'!$A$1:$B$33,2,False)</f>
        <v>9</v>
      </c>
      <c r="F301" s="27">
        <f>if(ISNA(vlookup($A301, ESPN!$B$2:$E$257, 4, false)), 0, vlookup($A301, ESPN!$B$2:$E$257, 4, false))</f>
        <v>0</v>
      </c>
      <c r="G301" s="27">
        <f>if(ISNA(vlookup($A301, FFToolbox!$B$2:$E$239, 4, false)), 0, vlookup($A301, FFToolbox!$B$2:$E$239, 4, false))</f>
        <v>0</v>
      </c>
      <c r="H301" s="27">
        <f>if(ISNA(vlookup($A301, FantasyPro!$B$2:$E$316, 4, false)), 0, vlookup($A301, FantasyPro!$B$2:$E$316, 4, false))</f>
        <v>0</v>
      </c>
      <c r="I301" s="27">
        <f>if(ISNA(vlookup($A301, RotoWire!$B$2:$E$681, 4, false)), 0, vlookup($A301, RotoWire!$B$2:$E$681, 4, false))</f>
        <v>0</v>
      </c>
      <c r="J301" s="28">
        <f t="shared" si="1"/>
        <v>0</v>
      </c>
      <c r="K301" s="28">
        <f t="shared" si="2"/>
        <v>0</v>
      </c>
    </row>
    <row r="302" hidden="1">
      <c r="A302" s="6" t="s">
        <v>737</v>
      </c>
      <c r="B302" s="25" t="s">
        <v>955</v>
      </c>
      <c r="C302" s="5" t="s">
        <v>46</v>
      </c>
      <c r="D302" s="5" t="s">
        <v>7</v>
      </c>
      <c r="E302" s="26">
        <f>vlookup(C302,'Team Bye List'!$A$1:$B$33,2,False)</f>
        <v>10</v>
      </c>
      <c r="F302" s="27">
        <f>if(ISNA(vlookup($A302, ESPN!$B$2:$E$257, 4, false)), 0, vlookup($A302, ESPN!$B$2:$E$257, 4, false))</f>
        <v>0</v>
      </c>
      <c r="G302" s="27">
        <f>if(ISNA(vlookup($A302, FFToolbox!$B$2:$E$239, 4, false)), 0, vlookup($A302, FFToolbox!$B$2:$E$239, 4, false))</f>
        <v>0</v>
      </c>
      <c r="H302" s="27">
        <f>if(ISNA(vlookup($A302, FantasyPro!$B$2:$E$316, 4, false)), 0, vlookup($A302, FantasyPro!$B$2:$E$316, 4, false))</f>
        <v>0</v>
      </c>
      <c r="I302" s="27">
        <f>if(ISNA(vlookup($A302, RotoWire!$B$2:$E$681, 4, false)), 0, vlookup($A302, RotoWire!$B$2:$E$681, 4, false))</f>
        <v>0</v>
      </c>
      <c r="J302" s="28">
        <f t="shared" si="1"/>
        <v>0</v>
      </c>
      <c r="K302" s="28">
        <f t="shared" si="2"/>
        <v>0</v>
      </c>
    </row>
    <row r="303" hidden="1">
      <c r="A303" s="6" t="s">
        <v>211</v>
      </c>
      <c r="B303" s="25" t="s">
        <v>955</v>
      </c>
      <c r="C303" s="5" t="s">
        <v>122</v>
      </c>
      <c r="D303" s="5" t="s">
        <v>120</v>
      </c>
      <c r="E303" s="26">
        <f>vlookup(C303,'Team Bye List'!$A$1:$B$33,2,False)</f>
        <v>10</v>
      </c>
      <c r="F303" s="27">
        <f>if(ISNA(vlookup($A303, ESPN!$B$2:$E$257, 4, false)), 0, vlookup($A303, ESPN!$B$2:$E$257, 4, false))</f>
        <v>0</v>
      </c>
      <c r="G303" s="27">
        <f>if(ISNA(vlookup($A303, FFToolbox!$B$2:$E$239, 4, false)), 0, vlookup($A303, FFToolbox!$B$2:$E$239, 4, false))</f>
        <v>0</v>
      </c>
      <c r="H303" s="27">
        <f>if(ISNA(vlookup($A303, FantasyPro!$B$2:$E$316, 4, false)), 0, vlookup($A303, FantasyPro!$B$2:$E$316, 4, false))</f>
        <v>0</v>
      </c>
      <c r="I303" s="27">
        <f>if(ISNA(vlookup($A303, RotoWire!$B$2:$E$681, 4, false)), 0, vlookup($A303, RotoWire!$B$2:$E$681, 4, false))</f>
        <v>0</v>
      </c>
      <c r="J303" s="28">
        <f t="shared" si="1"/>
        <v>0</v>
      </c>
      <c r="K303" s="28">
        <f t="shared" si="2"/>
        <v>0</v>
      </c>
    </row>
    <row r="304" hidden="1">
      <c r="A304" s="6" t="s">
        <v>583</v>
      </c>
      <c r="B304" s="25" t="s">
        <v>955</v>
      </c>
      <c r="C304" s="5" t="s">
        <v>71</v>
      </c>
      <c r="D304" s="5" t="s">
        <v>14</v>
      </c>
      <c r="E304" s="26">
        <f>vlookup(C304,'Team Bye List'!$A$1:$B$33,2,False)</f>
        <v>5</v>
      </c>
      <c r="F304" s="27">
        <f>if(ISNA(vlookup($A304, ESPN!$B$2:$E$257, 4, false)), 0, vlookup($A304, ESPN!$B$2:$E$257, 4, false))</f>
        <v>0</v>
      </c>
      <c r="G304" s="27">
        <f>if(ISNA(vlookup($A304, FFToolbox!$B$2:$E$239, 4, false)), 0, vlookup($A304, FFToolbox!$B$2:$E$239, 4, false))</f>
        <v>0</v>
      </c>
      <c r="H304" s="27">
        <f>if(ISNA(vlookup($A304, FantasyPro!$B$2:$E$316, 4, false)), 0, vlookup($A304, FantasyPro!$B$2:$E$316, 4, false))</f>
        <v>0</v>
      </c>
      <c r="I304" s="27">
        <f>if(ISNA(vlookup($A304, RotoWire!$B$2:$E$681, 4, false)), 0, vlookup($A304, RotoWire!$B$2:$E$681, 4, false))</f>
        <v>0</v>
      </c>
      <c r="J304" s="28">
        <f t="shared" si="1"/>
        <v>0</v>
      </c>
      <c r="K304" s="28">
        <f t="shared" si="2"/>
        <v>0</v>
      </c>
    </row>
    <row r="305" hidden="1">
      <c r="A305" s="6" t="s">
        <v>566</v>
      </c>
      <c r="B305" s="25" t="s">
        <v>955</v>
      </c>
      <c r="C305" s="5" t="s">
        <v>35</v>
      </c>
      <c r="D305" s="5" t="s">
        <v>14</v>
      </c>
      <c r="E305" s="26">
        <f>vlookup(C305,'Team Bye List'!$A$1:$B$33,2,False)</f>
        <v>7</v>
      </c>
      <c r="F305" s="27">
        <f>if(ISNA(vlookup($A305, ESPN!$B$2:$E$257, 4, false)), 0, vlookup($A305, ESPN!$B$2:$E$257, 4, false))</f>
        <v>0</v>
      </c>
      <c r="G305" s="27">
        <f>if(ISNA(vlookup($A305, FFToolbox!$B$2:$E$239, 4, false)), 0, vlookup($A305, FFToolbox!$B$2:$E$239, 4, false))</f>
        <v>0</v>
      </c>
      <c r="H305" s="27">
        <f>if(ISNA(vlookup($A305, FantasyPro!$B$2:$E$316, 4, false)), 0, vlookup($A305, FantasyPro!$B$2:$E$316, 4, false))</f>
        <v>0</v>
      </c>
      <c r="I305" s="27">
        <f>if(ISNA(vlookup($A305, RotoWire!$B$2:$E$681, 4, false)), 0, vlookup($A305, RotoWire!$B$2:$E$681, 4, false))</f>
        <v>0</v>
      </c>
      <c r="J305" s="28">
        <f t="shared" si="1"/>
        <v>0</v>
      </c>
      <c r="K305" s="28">
        <f t="shared" si="2"/>
        <v>0</v>
      </c>
    </row>
    <row r="306" hidden="1">
      <c r="A306" s="6" t="s">
        <v>534</v>
      </c>
      <c r="B306" s="25" t="s">
        <v>955</v>
      </c>
      <c r="C306" s="5" t="s">
        <v>62</v>
      </c>
      <c r="D306" s="5" t="s">
        <v>14</v>
      </c>
      <c r="E306" s="26">
        <f>vlookup(C306,'Team Bye List'!$A$1:$B$33,2,False)</f>
        <v>12</v>
      </c>
      <c r="F306" s="27">
        <f>if(ISNA(vlookup($A306, ESPN!$B$2:$E$257, 4, false)), 0, vlookup($A306, ESPN!$B$2:$E$257, 4, false))</f>
        <v>0</v>
      </c>
      <c r="G306" s="27">
        <f>if(ISNA(vlookup($A306, FFToolbox!$B$2:$E$239, 4, false)), 0, vlookup($A306, FFToolbox!$B$2:$E$239, 4, false))</f>
        <v>0</v>
      </c>
      <c r="H306" s="27">
        <f>if(ISNA(vlookup($A306, FantasyPro!$B$2:$E$316, 4, false)), 0, vlookup($A306, FantasyPro!$B$2:$E$316, 4, false))</f>
        <v>0</v>
      </c>
      <c r="I306" s="27">
        <f>if(ISNA(vlookup($A306, RotoWire!$B$2:$E$681, 4, false)), 0, vlookup($A306, RotoWire!$B$2:$E$681, 4, false))</f>
        <v>0</v>
      </c>
      <c r="J306" s="28">
        <f t="shared" si="1"/>
        <v>0</v>
      </c>
      <c r="K306" s="28">
        <f t="shared" si="2"/>
        <v>0</v>
      </c>
    </row>
    <row r="307" hidden="1">
      <c r="A307" s="6" t="s">
        <v>524</v>
      </c>
      <c r="B307" s="25" t="s">
        <v>955</v>
      </c>
      <c r="C307" s="5" t="s">
        <v>46</v>
      </c>
      <c r="D307" s="5" t="s">
        <v>14</v>
      </c>
      <c r="E307" s="26">
        <f>vlookup(C307,'Team Bye List'!$A$1:$B$33,2,False)</f>
        <v>10</v>
      </c>
      <c r="F307" s="27">
        <f>if(ISNA(vlookup($A307, ESPN!$B$2:$E$257, 4, false)), 0, vlookup($A307, ESPN!$B$2:$E$257, 4, false))</f>
        <v>0</v>
      </c>
      <c r="G307" s="27">
        <f>if(ISNA(vlookup($A307, FFToolbox!$B$2:$E$239, 4, false)), 0, vlookup($A307, FFToolbox!$B$2:$E$239, 4, false))</f>
        <v>0</v>
      </c>
      <c r="H307" s="27">
        <f>if(ISNA(vlookup($A307, FantasyPro!$B$2:$E$316, 4, false)), 0, vlookup($A307, FantasyPro!$B$2:$E$316, 4, false))</f>
        <v>0</v>
      </c>
      <c r="I307" s="27">
        <f>if(ISNA(vlookup($A307, RotoWire!$B$2:$E$681, 4, false)), 0, vlookup($A307, RotoWire!$B$2:$E$681, 4, false))</f>
        <v>0</v>
      </c>
      <c r="J307" s="28">
        <f t="shared" si="1"/>
        <v>0</v>
      </c>
      <c r="K307" s="28">
        <f t="shared" si="2"/>
        <v>0</v>
      </c>
    </row>
    <row r="308" hidden="1">
      <c r="A308" s="6" t="s">
        <v>609</v>
      </c>
      <c r="B308" s="25" t="s">
        <v>955</v>
      </c>
      <c r="C308" s="5" t="s">
        <v>30</v>
      </c>
      <c r="D308" s="5" t="s">
        <v>14</v>
      </c>
      <c r="E308" s="26">
        <f>vlookup(C308,'Team Bye List'!$A$1:$B$33,2,False)</f>
        <v>7</v>
      </c>
      <c r="F308" s="27">
        <f>if(ISNA(vlookup($A308, ESPN!$B$2:$E$257, 4, false)), 0, vlookup($A308, ESPN!$B$2:$E$257, 4, false))</f>
        <v>0</v>
      </c>
      <c r="G308" s="27">
        <f>if(ISNA(vlookup($A308, FFToolbox!$B$2:$E$239, 4, false)), 0, vlookup($A308, FFToolbox!$B$2:$E$239, 4, false))</f>
        <v>0</v>
      </c>
      <c r="H308" s="27">
        <f>if(ISNA(vlookup($A308, FantasyPro!$B$2:$E$316, 4, false)), 0, vlookup($A308, FantasyPro!$B$2:$E$316, 4, false))</f>
        <v>0</v>
      </c>
      <c r="I308" s="27">
        <f>if(ISNA(vlookup($A308, RotoWire!$B$2:$E$681, 4, false)), 0, vlookup($A308, RotoWire!$B$2:$E$681, 4, false))</f>
        <v>0</v>
      </c>
      <c r="J308" s="28">
        <f t="shared" si="1"/>
        <v>0</v>
      </c>
      <c r="K308" s="28">
        <f t="shared" si="2"/>
        <v>0</v>
      </c>
    </row>
    <row r="309" hidden="1">
      <c r="A309" s="8" t="s">
        <v>526</v>
      </c>
      <c r="B309" s="25" t="s">
        <v>955</v>
      </c>
      <c r="C309" s="5" t="s">
        <v>122</v>
      </c>
      <c r="D309" s="5" t="s">
        <v>14</v>
      </c>
      <c r="E309" s="26">
        <f>vlookup(C309,'Team Bye List'!$A$1:$B$33,2,False)</f>
        <v>10</v>
      </c>
      <c r="F309" s="27">
        <f>if(ISNA(vlookup($A309, ESPN!$B$2:$E$257, 4, false)), 0, vlookup($A309, ESPN!$B$2:$E$257, 4, false))</f>
        <v>0</v>
      </c>
      <c r="G309" s="27">
        <f>if(ISNA(vlookup($A309, FFToolbox!$B$2:$E$239, 4, false)), 0, vlookup($A309, FFToolbox!$B$2:$E$239, 4, false))</f>
        <v>0</v>
      </c>
      <c r="H309" s="27">
        <f>if(ISNA(vlookup($A309, FantasyPro!$B$2:$E$316, 4, false)), 0, vlookup($A309, FantasyPro!$B$2:$E$316, 4, false))</f>
        <v>0</v>
      </c>
      <c r="I309" s="27">
        <f>if(ISNA(vlookup($A309, RotoWire!$B$2:$E$681, 4, false)), 0, vlookup($A309, RotoWire!$B$2:$E$681, 4, false))</f>
        <v>0</v>
      </c>
      <c r="J309" s="28">
        <f t="shared" si="1"/>
        <v>0</v>
      </c>
      <c r="K309" s="28">
        <f t="shared" si="2"/>
        <v>0</v>
      </c>
    </row>
    <row r="310" hidden="1">
      <c r="A310" s="6" t="s">
        <v>313</v>
      </c>
      <c r="B310" s="25" t="s">
        <v>955</v>
      </c>
      <c r="C310" s="5" t="s">
        <v>37</v>
      </c>
      <c r="D310" s="5" t="s">
        <v>14</v>
      </c>
      <c r="E310" s="26">
        <f>vlookup(C310,'Team Bye List'!$A$1:$B$33,2,False)</f>
        <v>7</v>
      </c>
      <c r="F310" s="27">
        <f>if(ISNA(vlookup($A310, ESPN!$B$2:$E$257, 4, false)), 0, vlookup($A310, ESPN!$B$2:$E$257, 4, false))</f>
        <v>0</v>
      </c>
      <c r="G310" s="27">
        <f>if(ISNA(vlookup($A310, FFToolbox!$B$2:$E$239, 4, false)), 0, vlookup($A310, FFToolbox!$B$2:$E$239, 4, false))</f>
        <v>0</v>
      </c>
      <c r="H310" s="27">
        <f>if(ISNA(vlookup($A310, FantasyPro!$B$2:$E$316, 4, false)), 0, vlookup($A310, FantasyPro!$B$2:$E$316, 4, false))</f>
        <v>0</v>
      </c>
      <c r="I310" s="27">
        <f>if(ISNA(vlookup($A310, RotoWire!$B$2:$E$681, 4, false)), 0, vlookup($A310, RotoWire!$B$2:$E$681, 4, false))</f>
        <v>0</v>
      </c>
      <c r="J310" s="28">
        <f t="shared" si="1"/>
        <v>0</v>
      </c>
      <c r="K310" s="28">
        <f t="shared" si="2"/>
        <v>0</v>
      </c>
    </row>
    <row r="311">
      <c r="A311" s="6" t="s">
        <v>755</v>
      </c>
      <c r="B311" s="25" t="s">
        <v>955</v>
      </c>
      <c r="C311" s="5" t="s">
        <v>26</v>
      </c>
      <c r="D311" s="5" t="s">
        <v>39</v>
      </c>
      <c r="E311" s="26">
        <f>vlookup(C311,'Team Bye List'!$A$1:$B$33,2,False)</f>
        <v>12</v>
      </c>
      <c r="F311" s="27">
        <f>if(ISNA(vlookup($A311, ESPN!$B$2:$E$257, 4, false)), 0, vlookup($A311, ESPN!$B$2:$E$257, 4, false))</f>
        <v>0</v>
      </c>
      <c r="G311" s="27">
        <f>if(ISNA(vlookup($A311, FFToolbox!$B$2:$E$239, 4, false)), 0, vlookup($A311, FFToolbox!$B$2:$E$239, 4, false))</f>
        <v>0</v>
      </c>
      <c r="H311" s="27">
        <f>if(ISNA(vlookup($A311, FantasyPro!$B$2:$E$316, 4, false)), 0, vlookup($A311, FantasyPro!$B$2:$E$316, 4, false))</f>
        <v>0</v>
      </c>
      <c r="I311" s="27">
        <f>if(ISNA(vlookup($A311, RotoWire!$B$2:$E$681, 4, false)), 0, vlookup($A311, RotoWire!$B$2:$E$681, 4, false))</f>
        <v>0</v>
      </c>
      <c r="J311" s="28">
        <f t="shared" si="1"/>
        <v>0</v>
      </c>
      <c r="K311" s="28">
        <f t="shared" si="2"/>
        <v>0</v>
      </c>
    </row>
    <row r="312">
      <c r="A312" s="6" t="s">
        <v>797</v>
      </c>
      <c r="B312" s="25" t="s">
        <v>955</v>
      </c>
      <c r="C312" s="5" t="s">
        <v>122</v>
      </c>
      <c r="D312" s="5" t="s">
        <v>39</v>
      </c>
      <c r="E312" s="26">
        <f>vlookup(C312,'Team Bye List'!$A$1:$B$33,2,False)</f>
        <v>10</v>
      </c>
      <c r="F312" s="27">
        <f>if(ISNA(vlookup($A312, ESPN!$B$2:$E$257, 4, false)), 0, vlookup($A312, ESPN!$B$2:$E$257, 4, false))</f>
        <v>0</v>
      </c>
      <c r="G312" s="27">
        <f>if(ISNA(vlookup($A312, FFToolbox!$B$2:$E$239, 4, false)), 0, vlookup($A312, FFToolbox!$B$2:$E$239, 4, false))</f>
        <v>0</v>
      </c>
      <c r="H312" s="27">
        <f>if(ISNA(vlookup($A312, FantasyPro!$B$2:$E$316, 4, false)), 0, vlookup($A312, FantasyPro!$B$2:$E$316, 4, false))</f>
        <v>0</v>
      </c>
      <c r="I312" s="27">
        <f>if(ISNA(vlookup($A312, RotoWire!$B$2:$E$681, 4, false)), 0, vlookup($A312, RotoWire!$B$2:$E$681, 4, false))</f>
        <v>0</v>
      </c>
      <c r="J312" s="28">
        <f t="shared" si="1"/>
        <v>0</v>
      </c>
      <c r="K312" s="28">
        <f t="shared" si="2"/>
        <v>0</v>
      </c>
    </row>
    <row r="313" hidden="1">
      <c r="A313" s="6" t="s">
        <v>667</v>
      </c>
      <c r="B313" s="25" t="s">
        <v>955</v>
      </c>
      <c r="C313" s="5" t="s">
        <v>20</v>
      </c>
      <c r="D313" s="5" t="s">
        <v>7</v>
      </c>
      <c r="E313" s="26">
        <f>vlookup(C313,'Team Bye List'!$A$1:$B$33,2,False)</f>
        <v>9</v>
      </c>
      <c r="F313" s="27">
        <f>if(ISNA(vlookup($A313, ESPN!$B$2:$E$257, 4, false)), 0, vlookup($A313, ESPN!$B$2:$E$257, 4, false))</f>
        <v>0</v>
      </c>
      <c r="G313" s="27">
        <f>if(ISNA(vlookup($A313, FFToolbox!$B$2:$E$239, 4, false)), 0, vlookup($A313, FFToolbox!$B$2:$E$239, 4, false))</f>
        <v>0</v>
      </c>
      <c r="H313" s="27">
        <f>if(ISNA(vlookup($A313, FantasyPro!$B$2:$E$316, 4, false)), 0, vlookup($A313, FantasyPro!$B$2:$E$316, 4, false))</f>
        <v>0</v>
      </c>
      <c r="I313" s="27">
        <f>if(ISNA(vlookup($A313, RotoWire!$B$2:$E$681, 4, false)), 0, vlookup($A313, RotoWire!$B$2:$E$681, 4, false))</f>
        <v>0</v>
      </c>
      <c r="J313" s="28">
        <f t="shared" si="1"/>
        <v>0</v>
      </c>
      <c r="K313" s="28">
        <f t="shared" si="2"/>
        <v>0</v>
      </c>
    </row>
    <row r="314">
      <c r="A314" s="6" t="s">
        <v>766</v>
      </c>
      <c r="B314" s="25" t="s">
        <v>955</v>
      </c>
      <c r="C314" s="5" t="s">
        <v>46</v>
      </c>
      <c r="D314" s="5" t="s">
        <v>39</v>
      </c>
      <c r="E314" s="26">
        <f>vlookup(C314,'Team Bye List'!$A$1:$B$33,2,False)</f>
        <v>10</v>
      </c>
      <c r="F314" s="27">
        <f>if(ISNA(vlookup($A314, ESPN!$B$2:$E$257, 4, false)), 0, vlookup($A314, ESPN!$B$2:$E$257, 4, false))</f>
        <v>0</v>
      </c>
      <c r="G314" s="27">
        <f>if(ISNA(vlookup($A314, FFToolbox!$B$2:$E$239, 4, false)), 0, vlookup($A314, FFToolbox!$B$2:$E$239, 4, false))</f>
        <v>0</v>
      </c>
      <c r="H314" s="27">
        <f>if(ISNA(vlookup($A314, FantasyPro!$B$2:$E$316, 4, false)), 0, vlookup($A314, FantasyPro!$B$2:$E$316, 4, false))</f>
        <v>0</v>
      </c>
      <c r="I314" s="27">
        <f>if(ISNA(vlookup($A314, RotoWire!$B$2:$E$681, 4, false)), 0, vlookup($A314, RotoWire!$B$2:$E$681, 4, false))</f>
        <v>0</v>
      </c>
      <c r="J314" s="28">
        <f t="shared" si="1"/>
        <v>0</v>
      </c>
      <c r="K314" s="28">
        <f t="shared" si="2"/>
        <v>0</v>
      </c>
    </row>
    <row r="315" hidden="1">
      <c r="A315" s="6" t="s">
        <v>621</v>
      </c>
      <c r="B315" s="25" t="s">
        <v>955</v>
      </c>
      <c r="C315" s="5" t="s">
        <v>165</v>
      </c>
      <c r="D315" s="5" t="s">
        <v>14</v>
      </c>
      <c r="E315" s="26">
        <f>vlookup(C315,'Team Bye List'!$A$1:$B$33,2,False)</f>
        <v>10</v>
      </c>
      <c r="F315" s="27">
        <f>if(ISNA(vlookup($A315, ESPN!$B$2:$E$257, 4, false)), 0, vlookup($A315, ESPN!$B$2:$E$257, 4, false))</f>
        <v>0</v>
      </c>
      <c r="G315" s="27">
        <f>if(ISNA(vlookup($A315, FFToolbox!$B$2:$E$239, 4, false)), 0, vlookup($A315, FFToolbox!$B$2:$E$239, 4, false))</f>
        <v>0</v>
      </c>
      <c r="H315" s="27">
        <f>if(ISNA(vlookup($A315, FantasyPro!$B$2:$E$316, 4, false)), 0, vlookup($A315, FantasyPro!$B$2:$E$316, 4, false))</f>
        <v>0</v>
      </c>
      <c r="I315" s="27">
        <f>if(ISNA(vlookup($A315, RotoWire!$B$2:$E$681, 4, false)), 0, vlookup($A315, RotoWire!$B$2:$E$681, 4, false))</f>
        <v>0</v>
      </c>
      <c r="J315" s="28">
        <f t="shared" si="1"/>
        <v>0</v>
      </c>
      <c r="K315" s="28">
        <f t="shared" si="2"/>
        <v>0</v>
      </c>
    </row>
    <row r="316" hidden="1">
      <c r="A316" s="6" t="s">
        <v>615</v>
      </c>
      <c r="B316" s="25" t="s">
        <v>955</v>
      </c>
      <c r="C316" s="5" t="s">
        <v>163</v>
      </c>
      <c r="D316" s="5" t="s">
        <v>14</v>
      </c>
      <c r="E316" s="26">
        <f>vlookup(C316,'Team Bye List'!$A$1:$B$33,2,False)</f>
        <v>5</v>
      </c>
      <c r="F316" s="27">
        <f>if(ISNA(vlookup($A316, ESPN!$B$2:$E$257, 4, false)), 0, vlookup($A316, ESPN!$B$2:$E$257, 4, false))</f>
        <v>0</v>
      </c>
      <c r="G316" s="27">
        <f>if(ISNA(vlookup($A316, FFToolbox!$B$2:$E$239, 4, false)), 0, vlookup($A316, FFToolbox!$B$2:$E$239, 4, false))</f>
        <v>0</v>
      </c>
      <c r="H316" s="27">
        <f>if(ISNA(vlookup($A316, FantasyPro!$B$2:$E$316, 4, false)), 0, vlookup($A316, FantasyPro!$B$2:$E$316, 4, false))</f>
        <v>0</v>
      </c>
      <c r="I316" s="27">
        <f>if(ISNA(vlookup($A316, RotoWire!$B$2:$E$681, 4, false)), 0, vlookup($A316, RotoWire!$B$2:$E$681, 4, false))</f>
        <v>0</v>
      </c>
      <c r="J316" s="28">
        <f t="shared" si="1"/>
        <v>0</v>
      </c>
      <c r="K316" s="28">
        <f t="shared" si="2"/>
        <v>0</v>
      </c>
    </row>
    <row r="317" hidden="1">
      <c r="A317" s="6" t="s">
        <v>617</v>
      </c>
      <c r="B317" s="25" t="s">
        <v>955</v>
      </c>
      <c r="C317" s="5" t="s">
        <v>6</v>
      </c>
      <c r="D317" s="5" t="s">
        <v>14</v>
      </c>
      <c r="E317" s="26">
        <f>vlookup(C317,'Team Bye List'!$A$1:$B$33,2,False)</f>
        <v>11</v>
      </c>
      <c r="F317" s="27">
        <f>if(ISNA(vlookup($A317, ESPN!$B$2:$E$257, 4, false)), 0, vlookup($A317, ESPN!$B$2:$E$257, 4, false))</f>
        <v>0</v>
      </c>
      <c r="G317" s="27">
        <f>if(ISNA(vlookup($A317, FFToolbox!$B$2:$E$239, 4, false)), 0, vlookup($A317, FFToolbox!$B$2:$E$239, 4, false))</f>
        <v>0</v>
      </c>
      <c r="H317" s="27">
        <f>if(ISNA(vlookup($A317, FantasyPro!$B$2:$E$316, 4, false)), 0, vlookup($A317, FantasyPro!$B$2:$E$316, 4, false))</f>
        <v>0</v>
      </c>
      <c r="I317" s="27">
        <f>if(ISNA(vlookup($A317, RotoWire!$B$2:$E$681, 4, false)), 0, vlookup($A317, RotoWire!$B$2:$E$681, 4, false))</f>
        <v>0</v>
      </c>
      <c r="J317" s="28">
        <f t="shared" si="1"/>
        <v>0</v>
      </c>
      <c r="K317" s="28">
        <f t="shared" si="2"/>
        <v>0</v>
      </c>
    </row>
    <row r="318" hidden="1">
      <c r="A318" s="6" t="s">
        <v>702</v>
      </c>
      <c r="B318" s="25" t="s">
        <v>955</v>
      </c>
      <c r="C318" s="5" t="s">
        <v>37</v>
      </c>
      <c r="D318" s="5" t="s">
        <v>7</v>
      </c>
      <c r="E318" s="26">
        <f>vlookup(C318,'Team Bye List'!$A$1:$B$33,2,False)</f>
        <v>7</v>
      </c>
      <c r="F318" s="27">
        <f>if(ISNA(vlookup($A318, ESPN!$B$2:$E$257, 4, false)), 0, vlookup($A318, ESPN!$B$2:$E$257, 4, false))</f>
        <v>0</v>
      </c>
      <c r="G318" s="27">
        <f>if(ISNA(vlookup($A318, FFToolbox!$B$2:$E$239, 4, false)), 0, vlookup($A318, FFToolbox!$B$2:$E$239, 4, false))</f>
        <v>0</v>
      </c>
      <c r="H318" s="27">
        <f>if(ISNA(vlookup($A318, FantasyPro!$B$2:$E$316, 4, false)), 0, vlookup($A318, FantasyPro!$B$2:$E$316, 4, false))</f>
        <v>0</v>
      </c>
      <c r="I318" s="27">
        <f>if(ISNA(vlookup($A318, RotoWire!$B$2:$E$681, 4, false)), 0, vlookup($A318, RotoWire!$B$2:$E$681, 4, false))</f>
        <v>0</v>
      </c>
      <c r="J318" s="28">
        <f t="shared" si="1"/>
        <v>0</v>
      </c>
      <c r="K318" s="28">
        <f t="shared" si="2"/>
        <v>0</v>
      </c>
    </row>
    <row r="319" hidden="1">
      <c r="A319" s="6" t="s">
        <v>672</v>
      </c>
      <c r="B319" s="25" t="s">
        <v>955</v>
      </c>
      <c r="C319" s="5" t="s">
        <v>165</v>
      </c>
      <c r="D319" s="5" t="s">
        <v>7</v>
      </c>
      <c r="E319" s="26">
        <f>vlookup(C319,'Team Bye List'!$A$1:$B$33,2,False)</f>
        <v>10</v>
      </c>
      <c r="F319" s="27">
        <f>if(ISNA(vlookup($A319, ESPN!$B$2:$E$257, 4, false)), 0, vlookup($A319, ESPN!$B$2:$E$257, 4, false))</f>
        <v>0</v>
      </c>
      <c r="G319" s="27">
        <f>if(ISNA(vlookup($A319, FFToolbox!$B$2:$E$239, 4, false)), 0, vlookup($A319, FFToolbox!$B$2:$E$239, 4, false))</f>
        <v>0</v>
      </c>
      <c r="H319" s="27">
        <f>if(ISNA(vlookup($A319, FantasyPro!$B$2:$E$316, 4, false)), 0, vlookup($A319, FantasyPro!$B$2:$E$316, 4, false))</f>
        <v>0</v>
      </c>
      <c r="I319" s="27">
        <f>if(ISNA(vlookup($A319, RotoWire!$B$2:$E$681, 4, false)), 0, vlookup($A319, RotoWire!$B$2:$E$681, 4, false))</f>
        <v>0</v>
      </c>
      <c r="J319" s="28">
        <f t="shared" si="1"/>
        <v>0</v>
      </c>
      <c r="K319" s="28">
        <f t="shared" si="2"/>
        <v>0</v>
      </c>
    </row>
    <row r="320" hidden="1">
      <c r="A320" s="6" t="s">
        <v>420</v>
      </c>
      <c r="B320" s="25" t="s">
        <v>955</v>
      </c>
      <c r="C320" s="5" t="s">
        <v>52</v>
      </c>
      <c r="D320" s="5" t="s">
        <v>12</v>
      </c>
      <c r="E320" s="26">
        <f>vlookup(C320,'Team Bye List'!$A$1:$B$33,2,False)</f>
        <v>4</v>
      </c>
      <c r="F320" s="27">
        <f>if(ISNA(vlookup($A320, ESPN!$B$2:$E$257, 4, false)), 0, vlookup($A320, ESPN!$B$2:$E$257, 4, false))</f>
        <v>0</v>
      </c>
      <c r="G320" s="27">
        <f>if(ISNA(vlookup($A320, FFToolbox!$B$2:$E$239, 4, false)), 0, vlookup($A320, FFToolbox!$B$2:$E$239, 4, false))</f>
        <v>0</v>
      </c>
      <c r="H320" s="27">
        <f>if(ISNA(vlookup($A320, FantasyPro!$B$2:$E$316, 4, false)), 0, vlookup($A320, FantasyPro!$B$2:$E$316, 4, false))</f>
        <v>0</v>
      </c>
      <c r="I320" s="27">
        <f>if(ISNA(vlookup($A320, RotoWire!$B$2:$E$681, 4, false)), 0, vlookup($A320, RotoWire!$B$2:$E$681, 4, false))</f>
        <v>0</v>
      </c>
      <c r="J320" s="28">
        <f t="shared" si="1"/>
        <v>0</v>
      </c>
      <c r="K320" s="28">
        <f t="shared" si="2"/>
        <v>0</v>
      </c>
    </row>
    <row r="321" hidden="1">
      <c r="A321" s="6" t="s">
        <v>695</v>
      </c>
      <c r="B321" s="25" t="s">
        <v>955</v>
      </c>
      <c r="C321" s="5" t="s">
        <v>18</v>
      </c>
      <c r="D321" s="5" t="s">
        <v>7</v>
      </c>
      <c r="E321" s="26">
        <f>vlookup(C321,'Team Bye List'!$A$1:$B$33,2,False)</f>
        <v>10</v>
      </c>
      <c r="F321" s="27">
        <f>if(ISNA(vlookup($A321, ESPN!$B$2:$E$257, 4, false)), 0, vlookup($A321, ESPN!$B$2:$E$257, 4, false))</f>
        <v>0</v>
      </c>
      <c r="G321" s="27">
        <f>if(ISNA(vlookup($A321, FFToolbox!$B$2:$E$239, 4, false)), 0, vlookup($A321, FFToolbox!$B$2:$E$239, 4, false))</f>
        <v>0</v>
      </c>
      <c r="H321" s="27">
        <f>if(ISNA(vlookup($A321, FantasyPro!$B$2:$E$316, 4, false)), 0, vlookup($A321, FantasyPro!$B$2:$E$316, 4, false))</f>
        <v>0</v>
      </c>
      <c r="I321" s="27">
        <f>if(ISNA(vlookup($A321, RotoWire!$B$2:$E$681, 4, false)), 0, vlookup($A321, RotoWire!$B$2:$E$681, 4, false))</f>
        <v>0</v>
      </c>
      <c r="J321" s="28">
        <f t="shared" si="1"/>
        <v>0</v>
      </c>
      <c r="K321" s="28">
        <f t="shared" si="2"/>
        <v>0</v>
      </c>
    </row>
    <row r="322" hidden="1">
      <c r="A322" s="6" t="s">
        <v>687</v>
      </c>
      <c r="B322" s="25" t="s">
        <v>955</v>
      </c>
      <c r="C322" s="5" t="s">
        <v>165</v>
      </c>
      <c r="D322" s="5" t="s">
        <v>7</v>
      </c>
      <c r="E322" s="26">
        <f>vlookup(C322,'Team Bye List'!$A$1:$B$33,2,False)</f>
        <v>10</v>
      </c>
      <c r="F322" s="27">
        <f>if(ISNA(vlookup($A322, ESPN!$B$2:$E$257, 4, false)), 0, vlookup($A322, ESPN!$B$2:$E$257, 4, false))</f>
        <v>0</v>
      </c>
      <c r="G322" s="27">
        <f>if(ISNA(vlookup($A322, FFToolbox!$B$2:$E$239, 4, false)), 0, vlookup($A322, FFToolbox!$B$2:$E$239, 4, false))</f>
        <v>0</v>
      </c>
      <c r="H322" s="27">
        <f>if(ISNA(vlookup($A322, FantasyPro!$B$2:$E$316, 4, false)), 0, vlookup($A322, FantasyPro!$B$2:$E$316, 4, false))</f>
        <v>0</v>
      </c>
      <c r="I322" s="27">
        <f>if(ISNA(vlookup($A322, RotoWire!$B$2:$E$681, 4, false)), 0, vlookup($A322, RotoWire!$B$2:$E$681, 4, false))</f>
        <v>0</v>
      </c>
      <c r="J322" s="28">
        <f t="shared" si="1"/>
        <v>0</v>
      </c>
      <c r="K322" s="28">
        <f t="shared" si="2"/>
        <v>0</v>
      </c>
    </row>
    <row r="323" hidden="1">
      <c r="A323" s="6" t="s">
        <v>516</v>
      </c>
      <c r="B323" s="25" t="s">
        <v>955</v>
      </c>
      <c r="C323" s="5" t="s">
        <v>11</v>
      </c>
      <c r="D323" s="5" t="s">
        <v>14</v>
      </c>
      <c r="E323" s="26">
        <f>vlookup(C323,'Team Bye List'!$A$1:$B$33,2,False)</f>
        <v>12</v>
      </c>
      <c r="F323" s="27">
        <f>if(ISNA(vlookup($A323, ESPN!$B$2:$E$257, 4, false)), 0, vlookup($A323, ESPN!$B$2:$E$257, 4, false))</f>
        <v>0</v>
      </c>
      <c r="G323" s="27">
        <f>if(ISNA(vlookup($A323, FFToolbox!$B$2:$E$239, 4, false)), 0, vlookup($A323, FFToolbox!$B$2:$E$239, 4, false))</f>
        <v>0</v>
      </c>
      <c r="H323" s="27">
        <f>if(ISNA(vlookup($A323, FantasyPro!$B$2:$E$316, 4, false)), 0, vlookup($A323, FantasyPro!$B$2:$E$316, 4, false))</f>
        <v>0</v>
      </c>
      <c r="I323" s="27">
        <f>if(ISNA(vlookup($A323, RotoWire!$B$2:$E$681, 4, false)), 0, vlookup($A323, RotoWire!$B$2:$E$681, 4, false))</f>
        <v>0</v>
      </c>
      <c r="J323" s="28">
        <f t="shared" si="1"/>
        <v>0</v>
      </c>
      <c r="K323" s="28">
        <f t="shared" si="2"/>
        <v>0</v>
      </c>
    </row>
    <row r="324">
      <c r="A324" s="6" t="s">
        <v>789</v>
      </c>
      <c r="B324" s="25" t="s">
        <v>955</v>
      </c>
      <c r="C324" s="5" t="s">
        <v>33</v>
      </c>
      <c r="D324" s="5" t="s">
        <v>39</v>
      </c>
      <c r="E324" s="26">
        <f>vlookup(C324,'Team Bye List'!$A$1:$B$33,2,False)</f>
        <v>4</v>
      </c>
      <c r="F324" s="27">
        <f>if(ISNA(vlookup($A324, ESPN!$B$2:$E$257, 4, false)), 0, vlookup($A324, ESPN!$B$2:$E$257, 4, false))</f>
        <v>0</v>
      </c>
      <c r="G324" s="27">
        <f>if(ISNA(vlookup($A324, FFToolbox!$B$2:$E$239, 4, false)), 0, vlookup($A324, FFToolbox!$B$2:$E$239, 4, false))</f>
        <v>0</v>
      </c>
      <c r="H324" s="27">
        <f>if(ISNA(vlookup($A324, FantasyPro!$B$2:$E$316, 4, false)), 0, vlookup($A324, FantasyPro!$B$2:$E$316, 4, false))</f>
        <v>0</v>
      </c>
      <c r="I324" s="27">
        <f>if(ISNA(vlookup($A324, RotoWire!$B$2:$E$681, 4, false)), 0, vlookup($A324, RotoWire!$B$2:$E$681, 4, false))</f>
        <v>0</v>
      </c>
      <c r="J324" s="28">
        <f t="shared" si="1"/>
        <v>0</v>
      </c>
      <c r="K324" s="28">
        <f t="shared" si="2"/>
        <v>0</v>
      </c>
    </row>
    <row r="325" hidden="1">
      <c r="A325" s="6" t="s">
        <v>717</v>
      </c>
      <c r="B325" s="25" t="s">
        <v>955</v>
      </c>
      <c r="C325" s="5" t="s">
        <v>69</v>
      </c>
      <c r="D325" s="5" t="s">
        <v>7</v>
      </c>
      <c r="E325" s="26">
        <f>vlookup(C325,'Team Bye List'!$A$1:$B$33,2,False)</f>
        <v>11</v>
      </c>
      <c r="F325" s="27">
        <f>if(ISNA(vlookup($A325, ESPN!$B$2:$E$257, 4, false)), 0, vlookup($A325, ESPN!$B$2:$E$257, 4, false))</f>
        <v>0</v>
      </c>
      <c r="G325" s="27">
        <f>if(ISNA(vlookup($A325, FFToolbox!$B$2:$E$239, 4, false)), 0, vlookup($A325, FFToolbox!$B$2:$E$239, 4, false))</f>
        <v>0</v>
      </c>
      <c r="H325" s="27">
        <f>if(ISNA(vlookup($A325, FantasyPro!$B$2:$E$316, 4, false)), 0, vlookup($A325, FantasyPro!$B$2:$E$316, 4, false))</f>
        <v>0</v>
      </c>
      <c r="I325" s="27">
        <f>if(ISNA(vlookup($A325, RotoWire!$B$2:$E$681, 4, false)), 0, vlookup($A325, RotoWire!$B$2:$E$681, 4, false))</f>
        <v>0</v>
      </c>
      <c r="J325" s="28">
        <f t="shared" si="1"/>
        <v>0</v>
      </c>
      <c r="K325" s="28">
        <f t="shared" si="2"/>
        <v>0</v>
      </c>
    </row>
    <row r="326" hidden="1">
      <c r="A326" s="6" t="s">
        <v>324</v>
      </c>
      <c r="B326" s="25" t="s">
        <v>955</v>
      </c>
      <c r="C326" s="5" t="s">
        <v>54</v>
      </c>
      <c r="D326" s="5" t="s">
        <v>12</v>
      </c>
      <c r="E326" s="26">
        <f>vlookup(C326,'Team Bye List'!$A$1:$B$33,2,False)</f>
        <v>9</v>
      </c>
      <c r="F326" s="27">
        <f>if(ISNA(vlookup($A326, ESPN!$B$2:$E$257, 4, false)), 0, vlookup($A326, ESPN!$B$2:$E$257, 4, false))</f>
        <v>0</v>
      </c>
      <c r="G326" s="27">
        <f>if(ISNA(vlookup($A326, FFToolbox!$B$2:$E$239, 4, false)), 0, vlookup($A326, FFToolbox!$B$2:$E$239, 4, false))</f>
        <v>0</v>
      </c>
      <c r="H326" s="27">
        <f>if(ISNA(vlookup($A326, FantasyPro!$B$2:$E$316, 4, false)), 0, vlookup($A326, FantasyPro!$B$2:$E$316, 4, false))</f>
        <v>0</v>
      </c>
      <c r="I326" s="27">
        <f>if(ISNA(vlookup($A326, RotoWire!$B$2:$E$681, 4, false)), 0, vlookup($A326, RotoWire!$B$2:$E$681, 4, false))</f>
        <v>0</v>
      </c>
      <c r="J326" s="28">
        <f t="shared" si="1"/>
        <v>0</v>
      </c>
      <c r="K326" s="28">
        <f t="shared" si="2"/>
        <v>0</v>
      </c>
    </row>
    <row r="327" hidden="1">
      <c r="A327" s="6" t="s">
        <v>256</v>
      </c>
      <c r="B327" s="25" t="s">
        <v>955</v>
      </c>
      <c r="C327" s="5" t="s">
        <v>37</v>
      </c>
      <c r="D327" s="5" t="s">
        <v>120</v>
      </c>
      <c r="E327" s="26">
        <f>vlookup(C327,'Team Bye List'!$A$1:$B$33,2,False)</f>
        <v>7</v>
      </c>
      <c r="F327" s="27">
        <f>if(ISNA(vlookup($A327, ESPN!$B$2:$E$257, 4, false)), 0, vlookup($A327, ESPN!$B$2:$E$257, 4, false))</f>
        <v>0</v>
      </c>
      <c r="G327" s="27">
        <f>if(ISNA(vlookup($A327, FFToolbox!$B$2:$E$239, 4, false)), 0, vlookup($A327, FFToolbox!$B$2:$E$239, 4, false))</f>
        <v>0</v>
      </c>
      <c r="H327" s="27">
        <f>if(ISNA(vlookup($A327, FantasyPro!$B$2:$E$316, 4, false)), 0, vlookup($A327, FantasyPro!$B$2:$E$316, 4, false))</f>
        <v>0</v>
      </c>
      <c r="I327" s="27">
        <f>if(ISNA(vlookup($A327, RotoWire!$B$2:$E$681, 4, false)), 0, vlookup($A327, RotoWire!$B$2:$E$681, 4, false))</f>
        <v>0</v>
      </c>
      <c r="J327" s="28">
        <f t="shared" si="1"/>
        <v>0</v>
      </c>
      <c r="K327" s="28">
        <f t="shared" si="2"/>
        <v>0</v>
      </c>
    </row>
    <row r="328" hidden="1">
      <c r="A328" s="6" t="s">
        <v>386</v>
      </c>
      <c r="B328" s="25" t="s">
        <v>955</v>
      </c>
      <c r="C328" s="5" t="s">
        <v>26</v>
      </c>
      <c r="D328" s="5" t="s">
        <v>12</v>
      </c>
      <c r="E328" s="26">
        <f>vlookup(C328,'Team Bye List'!$A$1:$B$33,2,False)</f>
        <v>12</v>
      </c>
      <c r="F328" s="27">
        <f>if(ISNA(vlookup($A328, ESPN!$B$2:$E$257, 4, false)), 0, vlookup($A328, ESPN!$B$2:$E$257, 4, false))</f>
        <v>0</v>
      </c>
      <c r="G328" s="27">
        <f>if(ISNA(vlookup($A328, FFToolbox!$B$2:$E$239, 4, false)), 0, vlookup($A328, FFToolbox!$B$2:$E$239, 4, false))</f>
        <v>0</v>
      </c>
      <c r="H328" s="27">
        <f>if(ISNA(vlookup($A328, FantasyPro!$B$2:$E$316, 4, false)), 0, vlookup($A328, FantasyPro!$B$2:$E$316, 4, false))</f>
        <v>0</v>
      </c>
      <c r="I328" s="27">
        <f>if(ISNA(vlookup($A328, RotoWire!$B$2:$E$681, 4, false)), 0, vlookup($A328, RotoWire!$B$2:$E$681, 4, false))</f>
        <v>0</v>
      </c>
      <c r="J328" s="28">
        <f t="shared" si="1"/>
        <v>0</v>
      </c>
      <c r="K328" s="28">
        <f t="shared" si="2"/>
        <v>0</v>
      </c>
    </row>
    <row r="329" hidden="1">
      <c r="A329" s="6" t="s">
        <v>545</v>
      </c>
      <c r="B329" s="25" t="s">
        <v>955</v>
      </c>
      <c r="C329" s="5" t="s">
        <v>139</v>
      </c>
      <c r="D329" s="5" t="s">
        <v>14</v>
      </c>
      <c r="E329" s="26">
        <f>vlookup(C329,'Team Bye List'!$A$1:$B$33,2,False)</f>
        <v>6</v>
      </c>
      <c r="F329" s="27">
        <f>if(ISNA(vlookup($A329, ESPN!$B$2:$E$257, 4, false)), 0, vlookup($A329, ESPN!$B$2:$E$257, 4, false))</f>
        <v>0</v>
      </c>
      <c r="G329" s="27">
        <f>if(ISNA(vlookup($A329, FFToolbox!$B$2:$E$239, 4, false)), 0, vlookup($A329, FFToolbox!$B$2:$E$239, 4, false))</f>
        <v>0</v>
      </c>
      <c r="H329" s="27">
        <f>if(ISNA(vlookup($A329, FantasyPro!$B$2:$E$316, 4, false)), 0, vlookup($A329, FantasyPro!$B$2:$E$316, 4, false))</f>
        <v>0</v>
      </c>
      <c r="I329" s="27">
        <f>if(ISNA(vlookup($A329, RotoWire!$B$2:$E$681, 4, false)), 0, vlookup($A329, RotoWire!$B$2:$E$681, 4, false))</f>
        <v>0</v>
      </c>
      <c r="J329" s="28">
        <f t="shared" si="1"/>
        <v>0</v>
      </c>
      <c r="K329" s="28">
        <f t="shared" si="2"/>
        <v>0</v>
      </c>
    </row>
    <row r="330" hidden="1">
      <c r="A330" s="6" t="s">
        <v>506</v>
      </c>
      <c r="B330" s="25" t="s">
        <v>955</v>
      </c>
      <c r="C330" s="5" t="s">
        <v>165</v>
      </c>
      <c r="D330" s="5" t="s">
        <v>14</v>
      </c>
      <c r="E330" s="26">
        <f>vlookup(C330,'Team Bye List'!$A$1:$B$33,2,False)</f>
        <v>10</v>
      </c>
      <c r="F330" s="27">
        <f>if(ISNA(vlookup($A330, ESPN!$B$2:$E$257, 4, false)), 0, vlookup($A330, ESPN!$B$2:$E$257, 4, false))</f>
        <v>0</v>
      </c>
      <c r="G330" s="27">
        <f>if(ISNA(vlookup($A330, FFToolbox!$B$2:$E$239, 4, false)), 0, vlookup($A330, FFToolbox!$B$2:$E$239, 4, false))</f>
        <v>0</v>
      </c>
      <c r="H330" s="27">
        <f>if(ISNA(vlookup($A330, FantasyPro!$B$2:$E$316, 4, false)), 0, vlookup($A330, FantasyPro!$B$2:$E$316, 4, false))</f>
        <v>0</v>
      </c>
      <c r="I330" s="27">
        <f>if(ISNA(vlookup($A330, RotoWire!$B$2:$E$681, 4, false)), 0, vlookup($A330, RotoWire!$B$2:$E$681, 4, false))</f>
        <v>0</v>
      </c>
      <c r="J330" s="28">
        <f t="shared" si="1"/>
        <v>0</v>
      </c>
      <c r="K330" s="28">
        <f t="shared" si="2"/>
        <v>0</v>
      </c>
    </row>
    <row r="331" hidden="1">
      <c r="A331" s="6" t="s">
        <v>647</v>
      </c>
      <c r="B331" s="25" t="s">
        <v>955</v>
      </c>
      <c r="C331" s="5" t="s">
        <v>22</v>
      </c>
      <c r="D331" s="5" t="s">
        <v>7</v>
      </c>
      <c r="E331" s="26">
        <f>vlookup(C331,'Team Bye List'!$A$1:$B$33,2,False)</f>
        <v>7</v>
      </c>
      <c r="F331" s="27">
        <f>if(ISNA(vlookup($A331, ESPN!$B$2:$E$257, 4, false)), 0, vlookup($A331, ESPN!$B$2:$E$257, 4, false))</f>
        <v>0</v>
      </c>
      <c r="G331" s="27">
        <f>if(ISNA(vlookup($A331, FFToolbox!$B$2:$E$239, 4, false)), 0, vlookup($A331, FFToolbox!$B$2:$E$239, 4, false))</f>
        <v>0</v>
      </c>
      <c r="H331" s="27">
        <f>if(ISNA(vlookup($A331, FantasyPro!$B$2:$E$316, 4, false)), 0, vlookup($A331, FantasyPro!$B$2:$E$316, 4, false))</f>
        <v>0</v>
      </c>
      <c r="I331" s="27">
        <f>if(ISNA(vlookup($A331, RotoWire!$B$2:$E$681, 4, false)), 0, vlookup($A331, RotoWire!$B$2:$E$681, 4, false))</f>
        <v>0</v>
      </c>
      <c r="J331" s="28">
        <f t="shared" si="1"/>
        <v>0</v>
      </c>
      <c r="K331" s="28">
        <f t="shared" si="2"/>
        <v>0</v>
      </c>
    </row>
    <row r="332" hidden="1">
      <c r="A332" s="6" t="s">
        <v>556</v>
      </c>
      <c r="B332" s="25" t="s">
        <v>955</v>
      </c>
      <c r="C332" s="5" t="s">
        <v>50</v>
      </c>
      <c r="D332" s="5" t="s">
        <v>14</v>
      </c>
      <c r="E332" s="26">
        <f>vlookup(C332,'Team Bye List'!$A$1:$B$33,2,False)</f>
        <v>11</v>
      </c>
      <c r="F332" s="27">
        <f>if(ISNA(vlookup($A332, ESPN!$B$2:$E$257, 4, false)), 0, vlookup($A332, ESPN!$B$2:$E$257, 4, false))</f>
        <v>0</v>
      </c>
      <c r="G332" s="27">
        <f>if(ISNA(vlookup($A332, FFToolbox!$B$2:$E$239, 4, false)), 0, vlookup($A332, FFToolbox!$B$2:$E$239, 4, false))</f>
        <v>0</v>
      </c>
      <c r="H332" s="27">
        <f>if(ISNA(vlookup($A332, FantasyPro!$B$2:$E$316, 4, false)), 0, vlookup($A332, FantasyPro!$B$2:$E$316, 4, false))</f>
        <v>0</v>
      </c>
      <c r="I332" s="27">
        <f>if(ISNA(vlookup($A332, RotoWire!$B$2:$E$681, 4, false)), 0, vlookup($A332, RotoWire!$B$2:$E$681, 4, false))</f>
        <v>0</v>
      </c>
      <c r="J332" s="28">
        <f t="shared" si="1"/>
        <v>0</v>
      </c>
      <c r="K332" s="28">
        <f t="shared" si="2"/>
        <v>0</v>
      </c>
    </row>
    <row r="333" hidden="1">
      <c r="A333" s="6" t="s">
        <v>283</v>
      </c>
      <c r="B333" s="25" t="s">
        <v>955</v>
      </c>
      <c r="C333" s="5" t="s">
        <v>37</v>
      </c>
      <c r="D333" s="5" t="s">
        <v>12</v>
      </c>
      <c r="E333" s="26">
        <f>vlookup(C333,'Team Bye List'!$A$1:$B$33,2,False)</f>
        <v>7</v>
      </c>
      <c r="F333" s="27">
        <f>if(ISNA(vlookup($A333, ESPN!$B$2:$E$257, 4, false)), 0, vlookup($A333, ESPN!$B$2:$E$257, 4, false))</f>
        <v>0</v>
      </c>
      <c r="G333" s="27">
        <f>if(ISNA(vlookup($A333, FFToolbox!$B$2:$E$239, 4, false)), 0, vlookup($A333, FFToolbox!$B$2:$E$239, 4, false))</f>
        <v>0</v>
      </c>
      <c r="H333" s="27">
        <f>if(ISNA(vlookup($A333, FantasyPro!$B$2:$E$316, 4, false)), 0, vlookup($A333, FantasyPro!$B$2:$E$316, 4, false))</f>
        <v>0</v>
      </c>
      <c r="I333" s="27">
        <f>if(ISNA(vlookup($A333, RotoWire!$B$2:$E$681, 4, false)), 0, vlookup($A333, RotoWire!$B$2:$E$681, 4, false))</f>
        <v>0</v>
      </c>
      <c r="J333" s="28">
        <f t="shared" si="1"/>
        <v>0</v>
      </c>
      <c r="K333" s="28">
        <f t="shared" si="2"/>
        <v>0</v>
      </c>
    </row>
    <row r="334">
      <c r="A334" s="6" t="s">
        <v>792</v>
      </c>
      <c r="B334" s="25" t="s">
        <v>955</v>
      </c>
      <c r="C334" s="5" t="s">
        <v>43</v>
      </c>
      <c r="D334" s="5" t="s">
        <v>39</v>
      </c>
      <c r="E334" s="26">
        <f>vlookup(C334,'Team Bye List'!$A$1:$B$33,2,False)</f>
        <v>12</v>
      </c>
      <c r="F334" s="27">
        <f>if(ISNA(vlookup($A334, ESPN!$B$2:$E$257, 4, false)), 0, vlookup($A334, ESPN!$B$2:$E$257, 4, false))</f>
        <v>0</v>
      </c>
      <c r="G334" s="27">
        <f>if(ISNA(vlookup($A334, FFToolbox!$B$2:$E$239, 4, false)), 0, vlookup($A334, FFToolbox!$B$2:$E$239, 4, false))</f>
        <v>0</v>
      </c>
      <c r="H334" s="27">
        <f>if(ISNA(vlookup($A334, FantasyPro!$B$2:$E$316, 4, false)), 0, vlookup($A334, FantasyPro!$B$2:$E$316, 4, false))</f>
        <v>0</v>
      </c>
      <c r="I334" s="27">
        <f>if(ISNA(vlookup($A334, RotoWire!$B$2:$E$681, 4, false)), 0, vlookup($A334, RotoWire!$B$2:$E$681, 4, false))</f>
        <v>0</v>
      </c>
      <c r="J334" s="28">
        <f t="shared" si="1"/>
        <v>0</v>
      </c>
      <c r="K334" s="28">
        <f t="shared" si="2"/>
        <v>0</v>
      </c>
    </row>
    <row r="335" hidden="1">
      <c r="A335" s="6" t="s">
        <v>529</v>
      </c>
      <c r="B335" s="25" t="s">
        <v>955</v>
      </c>
      <c r="C335" s="5" t="s">
        <v>11</v>
      </c>
      <c r="D335" s="5" t="s">
        <v>7</v>
      </c>
      <c r="E335" s="26">
        <f>vlookup(C335,'Team Bye List'!$A$1:$B$33,2,False)</f>
        <v>12</v>
      </c>
      <c r="F335" s="27">
        <f>if(ISNA(vlookup($A335, ESPN!$B$2:$E$257, 4, false)), 0, vlookup($A335, ESPN!$B$2:$E$257, 4, false))</f>
        <v>0</v>
      </c>
      <c r="G335" s="27">
        <f>if(ISNA(vlookup($A335, FFToolbox!$B$2:$E$239, 4, false)), 0, vlookup($A335, FFToolbox!$B$2:$E$239, 4, false))</f>
        <v>0</v>
      </c>
      <c r="H335" s="27">
        <f>if(ISNA(vlookup($A335, FantasyPro!$B$2:$E$316, 4, false)), 0, vlookup($A335, FantasyPro!$B$2:$E$316, 4, false))</f>
        <v>0</v>
      </c>
      <c r="I335" s="27">
        <f>if(ISNA(vlookup($A335, RotoWire!$B$2:$E$681, 4, false)), 0, vlookup($A335, RotoWire!$B$2:$E$681, 4, false))</f>
        <v>0</v>
      </c>
      <c r="J335" s="28">
        <f t="shared" si="1"/>
        <v>0</v>
      </c>
      <c r="K335" s="28">
        <f t="shared" si="2"/>
        <v>0</v>
      </c>
    </row>
    <row r="336" hidden="1">
      <c r="A336" s="6" t="s">
        <v>563</v>
      </c>
      <c r="B336" s="25" t="s">
        <v>955</v>
      </c>
      <c r="C336" s="5" t="s">
        <v>59</v>
      </c>
      <c r="D336" s="5" t="s">
        <v>14</v>
      </c>
      <c r="E336" s="26">
        <f>vlookup(C336,'Team Bye List'!$A$1:$B$33,2,False)</f>
        <v>10</v>
      </c>
      <c r="F336" s="27">
        <f>if(ISNA(vlookup($A336, ESPN!$B$2:$E$257, 4, false)), 0, vlookup($A336, ESPN!$B$2:$E$257, 4, false))</f>
        <v>0</v>
      </c>
      <c r="G336" s="27">
        <f>if(ISNA(vlookup($A336, FFToolbox!$B$2:$E$239, 4, false)), 0, vlookup($A336, FFToolbox!$B$2:$E$239, 4, false))</f>
        <v>0</v>
      </c>
      <c r="H336" s="27">
        <f>if(ISNA(vlookup($A336, FantasyPro!$B$2:$E$316, 4, false)), 0, vlookup($A336, FantasyPro!$B$2:$E$316, 4, false))</f>
        <v>0</v>
      </c>
      <c r="I336" s="27">
        <f>if(ISNA(vlookup($A336, RotoWire!$B$2:$E$681, 4, false)), 0, vlookup($A336, RotoWire!$B$2:$E$681, 4, false))</f>
        <v>0</v>
      </c>
      <c r="J336" s="28">
        <f t="shared" si="1"/>
        <v>0</v>
      </c>
      <c r="K336" s="28">
        <f t="shared" si="2"/>
        <v>0</v>
      </c>
    </row>
    <row r="337">
      <c r="A337" s="6" t="s">
        <v>741</v>
      </c>
      <c r="B337" s="25" t="s">
        <v>955</v>
      </c>
      <c r="C337" s="5" t="s">
        <v>165</v>
      </c>
      <c r="D337" s="5" t="s">
        <v>39</v>
      </c>
      <c r="E337" s="26">
        <f>vlookup(C337,'Team Bye List'!$A$1:$B$33,2,False)</f>
        <v>10</v>
      </c>
      <c r="F337" s="27">
        <f>if(ISNA(vlookup($A337, ESPN!$B$2:$E$257, 4, false)), 0, vlookup($A337, ESPN!$B$2:$E$257, 4, false))</f>
        <v>0</v>
      </c>
      <c r="G337" s="27">
        <f>if(ISNA(vlookup($A337, FFToolbox!$B$2:$E$239, 4, false)), 0, vlookup($A337, FFToolbox!$B$2:$E$239, 4, false))</f>
        <v>0</v>
      </c>
      <c r="H337" s="27">
        <f>if(ISNA(vlookup($A337, FantasyPro!$B$2:$E$316, 4, false)), 0, vlookup($A337, FantasyPro!$B$2:$E$316, 4, false))</f>
        <v>0</v>
      </c>
      <c r="I337" s="27">
        <f>if(ISNA(vlookup($A337, RotoWire!$B$2:$E$681, 4, false)), 0, vlookup($A337, RotoWire!$B$2:$E$681, 4, false))</f>
        <v>0</v>
      </c>
      <c r="J337" s="28">
        <f t="shared" si="1"/>
        <v>0</v>
      </c>
      <c r="K337" s="28">
        <f t="shared" si="2"/>
        <v>0</v>
      </c>
    </row>
    <row r="338" hidden="1">
      <c r="A338" s="6" t="s">
        <v>537</v>
      </c>
      <c r="B338" s="25" t="s">
        <v>955</v>
      </c>
      <c r="C338" s="5" t="s">
        <v>9</v>
      </c>
      <c r="D338" s="5" t="s">
        <v>14</v>
      </c>
      <c r="E338" s="26">
        <f>vlookup(C338,'Team Bye List'!$A$1:$B$33,2,False)</f>
        <v>8</v>
      </c>
      <c r="F338" s="27">
        <f>if(ISNA(vlookup($A338, ESPN!$B$2:$E$257, 4, false)), 0, vlookup($A338, ESPN!$B$2:$E$257, 4, false))</f>
        <v>0</v>
      </c>
      <c r="G338" s="27">
        <f>if(ISNA(vlookup($A338, FFToolbox!$B$2:$E$239, 4, false)), 0, vlookup($A338, FFToolbox!$B$2:$E$239, 4, false))</f>
        <v>0</v>
      </c>
      <c r="H338" s="27">
        <f>if(ISNA(vlookup($A338, FantasyPro!$B$2:$E$316, 4, false)), 0, vlookup($A338, FantasyPro!$B$2:$E$316, 4, false))</f>
        <v>0</v>
      </c>
      <c r="I338" s="27">
        <f>if(ISNA(vlookup($A338, RotoWire!$B$2:$E$681, 4, false)), 0, vlookup($A338, RotoWire!$B$2:$E$681, 4, false))</f>
        <v>0</v>
      </c>
      <c r="J338" s="28">
        <f t="shared" si="1"/>
        <v>0</v>
      </c>
      <c r="K338" s="28">
        <f t="shared" si="2"/>
        <v>0</v>
      </c>
    </row>
    <row r="339" hidden="1">
      <c r="A339" s="6" t="s">
        <v>414</v>
      </c>
      <c r="B339" s="25" t="s">
        <v>955</v>
      </c>
      <c r="C339" s="5" t="s">
        <v>54</v>
      </c>
      <c r="D339" s="5" t="s">
        <v>12</v>
      </c>
      <c r="E339" s="26">
        <f>vlookup(C339,'Team Bye List'!$A$1:$B$33,2,False)</f>
        <v>9</v>
      </c>
      <c r="F339" s="27">
        <f>if(ISNA(vlookup($A339, ESPN!$B$2:$E$257, 4, false)), 0, vlookup($A339, ESPN!$B$2:$E$257, 4, false))</f>
        <v>0</v>
      </c>
      <c r="G339" s="27">
        <f>if(ISNA(vlookup($A339, FFToolbox!$B$2:$E$239, 4, false)), 0, vlookup($A339, FFToolbox!$B$2:$E$239, 4, false))</f>
        <v>0</v>
      </c>
      <c r="H339" s="27">
        <f>if(ISNA(vlookup($A339, FantasyPro!$B$2:$E$316, 4, false)), 0, vlookup($A339, FantasyPro!$B$2:$E$316, 4, false))</f>
        <v>0</v>
      </c>
      <c r="I339" s="27">
        <f>if(ISNA(vlookup($A339, RotoWire!$B$2:$E$681, 4, false)), 0, vlookup($A339, RotoWire!$B$2:$E$681, 4, false))</f>
        <v>0</v>
      </c>
      <c r="J339" s="28">
        <f t="shared" si="1"/>
        <v>0</v>
      </c>
      <c r="K339" s="28">
        <f t="shared" si="2"/>
        <v>0</v>
      </c>
    </row>
    <row r="340" hidden="1">
      <c r="A340" s="6" t="s">
        <v>328</v>
      </c>
      <c r="B340" s="25" t="s">
        <v>955</v>
      </c>
      <c r="C340" s="5" t="s">
        <v>62</v>
      </c>
      <c r="D340" s="5" t="s">
        <v>14</v>
      </c>
      <c r="E340" s="26">
        <f>vlookup(C340,'Team Bye List'!$A$1:$B$33,2,False)</f>
        <v>12</v>
      </c>
      <c r="F340" s="27">
        <f>if(ISNA(vlookup($A340, ESPN!$B$2:$E$257, 4, false)), 0, vlookup($A340, ESPN!$B$2:$E$257, 4, false))</f>
        <v>0</v>
      </c>
      <c r="G340" s="27">
        <f>if(ISNA(vlookup($A340, FFToolbox!$B$2:$E$239, 4, false)), 0, vlookup($A340, FFToolbox!$B$2:$E$239, 4, false))</f>
        <v>0</v>
      </c>
      <c r="H340" s="27">
        <f>if(ISNA(vlookup($A340, FantasyPro!$B$2:$E$316, 4, false)), 0, vlookup($A340, FantasyPro!$B$2:$E$316, 4, false))</f>
        <v>0</v>
      </c>
      <c r="I340" s="27">
        <f>if(ISNA(vlookup($A340, RotoWire!$B$2:$E$681, 4, false)), 0, vlookup($A340, RotoWire!$B$2:$E$681, 4, false))</f>
        <v>0</v>
      </c>
      <c r="J340" s="28">
        <f t="shared" si="1"/>
        <v>0</v>
      </c>
      <c r="K340" s="28">
        <f t="shared" si="2"/>
        <v>0</v>
      </c>
    </row>
    <row r="341" hidden="1">
      <c r="A341" s="6" t="s">
        <v>586</v>
      </c>
      <c r="B341" s="25" t="s">
        <v>955</v>
      </c>
      <c r="C341" s="5" t="s">
        <v>18</v>
      </c>
      <c r="D341" s="5" t="s">
        <v>14</v>
      </c>
      <c r="E341" s="26">
        <f>vlookup(C341,'Team Bye List'!$A$1:$B$33,2,False)</f>
        <v>10</v>
      </c>
      <c r="F341" s="27">
        <f>if(ISNA(vlookup($A341, ESPN!$B$2:$E$257, 4, false)), 0, vlookup($A341, ESPN!$B$2:$E$257, 4, false))</f>
        <v>0</v>
      </c>
      <c r="G341" s="27">
        <f>if(ISNA(vlookup($A341, FFToolbox!$B$2:$E$239, 4, false)), 0, vlookup($A341, FFToolbox!$B$2:$E$239, 4, false))</f>
        <v>0</v>
      </c>
      <c r="H341" s="27">
        <f>if(ISNA(vlookup($A341, FantasyPro!$B$2:$E$316, 4, false)), 0, vlookup($A341, FantasyPro!$B$2:$E$316, 4, false))</f>
        <v>0</v>
      </c>
      <c r="I341" s="27">
        <f>if(ISNA(vlookup($A341, RotoWire!$B$2:$E$681, 4, false)), 0, vlookup($A341, RotoWire!$B$2:$E$681, 4, false))</f>
        <v>0</v>
      </c>
      <c r="J341" s="28">
        <f t="shared" si="1"/>
        <v>0</v>
      </c>
      <c r="K341" s="28">
        <f t="shared" si="2"/>
        <v>0</v>
      </c>
    </row>
    <row r="342">
      <c r="A342" s="6" t="s">
        <v>759</v>
      </c>
      <c r="B342" s="25" t="s">
        <v>955</v>
      </c>
      <c r="C342" s="5" t="s">
        <v>11</v>
      </c>
      <c r="D342" s="5" t="s">
        <v>39</v>
      </c>
      <c r="E342" s="26">
        <f>vlookup(C342,'Team Bye List'!$A$1:$B$33,2,False)</f>
        <v>12</v>
      </c>
      <c r="F342" s="27">
        <f>if(ISNA(vlookup($A342, ESPN!$B$2:$E$257, 4, false)), 0, vlookup($A342, ESPN!$B$2:$E$257, 4, false))</f>
        <v>0</v>
      </c>
      <c r="G342" s="27">
        <f>if(ISNA(vlookup($A342, FFToolbox!$B$2:$E$239, 4, false)), 0, vlookup($A342, FFToolbox!$B$2:$E$239, 4, false))</f>
        <v>0</v>
      </c>
      <c r="H342" s="27">
        <f>if(ISNA(vlookup($A342, FantasyPro!$B$2:$E$316, 4, false)), 0, vlookup($A342, FantasyPro!$B$2:$E$316, 4, false))</f>
        <v>0</v>
      </c>
      <c r="I342" s="27">
        <f>if(ISNA(vlookup($A342, RotoWire!$B$2:$E$681, 4, false)), 0, vlookup($A342, RotoWire!$B$2:$E$681, 4, false))</f>
        <v>0</v>
      </c>
      <c r="J342" s="28">
        <f t="shared" si="1"/>
        <v>0</v>
      </c>
      <c r="K342" s="28">
        <f t="shared" si="2"/>
        <v>0</v>
      </c>
    </row>
    <row r="343">
      <c r="A343" s="6" t="s">
        <v>787</v>
      </c>
      <c r="B343" s="25" t="s">
        <v>955</v>
      </c>
      <c r="C343" s="5" t="s">
        <v>48</v>
      </c>
      <c r="D343" s="5" t="s">
        <v>39</v>
      </c>
      <c r="E343" s="26">
        <f>vlookup(C343,'Team Bye List'!$A$1:$B$33,2,False)</f>
        <v>6</v>
      </c>
      <c r="F343" s="27">
        <f>if(ISNA(vlookup($A343, ESPN!$B$2:$E$257, 4, false)), 0, vlookup($A343, ESPN!$B$2:$E$257, 4, false))</f>
        <v>0</v>
      </c>
      <c r="G343" s="27">
        <f>if(ISNA(vlookup($A343, FFToolbox!$B$2:$E$239, 4, false)), 0, vlookup($A343, FFToolbox!$B$2:$E$239, 4, false))</f>
        <v>0</v>
      </c>
      <c r="H343" s="27">
        <f>if(ISNA(vlookup($A343, FantasyPro!$B$2:$E$316, 4, false)), 0, vlookup($A343, FantasyPro!$B$2:$E$316, 4, false))</f>
        <v>0</v>
      </c>
      <c r="I343" s="27">
        <f>if(ISNA(vlookup($A343, RotoWire!$B$2:$E$681, 4, false)), 0, vlookup($A343, RotoWire!$B$2:$E$681, 4, false))</f>
        <v>0</v>
      </c>
      <c r="J343" s="28">
        <f t="shared" si="1"/>
        <v>0</v>
      </c>
      <c r="K343" s="28">
        <f t="shared" si="2"/>
        <v>0</v>
      </c>
    </row>
    <row r="344" hidden="1">
      <c r="A344" s="6" t="s">
        <v>585</v>
      </c>
      <c r="B344" s="25" t="s">
        <v>955</v>
      </c>
      <c r="C344" s="5" t="s">
        <v>26</v>
      </c>
      <c r="D344" s="5" t="s">
        <v>14</v>
      </c>
      <c r="E344" s="26">
        <f>vlookup(C344,'Team Bye List'!$A$1:$B$33,2,False)</f>
        <v>12</v>
      </c>
      <c r="F344" s="27">
        <f>if(ISNA(vlookup($A344, ESPN!$B$2:$E$257, 4, false)), 0, vlookup($A344, ESPN!$B$2:$E$257, 4, false))</f>
        <v>0</v>
      </c>
      <c r="G344" s="27">
        <f>if(ISNA(vlookup($A344, FFToolbox!$B$2:$E$239, 4, false)), 0, vlookup($A344, FFToolbox!$B$2:$E$239, 4, false))</f>
        <v>0</v>
      </c>
      <c r="H344" s="27">
        <f>if(ISNA(vlookup($A344, FantasyPro!$B$2:$E$316, 4, false)), 0, vlookup($A344, FantasyPro!$B$2:$E$316, 4, false))</f>
        <v>0</v>
      </c>
      <c r="I344" s="27">
        <f>if(ISNA(vlookup($A344, RotoWire!$B$2:$E$681, 4, false)), 0, vlookup($A344, RotoWire!$B$2:$E$681, 4, false))</f>
        <v>0</v>
      </c>
      <c r="J344" s="28">
        <f t="shared" si="1"/>
        <v>0</v>
      </c>
      <c r="K344" s="28">
        <f t="shared" si="2"/>
        <v>0</v>
      </c>
    </row>
    <row r="345" hidden="1">
      <c r="A345" s="6" t="s">
        <v>730</v>
      </c>
      <c r="B345" s="25" t="s">
        <v>955</v>
      </c>
      <c r="C345" s="5" t="s">
        <v>48</v>
      </c>
      <c r="D345" s="5" t="s">
        <v>7</v>
      </c>
      <c r="E345" s="26">
        <f>vlookup(C345,'Team Bye List'!$A$1:$B$33,2,False)</f>
        <v>6</v>
      </c>
      <c r="F345" s="27">
        <f>if(ISNA(vlookup($A345, ESPN!$B$2:$E$257, 4, false)), 0, vlookup($A345, ESPN!$B$2:$E$257, 4, false))</f>
        <v>0</v>
      </c>
      <c r="G345" s="27">
        <f>if(ISNA(vlookup($A345, FFToolbox!$B$2:$E$239, 4, false)), 0, vlookup($A345, FFToolbox!$B$2:$E$239, 4, false))</f>
        <v>0</v>
      </c>
      <c r="H345" s="27">
        <f>if(ISNA(vlookup($A345, FantasyPro!$B$2:$E$316, 4, false)), 0, vlookup($A345, FantasyPro!$B$2:$E$316, 4, false))</f>
        <v>0</v>
      </c>
      <c r="I345" s="27">
        <f>if(ISNA(vlookup($A345, RotoWire!$B$2:$E$681, 4, false)), 0, vlookup($A345, RotoWire!$B$2:$E$681, 4, false))</f>
        <v>0</v>
      </c>
      <c r="J345" s="28">
        <f t="shared" si="1"/>
        <v>0</v>
      </c>
      <c r="K345" s="28">
        <f t="shared" si="2"/>
        <v>0</v>
      </c>
    </row>
    <row r="346" hidden="1">
      <c r="A346" s="8" t="s">
        <v>310</v>
      </c>
      <c r="B346" s="25" t="s">
        <v>955</v>
      </c>
      <c r="C346" s="5" t="s">
        <v>26</v>
      </c>
      <c r="D346" s="5" t="s">
        <v>12</v>
      </c>
      <c r="E346" s="26">
        <f>vlookup(C346,'Team Bye List'!$A$1:$B$33,2,False)</f>
        <v>12</v>
      </c>
      <c r="F346" s="27">
        <f>if(ISNA(vlookup($A346, ESPN!$B$2:$E$257, 4, false)), 0, vlookup($A346, ESPN!$B$2:$E$257, 4, false))</f>
        <v>0</v>
      </c>
      <c r="G346" s="27">
        <f>if(ISNA(vlookup($A346, FFToolbox!$B$2:$E$239, 4, false)), 0, vlookup($A346, FFToolbox!$B$2:$E$239, 4, false))</f>
        <v>0</v>
      </c>
      <c r="H346" s="27">
        <f>if(ISNA(vlookup($A346, FantasyPro!$B$2:$E$316, 4, false)), 0, vlookup($A346, FantasyPro!$B$2:$E$316, 4, false))</f>
        <v>0</v>
      </c>
      <c r="I346" s="27">
        <f>if(ISNA(vlookup($A346, RotoWire!$B$2:$E$681, 4, false)), 0, vlookup($A346, RotoWire!$B$2:$E$681, 4, false))</f>
        <v>0</v>
      </c>
      <c r="J346" s="28">
        <f t="shared" si="1"/>
        <v>0</v>
      </c>
      <c r="K346" s="28">
        <f t="shared" si="2"/>
        <v>0</v>
      </c>
    </row>
    <row r="347" hidden="1">
      <c r="A347" s="6" t="s">
        <v>616</v>
      </c>
      <c r="B347" s="25" t="s">
        <v>955</v>
      </c>
      <c r="C347" s="5" t="s">
        <v>59</v>
      </c>
      <c r="D347" s="5" t="s">
        <v>14</v>
      </c>
      <c r="E347" s="26">
        <f>vlookup(C347,'Team Bye List'!$A$1:$B$33,2,False)</f>
        <v>10</v>
      </c>
      <c r="F347" s="27">
        <f>if(ISNA(vlookup($A347, ESPN!$B$2:$E$257, 4, false)), 0, vlookup($A347, ESPN!$B$2:$E$257, 4, false))</f>
        <v>0</v>
      </c>
      <c r="G347" s="27">
        <f>if(ISNA(vlookup($A347, FFToolbox!$B$2:$E$239, 4, false)), 0, vlookup($A347, FFToolbox!$B$2:$E$239, 4, false))</f>
        <v>0</v>
      </c>
      <c r="H347" s="27">
        <f>if(ISNA(vlookup($A347, FantasyPro!$B$2:$E$316, 4, false)), 0, vlookup($A347, FantasyPro!$B$2:$E$316, 4, false))</f>
        <v>0</v>
      </c>
      <c r="I347" s="27">
        <f>if(ISNA(vlookup($A347, RotoWire!$B$2:$E$681, 4, false)), 0, vlookup($A347, RotoWire!$B$2:$E$681, 4, false))</f>
        <v>0</v>
      </c>
      <c r="J347" s="28">
        <f t="shared" si="1"/>
        <v>0</v>
      </c>
      <c r="K347" s="28">
        <f t="shared" si="2"/>
        <v>0</v>
      </c>
    </row>
    <row r="348" hidden="1">
      <c r="A348" s="6" t="s">
        <v>503</v>
      </c>
      <c r="B348" s="25" t="s">
        <v>955</v>
      </c>
      <c r="C348" s="5" t="s">
        <v>52</v>
      </c>
      <c r="D348" s="5" t="s">
        <v>14</v>
      </c>
      <c r="E348" s="26">
        <f>vlookup(C348,'Team Bye List'!$A$1:$B$33,2,False)</f>
        <v>4</v>
      </c>
      <c r="F348" s="27">
        <f>if(ISNA(vlookup($A348, ESPN!$B$2:$E$257, 4, false)), 0, vlookup($A348, ESPN!$B$2:$E$257, 4, false))</f>
        <v>0</v>
      </c>
      <c r="G348" s="27">
        <f>if(ISNA(vlookup($A348, FFToolbox!$B$2:$E$239, 4, false)), 0, vlookup($A348, FFToolbox!$B$2:$E$239, 4, false))</f>
        <v>0</v>
      </c>
      <c r="H348" s="27">
        <f>if(ISNA(vlookup($A348, FantasyPro!$B$2:$E$316, 4, false)), 0, vlookup($A348, FantasyPro!$B$2:$E$316, 4, false))</f>
        <v>0</v>
      </c>
      <c r="I348" s="27">
        <f>if(ISNA(vlookup($A348, RotoWire!$B$2:$E$681, 4, false)), 0, vlookup($A348, RotoWire!$B$2:$E$681, 4, false))</f>
        <v>0</v>
      </c>
      <c r="J348" s="28">
        <f t="shared" si="1"/>
        <v>0</v>
      </c>
      <c r="K348" s="28">
        <f t="shared" si="2"/>
        <v>0</v>
      </c>
    </row>
    <row r="349">
      <c r="A349" s="6" t="s">
        <v>767</v>
      </c>
      <c r="B349" s="25" t="s">
        <v>955</v>
      </c>
      <c r="C349" s="5" t="s">
        <v>96</v>
      </c>
      <c r="D349" s="5" t="s">
        <v>39</v>
      </c>
      <c r="E349" s="26">
        <f>vlookup(C349,'Team Bye List'!$A$1:$B$33,2,False)</f>
        <v>6</v>
      </c>
      <c r="F349" s="27">
        <f>if(ISNA(vlookup($A349, ESPN!$B$2:$E$257, 4, false)), 0, vlookup($A349, ESPN!$B$2:$E$257, 4, false))</f>
        <v>0</v>
      </c>
      <c r="G349" s="27">
        <f>if(ISNA(vlookup($A349, FFToolbox!$B$2:$E$239, 4, false)), 0, vlookup($A349, FFToolbox!$B$2:$E$239, 4, false))</f>
        <v>0</v>
      </c>
      <c r="H349" s="27">
        <f>if(ISNA(vlookup($A349, FantasyPro!$B$2:$E$316, 4, false)), 0, vlookup($A349, FantasyPro!$B$2:$E$316, 4, false))</f>
        <v>0</v>
      </c>
      <c r="I349" s="27">
        <f>if(ISNA(vlookup($A349, RotoWire!$B$2:$E$681, 4, false)), 0, vlookup($A349, RotoWire!$B$2:$E$681, 4, false))</f>
        <v>0</v>
      </c>
      <c r="J349" s="28">
        <f t="shared" si="1"/>
        <v>0</v>
      </c>
      <c r="K349" s="28">
        <f t="shared" si="2"/>
        <v>0</v>
      </c>
    </row>
    <row r="350" hidden="1">
      <c r="A350" s="6" t="s">
        <v>635</v>
      </c>
      <c r="B350" s="25" t="s">
        <v>955</v>
      </c>
      <c r="C350" s="5" t="s">
        <v>26</v>
      </c>
      <c r="D350" s="5" t="s">
        <v>7</v>
      </c>
      <c r="E350" s="26">
        <f>vlookup(C350,'Team Bye List'!$A$1:$B$33,2,False)</f>
        <v>12</v>
      </c>
      <c r="F350" s="27">
        <f>if(ISNA(vlookup($A350, ESPN!$B$2:$E$257, 4, false)), 0, vlookup($A350, ESPN!$B$2:$E$257, 4, false))</f>
        <v>0</v>
      </c>
      <c r="G350" s="27">
        <f>if(ISNA(vlookup($A350, FFToolbox!$B$2:$E$239, 4, false)), 0, vlookup($A350, FFToolbox!$B$2:$E$239, 4, false))</f>
        <v>0</v>
      </c>
      <c r="H350" s="27">
        <f>if(ISNA(vlookup($A350, FantasyPro!$B$2:$E$316, 4, false)), 0, vlookup($A350, FantasyPro!$B$2:$E$316, 4, false))</f>
        <v>0</v>
      </c>
      <c r="I350" s="27">
        <f>if(ISNA(vlookup($A350, RotoWire!$B$2:$E$681, 4, false)), 0, vlookup($A350, RotoWire!$B$2:$E$681, 4, false))</f>
        <v>0</v>
      </c>
      <c r="J350" s="28">
        <f t="shared" si="1"/>
        <v>0</v>
      </c>
      <c r="K350" s="28">
        <f t="shared" si="2"/>
        <v>0</v>
      </c>
    </row>
    <row r="351">
      <c r="A351" s="6" t="s">
        <v>799</v>
      </c>
      <c r="B351" s="25" t="s">
        <v>955</v>
      </c>
      <c r="C351" s="5" t="s">
        <v>11</v>
      </c>
      <c r="D351" s="5" t="s">
        <v>39</v>
      </c>
      <c r="E351" s="26">
        <f>vlookup(C351,'Team Bye List'!$A$1:$B$33,2,False)</f>
        <v>12</v>
      </c>
      <c r="F351" s="27">
        <f>if(ISNA(vlookup($A351, ESPN!$B$2:$E$257, 4, false)), 0, vlookup($A351, ESPN!$B$2:$E$257, 4, false))</f>
        <v>0</v>
      </c>
      <c r="G351" s="27">
        <f>if(ISNA(vlookup($A351, FFToolbox!$B$2:$E$239, 4, false)), 0, vlookup($A351, FFToolbox!$B$2:$E$239, 4, false))</f>
        <v>0</v>
      </c>
      <c r="H351" s="27">
        <f>if(ISNA(vlookup($A351, FantasyPro!$B$2:$E$316, 4, false)), 0, vlookup($A351, FantasyPro!$B$2:$E$316, 4, false))</f>
        <v>0</v>
      </c>
      <c r="I351" s="27">
        <f>if(ISNA(vlookup($A351, RotoWire!$B$2:$E$681, 4, false)), 0, vlookup($A351, RotoWire!$B$2:$E$681, 4, false))</f>
        <v>0</v>
      </c>
      <c r="J351" s="28">
        <f t="shared" si="1"/>
        <v>0</v>
      </c>
      <c r="K351" s="28">
        <f t="shared" si="2"/>
        <v>0</v>
      </c>
    </row>
    <row r="352" hidden="1">
      <c r="A352" s="6" t="s">
        <v>493</v>
      </c>
      <c r="B352" s="25" t="s">
        <v>955</v>
      </c>
      <c r="C352" s="5" t="s">
        <v>48</v>
      </c>
      <c r="D352" s="5" t="s">
        <v>14</v>
      </c>
      <c r="E352" s="26">
        <f>vlookup(C352,'Team Bye List'!$A$1:$B$33,2,False)</f>
        <v>6</v>
      </c>
      <c r="F352" s="27">
        <f>if(ISNA(vlookup($A352, ESPN!$B$2:$E$257, 4, false)), 0, vlookup($A352, ESPN!$B$2:$E$257, 4, false))</f>
        <v>0</v>
      </c>
      <c r="G352" s="27">
        <f>if(ISNA(vlookup($A352, FFToolbox!$B$2:$E$239, 4, false)), 0, vlookup($A352, FFToolbox!$B$2:$E$239, 4, false))</f>
        <v>0</v>
      </c>
      <c r="H352" s="27">
        <f>if(ISNA(vlookup($A352, FantasyPro!$B$2:$E$316, 4, false)), 0, vlookup($A352, FantasyPro!$B$2:$E$316, 4, false))</f>
        <v>0</v>
      </c>
      <c r="I352" s="27">
        <f>if(ISNA(vlookup($A352, RotoWire!$B$2:$E$681, 4, false)), 0, vlookup($A352, RotoWire!$B$2:$E$681, 4, false))</f>
        <v>0</v>
      </c>
      <c r="J352" s="28">
        <f t="shared" si="1"/>
        <v>0</v>
      </c>
      <c r="K352" s="28">
        <f t="shared" si="2"/>
        <v>0</v>
      </c>
    </row>
    <row r="353" hidden="1">
      <c r="A353" s="6" t="s">
        <v>200</v>
      </c>
      <c r="B353" s="25" t="s">
        <v>955</v>
      </c>
      <c r="C353" s="5" t="s">
        <v>35</v>
      </c>
      <c r="D353" s="5" t="s">
        <v>120</v>
      </c>
      <c r="E353" s="26">
        <f>vlookup(C353,'Team Bye List'!$A$1:$B$33,2,False)</f>
        <v>7</v>
      </c>
      <c r="F353" s="27">
        <f>if(ISNA(vlookup($A353, ESPN!$B$2:$E$257, 4, false)), 0, vlookup($A353, ESPN!$B$2:$E$257, 4, false))</f>
        <v>0</v>
      </c>
      <c r="G353" s="27">
        <f>if(ISNA(vlookup($A353, FFToolbox!$B$2:$E$239, 4, false)), 0, vlookup($A353, FFToolbox!$B$2:$E$239, 4, false))</f>
        <v>0</v>
      </c>
      <c r="H353" s="27">
        <f>if(ISNA(vlookup($A353, FantasyPro!$B$2:$E$316, 4, false)), 0, vlookup($A353, FantasyPro!$B$2:$E$316, 4, false))</f>
        <v>0</v>
      </c>
      <c r="I353" s="27">
        <f>if(ISNA(vlookup($A353, RotoWire!$B$2:$E$681, 4, false)), 0, vlookup($A353, RotoWire!$B$2:$E$681, 4, false))</f>
        <v>0</v>
      </c>
      <c r="J353" s="28">
        <f t="shared" si="1"/>
        <v>0</v>
      </c>
      <c r="K353" s="28">
        <f t="shared" si="2"/>
        <v>0</v>
      </c>
    </row>
    <row r="354" hidden="1">
      <c r="A354" s="6" t="s">
        <v>248</v>
      </c>
      <c r="B354" s="25" t="s">
        <v>955</v>
      </c>
      <c r="C354" s="5" t="s">
        <v>91</v>
      </c>
      <c r="D354" s="5" t="s">
        <v>14</v>
      </c>
      <c r="E354" s="26">
        <f>vlookup(C354,'Team Bye List'!$A$1:$B$33,2,False)</f>
        <v>10</v>
      </c>
      <c r="F354" s="27">
        <f>if(ISNA(vlookup($A354, ESPN!$B$2:$E$257, 4, false)), 0, vlookup($A354, ESPN!$B$2:$E$257, 4, false))</f>
        <v>0</v>
      </c>
      <c r="G354" s="27">
        <f>if(ISNA(vlookup($A354, FFToolbox!$B$2:$E$239, 4, false)), 0, vlookup($A354, FFToolbox!$B$2:$E$239, 4, false))</f>
        <v>0</v>
      </c>
      <c r="H354" s="27">
        <f>if(ISNA(vlookup($A354, FantasyPro!$B$2:$E$316, 4, false)), 0, vlookup($A354, FantasyPro!$B$2:$E$316, 4, false))</f>
        <v>0</v>
      </c>
      <c r="I354" s="27">
        <f>if(ISNA(vlookup($A354, RotoWire!$B$2:$E$681, 4, false)), 0, vlookup($A354, RotoWire!$B$2:$E$681, 4, false))</f>
        <v>0</v>
      </c>
      <c r="J354" s="28">
        <f t="shared" si="1"/>
        <v>0</v>
      </c>
      <c r="K354" s="28">
        <f t="shared" si="2"/>
        <v>0</v>
      </c>
    </row>
    <row r="355" hidden="1">
      <c r="A355" s="6" t="s">
        <v>233</v>
      </c>
      <c r="B355" s="25" t="s">
        <v>955</v>
      </c>
      <c r="C355" s="5" t="s">
        <v>52</v>
      </c>
      <c r="D355" s="5" t="s">
        <v>12</v>
      </c>
      <c r="E355" s="26">
        <f>vlookup(C355,'Team Bye List'!$A$1:$B$33,2,False)</f>
        <v>4</v>
      </c>
      <c r="F355" s="27">
        <f>if(ISNA(vlookup($A355, ESPN!$B$2:$E$257, 4, false)), 0, vlookup($A355, ESPN!$B$2:$E$257, 4, false))</f>
        <v>0</v>
      </c>
      <c r="G355" s="27">
        <f>if(ISNA(vlookup($A355, FFToolbox!$B$2:$E$239, 4, false)), 0, vlookup($A355, FFToolbox!$B$2:$E$239, 4, false))</f>
        <v>0</v>
      </c>
      <c r="H355" s="27">
        <f>if(ISNA(vlookup($A355, FantasyPro!$B$2:$E$316, 4, false)), 0, vlookup($A355, FantasyPro!$B$2:$E$316, 4, false))</f>
        <v>0</v>
      </c>
      <c r="I355" s="27">
        <f>if(ISNA(vlookup($A355, RotoWire!$B$2:$E$681, 4, false)), 0, vlookup($A355, RotoWire!$B$2:$E$681, 4, false))</f>
        <v>0</v>
      </c>
      <c r="J355" s="28">
        <f t="shared" si="1"/>
        <v>0</v>
      </c>
      <c r="K355" s="28">
        <f t="shared" si="2"/>
        <v>0</v>
      </c>
    </row>
    <row r="356" hidden="1">
      <c r="A356" s="6" t="s">
        <v>375</v>
      </c>
      <c r="B356" s="25" t="s">
        <v>955</v>
      </c>
      <c r="C356" s="5" t="s">
        <v>22</v>
      </c>
      <c r="D356" s="5" t="s">
        <v>14</v>
      </c>
      <c r="E356" s="26">
        <f>vlookup(C356,'Team Bye List'!$A$1:$B$33,2,False)</f>
        <v>7</v>
      </c>
      <c r="F356" s="27">
        <f>if(ISNA(vlookup($A356, ESPN!$B$2:$E$257, 4, false)), 0, vlookup($A356, ESPN!$B$2:$E$257, 4, false))</f>
        <v>0</v>
      </c>
      <c r="G356" s="27">
        <f>if(ISNA(vlookup($A356, FFToolbox!$B$2:$E$239, 4, false)), 0, vlookup($A356, FFToolbox!$B$2:$E$239, 4, false))</f>
        <v>0</v>
      </c>
      <c r="H356" s="27">
        <f>if(ISNA(vlookup($A356, FantasyPro!$B$2:$E$316, 4, false)), 0, vlookup($A356, FantasyPro!$B$2:$E$316, 4, false))</f>
        <v>0</v>
      </c>
      <c r="I356" s="27">
        <f>if(ISNA(vlookup($A356, RotoWire!$B$2:$E$681, 4, false)), 0, vlookup($A356, RotoWire!$B$2:$E$681, 4, false))</f>
        <v>0</v>
      </c>
      <c r="J356" s="28">
        <f t="shared" si="1"/>
        <v>0</v>
      </c>
      <c r="K356" s="28">
        <f t="shared" si="2"/>
        <v>0</v>
      </c>
    </row>
    <row r="357" hidden="1">
      <c r="A357" s="8" t="s">
        <v>471</v>
      </c>
      <c r="B357" s="25" t="s">
        <v>955</v>
      </c>
      <c r="C357" s="5" t="s">
        <v>71</v>
      </c>
      <c r="D357" s="5" t="s">
        <v>14</v>
      </c>
      <c r="E357" s="26">
        <f>vlookup(C357,'Team Bye List'!$A$1:$B$33,2,False)</f>
        <v>5</v>
      </c>
      <c r="F357" s="27">
        <f>if(ISNA(vlookup($A357, ESPN!$B$2:$E$257, 4, false)), 0, vlookup($A357, ESPN!$B$2:$E$257, 4, false))</f>
        <v>0</v>
      </c>
      <c r="G357" s="27">
        <f>if(ISNA(vlookup($A357, FFToolbox!$B$2:$E$239, 4, false)), 0, vlookup($A357, FFToolbox!$B$2:$E$239, 4, false))</f>
        <v>0</v>
      </c>
      <c r="H357" s="27">
        <f>if(ISNA(vlookup($A357, FantasyPro!$B$2:$E$316, 4, false)), 0, vlookup($A357, FantasyPro!$B$2:$E$316, 4, false))</f>
        <v>0</v>
      </c>
      <c r="I357" s="27">
        <f>if(ISNA(vlookup($A357, RotoWire!$B$2:$E$681, 4, false)), 0, vlookup($A357, RotoWire!$B$2:$E$681, 4, false))</f>
        <v>0</v>
      </c>
      <c r="J357" s="28">
        <f t="shared" si="1"/>
        <v>0</v>
      </c>
      <c r="K357" s="28">
        <f t="shared" si="2"/>
        <v>0</v>
      </c>
    </row>
    <row r="358" hidden="1">
      <c r="A358" s="6" t="s">
        <v>381</v>
      </c>
      <c r="B358" s="25" t="s">
        <v>955</v>
      </c>
      <c r="C358" s="5" t="s">
        <v>22</v>
      </c>
      <c r="D358" s="5" t="s">
        <v>12</v>
      </c>
      <c r="E358" s="26">
        <f>vlookup(C358,'Team Bye List'!$A$1:$B$33,2,False)</f>
        <v>7</v>
      </c>
      <c r="F358" s="27">
        <f>if(ISNA(vlookup($A358, ESPN!$B$2:$E$257, 4, false)), 0, vlookup($A358, ESPN!$B$2:$E$257, 4, false))</f>
        <v>0</v>
      </c>
      <c r="G358" s="27">
        <f>if(ISNA(vlookup($A358, FFToolbox!$B$2:$E$239, 4, false)), 0, vlookup($A358, FFToolbox!$B$2:$E$239, 4, false))</f>
        <v>0</v>
      </c>
      <c r="H358" s="27">
        <f>if(ISNA(vlookup($A358, FantasyPro!$B$2:$E$316, 4, false)), 0, vlookup($A358, FantasyPro!$B$2:$E$316, 4, false))</f>
        <v>0</v>
      </c>
      <c r="I358" s="27">
        <f>if(ISNA(vlookup($A358, RotoWire!$B$2:$E$681, 4, false)), 0, vlookup($A358, RotoWire!$B$2:$E$681, 4, false))</f>
        <v>0</v>
      </c>
      <c r="J358" s="28">
        <f t="shared" si="1"/>
        <v>0</v>
      </c>
      <c r="K358" s="28">
        <f t="shared" si="2"/>
        <v>0</v>
      </c>
    </row>
    <row r="359" hidden="1">
      <c r="A359" s="6" t="s">
        <v>330</v>
      </c>
      <c r="B359" s="25" t="s">
        <v>955</v>
      </c>
      <c r="C359" s="5" t="s">
        <v>104</v>
      </c>
      <c r="D359" s="5" t="s">
        <v>14</v>
      </c>
      <c r="E359" s="26">
        <f>vlookup(C359,'Team Bye List'!$A$1:$B$33,2,False)</f>
        <v>8</v>
      </c>
      <c r="F359" s="27">
        <f>if(ISNA(vlookup($A359, ESPN!$B$2:$E$257, 4, false)), 0, vlookup($A359, ESPN!$B$2:$E$257, 4, false))</f>
        <v>0</v>
      </c>
      <c r="G359" s="27">
        <f>if(ISNA(vlookup($A359, FFToolbox!$B$2:$E$239, 4, false)), 0, vlookup($A359, FFToolbox!$B$2:$E$239, 4, false))</f>
        <v>0</v>
      </c>
      <c r="H359" s="27">
        <f>if(ISNA(vlookup($A359, FantasyPro!$B$2:$E$316, 4, false)), 0, vlookup($A359, FantasyPro!$B$2:$E$316, 4, false))</f>
        <v>0</v>
      </c>
      <c r="I359" s="27">
        <f>if(ISNA(vlookup($A359, RotoWire!$B$2:$E$681, 4, false)), 0, vlookup($A359, RotoWire!$B$2:$E$681, 4, false))</f>
        <v>0</v>
      </c>
      <c r="J359" s="28">
        <f t="shared" si="1"/>
        <v>0</v>
      </c>
      <c r="K359" s="28">
        <f t="shared" si="2"/>
        <v>0</v>
      </c>
    </row>
    <row r="360">
      <c r="A360" s="6" t="s">
        <v>777</v>
      </c>
      <c r="B360" s="25" t="s">
        <v>955</v>
      </c>
      <c r="C360" s="5" t="s">
        <v>59</v>
      </c>
      <c r="D360" s="5" t="s">
        <v>39</v>
      </c>
      <c r="E360" s="26">
        <f>vlookup(C360,'Team Bye List'!$A$1:$B$33,2,False)</f>
        <v>10</v>
      </c>
      <c r="F360" s="27">
        <f>if(ISNA(vlookup($A360, ESPN!$B$2:$E$257, 4, false)), 0, vlookup($A360, ESPN!$B$2:$E$257, 4, false))</f>
        <v>0</v>
      </c>
      <c r="G360" s="27">
        <f>if(ISNA(vlookup($A360, FFToolbox!$B$2:$E$239, 4, false)), 0, vlookup($A360, FFToolbox!$B$2:$E$239, 4, false))</f>
        <v>0</v>
      </c>
      <c r="H360" s="27">
        <f>if(ISNA(vlookup($A360, FantasyPro!$B$2:$E$316, 4, false)), 0, vlookup($A360, FantasyPro!$B$2:$E$316, 4, false))</f>
        <v>0</v>
      </c>
      <c r="I360" s="27">
        <f>if(ISNA(vlookup($A360, RotoWire!$B$2:$E$681, 4, false)), 0, vlookup($A360, RotoWire!$B$2:$E$681, 4, false))</f>
        <v>0</v>
      </c>
      <c r="J360" s="28">
        <f t="shared" si="1"/>
        <v>0</v>
      </c>
      <c r="K360" s="28">
        <f t="shared" si="2"/>
        <v>0</v>
      </c>
    </row>
    <row r="361" hidden="1">
      <c r="A361" s="6" t="s">
        <v>443</v>
      </c>
      <c r="B361" s="25" t="s">
        <v>955</v>
      </c>
      <c r="C361" s="5" t="s">
        <v>163</v>
      </c>
      <c r="D361" s="5" t="s">
        <v>12</v>
      </c>
      <c r="E361" s="26">
        <f>vlookup(C361,'Team Bye List'!$A$1:$B$33,2,False)</f>
        <v>5</v>
      </c>
      <c r="F361" s="27">
        <f>if(ISNA(vlookup($A361, ESPN!$B$2:$E$257, 4, false)), 0, vlookup($A361, ESPN!$B$2:$E$257, 4, false))</f>
        <v>0</v>
      </c>
      <c r="G361" s="27">
        <f>if(ISNA(vlookup($A361, FFToolbox!$B$2:$E$239, 4, false)), 0, vlookup($A361, FFToolbox!$B$2:$E$239, 4, false))</f>
        <v>0</v>
      </c>
      <c r="H361" s="27">
        <f>if(ISNA(vlookup($A361, FantasyPro!$B$2:$E$316, 4, false)), 0, vlookup($A361, FantasyPro!$B$2:$E$316, 4, false))</f>
        <v>0</v>
      </c>
      <c r="I361" s="27">
        <f>if(ISNA(vlookup($A361, RotoWire!$B$2:$E$681, 4, false)), 0, vlookup($A361, RotoWire!$B$2:$E$681, 4, false))</f>
        <v>0</v>
      </c>
      <c r="J361" s="28">
        <f t="shared" si="1"/>
        <v>0</v>
      </c>
      <c r="K361" s="28">
        <f t="shared" si="2"/>
        <v>0</v>
      </c>
    </row>
    <row r="362" hidden="1">
      <c r="A362" s="6" t="s">
        <v>514</v>
      </c>
      <c r="B362" s="25" t="s">
        <v>955</v>
      </c>
      <c r="C362" s="5" t="s">
        <v>54</v>
      </c>
      <c r="D362" s="5" t="s">
        <v>14</v>
      </c>
      <c r="E362" s="26">
        <f>vlookup(C362,'Team Bye List'!$A$1:$B$33,2,False)</f>
        <v>9</v>
      </c>
      <c r="F362" s="27">
        <f>if(ISNA(vlookup($A362, ESPN!$B$2:$E$257, 4, false)), 0, vlookup($A362, ESPN!$B$2:$E$257, 4, false))</f>
        <v>0</v>
      </c>
      <c r="G362" s="27">
        <f>if(ISNA(vlookup($A362, FFToolbox!$B$2:$E$239, 4, false)), 0, vlookup($A362, FFToolbox!$B$2:$E$239, 4, false))</f>
        <v>0</v>
      </c>
      <c r="H362" s="27">
        <f>if(ISNA(vlookup($A362, FantasyPro!$B$2:$E$316, 4, false)), 0, vlookup($A362, FantasyPro!$B$2:$E$316, 4, false))</f>
        <v>0</v>
      </c>
      <c r="I362" s="27">
        <f>if(ISNA(vlookup($A362, RotoWire!$B$2:$E$681, 4, false)), 0, vlookup($A362, RotoWire!$B$2:$E$681, 4, false))</f>
        <v>0</v>
      </c>
      <c r="J362" s="28">
        <f t="shared" si="1"/>
        <v>0</v>
      </c>
      <c r="K362" s="28">
        <f t="shared" si="2"/>
        <v>0</v>
      </c>
    </row>
    <row r="363" hidden="1">
      <c r="A363" s="6" t="s">
        <v>591</v>
      </c>
      <c r="B363" s="25" t="s">
        <v>955</v>
      </c>
      <c r="C363" s="5" t="s">
        <v>50</v>
      </c>
      <c r="D363" s="5" t="s">
        <v>14</v>
      </c>
      <c r="E363" s="26">
        <f>vlookup(C363,'Team Bye List'!$A$1:$B$33,2,False)</f>
        <v>11</v>
      </c>
      <c r="F363" s="27">
        <f>if(ISNA(vlookup($A363, ESPN!$B$2:$E$257, 4, false)), 0, vlookup($A363, ESPN!$B$2:$E$257, 4, false))</f>
        <v>0</v>
      </c>
      <c r="G363" s="27">
        <f>if(ISNA(vlookup($A363, FFToolbox!$B$2:$E$239, 4, false)), 0, vlookup($A363, FFToolbox!$B$2:$E$239, 4, false))</f>
        <v>0</v>
      </c>
      <c r="H363" s="27">
        <f>if(ISNA(vlookup($A363, FantasyPro!$B$2:$E$316, 4, false)), 0, vlookup($A363, FantasyPro!$B$2:$E$316, 4, false))</f>
        <v>0</v>
      </c>
      <c r="I363" s="27">
        <f>if(ISNA(vlookup($A363, RotoWire!$B$2:$E$681, 4, false)), 0, vlookup($A363, RotoWire!$B$2:$E$681, 4, false))</f>
        <v>0</v>
      </c>
      <c r="J363" s="28">
        <f t="shared" si="1"/>
        <v>0</v>
      </c>
      <c r="K363" s="28">
        <f t="shared" si="2"/>
        <v>0</v>
      </c>
    </row>
    <row r="364">
      <c r="A364" s="6" t="s">
        <v>807</v>
      </c>
      <c r="B364" s="25" t="s">
        <v>955</v>
      </c>
      <c r="C364" s="5" t="s">
        <v>59</v>
      </c>
      <c r="D364" s="5" t="s">
        <v>39</v>
      </c>
      <c r="E364" s="26">
        <f>vlookup(C364,'Team Bye List'!$A$1:$B$33,2,False)</f>
        <v>10</v>
      </c>
      <c r="F364" s="27">
        <f>if(ISNA(vlookup($A364, ESPN!$B$2:$E$257, 4, false)), 0, vlookup($A364, ESPN!$B$2:$E$257, 4, false))</f>
        <v>0</v>
      </c>
      <c r="G364" s="27">
        <f>if(ISNA(vlookup($A364, FFToolbox!$B$2:$E$239, 4, false)), 0, vlookup($A364, FFToolbox!$B$2:$E$239, 4, false))</f>
        <v>0</v>
      </c>
      <c r="H364" s="27">
        <f>if(ISNA(vlookup($A364, FantasyPro!$B$2:$E$316, 4, false)), 0, vlookup($A364, FantasyPro!$B$2:$E$316, 4, false))</f>
        <v>0</v>
      </c>
      <c r="I364" s="27">
        <f>if(ISNA(vlookup($A364, RotoWire!$B$2:$E$681, 4, false)), 0, vlookup($A364, RotoWire!$B$2:$E$681, 4, false))</f>
        <v>0</v>
      </c>
      <c r="J364" s="28">
        <f t="shared" si="1"/>
        <v>0</v>
      </c>
      <c r="K364" s="28">
        <f t="shared" si="2"/>
        <v>0</v>
      </c>
    </row>
    <row r="365" hidden="1">
      <c r="A365" s="8" t="s">
        <v>345</v>
      </c>
      <c r="B365" s="25" t="s">
        <v>955</v>
      </c>
      <c r="C365" s="5" t="s">
        <v>6</v>
      </c>
      <c r="D365" s="5" t="s">
        <v>14</v>
      </c>
      <c r="E365" s="26">
        <f>vlookup(C365,'Team Bye List'!$A$1:$B$33,2,False)</f>
        <v>11</v>
      </c>
      <c r="F365" s="27">
        <f>if(ISNA(vlookup($A365, ESPN!$B$2:$E$257, 4, false)), 0, vlookup($A365, ESPN!$B$2:$E$257, 4, false))</f>
        <v>0</v>
      </c>
      <c r="G365" s="27">
        <f>if(ISNA(vlookup($A365, FFToolbox!$B$2:$E$239, 4, false)), 0, vlookup($A365, FFToolbox!$B$2:$E$239, 4, false))</f>
        <v>0</v>
      </c>
      <c r="H365" s="27">
        <f>if(ISNA(vlookup($A365, FantasyPro!$B$2:$E$316, 4, false)), 0, vlookup($A365, FantasyPro!$B$2:$E$316, 4, false))</f>
        <v>0</v>
      </c>
      <c r="I365" s="27">
        <f>if(ISNA(vlookup($A365, RotoWire!$B$2:$E$681, 4, false)), 0, vlookup($A365, RotoWire!$B$2:$E$681, 4, false))</f>
        <v>0</v>
      </c>
      <c r="J365" s="28">
        <f t="shared" si="1"/>
        <v>0</v>
      </c>
      <c r="K365" s="28">
        <f t="shared" si="2"/>
        <v>0</v>
      </c>
    </row>
    <row r="366" hidden="1">
      <c r="A366" s="6" t="s">
        <v>241</v>
      </c>
      <c r="B366" s="25" t="s">
        <v>955</v>
      </c>
      <c r="C366" s="5" t="s">
        <v>139</v>
      </c>
      <c r="D366" s="5" t="s">
        <v>14</v>
      </c>
      <c r="E366" s="26">
        <f>vlookup(C366,'Team Bye List'!$A$1:$B$33,2,False)</f>
        <v>6</v>
      </c>
      <c r="F366" s="27">
        <f>if(ISNA(vlookup($A366, ESPN!$B$2:$E$257, 4, false)), 0, vlookup($A366, ESPN!$B$2:$E$257, 4, false))</f>
        <v>0</v>
      </c>
      <c r="G366" s="27">
        <f>if(ISNA(vlookup($A366, FFToolbox!$B$2:$E$239, 4, false)), 0, vlookup($A366, FFToolbox!$B$2:$E$239, 4, false))</f>
        <v>0</v>
      </c>
      <c r="H366" s="27">
        <f>if(ISNA(vlookup($A366, FantasyPro!$B$2:$E$316, 4, false)), 0, vlookup($A366, FantasyPro!$B$2:$E$316, 4, false))</f>
        <v>0</v>
      </c>
      <c r="I366" s="27">
        <f>if(ISNA(vlookup($A366, RotoWire!$B$2:$E$681, 4, false)), 0, vlookup($A366, RotoWire!$B$2:$E$681, 4, false))</f>
        <v>0</v>
      </c>
      <c r="J366" s="28">
        <f t="shared" si="1"/>
        <v>0</v>
      </c>
      <c r="K366" s="28">
        <f t="shared" si="2"/>
        <v>0</v>
      </c>
    </row>
    <row r="367" hidden="1">
      <c r="A367" s="6" t="s">
        <v>437</v>
      </c>
      <c r="B367" s="25" t="s">
        <v>955</v>
      </c>
      <c r="C367" s="5" t="s">
        <v>62</v>
      </c>
      <c r="D367" s="5" t="s">
        <v>12</v>
      </c>
      <c r="E367" s="26">
        <f>vlookup(C367,'Team Bye List'!$A$1:$B$33,2,False)</f>
        <v>12</v>
      </c>
      <c r="F367" s="27">
        <f>if(ISNA(vlookup($A367, ESPN!$B$2:$E$257, 4, false)), 0, vlookup($A367, ESPN!$B$2:$E$257, 4, false))</f>
        <v>0</v>
      </c>
      <c r="G367" s="27">
        <f>if(ISNA(vlookup($A367, FFToolbox!$B$2:$E$239, 4, false)), 0, vlookup($A367, FFToolbox!$B$2:$E$239, 4, false))</f>
        <v>0</v>
      </c>
      <c r="H367" s="27">
        <f>if(ISNA(vlookup($A367, FantasyPro!$B$2:$E$316, 4, false)), 0, vlookup($A367, FantasyPro!$B$2:$E$316, 4, false))</f>
        <v>0</v>
      </c>
      <c r="I367" s="27">
        <f>if(ISNA(vlookup($A367, RotoWire!$B$2:$E$681, 4, false)), 0, vlookup($A367, RotoWire!$B$2:$E$681, 4, false))</f>
        <v>0</v>
      </c>
      <c r="J367" s="28">
        <f t="shared" si="1"/>
        <v>0</v>
      </c>
      <c r="K367" s="28">
        <f t="shared" si="2"/>
        <v>0</v>
      </c>
    </row>
    <row r="368" hidden="1">
      <c r="A368" s="6" t="s">
        <v>417</v>
      </c>
      <c r="B368" s="25" t="s">
        <v>955</v>
      </c>
      <c r="C368" s="5" t="s">
        <v>50</v>
      </c>
      <c r="D368" s="5" t="s">
        <v>12</v>
      </c>
      <c r="E368" s="26">
        <f>vlookup(C368,'Team Bye List'!$A$1:$B$33,2,False)</f>
        <v>11</v>
      </c>
      <c r="F368" s="27">
        <f>if(ISNA(vlookup($A368, ESPN!$B$2:$E$257, 4, false)), 0, vlookup($A368, ESPN!$B$2:$E$257, 4, false))</f>
        <v>0</v>
      </c>
      <c r="G368" s="27">
        <f>if(ISNA(vlookup($A368, FFToolbox!$B$2:$E$239, 4, false)), 0, vlookup($A368, FFToolbox!$B$2:$E$239, 4, false))</f>
        <v>0</v>
      </c>
      <c r="H368" s="27">
        <f>if(ISNA(vlookup($A368, FantasyPro!$B$2:$E$316, 4, false)), 0, vlookup($A368, FantasyPro!$B$2:$E$316, 4, false))</f>
        <v>0</v>
      </c>
      <c r="I368" s="27">
        <f>if(ISNA(vlookup($A368, RotoWire!$B$2:$E$681, 4, false)), 0, vlookup($A368, RotoWire!$B$2:$E$681, 4, false))</f>
        <v>0</v>
      </c>
      <c r="J368" s="28">
        <f t="shared" si="1"/>
        <v>0</v>
      </c>
      <c r="K368" s="28">
        <f t="shared" si="2"/>
        <v>0</v>
      </c>
    </row>
    <row r="369">
      <c r="A369" s="6" t="s">
        <v>748</v>
      </c>
      <c r="B369" s="25" t="s">
        <v>955</v>
      </c>
      <c r="C369" s="5" t="s">
        <v>165</v>
      </c>
      <c r="D369" s="5" t="s">
        <v>39</v>
      </c>
      <c r="E369" s="26">
        <f>vlookup(C369,'Team Bye List'!$A$1:$B$33,2,False)</f>
        <v>10</v>
      </c>
      <c r="F369" s="27">
        <f>if(ISNA(vlookup($A369, ESPN!$B$2:$E$257, 4, false)), 0, vlookup($A369, ESPN!$B$2:$E$257, 4, false))</f>
        <v>0</v>
      </c>
      <c r="G369" s="27">
        <f>if(ISNA(vlookup($A369, FFToolbox!$B$2:$E$239, 4, false)), 0, vlookup($A369, FFToolbox!$B$2:$E$239, 4, false))</f>
        <v>0</v>
      </c>
      <c r="H369" s="27">
        <f>if(ISNA(vlookup($A369, FantasyPro!$B$2:$E$316, 4, false)), 0, vlookup($A369, FantasyPro!$B$2:$E$316, 4, false))</f>
        <v>0</v>
      </c>
      <c r="I369" s="27">
        <f>if(ISNA(vlookup($A369, RotoWire!$B$2:$E$681, 4, false)), 0, vlookup($A369, RotoWire!$B$2:$E$681, 4, false))</f>
        <v>0</v>
      </c>
      <c r="J369" s="28">
        <f t="shared" si="1"/>
        <v>0</v>
      </c>
      <c r="K369" s="28">
        <f t="shared" si="2"/>
        <v>0</v>
      </c>
    </row>
    <row r="370">
      <c r="A370" s="6" t="s">
        <v>771</v>
      </c>
      <c r="B370" s="25" t="s">
        <v>955</v>
      </c>
      <c r="C370" s="5" t="s">
        <v>9</v>
      </c>
      <c r="D370" s="5" t="s">
        <v>39</v>
      </c>
      <c r="E370" s="26">
        <f>vlookup(C370,'Team Bye List'!$A$1:$B$33,2,False)</f>
        <v>8</v>
      </c>
      <c r="F370" s="27">
        <f>if(ISNA(vlookup($A370, ESPN!$B$2:$E$257, 4, false)), 0, vlookup($A370, ESPN!$B$2:$E$257, 4, false))</f>
        <v>0</v>
      </c>
      <c r="G370" s="27">
        <f>if(ISNA(vlookup($A370, FFToolbox!$B$2:$E$239, 4, false)), 0, vlookup($A370, FFToolbox!$B$2:$E$239, 4, false))</f>
        <v>0</v>
      </c>
      <c r="H370" s="27">
        <f>if(ISNA(vlookup($A370, FantasyPro!$B$2:$E$316, 4, false)), 0, vlookup($A370, FantasyPro!$B$2:$E$316, 4, false))</f>
        <v>0</v>
      </c>
      <c r="I370" s="27">
        <f>if(ISNA(vlookup($A370, RotoWire!$B$2:$E$681, 4, false)), 0, vlookup($A370, RotoWire!$B$2:$E$681, 4, false))</f>
        <v>0</v>
      </c>
      <c r="J370" s="28">
        <f t="shared" si="1"/>
        <v>0</v>
      </c>
      <c r="K370" s="28">
        <f t="shared" si="2"/>
        <v>0</v>
      </c>
    </row>
    <row r="371" hidden="1">
      <c r="A371" s="6" t="s">
        <v>384</v>
      </c>
      <c r="B371" s="25" t="s">
        <v>955</v>
      </c>
      <c r="C371" s="5" t="s">
        <v>96</v>
      </c>
      <c r="D371" s="5" t="s">
        <v>14</v>
      </c>
      <c r="E371" s="26">
        <f>vlookup(C371,'Team Bye List'!$A$1:$B$33,2,False)</f>
        <v>6</v>
      </c>
      <c r="F371" s="27">
        <f>if(ISNA(vlookup($A371, ESPN!$B$2:$E$257, 4, false)), 0, vlookup($A371, ESPN!$B$2:$E$257, 4, false))</f>
        <v>0</v>
      </c>
      <c r="G371" s="27">
        <f>if(ISNA(vlookup($A371, FFToolbox!$B$2:$E$239, 4, false)), 0, vlookup($A371, FFToolbox!$B$2:$E$239, 4, false))</f>
        <v>0</v>
      </c>
      <c r="H371" s="27">
        <f>if(ISNA(vlookup($A371, FantasyPro!$B$2:$E$316, 4, false)), 0, vlookup($A371, FantasyPro!$B$2:$E$316, 4, false))</f>
        <v>0</v>
      </c>
      <c r="I371" s="27">
        <f>if(ISNA(vlookup($A371, RotoWire!$B$2:$E$681, 4, false)), 0, vlookup($A371, RotoWire!$B$2:$E$681, 4, false))</f>
        <v>0</v>
      </c>
      <c r="J371" s="28">
        <f t="shared" si="1"/>
        <v>0</v>
      </c>
      <c r="K371" s="28">
        <f t="shared" si="2"/>
        <v>0</v>
      </c>
    </row>
    <row r="372" hidden="1">
      <c r="A372" s="6" t="s">
        <v>668</v>
      </c>
      <c r="B372" s="25" t="s">
        <v>955</v>
      </c>
      <c r="C372" s="5" t="s">
        <v>59</v>
      </c>
      <c r="D372" s="5" t="s">
        <v>7</v>
      </c>
      <c r="E372" s="26">
        <f>vlookup(C372,'Team Bye List'!$A$1:$B$33,2,False)</f>
        <v>10</v>
      </c>
      <c r="F372" s="27">
        <f>if(ISNA(vlookup($A372, ESPN!$B$2:$E$257, 4, false)), 0, vlookup($A372, ESPN!$B$2:$E$257, 4, false))</f>
        <v>0</v>
      </c>
      <c r="G372" s="27">
        <f>if(ISNA(vlookup($A372, FFToolbox!$B$2:$E$239, 4, false)), 0, vlookup($A372, FFToolbox!$B$2:$E$239, 4, false))</f>
        <v>0</v>
      </c>
      <c r="H372" s="27">
        <f>if(ISNA(vlookup($A372, FantasyPro!$B$2:$E$316, 4, false)), 0, vlookup($A372, FantasyPro!$B$2:$E$316, 4, false))</f>
        <v>0</v>
      </c>
      <c r="I372" s="27">
        <f>if(ISNA(vlookup($A372, RotoWire!$B$2:$E$681, 4, false)), 0, vlookup($A372, RotoWire!$B$2:$E$681, 4, false))</f>
        <v>0</v>
      </c>
      <c r="J372" s="28">
        <f t="shared" si="1"/>
        <v>0</v>
      </c>
      <c r="K372" s="28">
        <f t="shared" si="2"/>
        <v>0</v>
      </c>
    </row>
    <row r="373" hidden="1">
      <c r="A373" s="6" t="s">
        <v>561</v>
      </c>
      <c r="B373" s="25" t="s">
        <v>955</v>
      </c>
      <c r="C373" s="5" t="s">
        <v>6</v>
      </c>
      <c r="D373" s="5" t="s">
        <v>14</v>
      </c>
      <c r="E373" s="26">
        <f>vlookup(C373,'Team Bye List'!$A$1:$B$33,2,False)</f>
        <v>11</v>
      </c>
      <c r="F373" s="27">
        <f>if(ISNA(vlookup($A373, ESPN!$B$2:$E$257, 4, false)), 0, vlookup($A373, ESPN!$B$2:$E$257, 4, false))</f>
        <v>0</v>
      </c>
      <c r="G373" s="27">
        <f>if(ISNA(vlookup($A373, FFToolbox!$B$2:$E$239, 4, false)), 0, vlookup($A373, FFToolbox!$B$2:$E$239, 4, false))</f>
        <v>0</v>
      </c>
      <c r="H373" s="27">
        <f>if(ISNA(vlookup($A373, FantasyPro!$B$2:$E$316, 4, false)), 0, vlookup($A373, FantasyPro!$B$2:$E$316, 4, false))</f>
        <v>0</v>
      </c>
      <c r="I373" s="27">
        <f>if(ISNA(vlookup($A373, RotoWire!$B$2:$E$681, 4, false)), 0, vlookup($A373, RotoWire!$B$2:$E$681, 4, false))</f>
        <v>0</v>
      </c>
      <c r="J373" s="28">
        <f t="shared" si="1"/>
        <v>0</v>
      </c>
      <c r="K373" s="28">
        <f t="shared" si="2"/>
        <v>0</v>
      </c>
    </row>
    <row r="374" hidden="1">
      <c r="A374" s="6" t="s">
        <v>684</v>
      </c>
      <c r="B374" s="25" t="s">
        <v>955</v>
      </c>
      <c r="C374" s="5" t="s">
        <v>26</v>
      </c>
      <c r="D374" s="5" t="s">
        <v>7</v>
      </c>
      <c r="E374" s="26">
        <f>vlookup(C374,'Team Bye List'!$A$1:$B$33,2,False)</f>
        <v>12</v>
      </c>
      <c r="F374" s="27">
        <f>if(ISNA(vlookup($A374, ESPN!$B$2:$E$257, 4, false)), 0, vlookup($A374, ESPN!$B$2:$E$257, 4, false))</f>
        <v>0</v>
      </c>
      <c r="G374" s="27">
        <f>if(ISNA(vlookup($A374, FFToolbox!$B$2:$E$239, 4, false)), 0, vlookup($A374, FFToolbox!$B$2:$E$239, 4, false))</f>
        <v>0</v>
      </c>
      <c r="H374" s="27">
        <f>if(ISNA(vlookup($A374, FantasyPro!$B$2:$E$316, 4, false)), 0, vlookup($A374, FantasyPro!$B$2:$E$316, 4, false))</f>
        <v>0</v>
      </c>
      <c r="I374" s="27">
        <f>if(ISNA(vlookup($A374, RotoWire!$B$2:$E$681, 4, false)), 0, vlookup($A374, RotoWire!$B$2:$E$681, 4, false))</f>
        <v>0</v>
      </c>
      <c r="J374" s="28">
        <f t="shared" si="1"/>
        <v>0</v>
      </c>
      <c r="K374" s="28">
        <f t="shared" si="2"/>
        <v>0</v>
      </c>
    </row>
    <row r="375" hidden="1">
      <c r="A375" s="6" t="s">
        <v>692</v>
      </c>
      <c r="B375" s="25" t="s">
        <v>955</v>
      </c>
      <c r="C375" s="5" t="s">
        <v>48</v>
      </c>
      <c r="D375" s="5" t="s">
        <v>7</v>
      </c>
      <c r="E375" s="26">
        <f>vlookup(C375,'Team Bye List'!$A$1:$B$33,2,False)</f>
        <v>6</v>
      </c>
      <c r="F375" s="27">
        <f>if(ISNA(vlookup($A375, ESPN!$B$2:$E$257, 4, false)), 0, vlookup($A375, ESPN!$B$2:$E$257, 4, false))</f>
        <v>0</v>
      </c>
      <c r="G375" s="27">
        <f>if(ISNA(vlookup($A375, FFToolbox!$B$2:$E$239, 4, false)), 0, vlookup($A375, FFToolbox!$B$2:$E$239, 4, false))</f>
        <v>0</v>
      </c>
      <c r="H375" s="27">
        <f>if(ISNA(vlookup($A375, FantasyPro!$B$2:$E$316, 4, false)), 0, vlookup($A375, FantasyPro!$B$2:$E$316, 4, false))</f>
        <v>0</v>
      </c>
      <c r="I375" s="27">
        <f>if(ISNA(vlookup($A375, RotoWire!$B$2:$E$681, 4, false)), 0, vlookup($A375, RotoWire!$B$2:$E$681, 4, false))</f>
        <v>0</v>
      </c>
      <c r="J375" s="28">
        <f t="shared" si="1"/>
        <v>0</v>
      </c>
      <c r="K375" s="28">
        <f t="shared" si="2"/>
        <v>0</v>
      </c>
    </row>
    <row r="376" hidden="1">
      <c r="A376" s="8" t="s">
        <v>219</v>
      </c>
      <c r="B376" s="25" t="s">
        <v>955</v>
      </c>
      <c r="C376" s="5" t="s">
        <v>59</v>
      </c>
      <c r="D376" s="5" t="s">
        <v>12</v>
      </c>
      <c r="E376" s="26">
        <f>vlookup(C376,'Team Bye List'!$A$1:$B$33,2,False)</f>
        <v>10</v>
      </c>
      <c r="F376" s="27">
        <f>if(ISNA(vlookup($A376, ESPN!$B$2:$E$257, 4, false)), 0, vlookup($A376, ESPN!$B$2:$E$257, 4, false))</f>
        <v>0</v>
      </c>
      <c r="G376" s="27">
        <f>if(ISNA(vlookup($A376, FFToolbox!$B$2:$E$239, 4, false)), 0, vlookup($A376, FFToolbox!$B$2:$E$239, 4, false))</f>
        <v>0</v>
      </c>
      <c r="H376" s="27">
        <f>if(ISNA(vlookup($A376, FantasyPro!$B$2:$E$316, 4, false)), 0, vlookup($A376, FantasyPro!$B$2:$E$316, 4, false))</f>
        <v>0</v>
      </c>
      <c r="I376" s="27">
        <f>if(ISNA(vlookup($A376, RotoWire!$B$2:$E$681, 4, false)), 0, vlookup($A376, RotoWire!$B$2:$E$681, 4, false))</f>
        <v>0</v>
      </c>
      <c r="J376" s="28">
        <f t="shared" si="1"/>
        <v>0</v>
      </c>
      <c r="K376" s="28">
        <f t="shared" si="2"/>
        <v>0</v>
      </c>
    </row>
    <row r="377" hidden="1">
      <c r="A377" s="6" t="s">
        <v>351</v>
      </c>
      <c r="B377" s="25" t="s">
        <v>955</v>
      </c>
      <c r="C377" s="5" t="s">
        <v>9</v>
      </c>
      <c r="D377" s="5" t="s">
        <v>12</v>
      </c>
      <c r="E377" s="26">
        <f>vlookup(C377,'Team Bye List'!$A$1:$B$33,2,False)</f>
        <v>8</v>
      </c>
      <c r="F377" s="27">
        <f>if(ISNA(vlookup($A377, ESPN!$B$2:$E$257, 4, false)), 0, vlookup($A377, ESPN!$B$2:$E$257, 4, false))</f>
        <v>0</v>
      </c>
      <c r="G377" s="27">
        <f>if(ISNA(vlookup($A377, FFToolbox!$B$2:$E$239, 4, false)), 0, vlookup($A377, FFToolbox!$B$2:$E$239, 4, false))</f>
        <v>0</v>
      </c>
      <c r="H377" s="27">
        <f>if(ISNA(vlookup($A377, FantasyPro!$B$2:$E$316, 4, false)), 0, vlookup($A377, FantasyPro!$B$2:$E$316, 4, false))</f>
        <v>0</v>
      </c>
      <c r="I377" s="27">
        <f>if(ISNA(vlookup($A377, RotoWire!$B$2:$E$681, 4, false)), 0, vlookup($A377, RotoWire!$B$2:$E$681, 4, false))</f>
        <v>0</v>
      </c>
      <c r="J377" s="28">
        <f t="shared" si="1"/>
        <v>0</v>
      </c>
      <c r="K377" s="28">
        <f t="shared" si="2"/>
        <v>0</v>
      </c>
    </row>
    <row r="378" hidden="1">
      <c r="A378" s="6" t="s">
        <v>604</v>
      </c>
      <c r="B378" s="25" t="s">
        <v>955</v>
      </c>
      <c r="C378" s="5" t="s">
        <v>26</v>
      </c>
      <c r="D378" s="5" t="s">
        <v>14</v>
      </c>
      <c r="E378" s="26">
        <f>vlookup(C378,'Team Bye List'!$A$1:$B$33,2,False)</f>
        <v>12</v>
      </c>
      <c r="F378" s="27">
        <f>if(ISNA(vlookup($A378, ESPN!$B$2:$E$257, 4, false)), 0, vlookup($A378, ESPN!$B$2:$E$257, 4, false))</f>
        <v>0</v>
      </c>
      <c r="G378" s="27">
        <f>if(ISNA(vlookup($A378, FFToolbox!$B$2:$E$239, 4, false)), 0, vlookup($A378, FFToolbox!$B$2:$E$239, 4, false))</f>
        <v>0</v>
      </c>
      <c r="H378" s="27">
        <f>if(ISNA(vlookup($A378, FantasyPro!$B$2:$E$316, 4, false)), 0, vlookup($A378, FantasyPro!$B$2:$E$316, 4, false))</f>
        <v>0</v>
      </c>
      <c r="I378" s="27">
        <f>if(ISNA(vlookup($A378, RotoWire!$B$2:$E$681, 4, false)), 0, vlookup($A378, RotoWire!$B$2:$E$681, 4, false))</f>
        <v>0</v>
      </c>
      <c r="J378" s="28">
        <f t="shared" si="1"/>
        <v>0</v>
      </c>
      <c r="K378" s="28">
        <f t="shared" si="2"/>
        <v>0</v>
      </c>
    </row>
    <row r="379" hidden="1">
      <c r="A379" s="6" t="s">
        <v>558</v>
      </c>
      <c r="B379" s="25" t="s">
        <v>955</v>
      </c>
      <c r="C379" s="5" t="s">
        <v>30</v>
      </c>
      <c r="D379" s="5" t="s">
        <v>14</v>
      </c>
      <c r="E379" s="26">
        <f>vlookup(C379,'Team Bye List'!$A$1:$B$33,2,False)</f>
        <v>7</v>
      </c>
      <c r="F379" s="27">
        <f>if(ISNA(vlookup($A379, ESPN!$B$2:$E$257, 4, false)), 0, vlookup($A379, ESPN!$B$2:$E$257, 4, false))</f>
        <v>0</v>
      </c>
      <c r="G379" s="27">
        <f>if(ISNA(vlookup($A379, FFToolbox!$B$2:$E$239, 4, false)), 0, vlookup($A379, FFToolbox!$B$2:$E$239, 4, false))</f>
        <v>0</v>
      </c>
      <c r="H379" s="27">
        <f>if(ISNA(vlookup($A379, FantasyPro!$B$2:$E$316, 4, false)), 0, vlookup($A379, FantasyPro!$B$2:$E$316, 4, false))</f>
        <v>0</v>
      </c>
      <c r="I379" s="27">
        <f>if(ISNA(vlookup($A379, RotoWire!$B$2:$E$681, 4, false)), 0, vlookup($A379, RotoWire!$B$2:$E$681, 4, false))</f>
        <v>0</v>
      </c>
      <c r="J379" s="28">
        <f t="shared" si="1"/>
        <v>0</v>
      </c>
      <c r="K379" s="28">
        <f t="shared" si="2"/>
        <v>0</v>
      </c>
    </row>
    <row r="380" hidden="1">
      <c r="A380" s="6" t="s">
        <v>258</v>
      </c>
      <c r="B380" s="25" t="s">
        <v>955</v>
      </c>
      <c r="C380" s="5" t="s">
        <v>62</v>
      </c>
      <c r="D380" s="5" t="s">
        <v>120</v>
      </c>
      <c r="E380" s="26">
        <f>vlookup(C380,'Team Bye List'!$A$1:$B$33,2,False)</f>
        <v>12</v>
      </c>
      <c r="F380" s="27">
        <f>if(ISNA(vlookup($A380, ESPN!$B$2:$E$257, 4, false)), 0, vlookup($A380, ESPN!$B$2:$E$257, 4, false))</f>
        <v>0</v>
      </c>
      <c r="G380" s="27">
        <f>if(ISNA(vlookup($A380, FFToolbox!$B$2:$E$239, 4, false)), 0, vlookup($A380, FFToolbox!$B$2:$E$239, 4, false))</f>
        <v>0</v>
      </c>
      <c r="H380" s="27">
        <f>if(ISNA(vlookup($A380, FantasyPro!$B$2:$E$316, 4, false)), 0, vlookup($A380, FantasyPro!$B$2:$E$316, 4, false))</f>
        <v>0</v>
      </c>
      <c r="I380" s="27">
        <f>if(ISNA(vlookup($A380, RotoWire!$B$2:$E$681, 4, false)), 0, vlookup($A380, RotoWire!$B$2:$E$681, 4, false))</f>
        <v>0</v>
      </c>
      <c r="J380" s="28">
        <f t="shared" si="1"/>
        <v>0</v>
      </c>
      <c r="K380" s="28">
        <f t="shared" si="2"/>
        <v>0</v>
      </c>
    </row>
    <row r="381" hidden="1">
      <c r="A381" s="6" t="s">
        <v>366</v>
      </c>
      <c r="B381" s="25" t="s">
        <v>955</v>
      </c>
      <c r="C381" s="5" t="s">
        <v>52</v>
      </c>
      <c r="D381" s="5" t="s">
        <v>12</v>
      </c>
      <c r="E381" s="26">
        <f>vlookup(C381,'Team Bye List'!$A$1:$B$33,2,False)</f>
        <v>4</v>
      </c>
      <c r="F381" s="27">
        <f>if(ISNA(vlookup($A381, ESPN!$B$2:$E$257, 4, false)), 0, vlookup($A381, ESPN!$B$2:$E$257, 4, false))</f>
        <v>0</v>
      </c>
      <c r="G381" s="27">
        <f>if(ISNA(vlookup($A381, FFToolbox!$B$2:$E$239, 4, false)), 0, vlookup($A381, FFToolbox!$B$2:$E$239, 4, false))</f>
        <v>0</v>
      </c>
      <c r="H381" s="27">
        <f>if(ISNA(vlookup($A381, FantasyPro!$B$2:$E$316, 4, false)), 0, vlookup($A381, FantasyPro!$B$2:$E$316, 4, false))</f>
        <v>0</v>
      </c>
      <c r="I381" s="27">
        <f>if(ISNA(vlookup($A381, RotoWire!$B$2:$E$681, 4, false)), 0, vlookup($A381, RotoWire!$B$2:$E$681, 4, false))</f>
        <v>0</v>
      </c>
      <c r="J381" s="28">
        <f t="shared" si="1"/>
        <v>0</v>
      </c>
      <c r="K381" s="28">
        <f t="shared" si="2"/>
        <v>0</v>
      </c>
    </row>
    <row r="382" hidden="1">
      <c r="A382" s="6" t="s">
        <v>199</v>
      </c>
      <c r="B382" s="25" t="s">
        <v>955</v>
      </c>
      <c r="C382" s="5" t="s">
        <v>41</v>
      </c>
      <c r="D382" s="5" t="s">
        <v>120</v>
      </c>
      <c r="E382" s="26">
        <f>vlookup(C382,'Team Bye List'!$A$1:$B$33,2,False)</f>
        <v>6</v>
      </c>
      <c r="F382" s="27">
        <f>if(ISNA(vlookup($A382, ESPN!$B$2:$E$257, 4, false)), 0, vlookup($A382, ESPN!$B$2:$E$257, 4, false))</f>
        <v>0</v>
      </c>
      <c r="G382" s="27">
        <f>if(ISNA(vlookup($A382, FFToolbox!$B$2:$E$239, 4, false)), 0, vlookup($A382, FFToolbox!$B$2:$E$239, 4, false))</f>
        <v>0</v>
      </c>
      <c r="H382" s="27">
        <f>if(ISNA(vlookup($A382, FantasyPro!$B$2:$E$316, 4, false)), 0, vlookup($A382, FantasyPro!$B$2:$E$316, 4, false))</f>
        <v>0</v>
      </c>
      <c r="I382" s="27">
        <f>if(ISNA(vlookup($A382, RotoWire!$B$2:$E$681, 4, false)), 0, vlookup($A382, RotoWire!$B$2:$E$681, 4, false))</f>
        <v>0</v>
      </c>
      <c r="J382" s="28">
        <f t="shared" si="1"/>
        <v>0</v>
      </c>
      <c r="K382" s="28">
        <f t="shared" si="2"/>
        <v>0</v>
      </c>
    </row>
    <row r="383" hidden="1">
      <c r="A383" s="8" t="s">
        <v>278</v>
      </c>
      <c r="B383" s="25"/>
      <c r="C383" s="5" t="s">
        <v>71</v>
      </c>
      <c r="D383" s="5" t="s">
        <v>14</v>
      </c>
      <c r="E383" s="26">
        <f>vlookup(C383,'Team Bye List'!$A$1:$B$33,2,False)</f>
        <v>5</v>
      </c>
      <c r="F383" s="27">
        <f>if(ISNA(vlookup($A383, ESPN!$B$2:$E$257, 4, false)), 0, vlookup($A383, ESPN!$B$2:$E$257, 4, false))</f>
        <v>0</v>
      </c>
      <c r="G383" s="27">
        <f>if(ISNA(vlookup($A383, FFToolbox!$B$2:$E$239, 4, false)), 0, vlookup($A383, FFToolbox!$B$2:$E$239, 4, false))</f>
        <v>0</v>
      </c>
      <c r="H383" s="27">
        <f>if(ISNA(vlookup($A383, FantasyPro!$B$2:$E$316, 4, false)), 0, vlookup($A383, FantasyPro!$B$2:$E$316, 4, false))</f>
        <v>0</v>
      </c>
      <c r="I383" s="27">
        <f>if(ISNA(vlookup($A383, RotoWire!$B$2:$E$681, 4, false)), 0, vlookup($A383, RotoWire!$B$2:$E$681, 4, false))</f>
        <v>0</v>
      </c>
      <c r="J383" s="28">
        <f t="shared" si="1"/>
        <v>0</v>
      </c>
      <c r="K383" s="28">
        <f t="shared" si="2"/>
        <v>0</v>
      </c>
    </row>
    <row r="384">
      <c r="A384" s="6" t="s">
        <v>783</v>
      </c>
      <c r="B384" s="25" t="s">
        <v>955</v>
      </c>
      <c r="C384" s="5" t="s">
        <v>20</v>
      </c>
      <c r="D384" s="5" t="s">
        <v>39</v>
      </c>
      <c r="E384" s="26">
        <f>vlookup(C384,'Team Bye List'!$A$1:$B$33,2,False)</f>
        <v>9</v>
      </c>
      <c r="F384" s="27">
        <f>if(ISNA(vlookup($A384, ESPN!$B$2:$E$257, 4, false)), 0, vlookup($A384, ESPN!$B$2:$E$257, 4, false))</f>
        <v>0</v>
      </c>
      <c r="G384" s="27">
        <f>if(ISNA(vlookup($A384, FFToolbox!$B$2:$E$239, 4, false)), 0, vlookup($A384, FFToolbox!$B$2:$E$239, 4, false))</f>
        <v>0</v>
      </c>
      <c r="H384" s="27">
        <f>if(ISNA(vlookup($A384, FantasyPro!$B$2:$E$316, 4, false)), 0, vlookup($A384, FantasyPro!$B$2:$E$316, 4, false))</f>
        <v>0</v>
      </c>
      <c r="I384" s="27">
        <f>if(ISNA(vlookup($A384, RotoWire!$B$2:$E$681, 4, false)), 0, vlookup($A384, RotoWire!$B$2:$E$681, 4, false))</f>
        <v>0</v>
      </c>
      <c r="J384" s="28">
        <f t="shared" si="1"/>
        <v>0</v>
      </c>
      <c r="K384" s="28">
        <f t="shared" si="2"/>
        <v>0</v>
      </c>
    </row>
    <row r="385" hidden="1">
      <c r="A385" s="6" t="s">
        <v>641</v>
      </c>
      <c r="B385" s="25" t="s">
        <v>955</v>
      </c>
      <c r="C385" s="5" t="s">
        <v>37</v>
      </c>
      <c r="D385" s="5" t="s">
        <v>7</v>
      </c>
      <c r="E385" s="26">
        <f>vlookup(C385,'Team Bye List'!$A$1:$B$33,2,False)</f>
        <v>7</v>
      </c>
      <c r="F385" s="27">
        <f>if(ISNA(vlookup($A385, ESPN!$B$2:$E$257, 4, false)), 0, vlookup($A385, ESPN!$B$2:$E$257, 4, false))</f>
        <v>0</v>
      </c>
      <c r="G385" s="27">
        <f>if(ISNA(vlookup($A385, FFToolbox!$B$2:$E$239, 4, false)), 0, vlookup($A385, FFToolbox!$B$2:$E$239, 4, false))</f>
        <v>0</v>
      </c>
      <c r="H385" s="27">
        <f>if(ISNA(vlookup($A385, FantasyPro!$B$2:$E$316, 4, false)), 0, vlookup($A385, FantasyPro!$B$2:$E$316, 4, false))</f>
        <v>0</v>
      </c>
      <c r="I385" s="27">
        <f>if(ISNA(vlookup($A385, RotoWire!$B$2:$E$681, 4, false)), 0, vlookup($A385, RotoWire!$B$2:$E$681, 4, false))</f>
        <v>0</v>
      </c>
      <c r="J385" s="28">
        <f t="shared" si="1"/>
        <v>0</v>
      </c>
      <c r="K385" s="28">
        <f t="shared" si="2"/>
        <v>0</v>
      </c>
    </row>
    <row r="386" hidden="1">
      <c r="A386" s="6" t="s">
        <v>718</v>
      </c>
      <c r="B386" s="25" t="s">
        <v>955</v>
      </c>
      <c r="C386" s="5" t="s">
        <v>9</v>
      </c>
      <c r="D386" s="5" t="s">
        <v>7</v>
      </c>
      <c r="E386" s="26">
        <f>vlookup(C386,'Team Bye List'!$A$1:$B$33,2,False)</f>
        <v>8</v>
      </c>
      <c r="F386" s="27">
        <f>if(ISNA(vlookup($A386, ESPN!$B$2:$E$257, 4, false)), 0, vlookup($A386, ESPN!$B$2:$E$257, 4, false))</f>
        <v>0</v>
      </c>
      <c r="G386" s="27">
        <f>if(ISNA(vlookup($A386, FFToolbox!$B$2:$E$239, 4, false)), 0, vlookup($A386, FFToolbox!$B$2:$E$239, 4, false))</f>
        <v>0</v>
      </c>
      <c r="H386" s="27">
        <f>if(ISNA(vlookup($A386, FantasyPro!$B$2:$E$316, 4, false)), 0, vlookup($A386, FantasyPro!$B$2:$E$316, 4, false))</f>
        <v>0</v>
      </c>
      <c r="I386" s="27">
        <f>if(ISNA(vlookup($A386, RotoWire!$B$2:$E$681, 4, false)), 0, vlookup($A386, RotoWire!$B$2:$E$681, 4, false))</f>
        <v>0</v>
      </c>
      <c r="J386" s="28">
        <f t="shared" si="1"/>
        <v>0</v>
      </c>
      <c r="K386" s="28">
        <f t="shared" si="2"/>
        <v>0</v>
      </c>
    </row>
    <row r="387" hidden="1">
      <c r="A387" s="6" t="s">
        <v>499</v>
      </c>
      <c r="B387" s="25" t="s">
        <v>955</v>
      </c>
      <c r="C387" s="5" t="s">
        <v>50</v>
      </c>
      <c r="D387" s="5" t="s">
        <v>14</v>
      </c>
      <c r="E387" s="26">
        <f>vlookup(C387,'Team Bye List'!$A$1:$B$33,2,False)</f>
        <v>11</v>
      </c>
      <c r="F387" s="27">
        <f>if(ISNA(vlookup($A387, ESPN!$B$2:$E$257, 4, false)), 0, vlookup($A387, ESPN!$B$2:$E$257, 4, false))</f>
        <v>0</v>
      </c>
      <c r="G387" s="27">
        <f>if(ISNA(vlookup($A387, FFToolbox!$B$2:$E$239, 4, false)), 0, vlookup($A387, FFToolbox!$B$2:$E$239, 4, false))</f>
        <v>0</v>
      </c>
      <c r="H387" s="27">
        <f>if(ISNA(vlookup($A387, FantasyPro!$B$2:$E$316, 4, false)), 0, vlookup($A387, FantasyPro!$B$2:$E$316, 4, false))</f>
        <v>0</v>
      </c>
      <c r="I387" s="27">
        <f>if(ISNA(vlookup($A387, RotoWire!$B$2:$E$681, 4, false)), 0, vlookup($A387, RotoWire!$B$2:$E$681, 4, false))</f>
        <v>0</v>
      </c>
      <c r="J387" s="28">
        <f t="shared" si="1"/>
        <v>0</v>
      </c>
      <c r="K387" s="28">
        <f t="shared" si="2"/>
        <v>0</v>
      </c>
    </row>
    <row r="388" hidden="1">
      <c r="A388" s="8" t="s">
        <v>410</v>
      </c>
      <c r="B388" s="25" t="s">
        <v>955</v>
      </c>
      <c r="C388" s="5" t="s">
        <v>6</v>
      </c>
      <c r="D388" s="5" t="s">
        <v>14</v>
      </c>
      <c r="E388" s="26">
        <f>vlookup(C388,'Team Bye List'!$A$1:$B$33,2,False)</f>
        <v>11</v>
      </c>
      <c r="F388" s="27">
        <f>if(ISNA(vlookup($A388, ESPN!$B$2:$E$257, 4, false)), 0, vlookup($A388, ESPN!$B$2:$E$257, 4, false))</f>
        <v>0</v>
      </c>
      <c r="G388" s="27">
        <f>if(ISNA(vlookup($A388, FFToolbox!$B$2:$E$239, 4, false)), 0, vlookup($A388, FFToolbox!$B$2:$E$239, 4, false))</f>
        <v>0</v>
      </c>
      <c r="H388" s="27">
        <f>if(ISNA(vlookup($A388, FantasyPro!$B$2:$E$316, 4, false)), 0, vlookup($A388, FantasyPro!$B$2:$E$316, 4, false))</f>
        <v>0</v>
      </c>
      <c r="I388" s="27">
        <f>if(ISNA(vlookup($A388, RotoWire!$B$2:$E$681, 4, false)), 0, vlookup($A388, RotoWire!$B$2:$E$681, 4, false))</f>
        <v>0</v>
      </c>
      <c r="J388" s="28">
        <f t="shared" si="1"/>
        <v>0</v>
      </c>
      <c r="K388" s="28">
        <f t="shared" si="2"/>
        <v>0</v>
      </c>
    </row>
    <row r="389" hidden="1">
      <c r="A389" s="6" t="s">
        <v>678</v>
      </c>
      <c r="B389" s="25" t="s">
        <v>955</v>
      </c>
      <c r="C389" s="5" t="s">
        <v>11</v>
      </c>
      <c r="D389" s="5" t="s">
        <v>7</v>
      </c>
      <c r="E389" s="26">
        <f>vlookup(C389,'Team Bye List'!$A$1:$B$33,2,False)</f>
        <v>12</v>
      </c>
      <c r="F389" s="27">
        <f>if(ISNA(vlookup($A389, ESPN!$B$2:$E$257, 4, false)), 0, vlookup($A389, ESPN!$B$2:$E$257, 4, false))</f>
        <v>0</v>
      </c>
      <c r="G389" s="27">
        <f>if(ISNA(vlookup($A389, FFToolbox!$B$2:$E$239, 4, false)), 0, vlookup($A389, FFToolbox!$B$2:$E$239, 4, false))</f>
        <v>0</v>
      </c>
      <c r="H389" s="27">
        <f>if(ISNA(vlookup($A389, FantasyPro!$B$2:$E$316, 4, false)), 0, vlookup($A389, FantasyPro!$B$2:$E$316, 4, false))</f>
        <v>0</v>
      </c>
      <c r="I389" s="27">
        <f>if(ISNA(vlookup($A389, RotoWire!$B$2:$E$681, 4, false)), 0, vlookup($A389, RotoWire!$B$2:$E$681, 4, false))</f>
        <v>0</v>
      </c>
      <c r="J389" s="28">
        <f t="shared" si="1"/>
        <v>0</v>
      </c>
      <c r="K389" s="28">
        <f t="shared" si="2"/>
        <v>0</v>
      </c>
    </row>
    <row r="390" hidden="1">
      <c r="A390" s="6" t="s">
        <v>422</v>
      </c>
      <c r="B390" s="25" t="s">
        <v>955</v>
      </c>
      <c r="C390" s="5" t="s">
        <v>26</v>
      </c>
      <c r="D390" s="5" t="s">
        <v>12</v>
      </c>
      <c r="E390" s="26">
        <f>vlookup(C390,'Team Bye List'!$A$1:$B$33,2,False)</f>
        <v>12</v>
      </c>
      <c r="F390" s="27">
        <f>if(ISNA(vlookup($A390, ESPN!$B$2:$E$257, 4, false)), 0, vlookup($A390, ESPN!$B$2:$E$257, 4, false))</f>
        <v>0</v>
      </c>
      <c r="G390" s="27">
        <f>if(ISNA(vlookup($A390, FFToolbox!$B$2:$E$239, 4, false)), 0, vlookup($A390, FFToolbox!$B$2:$E$239, 4, false))</f>
        <v>0</v>
      </c>
      <c r="H390" s="27">
        <f>if(ISNA(vlookup($A390, FantasyPro!$B$2:$E$316, 4, false)), 0, vlookup($A390, FantasyPro!$B$2:$E$316, 4, false))</f>
        <v>0</v>
      </c>
      <c r="I390" s="27">
        <f>if(ISNA(vlookup($A390, RotoWire!$B$2:$E$681, 4, false)), 0, vlookup($A390, RotoWire!$B$2:$E$681, 4, false))</f>
        <v>0</v>
      </c>
      <c r="J390" s="28">
        <f t="shared" si="1"/>
        <v>0</v>
      </c>
      <c r="K390" s="28">
        <f t="shared" si="2"/>
        <v>0</v>
      </c>
    </row>
    <row r="391" hidden="1">
      <c r="A391" s="6" t="s">
        <v>453</v>
      </c>
      <c r="B391" s="25" t="s">
        <v>955</v>
      </c>
      <c r="C391" s="5" t="s">
        <v>18</v>
      </c>
      <c r="D391" s="5" t="s">
        <v>12</v>
      </c>
      <c r="E391" s="26">
        <f>vlookup(C391,'Team Bye List'!$A$1:$B$33,2,False)</f>
        <v>10</v>
      </c>
      <c r="F391" s="27">
        <f>if(ISNA(vlookup($A391, ESPN!$B$2:$E$257, 4, false)), 0, vlookup($A391, ESPN!$B$2:$E$257, 4, false))</f>
        <v>0</v>
      </c>
      <c r="G391" s="27">
        <f>if(ISNA(vlookup($A391, FFToolbox!$B$2:$E$239, 4, false)), 0, vlookup($A391, FFToolbox!$B$2:$E$239, 4, false))</f>
        <v>0</v>
      </c>
      <c r="H391" s="27">
        <f>if(ISNA(vlookup($A391, FantasyPro!$B$2:$E$316, 4, false)), 0, vlookup($A391, FantasyPro!$B$2:$E$316, 4, false))</f>
        <v>0</v>
      </c>
      <c r="I391" s="27">
        <f>if(ISNA(vlookup($A391, RotoWire!$B$2:$E$681, 4, false)), 0, vlookup($A391, RotoWire!$B$2:$E$681, 4, false))</f>
        <v>0</v>
      </c>
      <c r="J391" s="28">
        <f t="shared" si="1"/>
        <v>0</v>
      </c>
      <c r="K391" s="28">
        <f t="shared" si="2"/>
        <v>0</v>
      </c>
    </row>
    <row r="392" hidden="1">
      <c r="A392" s="6" t="s">
        <v>637</v>
      </c>
      <c r="B392" s="25" t="s">
        <v>955</v>
      </c>
      <c r="C392" s="5" t="s">
        <v>59</v>
      </c>
      <c r="D392" s="5" t="s">
        <v>7</v>
      </c>
      <c r="E392" s="26">
        <f>vlookup(C392,'Team Bye List'!$A$1:$B$33,2,False)</f>
        <v>10</v>
      </c>
      <c r="F392" s="27">
        <f>if(ISNA(vlookup($A392, ESPN!$B$2:$E$257, 4, false)), 0, vlookup($A392, ESPN!$B$2:$E$257, 4, false))</f>
        <v>0</v>
      </c>
      <c r="G392" s="27">
        <f>if(ISNA(vlookup($A392, FFToolbox!$B$2:$E$239, 4, false)), 0, vlookup($A392, FFToolbox!$B$2:$E$239, 4, false))</f>
        <v>0</v>
      </c>
      <c r="H392" s="27">
        <f>if(ISNA(vlookup($A392, FantasyPro!$B$2:$E$316, 4, false)), 0, vlookup($A392, FantasyPro!$B$2:$E$316, 4, false))</f>
        <v>0</v>
      </c>
      <c r="I392" s="27">
        <f>if(ISNA(vlookup($A392, RotoWire!$B$2:$E$681, 4, false)), 0, vlookup($A392, RotoWire!$B$2:$E$681, 4, false))</f>
        <v>0</v>
      </c>
      <c r="J392" s="28">
        <f t="shared" si="1"/>
        <v>0</v>
      </c>
      <c r="K392" s="28">
        <f t="shared" si="2"/>
        <v>0</v>
      </c>
    </row>
    <row r="393" hidden="1">
      <c r="A393" s="6" t="s">
        <v>217</v>
      </c>
      <c r="B393" s="25" t="s">
        <v>955</v>
      </c>
      <c r="C393" s="5" t="s">
        <v>41</v>
      </c>
      <c r="D393" s="5" t="s">
        <v>12</v>
      </c>
      <c r="E393" s="26">
        <f>vlookup(C393,'Team Bye List'!$A$1:$B$33,2,False)</f>
        <v>6</v>
      </c>
      <c r="F393" s="27">
        <f>if(ISNA(vlookup($A393, ESPN!$B$2:$E$257, 4, false)), 0, vlookup($A393, ESPN!$B$2:$E$257, 4, false))</f>
        <v>0</v>
      </c>
      <c r="G393" s="27">
        <f>if(ISNA(vlookup($A393, FFToolbox!$B$2:$E$239, 4, false)), 0, vlookup($A393, FFToolbox!$B$2:$E$239, 4, false))</f>
        <v>0</v>
      </c>
      <c r="H393" s="27">
        <f>if(ISNA(vlookup($A393, FantasyPro!$B$2:$E$316, 4, false)), 0, vlookup($A393, FantasyPro!$B$2:$E$316, 4, false))</f>
        <v>0</v>
      </c>
      <c r="I393" s="27">
        <f>if(ISNA(vlookup($A393, RotoWire!$B$2:$E$681, 4, false)), 0, vlookup($A393, RotoWire!$B$2:$E$681, 4, false))</f>
        <v>0</v>
      </c>
      <c r="J393" s="28">
        <f t="shared" si="1"/>
        <v>0</v>
      </c>
      <c r="K393" s="28">
        <f t="shared" si="2"/>
        <v>0</v>
      </c>
    </row>
    <row r="394" hidden="1">
      <c r="A394" s="6" t="s">
        <v>581</v>
      </c>
      <c r="B394" s="25" t="s">
        <v>955</v>
      </c>
      <c r="C394" s="5" t="s">
        <v>165</v>
      </c>
      <c r="D394" s="5" t="s">
        <v>14</v>
      </c>
      <c r="E394" s="26">
        <f>vlookup(C394,'Team Bye List'!$A$1:$B$33,2,False)</f>
        <v>10</v>
      </c>
      <c r="F394" s="27">
        <f>if(ISNA(vlookup($A394, ESPN!$B$2:$E$257, 4, false)), 0, vlookup($A394, ESPN!$B$2:$E$257, 4, false))</f>
        <v>0</v>
      </c>
      <c r="G394" s="27">
        <f>if(ISNA(vlookup($A394, FFToolbox!$B$2:$E$239, 4, false)), 0, vlookup($A394, FFToolbox!$B$2:$E$239, 4, false))</f>
        <v>0</v>
      </c>
      <c r="H394" s="27">
        <f>if(ISNA(vlookup($A394, FantasyPro!$B$2:$E$316, 4, false)), 0, vlookup($A394, FantasyPro!$B$2:$E$316, 4, false))</f>
        <v>0</v>
      </c>
      <c r="I394" s="27">
        <f>if(ISNA(vlookup($A394, RotoWire!$B$2:$E$681, 4, false)), 0, vlookup($A394, RotoWire!$B$2:$E$681, 4, false))</f>
        <v>0</v>
      </c>
      <c r="J394" s="28">
        <f t="shared" si="1"/>
        <v>0</v>
      </c>
      <c r="K394" s="28">
        <f t="shared" si="2"/>
        <v>0</v>
      </c>
    </row>
    <row r="395" hidden="1">
      <c r="A395" s="6" t="s">
        <v>590</v>
      </c>
      <c r="B395" s="25" t="s">
        <v>955</v>
      </c>
      <c r="C395" s="5" t="s">
        <v>48</v>
      </c>
      <c r="D395" s="5" t="s">
        <v>14</v>
      </c>
      <c r="E395" s="26">
        <f>vlookup(C395,'Team Bye List'!$A$1:$B$33,2,False)</f>
        <v>6</v>
      </c>
      <c r="F395" s="27">
        <f>if(ISNA(vlookup($A395, ESPN!$B$2:$E$257, 4, false)), 0, vlookup($A395, ESPN!$B$2:$E$257, 4, false))</f>
        <v>0</v>
      </c>
      <c r="G395" s="27">
        <f>if(ISNA(vlookup($A395, FFToolbox!$B$2:$E$239, 4, false)), 0, vlookup($A395, FFToolbox!$B$2:$E$239, 4, false))</f>
        <v>0</v>
      </c>
      <c r="H395" s="27">
        <f>if(ISNA(vlookup($A395, FantasyPro!$B$2:$E$316, 4, false)), 0, vlookup($A395, FantasyPro!$B$2:$E$316, 4, false))</f>
        <v>0</v>
      </c>
      <c r="I395" s="27">
        <f>if(ISNA(vlookup($A395, RotoWire!$B$2:$E$681, 4, false)), 0, vlookup($A395, RotoWire!$B$2:$E$681, 4, false))</f>
        <v>0</v>
      </c>
      <c r="J395" s="28">
        <f t="shared" si="1"/>
        <v>0</v>
      </c>
      <c r="K395" s="28">
        <f t="shared" si="2"/>
        <v>0</v>
      </c>
    </row>
    <row r="396">
      <c r="A396" s="6" t="s">
        <v>801</v>
      </c>
      <c r="B396" s="25" t="s">
        <v>955</v>
      </c>
      <c r="C396" s="5" t="s">
        <v>71</v>
      </c>
      <c r="D396" s="5" t="s">
        <v>39</v>
      </c>
      <c r="E396" s="26">
        <f>vlookup(C396,'Team Bye List'!$A$1:$B$33,2,False)</f>
        <v>5</v>
      </c>
      <c r="F396" s="27">
        <f>if(ISNA(vlookup($A396, ESPN!$B$2:$E$257, 4, false)), 0, vlookup($A396, ESPN!$B$2:$E$257, 4, false))</f>
        <v>0</v>
      </c>
      <c r="G396" s="27">
        <f>if(ISNA(vlookup($A396, FFToolbox!$B$2:$E$239, 4, false)), 0, vlookup($A396, FFToolbox!$B$2:$E$239, 4, false))</f>
        <v>0</v>
      </c>
      <c r="H396" s="27">
        <f>if(ISNA(vlookup($A396, FantasyPro!$B$2:$E$316, 4, false)), 0, vlookup($A396, FantasyPro!$B$2:$E$316, 4, false))</f>
        <v>0</v>
      </c>
      <c r="I396" s="27">
        <f>if(ISNA(vlookup($A396, RotoWire!$B$2:$E$681, 4, false)), 0, vlookup($A396, RotoWire!$B$2:$E$681, 4, false))</f>
        <v>0</v>
      </c>
      <c r="J396" s="28">
        <f t="shared" si="1"/>
        <v>0</v>
      </c>
      <c r="K396" s="28">
        <f t="shared" si="2"/>
        <v>0</v>
      </c>
    </row>
    <row r="397" hidden="1">
      <c r="A397" s="6" t="s">
        <v>677</v>
      </c>
      <c r="B397" s="25" t="s">
        <v>955</v>
      </c>
      <c r="C397" s="5" t="s">
        <v>50</v>
      </c>
      <c r="D397" s="5" t="s">
        <v>7</v>
      </c>
      <c r="E397" s="26">
        <f>vlookup(C397,'Team Bye List'!$A$1:$B$33,2,False)</f>
        <v>11</v>
      </c>
      <c r="F397" s="27">
        <f>if(ISNA(vlookup($A397, ESPN!$B$2:$E$257, 4, false)), 0, vlookup($A397, ESPN!$B$2:$E$257, 4, false))</f>
        <v>0</v>
      </c>
      <c r="G397" s="27">
        <f>if(ISNA(vlookup($A397, FFToolbox!$B$2:$E$239, 4, false)), 0, vlookup($A397, FFToolbox!$B$2:$E$239, 4, false))</f>
        <v>0</v>
      </c>
      <c r="H397" s="27">
        <f>if(ISNA(vlookup($A397, FantasyPro!$B$2:$E$316, 4, false)), 0, vlookup($A397, FantasyPro!$B$2:$E$316, 4, false))</f>
        <v>0</v>
      </c>
      <c r="I397" s="27">
        <f>if(ISNA(vlookup($A397, RotoWire!$B$2:$E$681, 4, false)), 0, vlookup($A397, RotoWire!$B$2:$E$681, 4, false))</f>
        <v>0</v>
      </c>
      <c r="J397" s="28">
        <f t="shared" si="1"/>
        <v>0</v>
      </c>
      <c r="K397" s="28">
        <f t="shared" si="2"/>
        <v>0</v>
      </c>
    </row>
    <row r="398" hidden="1">
      <c r="A398" s="6" t="s">
        <v>279</v>
      </c>
      <c r="B398" s="25" t="s">
        <v>955</v>
      </c>
      <c r="C398" s="5" t="s">
        <v>69</v>
      </c>
      <c r="D398" s="5" t="s">
        <v>14</v>
      </c>
      <c r="E398" s="26">
        <f>vlookup(C398,'Team Bye List'!$A$1:$B$33,2,False)</f>
        <v>11</v>
      </c>
      <c r="F398" s="27">
        <f>if(ISNA(vlookup($A398, ESPN!$B$2:$E$257, 4, false)), 0, vlookup($A398, ESPN!$B$2:$E$257, 4, false))</f>
        <v>0</v>
      </c>
      <c r="G398" s="27">
        <f>if(ISNA(vlookup($A398, FFToolbox!$B$2:$E$239, 4, false)), 0, vlookup($A398, FFToolbox!$B$2:$E$239, 4, false))</f>
        <v>0</v>
      </c>
      <c r="H398" s="27">
        <f>if(ISNA(vlookup($A398, FantasyPro!$B$2:$E$316, 4, false)), 0, vlookup($A398, FantasyPro!$B$2:$E$316, 4, false))</f>
        <v>0</v>
      </c>
      <c r="I398" s="27">
        <f>if(ISNA(vlookup($A398, RotoWire!$B$2:$E$681, 4, false)), 0, vlookup($A398, RotoWire!$B$2:$E$681, 4, false))</f>
        <v>0</v>
      </c>
      <c r="J398" s="28">
        <f t="shared" si="1"/>
        <v>0</v>
      </c>
      <c r="K398" s="28">
        <f t="shared" si="2"/>
        <v>0</v>
      </c>
    </row>
    <row r="399" hidden="1">
      <c r="A399" s="6" t="s">
        <v>397</v>
      </c>
      <c r="B399" s="25" t="s">
        <v>955</v>
      </c>
      <c r="C399" s="5" t="s">
        <v>62</v>
      </c>
      <c r="D399" s="5" t="s">
        <v>12</v>
      </c>
      <c r="E399" s="26">
        <f>vlookup(C399,'Team Bye List'!$A$1:$B$33,2,False)</f>
        <v>12</v>
      </c>
      <c r="F399" s="27">
        <f>if(ISNA(vlookup($A399, ESPN!$B$2:$E$257, 4, false)), 0, vlookup($A399, ESPN!$B$2:$E$257, 4, false))</f>
        <v>0</v>
      </c>
      <c r="G399" s="27">
        <f>if(ISNA(vlookup($A399, FFToolbox!$B$2:$E$239, 4, false)), 0, vlookup($A399, FFToolbox!$B$2:$E$239, 4, false))</f>
        <v>0</v>
      </c>
      <c r="H399" s="27">
        <f>if(ISNA(vlookup($A399, FantasyPro!$B$2:$E$316, 4, false)), 0, vlookup($A399, FantasyPro!$B$2:$E$316, 4, false))</f>
        <v>0</v>
      </c>
      <c r="I399" s="27">
        <f>if(ISNA(vlookup($A399, RotoWire!$B$2:$E$681, 4, false)), 0, vlookup($A399, RotoWire!$B$2:$E$681, 4, false))</f>
        <v>0</v>
      </c>
      <c r="J399" s="28">
        <f t="shared" si="1"/>
        <v>0</v>
      </c>
      <c r="K399" s="28">
        <f t="shared" si="2"/>
        <v>0</v>
      </c>
    </row>
    <row r="400" hidden="1">
      <c r="A400" s="6" t="s">
        <v>707</v>
      </c>
      <c r="B400" s="25" t="s">
        <v>955</v>
      </c>
      <c r="C400" s="5" t="s">
        <v>122</v>
      </c>
      <c r="D400" s="5" t="s">
        <v>7</v>
      </c>
      <c r="E400" s="26">
        <f>vlookup(C400,'Team Bye List'!$A$1:$B$33,2,False)</f>
        <v>10</v>
      </c>
      <c r="F400" s="27">
        <f>if(ISNA(vlookup($A400, ESPN!$B$2:$E$257, 4, false)), 0, vlookup($A400, ESPN!$B$2:$E$257, 4, false))</f>
        <v>0</v>
      </c>
      <c r="G400" s="27">
        <f>if(ISNA(vlookup($A400, FFToolbox!$B$2:$E$239, 4, false)), 0, vlookup($A400, FFToolbox!$B$2:$E$239, 4, false))</f>
        <v>0</v>
      </c>
      <c r="H400" s="27">
        <f>if(ISNA(vlookup($A400, FantasyPro!$B$2:$E$316, 4, false)), 0, vlookup($A400, FantasyPro!$B$2:$E$316, 4, false))</f>
        <v>0</v>
      </c>
      <c r="I400" s="27">
        <f>if(ISNA(vlookup($A400, RotoWire!$B$2:$E$681, 4, false)), 0, vlookup($A400, RotoWire!$B$2:$E$681, 4, false))</f>
        <v>0</v>
      </c>
      <c r="J400" s="28">
        <f t="shared" si="1"/>
        <v>0</v>
      </c>
      <c r="K400" s="28">
        <f t="shared" si="2"/>
        <v>0</v>
      </c>
    </row>
    <row r="401">
      <c r="A401" s="6" t="s">
        <v>782</v>
      </c>
      <c r="B401" s="25" t="s">
        <v>955</v>
      </c>
      <c r="C401" s="5" t="s">
        <v>52</v>
      </c>
      <c r="D401" s="5" t="s">
        <v>39</v>
      </c>
      <c r="E401" s="26">
        <f>vlookup(C401,'Team Bye List'!$A$1:$B$33,2,False)</f>
        <v>4</v>
      </c>
      <c r="F401" s="27">
        <f>if(ISNA(vlookup($A401, ESPN!$B$2:$E$257, 4, false)), 0, vlookup($A401, ESPN!$B$2:$E$257, 4, false))</f>
        <v>0</v>
      </c>
      <c r="G401" s="27">
        <f>if(ISNA(vlookup($A401, FFToolbox!$B$2:$E$239, 4, false)), 0, vlookup($A401, FFToolbox!$B$2:$E$239, 4, false))</f>
        <v>0</v>
      </c>
      <c r="H401" s="27">
        <f>if(ISNA(vlookup($A401, FantasyPro!$B$2:$E$316, 4, false)), 0, vlookup($A401, FantasyPro!$B$2:$E$316, 4, false))</f>
        <v>0</v>
      </c>
      <c r="I401" s="27">
        <f>if(ISNA(vlookup($A401, RotoWire!$B$2:$E$681, 4, false)), 0, vlookup($A401, RotoWire!$B$2:$E$681, 4, false))</f>
        <v>0</v>
      </c>
      <c r="J401" s="28">
        <f t="shared" si="1"/>
        <v>0</v>
      </c>
      <c r="K401" s="28">
        <f t="shared" si="2"/>
        <v>0</v>
      </c>
    </row>
    <row r="402" hidden="1">
      <c r="A402" s="6" t="s">
        <v>724</v>
      </c>
      <c r="B402" s="25" t="s">
        <v>955</v>
      </c>
      <c r="C402" s="5" t="s">
        <v>62</v>
      </c>
      <c r="D402" s="5" t="s">
        <v>7</v>
      </c>
      <c r="E402" s="26">
        <f>vlookup(C402,'Team Bye List'!$A$1:$B$33,2,False)</f>
        <v>12</v>
      </c>
      <c r="F402" s="27">
        <f>if(ISNA(vlookup($A402, ESPN!$B$2:$E$257, 4, false)), 0, vlookup($A402, ESPN!$B$2:$E$257, 4, false))</f>
        <v>0</v>
      </c>
      <c r="G402" s="27">
        <f>if(ISNA(vlookup($A402, FFToolbox!$B$2:$E$239, 4, false)), 0, vlookup($A402, FFToolbox!$B$2:$E$239, 4, false))</f>
        <v>0</v>
      </c>
      <c r="H402" s="27">
        <f>if(ISNA(vlookup($A402, FantasyPro!$B$2:$E$316, 4, false)), 0, vlookup($A402, FantasyPro!$B$2:$E$316, 4, false))</f>
        <v>0</v>
      </c>
      <c r="I402" s="27">
        <f>if(ISNA(vlookup($A402, RotoWire!$B$2:$E$681, 4, false)), 0, vlookup($A402, RotoWire!$B$2:$E$681, 4, false))</f>
        <v>0</v>
      </c>
      <c r="J402" s="28">
        <f t="shared" si="1"/>
        <v>0</v>
      </c>
      <c r="K402" s="28">
        <f t="shared" si="2"/>
        <v>0</v>
      </c>
    </row>
    <row r="403" hidden="1">
      <c r="A403" s="6" t="s">
        <v>598</v>
      </c>
      <c r="B403" s="25" t="s">
        <v>955</v>
      </c>
      <c r="C403" s="5" t="s">
        <v>11</v>
      </c>
      <c r="D403" s="5" t="s">
        <v>14</v>
      </c>
      <c r="E403" s="26">
        <f>vlookup(C403,'Team Bye List'!$A$1:$B$33,2,False)</f>
        <v>12</v>
      </c>
      <c r="F403" s="27">
        <f>if(ISNA(vlookup($A403, ESPN!$B$2:$E$257, 4, false)), 0, vlookup($A403, ESPN!$B$2:$E$257, 4, false))</f>
        <v>0</v>
      </c>
      <c r="G403" s="27">
        <f>if(ISNA(vlookup($A403, FFToolbox!$B$2:$E$239, 4, false)), 0, vlookup($A403, FFToolbox!$B$2:$E$239, 4, false))</f>
        <v>0</v>
      </c>
      <c r="H403" s="27">
        <f>if(ISNA(vlookup($A403, FantasyPro!$B$2:$E$316, 4, false)), 0, vlookup($A403, FantasyPro!$B$2:$E$316, 4, false))</f>
        <v>0</v>
      </c>
      <c r="I403" s="27">
        <f>if(ISNA(vlookup($A403, RotoWire!$B$2:$E$681, 4, false)), 0, vlookup($A403, RotoWire!$B$2:$E$681, 4, false))</f>
        <v>0</v>
      </c>
      <c r="J403" s="28">
        <f t="shared" si="1"/>
        <v>0</v>
      </c>
      <c r="K403" s="28">
        <f t="shared" si="2"/>
        <v>0</v>
      </c>
    </row>
    <row r="404" hidden="1">
      <c r="A404" s="8" t="s">
        <v>696</v>
      </c>
      <c r="B404" s="25" t="s">
        <v>955</v>
      </c>
      <c r="C404" s="5" t="s">
        <v>104</v>
      </c>
      <c r="D404" s="5" t="s">
        <v>7</v>
      </c>
      <c r="E404" s="26">
        <f>vlookup(C404,'Team Bye List'!$A$1:$B$33,2,False)</f>
        <v>8</v>
      </c>
      <c r="F404" s="27">
        <f>if(ISNA(vlookup($A404, ESPN!$B$2:$E$257, 4, false)), 0, vlookup($A404, ESPN!$B$2:$E$257, 4, false))</f>
        <v>0</v>
      </c>
      <c r="G404" s="27">
        <f>if(ISNA(vlookup($A404, FFToolbox!$B$2:$E$239, 4, false)), 0, vlookup($A404, FFToolbox!$B$2:$E$239, 4, false))</f>
        <v>0</v>
      </c>
      <c r="H404" s="27">
        <f>if(ISNA(vlookup($A404, FantasyPro!$B$2:$E$316, 4, false)), 0, vlookup($A404, FantasyPro!$B$2:$E$316, 4, false))</f>
        <v>0</v>
      </c>
      <c r="I404" s="27">
        <f>if(ISNA(vlookup($A404, RotoWire!$B$2:$E$681, 4, false)), 0, vlookup($A404, RotoWire!$B$2:$E$681, 4, false))</f>
        <v>0</v>
      </c>
      <c r="J404" s="28">
        <f t="shared" si="1"/>
        <v>0</v>
      </c>
      <c r="K404" s="28">
        <f t="shared" si="2"/>
        <v>0</v>
      </c>
    </row>
    <row r="405" hidden="1">
      <c r="A405" s="6" t="s">
        <v>497</v>
      </c>
      <c r="B405" s="25" t="s">
        <v>955</v>
      </c>
      <c r="C405" s="5" t="s">
        <v>18</v>
      </c>
      <c r="D405" s="5" t="s">
        <v>14</v>
      </c>
      <c r="E405" s="26">
        <f>vlookup(C405,'Team Bye List'!$A$1:$B$33,2,False)</f>
        <v>10</v>
      </c>
      <c r="F405" s="27">
        <f>if(ISNA(vlookup($A405, ESPN!$B$2:$E$257, 4, false)), 0, vlookup($A405, ESPN!$B$2:$E$257, 4, false))</f>
        <v>0</v>
      </c>
      <c r="G405" s="27">
        <f>if(ISNA(vlookup($A405, FFToolbox!$B$2:$E$239, 4, false)), 0, vlookup($A405, FFToolbox!$B$2:$E$239, 4, false))</f>
        <v>0</v>
      </c>
      <c r="H405" s="27">
        <f>if(ISNA(vlookup($A405, FantasyPro!$B$2:$E$316, 4, false)), 0, vlookup($A405, FantasyPro!$B$2:$E$316, 4, false))</f>
        <v>0</v>
      </c>
      <c r="I405" s="27">
        <f>if(ISNA(vlookup($A405, RotoWire!$B$2:$E$681, 4, false)), 0, vlookup($A405, RotoWire!$B$2:$E$681, 4, false))</f>
        <v>0</v>
      </c>
      <c r="J405" s="28">
        <f t="shared" si="1"/>
        <v>0</v>
      </c>
      <c r="K405" s="28">
        <f t="shared" si="2"/>
        <v>0</v>
      </c>
    </row>
    <row r="406" hidden="1">
      <c r="A406" s="6" t="s">
        <v>726</v>
      </c>
      <c r="B406" s="25" t="s">
        <v>955</v>
      </c>
      <c r="C406" s="5" t="s">
        <v>41</v>
      </c>
      <c r="D406" s="5" t="s">
        <v>7</v>
      </c>
      <c r="E406" s="26">
        <f>vlookup(C406,'Team Bye List'!$A$1:$B$33,2,False)</f>
        <v>6</v>
      </c>
      <c r="F406" s="27">
        <f>if(ISNA(vlookup($A406, ESPN!$B$2:$E$257, 4, false)), 0, vlookup($A406, ESPN!$B$2:$E$257, 4, false))</f>
        <v>0</v>
      </c>
      <c r="G406" s="27">
        <f>if(ISNA(vlookup($A406, FFToolbox!$B$2:$E$239, 4, false)), 0, vlookup($A406, FFToolbox!$B$2:$E$239, 4, false))</f>
        <v>0</v>
      </c>
      <c r="H406" s="27">
        <f>if(ISNA(vlookup($A406, FantasyPro!$B$2:$E$316, 4, false)), 0, vlookup($A406, FantasyPro!$B$2:$E$316, 4, false))</f>
        <v>0</v>
      </c>
      <c r="I406" s="27">
        <f>if(ISNA(vlookup($A406, RotoWire!$B$2:$E$681, 4, false)), 0, vlookup($A406, RotoWire!$B$2:$E$681, 4, false))</f>
        <v>0</v>
      </c>
      <c r="J406" s="28">
        <f t="shared" si="1"/>
        <v>0</v>
      </c>
      <c r="K406" s="28">
        <f t="shared" si="2"/>
        <v>0</v>
      </c>
    </row>
    <row r="407" hidden="1">
      <c r="A407" s="6" t="s">
        <v>611</v>
      </c>
      <c r="B407" s="25" t="s">
        <v>955</v>
      </c>
      <c r="C407" s="5" t="s">
        <v>22</v>
      </c>
      <c r="D407" s="5" t="s">
        <v>14</v>
      </c>
      <c r="E407" s="26">
        <f>vlookup(C407,'Team Bye List'!$A$1:$B$33,2,False)</f>
        <v>7</v>
      </c>
      <c r="F407" s="27">
        <f>if(ISNA(vlookup($A407, ESPN!$B$2:$E$257, 4, false)), 0, vlookup($A407, ESPN!$B$2:$E$257, 4, false))</f>
        <v>0</v>
      </c>
      <c r="G407" s="27">
        <f>if(ISNA(vlookup($A407, FFToolbox!$B$2:$E$239, 4, false)), 0, vlookup($A407, FFToolbox!$B$2:$E$239, 4, false))</f>
        <v>0</v>
      </c>
      <c r="H407" s="27">
        <f>if(ISNA(vlookup($A407, FantasyPro!$B$2:$E$316, 4, false)), 0, vlookup($A407, FantasyPro!$B$2:$E$316, 4, false))</f>
        <v>0</v>
      </c>
      <c r="I407" s="27">
        <f>if(ISNA(vlookup($A407, RotoWire!$B$2:$E$681, 4, false)), 0, vlookup($A407, RotoWire!$B$2:$E$681, 4, false))</f>
        <v>0</v>
      </c>
      <c r="J407" s="28">
        <f t="shared" si="1"/>
        <v>0</v>
      </c>
      <c r="K407" s="28">
        <f t="shared" si="2"/>
        <v>0</v>
      </c>
    </row>
    <row r="408" hidden="1">
      <c r="A408" s="6" t="s">
        <v>578</v>
      </c>
      <c r="B408" s="25" t="s">
        <v>955</v>
      </c>
      <c r="C408" s="5" t="s">
        <v>50</v>
      </c>
      <c r="D408" s="5" t="s">
        <v>14</v>
      </c>
      <c r="E408" s="26">
        <f>vlookup(C408,'Team Bye List'!$A$1:$B$33,2,False)</f>
        <v>11</v>
      </c>
      <c r="F408" s="27">
        <f>if(ISNA(vlookup($A408, ESPN!$B$2:$E$257, 4, false)), 0, vlookup($A408, ESPN!$B$2:$E$257, 4, false))</f>
        <v>0</v>
      </c>
      <c r="G408" s="27">
        <f>if(ISNA(vlookup($A408, FFToolbox!$B$2:$E$239, 4, false)), 0, vlookup($A408, FFToolbox!$B$2:$E$239, 4, false))</f>
        <v>0</v>
      </c>
      <c r="H408" s="27">
        <f>if(ISNA(vlookup($A408, FantasyPro!$B$2:$E$316, 4, false)), 0, vlookup($A408, FantasyPro!$B$2:$E$316, 4, false))</f>
        <v>0</v>
      </c>
      <c r="I408" s="27">
        <f>if(ISNA(vlookup($A408, RotoWire!$B$2:$E$681, 4, false)), 0, vlookup($A408, RotoWire!$B$2:$E$681, 4, false))</f>
        <v>0</v>
      </c>
      <c r="J408" s="28">
        <f t="shared" si="1"/>
        <v>0</v>
      </c>
      <c r="K408" s="28">
        <f t="shared" si="2"/>
        <v>0</v>
      </c>
    </row>
    <row r="409" hidden="1">
      <c r="A409" s="6" t="s">
        <v>268</v>
      </c>
      <c r="B409" s="25" t="s">
        <v>955</v>
      </c>
      <c r="C409" s="5" t="s">
        <v>33</v>
      </c>
      <c r="D409" s="5" t="s">
        <v>14</v>
      </c>
      <c r="E409" s="26">
        <f>vlookup(C409,'Team Bye List'!$A$1:$B$33,2,False)</f>
        <v>4</v>
      </c>
      <c r="F409" s="27">
        <f>if(ISNA(vlookup($A409, ESPN!$B$2:$E$257, 4, false)), 0, vlookup($A409, ESPN!$B$2:$E$257, 4, false))</f>
        <v>0</v>
      </c>
      <c r="G409" s="27">
        <f>if(ISNA(vlookup($A409, FFToolbox!$B$2:$E$239, 4, false)), 0, vlookup($A409, FFToolbox!$B$2:$E$239, 4, false))</f>
        <v>0</v>
      </c>
      <c r="H409" s="27">
        <f>if(ISNA(vlookup($A409, FantasyPro!$B$2:$E$316, 4, false)), 0, vlookup($A409, FantasyPro!$B$2:$E$316, 4, false))</f>
        <v>0</v>
      </c>
      <c r="I409" s="27">
        <f>if(ISNA(vlookup($A409, RotoWire!$B$2:$E$681, 4, false)), 0, vlookup($A409, RotoWire!$B$2:$E$681, 4, false))</f>
        <v>0</v>
      </c>
      <c r="J409" s="28">
        <f t="shared" si="1"/>
        <v>0</v>
      </c>
      <c r="K409" s="28">
        <f t="shared" si="2"/>
        <v>0</v>
      </c>
    </row>
    <row r="410" hidden="1">
      <c r="A410" s="6" t="s">
        <v>406</v>
      </c>
      <c r="B410" s="25" t="s">
        <v>955</v>
      </c>
      <c r="C410" s="5" t="s">
        <v>11</v>
      </c>
      <c r="D410" s="5" t="s">
        <v>14</v>
      </c>
      <c r="E410" s="26">
        <f>vlookup(C410,'Team Bye List'!$A$1:$B$33,2,False)</f>
        <v>12</v>
      </c>
      <c r="F410" s="27">
        <f>if(ISNA(vlookup($A410, ESPN!$B$2:$E$257, 4, false)), 0, vlookup($A410, ESPN!$B$2:$E$257, 4, false))</f>
        <v>0</v>
      </c>
      <c r="G410" s="27">
        <f>if(ISNA(vlookup($A410, FFToolbox!$B$2:$E$239, 4, false)), 0, vlookup($A410, FFToolbox!$B$2:$E$239, 4, false))</f>
        <v>0</v>
      </c>
      <c r="H410" s="27">
        <f>if(ISNA(vlookup($A410, FantasyPro!$B$2:$E$316, 4, false)), 0, vlookup($A410, FantasyPro!$B$2:$E$316, 4, false))</f>
        <v>0</v>
      </c>
      <c r="I410" s="27">
        <f>if(ISNA(vlookup($A410, RotoWire!$B$2:$E$681, 4, false)), 0, vlookup($A410, RotoWire!$B$2:$E$681, 4, false))</f>
        <v>0</v>
      </c>
      <c r="J410" s="28">
        <f t="shared" si="1"/>
        <v>0</v>
      </c>
      <c r="K410" s="28">
        <f t="shared" si="2"/>
        <v>0</v>
      </c>
    </row>
    <row r="411" hidden="1">
      <c r="A411" s="6" t="s">
        <v>490</v>
      </c>
      <c r="B411" s="25" t="s">
        <v>955</v>
      </c>
      <c r="C411" s="5" t="s">
        <v>46</v>
      </c>
      <c r="D411" s="5" t="s">
        <v>14</v>
      </c>
      <c r="E411" s="26">
        <f>vlookup(C411,'Team Bye List'!$A$1:$B$33,2,False)</f>
        <v>10</v>
      </c>
      <c r="F411" s="27">
        <f>if(ISNA(vlookup($A411, ESPN!$B$2:$E$257, 4, false)), 0, vlookup($A411, ESPN!$B$2:$E$257, 4, false))</f>
        <v>0</v>
      </c>
      <c r="G411" s="27">
        <f>if(ISNA(vlookup($A411, FFToolbox!$B$2:$E$239, 4, false)), 0, vlookup($A411, FFToolbox!$B$2:$E$239, 4, false))</f>
        <v>0</v>
      </c>
      <c r="H411" s="27">
        <f>if(ISNA(vlookup($A411, FantasyPro!$B$2:$E$316, 4, false)), 0, vlookup($A411, FantasyPro!$B$2:$E$316, 4, false))</f>
        <v>0</v>
      </c>
      <c r="I411" s="27">
        <f>if(ISNA(vlookup($A411, RotoWire!$B$2:$E$681, 4, false)), 0, vlookup($A411, RotoWire!$B$2:$E$681, 4, false))</f>
        <v>0</v>
      </c>
      <c r="J411" s="28">
        <f t="shared" si="1"/>
        <v>0</v>
      </c>
      <c r="K411" s="28">
        <f t="shared" si="2"/>
        <v>0</v>
      </c>
    </row>
    <row r="412" hidden="1">
      <c r="A412" s="6" t="s">
        <v>316</v>
      </c>
      <c r="B412" s="25" t="s">
        <v>955</v>
      </c>
      <c r="C412" s="5" t="s">
        <v>30</v>
      </c>
      <c r="D412" s="5" t="s">
        <v>12</v>
      </c>
      <c r="E412" s="26">
        <f>vlookup(C412,'Team Bye List'!$A$1:$B$33,2,False)</f>
        <v>7</v>
      </c>
      <c r="F412" s="27">
        <f>if(ISNA(vlookup($A412, ESPN!$B$2:$E$257, 4, false)), 0, vlookup($A412, ESPN!$B$2:$E$257, 4, false))</f>
        <v>0</v>
      </c>
      <c r="G412" s="27">
        <f>if(ISNA(vlookup($A412, FFToolbox!$B$2:$E$239, 4, false)), 0, vlookup($A412, FFToolbox!$B$2:$E$239, 4, false))</f>
        <v>0</v>
      </c>
      <c r="H412" s="27">
        <f>if(ISNA(vlookup($A412, FantasyPro!$B$2:$E$316, 4, false)), 0, vlookup($A412, FantasyPro!$B$2:$E$316, 4, false))</f>
        <v>0</v>
      </c>
      <c r="I412" s="27">
        <f>if(ISNA(vlookup($A412, RotoWire!$B$2:$E$681, 4, false)), 0, vlookup($A412, RotoWire!$B$2:$E$681, 4, false))</f>
        <v>0</v>
      </c>
      <c r="J412" s="28">
        <f t="shared" si="1"/>
        <v>0</v>
      </c>
      <c r="K412" s="28">
        <f t="shared" si="2"/>
        <v>0</v>
      </c>
    </row>
    <row r="413" hidden="1">
      <c r="A413" s="6" t="s">
        <v>349</v>
      </c>
      <c r="B413" s="25" t="s">
        <v>955</v>
      </c>
      <c r="C413" s="5" t="s">
        <v>48</v>
      </c>
      <c r="D413" s="5" t="s">
        <v>14</v>
      </c>
      <c r="E413" s="26">
        <f>vlookup(C413,'Team Bye List'!$A$1:$B$33,2,False)</f>
        <v>6</v>
      </c>
      <c r="F413" s="27">
        <f>if(ISNA(vlookup($A413, ESPN!$B$2:$E$257, 4, false)), 0, vlookup($A413, ESPN!$B$2:$E$257, 4, false))</f>
        <v>0</v>
      </c>
      <c r="G413" s="27">
        <f>if(ISNA(vlookup($A413, FFToolbox!$B$2:$E$239, 4, false)), 0, vlookup($A413, FFToolbox!$B$2:$E$239, 4, false))</f>
        <v>0</v>
      </c>
      <c r="H413" s="27">
        <f>if(ISNA(vlookup($A413, FantasyPro!$B$2:$E$316, 4, false)), 0, vlookup($A413, FantasyPro!$B$2:$E$316, 4, false))</f>
        <v>0</v>
      </c>
      <c r="I413" s="27">
        <f>if(ISNA(vlookup($A413, RotoWire!$B$2:$E$681, 4, false)), 0, vlookup($A413, RotoWire!$B$2:$E$681, 4, false))</f>
        <v>0</v>
      </c>
      <c r="J413" s="28">
        <f t="shared" si="1"/>
        <v>0</v>
      </c>
      <c r="K413" s="28">
        <f t="shared" si="2"/>
        <v>0</v>
      </c>
    </row>
    <row r="414" hidden="1">
      <c r="A414" s="6" t="s">
        <v>382</v>
      </c>
      <c r="B414" s="25" t="s">
        <v>955</v>
      </c>
      <c r="C414" s="5" t="s">
        <v>11</v>
      </c>
      <c r="D414" s="5" t="s">
        <v>12</v>
      </c>
      <c r="E414" s="26">
        <f>vlookup(C414,'Team Bye List'!$A$1:$B$33,2,False)</f>
        <v>12</v>
      </c>
      <c r="F414" s="27">
        <f>if(ISNA(vlookup($A414, ESPN!$B$2:$E$257, 4, false)), 0, vlookup($A414, ESPN!$B$2:$E$257, 4, false))</f>
        <v>0</v>
      </c>
      <c r="G414" s="27">
        <f>if(ISNA(vlookup($A414, FFToolbox!$B$2:$E$239, 4, false)), 0, vlookup($A414, FFToolbox!$B$2:$E$239, 4, false))</f>
        <v>0</v>
      </c>
      <c r="H414" s="27">
        <f>if(ISNA(vlookup($A414, FantasyPro!$B$2:$E$316, 4, false)), 0, vlookup($A414, FantasyPro!$B$2:$E$316, 4, false))</f>
        <v>0</v>
      </c>
      <c r="I414" s="27">
        <f>if(ISNA(vlookup($A414, RotoWire!$B$2:$E$681, 4, false)), 0, vlookup($A414, RotoWire!$B$2:$E$681, 4, false))</f>
        <v>0</v>
      </c>
      <c r="J414" s="28">
        <f t="shared" si="1"/>
        <v>0</v>
      </c>
      <c r="K414" s="28">
        <f t="shared" si="2"/>
        <v>0</v>
      </c>
    </row>
    <row r="415" hidden="1">
      <c r="A415" s="6" t="s">
        <v>542</v>
      </c>
      <c r="B415" s="25" t="s">
        <v>955</v>
      </c>
      <c r="C415" s="5" t="s">
        <v>52</v>
      </c>
      <c r="D415" s="5" t="s">
        <v>14</v>
      </c>
      <c r="E415" s="26">
        <f>vlookup(C415,'Team Bye List'!$A$1:$B$33,2,False)</f>
        <v>4</v>
      </c>
      <c r="F415" s="27">
        <f>if(ISNA(vlookup($A415, ESPN!$B$2:$E$257, 4, false)), 0, vlookup($A415, ESPN!$B$2:$E$257, 4, false))</f>
        <v>0</v>
      </c>
      <c r="G415" s="27">
        <f>if(ISNA(vlookup($A415, FFToolbox!$B$2:$E$239, 4, false)), 0, vlookup($A415, FFToolbox!$B$2:$E$239, 4, false))</f>
        <v>0</v>
      </c>
      <c r="H415" s="27">
        <f>if(ISNA(vlookup($A415, FantasyPro!$B$2:$E$316, 4, false)), 0, vlookup($A415, FantasyPro!$B$2:$E$316, 4, false))</f>
        <v>0</v>
      </c>
      <c r="I415" s="27">
        <f>if(ISNA(vlookup($A415, RotoWire!$B$2:$E$681, 4, false)), 0, vlookup($A415, RotoWire!$B$2:$E$681, 4, false))</f>
        <v>0</v>
      </c>
      <c r="J415" s="28">
        <f t="shared" si="1"/>
        <v>0</v>
      </c>
      <c r="K415" s="28">
        <f t="shared" si="2"/>
        <v>0</v>
      </c>
    </row>
    <row r="416" hidden="1">
      <c r="A416" s="6" t="s">
        <v>619</v>
      </c>
      <c r="B416" s="25" t="s">
        <v>955</v>
      </c>
      <c r="C416" s="5" t="s">
        <v>52</v>
      </c>
      <c r="D416" s="5" t="s">
        <v>14</v>
      </c>
      <c r="E416" s="26">
        <f>vlookup(C416,'Team Bye List'!$A$1:$B$33,2,False)</f>
        <v>4</v>
      </c>
      <c r="F416" s="27">
        <f>if(ISNA(vlookup($A416, ESPN!$B$2:$E$257, 4, false)), 0, vlookup($A416, ESPN!$B$2:$E$257, 4, false))</f>
        <v>0</v>
      </c>
      <c r="G416" s="27">
        <f>if(ISNA(vlookup($A416, FFToolbox!$B$2:$E$239, 4, false)), 0, vlookup($A416, FFToolbox!$B$2:$E$239, 4, false))</f>
        <v>0</v>
      </c>
      <c r="H416" s="27">
        <f>if(ISNA(vlookup($A416, FantasyPro!$B$2:$E$316, 4, false)), 0, vlookup($A416, FantasyPro!$B$2:$E$316, 4, false))</f>
        <v>0</v>
      </c>
      <c r="I416" s="27">
        <f>if(ISNA(vlookup($A416, RotoWire!$B$2:$E$681, 4, false)), 0, vlookup($A416, RotoWire!$B$2:$E$681, 4, false))</f>
        <v>0</v>
      </c>
      <c r="J416" s="28">
        <f t="shared" si="1"/>
        <v>0</v>
      </c>
      <c r="K416" s="28">
        <f t="shared" si="2"/>
        <v>0</v>
      </c>
    </row>
    <row r="417" hidden="1">
      <c r="A417" s="6" t="s">
        <v>355</v>
      </c>
      <c r="B417" s="25" t="s">
        <v>955</v>
      </c>
      <c r="C417" s="5" t="s">
        <v>41</v>
      </c>
      <c r="D417" s="5" t="s">
        <v>12</v>
      </c>
      <c r="E417" s="26">
        <f>vlookup(C417,'Team Bye List'!$A$1:$B$33,2,False)</f>
        <v>6</v>
      </c>
      <c r="F417" s="27">
        <f>if(ISNA(vlookup($A417, ESPN!$B$2:$E$257, 4, false)), 0, vlookup($A417, ESPN!$B$2:$E$257, 4, false))</f>
        <v>0</v>
      </c>
      <c r="G417" s="27">
        <f>if(ISNA(vlookup($A417, FFToolbox!$B$2:$E$239, 4, false)), 0, vlookup($A417, FFToolbox!$B$2:$E$239, 4, false))</f>
        <v>0</v>
      </c>
      <c r="H417" s="27">
        <f>if(ISNA(vlookup($A417, FantasyPro!$B$2:$E$316, 4, false)), 0, vlookup($A417, FantasyPro!$B$2:$E$316, 4, false))</f>
        <v>0</v>
      </c>
      <c r="I417" s="27">
        <f>if(ISNA(vlookup($A417, RotoWire!$B$2:$E$681, 4, false)), 0, vlookup($A417, RotoWire!$B$2:$E$681, 4, false))</f>
        <v>0</v>
      </c>
      <c r="J417" s="28">
        <f t="shared" si="1"/>
        <v>0</v>
      </c>
      <c r="K417" s="28">
        <f t="shared" si="2"/>
        <v>0</v>
      </c>
    </row>
    <row r="418" hidden="1">
      <c r="A418" s="6" t="s">
        <v>491</v>
      </c>
      <c r="B418" s="25" t="s">
        <v>955</v>
      </c>
      <c r="C418" s="5" t="s">
        <v>30</v>
      </c>
      <c r="D418" s="5" t="s">
        <v>14</v>
      </c>
      <c r="E418" s="26">
        <f>vlookup(C418,'Team Bye List'!$A$1:$B$33,2,False)</f>
        <v>7</v>
      </c>
      <c r="F418" s="27">
        <f>if(ISNA(vlookup($A418, ESPN!$B$2:$E$257, 4, false)), 0, vlookup($A418, ESPN!$B$2:$E$257, 4, false))</f>
        <v>0</v>
      </c>
      <c r="G418" s="27">
        <f>if(ISNA(vlookup($A418, FFToolbox!$B$2:$E$239, 4, false)), 0, vlookup($A418, FFToolbox!$B$2:$E$239, 4, false))</f>
        <v>0</v>
      </c>
      <c r="H418" s="27">
        <f>if(ISNA(vlookup($A418, FantasyPro!$B$2:$E$316, 4, false)), 0, vlookup($A418, FantasyPro!$B$2:$E$316, 4, false))</f>
        <v>0</v>
      </c>
      <c r="I418" s="27">
        <f>if(ISNA(vlookup($A418, RotoWire!$B$2:$E$681, 4, false)), 0, vlookup($A418, RotoWire!$B$2:$E$681, 4, false))</f>
        <v>0</v>
      </c>
      <c r="J418" s="28">
        <f t="shared" si="1"/>
        <v>0</v>
      </c>
      <c r="K418" s="28">
        <f t="shared" si="2"/>
        <v>0</v>
      </c>
    </row>
    <row r="419">
      <c r="A419" s="6" t="s">
        <v>760</v>
      </c>
      <c r="B419" s="25" t="s">
        <v>955</v>
      </c>
      <c r="C419" s="5" t="s">
        <v>28</v>
      </c>
      <c r="D419" s="5" t="s">
        <v>39</v>
      </c>
      <c r="E419" s="26">
        <f>vlookup(C419,'Team Bye List'!$A$1:$B$33,2,False)</f>
        <v>11</v>
      </c>
      <c r="F419" s="27">
        <f>if(ISNA(vlookup($A419, ESPN!$B$2:$E$257, 4, false)), 0, vlookup($A419, ESPN!$B$2:$E$257, 4, false))</f>
        <v>0</v>
      </c>
      <c r="G419" s="27">
        <f>if(ISNA(vlookup($A419, FFToolbox!$B$2:$E$239, 4, false)), 0, vlookup($A419, FFToolbox!$B$2:$E$239, 4, false))</f>
        <v>0</v>
      </c>
      <c r="H419" s="27">
        <f>if(ISNA(vlookup($A419, FantasyPro!$B$2:$E$316, 4, false)), 0, vlookup($A419, FantasyPro!$B$2:$E$316, 4, false))</f>
        <v>0</v>
      </c>
      <c r="I419" s="27">
        <f>if(ISNA(vlookup($A419, RotoWire!$B$2:$E$681, 4, false)), 0, vlookup($A419, RotoWire!$B$2:$E$681, 4, false))</f>
        <v>0</v>
      </c>
      <c r="J419" s="28">
        <f t="shared" si="1"/>
        <v>0</v>
      </c>
      <c r="K419" s="28">
        <f t="shared" si="2"/>
        <v>0</v>
      </c>
    </row>
    <row r="420" hidden="1">
      <c r="A420" s="6" t="s">
        <v>686</v>
      </c>
      <c r="B420" s="25" t="s">
        <v>955</v>
      </c>
      <c r="C420" s="5" t="s">
        <v>43</v>
      </c>
      <c r="D420" s="5" t="s">
        <v>7</v>
      </c>
      <c r="E420" s="26">
        <f>vlookup(C420,'Team Bye List'!$A$1:$B$33,2,False)</f>
        <v>12</v>
      </c>
      <c r="F420" s="27">
        <f>if(ISNA(vlookup($A420, ESPN!$B$2:$E$257, 4, false)), 0, vlookup($A420, ESPN!$B$2:$E$257, 4, false))</f>
        <v>0</v>
      </c>
      <c r="G420" s="27">
        <f>if(ISNA(vlookup($A420, FFToolbox!$B$2:$E$239, 4, false)), 0, vlookup($A420, FFToolbox!$B$2:$E$239, 4, false))</f>
        <v>0</v>
      </c>
      <c r="H420" s="27">
        <f>if(ISNA(vlookup($A420, FantasyPro!$B$2:$E$316, 4, false)), 0, vlookup($A420, FantasyPro!$B$2:$E$316, 4, false))</f>
        <v>0</v>
      </c>
      <c r="I420" s="27">
        <f>if(ISNA(vlookup($A420, RotoWire!$B$2:$E$681, 4, false)), 0, vlookup($A420, RotoWire!$B$2:$E$681, 4, false))</f>
        <v>0</v>
      </c>
      <c r="J420" s="28">
        <f t="shared" si="1"/>
        <v>0</v>
      </c>
      <c r="K420" s="28">
        <f t="shared" si="2"/>
        <v>0</v>
      </c>
    </row>
    <row r="421" hidden="1">
      <c r="A421" s="6" t="s">
        <v>698</v>
      </c>
      <c r="B421" s="25" t="s">
        <v>955</v>
      </c>
      <c r="C421" s="5" t="s">
        <v>91</v>
      </c>
      <c r="D421" s="5" t="s">
        <v>7</v>
      </c>
      <c r="E421" s="26">
        <f>vlookup(C421,'Team Bye List'!$A$1:$B$33,2,False)</f>
        <v>10</v>
      </c>
      <c r="F421" s="27">
        <f>if(ISNA(vlookup($A421, ESPN!$B$2:$E$257, 4, false)), 0, vlookup($A421, ESPN!$B$2:$E$257, 4, false))</f>
        <v>0</v>
      </c>
      <c r="G421" s="27">
        <f>if(ISNA(vlookup($A421, FFToolbox!$B$2:$E$239, 4, false)), 0, vlookup($A421, FFToolbox!$B$2:$E$239, 4, false))</f>
        <v>0</v>
      </c>
      <c r="H421" s="27">
        <f>if(ISNA(vlookup($A421, FantasyPro!$B$2:$E$316, 4, false)), 0, vlookup($A421, FantasyPro!$B$2:$E$316, 4, false))</f>
        <v>0</v>
      </c>
      <c r="I421" s="27">
        <f>if(ISNA(vlookup($A421, RotoWire!$B$2:$E$681, 4, false)), 0, vlookup($A421, RotoWire!$B$2:$E$681, 4, false))</f>
        <v>0</v>
      </c>
      <c r="J421" s="28">
        <f t="shared" si="1"/>
        <v>0</v>
      </c>
      <c r="K421" s="28">
        <f t="shared" si="2"/>
        <v>0</v>
      </c>
    </row>
    <row r="422" hidden="1">
      <c r="A422" s="6" t="s">
        <v>251</v>
      </c>
      <c r="B422" s="25" t="s">
        <v>955</v>
      </c>
      <c r="C422" s="5" t="s">
        <v>163</v>
      </c>
      <c r="D422" s="5" t="s">
        <v>14</v>
      </c>
      <c r="E422" s="26">
        <f>vlookup(C422,'Team Bye List'!$A$1:$B$33,2,False)</f>
        <v>5</v>
      </c>
      <c r="F422" s="27">
        <f>if(ISNA(vlookup($A422, ESPN!$B$2:$E$257, 4, false)), 0, vlookup($A422, ESPN!$B$2:$E$257, 4, false))</f>
        <v>0</v>
      </c>
      <c r="G422" s="27">
        <f>if(ISNA(vlookup($A422, FFToolbox!$B$2:$E$239, 4, false)), 0, vlookup($A422, FFToolbox!$B$2:$E$239, 4, false))</f>
        <v>0</v>
      </c>
      <c r="H422" s="27">
        <f>if(ISNA(vlookup($A422, FantasyPro!$B$2:$E$316, 4, false)), 0, vlookup($A422, FantasyPro!$B$2:$E$316, 4, false))</f>
        <v>0</v>
      </c>
      <c r="I422" s="27">
        <f>if(ISNA(vlookup($A422, RotoWire!$B$2:$E$681, 4, false)), 0, vlookup($A422, RotoWire!$B$2:$E$681, 4, false))</f>
        <v>0</v>
      </c>
      <c r="J422" s="28">
        <f t="shared" si="1"/>
        <v>0</v>
      </c>
      <c r="K422" s="28">
        <f t="shared" si="2"/>
        <v>0</v>
      </c>
    </row>
    <row r="423" hidden="1">
      <c r="A423" s="6" t="s">
        <v>607</v>
      </c>
      <c r="B423" s="25" t="s">
        <v>955</v>
      </c>
      <c r="C423" s="5" t="s">
        <v>9</v>
      </c>
      <c r="D423" s="5" t="s">
        <v>14</v>
      </c>
      <c r="E423" s="26">
        <f>vlookup(C423,'Team Bye List'!$A$1:$B$33,2,False)</f>
        <v>8</v>
      </c>
      <c r="F423" s="27">
        <f>if(ISNA(vlookup($A423, ESPN!$B$2:$E$257, 4, false)), 0, vlookup($A423, ESPN!$B$2:$E$257, 4, false))</f>
        <v>0</v>
      </c>
      <c r="G423" s="27">
        <f>if(ISNA(vlookup($A423, FFToolbox!$B$2:$E$239, 4, false)), 0, vlookup($A423, FFToolbox!$B$2:$E$239, 4, false))</f>
        <v>0</v>
      </c>
      <c r="H423" s="27">
        <f>if(ISNA(vlookup($A423, FantasyPro!$B$2:$E$316, 4, false)), 0, vlookup($A423, FantasyPro!$B$2:$E$316, 4, false))</f>
        <v>0</v>
      </c>
      <c r="I423" s="27">
        <f>if(ISNA(vlookup($A423, RotoWire!$B$2:$E$681, 4, false)), 0, vlookup($A423, RotoWire!$B$2:$E$681, 4, false))</f>
        <v>0</v>
      </c>
      <c r="J423" s="28">
        <f t="shared" si="1"/>
        <v>0</v>
      </c>
      <c r="K423" s="28">
        <f t="shared" si="2"/>
        <v>0</v>
      </c>
    </row>
    <row r="424" hidden="1">
      <c r="A424" s="6" t="s">
        <v>700</v>
      </c>
      <c r="B424" s="25" t="s">
        <v>955</v>
      </c>
      <c r="C424" s="5" t="s">
        <v>16</v>
      </c>
      <c r="D424" s="5" t="s">
        <v>7</v>
      </c>
      <c r="E424" s="26">
        <f>vlookup(C424,'Team Bye List'!$A$1:$B$33,2,False)</f>
        <v>9</v>
      </c>
      <c r="F424" s="27">
        <f>if(ISNA(vlookup($A424, ESPN!$B$2:$E$257, 4, false)), 0, vlookup($A424, ESPN!$B$2:$E$257, 4, false))</f>
        <v>0</v>
      </c>
      <c r="G424" s="27">
        <f>if(ISNA(vlookup($A424, FFToolbox!$B$2:$E$239, 4, false)), 0, vlookup($A424, FFToolbox!$B$2:$E$239, 4, false))</f>
        <v>0</v>
      </c>
      <c r="H424" s="27">
        <f>if(ISNA(vlookup($A424, FantasyPro!$B$2:$E$316, 4, false)), 0, vlookup($A424, FantasyPro!$B$2:$E$316, 4, false))</f>
        <v>0</v>
      </c>
      <c r="I424" s="27">
        <f>if(ISNA(vlookup($A424, RotoWire!$B$2:$E$681, 4, false)), 0, vlookup($A424, RotoWire!$B$2:$E$681, 4, false))</f>
        <v>0</v>
      </c>
      <c r="J424" s="28">
        <f t="shared" si="1"/>
        <v>0</v>
      </c>
      <c r="K424" s="28">
        <f t="shared" si="2"/>
        <v>0</v>
      </c>
    </row>
    <row r="425" hidden="1">
      <c r="A425" s="6" t="s">
        <v>673</v>
      </c>
      <c r="B425" s="25" t="s">
        <v>955</v>
      </c>
      <c r="C425" s="5" t="s">
        <v>122</v>
      </c>
      <c r="D425" s="5" t="s">
        <v>7</v>
      </c>
      <c r="E425" s="26">
        <f>vlookup(C425,'Team Bye List'!$A$1:$B$33,2,False)</f>
        <v>10</v>
      </c>
      <c r="F425" s="27">
        <f>if(ISNA(vlookup($A425, ESPN!$B$2:$E$257, 4, false)), 0, vlookup($A425, ESPN!$B$2:$E$257, 4, false))</f>
        <v>0</v>
      </c>
      <c r="G425" s="27">
        <f>if(ISNA(vlookup($A425, FFToolbox!$B$2:$E$239, 4, false)), 0, vlookup($A425, FFToolbox!$B$2:$E$239, 4, false))</f>
        <v>0</v>
      </c>
      <c r="H425" s="27">
        <f>if(ISNA(vlookup($A425, FantasyPro!$B$2:$E$316, 4, false)), 0, vlookup($A425, FantasyPro!$B$2:$E$316, 4, false))</f>
        <v>0</v>
      </c>
      <c r="I425" s="27">
        <f>if(ISNA(vlookup($A425, RotoWire!$B$2:$E$681, 4, false)), 0, vlookup($A425, RotoWire!$B$2:$E$681, 4, false))</f>
        <v>0</v>
      </c>
      <c r="J425" s="28">
        <f t="shared" si="1"/>
        <v>0</v>
      </c>
      <c r="K425" s="28">
        <f t="shared" si="2"/>
        <v>0</v>
      </c>
    </row>
    <row r="426" hidden="1">
      <c r="A426" s="6" t="s">
        <v>636</v>
      </c>
      <c r="B426" s="25" t="s">
        <v>955</v>
      </c>
      <c r="C426" s="5" t="s">
        <v>28</v>
      </c>
      <c r="D426" s="5" t="s">
        <v>7</v>
      </c>
      <c r="E426" s="26">
        <f>vlookup(C426,'Team Bye List'!$A$1:$B$33,2,False)</f>
        <v>11</v>
      </c>
      <c r="F426" s="27">
        <f>if(ISNA(vlookup($A426, ESPN!$B$2:$E$257, 4, false)), 0, vlookup($A426, ESPN!$B$2:$E$257, 4, false))</f>
        <v>0</v>
      </c>
      <c r="G426" s="27">
        <f>if(ISNA(vlookup($A426, FFToolbox!$B$2:$E$239, 4, false)), 0, vlookup($A426, FFToolbox!$B$2:$E$239, 4, false))</f>
        <v>0</v>
      </c>
      <c r="H426" s="27">
        <f>if(ISNA(vlookup($A426, FantasyPro!$B$2:$E$316, 4, false)), 0, vlookup($A426, FantasyPro!$B$2:$E$316, 4, false))</f>
        <v>0</v>
      </c>
      <c r="I426" s="27">
        <f>if(ISNA(vlookup($A426, RotoWire!$B$2:$E$681, 4, false)), 0, vlookup($A426, RotoWire!$B$2:$E$681, 4, false))</f>
        <v>0</v>
      </c>
      <c r="J426" s="28">
        <f t="shared" si="1"/>
        <v>0</v>
      </c>
      <c r="K426" s="28">
        <f t="shared" si="2"/>
        <v>0</v>
      </c>
    </row>
    <row r="427" hidden="1">
      <c r="A427" s="6" t="s">
        <v>538</v>
      </c>
      <c r="B427" s="25" t="s">
        <v>955</v>
      </c>
      <c r="C427" s="5" t="s">
        <v>62</v>
      </c>
      <c r="D427" s="5" t="s">
        <v>14</v>
      </c>
      <c r="E427" s="26">
        <f>vlookup(C427,'Team Bye List'!$A$1:$B$33,2,False)</f>
        <v>12</v>
      </c>
      <c r="F427" s="27">
        <f>if(ISNA(vlookup($A427, ESPN!$B$2:$E$257, 4, false)), 0, vlookup($A427, ESPN!$B$2:$E$257, 4, false))</f>
        <v>0</v>
      </c>
      <c r="G427" s="27">
        <f>if(ISNA(vlookup($A427, FFToolbox!$B$2:$E$239, 4, false)), 0, vlookup($A427, FFToolbox!$B$2:$E$239, 4, false))</f>
        <v>0</v>
      </c>
      <c r="H427" s="27">
        <f>if(ISNA(vlookup($A427, FantasyPro!$B$2:$E$316, 4, false)), 0, vlookup($A427, FantasyPro!$B$2:$E$316, 4, false))</f>
        <v>0</v>
      </c>
      <c r="I427" s="27">
        <f>if(ISNA(vlookup($A427, RotoWire!$B$2:$E$681, 4, false)), 0, vlookup($A427, RotoWire!$B$2:$E$681, 4, false))</f>
        <v>0</v>
      </c>
      <c r="J427" s="28">
        <f t="shared" si="1"/>
        <v>0</v>
      </c>
      <c r="K427" s="28">
        <f t="shared" si="2"/>
        <v>0</v>
      </c>
    </row>
    <row r="428" hidden="1">
      <c r="A428" s="6" t="s">
        <v>337</v>
      </c>
      <c r="B428" s="25" t="s">
        <v>955</v>
      </c>
      <c r="C428" s="5" t="s">
        <v>35</v>
      </c>
      <c r="D428" s="5" t="s">
        <v>14</v>
      </c>
      <c r="E428" s="26">
        <f>vlookup(C428,'Team Bye List'!$A$1:$B$33,2,False)</f>
        <v>7</v>
      </c>
      <c r="F428" s="27">
        <f>if(ISNA(vlookup($A428, ESPN!$B$2:$E$257, 4, false)), 0, vlookup($A428, ESPN!$B$2:$E$257, 4, false))</f>
        <v>0</v>
      </c>
      <c r="G428" s="27">
        <f>if(ISNA(vlookup($A428, FFToolbox!$B$2:$E$239, 4, false)), 0, vlookup($A428, FFToolbox!$B$2:$E$239, 4, false))</f>
        <v>0</v>
      </c>
      <c r="H428" s="27">
        <f>if(ISNA(vlookup($A428, FantasyPro!$B$2:$E$316, 4, false)), 0, vlookup($A428, FantasyPro!$B$2:$E$316, 4, false))</f>
        <v>0</v>
      </c>
      <c r="I428" s="27">
        <f>if(ISNA(vlookup($A428, RotoWire!$B$2:$E$681, 4, false)), 0, vlookup($A428, RotoWire!$B$2:$E$681, 4, false))</f>
        <v>0</v>
      </c>
      <c r="J428" s="28">
        <f t="shared" si="1"/>
        <v>0</v>
      </c>
      <c r="K428" s="28">
        <f t="shared" si="2"/>
        <v>0</v>
      </c>
    </row>
    <row r="429" hidden="1">
      <c r="A429" s="6" t="s">
        <v>246</v>
      </c>
      <c r="B429" s="25" t="s">
        <v>955</v>
      </c>
      <c r="C429" s="5" t="s">
        <v>91</v>
      </c>
      <c r="D429" s="5" t="s">
        <v>14</v>
      </c>
      <c r="E429" s="26">
        <f>vlookup(C429,'Team Bye List'!$A$1:$B$33,2,False)</f>
        <v>10</v>
      </c>
      <c r="F429" s="27">
        <f>if(ISNA(vlookup($A429, ESPN!$B$2:$E$257, 4, false)), 0, vlookup($A429, ESPN!$B$2:$E$257, 4, false))</f>
        <v>0</v>
      </c>
      <c r="G429" s="27">
        <f>if(ISNA(vlookup($A429, FFToolbox!$B$2:$E$239, 4, false)), 0, vlookup($A429, FFToolbox!$B$2:$E$239, 4, false))</f>
        <v>0</v>
      </c>
      <c r="H429" s="27">
        <f>if(ISNA(vlookup($A429, FantasyPro!$B$2:$E$316, 4, false)), 0, vlookup($A429, FantasyPro!$B$2:$E$316, 4, false))</f>
        <v>0</v>
      </c>
      <c r="I429" s="27">
        <f>if(ISNA(vlookup($A429, RotoWire!$B$2:$E$681, 4, false)), 0, vlookup($A429, RotoWire!$B$2:$E$681, 4, false))</f>
        <v>0</v>
      </c>
      <c r="J429" s="28">
        <f t="shared" si="1"/>
        <v>0</v>
      </c>
      <c r="K429" s="28">
        <f t="shared" si="2"/>
        <v>0</v>
      </c>
    </row>
    <row r="430" hidden="1">
      <c r="A430" s="6" t="s">
        <v>225</v>
      </c>
      <c r="B430" s="25" t="s">
        <v>955</v>
      </c>
      <c r="C430" s="5" t="s">
        <v>69</v>
      </c>
      <c r="D430" s="5" t="s">
        <v>14</v>
      </c>
      <c r="E430" s="26">
        <f>vlookup(C430,'Team Bye List'!$A$1:$B$33,2,False)</f>
        <v>11</v>
      </c>
      <c r="F430" s="27">
        <f>if(ISNA(vlookup($A430, ESPN!$B$2:$E$257, 4, false)), 0, vlookup($A430, ESPN!$B$2:$E$257, 4, false))</f>
        <v>0</v>
      </c>
      <c r="G430" s="27">
        <f>if(ISNA(vlookup($A430, FFToolbox!$B$2:$E$239, 4, false)), 0, vlookup($A430, FFToolbox!$B$2:$E$239, 4, false))</f>
        <v>0</v>
      </c>
      <c r="H430" s="27">
        <f>if(ISNA(vlookup($A430, FantasyPro!$B$2:$E$316, 4, false)), 0, vlookup($A430, FantasyPro!$B$2:$E$316, 4, false))</f>
        <v>0</v>
      </c>
      <c r="I430" s="27">
        <f>if(ISNA(vlookup($A430, RotoWire!$B$2:$E$681, 4, false)), 0, vlookup($A430, RotoWire!$B$2:$E$681, 4, false))</f>
        <v>0</v>
      </c>
      <c r="J430" s="28">
        <f t="shared" si="1"/>
        <v>0</v>
      </c>
      <c r="K430" s="28">
        <f t="shared" si="2"/>
        <v>0</v>
      </c>
    </row>
    <row r="431" hidden="1">
      <c r="A431" s="6" t="s">
        <v>708</v>
      </c>
      <c r="B431" s="25" t="s">
        <v>955</v>
      </c>
      <c r="C431" s="5" t="s">
        <v>59</v>
      </c>
      <c r="D431" s="5" t="s">
        <v>7</v>
      </c>
      <c r="E431" s="26">
        <f>vlookup(C431,'Team Bye List'!$A$1:$B$33,2,False)</f>
        <v>10</v>
      </c>
      <c r="F431" s="27">
        <f>if(ISNA(vlookup($A431, ESPN!$B$2:$E$257, 4, false)), 0, vlookup($A431, ESPN!$B$2:$E$257, 4, false))</f>
        <v>0</v>
      </c>
      <c r="G431" s="27">
        <f>if(ISNA(vlookup($A431, FFToolbox!$B$2:$E$239, 4, false)), 0, vlookup($A431, FFToolbox!$B$2:$E$239, 4, false))</f>
        <v>0</v>
      </c>
      <c r="H431" s="27">
        <f>if(ISNA(vlookup($A431, FantasyPro!$B$2:$E$316, 4, false)), 0, vlookup($A431, FantasyPro!$B$2:$E$316, 4, false))</f>
        <v>0</v>
      </c>
      <c r="I431" s="27">
        <f>if(ISNA(vlookup($A431, RotoWire!$B$2:$E$681, 4, false)), 0, vlookup($A431, RotoWire!$B$2:$E$681, 4, false))</f>
        <v>0</v>
      </c>
      <c r="J431" s="28">
        <f t="shared" si="1"/>
        <v>0</v>
      </c>
      <c r="K431" s="28">
        <f t="shared" si="2"/>
        <v>0</v>
      </c>
    </row>
    <row r="432" hidden="1">
      <c r="A432" s="6" t="s">
        <v>429</v>
      </c>
      <c r="B432" s="25" t="s">
        <v>955</v>
      </c>
      <c r="C432" s="5" t="s">
        <v>91</v>
      </c>
      <c r="D432" s="5" t="s">
        <v>12</v>
      </c>
      <c r="E432" s="26">
        <f>vlookup(C432,'Team Bye List'!$A$1:$B$33,2,False)</f>
        <v>10</v>
      </c>
      <c r="F432" s="27">
        <f>if(ISNA(vlookup($A432, ESPN!$B$2:$E$257, 4, false)), 0, vlookup($A432, ESPN!$B$2:$E$257, 4, false))</f>
        <v>0</v>
      </c>
      <c r="G432" s="27">
        <f>if(ISNA(vlookup($A432, FFToolbox!$B$2:$E$239, 4, false)), 0, vlookup($A432, FFToolbox!$B$2:$E$239, 4, false))</f>
        <v>0</v>
      </c>
      <c r="H432" s="27">
        <f>if(ISNA(vlookup($A432, FantasyPro!$B$2:$E$316, 4, false)), 0, vlookup($A432, FantasyPro!$B$2:$E$316, 4, false))</f>
        <v>0</v>
      </c>
      <c r="I432" s="27">
        <f>if(ISNA(vlookup($A432, RotoWire!$B$2:$E$681, 4, false)), 0, vlookup($A432, RotoWire!$B$2:$E$681, 4, false))</f>
        <v>0</v>
      </c>
      <c r="J432" s="28">
        <f t="shared" si="1"/>
        <v>0</v>
      </c>
      <c r="K432" s="28">
        <f t="shared" si="2"/>
        <v>0</v>
      </c>
    </row>
    <row r="433" hidden="1">
      <c r="A433" s="6" t="s">
        <v>634</v>
      </c>
      <c r="B433" s="25" t="s">
        <v>955</v>
      </c>
      <c r="C433" s="5" t="s">
        <v>30</v>
      </c>
      <c r="D433" s="5" t="s">
        <v>7</v>
      </c>
      <c r="E433" s="26">
        <f>vlookup(C433,'Team Bye List'!$A$1:$B$33,2,False)</f>
        <v>7</v>
      </c>
      <c r="F433" s="27">
        <f>if(ISNA(vlookup($A433, ESPN!$B$2:$E$257, 4, false)), 0, vlookup($A433, ESPN!$B$2:$E$257, 4, false))</f>
        <v>0</v>
      </c>
      <c r="G433" s="27">
        <f>if(ISNA(vlookup($A433, FFToolbox!$B$2:$E$239, 4, false)), 0, vlookup($A433, FFToolbox!$B$2:$E$239, 4, false))</f>
        <v>0</v>
      </c>
      <c r="H433" s="27">
        <f>if(ISNA(vlookup($A433, FantasyPro!$B$2:$E$316, 4, false)), 0, vlookup($A433, FantasyPro!$B$2:$E$316, 4, false))</f>
        <v>0</v>
      </c>
      <c r="I433" s="27">
        <f>if(ISNA(vlookup($A433, RotoWire!$B$2:$E$681, 4, false)), 0, vlookup($A433, RotoWire!$B$2:$E$681, 4, false))</f>
        <v>0</v>
      </c>
      <c r="J433" s="28">
        <f t="shared" si="1"/>
        <v>0</v>
      </c>
      <c r="K433" s="28">
        <f t="shared" si="2"/>
        <v>0</v>
      </c>
    </row>
    <row r="434" hidden="1">
      <c r="A434" s="6" t="s">
        <v>623</v>
      </c>
      <c r="B434" s="25" t="s">
        <v>955</v>
      </c>
      <c r="C434" s="5" t="s">
        <v>43</v>
      </c>
      <c r="D434" s="5" t="s">
        <v>14</v>
      </c>
      <c r="E434" s="26">
        <f>vlookup(C434,'Team Bye List'!$A$1:$B$33,2,False)</f>
        <v>12</v>
      </c>
      <c r="F434" s="27">
        <f>if(ISNA(vlookup($A434, ESPN!$B$2:$E$257, 4, false)), 0, vlookup($A434, ESPN!$B$2:$E$257, 4, false))</f>
        <v>0</v>
      </c>
      <c r="G434" s="27">
        <f>if(ISNA(vlookup($A434, FFToolbox!$B$2:$E$239, 4, false)), 0, vlookup($A434, FFToolbox!$B$2:$E$239, 4, false))</f>
        <v>0</v>
      </c>
      <c r="H434" s="27">
        <f>if(ISNA(vlookup($A434, FantasyPro!$B$2:$E$316, 4, false)), 0, vlookup($A434, FantasyPro!$B$2:$E$316, 4, false))</f>
        <v>0</v>
      </c>
      <c r="I434" s="27">
        <f>if(ISNA(vlookup($A434, RotoWire!$B$2:$E$681, 4, false)), 0, vlookup($A434, RotoWire!$B$2:$E$681, 4, false))</f>
        <v>0</v>
      </c>
      <c r="J434" s="28">
        <f t="shared" si="1"/>
        <v>0</v>
      </c>
      <c r="K434" s="28">
        <f t="shared" si="2"/>
        <v>0</v>
      </c>
    </row>
    <row r="435" hidden="1">
      <c r="A435" s="6" t="s">
        <v>643</v>
      </c>
      <c r="B435" s="25" t="s">
        <v>955</v>
      </c>
      <c r="C435" s="5" t="s">
        <v>41</v>
      </c>
      <c r="D435" s="5" t="s">
        <v>7</v>
      </c>
      <c r="E435" s="26">
        <f>vlookup(C435,'Team Bye List'!$A$1:$B$33,2,False)</f>
        <v>6</v>
      </c>
      <c r="F435" s="27">
        <f>if(ISNA(vlookup($A435, ESPN!$B$2:$E$257, 4, false)), 0, vlookup($A435, ESPN!$B$2:$E$257, 4, false))</f>
        <v>0</v>
      </c>
      <c r="G435" s="27">
        <f>if(ISNA(vlookup($A435, FFToolbox!$B$2:$E$239, 4, false)), 0, vlookup($A435, FFToolbox!$B$2:$E$239, 4, false))</f>
        <v>0</v>
      </c>
      <c r="H435" s="27">
        <f>if(ISNA(vlookup($A435, FantasyPro!$B$2:$E$316, 4, false)), 0, vlookup($A435, FantasyPro!$B$2:$E$316, 4, false))</f>
        <v>0</v>
      </c>
      <c r="I435" s="27">
        <f>if(ISNA(vlookup($A435, RotoWire!$B$2:$E$681, 4, false)), 0, vlookup($A435, RotoWire!$B$2:$E$681, 4, false))</f>
        <v>0</v>
      </c>
      <c r="J435" s="28">
        <f t="shared" si="1"/>
        <v>0</v>
      </c>
      <c r="K435" s="28">
        <f t="shared" si="2"/>
        <v>0</v>
      </c>
    </row>
    <row r="436" hidden="1">
      <c r="A436" s="6" t="s">
        <v>360</v>
      </c>
      <c r="B436" s="25" t="s">
        <v>955</v>
      </c>
      <c r="C436" s="5" t="s">
        <v>54</v>
      </c>
      <c r="D436" s="5" t="s">
        <v>12</v>
      </c>
      <c r="E436" s="26">
        <f>vlookup(C436,'Team Bye List'!$A$1:$B$33,2,False)</f>
        <v>9</v>
      </c>
      <c r="F436" s="27">
        <f>if(ISNA(vlookup($A436, ESPN!$B$2:$E$257, 4, false)), 0, vlookup($A436, ESPN!$B$2:$E$257, 4, false))</f>
        <v>0</v>
      </c>
      <c r="G436" s="27">
        <f>if(ISNA(vlookup($A436, FFToolbox!$B$2:$E$239, 4, false)), 0, vlookup($A436, FFToolbox!$B$2:$E$239, 4, false))</f>
        <v>0</v>
      </c>
      <c r="H436" s="27">
        <f>if(ISNA(vlookup($A436, FantasyPro!$B$2:$E$316, 4, false)), 0, vlookup($A436, FantasyPro!$B$2:$E$316, 4, false))</f>
        <v>0</v>
      </c>
      <c r="I436" s="27">
        <f>if(ISNA(vlookup($A436, RotoWire!$B$2:$E$681, 4, false)), 0, vlookup($A436, RotoWire!$B$2:$E$681, 4, false))</f>
        <v>0</v>
      </c>
      <c r="J436" s="28">
        <f t="shared" si="1"/>
        <v>0</v>
      </c>
      <c r="K436" s="28">
        <f t="shared" si="2"/>
        <v>0</v>
      </c>
    </row>
    <row r="437">
      <c r="A437" s="6" t="s">
        <v>774</v>
      </c>
      <c r="B437" s="25" t="s">
        <v>955</v>
      </c>
      <c r="C437" s="5" t="s">
        <v>30</v>
      </c>
      <c r="D437" s="5" t="s">
        <v>39</v>
      </c>
      <c r="E437" s="26">
        <f>vlookup(C437,'Team Bye List'!$A$1:$B$33,2,False)</f>
        <v>7</v>
      </c>
      <c r="F437" s="27">
        <f>if(ISNA(vlookup($A437, ESPN!$B$2:$E$257, 4, false)), 0, vlookup($A437, ESPN!$B$2:$E$257, 4, false))</f>
        <v>0</v>
      </c>
      <c r="G437" s="27">
        <f>if(ISNA(vlookup($A437, FFToolbox!$B$2:$E$239, 4, false)), 0, vlookup($A437, FFToolbox!$B$2:$E$239, 4, false))</f>
        <v>0</v>
      </c>
      <c r="H437" s="27">
        <f>if(ISNA(vlookup($A437, FantasyPro!$B$2:$E$316, 4, false)), 0, vlookup($A437, FantasyPro!$B$2:$E$316, 4, false))</f>
        <v>0</v>
      </c>
      <c r="I437" s="27">
        <f>if(ISNA(vlookup($A437, RotoWire!$B$2:$E$681, 4, false)), 0, vlookup($A437, RotoWire!$B$2:$E$681, 4, false))</f>
        <v>0</v>
      </c>
      <c r="J437" s="28">
        <f t="shared" si="1"/>
        <v>0</v>
      </c>
      <c r="K437" s="28">
        <f t="shared" si="2"/>
        <v>0</v>
      </c>
    </row>
    <row r="438" hidden="1">
      <c r="A438" s="6" t="s">
        <v>523</v>
      </c>
      <c r="B438" s="25" t="s">
        <v>955</v>
      </c>
      <c r="C438" s="5" t="s">
        <v>139</v>
      </c>
      <c r="D438" s="5" t="s">
        <v>14</v>
      </c>
      <c r="E438" s="26">
        <f>vlookup(C438,'Team Bye List'!$A$1:$B$33,2,False)</f>
        <v>6</v>
      </c>
      <c r="F438" s="27">
        <f>if(ISNA(vlookup($A438, ESPN!$B$2:$E$257, 4, false)), 0, vlookup($A438, ESPN!$B$2:$E$257, 4, false))</f>
        <v>0</v>
      </c>
      <c r="G438" s="27">
        <f>if(ISNA(vlookup($A438, FFToolbox!$B$2:$E$239, 4, false)), 0, vlookup($A438, FFToolbox!$B$2:$E$239, 4, false))</f>
        <v>0</v>
      </c>
      <c r="H438" s="27">
        <f>if(ISNA(vlookup($A438, FantasyPro!$B$2:$E$316, 4, false)), 0, vlookup($A438, FantasyPro!$B$2:$E$316, 4, false))</f>
        <v>0</v>
      </c>
      <c r="I438" s="27">
        <f>if(ISNA(vlookup($A438, RotoWire!$B$2:$E$681, 4, false)), 0, vlookup($A438, RotoWire!$B$2:$E$681, 4, false))</f>
        <v>0</v>
      </c>
      <c r="J438" s="28">
        <f t="shared" si="1"/>
        <v>0</v>
      </c>
      <c r="K438" s="28">
        <f t="shared" si="2"/>
        <v>0</v>
      </c>
    </row>
    <row r="439" hidden="1">
      <c r="A439" s="6" t="s">
        <v>354</v>
      </c>
      <c r="B439" s="25" t="s">
        <v>955</v>
      </c>
      <c r="C439" s="5" t="s">
        <v>163</v>
      </c>
      <c r="D439" s="5" t="s">
        <v>12</v>
      </c>
      <c r="E439" s="26">
        <f>vlookup(C439,'Team Bye List'!$A$1:$B$33,2,False)</f>
        <v>5</v>
      </c>
      <c r="F439" s="27">
        <f>if(ISNA(vlookup($A439, ESPN!$B$2:$E$257, 4, false)), 0, vlookup($A439, ESPN!$B$2:$E$257, 4, false))</f>
        <v>0</v>
      </c>
      <c r="G439" s="27">
        <f>if(ISNA(vlookup($A439, FFToolbox!$B$2:$E$239, 4, false)), 0, vlookup($A439, FFToolbox!$B$2:$E$239, 4, false))</f>
        <v>0</v>
      </c>
      <c r="H439" s="27">
        <f>if(ISNA(vlookup($A439, FantasyPro!$B$2:$E$316, 4, false)), 0, vlookup($A439, FantasyPro!$B$2:$E$316, 4, false))</f>
        <v>0</v>
      </c>
      <c r="I439" s="27">
        <f>if(ISNA(vlookup($A439, RotoWire!$B$2:$E$681, 4, false)), 0, vlookup($A439, RotoWire!$B$2:$E$681, 4, false))</f>
        <v>0</v>
      </c>
      <c r="J439" s="28">
        <f t="shared" si="1"/>
        <v>0</v>
      </c>
      <c r="K439" s="28">
        <f t="shared" si="2"/>
        <v>0</v>
      </c>
    </row>
    <row r="440" hidden="1">
      <c r="A440" s="6" t="s">
        <v>215</v>
      </c>
      <c r="B440" s="25" t="s">
        <v>955</v>
      </c>
      <c r="C440" s="5" t="s">
        <v>165</v>
      </c>
      <c r="D440" s="5" t="s">
        <v>120</v>
      </c>
      <c r="E440" s="26">
        <f>vlookup(C440,'Team Bye List'!$A$1:$B$33,2,False)</f>
        <v>10</v>
      </c>
      <c r="F440" s="27">
        <f>if(ISNA(vlookup($A440, ESPN!$B$2:$E$257, 4, false)), 0, vlookup($A440, ESPN!$B$2:$E$257, 4, false))</f>
        <v>0</v>
      </c>
      <c r="G440" s="27">
        <f>if(ISNA(vlookup($A440, FFToolbox!$B$2:$E$239, 4, false)), 0, vlookup($A440, FFToolbox!$B$2:$E$239, 4, false))</f>
        <v>0</v>
      </c>
      <c r="H440" s="27">
        <f>if(ISNA(vlookup($A440, FantasyPro!$B$2:$E$316, 4, false)), 0, vlookup($A440, FantasyPro!$B$2:$E$316, 4, false))</f>
        <v>0</v>
      </c>
      <c r="I440" s="27">
        <f>if(ISNA(vlookup($A440, RotoWire!$B$2:$E$681, 4, false)), 0, vlookup($A440, RotoWire!$B$2:$E$681, 4, false))</f>
        <v>0</v>
      </c>
      <c r="J440" s="28">
        <f t="shared" si="1"/>
        <v>0</v>
      </c>
      <c r="K440" s="28">
        <f t="shared" si="2"/>
        <v>0</v>
      </c>
    </row>
    <row r="441" hidden="1">
      <c r="A441" s="6" t="s">
        <v>387</v>
      </c>
      <c r="B441" s="25" t="s">
        <v>955</v>
      </c>
      <c r="C441" s="5" t="s">
        <v>163</v>
      </c>
      <c r="D441" s="5" t="s">
        <v>12</v>
      </c>
      <c r="E441" s="26">
        <f>vlookup(C441,'Team Bye List'!$A$1:$B$33,2,False)</f>
        <v>5</v>
      </c>
      <c r="F441" s="27">
        <f>if(ISNA(vlookup($A441, ESPN!$B$2:$E$257, 4, false)), 0, vlookup($A441, ESPN!$B$2:$E$257, 4, false))</f>
        <v>0</v>
      </c>
      <c r="G441" s="27">
        <f>if(ISNA(vlookup($A441, FFToolbox!$B$2:$E$239, 4, false)), 0, vlookup($A441, FFToolbox!$B$2:$E$239, 4, false))</f>
        <v>0</v>
      </c>
      <c r="H441" s="27">
        <f>if(ISNA(vlookup($A441, FantasyPro!$B$2:$E$316, 4, false)), 0, vlookup($A441, FantasyPro!$B$2:$E$316, 4, false))</f>
        <v>0</v>
      </c>
      <c r="I441" s="27">
        <f>if(ISNA(vlookup($A441, RotoWire!$B$2:$E$681, 4, false)), 0, vlookup($A441, RotoWire!$B$2:$E$681, 4, false))</f>
        <v>0</v>
      </c>
      <c r="J441" s="28">
        <f t="shared" si="1"/>
        <v>0</v>
      </c>
      <c r="K441" s="28">
        <f t="shared" si="2"/>
        <v>0</v>
      </c>
    </row>
    <row r="442" hidden="1">
      <c r="A442" s="6" t="s">
        <v>508</v>
      </c>
      <c r="B442" s="25" t="s">
        <v>955</v>
      </c>
      <c r="C442" s="5" t="s">
        <v>41</v>
      </c>
      <c r="D442" s="5" t="s">
        <v>14</v>
      </c>
      <c r="E442" s="26">
        <f>vlookup(C442,'Team Bye List'!$A$1:$B$33,2,False)</f>
        <v>6</v>
      </c>
      <c r="F442" s="27">
        <f>if(ISNA(vlookup($A442, ESPN!$B$2:$E$257, 4, false)), 0, vlookup($A442, ESPN!$B$2:$E$257, 4, false))</f>
        <v>0</v>
      </c>
      <c r="G442" s="27">
        <f>if(ISNA(vlookup($A442, FFToolbox!$B$2:$E$239, 4, false)), 0, vlookup($A442, FFToolbox!$B$2:$E$239, 4, false))</f>
        <v>0</v>
      </c>
      <c r="H442" s="27">
        <f>if(ISNA(vlookup($A442, FantasyPro!$B$2:$E$316, 4, false)), 0, vlookup($A442, FantasyPro!$B$2:$E$316, 4, false))</f>
        <v>0</v>
      </c>
      <c r="I442" s="27">
        <f>if(ISNA(vlookup($A442, RotoWire!$B$2:$E$681, 4, false)), 0, vlookup($A442, RotoWire!$B$2:$E$681, 4, false))</f>
        <v>0</v>
      </c>
      <c r="J442" s="28">
        <f t="shared" si="1"/>
        <v>0</v>
      </c>
      <c r="K442" s="28">
        <f t="shared" si="2"/>
        <v>0</v>
      </c>
    </row>
    <row r="443">
      <c r="A443" s="6" t="s">
        <v>742</v>
      </c>
      <c r="B443" s="25" t="s">
        <v>955</v>
      </c>
      <c r="C443" s="5" t="s">
        <v>165</v>
      </c>
      <c r="D443" s="5" t="s">
        <v>39</v>
      </c>
      <c r="E443" s="26">
        <f>vlookup(C443,'Team Bye List'!$A$1:$B$33,2,False)</f>
        <v>10</v>
      </c>
      <c r="F443" s="27">
        <f>if(ISNA(vlookup($A443, ESPN!$B$2:$E$257, 4, false)), 0, vlookup($A443, ESPN!$B$2:$E$257, 4, false))</f>
        <v>0</v>
      </c>
      <c r="G443" s="27">
        <f>if(ISNA(vlookup($A443, FFToolbox!$B$2:$E$239, 4, false)), 0, vlookup($A443, FFToolbox!$B$2:$E$239, 4, false))</f>
        <v>0</v>
      </c>
      <c r="H443" s="27">
        <f>if(ISNA(vlookup($A443, FantasyPro!$B$2:$E$316, 4, false)), 0, vlookup($A443, FantasyPro!$B$2:$E$316, 4, false))</f>
        <v>0</v>
      </c>
      <c r="I443" s="27">
        <f>if(ISNA(vlookup($A443, RotoWire!$B$2:$E$681, 4, false)), 0, vlookup($A443, RotoWire!$B$2:$E$681, 4, false))</f>
        <v>0</v>
      </c>
      <c r="J443" s="28">
        <f t="shared" si="1"/>
        <v>0</v>
      </c>
      <c r="K443" s="28">
        <f t="shared" si="2"/>
        <v>0</v>
      </c>
    </row>
    <row r="444" hidden="1">
      <c r="A444" s="6" t="s">
        <v>665</v>
      </c>
      <c r="B444" s="25" t="s">
        <v>955</v>
      </c>
      <c r="C444" s="5" t="s">
        <v>16</v>
      </c>
      <c r="D444" s="5" t="s">
        <v>7</v>
      </c>
      <c r="E444" s="26">
        <f>vlookup(C444,'Team Bye List'!$A$1:$B$33,2,False)</f>
        <v>9</v>
      </c>
      <c r="F444" s="27">
        <f>if(ISNA(vlookup($A444, ESPN!$B$2:$E$257, 4, false)), 0, vlookup($A444, ESPN!$B$2:$E$257, 4, false))</f>
        <v>0</v>
      </c>
      <c r="G444" s="27">
        <f>if(ISNA(vlookup($A444, FFToolbox!$B$2:$E$239, 4, false)), 0, vlookup($A444, FFToolbox!$B$2:$E$239, 4, false))</f>
        <v>0</v>
      </c>
      <c r="H444" s="27">
        <f>if(ISNA(vlookup($A444, FantasyPro!$B$2:$E$316, 4, false)), 0, vlookup($A444, FantasyPro!$B$2:$E$316, 4, false))</f>
        <v>0</v>
      </c>
      <c r="I444" s="27">
        <f>if(ISNA(vlookup($A444, RotoWire!$B$2:$E$681, 4, false)), 0, vlookup($A444, RotoWire!$B$2:$E$681, 4, false))</f>
        <v>0</v>
      </c>
      <c r="J444" s="28">
        <f t="shared" si="1"/>
        <v>0</v>
      </c>
      <c r="K444" s="28">
        <f t="shared" si="2"/>
        <v>0</v>
      </c>
    </row>
    <row r="445" hidden="1">
      <c r="A445" s="8" t="s">
        <v>579</v>
      </c>
      <c r="B445" s="25" t="s">
        <v>955</v>
      </c>
      <c r="C445" s="5" t="s">
        <v>43</v>
      </c>
      <c r="D445" s="5" t="s">
        <v>14</v>
      </c>
      <c r="E445" s="26">
        <f>vlookup(C445,'Team Bye List'!$A$1:$B$33,2,False)</f>
        <v>12</v>
      </c>
      <c r="F445" s="27">
        <f>if(ISNA(vlookup($A445, ESPN!$B$2:$E$257, 4, false)), 0, vlookup($A445, ESPN!$B$2:$E$257, 4, false))</f>
        <v>0</v>
      </c>
      <c r="G445" s="27">
        <f>if(ISNA(vlookup($A445, FFToolbox!$B$2:$E$239, 4, false)), 0, vlookup($A445, FFToolbox!$B$2:$E$239, 4, false))</f>
        <v>0</v>
      </c>
      <c r="H445" s="27">
        <f>if(ISNA(vlookup($A445, FantasyPro!$B$2:$E$316, 4, false)), 0, vlookup($A445, FantasyPro!$B$2:$E$316, 4, false))</f>
        <v>0</v>
      </c>
      <c r="I445" s="27">
        <f>if(ISNA(vlookup($A445, RotoWire!$B$2:$E$681, 4, false)), 0, vlookup($A445, RotoWire!$B$2:$E$681, 4, false))</f>
        <v>0</v>
      </c>
      <c r="J445" s="28">
        <f t="shared" si="1"/>
        <v>0</v>
      </c>
      <c r="K445" s="28">
        <f t="shared" si="2"/>
        <v>0</v>
      </c>
    </row>
    <row r="446">
      <c r="A446" s="6" t="s">
        <v>779</v>
      </c>
      <c r="B446" s="25" t="s">
        <v>955</v>
      </c>
      <c r="C446" s="5" t="s">
        <v>43</v>
      </c>
      <c r="D446" s="5" t="s">
        <v>39</v>
      </c>
      <c r="E446" s="26">
        <f>vlookup(C446,'Team Bye List'!$A$1:$B$33,2,False)</f>
        <v>12</v>
      </c>
      <c r="F446" s="27">
        <f>if(ISNA(vlookup($A446, ESPN!$B$2:$E$257, 4, false)), 0, vlookup($A446, ESPN!$B$2:$E$257, 4, false))</f>
        <v>0</v>
      </c>
      <c r="G446" s="27">
        <f>if(ISNA(vlookup($A446, FFToolbox!$B$2:$E$239, 4, false)), 0, vlookup($A446, FFToolbox!$B$2:$E$239, 4, false))</f>
        <v>0</v>
      </c>
      <c r="H446" s="27">
        <f>if(ISNA(vlookup($A446, FantasyPro!$B$2:$E$316, 4, false)), 0, vlookup($A446, FantasyPro!$B$2:$E$316, 4, false))</f>
        <v>0</v>
      </c>
      <c r="I446" s="27">
        <f>if(ISNA(vlookup($A446, RotoWire!$B$2:$E$681, 4, false)), 0, vlookup($A446, RotoWire!$B$2:$E$681, 4, false))</f>
        <v>0</v>
      </c>
      <c r="J446" s="28">
        <f t="shared" si="1"/>
        <v>0</v>
      </c>
      <c r="K446" s="28">
        <f t="shared" si="2"/>
        <v>0</v>
      </c>
    </row>
    <row r="447" hidden="1">
      <c r="A447" s="6" t="s">
        <v>454</v>
      </c>
      <c r="B447" s="25" t="s">
        <v>955</v>
      </c>
      <c r="C447" s="5" t="s">
        <v>69</v>
      </c>
      <c r="D447" s="5" t="s">
        <v>12</v>
      </c>
      <c r="E447" s="26">
        <f>vlookup(C447,'Team Bye List'!$A$1:$B$33,2,False)</f>
        <v>11</v>
      </c>
      <c r="F447" s="27">
        <f>if(ISNA(vlookup($A447, ESPN!$B$2:$E$257, 4, false)), 0, vlookup($A447, ESPN!$B$2:$E$257, 4, false))</f>
        <v>0</v>
      </c>
      <c r="G447" s="27">
        <f>if(ISNA(vlookup($A447, FFToolbox!$B$2:$E$239, 4, false)), 0, vlookup($A447, FFToolbox!$B$2:$E$239, 4, false))</f>
        <v>0</v>
      </c>
      <c r="H447" s="27">
        <f>if(ISNA(vlookup($A447, FantasyPro!$B$2:$E$316, 4, false)), 0, vlookup($A447, FantasyPro!$B$2:$E$316, 4, false))</f>
        <v>0</v>
      </c>
      <c r="I447" s="27">
        <f>if(ISNA(vlookup($A447, RotoWire!$B$2:$E$681, 4, false)), 0, vlookup($A447, RotoWire!$B$2:$E$681, 4, false))</f>
        <v>0</v>
      </c>
      <c r="J447" s="28">
        <f t="shared" si="1"/>
        <v>0</v>
      </c>
      <c r="K447" s="28">
        <f t="shared" si="2"/>
        <v>0</v>
      </c>
    </row>
    <row r="448" hidden="1">
      <c r="A448" s="6" t="s">
        <v>202</v>
      </c>
      <c r="B448" s="25" t="s">
        <v>955</v>
      </c>
      <c r="C448" s="5" t="s">
        <v>96</v>
      </c>
      <c r="D448" s="5" t="s">
        <v>120</v>
      </c>
      <c r="E448" s="26">
        <f>vlookup(C448,'Team Bye List'!$A$1:$B$33,2,False)</f>
        <v>6</v>
      </c>
      <c r="F448" s="27">
        <f>if(ISNA(vlookup($A448, ESPN!$B$2:$E$257, 4, false)), 0, vlookup($A448, ESPN!$B$2:$E$257, 4, false))</f>
        <v>0</v>
      </c>
      <c r="G448" s="27">
        <f>if(ISNA(vlookup($A448, FFToolbox!$B$2:$E$239, 4, false)), 0, vlookup($A448, FFToolbox!$B$2:$E$239, 4, false))</f>
        <v>0</v>
      </c>
      <c r="H448" s="27">
        <f>if(ISNA(vlookup($A448, FantasyPro!$B$2:$E$316, 4, false)), 0, vlookup($A448, FantasyPro!$B$2:$E$316, 4, false))</f>
        <v>0</v>
      </c>
      <c r="I448" s="27">
        <f>if(ISNA(vlookup($A448, RotoWire!$B$2:$E$681, 4, false)), 0, vlookup($A448, RotoWire!$B$2:$E$681, 4, false))</f>
        <v>0</v>
      </c>
      <c r="J448" s="28">
        <f t="shared" si="1"/>
        <v>0</v>
      </c>
      <c r="K448" s="28">
        <f t="shared" si="2"/>
        <v>0</v>
      </c>
    </row>
    <row r="449">
      <c r="A449" s="6" t="s">
        <v>633</v>
      </c>
      <c r="B449" s="25" t="s">
        <v>955</v>
      </c>
      <c r="C449" s="5" t="s">
        <v>6</v>
      </c>
      <c r="D449" s="5" t="s">
        <v>39</v>
      </c>
      <c r="E449" s="26">
        <f>vlookup(C449,'Team Bye List'!$A$1:$B$33,2,False)</f>
        <v>11</v>
      </c>
      <c r="F449" s="27">
        <f>if(ISNA(vlookup($A449, ESPN!$B$2:$E$257, 4, false)), 0, vlookup($A449, ESPN!$B$2:$E$257, 4, false))</f>
        <v>0</v>
      </c>
      <c r="G449" s="27">
        <f>if(ISNA(vlookup($A449, FFToolbox!$B$2:$E$239, 4, false)), 0, vlookup($A449, FFToolbox!$B$2:$E$239, 4, false))</f>
        <v>0</v>
      </c>
      <c r="H449" s="27">
        <f>if(ISNA(vlookup($A449, FantasyPro!$B$2:$E$316, 4, false)), 0, vlookup($A449, FantasyPro!$B$2:$E$316, 4, false))</f>
        <v>0</v>
      </c>
      <c r="I449" s="27">
        <f>if(ISNA(vlookup($A449, RotoWire!$B$2:$E$681, 4, false)), 0, vlookup($A449, RotoWire!$B$2:$E$681, 4, false))</f>
        <v>0</v>
      </c>
      <c r="J449" s="28">
        <f t="shared" si="1"/>
        <v>0</v>
      </c>
      <c r="K449" s="28">
        <f t="shared" si="2"/>
        <v>0</v>
      </c>
    </row>
    <row r="450" hidden="1">
      <c r="A450" s="6" t="s">
        <v>704</v>
      </c>
      <c r="B450" s="25" t="s">
        <v>955</v>
      </c>
      <c r="C450" s="5" t="s">
        <v>22</v>
      </c>
      <c r="D450" s="5" t="s">
        <v>7</v>
      </c>
      <c r="E450" s="26">
        <f>vlookup(C450,'Team Bye List'!$A$1:$B$33,2,False)</f>
        <v>7</v>
      </c>
      <c r="F450" s="27">
        <f>if(ISNA(vlookup($A450, ESPN!$B$2:$E$257, 4, false)), 0, vlookup($A450, ESPN!$B$2:$E$257, 4, false))</f>
        <v>0</v>
      </c>
      <c r="G450" s="27">
        <f>if(ISNA(vlookup($A450, FFToolbox!$B$2:$E$239, 4, false)), 0, vlookup($A450, FFToolbox!$B$2:$E$239, 4, false))</f>
        <v>0</v>
      </c>
      <c r="H450" s="27">
        <f>if(ISNA(vlookup($A450, FantasyPro!$B$2:$E$316, 4, false)), 0, vlookup($A450, FantasyPro!$B$2:$E$316, 4, false))</f>
        <v>0</v>
      </c>
      <c r="I450" s="27">
        <f>if(ISNA(vlookup($A450, RotoWire!$B$2:$E$681, 4, false)), 0, vlookup($A450, RotoWire!$B$2:$E$681, 4, false))</f>
        <v>0</v>
      </c>
      <c r="J450" s="28">
        <f t="shared" si="1"/>
        <v>0</v>
      </c>
      <c r="K450" s="28">
        <f t="shared" si="2"/>
        <v>0</v>
      </c>
    </row>
    <row r="451" hidden="1">
      <c r="A451" s="6" t="s">
        <v>711</v>
      </c>
      <c r="B451" s="25" t="s">
        <v>955</v>
      </c>
      <c r="C451" s="5" t="s">
        <v>91</v>
      </c>
      <c r="D451" s="5" t="s">
        <v>7</v>
      </c>
      <c r="E451" s="26">
        <f>vlookup(C451,'Team Bye List'!$A$1:$B$33,2,False)</f>
        <v>10</v>
      </c>
      <c r="F451" s="27">
        <f>if(ISNA(vlookup($A451, ESPN!$B$2:$E$257, 4, false)), 0, vlookup($A451, ESPN!$B$2:$E$257, 4, false))</f>
        <v>0</v>
      </c>
      <c r="G451" s="27">
        <f>if(ISNA(vlookup($A451, FFToolbox!$B$2:$E$239, 4, false)), 0, vlookup($A451, FFToolbox!$B$2:$E$239, 4, false))</f>
        <v>0</v>
      </c>
      <c r="H451" s="27">
        <f>if(ISNA(vlookup($A451, FantasyPro!$B$2:$E$316, 4, false)), 0, vlookup($A451, FantasyPro!$B$2:$E$316, 4, false))</f>
        <v>0</v>
      </c>
      <c r="I451" s="27">
        <f>if(ISNA(vlookup($A451, RotoWire!$B$2:$E$681, 4, false)), 0, vlookup($A451, RotoWire!$B$2:$E$681, 4, false))</f>
        <v>0</v>
      </c>
      <c r="J451" s="28">
        <f t="shared" si="1"/>
        <v>0</v>
      </c>
      <c r="K451" s="28">
        <f t="shared" si="2"/>
        <v>0</v>
      </c>
    </row>
    <row r="452" hidden="1">
      <c r="A452" s="6" t="s">
        <v>720</v>
      </c>
      <c r="B452" s="25" t="s">
        <v>955</v>
      </c>
      <c r="C452" s="5" t="s">
        <v>52</v>
      </c>
      <c r="D452" s="5" t="s">
        <v>7</v>
      </c>
      <c r="E452" s="26">
        <f>vlookup(C452,'Team Bye List'!$A$1:$B$33,2,False)</f>
        <v>4</v>
      </c>
      <c r="F452" s="27">
        <f>if(ISNA(vlookup($A452, ESPN!$B$2:$E$257, 4, false)), 0, vlookup($A452, ESPN!$B$2:$E$257, 4, false))</f>
        <v>0</v>
      </c>
      <c r="G452" s="27">
        <f>if(ISNA(vlookup($A452, FFToolbox!$B$2:$E$239, 4, false)), 0, vlookup($A452, FFToolbox!$B$2:$E$239, 4, false))</f>
        <v>0</v>
      </c>
      <c r="H452" s="27">
        <f>if(ISNA(vlookup($A452, FantasyPro!$B$2:$E$316, 4, false)), 0, vlookup($A452, FantasyPro!$B$2:$E$316, 4, false))</f>
        <v>0</v>
      </c>
      <c r="I452" s="27">
        <f>if(ISNA(vlookup($A452, RotoWire!$B$2:$E$681, 4, false)), 0, vlookup($A452, RotoWire!$B$2:$E$681, 4, false))</f>
        <v>0</v>
      </c>
      <c r="J452" s="28">
        <f t="shared" si="1"/>
        <v>0</v>
      </c>
      <c r="K452" s="28">
        <f t="shared" si="2"/>
        <v>0</v>
      </c>
    </row>
    <row r="453" hidden="1">
      <c r="A453" s="6" t="s">
        <v>555</v>
      </c>
      <c r="B453" s="25" t="s">
        <v>955</v>
      </c>
      <c r="C453" s="5" t="s">
        <v>37</v>
      </c>
      <c r="D453" s="5" t="s">
        <v>14</v>
      </c>
      <c r="E453" s="26">
        <f>vlookup(C453,'Team Bye List'!$A$1:$B$33,2,False)</f>
        <v>7</v>
      </c>
      <c r="F453" s="27">
        <f>if(ISNA(vlookup($A453, ESPN!$B$2:$E$257, 4, false)), 0, vlookup($A453, ESPN!$B$2:$E$257, 4, false))</f>
        <v>0</v>
      </c>
      <c r="G453" s="27">
        <f>if(ISNA(vlookup($A453, FFToolbox!$B$2:$E$239, 4, false)), 0, vlookup($A453, FFToolbox!$B$2:$E$239, 4, false))</f>
        <v>0</v>
      </c>
      <c r="H453" s="27">
        <f>if(ISNA(vlookup($A453, FantasyPro!$B$2:$E$316, 4, false)), 0, vlookup($A453, FantasyPro!$B$2:$E$316, 4, false))</f>
        <v>0</v>
      </c>
      <c r="I453" s="27">
        <f>if(ISNA(vlookup($A453, RotoWire!$B$2:$E$681, 4, false)), 0, vlookup($A453, RotoWire!$B$2:$E$681, 4, false))</f>
        <v>0</v>
      </c>
      <c r="J453" s="28">
        <f t="shared" si="1"/>
        <v>0</v>
      </c>
      <c r="K453" s="28">
        <f t="shared" si="2"/>
        <v>0</v>
      </c>
    </row>
    <row r="454" hidden="1">
      <c r="A454" s="6" t="s">
        <v>456</v>
      </c>
      <c r="B454" s="25" t="s">
        <v>955</v>
      </c>
      <c r="C454" s="5" t="s">
        <v>28</v>
      </c>
      <c r="D454" s="5" t="s">
        <v>14</v>
      </c>
      <c r="E454" s="26">
        <f>vlookup(C454,'Team Bye List'!$A$1:$B$33,2,False)</f>
        <v>11</v>
      </c>
      <c r="F454" s="27">
        <f>if(ISNA(vlookup($A454, ESPN!$B$2:$E$257, 4, false)), 0, vlookup($A454, ESPN!$B$2:$E$257, 4, false))</f>
        <v>0</v>
      </c>
      <c r="G454" s="27">
        <f>if(ISNA(vlookup($A454, FFToolbox!$B$2:$E$239, 4, false)), 0, vlookup($A454, FFToolbox!$B$2:$E$239, 4, false))</f>
        <v>0</v>
      </c>
      <c r="H454" s="27">
        <f>if(ISNA(vlookup($A454, FantasyPro!$B$2:$E$316, 4, false)), 0, vlookup($A454, FantasyPro!$B$2:$E$316, 4, false))</f>
        <v>0</v>
      </c>
      <c r="I454" s="27">
        <f>if(ISNA(vlookup($A454, RotoWire!$B$2:$E$681, 4, false)), 0, vlookup($A454, RotoWire!$B$2:$E$681, 4, false))</f>
        <v>0</v>
      </c>
      <c r="J454" s="28">
        <f t="shared" si="1"/>
        <v>0</v>
      </c>
      <c r="K454" s="28">
        <f t="shared" si="2"/>
        <v>0</v>
      </c>
    </row>
    <row r="455" hidden="1">
      <c r="A455" s="6" t="s">
        <v>392</v>
      </c>
      <c r="B455" s="25" t="s">
        <v>955</v>
      </c>
      <c r="C455" s="5" t="s">
        <v>46</v>
      </c>
      <c r="D455" s="5" t="s">
        <v>12</v>
      </c>
      <c r="E455" s="26">
        <f>vlookup(C455,'Team Bye List'!$A$1:$B$33,2,False)</f>
        <v>10</v>
      </c>
      <c r="F455" s="27">
        <f>if(ISNA(vlookup($A455, ESPN!$B$2:$E$257, 4, false)), 0, vlookup($A455, ESPN!$B$2:$E$257, 4, false))</f>
        <v>0</v>
      </c>
      <c r="G455" s="27">
        <f>if(ISNA(vlookup($A455, FFToolbox!$B$2:$E$239, 4, false)), 0, vlookup($A455, FFToolbox!$B$2:$E$239, 4, false))</f>
        <v>0</v>
      </c>
      <c r="H455" s="27">
        <f>if(ISNA(vlookup($A455, FantasyPro!$B$2:$E$316, 4, false)), 0, vlookup($A455, FantasyPro!$B$2:$E$316, 4, false))</f>
        <v>0</v>
      </c>
      <c r="I455" s="27">
        <f>if(ISNA(vlookup($A455, RotoWire!$B$2:$E$681, 4, false)), 0, vlookup($A455, RotoWire!$B$2:$E$681, 4, false))</f>
        <v>0</v>
      </c>
      <c r="J455" s="28">
        <f t="shared" si="1"/>
        <v>0</v>
      </c>
      <c r="K455" s="28">
        <f t="shared" si="2"/>
        <v>0</v>
      </c>
    </row>
    <row r="456" hidden="1">
      <c r="A456" s="6" t="s">
        <v>445</v>
      </c>
      <c r="B456" s="25" t="s">
        <v>955</v>
      </c>
      <c r="C456" s="5" t="s">
        <v>52</v>
      </c>
      <c r="D456" s="5" t="s">
        <v>12</v>
      </c>
      <c r="E456" s="26">
        <f>vlookup(C456,'Team Bye List'!$A$1:$B$33,2,False)</f>
        <v>4</v>
      </c>
      <c r="F456" s="27">
        <f>if(ISNA(vlookup($A456, ESPN!$B$2:$E$257, 4, false)), 0, vlookup($A456, ESPN!$B$2:$E$257, 4, false))</f>
        <v>0</v>
      </c>
      <c r="G456" s="27">
        <f>if(ISNA(vlookup($A456, FFToolbox!$B$2:$E$239, 4, false)), 0, vlookup($A456, FFToolbox!$B$2:$E$239, 4, false))</f>
        <v>0</v>
      </c>
      <c r="H456" s="27">
        <f>if(ISNA(vlookup($A456, FantasyPro!$B$2:$E$316, 4, false)), 0, vlookup($A456, FantasyPro!$B$2:$E$316, 4, false))</f>
        <v>0</v>
      </c>
      <c r="I456" s="27">
        <f>if(ISNA(vlookup($A456, RotoWire!$B$2:$E$681, 4, false)), 0, vlookup($A456, RotoWire!$B$2:$E$681, 4, false))</f>
        <v>0</v>
      </c>
      <c r="J456" s="28">
        <f t="shared" si="1"/>
        <v>0</v>
      </c>
      <c r="K456" s="28">
        <f t="shared" si="2"/>
        <v>0</v>
      </c>
    </row>
    <row r="457" hidden="1">
      <c r="A457" s="6" t="s">
        <v>435</v>
      </c>
      <c r="B457" s="25" t="s">
        <v>955</v>
      </c>
      <c r="C457" s="5" t="s">
        <v>28</v>
      </c>
      <c r="D457" s="5" t="s">
        <v>12</v>
      </c>
      <c r="E457" s="26">
        <f>vlookup(C457,'Team Bye List'!$A$1:$B$33,2,False)</f>
        <v>11</v>
      </c>
      <c r="F457" s="27">
        <f>if(ISNA(vlookup($A457, ESPN!$B$2:$E$257, 4, false)), 0, vlookup($A457, ESPN!$B$2:$E$257, 4, false))</f>
        <v>0</v>
      </c>
      <c r="G457" s="27">
        <f>if(ISNA(vlookup($A457, FFToolbox!$B$2:$E$239, 4, false)), 0, vlookup($A457, FFToolbox!$B$2:$E$239, 4, false))</f>
        <v>0</v>
      </c>
      <c r="H457" s="27">
        <f>if(ISNA(vlookup($A457, FantasyPro!$B$2:$E$316, 4, false)), 0, vlookup($A457, FantasyPro!$B$2:$E$316, 4, false))</f>
        <v>0</v>
      </c>
      <c r="I457" s="27">
        <f>if(ISNA(vlookup($A457, RotoWire!$B$2:$E$681, 4, false)), 0, vlookup($A457, RotoWire!$B$2:$E$681, 4, false))</f>
        <v>0</v>
      </c>
      <c r="J457" s="28">
        <f t="shared" si="1"/>
        <v>0</v>
      </c>
      <c r="K457" s="28">
        <f t="shared" si="2"/>
        <v>0</v>
      </c>
    </row>
    <row r="458" hidden="1">
      <c r="A458" s="6" t="s">
        <v>358</v>
      </c>
      <c r="B458" s="25" t="s">
        <v>955</v>
      </c>
      <c r="C458" s="5" t="s">
        <v>41</v>
      </c>
      <c r="D458" s="5" t="s">
        <v>12</v>
      </c>
      <c r="E458" s="26">
        <f>vlookup(C458,'Team Bye List'!$A$1:$B$33,2,False)</f>
        <v>6</v>
      </c>
      <c r="F458" s="27">
        <f>if(ISNA(vlookup($A458, ESPN!$B$2:$E$257, 4, false)), 0, vlookup($A458, ESPN!$B$2:$E$257, 4, false))</f>
        <v>0</v>
      </c>
      <c r="G458" s="27">
        <f>if(ISNA(vlookup($A458, FFToolbox!$B$2:$E$239, 4, false)), 0, vlookup($A458, FFToolbox!$B$2:$E$239, 4, false))</f>
        <v>0</v>
      </c>
      <c r="H458" s="27">
        <f>if(ISNA(vlookup($A458, FantasyPro!$B$2:$E$316, 4, false)), 0, vlookup($A458, FantasyPro!$B$2:$E$316, 4, false))</f>
        <v>0</v>
      </c>
      <c r="I458" s="27">
        <f>if(ISNA(vlookup($A458, RotoWire!$B$2:$E$681, 4, false)), 0, vlookup($A458, RotoWire!$B$2:$E$681, 4, false))</f>
        <v>0</v>
      </c>
      <c r="J458" s="28">
        <f t="shared" si="1"/>
        <v>0</v>
      </c>
      <c r="K458" s="28">
        <f t="shared" si="2"/>
        <v>0</v>
      </c>
    </row>
    <row r="459" hidden="1">
      <c r="A459" s="6" t="s">
        <v>447</v>
      </c>
      <c r="B459" s="25" t="s">
        <v>955</v>
      </c>
      <c r="C459" s="5" t="s">
        <v>48</v>
      </c>
      <c r="D459" s="5" t="s">
        <v>12</v>
      </c>
      <c r="E459" s="26">
        <f>vlookup(C459,'Team Bye List'!$A$1:$B$33,2,False)</f>
        <v>6</v>
      </c>
      <c r="F459" s="27">
        <f>if(ISNA(vlookup($A459, ESPN!$B$2:$E$257, 4, false)), 0, vlookup($A459, ESPN!$B$2:$E$257, 4, false))</f>
        <v>0</v>
      </c>
      <c r="G459" s="27">
        <f>if(ISNA(vlookup($A459, FFToolbox!$B$2:$E$239, 4, false)), 0, vlookup($A459, FFToolbox!$B$2:$E$239, 4, false))</f>
        <v>0</v>
      </c>
      <c r="H459" s="27">
        <f>if(ISNA(vlookup($A459, FantasyPro!$B$2:$E$316, 4, false)), 0, vlookup($A459, FantasyPro!$B$2:$E$316, 4, false))</f>
        <v>0</v>
      </c>
      <c r="I459" s="27">
        <f>if(ISNA(vlookup($A459, RotoWire!$B$2:$E$681, 4, false)), 0, vlookup($A459, RotoWire!$B$2:$E$681, 4, false))</f>
        <v>0</v>
      </c>
      <c r="J459" s="28">
        <f t="shared" si="1"/>
        <v>0</v>
      </c>
      <c r="K459" s="28">
        <f t="shared" si="2"/>
        <v>0</v>
      </c>
    </row>
    <row r="460">
      <c r="A460" s="6" t="s">
        <v>753</v>
      </c>
      <c r="B460" s="25" t="s">
        <v>955</v>
      </c>
      <c r="C460" s="5" t="s">
        <v>91</v>
      </c>
      <c r="D460" s="5" t="s">
        <v>39</v>
      </c>
      <c r="E460" s="26">
        <f>vlookup(C460,'Team Bye List'!$A$1:$B$33,2,False)</f>
        <v>10</v>
      </c>
      <c r="F460" s="27">
        <f>if(ISNA(vlookup($A460, ESPN!$B$2:$E$257, 4, false)), 0, vlookup($A460, ESPN!$B$2:$E$257, 4, false))</f>
        <v>0</v>
      </c>
      <c r="G460" s="27">
        <f>if(ISNA(vlookup($A460, FFToolbox!$B$2:$E$239, 4, false)), 0, vlookup($A460, FFToolbox!$B$2:$E$239, 4, false))</f>
        <v>0</v>
      </c>
      <c r="H460" s="27">
        <f>if(ISNA(vlookup($A460, FantasyPro!$B$2:$E$316, 4, false)), 0, vlookup($A460, FantasyPro!$B$2:$E$316, 4, false))</f>
        <v>0</v>
      </c>
      <c r="I460" s="27">
        <f>if(ISNA(vlookup($A460, RotoWire!$B$2:$E$681, 4, false)), 0, vlookup($A460, RotoWire!$B$2:$E$681, 4, false))</f>
        <v>0</v>
      </c>
      <c r="J460" s="28">
        <f t="shared" si="1"/>
        <v>0</v>
      </c>
      <c r="K460" s="28">
        <f t="shared" si="2"/>
        <v>0</v>
      </c>
    </row>
    <row r="461" hidden="1">
      <c r="A461" s="6" t="s">
        <v>452</v>
      </c>
      <c r="B461" s="25" t="s">
        <v>955</v>
      </c>
      <c r="C461" s="5" t="s">
        <v>33</v>
      </c>
      <c r="D461" s="5" t="s">
        <v>12</v>
      </c>
      <c r="E461" s="26">
        <f>vlookup(C461,'Team Bye List'!$A$1:$B$33,2,False)</f>
        <v>4</v>
      </c>
      <c r="F461" s="27">
        <f>if(ISNA(vlookup($A461, ESPN!$B$2:$E$257, 4, false)), 0, vlookup($A461, ESPN!$B$2:$E$257, 4, false))</f>
        <v>0</v>
      </c>
      <c r="G461" s="27">
        <f>if(ISNA(vlookup($A461, FFToolbox!$B$2:$E$239, 4, false)), 0, vlookup($A461, FFToolbox!$B$2:$E$239, 4, false))</f>
        <v>0</v>
      </c>
      <c r="H461" s="27">
        <f>if(ISNA(vlookup($A461, FantasyPro!$B$2:$E$316, 4, false)), 0, vlookup($A461, FantasyPro!$B$2:$E$316, 4, false))</f>
        <v>0</v>
      </c>
      <c r="I461" s="27">
        <f>if(ISNA(vlookup($A461, RotoWire!$B$2:$E$681, 4, false)), 0, vlookup($A461, RotoWire!$B$2:$E$681, 4, false))</f>
        <v>0</v>
      </c>
      <c r="J461" s="28">
        <f t="shared" si="1"/>
        <v>0</v>
      </c>
      <c r="K461" s="28">
        <f t="shared" si="2"/>
        <v>0</v>
      </c>
    </row>
    <row r="462" hidden="1">
      <c r="A462" s="6" t="s">
        <v>426</v>
      </c>
      <c r="B462" s="25" t="s">
        <v>955</v>
      </c>
      <c r="C462" s="5" t="s">
        <v>6</v>
      </c>
      <c r="D462" s="5" t="s">
        <v>12</v>
      </c>
      <c r="E462" s="26">
        <f>vlookup(C462,'Team Bye List'!$A$1:$B$33,2,False)</f>
        <v>11</v>
      </c>
      <c r="F462" s="27">
        <f>if(ISNA(vlookup($A462, ESPN!$B$2:$E$257, 4, false)), 0, vlookup($A462, ESPN!$B$2:$E$257, 4, false))</f>
        <v>0</v>
      </c>
      <c r="G462" s="27">
        <f>if(ISNA(vlookup($A462, FFToolbox!$B$2:$E$239, 4, false)), 0, vlookup($A462, FFToolbox!$B$2:$E$239, 4, false))</f>
        <v>0</v>
      </c>
      <c r="H462" s="27">
        <f>if(ISNA(vlookup($A462, FantasyPro!$B$2:$E$316, 4, false)), 0, vlookup($A462, FantasyPro!$B$2:$E$316, 4, false))</f>
        <v>0</v>
      </c>
      <c r="I462" s="27">
        <f>if(ISNA(vlookup($A462, RotoWire!$B$2:$E$681, 4, false)), 0, vlookup($A462, RotoWire!$B$2:$E$681, 4, false))</f>
        <v>0</v>
      </c>
      <c r="J462" s="28">
        <f t="shared" si="1"/>
        <v>0</v>
      </c>
      <c r="K462" s="28">
        <f t="shared" si="2"/>
        <v>0</v>
      </c>
    </row>
    <row r="463">
      <c r="A463" s="6" t="s">
        <v>800</v>
      </c>
      <c r="B463" s="25" t="s">
        <v>955</v>
      </c>
      <c r="C463" s="5" t="s">
        <v>30</v>
      </c>
      <c r="D463" s="5" t="s">
        <v>39</v>
      </c>
      <c r="E463" s="26">
        <f>vlookup(C463,'Team Bye List'!$A$1:$B$33,2,False)</f>
        <v>7</v>
      </c>
      <c r="F463" s="27">
        <f>if(ISNA(vlookup($A463, ESPN!$B$2:$E$257, 4, false)), 0, vlookup($A463, ESPN!$B$2:$E$257, 4, false))</f>
        <v>0</v>
      </c>
      <c r="G463" s="27">
        <f>if(ISNA(vlookup($A463, FFToolbox!$B$2:$E$239, 4, false)), 0, vlookup($A463, FFToolbox!$B$2:$E$239, 4, false))</f>
        <v>0</v>
      </c>
      <c r="H463" s="27">
        <f>if(ISNA(vlookup($A463, FantasyPro!$B$2:$E$316, 4, false)), 0, vlookup($A463, FantasyPro!$B$2:$E$316, 4, false))</f>
        <v>0</v>
      </c>
      <c r="I463" s="27">
        <f>if(ISNA(vlookup($A463, RotoWire!$B$2:$E$681, 4, false)), 0, vlookup($A463, RotoWire!$B$2:$E$681, 4, false))</f>
        <v>0</v>
      </c>
      <c r="J463" s="28">
        <f t="shared" si="1"/>
        <v>0</v>
      </c>
      <c r="K463" s="28">
        <f t="shared" si="2"/>
        <v>0</v>
      </c>
    </row>
    <row r="464" hidden="1">
      <c r="A464" s="6" t="s">
        <v>412</v>
      </c>
      <c r="B464" s="25" t="s">
        <v>955</v>
      </c>
      <c r="C464" s="5" t="s">
        <v>16</v>
      </c>
      <c r="D464" s="5" t="s">
        <v>12</v>
      </c>
      <c r="E464" s="26">
        <f>vlookup(C464,'Team Bye List'!$A$1:$B$33,2,False)</f>
        <v>9</v>
      </c>
      <c r="F464" s="27">
        <f>if(ISNA(vlookup($A464, ESPN!$B$2:$E$257, 4, false)), 0, vlookup($A464, ESPN!$B$2:$E$257, 4, false))</f>
        <v>0</v>
      </c>
      <c r="G464" s="27">
        <f>if(ISNA(vlookup($A464, FFToolbox!$B$2:$E$239, 4, false)), 0, vlookup($A464, FFToolbox!$B$2:$E$239, 4, false))</f>
        <v>0</v>
      </c>
      <c r="H464" s="27">
        <f>if(ISNA(vlookup($A464, FantasyPro!$B$2:$E$316, 4, false)), 0, vlookup($A464, FantasyPro!$B$2:$E$316, 4, false))</f>
        <v>0</v>
      </c>
      <c r="I464" s="27">
        <f>if(ISNA(vlookup($A464, RotoWire!$B$2:$E$681, 4, false)), 0, vlookup($A464, RotoWire!$B$2:$E$681, 4, false))</f>
        <v>0</v>
      </c>
      <c r="J464" s="28">
        <f t="shared" si="1"/>
        <v>0</v>
      </c>
      <c r="K464" s="28">
        <f t="shared" si="2"/>
        <v>0</v>
      </c>
    </row>
    <row r="465" hidden="1">
      <c r="A465" s="6" t="s">
        <v>370</v>
      </c>
      <c r="B465" s="25" t="s">
        <v>955</v>
      </c>
      <c r="C465" s="5" t="s">
        <v>69</v>
      </c>
      <c r="D465" s="5" t="s">
        <v>14</v>
      </c>
      <c r="E465" s="26">
        <f>vlookup(C465,'Team Bye List'!$A$1:$B$33,2,False)</f>
        <v>11</v>
      </c>
      <c r="F465" s="27">
        <f>if(ISNA(vlookup($A465, ESPN!$B$2:$E$257, 4, false)), 0, vlookup($A465, ESPN!$B$2:$E$257, 4, false))</f>
        <v>0</v>
      </c>
      <c r="G465" s="27">
        <f>if(ISNA(vlookup($A465, FFToolbox!$B$2:$E$239, 4, false)), 0, vlookup($A465, FFToolbox!$B$2:$E$239, 4, false))</f>
        <v>0</v>
      </c>
      <c r="H465" s="27">
        <f>if(ISNA(vlookup($A465, FantasyPro!$B$2:$E$316, 4, false)), 0, vlookup($A465, FantasyPro!$B$2:$E$316, 4, false))</f>
        <v>0</v>
      </c>
      <c r="I465" s="27">
        <f>if(ISNA(vlookup($A465, RotoWire!$B$2:$E$681, 4, false)), 0, vlookup($A465, RotoWire!$B$2:$E$681, 4, false))</f>
        <v>0</v>
      </c>
      <c r="J465" s="28">
        <f t="shared" si="1"/>
        <v>0</v>
      </c>
      <c r="K465" s="28">
        <f t="shared" si="2"/>
        <v>0</v>
      </c>
    </row>
    <row r="466">
      <c r="A466" s="6" t="s">
        <v>813</v>
      </c>
      <c r="B466" s="25" t="s">
        <v>955</v>
      </c>
      <c r="C466" s="5" t="s">
        <v>69</v>
      </c>
      <c r="D466" s="5" t="s">
        <v>39</v>
      </c>
      <c r="E466" s="26">
        <f>vlookup(C466,'Team Bye List'!$A$1:$B$33,2,False)</f>
        <v>11</v>
      </c>
      <c r="F466" s="27">
        <f>if(ISNA(vlookup($A466, ESPN!$B$2:$E$257, 4, false)), 0, vlookup($A466, ESPN!$B$2:$E$257, 4, false))</f>
        <v>0</v>
      </c>
      <c r="G466" s="27">
        <f>if(ISNA(vlookup($A466, FFToolbox!$B$2:$E$239, 4, false)), 0, vlookup($A466, FFToolbox!$B$2:$E$239, 4, false))</f>
        <v>0</v>
      </c>
      <c r="H466" s="27">
        <f>if(ISNA(vlookup($A466, FantasyPro!$B$2:$E$316, 4, false)), 0, vlookup($A466, FantasyPro!$B$2:$E$316, 4, false))</f>
        <v>0</v>
      </c>
      <c r="I466" s="27">
        <f>if(ISNA(vlookup($A466, RotoWire!$B$2:$E$681, 4, false)), 0, vlookup($A466, RotoWire!$B$2:$E$681, 4, false))</f>
        <v>0</v>
      </c>
      <c r="J466" s="28">
        <f t="shared" si="1"/>
        <v>0</v>
      </c>
      <c r="K466" s="28">
        <f t="shared" si="2"/>
        <v>0</v>
      </c>
    </row>
    <row r="467" hidden="1">
      <c r="A467" s="6" t="s">
        <v>282</v>
      </c>
      <c r="B467" s="25" t="s">
        <v>955</v>
      </c>
      <c r="C467" s="5" t="s">
        <v>91</v>
      </c>
      <c r="D467" s="5" t="s">
        <v>12</v>
      </c>
      <c r="E467" s="26">
        <f>vlookup(C467,'Team Bye List'!$A$1:$B$33,2,False)</f>
        <v>10</v>
      </c>
      <c r="F467" s="27">
        <f>if(ISNA(vlookup($A467, ESPN!$B$2:$E$257, 4, false)), 0, vlookup($A467, ESPN!$B$2:$E$257, 4, false))</f>
        <v>0</v>
      </c>
      <c r="G467" s="27">
        <f>if(ISNA(vlookup($A467, FFToolbox!$B$2:$E$239, 4, false)), 0, vlookup($A467, FFToolbox!$B$2:$E$239, 4, false))</f>
        <v>0</v>
      </c>
      <c r="H467" s="27">
        <f>if(ISNA(vlookup($A467, FantasyPro!$B$2:$E$316, 4, false)), 0, vlookup($A467, FantasyPro!$B$2:$E$316, 4, false))</f>
        <v>0</v>
      </c>
      <c r="I467" s="27">
        <f>if(ISNA(vlookup($A467, RotoWire!$B$2:$E$681, 4, false)), 0, vlookup($A467, RotoWire!$B$2:$E$681, 4, false))</f>
        <v>0</v>
      </c>
      <c r="J467" s="28">
        <f t="shared" si="1"/>
        <v>0</v>
      </c>
      <c r="K467" s="28">
        <f t="shared" si="2"/>
        <v>0</v>
      </c>
    </row>
    <row r="468" hidden="1">
      <c r="A468" s="6" t="s">
        <v>252</v>
      </c>
      <c r="B468" s="25" t="s">
        <v>955</v>
      </c>
      <c r="C468" s="5" t="s">
        <v>24</v>
      </c>
      <c r="D468" s="5" t="s">
        <v>12</v>
      </c>
      <c r="E468" s="26">
        <f>vlookup(C468,'Team Bye List'!$A$1:$B$33,2,False)</f>
        <v>9</v>
      </c>
      <c r="F468" s="27">
        <f>if(ISNA(vlookup($A468, ESPN!$B$2:$E$257, 4, false)), 0, vlookup($A468, ESPN!$B$2:$E$257, 4, false))</f>
        <v>0</v>
      </c>
      <c r="G468" s="27">
        <f>if(ISNA(vlookup($A468, FFToolbox!$B$2:$E$239, 4, false)), 0, vlookup($A468, FFToolbox!$B$2:$E$239, 4, false))</f>
        <v>0</v>
      </c>
      <c r="H468" s="27">
        <f>if(ISNA(vlookup($A468, FantasyPro!$B$2:$E$316, 4, false)), 0, vlookup($A468, FantasyPro!$B$2:$E$316, 4, false))</f>
        <v>0</v>
      </c>
      <c r="I468" s="27">
        <f>if(ISNA(vlookup($A468, RotoWire!$B$2:$E$681, 4, false)), 0, vlookup($A468, RotoWire!$B$2:$E$681, 4, false))</f>
        <v>0</v>
      </c>
      <c r="J468" s="28">
        <f t="shared" si="1"/>
        <v>0</v>
      </c>
      <c r="K468" s="28">
        <f t="shared" si="2"/>
        <v>0</v>
      </c>
    </row>
    <row r="469" hidden="1">
      <c r="A469" s="6" t="s">
        <v>193</v>
      </c>
      <c r="B469" s="25" t="s">
        <v>955</v>
      </c>
      <c r="C469" s="5" t="s">
        <v>20</v>
      </c>
      <c r="D469" s="5" t="s">
        <v>120</v>
      </c>
      <c r="E469" s="26">
        <f>vlookup(C469,'Team Bye List'!$A$1:$B$33,2,False)</f>
        <v>9</v>
      </c>
      <c r="F469" s="27">
        <f>if(ISNA(vlookup($A469, ESPN!$B$2:$E$257, 4, false)), 0, vlookup($A469, ESPN!$B$2:$E$257, 4, false))</f>
        <v>0</v>
      </c>
      <c r="G469" s="27">
        <f>if(ISNA(vlookup($A469, FFToolbox!$B$2:$E$239, 4, false)), 0, vlookup($A469, FFToolbox!$B$2:$E$239, 4, false))</f>
        <v>0</v>
      </c>
      <c r="H469" s="27">
        <f>if(ISNA(vlookup($A469, FantasyPro!$B$2:$E$316, 4, false)), 0, vlookup($A469, FantasyPro!$B$2:$E$316, 4, false))</f>
        <v>0</v>
      </c>
      <c r="I469" s="27">
        <f>if(ISNA(vlookup($A469, RotoWire!$B$2:$E$681, 4, false)), 0, vlookup($A469, RotoWire!$B$2:$E$681, 4, false))</f>
        <v>0</v>
      </c>
      <c r="J469" s="28">
        <f t="shared" si="1"/>
        <v>0</v>
      </c>
      <c r="K469" s="28">
        <f t="shared" si="2"/>
        <v>0</v>
      </c>
    </row>
    <row r="470" hidden="1">
      <c r="A470" s="6" t="s">
        <v>195</v>
      </c>
      <c r="B470" s="25" t="s">
        <v>955</v>
      </c>
      <c r="C470" s="5" t="s">
        <v>22</v>
      </c>
      <c r="D470" s="5" t="s">
        <v>120</v>
      </c>
      <c r="E470" s="26">
        <f>vlookup(C470,'Team Bye List'!$A$1:$B$33,2,False)</f>
        <v>7</v>
      </c>
      <c r="F470" s="27">
        <f>if(ISNA(vlookup($A470, ESPN!$B$2:$E$257, 4, false)), 0, vlookup($A470, ESPN!$B$2:$E$257, 4, false))</f>
        <v>0</v>
      </c>
      <c r="G470" s="27">
        <f>if(ISNA(vlookup($A470, FFToolbox!$B$2:$E$239, 4, false)), 0, vlookup($A470, FFToolbox!$B$2:$E$239, 4, false))</f>
        <v>0</v>
      </c>
      <c r="H470" s="27">
        <f>if(ISNA(vlookup($A470, FantasyPro!$B$2:$E$316, 4, false)), 0, vlookup($A470, FantasyPro!$B$2:$E$316, 4, false))</f>
        <v>0</v>
      </c>
      <c r="I470" s="27">
        <f>if(ISNA(vlookup($A470, RotoWire!$B$2:$E$681, 4, false)), 0, vlookup($A470, RotoWire!$B$2:$E$681, 4, false))</f>
        <v>0</v>
      </c>
      <c r="J470" s="28">
        <f t="shared" si="1"/>
        <v>0</v>
      </c>
      <c r="K470" s="28">
        <f t="shared" si="2"/>
        <v>0</v>
      </c>
    </row>
    <row r="471" hidden="1">
      <c r="A471" s="6" t="s">
        <v>501</v>
      </c>
      <c r="B471" s="25" t="s">
        <v>955</v>
      </c>
      <c r="C471" s="5" t="s">
        <v>52</v>
      </c>
      <c r="D471" s="5" t="s">
        <v>14</v>
      </c>
      <c r="E471" s="26">
        <f>vlookup(C471,'Team Bye List'!$A$1:$B$33,2,False)</f>
        <v>4</v>
      </c>
      <c r="F471" s="27">
        <f>if(ISNA(vlookup($A471, ESPN!$B$2:$E$257, 4, false)), 0, vlookup($A471, ESPN!$B$2:$E$257, 4, false))</f>
        <v>0</v>
      </c>
      <c r="G471" s="27">
        <f>if(ISNA(vlookup($A471, FFToolbox!$B$2:$E$239, 4, false)), 0, vlookup($A471, FFToolbox!$B$2:$E$239, 4, false))</f>
        <v>0</v>
      </c>
      <c r="H471" s="27">
        <f>if(ISNA(vlookup($A471, FantasyPro!$B$2:$E$316, 4, false)), 0, vlookup($A471, FantasyPro!$B$2:$E$316, 4, false))</f>
        <v>0</v>
      </c>
      <c r="I471" s="27">
        <f>if(ISNA(vlookup($A471, RotoWire!$B$2:$E$681, 4, false)), 0, vlookup($A471, RotoWire!$B$2:$E$681, 4, false))</f>
        <v>0</v>
      </c>
      <c r="J471" s="28">
        <f t="shared" si="1"/>
        <v>0</v>
      </c>
      <c r="K471" s="28">
        <f t="shared" si="2"/>
        <v>0</v>
      </c>
    </row>
    <row r="472" hidden="1">
      <c r="A472" s="6" t="s">
        <v>254</v>
      </c>
      <c r="B472" s="25" t="s">
        <v>955</v>
      </c>
      <c r="C472" s="5" t="s">
        <v>30</v>
      </c>
      <c r="D472" s="5" t="s">
        <v>120</v>
      </c>
      <c r="E472" s="26">
        <f>vlookup(C472,'Team Bye List'!$A$1:$B$33,2,False)</f>
        <v>7</v>
      </c>
      <c r="F472" s="27">
        <f>if(ISNA(vlookup($A472, ESPN!$B$2:$E$257, 4, false)), 0, vlookup($A472, ESPN!$B$2:$E$257, 4, false))</f>
        <v>0</v>
      </c>
      <c r="G472" s="27">
        <f>if(ISNA(vlookup($A472, FFToolbox!$B$2:$E$239, 4, false)), 0, vlookup($A472, FFToolbox!$B$2:$E$239, 4, false))</f>
        <v>0</v>
      </c>
      <c r="H472" s="27">
        <f>if(ISNA(vlookup($A472, FantasyPro!$B$2:$E$316, 4, false)), 0, vlookup($A472, FantasyPro!$B$2:$E$316, 4, false))</f>
        <v>0</v>
      </c>
      <c r="I472" s="27">
        <f>if(ISNA(vlookup($A472, RotoWire!$B$2:$E$681, 4, false)), 0, vlookup($A472, RotoWire!$B$2:$E$681, 4, false))</f>
        <v>0</v>
      </c>
      <c r="J472" s="28">
        <f t="shared" si="1"/>
        <v>0</v>
      </c>
      <c r="K472" s="28">
        <f t="shared" si="2"/>
        <v>0</v>
      </c>
    </row>
    <row r="473" hidden="1">
      <c r="A473" s="6" t="s">
        <v>319</v>
      </c>
      <c r="B473" s="25" t="s">
        <v>955</v>
      </c>
      <c r="C473" s="5" t="s">
        <v>26</v>
      </c>
      <c r="D473" s="5" t="s">
        <v>14</v>
      </c>
      <c r="E473" s="26">
        <f>vlookup(C473,'Team Bye List'!$A$1:$B$33,2,False)</f>
        <v>12</v>
      </c>
      <c r="F473" s="27">
        <f>if(ISNA(vlookup($A473, ESPN!$B$2:$E$257, 4, false)), 0, vlookup($A473, ESPN!$B$2:$E$257, 4, false))</f>
        <v>0</v>
      </c>
      <c r="G473" s="27">
        <f>if(ISNA(vlookup($A473, FFToolbox!$B$2:$E$239, 4, false)), 0, vlookup($A473, FFToolbox!$B$2:$E$239, 4, false))</f>
        <v>0</v>
      </c>
      <c r="H473" s="27">
        <f>if(ISNA(vlookup($A473, FantasyPro!$B$2:$E$316, 4, false)), 0, vlookup($A473, FantasyPro!$B$2:$E$316, 4, false))</f>
        <v>0</v>
      </c>
      <c r="I473" s="27">
        <f>if(ISNA(vlookup($A473, RotoWire!$B$2:$E$681, 4, false)), 0, vlookup($A473, RotoWire!$B$2:$E$681, 4, false))</f>
        <v>0</v>
      </c>
      <c r="J473" s="28">
        <f t="shared" si="1"/>
        <v>0</v>
      </c>
      <c r="K473" s="28">
        <f t="shared" si="2"/>
        <v>0</v>
      </c>
    </row>
    <row r="474" hidden="1">
      <c r="A474" s="6" t="s">
        <v>280</v>
      </c>
      <c r="B474" s="25" t="s">
        <v>955</v>
      </c>
      <c r="C474" s="5" t="s">
        <v>104</v>
      </c>
      <c r="D474" s="5" t="s">
        <v>12</v>
      </c>
      <c r="E474" s="26">
        <f>vlookup(C474,'Team Bye List'!$A$1:$B$33,2,False)</f>
        <v>8</v>
      </c>
      <c r="F474" s="27">
        <f>if(ISNA(vlookup($A474, ESPN!$B$2:$E$257, 4, false)), 0, vlookup($A474, ESPN!$B$2:$E$257, 4, false))</f>
        <v>0</v>
      </c>
      <c r="G474" s="27">
        <f>if(ISNA(vlookup($A474, FFToolbox!$B$2:$E$239, 4, false)), 0, vlookup($A474, FFToolbox!$B$2:$E$239, 4, false))</f>
        <v>0</v>
      </c>
      <c r="H474" s="27">
        <f>if(ISNA(vlookup($A474, FantasyPro!$B$2:$E$316, 4, false)), 0, vlookup($A474, FantasyPro!$B$2:$E$316, 4, false))</f>
        <v>0</v>
      </c>
      <c r="I474" s="27">
        <f>if(ISNA(vlookup($A474, RotoWire!$B$2:$E$681, 4, false)), 0, vlookup($A474, RotoWire!$B$2:$E$681, 4, false))</f>
        <v>0</v>
      </c>
      <c r="J474" s="28">
        <f t="shared" si="1"/>
        <v>0</v>
      </c>
      <c r="K474" s="28">
        <f t="shared" si="2"/>
        <v>0</v>
      </c>
    </row>
    <row r="475" hidden="1">
      <c r="A475" s="6" t="s">
        <v>312</v>
      </c>
      <c r="B475" s="25" t="s">
        <v>955</v>
      </c>
      <c r="C475" s="5" t="s">
        <v>41</v>
      </c>
      <c r="D475" s="5" t="s">
        <v>14</v>
      </c>
      <c r="E475" s="26">
        <f>vlookup(C475,'Team Bye List'!$A$1:$B$33,2,False)</f>
        <v>6</v>
      </c>
      <c r="F475" s="27">
        <f>if(ISNA(vlookup($A475, ESPN!$B$2:$E$257, 4, false)), 0, vlookup($A475, ESPN!$B$2:$E$257, 4, false))</f>
        <v>0</v>
      </c>
      <c r="G475" s="27">
        <f>if(ISNA(vlookup($A475, FFToolbox!$B$2:$E$239, 4, false)), 0, vlookup($A475, FFToolbox!$B$2:$E$239, 4, false))</f>
        <v>0</v>
      </c>
      <c r="H475" s="27">
        <f>if(ISNA(vlookup($A475, FantasyPro!$B$2:$E$316, 4, false)), 0, vlookup($A475, FantasyPro!$B$2:$E$316, 4, false))</f>
        <v>0</v>
      </c>
      <c r="I475" s="27">
        <f>if(ISNA(vlookup($A475, RotoWire!$B$2:$E$681, 4, false)), 0, vlookup($A475, RotoWire!$B$2:$E$681, 4, false))</f>
        <v>0</v>
      </c>
      <c r="J475" s="28">
        <f t="shared" si="1"/>
        <v>0</v>
      </c>
      <c r="K475" s="28">
        <f t="shared" si="2"/>
        <v>0</v>
      </c>
    </row>
    <row r="476" hidden="1">
      <c r="A476" s="6" t="s">
        <v>548</v>
      </c>
      <c r="B476" s="25" t="s">
        <v>955</v>
      </c>
      <c r="C476" s="5" t="s">
        <v>54</v>
      </c>
      <c r="D476" s="5" t="s">
        <v>14</v>
      </c>
      <c r="E476" s="26">
        <f>vlookup(C476,'Team Bye List'!$A$1:$B$33,2,False)</f>
        <v>9</v>
      </c>
      <c r="F476" s="27">
        <f>if(ISNA(vlookup($A476, ESPN!$B$2:$E$257, 4, false)), 0, vlookup($A476, ESPN!$B$2:$E$257, 4, false))</f>
        <v>0</v>
      </c>
      <c r="G476" s="27">
        <f>if(ISNA(vlookup($A476, FFToolbox!$B$2:$E$239, 4, false)), 0, vlookup($A476, FFToolbox!$B$2:$E$239, 4, false))</f>
        <v>0</v>
      </c>
      <c r="H476" s="27">
        <f>if(ISNA(vlookup($A476, FantasyPro!$B$2:$E$316, 4, false)), 0, vlookup($A476, FantasyPro!$B$2:$E$316, 4, false))</f>
        <v>0</v>
      </c>
      <c r="I476" s="27">
        <f>if(ISNA(vlookup($A476, RotoWire!$B$2:$E$681, 4, false)), 0, vlookup($A476, RotoWire!$B$2:$E$681, 4, false))</f>
        <v>0</v>
      </c>
      <c r="J476" s="28">
        <f t="shared" si="1"/>
        <v>0</v>
      </c>
      <c r="K476" s="28">
        <f t="shared" si="2"/>
        <v>0</v>
      </c>
    </row>
    <row r="477" hidden="1">
      <c r="A477" s="6" t="s">
        <v>300</v>
      </c>
      <c r="B477" s="25" t="s">
        <v>955</v>
      </c>
      <c r="C477" s="5" t="s">
        <v>22</v>
      </c>
      <c r="D477" s="5" t="s">
        <v>12</v>
      </c>
      <c r="E477" s="26">
        <f>vlookup(C477,'Team Bye List'!$A$1:$B$33,2,False)</f>
        <v>7</v>
      </c>
      <c r="F477" s="27">
        <f>if(ISNA(vlookup($A477, ESPN!$B$2:$E$257, 4, false)), 0, vlookup($A477, ESPN!$B$2:$E$257, 4, false))</f>
        <v>0</v>
      </c>
      <c r="G477" s="27">
        <f>if(ISNA(vlookup($A477, FFToolbox!$B$2:$E$239, 4, false)), 0, vlookup($A477, FFToolbox!$B$2:$E$239, 4, false))</f>
        <v>0</v>
      </c>
      <c r="H477" s="27">
        <f>if(ISNA(vlookup($A477, FantasyPro!$B$2:$E$316, 4, false)), 0, vlookup($A477, FantasyPro!$B$2:$E$316, 4, false))</f>
        <v>0</v>
      </c>
      <c r="I477" s="27">
        <f>if(ISNA(vlookup($A477, RotoWire!$B$2:$E$681, 4, false)), 0, vlookup($A477, RotoWire!$B$2:$E$681, 4, false))</f>
        <v>0</v>
      </c>
      <c r="J477" s="28">
        <f t="shared" si="1"/>
        <v>0</v>
      </c>
      <c r="K477" s="28">
        <f t="shared" si="2"/>
        <v>0</v>
      </c>
    </row>
    <row r="478" hidden="1">
      <c r="A478" s="6" t="s">
        <v>286</v>
      </c>
      <c r="B478" s="25" t="s">
        <v>955</v>
      </c>
      <c r="C478" s="5" t="s">
        <v>62</v>
      </c>
      <c r="D478" s="5" t="s">
        <v>12</v>
      </c>
      <c r="E478" s="26">
        <f>vlookup(C478,'Team Bye List'!$A$1:$B$33,2,False)</f>
        <v>12</v>
      </c>
      <c r="F478" s="27">
        <f>if(ISNA(vlookup($A478, ESPN!$B$2:$E$257, 4, false)), 0, vlookup($A478, ESPN!$B$2:$E$257, 4, false))</f>
        <v>0</v>
      </c>
      <c r="G478" s="27">
        <f>if(ISNA(vlookup($A478, FFToolbox!$B$2:$E$239, 4, false)), 0, vlookup($A478, FFToolbox!$B$2:$E$239, 4, false))</f>
        <v>0</v>
      </c>
      <c r="H478" s="27">
        <f>if(ISNA(vlookup($A478, FantasyPro!$B$2:$E$316, 4, false)), 0, vlookup($A478, FantasyPro!$B$2:$E$316, 4, false))</f>
        <v>0</v>
      </c>
      <c r="I478" s="27">
        <f>if(ISNA(vlookup($A478, RotoWire!$B$2:$E$681, 4, false)), 0, vlookup($A478, RotoWire!$B$2:$E$681, 4, false))</f>
        <v>0</v>
      </c>
      <c r="J478" s="28">
        <f t="shared" si="1"/>
        <v>0</v>
      </c>
      <c r="K478" s="28">
        <f t="shared" si="2"/>
        <v>0</v>
      </c>
    </row>
    <row r="479" hidden="1">
      <c r="A479" s="6" t="s">
        <v>404</v>
      </c>
      <c r="B479" s="25" t="s">
        <v>955</v>
      </c>
      <c r="C479" s="5" t="s">
        <v>71</v>
      </c>
      <c r="D479" s="5" t="s">
        <v>12</v>
      </c>
      <c r="E479" s="26">
        <f>vlookup(C479,'Team Bye List'!$A$1:$B$33,2,False)</f>
        <v>5</v>
      </c>
      <c r="F479" s="27">
        <f>if(ISNA(vlookup($A479, ESPN!$B$2:$E$257, 4, false)), 0, vlookup($A479, ESPN!$B$2:$E$257, 4, false))</f>
        <v>0</v>
      </c>
      <c r="G479" s="27">
        <f>if(ISNA(vlookup($A479, FFToolbox!$B$2:$E$239, 4, false)), 0, vlookup($A479, FFToolbox!$B$2:$E$239, 4, false))</f>
        <v>0</v>
      </c>
      <c r="H479" s="27">
        <f>if(ISNA(vlookup($A479, FantasyPro!$B$2:$E$316, 4, false)), 0, vlookup($A479, FantasyPro!$B$2:$E$316, 4, false))</f>
        <v>0</v>
      </c>
      <c r="I479" s="27">
        <f>if(ISNA(vlookup($A479, RotoWire!$B$2:$E$681, 4, false)), 0, vlookup($A479, RotoWire!$B$2:$E$681, 4, false))</f>
        <v>0</v>
      </c>
      <c r="J479" s="28">
        <f t="shared" si="1"/>
        <v>0</v>
      </c>
      <c r="K479" s="28">
        <f t="shared" si="2"/>
        <v>0</v>
      </c>
    </row>
    <row r="480" hidden="1">
      <c r="A480" s="6" t="s">
        <v>559</v>
      </c>
      <c r="B480" s="25" t="s">
        <v>955</v>
      </c>
      <c r="C480" s="5" t="s">
        <v>18</v>
      </c>
      <c r="D480" s="5" t="s">
        <v>14</v>
      </c>
      <c r="E480" s="26">
        <f>vlookup(C480,'Team Bye List'!$A$1:$B$33,2,False)</f>
        <v>10</v>
      </c>
      <c r="F480" s="27">
        <f>if(ISNA(vlookup($A480, ESPN!$B$2:$E$257, 4, false)), 0, vlookup($A480, ESPN!$B$2:$E$257, 4, false))</f>
        <v>0</v>
      </c>
      <c r="G480" s="27">
        <f>if(ISNA(vlookup($A480, FFToolbox!$B$2:$E$239, 4, false)), 0, vlookup($A480, FFToolbox!$B$2:$E$239, 4, false))</f>
        <v>0</v>
      </c>
      <c r="H480" s="27">
        <f>if(ISNA(vlookup($A480, FantasyPro!$B$2:$E$316, 4, false)), 0, vlookup($A480, FantasyPro!$B$2:$E$316, 4, false))</f>
        <v>0</v>
      </c>
      <c r="I480" s="27">
        <f>if(ISNA(vlookup($A480, RotoWire!$B$2:$E$681, 4, false)), 0, vlookup($A480, RotoWire!$B$2:$E$681, 4, false))</f>
        <v>0</v>
      </c>
      <c r="J480" s="28">
        <f t="shared" si="1"/>
        <v>0</v>
      </c>
      <c r="K480" s="28">
        <f t="shared" si="2"/>
        <v>0</v>
      </c>
    </row>
    <row r="481" hidden="1">
      <c r="A481" s="6" t="s">
        <v>731</v>
      </c>
      <c r="B481" s="25" t="s">
        <v>955</v>
      </c>
      <c r="C481" s="5" t="s">
        <v>41</v>
      </c>
      <c r="D481" s="5" t="s">
        <v>7</v>
      </c>
      <c r="E481" s="26">
        <f>vlookup(C481,'Team Bye List'!$A$1:$B$33,2,False)</f>
        <v>6</v>
      </c>
      <c r="F481" s="27">
        <f>if(ISNA(vlookup($A481, ESPN!$B$2:$E$257, 4, false)), 0, vlookup($A481, ESPN!$B$2:$E$257, 4, false))</f>
        <v>0</v>
      </c>
      <c r="G481" s="27">
        <f>if(ISNA(vlookup($A481, FFToolbox!$B$2:$E$239, 4, false)), 0, vlookup($A481, FFToolbox!$B$2:$E$239, 4, false))</f>
        <v>0</v>
      </c>
      <c r="H481" s="27">
        <f>if(ISNA(vlookup($A481, FantasyPro!$B$2:$E$316, 4, false)), 0, vlookup($A481, FantasyPro!$B$2:$E$316, 4, false))</f>
        <v>0</v>
      </c>
      <c r="I481" s="27">
        <f>if(ISNA(vlookup($A481, RotoWire!$B$2:$E$681, 4, false)), 0, vlookup($A481, RotoWire!$B$2:$E$681, 4, false))</f>
        <v>0</v>
      </c>
      <c r="J481" s="28">
        <f t="shared" si="1"/>
        <v>0</v>
      </c>
      <c r="K481" s="28">
        <f t="shared" si="2"/>
        <v>0</v>
      </c>
    </row>
    <row r="482" hidden="1">
      <c r="A482" s="6" t="s">
        <v>544</v>
      </c>
      <c r="B482" s="25" t="s">
        <v>955</v>
      </c>
      <c r="C482" s="5" t="s">
        <v>163</v>
      </c>
      <c r="D482" s="5" t="s">
        <v>14</v>
      </c>
      <c r="E482" s="26">
        <f>vlookup(C482,'Team Bye List'!$A$1:$B$33,2,False)</f>
        <v>5</v>
      </c>
      <c r="F482" s="27">
        <f>if(ISNA(vlookup($A482, ESPN!$B$2:$E$257, 4, false)), 0, vlookup($A482, ESPN!$B$2:$E$257, 4, false))</f>
        <v>0</v>
      </c>
      <c r="G482" s="27">
        <f>if(ISNA(vlookup($A482, FFToolbox!$B$2:$E$239, 4, false)), 0, vlookup($A482, FFToolbox!$B$2:$E$239, 4, false))</f>
        <v>0</v>
      </c>
      <c r="H482" s="27">
        <f>if(ISNA(vlookup($A482, FantasyPro!$B$2:$E$316, 4, false)), 0, vlookup($A482, FantasyPro!$B$2:$E$316, 4, false))</f>
        <v>0</v>
      </c>
      <c r="I482" s="27">
        <f>if(ISNA(vlookup($A482, RotoWire!$B$2:$E$681, 4, false)), 0, vlookup($A482, RotoWire!$B$2:$E$681, 4, false))</f>
        <v>0</v>
      </c>
      <c r="J482" s="28">
        <f t="shared" si="1"/>
        <v>0</v>
      </c>
      <c r="K482" s="28">
        <f t="shared" si="2"/>
        <v>0</v>
      </c>
    </row>
    <row r="483" hidden="1">
      <c r="A483" s="6" t="s">
        <v>657</v>
      </c>
      <c r="B483" s="25" t="s">
        <v>955</v>
      </c>
      <c r="C483" s="5" t="s">
        <v>69</v>
      </c>
      <c r="D483" s="5" t="s">
        <v>7</v>
      </c>
      <c r="E483" s="26">
        <f>vlookup(C483,'Team Bye List'!$A$1:$B$33,2,False)</f>
        <v>11</v>
      </c>
      <c r="F483" s="27">
        <f>if(ISNA(vlookup($A483, ESPN!$B$2:$E$257, 4, false)), 0, vlookup($A483, ESPN!$B$2:$E$257, 4, false))</f>
        <v>0</v>
      </c>
      <c r="G483" s="27">
        <f>if(ISNA(vlookup($A483, FFToolbox!$B$2:$E$239, 4, false)), 0, vlookup($A483, FFToolbox!$B$2:$E$239, 4, false))</f>
        <v>0</v>
      </c>
      <c r="H483" s="27">
        <f>if(ISNA(vlookup($A483, FantasyPro!$B$2:$E$316, 4, false)), 0, vlookup($A483, FantasyPro!$B$2:$E$316, 4, false))</f>
        <v>0</v>
      </c>
      <c r="I483" s="27">
        <f>if(ISNA(vlookup($A483, RotoWire!$B$2:$E$681, 4, false)), 0, vlookup($A483, RotoWire!$B$2:$E$681, 4, false))</f>
        <v>0</v>
      </c>
      <c r="J483" s="28">
        <f t="shared" si="1"/>
        <v>0</v>
      </c>
      <c r="K483" s="28">
        <f t="shared" si="2"/>
        <v>0</v>
      </c>
    </row>
    <row r="484" hidden="1">
      <c r="A484" s="6" t="s">
        <v>535</v>
      </c>
      <c r="B484" s="25" t="s">
        <v>955</v>
      </c>
      <c r="C484" s="5" t="s">
        <v>52</v>
      </c>
      <c r="D484" s="5" t="s">
        <v>14</v>
      </c>
      <c r="E484" s="26">
        <f>vlookup(C484,'Team Bye List'!$A$1:$B$33,2,False)</f>
        <v>4</v>
      </c>
      <c r="F484" s="27">
        <f>if(ISNA(vlookup($A484, ESPN!$B$2:$E$257, 4, false)), 0, vlookup($A484, ESPN!$B$2:$E$257, 4, false))</f>
        <v>0</v>
      </c>
      <c r="G484" s="27">
        <f>if(ISNA(vlookup($A484, FFToolbox!$B$2:$E$239, 4, false)), 0, vlookup($A484, FFToolbox!$B$2:$E$239, 4, false))</f>
        <v>0</v>
      </c>
      <c r="H484" s="27">
        <f>if(ISNA(vlookup($A484, FantasyPro!$B$2:$E$316, 4, false)), 0, vlookup($A484, FantasyPro!$B$2:$E$316, 4, false))</f>
        <v>0</v>
      </c>
      <c r="I484" s="27">
        <f>if(ISNA(vlookup($A484, RotoWire!$B$2:$E$681, 4, false)), 0, vlookup($A484, RotoWire!$B$2:$E$681, 4, false))</f>
        <v>0</v>
      </c>
      <c r="J484" s="28">
        <f t="shared" si="1"/>
        <v>0</v>
      </c>
      <c r="K484" s="28">
        <f t="shared" si="2"/>
        <v>0</v>
      </c>
    </row>
    <row r="485" hidden="1">
      <c r="A485" s="6" t="s">
        <v>461</v>
      </c>
      <c r="B485" s="25" t="s">
        <v>955</v>
      </c>
      <c r="C485" s="5" t="s">
        <v>41</v>
      </c>
      <c r="D485" s="5" t="s">
        <v>14</v>
      </c>
      <c r="E485" s="26">
        <f>vlookup(C485,'Team Bye List'!$A$1:$B$33,2,False)</f>
        <v>6</v>
      </c>
      <c r="F485" s="27">
        <f>if(ISNA(vlookup($A485, ESPN!$B$2:$E$257, 4, false)), 0, vlookup($A485, ESPN!$B$2:$E$257, 4, false))</f>
        <v>0</v>
      </c>
      <c r="G485" s="27">
        <f>if(ISNA(vlookup($A485, FFToolbox!$B$2:$E$239, 4, false)), 0, vlookup($A485, FFToolbox!$B$2:$E$239, 4, false))</f>
        <v>0</v>
      </c>
      <c r="H485" s="27">
        <f>if(ISNA(vlookup($A485, FantasyPro!$B$2:$E$316, 4, false)), 0, vlookup($A485, FantasyPro!$B$2:$E$316, 4, false))</f>
        <v>0</v>
      </c>
      <c r="I485" s="27">
        <f>if(ISNA(vlookup($A485, RotoWire!$B$2:$E$681, 4, false)), 0, vlookup($A485, RotoWire!$B$2:$E$681, 4, false))</f>
        <v>0</v>
      </c>
      <c r="J485" s="28">
        <f t="shared" si="1"/>
        <v>0</v>
      </c>
      <c r="K485" s="28">
        <f t="shared" si="2"/>
        <v>0</v>
      </c>
    </row>
    <row r="486">
      <c r="A486" s="6" t="s">
        <v>795</v>
      </c>
      <c r="B486" s="25" t="s">
        <v>955</v>
      </c>
      <c r="C486" s="5" t="s">
        <v>69</v>
      </c>
      <c r="D486" s="5" t="s">
        <v>39</v>
      </c>
      <c r="E486" s="26">
        <f>vlookup(C486,'Team Bye List'!$A$1:$B$33,2,False)</f>
        <v>11</v>
      </c>
      <c r="F486" s="27">
        <f>if(ISNA(vlookup($A486, ESPN!$B$2:$E$257, 4, false)), 0, vlookup($A486, ESPN!$B$2:$E$257, 4, false))</f>
        <v>0</v>
      </c>
      <c r="G486" s="27">
        <f>if(ISNA(vlookup($A486, FFToolbox!$B$2:$E$239, 4, false)), 0, vlookup($A486, FFToolbox!$B$2:$E$239, 4, false))</f>
        <v>0</v>
      </c>
      <c r="H486" s="27">
        <f>if(ISNA(vlookup($A486, FantasyPro!$B$2:$E$316, 4, false)), 0, vlookup($A486, FantasyPro!$B$2:$E$316, 4, false))</f>
        <v>0</v>
      </c>
      <c r="I486" s="27">
        <f>if(ISNA(vlookup($A486, RotoWire!$B$2:$E$681, 4, false)), 0, vlookup($A486, RotoWire!$B$2:$E$681, 4, false))</f>
        <v>0</v>
      </c>
      <c r="J486" s="28">
        <f t="shared" si="1"/>
        <v>0</v>
      </c>
      <c r="K486" s="28">
        <f t="shared" si="2"/>
        <v>0</v>
      </c>
    </row>
    <row r="487" hidden="1">
      <c r="A487" s="6" t="s">
        <v>575</v>
      </c>
      <c r="B487" s="25" t="s">
        <v>955</v>
      </c>
      <c r="C487" s="5" t="s">
        <v>28</v>
      </c>
      <c r="D487" s="5" t="s">
        <v>14</v>
      </c>
      <c r="E487" s="26">
        <f>vlookup(C487,'Team Bye List'!$A$1:$B$33,2,False)</f>
        <v>11</v>
      </c>
      <c r="F487" s="27">
        <f>if(ISNA(vlookup($A487, ESPN!$B$2:$E$257, 4, false)), 0, vlookup($A487, ESPN!$B$2:$E$257, 4, false))</f>
        <v>0</v>
      </c>
      <c r="G487" s="27">
        <f>if(ISNA(vlookup($A487, FFToolbox!$B$2:$E$239, 4, false)), 0, vlookup($A487, FFToolbox!$B$2:$E$239, 4, false))</f>
        <v>0</v>
      </c>
      <c r="H487" s="27">
        <f>if(ISNA(vlookup($A487, FantasyPro!$B$2:$E$316, 4, false)), 0, vlookup($A487, FantasyPro!$B$2:$E$316, 4, false))</f>
        <v>0</v>
      </c>
      <c r="I487" s="27">
        <f>if(ISNA(vlookup($A487, RotoWire!$B$2:$E$681, 4, false)), 0, vlookup($A487, RotoWire!$B$2:$E$681, 4, false))</f>
        <v>0</v>
      </c>
      <c r="J487" s="28">
        <f t="shared" si="1"/>
        <v>0</v>
      </c>
      <c r="K487" s="28">
        <f t="shared" si="2"/>
        <v>0</v>
      </c>
    </row>
    <row r="488" hidden="1">
      <c r="A488" s="6" t="s">
        <v>307</v>
      </c>
      <c r="B488" s="25" t="s">
        <v>955</v>
      </c>
      <c r="C488" s="5" t="s">
        <v>28</v>
      </c>
      <c r="D488" s="5" t="s">
        <v>12</v>
      </c>
      <c r="E488" s="26">
        <f>vlookup(C488,'Team Bye List'!$A$1:$B$33,2,False)</f>
        <v>11</v>
      </c>
      <c r="F488" s="27">
        <f>if(ISNA(vlookup($A488, ESPN!$B$2:$E$257, 4, false)), 0, vlookup($A488, ESPN!$B$2:$E$257, 4, false))</f>
        <v>0</v>
      </c>
      <c r="G488" s="27">
        <f>if(ISNA(vlookup($A488, FFToolbox!$B$2:$E$239, 4, false)), 0, vlookup($A488, FFToolbox!$B$2:$E$239, 4, false))</f>
        <v>0</v>
      </c>
      <c r="H488" s="27">
        <f>if(ISNA(vlookup($A488, FantasyPro!$B$2:$E$316, 4, false)), 0, vlookup($A488, FantasyPro!$B$2:$E$316, 4, false))</f>
        <v>0</v>
      </c>
      <c r="I488" s="27">
        <f>if(ISNA(vlookup($A488, RotoWire!$B$2:$E$681, 4, false)), 0, vlookup($A488, RotoWire!$B$2:$E$681, 4, false))</f>
        <v>0</v>
      </c>
      <c r="J488" s="28">
        <f t="shared" si="1"/>
        <v>0</v>
      </c>
      <c r="K488" s="28">
        <f t="shared" si="2"/>
        <v>0</v>
      </c>
    </row>
    <row r="489">
      <c r="A489" s="6" t="s">
        <v>746</v>
      </c>
      <c r="B489" s="25" t="s">
        <v>955</v>
      </c>
      <c r="C489" s="5" t="s">
        <v>48</v>
      </c>
      <c r="D489" s="5" t="s">
        <v>39</v>
      </c>
      <c r="E489" s="26">
        <f>vlookup(C489,'Team Bye List'!$A$1:$B$33,2,False)</f>
        <v>6</v>
      </c>
      <c r="F489" s="27">
        <f>if(ISNA(vlookup($A489, ESPN!$B$2:$E$257, 4, false)), 0, vlookup($A489, ESPN!$B$2:$E$257, 4, false))</f>
        <v>0</v>
      </c>
      <c r="G489" s="27">
        <f>if(ISNA(vlookup($A489, FFToolbox!$B$2:$E$239, 4, false)), 0, vlookup($A489, FFToolbox!$B$2:$E$239, 4, false))</f>
        <v>0</v>
      </c>
      <c r="H489" s="27">
        <f>if(ISNA(vlookup($A489, FantasyPro!$B$2:$E$316, 4, false)), 0, vlookup($A489, FantasyPro!$B$2:$E$316, 4, false))</f>
        <v>0</v>
      </c>
      <c r="I489" s="27">
        <f>if(ISNA(vlookup($A489, RotoWire!$B$2:$E$681, 4, false)), 0, vlookup($A489, RotoWire!$B$2:$E$681, 4, false))</f>
        <v>0</v>
      </c>
      <c r="J489" s="28">
        <f t="shared" si="1"/>
        <v>0</v>
      </c>
      <c r="K489" s="28">
        <f t="shared" si="2"/>
        <v>0</v>
      </c>
    </row>
    <row r="490" hidden="1">
      <c r="A490" s="6" t="s">
        <v>736</v>
      </c>
      <c r="B490" s="25" t="s">
        <v>955</v>
      </c>
      <c r="C490" s="5" t="s">
        <v>16</v>
      </c>
      <c r="D490" s="5" t="s">
        <v>7</v>
      </c>
      <c r="E490" s="26">
        <f>vlookup(C490,'Team Bye List'!$A$1:$B$33,2,False)</f>
        <v>9</v>
      </c>
      <c r="F490" s="27">
        <f>if(ISNA(vlookup($A490, ESPN!$B$2:$E$257, 4, false)), 0, vlookup($A490, ESPN!$B$2:$E$257, 4, false))</f>
        <v>0</v>
      </c>
      <c r="G490" s="27">
        <f>if(ISNA(vlookup($A490, FFToolbox!$B$2:$E$239, 4, false)), 0, vlookup($A490, FFToolbox!$B$2:$E$239, 4, false))</f>
        <v>0</v>
      </c>
      <c r="H490" s="27">
        <f>if(ISNA(vlookup($A490, FantasyPro!$B$2:$E$316, 4, false)), 0, vlookup($A490, FantasyPro!$B$2:$E$316, 4, false))</f>
        <v>0</v>
      </c>
      <c r="I490" s="27">
        <f>if(ISNA(vlookup($A490, RotoWire!$B$2:$E$681, 4, false)), 0, vlookup($A490, RotoWire!$B$2:$E$681, 4, false))</f>
        <v>0</v>
      </c>
      <c r="J490" s="28">
        <f t="shared" si="1"/>
        <v>0</v>
      </c>
      <c r="K490" s="28">
        <f t="shared" si="2"/>
        <v>0</v>
      </c>
    </row>
    <row r="491" hidden="1">
      <c r="A491" s="6" t="s">
        <v>507</v>
      </c>
      <c r="B491" s="25" t="s">
        <v>955</v>
      </c>
      <c r="C491" s="5" t="s">
        <v>30</v>
      </c>
      <c r="D491" s="5" t="s">
        <v>14</v>
      </c>
      <c r="E491" s="26">
        <f>vlookup(C491,'Team Bye List'!$A$1:$B$33,2,False)</f>
        <v>7</v>
      </c>
      <c r="F491" s="27">
        <f>if(ISNA(vlookup($A491, ESPN!$B$2:$E$257, 4, false)), 0, vlookup($A491, ESPN!$B$2:$E$257, 4, false))</f>
        <v>0</v>
      </c>
      <c r="G491" s="27">
        <f>if(ISNA(vlookup($A491, FFToolbox!$B$2:$E$239, 4, false)), 0, vlookup($A491, FFToolbox!$B$2:$E$239, 4, false))</f>
        <v>0</v>
      </c>
      <c r="H491" s="27">
        <f>if(ISNA(vlookup($A491, FantasyPro!$B$2:$E$316, 4, false)), 0, vlookup($A491, FantasyPro!$B$2:$E$316, 4, false))</f>
        <v>0</v>
      </c>
      <c r="I491" s="27">
        <f>if(ISNA(vlookup($A491, RotoWire!$B$2:$E$681, 4, false)), 0, vlookup($A491, RotoWire!$B$2:$E$681, 4, false))</f>
        <v>0</v>
      </c>
      <c r="J491" s="28">
        <f t="shared" si="1"/>
        <v>0</v>
      </c>
      <c r="K491" s="28">
        <f t="shared" si="2"/>
        <v>0</v>
      </c>
    </row>
    <row r="492" hidden="1">
      <c r="A492" s="6" t="s">
        <v>479</v>
      </c>
      <c r="B492" s="25" t="s">
        <v>955</v>
      </c>
      <c r="C492" s="5" t="s">
        <v>28</v>
      </c>
      <c r="D492" s="5" t="s">
        <v>14</v>
      </c>
      <c r="E492" s="26">
        <f>vlookup(C492,'Team Bye List'!$A$1:$B$33,2,False)</f>
        <v>11</v>
      </c>
      <c r="F492" s="27">
        <f>if(ISNA(vlookup($A492, ESPN!$B$2:$E$257, 4, false)), 0, vlookup($A492, ESPN!$B$2:$E$257, 4, false))</f>
        <v>0</v>
      </c>
      <c r="G492" s="27">
        <f>if(ISNA(vlookup($A492, FFToolbox!$B$2:$E$239, 4, false)), 0, vlookup($A492, FFToolbox!$B$2:$E$239, 4, false))</f>
        <v>0</v>
      </c>
      <c r="H492" s="27">
        <f>if(ISNA(vlookup($A492, FantasyPro!$B$2:$E$316, 4, false)), 0, vlookup($A492, FantasyPro!$B$2:$E$316, 4, false))</f>
        <v>0</v>
      </c>
      <c r="I492" s="27">
        <f>if(ISNA(vlookup($A492, RotoWire!$B$2:$E$681, 4, false)), 0, vlookup($A492, RotoWire!$B$2:$E$681, 4, false))</f>
        <v>0</v>
      </c>
      <c r="J492" s="28">
        <f t="shared" si="1"/>
        <v>0</v>
      </c>
      <c r="K492" s="28">
        <f t="shared" si="2"/>
        <v>0</v>
      </c>
    </row>
    <row r="493">
      <c r="A493" s="6" t="s">
        <v>808</v>
      </c>
      <c r="B493" s="25" t="s">
        <v>955</v>
      </c>
      <c r="C493" s="5" t="s">
        <v>163</v>
      </c>
      <c r="D493" s="5" t="s">
        <v>39</v>
      </c>
      <c r="E493" s="26">
        <f>vlookup(C493,'Team Bye List'!$A$1:$B$33,2,False)</f>
        <v>5</v>
      </c>
      <c r="F493" s="27">
        <f>if(ISNA(vlookup($A493, ESPN!$B$2:$E$257, 4, false)), 0, vlookup($A493, ESPN!$B$2:$E$257, 4, false))</f>
        <v>0</v>
      </c>
      <c r="G493" s="27">
        <f>if(ISNA(vlookup($A493, FFToolbox!$B$2:$E$239, 4, false)), 0, vlookup($A493, FFToolbox!$B$2:$E$239, 4, false))</f>
        <v>0</v>
      </c>
      <c r="H493" s="27">
        <f>if(ISNA(vlookup($A493, FantasyPro!$B$2:$E$316, 4, false)), 0, vlookup($A493, FantasyPro!$B$2:$E$316, 4, false))</f>
        <v>0</v>
      </c>
      <c r="I493" s="27">
        <f>if(ISNA(vlookup($A493, RotoWire!$B$2:$E$681, 4, false)), 0, vlookup($A493, RotoWire!$B$2:$E$681, 4, false))</f>
        <v>0</v>
      </c>
      <c r="J493" s="28">
        <f t="shared" si="1"/>
        <v>0</v>
      </c>
      <c r="K493" s="28">
        <f t="shared" si="2"/>
        <v>0</v>
      </c>
    </row>
    <row r="494" hidden="1">
      <c r="A494" s="6" t="s">
        <v>455</v>
      </c>
      <c r="B494" s="25" t="s">
        <v>955</v>
      </c>
      <c r="C494" s="5" t="s">
        <v>163</v>
      </c>
      <c r="D494" s="5" t="s">
        <v>14</v>
      </c>
      <c r="E494" s="26">
        <f>vlookup(C494,'Team Bye List'!$A$1:$B$33,2,False)</f>
        <v>5</v>
      </c>
      <c r="F494" s="27">
        <f>if(ISNA(vlookup($A494, ESPN!$B$2:$E$257, 4, false)), 0, vlookup($A494, ESPN!$B$2:$E$257, 4, false))</f>
        <v>0</v>
      </c>
      <c r="G494" s="27">
        <f>if(ISNA(vlookup($A494, FFToolbox!$B$2:$E$239, 4, false)), 0, vlookup($A494, FFToolbox!$B$2:$E$239, 4, false))</f>
        <v>0</v>
      </c>
      <c r="H494" s="27">
        <f>if(ISNA(vlookup($A494, FantasyPro!$B$2:$E$316, 4, false)), 0, vlookup($A494, FantasyPro!$B$2:$E$316, 4, false))</f>
        <v>0</v>
      </c>
      <c r="I494" s="27">
        <f>if(ISNA(vlookup($A494, RotoWire!$B$2:$E$681, 4, false)), 0, vlookup($A494, RotoWire!$B$2:$E$681, 4, false))</f>
        <v>0</v>
      </c>
      <c r="J494" s="28">
        <f t="shared" si="1"/>
        <v>0</v>
      </c>
      <c r="K494" s="28">
        <f t="shared" si="2"/>
        <v>0</v>
      </c>
    </row>
    <row r="495" hidden="1">
      <c r="A495" s="6" t="s">
        <v>361</v>
      </c>
      <c r="B495" s="25" t="s">
        <v>955</v>
      </c>
      <c r="C495" s="5" t="s">
        <v>33</v>
      </c>
      <c r="D495" s="5" t="s">
        <v>14</v>
      </c>
      <c r="E495" s="26">
        <f>vlookup(C495,'Team Bye List'!$A$1:$B$33,2,False)</f>
        <v>4</v>
      </c>
      <c r="F495" s="27">
        <f>if(ISNA(vlookup($A495, ESPN!$B$2:$E$257, 4, false)), 0, vlookup($A495, ESPN!$B$2:$E$257, 4, false))</f>
        <v>0</v>
      </c>
      <c r="G495" s="27">
        <f>if(ISNA(vlookup($A495, FFToolbox!$B$2:$E$239, 4, false)), 0, vlookup($A495, FFToolbox!$B$2:$E$239, 4, false))</f>
        <v>0</v>
      </c>
      <c r="H495" s="27">
        <f>if(ISNA(vlookup($A495, FantasyPro!$B$2:$E$316, 4, false)), 0, vlookup($A495, FantasyPro!$B$2:$E$316, 4, false))</f>
        <v>0</v>
      </c>
      <c r="I495" s="27">
        <f>if(ISNA(vlookup($A495, RotoWire!$B$2:$E$681, 4, false)), 0, vlookup($A495, RotoWire!$B$2:$E$681, 4, false))</f>
        <v>0</v>
      </c>
      <c r="J495" s="28">
        <f t="shared" si="1"/>
        <v>0</v>
      </c>
      <c r="K495" s="28">
        <f t="shared" si="2"/>
        <v>0</v>
      </c>
    </row>
    <row r="496" hidden="1">
      <c r="A496" s="6" t="s">
        <v>536</v>
      </c>
      <c r="B496" s="25" t="s">
        <v>955</v>
      </c>
      <c r="C496" s="5" t="s">
        <v>11</v>
      </c>
      <c r="D496" s="5" t="s">
        <v>14</v>
      </c>
      <c r="E496" s="26">
        <f>vlookup(C496,'Team Bye List'!$A$1:$B$33,2,False)</f>
        <v>12</v>
      </c>
      <c r="F496" s="27">
        <f>if(ISNA(vlookup($A496, ESPN!$B$2:$E$257, 4, false)), 0, vlookup($A496, ESPN!$B$2:$E$257, 4, false))</f>
        <v>0</v>
      </c>
      <c r="G496" s="27">
        <f>if(ISNA(vlookup($A496, FFToolbox!$B$2:$E$239, 4, false)), 0, vlookup($A496, FFToolbox!$B$2:$E$239, 4, false))</f>
        <v>0</v>
      </c>
      <c r="H496" s="27">
        <f>if(ISNA(vlookup($A496, FantasyPro!$B$2:$E$316, 4, false)), 0, vlookup($A496, FantasyPro!$B$2:$E$316, 4, false))</f>
        <v>0</v>
      </c>
      <c r="I496" s="27">
        <f>if(ISNA(vlookup($A496, RotoWire!$B$2:$E$681, 4, false)), 0, vlookup($A496, RotoWire!$B$2:$E$681, 4, false))</f>
        <v>0</v>
      </c>
      <c r="J496" s="28">
        <f t="shared" si="1"/>
        <v>0</v>
      </c>
      <c r="K496" s="28">
        <f t="shared" si="2"/>
        <v>0</v>
      </c>
    </row>
    <row r="497" hidden="1">
      <c r="A497" s="6" t="s">
        <v>329</v>
      </c>
      <c r="B497" s="25" t="s">
        <v>955</v>
      </c>
      <c r="C497" s="5" t="s">
        <v>91</v>
      </c>
      <c r="D497" s="5" t="s">
        <v>12</v>
      </c>
      <c r="E497" s="26">
        <f>vlookup(C497,'Team Bye List'!$A$1:$B$33,2,False)</f>
        <v>10</v>
      </c>
      <c r="F497" s="27">
        <f>if(ISNA(vlookup($A497, ESPN!$B$2:$E$257, 4, false)), 0, vlookup($A497, ESPN!$B$2:$E$257, 4, false))</f>
        <v>0</v>
      </c>
      <c r="G497" s="27">
        <f>if(ISNA(vlookup($A497, FFToolbox!$B$2:$E$239, 4, false)), 0, vlookup($A497, FFToolbox!$B$2:$E$239, 4, false))</f>
        <v>0</v>
      </c>
      <c r="H497" s="27">
        <f>if(ISNA(vlookup($A497, FantasyPro!$B$2:$E$316, 4, false)), 0, vlookup($A497, FantasyPro!$B$2:$E$316, 4, false))</f>
        <v>0</v>
      </c>
      <c r="I497" s="27">
        <f>if(ISNA(vlookup($A497, RotoWire!$B$2:$E$681, 4, false)), 0, vlookup($A497, RotoWire!$B$2:$E$681, 4, false))</f>
        <v>0</v>
      </c>
      <c r="J497" s="28">
        <f t="shared" si="1"/>
        <v>0</v>
      </c>
      <c r="K497" s="28">
        <f t="shared" si="2"/>
        <v>0</v>
      </c>
    </row>
    <row r="498" hidden="1">
      <c r="A498" s="6" t="s">
        <v>239</v>
      </c>
      <c r="B498" s="25" t="s">
        <v>955</v>
      </c>
      <c r="C498" s="5" t="s">
        <v>35</v>
      </c>
      <c r="D498" s="5" t="s">
        <v>14</v>
      </c>
      <c r="E498" s="26">
        <f>vlookup(C498,'Team Bye List'!$A$1:$B$33,2,False)</f>
        <v>7</v>
      </c>
      <c r="F498" s="27">
        <f>if(ISNA(vlookup($A498, ESPN!$B$2:$E$257, 4, false)), 0, vlookup($A498, ESPN!$B$2:$E$257, 4, false))</f>
        <v>0</v>
      </c>
      <c r="G498" s="27">
        <f>if(ISNA(vlookup($A498, FFToolbox!$B$2:$E$239, 4, false)), 0, vlookup($A498, FFToolbox!$B$2:$E$239, 4, false))</f>
        <v>0</v>
      </c>
      <c r="H498" s="27">
        <f>if(ISNA(vlookup($A498, FantasyPro!$B$2:$E$316, 4, false)), 0, vlookup($A498, FantasyPro!$B$2:$E$316, 4, false))</f>
        <v>0</v>
      </c>
      <c r="I498" s="27">
        <f>if(ISNA(vlookup($A498, RotoWire!$B$2:$E$681, 4, false)), 0, vlookup($A498, RotoWire!$B$2:$E$681, 4, false))</f>
        <v>0</v>
      </c>
      <c r="J498" s="28">
        <f t="shared" si="1"/>
        <v>0</v>
      </c>
      <c r="K498" s="28">
        <f t="shared" si="2"/>
        <v>0</v>
      </c>
    </row>
    <row r="499" hidden="1">
      <c r="A499" s="6" t="s">
        <v>301</v>
      </c>
      <c r="B499" s="25" t="s">
        <v>955</v>
      </c>
      <c r="C499" s="5" t="s">
        <v>22</v>
      </c>
      <c r="D499" s="5" t="s">
        <v>14</v>
      </c>
      <c r="E499" s="26">
        <f>vlookup(C499,'Team Bye List'!$A$1:$B$33,2,False)</f>
        <v>7</v>
      </c>
      <c r="F499" s="27">
        <f>if(ISNA(vlookup($A499, ESPN!$B$2:$E$257, 4, false)), 0, vlookup($A499, ESPN!$B$2:$E$257, 4, false))</f>
        <v>0</v>
      </c>
      <c r="G499" s="27">
        <f>if(ISNA(vlookup($A499, FFToolbox!$B$2:$E$239, 4, false)), 0, vlookup($A499, FFToolbox!$B$2:$E$239, 4, false))</f>
        <v>0</v>
      </c>
      <c r="H499" s="27">
        <f>if(ISNA(vlookup($A499, FantasyPro!$B$2:$E$316, 4, false)), 0, vlookup($A499, FantasyPro!$B$2:$E$316, 4, false))</f>
        <v>0</v>
      </c>
      <c r="I499" s="27">
        <f>if(ISNA(vlookup($A499, RotoWire!$B$2:$E$681, 4, false)), 0, vlookup($A499, RotoWire!$B$2:$E$681, 4, false))</f>
        <v>0</v>
      </c>
      <c r="J499" s="28">
        <f t="shared" si="1"/>
        <v>0</v>
      </c>
      <c r="K499" s="28">
        <f t="shared" si="2"/>
        <v>0</v>
      </c>
    </row>
    <row r="500" hidden="1">
      <c r="A500" s="6" t="s">
        <v>464</v>
      </c>
      <c r="B500" s="25" t="s">
        <v>955</v>
      </c>
      <c r="C500" s="5" t="s">
        <v>69</v>
      </c>
      <c r="D500" s="5" t="s">
        <v>14</v>
      </c>
      <c r="E500" s="26">
        <f>vlookup(C500,'Team Bye List'!$A$1:$B$33,2,False)</f>
        <v>11</v>
      </c>
      <c r="F500" s="27">
        <f>if(ISNA(vlookup($A500, ESPN!$B$2:$E$257, 4, false)), 0, vlookup($A500, ESPN!$B$2:$E$257, 4, false))</f>
        <v>0</v>
      </c>
      <c r="G500" s="27">
        <f>if(ISNA(vlookup($A500, FFToolbox!$B$2:$E$239, 4, false)), 0, vlookup($A500, FFToolbox!$B$2:$E$239, 4, false))</f>
        <v>0</v>
      </c>
      <c r="H500" s="27">
        <f>if(ISNA(vlookup($A500, FantasyPro!$B$2:$E$316, 4, false)), 0, vlookup($A500, FantasyPro!$B$2:$E$316, 4, false))</f>
        <v>0</v>
      </c>
      <c r="I500" s="27">
        <f>if(ISNA(vlookup($A500, RotoWire!$B$2:$E$681, 4, false)), 0, vlookup($A500, RotoWire!$B$2:$E$681, 4, false))</f>
        <v>0</v>
      </c>
      <c r="J500" s="28">
        <f t="shared" si="1"/>
        <v>0</v>
      </c>
      <c r="K500" s="28">
        <f t="shared" si="2"/>
        <v>0</v>
      </c>
    </row>
    <row r="501">
      <c r="A501" s="6" t="s">
        <v>798</v>
      </c>
      <c r="B501" s="25" t="s">
        <v>955</v>
      </c>
      <c r="C501" s="5" t="s">
        <v>46</v>
      </c>
      <c r="D501" s="5" t="s">
        <v>39</v>
      </c>
      <c r="E501" s="26">
        <f>vlookup(C501,'Team Bye List'!$A$1:$B$33,2,False)</f>
        <v>10</v>
      </c>
      <c r="F501" s="27">
        <f>if(ISNA(vlookup($A501, ESPN!$B$2:$E$257, 4, false)), 0, vlookup($A501, ESPN!$B$2:$E$257, 4, false))</f>
        <v>0</v>
      </c>
      <c r="G501" s="27">
        <f>if(ISNA(vlookup($A501, FFToolbox!$B$2:$E$239, 4, false)), 0, vlookup($A501, FFToolbox!$B$2:$E$239, 4, false))</f>
        <v>0</v>
      </c>
      <c r="H501" s="27">
        <f>if(ISNA(vlookup($A501, FantasyPro!$B$2:$E$316, 4, false)), 0, vlookup($A501, FantasyPro!$B$2:$E$316, 4, false))</f>
        <v>0</v>
      </c>
      <c r="I501" s="27">
        <f>if(ISNA(vlookup($A501, RotoWire!$B$2:$E$681, 4, false)), 0, vlookup($A501, RotoWire!$B$2:$E$681, 4, false))</f>
        <v>0</v>
      </c>
      <c r="J501" s="28">
        <f t="shared" si="1"/>
        <v>0</v>
      </c>
      <c r="K501" s="28">
        <f t="shared" si="2"/>
        <v>0</v>
      </c>
    </row>
    <row r="502" hidden="1">
      <c r="A502" s="6" t="s">
        <v>209</v>
      </c>
      <c r="B502" s="25" t="s">
        <v>955</v>
      </c>
      <c r="C502" s="5" t="s">
        <v>163</v>
      </c>
      <c r="D502" s="5" t="s">
        <v>120</v>
      </c>
      <c r="E502" s="26">
        <f>vlookup(C502,'Team Bye List'!$A$1:$B$33,2,False)</f>
        <v>5</v>
      </c>
      <c r="F502" s="27">
        <f>if(ISNA(vlookup($A502, ESPN!$B$2:$E$257, 4, false)), 0, vlookup($A502, ESPN!$B$2:$E$257, 4, false))</f>
        <v>0</v>
      </c>
      <c r="G502" s="27">
        <f>if(ISNA(vlookup($A502, FFToolbox!$B$2:$E$239, 4, false)), 0, vlookup($A502, FFToolbox!$B$2:$E$239, 4, false))</f>
        <v>0</v>
      </c>
      <c r="H502" s="27">
        <f>if(ISNA(vlookup($A502, FantasyPro!$B$2:$E$316, 4, false)), 0, vlookup($A502, FantasyPro!$B$2:$E$316, 4, false))</f>
        <v>0</v>
      </c>
      <c r="I502" s="27">
        <f>if(ISNA(vlookup($A502, RotoWire!$B$2:$E$681, 4, false)), 0, vlookup($A502, RotoWire!$B$2:$E$681, 4, false))</f>
        <v>0</v>
      </c>
      <c r="J502" s="28">
        <f t="shared" si="1"/>
        <v>0</v>
      </c>
      <c r="K502" s="28">
        <f t="shared" si="2"/>
        <v>0</v>
      </c>
    </row>
    <row r="503" hidden="1">
      <c r="A503" s="8" t="s">
        <v>425</v>
      </c>
      <c r="B503" s="25" t="s">
        <v>955</v>
      </c>
      <c r="C503" s="5" t="s">
        <v>22</v>
      </c>
      <c r="D503" s="5" t="s">
        <v>12</v>
      </c>
      <c r="E503" s="26">
        <f>vlookup(C503,'Team Bye List'!$A$1:$B$33,2,False)</f>
        <v>7</v>
      </c>
      <c r="F503" s="27">
        <f>if(ISNA(vlookup($A503, ESPN!$B$2:$E$257, 4, false)), 0, vlookup($A503, ESPN!$B$2:$E$257, 4, false))</f>
        <v>0</v>
      </c>
      <c r="G503" s="27">
        <f>if(ISNA(vlookup($A503, FFToolbox!$B$2:$E$239, 4, false)), 0, vlookup($A503, FFToolbox!$B$2:$E$239, 4, false))</f>
        <v>0</v>
      </c>
      <c r="H503" s="27">
        <f>if(ISNA(vlookup($A503, FantasyPro!$B$2:$E$316, 4, false)), 0, vlookup($A503, FantasyPro!$B$2:$E$316, 4, false))</f>
        <v>0</v>
      </c>
      <c r="I503" s="27">
        <f>if(ISNA(vlookup($A503, RotoWire!$B$2:$E$681, 4, false)), 0, vlookup($A503, RotoWire!$B$2:$E$681, 4, false))</f>
        <v>0</v>
      </c>
      <c r="J503" s="28">
        <f t="shared" si="1"/>
        <v>0</v>
      </c>
      <c r="K503" s="28">
        <f t="shared" si="2"/>
        <v>0</v>
      </c>
    </row>
    <row r="504" hidden="1">
      <c r="A504" s="6" t="s">
        <v>226</v>
      </c>
      <c r="B504" s="25" t="s">
        <v>955</v>
      </c>
      <c r="C504" s="5" t="s">
        <v>9</v>
      </c>
      <c r="D504" s="5" t="s">
        <v>12</v>
      </c>
      <c r="E504" s="26">
        <f>vlookup(C504,'Team Bye List'!$A$1:$B$33,2,False)</f>
        <v>8</v>
      </c>
      <c r="F504" s="27">
        <f>if(ISNA(vlookup($A504, ESPN!$B$2:$E$257, 4, false)), 0, vlookup($A504, ESPN!$B$2:$E$257, 4, false))</f>
        <v>0</v>
      </c>
      <c r="G504" s="27">
        <f>if(ISNA(vlookup($A504, FFToolbox!$B$2:$E$239, 4, false)), 0, vlookup($A504, FFToolbox!$B$2:$E$239, 4, false))</f>
        <v>0</v>
      </c>
      <c r="H504" s="27">
        <f>if(ISNA(vlookup($A504, FantasyPro!$B$2:$E$316, 4, false)), 0, vlookup($A504, FantasyPro!$B$2:$E$316, 4, false))</f>
        <v>0</v>
      </c>
      <c r="I504" s="27">
        <f>if(ISNA(vlookup($A504, RotoWire!$B$2:$E$681, 4, false)), 0, vlookup($A504, RotoWire!$B$2:$E$681, 4, false))</f>
        <v>0</v>
      </c>
      <c r="J504" s="28">
        <f t="shared" si="1"/>
        <v>0</v>
      </c>
      <c r="K504" s="28">
        <f t="shared" si="2"/>
        <v>0</v>
      </c>
    </row>
    <row r="505" hidden="1">
      <c r="A505" s="6" t="s">
        <v>500</v>
      </c>
      <c r="B505" s="25" t="s">
        <v>955</v>
      </c>
      <c r="C505" s="5" t="s">
        <v>96</v>
      </c>
      <c r="D505" s="5" t="s">
        <v>14</v>
      </c>
      <c r="E505" s="26">
        <f>vlookup(C505,'Team Bye List'!$A$1:$B$33,2,False)</f>
        <v>6</v>
      </c>
      <c r="F505" s="27">
        <f>if(ISNA(vlookup($A505, ESPN!$B$2:$E$257, 4, false)), 0, vlookup($A505, ESPN!$B$2:$E$257, 4, false))</f>
        <v>0</v>
      </c>
      <c r="G505" s="27">
        <f>if(ISNA(vlookup($A505, FFToolbox!$B$2:$E$239, 4, false)), 0, vlookup($A505, FFToolbox!$B$2:$E$239, 4, false))</f>
        <v>0</v>
      </c>
      <c r="H505" s="27">
        <f>if(ISNA(vlookup($A505, FantasyPro!$B$2:$E$316, 4, false)), 0, vlookup($A505, FantasyPro!$B$2:$E$316, 4, false))</f>
        <v>0</v>
      </c>
      <c r="I505" s="27">
        <f>if(ISNA(vlookup($A505, RotoWire!$B$2:$E$681, 4, false)), 0, vlookup($A505, RotoWire!$B$2:$E$681, 4, false))</f>
        <v>0</v>
      </c>
      <c r="J505" s="28">
        <f t="shared" si="1"/>
        <v>0</v>
      </c>
      <c r="K505" s="28">
        <f t="shared" si="2"/>
        <v>0</v>
      </c>
    </row>
    <row r="506" hidden="1">
      <c r="A506" s="6" t="s">
        <v>533</v>
      </c>
      <c r="B506" s="25" t="s">
        <v>955</v>
      </c>
      <c r="C506" s="5" t="s">
        <v>22</v>
      </c>
      <c r="D506" s="5" t="s">
        <v>14</v>
      </c>
      <c r="E506" s="26">
        <f>vlookup(C506,'Team Bye List'!$A$1:$B$33,2,False)</f>
        <v>7</v>
      </c>
      <c r="F506" s="27">
        <f>if(ISNA(vlookup($A506, ESPN!$B$2:$E$257, 4, false)), 0, vlookup($A506, ESPN!$B$2:$E$257, 4, false))</f>
        <v>0</v>
      </c>
      <c r="G506" s="27">
        <f>if(ISNA(vlookup($A506, FFToolbox!$B$2:$E$239, 4, false)), 0, vlookup($A506, FFToolbox!$B$2:$E$239, 4, false))</f>
        <v>0</v>
      </c>
      <c r="H506" s="27">
        <f>if(ISNA(vlookup($A506, FantasyPro!$B$2:$E$316, 4, false)), 0, vlookup($A506, FantasyPro!$B$2:$E$316, 4, false))</f>
        <v>0</v>
      </c>
      <c r="I506" s="27">
        <f>if(ISNA(vlookup($A506, RotoWire!$B$2:$E$681, 4, false)), 0, vlookup($A506, RotoWire!$B$2:$E$681, 4, false))</f>
        <v>0</v>
      </c>
      <c r="J506" s="28">
        <f t="shared" si="1"/>
        <v>0</v>
      </c>
      <c r="K506" s="28">
        <f t="shared" si="2"/>
        <v>0</v>
      </c>
    </row>
    <row r="507">
      <c r="A507" s="6" t="s">
        <v>805</v>
      </c>
      <c r="B507" s="25" t="s">
        <v>955</v>
      </c>
      <c r="C507" s="5" t="s">
        <v>54</v>
      </c>
      <c r="D507" s="5" t="s">
        <v>39</v>
      </c>
      <c r="E507" s="26">
        <f>vlookup(C507,'Team Bye List'!$A$1:$B$33,2,False)</f>
        <v>9</v>
      </c>
      <c r="F507" s="27">
        <f>if(ISNA(vlookup($A507, ESPN!$B$2:$E$257, 4, false)), 0, vlookup($A507, ESPN!$B$2:$E$257, 4, false))</f>
        <v>0</v>
      </c>
      <c r="G507" s="27">
        <f>if(ISNA(vlookup($A507, FFToolbox!$B$2:$E$239, 4, false)), 0, vlookup($A507, FFToolbox!$B$2:$E$239, 4, false))</f>
        <v>0</v>
      </c>
      <c r="H507" s="27">
        <f>if(ISNA(vlookup($A507, FantasyPro!$B$2:$E$316, 4, false)), 0, vlookup($A507, FantasyPro!$B$2:$E$316, 4, false))</f>
        <v>0</v>
      </c>
      <c r="I507" s="27">
        <f>if(ISNA(vlookup($A507, RotoWire!$B$2:$E$681, 4, false)), 0, vlookup($A507, RotoWire!$B$2:$E$681, 4, false))</f>
        <v>0</v>
      </c>
      <c r="J507" s="28">
        <f t="shared" si="1"/>
        <v>0</v>
      </c>
      <c r="K507" s="28">
        <f t="shared" si="2"/>
        <v>0</v>
      </c>
    </row>
    <row r="508" hidden="1">
      <c r="A508" s="6" t="s">
        <v>353</v>
      </c>
      <c r="B508" s="25" t="s">
        <v>955</v>
      </c>
      <c r="C508" s="5" t="s">
        <v>122</v>
      </c>
      <c r="D508" s="5" t="s">
        <v>12</v>
      </c>
      <c r="E508" s="26">
        <f>vlookup(C508,'Team Bye List'!$A$1:$B$33,2,False)</f>
        <v>10</v>
      </c>
      <c r="F508" s="27">
        <f>if(ISNA(vlookup($A508, ESPN!$B$2:$E$257, 4, false)), 0, vlookup($A508, ESPN!$B$2:$E$257, 4, false))</f>
        <v>0</v>
      </c>
      <c r="G508" s="27">
        <f>if(ISNA(vlookup($A508, FFToolbox!$B$2:$E$239, 4, false)), 0, vlookup($A508, FFToolbox!$B$2:$E$239, 4, false))</f>
        <v>0</v>
      </c>
      <c r="H508" s="27">
        <f>if(ISNA(vlookup($A508, FantasyPro!$B$2:$E$316, 4, false)), 0, vlookup($A508, FantasyPro!$B$2:$E$316, 4, false))</f>
        <v>0</v>
      </c>
      <c r="I508" s="27">
        <f>if(ISNA(vlookup($A508, RotoWire!$B$2:$E$681, 4, false)), 0, vlookup($A508, RotoWire!$B$2:$E$681, 4, false))</f>
        <v>0</v>
      </c>
      <c r="J508" s="28">
        <f t="shared" si="1"/>
        <v>0</v>
      </c>
      <c r="K508" s="28">
        <f t="shared" si="2"/>
        <v>0</v>
      </c>
    </row>
    <row r="509" hidden="1">
      <c r="A509" s="6" t="s">
        <v>694</v>
      </c>
      <c r="B509" s="25" t="s">
        <v>955</v>
      </c>
      <c r="C509" s="5" t="s">
        <v>33</v>
      </c>
      <c r="D509" s="5" t="s">
        <v>7</v>
      </c>
      <c r="E509" s="26">
        <f>vlookup(C509,'Team Bye List'!$A$1:$B$33,2,False)</f>
        <v>4</v>
      </c>
      <c r="F509" s="27">
        <f>if(ISNA(vlookup($A509, ESPN!$B$2:$E$257, 4, false)), 0, vlookup($A509, ESPN!$B$2:$E$257, 4, false))</f>
        <v>0</v>
      </c>
      <c r="G509" s="27">
        <f>if(ISNA(vlookup($A509, FFToolbox!$B$2:$E$239, 4, false)), 0, vlookup($A509, FFToolbox!$B$2:$E$239, 4, false))</f>
        <v>0</v>
      </c>
      <c r="H509" s="27">
        <f>if(ISNA(vlookup($A509, FantasyPro!$B$2:$E$316, 4, false)), 0, vlookup($A509, FantasyPro!$B$2:$E$316, 4, false))</f>
        <v>0</v>
      </c>
      <c r="I509" s="27">
        <f>if(ISNA(vlookup($A509, RotoWire!$B$2:$E$681, 4, false)), 0, vlookup($A509, RotoWire!$B$2:$E$681, 4, false))</f>
        <v>0</v>
      </c>
      <c r="J509" s="28">
        <f t="shared" si="1"/>
        <v>0</v>
      </c>
      <c r="K509" s="28">
        <f t="shared" si="2"/>
        <v>0</v>
      </c>
    </row>
    <row r="510" hidden="1">
      <c r="A510" s="6" t="s">
        <v>569</v>
      </c>
      <c r="B510" s="25" t="s">
        <v>955</v>
      </c>
      <c r="C510" s="5" t="s">
        <v>165</v>
      </c>
      <c r="D510" s="5" t="s">
        <v>14</v>
      </c>
      <c r="E510" s="26">
        <f>vlookup(C510,'Team Bye List'!$A$1:$B$33,2,False)</f>
        <v>10</v>
      </c>
      <c r="F510" s="27">
        <f>if(ISNA(vlookup($A510, ESPN!$B$2:$E$257, 4, false)), 0, vlookup($A510, ESPN!$B$2:$E$257, 4, false))</f>
        <v>0</v>
      </c>
      <c r="G510" s="27">
        <f>if(ISNA(vlookup($A510, FFToolbox!$B$2:$E$239, 4, false)), 0, vlookup($A510, FFToolbox!$B$2:$E$239, 4, false))</f>
        <v>0</v>
      </c>
      <c r="H510" s="27">
        <f>if(ISNA(vlookup($A510, FantasyPro!$B$2:$E$316, 4, false)), 0, vlookup($A510, FantasyPro!$B$2:$E$316, 4, false))</f>
        <v>0</v>
      </c>
      <c r="I510" s="27">
        <f>if(ISNA(vlookup($A510, RotoWire!$B$2:$E$681, 4, false)), 0, vlookup($A510, RotoWire!$B$2:$E$681, 4, false))</f>
        <v>0</v>
      </c>
      <c r="J510" s="28">
        <f t="shared" si="1"/>
        <v>0</v>
      </c>
      <c r="K510" s="28">
        <f t="shared" si="2"/>
        <v>0</v>
      </c>
    </row>
    <row r="511" hidden="1">
      <c r="A511" s="6" t="s">
        <v>418</v>
      </c>
      <c r="B511" s="25" t="s">
        <v>955</v>
      </c>
      <c r="C511" s="5" t="s">
        <v>18</v>
      </c>
      <c r="D511" s="5" t="s">
        <v>12</v>
      </c>
      <c r="E511" s="26">
        <f>vlookup(C511,'Team Bye List'!$A$1:$B$33,2,False)</f>
        <v>10</v>
      </c>
      <c r="F511" s="27">
        <f>if(ISNA(vlookup($A511, ESPN!$B$2:$E$257, 4, false)), 0, vlookup($A511, ESPN!$B$2:$E$257, 4, false))</f>
        <v>0</v>
      </c>
      <c r="G511" s="27">
        <f>if(ISNA(vlookup($A511, FFToolbox!$B$2:$E$239, 4, false)), 0, vlookup($A511, FFToolbox!$B$2:$E$239, 4, false))</f>
        <v>0</v>
      </c>
      <c r="H511" s="27">
        <f>if(ISNA(vlookup($A511, FantasyPro!$B$2:$E$316, 4, false)), 0, vlookup($A511, FantasyPro!$B$2:$E$316, 4, false))</f>
        <v>0</v>
      </c>
      <c r="I511" s="27">
        <f>if(ISNA(vlookup($A511, RotoWire!$B$2:$E$681, 4, false)), 0, vlookup($A511, RotoWire!$B$2:$E$681, 4, false))</f>
        <v>0</v>
      </c>
      <c r="J511" s="28">
        <f t="shared" si="1"/>
        <v>0</v>
      </c>
      <c r="K511" s="28">
        <f t="shared" si="2"/>
        <v>0</v>
      </c>
    </row>
    <row r="512" hidden="1">
      <c r="A512" s="6" t="s">
        <v>690</v>
      </c>
      <c r="B512" s="25" t="s">
        <v>955</v>
      </c>
      <c r="C512" s="5" t="s">
        <v>50</v>
      </c>
      <c r="D512" s="5" t="s">
        <v>7</v>
      </c>
      <c r="E512" s="26">
        <f>vlookup(C512,'Team Bye List'!$A$1:$B$33,2,False)</f>
        <v>11</v>
      </c>
      <c r="F512" s="27">
        <f>if(ISNA(vlookup($A512, ESPN!$B$2:$E$257, 4, false)), 0, vlookup($A512, ESPN!$B$2:$E$257, 4, false))</f>
        <v>0</v>
      </c>
      <c r="G512" s="27">
        <f>if(ISNA(vlookup($A512, FFToolbox!$B$2:$E$239, 4, false)), 0, vlookup($A512, FFToolbox!$B$2:$E$239, 4, false))</f>
        <v>0</v>
      </c>
      <c r="H512" s="27">
        <f>if(ISNA(vlookup($A512, FantasyPro!$B$2:$E$316, 4, false)), 0, vlookup($A512, FantasyPro!$B$2:$E$316, 4, false))</f>
        <v>0</v>
      </c>
      <c r="I512" s="27">
        <f>if(ISNA(vlookup($A512, RotoWire!$B$2:$E$681, 4, false)), 0, vlookup($A512, RotoWire!$B$2:$E$681, 4, false))</f>
        <v>0</v>
      </c>
      <c r="J512" s="28">
        <f t="shared" si="1"/>
        <v>0</v>
      </c>
      <c r="K512" s="28">
        <f t="shared" si="2"/>
        <v>0</v>
      </c>
    </row>
    <row r="513" hidden="1">
      <c r="A513" s="6" t="s">
        <v>352</v>
      </c>
      <c r="B513" s="25" t="s">
        <v>955</v>
      </c>
      <c r="C513" s="5" t="s">
        <v>165</v>
      </c>
      <c r="D513" s="5" t="s">
        <v>12</v>
      </c>
      <c r="E513" s="26">
        <f>vlookup(C513,'Team Bye List'!$A$1:$B$33,2,False)</f>
        <v>10</v>
      </c>
      <c r="F513" s="27">
        <f>if(ISNA(vlookup($A513, ESPN!$B$2:$E$257, 4, false)), 0, vlookup($A513, ESPN!$B$2:$E$257, 4, false))</f>
        <v>0</v>
      </c>
      <c r="G513" s="27">
        <f>if(ISNA(vlookup($A513, FFToolbox!$B$2:$E$239, 4, false)), 0, vlookup($A513, FFToolbox!$B$2:$E$239, 4, false))</f>
        <v>0</v>
      </c>
      <c r="H513" s="27">
        <f>if(ISNA(vlookup($A513, FantasyPro!$B$2:$E$316, 4, false)), 0, vlookup($A513, FantasyPro!$B$2:$E$316, 4, false))</f>
        <v>0</v>
      </c>
      <c r="I513" s="27">
        <f>if(ISNA(vlookup($A513, RotoWire!$B$2:$E$681, 4, false)), 0, vlookup($A513, RotoWire!$B$2:$E$681, 4, false))</f>
        <v>0</v>
      </c>
      <c r="J513" s="28">
        <f t="shared" si="1"/>
        <v>0</v>
      </c>
      <c r="K513" s="28">
        <f t="shared" si="2"/>
        <v>0</v>
      </c>
    </row>
    <row r="514" hidden="1">
      <c r="A514" s="6" t="s">
        <v>618</v>
      </c>
      <c r="B514" s="25" t="s">
        <v>955</v>
      </c>
      <c r="C514" s="5" t="s">
        <v>71</v>
      </c>
      <c r="D514" s="5" t="s">
        <v>14</v>
      </c>
      <c r="E514" s="26">
        <f>vlookup(C514,'Team Bye List'!$A$1:$B$33,2,False)</f>
        <v>5</v>
      </c>
      <c r="F514" s="27">
        <f>if(ISNA(vlookup($A514, ESPN!$B$2:$E$257, 4, false)), 0, vlookup($A514, ESPN!$B$2:$E$257, 4, false))</f>
        <v>0</v>
      </c>
      <c r="G514" s="27">
        <f>if(ISNA(vlookup($A514, FFToolbox!$B$2:$E$239, 4, false)), 0, vlookup($A514, FFToolbox!$B$2:$E$239, 4, false))</f>
        <v>0</v>
      </c>
      <c r="H514" s="27">
        <f>if(ISNA(vlookup($A514, FantasyPro!$B$2:$E$316, 4, false)), 0, vlookup($A514, FantasyPro!$B$2:$E$316, 4, false))</f>
        <v>0</v>
      </c>
      <c r="I514" s="27">
        <f>if(ISNA(vlookup($A514, RotoWire!$B$2:$E$681, 4, false)), 0, vlookup($A514, RotoWire!$B$2:$E$681, 4, false))</f>
        <v>0</v>
      </c>
      <c r="J514" s="28">
        <f t="shared" si="1"/>
        <v>0</v>
      </c>
      <c r="K514" s="28">
        <f t="shared" si="2"/>
        <v>0</v>
      </c>
    </row>
    <row r="515" hidden="1">
      <c r="A515" s="6" t="s">
        <v>444</v>
      </c>
      <c r="B515" s="25" t="s">
        <v>955</v>
      </c>
      <c r="C515" s="5" t="s">
        <v>71</v>
      </c>
      <c r="D515" s="5" t="s">
        <v>12</v>
      </c>
      <c r="E515" s="26">
        <f>vlookup(C515,'Team Bye List'!$A$1:$B$33,2,False)</f>
        <v>5</v>
      </c>
      <c r="F515" s="27">
        <f>if(ISNA(vlookup($A515, ESPN!$B$2:$E$257, 4, false)), 0, vlookup($A515, ESPN!$B$2:$E$257, 4, false))</f>
        <v>0</v>
      </c>
      <c r="G515" s="27">
        <f>if(ISNA(vlookup($A515, FFToolbox!$B$2:$E$239, 4, false)), 0, vlookup($A515, FFToolbox!$B$2:$E$239, 4, false))</f>
        <v>0</v>
      </c>
      <c r="H515" s="27">
        <f>if(ISNA(vlookup($A515, FantasyPro!$B$2:$E$316, 4, false)), 0, vlookup($A515, FantasyPro!$B$2:$E$316, 4, false))</f>
        <v>0</v>
      </c>
      <c r="I515" s="27">
        <f>if(ISNA(vlookup($A515, RotoWire!$B$2:$E$681, 4, false)), 0, vlookup($A515, RotoWire!$B$2:$E$681, 4, false))</f>
        <v>0</v>
      </c>
      <c r="J515" s="28">
        <f t="shared" si="1"/>
        <v>0</v>
      </c>
      <c r="K515" s="28">
        <f t="shared" si="2"/>
        <v>0</v>
      </c>
    </row>
    <row r="516" hidden="1">
      <c r="A516" s="6" t="s">
        <v>299</v>
      </c>
      <c r="B516" s="25" t="s">
        <v>955</v>
      </c>
      <c r="C516" s="5" t="s">
        <v>71</v>
      </c>
      <c r="D516" s="5" t="s">
        <v>12</v>
      </c>
      <c r="E516" s="26">
        <f>vlookup(C516,'Team Bye List'!$A$1:$B$33,2,False)</f>
        <v>5</v>
      </c>
      <c r="F516" s="27">
        <f>if(ISNA(vlookup($A516, ESPN!$B$2:$E$257, 4, false)), 0, vlookup($A516, ESPN!$B$2:$E$257, 4, false))</f>
        <v>0</v>
      </c>
      <c r="G516" s="27">
        <f>if(ISNA(vlookup($A516, FFToolbox!$B$2:$E$239, 4, false)), 0, vlookup($A516, FFToolbox!$B$2:$E$239, 4, false))</f>
        <v>0</v>
      </c>
      <c r="H516" s="27">
        <f>if(ISNA(vlookup($A516, FantasyPro!$B$2:$E$316, 4, false)), 0, vlookup($A516, FantasyPro!$B$2:$E$316, 4, false))</f>
        <v>0</v>
      </c>
      <c r="I516" s="27">
        <f>if(ISNA(vlookup($A516, RotoWire!$B$2:$E$681, 4, false)), 0, vlookup($A516, RotoWire!$B$2:$E$681, 4, false))</f>
        <v>0</v>
      </c>
      <c r="J516" s="28">
        <f t="shared" si="1"/>
        <v>0</v>
      </c>
      <c r="K516" s="28">
        <f t="shared" si="2"/>
        <v>0</v>
      </c>
    </row>
    <row r="517" hidden="1">
      <c r="A517" s="6" t="s">
        <v>571</v>
      </c>
      <c r="B517" s="25" t="s">
        <v>955</v>
      </c>
      <c r="C517" s="5" t="s">
        <v>18</v>
      </c>
      <c r="D517" s="5" t="s">
        <v>14</v>
      </c>
      <c r="E517" s="26">
        <f>vlookup(C517,'Team Bye List'!$A$1:$B$33,2,False)</f>
        <v>10</v>
      </c>
      <c r="F517" s="27">
        <f>if(ISNA(vlookup($A517, ESPN!$B$2:$E$257, 4, false)), 0, vlookup($A517, ESPN!$B$2:$E$257, 4, false))</f>
        <v>0</v>
      </c>
      <c r="G517" s="27">
        <f>if(ISNA(vlookup($A517, FFToolbox!$B$2:$E$239, 4, false)), 0, vlookup($A517, FFToolbox!$B$2:$E$239, 4, false))</f>
        <v>0</v>
      </c>
      <c r="H517" s="27">
        <f>if(ISNA(vlookup($A517, FantasyPro!$B$2:$E$316, 4, false)), 0, vlookup($A517, FantasyPro!$B$2:$E$316, 4, false))</f>
        <v>0</v>
      </c>
      <c r="I517" s="27">
        <f>if(ISNA(vlookup($A517, RotoWire!$B$2:$E$681, 4, false)), 0, vlookup($A517, RotoWire!$B$2:$E$681, 4, false))</f>
        <v>0</v>
      </c>
      <c r="J517" s="28">
        <f t="shared" si="1"/>
        <v>0</v>
      </c>
      <c r="K517" s="28">
        <f t="shared" si="2"/>
        <v>0</v>
      </c>
    </row>
    <row r="518" hidden="1">
      <c r="A518" s="6" t="s">
        <v>369</v>
      </c>
      <c r="B518" s="25" t="s">
        <v>955</v>
      </c>
      <c r="C518" s="5" t="s">
        <v>59</v>
      </c>
      <c r="D518" s="5" t="s">
        <v>14</v>
      </c>
      <c r="E518" s="26">
        <f>vlookup(C518,'Team Bye List'!$A$1:$B$33,2,False)</f>
        <v>10</v>
      </c>
      <c r="F518" s="27">
        <f>if(ISNA(vlookup($A518, ESPN!$B$2:$E$257, 4, false)), 0, vlookup($A518, ESPN!$B$2:$E$257, 4, false))</f>
        <v>0</v>
      </c>
      <c r="G518" s="27">
        <f>if(ISNA(vlookup($A518, FFToolbox!$B$2:$E$239, 4, false)), 0, vlookup($A518, FFToolbox!$B$2:$E$239, 4, false))</f>
        <v>0</v>
      </c>
      <c r="H518" s="27">
        <f>if(ISNA(vlookup($A518, FantasyPro!$B$2:$E$316, 4, false)), 0, vlookup($A518, FantasyPro!$B$2:$E$316, 4, false))</f>
        <v>0</v>
      </c>
      <c r="I518" s="27">
        <f>if(ISNA(vlookup($A518, RotoWire!$B$2:$E$681, 4, false)), 0, vlookup($A518, RotoWire!$B$2:$E$681, 4, false))</f>
        <v>0</v>
      </c>
      <c r="J518" s="28">
        <f t="shared" si="1"/>
        <v>0</v>
      </c>
      <c r="K518" s="28">
        <f t="shared" si="2"/>
        <v>0</v>
      </c>
    </row>
    <row r="519">
      <c r="A519" s="8" t="s">
        <v>780</v>
      </c>
      <c r="B519" s="25" t="s">
        <v>955</v>
      </c>
      <c r="C519" s="5" t="s">
        <v>104</v>
      </c>
      <c r="D519" s="5" t="s">
        <v>39</v>
      </c>
      <c r="E519" s="26">
        <f>vlookup(C519,'Team Bye List'!$A$1:$B$33,2,False)</f>
        <v>8</v>
      </c>
      <c r="F519" s="27">
        <f>if(ISNA(vlookup($A519, ESPN!$B$2:$E$257, 4, false)), 0, vlookup($A519, ESPN!$B$2:$E$257, 4, false))</f>
        <v>0</v>
      </c>
      <c r="G519" s="27">
        <f>if(ISNA(vlookup($A519, FFToolbox!$B$2:$E$239, 4, false)), 0, vlookup($A519, FFToolbox!$B$2:$E$239, 4, false))</f>
        <v>0</v>
      </c>
      <c r="H519" s="27">
        <f>if(ISNA(vlookup($A519, FantasyPro!$B$2:$E$316, 4, false)), 0, vlookup($A519, FantasyPro!$B$2:$E$316, 4, false))</f>
        <v>0</v>
      </c>
      <c r="I519" s="27">
        <f>if(ISNA(vlookup($A519, RotoWire!$B$2:$E$681, 4, false)), 0, vlookup($A519, RotoWire!$B$2:$E$681, 4, false))</f>
        <v>0</v>
      </c>
      <c r="J519" s="28">
        <f t="shared" si="1"/>
        <v>0</v>
      </c>
      <c r="K519" s="28">
        <f t="shared" si="2"/>
        <v>0</v>
      </c>
    </row>
    <row r="520">
      <c r="A520" s="8" t="s">
        <v>628</v>
      </c>
      <c r="B520" s="25" t="s">
        <v>955</v>
      </c>
      <c r="C520" s="5" t="s">
        <v>122</v>
      </c>
      <c r="D520" s="5" t="s">
        <v>39</v>
      </c>
      <c r="E520" s="26">
        <f>vlookup(C520,'Team Bye List'!$A$1:$B$33,2,False)</f>
        <v>10</v>
      </c>
      <c r="F520" s="27">
        <f>if(ISNA(vlookup($A520, ESPN!$B$2:$E$257, 4, false)), 0, vlookup($A520, ESPN!$B$2:$E$257, 4, false))</f>
        <v>0</v>
      </c>
      <c r="G520" s="27">
        <f>if(ISNA(vlookup($A520, FFToolbox!$B$2:$E$239, 4, false)), 0, vlookup($A520, FFToolbox!$B$2:$E$239, 4, false))</f>
        <v>0</v>
      </c>
      <c r="H520" s="27">
        <f>if(ISNA(vlookup($A520, FantasyPro!$B$2:$E$316, 4, false)), 0, vlookup($A520, FantasyPro!$B$2:$E$316, 4, false))</f>
        <v>0</v>
      </c>
      <c r="I520" s="27">
        <f>if(ISNA(vlookup($A520, RotoWire!$B$2:$E$681, 4, false)), 0, vlookup($A520, RotoWire!$B$2:$E$681, 4, false))</f>
        <v>0</v>
      </c>
      <c r="J520" s="28">
        <f t="shared" si="1"/>
        <v>0</v>
      </c>
      <c r="K520" s="28">
        <f t="shared" si="2"/>
        <v>0</v>
      </c>
    </row>
    <row r="521">
      <c r="A521" s="6" t="s">
        <v>810</v>
      </c>
      <c r="B521" s="25" t="s">
        <v>955</v>
      </c>
      <c r="C521" s="5" t="s">
        <v>18</v>
      </c>
      <c r="D521" s="5" t="s">
        <v>39</v>
      </c>
      <c r="E521" s="26">
        <f>vlookup(C521,'Team Bye List'!$A$1:$B$33,2,False)</f>
        <v>10</v>
      </c>
      <c r="F521" s="27">
        <f>if(ISNA(vlookup($A521, ESPN!$B$2:$E$257, 4, false)), 0, vlookup($A521, ESPN!$B$2:$E$257, 4, false))</f>
        <v>0</v>
      </c>
      <c r="G521" s="27">
        <f>if(ISNA(vlookup($A521, FFToolbox!$B$2:$E$239, 4, false)), 0, vlookup($A521, FFToolbox!$B$2:$E$239, 4, false))</f>
        <v>0</v>
      </c>
      <c r="H521" s="27">
        <f>if(ISNA(vlookup($A521, FantasyPro!$B$2:$E$316, 4, false)), 0, vlookup($A521, FantasyPro!$B$2:$E$316, 4, false))</f>
        <v>0</v>
      </c>
      <c r="I521" s="27">
        <f>if(ISNA(vlookup($A521, RotoWire!$B$2:$E$681, 4, false)), 0, vlookup($A521, RotoWire!$B$2:$E$681, 4, false))</f>
        <v>0</v>
      </c>
      <c r="J521" s="28">
        <f t="shared" si="1"/>
        <v>0</v>
      </c>
      <c r="K521" s="28">
        <f t="shared" si="2"/>
        <v>0</v>
      </c>
    </row>
    <row r="522" hidden="1">
      <c r="A522" s="6" t="s">
        <v>289</v>
      </c>
      <c r="B522" s="25" t="s">
        <v>955</v>
      </c>
      <c r="C522" s="5" t="s">
        <v>54</v>
      </c>
      <c r="D522" s="5" t="s">
        <v>14</v>
      </c>
      <c r="E522" s="26">
        <f>vlookup(C522,'Team Bye List'!$A$1:$B$33,2,False)</f>
        <v>9</v>
      </c>
      <c r="F522" s="27">
        <f>if(ISNA(vlookup($A522, ESPN!$B$2:$E$257, 4, false)), 0, vlookup($A522, ESPN!$B$2:$E$257, 4, false))</f>
        <v>0</v>
      </c>
      <c r="G522" s="27">
        <f>if(ISNA(vlookup($A522, FFToolbox!$B$2:$E$239, 4, false)), 0, vlookup($A522, FFToolbox!$B$2:$E$239, 4, false))</f>
        <v>0</v>
      </c>
      <c r="H522" s="27">
        <f>if(ISNA(vlookup($A522, FantasyPro!$B$2:$E$316, 4, false)), 0, vlookup($A522, FantasyPro!$B$2:$E$316, 4, false))</f>
        <v>0</v>
      </c>
      <c r="I522" s="27">
        <f>if(ISNA(vlookup($A522, RotoWire!$B$2:$E$681, 4, false)), 0, vlookup($A522, RotoWire!$B$2:$E$681, 4, false))</f>
        <v>0</v>
      </c>
      <c r="J522" s="28">
        <f t="shared" si="1"/>
        <v>0</v>
      </c>
      <c r="K522" s="28">
        <f t="shared" si="2"/>
        <v>0</v>
      </c>
    </row>
    <row r="523" hidden="1">
      <c r="A523" s="6" t="s">
        <v>541</v>
      </c>
      <c r="B523" s="25" t="s">
        <v>955</v>
      </c>
      <c r="C523" s="5" t="s">
        <v>69</v>
      </c>
      <c r="D523" s="5" t="s">
        <v>14</v>
      </c>
      <c r="E523" s="26">
        <f>vlookup(C523,'Team Bye List'!$A$1:$B$33,2,False)</f>
        <v>11</v>
      </c>
      <c r="F523" s="27">
        <f>if(ISNA(vlookup($A523, ESPN!$B$2:$E$257, 4, false)), 0, vlookup($A523, ESPN!$B$2:$E$257, 4, false))</f>
        <v>0</v>
      </c>
      <c r="G523" s="27">
        <f>if(ISNA(vlookup($A523, FFToolbox!$B$2:$E$239, 4, false)), 0, vlookup($A523, FFToolbox!$B$2:$E$239, 4, false))</f>
        <v>0</v>
      </c>
      <c r="H523" s="27">
        <f>if(ISNA(vlookup($A523, FantasyPro!$B$2:$E$316, 4, false)), 0, vlookup($A523, FantasyPro!$B$2:$E$316, 4, false))</f>
        <v>0</v>
      </c>
      <c r="I523" s="27">
        <f>if(ISNA(vlookup($A523, RotoWire!$B$2:$E$681, 4, false)), 0, vlookup($A523, RotoWire!$B$2:$E$681, 4, false))</f>
        <v>0</v>
      </c>
      <c r="J523" s="28">
        <f t="shared" si="1"/>
        <v>0</v>
      </c>
      <c r="K523" s="28">
        <f t="shared" si="2"/>
        <v>0</v>
      </c>
    </row>
    <row r="524" hidden="1">
      <c r="A524" s="6" t="s">
        <v>588</v>
      </c>
      <c r="B524" s="25" t="s">
        <v>955</v>
      </c>
      <c r="C524" s="5" t="s">
        <v>35</v>
      </c>
      <c r="D524" s="5" t="s">
        <v>14</v>
      </c>
      <c r="E524" s="26">
        <f>vlookup(C524,'Team Bye List'!$A$1:$B$33,2,False)</f>
        <v>7</v>
      </c>
      <c r="F524" s="27">
        <f>if(ISNA(vlookup($A524, ESPN!$B$2:$E$257, 4, false)), 0, vlookup($A524, ESPN!$B$2:$E$257, 4, false))</f>
        <v>0</v>
      </c>
      <c r="G524" s="27">
        <f>if(ISNA(vlookup($A524, FFToolbox!$B$2:$E$239, 4, false)), 0, vlookup($A524, FFToolbox!$B$2:$E$239, 4, false))</f>
        <v>0</v>
      </c>
      <c r="H524" s="27">
        <f>if(ISNA(vlookup($A524, FantasyPro!$B$2:$E$316, 4, false)), 0, vlookup($A524, FantasyPro!$B$2:$E$316, 4, false))</f>
        <v>0</v>
      </c>
      <c r="I524" s="27">
        <f>if(ISNA(vlookup($A524, RotoWire!$B$2:$E$681, 4, false)), 0, vlookup($A524, RotoWire!$B$2:$E$681, 4, false))</f>
        <v>0</v>
      </c>
      <c r="J524" s="28">
        <f t="shared" si="1"/>
        <v>0</v>
      </c>
      <c r="K524" s="28">
        <f t="shared" si="2"/>
        <v>0</v>
      </c>
    </row>
    <row r="525" hidden="1">
      <c r="A525" s="6" t="s">
        <v>424</v>
      </c>
      <c r="B525" s="25" t="s">
        <v>955</v>
      </c>
      <c r="C525" s="5" t="s">
        <v>24</v>
      </c>
      <c r="D525" s="5" t="s">
        <v>12</v>
      </c>
      <c r="E525" s="26">
        <f>vlookup(C525,'Team Bye List'!$A$1:$B$33,2,False)</f>
        <v>9</v>
      </c>
      <c r="F525" s="27">
        <f>if(ISNA(vlookup($A525, ESPN!$B$2:$E$257, 4, false)), 0, vlookup($A525, ESPN!$B$2:$E$257, 4, false))</f>
        <v>0</v>
      </c>
      <c r="G525" s="27">
        <f>if(ISNA(vlookup($A525, FFToolbox!$B$2:$E$239, 4, false)), 0, vlookup($A525, FFToolbox!$B$2:$E$239, 4, false))</f>
        <v>0</v>
      </c>
      <c r="H525" s="27">
        <f>if(ISNA(vlookup($A525, FantasyPro!$B$2:$E$316, 4, false)), 0, vlookup($A525, FantasyPro!$B$2:$E$316, 4, false))</f>
        <v>0</v>
      </c>
      <c r="I525" s="27">
        <f>if(ISNA(vlookup($A525, RotoWire!$B$2:$E$681, 4, false)), 0, vlookup($A525, RotoWire!$B$2:$E$681, 4, false))</f>
        <v>0</v>
      </c>
      <c r="J525" s="28">
        <f t="shared" si="1"/>
        <v>0</v>
      </c>
      <c r="K525" s="28">
        <f t="shared" si="2"/>
        <v>0</v>
      </c>
    </row>
    <row r="526" hidden="1">
      <c r="A526" s="6" t="s">
        <v>527</v>
      </c>
      <c r="B526" s="25" t="s">
        <v>955</v>
      </c>
      <c r="C526" s="5" t="s">
        <v>24</v>
      </c>
      <c r="D526" s="5" t="s">
        <v>14</v>
      </c>
      <c r="E526" s="26">
        <f>vlookup(C526,'Team Bye List'!$A$1:$B$33,2,False)</f>
        <v>9</v>
      </c>
      <c r="F526" s="27">
        <f>if(ISNA(vlookup($A526, ESPN!$B$2:$E$257, 4, false)), 0, vlookup($A526, ESPN!$B$2:$E$257, 4, false))</f>
        <v>0</v>
      </c>
      <c r="G526" s="27">
        <f>if(ISNA(vlookup($A526, FFToolbox!$B$2:$E$239, 4, false)), 0, vlookup($A526, FFToolbox!$B$2:$E$239, 4, false))</f>
        <v>0</v>
      </c>
      <c r="H526" s="27">
        <f>if(ISNA(vlookup($A526, FantasyPro!$B$2:$E$316, 4, false)), 0, vlookup($A526, FantasyPro!$B$2:$E$316, 4, false))</f>
        <v>0</v>
      </c>
      <c r="I526" s="27">
        <f>if(ISNA(vlookup($A526, RotoWire!$B$2:$E$681, 4, false)), 0, vlookup($A526, RotoWire!$B$2:$E$681, 4, false))</f>
        <v>0</v>
      </c>
      <c r="J526" s="28">
        <f t="shared" si="1"/>
        <v>0</v>
      </c>
      <c r="K526" s="28">
        <f t="shared" si="2"/>
        <v>0</v>
      </c>
    </row>
    <row r="527" hidden="1">
      <c r="A527" s="6" t="s">
        <v>716</v>
      </c>
      <c r="B527" s="25" t="s">
        <v>955</v>
      </c>
      <c r="C527" s="5" t="s">
        <v>48</v>
      </c>
      <c r="D527" s="5" t="s">
        <v>7</v>
      </c>
      <c r="E527" s="26">
        <f>vlookup(C527,'Team Bye List'!$A$1:$B$33,2,False)</f>
        <v>6</v>
      </c>
      <c r="F527" s="27">
        <f>if(ISNA(vlookup($A527, ESPN!$B$2:$E$257, 4, false)), 0, vlookup($A527, ESPN!$B$2:$E$257, 4, false))</f>
        <v>0</v>
      </c>
      <c r="G527" s="27">
        <f>if(ISNA(vlookup($A527, FFToolbox!$B$2:$E$239, 4, false)), 0, vlookup($A527, FFToolbox!$B$2:$E$239, 4, false))</f>
        <v>0</v>
      </c>
      <c r="H527" s="27">
        <f>if(ISNA(vlookup($A527, FantasyPro!$B$2:$E$316, 4, false)), 0, vlookup($A527, FantasyPro!$B$2:$E$316, 4, false))</f>
        <v>0</v>
      </c>
      <c r="I527" s="27">
        <f>if(ISNA(vlookup($A527, RotoWire!$B$2:$E$681, 4, false)), 0, vlookup($A527, RotoWire!$B$2:$E$681, 4, false))</f>
        <v>0</v>
      </c>
      <c r="J527" s="28">
        <f t="shared" si="1"/>
        <v>0</v>
      </c>
      <c r="K527" s="28">
        <f t="shared" si="2"/>
        <v>0</v>
      </c>
    </row>
    <row r="528" hidden="1">
      <c r="A528" s="6" t="s">
        <v>344</v>
      </c>
      <c r="B528" s="25" t="s">
        <v>955</v>
      </c>
      <c r="C528" s="5" t="s">
        <v>50</v>
      </c>
      <c r="D528" s="5" t="s">
        <v>12</v>
      </c>
      <c r="E528" s="26">
        <f>vlookup(C528,'Team Bye List'!$A$1:$B$33,2,False)</f>
        <v>11</v>
      </c>
      <c r="F528" s="27">
        <f>if(ISNA(vlookup($A528, ESPN!$B$2:$E$257, 4, false)), 0, vlookup($A528, ESPN!$B$2:$E$257, 4, false))</f>
        <v>0</v>
      </c>
      <c r="G528" s="27">
        <f>if(ISNA(vlookup($A528, FFToolbox!$B$2:$E$239, 4, false)), 0, vlookup($A528, FFToolbox!$B$2:$E$239, 4, false))</f>
        <v>0</v>
      </c>
      <c r="H528" s="27">
        <f>if(ISNA(vlookup($A528, FantasyPro!$B$2:$E$316, 4, false)), 0, vlookup($A528, FantasyPro!$B$2:$E$316, 4, false))</f>
        <v>0</v>
      </c>
      <c r="I528" s="27">
        <f>if(ISNA(vlookup($A528, RotoWire!$B$2:$E$681, 4, false)), 0, vlookup($A528, RotoWire!$B$2:$E$681, 4, false))</f>
        <v>0</v>
      </c>
      <c r="J528" s="28">
        <f t="shared" si="1"/>
        <v>0</v>
      </c>
      <c r="K528" s="28">
        <f t="shared" si="2"/>
        <v>0</v>
      </c>
    </row>
    <row r="529" hidden="1">
      <c r="A529" s="6" t="s">
        <v>298</v>
      </c>
      <c r="B529" s="25" t="s">
        <v>955</v>
      </c>
      <c r="C529" s="5" t="s">
        <v>18</v>
      </c>
      <c r="D529" s="5" t="s">
        <v>12</v>
      </c>
      <c r="E529" s="26">
        <f>vlookup(C529,'Team Bye List'!$A$1:$B$33,2,False)</f>
        <v>10</v>
      </c>
      <c r="F529" s="27">
        <f>if(ISNA(vlookup($A529, ESPN!$B$2:$E$257, 4, false)), 0, vlookup($A529, ESPN!$B$2:$E$257, 4, false))</f>
        <v>0</v>
      </c>
      <c r="G529" s="27">
        <f>if(ISNA(vlookup($A529, FFToolbox!$B$2:$E$239, 4, false)), 0, vlookup($A529, FFToolbox!$B$2:$E$239, 4, false))</f>
        <v>0</v>
      </c>
      <c r="H529" s="27">
        <f>if(ISNA(vlookup($A529, FantasyPro!$B$2:$E$316, 4, false)), 0, vlookup($A529, FantasyPro!$B$2:$E$316, 4, false))</f>
        <v>0</v>
      </c>
      <c r="I529" s="27">
        <f>if(ISNA(vlookup($A529, RotoWire!$B$2:$E$681, 4, false)), 0, vlookup($A529, RotoWire!$B$2:$E$681, 4, false))</f>
        <v>0</v>
      </c>
      <c r="J529" s="28">
        <f t="shared" si="1"/>
        <v>0</v>
      </c>
      <c r="K529" s="28">
        <f t="shared" si="2"/>
        <v>0</v>
      </c>
    </row>
    <row r="530" hidden="1">
      <c r="A530" s="6" t="s">
        <v>428</v>
      </c>
      <c r="B530" s="25" t="s">
        <v>955</v>
      </c>
      <c r="C530" s="5" t="s">
        <v>54</v>
      </c>
      <c r="D530" s="5" t="s">
        <v>12</v>
      </c>
      <c r="E530" s="26">
        <f>vlookup(C530,'Team Bye List'!$A$1:$B$33,2,False)</f>
        <v>9</v>
      </c>
      <c r="F530" s="27">
        <f>if(ISNA(vlookup($A530, ESPN!$B$2:$E$257, 4, false)), 0, vlookup($A530, ESPN!$B$2:$E$257, 4, false))</f>
        <v>0</v>
      </c>
      <c r="G530" s="27">
        <f>if(ISNA(vlookup($A530, FFToolbox!$B$2:$E$239, 4, false)), 0, vlookup($A530, FFToolbox!$B$2:$E$239, 4, false))</f>
        <v>0</v>
      </c>
      <c r="H530" s="27">
        <f>if(ISNA(vlookup($A530, FantasyPro!$B$2:$E$316, 4, false)), 0, vlookup($A530, FantasyPro!$B$2:$E$316, 4, false))</f>
        <v>0</v>
      </c>
      <c r="I530" s="27">
        <f>if(ISNA(vlookup($A530, RotoWire!$B$2:$E$681, 4, false)), 0, vlookup($A530, RotoWire!$B$2:$E$681, 4, false))</f>
        <v>0</v>
      </c>
      <c r="J530" s="28">
        <f t="shared" si="1"/>
        <v>0</v>
      </c>
      <c r="K530" s="28">
        <f t="shared" si="2"/>
        <v>0</v>
      </c>
    </row>
    <row r="531" hidden="1">
      <c r="A531" s="8" t="s">
        <v>550</v>
      </c>
      <c r="B531" s="25" t="s">
        <v>955</v>
      </c>
      <c r="C531" s="5" t="s">
        <v>71</v>
      </c>
      <c r="D531" s="5" t="s">
        <v>14</v>
      </c>
      <c r="E531" s="26">
        <f>vlookup(C531,'Team Bye List'!$A$1:$B$33,2,False)</f>
        <v>5</v>
      </c>
      <c r="F531" s="27">
        <f>if(ISNA(vlookup($A531, ESPN!$B$2:$E$257, 4, false)), 0, vlookup($A531, ESPN!$B$2:$E$257, 4, false))</f>
        <v>0</v>
      </c>
      <c r="G531" s="27">
        <f>if(ISNA(vlookup($A531, FFToolbox!$B$2:$E$239, 4, false)), 0, vlookup($A531, FFToolbox!$B$2:$E$239, 4, false))</f>
        <v>0</v>
      </c>
      <c r="H531" s="27">
        <f>if(ISNA(vlookup($A531, FantasyPro!$B$2:$E$316, 4, false)), 0, vlookup($A531, FantasyPro!$B$2:$E$316, 4, false))</f>
        <v>0</v>
      </c>
      <c r="I531" s="27">
        <f>if(ISNA(vlookup($A531, RotoWire!$B$2:$E$681, 4, false)), 0, vlookup($A531, RotoWire!$B$2:$E$681, 4, false))</f>
        <v>0</v>
      </c>
      <c r="J531" s="28">
        <f t="shared" si="1"/>
        <v>0</v>
      </c>
      <c r="K531" s="28">
        <f t="shared" si="2"/>
        <v>0</v>
      </c>
    </row>
    <row r="532" hidden="1">
      <c r="A532" s="6" t="s">
        <v>415</v>
      </c>
      <c r="B532" s="25" t="s">
        <v>955</v>
      </c>
      <c r="C532" s="5" t="s">
        <v>37</v>
      </c>
      <c r="D532" s="5" t="s">
        <v>12</v>
      </c>
      <c r="E532" s="26">
        <f>vlookup(C532,'Team Bye List'!$A$1:$B$33,2,False)</f>
        <v>7</v>
      </c>
      <c r="F532" s="27">
        <f>if(ISNA(vlookup($A532, ESPN!$B$2:$E$257, 4, false)), 0, vlookup($A532, ESPN!$B$2:$E$257, 4, false))</f>
        <v>0</v>
      </c>
      <c r="G532" s="27">
        <f>if(ISNA(vlookup($A532, FFToolbox!$B$2:$E$239, 4, false)), 0, vlookup($A532, FFToolbox!$B$2:$E$239, 4, false))</f>
        <v>0</v>
      </c>
      <c r="H532" s="27">
        <f>if(ISNA(vlookup($A532, FantasyPro!$B$2:$E$316, 4, false)), 0, vlookup($A532, FantasyPro!$B$2:$E$316, 4, false))</f>
        <v>0</v>
      </c>
      <c r="I532" s="27">
        <f>if(ISNA(vlookup($A532, RotoWire!$B$2:$E$681, 4, false)), 0, vlookup($A532, RotoWire!$B$2:$E$681, 4, false))</f>
        <v>0</v>
      </c>
      <c r="J532" s="28">
        <f t="shared" si="1"/>
        <v>0</v>
      </c>
      <c r="K532" s="28">
        <f t="shared" si="2"/>
        <v>0</v>
      </c>
    </row>
    <row r="533" hidden="1">
      <c r="A533" s="6" t="s">
        <v>594</v>
      </c>
      <c r="B533" s="25" t="s">
        <v>955</v>
      </c>
      <c r="C533" s="5" t="s">
        <v>33</v>
      </c>
      <c r="D533" s="5" t="s">
        <v>14</v>
      </c>
      <c r="E533" s="26">
        <f>vlookup(C533,'Team Bye List'!$A$1:$B$33,2,False)</f>
        <v>4</v>
      </c>
      <c r="F533" s="27">
        <f>if(ISNA(vlookup($A533, ESPN!$B$2:$E$257, 4, false)), 0, vlookup($A533, ESPN!$B$2:$E$257, 4, false))</f>
        <v>0</v>
      </c>
      <c r="G533" s="27">
        <f>if(ISNA(vlookup($A533, FFToolbox!$B$2:$E$239, 4, false)), 0, vlookup($A533, FFToolbox!$B$2:$E$239, 4, false))</f>
        <v>0</v>
      </c>
      <c r="H533" s="27">
        <f>if(ISNA(vlookup($A533, FantasyPro!$B$2:$E$316, 4, false)), 0, vlookup($A533, FantasyPro!$B$2:$E$316, 4, false))</f>
        <v>0</v>
      </c>
      <c r="I533" s="27">
        <f>if(ISNA(vlookup($A533, RotoWire!$B$2:$E$681, 4, false)), 0, vlookup($A533, RotoWire!$B$2:$E$681, 4, false))</f>
        <v>0</v>
      </c>
      <c r="J533" s="28">
        <f t="shared" si="1"/>
        <v>0</v>
      </c>
      <c r="K533" s="28">
        <f t="shared" si="2"/>
        <v>0</v>
      </c>
    </row>
    <row r="534" hidden="1">
      <c r="A534" s="6" t="s">
        <v>664</v>
      </c>
      <c r="B534" s="25" t="s">
        <v>955</v>
      </c>
      <c r="C534" s="5" t="s">
        <v>22</v>
      </c>
      <c r="D534" s="5" t="s">
        <v>7</v>
      </c>
      <c r="E534" s="26">
        <f>vlookup(C534,'Team Bye List'!$A$1:$B$33,2,False)</f>
        <v>7</v>
      </c>
      <c r="F534" s="27">
        <f>if(ISNA(vlookup($A534, ESPN!$B$2:$E$257, 4, false)), 0, vlookup($A534, ESPN!$B$2:$E$257, 4, false))</f>
        <v>0</v>
      </c>
      <c r="G534" s="27">
        <f>if(ISNA(vlookup($A534, FFToolbox!$B$2:$E$239, 4, false)), 0, vlookup($A534, FFToolbox!$B$2:$E$239, 4, false))</f>
        <v>0</v>
      </c>
      <c r="H534" s="27">
        <f>if(ISNA(vlookup($A534, FantasyPro!$B$2:$E$316, 4, false)), 0, vlookup($A534, FantasyPro!$B$2:$E$316, 4, false))</f>
        <v>0</v>
      </c>
      <c r="I534" s="27">
        <f>if(ISNA(vlookup($A534, RotoWire!$B$2:$E$681, 4, false)), 0, vlookup($A534, RotoWire!$B$2:$E$681, 4, false))</f>
        <v>0</v>
      </c>
      <c r="J534" s="28">
        <f t="shared" si="1"/>
        <v>0</v>
      </c>
      <c r="K534" s="28">
        <f t="shared" si="2"/>
        <v>0</v>
      </c>
    </row>
    <row r="535" hidden="1">
      <c r="A535" s="6" t="s">
        <v>363</v>
      </c>
      <c r="B535" s="25" t="s">
        <v>955</v>
      </c>
      <c r="C535" s="5" t="s">
        <v>62</v>
      </c>
      <c r="D535" s="5" t="s">
        <v>14</v>
      </c>
      <c r="E535" s="26">
        <f>vlookup(C535,'Team Bye List'!$A$1:$B$33,2,False)</f>
        <v>12</v>
      </c>
      <c r="F535" s="27">
        <f>if(ISNA(vlookup($A535, ESPN!$B$2:$E$257, 4, false)), 0, vlookup($A535, ESPN!$B$2:$E$257, 4, false))</f>
        <v>0</v>
      </c>
      <c r="G535" s="27">
        <f>if(ISNA(vlookup($A535, FFToolbox!$B$2:$E$239, 4, false)), 0, vlookup($A535, FFToolbox!$B$2:$E$239, 4, false))</f>
        <v>0</v>
      </c>
      <c r="H535" s="27">
        <f>if(ISNA(vlookup($A535, FantasyPro!$B$2:$E$316, 4, false)), 0, vlookup($A535, FantasyPro!$B$2:$E$316, 4, false))</f>
        <v>0</v>
      </c>
      <c r="I535" s="27">
        <f>if(ISNA(vlookup($A535, RotoWire!$B$2:$E$681, 4, false)), 0, vlookup($A535, RotoWire!$B$2:$E$681, 4, false))</f>
        <v>0</v>
      </c>
      <c r="J535" s="28">
        <f t="shared" si="1"/>
        <v>0</v>
      </c>
      <c r="K535" s="28">
        <f t="shared" si="2"/>
        <v>0</v>
      </c>
    </row>
    <row r="536" hidden="1">
      <c r="A536" s="6" t="s">
        <v>272</v>
      </c>
      <c r="B536" s="25" t="s">
        <v>955</v>
      </c>
      <c r="C536" s="5" t="s">
        <v>18</v>
      </c>
      <c r="D536" s="5" t="s">
        <v>12</v>
      </c>
      <c r="E536" s="26">
        <f>vlookup(C536,'Team Bye List'!$A$1:$B$33,2,False)</f>
        <v>10</v>
      </c>
      <c r="F536" s="27">
        <f>if(ISNA(vlookup($A536, ESPN!$B$2:$E$257, 4, false)), 0, vlookup($A536, ESPN!$B$2:$E$257, 4, false))</f>
        <v>0</v>
      </c>
      <c r="G536" s="27">
        <f>if(ISNA(vlookup($A536, FFToolbox!$B$2:$E$239, 4, false)), 0, vlookup($A536, FFToolbox!$B$2:$E$239, 4, false))</f>
        <v>0</v>
      </c>
      <c r="H536" s="27">
        <f>if(ISNA(vlookup($A536, FantasyPro!$B$2:$E$316, 4, false)), 0, vlookup($A536, FantasyPro!$B$2:$E$316, 4, false))</f>
        <v>0</v>
      </c>
      <c r="I536" s="27">
        <f>if(ISNA(vlookup($A536, RotoWire!$B$2:$E$681, 4, false)), 0, vlookup($A536, RotoWire!$B$2:$E$681, 4, false))</f>
        <v>0</v>
      </c>
      <c r="J536" s="28">
        <f t="shared" si="1"/>
        <v>0</v>
      </c>
      <c r="K536" s="28">
        <f t="shared" si="2"/>
        <v>0</v>
      </c>
    </row>
    <row r="537" hidden="1">
      <c r="A537" s="6" t="s">
        <v>656</v>
      </c>
      <c r="B537" s="25" t="s">
        <v>955</v>
      </c>
      <c r="C537" s="5" t="s">
        <v>48</v>
      </c>
      <c r="D537" s="5" t="s">
        <v>7</v>
      </c>
      <c r="E537" s="26">
        <f>vlookup(C537,'Team Bye List'!$A$1:$B$33,2,False)</f>
        <v>6</v>
      </c>
      <c r="F537" s="27">
        <f>if(ISNA(vlookup($A537, ESPN!$B$2:$E$257, 4, false)), 0, vlookup($A537, ESPN!$B$2:$E$257, 4, false))</f>
        <v>0</v>
      </c>
      <c r="G537" s="27">
        <f>if(ISNA(vlookup($A537, FFToolbox!$B$2:$E$239, 4, false)), 0, vlookup($A537, FFToolbox!$B$2:$E$239, 4, false))</f>
        <v>0</v>
      </c>
      <c r="H537" s="27">
        <f>if(ISNA(vlookup($A537, FantasyPro!$B$2:$E$316, 4, false)), 0, vlookup($A537, FantasyPro!$B$2:$E$316, 4, false))</f>
        <v>0</v>
      </c>
      <c r="I537" s="27">
        <f>if(ISNA(vlookup($A537, RotoWire!$B$2:$E$681, 4, false)), 0, vlookup($A537, RotoWire!$B$2:$E$681, 4, false))</f>
        <v>0</v>
      </c>
      <c r="J537" s="28">
        <f t="shared" si="1"/>
        <v>0</v>
      </c>
      <c r="K537" s="28">
        <f t="shared" si="2"/>
        <v>0</v>
      </c>
    </row>
    <row r="538" hidden="1">
      <c r="A538" s="6" t="s">
        <v>260</v>
      </c>
      <c r="B538" s="25" t="s">
        <v>955</v>
      </c>
      <c r="C538" s="5" t="s">
        <v>165</v>
      </c>
      <c r="D538" s="5" t="s">
        <v>14</v>
      </c>
      <c r="E538" s="26">
        <f>vlookup(C538,'Team Bye List'!$A$1:$B$33,2,False)</f>
        <v>10</v>
      </c>
      <c r="F538" s="27">
        <f>if(ISNA(vlookup($A538, ESPN!$B$2:$E$257, 4, false)), 0, vlookup($A538, ESPN!$B$2:$E$257, 4, false))</f>
        <v>0</v>
      </c>
      <c r="G538" s="27">
        <f>if(ISNA(vlookup($A538, FFToolbox!$B$2:$E$239, 4, false)), 0, vlookup($A538, FFToolbox!$B$2:$E$239, 4, false))</f>
        <v>0</v>
      </c>
      <c r="H538" s="27">
        <f>if(ISNA(vlookup($A538, FantasyPro!$B$2:$E$316, 4, false)), 0, vlookup($A538, FantasyPro!$B$2:$E$316, 4, false))</f>
        <v>0</v>
      </c>
      <c r="I538" s="27">
        <f>if(ISNA(vlookup($A538, RotoWire!$B$2:$E$681, 4, false)), 0, vlookup($A538, RotoWire!$B$2:$E$681, 4, false))</f>
        <v>0</v>
      </c>
      <c r="J538" s="28">
        <f t="shared" si="1"/>
        <v>0</v>
      </c>
      <c r="K538" s="28">
        <f t="shared" si="2"/>
        <v>0</v>
      </c>
    </row>
    <row r="539" hidden="1">
      <c r="A539" s="6" t="s">
        <v>662</v>
      </c>
      <c r="B539" s="25" t="s">
        <v>955</v>
      </c>
      <c r="C539" s="5" t="s">
        <v>18</v>
      </c>
      <c r="D539" s="5" t="s">
        <v>7</v>
      </c>
      <c r="E539" s="26">
        <f>vlookup(C539,'Team Bye List'!$A$1:$B$33,2,False)</f>
        <v>10</v>
      </c>
      <c r="F539" s="27">
        <f>if(ISNA(vlookup($A539, ESPN!$B$2:$E$257, 4, false)), 0, vlookup($A539, ESPN!$B$2:$E$257, 4, false))</f>
        <v>0</v>
      </c>
      <c r="G539" s="27">
        <f>if(ISNA(vlookup($A539, FFToolbox!$B$2:$E$239, 4, false)), 0, vlookup($A539, FFToolbox!$B$2:$E$239, 4, false))</f>
        <v>0</v>
      </c>
      <c r="H539" s="27">
        <f>if(ISNA(vlookup($A539, FantasyPro!$B$2:$E$316, 4, false)), 0, vlookup($A539, FantasyPro!$B$2:$E$316, 4, false))</f>
        <v>0</v>
      </c>
      <c r="I539" s="27">
        <f>if(ISNA(vlookup($A539, RotoWire!$B$2:$E$681, 4, false)), 0, vlookup($A539, RotoWire!$B$2:$E$681, 4, false))</f>
        <v>0</v>
      </c>
      <c r="J539" s="28">
        <f t="shared" si="1"/>
        <v>0</v>
      </c>
      <c r="K539" s="28">
        <f t="shared" si="2"/>
        <v>0</v>
      </c>
    </row>
    <row r="540" hidden="1">
      <c r="A540" s="6" t="s">
        <v>334</v>
      </c>
      <c r="B540" s="25" t="s">
        <v>955</v>
      </c>
      <c r="C540" s="5" t="s">
        <v>16</v>
      </c>
      <c r="D540" s="5" t="s">
        <v>12</v>
      </c>
      <c r="E540" s="26">
        <f>vlookup(C540,'Team Bye List'!$A$1:$B$33,2,False)</f>
        <v>9</v>
      </c>
      <c r="F540" s="27">
        <f>if(ISNA(vlookup($A540, ESPN!$B$2:$E$257, 4, false)), 0, vlookup($A540, ESPN!$B$2:$E$257, 4, false))</f>
        <v>0</v>
      </c>
      <c r="G540" s="27">
        <f>if(ISNA(vlookup($A540, FFToolbox!$B$2:$E$239, 4, false)), 0, vlookup($A540, FFToolbox!$B$2:$E$239, 4, false))</f>
        <v>0</v>
      </c>
      <c r="H540" s="27">
        <f>if(ISNA(vlookup($A540, FantasyPro!$B$2:$E$316, 4, false)), 0, vlookup($A540, FantasyPro!$B$2:$E$316, 4, false))</f>
        <v>0</v>
      </c>
      <c r="I540" s="27">
        <f>if(ISNA(vlookup($A540, RotoWire!$B$2:$E$681, 4, false)), 0, vlookup($A540, RotoWire!$B$2:$E$681, 4, false))</f>
        <v>0</v>
      </c>
      <c r="J540" s="28">
        <f t="shared" si="1"/>
        <v>0</v>
      </c>
      <c r="K540" s="28">
        <f t="shared" si="2"/>
        <v>0</v>
      </c>
    </row>
    <row r="541">
      <c r="A541" s="6" t="s">
        <v>811</v>
      </c>
      <c r="B541" s="25" t="s">
        <v>955</v>
      </c>
      <c r="C541" s="5" t="s">
        <v>71</v>
      </c>
      <c r="D541" s="5" t="s">
        <v>39</v>
      </c>
      <c r="E541" s="26">
        <f>vlookup(C541,'Team Bye List'!$A$1:$B$33,2,False)</f>
        <v>5</v>
      </c>
      <c r="F541" s="27">
        <f>if(ISNA(vlookup($A541, ESPN!$B$2:$E$257, 4, false)), 0, vlookup($A541, ESPN!$B$2:$E$257, 4, false))</f>
        <v>0</v>
      </c>
      <c r="G541" s="27">
        <f>if(ISNA(vlookup($A541, FFToolbox!$B$2:$E$239, 4, false)), 0, vlookup($A541, FFToolbox!$B$2:$E$239, 4, false))</f>
        <v>0</v>
      </c>
      <c r="H541" s="27">
        <f>if(ISNA(vlookup($A541, FantasyPro!$B$2:$E$316, 4, false)), 0, vlookup($A541, FantasyPro!$B$2:$E$316, 4, false))</f>
        <v>0</v>
      </c>
      <c r="I541" s="27">
        <f>if(ISNA(vlookup($A541, RotoWire!$B$2:$E$681, 4, false)), 0, vlookup($A541, RotoWire!$B$2:$E$681, 4, false))</f>
        <v>0</v>
      </c>
      <c r="J541" s="28">
        <f t="shared" si="1"/>
        <v>0</v>
      </c>
      <c r="K541" s="28">
        <f t="shared" si="2"/>
        <v>0</v>
      </c>
    </row>
    <row r="542" hidden="1">
      <c r="A542" s="8" t="s">
        <v>203</v>
      </c>
      <c r="B542" s="25" t="s">
        <v>955</v>
      </c>
      <c r="C542" s="5" t="s">
        <v>91</v>
      </c>
      <c r="D542" s="5" t="s">
        <v>120</v>
      </c>
      <c r="E542" s="26">
        <f>vlookup(C542,'Team Bye List'!$A$1:$B$33,2,False)</f>
        <v>10</v>
      </c>
      <c r="F542" s="27">
        <f>if(ISNA(vlookup($A542, ESPN!$B$2:$E$257, 4, false)), 0, vlookup($A542, ESPN!$B$2:$E$257, 4, false))</f>
        <v>0</v>
      </c>
      <c r="G542" s="27">
        <f>if(ISNA(vlookup($A542, FFToolbox!$B$2:$E$239, 4, false)), 0, vlookup($A542, FFToolbox!$B$2:$E$239, 4, false))</f>
        <v>0</v>
      </c>
      <c r="H542" s="27">
        <f>if(ISNA(vlookup($A542, FantasyPro!$B$2:$E$316, 4, false)), 0, vlookup($A542, FantasyPro!$B$2:$E$316, 4, false))</f>
        <v>0</v>
      </c>
      <c r="I542" s="27">
        <f>if(ISNA(vlookup($A542, RotoWire!$B$2:$E$681, 4, false)), 0, vlookup($A542, RotoWire!$B$2:$E$681, 4, false))</f>
        <v>0</v>
      </c>
      <c r="J542" s="28">
        <f t="shared" si="1"/>
        <v>0</v>
      </c>
      <c r="K542" s="28">
        <f t="shared" si="2"/>
        <v>0</v>
      </c>
    </row>
    <row r="543" hidden="1">
      <c r="A543" s="6" t="s">
        <v>476</v>
      </c>
      <c r="B543" s="25" t="s">
        <v>955</v>
      </c>
      <c r="C543" s="5" t="s">
        <v>54</v>
      </c>
      <c r="D543" s="5" t="s">
        <v>14</v>
      </c>
      <c r="E543" s="26">
        <f>vlookup(C543,'Team Bye List'!$A$1:$B$33,2,False)</f>
        <v>9</v>
      </c>
      <c r="F543" s="27">
        <f>if(ISNA(vlookup($A543, ESPN!$B$2:$E$257, 4, false)), 0, vlookup($A543, ESPN!$B$2:$E$257, 4, false))</f>
        <v>0</v>
      </c>
      <c r="G543" s="27">
        <f>if(ISNA(vlookup($A543, FFToolbox!$B$2:$E$239, 4, false)), 0, vlookup($A543, FFToolbox!$B$2:$E$239, 4, false))</f>
        <v>0</v>
      </c>
      <c r="H543" s="27">
        <f>if(ISNA(vlookup($A543, FantasyPro!$B$2:$E$316, 4, false)), 0, vlookup($A543, FantasyPro!$B$2:$E$316, 4, false))</f>
        <v>0</v>
      </c>
      <c r="I543" s="27">
        <f>if(ISNA(vlookup($A543, RotoWire!$B$2:$E$681, 4, false)), 0, vlookup($A543, RotoWire!$B$2:$E$681, 4, false))</f>
        <v>0</v>
      </c>
      <c r="J543" s="28">
        <f t="shared" si="1"/>
        <v>0</v>
      </c>
      <c r="K543" s="28">
        <f t="shared" si="2"/>
        <v>0</v>
      </c>
    </row>
    <row r="544">
      <c r="A544" s="6" t="s">
        <v>754</v>
      </c>
      <c r="B544" s="25" t="s">
        <v>955</v>
      </c>
      <c r="C544" s="5" t="s">
        <v>59</v>
      </c>
      <c r="D544" s="5" t="s">
        <v>39</v>
      </c>
      <c r="E544" s="26">
        <f>vlookup(C544,'Team Bye List'!$A$1:$B$33,2,False)</f>
        <v>10</v>
      </c>
      <c r="F544" s="27">
        <f>if(ISNA(vlookup($A544, ESPN!$B$2:$E$257, 4, false)), 0, vlookup($A544, ESPN!$B$2:$E$257, 4, false))</f>
        <v>0</v>
      </c>
      <c r="G544" s="27">
        <f>if(ISNA(vlookup($A544, FFToolbox!$B$2:$E$239, 4, false)), 0, vlookup($A544, FFToolbox!$B$2:$E$239, 4, false))</f>
        <v>0</v>
      </c>
      <c r="H544" s="27">
        <f>if(ISNA(vlookup($A544, FantasyPro!$B$2:$E$316, 4, false)), 0, vlookup($A544, FantasyPro!$B$2:$E$316, 4, false))</f>
        <v>0</v>
      </c>
      <c r="I544" s="27">
        <f>if(ISNA(vlookup($A544, RotoWire!$B$2:$E$681, 4, false)), 0, vlookup($A544, RotoWire!$B$2:$E$681, 4, false))</f>
        <v>0</v>
      </c>
      <c r="J544" s="28">
        <f t="shared" si="1"/>
        <v>0</v>
      </c>
      <c r="K544" s="28">
        <f t="shared" si="2"/>
        <v>0</v>
      </c>
    </row>
    <row r="545" hidden="1">
      <c r="A545" s="6" t="s">
        <v>290</v>
      </c>
      <c r="B545" s="25" t="s">
        <v>955</v>
      </c>
      <c r="C545" s="5" t="s">
        <v>91</v>
      </c>
      <c r="D545" s="5" t="s">
        <v>12</v>
      </c>
      <c r="E545" s="26">
        <f>vlookup(C545,'Team Bye List'!$A$1:$B$33,2,False)</f>
        <v>10</v>
      </c>
      <c r="F545" s="27">
        <f>if(ISNA(vlookup($A545, ESPN!$B$2:$E$257, 4, false)), 0, vlookup($A545, ESPN!$B$2:$E$257, 4, false))</f>
        <v>0</v>
      </c>
      <c r="G545" s="27">
        <f>if(ISNA(vlookup($A545, FFToolbox!$B$2:$E$239, 4, false)), 0, vlookup($A545, FFToolbox!$B$2:$E$239, 4, false))</f>
        <v>0</v>
      </c>
      <c r="H545" s="27">
        <f>if(ISNA(vlookup($A545, FantasyPro!$B$2:$E$316, 4, false)), 0, vlookup($A545, FantasyPro!$B$2:$E$316, 4, false))</f>
        <v>0</v>
      </c>
      <c r="I545" s="27">
        <f>if(ISNA(vlookup($A545, RotoWire!$B$2:$E$681, 4, false)), 0, vlookup($A545, RotoWire!$B$2:$E$681, 4, false))</f>
        <v>0</v>
      </c>
      <c r="J545" s="28">
        <f t="shared" si="1"/>
        <v>0</v>
      </c>
      <c r="K545" s="28">
        <f t="shared" si="2"/>
        <v>0</v>
      </c>
    </row>
    <row r="546" hidden="1">
      <c r="A546" s="6" t="s">
        <v>379</v>
      </c>
      <c r="B546" s="25" t="s">
        <v>955</v>
      </c>
      <c r="C546" s="5" t="s">
        <v>59</v>
      </c>
      <c r="D546" s="5" t="s">
        <v>12</v>
      </c>
      <c r="E546" s="26">
        <f>vlookup(C546,'Team Bye List'!$A$1:$B$33,2,False)</f>
        <v>10</v>
      </c>
      <c r="F546" s="27">
        <f>if(ISNA(vlookup($A546, ESPN!$B$2:$E$257, 4, false)), 0, vlookup($A546, ESPN!$B$2:$E$257, 4, false))</f>
        <v>0</v>
      </c>
      <c r="G546" s="27">
        <f>if(ISNA(vlookup($A546, FFToolbox!$B$2:$E$239, 4, false)), 0, vlookup($A546, FFToolbox!$B$2:$E$239, 4, false))</f>
        <v>0</v>
      </c>
      <c r="H546" s="27">
        <f>if(ISNA(vlookup($A546, FantasyPro!$B$2:$E$316, 4, false)), 0, vlookup($A546, FantasyPro!$B$2:$E$316, 4, false))</f>
        <v>0</v>
      </c>
      <c r="I546" s="27">
        <f>if(ISNA(vlookup($A546, RotoWire!$B$2:$E$681, 4, false)), 0, vlookup($A546, RotoWire!$B$2:$E$681, 4, false))</f>
        <v>0</v>
      </c>
      <c r="J546" s="28">
        <f t="shared" si="1"/>
        <v>0</v>
      </c>
      <c r="K546" s="28">
        <f t="shared" si="2"/>
        <v>0</v>
      </c>
    </row>
    <row r="547" hidden="1">
      <c r="A547" s="6" t="s">
        <v>401</v>
      </c>
      <c r="B547" s="25" t="s">
        <v>955</v>
      </c>
      <c r="C547" s="5" t="s">
        <v>24</v>
      </c>
      <c r="D547" s="5" t="s">
        <v>14</v>
      </c>
      <c r="E547" s="26">
        <f>vlookup(C547,'Team Bye List'!$A$1:$B$33,2,False)</f>
        <v>9</v>
      </c>
      <c r="F547" s="27">
        <f>if(ISNA(vlookup($A547, ESPN!$B$2:$E$257, 4, false)), 0, vlookup($A547, ESPN!$B$2:$E$257, 4, false))</f>
        <v>0</v>
      </c>
      <c r="G547" s="27">
        <f>if(ISNA(vlookup($A547, FFToolbox!$B$2:$E$239, 4, false)), 0, vlookup($A547, FFToolbox!$B$2:$E$239, 4, false))</f>
        <v>0</v>
      </c>
      <c r="H547" s="27">
        <f>if(ISNA(vlookup($A547, FantasyPro!$B$2:$E$316, 4, false)), 0, vlookup($A547, FantasyPro!$B$2:$E$316, 4, false))</f>
        <v>0</v>
      </c>
      <c r="I547" s="27">
        <f>if(ISNA(vlookup($A547, RotoWire!$B$2:$E$681, 4, false)), 0, vlookup($A547, RotoWire!$B$2:$E$681, 4, false))</f>
        <v>0</v>
      </c>
      <c r="J547" s="28">
        <f t="shared" si="1"/>
        <v>0</v>
      </c>
      <c r="K547" s="28">
        <f t="shared" si="2"/>
        <v>0</v>
      </c>
    </row>
    <row r="548">
      <c r="A548" s="6" t="s">
        <v>658</v>
      </c>
      <c r="B548" s="25" t="s">
        <v>955</v>
      </c>
      <c r="C548" s="5" t="s">
        <v>163</v>
      </c>
      <c r="D548" s="5" t="s">
        <v>39</v>
      </c>
      <c r="E548" s="26">
        <f>vlookup(C548,'Team Bye List'!$A$1:$B$33,2,False)</f>
        <v>5</v>
      </c>
      <c r="F548" s="27">
        <f>if(ISNA(vlookup($A548, ESPN!$B$2:$E$257, 4, false)), 0, vlookup($A548, ESPN!$B$2:$E$257, 4, false))</f>
        <v>0</v>
      </c>
      <c r="G548" s="27">
        <f>if(ISNA(vlookup($A548, FFToolbox!$B$2:$E$239, 4, false)), 0, vlookup($A548, FFToolbox!$B$2:$E$239, 4, false))</f>
        <v>0</v>
      </c>
      <c r="H548" s="27">
        <f>if(ISNA(vlookup($A548, FantasyPro!$B$2:$E$316, 4, false)), 0, vlookup($A548, FantasyPro!$B$2:$E$316, 4, false))</f>
        <v>0</v>
      </c>
      <c r="I548" s="27">
        <f>if(ISNA(vlookup($A548, RotoWire!$B$2:$E$681, 4, false)), 0, vlookup($A548, RotoWire!$B$2:$E$681, 4, false))</f>
        <v>0</v>
      </c>
      <c r="J548" s="28">
        <f t="shared" si="1"/>
        <v>0</v>
      </c>
      <c r="K548" s="28">
        <f t="shared" si="2"/>
        <v>0</v>
      </c>
    </row>
    <row r="549" hidden="1">
      <c r="A549" s="8" t="s">
        <v>485</v>
      </c>
      <c r="B549" s="25" t="s">
        <v>955</v>
      </c>
      <c r="C549" s="5" t="s">
        <v>52</v>
      </c>
      <c r="D549" s="5" t="s">
        <v>14</v>
      </c>
      <c r="E549" s="26">
        <f>vlookup(C549,'Team Bye List'!$A$1:$B$33,2,False)</f>
        <v>4</v>
      </c>
      <c r="F549" s="27">
        <f>if(ISNA(vlookup($A549, ESPN!$B$2:$E$257, 4, false)), 0, vlookup($A549, ESPN!$B$2:$E$257, 4, false))</f>
        <v>0</v>
      </c>
      <c r="G549" s="27">
        <f>if(ISNA(vlookup($A549, FFToolbox!$B$2:$E$239, 4, false)), 0, vlookup($A549, FFToolbox!$B$2:$E$239, 4, false))</f>
        <v>0</v>
      </c>
      <c r="H549" s="27">
        <f>if(ISNA(vlookup($A549, FantasyPro!$B$2:$E$316, 4, false)), 0, vlookup($A549, FantasyPro!$B$2:$E$316, 4, false))</f>
        <v>0</v>
      </c>
      <c r="I549" s="27">
        <f>if(ISNA(vlookup($A549, RotoWire!$B$2:$E$681, 4, false)), 0, vlookup($A549, RotoWire!$B$2:$E$681, 4, false))</f>
        <v>0</v>
      </c>
      <c r="J549" s="28">
        <f t="shared" si="1"/>
        <v>0</v>
      </c>
      <c r="K549" s="28">
        <f t="shared" si="2"/>
        <v>0</v>
      </c>
    </row>
    <row r="550">
      <c r="A550" s="6" t="s">
        <v>761</v>
      </c>
      <c r="B550" s="25" t="s">
        <v>955</v>
      </c>
      <c r="C550" s="5" t="s">
        <v>35</v>
      </c>
      <c r="D550" s="5" t="s">
        <v>39</v>
      </c>
      <c r="E550" s="26">
        <f>vlookup(C550,'Team Bye List'!$A$1:$B$33,2,False)</f>
        <v>7</v>
      </c>
      <c r="F550" s="27">
        <f>if(ISNA(vlookup($A550, ESPN!$B$2:$E$257, 4, false)), 0, vlookup($A550, ESPN!$B$2:$E$257, 4, false))</f>
        <v>0</v>
      </c>
      <c r="G550" s="27">
        <f>if(ISNA(vlookup($A550, FFToolbox!$B$2:$E$239, 4, false)), 0, vlookup($A550, FFToolbox!$B$2:$E$239, 4, false))</f>
        <v>0</v>
      </c>
      <c r="H550" s="27">
        <f>if(ISNA(vlookup($A550, FantasyPro!$B$2:$E$316, 4, false)), 0, vlookup($A550, FantasyPro!$B$2:$E$316, 4, false))</f>
        <v>0</v>
      </c>
      <c r="I550" s="27">
        <f>if(ISNA(vlookup($A550, RotoWire!$B$2:$E$681, 4, false)), 0, vlookup($A550, RotoWire!$B$2:$E$681, 4, false))</f>
        <v>0</v>
      </c>
      <c r="J550" s="28">
        <f t="shared" si="1"/>
        <v>0</v>
      </c>
      <c r="K550" s="28">
        <f t="shared" si="2"/>
        <v>0</v>
      </c>
    </row>
    <row r="551" hidden="1">
      <c r="A551" s="6" t="s">
        <v>722</v>
      </c>
      <c r="B551" s="25" t="s">
        <v>955</v>
      </c>
      <c r="C551" s="5" t="s">
        <v>24</v>
      </c>
      <c r="D551" s="5" t="s">
        <v>7</v>
      </c>
      <c r="E551" s="26">
        <f>vlookup(C551,'Team Bye List'!$A$1:$B$33,2,False)</f>
        <v>9</v>
      </c>
      <c r="F551" s="27">
        <f>if(ISNA(vlookup($A551, ESPN!$B$2:$E$257, 4, false)), 0, vlookup($A551, ESPN!$B$2:$E$257, 4, false))</f>
        <v>0</v>
      </c>
      <c r="G551" s="27">
        <f>if(ISNA(vlookup($A551, FFToolbox!$B$2:$E$239, 4, false)), 0, vlookup($A551, FFToolbox!$B$2:$E$239, 4, false))</f>
        <v>0</v>
      </c>
      <c r="H551" s="27">
        <f>if(ISNA(vlookup($A551, FantasyPro!$B$2:$E$316, 4, false)), 0, vlookup($A551, FantasyPro!$B$2:$E$316, 4, false))</f>
        <v>0</v>
      </c>
      <c r="I551" s="27">
        <f>if(ISNA(vlookup($A551, RotoWire!$B$2:$E$681, 4, false)), 0, vlookup($A551, RotoWire!$B$2:$E$681, 4, false))</f>
        <v>0</v>
      </c>
      <c r="J551" s="28">
        <f t="shared" si="1"/>
        <v>0</v>
      </c>
      <c r="K551" s="28">
        <f t="shared" si="2"/>
        <v>0</v>
      </c>
    </row>
    <row r="552" hidden="1">
      <c r="A552" s="6" t="s">
        <v>408</v>
      </c>
      <c r="B552" s="25" t="s">
        <v>955</v>
      </c>
      <c r="C552" s="5" t="s">
        <v>20</v>
      </c>
      <c r="D552" s="5" t="s">
        <v>14</v>
      </c>
      <c r="E552" s="26">
        <f>vlookup(C552,'Team Bye List'!$A$1:$B$33,2,False)</f>
        <v>9</v>
      </c>
      <c r="F552" s="27">
        <f>if(ISNA(vlookup($A552, ESPN!$B$2:$E$257, 4, false)), 0, vlookup($A552, ESPN!$B$2:$E$257, 4, false))</f>
        <v>0</v>
      </c>
      <c r="G552" s="27">
        <f>if(ISNA(vlookup($A552, FFToolbox!$B$2:$E$239, 4, false)), 0, vlookup($A552, FFToolbox!$B$2:$E$239, 4, false))</f>
        <v>0</v>
      </c>
      <c r="H552" s="27">
        <f>if(ISNA(vlookup($A552, FantasyPro!$B$2:$E$316, 4, false)), 0, vlookup($A552, FantasyPro!$B$2:$E$316, 4, false))</f>
        <v>0</v>
      </c>
      <c r="I552" s="27">
        <f>if(ISNA(vlookup($A552, RotoWire!$B$2:$E$681, 4, false)), 0, vlookup($A552, RotoWire!$B$2:$E$681, 4, false))</f>
        <v>0</v>
      </c>
      <c r="J552" s="28">
        <f t="shared" si="1"/>
        <v>0</v>
      </c>
      <c r="K552" s="28">
        <f t="shared" si="2"/>
        <v>0</v>
      </c>
    </row>
    <row r="553" hidden="1">
      <c r="A553" s="6" t="s">
        <v>372</v>
      </c>
      <c r="B553" s="25" t="s">
        <v>955</v>
      </c>
      <c r="C553" s="5" t="s">
        <v>37</v>
      </c>
      <c r="D553" s="5" t="s">
        <v>14</v>
      </c>
      <c r="E553" s="26">
        <f>vlookup(C553,'Team Bye List'!$A$1:$B$33,2,False)</f>
        <v>7</v>
      </c>
      <c r="F553" s="27">
        <f>if(ISNA(vlookup($A553, ESPN!$B$2:$E$257, 4, false)), 0, vlookup($A553, ESPN!$B$2:$E$257, 4, false))</f>
        <v>0</v>
      </c>
      <c r="G553" s="27">
        <f>if(ISNA(vlookup($A553, FFToolbox!$B$2:$E$239, 4, false)), 0, vlookup($A553, FFToolbox!$B$2:$E$239, 4, false))</f>
        <v>0</v>
      </c>
      <c r="H553" s="27">
        <f>if(ISNA(vlookup($A553, FantasyPro!$B$2:$E$316, 4, false)), 0, vlookup($A553, FantasyPro!$B$2:$E$316, 4, false))</f>
        <v>0</v>
      </c>
      <c r="I553" s="27">
        <f>if(ISNA(vlookup($A553, RotoWire!$B$2:$E$681, 4, false)), 0, vlookup($A553, RotoWire!$B$2:$E$681, 4, false))</f>
        <v>0</v>
      </c>
      <c r="J553" s="28">
        <f t="shared" si="1"/>
        <v>0</v>
      </c>
      <c r="K553" s="28">
        <f t="shared" si="2"/>
        <v>0</v>
      </c>
    </row>
    <row r="554" hidden="1">
      <c r="A554" s="6" t="s">
        <v>520</v>
      </c>
      <c r="B554" s="25" t="s">
        <v>955</v>
      </c>
      <c r="C554" s="5" t="s">
        <v>122</v>
      </c>
      <c r="D554" s="5" t="s">
        <v>14</v>
      </c>
      <c r="E554" s="26">
        <f>vlookup(C554,'Team Bye List'!$A$1:$B$33,2,False)</f>
        <v>10</v>
      </c>
      <c r="F554" s="27">
        <f>if(ISNA(vlookup($A554, ESPN!$B$2:$E$257, 4, false)), 0, vlookup($A554, ESPN!$B$2:$E$257, 4, false))</f>
        <v>0</v>
      </c>
      <c r="G554" s="27">
        <f>if(ISNA(vlookup($A554, FFToolbox!$B$2:$E$239, 4, false)), 0, vlookup($A554, FFToolbox!$B$2:$E$239, 4, false))</f>
        <v>0</v>
      </c>
      <c r="H554" s="27">
        <f>if(ISNA(vlookup($A554, FantasyPro!$B$2:$E$316, 4, false)), 0, vlookup($A554, FantasyPro!$B$2:$E$316, 4, false))</f>
        <v>0</v>
      </c>
      <c r="I554" s="27">
        <f>if(ISNA(vlookup($A554, RotoWire!$B$2:$E$681, 4, false)), 0, vlookup($A554, RotoWire!$B$2:$E$681, 4, false))</f>
        <v>0</v>
      </c>
      <c r="J554" s="28">
        <f t="shared" si="1"/>
        <v>0</v>
      </c>
      <c r="K554" s="28">
        <f t="shared" si="2"/>
        <v>0</v>
      </c>
    </row>
    <row r="555" hidden="1">
      <c r="A555" s="6" t="s">
        <v>603</v>
      </c>
      <c r="B555" s="25" t="s">
        <v>955</v>
      </c>
      <c r="C555" s="5" t="s">
        <v>37</v>
      </c>
      <c r="D555" s="5" t="s">
        <v>14</v>
      </c>
      <c r="E555" s="26">
        <f>vlookup(C555,'Team Bye List'!$A$1:$B$33,2,False)</f>
        <v>7</v>
      </c>
      <c r="F555" s="27">
        <f>if(ISNA(vlookup($A555, ESPN!$B$2:$E$257, 4, false)), 0, vlookup($A555, ESPN!$B$2:$E$257, 4, false))</f>
        <v>0</v>
      </c>
      <c r="G555" s="27">
        <f>if(ISNA(vlookup($A555, FFToolbox!$B$2:$E$239, 4, false)), 0, vlookup($A555, FFToolbox!$B$2:$E$239, 4, false))</f>
        <v>0</v>
      </c>
      <c r="H555" s="27">
        <f>if(ISNA(vlookup($A555, FantasyPro!$B$2:$E$316, 4, false)), 0, vlookup($A555, FantasyPro!$B$2:$E$316, 4, false))</f>
        <v>0</v>
      </c>
      <c r="I555" s="27">
        <f>if(ISNA(vlookup($A555, RotoWire!$B$2:$E$681, 4, false)), 0, vlookup($A555, RotoWire!$B$2:$E$681, 4, false))</f>
        <v>0</v>
      </c>
      <c r="J555" s="28">
        <f t="shared" si="1"/>
        <v>0</v>
      </c>
      <c r="K555" s="28">
        <f t="shared" si="2"/>
        <v>0</v>
      </c>
    </row>
    <row r="556" hidden="1">
      <c r="A556" s="6" t="s">
        <v>400</v>
      </c>
      <c r="B556" s="25" t="s">
        <v>955</v>
      </c>
      <c r="C556" s="5" t="s">
        <v>33</v>
      </c>
      <c r="D556" s="5" t="s">
        <v>12</v>
      </c>
      <c r="E556" s="26">
        <f>vlookup(C556,'Team Bye List'!$A$1:$B$33,2,False)</f>
        <v>4</v>
      </c>
      <c r="F556" s="27">
        <f>if(ISNA(vlookup($A556, ESPN!$B$2:$E$257, 4, false)), 0, vlookup($A556, ESPN!$B$2:$E$257, 4, false))</f>
        <v>0</v>
      </c>
      <c r="G556" s="27">
        <f>if(ISNA(vlookup($A556, FFToolbox!$B$2:$E$239, 4, false)), 0, vlookup($A556, FFToolbox!$B$2:$E$239, 4, false))</f>
        <v>0</v>
      </c>
      <c r="H556" s="27">
        <f>if(ISNA(vlookup($A556, FantasyPro!$B$2:$E$316, 4, false)), 0, vlookup($A556, FantasyPro!$B$2:$E$316, 4, false))</f>
        <v>0</v>
      </c>
      <c r="I556" s="27">
        <f>if(ISNA(vlookup($A556, RotoWire!$B$2:$E$681, 4, false)), 0, vlookup($A556, RotoWire!$B$2:$E$681, 4, false))</f>
        <v>0</v>
      </c>
      <c r="J556" s="28">
        <f t="shared" si="1"/>
        <v>0</v>
      </c>
      <c r="K556" s="28">
        <f t="shared" si="2"/>
        <v>0</v>
      </c>
    </row>
    <row r="557" hidden="1">
      <c r="A557" s="6" t="s">
        <v>339</v>
      </c>
      <c r="B557" s="25" t="s">
        <v>955</v>
      </c>
      <c r="C557" s="5" t="s">
        <v>18</v>
      </c>
      <c r="D557" s="5" t="s">
        <v>12</v>
      </c>
      <c r="E557" s="26">
        <f>vlookup(C557,'Team Bye List'!$A$1:$B$33,2,False)</f>
        <v>10</v>
      </c>
      <c r="F557" s="27">
        <f>if(ISNA(vlookup($A557, ESPN!$B$2:$E$257, 4, false)), 0, vlookup($A557, ESPN!$B$2:$E$257, 4, false))</f>
        <v>0</v>
      </c>
      <c r="G557" s="27">
        <f>if(ISNA(vlookup($A557, FFToolbox!$B$2:$E$239, 4, false)), 0, vlookup($A557, FFToolbox!$B$2:$E$239, 4, false))</f>
        <v>0</v>
      </c>
      <c r="H557" s="27">
        <f>if(ISNA(vlookup($A557, FantasyPro!$B$2:$E$316, 4, false)), 0, vlookup($A557, FantasyPro!$B$2:$E$316, 4, false))</f>
        <v>0</v>
      </c>
      <c r="I557" s="27">
        <f>if(ISNA(vlookup($A557, RotoWire!$B$2:$E$681, 4, false)), 0, vlookup($A557, RotoWire!$B$2:$E$681, 4, false))</f>
        <v>0</v>
      </c>
      <c r="J557" s="28">
        <f t="shared" si="1"/>
        <v>0</v>
      </c>
      <c r="K557" s="28">
        <f t="shared" si="2"/>
        <v>0</v>
      </c>
    </row>
    <row r="558" hidden="1">
      <c r="A558" s="6" t="s">
        <v>567</v>
      </c>
      <c r="B558" s="25" t="s">
        <v>955</v>
      </c>
      <c r="C558" s="5" t="s">
        <v>50</v>
      </c>
      <c r="D558" s="5" t="s">
        <v>14</v>
      </c>
      <c r="E558" s="26">
        <f>vlookup(C558,'Team Bye List'!$A$1:$B$33,2,False)</f>
        <v>11</v>
      </c>
      <c r="F558" s="27">
        <f>if(ISNA(vlookup($A558, ESPN!$B$2:$E$257, 4, false)), 0, vlookup($A558, ESPN!$B$2:$E$257, 4, false))</f>
        <v>0</v>
      </c>
      <c r="G558" s="27">
        <f>if(ISNA(vlookup($A558, FFToolbox!$B$2:$E$239, 4, false)), 0, vlookup($A558, FFToolbox!$B$2:$E$239, 4, false))</f>
        <v>0</v>
      </c>
      <c r="H558" s="27">
        <f>if(ISNA(vlookup($A558, FantasyPro!$B$2:$E$316, 4, false)), 0, vlookup($A558, FantasyPro!$B$2:$E$316, 4, false))</f>
        <v>0</v>
      </c>
      <c r="I558" s="27">
        <f>if(ISNA(vlookup($A558, RotoWire!$B$2:$E$681, 4, false)), 0, vlookup($A558, RotoWire!$B$2:$E$681, 4, false))</f>
        <v>0</v>
      </c>
      <c r="J558" s="28">
        <f t="shared" si="1"/>
        <v>0</v>
      </c>
      <c r="K558" s="28">
        <f t="shared" si="2"/>
        <v>0</v>
      </c>
    </row>
    <row r="559" hidden="1">
      <c r="A559" s="6" t="s">
        <v>681</v>
      </c>
      <c r="B559" s="25" t="s">
        <v>955</v>
      </c>
      <c r="C559" s="5" t="s">
        <v>18</v>
      </c>
      <c r="D559" s="5" t="s">
        <v>7</v>
      </c>
      <c r="E559" s="26">
        <f>vlookup(C559,'Team Bye List'!$A$1:$B$33,2,False)</f>
        <v>10</v>
      </c>
      <c r="F559" s="27">
        <f>if(ISNA(vlookup($A559, ESPN!$B$2:$E$257, 4, false)), 0, vlookup($A559, ESPN!$B$2:$E$257, 4, false))</f>
        <v>0</v>
      </c>
      <c r="G559" s="27">
        <f>if(ISNA(vlookup($A559, FFToolbox!$B$2:$E$239, 4, false)), 0, vlookup($A559, FFToolbox!$B$2:$E$239, 4, false))</f>
        <v>0</v>
      </c>
      <c r="H559" s="27">
        <f>if(ISNA(vlookup($A559, FantasyPro!$B$2:$E$316, 4, false)), 0, vlookup($A559, FantasyPro!$B$2:$E$316, 4, false))</f>
        <v>0</v>
      </c>
      <c r="I559" s="27">
        <f>if(ISNA(vlookup($A559, RotoWire!$B$2:$E$681, 4, false)), 0, vlookup($A559, RotoWire!$B$2:$E$681, 4, false))</f>
        <v>0</v>
      </c>
      <c r="J559" s="28">
        <f t="shared" si="1"/>
        <v>0</v>
      </c>
      <c r="K559" s="28">
        <f t="shared" si="2"/>
        <v>0</v>
      </c>
    </row>
    <row r="560" hidden="1">
      <c r="A560" s="8" t="s">
        <v>395</v>
      </c>
      <c r="B560" s="25" t="s">
        <v>955</v>
      </c>
      <c r="C560" s="5" t="s">
        <v>91</v>
      </c>
      <c r="D560" s="5" t="s">
        <v>14</v>
      </c>
      <c r="E560" s="26">
        <f>vlookup(C560,'Team Bye List'!$A$1:$B$33,2,False)</f>
        <v>10</v>
      </c>
      <c r="F560" s="27">
        <f>if(ISNA(vlookup($A560, ESPN!$B$2:$E$257, 4, false)), 0, vlookup($A560, ESPN!$B$2:$E$257, 4, false))</f>
        <v>0</v>
      </c>
      <c r="G560" s="27">
        <f>if(ISNA(vlookup($A560, FFToolbox!$B$2:$E$239, 4, false)), 0, vlookup($A560, FFToolbox!$B$2:$E$239, 4, false))</f>
        <v>0</v>
      </c>
      <c r="H560" s="27">
        <f>if(ISNA(vlookup($A560, FantasyPro!$B$2:$E$316, 4, false)), 0, vlookup($A560, FantasyPro!$B$2:$E$316, 4, false))</f>
        <v>0</v>
      </c>
      <c r="I560" s="27">
        <f>if(ISNA(vlookup($A560, RotoWire!$B$2:$E$681, 4, false)), 0, vlookup($A560, RotoWire!$B$2:$E$681, 4, false))</f>
        <v>0</v>
      </c>
      <c r="J560" s="28">
        <f t="shared" si="1"/>
        <v>0</v>
      </c>
      <c r="K560" s="28">
        <f t="shared" si="2"/>
        <v>0</v>
      </c>
    </row>
    <row r="561" hidden="1">
      <c r="A561" s="6" t="s">
        <v>521</v>
      </c>
      <c r="B561" s="25" t="s">
        <v>955</v>
      </c>
      <c r="C561" s="5" t="s">
        <v>69</v>
      </c>
      <c r="D561" s="5" t="s">
        <v>14</v>
      </c>
      <c r="E561" s="26">
        <f>vlookup(C561,'Team Bye List'!$A$1:$B$33,2,False)</f>
        <v>11</v>
      </c>
      <c r="F561" s="27">
        <f>if(ISNA(vlookup($A561, ESPN!$B$2:$E$257, 4, false)), 0, vlookup($A561, ESPN!$B$2:$E$257, 4, false))</f>
        <v>0</v>
      </c>
      <c r="G561" s="27">
        <f>if(ISNA(vlookup($A561, FFToolbox!$B$2:$E$239, 4, false)), 0, vlookup($A561, FFToolbox!$B$2:$E$239, 4, false))</f>
        <v>0</v>
      </c>
      <c r="H561" s="27">
        <f>if(ISNA(vlookup($A561, FantasyPro!$B$2:$E$316, 4, false)), 0, vlookup($A561, FantasyPro!$B$2:$E$316, 4, false))</f>
        <v>0</v>
      </c>
      <c r="I561" s="27">
        <f>if(ISNA(vlookup($A561, RotoWire!$B$2:$E$681, 4, false)), 0, vlookup($A561, RotoWire!$B$2:$E$681, 4, false))</f>
        <v>0</v>
      </c>
      <c r="J561" s="28">
        <f t="shared" si="1"/>
        <v>0</v>
      </c>
      <c r="K561" s="28">
        <f t="shared" si="2"/>
        <v>0</v>
      </c>
    </row>
    <row r="562" hidden="1">
      <c r="A562" s="6" t="s">
        <v>362</v>
      </c>
      <c r="B562" s="25" t="s">
        <v>955</v>
      </c>
      <c r="C562" s="5" t="s">
        <v>26</v>
      </c>
      <c r="D562" s="5" t="s">
        <v>14</v>
      </c>
      <c r="E562" s="26">
        <f>vlookup(C562,'Team Bye List'!$A$1:$B$33,2,False)</f>
        <v>12</v>
      </c>
      <c r="F562" s="27">
        <f>if(ISNA(vlookup($A562, ESPN!$B$2:$E$257, 4, false)), 0, vlookup($A562, ESPN!$B$2:$E$257, 4, false))</f>
        <v>0</v>
      </c>
      <c r="G562" s="27">
        <f>if(ISNA(vlookup($A562, FFToolbox!$B$2:$E$239, 4, false)), 0, vlookup($A562, FFToolbox!$B$2:$E$239, 4, false))</f>
        <v>0</v>
      </c>
      <c r="H562" s="27">
        <f>if(ISNA(vlookup($A562, FantasyPro!$B$2:$E$316, 4, false)), 0, vlookup($A562, FantasyPro!$B$2:$E$316, 4, false))</f>
        <v>0</v>
      </c>
      <c r="I562" s="27">
        <f>if(ISNA(vlookup($A562, RotoWire!$B$2:$E$681, 4, false)), 0, vlookup($A562, RotoWire!$B$2:$E$681, 4, false))</f>
        <v>0</v>
      </c>
      <c r="J562" s="28">
        <f t="shared" si="1"/>
        <v>0</v>
      </c>
      <c r="K562" s="28">
        <f t="shared" si="2"/>
        <v>0</v>
      </c>
    </row>
    <row r="563" hidden="1">
      <c r="A563" s="6" t="s">
        <v>710</v>
      </c>
      <c r="B563" s="25" t="s">
        <v>955</v>
      </c>
      <c r="C563" s="5" t="s">
        <v>28</v>
      </c>
      <c r="D563" s="5" t="s">
        <v>7</v>
      </c>
      <c r="E563" s="26">
        <f>vlookup(C563,'Team Bye List'!$A$1:$B$33,2,False)</f>
        <v>11</v>
      </c>
      <c r="F563" s="27">
        <f>if(ISNA(vlookup($A563, ESPN!$B$2:$E$257, 4, false)), 0, vlookup($A563, ESPN!$B$2:$E$257, 4, false))</f>
        <v>0</v>
      </c>
      <c r="G563" s="27">
        <f>if(ISNA(vlookup($A563, FFToolbox!$B$2:$E$239, 4, false)), 0, vlookup($A563, FFToolbox!$B$2:$E$239, 4, false))</f>
        <v>0</v>
      </c>
      <c r="H563" s="27">
        <f>if(ISNA(vlookup($A563, FantasyPro!$B$2:$E$316, 4, false)), 0, vlookup($A563, FantasyPro!$B$2:$E$316, 4, false))</f>
        <v>0</v>
      </c>
      <c r="I563" s="27">
        <f>if(ISNA(vlookup($A563, RotoWire!$B$2:$E$681, 4, false)), 0, vlookup($A563, RotoWire!$B$2:$E$681, 4, false))</f>
        <v>0</v>
      </c>
      <c r="J563" s="28">
        <f t="shared" si="1"/>
        <v>0</v>
      </c>
      <c r="K563" s="28">
        <f t="shared" si="2"/>
        <v>0</v>
      </c>
    </row>
    <row r="564" hidden="1">
      <c r="A564" s="6" t="s">
        <v>409</v>
      </c>
      <c r="B564" s="25" t="s">
        <v>955</v>
      </c>
      <c r="C564" s="5" t="s">
        <v>16</v>
      </c>
      <c r="D564" s="5" t="s">
        <v>14</v>
      </c>
      <c r="E564" s="26">
        <f>vlookup(C564,'Team Bye List'!$A$1:$B$33,2,False)</f>
        <v>9</v>
      </c>
      <c r="F564" s="27">
        <f>if(ISNA(vlookup($A564, ESPN!$B$2:$E$257, 4, false)), 0, vlookup($A564, ESPN!$B$2:$E$257, 4, false))</f>
        <v>0</v>
      </c>
      <c r="G564" s="27">
        <f>if(ISNA(vlookup($A564, FFToolbox!$B$2:$E$239, 4, false)), 0, vlookup($A564, FFToolbox!$B$2:$E$239, 4, false))</f>
        <v>0</v>
      </c>
      <c r="H564" s="27">
        <f>if(ISNA(vlookup($A564, FantasyPro!$B$2:$E$316, 4, false)), 0, vlookup($A564, FantasyPro!$B$2:$E$316, 4, false))</f>
        <v>0</v>
      </c>
      <c r="I564" s="27">
        <f>if(ISNA(vlookup($A564, RotoWire!$B$2:$E$681, 4, false)), 0, vlookup($A564, RotoWire!$B$2:$E$681, 4, false))</f>
        <v>0</v>
      </c>
      <c r="J564" s="28">
        <f t="shared" si="1"/>
        <v>0</v>
      </c>
      <c r="K564" s="28">
        <f t="shared" si="2"/>
        <v>0</v>
      </c>
    </row>
    <row r="565" hidden="1">
      <c r="A565" s="6" t="s">
        <v>467</v>
      </c>
      <c r="B565" s="25" t="s">
        <v>955</v>
      </c>
      <c r="C565" s="5" t="s">
        <v>33</v>
      </c>
      <c r="D565" s="5" t="s">
        <v>14</v>
      </c>
      <c r="E565" s="26">
        <f>vlookup(C565,'Team Bye List'!$A$1:$B$33,2,False)</f>
        <v>4</v>
      </c>
      <c r="F565" s="27">
        <f>if(ISNA(vlookup($A565, ESPN!$B$2:$E$257, 4, false)), 0, vlookup($A565, ESPN!$B$2:$E$257, 4, false))</f>
        <v>0</v>
      </c>
      <c r="G565" s="27">
        <f>if(ISNA(vlookup($A565, FFToolbox!$B$2:$E$239, 4, false)), 0, vlookup($A565, FFToolbox!$B$2:$E$239, 4, false))</f>
        <v>0</v>
      </c>
      <c r="H565" s="27">
        <f>if(ISNA(vlookup($A565, FantasyPro!$B$2:$E$316, 4, false)), 0, vlookup($A565, FantasyPro!$B$2:$E$316, 4, false))</f>
        <v>0</v>
      </c>
      <c r="I565" s="27">
        <f>if(ISNA(vlookup($A565, RotoWire!$B$2:$E$681, 4, false)), 0, vlookup($A565, RotoWire!$B$2:$E$681, 4, false))</f>
        <v>0</v>
      </c>
      <c r="J565" s="28">
        <f t="shared" si="1"/>
        <v>0</v>
      </c>
      <c r="K565" s="28">
        <f t="shared" si="2"/>
        <v>0</v>
      </c>
    </row>
    <row r="566" hidden="1">
      <c r="A566" s="6" t="s">
        <v>740</v>
      </c>
      <c r="B566" s="25" t="s">
        <v>955</v>
      </c>
      <c r="C566" s="5" t="s">
        <v>20</v>
      </c>
      <c r="D566" s="5" t="s">
        <v>7</v>
      </c>
      <c r="E566" s="26">
        <f>vlookup(C566,'Team Bye List'!$A$1:$B$33,2,False)</f>
        <v>9</v>
      </c>
      <c r="F566" s="27">
        <f>if(ISNA(vlookup($A566, ESPN!$B$2:$E$257, 4, false)), 0, vlookup($A566, ESPN!$B$2:$E$257, 4, false))</f>
        <v>0</v>
      </c>
      <c r="G566" s="27">
        <f>if(ISNA(vlookup($A566, FFToolbox!$B$2:$E$239, 4, false)), 0, vlookup($A566, FFToolbox!$B$2:$E$239, 4, false))</f>
        <v>0</v>
      </c>
      <c r="H566" s="27">
        <f>if(ISNA(vlookup($A566, FantasyPro!$B$2:$E$316, 4, false)), 0, vlookup($A566, FantasyPro!$B$2:$E$316, 4, false))</f>
        <v>0</v>
      </c>
      <c r="I566" s="27">
        <f>if(ISNA(vlookup($A566, RotoWire!$B$2:$E$681, 4, false)), 0, vlookup($A566, RotoWire!$B$2:$E$681, 4, false))</f>
        <v>0</v>
      </c>
      <c r="J566" s="28">
        <f t="shared" si="1"/>
        <v>0</v>
      </c>
      <c r="K566" s="28">
        <f t="shared" si="2"/>
        <v>0</v>
      </c>
    </row>
    <row r="567" hidden="1">
      <c r="A567" s="6" t="s">
        <v>715</v>
      </c>
      <c r="B567" s="25" t="s">
        <v>955</v>
      </c>
      <c r="C567" s="5" t="s">
        <v>104</v>
      </c>
      <c r="D567" s="5" t="s">
        <v>7</v>
      </c>
      <c r="E567" s="26">
        <f>vlookup(C567,'Team Bye List'!$A$1:$B$33,2,False)</f>
        <v>8</v>
      </c>
      <c r="F567" s="27">
        <f>if(ISNA(vlookup($A567, ESPN!$B$2:$E$257, 4, false)), 0, vlookup($A567, ESPN!$B$2:$E$257, 4, false))</f>
        <v>0</v>
      </c>
      <c r="G567" s="27">
        <f>if(ISNA(vlookup($A567, FFToolbox!$B$2:$E$239, 4, false)), 0, vlookup($A567, FFToolbox!$B$2:$E$239, 4, false))</f>
        <v>0</v>
      </c>
      <c r="H567" s="27">
        <f>if(ISNA(vlookup($A567, FantasyPro!$B$2:$E$316, 4, false)), 0, vlookup($A567, FantasyPro!$B$2:$E$316, 4, false))</f>
        <v>0</v>
      </c>
      <c r="I567" s="27">
        <f>if(ISNA(vlookup($A567, RotoWire!$B$2:$E$681, 4, false)), 0, vlookup($A567, RotoWire!$B$2:$E$681, 4, false))</f>
        <v>0</v>
      </c>
      <c r="J567" s="28">
        <f t="shared" si="1"/>
        <v>0</v>
      </c>
      <c r="K567" s="28">
        <f t="shared" si="2"/>
        <v>0</v>
      </c>
    </row>
    <row r="568" hidden="1">
      <c r="A568" s="6" t="s">
        <v>728</v>
      </c>
      <c r="B568" s="25" t="s">
        <v>955</v>
      </c>
      <c r="C568" s="5" t="s">
        <v>163</v>
      </c>
      <c r="D568" s="5" t="s">
        <v>7</v>
      </c>
      <c r="E568" s="26">
        <f>vlookup(C568,'Team Bye List'!$A$1:$B$33,2,False)</f>
        <v>5</v>
      </c>
      <c r="F568" s="27">
        <f>if(ISNA(vlookup($A568, ESPN!$B$2:$E$257, 4, false)), 0, vlookup($A568, ESPN!$B$2:$E$257, 4, false))</f>
        <v>0</v>
      </c>
      <c r="G568" s="27">
        <f>if(ISNA(vlookup($A568, FFToolbox!$B$2:$E$239, 4, false)), 0, vlookup($A568, FFToolbox!$B$2:$E$239, 4, false))</f>
        <v>0</v>
      </c>
      <c r="H568" s="27">
        <f>if(ISNA(vlookup($A568, FantasyPro!$B$2:$E$316, 4, false)), 0, vlookup($A568, FantasyPro!$B$2:$E$316, 4, false))</f>
        <v>0</v>
      </c>
      <c r="I568" s="27">
        <f>if(ISNA(vlookup($A568, RotoWire!$B$2:$E$681, 4, false)), 0, vlookup($A568, RotoWire!$B$2:$E$681, 4, false))</f>
        <v>0</v>
      </c>
      <c r="J568" s="28">
        <f t="shared" si="1"/>
        <v>0</v>
      </c>
      <c r="K568" s="28">
        <f t="shared" si="2"/>
        <v>0</v>
      </c>
    </row>
    <row r="569" hidden="1">
      <c r="A569" s="6" t="s">
        <v>564</v>
      </c>
      <c r="B569" s="25" t="s">
        <v>955</v>
      </c>
      <c r="C569" s="5" t="s">
        <v>41</v>
      </c>
      <c r="D569" s="5" t="s">
        <v>14</v>
      </c>
      <c r="E569" s="26">
        <f>vlookup(C569,'Team Bye List'!$A$1:$B$33,2,False)</f>
        <v>6</v>
      </c>
      <c r="F569" s="27">
        <f>if(ISNA(vlookup($A569, ESPN!$B$2:$E$257, 4, false)), 0, vlookup($A569, ESPN!$B$2:$E$257, 4, false))</f>
        <v>0</v>
      </c>
      <c r="G569" s="27">
        <f>if(ISNA(vlookup($A569, FFToolbox!$B$2:$E$239, 4, false)), 0, vlookup($A569, FFToolbox!$B$2:$E$239, 4, false))</f>
        <v>0</v>
      </c>
      <c r="H569" s="27">
        <f>if(ISNA(vlookup($A569, FantasyPro!$B$2:$E$316, 4, false)), 0, vlookup($A569, FantasyPro!$B$2:$E$316, 4, false))</f>
        <v>0</v>
      </c>
      <c r="I569" s="27">
        <f>if(ISNA(vlookup($A569, RotoWire!$B$2:$E$681, 4, false)), 0, vlookup($A569, RotoWire!$B$2:$E$681, 4, false))</f>
        <v>0</v>
      </c>
      <c r="J569" s="28">
        <f t="shared" si="1"/>
        <v>0</v>
      </c>
      <c r="K569" s="28">
        <f t="shared" si="2"/>
        <v>0</v>
      </c>
    </row>
    <row r="570" hidden="1">
      <c r="A570" s="6" t="s">
        <v>697</v>
      </c>
      <c r="B570" s="25" t="s">
        <v>955</v>
      </c>
      <c r="C570" s="5" t="s">
        <v>96</v>
      </c>
      <c r="D570" s="5" t="s">
        <v>7</v>
      </c>
      <c r="E570" s="26">
        <f>vlookup(C570,'Team Bye List'!$A$1:$B$33,2,False)</f>
        <v>6</v>
      </c>
      <c r="F570" s="27">
        <f>if(ISNA(vlookup($A570, ESPN!$B$2:$E$257, 4, false)), 0, vlookup($A570, ESPN!$B$2:$E$257, 4, false))</f>
        <v>0</v>
      </c>
      <c r="G570" s="27">
        <f>if(ISNA(vlookup($A570, FFToolbox!$B$2:$E$239, 4, false)), 0, vlookup($A570, FFToolbox!$B$2:$E$239, 4, false))</f>
        <v>0</v>
      </c>
      <c r="H570" s="27">
        <f>if(ISNA(vlookup($A570, FantasyPro!$B$2:$E$316, 4, false)), 0, vlookup($A570, FantasyPro!$B$2:$E$316, 4, false))</f>
        <v>0</v>
      </c>
      <c r="I570" s="27">
        <f>if(ISNA(vlookup($A570, RotoWire!$B$2:$E$681, 4, false)), 0, vlookup($A570, RotoWire!$B$2:$E$681, 4, false))</f>
        <v>0</v>
      </c>
      <c r="J570" s="28">
        <f t="shared" si="1"/>
        <v>0</v>
      </c>
      <c r="K570" s="28">
        <f t="shared" si="2"/>
        <v>0</v>
      </c>
    </row>
    <row r="571" hidden="1">
      <c r="A571" s="6" t="s">
        <v>739</v>
      </c>
      <c r="B571" s="25" t="s">
        <v>955</v>
      </c>
      <c r="C571" s="5" t="s">
        <v>16</v>
      </c>
      <c r="D571" s="5" t="s">
        <v>7</v>
      </c>
      <c r="E571" s="26">
        <f>vlookup(C571,'Team Bye List'!$A$1:$B$33,2,False)</f>
        <v>9</v>
      </c>
      <c r="F571" s="27">
        <f>if(ISNA(vlookup($A571, ESPN!$B$2:$E$257, 4, false)), 0, vlookup($A571, ESPN!$B$2:$E$257, 4, false))</f>
        <v>0</v>
      </c>
      <c r="G571" s="27">
        <f>if(ISNA(vlookup($A571, FFToolbox!$B$2:$E$239, 4, false)), 0, vlookup($A571, FFToolbox!$B$2:$E$239, 4, false))</f>
        <v>0</v>
      </c>
      <c r="H571" s="27">
        <f>if(ISNA(vlookup($A571, FantasyPro!$B$2:$E$316, 4, false)), 0, vlookup($A571, FantasyPro!$B$2:$E$316, 4, false))</f>
        <v>0</v>
      </c>
      <c r="I571" s="27">
        <f>if(ISNA(vlookup($A571, RotoWire!$B$2:$E$681, 4, false)), 0, vlookup($A571, RotoWire!$B$2:$E$681, 4, false))</f>
        <v>0</v>
      </c>
      <c r="J571" s="28">
        <f t="shared" si="1"/>
        <v>0</v>
      </c>
      <c r="K571" s="28">
        <f t="shared" si="2"/>
        <v>0</v>
      </c>
    </row>
    <row r="572">
      <c r="A572" s="6" t="s">
        <v>806</v>
      </c>
      <c r="B572" s="25" t="s">
        <v>955</v>
      </c>
      <c r="C572" s="5" t="s">
        <v>122</v>
      </c>
      <c r="D572" s="5" t="s">
        <v>39</v>
      </c>
      <c r="E572" s="26">
        <f>vlookup(C572,'Team Bye List'!$A$1:$B$33,2,False)</f>
        <v>10</v>
      </c>
      <c r="F572" s="27">
        <f>if(ISNA(vlookup($A572, ESPN!$B$2:$E$257, 4, false)), 0, vlookup($A572, ESPN!$B$2:$E$257, 4, false))</f>
        <v>0</v>
      </c>
      <c r="G572" s="27">
        <f>if(ISNA(vlookup($A572, FFToolbox!$B$2:$E$239, 4, false)), 0, vlookup($A572, FFToolbox!$B$2:$E$239, 4, false))</f>
        <v>0</v>
      </c>
      <c r="H572" s="27">
        <f>if(ISNA(vlookup($A572, FantasyPro!$B$2:$E$316, 4, false)), 0, vlookup($A572, FantasyPro!$B$2:$E$316, 4, false))</f>
        <v>0</v>
      </c>
      <c r="I572" s="27">
        <f>if(ISNA(vlookup($A572, RotoWire!$B$2:$E$681, 4, false)), 0, vlookup($A572, RotoWire!$B$2:$E$681, 4, false))</f>
        <v>0</v>
      </c>
      <c r="J572" s="28">
        <f t="shared" si="1"/>
        <v>0</v>
      </c>
      <c r="K572" s="28">
        <f t="shared" si="2"/>
        <v>0</v>
      </c>
    </row>
    <row r="573" hidden="1">
      <c r="A573" s="6" t="s">
        <v>517</v>
      </c>
      <c r="B573" s="25" t="s">
        <v>955</v>
      </c>
      <c r="C573" s="5" t="s">
        <v>24</v>
      </c>
      <c r="D573" s="5" t="s">
        <v>14</v>
      </c>
      <c r="E573" s="26">
        <f>vlookup(C573,'Team Bye List'!$A$1:$B$33,2,False)</f>
        <v>9</v>
      </c>
      <c r="F573" s="27">
        <f>if(ISNA(vlookup($A573, ESPN!$B$2:$E$257, 4, false)), 0, vlookup($A573, ESPN!$B$2:$E$257, 4, false))</f>
        <v>0</v>
      </c>
      <c r="G573" s="27">
        <f>if(ISNA(vlookup($A573, FFToolbox!$B$2:$E$239, 4, false)), 0, vlookup($A573, FFToolbox!$B$2:$E$239, 4, false))</f>
        <v>0</v>
      </c>
      <c r="H573" s="27">
        <f>if(ISNA(vlookup($A573, FantasyPro!$B$2:$E$316, 4, false)), 0, vlookup($A573, FantasyPro!$B$2:$E$316, 4, false))</f>
        <v>0</v>
      </c>
      <c r="I573" s="27">
        <f>if(ISNA(vlookup($A573, RotoWire!$B$2:$E$681, 4, false)), 0, vlookup($A573, RotoWire!$B$2:$E$681, 4, false))</f>
        <v>0</v>
      </c>
      <c r="J573" s="28">
        <f t="shared" si="1"/>
        <v>0</v>
      </c>
      <c r="K573" s="28">
        <f t="shared" si="2"/>
        <v>0</v>
      </c>
    </row>
    <row r="574" hidden="1">
      <c r="A574" s="6" t="s">
        <v>709</v>
      </c>
      <c r="B574" s="25" t="s">
        <v>955</v>
      </c>
      <c r="C574" s="5" t="s">
        <v>122</v>
      </c>
      <c r="D574" s="5" t="s">
        <v>7</v>
      </c>
      <c r="E574" s="26">
        <f>vlookup(C574,'Team Bye List'!$A$1:$B$33,2,False)</f>
        <v>10</v>
      </c>
      <c r="F574" s="27">
        <f>if(ISNA(vlookup($A574, ESPN!$B$2:$E$257, 4, false)), 0, vlookup($A574, ESPN!$B$2:$E$257, 4, false))</f>
        <v>0</v>
      </c>
      <c r="G574" s="27">
        <f>if(ISNA(vlookup($A574, FFToolbox!$B$2:$E$239, 4, false)), 0, vlookup($A574, FFToolbox!$B$2:$E$239, 4, false))</f>
        <v>0</v>
      </c>
      <c r="H574" s="27">
        <f>if(ISNA(vlookup($A574, FantasyPro!$B$2:$E$316, 4, false)), 0, vlookup($A574, FantasyPro!$B$2:$E$316, 4, false))</f>
        <v>0</v>
      </c>
      <c r="I574" s="27">
        <f>if(ISNA(vlookup($A574, RotoWire!$B$2:$E$681, 4, false)), 0, vlookup($A574, RotoWire!$B$2:$E$681, 4, false))</f>
        <v>0</v>
      </c>
      <c r="J574" s="28">
        <f t="shared" si="1"/>
        <v>0</v>
      </c>
      <c r="K574" s="28">
        <f t="shared" si="2"/>
        <v>0</v>
      </c>
    </row>
    <row r="575" hidden="1">
      <c r="A575" s="6" t="s">
        <v>539</v>
      </c>
      <c r="B575" s="25" t="s">
        <v>955</v>
      </c>
      <c r="C575" s="5" t="s">
        <v>48</v>
      </c>
      <c r="D575" s="5" t="s">
        <v>14</v>
      </c>
      <c r="E575" s="26">
        <f>vlookup(C575,'Team Bye List'!$A$1:$B$33,2,False)</f>
        <v>6</v>
      </c>
      <c r="F575" s="27">
        <f>if(ISNA(vlookup($A575, ESPN!$B$2:$E$257, 4, false)), 0, vlookup($A575, ESPN!$B$2:$E$257, 4, false))</f>
        <v>0</v>
      </c>
      <c r="G575" s="27">
        <f>if(ISNA(vlookup($A575, FFToolbox!$B$2:$E$239, 4, false)), 0, vlookup($A575, FFToolbox!$B$2:$E$239, 4, false))</f>
        <v>0</v>
      </c>
      <c r="H575" s="27">
        <f>if(ISNA(vlookup($A575, FantasyPro!$B$2:$E$316, 4, false)), 0, vlookup($A575, FantasyPro!$B$2:$E$316, 4, false))</f>
        <v>0</v>
      </c>
      <c r="I575" s="27">
        <f>if(ISNA(vlookup($A575, RotoWire!$B$2:$E$681, 4, false)), 0, vlookup($A575, RotoWire!$B$2:$E$681, 4, false))</f>
        <v>0</v>
      </c>
      <c r="J575" s="28">
        <f t="shared" si="1"/>
        <v>0</v>
      </c>
      <c r="K575" s="28">
        <f t="shared" si="2"/>
        <v>0</v>
      </c>
    </row>
    <row r="576">
      <c r="A576" s="6" t="s">
        <v>790</v>
      </c>
      <c r="B576" s="25" t="s">
        <v>955</v>
      </c>
      <c r="C576" s="5" t="s">
        <v>62</v>
      </c>
      <c r="D576" s="5" t="s">
        <v>39</v>
      </c>
      <c r="E576" s="26">
        <f>vlookup(C576,'Team Bye List'!$A$1:$B$33,2,False)</f>
        <v>12</v>
      </c>
      <c r="F576" s="27">
        <f>if(ISNA(vlookup($A576, ESPN!$B$2:$E$257, 4, false)), 0, vlookup($A576, ESPN!$B$2:$E$257, 4, false))</f>
        <v>0</v>
      </c>
      <c r="G576" s="27">
        <f>if(ISNA(vlookup($A576, FFToolbox!$B$2:$E$239, 4, false)), 0, vlookup($A576, FFToolbox!$B$2:$E$239, 4, false))</f>
        <v>0</v>
      </c>
      <c r="H576" s="27">
        <f>if(ISNA(vlookup($A576, FantasyPro!$B$2:$E$316, 4, false)), 0, vlookup($A576, FantasyPro!$B$2:$E$316, 4, false))</f>
        <v>0</v>
      </c>
      <c r="I576" s="27">
        <f>if(ISNA(vlookup($A576, RotoWire!$B$2:$E$681, 4, false)), 0, vlookup($A576, RotoWire!$B$2:$E$681, 4, false))</f>
        <v>0</v>
      </c>
      <c r="J576" s="28">
        <f t="shared" si="1"/>
        <v>0</v>
      </c>
      <c r="K576" s="28">
        <f t="shared" si="2"/>
        <v>0</v>
      </c>
    </row>
    <row r="577" hidden="1">
      <c r="A577" s="8" t="s">
        <v>368</v>
      </c>
      <c r="B577" s="25" t="s">
        <v>955</v>
      </c>
      <c r="C577" s="5" t="s">
        <v>46</v>
      </c>
      <c r="D577" s="5" t="s">
        <v>12</v>
      </c>
      <c r="E577" s="26">
        <f>vlookup(C577,'Team Bye List'!$A$1:$B$33,2,False)</f>
        <v>10</v>
      </c>
      <c r="F577" s="27">
        <f>if(ISNA(vlookup($A577, ESPN!$B$2:$E$257, 4, false)), 0, vlookup($A577, ESPN!$B$2:$E$257, 4, false))</f>
        <v>0</v>
      </c>
      <c r="G577" s="27">
        <f>if(ISNA(vlookup($A577, FFToolbox!$B$2:$E$239, 4, false)), 0, vlookup($A577, FFToolbox!$B$2:$E$239, 4, false))</f>
        <v>0</v>
      </c>
      <c r="H577" s="27">
        <f>if(ISNA(vlookup($A577, FantasyPro!$B$2:$E$316, 4, false)), 0, vlookup($A577, FantasyPro!$B$2:$E$316, 4, false))</f>
        <v>0</v>
      </c>
      <c r="I577" s="27">
        <f>if(ISNA(vlookup($A577, RotoWire!$B$2:$E$681, 4, false)), 0, vlookup($A577, RotoWire!$B$2:$E$681, 4, false))</f>
        <v>0</v>
      </c>
      <c r="J577" s="28">
        <f t="shared" si="1"/>
        <v>0</v>
      </c>
      <c r="K577" s="28">
        <f t="shared" si="2"/>
        <v>0</v>
      </c>
    </row>
    <row r="578" hidden="1">
      <c r="A578" s="8" t="s">
        <v>576</v>
      </c>
      <c r="B578" s="25" t="s">
        <v>955</v>
      </c>
      <c r="C578" s="5" t="s">
        <v>9</v>
      </c>
      <c r="D578" s="5" t="s">
        <v>14</v>
      </c>
      <c r="E578" s="26">
        <f>vlookup(C578,'Team Bye List'!$A$1:$B$33,2,False)</f>
        <v>8</v>
      </c>
      <c r="F578" s="27">
        <f>if(ISNA(vlookup($A578, ESPN!$B$2:$E$257, 4, false)), 0, vlookup($A578, ESPN!$B$2:$E$257, 4, false))</f>
        <v>0</v>
      </c>
      <c r="G578" s="27">
        <f>if(ISNA(vlookup($A578, FFToolbox!$B$2:$E$239, 4, false)), 0, vlookup($A578, FFToolbox!$B$2:$E$239, 4, false))</f>
        <v>0</v>
      </c>
      <c r="H578" s="27">
        <f>if(ISNA(vlookup($A578, FantasyPro!$B$2:$E$316, 4, false)), 0, vlookup($A578, FantasyPro!$B$2:$E$316, 4, false))</f>
        <v>0</v>
      </c>
      <c r="I578" s="27">
        <f>if(ISNA(vlookup($A578, RotoWire!$B$2:$E$681, 4, false)), 0, vlookup($A578, RotoWire!$B$2:$E$681, 4, false))</f>
        <v>0</v>
      </c>
      <c r="J578" s="28">
        <f t="shared" si="1"/>
        <v>0</v>
      </c>
      <c r="K578" s="28">
        <f t="shared" si="2"/>
        <v>0</v>
      </c>
    </row>
    <row r="579" hidden="1">
      <c r="A579" s="8" t="s">
        <v>577</v>
      </c>
      <c r="B579" s="25" t="s">
        <v>955</v>
      </c>
      <c r="C579" s="5" t="s">
        <v>62</v>
      </c>
      <c r="D579" s="5" t="s">
        <v>14</v>
      </c>
      <c r="E579" s="26">
        <f>vlookup(C579,'Team Bye List'!$A$1:$B$33,2,False)</f>
        <v>12</v>
      </c>
      <c r="F579" s="27">
        <f>if(ISNA(vlookup($A579, ESPN!$B$2:$E$257, 4, false)), 0, vlookup($A579, ESPN!$B$2:$E$257, 4, false))</f>
        <v>0</v>
      </c>
      <c r="G579" s="27">
        <f>if(ISNA(vlookup($A579, FFToolbox!$B$2:$E$239, 4, false)), 0, vlookup($A579, FFToolbox!$B$2:$E$239, 4, false))</f>
        <v>0</v>
      </c>
      <c r="H579" s="27">
        <f>if(ISNA(vlookup($A579, FantasyPro!$B$2:$E$316, 4, false)), 0, vlookup($A579, FantasyPro!$B$2:$E$316, 4, false))</f>
        <v>0</v>
      </c>
      <c r="I579" s="27">
        <f>if(ISNA(vlookup($A579, RotoWire!$B$2:$E$681, 4, false)), 0, vlookup($A579, RotoWire!$B$2:$E$681, 4, false))</f>
        <v>0</v>
      </c>
      <c r="J579" s="28">
        <f t="shared" si="1"/>
        <v>0</v>
      </c>
      <c r="K579" s="28">
        <f t="shared" si="2"/>
        <v>0</v>
      </c>
    </row>
    <row r="580" hidden="1">
      <c r="A580" s="6" t="s">
        <v>389</v>
      </c>
      <c r="B580" s="25" t="s">
        <v>955</v>
      </c>
      <c r="C580" s="5" t="s">
        <v>139</v>
      </c>
      <c r="D580" s="5" t="s">
        <v>12</v>
      </c>
      <c r="E580" s="26">
        <f>vlookup(C580,'Team Bye List'!$A$1:$B$33,2,False)</f>
        <v>6</v>
      </c>
      <c r="F580" s="27">
        <f>if(ISNA(vlookup($A580, ESPN!$B$2:$E$257, 4, false)), 0, vlookup($A580, ESPN!$B$2:$E$257, 4, false))</f>
        <v>0</v>
      </c>
      <c r="G580" s="27">
        <f>if(ISNA(vlookup($A580, FFToolbox!$B$2:$E$239, 4, false)), 0, vlookup($A580, FFToolbox!$B$2:$E$239, 4, false))</f>
        <v>0</v>
      </c>
      <c r="H580" s="27">
        <f>if(ISNA(vlookup($A580, FantasyPro!$B$2:$E$316, 4, false)), 0, vlookup($A580, FantasyPro!$B$2:$E$316, 4, false))</f>
        <v>0</v>
      </c>
      <c r="I580" s="27">
        <f>if(ISNA(vlookup($A580, RotoWire!$B$2:$E$681, 4, false)), 0, vlookup($A580, RotoWire!$B$2:$E$681, 4, false))</f>
        <v>0</v>
      </c>
      <c r="J580" s="28">
        <f t="shared" si="1"/>
        <v>0</v>
      </c>
      <c r="K580" s="28">
        <f t="shared" si="2"/>
        <v>0</v>
      </c>
    </row>
    <row r="581" hidden="1">
      <c r="A581" s="6" t="s">
        <v>365</v>
      </c>
      <c r="B581" s="25" t="s">
        <v>955</v>
      </c>
      <c r="C581" s="5" t="s">
        <v>33</v>
      </c>
      <c r="D581" s="5" t="s">
        <v>12</v>
      </c>
      <c r="E581" s="26">
        <f>vlookup(C581,'Team Bye List'!$A$1:$B$33,2,False)</f>
        <v>4</v>
      </c>
      <c r="F581" s="27">
        <f>if(ISNA(vlookup($A581, ESPN!$B$2:$E$257, 4, false)), 0, vlookup($A581, ESPN!$B$2:$E$257, 4, false))</f>
        <v>0</v>
      </c>
      <c r="G581" s="27">
        <f>if(ISNA(vlookup($A581, FFToolbox!$B$2:$E$239, 4, false)), 0, vlookup($A581, FFToolbox!$B$2:$E$239, 4, false))</f>
        <v>0</v>
      </c>
      <c r="H581" s="27">
        <f>if(ISNA(vlookup($A581, FantasyPro!$B$2:$E$316, 4, false)), 0, vlookup($A581, FantasyPro!$B$2:$E$316, 4, false))</f>
        <v>0</v>
      </c>
      <c r="I581" s="27">
        <f>if(ISNA(vlookup($A581, RotoWire!$B$2:$E$681, 4, false)), 0, vlookup($A581, RotoWire!$B$2:$E$681, 4, false))</f>
        <v>0</v>
      </c>
      <c r="J581" s="28">
        <f t="shared" si="1"/>
        <v>0</v>
      </c>
      <c r="K581" s="28">
        <f t="shared" si="2"/>
        <v>0</v>
      </c>
    </row>
    <row r="582" hidden="1">
      <c r="A582" s="6" t="s">
        <v>314</v>
      </c>
      <c r="B582" s="25" t="s">
        <v>955</v>
      </c>
      <c r="C582" s="5" t="s">
        <v>20</v>
      </c>
      <c r="D582" s="5" t="s">
        <v>12</v>
      </c>
      <c r="E582" s="26">
        <f>vlookup(C582,'Team Bye List'!$A$1:$B$33,2,False)</f>
        <v>9</v>
      </c>
      <c r="F582" s="27">
        <f>if(ISNA(vlookup($A582, ESPN!$B$2:$E$257, 4, false)), 0, vlookup($A582, ESPN!$B$2:$E$257, 4, false))</f>
        <v>0</v>
      </c>
      <c r="G582" s="27">
        <f>if(ISNA(vlookup($A582, FFToolbox!$B$2:$E$239, 4, false)), 0, vlookup($A582, FFToolbox!$B$2:$E$239, 4, false))</f>
        <v>0</v>
      </c>
      <c r="H582" s="27">
        <f>if(ISNA(vlookup($A582, FantasyPro!$B$2:$E$316, 4, false)), 0, vlookup($A582, FantasyPro!$B$2:$E$316, 4, false))</f>
        <v>0</v>
      </c>
      <c r="I582" s="27">
        <f>if(ISNA(vlookup($A582, RotoWire!$B$2:$E$681, 4, false)), 0, vlookup($A582, RotoWire!$B$2:$E$681, 4, false))</f>
        <v>0</v>
      </c>
      <c r="J582" s="28">
        <f t="shared" si="1"/>
        <v>0</v>
      </c>
      <c r="K582" s="28">
        <f t="shared" si="2"/>
        <v>0</v>
      </c>
    </row>
    <row r="583" hidden="1">
      <c r="A583" s="6" t="s">
        <v>450</v>
      </c>
      <c r="B583" s="25" t="s">
        <v>955</v>
      </c>
      <c r="C583" s="5" t="s">
        <v>71</v>
      </c>
      <c r="D583" s="5" t="s">
        <v>12</v>
      </c>
      <c r="E583" s="26">
        <f>vlookup(C583,'Team Bye List'!$A$1:$B$33,2,False)</f>
        <v>5</v>
      </c>
      <c r="F583" s="27">
        <f>if(ISNA(vlookup($A583, ESPN!$B$2:$E$257, 4, false)), 0, vlookup($A583, ESPN!$B$2:$E$257, 4, false))</f>
        <v>0</v>
      </c>
      <c r="G583" s="27">
        <f>if(ISNA(vlookup($A583, FFToolbox!$B$2:$E$239, 4, false)), 0, vlookup($A583, FFToolbox!$B$2:$E$239, 4, false))</f>
        <v>0</v>
      </c>
      <c r="H583" s="27">
        <f>if(ISNA(vlookup($A583, FantasyPro!$B$2:$E$316, 4, false)), 0, vlookup($A583, FantasyPro!$B$2:$E$316, 4, false))</f>
        <v>0</v>
      </c>
      <c r="I583" s="27">
        <f>if(ISNA(vlookup($A583, RotoWire!$B$2:$E$681, 4, false)), 0, vlookup($A583, RotoWire!$B$2:$E$681, 4, false))</f>
        <v>0</v>
      </c>
      <c r="J583" s="28">
        <f t="shared" si="1"/>
        <v>0</v>
      </c>
      <c r="K583" s="28">
        <f t="shared" si="2"/>
        <v>0</v>
      </c>
    </row>
    <row r="584">
      <c r="A584" s="6" t="s">
        <v>794</v>
      </c>
      <c r="B584" s="25" t="s">
        <v>955</v>
      </c>
      <c r="C584" s="5" t="s">
        <v>50</v>
      </c>
      <c r="D584" s="5" t="s">
        <v>39</v>
      </c>
      <c r="E584" s="26">
        <f>vlookup(C584,'Team Bye List'!$A$1:$B$33,2,False)</f>
        <v>11</v>
      </c>
      <c r="F584" s="27">
        <f>if(ISNA(vlookup($A584, ESPN!$B$2:$E$257, 4, false)), 0, vlookup($A584, ESPN!$B$2:$E$257, 4, false))</f>
        <v>0</v>
      </c>
      <c r="G584" s="27">
        <f>if(ISNA(vlookup($A584, FFToolbox!$B$2:$E$239, 4, false)), 0, vlookup($A584, FFToolbox!$B$2:$E$239, 4, false))</f>
        <v>0</v>
      </c>
      <c r="H584" s="27">
        <f>if(ISNA(vlookup($A584, FantasyPro!$B$2:$E$316, 4, false)), 0, vlookup($A584, FantasyPro!$B$2:$E$316, 4, false))</f>
        <v>0</v>
      </c>
      <c r="I584" s="27">
        <f>if(ISNA(vlookup($A584, RotoWire!$B$2:$E$681, 4, false)), 0, vlookup($A584, RotoWire!$B$2:$E$681, 4, false))</f>
        <v>0</v>
      </c>
      <c r="J584" s="28">
        <f t="shared" si="1"/>
        <v>0</v>
      </c>
      <c r="K584" s="28">
        <f t="shared" si="2"/>
        <v>0</v>
      </c>
    </row>
    <row r="585">
      <c r="A585" s="6" t="s">
        <v>784</v>
      </c>
      <c r="B585" s="25" t="s">
        <v>955</v>
      </c>
      <c r="C585" s="5" t="s">
        <v>52</v>
      </c>
      <c r="D585" s="5" t="s">
        <v>39</v>
      </c>
      <c r="E585" s="26">
        <f>vlookup(C585,'Team Bye List'!$A$1:$B$33,2,False)</f>
        <v>4</v>
      </c>
      <c r="F585" s="27">
        <f>if(ISNA(vlookup($A585, ESPN!$B$2:$E$257, 4, false)), 0, vlookup($A585, ESPN!$B$2:$E$257, 4, false))</f>
        <v>0</v>
      </c>
      <c r="G585" s="27">
        <f>if(ISNA(vlookup($A585, FFToolbox!$B$2:$E$239, 4, false)), 0, vlookup($A585, FFToolbox!$B$2:$E$239, 4, false))</f>
        <v>0</v>
      </c>
      <c r="H585" s="27">
        <f>if(ISNA(vlookup($A585, FantasyPro!$B$2:$E$316, 4, false)), 0, vlookup($A585, FantasyPro!$B$2:$E$316, 4, false))</f>
        <v>0</v>
      </c>
      <c r="I585" s="27">
        <f>if(ISNA(vlookup($A585, RotoWire!$B$2:$E$681, 4, false)), 0, vlookup($A585, RotoWire!$B$2:$E$681, 4, false))</f>
        <v>0</v>
      </c>
      <c r="J585" s="28">
        <f t="shared" si="1"/>
        <v>0</v>
      </c>
      <c r="K585" s="28">
        <f t="shared" si="2"/>
        <v>0</v>
      </c>
    </row>
    <row r="586" hidden="1">
      <c r="A586" s="6" t="s">
        <v>378</v>
      </c>
      <c r="B586" s="25" t="s">
        <v>955</v>
      </c>
      <c r="C586" s="5" t="s">
        <v>20</v>
      </c>
      <c r="D586" s="5" t="s">
        <v>12</v>
      </c>
      <c r="E586" s="26">
        <f>vlookup(C586,'Team Bye List'!$A$1:$B$33,2,False)</f>
        <v>9</v>
      </c>
      <c r="F586" s="27">
        <f>if(ISNA(vlookup($A586, ESPN!$B$2:$E$257, 4, false)), 0, vlookup($A586, ESPN!$B$2:$E$257, 4, false))</f>
        <v>0</v>
      </c>
      <c r="G586" s="27">
        <f>if(ISNA(vlookup($A586, FFToolbox!$B$2:$E$239, 4, false)), 0, vlookup($A586, FFToolbox!$B$2:$E$239, 4, false))</f>
        <v>0</v>
      </c>
      <c r="H586" s="27">
        <f>if(ISNA(vlookup($A586, FantasyPro!$B$2:$E$316, 4, false)), 0, vlookup($A586, FantasyPro!$B$2:$E$316, 4, false))</f>
        <v>0</v>
      </c>
      <c r="I586" s="27">
        <f>if(ISNA(vlookup($A586, RotoWire!$B$2:$E$681, 4, false)), 0, vlookup($A586, RotoWire!$B$2:$E$681, 4, false))</f>
        <v>0</v>
      </c>
      <c r="J586" s="28">
        <f t="shared" si="1"/>
        <v>0</v>
      </c>
      <c r="K586" s="28">
        <f t="shared" si="2"/>
        <v>0</v>
      </c>
    </row>
    <row r="587" hidden="1">
      <c r="A587" s="6" t="s">
        <v>448</v>
      </c>
      <c r="B587" s="25" t="s">
        <v>955</v>
      </c>
      <c r="C587" s="5" t="s">
        <v>41</v>
      </c>
      <c r="D587" s="5" t="s">
        <v>12</v>
      </c>
      <c r="E587" s="26">
        <f>vlookup(C587,'Team Bye List'!$A$1:$B$33,2,False)</f>
        <v>6</v>
      </c>
      <c r="F587" s="27">
        <f>if(ISNA(vlookup($A587, ESPN!$B$2:$E$257, 4, false)), 0, vlookup($A587, ESPN!$B$2:$E$257, 4, false))</f>
        <v>0</v>
      </c>
      <c r="G587" s="27">
        <f>if(ISNA(vlookup($A587, FFToolbox!$B$2:$E$239, 4, false)), 0, vlookup($A587, FFToolbox!$B$2:$E$239, 4, false))</f>
        <v>0</v>
      </c>
      <c r="H587" s="27">
        <f>if(ISNA(vlookup($A587, FantasyPro!$B$2:$E$316, 4, false)), 0, vlookup($A587, FantasyPro!$B$2:$E$316, 4, false))</f>
        <v>0</v>
      </c>
      <c r="I587" s="27">
        <f>if(ISNA(vlookup($A587, RotoWire!$B$2:$E$681, 4, false)), 0, vlookup($A587, RotoWire!$B$2:$E$681, 4, false))</f>
        <v>0</v>
      </c>
      <c r="J587" s="28">
        <f t="shared" si="1"/>
        <v>0</v>
      </c>
      <c r="K587" s="28">
        <f t="shared" si="2"/>
        <v>0</v>
      </c>
    </row>
    <row r="588" hidden="1">
      <c r="A588" s="6" t="s">
        <v>734</v>
      </c>
      <c r="B588" s="25" t="s">
        <v>955</v>
      </c>
      <c r="C588" s="5" t="s">
        <v>41</v>
      </c>
      <c r="D588" s="5" t="s">
        <v>7</v>
      </c>
      <c r="E588" s="26">
        <f>vlookup(C588,'Team Bye List'!$A$1:$B$33,2,False)</f>
        <v>6</v>
      </c>
      <c r="F588" s="27">
        <f>if(ISNA(vlookup($A588, ESPN!$B$2:$E$257, 4, false)), 0, vlookup($A588, ESPN!$B$2:$E$257, 4, false))</f>
        <v>0</v>
      </c>
      <c r="G588" s="27">
        <f>if(ISNA(vlookup($A588, FFToolbox!$B$2:$E$239, 4, false)), 0, vlookup($A588, FFToolbox!$B$2:$E$239, 4, false))</f>
        <v>0</v>
      </c>
      <c r="H588" s="27">
        <f>if(ISNA(vlookup($A588, FantasyPro!$B$2:$E$316, 4, false)), 0, vlookup($A588, FantasyPro!$B$2:$E$316, 4, false))</f>
        <v>0</v>
      </c>
      <c r="I588" s="27">
        <f>if(ISNA(vlookup($A588, RotoWire!$B$2:$E$681, 4, false)), 0, vlookup($A588, RotoWire!$B$2:$E$681, 4, false))</f>
        <v>0</v>
      </c>
      <c r="J588" s="28">
        <f t="shared" si="1"/>
        <v>0</v>
      </c>
      <c r="K588" s="28">
        <f t="shared" si="2"/>
        <v>0</v>
      </c>
    </row>
    <row r="589" hidden="1">
      <c r="A589" s="6" t="s">
        <v>496</v>
      </c>
      <c r="B589" s="25" t="s">
        <v>955</v>
      </c>
      <c r="C589" s="5" t="s">
        <v>59</v>
      </c>
      <c r="D589" s="5" t="s">
        <v>14</v>
      </c>
      <c r="E589" s="26">
        <f>vlookup(C589,'Team Bye List'!$A$1:$B$33,2,False)</f>
        <v>10</v>
      </c>
      <c r="F589" s="27">
        <f>if(ISNA(vlookup($A589, ESPN!$B$2:$E$257, 4, false)), 0, vlookup($A589, ESPN!$B$2:$E$257, 4, false))</f>
        <v>0</v>
      </c>
      <c r="G589" s="27">
        <f>if(ISNA(vlookup($A589, FFToolbox!$B$2:$E$239, 4, false)), 0, vlookup($A589, FFToolbox!$B$2:$E$239, 4, false))</f>
        <v>0</v>
      </c>
      <c r="H589" s="27">
        <f>if(ISNA(vlookup($A589, FantasyPro!$B$2:$E$316, 4, false)), 0, vlookup($A589, FantasyPro!$B$2:$E$316, 4, false))</f>
        <v>0</v>
      </c>
      <c r="I589" s="27">
        <f>if(ISNA(vlookup($A589, RotoWire!$B$2:$E$681, 4, false)), 0, vlookup($A589, RotoWire!$B$2:$E$681, 4, false))</f>
        <v>0</v>
      </c>
      <c r="J589" s="28">
        <f t="shared" si="1"/>
        <v>0</v>
      </c>
      <c r="K589" s="28">
        <f t="shared" si="2"/>
        <v>0</v>
      </c>
    </row>
    <row r="590" hidden="1">
      <c r="A590" s="6" t="s">
        <v>584</v>
      </c>
      <c r="B590" s="25" t="s">
        <v>955</v>
      </c>
      <c r="C590" s="5" t="s">
        <v>43</v>
      </c>
      <c r="D590" s="5" t="s">
        <v>14</v>
      </c>
      <c r="E590" s="26">
        <f>vlookup(C590,'Team Bye List'!$A$1:$B$33,2,False)</f>
        <v>12</v>
      </c>
      <c r="F590" s="27">
        <f>if(ISNA(vlookup($A590, ESPN!$B$2:$E$257, 4, false)), 0, vlookup($A590, ESPN!$B$2:$E$257, 4, false))</f>
        <v>0</v>
      </c>
      <c r="G590" s="27">
        <f>if(ISNA(vlookup($A590, FFToolbox!$B$2:$E$239, 4, false)), 0, vlookup($A590, FFToolbox!$B$2:$E$239, 4, false))</f>
        <v>0</v>
      </c>
      <c r="H590" s="27">
        <f>if(ISNA(vlookup($A590, FantasyPro!$B$2:$E$316, 4, false)), 0, vlookup($A590, FantasyPro!$B$2:$E$316, 4, false))</f>
        <v>0</v>
      </c>
      <c r="I590" s="27">
        <f>if(ISNA(vlookup($A590, RotoWire!$B$2:$E$681, 4, false)), 0, vlookup($A590, RotoWire!$B$2:$E$681, 4, false))</f>
        <v>0</v>
      </c>
      <c r="J590" s="28">
        <f t="shared" si="1"/>
        <v>0</v>
      </c>
      <c r="K590" s="28">
        <f t="shared" si="2"/>
        <v>0</v>
      </c>
    </row>
    <row r="591" hidden="1">
      <c r="A591" s="6" t="s">
        <v>640</v>
      </c>
      <c r="B591" s="25" t="s">
        <v>955</v>
      </c>
      <c r="C591" s="5" t="s">
        <v>24</v>
      </c>
      <c r="D591" s="5" t="s">
        <v>7</v>
      </c>
      <c r="E591" s="26">
        <f>vlookup(C591,'Team Bye List'!$A$1:$B$33,2,False)</f>
        <v>9</v>
      </c>
      <c r="F591" s="27">
        <f>if(ISNA(vlookup($A591, ESPN!$B$2:$E$257, 4, false)), 0, vlookup($A591, ESPN!$B$2:$E$257, 4, false))</f>
        <v>0</v>
      </c>
      <c r="G591" s="27">
        <f>if(ISNA(vlookup($A591, FFToolbox!$B$2:$E$239, 4, false)), 0, vlookup($A591, FFToolbox!$B$2:$E$239, 4, false))</f>
        <v>0</v>
      </c>
      <c r="H591" s="27">
        <f>if(ISNA(vlookup($A591, FantasyPro!$B$2:$E$316, 4, false)), 0, vlookup($A591, FantasyPro!$B$2:$E$316, 4, false))</f>
        <v>0</v>
      </c>
      <c r="I591" s="27">
        <f>if(ISNA(vlookup($A591, RotoWire!$B$2:$E$681, 4, false)), 0, vlookup($A591, RotoWire!$B$2:$E$681, 4, false))</f>
        <v>0</v>
      </c>
      <c r="J591" s="28">
        <f t="shared" si="1"/>
        <v>0</v>
      </c>
      <c r="K591" s="28">
        <f t="shared" si="2"/>
        <v>0</v>
      </c>
    </row>
    <row r="592" hidden="1">
      <c r="A592" s="6" t="s">
        <v>592</v>
      </c>
      <c r="B592" s="25" t="s">
        <v>955</v>
      </c>
      <c r="C592" s="5" t="s">
        <v>69</v>
      </c>
      <c r="D592" s="5" t="s">
        <v>14</v>
      </c>
      <c r="E592" s="26">
        <f>vlookup(C592,'Team Bye List'!$A$1:$B$33,2,False)</f>
        <v>11</v>
      </c>
      <c r="F592" s="27">
        <f>if(ISNA(vlookup($A592, ESPN!$B$2:$E$257, 4, false)), 0, vlookup($A592, ESPN!$B$2:$E$257, 4, false))</f>
        <v>0</v>
      </c>
      <c r="G592" s="27">
        <f>if(ISNA(vlookup($A592, FFToolbox!$B$2:$E$239, 4, false)), 0, vlookup($A592, FFToolbox!$B$2:$E$239, 4, false))</f>
        <v>0</v>
      </c>
      <c r="H592" s="27">
        <f>if(ISNA(vlookup($A592, FantasyPro!$B$2:$E$316, 4, false)), 0, vlookup($A592, FantasyPro!$B$2:$E$316, 4, false))</f>
        <v>0</v>
      </c>
      <c r="I592" s="27">
        <f>if(ISNA(vlookup($A592, RotoWire!$B$2:$E$681, 4, false)), 0, vlookup($A592, RotoWire!$B$2:$E$681, 4, false))</f>
        <v>0</v>
      </c>
      <c r="J592" s="28">
        <f t="shared" si="1"/>
        <v>0</v>
      </c>
      <c r="K592" s="28">
        <f t="shared" si="2"/>
        <v>0</v>
      </c>
    </row>
    <row r="593" hidden="1">
      <c r="A593" s="6" t="s">
        <v>441</v>
      </c>
      <c r="B593" s="25" t="s">
        <v>955</v>
      </c>
      <c r="C593" s="5" t="s">
        <v>11</v>
      </c>
      <c r="D593" s="5" t="s">
        <v>12</v>
      </c>
      <c r="E593" s="26">
        <f>vlookup(C593,'Team Bye List'!$A$1:$B$33,2,False)</f>
        <v>12</v>
      </c>
      <c r="F593" s="27">
        <f>if(ISNA(vlookup($A593, ESPN!$B$2:$E$257, 4, false)), 0, vlookup($A593, ESPN!$B$2:$E$257, 4, false))</f>
        <v>0</v>
      </c>
      <c r="G593" s="27">
        <f>if(ISNA(vlookup($A593, FFToolbox!$B$2:$E$239, 4, false)), 0, vlookup($A593, FFToolbox!$B$2:$E$239, 4, false))</f>
        <v>0</v>
      </c>
      <c r="H593" s="27">
        <f>if(ISNA(vlookup($A593, FantasyPro!$B$2:$E$316, 4, false)), 0, vlookup($A593, FantasyPro!$B$2:$E$316, 4, false))</f>
        <v>0</v>
      </c>
      <c r="I593" s="27">
        <f>if(ISNA(vlookup($A593, RotoWire!$B$2:$E$681, 4, false)), 0, vlookup($A593, RotoWire!$B$2:$E$681, 4, false))</f>
        <v>0</v>
      </c>
      <c r="J593" s="28">
        <f t="shared" si="1"/>
        <v>0</v>
      </c>
      <c r="K593" s="28">
        <f t="shared" si="2"/>
        <v>0</v>
      </c>
    </row>
    <row r="594" hidden="1">
      <c r="A594" s="6" t="s">
        <v>383</v>
      </c>
      <c r="B594" s="25" t="s">
        <v>955</v>
      </c>
      <c r="C594" s="5" t="s">
        <v>28</v>
      </c>
      <c r="D594" s="5" t="s">
        <v>12</v>
      </c>
      <c r="E594" s="26">
        <f>vlookup(C594,'Team Bye List'!$A$1:$B$33,2,False)</f>
        <v>11</v>
      </c>
      <c r="F594" s="27">
        <f>if(ISNA(vlookup($A594, ESPN!$B$2:$E$257, 4, false)), 0, vlookup($A594, ESPN!$B$2:$E$257, 4, false))</f>
        <v>0</v>
      </c>
      <c r="G594" s="27">
        <f>if(ISNA(vlookup($A594, FFToolbox!$B$2:$E$239, 4, false)), 0, vlookup($A594, FFToolbox!$B$2:$E$239, 4, false))</f>
        <v>0</v>
      </c>
      <c r="H594" s="27">
        <f>if(ISNA(vlookup($A594, FantasyPro!$B$2:$E$316, 4, false)), 0, vlookup($A594, FantasyPro!$B$2:$E$316, 4, false))</f>
        <v>0</v>
      </c>
      <c r="I594" s="27">
        <f>if(ISNA(vlookup($A594, RotoWire!$B$2:$E$681, 4, false)), 0, vlookup($A594, RotoWire!$B$2:$E$681, 4, false))</f>
        <v>0</v>
      </c>
      <c r="J594" s="28">
        <f t="shared" si="1"/>
        <v>0</v>
      </c>
      <c r="K594" s="28">
        <f t="shared" si="2"/>
        <v>0</v>
      </c>
    </row>
    <row r="595" hidden="1">
      <c r="A595" s="6" t="s">
        <v>458</v>
      </c>
      <c r="B595" s="25" t="s">
        <v>955</v>
      </c>
      <c r="C595" s="5" t="s">
        <v>41</v>
      </c>
      <c r="D595" s="5" t="s">
        <v>14</v>
      </c>
      <c r="E595" s="26">
        <f>vlookup(C595,'Team Bye List'!$A$1:$B$33,2,False)</f>
        <v>6</v>
      </c>
      <c r="F595" s="27">
        <f>if(ISNA(vlookup($A595, ESPN!$B$2:$E$257, 4, false)), 0, vlookup($A595, ESPN!$B$2:$E$257, 4, false))</f>
        <v>0</v>
      </c>
      <c r="G595" s="27">
        <f>if(ISNA(vlookup($A595, FFToolbox!$B$2:$E$239, 4, false)), 0, vlookup($A595, FFToolbox!$B$2:$E$239, 4, false))</f>
        <v>0</v>
      </c>
      <c r="H595" s="27">
        <f>if(ISNA(vlookup($A595, FantasyPro!$B$2:$E$316, 4, false)), 0, vlookup($A595, FantasyPro!$B$2:$E$316, 4, false))</f>
        <v>0</v>
      </c>
      <c r="I595" s="27">
        <f>if(ISNA(vlookup($A595, RotoWire!$B$2:$E$681, 4, false)), 0, vlookup($A595, RotoWire!$B$2:$E$681, 4, false))</f>
        <v>0</v>
      </c>
      <c r="J595" s="28">
        <f t="shared" si="1"/>
        <v>0</v>
      </c>
      <c r="K595" s="28">
        <f t="shared" si="2"/>
        <v>0</v>
      </c>
    </row>
    <row r="596" hidden="1">
      <c r="A596" s="6" t="s">
        <v>513</v>
      </c>
      <c r="B596" s="25" t="s">
        <v>955</v>
      </c>
      <c r="C596" s="5" t="s">
        <v>20</v>
      </c>
      <c r="D596" s="5" t="s">
        <v>14</v>
      </c>
      <c r="E596" s="26">
        <f>vlookup(C596,'Team Bye List'!$A$1:$B$33,2,False)</f>
        <v>9</v>
      </c>
      <c r="F596" s="27">
        <f>if(ISNA(vlookup($A596, ESPN!$B$2:$E$257, 4, false)), 0, vlookup($A596, ESPN!$B$2:$E$257, 4, false))</f>
        <v>0</v>
      </c>
      <c r="G596" s="27">
        <f>if(ISNA(vlookup($A596, FFToolbox!$B$2:$E$239, 4, false)), 0, vlookup($A596, FFToolbox!$B$2:$E$239, 4, false))</f>
        <v>0</v>
      </c>
      <c r="H596" s="27">
        <f>if(ISNA(vlookup($A596, FantasyPro!$B$2:$E$316, 4, false)), 0, vlookup($A596, FantasyPro!$B$2:$E$316, 4, false))</f>
        <v>0</v>
      </c>
      <c r="I596" s="27">
        <f>if(ISNA(vlookup($A596, RotoWire!$B$2:$E$681, 4, false)), 0, vlookup($A596, RotoWire!$B$2:$E$681, 4, false))</f>
        <v>0</v>
      </c>
      <c r="J596" s="28">
        <f t="shared" si="1"/>
        <v>0</v>
      </c>
      <c r="K596" s="28">
        <f t="shared" si="2"/>
        <v>0</v>
      </c>
    </row>
    <row r="597" hidden="1">
      <c r="A597" s="6" t="s">
        <v>600</v>
      </c>
      <c r="B597" s="25" t="s">
        <v>955</v>
      </c>
      <c r="C597" s="5" t="s">
        <v>48</v>
      </c>
      <c r="D597" s="5" t="s">
        <v>14</v>
      </c>
      <c r="E597" s="26">
        <f>vlookup(C597,'Team Bye List'!$A$1:$B$33,2,False)</f>
        <v>6</v>
      </c>
      <c r="F597" s="27">
        <f>if(ISNA(vlookup($A597, ESPN!$B$2:$E$257, 4, false)), 0, vlookup($A597, ESPN!$B$2:$E$257, 4, false))</f>
        <v>0</v>
      </c>
      <c r="G597" s="27">
        <f>if(ISNA(vlookup($A597, FFToolbox!$B$2:$E$239, 4, false)), 0, vlookup($A597, FFToolbox!$B$2:$E$239, 4, false))</f>
        <v>0</v>
      </c>
      <c r="H597" s="27">
        <f>if(ISNA(vlookup($A597, FantasyPro!$B$2:$E$316, 4, false)), 0, vlookup($A597, FantasyPro!$B$2:$E$316, 4, false))</f>
        <v>0</v>
      </c>
      <c r="I597" s="27">
        <f>if(ISNA(vlookup($A597, RotoWire!$B$2:$E$681, 4, false)), 0, vlookup($A597, RotoWire!$B$2:$E$681, 4, false))</f>
        <v>0</v>
      </c>
      <c r="J597" s="28">
        <f t="shared" si="1"/>
        <v>0</v>
      </c>
      <c r="K597" s="28">
        <f t="shared" si="2"/>
        <v>0</v>
      </c>
    </row>
    <row r="598" hidden="1">
      <c r="A598" s="6" t="s">
        <v>582</v>
      </c>
      <c r="B598" s="25" t="s">
        <v>955</v>
      </c>
      <c r="C598" s="5" t="s">
        <v>11</v>
      </c>
      <c r="D598" s="5" t="s">
        <v>14</v>
      </c>
      <c r="E598" s="26">
        <f>vlookup(C598,'Team Bye List'!$A$1:$B$33,2,False)</f>
        <v>12</v>
      </c>
      <c r="F598" s="27">
        <f>if(ISNA(vlookup($A598, ESPN!$B$2:$E$257, 4, false)), 0, vlookup($A598, ESPN!$B$2:$E$257, 4, false))</f>
        <v>0</v>
      </c>
      <c r="G598" s="27">
        <f>if(ISNA(vlookup($A598, FFToolbox!$B$2:$E$239, 4, false)), 0, vlookup($A598, FFToolbox!$B$2:$E$239, 4, false))</f>
        <v>0</v>
      </c>
      <c r="H598" s="27">
        <f>if(ISNA(vlookup($A598, FantasyPro!$B$2:$E$316, 4, false)), 0, vlookup($A598, FantasyPro!$B$2:$E$316, 4, false))</f>
        <v>0</v>
      </c>
      <c r="I598" s="27">
        <f>if(ISNA(vlookup($A598, RotoWire!$B$2:$E$681, 4, false)), 0, vlookup($A598, RotoWire!$B$2:$E$681, 4, false))</f>
        <v>0</v>
      </c>
      <c r="J598" s="28">
        <f t="shared" si="1"/>
        <v>0</v>
      </c>
      <c r="K598" s="28">
        <f t="shared" si="2"/>
        <v>0</v>
      </c>
    </row>
    <row r="599" hidden="1">
      <c r="A599" s="6" t="s">
        <v>440</v>
      </c>
      <c r="B599" s="25" t="s">
        <v>955</v>
      </c>
      <c r="C599" s="5" t="s">
        <v>9</v>
      </c>
      <c r="D599" s="5" t="s">
        <v>12</v>
      </c>
      <c r="E599" s="26">
        <f>vlookup(C599,'Team Bye List'!$A$1:$B$33,2,False)</f>
        <v>8</v>
      </c>
      <c r="F599" s="27">
        <f>if(ISNA(vlookup($A599, ESPN!$B$2:$E$257, 4, false)), 0, vlookup($A599, ESPN!$B$2:$E$257, 4, false))</f>
        <v>0</v>
      </c>
      <c r="G599" s="27">
        <f>if(ISNA(vlookup($A599, FFToolbox!$B$2:$E$239, 4, false)), 0, vlookup($A599, FFToolbox!$B$2:$E$239, 4, false))</f>
        <v>0</v>
      </c>
      <c r="H599" s="27">
        <f>if(ISNA(vlookup($A599, FantasyPro!$B$2:$E$316, 4, false)), 0, vlookup($A599, FantasyPro!$B$2:$E$316, 4, false))</f>
        <v>0</v>
      </c>
      <c r="I599" s="27">
        <f>if(ISNA(vlookup($A599, RotoWire!$B$2:$E$681, 4, false)), 0, vlookup($A599, RotoWire!$B$2:$E$681, 4, false))</f>
        <v>0</v>
      </c>
      <c r="J599" s="28">
        <f t="shared" si="1"/>
        <v>0</v>
      </c>
      <c r="K599" s="28">
        <f t="shared" si="2"/>
        <v>0</v>
      </c>
    </row>
    <row r="600">
      <c r="A600" s="6" t="s">
        <v>306</v>
      </c>
      <c r="B600" s="25" t="s">
        <v>955</v>
      </c>
      <c r="C600" s="5" t="s">
        <v>50</v>
      </c>
      <c r="D600" s="5" t="s">
        <v>39</v>
      </c>
      <c r="E600" s="26">
        <f>vlookup(C600,'Team Bye List'!$A$1:$B$33,2,False)</f>
        <v>11</v>
      </c>
      <c r="F600" s="27">
        <f>if(ISNA(vlookup($A600, ESPN!$B$2:$E$257, 4, false)), 0, vlookup($A600, ESPN!$B$2:$E$257, 4, false))</f>
        <v>0</v>
      </c>
      <c r="G600" s="27">
        <f>if(ISNA(vlookup($A600, FFToolbox!$B$2:$E$239, 4, false)), 0, vlookup($A600, FFToolbox!$B$2:$E$239, 4, false))</f>
        <v>0</v>
      </c>
      <c r="H600" s="27">
        <f>if(ISNA(vlookup($A600, FantasyPro!$B$2:$E$316, 4, false)), 0, vlookup($A600, FantasyPro!$B$2:$E$316, 4, false))</f>
        <v>0</v>
      </c>
      <c r="I600" s="27">
        <f>if(ISNA(vlookup($A600, RotoWire!$B$2:$E$681, 4, false)), 0, vlookup($A600, RotoWire!$B$2:$E$681, 4, false))</f>
        <v>0</v>
      </c>
      <c r="J600" s="28">
        <f t="shared" si="1"/>
        <v>0</v>
      </c>
      <c r="K600" s="28">
        <f t="shared" si="2"/>
        <v>0</v>
      </c>
    </row>
    <row r="601" hidden="1">
      <c r="A601" s="6" t="s">
        <v>705</v>
      </c>
      <c r="B601" s="25" t="s">
        <v>955</v>
      </c>
      <c r="C601" s="5" t="s">
        <v>71</v>
      </c>
      <c r="D601" s="5" t="s">
        <v>7</v>
      </c>
      <c r="E601" s="26">
        <f>vlookup(C601,'Team Bye List'!$A$1:$B$33,2,False)</f>
        <v>5</v>
      </c>
      <c r="F601" s="27">
        <f>if(ISNA(vlookup($A601, ESPN!$B$2:$E$257, 4, false)), 0, vlookup($A601, ESPN!$B$2:$E$257, 4, false))</f>
        <v>0</v>
      </c>
      <c r="G601" s="27">
        <f>if(ISNA(vlookup($A601, FFToolbox!$B$2:$E$239, 4, false)), 0, vlookup($A601, FFToolbox!$B$2:$E$239, 4, false))</f>
        <v>0</v>
      </c>
      <c r="H601" s="27">
        <f>if(ISNA(vlookup($A601, FantasyPro!$B$2:$E$316, 4, false)), 0, vlookup($A601, FantasyPro!$B$2:$E$316, 4, false))</f>
        <v>0</v>
      </c>
      <c r="I601" s="27">
        <f>if(ISNA(vlookup($A601, RotoWire!$B$2:$E$681, 4, false)), 0, vlookup($A601, RotoWire!$B$2:$E$681, 4, false))</f>
        <v>0</v>
      </c>
      <c r="J601" s="28">
        <f t="shared" si="1"/>
        <v>0</v>
      </c>
      <c r="K601" s="28">
        <f t="shared" si="2"/>
        <v>0</v>
      </c>
    </row>
    <row r="602" hidden="1">
      <c r="A602" s="6" t="s">
        <v>654</v>
      </c>
      <c r="B602" s="25" t="s">
        <v>955</v>
      </c>
      <c r="C602" s="5" t="s">
        <v>163</v>
      </c>
      <c r="D602" s="5" t="s">
        <v>7</v>
      </c>
      <c r="E602" s="26">
        <f>vlookup(C602,'Team Bye List'!$A$1:$B$33,2,False)</f>
        <v>5</v>
      </c>
      <c r="F602" s="27">
        <f>if(ISNA(vlookup($A602, ESPN!$B$2:$E$257, 4, false)), 0, vlookup($A602, ESPN!$B$2:$E$257, 4, false))</f>
        <v>0</v>
      </c>
      <c r="G602" s="27">
        <f>if(ISNA(vlookup($A602, FFToolbox!$B$2:$E$239, 4, false)), 0, vlookup($A602, FFToolbox!$B$2:$E$239, 4, false))</f>
        <v>0</v>
      </c>
      <c r="H602" s="27">
        <f>if(ISNA(vlookup($A602, FantasyPro!$B$2:$E$316, 4, false)), 0, vlookup($A602, FantasyPro!$B$2:$E$316, 4, false))</f>
        <v>0</v>
      </c>
      <c r="I602" s="27">
        <f>if(ISNA(vlookup($A602, RotoWire!$B$2:$E$681, 4, false)), 0, vlookup($A602, RotoWire!$B$2:$E$681, 4, false))</f>
        <v>0</v>
      </c>
      <c r="J602" s="28">
        <f t="shared" si="1"/>
        <v>0</v>
      </c>
      <c r="K602" s="28">
        <f t="shared" si="2"/>
        <v>0</v>
      </c>
    </row>
    <row r="603" hidden="1">
      <c r="A603" s="6" t="s">
        <v>601</v>
      </c>
      <c r="B603" s="25" t="s">
        <v>955</v>
      </c>
      <c r="C603" s="5" t="s">
        <v>59</v>
      </c>
      <c r="D603" s="5" t="s">
        <v>14</v>
      </c>
      <c r="E603" s="26">
        <f>vlookup(C603,'Team Bye List'!$A$1:$B$33,2,False)</f>
        <v>10</v>
      </c>
      <c r="F603" s="27">
        <f>if(ISNA(vlookup($A603, ESPN!$B$2:$E$257, 4, false)), 0, vlookup($A603, ESPN!$B$2:$E$257, 4, false))</f>
        <v>0</v>
      </c>
      <c r="G603" s="27">
        <f>if(ISNA(vlookup($A603, FFToolbox!$B$2:$E$239, 4, false)), 0, vlookup($A603, FFToolbox!$B$2:$E$239, 4, false))</f>
        <v>0</v>
      </c>
      <c r="H603" s="27">
        <f>if(ISNA(vlookup($A603, FantasyPro!$B$2:$E$316, 4, false)), 0, vlookup($A603, FantasyPro!$B$2:$E$316, 4, false))</f>
        <v>0</v>
      </c>
      <c r="I603" s="27">
        <f>if(ISNA(vlookup($A603, RotoWire!$B$2:$E$681, 4, false)), 0, vlookup($A603, RotoWire!$B$2:$E$681, 4, false))</f>
        <v>0</v>
      </c>
      <c r="J603" s="28">
        <f t="shared" si="1"/>
        <v>0</v>
      </c>
      <c r="K603" s="28">
        <f t="shared" si="2"/>
        <v>0</v>
      </c>
    </row>
    <row r="604" hidden="1">
      <c r="A604" s="6" t="s">
        <v>327</v>
      </c>
      <c r="B604" s="25" t="s">
        <v>955</v>
      </c>
      <c r="C604" s="5" t="s">
        <v>91</v>
      </c>
      <c r="D604" s="5" t="s">
        <v>14</v>
      </c>
      <c r="E604" s="26">
        <f>vlookup(C604,'Team Bye List'!$A$1:$B$33,2,False)</f>
        <v>10</v>
      </c>
      <c r="F604" s="27">
        <f>if(ISNA(vlookup($A604, ESPN!$B$2:$E$257, 4, false)), 0, vlookup($A604, ESPN!$B$2:$E$257, 4, false))</f>
        <v>0</v>
      </c>
      <c r="G604" s="27">
        <f>if(ISNA(vlookup($A604, FFToolbox!$B$2:$E$239, 4, false)), 0, vlookup($A604, FFToolbox!$B$2:$E$239, 4, false))</f>
        <v>0</v>
      </c>
      <c r="H604" s="27">
        <f>if(ISNA(vlookup($A604, FantasyPro!$B$2:$E$316, 4, false)), 0, vlookup($A604, FantasyPro!$B$2:$E$316, 4, false))</f>
        <v>0</v>
      </c>
      <c r="I604" s="27">
        <f>if(ISNA(vlookup($A604, RotoWire!$B$2:$E$681, 4, false)), 0, vlookup($A604, RotoWire!$B$2:$E$681, 4, false))</f>
        <v>0</v>
      </c>
      <c r="J604" s="28">
        <f t="shared" si="1"/>
        <v>0</v>
      </c>
      <c r="K604" s="28">
        <f t="shared" si="2"/>
        <v>0</v>
      </c>
    </row>
    <row r="605" hidden="1">
      <c r="A605" s="6" t="s">
        <v>247</v>
      </c>
      <c r="B605" s="25" t="s">
        <v>955</v>
      </c>
      <c r="C605" s="5" t="s">
        <v>104</v>
      </c>
      <c r="D605" s="5" t="s">
        <v>14</v>
      </c>
      <c r="E605" s="26">
        <f>vlookup(C605,'Team Bye List'!$A$1:$B$33,2,False)</f>
        <v>8</v>
      </c>
      <c r="F605" s="27">
        <f>if(ISNA(vlookup($A605, ESPN!$B$2:$E$257, 4, false)), 0, vlookup($A605, ESPN!$B$2:$E$257, 4, false))</f>
        <v>0</v>
      </c>
      <c r="G605" s="27">
        <f>if(ISNA(vlookup($A605, FFToolbox!$B$2:$E$239, 4, false)), 0, vlookup($A605, FFToolbox!$B$2:$E$239, 4, false))</f>
        <v>0</v>
      </c>
      <c r="H605" s="27">
        <f>if(ISNA(vlookup($A605, FantasyPro!$B$2:$E$316, 4, false)), 0, vlookup($A605, FantasyPro!$B$2:$E$316, 4, false))</f>
        <v>0</v>
      </c>
      <c r="I605" s="27">
        <f>if(ISNA(vlookup($A605, RotoWire!$B$2:$E$681, 4, false)), 0, vlookup($A605, RotoWire!$B$2:$E$681, 4, false))</f>
        <v>0</v>
      </c>
      <c r="J605" s="28">
        <f t="shared" si="1"/>
        <v>0</v>
      </c>
      <c r="K605" s="28">
        <f t="shared" si="2"/>
        <v>0</v>
      </c>
    </row>
    <row r="606" hidden="1">
      <c r="A606" s="6" t="s">
        <v>295</v>
      </c>
      <c r="B606" s="25" t="s">
        <v>955</v>
      </c>
      <c r="C606" s="5" t="s">
        <v>33</v>
      </c>
      <c r="D606" s="5" t="s">
        <v>14</v>
      </c>
      <c r="E606" s="26">
        <f>vlookup(C606,'Team Bye List'!$A$1:$B$33,2,False)</f>
        <v>4</v>
      </c>
      <c r="F606" s="27">
        <f>if(ISNA(vlookup($A606, ESPN!$B$2:$E$257, 4, false)), 0, vlookup($A606, ESPN!$B$2:$E$257, 4, false))</f>
        <v>0</v>
      </c>
      <c r="G606" s="27">
        <f>if(ISNA(vlookup($A606, FFToolbox!$B$2:$E$239, 4, false)), 0, vlookup($A606, FFToolbox!$B$2:$E$239, 4, false))</f>
        <v>0</v>
      </c>
      <c r="H606" s="27">
        <f>if(ISNA(vlookup($A606, FantasyPro!$B$2:$E$316, 4, false)), 0, vlookup($A606, FantasyPro!$B$2:$E$316, 4, false))</f>
        <v>0</v>
      </c>
      <c r="I606" s="27">
        <f>if(ISNA(vlookup($A606, RotoWire!$B$2:$E$681, 4, false)), 0, vlookup($A606, RotoWire!$B$2:$E$681, 4, false))</f>
        <v>0</v>
      </c>
      <c r="J606" s="28">
        <f t="shared" si="1"/>
        <v>0</v>
      </c>
      <c r="K606" s="28">
        <f t="shared" si="2"/>
        <v>0</v>
      </c>
    </row>
    <row r="607" hidden="1">
      <c r="A607" s="6" t="s">
        <v>602</v>
      </c>
      <c r="B607" s="25" t="s">
        <v>955</v>
      </c>
      <c r="C607" s="5" t="s">
        <v>96</v>
      </c>
      <c r="D607" s="5" t="s">
        <v>14</v>
      </c>
      <c r="E607" s="26">
        <f>vlookup(C607,'Team Bye List'!$A$1:$B$33,2,False)</f>
        <v>6</v>
      </c>
      <c r="F607" s="27">
        <f>if(ISNA(vlookup($A607, ESPN!$B$2:$E$257, 4, false)), 0, vlookup($A607, ESPN!$B$2:$E$257, 4, false))</f>
        <v>0</v>
      </c>
      <c r="G607" s="27">
        <f>if(ISNA(vlookup($A607, FFToolbox!$B$2:$E$239, 4, false)), 0, vlookup($A607, FFToolbox!$B$2:$E$239, 4, false))</f>
        <v>0</v>
      </c>
      <c r="H607" s="27">
        <f>if(ISNA(vlookup($A607, FantasyPro!$B$2:$E$316, 4, false)), 0, vlookup($A607, FantasyPro!$B$2:$E$316, 4, false))</f>
        <v>0</v>
      </c>
      <c r="I607" s="27">
        <f>if(ISNA(vlookup($A607, RotoWire!$B$2:$E$681, 4, false)), 0, vlookup($A607, RotoWire!$B$2:$E$681, 4, false))</f>
        <v>0</v>
      </c>
      <c r="J607" s="28">
        <f t="shared" si="1"/>
        <v>0</v>
      </c>
      <c r="K607" s="28">
        <f t="shared" si="2"/>
        <v>0</v>
      </c>
    </row>
    <row r="608" hidden="1">
      <c r="A608" s="6" t="s">
        <v>402</v>
      </c>
      <c r="B608" s="25" t="s">
        <v>955</v>
      </c>
      <c r="C608" s="5" t="s">
        <v>54</v>
      </c>
      <c r="D608" s="5" t="s">
        <v>12</v>
      </c>
      <c r="E608" s="26">
        <f>vlookup(C608,'Team Bye List'!$A$1:$B$33,2,False)</f>
        <v>9</v>
      </c>
      <c r="F608" s="27">
        <f>if(ISNA(vlookup($A608, ESPN!$B$2:$E$257, 4, false)), 0, vlookup($A608, ESPN!$B$2:$E$257, 4, false))</f>
        <v>0</v>
      </c>
      <c r="G608" s="27">
        <f>if(ISNA(vlookup($A608, FFToolbox!$B$2:$E$239, 4, false)), 0, vlookup($A608, FFToolbox!$B$2:$E$239, 4, false))</f>
        <v>0</v>
      </c>
      <c r="H608" s="27">
        <f>if(ISNA(vlookup($A608, FantasyPro!$B$2:$E$316, 4, false)), 0, vlookup($A608, FantasyPro!$B$2:$E$316, 4, false))</f>
        <v>0</v>
      </c>
      <c r="I608" s="27">
        <f>if(ISNA(vlookup($A608, RotoWire!$B$2:$E$681, 4, false)), 0, vlookup($A608, RotoWire!$B$2:$E$681, 4, false))</f>
        <v>0</v>
      </c>
      <c r="J608" s="28">
        <f t="shared" si="1"/>
        <v>0</v>
      </c>
      <c r="K608" s="28">
        <f t="shared" si="2"/>
        <v>0</v>
      </c>
    </row>
    <row r="609">
      <c r="A609" s="6" t="s">
        <v>757</v>
      </c>
      <c r="B609" s="25" t="s">
        <v>955</v>
      </c>
      <c r="C609" s="5" t="s">
        <v>139</v>
      </c>
      <c r="D609" s="5" t="s">
        <v>39</v>
      </c>
      <c r="E609" s="26">
        <f>vlookup(C609,'Team Bye List'!$A$1:$B$33,2,False)</f>
        <v>6</v>
      </c>
      <c r="F609" s="27">
        <f>if(ISNA(vlookup($A609, ESPN!$B$2:$E$257, 4, false)), 0, vlookup($A609, ESPN!$B$2:$E$257, 4, false))</f>
        <v>0</v>
      </c>
      <c r="G609" s="27">
        <f>if(ISNA(vlookup($A609, FFToolbox!$B$2:$E$239, 4, false)), 0, vlookup($A609, FFToolbox!$B$2:$E$239, 4, false))</f>
        <v>0</v>
      </c>
      <c r="H609" s="27">
        <f>if(ISNA(vlookup($A609, FantasyPro!$B$2:$E$316, 4, false)), 0, vlookup($A609, FantasyPro!$B$2:$E$316, 4, false))</f>
        <v>0</v>
      </c>
      <c r="I609" s="27">
        <f>if(ISNA(vlookup($A609, RotoWire!$B$2:$E$681, 4, false)), 0, vlookup($A609, RotoWire!$B$2:$E$681, 4, false))</f>
        <v>0</v>
      </c>
      <c r="J609" s="28">
        <f t="shared" si="1"/>
        <v>0</v>
      </c>
      <c r="K609" s="28">
        <f t="shared" si="2"/>
        <v>0</v>
      </c>
    </row>
    <row r="610" hidden="1">
      <c r="A610" s="8" t="s">
        <v>957</v>
      </c>
      <c r="B610" s="25" t="s">
        <v>955</v>
      </c>
      <c r="C610" s="5" t="s">
        <v>16</v>
      </c>
      <c r="D610" s="5" t="s">
        <v>7</v>
      </c>
      <c r="E610" s="26">
        <f>vlookup(C610,'Team Bye List'!$A$1:$B$33,2,False)</f>
        <v>9</v>
      </c>
      <c r="F610" s="27">
        <f>if(ISNA(vlookup($A610, ESPN!$B$2:$E$257, 4, false)), 0, vlookup($A610, ESPN!$B$2:$E$257, 4, false))</f>
        <v>0</v>
      </c>
      <c r="G610" s="27">
        <f>if(ISNA(vlookup($A610, FFToolbox!$B$2:$E$239, 4, false)), 0, vlookup($A610, FFToolbox!$B$2:$E$239, 4, false))</f>
        <v>0</v>
      </c>
      <c r="H610" s="27">
        <f>if(ISNA(vlookup($A610, FantasyPro!$B$2:$E$316, 4, false)), 0, vlookup($A610, FantasyPro!$B$2:$E$316, 4, false))</f>
        <v>0</v>
      </c>
      <c r="I610" s="27">
        <f>if(ISNA(vlookup($A610, RotoWire!$B$2:$E$681, 4, false)), 0, vlookup($A610, RotoWire!$B$2:$E$681, 4, false))</f>
        <v>0</v>
      </c>
      <c r="J610" s="28">
        <f t="shared" si="1"/>
        <v>0</v>
      </c>
      <c r="K610" s="28">
        <f t="shared" si="2"/>
        <v>0</v>
      </c>
    </row>
    <row r="611" hidden="1">
      <c r="A611" s="8" t="s">
        <v>421</v>
      </c>
      <c r="B611" s="25" t="s">
        <v>955</v>
      </c>
      <c r="C611" s="5" t="s">
        <v>165</v>
      </c>
      <c r="D611" s="5" t="s">
        <v>12</v>
      </c>
      <c r="E611" s="26">
        <f>vlookup(C611,'Team Bye List'!$A$1:$B$33,2,False)</f>
        <v>10</v>
      </c>
      <c r="F611" s="27">
        <f>if(ISNA(vlookup($A611, ESPN!$B$2:$E$257, 4, false)), 0, vlookup($A611, ESPN!$B$2:$E$257, 4, false))</f>
        <v>0</v>
      </c>
      <c r="G611" s="27">
        <f>if(ISNA(vlookup($A611, FFToolbox!$B$2:$E$239, 4, false)), 0, vlookup($A611, FFToolbox!$B$2:$E$239, 4, false))</f>
        <v>0</v>
      </c>
      <c r="H611" s="27">
        <f>if(ISNA(vlookup($A611, FantasyPro!$B$2:$E$316, 4, false)), 0, vlookup($A611, FantasyPro!$B$2:$E$316, 4, false))</f>
        <v>0</v>
      </c>
      <c r="I611" s="27">
        <f>if(ISNA(vlookup($A611, RotoWire!$B$2:$E$681, 4, false)), 0, vlookup($A611, RotoWire!$B$2:$E$681, 4, false))</f>
        <v>0</v>
      </c>
      <c r="J611" s="28">
        <f t="shared" si="1"/>
        <v>0</v>
      </c>
      <c r="K611" s="28">
        <f t="shared" si="2"/>
        <v>0</v>
      </c>
    </row>
    <row r="612" hidden="1">
      <c r="A612" s="8" t="s">
        <v>303</v>
      </c>
      <c r="B612" s="25" t="s">
        <v>955</v>
      </c>
      <c r="C612" s="5" t="s">
        <v>46</v>
      </c>
      <c r="D612" s="5" t="s">
        <v>12</v>
      </c>
      <c r="E612" s="26">
        <f>vlookup(C612,'Team Bye List'!$A$1:$B$33,2,False)</f>
        <v>10</v>
      </c>
      <c r="F612" s="27">
        <f>if(ISNA(vlookup($A612, ESPN!$B$2:$E$257, 4, false)), 0, vlookup($A612, ESPN!$B$2:$E$257, 4, false))</f>
        <v>0</v>
      </c>
      <c r="G612" s="27">
        <f>if(ISNA(vlookup($A612, FFToolbox!$B$2:$E$239, 4, false)), 0, vlookup($A612, FFToolbox!$B$2:$E$239, 4, false))</f>
        <v>0</v>
      </c>
      <c r="H612" s="27">
        <f>if(ISNA(vlookup($A612, FantasyPro!$B$2:$E$316, 4, false)), 0, vlookup($A612, FantasyPro!$B$2:$E$316, 4, false))</f>
        <v>0</v>
      </c>
      <c r="I612" s="27">
        <f>if(ISNA(vlookup($A612, RotoWire!$B$2:$E$681, 4, false)), 0, vlookup($A612, RotoWire!$B$2:$E$681, 4, false))</f>
        <v>0</v>
      </c>
      <c r="J612" s="28">
        <f t="shared" si="1"/>
        <v>0</v>
      </c>
      <c r="K612" s="28">
        <f t="shared" si="2"/>
        <v>0</v>
      </c>
    </row>
    <row r="613">
      <c r="A613" s="6" t="s">
        <v>762</v>
      </c>
      <c r="B613" s="25" t="s">
        <v>955</v>
      </c>
      <c r="C613" s="5" t="s">
        <v>20</v>
      </c>
      <c r="D613" s="5" t="s">
        <v>39</v>
      </c>
      <c r="E613" s="26">
        <f>vlookup(C613,'Team Bye List'!$A$1:$B$33,2,False)</f>
        <v>9</v>
      </c>
      <c r="F613" s="27">
        <f>if(ISNA(vlookup($A613, ESPN!$B$2:$E$257, 4, false)), 0, vlookup($A613, ESPN!$B$2:$E$257, 4, false))</f>
        <v>0</v>
      </c>
      <c r="G613" s="27">
        <f>if(ISNA(vlookup($A613, FFToolbox!$B$2:$E$239, 4, false)), 0, vlookup($A613, FFToolbox!$B$2:$E$239, 4, false))</f>
        <v>0</v>
      </c>
      <c r="H613" s="27">
        <f>if(ISNA(vlookup($A613, FantasyPro!$B$2:$E$316, 4, false)), 0, vlookup($A613, FantasyPro!$B$2:$E$316, 4, false))</f>
        <v>0</v>
      </c>
      <c r="I613" s="27">
        <f>if(ISNA(vlookup($A613, RotoWire!$B$2:$E$681, 4, false)), 0, vlookup($A613, RotoWire!$B$2:$E$681, 4, false))</f>
        <v>0</v>
      </c>
      <c r="J613" s="28">
        <f t="shared" si="1"/>
        <v>0</v>
      </c>
      <c r="K613" s="28">
        <f t="shared" si="2"/>
        <v>0</v>
      </c>
    </row>
    <row r="614" hidden="1">
      <c r="A614" s="8" t="s">
        <v>614</v>
      </c>
      <c r="B614" s="25" t="s">
        <v>955</v>
      </c>
      <c r="C614" s="5" t="s">
        <v>46</v>
      </c>
      <c r="D614" s="5" t="s">
        <v>14</v>
      </c>
      <c r="E614" s="26">
        <f>vlookup(C614,'Team Bye List'!$A$1:$B$33,2,False)</f>
        <v>10</v>
      </c>
      <c r="F614" s="27">
        <f>if(ISNA(vlookup($A614, ESPN!$B$2:$E$257, 4, false)), 0, vlookup($A614, ESPN!$B$2:$E$257, 4, false))</f>
        <v>0</v>
      </c>
      <c r="G614" s="27">
        <f>if(ISNA(vlookup($A614, FFToolbox!$B$2:$E$239, 4, false)), 0, vlookup($A614, FFToolbox!$B$2:$E$239, 4, false))</f>
        <v>0</v>
      </c>
      <c r="H614" s="27">
        <f>if(ISNA(vlookup($A614, FantasyPro!$B$2:$E$316, 4, false)), 0, vlookup($A614, FantasyPro!$B$2:$E$316, 4, false))</f>
        <v>0</v>
      </c>
      <c r="I614" s="27">
        <f>if(ISNA(vlookup($A614, RotoWire!$B$2:$E$681, 4, false)), 0, vlookup($A614, RotoWire!$B$2:$E$681, 4, false))</f>
        <v>0</v>
      </c>
      <c r="J614" s="28">
        <f t="shared" si="1"/>
        <v>0</v>
      </c>
      <c r="K614" s="28">
        <f t="shared" si="2"/>
        <v>0</v>
      </c>
    </row>
    <row r="615">
      <c r="A615" s="6" t="s">
        <v>266</v>
      </c>
      <c r="B615" s="25" t="s">
        <v>955</v>
      </c>
      <c r="C615" s="5" t="s">
        <v>71</v>
      </c>
      <c r="D615" s="5" t="s">
        <v>39</v>
      </c>
      <c r="E615" s="26">
        <f>vlookup(C615,'Team Bye List'!$A$1:$B$33,2,False)</f>
        <v>5</v>
      </c>
      <c r="F615" s="27">
        <f>if(ISNA(vlookup($A615, ESPN!$B$2:$E$257, 4, false)), 0, vlookup($A615, ESPN!$B$2:$E$257, 4, false))</f>
        <v>0</v>
      </c>
      <c r="G615" s="27">
        <f>if(ISNA(vlookup($A615, FFToolbox!$B$2:$E$239, 4, false)), 0, vlookup($A615, FFToolbox!$B$2:$E$239, 4, false))</f>
        <v>0</v>
      </c>
      <c r="H615" s="27">
        <f>if(ISNA(vlookup($A615, FantasyPro!$B$2:$E$316, 4, false)), 0, vlookup($A615, FantasyPro!$B$2:$E$316, 4, false))</f>
        <v>0</v>
      </c>
      <c r="I615" s="27">
        <f>if(ISNA(vlookup($A615, RotoWire!$B$2:$E$681, 4, false)), 0, vlookup($A615, RotoWire!$B$2:$E$681, 4, false))</f>
        <v>0</v>
      </c>
      <c r="J615" s="28">
        <f t="shared" si="1"/>
        <v>0</v>
      </c>
      <c r="K615" s="28">
        <f t="shared" si="2"/>
        <v>0</v>
      </c>
    </row>
    <row r="616" hidden="1">
      <c r="A616" s="6" t="s">
        <v>606</v>
      </c>
      <c r="B616" s="25" t="s">
        <v>955</v>
      </c>
      <c r="C616" s="5" t="s">
        <v>46</v>
      </c>
      <c r="D616" s="5" t="s">
        <v>14</v>
      </c>
      <c r="E616" s="26">
        <f>vlookup(C616,'Team Bye List'!$A$1:$B$33,2,False)</f>
        <v>10</v>
      </c>
      <c r="F616" s="27">
        <f>if(ISNA(vlookup($A616, ESPN!$B$2:$E$257, 4, false)), 0, vlookup($A616, ESPN!$B$2:$E$257, 4, false))</f>
        <v>0</v>
      </c>
      <c r="G616" s="27">
        <f>if(ISNA(vlookup($A616, FFToolbox!$B$2:$E$239, 4, false)), 0, vlookup($A616, FFToolbox!$B$2:$E$239, 4, false))</f>
        <v>0</v>
      </c>
      <c r="H616" s="27">
        <f>if(ISNA(vlookup($A616, FantasyPro!$B$2:$E$316, 4, false)), 0, vlookup($A616, FantasyPro!$B$2:$E$316, 4, false))</f>
        <v>0</v>
      </c>
      <c r="I616" s="27">
        <f>if(ISNA(vlookup($A616, RotoWire!$B$2:$E$681, 4, false)), 0, vlookup($A616, RotoWire!$B$2:$E$681, 4, false))</f>
        <v>0</v>
      </c>
      <c r="J616" s="28">
        <f t="shared" si="1"/>
        <v>0</v>
      </c>
      <c r="K616" s="28">
        <f t="shared" si="2"/>
        <v>0</v>
      </c>
    </row>
    <row r="617" hidden="1">
      <c r="A617" s="6" t="s">
        <v>342</v>
      </c>
      <c r="B617" s="25" t="s">
        <v>955</v>
      </c>
      <c r="C617" s="5" t="s">
        <v>26</v>
      </c>
      <c r="D617" s="5" t="s">
        <v>12</v>
      </c>
      <c r="E617" s="26">
        <f>vlookup(C617,'Team Bye List'!$A$1:$B$33,2,False)</f>
        <v>12</v>
      </c>
      <c r="F617" s="27">
        <f>if(ISNA(vlookup($A617, ESPN!$B$2:$E$257, 4, false)), 0, vlookup($A617, ESPN!$B$2:$E$257, 4, false))</f>
        <v>0</v>
      </c>
      <c r="G617" s="27">
        <f>if(ISNA(vlookup($A617, FFToolbox!$B$2:$E$239, 4, false)), 0, vlookup($A617, FFToolbox!$B$2:$E$239, 4, false))</f>
        <v>0</v>
      </c>
      <c r="H617" s="27">
        <f>if(ISNA(vlookup($A617, FantasyPro!$B$2:$E$316, 4, false)), 0, vlookup($A617, FantasyPro!$B$2:$E$316, 4, false))</f>
        <v>0</v>
      </c>
      <c r="I617" s="27">
        <f>if(ISNA(vlookup($A617, RotoWire!$B$2:$E$681, 4, false)), 0, vlookup($A617, RotoWire!$B$2:$E$681, 4, false))</f>
        <v>0</v>
      </c>
      <c r="J617" s="28">
        <f t="shared" si="1"/>
        <v>0</v>
      </c>
      <c r="K617" s="28">
        <f t="shared" si="2"/>
        <v>0</v>
      </c>
    </row>
    <row r="618" hidden="1">
      <c r="A618" s="6" t="s">
        <v>267</v>
      </c>
      <c r="B618" s="25" t="s">
        <v>955</v>
      </c>
      <c r="C618" s="5" t="s">
        <v>11</v>
      </c>
      <c r="D618" s="5" t="s">
        <v>14</v>
      </c>
      <c r="E618" s="26">
        <f>vlookup(C618,'Team Bye List'!$A$1:$B$33,2,False)</f>
        <v>12</v>
      </c>
      <c r="F618" s="27">
        <f>if(ISNA(vlookup($A618, ESPN!$B$2:$E$257, 4, false)), 0, vlookup($A618, ESPN!$B$2:$E$257, 4, false))</f>
        <v>0</v>
      </c>
      <c r="G618" s="27">
        <f>if(ISNA(vlookup($A618, FFToolbox!$B$2:$E$239, 4, false)), 0, vlookup($A618, FFToolbox!$B$2:$E$239, 4, false))</f>
        <v>0</v>
      </c>
      <c r="H618" s="27">
        <f>if(ISNA(vlookup($A618, FantasyPro!$B$2:$E$316, 4, false)), 0, vlookup($A618, FantasyPro!$B$2:$E$316, 4, false))</f>
        <v>0</v>
      </c>
      <c r="I618" s="27">
        <f>if(ISNA(vlookup($A618, RotoWire!$B$2:$E$681, 4, false)), 0, vlookup($A618, RotoWire!$B$2:$E$681, 4, false))</f>
        <v>0</v>
      </c>
      <c r="J618" s="28">
        <f t="shared" si="1"/>
        <v>0</v>
      </c>
      <c r="K618" s="28">
        <f t="shared" si="2"/>
        <v>0</v>
      </c>
    </row>
    <row r="619" hidden="1">
      <c r="A619" s="6" t="s">
        <v>613</v>
      </c>
      <c r="B619" s="25" t="s">
        <v>955</v>
      </c>
      <c r="C619" s="5" t="s">
        <v>26</v>
      </c>
      <c r="D619" s="5" t="s">
        <v>14</v>
      </c>
      <c r="E619" s="26">
        <f>vlookup(C619,'Team Bye List'!$A$1:$B$33,2,False)</f>
        <v>12</v>
      </c>
      <c r="F619" s="27">
        <f>if(ISNA(vlookup($A619, ESPN!$B$2:$E$257, 4, false)), 0, vlookup($A619, ESPN!$B$2:$E$257, 4, false))</f>
        <v>0</v>
      </c>
      <c r="G619" s="27">
        <f>if(ISNA(vlookup($A619, FFToolbox!$B$2:$E$239, 4, false)), 0, vlookup($A619, FFToolbox!$B$2:$E$239, 4, false))</f>
        <v>0</v>
      </c>
      <c r="H619" s="27">
        <f>if(ISNA(vlookup($A619, FantasyPro!$B$2:$E$316, 4, false)), 0, vlookup($A619, FantasyPro!$B$2:$E$316, 4, false))</f>
        <v>0</v>
      </c>
      <c r="I619" s="27">
        <f>if(ISNA(vlookup($A619, RotoWire!$B$2:$E$681, 4, false)), 0, vlookup($A619, RotoWire!$B$2:$E$681, 4, false))</f>
        <v>0</v>
      </c>
      <c r="J619" s="28">
        <f t="shared" si="1"/>
        <v>0</v>
      </c>
      <c r="K619" s="28">
        <f t="shared" si="2"/>
        <v>0</v>
      </c>
    </row>
    <row r="620" hidden="1">
      <c r="A620" s="6" t="s">
        <v>620</v>
      </c>
      <c r="B620" s="25" t="s">
        <v>955</v>
      </c>
      <c r="C620" s="5" t="s">
        <v>104</v>
      </c>
      <c r="D620" s="5" t="s">
        <v>14</v>
      </c>
      <c r="E620" s="26">
        <f>vlookup(C620,'Team Bye List'!$A$1:$B$33,2,False)</f>
        <v>8</v>
      </c>
      <c r="F620" s="27">
        <f>if(ISNA(vlookup($A620, ESPN!$B$2:$E$257, 4, false)), 0, vlookup($A620, ESPN!$B$2:$E$257, 4, false))</f>
        <v>0</v>
      </c>
      <c r="G620" s="27">
        <f>if(ISNA(vlookup($A620, FFToolbox!$B$2:$E$239, 4, false)), 0, vlookup($A620, FFToolbox!$B$2:$E$239, 4, false))</f>
        <v>0</v>
      </c>
      <c r="H620" s="27">
        <f>if(ISNA(vlookup($A620, FantasyPro!$B$2:$E$316, 4, false)), 0, vlookup($A620, FantasyPro!$B$2:$E$316, 4, false))</f>
        <v>0</v>
      </c>
      <c r="I620" s="27">
        <f>if(ISNA(vlookup($A620, RotoWire!$B$2:$E$681, 4, false)), 0, vlookup($A620, RotoWire!$B$2:$E$681, 4, false))</f>
        <v>0</v>
      </c>
      <c r="J620" s="28">
        <f t="shared" si="1"/>
        <v>0</v>
      </c>
      <c r="K620" s="28">
        <f t="shared" si="2"/>
        <v>0</v>
      </c>
    </row>
    <row r="621" hidden="1">
      <c r="A621" s="6" t="s">
        <v>669</v>
      </c>
      <c r="B621" s="25" t="s">
        <v>955</v>
      </c>
      <c r="C621" s="5" t="s">
        <v>62</v>
      </c>
      <c r="D621" s="5" t="s">
        <v>7</v>
      </c>
      <c r="E621" s="26">
        <f>vlookup(C621,'Team Bye List'!$A$1:$B$33,2,False)</f>
        <v>12</v>
      </c>
      <c r="F621" s="27">
        <f>if(ISNA(vlookup($A621, ESPN!$B$2:$E$257, 4, false)), 0, vlookup($A621, ESPN!$B$2:$E$257, 4, false))</f>
        <v>0</v>
      </c>
      <c r="G621" s="27">
        <f>if(ISNA(vlookup($A621, FFToolbox!$B$2:$E$239, 4, false)), 0, vlookup($A621, FFToolbox!$B$2:$E$239, 4, false))</f>
        <v>0</v>
      </c>
      <c r="H621" s="27">
        <f>if(ISNA(vlookup($A621, FantasyPro!$B$2:$E$316, 4, false)), 0, vlookup($A621, FantasyPro!$B$2:$E$316, 4, false))</f>
        <v>0</v>
      </c>
      <c r="I621" s="27">
        <f>if(ISNA(vlookup($A621, RotoWire!$B$2:$E$681, 4, false)), 0, vlookup($A621, RotoWire!$B$2:$E$681, 4, false))</f>
        <v>0</v>
      </c>
      <c r="J621" s="28">
        <f t="shared" si="1"/>
        <v>0</v>
      </c>
      <c r="K621" s="28">
        <f t="shared" si="2"/>
        <v>0</v>
      </c>
    </row>
    <row r="622" hidden="1">
      <c r="A622" s="6" t="s">
        <v>240</v>
      </c>
      <c r="B622" s="25" t="s">
        <v>955</v>
      </c>
      <c r="C622" s="5" t="s">
        <v>163</v>
      </c>
      <c r="D622" s="5" t="s">
        <v>12</v>
      </c>
      <c r="E622" s="26">
        <f>vlookup(C622,'Team Bye List'!$A$1:$B$33,2,False)</f>
        <v>5</v>
      </c>
      <c r="F622" s="27">
        <f>if(ISNA(vlookup($A622, ESPN!$B$2:$E$257, 4, false)), 0, vlookup($A622, ESPN!$B$2:$E$257, 4, false))</f>
        <v>0</v>
      </c>
      <c r="G622" s="27">
        <f>if(ISNA(vlookup($A622, FFToolbox!$B$2:$E$239, 4, false)), 0, vlookup($A622, FFToolbox!$B$2:$E$239, 4, false))</f>
        <v>0</v>
      </c>
      <c r="H622" s="27">
        <f>if(ISNA(vlookup($A622, FantasyPro!$B$2:$E$316, 4, false)), 0, vlookup($A622, FantasyPro!$B$2:$E$316, 4, false))</f>
        <v>0</v>
      </c>
      <c r="I622" s="27">
        <f>if(ISNA(vlookup($A622, RotoWire!$B$2:$E$681, 4, false)), 0, vlookup($A622, RotoWire!$B$2:$E$681, 4, false))</f>
        <v>0</v>
      </c>
      <c r="J622" s="28">
        <f t="shared" si="1"/>
        <v>0</v>
      </c>
      <c r="K622" s="28">
        <f t="shared" si="2"/>
        <v>0</v>
      </c>
    </row>
    <row r="623">
      <c r="A623" s="6" t="s">
        <v>769</v>
      </c>
      <c r="B623" s="25" t="s">
        <v>955</v>
      </c>
      <c r="C623" s="5" t="s">
        <v>41</v>
      </c>
      <c r="D623" s="5" t="s">
        <v>39</v>
      </c>
      <c r="E623" s="26">
        <f>vlookup(C623,'Team Bye List'!$A$1:$B$33,2,False)</f>
        <v>6</v>
      </c>
      <c r="F623" s="27">
        <f>if(ISNA(vlookup($A623, ESPN!$B$2:$E$257, 4, false)), 0, vlookup($A623, ESPN!$B$2:$E$257, 4, false))</f>
        <v>0</v>
      </c>
      <c r="G623" s="27">
        <f>if(ISNA(vlookup($A623, FFToolbox!$B$2:$E$239, 4, false)), 0, vlookup($A623, FFToolbox!$B$2:$E$239, 4, false))</f>
        <v>0</v>
      </c>
      <c r="H623" s="27">
        <f>if(ISNA(vlookup($A623, FantasyPro!$B$2:$E$316, 4, false)), 0, vlookup($A623, FantasyPro!$B$2:$E$316, 4, false))</f>
        <v>0</v>
      </c>
      <c r="I623" s="27">
        <f>if(ISNA(vlookup($A623, RotoWire!$B$2:$E$681, 4, false)), 0, vlookup($A623, RotoWire!$B$2:$E$681, 4, false))</f>
        <v>0</v>
      </c>
      <c r="J623" s="28">
        <f t="shared" si="1"/>
        <v>0</v>
      </c>
      <c r="K623" s="28">
        <f t="shared" si="2"/>
        <v>0</v>
      </c>
    </row>
    <row r="624" hidden="1">
      <c r="A624" s="6" t="s">
        <v>543</v>
      </c>
      <c r="B624" s="25" t="s">
        <v>955</v>
      </c>
      <c r="C624" s="5" t="s">
        <v>24</v>
      </c>
      <c r="D624" s="5" t="s">
        <v>14</v>
      </c>
      <c r="E624" s="26">
        <f>vlookup(C624,'Team Bye List'!$A$1:$B$33,2,False)</f>
        <v>9</v>
      </c>
      <c r="F624" s="27">
        <f>if(ISNA(vlookup($A624, ESPN!$B$2:$E$257, 4, false)), 0, vlookup($A624, ESPN!$B$2:$E$257, 4, false))</f>
        <v>0</v>
      </c>
      <c r="G624" s="27">
        <f>if(ISNA(vlookup($A624, FFToolbox!$B$2:$E$239, 4, false)), 0, vlookup($A624, FFToolbox!$B$2:$E$239, 4, false))</f>
        <v>0</v>
      </c>
      <c r="H624" s="27">
        <f>if(ISNA(vlookup($A624, FantasyPro!$B$2:$E$316, 4, false)), 0, vlookup($A624, FantasyPro!$B$2:$E$316, 4, false))</f>
        <v>0</v>
      </c>
      <c r="I624" s="27">
        <f>if(ISNA(vlookup($A624, RotoWire!$B$2:$E$681, 4, false)), 0, vlookup($A624, RotoWire!$B$2:$E$681, 4, false))</f>
        <v>0</v>
      </c>
      <c r="J624" s="28">
        <f t="shared" si="1"/>
        <v>0</v>
      </c>
      <c r="K624" s="28">
        <f t="shared" si="2"/>
        <v>0</v>
      </c>
    </row>
    <row r="625" hidden="1">
      <c r="A625" s="6" t="s">
        <v>683</v>
      </c>
      <c r="B625" s="25" t="s">
        <v>955</v>
      </c>
      <c r="C625" s="5" t="s">
        <v>9</v>
      </c>
      <c r="D625" s="5" t="s">
        <v>7</v>
      </c>
      <c r="E625" s="26">
        <f>vlookup(C625,'Team Bye List'!$A$1:$B$33,2,False)</f>
        <v>8</v>
      </c>
      <c r="F625" s="27">
        <f>if(ISNA(vlookup($A625, ESPN!$B$2:$E$257, 4, false)), 0, vlookup($A625, ESPN!$B$2:$E$257, 4, false))</f>
        <v>0</v>
      </c>
      <c r="G625" s="27">
        <f>if(ISNA(vlookup($A625, FFToolbox!$B$2:$E$239, 4, false)), 0, vlookup($A625, FFToolbox!$B$2:$E$239, 4, false))</f>
        <v>0</v>
      </c>
      <c r="H625" s="27">
        <f>if(ISNA(vlookup($A625, FantasyPro!$B$2:$E$316, 4, false)), 0, vlookup($A625, FantasyPro!$B$2:$E$316, 4, false))</f>
        <v>0</v>
      </c>
      <c r="I625" s="27">
        <f>if(ISNA(vlookup($A625, RotoWire!$B$2:$E$681, 4, false)), 0, vlookup($A625, RotoWire!$B$2:$E$681, 4, false))</f>
        <v>0</v>
      </c>
      <c r="J625" s="28">
        <f t="shared" si="1"/>
        <v>0</v>
      </c>
      <c r="K625" s="28">
        <f t="shared" si="2"/>
        <v>0</v>
      </c>
    </row>
    <row r="626">
      <c r="A626" s="6" t="s">
        <v>786</v>
      </c>
      <c r="B626" s="25" t="s">
        <v>955</v>
      </c>
      <c r="C626" s="5" t="s">
        <v>9</v>
      </c>
      <c r="D626" s="5" t="s">
        <v>39</v>
      </c>
      <c r="E626" s="26">
        <f>vlookup(C626,'Team Bye List'!$A$1:$B$33,2,False)</f>
        <v>8</v>
      </c>
      <c r="F626" s="27">
        <f>if(ISNA(vlookup($A626, ESPN!$B$2:$E$257, 4, false)), 0, vlookup($A626, ESPN!$B$2:$E$257, 4, false))</f>
        <v>0</v>
      </c>
      <c r="G626" s="27">
        <f>if(ISNA(vlookup($A626, FFToolbox!$B$2:$E$239, 4, false)), 0, vlookup($A626, FFToolbox!$B$2:$E$239, 4, false))</f>
        <v>0</v>
      </c>
      <c r="H626" s="27">
        <f>if(ISNA(vlookup($A626, FantasyPro!$B$2:$E$316, 4, false)), 0, vlookup($A626, FantasyPro!$B$2:$E$316, 4, false))</f>
        <v>0</v>
      </c>
      <c r="I626" s="27">
        <f>if(ISNA(vlookup($A626, RotoWire!$B$2:$E$681, 4, false)), 0, vlookup($A626, RotoWire!$B$2:$E$681, 4, false))</f>
        <v>0</v>
      </c>
      <c r="J626" s="28">
        <f t="shared" si="1"/>
        <v>0</v>
      </c>
      <c r="K626" s="28">
        <f t="shared" si="2"/>
        <v>0</v>
      </c>
    </row>
    <row r="627" hidden="1">
      <c r="A627" s="6" t="s">
        <v>332</v>
      </c>
      <c r="B627" s="25" t="s">
        <v>955</v>
      </c>
      <c r="C627" s="5" t="s">
        <v>104</v>
      </c>
      <c r="D627" s="5" t="s">
        <v>14</v>
      </c>
      <c r="E627" s="26">
        <f>vlookup(C627,'Team Bye List'!$A$1:$B$33,2,False)</f>
        <v>8</v>
      </c>
      <c r="F627" s="27">
        <f>if(ISNA(vlookup($A627, ESPN!$B$2:$E$257, 4, false)), 0, vlookup($A627, ESPN!$B$2:$E$257, 4, false))</f>
        <v>0</v>
      </c>
      <c r="G627" s="27">
        <f>if(ISNA(vlookup($A627, FFToolbox!$B$2:$E$239, 4, false)), 0, vlookup($A627, FFToolbox!$B$2:$E$239, 4, false))</f>
        <v>0</v>
      </c>
      <c r="H627" s="27">
        <f>if(ISNA(vlookup($A627, FantasyPro!$B$2:$E$316, 4, false)), 0, vlookup($A627, FantasyPro!$B$2:$E$316, 4, false))</f>
        <v>0</v>
      </c>
      <c r="I627" s="27">
        <f>if(ISNA(vlookup($A627, RotoWire!$B$2:$E$681, 4, false)), 0, vlookup($A627, RotoWire!$B$2:$E$681, 4, false))</f>
        <v>0</v>
      </c>
      <c r="J627" s="28">
        <f t="shared" si="1"/>
        <v>0</v>
      </c>
      <c r="K627" s="28">
        <f t="shared" si="2"/>
        <v>0</v>
      </c>
    </row>
    <row r="628" hidden="1">
      <c r="A628" s="6" t="s">
        <v>322</v>
      </c>
      <c r="B628" s="25" t="s">
        <v>955</v>
      </c>
      <c r="C628" s="5" t="s">
        <v>48</v>
      </c>
      <c r="D628" s="5" t="s">
        <v>12</v>
      </c>
      <c r="E628" s="26">
        <f>vlookup(C628,'Team Bye List'!$A$1:$B$33,2,False)</f>
        <v>6</v>
      </c>
      <c r="F628" s="27">
        <f>if(ISNA(vlookup($A628, ESPN!$B$2:$E$257, 4, false)), 0, vlookup($A628, ESPN!$B$2:$E$257, 4, false))</f>
        <v>0</v>
      </c>
      <c r="G628" s="27">
        <f>if(ISNA(vlookup($A628, FFToolbox!$B$2:$E$239, 4, false)), 0, vlookup($A628, FFToolbox!$B$2:$E$239, 4, false))</f>
        <v>0</v>
      </c>
      <c r="H628" s="27">
        <f>if(ISNA(vlookup($A628, FantasyPro!$B$2:$E$316, 4, false)), 0, vlookup($A628, FantasyPro!$B$2:$E$316, 4, false))</f>
        <v>0</v>
      </c>
      <c r="I628" s="27">
        <f>if(ISNA(vlookup($A628, RotoWire!$B$2:$E$681, 4, false)), 0, vlookup($A628, RotoWire!$B$2:$E$681, 4, false))</f>
        <v>0</v>
      </c>
      <c r="J628" s="28">
        <f t="shared" si="1"/>
        <v>0</v>
      </c>
      <c r="K628" s="28">
        <f t="shared" si="2"/>
        <v>0</v>
      </c>
    </row>
    <row r="629" hidden="1">
      <c r="A629" s="6" t="s">
        <v>430</v>
      </c>
      <c r="B629" s="25" t="s">
        <v>955</v>
      </c>
      <c r="C629" s="5" t="s">
        <v>54</v>
      </c>
      <c r="D629" s="5" t="s">
        <v>12</v>
      </c>
      <c r="E629" s="26">
        <f>vlookup(C629,'Team Bye List'!$A$1:$B$33,2,False)</f>
        <v>9</v>
      </c>
      <c r="F629" s="27">
        <f>if(ISNA(vlookup($A629, ESPN!$B$2:$E$257, 4, false)), 0, vlookup($A629, ESPN!$B$2:$E$257, 4, false))</f>
        <v>0</v>
      </c>
      <c r="G629" s="27">
        <f>if(ISNA(vlookup($A629, FFToolbox!$B$2:$E$239, 4, false)), 0, vlookup($A629, FFToolbox!$B$2:$E$239, 4, false))</f>
        <v>0</v>
      </c>
      <c r="H629" s="27">
        <f>if(ISNA(vlookup($A629, FantasyPro!$B$2:$E$316, 4, false)), 0, vlookup($A629, FantasyPro!$B$2:$E$316, 4, false))</f>
        <v>0</v>
      </c>
      <c r="I629" s="27">
        <f>if(ISNA(vlookup($A629, RotoWire!$B$2:$E$681, 4, false)), 0, vlookup($A629, RotoWire!$B$2:$E$681, 4, false))</f>
        <v>0</v>
      </c>
      <c r="J629" s="28">
        <f t="shared" si="1"/>
        <v>0</v>
      </c>
      <c r="K629" s="28">
        <f t="shared" si="2"/>
        <v>0</v>
      </c>
    </row>
    <row r="630" hidden="1">
      <c r="A630" s="6" t="s">
        <v>446</v>
      </c>
      <c r="B630" s="25" t="s">
        <v>955</v>
      </c>
      <c r="C630" s="5" t="s">
        <v>50</v>
      </c>
      <c r="D630" s="5" t="s">
        <v>12</v>
      </c>
      <c r="E630" s="26">
        <f>vlookup(C630,'Team Bye List'!$A$1:$B$33,2,False)</f>
        <v>11</v>
      </c>
      <c r="F630" s="27">
        <f>if(ISNA(vlookup($A630, ESPN!$B$2:$E$257, 4, false)), 0, vlookup($A630, ESPN!$B$2:$E$257, 4, false))</f>
        <v>0</v>
      </c>
      <c r="G630" s="27">
        <f>if(ISNA(vlookup($A630, FFToolbox!$B$2:$E$239, 4, false)), 0, vlookup($A630, FFToolbox!$B$2:$E$239, 4, false))</f>
        <v>0</v>
      </c>
      <c r="H630" s="27">
        <f>if(ISNA(vlookup($A630, FantasyPro!$B$2:$E$316, 4, false)), 0, vlookup($A630, FantasyPro!$B$2:$E$316, 4, false))</f>
        <v>0</v>
      </c>
      <c r="I630" s="27">
        <f>if(ISNA(vlookup($A630, RotoWire!$B$2:$E$681, 4, false)), 0, vlookup($A630, RotoWire!$B$2:$E$681, 4, false))</f>
        <v>0</v>
      </c>
      <c r="J630" s="28">
        <f t="shared" si="1"/>
        <v>0</v>
      </c>
      <c r="K630" s="28">
        <f t="shared" si="2"/>
        <v>0</v>
      </c>
    </row>
    <row r="631" hidden="1">
      <c r="A631" s="6" t="s">
        <v>674</v>
      </c>
      <c r="B631" s="25" t="s">
        <v>955</v>
      </c>
      <c r="C631" s="5" t="s">
        <v>163</v>
      </c>
      <c r="D631" s="5" t="s">
        <v>7</v>
      </c>
      <c r="E631" s="26">
        <f>vlookup(C631,'Team Bye List'!$A$1:$B$33,2,False)</f>
        <v>5</v>
      </c>
      <c r="F631" s="27">
        <f>if(ISNA(vlookup($A631, ESPN!$B$2:$E$257, 4, false)), 0, vlookup($A631, ESPN!$B$2:$E$257, 4, false))</f>
        <v>0</v>
      </c>
      <c r="G631" s="27">
        <f>if(ISNA(vlookup($A631, FFToolbox!$B$2:$E$239, 4, false)), 0, vlookup($A631, FFToolbox!$B$2:$E$239, 4, false))</f>
        <v>0</v>
      </c>
      <c r="H631" s="27">
        <f>if(ISNA(vlookup($A631, FantasyPro!$B$2:$E$316, 4, false)), 0, vlookup($A631, FantasyPro!$B$2:$E$316, 4, false))</f>
        <v>0</v>
      </c>
      <c r="I631" s="27">
        <f>if(ISNA(vlookup($A631, RotoWire!$B$2:$E$681, 4, false)), 0, vlookup($A631, RotoWire!$B$2:$E$681, 4, false))</f>
        <v>0</v>
      </c>
      <c r="J631" s="28">
        <f t="shared" si="1"/>
        <v>0</v>
      </c>
      <c r="K631" s="28">
        <f t="shared" si="2"/>
        <v>0</v>
      </c>
    </row>
    <row r="632" hidden="1">
      <c r="A632" s="6" t="s">
        <v>325</v>
      </c>
      <c r="B632" s="25" t="s">
        <v>955</v>
      </c>
      <c r="C632" s="5" t="s">
        <v>46</v>
      </c>
      <c r="D632" s="5" t="s">
        <v>14</v>
      </c>
      <c r="E632" s="26">
        <f>vlookup(C632,'Team Bye List'!$A$1:$B$33,2,False)</f>
        <v>10</v>
      </c>
      <c r="F632" s="27">
        <f>if(ISNA(vlookup($A632, ESPN!$B$2:$E$257, 4, false)), 0, vlookup($A632, ESPN!$B$2:$E$257, 4, false))</f>
        <v>0</v>
      </c>
      <c r="G632" s="27">
        <f>if(ISNA(vlookup($A632, FFToolbox!$B$2:$E$239, 4, false)), 0, vlookup($A632, FFToolbox!$B$2:$E$239, 4, false))</f>
        <v>0</v>
      </c>
      <c r="H632" s="27">
        <f>if(ISNA(vlookup($A632, FantasyPro!$B$2:$E$316, 4, false)), 0, vlookup($A632, FantasyPro!$B$2:$E$316, 4, false))</f>
        <v>0</v>
      </c>
      <c r="I632" s="27">
        <f>if(ISNA(vlookup($A632, RotoWire!$B$2:$E$681, 4, false)), 0, vlookup($A632, RotoWire!$B$2:$E$681, 4, false))</f>
        <v>0</v>
      </c>
      <c r="J632" s="28">
        <f t="shared" si="1"/>
        <v>0</v>
      </c>
      <c r="K632" s="28">
        <f t="shared" si="2"/>
        <v>0</v>
      </c>
    </row>
    <row r="633">
      <c r="A633" s="6" t="s">
        <v>791</v>
      </c>
      <c r="B633" s="25" t="s">
        <v>955</v>
      </c>
      <c r="C633" s="5" t="s">
        <v>41</v>
      </c>
      <c r="D633" s="5" t="s">
        <v>39</v>
      </c>
      <c r="E633" s="26">
        <f>vlookup(C633,'Team Bye List'!$A$1:$B$33,2,False)</f>
        <v>6</v>
      </c>
      <c r="F633" s="27">
        <f>if(ISNA(vlookup($A633, ESPN!$B$2:$E$257, 4, false)), 0, vlookup($A633, ESPN!$B$2:$E$257, 4, false))</f>
        <v>0</v>
      </c>
      <c r="G633" s="27">
        <f>if(ISNA(vlookup($A633, FFToolbox!$B$2:$E$239, 4, false)), 0, vlookup($A633, FFToolbox!$B$2:$E$239, 4, false))</f>
        <v>0</v>
      </c>
      <c r="H633" s="27">
        <f>if(ISNA(vlookup($A633, FantasyPro!$B$2:$E$316, 4, false)), 0, vlookup($A633, FantasyPro!$B$2:$E$316, 4, false))</f>
        <v>0</v>
      </c>
      <c r="I633" s="27">
        <f>if(ISNA(vlookup($A633, RotoWire!$B$2:$E$681, 4, false)), 0, vlookup($A633, RotoWire!$B$2:$E$681, 4, false))</f>
        <v>0</v>
      </c>
      <c r="J633" s="28">
        <f t="shared" si="1"/>
        <v>0</v>
      </c>
      <c r="K633" s="28">
        <f t="shared" si="2"/>
        <v>0</v>
      </c>
    </row>
    <row r="634" hidden="1">
      <c r="A634" s="6" t="s">
        <v>275</v>
      </c>
      <c r="B634" s="25" t="s">
        <v>955</v>
      </c>
      <c r="C634" s="5" t="s">
        <v>59</v>
      </c>
      <c r="D634" s="5" t="s">
        <v>14</v>
      </c>
      <c r="E634" s="26">
        <f>vlookup(C634,'Team Bye List'!$A$1:$B$33,2,False)</f>
        <v>10</v>
      </c>
      <c r="F634" s="27">
        <f>if(ISNA(vlookup($A634, ESPN!$B$2:$E$257, 4, false)), 0, vlookup($A634, ESPN!$B$2:$E$257, 4, false))</f>
        <v>0</v>
      </c>
      <c r="G634" s="27">
        <f>if(ISNA(vlookup($A634, FFToolbox!$B$2:$E$239, 4, false)), 0, vlookup($A634, FFToolbox!$B$2:$E$239, 4, false))</f>
        <v>0</v>
      </c>
      <c r="H634" s="27">
        <f>if(ISNA(vlookup($A634, FantasyPro!$B$2:$E$316, 4, false)), 0, vlookup($A634, FantasyPro!$B$2:$E$316, 4, false))</f>
        <v>0</v>
      </c>
      <c r="I634" s="27">
        <f>if(ISNA(vlookup($A634, RotoWire!$B$2:$E$681, 4, false)), 0, vlookup($A634, RotoWire!$B$2:$E$681, 4, false))</f>
        <v>0</v>
      </c>
      <c r="J634" s="28">
        <f t="shared" si="1"/>
        <v>0</v>
      </c>
      <c r="K634" s="28">
        <f t="shared" si="2"/>
        <v>0</v>
      </c>
    </row>
    <row r="635" hidden="1">
      <c r="A635" s="6" t="s">
        <v>341</v>
      </c>
      <c r="B635" s="25" t="s">
        <v>955</v>
      </c>
      <c r="C635" s="5" t="s">
        <v>104</v>
      </c>
      <c r="D635" s="5" t="s">
        <v>12</v>
      </c>
      <c r="E635" s="26">
        <f>vlookup(C635,'Team Bye List'!$A$1:$B$33,2,False)</f>
        <v>8</v>
      </c>
      <c r="F635" s="27">
        <f>if(ISNA(vlookup($A635, ESPN!$B$2:$E$257, 4, false)), 0, vlookup($A635, ESPN!$B$2:$E$257, 4, false))</f>
        <v>0</v>
      </c>
      <c r="G635" s="27">
        <f>if(ISNA(vlookup($A635, FFToolbox!$B$2:$E$239, 4, false)), 0, vlookup($A635, FFToolbox!$B$2:$E$239, 4, false))</f>
        <v>0</v>
      </c>
      <c r="H635" s="27">
        <f>if(ISNA(vlookup($A635, FantasyPro!$B$2:$E$316, 4, false)), 0, vlookup($A635, FantasyPro!$B$2:$E$316, 4, false))</f>
        <v>0</v>
      </c>
      <c r="I635" s="27">
        <f>if(ISNA(vlookup($A635, RotoWire!$B$2:$E$681, 4, false)), 0, vlookup($A635, RotoWire!$B$2:$E$681, 4, false))</f>
        <v>0</v>
      </c>
      <c r="J635" s="28">
        <f t="shared" si="1"/>
        <v>0</v>
      </c>
      <c r="K635" s="28">
        <f t="shared" si="2"/>
        <v>0</v>
      </c>
    </row>
    <row r="636">
      <c r="A636" s="6" t="s">
        <v>462</v>
      </c>
      <c r="B636" s="25" t="s">
        <v>955</v>
      </c>
      <c r="C636" s="5" t="s">
        <v>91</v>
      </c>
      <c r="D636" s="5" t="s">
        <v>39</v>
      </c>
      <c r="E636" s="26">
        <f>vlookup(C636,'Team Bye List'!$A$1:$B$33,2,False)</f>
        <v>10</v>
      </c>
      <c r="F636" s="27">
        <f>if(ISNA(vlookup($A636, ESPN!$B$2:$E$257, 4, false)), 0, vlookup($A636, ESPN!$B$2:$E$257, 4, false))</f>
        <v>0</v>
      </c>
      <c r="G636" s="27">
        <f>if(ISNA(vlookup($A636, FFToolbox!$B$2:$E$239, 4, false)), 0, vlookup($A636, FFToolbox!$B$2:$E$239, 4, false))</f>
        <v>0</v>
      </c>
      <c r="H636" s="27">
        <f>if(ISNA(vlookup($A636, FantasyPro!$B$2:$E$316, 4, false)), 0, vlookup($A636, FantasyPro!$B$2:$E$316, 4, false))</f>
        <v>0</v>
      </c>
      <c r="I636" s="27">
        <f>if(ISNA(vlookup($A636, RotoWire!$B$2:$E$681, 4, false)), 0, vlookup($A636, RotoWire!$B$2:$E$681, 4, false))</f>
        <v>0</v>
      </c>
      <c r="J636" s="28">
        <f t="shared" si="1"/>
        <v>0</v>
      </c>
      <c r="K636" s="28">
        <f t="shared" si="2"/>
        <v>0</v>
      </c>
    </row>
    <row r="637">
      <c r="A637" s="6" t="s">
        <v>751</v>
      </c>
      <c r="B637" s="25" t="s">
        <v>955</v>
      </c>
      <c r="C637" s="5" t="s">
        <v>33</v>
      </c>
      <c r="D637" s="5" t="s">
        <v>39</v>
      </c>
      <c r="E637" s="26">
        <f>vlookup(C637,'Team Bye List'!$A$1:$B$33,2,False)</f>
        <v>4</v>
      </c>
      <c r="F637" s="27">
        <f>if(ISNA(vlookup($A637, ESPN!$B$2:$E$257, 4, false)), 0, vlookup($A637, ESPN!$B$2:$E$257, 4, false))</f>
        <v>0</v>
      </c>
      <c r="G637" s="27">
        <f>if(ISNA(vlookup($A637, FFToolbox!$B$2:$E$239, 4, false)), 0, vlookup($A637, FFToolbox!$B$2:$E$239, 4, false))</f>
        <v>0</v>
      </c>
      <c r="H637" s="27">
        <f>if(ISNA(vlookup($A637, FantasyPro!$B$2:$E$316, 4, false)), 0, vlookup($A637, FantasyPro!$B$2:$E$316, 4, false))</f>
        <v>0</v>
      </c>
      <c r="I637" s="27">
        <f>if(ISNA(vlookup($A637, RotoWire!$B$2:$E$681, 4, false)), 0, vlookup($A637, RotoWire!$B$2:$E$681, 4, false))</f>
        <v>0</v>
      </c>
      <c r="J637" s="28">
        <f t="shared" si="1"/>
        <v>0</v>
      </c>
      <c r="K637" s="28">
        <f t="shared" si="2"/>
        <v>0</v>
      </c>
    </row>
    <row r="638" hidden="1">
      <c r="A638" s="6" t="s">
        <v>311</v>
      </c>
      <c r="B638" s="25" t="s">
        <v>955</v>
      </c>
      <c r="C638" s="5" t="s">
        <v>163</v>
      </c>
      <c r="D638" s="5" t="s">
        <v>12</v>
      </c>
      <c r="E638" s="26">
        <f>vlookup(C638,'Team Bye List'!$A$1:$B$33,2,False)</f>
        <v>5</v>
      </c>
      <c r="F638" s="27">
        <f>if(ISNA(vlookup($A638, ESPN!$B$2:$E$257, 4, false)), 0, vlookup($A638, ESPN!$B$2:$E$257, 4, false))</f>
        <v>0</v>
      </c>
      <c r="G638" s="27">
        <f>if(ISNA(vlookup($A638, FFToolbox!$B$2:$E$239, 4, false)), 0, vlookup($A638, FFToolbox!$B$2:$E$239, 4, false))</f>
        <v>0</v>
      </c>
      <c r="H638" s="27">
        <f>if(ISNA(vlookup($A638, FantasyPro!$B$2:$E$316, 4, false)), 0, vlookup($A638, FantasyPro!$B$2:$E$316, 4, false))</f>
        <v>0</v>
      </c>
      <c r="I638" s="27">
        <f>if(ISNA(vlookup($A638, RotoWire!$B$2:$E$681, 4, false)), 0, vlookup($A638, RotoWire!$B$2:$E$681, 4, false))</f>
        <v>0</v>
      </c>
      <c r="J638" s="28">
        <f t="shared" si="1"/>
        <v>0</v>
      </c>
      <c r="K638" s="28">
        <f t="shared" si="2"/>
        <v>0</v>
      </c>
    </row>
    <row r="639" hidden="1">
      <c r="A639" s="6" t="s">
        <v>356</v>
      </c>
      <c r="B639" s="25" t="s">
        <v>955</v>
      </c>
      <c r="C639" s="5" t="s">
        <v>69</v>
      </c>
      <c r="D639" s="5" t="s">
        <v>12</v>
      </c>
      <c r="E639" s="26">
        <f>vlookup(C639,'Team Bye List'!$A$1:$B$33,2,False)</f>
        <v>11</v>
      </c>
      <c r="F639" s="27">
        <f>if(ISNA(vlookup($A639, ESPN!$B$2:$E$257, 4, false)), 0, vlookup($A639, ESPN!$B$2:$E$257, 4, false))</f>
        <v>0</v>
      </c>
      <c r="G639" s="27">
        <f>if(ISNA(vlookup($A639, FFToolbox!$B$2:$E$239, 4, false)), 0, vlookup($A639, FFToolbox!$B$2:$E$239, 4, false))</f>
        <v>0</v>
      </c>
      <c r="H639" s="27">
        <f>if(ISNA(vlookup($A639, FantasyPro!$B$2:$E$316, 4, false)), 0, vlookup($A639, FantasyPro!$B$2:$E$316, 4, false))</f>
        <v>0</v>
      </c>
      <c r="I639" s="27">
        <f>if(ISNA(vlookup($A639, RotoWire!$B$2:$E$681, 4, false)), 0, vlookup($A639, RotoWire!$B$2:$E$681, 4, false))</f>
        <v>0</v>
      </c>
      <c r="J639" s="28">
        <f t="shared" si="1"/>
        <v>0</v>
      </c>
      <c r="K639" s="28">
        <f t="shared" si="2"/>
        <v>0</v>
      </c>
    </row>
    <row r="640" hidden="1">
      <c r="A640" s="6" t="s">
        <v>595</v>
      </c>
      <c r="B640" s="25" t="s">
        <v>955</v>
      </c>
      <c r="C640" s="5" t="s">
        <v>122</v>
      </c>
      <c r="D640" s="5" t="s">
        <v>14</v>
      </c>
      <c r="E640" s="26">
        <f>vlookup(C640,'Team Bye List'!$A$1:$B$33,2,False)</f>
        <v>10</v>
      </c>
      <c r="F640" s="27">
        <f>if(ISNA(vlookup($A640, ESPN!$B$2:$E$257, 4, false)), 0, vlookup($A640, ESPN!$B$2:$E$257, 4, false))</f>
        <v>0</v>
      </c>
      <c r="G640" s="27">
        <f>if(ISNA(vlookup($A640, FFToolbox!$B$2:$E$239, 4, false)), 0, vlookup($A640, FFToolbox!$B$2:$E$239, 4, false))</f>
        <v>0</v>
      </c>
      <c r="H640" s="27">
        <f>if(ISNA(vlookup($A640, FantasyPro!$B$2:$E$316, 4, false)), 0, vlookup($A640, FantasyPro!$B$2:$E$316, 4, false))</f>
        <v>0</v>
      </c>
      <c r="I640" s="27">
        <f>if(ISNA(vlookup($A640, RotoWire!$B$2:$E$681, 4, false)), 0, vlookup($A640, RotoWire!$B$2:$E$681, 4, false))</f>
        <v>0</v>
      </c>
      <c r="J640" s="28">
        <f t="shared" si="1"/>
        <v>0</v>
      </c>
      <c r="K640" s="28">
        <f t="shared" si="2"/>
        <v>0</v>
      </c>
    </row>
    <row r="641" hidden="1">
      <c r="A641" s="6" t="s">
        <v>502</v>
      </c>
      <c r="B641" s="25" t="s">
        <v>955</v>
      </c>
      <c r="C641" s="5" t="s">
        <v>9</v>
      </c>
      <c r="D641" s="5" t="s">
        <v>14</v>
      </c>
      <c r="E641" s="26">
        <f>vlookup(C641,'Team Bye List'!$A$1:$B$33,2,False)</f>
        <v>8</v>
      </c>
      <c r="F641" s="27">
        <f>if(ISNA(vlookup($A641, ESPN!$B$2:$E$257, 4, false)), 0, vlookup($A641, ESPN!$B$2:$E$257, 4, false))</f>
        <v>0</v>
      </c>
      <c r="G641" s="27">
        <f>if(ISNA(vlookup($A641, FFToolbox!$B$2:$E$239, 4, false)), 0, vlookup($A641, FFToolbox!$B$2:$E$239, 4, false))</f>
        <v>0</v>
      </c>
      <c r="H641" s="27">
        <f>if(ISNA(vlookup($A641, FantasyPro!$B$2:$E$316, 4, false)), 0, vlookup($A641, FantasyPro!$B$2:$E$316, 4, false))</f>
        <v>0</v>
      </c>
      <c r="I641" s="27">
        <f>if(ISNA(vlookup($A641, RotoWire!$B$2:$E$681, 4, false)), 0, vlookup($A641, RotoWire!$B$2:$E$681, 4, false))</f>
        <v>0</v>
      </c>
      <c r="J641" s="28">
        <f t="shared" si="1"/>
        <v>0</v>
      </c>
      <c r="K641" s="28">
        <f t="shared" si="2"/>
        <v>0</v>
      </c>
    </row>
    <row r="642" hidden="1">
      <c r="A642" s="8" t="s">
        <v>504</v>
      </c>
      <c r="B642" s="25"/>
      <c r="C642" s="5" t="s">
        <v>62</v>
      </c>
      <c r="D642" s="5" t="s">
        <v>14</v>
      </c>
      <c r="E642" s="26">
        <f>vlookup(C642,'Team Bye List'!$A$1:$B$33,2,False)</f>
        <v>12</v>
      </c>
      <c r="F642" s="27">
        <f>if(ISNA(vlookup($A642, ESPN!$B$2:$E$257, 4, false)), 0, vlookup($A642, ESPN!$B$2:$E$257, 4, false))</f>
        <v>0</v>
      </c>
      <c r="G642" s="27">
        <f>if(ISNA(vlookup($A642, FFToolbox!$B$2:$E$239, 4, false)), 0, vlookup($A642, FFToolbox!$B$2:$E$239, 4, false))</f>
        <v>0</v>
      </c>
      <c r="H642" s="27">
        <f>if(ISNA(vlookup($A642, FantasyPro!$B$2:$E$316, 4, false)), 0, vlookup($A642, FantasyPro!$B$2:$E$316, 4, false))</f>
        <v>0</v>
      </c>
      <c r="I642" s="27">
        <f>if(ISNA(vlookup($A642, RotoWire!$B$2:$E$681, 4, false)), 0, vlookup($A642, RotoWire!$B$2:$E$681, 4, false))</f>
        <v>0</v>
      </c>
      <c r="J642" s="28">
        <f t="shared" si="1"/>
        <v>0</v>
      </c>
      <c r="K642" s="28">
        <f t="shared" si="2"/>
        <v>0</v>
      </c>
    </row>
    <row r="643" hidden="1">
      <c r="A643" s="6" t="s">
        <v>451</v>
      </c>
      <c r="B643" s="25" t="s">
        <v>955</v>
      </c>
      <c r="C643" s="5" t="s">
        <v>122</v>
      </c>
      <c r="D643" s="5" t="s">
        <v>12</v>
      </c>
      <c r="E643" s="26">
        <f>vlookup(C643,'Team Bye List'!$A$1:$B$33,2,False)</f>
        <v>10</v>
      </c>
      <c r="F643" s="27">
        <f>if(ISNA(vlookup($A643, ESPN!$B$2:$E$257, 4, false)), 0, vlookup($A643, ESPN!$B$2:$E$257, 4, false))</f>
        <v>0</v>
      </c>
      <c r="G643" s="27">
        <f>if(ISNA(vlookup($A643, FFToolbox!$B$2:$E$239, 4, false)), 0, vlookup($A643, FFToolbox!$B$2:$E$239, 4, false))</f>
        <v>0</v>
      </c>
      <c r="H643" s="27">
        <f>if(ISNA(vlookup($A643, FantasyPro!$B$2:$E$316, 4, false)), 0, vlookup($A643, FantasyPro!$B$2:$E$316, 4, false))</f>
        <v>0</v>
      </c>
      <c r="I643" s="27">
        <f>if(ISNA(vlookup($A643, RotoWire!$B$2:$E$681, 4, false)), 0, vlookup($A643, RotoWire!$B$2:$E$681, 4, false))</f>
        <v>0</v>
      </c>
      <c r="J643" s="28">
        <f t="shared" si="1"/>
        <v>0</v>
      </c>
      <c r="K643" s="28">
        <f t="shared" si="2"/>
        <v>0</v>
      </c>
    </row>
    <row r="644" hidden="1">
      <c r="A644" s="6" t="s">
        <v>287</v>
      </c>
      <c r="B644" s="25" t="s">
        <v>955</v>
      </c>
      <c r="C644" s="5" t="s">
        <v>48</v>
      </c>
      <c r="D644" s="5" t="s">
        <v>14</v>
      </c>
      <c r="E644" s="26">
        <f>vlookup(C644,'Team Bye List'!$A$1:$B$33,2,False)</f>
        <v>6</v>
      </c>
      <c r="F644" s="27">
        <f>if(ISNA(vlookup($A644, ESPN!$B$2:$E$257, 4, false)), 0, vlookup($A644, ESPN!$B$2:$E$257, 4, false))</f>
        <v>0</v>
      </c>
      <c r="G644" s="27">
        <f>if(ISNA(vlookup($A644, FFToolbox!$B$2:$E$239, 4, false)), 0, vlookup($A644, FFToolbox!$B$2:$E$239, 4, false))</f>
        <v>0</v>
      </c>
      <c r="H644" s="27">
        <f>if(ISNA(vlookup($A644, FantasyPro!$B$2:$E$316, 4, false)), 0, vlookup($A644, FantasyPro!$B$2:$E$316, 4, false))</f>
        <v>0</v>
      </c>
      <c r="I644" s="27">
        <f>if(ISNA(vlookup($A644, RotoWire!$B$2:$E$681, 4, false)), 0, vlookup($A644, RotoWire!$B$2:$E$681, 4, false))</f>
        <v>0</v>
      </c>
      <c r="J644" s="28">
        <f t="shared" si="1"/>
        <v>0</v>
      </c>
      <c r="K644" s="28">
        <f t="shared" si="2"/>
        <v>0</v>
      </c>
    </row>
    <row r="645" hidden="1">
      <c r="A645" s="6" t="s">
        <v>723</v>
      </c>
      <c r="B645" s="25" t="s">
        <v>955</v>
      </c>
      <c r="C645" s="5" t="s">
        <v>6</v>
      </c>
      <c r="D645" s="5" t="s">
        <v>7</v>
      </c>
      <c r="E645" s="26">
        <f>vlookup(C645,'Team Bye List'!$A$1:$B$33,2,False)</f>
        <v>11</v>
      </c>
      <c r="F645" s="27">
        <f>if(ISNA(vlookup($A645, ESPN!$B$2:$E$257, 4, false)), 0, vlookup($A645, ESPN!$B$2:$E$257, 4, false))</f>
        <v>0</v>
      </c>
      <c r="G645" s="27">
        <f>if(ISNA(vlookup($A645, FFToolbox!$B$2:$E$239, 4, false)), 0, vlookup($A645, FFToolbox!$B$2:$E$239, 4, false))</f>
        <v>0</v>
      </c>
      <c r="H645" s="27">
        <f>if(ISNA(vlookup($A645, FantasyPro!$B$2:$E$316, 4, false)), 0, vlookup($A645, FantasyPro!$B$2:$E$316, 4, false))</f>
        <v>0</v>
      </c>
      <c r="I645" s="27">
        <f>if(ISNA(vlookup($A645, RotoWire!$B$2:$E$681, 4, false)), 0, vlookup($A645, RotoWire!$B$2:$E$681, 4, false))</f>
        <v>0</v>
      </c>
      <c r="J645" s="28">
        <f t="shared" si="1"/>
        <v>0</v>
      </c>
      <c r="K645" s="28">
        <f t="shared" si="2"/>
        <v>0</v>
      </c>
    </row>
    <row r="646" hidden="1">
      <c r="A646" s="6" t="s">
        <v>236</v>
      </c>
      <c r="B646" s="25" t="s">
        <v>955</v>
      </c>
      <c r="C646" s="5" t="s">
        <v>165</v>
      </c>
      <c r="D646" s="5" t="s">
        <v>14</v>
      </c>
      <c r="E646" s="26">
        <f>vlookup(C646,'Team Bye List'!$A$1:$B$33,2,False)</f>
        <v>10</v>
      </c>
      <c r="F646" s="27">
        <f>if(ISNA(vlookup($A646, ESPN!$B$2:$E$257, 4, false)), 0, vlookup($A646, ESPN!$B$2:$E$257, 4, false))</f>
        <v>0</v>
      </c>
      <c r="G646" s="27">
        <f>if(ISNA(vlookup($A646, FFToolbox!$B$2:$E$239, 4, false)), 0, vlookup($A646, FFToolbox!$B$2:$E$239, 4, false))</f>
        <v>0</v>
      </c>
      <c r="H646" s="27">
        <f>if(ISNA(vlookup($A646, FantasyPro!$B$2:$E$316, 4, false)), 0, vlookup($A646, FantasyPro!$B$2:$E$316, 4, false))</f>
        <v>0</v>
      </c>
      <c r="I646" s="27">
        <f>if(ISNA(vlookup($A646, RotoWire!$B$2:$E$681, 4, false)), 0, vlookup($A646, RotoWire!$B$2:$E$681, 4, false))</f>
        <v>0</v>
      </c>
      <c r="J646" s="28">
        <f t="shared" si="1"/>
        <v>0</v>
      </c>
      <c r="K646" s="28">
        <f t="shared" si="2"/>
        <v>0</v>
      </c>
    </row>
    <row r="647">
      <c r="A647" s="6" t="s">
        <v>773</v>
      </c>
      <c r="B647" s="25" t="s">
        <v>955</v>
      </c>
      <c r="C647" s="5" t="s">
        <v>69</v>
      </c>
      <c r="D647" s="5" t="s">
        <v>39</v>
      </c>
      <c r="E647" s="26">
        <f>vlookup(C647,'Team Bye List'!$A$1:$B$33,2,False)</f>
        <v>11</v>
      </c>
      <c r="F647" s="27">
        <f>if(ISNA(vlookup($A647, ESPN!$B$2:$E$257, 4, false)), 0, vlookup($A647, ESPN!$B$2:$E$257, 4, false))</f>
        <v>0</v>
      </c>
      <c r="G647" s="27">
        <f>if(ISNA(vlookup($A647, FFToolbox!$B$2:$E$239, 4, false)), 0, vlookup($A647, FFToolbox!$B$2:$E$239, 4, false))</f>
        <v>0</v>
      </c>
      <c r="H647" s="27">
        <f>if(ISNA(vlookup($A647, FantasyPro!$B$2:$E$316, 4, false)), 0, vlookup($A647, FantasyPro!$B$2:$E$316, 4, false))</f>
        <v>0</v>
      </c>
      <c r="I647" s="27">
        <f>if(ISNA(vlookup($A647, RotoWire!$B$2:$E$681, 4, false)), 0, vlookup($A647, RotoWire!$B$2:$E$681, 4, false))</f>
        <v>0</v>
      </c>
      <c r="J647" s="28">
        <f t="shared" si="1"/>
        <v>0</v>
      </c>
      <c r="K647" s="28">
        <f t="shared" si="2"/>
        <v>0</v>
      </c>
    </row>
    <row r="648" hidden="1">
      <c r="A648" s="6" t="s">
        <v>436</v>
      </c>
      <c r="B648" s="25" t="s">
        <v>955</v>
      </c>
      <c r="C648" s="5" t="s">
        <v>30</v>
      </c>
      <c r="D648" s="5" t="s">
        <v>12</v>
      </c>
      <c r="E648" s="26">
        <f>vlookup(C648,'Team Bye List'!$A$1:$B$33,2,False)</f>
        <v>7</v>
      </c>
      <c r="F648" s="27">
        <f>if(ISNA(vlookup($A648, ESPN!$B$2:$E$257, 4, false)), 0, vlookup($A648, ESPN!$B$2:$E$257, 4, false))</f>
        <v>0</v>
      </c>
      <c r="G648" s="27">
        <f>if(ISNA(vlookup($A648, FFToolbox!$B$2:$E$239, 4, false)), 0, vlookup($A648, FFToolbox!$B$2:$E$239, 4, false))</f>
        <v>0</v>
      </c>
      <c r="H648" s="27">
        <f>if(ISNA(vlookup($A648, FantasyPro!$B$2:$E$316, 4, false)), 0, vlookup($A648, FantasyPro!$B$2:$E$316, 4, false))</f>
        <v>0</v>
      </c>
      <c r="I648" s="27">
        <f>if(ISNA(vlookup($A648, RotoWire!$B$2:$E$681, 4, false)), 0, vlookup($A648, RotoWire!$B$2:$E$681, 4, false))</f>
        <v>0</v>
      </c>
      <c r="J648" s="28">
        <f t="shared" si="1"/>
        <v>0</v>
      </c>
      <c r="K648" s="28">
        <f t="shared" si="2"/>
        <v>0</v>
      </c>
    </row>
    <row r="649" hidden="1">
      <c r="A649" s="6" t="s">
        <v>525</v>
      </c>
      <c r="B649" s="25" t="s">
        <v>955</v>
      </c>
      <c r="C649" s="5" t="s">
        <v>26</v>
      </c>
      <c r="D649" s="5" t="s">
        <v>14</v>
      </c>
      <c r="E649" s="26">
        <f>vlookup(C649,'Team Bye List'!$A$1:$B$33,2,False)</f>
        <v>12</v>
      </c>
      <c r="F649" s="27">
        <f>if(ISNA(vlookup($A649, ESPN!$B$2:$E$257, 4, false)), 0, vlookup($A649, ESPN!$B$2:$E$257, 4, false))</f>
        <v>0</v>
      </c>
      <c r="G649" s="27">
        <f>if(ISNA(vlookup($A649, FFToolbox!$B$2:$E$239, 4, false)), 0, vlookup($A649, FFToolbox!$B$2:$E$239, 4, false))</f>
        <v>0</v>
      </c>
      <c r="H649" s="27">
        <f>if(ISNA(vlookup($A649, FantasyPro!$B$2:$E$316, 4, false)), 0, vlookup($A649, FantasyPro!$B$2:$E$316, 4, false))</f>
        <v>0</v>
      </c>
      <c r="I649" s="27">
        <f>if(ISNA(vlookup($A649, RotoWire!$B$2:$E$681, 4, false)), 0, vlookup($A649, RotoWire!$B$2:$E$681, 4, false))</f>
        <v>0</v>
      </c>
      <c r="J649" s="28">
        <f t="shared" si="1"/>
        <v>0</v>
      </c>
      <c r="K649" s="28">
        <f t="shared" si="2"/>
        <v>0</v>
      </c>
    </row>
    <row r="650" hidden="1">
      <c r="A650" s="6" t="s">
        <v>473</v>
      </c>
      <c r="B650" s="25" t="s">
        <v>955</v>
      </c>
      <c r="C650" s="5" t="s">
        <v>46</v>
      </c>
      <c r="D650" s="5" t="s">
        <v>14</v>
      </c>
      <c r="E650" s="26">
        <f>vlookup(C650,'Team Bye List'!$A$1:$B$33,2,False)</f>
        <v>10</v>
      </c>
      <c r="F650" s="27">
        <f>if(ISNA(vlookup($A650, ESPN!$B$2:$E$257, 4, false)), 0, vlookup($A650, ESPN!$B$2:$E$257, 4, false))</f>
        <v>0</v>
      </c>
      <c r="G650" s="27">
        <f>if(ISNA(vlookup($A650, FFToolbox!$B$2:$E$239, 4, false)), 0, vlookup($A650, FFToolbox!$B$2:$E$239, 4, false))</f>
        <v>0</v>
      </c>
      <c r="H650" s="27">
        <f>if(ISNA(vlookup($A650, FantasyPro!$B$2:$E$316, 4, false)), 0, vlookup($A650, FantasyPro!$B$2:$E$316, 4, false))</f>
        <v>0</v>
      </c>
      <c r="I650" s="27">
        <f>if(ISNA(vlookup($A650, RotoWire!$B$2:$E$681, 4, false)), 0, vlookup($A650, RotoWire!$B$2:$E$681, 4, false))</f>
        <v>0</v>
      </c>
      <c r="J650" s="28">
        <f t="shared" si="1"/>
        <v>0</v>
      </c>
      <c r="K650" s="28">
        <f t="shared" si="2"/>
        <v>0</v>
      </c>
    </row>
    <row r="651" hidden="1">
      <c r="A651" s="6" t="s">
        <v>315</v>
      </c>
      <c r="B651" s="25" t="s">
        <v>955</v>
      </c>
      <c r="C651" s="5" t="s">
        <v>163</v>
      </c>
      <c r="D651" s="5" t="s">
        <v>14</v>
      </c>
      <c r="E651" s="26">
        <f>vlookup(C651,'Team Bye List'!$A$1:$B$33,2,False)</f>
        <v>5</v>
      </c>
      <c r="F651" s="27">
        <f>if(ISNA(vlookup($A651, ESPN!$B$2:$E$257, 4, false)), 0, vlookup($A651, ESPN!$B$2:$E$257, 4, false))</f>
        <v>0</v>
      </c>
      <c r="G651" s="27">
        <f>if(ISNA(vlookup($A651, FFToolbox!$B$2:$E$239, 4, false)), 0, vlookup($A651, FFToolbox!$B$2:$E$239, 4, false))</f>
        <v>0</v>
      </c>
      <c r="H651" s="27">
        <f>if(ISNA(vlookup($A651, FantasyPro!$B$2:$E$316, 4, false)), 0, vlookup($A651, FantasyPro!$B$2:$E$316, 4, false))</f>
        <v>0</v>
      </c>
      <c r="I651" s="27">
        <f>if(ISNA(vlookup($A651, RotoWire!$B$2:$E$681, 4, false)), 0, vlookup($A651, RotoWire!$B$2:$E$681, 4, false))</f>
        <v>0</v>
      </c>
      <c r="J651" s="28">
        <f t="shared" si="1"/>
        <v>0</v>
      </c>
      <c r="K651" s="28">
        <f t="shared" si="2"/>
        <v>0</v>
      </c>
    </row>
    <row r="652" hidden="1">
      <c r="A652" s="6" t="s">
        <v>655</v>
      </c>
      <c r="B652" s="25" t="s">
        <v>955</v>
      </c>
      <c r="C652" s="5" t="s">
        <v>20</v>
      </c>
      <c r="D652" s="5" t="s">
        <v>7</v>
      </c>
      <c r="E652" s="26">
        <f>vlookup(C652,'Team Bye List'!$A$1:$B$33,2,False)</f>
        <v>9</v>
      </c>
      <c r="F652" s="27">
        <f>if(ISNA(vlookup($A652, ESPN!$B$2:$E$257, 4, false)), 0, vlookup($A652, ESPN!$B$2:$E$257, 4, false))</f>
        <v>0</v>
      </c>
      <c r="G652" s="27">
        <f>if(ISNA(vlookup($A652, FFToolbox!$B$2:$E$239, 4, false)), 0, vlookup($A652, FFToolbox!$B$2:$E$239, 4, false))</f>
        <v>0</v>
      </c>
      <c r="H652" s="27">
        <f>if(ISNA(vlookup($A652, FantasyPro!$B$2:$E$316, 4, false)), 0, vlookup($A652, FantasyPro!$B$2:$E$316, 4, false))</f>
        <v>0</v>
      </c>
      <c r="I652" s="27">
        <f>if(ISNA(vlookup($A652, RotoWire!$B$2:$E$681, 4, false)), 0, vlookup($A652, RotoWire!$B$2:$E$681, 4, false))</f>
        <v>0</v>
      </c>
      <c r="J652" s="28">
        <f t="shared" si="1"/>
        <v>0</v>
      </c>
      <c r="K652" s="28">
        <f t="shared" si="2"/>
        <v>0</v>
      </c>
    </row>
    <row r="653" hidden="1">
      <c r="A653" s="6" t="s">
        <v>560</v>
      </c>
      <c r="B653" s="25" t="s">
        <v>955</v>
      </c>
      <c r="C653" s="5" t="s">
        <v>91</v>
      </c>
      <c r="D653" s="5" t="s">
        <v>14</v>
      </c>
      <c r="E653" s="26">
        <f>vlookup(C653,'Team Bye List'!$A$1:$B$33,2,False)</f>
        <v>10</v>
      </c>
      <c r="F653" s="27">
        <f>if(ISNA(vlookup($A653, ESPN!$B$2:$E$257, 4, false)), 0, vlookup($A653, ESPN!$B$2:$E$257, 4, false))</f>
        <v>0</v>
      </c>
      <c r="G653" s="27">
        <f>if(ISNA(vlookup($A653, FFToolbox!$B$2:$E$239, 4, false)), 0, vlookup($A653, FFToolbox!$B$2:$E$239, 4, false))</f>
        <v>0</v>
      </c>
      <c r="H653" s="27">
        <f>if(ISNA(vlookup($A653, FantasyPro!$B$2:$E$316, 4, false)), 0, vlookup($A653, FantasyPro!$B$2:$E$316, 4, false))</f>
        <v>0</v>
      </c>
      <c r="I653" s="27">
        <f>if(ISNA(vlookup($A653, RotoWire!$B$2:$E$681, 4, false)), 0, vlookup($A653, RotoWire!$B$2:$E$681, 4, false))</f>
        <v>0</v>
      </c>
      <c r="J653" s="28">
        <f t="shared" si="1"/>
        <v>0</v>
      </c>
      <c r="K653" s="28">
        <f t="shared" si="2"/>
        <v>0</v>
      </c>
    </row>
    <row r="654" hidden="1">
      <c r="A654" s="6" t="s">
        <v>264</v>
      </c>
      <c r="B654" s="25" t="s">
        <v>955</v>
      </c>
      <c r="C654" s="5" t="s">
        <v>52</v>
      </c>
      <c r="D654" s="5" t="s">
        <v>14</v>
      </c>
      <c r="E654" s="26">
        <f>vlookup(C654,'Team Bye List'!$A$1:$B$33,2,False)</f>
        <v>4</v>
      </c>
      <c r="F654" s="27">
        <f>if(ISNA(vlookup($A654, ESPN!$B$2:$E$257, 4, false)), 0, vlookup($A654, ESPN!$B$2:$E$257, 4, false))</f>
        <v>0</v>
      </c>
      <c r="G654" s="27">
        <f>if(ISNA(vlookup($A654, FFToolbox!$B$2:$E$239, 4, false)), 0, vlookup($A654, FFToolbox!$B$2:$E$239, 4, false))</f>
        <v>0</v>
      </c>
      <c r="H654" s="27">
        <f>if(ISNA(vlookup($A654, FantasyPro!$B$2:$E$316, 4, false)), 0, vlookup($A654, FantasyPro!$B$2:$E$316, 4, false))</f>
        <v>0</v>
      </c>
      <c r="I654" s="27">
        <f>if(ISNA(vlookup($A654, RotoWire!$B$2:$E$681, 4, false)), 0, vlookup($A654, RotoWire!$B$2:$E$681, 4, false))</f>
        <v>0</v>
      </c>
      <c r="J654" s="28">
        <f t="shared" si="1"/>
        <v>0</v>
      </c>
      <c r="K654" s="28">
        <f t="shared" si="2"/>
        <v>0</v>
      </c>
    </row>
    <row r="655" hidden="1">
      <c r="A655" s="6" t="s">
        <v>699</v>
      </c>
      <c r="B655" s="25" t="s">
        <v>955</v>
      </c>
      <c r="C655" s="5" t="s">
        <v>54</v>
      </c>
      <c r="D655" s="5" t="s">
        <v>7</v>
      </c>
      <c r="E655" s="26">
        <f>vlookup(C655,'Team Bye List'!$A$1:$B$33,2,False)</f>
        <v>9</v>
      </c>
      <c r="F655" s="27">
        <f>if(ISNA(vlookup($A655, ESPN!$B$2:$E$257, 4, false)), 0, vlookup($A655, ESPN!$B$2:$E$257, 4, false))</f>
        <v>0</v>
      </c>
      <c r="G655" s="27">
        <f>if(ISNA(vlookup($A655, FFToolbox!$B$2:$E$239, 4, false)), 0, vlookup($A655, FFToolbox!$B$2:$E$239, 4, false))</f>
        <v>0</v>
      </c>
      <c r="H655" s="27">
        <f>if(ISNA(vlookup($A655, FantasyPro!$B$2:$E$316, 4, false)), 0, vlookup($A655, FantasyPro!$B$2:$E$316, 4, false))</f>
        <v>0</v>
      </c>
      <c r="I655" s="27">
        <f>if(ISNA(vlookup($A655, RotoWire!$B$2:$E$681, 4, false)), 0, vlookup($A655, RotoWire!$B$2:$E$681, 4, false))</f>
        <v>0</v>
      </c>
      <c r="J655" s="28">
        <f t="shared" si="1"/>
        <v>0</v>
      </c>
      <c r="K655" s="28">
        <f t="shared" si="2"/>
        <v>0</v>
      </c>
    </row>
    <row r="656" hidden="1">
      <c r="A656" s="6" t="s">
        <v>682</v>
      </c>
      <c r="B656" s="25" t="s">
        <v>955</v>
      </c>
      <c r="C656" s="5" t="s">
        <v>33</v>
      </c>
      <c r="D656" s="5" t="s">
        <v>7</v>
      </c>
      <c r="E656" s="26">
        <f>vlookup(C656,'Team Bye List'!$A$1:$B$33,2,False)</f>
        <v>4</v>
      </c>
      <c r="F656" s="27">
        <f>if(ISNA(vlookup($A656, ESPN!$B$2:$E$257, 4, false)), 0, vlookup($A656, ESPN!$B$2:$E$257, 4, false))</f>
        <v>0</v>
      </c>
      <c r="G656" s="27">
        <f>if(ISNA(vlookup($A656, FFToolbox!$B$2:$E$239, 4, false)), 0, vlookup($A656, FFToolbox!$B$2:$E$239, 4, false))</f>
        <v>0</v>
      </c>
      <c r="H656" s="27">
        <f>if(ISNA(vlookup($A656, FantasyPro!$B$2:$E$316, 4, false)), 0, vlookup($A656, FantasyPro!$B$2:$E$316, 4, false))</f>
        <v>0</v>
      </c>
      <c r="I656" s="27">
        <f>if(ISNA(vlookup($A656, RotoWire!$B$2:$E$681, 4, false)), 0, vlookup($A656, RotoWire!$B$2:$E$681, 4, false))</f>
        <v>0</v>
      </c>
      <c r="J656" s="28">
        <f t="shared" si="1"/>
        <v>0</v>
      </c>
      <c r="K656" s="28">
        <f t="shared" si="2"/>
        <v>0</v>
      </c>
    </row>
    <row r="657" hidden="1">
      <c r="A657" s="6" t="s">
        <v>273</v>
      </c>
      <c r="B657" s="25" t="s">
        <v>955</v>
      </c>
      <c r="C657" s="5" t="s">
        <v>9</v>
      </c>
      <c r="D657" s="5" t="s">
        <v>14</v>
      </c>
      <c r="E657" s="26">
        <f>vlookup(C657,'Team Bye List'!$A$1:$B$33,2,False)</f>
        <v>8</v>
      </c>
      <c r="F657" s="27">
        <f>if(ISNA(vlookup($A657, ESPN!$B$2:$E$257, 4, false)), 0, vlookup($A657, ESPN!$B$2:$E$257, 4, false))</f>
        <v>0</v>
      </c>
      <c r="G657" s="27">
        <f>if(ISNA(vlookup($A657, FFToolbox!$B$2:$E$239, 4, false)), 0, vlookup($A657, FFToolbox!$B$2:$E$239, 4, false))</f>
        <v>0</v>
      </c>
      <c r="H657" s="27">
        <f>if(ISNA(vlookup($A657, FantasyPro!$B$2:$E$316, 4, false)), 0, vlookup($A657, FantasyPro!$B$2:$E$316, 4, false))</f>
        <v>0</v>
      </c>
      <c r="I657" s="27">
        <f>if(ISNA(vlookup($A657, RotoWire!$B$2:$E$681, 4, false)), 0, vlookup($A657, RotoWire!$B$2:$E$681, 4, false))</f>
        <v>0</v>
      </c>
      <c r="J657" s="28">
        <f t="shared" si="1"/>
        <v>0</v>
      </c>
      <c r="K657" s="28">
        <f t="shared" si="2"/>
        <v>0</v>
      </c>
    </row>
    <row r="658" hidden="1">
      <c r="A658" s="6" t="s">
        <v>206</v>
      </c>
      <c r="B658" s="25" t="s">
        <v>955</v>
      </c>
      <c r="C658" s="5" t="s">
        <v>54</v>
      </c>
      <c r="D658" s="5" t="s">
        <v>120</v>
      </c>
      <c r="E658" s="26">
        <f>vlookup(C658,'Team Bye List'!$A$1:$B$33,2,False)</f>
        <v>9</v>
      </c>
      <c r="F658" s="27">
        <f>if(ISNA(vlookup($A658, ESPN!$B$2:$E$257, 4, false)), 0, vlookup($A658, ESPN!$B$2:$E$257, 4, false))</f>
        <v>0</v>
      </c>
      <c r="G658" s="27">
        <f>if(ISNA(vlookup($A658, FFToolbox!$B$2:$E$239, 4, false)), 0, vlookup($A658, FFToolbox!$B$2:$E$239, 4, false))</f>
        <v>0</v>
      </c>
      <c r="H658" s="27">
        <f>if(ISNA(vlookup($A658, FantasyPro!$B$2:$E$316, 4, false)), 0, vlookup($A658, FantasyPro!$B$2:$E$316, 4, false))</f>
        <v>0</v>
      </c>
      <c r="I658" s="27">
        <f>if(ISNA(vlookup($A658, RotoWire!$B$2:$E$681, 4, false)), 0, vlookup($A658, RotoWire!$B$2:$E$681, 4, false))</f>
        <v>0</v>
      </c>
      <c r="J658" s="28">
        <f t="shared" si="1"/>
        <v>0</v>
      </c>
      <c r="K658" s="28">
        <f t="shared" si="2"/>
        <v>0</v>
      </c>
    </row>
    <row r="659" hidden="1">
      <c r="A659" s="6" t="s">
        <v>596</v>
      </c>
      <c r="B659" s="25" t="s">
        <v>955</v>
      </c>
      <c r="C659" s="5" t="s">
        <v>22</v>
      </c>
      <c r="D659" s="5" t="s">
        <v>14</v>
      </c>
      <c r="E659" s="26">
        <f>vlookup(C659,'Team Bye List'!$A$1:$B$33,2,False)</f>
        <v>7</v>
      </c>
      <c r="F659" s="27">
        <f>if(ISNA(vlookup($A659, ESPN!$B$2:$E$257, 4, false)), 0, vlookup($A659, ESPN!$B$2:$E$257, 4, false))</f>
        <v>0</v>
      </c>
      <c r="G659" s="27">
        <f>if(ISNA(vlookup($A659, FFToolbox!$B$2:$E$239, 4, false)), 0, vlookup($A659, FFToolbox!$B$2:$E$239, 4, false))</f>
        <v>0</v>
      </c>
      <c r="H659" s="27">
        <f>if(ISNA(vlookup($A659, FantasyPro!$B$2:$E$316, 4, false)), 0, vlookup($A659, FantasyPro!$B$2:$E$316, 4, false))</f>
        <v>0</v>
      </c>
      <c r="I659" s="27">
        <f>if(ISNA(vlookup($A659, RotoWire!$B$2:$E$681, 4, false)), 0, vlookup($A659, RotoWire!$B$2:$E$681, 4, false))</f>
        <v>0</v>
      </c>
      <c r="J659" s="28">
        <f t="shared" si="1"/>
        <v>0</v>
      </c>
      <c r="K659" s="28">
        <f t="shared" si="2"/>
        <v>0</v>
      </c>
    </row>
    <row r="660" hidden="1">
      <c r="A660" s="6" t="s">
        <v>292</v>
      </c>
      <c r="B660" s="25" t="s">
        <v>955</v>
      </c>
      <c r="C660" s="5" t="s">
        <v>30</v>
      </c>
      <c r="D660" s="5" t="s">
        <v>14</v>
      </c>
      <c r="E660" s="26">
        <f>vlookup(C660,'Team Bye List'!$A$1:$B$33,2,False)</f>
        <v>7</v>
      </c>
      <c r="F660" s="27">
        <f>if(ISNA(vlookup($A660, ESPN!$B$2:$E$257, 4, false)), 0, vlookup($A660, ESPN!$B$2:$E$257, 4, false))</f>
        <v>0</v>
      </c>
      <c r="G660" s="27">
        <f>if(ISNA(vlookup($A660, FFToolbox!$B$2:$E$239, 4, false)), 0, vlookup($A660, FFToolbox!$B$2:$E$239, 4, false))</f>
        <v>0</v>
      </c>
      <c r="H660" s="27">
        <f>if(ISNA(vlookup($A660, FantasyPro!$B$2:$E$316, 4, false)), 0, vlookup($A660, FantasyPro!$B$2:$E$316, 4, false))</f>
        <v>0</v>
      </c>
      <c r="I660" s="27">
        <f>if(ISNA(vlookup($A660, RotoWire!$B$2:$E$681, 4, false)), 0, vlookup($A660, RotoWire!$B$2:$E$681, 4, false))</f>
        <v>0</v>
      </c>
      <c r="J660" s="28">
        <f t="shared" si="1"/>
        <v>0</v>
      </c>
      <c r="K660" s="28">
        <f t="shared" si="2"/>
        <v>0</v>
      </c>
    </row>
    <row r="661" hidden="1">
      <c r="A661" s="6" t="s">
        <v>557</v>
      </c>
      <c r="B661" s="25" t="s">
        <v>955</v>
      </c>
      <c r="C661" s="5" t="s">
        <v>139</v>
      </c>
      <c r="D661" s="5" t="s">
        <v>14</v>
      </c>
      <c r="E661" s="26">
        <f>vlookup(C661,'Team Bye List'!$A$1:$B$33,2,False)</f>
        <v>6</v>
      </c>
      <c r="F661" s="27">
        <f>if(ISNA(vlookup($A661, ESPN!$B$2:$E$257, 4, false)), 0, vlookup($A661, ESPN!$B$2:$E$257, 4, false))</f>
        <v>0</v>
      </c>
      <c r="G661" s="27">
        <f>if(ISNA(vlookup($A661, FFToolbox!$B$2:$E$239, 4, false)), 0, vlookup($A661, FFToolbox!$B$2:$E$239, 4, false))</f>
        <v>0</v>
      </c>
      <c r="H661" s="27">
        <f>if(ISNA(vlookup($A661, FantasyPro!$B$2:$E$316, 4, false)), 0, vlookup($A661, FantasyPro!$B$2:$E$316, 4, false))</f>
        <v>0</v>
      </c>
      <c r="I661" s="27">
        <f>if(ISNA(vlookup($A661, RotoWire!$B$2:$E$681, 4, false)), 0, vlookup($A661, RotoWire!$B$2:$E$681, 4, false))</f>
        <v>0</v>
      </c>
      <c r="J661" s="28">
        <f t="shared" si="1"/>
        <v>0</v>
      </c>
      <c r="K661" s="28">
        <f t="shared" si="2"/>
        <v>0</v>
      </c>
    </row>
    <row r="662" hidden="1">
      <c r="A662" s="6" t="s">
        <v>632</v>
      </c>
      <c r="B662" s="25" t="s">
        <v>955</v>
      </c>
      <c r="C662" s="5" t="s">
        <v>46</v>
      </c>
      <c r="D662" s="5" t="s">
        <v>7</v>
      </c>
      <c r="E662" s="26">
        <f>vlookup(C662,'Team Bye List'!$A$1:$B$33,2,False)</f>
        <v>10</v>
      </c>
      <c r="F662" s="27">
        <f>if(ISNA(vlookup($A662, ESPN!$B$2:$E$257, 4, false)), 0, vlookup($A662, ESPN!$B$2:$E$257, 4, false))</f>
        <v>0</v>
      </c>
      <c r="G662" s="27">
        <f>if(ISNA(vlookup($A662, FFToolbox!$B$2:$E$239, 4, false)), 0, vlookup($A662, FFToolbox!$B$2:$E$239, 4, false))</f>
        <v>0</v>
      </c>
      <c r="H662" s="27">
        <f>if(ISNA(vlookup($A662, FantasyPro!$B$2:$E$316, 4, false)), 0, vlookup($A662, FantasyPro!$B$2:$E$316, 4, false))</f>
        <v>0</v>
      </c>
      <c r="I662" s="27">
        <f>if(ISNA(vlookup($A662, RotoWire!$B$2:$E$681, 4, false)), 0, vlookup($A662, RotoWire!$B$2:$E$681, 4, false))</f>
        <v>0</v>
      </c>
      <c r="J662" s="28">
        <f t="shared" si="1"/>
        <v>0</v>
      </c>
      <c r="K662" s="28">
        <f t="shared" si="2"/>
        <v>0</v>
      </c>
    </row>
    <row r="663" hidden="1">
      <c r="A663" s="6" t="s">
        <v>336</v>
      </c>
      <c r="B663" s="25" t="s">
        <v>955</v>
      </c>
      <c r="C663" s="5" t="s">
        <v>6</v>
      </c>
      <c r="D663" s="5" t="s">
        <v>12</v>
      </c>
      <c r="E663" s="26">
        <f>vlookup(C663,'Team Bye List'!$A$1:$B$33,2,False)</f>
        <v>11</v>
      </c>
      <c r="F663" s="27">
        <f>if(ISNA(vlookup($A663, ESPN!$B$2:$E$257, 4, false)), 0, vlookup($A663, ESPN!$B$2:$E$257, 4, false))</f>
        <v>0</v>
      </c>
      <c r="G663" s="27">
        <f>if(ISNA(vlookup($A663, FFToolbox!$B$2:$E$239, 4, false)), 0, vlookup($A663, FFToolbox!$B$2:$E$239, 4, false))</f>
        <v>0</v>
      </c>
      <c r="H663" s="27">
        <f>if(ISNA(vlookup($A663, FantasyPro!$B$2:$E$316, 4, false)), 0, vlookup($A663, FantasyPro!$B$2:$E$316, 4, false))</f>
        <v>0</v>
      </c>
      <c r="I663" s="27">
        <f>if(ISNA(vlookup($A663, RotoWire!$B$2:$E$681, 4, false)), 0, vlookup($A663, RotoWire!$B$2:$E$681, 4, false))</f>
        <v>0</v>
      </c>
      <c r="J663" s="28">
        <f t="shared" si="1"/>
        <v>0</v>
      </c>
      <c r="K663" s="28">
        <f t="shared" si="2"/>
        <v>0</v>
      </c>
    </row>
    <row r="664" hidden="1">
      <c r="A664" s="6" t="s">
        <v>449</v>
      </c>
      <c r="B664" s="25" t="s">
        <v>955</v>
      </c>
      <c r="C664" s="5" t="s">
        <v>59</v>
      </c>
      <c r="D664" s="5" t="s">
        <v>12</v>
      </c>
      <c r="E664" s="26">
        <f>vlookup(C664,'Team Bye List'!$A$1:$B$33,2,False)</f>
        <v>10</v>
      </c>
      <c r="F664" s="27">
        <f>if(ISNA(vlookup($A664, ESPN!$B$2:$E$257, 4, false)), 0, vlookup($A664, ESPN!$B$2:$E$257, 4, false))</f>
        <v>0</v>
      </c>
      <c r="G664" s="27">
        <f>if(ISNA(vlookup($A664, FFToolbox!$B$2:$E$239, 4, false)), 0, vlookup($A664, FFToolbox!$B$2:$E$239, 4, false))</f>
        <v>0</v>
      </c>
      <c r="H664" s="27">
        <f>if(ISNA(vlookup($A664, FantasyPro!$B$2:$E$316, 4, false)), 0, vlookup($A664, FantasyPro!$B$2:$E$316, 4, false))</f>
        <v>0</v>
      </c>
      <c r="I664" s="27">
        <f>if(ISNA(vlookup($A664, RotoWire!$B$2:$E$681, 4, false)), 0, vlookup($A664, RotoWire!$B$2:$E$681, 4, false))</f>
        <v>0</v>
      </c>
      <c r="J664" s="28">
        <f t="shared" si="1"/>
        <v>0</v>
      </c>
      <c r="K664" s="28">
        <f t="shared" si="2"/>
        <v>0</v>
      </c>
    </row>
    <row r="665" hidden="1">
      <c r="A665" s="6" t="s">
        <v>518</v>
      </c>
      <c r="B665" s="25" t="s">
        <v>955</v>
      </c>
      <c r="C665" s="5" t="s">
        <v>33</v>
      </c>
      <c r="D665" s="5" t="s">
        <v>14</v>
      </c>
      <c r="E665" s="26">
        <f>vlookup(C665,'Team Bye List'!$A$1:$B$33,2,False)</f>
        <v>4</v>
      </c>
      <c r="F665" s="27">
        <f>if(ISNA(vlookup($A665, ESPN!$B$2:$E$257, 4, false)), 0, vlookup($A665, ESPN!$B$2:$E$257, 4, false))</f>
        <v>0</v>
      </c>
      <c r="G665" s="27">
        <f>if(ISNA(vlookup($A665, FFToolbox!$B$2:$E$239, 4, false)), 0, vlookup($A665, FFToolbox!$B$2:$E$239, 4, false))</f>
        <v>0</v>
      </c>
      <c r="H665" s="27">
        <f>if(ISNA(vlookup($A665, FantasyPro!$B$2:$E$316, 4, false)), 0, vlookup($A665, FantasyPro!$B$2:$E$316, 4, false))</f>
        <v>0</v>
      </c>
      <c r="I665" s="27">
        <f>if(ISNA(vlookup($A665, RotoWire!$B$2:$E$681, 4, false)), 0, vlookup($A665, RotoWire!$B$2:$E$681, 4, false))</f>
        <v>0</v>
      </c>
      <c r="J665" s="28">
        <f t="shared" si="1"/>
        <v>0</v>
      </c>
      <c r="K665" s="28">
        <f t="shared" si="2"/>
        <v>0</v>
      </c>
    </row>
    <row r="666" hidden="1">
      <c r="A666" s="6" t="s">
        <v>340</v>
      </c>
      <c r="B666" s="25" t="s">
        <v>955</v>
      </c>
      <c r="C666" s="5" t="s">
        <v>26</v>
      </c>
      <c r="D666" s="5" t="s">
        <v>12</v>
      </c>
      <c r="E666" s="26">
        <f>vlookup(C666,'Team Bye List'!$A$1:$B$33,2,False)</f>
        <v>12</v>
      </c>
      <c r="F666" s="27">
        <f>if(ISNA(vlookup($A666, ESPN!$B$2:$E$257, 4, false)), 0, vlookup($A666, ESPN!$B$2:$E$257, 4, false))</f>
        <v>0</v>
      </c>
      <c r="G666" s="27">
        <f>if(ISNA(vlookup($A666, FFToolbox!$B$2:$E$239, 4, false)), 0, vlookup($A666, FFToolbox!$B$2:$E$239, 4, false))</f>
        <v>0</v>
      </c>
      <c r="H666" s="27">
        <f>if(ISNA(vlookup($A666, FantasyPro!$B$2:$E$316, 4, false)), 0, vlookup($A666, FantasyPro!$B$2:$E$316, 4, false))</f>
        <v>0</v>
      </c>
      <c r="I666" s="27">
        <f>if(ISNA(vlookup($A666, RotoWire!$B$2:$E$681, 4, false)), 0, vlookup($A666, RotoWire!$B$2:$E$681, 4, false))</f>
        <v>0</v>
      </c>
      <c r="J666" s="28">
        <f t="shared" si="1"/>
        <v>0</v>
      </c>
      <c r="K666" s="28">
        <f t="shared" si="2"/>
        <v>0</v>
      </c>
    </row>
    <row r="667" hidden="1">
      <c r="A667" s="6" t="s">
        <v>413</v>
      </c>
      <c r="B667" s="25" t="s">
        <v>955</v>
      </c>
      <c r="C667" s="5" t="s">
        <v>30</v>
      </c>
      <c r="D667" s="5" t="s">
        <v>12</v>
      </c>
      <c r="E667" s="26">
        <f>vlookup(C667,'Team Bye List'!$A$1:$B$33,2,False)</f>
        <v>7</v>
      </c>
      <c r="F667" s="27">
        <f>if(ISNA(vlookup($A667, ESPN!$B$2:$E$257, 4, false)), 0, vlookup($A667, ESPN!$B$2:$E$257, 4, false))</f>
        <v>0</v>
      </c>
      <c r="G667" s="27">
        <f>if(ISNA(vlookup($A667, FFToolbox!$B$2:$E$239, 4, false)), 0, vlookup($A667, FFToolbox!$B$2:$E$239, 4, false))</f>
        <v>0</v>
      </c>
      <c r="H667" s="27">
        <f>if(ISNA(vlookup($A667, FantasyPro!$B$2:$E$316, 4, false)), 0, vlookup($A667, FantasyPro!$B$2:$E$316, 4, false))</f>
        <v>0</v>
      </c>
      <c r="I667" s="27">
        <f>if(ISNA(vlookup($A667, RotoWire!$B$2:$E$681, 4, false)), 0, vlookup($A667, RotoWire!$B$2:$E$681, 4, false))</f>
        <v>0</v>
      </c>
      <c r="J667" s="28">
        <f t="shared" si="1"/>
        <v>0</v>
      </c>
      <c r="K667" s="28">
        <f t="shared" si="2"/>
        <v>0</v>
      </c>
    </row>
    <row r="668" hidden="1">
      <c r="A668" s="6" t="s">
        <v>532</v>
      </c>
      <c r="B668" s="25" t="s">
        <v>955</v>
      </c>
      <c r="C668" s="5" t="s">
        <v>122</v>
      </c>
      <c r="D668" s="5" t="s">
        <v>14</v>
      </c>
      <c r="E668" s="26">
        <f>vlookup(C668,'Team Bye List'!$A$1:$B$33,2,False)</f>
        <v>10</v>
      </c>
      <c r="F668" s="27">
        <f>if(ISNA(vlookup($A668, ESPN!$B$2:$E$257, 4, false)), 0, vlookup($A668, ESPN!$B$2:$E$257, 4, false))</f>
        <v>0</v>
      </c>
      <c r="G668" s="27">
        <f>if(ISNA(vlookup($A668, FFToolbox!$B$2:$E$239, 4, false)), 0, vlookup($A668, FFToolbox!$B$2:$E$239, 4, false))</f>
        <v>0</v>
      </c>
      <c r="H668" s="27">
        <f>if(ISNA(vlookup($A668, FantasyPro!$B$2:$E$316, 4, false)), 0, vlookup($A668, FantasyPro!$B$2:$E$316, 4, false))</f>
        <v>0</v>
      </c>
      <c r="I668" s="27">
        <f>if(ISNA(vlookup($A668, RotoWire!$B$2:$E$681, 4, false)), 0, vlookup($A668, RotoWire!$B$2:$E$681, 4, false))</f>
        <v>0</v>
      </c>
      <c r="J668" s="28">
        <f t="shared" si="1"/>
        <v>0</v>
      </c>
      <c r="K668" s="28">
        <f t="shared" si="2"/>
        <v>0</v>
      </c>
    </row>
    <row r="669" hidden="1">
      <c r="A669" s="6" t="s">
        <v>574</v>
      </c>
      <c r="B669" s="25" t="s">
        <v>955</v>
      </c>
      <c r="C669" s="5" t="s">
        <v>165</v>
      </c>
      <c r="D669" s="5" t="s">
        <v>14</v>
      </c>
      <c r="E669" s="26">
        <f>vlookup(C669,'Team Bye List'!$A$1:$B$33,2,False)</f>
        <v>10</v>
      </c>
      <c r="F669" s="27">
        <f>if(ISNA(vlookup($A669, ESPN!$B$2:$E$257, 4, false)), 0, vlookup($A669, ESPN!$B$2:$E$257, 4, false))</f>
        <v>0</v>
      </c>
      <c r="G669" s="27">
        <f>if(ISNA(vlookup($A669, FFToolbox!$B$2:$E$239, 4, false)), 0, vlookup($A669, FFToolbox!$B$2:$E$239, 4, false))</f>
        <v>0</v>
      </c>
      <c r="H669" s="27">
        <f>if(ISNA(vlookup($A669, FantasyPro!$B$2:$E$316, 4, false)), 0, vlookup($A669, FantasyPro!$B$2:$E$316, 4, false))</f>
        <v>0</v>
      </c>
      <c r="I669" s="27">
        <f>if(ISNA(vlookup($A669, RotoWire!$B$2:$E$681, 4, false)), 0, vlookup($A669, RotoWire!$B$2:$E$681, 4, false))</f>
        <v>0</v>
      </c>
      <c r="J669" s="28">
        <f t="shared" si="1"/>
        <v>0</v>
      </c>
      <c r="K669" s="28">
        <f t="shared" si="2"/>
        <v>0</v>
      </c>
    </row>
    <row r="670" hidden="1">
      <c r="A670" s="6" t="s">
        <v>323</v>
      </c>
      <c r="B670" s="25" t="s">
        <v>955</v>
      </c>
      <c r="C670" s="5" t="s">
        <v>139</v>
      </c>
      <c r="D670" s="5" t="s">
        <v>14</v>
      </c>
      <c r="E670" s="26">
        <f>vlookup(C670,'Team Bye List'!$A$1:$B$33,2,False)</f>
        <v>6</v>
      </c>
      <c r="F670" s="27">
        <f>if(ISNA(vlookup($A670, ESPN!$B$2:$E$257, 4, false)), 0, vlookup($A670, ESPN!$B$2:$E$257, 4, false))</f>
        <v>0</v>
      </c>
      <c r="G670" s="27">
        <f>if(ISNA(vlookup($A670, FFToolbox!$B$2:$E$239, 4, false)), 0, vlookup($A670, FFToolbox!$B$2:$E$239, 4, false))</f>
        <v>0</v>
      </c>
      <c r="H670" s="27">
        <f>if(ISNA(vlookup($A670, FantasyPro!$B$2:$E$316, 4, false)), 0, vlookup($A670, FantasyPro!$B$2:$E$316, 4, false))</f>
        <v>0</v>
      </c>
      <c r="I670" s="27">
        <f>if(ISNA(vlookup($A670, RotoWire!$B$2:$E$681, 4, false)), 0, vlookup($A670, RotoWire!$B$2:$E$681, 4, false))</f>
        <v>0</v>
      </c>
      <c r="J670" s="28">
        <f t="shared" si="1"/>
        <v>0</v>
      </c>
      <c r="K670" s="28">
        <f t="shared" si="2"/>
        <v>0</v>
      </c>
    </row>
    <row r="671">
      <c r="A671" s="6" t="s">
        <v>750</v>
      </c>
      <c r="B671" s="25" t="s">
        <v>955</v>
      </c>
      <c r="C671" s="5" t="s">
        <v>104</v>
      </c>
      <c r="D671" s="5" t="s">
        <v>39</v>
      </c>
      <c r="E671" s="26">
        <f>vlookup(C671,'Team Bye List'!$A$1:$B$33,2,False)</f>
        <v>8</v>
      </c>
      <c r="F671" s="27">
        <f>if(ISNA(vlookup($A671, ESPN!$B$2:$E$257, 4, false)), 0, vlookup($A671, ESPN!$B$2:$E$257, 4, false))</f>
        <v>0</v>
      </c>
      <c r="G671" s="27">
        <f>if(ISNA(vlookup($A671, FFToolbox!$B$2:$E$239, 4, false)), 0, vlookup($A671, FFToolbox!$B$2:$E$239, 4, false))</f>
        <v>0</v>
      </c>
      <c r="H671" s="27">
        <f>if(ISNA(vlookup($A671, FantasyPro!$B$2:$E$316, 4, false)), 0, vlookup($A671, FantasyPro!$B$2:$E$316, 4, false))</f>
        <v>0</v>
      </c>
      <c r="I671" s="27">
        <f>if(ISNA(vlookup($A671, RotoWire!$B$2:$E$681, 4, false)), 0, vlookup($A671, RotoWire!$B$2:$E$681, 4, false))</f>
        <v>0</v>
      </c>
      <c r="J671" s="28">
        <f t="shared" si="1"/>
        <v>0</v>
      </c>
      <c r="K671" s="28">
        <f t="shared" si="2"/>
        <v>0</v>
      </c>
    </row>
    <row r="672" hidden="1">
      <c r="A672" s="6" t="s">
        <v>377</v>
      </c>
      <c r="B672" s="25" t="s">
        <v>955</v>
      </c>
      <c r="C672" s="5" t="s">
        <v>28</v>
      </c>
      <c r="D672" s="5" t="s">
        <v>12</v>
      </c>
      <c r="E672" s="26">
        <f>vlookup(C672,'Team Bye List'!$A$1:$B$33,2,False)</f>
        <v>11</v>
      </c>
      <c r="F672" s="27">
        <f>if(ISNA(vlookup($A672, ESPN!$B$2:$E$257, 4, false)), 0, vlookup($A672, ESPN!$B$2:$E$257, 4, false))</f>
        <v>0</v>
      </c>
      <c r="G672" s="27">
        <f>if(ISNA(vlookup($A672, FFToolbox!$B$2:$E$239, 4, false)), 0, vlookup($A672, FFToolbox!$B$2:$E$239, 4, false))</f>
        <v>0</v>
      </c>
      <c r="H672" s="27">
        <f>if(ISNA(vlookup($A672, FantasyPro!$B$2:$E$316, 4, false)), 0, vlookup($A672, FantasyPro!$B$2:$E$316, 4, false))</f>
        <v>0</v>
      </c>
      <c r="I672" s="27">
        <f>if(ISNA(vlookup($A672, RotoWire!$B$2:$E$681, 4, false)), 0, vlookup($A672, RotoWire!$B$2:$E$681, 4, false))</f>
        <v>0</v>
      </c>
      <c r="J672" s="28">
        <f t="shared" si="1"/>
        <v>0</v>
      </c>
      <c r="K672" s="28">
        <f t="shared" si="2"/>
        <v>0</v>
      </c>
    </row>
    <row r="673" hidden="1">
      <c r="A673" s="6" t="s">
        <v>693</v>
      </c>
      <c r="B673" s="25" t="s">
        <v>955</v>
      </c>
      <c r="C673" s="5" t="s">
        <v>91</v>
      </c>
      <c r="D673" s="5" t="s">
        <v>7</v>
      </c>
      <c r="E673" s="26">
        <f>vlookup(C673,'Team Bye List'!$A$1:$B$33,2,False)</f>
        <v>10</v>
      </c>
      <c r="F673" s="27">
        <f>if(ISNA(vlookup($A673, ESPN!$B$2:$E$257, 4, false)), 0, vlookup($A673, ESPN!$B$2:$E$257, 4, false))</f>
        <v>0</v>
      </c>
      <c r="G673" s="27">
        <f>if(ISNA(vlookup($A673, FFToolbox!$B$2:$E$239, 4, false)), 0, vlookup($A673, FFToolbox!$B$2:$E$239, 4, false))</f>
        <v>0</v>
      </c>
      <c r="H673" s="27">
        <f>if(ISNA(vlookup($A673, FantasyPro!$B$2:$E$316, 4, false)), 0, vlookup($A673, FantasyPro!$B$2:$E$316, 4, false))</f>
        <v>0</v>
      </c>
      <c r="I673" s="27">
        <f>if(ISNA(vlookup($A673, RotoWire!$B$2:$E$681, 4, false)), 0, vlookup($A673, RotoWire!$B$2:$E$681, 4, false))</f>
        <v>0</v>
      </c>
      <c r="J673" s="28">
        <f t="shared" si="1"/>
        <v>0</v>
      </c>
      <c r="K673" s="28">
        <f t="shared" si="2"/>
        <v>0</v>
      </c>
    </row>
    <row r="674" hidden="1">
      <c r="A674" s="6" t="s">
        <v>660</v>
      </c>
      <c r="B674" s="25" t="s">
        <v>955</v>
      </c>
      <c r="C674" s="5" t="s">
        <v>6</v>
      </c>
      <c r="D674" s="5" t="s">
        <v>7</v>
      </c>
      <c r="E674" s="26">
        <f>vlookup(C674,'Team Bye List'!$A$1:$B$33,2,False)</f>
        <v>11</v>
      </c>
      <c r="F674" s="27">
        <f>if(ISNA(vlookup($A674, ESPN!$B$2:$E$257, 4, false)), 0, vlookup($A674, ESPN!$B$2:$E$257, 4, false))</f>
        <v>0</v>
      </c>
      <c r="G674" s="27">
        <f>if(ISNA(vlookup($A674, FFToolbox!$B$2:$E$239, 4, false)), 0, vlookup($A674, FFToolbox!$B$2:$E$239, 4, false))</f>
        <v>0</v>
      </c>
      <c r="H674" s="27">
        <f>if(ISNA(vlookup($A674, FantasyPro!$B$2:$E$316, 4, false)), 0, vlookup($A674, FantasyPro!$B$2:$E$316, 4, false))</f>
        <v>0</v>
      </c>
      <c r="I674" s="27">
        <f>if(ISNA(vlookup($A674, RotoWire!$B$2:$E$681, 4, false)), 0, vlookup($A674, RotoWire!$B$2:$E$681, 4, false))</f>
        <v>0</v>
      </c>
      <c r="J674" s="28">
        <f t="shared" si="1"/>
        <v>0</v>
      </c>
      <c r="K674" s="28">
        <f t="shared" si="2"/>
        <v>0</v>
      </c>
    </row>
    <row r="675" hidden="1">
      <c r="A675" s="6" t="s">
        <v>549</v>
      </c>
      <c r="B675" s="25" t="s">
        <v>955</v>
      </c>
      <c r="C675" s="5" t="s">
        <v>48</v>
      </c>
      <c r="D675" s="5" t="s">
        <v>14</v>
      </c>
      <c r="E675" s="26">
        <f>vlookup(C675,'Team Bye List'!$A$1:$B$33,2,False)</f>
        <v>6</v>
      </c>
      <c r="F675" s="27">
        <f>if(ISNA(vlookup($A675, ESPN!$B$2:$E$257, 4, false)), 0, vlookup($A675, ESPN!$B$2:$E$257, 4, false))</f>
        <v>0</v>
      </c>
      <c r="G675" s="27">
        <f>if(ISNA(vlookup($A675, FFToolbox!$B$2:$E$239, 4, false)), 0, vlookup($A675, FFToolbox!$B$2:$E$239, 4, false))</f>
        <v>0</v>
      </c>
      <c r="H675" s="27">
        <f>if(ISNA(vlookup($A675, FantasyPro!$B$2:$E$316, 4, false)), 0, vlookup($A675, FantasyPro!$B$2:$E$316, 4, false))</f>
        <v>0</v>
      </c>
      <c r="I675" s="27">
        <f>if(ISNA(vlookup($A675, RotoWire!$B$2:$E$681, 4, false)), 0, vlookup($A675, RotoWire!$B$2:$E$681, 4, false))</f>
        <v>0</v>
      </c>
      <c r="J675" s="28">
        <f t="shared" si="1"/>
        <v>0</v>
      </c>
      <c r="K675" s="28">
        <f t="shared" si="2"/>
        <v>0</v>
      </c>
    </row>
    <row r="676" hidden="1">
      <c r="A676" s="6" t="s">
        <v>380</v>
      </c>
      <c r="B676" s="25" t="s">
        <v>955</v>
      </c>
      <c r="C676" s="5" t="s">
        <v>33</v>
      </c>
      <c r="D676" s="5" t="s">
        <v>12</v>
      </c>
      <c r="E676" s="26">
        <f>vlookup(C676,'Team Bye List'!$A$1:$B$33,2,False)</f>
        <v>4</v>
      </c>
      <c r="F676" s="27">
        <f>if(ISNA(vlookup($A676, ESPN!$B$2:$E$257, 4, false)), 0, vlookup($A676, ESPN!$B$2:$E$257, 4, false))</f>
        <v>0</v>
      </c>
      <c r="G676" s="27">
        <f>if(ISNA(vlookup($A676, FFToolbox!$B$2:$E$239, 4, false)), 0, vlookup($A676, FFToolbox!$B$2:$E$239, 4, false))</f>
        <v>0</v>
      </c>
      <c r="H676" s="27">
        <f>if(ISNA(vlookup($A676, FantasyPro!$B$2:$E$316, 4, false)), 0, vlookup($A676, FantasyPro!$B$2:$E$316, 4, false))</f>
        <v>0</v>
      </c>
      <c r="I676" s="27">
        <f>if(ISNA(vlookup($A676, RotoWire!$B$2:$E$681, 4, false)), 0, vlookup($A676, RotoWire!$B$2:$E$681, 4, false))</f>
        <v>0</v>
      </c>
      <c r="J676" s="28">
        <f t="shared" si="1"/>
        <v>0</v>
      </c>
      <c r="K676" s="28">
        <f t="shared" si="2"/>
        <v>0</v>
      </c>
    </row>
    <row r="677" hidden="1">
      <c r="A677" s="6" t="s">
        <v>431</v>
      </c>
      <c r="B677" s="25" t="s">
        <v>955</v>
      </c>
      <c r="C677" s="5" t="s">
        <v>48</v>
      </c>
      <c r="D677" s="5" t="s">
        <v>12</v>
      </c>
      <c r="E677" s="26">
        <f>vlookup(C677,'Team Bye List'!$A$1:$B$33,2,False)</f>
        <v>6</v>
      </c>
      <c r="F677" s="27">
        <f>if(ISNA(vlookup($A677, ESPN!$B$2:$E$257, 4, false)), 0, vlookup($A677, ESPN!$B$2:$E$257, 4, false))</f>
        <v>0</v>
      </c>
      <c r="G677" s="27">
        <f>if(ISNA(vlookup($A677, FFToolbox!$B$2:$E$239, 4, false)), 0, vlookup($A677, FFToolbox!$B$2:$E$239, 4, false))</f>
        <v>0</v>
      </c>
      <c r="H677" s="27">
        <f>if(ISNA(vlookup($A677, FantasyPro!$B$2:$E$316, 4, false)), 0, vlookup($A677, FantasyPro!$B$2:$E$316, 4, false))</f>
        <v>0</v>
      </c>
      <c r="I677" s="27">
        <f>if(ISNA(vlookup($A677, RotoWire!$B$2:$E$681, 4, false)), 0, vlookup($A677, RotoWire!$B$2:$E$681, 4, false))</f>
        <v>0</v>
      </c>
      <c r="J677" s="28">
        <f t="shared" si="1"/>
        <v>0</v>
      </c>
      <c r="K677" s="28">
        <f t="shared" si="2"/>
        <v>0</v>
      </c>
    </row>
    <row r="678" hidden="1">
      <c r="A678" s="6" t="s">
        <v>474</v>
      </c>
      <c r="B678" s="25" t="s">
        <v>955</v>
      </c>
      <c r="C678" s="5" t="s">
        <v>20</v>
      </c>
      <c r="D678" s="5" t="s">
        <v>14</v>
      </c>
      <c r="E678" s="26">
        <f>vlookup(C678,'Team Bye List'!$A$1:$B$33,2,False)</f>
        <v>9</v>
      </c>
      <c r="F678" s="27">
        <f>if(ISNA(vlookup($A678, ESPN!$B$2:$E$257, 4, false)), 0, vlookup($A678, ESPN!$B$2:$E$257, 4, false))</f>
        <v>0</v>
      </c>
      <c r="G678" s="27">
        <f>if(ISNA(vlookup($A678, FFToolbox!$B$2:$E$239, 4, false)), 0, vlookup($A678, FFToolbox!$B$2:$E$239, 4, false))</f>
        <v>0</v>
      </c>
      <c r="H678" s="27">
        <f>if(ISNA(vlookup($A678, FantasyPro!$B$2:$E$316, 4, false)), 0, vlookup($A678, FantasyPro!$B$2:$E$316, 4, false))</f>
        <v>0</v>
      </c>
      <c r="I678" s="27">
        <f>if(ISNA(vlookup($A678, RotoWire!$B$2:$E$681, 4, false)), 0, vlookup($A678, RotoWire!$B$2:$E$681, 4, false))</f>
        <v>0</v>
      </c>
      <c r="J678" s="28">
        <f t="shared" si="1"/>
        <v>0</v>
      </c>
      <c r="K678" s="28">
        <f t="shared" si="2"/>
        <v>0</v>
      </c>
    </row>
    <row r="679" hidden="1">
      <c r="A679" s="6" t="s">
        <v>460</v>
      </c>
      <c r="B679" s="25" t="s">
        <v>955</v>
      </c>
      <c r="C679" s="5" t="s">
        <v>6</v>
      </c>
      <c r="D679" s="5" t="s">
        <v>14</v>
      </c>
      <c r="E679" s="26">
        <f>vlookup(C679,'Team Bye List'!$A$1:$B$33,2,False)</f>
        <v>11</v>
      </c>
      <c r="F679" s="27">
        <f>if(ISNA(vlookup($A679, ESPN!$B$2:$E$257, 4, false)), 0, vlookup($A679, ESPN!$B$2:$E$257, 4, false))</f>
        <v>0</v>
      </c>
      <c r="G679" s="27">
        <f>if(ISNA(vlookup($A679, FFToolbox!$B$2:$E$239, 4, false)), 0, vlookup($A679, FFToolbox!$B$2:$E$239, 4, false))</f>
        <v>0</v>
      </c>
      <c r="H679" s="27">
        <f>if(ISNA(vlookup($A679, FantasyPro!$B$2:$E$316, 4, false)), 0, vlookup($A679, FantasyPro!$B$2:$E$316, 4, false))</f>
        <v>0</v>
      </c>
      <c r="I679" s="27">
        <f>if(ISNA(vlookup($A679, RotoWire!$B$2:$E$681, 4, false)), 0, vlookup($A679, RotoWire!$B$2:$E$681, 4, false))</f>
        <v>0</v>
      </c>
      <c r="J679" s="28">
        <f t="shared" si="1"/>
        <v>0</v>
      </c>
      <c r="K679" s="28">
        <f t="shared" si="2"/>
        <v>0</v>
      </c>
    </row>
    <row r="680">
      <c r="A680" s="6" t="s">
        <v>758</v>
      </c>
      <c r="B680" s="25" t="s">
        <v>955</v>
      </c>
      <c r="C680" s="5" t="s">
        <v>54</v>
      </c>
      <c r="D680" s="5" t="s">
        <v>39</v>
      </c>
      <c r="E680" s="26">
        <f>vlookup(C680,'Team Bye List'!$A$1:$B$33,2,False)</f>
        <v>9</v>
      </c>
      <c r="F680" s="27">
        <f>if(ISNA(vlookup($A680, ESPN!$B$2:$E$257, 4, false)), 0, vlookup($A680, ESPN!$B$2:$E$257, 4, false))</f>
        <v>0</v>
      </c>
      <c r="G680" s="27">
        <f>if(ISNA(vlookup($A680, FFToolbox!$B$2:$E$239, 4, false)), 0, vlookup($A680, FFToolbox!$B$2:$E$239, 4, false))</f>
        <v>0</v>
      </c>
      <c r="H680" s="27">
        <f>if(ISNA(vlookup($A680, FantasyPro!$B$2:$E$316, 4, false)), 0, vlookup($A680, FantasyPro!$B$2:$E$316, 4, false))</f>
        <v>0</v>
      </c>
      <c r="I680" s="27">
        <f>if(ISNA(vlookup($A680, RotoWire!$B$2:$E$681, 4, false)), 0, vlookup($A680, RotoWire!$B$2:$E$681, 4, false))</f>
        <v>0</v>
      </c>
      <c r="J680" s="28">
        <f t="shared" si="1"/>
        <v>0</v>
      </c>
      <c r="K680" s="28">
        <f t="shared" si="2"/>
        <v>0</v>
      </c>
    </row>
    <row r="681">
      <c r="A681" s="6" t="s">
        <v>743</v>
      </c>
      <c r="B681" s="25" t="s">
        <v>955</v>
      </c>
      <c r="C681" s="5" t="s">
        <v>163</v>
      </c>
      <c r="D681" s="5" t="s">
        <v>39</v>
      </c>
      <c r="E681" s="26">
        <f>vlookup(C681,'Team Bye List'!$A$1:$B$33,2,False)</f>
        <v>5</v>
      </c>
      <c r="F681" s="27">
        <f>if(ISNA(vlookup($A681, ESPN!$B$2:$E$257, 4, false)), 0, vlookup($A681, ESPN!$B$2:$E$257, 4, false))</f>
        <v>0</v>
      </c>
      <c r="G681" s="27">
        <f>if(ISNA(vlookup($A681, FFToolbox!$B$2:$E$239, 4, false)), 0, vlookup($A681, FFToolbox!$B$2:$E$239, 4, false))</f>
        <v>0</v>
      </c>
      <c r="H681" s="27">
        <f>if(ISNA(vlookup($A681, FantasyPro!$B$2:$E$316, 4, false)), 0, vlookup($A681, FantasyPro!$B$2:$E$316, 4, false))</f>
        <v>0</v>
      </c>
      <c r="I681" s="27">
        <f>if(ISNA(vlookup($A681, RotoWire!$B$2:$E$681, 4, false)), 0, vlookup($A681, RotoWire!$B$2:$E$681, 4, false))</f>
        <v>0</v>
      </c>
      <c r="J681" s="28">
        <f t="shared" si="1"/>
        <v>0</v>
      </c>
      <c r="K681" s="28">
        <f t="shared" si="2"/>
        <v>0</v>
      </c>
    </row>
    <row r="682" hidden="1">
      <c r="A682" s="6" t="s">
        <v>505</v>
      </c>
      <c r="B682" s="25" t="s">
        <v>955</v>
      </c>
      <c r="C682" s="5" t="s">
        <v>41</v>
      </c>
      <c r="D682" s="5" t="s">
        <v>14</v>
      </c>
      <c r="E682" s="26">
        <f>vlookup(C682,'Team Bye List'!$A$1:$B$33,2,False)</f>
        <v>6</v>
      </c>
      <c r="F682" s="27">
        <f>if(ISNA(vlookup($A682, ESPN!$B$2:$E$257, 4, false)), 0, vlookup($A682, ESPN!$B$2:$E$257, 4, false))</f>
        <v>0</v>
      </c>
      <c r="G682" s="27">
        <f>if(ISNA(vlookup($A682, FFToolbox!$B$2:$E$239, 4, false)), 0, vlookup($A682, FFToolbox!$B$2:$E$239, 4, false))</f>
        <v>0</v>
      </c>
      <c r="H682" s="27">
        <f>if(ISNA(vlookup($A682, FantasyPro!$B$2:$E$316, 4, false)), 0, vlookup($A682, FantasyPro!$B$2:$E$316, 4, false))</f>
        <v>0</v>
      </c>
      <c r="I682" s="27">
        <f>if(ISNA(vlookup($A682, RotoWire!$B$2:$E$681, 4, false)), 0, vlookup($A682, RotoWire!$B$2:$E$681, 4, false))</f>
        <v>0</v>
      </c>
      <c r="J682" s="28">
        <f t="shared" si="1"/>
        <v>0</v>
      </c>
      <c r="K682" s="28">
        <f t="shared" si="2"/>
        <v>0</v>
      </c>
    </row>
    <row r="683" hidden="1">
      <c r="A683" s="6" t="s">
        <v>335</v>
      </c>
      <c r="B683" s="25" t="s">
        <v>955</v>
      </c>
      <c r="C683" s="5" t="s">
        <v>52</v>
      </c>
      <c r="D683" s="5" t="s">
        <v>12</v>
      </c>
      <c r="E683" s="26">
        <f>vlookup(C683,'Team Bye List'!$A$1:$B$33,2,False)</f>
        <v>4</v>
      </c>
      <c r="F683" s="27">
        <f>if(ISNA(vlookup($A683, ESPN!$B$2:$E$257, 4, false)), 0, vlookup($A683, ESPN!$B$2:$E$257, 4, false))</f>
        <v>0</v>
      </c>
      <c r="G683" s="27">
        <f>if(ISNA(vlookup($A683, FFToolbox!$B$2:$E$239, 4, false)), 0, vlookup($A683, FFToolbox!$B$2:$E$239, 4, false))</f>
        <v>0</v>
      </c>
      <c r="H683" s="27">
        <f>if(ISNA(vlookup($A683, FantasyPro!$B$2:$E$316, 4, false)), 0, vlookup($A683, FantasyPro!$B$2:$E$316, 4, false))</f>
        <v>0</v>
      </c>
      <c r="I683" s="27">
        <f>if(ISNA(vlookup($A683, RotoWire!$B$2:$E$681, 4, false)), 0, vlookup($A683, RotoWire!$B$2:$E$681, 4, false))</f>
        <v>0</v>
      </c>
      <c r="J683" s="28">
        <f t="shared" si="1"/>
        <v>0</v>
      </c>
      <c r="K683" s="28">
        <f t="shared" si="2"/>
        <v>0</v>
      </c>
    </row>
    <row r="684">
      <c r="A684" s="6" t="s">
        <v>335</v>
      </c>
      <c r="B684" s="25" t="s">
        <v>955</v>
      </c>
      <c r="C684" s="5" t="s">
        <v>37</v>
      </c>
      <c r="D684" s="5" t="s">
        <v>39</v>
      </c>
      <c r="E684" s="26">
        <f>vlookup(C684,'Team Bye List'!$A$1:$B$33,2,False)</f>
        <v>7</v>
      </c>
      <c r="F684" s="27">
        <f>if(ISNA(vlookup($A684, ESPN!$B$2:$E$257, 4, false)), 0, vlookup($A684, ESPN!$B$2:$E$257, 4, false))</f>
        <v>0</v>
      </c>
      <c r="G684" s="27">
        <f>if(ISNA(vlookup($A684, FFToolbox!$B$2:$E$239, 4, false)), 0, vlookup($A684, FFToolbox!$B$2:$E$239, 4, false))</f>
        <v>0</v>
      </c>
      <c r="H684" s="27">
        <f>if(ISNA(vlookup($A684, FantasyPro!$B$2:$E$316, 4, false)), 0, vlookup($A684, FantasyPro!$B$2:$E$316, 4, false))</f>
        <v>0</v>
      </c>
      <c r="I684" s="27">
        <f>if(ISNA(vlookup($A684, RotoWire!$B$2:$E$681, 4, false)), 0, vlookup($A684, RotoWire!$B$2:$E$681, 4, false))</f>
        <v>0</v>
      </c>
      <c r="J684" s="28">
        <f t="shared" si="1"/>
        <v>0</v>
      </c>
      <c r="K684" s="28">
        <f t="shared" si="2"/>
        <v>0</v>
      </c>
    </row>
    <row r="685" hidden="1">
      <c r="A685" s="6" t="s">
        <v>405</v>
      </c>
      <c r="B685" s="25" t="s">
        <v>955</v>
      </c>
      <c r="C685" s="5" t="s">
        <v>50</v>
      </c>
      <c r="D685" s="5" t="s">
        <v>12</v>
      </c>
      <c r="E685" s="26">
        <f>vlookup(C685,'Team Bye List'!$A$1:$B$33,2,False)</f>
        <v>11</v>
      </c>
      <c r="F685" s="27">
        <f>if(ISNA(vlookup($A685, ESPN!$B$2:$E$257, 4, false)), 0, vlookup($A685, ESPN!$B$2:$E$257, 4, false))</f>
        <v>0</v>
      </c>
      <c r="G685" s="27">
        <f>if(ISNA(vlookup($A685, FFToolbox!$B$2:$E$239, 4, false)), 0, vlookup($A685, FFToolbox!$B$2:$E$239, 4, false))</f>
        <v>0</v>
      </c>
      <c r="H685" s="27">
        <f>if(ISNA(vlookup($A685, FantasyPro!$B$2:$E$316, 4, false)), 0, vlookup($A685, FantasyPro!$B$2:$E$316, 4, false))</f>
        <v>0</v>
      </c>
      <c r="I685" s="27">
        <f>if(ISNA(vlookup($A685, RotoWire!$B$2:$E$681, 4, false)), 0, vlookup($A685, RotoWire!$B$2:$E$681, 4, false))</f>
        <v>0</v>
      </c>
      <c r="J685" s="28">
        <f t="shared" si="1"/>
        <v>0</v>
      </c>
      <c r="K685" s="28">
        <f t="shared" si="2"/>
        <v>0</v>
      </c>
    </row>
    <row r="686" hidden="1">
      <c r="A686" s="6" t="s">
        <v>427</v>
      </c>
      <c r="B686" s="25" t="s">
        <v>955</v>
      </c>
      <c r="C686" s="5" t="s">
        <v>46</v>
      </c>
      <c r="D686" s="5" t="s">
        <v>12</v>
      </c>
      <c r="E686" s="26">
        <f>vlookup(C686,'Team Bye List'!$A$1:$B$33,2,False)</f>
        <v>10</v>
      </c>
      <c r="F686" s="27">
        <f>if(ISNA(vlookup($A686, ESPN!$B$2:$E$257, 4, false)), 0, vlookup($A686, ESPN!$B$2:$E$257, 4, false))</f>
        <v>0</v>
      </c>
      <c r="G686" s="27">
        <f>if(ISNA(vlookup($A686, FFToolbox!$B$2:$E$239, 4, false)), 0, vlookup($A686, FFToolbox!$B$2:$E$239, 4, false))</f>
        <v>0</v>
      </c>
      <c r="H686" s="27">
        <f>if(ISNA(vlookup($A686, FantasyPro!$B$2:$E$316, 4, false)), 0, vlookup($A686, FantasyPro!$B$2:$E$316, 4, false))</f>
        <v>0</v>
      </c>
      <c r="I686" s="27">
        <f>if(ISNA(vlookup($A686, RotoWire!$B$2:$E$681, 4, false)), 0, vlookup($A686, RotoWire!$B$2:$E$681, 4, false))</f>
        <v>0</v>
      </c>
      <c r="J686" s="28">
        <f t="shared" si="1"/>
        <v>0</v>
      </c>
      <c r="K686" s="28">
        <f t="shared" si="2"/>
        <v>0</v>
      </c>
    </row>
    <row r="687" hidden="1">
      <c r="A687" s="6" t="s">
        <v>685</v>
      </c>
      <c r="B687" s="25" t="s">
        <v>955</v>
      </c>
      <c r="C687" s="5" t="s">
        <v>96</v>
      </c>
      <c r="D687" s="5" t="s">
        <v>7</v>
      </c>
      <c r="E687" s="26">
        <f>vlookup(C687,'Team Bye List'!$A$1:$B$33,2,False)</f>
        <v>6</v>
      </c>
      <c r="F687" s="27">
        <f>if(ISNA(vlookup($A687, ESPN!$B$2:$E$257, 4, false)), 0, vlookup($A687, ESPN!$B$2:$E$257, 4, false))</f>
        <v>0</v>
      </c>
      <c r="G687" s="27">
        <f>if(ISNA(vlookup($A687, FFToolbox!$B$2:$E$239, 4, false)), 0, vlookup($A687, FFToolbox!$B$2:$E$239, 4, false))</f>
        <v>0</v>
      </c>
      <c r="H687" s="27">
        <f>if(ISNA(vlookup($A687, FantasyPro!$B$2:$E$316, 4, false)), 0, vlookup($A687, FantasyPro!$B$2:$E$316, 4, false))</f>
        <v>0</v>
      </c>
      <c r="I687" s="27">
        <f>if(ISNA(vlookup($A687, RotoWire!$B$2:$E$681, 4, false)), 0, vlookup($A687, RotoWire!$B$2:$E$681, 4, false))</f>
        <v>0</v>
      </c>
      <c r="J687" s="28">
        <f t="shared" si="1"/>
        <v>0</v>
      </c>
      <c r="K687" s="28">
        <f t="shared" si="2"/>
        <v>0</v>
      </c>
    </row>
    <row r="688" hidden="1">
      <c r="A688" s="6" t="s">
        <v>385</v>
      </c>
      <c r="B688" s="25" t="s">
        <v>955</v>
      </c>
      <c r="C688" s="5" t="s">
        <v>35</v>
      </c>
      <c r="D688" s="5" t="s">
        <v>14</v>
      </c>
      <c r="E688" s="26">
        <f>vlookup(C688,'Team Bye List'!$A$1:$B$33,2,False)</f>
        <v>7</v>
      </c>
      <c r="F688" s="27">
        <f>if(ISNA(vlookup($A688, ESPN!$B$2:$E$257, 4, false)), 0, vlookup($A688, ESPN!$B$2:$E$257, 4, false))</f>
        <v>0</v>
      </c>
      <c r="G688" s="27">
        <f>if(ISNA(vlookup($A688, FFToolbox!$B$2:$E$239, 4, false)), 0, vlookup($A688, FFToolbox!$B$2:$E$239, 4, false))</f>
        <v>0</v>
      </c>
      <c r="H688" s="27">
        <f>if(ISNA(vlookup($A688, FantasyPro!$B$2:$E$316, 4, false)), 0, vlookup($A688, FantasyPro!$B$2:$E$316, 4, false))</f>
        <v>0</v>
      </c>
      <c r="I688" s="27">
        <f>if(ISNA(vlookup($A688, RotoWire!$B$2:$E$681, 4, false)), 0, vlookup($A688, RotoWire!$B$2:$E$681, 4, false))</f>
        <v>0</v>
      </c>
      <c r="J688" s="28">
        <f t="shared" si="1"/>
        <v>0</v>
      </c>
      <c r="K688" s="28">
        <f t="shared" si="2"/>
        <v>0</v>
      </c>
    </row>
    <row r="689">
      <c r="A689" s="6" t="s">
        <v>752</v>
      </c>
      <c r="B689" s="25" t="s">
        <v>955</v>
      </c>
      <c r="C689" s="5" t="s">
        <v>50</v>
      </c>
      <c r="D689" s="5" t="s">
        <v>39</v>
      </c>
      <c r="E689" s="26">
        <f>vlookup(C689,'Team Bye List'!$A$1:$B$33,2,False)</f>
        <v>11</v>
      </c>
      <c r="F689" s="27">
        <f>if(ISNA(vlookup($A689, ESPN!$B$2:$E$257, 4, false)), 0, vlookup($A689, ESPN!$B$2:$E$257, 4, false))</f>
        <v>0</v>
      </c>
      <c r="G689" s="27">
        <f>if(ISNA(vlookup($A689, FFToolbox!$B$2:$E$239, 4, false)), 0, vlookup($A689, FFToolbox!$B$2:$E$239, 4, false))</f>
        <v>0</v>
      </c>
      <c r="H689" s="27">
        <f>if(ISNA(vlookup($A689, FantasyPro!$B$2:$E$316, 4, false)), 0, vlookup($A689, FantasyPro!$B$2:$E$316, 4, false))</f>
        <v>0</v>
      </c>
      <c r="I689" s="27">
        <f>if(ISNA(vlookup($A689, RotoWire!$B$2:$E$681, 4, false)), 0, vlookup($A689, RotoWire!$B$2:$E$681, 4, false))</f>
        <v>0</v>
      </c>
      <c r="J689" s="28">
        <f t="shared" si="1"/>
        <v>0</v>
      </c>
      <c r="K689" s="28">
        <f t="shared" si="2"/>
        <v>0</v>
      </c>
    </row>
    <row r="690" hidden="1">
      <c r="A690" s="6" t="s">
        <v>646</v>
      </c>
      <c r="B690" s="25" t="s">
        <v>955</v>
      </c>
      <c r="C690" s="5" t="s">
        <v>91</v>
      </c>
      <c r="D690" s="5" t="s">
        <v>7</v>
      </c>
      <c r="E690" s="26">
        <f>vlookup(C690,'Team Bye List'!$A$1:$B$33,2,False)</f>
        <v>10</v>
      </c>
      <c r="F690" s="27">
        <f>if(ISNA(vlookup($A690, ESPN!$B$2:$E$257, 4, false)), 0, vlookup($A690, ESPN!$B$2:$E$257, 4, false))</f>
        <v>0</v>
      </c>
      <c r="G690" s="27">
        <f>if(ISNA(vlookup($A690, FFToolbox!$B$2:$E$239, 4, false)), 0, vlookup($A690, FFToolbox!$B$2:$E$239, 4, false))</f>
        <v>0</v>
      </c>
      <c r="H690" s="27">
        <f>if(ISNA(vlookup($A690, FantasyPro!$B$2:$E$316, 4, false)), 0, vlookup($A690, FantasyPro!$B$2:$E$316, 4, false))</f>
        <v>0</v>
      </c>
      <c r="I690" s="27">
        <f>if(ISNA(vlookup($A690, RotoWire!$B$2:$E$681, 4, false)), 0, vlookup($A690, RotoWire!$B$2:$E$681, 4, false))</f>
        <v>0</v>
      </c>
      <c r="J690" s="28">
        <f t="shared" si="1"/>
        <v>0</v>
      </c>
      <c r="K690" s="28">
        <f t="shared" si="2"/>
        <v>0</v>
      </c>
    </row>
    <row r="691" hidden="1">
      <c r="A691" s="8" t="s">
        <v>593</v>
      </c>
      <c r="B691" s="25"/>
      <c r="C691" s="5" t="s">
        <v>163</v>
      </c>
      <c r="D691" s="5" t="s">
        <v>14</v>
      </c>
      <c r="E691" s="26">
        <f>vlookup(C691,'Team Bye List'!$A$1:$B$33,2,False)</f>
        <v>5</v>
      </c>
      <c r="F691" s="27">
        <f>if(ISNA(vlookup($A691, ESPN!$B$2:$E$257, 4, false)), 0, vlookup($A691, ESPN!$B$2:$E$257, 4, false))</f>
        <v>0</v>
      </c>
      <c r="G691" s="27">
        <f>if(ISNA(vlookup($A691, FFToolbox!$B$2:$E$239, 4, false)), 0, vlookup($A691, FFToolbox!$B$2:$E$239, 4, false))</f>
        <v>0</v>
      </c>
      <c r="H691" s="27">
        <f>if(ISNA(vlookup($A691, FantasyPro!$B$2:$E$316, 4, false)), 0, vlookup($A691, FantasyPro!$B$2:$E$316, 4, false))</f>
        <v>0</v>
      </c>
      <c r="I691" s="27">
        <f>if(ISNA(vlookup($A691, RotoWire!$B$2:$E$681, 4, false)), 0, vlookup($A691, RotoWire!$B$2:$E$681, 4, false))</f>
        <v>0</v>
      </c>
      <c r="J691" s="28">
        <f t="shared" si="1"/>
        <v>0</v>
      </c>
      <c r="K691" s="28">
        <f t="shared" si="2"/>
        <v>0</v>
      </c>
    </row>
    <row r="692">
      <c r="A692" s="6" t="s">
        <v>276</v>
      </c>
      <c r="B692" s="25" t="s">
        <v>955</v>
      </c>
      <c r="C692" s="5" t="s">
        <v>52</v>
      </c>
      <c r="D692" s="5" t="s">
        <v>39</v>
      </c>
      <c r="E692" s="26">
        <f>vlookup(C692,'Team Bye List'!$A$1:$B$33,2,False)</f>
        <v>4</v>
      </c>
      <c r="F692" s="27">
        <f>if(ISNA(vlookup($A692, ESPN!$B$2:$E$257, 4, false)), 0, vlookup($A692, ESPN!$B$2:$E$257, 4, false))</f>
        <v>0</v>
      </c>
      <c r="G692" s="27">
        <f>if(ISNA(vlookup($A692, FFToolbox!$B$2:$E$239, 4, false)), 0, vlookup($A692, FFToolbox!$B$2:$E$239, 4, false))</f>
        <v>0</v>
      </c>
      <c r="H692" s="27">
        <f>if(ISNA(vlookup($A692, FantasyPro!$B$2:$E$316, 4, false)), 0, vlookup($A692, FantasyPro!$B$2:$E$316, 4, false))</f>
        <v>0</v>
      </c>
      <c r="I692" s="27">
        <f>if(ISNA(vlookup($A692, RotoWire!$B$2:$E$681, 4, false)), 0, vlookup($A692, RotoWire!$B$2:$E$681, 4, false))</f>
        <v>0</v>
      </c>
      <c r="J692" s="28">
        <f t="shared" si="1"/>
        <v>0</v>
      </c>
      <c r="K692" s="28">
        <f t="shared" si="2"/>
        <v>0</v>
      </c>
    </row>
    <row r="693" hidden="1">
      <c r="A693" s="6" t="s">
        <v>255</v>
      </c>
      <c r="B693" s="25" t="s">
        <v>955</v>
      </c>
      <c r="C693" s="5" t="s">
        <v>28</v>
      </c>
      <c r="D693" s="5" t="s">
        <v>120</v>
      </c>
      <c r="E693" s="26">
        <f>vlookup(C693,'Team Bye List'!$A$1:$B$33,2,False)</f>
        <v>11</v>
      </c>
      <c r="F693" s="27">
        <f>if(ISNA(vlookup($A693, ESPN!$B$2:$E$257, 4, false)), 0, vlookup($A693, ESPN!$B$2:$E$257, 4, false))</f>
        <v>0</v>
      </c>
      <c r="G693" s="27">
        <f>if(ISNA(vlookup($A693, FFToolbox!$B$2:$E$239, 4, false)), 0, vlookup($A693, FFToolbox!$B$2:$E$239, 4, false))</f>
        <v>0</v>
      </c>
      <c r="H693" s="27">
        <f>if(ISNA(vlookup($A693, FantasyPro!$B$2:$E$316, 4, false)), 0, vlookup($A693, FantasyPro!$B$2:$E$316, 4, false))</f>
        <v>0</v>
      </c>
      <c r="I693" s="27">
        <f>if(ISNA(vlookup($A693, RotoWire!$B$2:$E$681, 4, false)), 0, vlookup($A693, RotoWire!$B$2:$E$681, 4, false))</f>
        <v>0</v>
      </c>
      <c r="J693" s="28">
        <f t="shared" si="1"/>
        <v>0</v>
      </c>
      <c r="K693" s="28">
        <f t="shared" si="2"/>
        <v>0</v>
      </c>
    </row>
    <row r="694" hidden="1">
      <c r="A694" s="6" t="s">
        <v>481</v>
      </c>
      <c r="B694" s="25" t="s">
        <v>955</v>
      </c>
      <c r="C694" s="5" t="s">
        <v>37</v>
      </c>
      <c r="D694" s="5" t="s">
        <v>14</v>
      </c>
      <c r="E694" s="26">
        <f>vlookup(C694,'Team Bye List'!$A$1:$B$33,2,False)</f>
        <v>7</v>
      </c>
      <c r="F694" s="27">
        <f>if(ISNA(vlookup($A694, ESPN!$B$2:$E$257, 4, false)), 0, vlookup($A694, ESPN!$B$2:$E$257, 4, false))</f>
        <v>0</v>
      </c>
      <c r="G694" s="27">
        <f>if(ISNA(vlookup($A694, FFToolbox!$B$2:$E$239, 4, false)), 0, vlookup($A694, FFToolbox!$B$2:$E$239, 4, false))</f>
        <v>0</v>
      </c>
      <c r="H694" s="27">
        <f>if(ISNA(vlookup($A694, FantasyPro!$B$2:$E$316, 4, false)), 0, vlookup($A694, FantasyPro!$B$2:$E$316, 4, false))</f>
        <v>0</v>
      </c>
      <c r="I694" s="27">
        <f>if(ISNA(vlookup($A694, RotoWire!$B$2:$E$681, 4, false)), 0, vlookup($A694, RotoWire!$B$2:$E$681, 4, false))</f>
        <v>0</v>
      </c>
      <c r="J694" s="28">
        <f t="shared" si="1"/>
        <v>0</v>
      </c>
      <c r="K694" s="28">
        <f t="shared" si="2"/>
        <v>0</v>
      </c>
    </row>
    <row r="695" hidden="1">
      <c r="A695" s="6" t="s">
        <v>393</v>
      </c>
      <c r="B695" s="25" t="s">
        <v>955</v>
      </c>
      <c r="C695" s="5" t="s">
        <v>6</v>
      </c>
      <c r="D695" s="5" t="s">
        <v>12</v>
      </c>
      <c r="E695" s="26">
        <f>vlookup(C695,'Team Bye List'!$A$1:$B$33,2,False)</f>
        <v>11</v>
      </c>
      <c r="F695" s="27">
        <f>if(ISNA(vlookup($A695, ESPN!$B$2:$E$257, 4, false)), 0, vlookup($A695, ESPN!$B$2:$E$257, 4, false))</f>
        <v>0</v>
      </c>
      <c r="G695" s="27">
        <f>if(ISNA(vlookup($A695, FFToolbox!$B$2:$E$239, 4, false)), 0, vlookup($A695, FFToolbox!$B$2:$E$239, 4, false))</f>
        <v>0</v>
      </c>
      <c r="H695" s="27">
        <f>if(ISNA(vlookup($A695, FantasyPro!$B$2:$E$316, 4, false)), 0, vlookup($A695, FantasyPro!$B$2:$E$316, 4, false))</f>
        <v>0</v>
      </c>
      <c r="I695" s="27">
        <f>if(ISNA(vlookup($A695, RotoWire!$B$2:$E$681, 4, false)), 0, vlookup($A695, RotoWire!$B$2:$E$681, 4, false))</f>
        <v>0</v>
      </c>
      <c r="J695" s="28">
        <f t="shared" si="1"/>
        <v>0</v>
      </c>
      <c r="K695" s="28">
        <f t="shared" si="2"/>
        <v>0</v>
      </c>
    </row>
    <row r="696" hidden="1">
      <c r="A696" s="6" t="s">
        <v>376</v>
      </c>
      <c r="B696" s="25" t="s">
        <v>955</v>
      </c>
      <c r="C696" s="5" t="s">
        <v>43</v>
      </c>
      <c r="D696" s="5" t="s">
        <v>12</v>
      </c>
      <c r="E696" s="26">
        <f>vlookup(C696,'Team Bye List'!$A$1:$B$33,2,False)</f>
        <v>12</v>
      </c>
      <c r="F696" s="27">
        <f>if(ISNA(vlookup($A696, ESPN!$B$2:$E$257, 4, false)), 0, vlookup($A696, ESPN!$B$2:$E$257, 4, false))</f>
        <v>0</v>
      </c>
      <c r="G696" s="27">
        <f>if(ISNA(vlookup($A696, FFToolbox!$B$2:$E$239, 4, false)), 0, vlookup($A696, FFToolbox!$B$2:$E$239, 4, false))</f>
        <v>0</v>
      </c>
      <c r="H696" s="27">
        <f>if(ISNA(vlookup($A696, FantasyPro!$B$2:$E$316, 4, false)), 0, vlookup($A696, FantasyPro!$B$2:$E$316, 4, false))</f>
        <v>0</v>
      </c>
      <c r="I696" s="27">
        <f>if(ISNA(vlookup($A696, RotoWire!$B$2:$E$681, 4, false)), 0, vlookup($A696, RotoWire!$B$2:$E$681, 4, false))</f>
        <v>0</v>
      </c>
      <c r="J696" s="28">
        <f t="shared" si="1"/>
        <v>0</v>
      </c>
      <c r="K696" s="28">
        <f t="shared" si="2"/>
        <v>0</v>
      </c>
    </row>
    <row r="697">
      <c r="A697" s="6" t="s">
        <v>772</v>
      </c>
      <c r="B697" s="25" t="s">
        <v>955</v>
      </c>
      <c r="C697" s="5" t="s">
        <v>62</v>
      </c>
      <c r="D697" s="5" t="s">
        <v>39</v>
      </c>
      <c r="E697" s="26">
        <f>vlookup(C697,'Team Bye List'!$A$1:$B$33,2,False)</f>
        <v>12</v>
      </c>
      <c r="F697" s="27">
        <f>if(ISNA(vlookup($A697, ESPN!$B$2:$E$257, 4, false)), 0, vlookup($A697, ESPN!$B$2:$E$257, 4, false))</f>
        <v>0</v>
      </c>
      <c r="G697" s="27">
        <f>if(ISNA(vlookup($A697, FFToolbox!$B$2:$E$239, 4, false)), 0, vlookup($A697, FFToolbox!$B$2:$E$239, 4, false))</f>
        <v>0</v>
      </c>
      <c r="H697" s="27">
        <f>if(ISNA(vlookup($A697, FantasyPro!$B$2:$E$316, 4, false)), 0, vlookup($A697, FantasyPro!$B$2:$E$316, 4, false))</f>
        <v>0</v>
      </c>
      <c r="I697" s="27">
        <f>if(ISNA(vlookup($A697, RotoWire!$B$2:$E$681, 4, false)), 0, vlookup($A697, RotoWire!$B$2:$E$681, 4, false))</f>
        <v>0</v>
      </c>
      <c r="J697" s="28">
        <f t="shared" si="1"/>
        <v>0</v>
      </c>
      <c r="K697" s="28">
        <f t="shared" si="2"/>
        <v>0</v>
      </c>
    </row>
    <row r="698" hidden="1">
      <c r="A698" s="6" t="s">
        <v>732</v>
      </c>
      <c r="B698" s="25" t="s">
        <v>955</v>
      </c>
      <c r="C698" s="5" t="s">
        <v>139</v>
      </c>
      <c r="D698" s="5" t="s">
        <v>7</v>
      </c>
      <c r="E698" s="26">
        <f>vlookup(C698,'Team Bye List'!$A$1:$B$33,2,False)</f>
        <v>6</v>
      </c>
      <c r="F698" s="27">
        <f>if(ISNA(vlookup($A698, ESPN!$B$2:$E$257, 4, false)), 0, vlookup($A698, ESPN!$B$2:$E$257, 4, false))</f>
        <v>0</v>
      </c>
      <c r="G698" s="27">
        <f>if(ISNA(vlookup($A698, FFToolbox!$B$2:$E$239, 4, false)), 0, vlookup($A698, FFToolbox!$B$2:$E$239, 4, false))</f>
        <v>0</v>
      </c>
      <c r="H698" s="27">
        <f>if(ISNA(vlookup($A698, FantasyPro!$B$2:$E$316, 4, false)), 0, vlookup($A698, FantasyPro!$B$2:$E$316, 4, false))</f>
        <v>0</v>
      </c>
      <c r="I698" s="27">
        <f>if(ISNA(vlookup($A698, RotoWire!$B$2:$E$681, 4, false)), 0, vlookup($A698, RotoWire!$B$2:$E$681, 4, false))</f>
        <v>0</v>
      </c>
      <c r="J698" s="28">
        <f t="shared" si="1"/>
        <v>0</v>
      </c>
      <c r="K698" s="28">
        <f t="shared" si="2"/>
        <v>0</v>
      </c>
    </row>
    <row r="699" hidden="1">
      <c r="A699" s="6" t="s">
        <v>391</v>
      </c>
      <c r="B699" s="25" t="s">
        <v>955</v>
      </c>
      <c r="C699" s="5" t="s">
        <v>30</v>
      </c>
      <c r="D699" s="5" t="s">
        <v>12</v>
      </c>
      <c r="E699" s="26">
        <f>vlookup(C699,'Team Bye List'!$A$1:$B$33,2,False)</f>
        <v>7</v>
      </c>
      <c r="F699" s="27">
        <f>if(ISNA(vlookup($A699, ESPN!$B$2:$E$257, 4, false)), 0, vlookup($A699, ESPN!$B$2:$E$257, 4, false))</f>
        <v>0</v>
      </c>
      <c r="G699" s="27">
        <f>if(ISNA(vlookup($A699, FFToolbox!$B$2:$E$239, 4, false)), 0, vlookup($A699, FFToolbox!$B$2:$E$239, 4, false))</f>
        <v>0</v>
      </c>
      <c r="H699" s="27">
        <f>if(ISNA(vlookup($A699, FantasyPro!$B$2:$E$316, 4, false)), 0, vlookup($A699, FantasyPro!$B$2:$E$316, 4, false))</f>
        <v>0</v>
      </c>
      <c r="I699" s="27">
        <f>if(ISNA(vlookup($A699, RotoWire!$B$2:$E$681, 4, false)), 0, vlookup($A699, RotoWire!$B$2:$E$681, 4, false))</f>
        <v>0</v>
      </c>
      <c r="J699" s="28">
        <f t="shared" si="1"/>
        <v>0</v>
      </c>
      <c r="K699" s="28">
        <f t="shared" si="2"/>
        <v>0</v>
      </c>
    </row>
    <row r="700" hidden="1">
      <c r="A700" s="6" t="s">
        <v>478</v>
      </c>
      <c r="B700" s="25" t="s">
        <v>955</v>
      </c>
      <c r="C700" s="5" t="s">
        <v>104</v>
      </c>
      <c r="D700" s="5" t="s">
        <v>14</v>
      </c>
      <c r="E700" s="26">
        <f>vlookup(C700,'Team Bye List'!$A$1:$B$33,2,False)</f>
        <v>8</v>
      </c>
      <c r="F700" s="27">
        <f>if(ISNA(vlookup($A700, ESPN!$B$2:$E$257, 4, false)), 0, vlookup($A700, ESPN!$B$2:$E$257, 4, false))</f>
        <v>0</v>
      </c>
      <c r="G700" s="27">
        <f>if(ISNA(vlookup($A700, FFToolbox!$B$2:$E$239, 4, false)), 0, vlookup($A700, FFToolbox!$B$2:$E$239, 4, false))</f>
        <v>0</v>
      </c>
      <c r="H700" s="27">
        <f>if(ISNA(vlookup($A700, FantasyPro!$B$2:$E$316, 4, false)), 0, vlookup($A700, FantasyPro!$B$2:$E$316, 4, false))</f>
        <v>0</v>
      </c>
      <c r="I700" s="27">
        <f>if(ISNA(vlookup($A700, RotoWire!$B$2:$E$681, 4, false)), 0, vlookup($A700, RotoWire!$B$2:$E$681, 4, false))</f>
        <v>0</v>
      </c>
      <c r="J700" s="28">
        <f t="shared" si="1"/>
        <v>0</v>
      </c>
      <c r="K700" s="28">
        <f t="shared" si="2"/>
        <v>0</v>
      </c>
    </row>
    <row r="701" hidden="1">
      <c r="A701" s="6" t="s">
        <v>712</v>
      </c>
      <c r="B701" s="25" t="s">
        <v>955</v>
      </c>
      <c r="C701" s="5" t="s">
        <v>165</v>
      </c>
      <c r="D701" s="5" t="s">
        <v>7</v>
      </c>
      <c r="E701" s="26">
        <f>vlookup(C701,'Team Bye List'!$A$1:$B$33,2,False)</f>
        <v>10</v>
      </c>
      <c r="F701" s="27">
        <f>if(ISNA(vlookup($A701, ESPN!$B$2:$E$257, 4, false)), 0, vlookup($A701, ESPN!$B$2:$E$257, 4, false))</f>
        <v>0</v>
      </c>
      <c r="G701" s="27">
        <f>if(ISNA(vlookup($A701, FFToolbox!$B$2:$E$239, 4, false)), 0, vlookup($A701, FFToolbox!$B$2:$E$239, 4, false))</f>
        <v>0</v>
      </c>
      <c r="H701" s="27">
        <f>if(ISNA(vlookup($A701, FantasyPro!$B$2:$E$316, 4, false)), 0, vlookup($A701, FantasyPro!$B$2:$E$316, 4, false))</f>
        <v>0</v>
      </c>
      <c r="I701" s="27">
        <f>if(ISNA(vlookup($A701, RotoWire!$B$2:$E$681, 4, false)), 0, vlookup($A701, RotoWire!$B$2:$E$681, 4, false))</f>
        <v>0</v>
      </c>
      <c r="J701" s="28">
        <f t="shared" si="1"/>
        <v>0</v>
      </c>
      <c r="K701" s="28">
        <f t="shared" si="2"/>
        <v>0</v>
      </c>
    </row>
    <row r="702" hidden="1">
      <c r="A702" s="6" t="s">
        <v>551</v>
      </c>
      <c r="B702" s="25" t="s">
        <v>955</v>
      </c>
      <c r="C702" s="5" t="s">
        <v>16</v>
      </c>
      <c r="D702" s="5" t="s">
        <v>14</v>
      </c>
      <c r="E702" s="26">
        <f>vlookup(C702,'Team Bye List'!$A$1:$B$33,2,False)</f>
        <v>9</v>
      </c>
      <c r="F702" s="27">
        <f>if(ISNA(vlookup($A702, ESPN!$B$2:$E$257, 4, false)), 0, vlookup($A702, ESPN!$B$2:$E$257, 4, false))</f>
        <v>0</v>
      </c>
      <c r="G702" s="27">
        <f>if(ISNA(vlookup($A702, FFToolbox!$B$2:$E$239, 4, false)), 0, vlookup($A702, FFToolbox!$B$2:$E$239, 4, false))</f>
        <v>0</v>
      </c>
      <c r="H702" s="27">
        <f>if(ISNA(vlookup($A702, FantasyPro!$B$2:$E$316, 4, false)), 0, vlookup($A702, FantasyPro!$B$2:$E$316, 4, false))</f>
        <v>0</v>
      </c>
      <c r="I702" s="27">
        <f>if(ISNA(vlookup($A702, RotoWire!$B$2:$E$681, 4, false)), 0, vlookup($A702, RotoWire!$B$2:$E$681, 4, false))</f>
        <v>0</v>
      </c>
      <c r="J702" s="28">
        <f t="shared" si="1"/>
        <v>0</v>
      </c>
      <c r="K702" s="28">
        <f t="shared" si="2"/>
        <v>0</v>
      </c>
    </row>
    <row r="703" hidden="1">
      <c r="A703" s="6" t="s">
        <v>738</v>
      </c>
      <c r="B703" s="25" t="s">
        <v>955</v>
      </c>
      <c r="C703" s="5" t="s">
        <v>48</v>
      </c>
      <c r="D703" s="5" t="s">
        <v>7</v>
      </c>
      <c r="E703" s="26">
        <f>vlookup(C703,'Team Bye List'!$A$1:$B$33,2,False)</f>
        <v>6</v>
      </c>
      <c r="F703" s="27">
        <f>if(ISNA(vlookup($A703, ESPN!$B$2:$E$257, 4, false)), 0, vlookup($A703, ESPN!$B$2:$E$257, 4, false))</f>
        <v>0</v>
      </c>
      <c r="G703" s="27">
        <f>if(ISNA(vlookup($A703, FFToolbox!$B$2:$E$239, 4, false)), 0, vlookup($A703, FFToolbox!$B$2:$E$239, 4, false))</f>
        <v>0</v>
      </c>
      <c r="H703" s="27">
        <f>if(ISNA(vlookup($A703, FantasyPro!$B$2:$E$316, 4, false)), 0, vlookup($A703, FantasyPro!$B$2:$E$316, 4, false))</f>
        <v>0</v>
      </c>
      <c r="I703" s="27">
        <f>if(ISNA(vlookup($A703, RotoWire!$B$2:$E$681, 4, false)), 0, vlookup($A703, RotoWire!$B$2:$E$681, 4, false))</f>
        <v>0</v>
      </c>
      <c r="J703" s="28">
        <f t="shared" si="1"/>
        <v>0</v>
      </c>
      <c r="K703" s="28">
        <f t="shared" si="2"/>
        <v>0</v>
      </c>
    </row>
    <row r="704" hidden="1">
      <c r="A704" s="6" t="s">
        <v>432</v>
      </c>
      <c r="B704" s="25" t="s">
        <v>955</v>
      </c>
      <c r="C704" s="5" t="s">
        <v>46</v>
      </c>
      <c r="D704" s="5" t="s">
        <v>12</v>
      </c>
      <c r="E704" s="26">
        <f>vlookup(C704,'Team Bye List'!$A$1:$B$33,2,False)</f>
        <v>10</v>
      </c>
      <c r="F704" s="27">
        <f>if(ISNA(vlookup($A704, ESPN!$B$2:$E$257, 4, false)), 0, vlookup($A704, ESPN!$B$2:$E$257, 4, false))</f>
        <v>0</v>
      </c>
      <c r="G704" s="27">
        <f>if(ISNA(vlookup($A704, FFToolbox!$B$2:$E$239, 4, false)), 0, vlookup($A704, FFToolbox!$B$2:$E$239, 4, false))</f>
        <v>0</v>
      </c>
      <c r="H704" s="27">
        <f>if(ISNA(vlookup($A704, FantasyPro!$B$2:$E$316, 4, false)), 0, vlookup($A704, FantasyPro!$B$2:$E$316, 4, false))</f>
        <v>0</v>
      </c>
      <c r="I704" s="27">
        <f>if(ISNA(vlookup($A704, RotoWire!$B$2:$E$681, 4, false)), 0, vlookup($A704, RotoWire!$B$2:$E$681, 4, false))</f>
        <v>0</v>
      </c>
      <c r="J704" s="28">
        <f t="shared" si="1"/>
        <v>0</v>
      </c>
      <c r="K704" s="28">
        <f t="shared" si="2"/>
        <v>0</v>
      </c>
    </row>
    <row r="705" hidden="1">
      <c r="A705" s="6" t="s">
        <v>204</v>
      </c>
      <c r="B705" s="25" t="s">
        <v>955</v>
      </c>
      <c r="C705" s="5" t="s">
        <v>139</v>
      </c>
      <c r="D705" s="5" t="s">
        <v>120</v>
      </c>
      <c r="E705" s="26">
        <f>vlookup(C705,'Team Bye List'!$A$1:$B$33,2,False)</f>
        <v>6</v>
      </c>
      <c r="F705" s="27">
        <f>if(ISNA(vlookup($A705, ESPN!$B$2:$E$257, 4, false)), 0, vlookup($A705, ESPN!$B$2:$E$257, 4, false))</f>
        <v>0</v>
      </c>
      <c r="G705" s="27">
        <f>if(ISNA(vlookup($A705, FFToolbox!$B$2:$E$239, 4, false)), 0, vlookup($A705, FFToolbox!$B$2:$E$239, 4, false))</f>
        <v>0</v>
      </c>
      <c r="H705" s="27">
        <f>if(ISNA(vlookup($A705, FantasyPro!$B$2:$E$316, 4, false)), 0, vlookup($A705, FantasyPro!$B$2:$E$316, 4, false))</f>
        <v>0</v>
      </c>
      <c r="I705" s="27">
        <f>if(ISNA(vlookup($A705, RotoWire!$B$2:$E$681, 4, false)), 0, vlookup($A705, RotoWire!$B$2:$E$681, 4, false))</f>
        <v>0</v>
      </c>
      <c r="J705" s="28">
        <f t="shared" si="1"/>
        <v>0</v>
      </c>
      <c r="K705" s="28">
        <f t="shared" si="2"/>
        <v>0</v>
      </c>
    </row>
    <row r="706" hidden="1">
      <c r="A706" s="6" t="s">
        <v>573</v>
      </c>
      <c r="B706" s="25" t="s">
        <v>955</v>
      </c>
      <c r="C706" s="5" t="s">
        <v>18</v>
      </c>
      <c r="D706" s="5" t="s">
        <v>14</v>
      </c>
      <c r="E706" s="26">
        <f>vlookup(C706,'Team Bye List'!$A$1:$B$33,2,False)</f>
        <v>10</v>
      </c>
      <c r="F706" s="27">
        <f>if(ISNA(vlookup($A706, ESPN!$B$2:$E$257, 4, false)), 0, vlookup($A706, ESPN!$B$2:$E$257, 4, false))</f>
        <v>0</v>
      </c>
      <c r="G706" s="27">
        <f>if(ISNA(vlookup($A706, FFToolbox!$B$2:$E$239, 4, false)), 0, vlookup($A706, FFToolbox!$B$2:$E$239, 4, false))</f>
        <v>0</v>
      </c>
      <c r="H706" s="27">
        <f>if(ISNA(vlookup($A706, FantasyPro!$B$2:$E$316, 4, false)), 0, vlookup($A706, FantasyPro!$B$2:$E$316, 4, false))</f>
        <v>0</v>
      </c>
      <c r="I706" s="27">
        <f>if(ISNA(vlookup($A706, RotoWire!$B$2:$E$681, 4, false)), 0, vlookup($A706, RotoWire!$B$2:$E$681, 4, false))</f>
        <v>0</v>
      </c>
      <c r="J706" s="28">
        <f t="shared" si="1"/>
        <v>0</v>
      </c>
      <c r="K706" s="28">
        <f t="shared" si="2"/>
        <v>0</v>
      </c>
    </row>
    <row r="707" hidden="1">
      <c r="A707" s="6" t="s">
        <v>671</v>
      </c>
      <c r="B707" s="25" t="s">
        <v>955</v>
      </c>
      <c r="C707" s="5" t="s">
        <v>26</v>
      </c>
      <c r="D707" s="5" t="s">
        <v>7</v>
      </c>
      <c r="E707" s="26">
        <f>vlookup(C707,'Team Bye List'!$A$1:$B$33,2,False)</f>
        <v>12</v>
      </c>
      <c r="F707" s="27">
        <f>if(ISNA(vlookup($A707, ESPN!$B$2:$E$257, 4, false)), 0, vlookup($A707, ESPN!$B$2:$E$257, 4, false))</f>
        <v>0</v>
      </c>
      <c r="G707" s="27">
        <f>if(ISNA(vlookup($A707, FFToolbox!$B$2:$E$239, 4, false)), 0, vlookup($A707, FFToolbox!$B$2:$E$239, 4, false))</f>
        <v>0</v>
      </c>
      <c r="H707" s="27">
        <f>if(ISNA(vlookup($A707, FantasyPro!$B$2:$E$316, 4, false)), 0, vlookup($A707, FantasyPro!$B$2:$E$316, 4, false))</f>
        <v>0</v>
      </c>
      <c r="I707" s="27">
        <f>if(ISNA(vlookup($A707, RotoWire!$B$2:$E$681, 4, false)), 0, vlookup($A707, RotoWire!$B$2:$E$681, 4, false))</f>
        <v>0</v>
      </c>
      <c r="J707" s="28">
        <f t="shared" si="1"/>
        <v>0</v>
      </c>
      <c r="K707" s="28">
        <f t="shared" si="2"/>
        <v>0</v>
      </c>
    </row>
    <row r="708" hidden="1">
      <c r="A708" s="6" t="s">
        <v>653</v>
      </c>
      <c r="B708" s="25" t="s">
        <v>955</v>
      </c>
      <c r="C708" s="5" t="s">
        <v>139</v>
      </c>
      <c r="D708" s="5" t="s">
        <v>7</v>
      </c>
      <c r="E708" s="26">
        <f>vlookup(C708,'Team Bye List'!$A$1:$B$33,2,False)</f>
        <v>6</v>
      </c>
      <c r="F708" s="27">
        <f>if(ISNA(vlookup($A708, ESPN!$B$2:$E$257, 4, false)), 0, vlookup($A708, ESPN!$B$2:$E$257, 4, false))</f>
        <v>0</v>
      </c>
      <c r="G708" s="27">
        <f>if(ISNA(vlookup($A708, FFToolbox!$B$2:$E$239, 4, false)), 0, vlookup($A708, FFToolbox!$B$2:$E$239, 4, false))</f>
        <v>0</v>
      </c>
      <c r="H708" s="27">
        <f>if(ISNA(vlookup($A708, FantasyPro!$B$2:$E$316, 4, false)), 0, vlookup($A708, FantasyPro!$B$2:$E$316, 4, false))</f>
        <v>0</v>
      </c>
      <c r="I708" s="27">
        <f>if(ISNA(vlookup($A708, RotoWire!$B$2:$E$681, 4, false)), 0, vlookup($A708, RotoWire!$B$2:$E$681, 4, false))</f>
        <v>0</v>
      </c>
      <c r="J708" s="28">
        <f t="shared" si="1"/>
        <v>0</v>
      </c>
      <c r="K708" s="28">
        <f t="shared" si="2"/>
        <v>0</v>
      </c>
    </row>
    <row r="709" hidden="1">
      <c r="A709" s="6" t="s">
        <v>735</v>
      </c>
      <c r="B709" s="25" t="s">
        <v>955</v>
      </c>
      <c r="C709" s="5" t="s">
        <v>18</v>
      </c>
      <c r="D709" s="5" t="s">
        <v>7</v>
      </c>
      <c r="E709" s="26">
        <f>vlookup(C709,'Team Bye List'!$A$1:$B$33,2,False)</f>
        <v>10</v>
      </c>
      <c r="F709" s="27">
        <f>if(ISNA(vlookup($A709, ESPN!$B$2:$E$257, 4, false)), 0, vlookup($A709, ESPN!$B$2:$E$257, 4, false))</f>
        <v>0</v>
      </c>
      <c r="G709" s="27">
        <f>if(ISNA(vlookup($A709, FFToolbox!$B$2:$E$239, 4, false)), 0, vlookup($A709, FFToolbox!$B$2:$E$239, 4, false))</f>
        <v>0</v>
      </c>
      <c r="H709" s="27">
        <f>if(ISNA(vlookup($A709, FantasyPro!$B$2:$E$316, 4, false)), 0, vlookup($A709, FantasyPro!$B$2:$E$316, 4, false))</f>
        <v>0</v>
      </c>
      <c r="I709" s="27">
        <f>if(ISNA(vlookup($A709, RotoWire!$B$2:$E$681, 4, false)), 0, vlookup($A709, RotoWire!$B$2:$E$681, 4, false))</f>
        <v>0</v>
      </c>
      <c r="J709" s="28">
        <f t="shared" si="1"/>
        <v>0</v>
      </c>
      <c r="K709" s="28">
        <f t="shared" si="2"/>
        <v>0</v>
      </c>
    </row>
    <row r="710" hidden="1">
      <c r="A710" s="6" t="s">
        <v>487</v>
      </c>
      <c r="B710" s="25" t="s">
        <v>955</v>
      </c>
      <c r="C710" s="5" t="s">
        <v>50</v>
      </c>
      <c r="D710" s="5" t="s">
        <v>14</v>
      </c>
      <c r="E710" s="26">
        <f>vlookup(C710,'Team Bye List'!$A$1:$B$33,2,False)</f>
        <v>11</v>
      </c>
      <c r="F710" s="27">
        <f>if(ISNA(vlookup($A710, ESPN!$B$2:$E$257, 4, false)), 0, vlookup($A710, ESPN!$B$2:$E$257, 4, false))</f>
        <v>0</v>
      </c>
      <c r="G710" s="27">
        <f>if(ISNA(vlookup($A710, FFToolbox!$B$2:$E$239, 4, false)), 0, vlookup($A710, FFToolbox!$B$2:$E$239, 4, false))</f>
        <v>0</v>
      </c>
      <c r="H710" s="27">
        <f>if(ISNA(vlookup($A710, FantasyPro!$B$2:$E$316, 4, false)), 0, vlookup($A710, FantasyPro!$B$2:$E$316, 4, false))</f>
        <v>0</v>
      </c>
      <c r="I710" s="27">
        <f>if(ISNA(vlookup($A710, RotoWire!$B$2:$E$681, 4, false)), 0, vlookup($A710, RotoWire!$B$2:$E$681, 4, false))</f>
        <v>0</v>
      </c>
      <c r="J710" s="28">
        <f t="shared" si="1"/>
        <v>0</v>
      </c>
      <c r="K710" s="28">
        <f t="shared" si="2"/>
        <v>0</v>
      </c>
    </row>
    <row r="711" hidden="1">
      <c r="A711" s="6" t="s">
        <v>572</v>
      </c>
      <c r="B711" s="25" t="s">
        <v>955</v>
      </c>
      <c r="C711" s="5" t="s">
        <v>96</v>
      </c>
      <c r="D711" s="5" t="s">
        <v>14</v>
      </c>
      <c r="E711" s="26">
        <f>vlookup(C711,'Team Bye List'!$A$1:$B$33,2,False)</f>
        <v>6</v>
      </c>
      <c r="F711" s="27">
        <f>if(ISNA(vlookup($A711, ESPN!$B$2:$E$257, 4, false)), 0, vlookup($A711, ESPN!$B$2:$E$257, 4, false))</f>
        <v>0</v>
      </c>
      <c r="G711" s="27">
        <f>if(ISNA(vlookup($A711, FFToolbox!$B$2:$E$239, 4, false)), 0, vlookup($A711, FFToolbox!$B$2:$E$239, 4, false))</f>
        <v>0</v>
      </c>
      <c r="H711" s="27">
        <f>if(ISNA(vlookup($A711, FantasyPro!$B$2:$E$316, 4, false)), 0, vlookup($A711, FantasyPro!$B$2:$E$316, 4, false))</f>
        <v>0</v>
      </c>
      <c r="I711" s="27">
        <f>if(ISNA(vlookup($A711, RotoWire!$B$2:$E$681, 4, false)), 0, vlookup($A711, RotoWire!$B$2:$E$681, 4, false))</f>
        <v>0</v>
      </c>
      <c r="J711" s="28">
        <f t="shared" si="1"/>
        <v>0</v>
      </c>
      <c r="K711" s="28">
        <f t="shared" si="2"/>
        <v>0</v>
      </c>
    </row>
    <row r="712" hidden="1">
      <c r="A712" s="6" t="s">
        <v>605</v>
      </c>
      <c r="B712" s="25" t="s">
        <v>955</v>
      </c>
      <c r="C712" s="5" t="s">
        <v>50</v>
      </c>
      <c r="D712" s="5" t="s">
        <v>14</v>
      </c>
      <c r="E712" s="26">
        <f>vlookup(C712,'Team Bye List'!$A$1:$B$33,2,False)</f>
        <v>11</v>
      </c>
      <c r="F712" s="27">
        <f>if(ISNA(vlookup($A712, ESPN!$B$2:$E$257, 4, false)), 0, vlookup($A712, ESPN!$B$2:$E$257, 4, false))</f>
        <v>0</v>
      </c>
      <c r="G712" s="27">
        <f>if(ISNA(vlookup($A712, FFToolbox!$B$2:$E$239, 4, false)), 0, vlookup($A712, FFToolbox!$B$2:$E$239, 4, false))</f>
        <v>0</v>
      </c>
      <c r="H712" s="27">
        <f>if(ISNA(vlookup($A712, FantasyPro!$B$2:$E$316, 4, false)), 0, vlookup($A712, FantasyPro!$B$2:$E$316, 4, false))</f>
        <v>0</v>
      </c>
      <c r="I712" s="27">
        <f>if(ISNA(vlookup($A712, RotoWire!$B$2:$E$681, 4, false)), 0, vlookup($A712, RotoWire!$B$2:$E$681, 4, false))</f>
        <v>0</v>
      </c>
      <c r="J712" s="28">
        <f t="shared" si="1"/>
        <v>0</v>
      </c>
      <c r="K712" s="28">
        <f t="shared" si="2"/>
        <v>0</v>
      </c>
    </row>
    <row r="713" hidden="1">
      <c r="A713" s="6" t="s">
        <v>457</v>
      </c>
      <c r="B713" s="25" t="s">
        <v>955</v>
      </c>
      <c r="C713" s="5" t="s">
        <v>9</v>
      </c>
      <c r="D713" s="5" t="s">
        <v>14</v>
      </c>
      <c r="E713" s="26">
        <f>vlookup(C713,'Team Bye List'!$A$1:$B$33,2,False)</f>
        <v>8</v>
      </c>
      <c r="F713" s="27">
        <f>if(ISNA(vlookup($A713, ESPN!$B$2:$E$257, 4, false)), 0, vlookup($A713, ESPN!$B$2:$E$257, 4, false))</f>
        <v>0</v>
      </c>
      <c r="G713" s="27">
        <f>if(ISNA(vlookup($A713, FFToolbox!$B$2:$E$239, 4, false)), 0, vlookup($A713, FFToolbox!$B$2:$E$239, 4, false))</f>
        <v>0</v>
      </c>
      <c r="H713" s="27">
        <f>if(ISNA(vlookup($A713, FantasyPro!$B$2:$E$316, 4, false)), 0, vlookup($A713, FantasyPro!$B$2:$E$316, 4, false))</f>
        <v>0</v>
      </c>
      <c r="I713" s="27">
        <f>if(ISNA(vlookup($A713, RotoWire!$B$2:$E$681, 4, false)), 0, vlookup($A713, RotoWire!$B$2:$E$681, 4, false))</f>
        <v>0</v>
      </c>
      <c r="J713" s="28">
        <f t="shared" si="1"/>
        <v>0</v>
      </c>
      <c r="K713" s="28">
        <f t="shared" si="2"/>
        <v>0</v>
      </c>
    </row>
    <row r="714" hidden="1">
      <c r="A714" s="6" t="s">
        <v>261</v>
      </c>
      <c r="B714" s="25" t="s">
        <v>955</v>
      </c>
      <c r="C714" s="5" t="s">
        <v>96</v>
      </c>
      <c r="D714" s="5" t="s">
        <v>14</v>
      </c>
      <c r="E714" s="26">
        <f>vlookup(C714,'Team Bye List'!$A$1:$B$33,2,False)</f>
        <v>6</v>
      </c>
      <c r="F714" s="27">
        <f>if(ISNA(vlookup($A714, ESPN!$B$2:$E$257, 4, false)), 0, vlookup($A714, ESPN!$B$2:$E$257, 4, false))</f>
        <v>0</v>
      </c>
      <c r="G714" s="27">
        <f>if(ISNA(vlookup($A714, FFToolbox!$B$2:$E$239, 4, false)), 0, vlookup($A714, FFToolbox!$B$2:$E$239, 4, false))</f>
        <v>0</v>
      </c>
      <c r="H714" s="27">
        <f>if(ISNA(vlookup($A714, FantasyPro!$B$2:$E$316, 4, false)), 0, vlookup($A714, FantasyPro!$B$2:$E$316, 4, false))</f>
        <v>0</v>
      </c>
      <c r="I714" s="27">
        <f>if(ISNA(vlookup($A714, RotoWire!$B$2:$E$681, 4, false)), 0, vlookup($A714, RotoWire!$B$2:$E$681, 4, false))</f>
        <v>0</v>
      </c>
      <c r="J714" s="28">
        <f t="shared" si="1"/>
        <v>0</v>
      </c>
      <c r="K714" s="28">
        <f t="shared" si="2"/>
        <v>0</v>
      </c>
    </row>
    <row r="715">
      <c r="A715" s="6" t="s">
        <v>803</v>
      </c>
      <c r="B715" s="25" t="s">
        <v>955</v>
      </c>
      <c r="C715" s="5" t="s">
        <v>22</v>
      </c>
      <c r="D715" s="5" t="s">
        <v>39</v>
      </c>
      <c r="E715" s="26">
        <f>vlookup(C715,'Team Bye List'!$A$1:$B$33,2,False)</f>
        <v>7</v>
      </c>
      <c r="F715" s="27">
        <f>if(ISNA(vlookup($A715, ESPN!$B$2:$E$257, 4, false)), 0, vlookup($A715, ESPN!$B$2:$E$257, 4, false))</f>
        <v>0</v>
      </c>
      <c r="G715" s="27">
        <f>if(ISNA(vlookup($A715, FFToolbox!$B$2:$E$239, 4, false)), 0, vlookup($A715, FFToolbox!$B$2:$E$239, 4, false))</f>
        <v>0</v>
      </c>
      <c r="H715" s="27">
        <f>if(ISNA(vlookup($A715, FantasyPro!$B$2:$E$316, 4, false)), 0, vlookup($A715, FantasyPro!$B$2:$E$316, 4, false))</f>
        <v>0</v>
      </c>
      <c r="I715" s="27">
        <f>if(ISNA(vlookup($A715, RotoWire!$B$2:$E$681, 4, false)), 0, vlookup($A715, RotoWire!$B$2:$E$681, 4, false))</f>
        <v>0</v>
      </c>
      <c r="J715" s="28">
        <f t="shared" si="1"/>
        <v>0</v>
      </c>
      <c r="K715" s="28">
        <f t="shared" si="2"/>
        <v>0</v>
      </c>
    </row>
    <row r="716" hidden="1">
      <c r="A716" s="6" t="s">
        <v>486</v>
      </c>
      <c r="B716" s="25" t="s">
        <v>955</v>
      </c>
      <c r="C716" s="5" t="s">
        <v>50</v>
      </c>
      <c r="D716" s="5" t="s">
        <v>14</v>
      </c>
      <c r="E716" s="26">
        <f>vlookup(C716,'Team Bye List'!$A$1:$B$33,2,False)</f>
        <v>11</v>
      </c>
      <c r="F716" s="27">
        <f>if(ISNA(vlookup($A716, ESPN!$B$2:$E$257, 4, false)), 0, vlookup($A716, ESPN!$B$2:$E$257, 4, false))</f>
        <v>0</v>
      </c>
      <c r="G716" s="27">
        <f>if(ISNA(vlookup($A716, FFToolbox!$B$2:$E$239, 4, false)), 0, vlookup($A716, FFToolbox!$B$2:$E$239, 4, false))</f>
        <v>0</v>
      </c>
      <c r="H716" s="27">
        <f>if(ISNA(vlookup($A716, FantasyPro!$B$2:$E$316, 4, false)), 0, vlookup($A716, FantasyPro!$B$2:$E$316, 4, false))</f>
        <v>0</v>
      </c>
      <c r="I716" s="27">
        <f>if(ISNA(vlookup($A716, RotoWire!$B$2:$E$681, 4, false)), 0, vlookup($A716, RotoWire!$B$2:$E$681, 4, false))</f>
        <v>0</v>
      </c>
      <c r="J716" s="28">
        <f t="shared" si="1"/>
        <v>0</v>
      </c>
      <c r="K716" s="28">
        <f t="shared" si="2"/>
        <v>0</v>
      </c>
    </row>
    <row r="717" hidden="1">
      <c r="A717" s="6" t="s">
        <v>439</v>
      </c>
      <c r="B717" s="25" t="s">
        <v>955</v>
      </c>
      <c r="C717" s="5" t="s">
        <v>22</v>
      </c>
      <c r="D717" s="5" t="s">
        <v>12</v>
      </c>
      <c r="E717" s="26">
        <f>vlookup(C717,'Team Bye List'!$A$1:$B$33,2,False)</f>
        <v>7</v>
      </c>
      <c r="F717" s="27">
        <f>if(ISNA(vlookup($A717, ESPN!$B$2:$E$257, 4, false)), 0, vlookup($A717, ESPN!$B$2:$E$257, 4, false))</f>
        <v>0</v>
      </c>
      <c r="G717" s="27">
        <f>if(ISNA(vlookup($A717, FFToolbox!$B$2:$E$239, 4, false)), 0, vlookup($A717, FFToolbox!$B$2:$E$239, 4, false))</f>
        <v>0</v>
      </c>
      <c r="H717" s="27">
        <f>if(ISNA(vlookup($A717, FantasyPro!$B$2:$E$316, 4, false)), 0, vlookup($A717, FantasyPro!$B$2:$E$316, 4, false))</f>
        <v>0</v>
      </c>
      <c r="I717" s="27">
        <f>if(ISNA(vlookup($A717, RotoWire!$B$2:$E$681, 4, false)), 0, vlookup($A717, RotoWire!$B$2:$E$681, 4, false))</f>
        <v>0</v>
      </c>
      <c r="J717" s="28">
        <f t="shared" si="1"/>
        <v>0</v>
      </c>
      <c r="K717" s="28">
        <f t="shared" si="2"/>
        <v>0</v>
      </c>
    </row>
    <row r="718" hidden="1">
      <c r="A718" s="6" t="s">
        <v>511</v>
      </c>
      <c r="B718" s="25" t="s">
        <v>955</v>
      </c>
      <c r="C718" s="5" t="s">
        <v>91</v>
      </c>
      <c r="D718" s="5" t="s">
        <v>14</v>
      </c>
      <c r="E718" s="26">
        <f>vlookup(C718,'Team Bye List'!$A$1:$B$33,2,False)</f>
        <v>10</v>
      </c>
      <c r="F718" s="27">
        <f>if(ISNA(vlookup($A718, ESPN!$B$2:$E$257, 4, false)), 0, vlookup($A718, ESPN!$B$2:$E$257, 4, false))</f>
        <v>0</v>
      </c>
      <c r="G718" s="27">
        <f>if(ISNA(vlookup($A718, FFToolbox!$B$2:$E$239, 4, false)), 0, vlookup($A718, FFToolbox!$B$2:$E$239, 4, false))</f>
        <v>0</v>
      </c>
      <c r="H718" s="27">
        <f>if(ISNA(vlookup($A718, FantasyPro!$B$2:$E$316, 4, false)), 0, vlookup($A718, FantasyPro!$B$2:$E$316, 4, false))</f>
        <v>0</v>
      </c>
      <c r="I718" s="27">
        <f>if(ISNA(vlookup($A718, RotoWire!$B$2:$E$681, 4, false)), 0, vlookup($A718, RotoWire!$B$2:$E$681, 4, false))</f>
        <v>0</v>
      </c>
      <c r="J718" s="28">
        <f t="shared" si="1"/>
        <v>0</v>
      </c>
      <c r="K718" s="28">
        <f t="shared" si="2"/>
        <v>0</v>
      </c>
    </row>
    <row r="719" hidden="1">
      <c r="A719" s="6" t="s">
        <v>552</v>
      </c>
      <c r="B719" s="25" t="s">
        <v>955</v>
      </c>
      <c r="C719" s="5" t="s">
        <v>22</v>
      </c>
      <c r="D719" s="5" t="s">
        <v>14</v>
      </c>
      <c r="E719" s="26">
        <f>vlookup(C719,'Team Bye List'!$A$1:$B$33,2,False)</f>
        <v>7</v>
      </c>
      <c r="F719" s="27">
        <f>if(ISNA(vlookup($A719, ESPN!$B$2:$E$257, 4, false)), 0, vlookup($A719, ESPN!$B$2:$E$257, 4, false))</f>
        <v>0</v>
      </c>
      <c r="G719" s="27">
        <f>if(ISNA(vlookup($A719, FFToolbox!$B$2:$E$239, 4, false)), 0, vlookup($A719, FFToolbox!$B$2:$E$239, 4, false))</f>
        <v>0</v>
      </c>
      <c r="H719" s="27">
        <f>if(ISNA(vlookup($A719, FantasyPro!$B$2:$E$316, 4, false)), 0, vlookup($A719, FantasyPro!$B$2:$E$316, 4, false))</f>
        <v>0</v>
      </c>
      <c r="I719" s="27">
        <f>if(ISNA(vlookup($A719, RotoWire!$B$2:$E$681, 4, false)), 0, vlookup($A719, RotoWire!$B$2:$E$681, 4, false))</f>
        <v>0</v>
      </c>
      <c r="J719" s="28">
        <f t="shared" si="1"/>
        <v>0</v>
      </c>
      <c r="K719" s="28">
        <f t="shared" si="2"/>
        <v>0</v>
      </c>
    </row>
    <row r="720" hidden="1">
      <c r="A720" s="6" t="s">
        <v>291</v>
      </c>
      <c r="B720" s="25" t="s">
        <v>955</v>
      </c>
      <c r="C720" s="5" t="s">
        <v>165</v>
      </c>
      <c r="D720" s="5" t="s">
        <v>14</v>
      </c>
      <c r="E720" s="26">
        <f>vlookup(C720,'Team Bye List'!$A$1:$B$33,2,False)</f>
        <v>10</v>
      </c>
      <c r="F720" s="27">
        <f>if(ISNA(vlookup($A720, ESPN!$B$2:$E$257, 4, false)), 0, vlookup($A720, ESPN!$B$2:$E$257, 4, false))</f>
        <v>0</v>
      </c>
      <c r="G720" s="27">
        <f>if(ISNA(vlookup($A720, FFToolbox!$B$2:$E$239, 4, false)), 0, vlookup($A720, FFToolbox!$B$2:$E$239, 4, false))</f>
        <v>0</v>
      </c>
      <c r="H720" s="27">
        <f>if(ISNA(vlookup($A720, FantasyPro!$B$2:$E$316, 4, false)), 0, vlookup($A720, FantasyPro!$B$2:$E$316, 4, false))</f>
        <v>0</v>
      </c>
      <c r="I720" s="27">
        <f>if(ISNA(vlookup($A720, RotoWire!$B$2:$E$681, 4, false)), 0, vlookup($A720, RotoWire!$B$2:$E$681, 4, false))</f>
        <v>0</v>
      </c>
      <c r="J720" s="28">
        <f t="shared" si="1"/>
        <v>0</v>
      </c>
      <c r="K720" s="28">
        <f t="shared" si="2"/>
        <v>0</v>
      </c>
    </row>
    <row r="721" hidden="1">
      <c r="A721" s="6" t="s">
        <v>639</v>
      </c>
      <c r="B721" s="25" t="s">
        <v>955</v>
      </c>
      <c r="C721" s="5" t="s">
        <v>122</v>
      </c>
      <c r="D721" s="5" t="s">
        <v>7</v>
      </c>
      <c r="E721" s="26">
        <f>vlookup(C721,'Team Bye List'!$A$1:$B$33,2,False)</f>
        <v>10</v>
      </c>
      <c r="F721" s="27">
        <f>if(ISNA(vlookup($A721, ESPN!$B$2:$E$257, 4, false)), 0, vlookup($A721, ESPN!$B$2:$E$257, 4, false))</f>
        <v>0</v>
      </c>
      <c r="G721" s="27">
        <f>if(ISNA(vlookup($A721, FFToolbox!$B$2:$E$239, 4, false)), 0, vlookup($A721, FFToolbox!$B$2:$E$239, 4, false))</f>
        <v>0</v>
      </c>
      <c r="H721" s="27">
        <f>if(ISNA(vlookup($A721, FantasyPro!$B$2:$E$316, 4, false)), 0, vlookup($A721, FantasyPro!$B$2:$E$316, 4, false))</f>
        <v>0</v>
      </c>
      <c r="I721" s="27">
        <f>if(ISNA(vlookup($A721, RotoWire!$B$2:$E$681, 4, false)), 0, vlookup($A721, RotoWire!$B$2:$E$681, 4, false))</f>
        <v>0</v>
      </c>
      <c r="J721" s="28">
        <f t="shared" si="1"/>
        <v>0</v>
      </c>
      <c r="K721" s="28">
        <f t="shared" si="2"/>
        <v>0</v>
      </c>
    </row>
    <row r="722" hidden="1">
      <c r="A722" s="6" t="s">
        <v>652</v>
      </c>
      <c r="B722" s="25" t="s">
        <v>955</v>
      </c>
      <c r="C722" s="5" t="s">
        <v>91</v>
      </c>
      <c r="D722" s="5" t="s">
        <v>7</v>
      </c>
      <c r="E722" s="26">
        <f>vlookup(C722,'Team Bye List'!$A$1:$B$33,2,False)</f>
        <v>10</v>
      </c>
      <c r="F722" s="27">
        <f>if(ISNA(vlookup($A722, ESPN!$B$2:$E$257, 4, false)), 0, vlookup($A722, ESPN!$B$2:$E$257, 4, false))</f>
        <v>0</v>
      </c>
      <c r="G722" s="27">
        <f>if(ISNA(vlookup($A722, FFToolbox!$B$2:$E$239, 4, false)), 0, vlookup($A722, FFToolbox!$B$2:$E$239, 4, false))</f>
        <v>0</v>
      </c>
      <c r="H722" s="27">
        <f>if(ISNA(vlookup($A722, FantasyPro!$B$2:$E$316, 4, false)), 0, vlookup($A722, FantasyPro!$B$2:$E$316, 4, false))</f>
        <v>0</v>
      </c>
      <c r="I722" s="27">
        <f>if(ISNA(vlookup($A722, RotoWire!$B$2:$E$681, 4, false)), 0, vlookup($A722, RotoWire!$B$2:$E$681, 4, false))</f>
        <v>0</v>
      </c>
      <c r="J722" s="28">
        <f t="shared" si="1"/>
        <v>0</v>
      </c>
      <c r="K722" s="28">
        <f t="shared" si="2"/>
        <v>0</v>
      </c>
    </row>
    <row r="723">
      <c r="A723" s="6" t="s">
        <v>793</v>
      </c>
      <c r="B723" s="25" t="s">
        <v>955</v>
      </c>
      <c r="C723" s="5" t="s">
        <v>28</v>
      </c>
      <c r="D723" s="5" t="s">
        <v>39</v>
      </c>
      <c r="E723" s="26">
        <f>vlookup(C723,'Team Bye List'!$A$1:$B$33,2,False)</f>
        <v>11</v>
      </c>
      <c r="F723" s="27">
        <f>if(ISNA(vlookup($A723, ESPN!$B$2:$E$257, 4, false)), 0, vlookup($A723, ESPN!$B$2:$E$257, 4, false))</f>
        <v>0</v>
      </c>
      <c r="G723" s="27">
        <f>if(ISNA(vlookup($A723, FFToolbox!$B$2:$E$239, 4, false)), 0, vlookup($A723, FFToolbox!$B$2:$E$239, 4, false))</f>
        <v>0</v>
      </c>
      <c r="H723" s="27">
        <f>if(ISNA(vlookup($A723, FantasyPro!$B$2:$E$316, 4, false)), 0, vlookup($A723, FantasyPro!$B$2:$E$316, 4, false))</f>
        <v>0</v>
      </c>
      <c r="I723" s="27">
        <f>if(ISNA(vlookup($A723, RotoWire!$B$2:$E$681, 4, false)), 0, vlookup($A723, RotoWire!$B$2:$E$681, 4, false))</f>
        <v>0</v>
      </c>
      <c r="J723" s="28">
        <f t="shared" si="1"/>
        <v>0</v>
      </c>
      <c r="K723" s="28">
        <f t="shared" si="2"/>
        <v>0</v>
      </c>
    </row>
    <row r="724" hidden="1">
      <c r="A724" s="6" t="s">
        <v>357</v>
      </c>
      <c r="B724" s="25" t="s">
        <v>955</v>
      </c>
      <c r="C724" s="5" t="s">
        <v>122</v>
      </c>
      <c r="D724" s="5" t="s">
        <v>14</v>
      </c>
      <c r="E724" s="26">
        <f>vlookup(C724,'Team Bye List'!$A$1:$B$33,2,False)</f>
        <v>10</v>
      </c>
      <c r="F724" s="27">
        <f>if(ISNA(vlookup($A724, ESPN!$B$2:$E$257, 4, false)), 0, vlookup($A724, ESPN!$B$2:$E$257, 4, false))</f>
        <v>0</v>
      </c>
      <c r="G724" s="27">
        <f>if(ISNA(vlookup($A724, FFToolbox!$B$2:$E$239, 4, false)), 0, vlookup($A724, FFToolbox!$B$2:$E$239, 4, false))</f>
        <v>0</v>
      </c>
      <c r="H724" s="27">
        <f>if(ISNA(vlookup($A724, FantasyPro!$B$2:$E$316, 4, false)), 0, vlookup($A724, FantasyPro!$B$2:$E$316, 4, false))</f>
        <v>0</v>
      </c>
      <c r="I724" s="27">
        <f>if(ISNA(vlookup($A724, RotoWire!$B$2:$E$681, 4, false)), 0, vlookup($A724, RotoWire!$B$2:$E$681, 4, false))</f>
        <v>0</v>
      </c>
      <c r="J724" s="28">
        <f t="shared" si="1"/>
        <v>0</v>
      </c>
      <c r="K724" s="28">
        <f t="shared" si="2"/>
        <v>0</v>
      </c>
    </row>
    <row r="725" hidden="1">
      <c r="A725" s="6" t="s">
        <v>553</v>
      </c>
      <c r="B725" s="25" t="s">
        <v>955</v>
      </c>
      <c r="C725" s="5" t="s">
        <v>52</v>
      </c>
      <c r="D725" s="5" t="s">
        <v>14</v>
      </c>
      <c r="E725" s="26">
        <f>vlookup(C725,'Team Bye List'!$A$1:$B$33,2,False)</f>
        <v>4</v>
      </c>
      <c r="F725" s="27">
        <f>if(ISNA(vlookup($A725, ESPN!$B$2:$E$257, 4, false)), 0, vlookup($A725, ESPN!$B$2:$E$257, 4, false))</f>
        <v>0</v>
      </c>
      <c r="G725" s="27">
        <f>if(ISNA(vlookup($A725, FFToolbox!$B$2:$E$239, 4, false)), 0, vlookup($A725, FFToolbox!$B$2:$E$239, 4, false))</f>
        <v>0</v>
      </c>
      <c r="H725" s="27">
        <f>if(ISNA(vlookup($A725, FantasyPro!$B$2:$E$316, 4, false)), 0, vlookup($A725, FantasyPro!$B$2:$E$316, 4, false))</f>
        <v>0</v>
      </c>
      <c r="I725" s="27">
        <f>if(ISNA(vlookup($A725, RotoWire!$B$2:$E$681, 4, false)), 0, vlookup($A725, RotoWire!$B$2:$E$681, 4, false))</f>
        <v>0</v>
      </c>
      <c r="J725" s="28">
        <f t="shared" si="1"/>
        <v>0</v>
      </c>
      <c r="K725" s="28">
        <f t="shared" si="2"/>
        <v>0</v>
      </c>
    </row>
    <row r="726" hidden="1">
      <c r="A726" s="6" t="s">
        <v>597</v>
      </c>
      <c r="B726" s="25" t="s">
        <v>955</v>
      </c>
      <c r="C726" s="5" t="s">
        <v>6</v>
      </c>
      <c r="D726" s="5" t="s">
        <v>14</v>
      </c>
      <c r="E726" s="26">
        <f>vlookup(C726,'Team Bye List'!$A$1:$B$33,2,False)</f>
        <v>11</v>
      </c>
      <c r="F726" s="27">
        <f>if(ISNA(vlookup($A726, ESPN!$B$2:$E$257, 4, false)), 0, vlookup($A726, ESPN!$B$2:$E$257, 4, false))</f>
        <v>0</v>
      </c>
      <c r="G726" s="27">
        <f>if(ISNA(vlookup($A726, FFToolbox!$B$2:$E$239, 4, false)), 0, vlookup($A726, FFToolbox!$B$2:$E$239, 4, false))</f>
        <v>0</v>
      </c>
      <c r="H726" s="27">
        <f>if(ISNA(vlookup($A726, FantasyPro!$B$2:$E$316, 4, false)), 0, vlookup($A726, FantasyPro!$B$2:$E$316, 4, false))</f>
        <v>0</v>
      </c>
      <c r="I726" s="27">
        <f>if(ISNA(vlookup($A726, RotoWire!$B$2:$E$681, 4, false)), 0, vlookup($A726, RotoWire!$B$2:$E$681, 4, false))</f>
        <v>0</v>
      </c>
      <c r="J726" s="28">
        <f t="shared" si="1"/>
        <v>0</v>
      </c>
      <c r="K726" s="28">
        <f t="shared" si="2"/>
        <v>0</v>
      </c>
    </row>
    <row r="727">
      <c r="A727" s="6" t="s">
        <v>775</v>
      </c>
      <c r="B727" s="25" t="s">
        <v>955</v>
      </c>
      <c r="C727" s="5" t="s">
        <v>71</v>
      </c>
      <c r="D727" s="5" t="s">
        <v>39</v>
      </c>
      <c r="E727" s="26">
        <f>vlookup(C727,'Team Bye List'!$A$1:$B$33,2,False)</f>
        <v>5</v>
      </c>
      <c r="F727" s="27">
        <f>if(ISNA(vlookup($A727, ESPN!$B$2:$E$257, 4, false)), 0, vlookup($A727, ESPN!$B$2:$E$257, 4, false))</f>
        <v>0</v>
      </c>
      <c r="G727" s="27">
        <f>if(ISNA(vlookup($A727, FFToolbox!$B$2:$E$239, 4, false)), 0, vlookup($A727, FFToolbox!$B$2:$E$239, 4, false))</f>
        <v>0</v>
      </c>
      <c r="H727" s="27">
        <f>if(ISNA(vlookup($A727, FantasyPro!$B$2:$E$316, 4, false)), 0, vlookup($A727, FantasyPro!$B$2:$E$316, 4, false))</f>
        <v>0</v>
      </c>
      <c r="I727" s="27">
        <f>if(ISNA(vlookup($A727, RotoWire!$B$2:$E$681, 4, false)), 0, vlookup($A727, RotoWire!$B$2:$E$681, 4, false))</f>
        <v>0</v>
      </c>
      <c r="J727" s="28">
        <f t="shared" si="1"/>
        <v>0</v>
      </c>
      <c r="K727" s="28">
        <f t="shared" si="2"/>
        <v>0</v>
      </c>
    </row>
    <row r="728" hidden="1">
      <c r="A728" s="6" t="s">
        <v>390</v>
      </c>
      <c r="B728" s="25" t="s">
        <v>955</v>
      </c>
      <c r="C728" s="5" t="s">
        <v>139</v>
      </c>
      <c r="D728" s="5" t="s">
        <v>12</v>
      </c>
      <c r="E728" s="26">
        <f>vlookup(C728,'Team Bye List'!$A$1:$B$33,2,False)</f>
        <v>6</v>
      </c>
      <c r="F728" s="27">
        <f>if(ISNA(vlookup($A728, ESPN!$B$2:$E$257, 4, false)), 0, vlookup($A728, ESPN!$B$2:$E$257, 4, false))</f>
        <v>0</v>
      </c>
      <c r="G728" s="27">
        <f>if(ISNA(vlookup($A728, FFToolbox!$B$2:$E$239, 4, false)), 0, vlookup($A728, FFToolbox!$B$2:$E$239, 4, false))</f>
        <v>0</v>
      </c>
      <c r="H728" s="27">
        <f>if(ISNA(vlookup($A728, FantasyPro!$B$2:$E$316, 4, false)), 0, vlookup($A728, FantasyPro!$B$2:$E$316, 4, false))</f>
        <v>0</v>
      </c>
      <c r="I728" s="27">
        <f>if(ISNA(vlookup($A728, RotoWire!$B$2:$E$681, 4, false)), 0, vlookup($A728, RotoWire!$B$2:$E$681, 4, false))</f>
        <v>0</v>
      </c>
      <c r="J728" s="28">
        <f t="shared" si="1"/>
        <v>0</v>
      </c>
      <c r="K728" s="28">
        <f t="shared" si="2"/>
        <v>0</v>
      </c>
    </row>
    <row r="729" hidden="1">
      <c r="A729" s="6" t="s">
        <v>610</v>
      </c>
      <c r="B729" s="25" t="s">
        <v>955</v>
      </c>
      <c r="C729" s="5" t="s">
        <v>71</v>
      </c>
      <c r="D729" s="5" t="s">
        <v>14</v>
      </c>
      <c r="E729" s="26">
        <f>vlookup(C729,'Team Bye List'!$A$1:$B$33,2,False)</f>
        <v>5</v>
      </c>
      <c r="F729" s="27">
        <f>if(ISNA(vlookup($A729, ESPN!$B$2:$E$257, 4, false)), 0, vlookup($A729, ESPN!$B$2:$E$257, 4, false))</f>
        <v>0</v>
      </c>
      <c r="G729" s="27">
        <f>if(ISNA(vlookup($A729, FFToolbox!$B$2:$E$239, 4, false)), 0, vlookup($A729, FFToolbox!$B$2:$E$239, 4, false))</f>
        <v>0</v>
      </c>
      <c r="H729" s="27">
        <f>if(ISNA(vlookup($A729, FantasyPro!$B$2:$E$316, 4, false)), 0, vlookup($A729, FantasyPro!$B$2:$E$316, 4, false))</f>
        <v>0</v>
      </c>
      <c r="I729" s="27">
        <f>if(ISNA(vlookup($A729, RotoWire!$B$2:$E$681, 4, false)), 0, vlookup($A729, RotoWire!$B$2:$E$681, 4, false))</f>
        <v>0</v>
      </c>
      <c r="J729" s="28">
        <f t="shared" si="1"/>
        <v>0</v>
      </c>
      <c r="K729" s="28">
        <f t="shared" si="2"/>
        <v>0</v>
      </c>
    </row>
    <row r="730" hidden="1">
      <c r="A730" s="8" t="s">
        <v>651</v>
      </c>
      <c r="B730" s="25" t="s">
        <v>955</v>
      </c>
      <c r="C730" s="5" t="s">
        <v>9</v>
      </c>
      <c r="D730" s="5" t="s">
        <v>7</v>
      </c>
      <c r="E730" s="26">
        <f>vlookup(C730,'Team Bye List'!$A$1:$B$33,2,False)</f>
        <v>8</v>
      </c>
      <c r="F730" s="27">
        <f>if(ISNA(vlookup($A730, ESPN!$B$2:$E$257, 4, false)), 0, vlookup($A730, ESPN!$B$2:$E$257, 4, false))</f>
        <v>0</v>
      </c>
      <c r="G730" s="27">
        <f>if(ISNA(vlookup($A730, FFToolbox!$B$2:$E$239, 4, false)), 0, vlookup($A730, FFToolbox!$B$2:$E$239, 4, false))</f>
        <v>0</v>
      </c>
      <c r="H730" s="27">
        <f>if(ISNA(vlookup($A730, FantasyPro!$B$2:$E$316, 4, false)), 0, vlookup($A730, FantasyPro!$B$2:$E$316, 4, false))</f>
        <v>0</v>
      </c>
      <c r="I730" s="27">
        <f>if(ISNA(vlookup($A730, RotoWire!$B$2:$E$681, 4, false)), 0, vlookup($A730, RotoWire!$B$2:$E$681, 4, false))</f>
        <v>0</v>
      </c>
      <c r="J730" s="28">
        <f t="shared" si="1"/>
        <v>0</v>
      </c>
      <c r="K730" s="28">
        <f t="shared" si="2"/>
        <v>0</v>
      </c>
    </row>
    <row r="731" hidden="1">
      <c r="A731" s="6" t="s">
        <v>470</v>
      </c>
      <c r="B731" s="25" t="s">
        <v>955</v>
      </c>
      <c r="C731" s="5" t="s">
        <v>22</v>
      </c>
      <c r="D731" s="5" t="s">
        <v>14</v>
      </c>
      <c r="E731" s="26">
        <f>vlookup(C731,'Team Bye List'!$A$1:$B$33,2,False)</f>
        <v>7</v>
      </c>
      <c r="F731" s="27">
        <f>if(ISNA(vlookup($A731, ESPN!$B$2:$E$257, 4, false)), 0, vlookup($A731, ESPN!$B$2:$E$257, 4, false))</f>
        <v>0</v>
      </c>
      <c r="G731" s="27">
        <f>if(ISNA(vlookup($A731, FFToolbox!$B$2:$E$239, 4, false)), 0, vlookup($A731, FFToolbox!$B$2:$E$239, 4, false))</f>
        <v>0</v>
      </c>
      <c r="H731" s="27">
        <f>if(ISNA(vlookup($A731, FantasyPro!$B$2:$E$316, 4, false)), 0, vlookup($A731, FantasyPro!$B$2:$E$316, 4, false))</f>
        <v>0</v>
      </c>
      <c r="I731" s="27">
        <f>if(ISNA(vlookup($A731, RotoWire!$B$2:$E$681, 4, false)), 0, vlookup($A731, RotoWire!$B$2:$E$681, 4, false))</f>
        <v>0</v>
      </c>
      <c r="J731" s="28">
        <f t="shared" si="1"/>
        <v>0</v>
      </c>
      <c r="K731" s="28">
        <f t="shared" si="2"/>
        <v>0</v>
      </c>
    </row>
    <row r="732" hidden="1">
      <c r="A732" s="6" t="s">
        <v>714</v>
      </c>
      <c r="B732" s="25" t="s">
        <v>955</v>
      </c>
      <c r="C732" s="5" t="s">
        <v>28</v>
      </c>
      <c r="D732" s="5" t="s">
        <v>7</v>
      </c>
      <c r="E732" s="26">
        <f>vlookup(C732,'Team Bye List'!$A$1:$B$33,2,False)</f>
        <v>11</v>
      </c>
      <c r="F732" s="27">
        <f>if(ISNA(vlookup($A732, ESPN!$B$2:$E$257, 4, false)), 0, vlookup($A732, ESPN!$B$2:$E$257, 4, false))</f>
        <v>0</v>
      </c>
      <c r="G732" s="27">
        <f>if(ISNA(vlookup($A732, FFToolbox!$B$2:$E$239, 4, false)), 0, vlookup($A732, FFToolbox!$B$2:$E$239, 4, false))</f>
        <v>0</v>
      </c>
      <c r="H732" s="27">
        <f>if(ISNA(vlookup($A732, FantasyPro!$B$2:$E$316, 4, false)), 0, vlookup($A732, FantasyPro!$B$2:$E$316, 4, false))</f>
        <v>0</v>
      </c>
      <c r="I732" s="27">
        <f>if(ISNA(vlookup($A732, RotoWire!$B$2:$E$681, 4, false)), 0, vlookup($A732, RotoWire!$B$2:$E$681, 4, false))</f>
        <v>0</v>
      </c>
      <c r="J732" s="28">
        <f t="shared" si="1"/>
        <v>0</v>
      </c>
      <c r="K732" s="28">
        <f t="shared" si="2"/>
        <v>0</v>
      </c>
    </row>
    <row r="733">
      <c r="A733" s="6" t="s">
        <v>776</v>
      </c>
      <c r="B733" s="25" t="s">
        <v>955</v>
      </c>
      <c r="C733" s="5" t="s">
        <v>104</v>
      </c>
      <c r="D733" s="5" t="s">
        <v>39</v>
      </c>
      <c r="E733" s="26">
        <f>vlookup(C733,'Team Bye List'!$A$1:$B$33,2,False)</f>
        <v>8</v>
      </c>
      <c r="F733" s="27">
        <f>if(ISNA(vlookup($A733, ESPN!$B$2:$E$257, 4, false)), 0, vlookup($A733, ESPN!$B$2:$E$257, 4, false))</f>
        <v>0</v>
      </c>
      <c r="G733" s="27">
        <f>if(ISNA(vlookup($A733, FFToolbox!$B$2:$E$239, 4, false)), 0, vlookup($A733, FFToolbox!$B$2:$E$239, 4, false))</f>
        <v>0</v>
      </c>
      <c r="H733" s="27">
        <f>if(ISNA(vlookup($A733, FantasyPro!$B$2:$E$316, 4, false)), 0, vlookup($A733, FantasyPro!$B$2:$E$316, 4, false))</f>
        <v>0</v>
      </c>
      <c r="I733" s="27">
        <f>if(ISNA(vlookup($A733, RotoWire!$B$2:$E$681, 4, false)), 0, vlookup($A733, RotoWire!$B$2:$E$681, 4, false))</f>
        <v>0</v>
      </c>
      <c r="J733" s="28">
        <f t="shared" si="1"/>
        <v>0</v>
      </c>
      <c r="K733" s="28">
        <f t="shared" si="2"/>
        <v>0</v>
      </c>
    </row>
    <row r="734" hidden="1">
      <c r="A734" s="6" t="s">
        <v>570</v>
      </c>
      <c r="B734" s="25" t="s">
        <v>955</v>
      </c>
      <c r="C734" s="5" t="s">
        <v>16</v>
      </c>
      <c r="D734" s="5" t="s">
        <v>14</v>
      </c>
      <c r="E734" s="26">
        <f>vlookup(C734,'Team Bye List'!$A$1:$B$33,2,False)</f>
        <v>9</v>
      </c>
      <c r="F734" s="27">
        <f>if(ISNA(vlookup($A734, ESPN!$B$2:$E$257, 4, false)), 0, vlookup($A734, ESPN!$B$2:$E$257, 4, false))</f>
        <v>0</v>
      </c>
      <c r="G734" s="27">
        <f>if(ISNA(vlookup($A734, FFToolbox!$B$2:$E$239, 4, false)), 0, vlookup($A734, FFToolbox!$B$2:$E$239, 4, false))</f>
        <v>0</v>
      </c>
      <c r="H734" s="27">
        <f>if(ISNA(vlookup($A734, FantasyPro!$B$2:$E$316, 4, false)), 0, vlookup($A734, FantasyPro!$B$2:$E$316, 4, false))</f>
        <v>0</v>
      </c>
      <c r="I734" s="27">
        <f>if(ISNA(vlookup($A734, RotoWire!$B$2:$E$681, 4, false)), 0, vlookup($A734, RotoWire!$B$2:$E$681, 4, false))</f>
        <v>0</v>
      </c>
      <c r="J734" s="28">
        <f t="shared" si="1"/>
        <v>0</v>
      </c>
      <c r="K734" s="28">
        <f t="shared" si="2"/>
        <v>0</v>
      </c>
    </row>
    <row r="735" hidden="1">
      <c r="A735" s="6" t="s">
        <v>294</v>
      </c>
      <c r="B735" s="25" t="s">
        <v>955</v>
      </c>
      <c r="C735" s="5" t="s">
        <v>43</v>
      </c>
      <c r="D735" s="5" t="s">
        <v>14</v>
      </c>
      <c r="E735" s="26">
        <f>vlookup(C735,'Team Bye List'!$A$1:$B$33,2,False)</f>
        <v>12</v>
      </c>
      <c r="F735" s="27">
        <f>if(ISNA(vlookup($A735, ESPN!$B$2:$E$257, 4, false)), 0, vlookup($A735, ESPN!$B$2:$E$257, 4, false))</f>
        <v>0</v>
      </c>
      <c r="G735" s="27">
        <f>if(ISNA(vlookup($A735, FFToolbox!$B$2:$E$239, 4, false)), 0, vlookup($A735, FFToolbox!$B$2:$E$239, 4, false))</f>
        <v>0</v>
      </c>
      <c r="H735" s="27">
        <f>if(ISNA(vlookup($A735, FantasyPro!$B$2:$E$316, 4, false)), 0, vlookup($A735, FantasyPro!$B$2:$E$316, 4, false))</f>
        <v>0</v>
      </c>
      <c r="I735" s="27">
        <f>if(ISNA(vlookup($A735, RotoWire!$B$2:$E$681, 4, false)), 0, vlookup($A735, RotoWire!$B$2:$E$681, 4, false))</f>
        <v>0</v>
      </c>
      <c r="J735" s="28">
        <f t="shared" si="1"/>
        <v>0</v>
      </c>
      <c r="K735" s="28">
        <f t="shared" si="2"/>
        <v>0</v>
      </c>
    </row>
    <row r="736" hidden="1">
      <c r="A736" s="6" t="s">
        <v>472</v>
      </c>
      <c r="B736" s="25" t="s">
        <v>955</v>
      </c>
      <c r="C736" s="5" t="s">
        <v>71</v>
      </c>
      <c r="D736" s="5" t="s">
        <v>14</v>
      </c>
      <c r="E736" s="26">
        <f>vlookup(C736,'Team Bye List'!$A$1:$B$33,2,False)</f>
        <v>5</v>
      </c>
      <c r="F736" s="27">
        <f>if(ISNA(vlookup($A736, ESPN!$B$2:$E$257, 4, false)), 0, vlookup($A736, ESPN!$B$2:$E$257, 4, false))</f>
        <v>0</v>
      </c>
      <c r="G736" s="27">
        <f>if(ISNA(vlookup($A736, FFToolbox!$B$2:$E$239, 4, false)), 0, vlookup($A736, FFToolbox!$B$2:$E$239, 4, false))</f>
        <v>0</v>
      </c>
      <c r="H736" s="27">
        <f>if(ISNA(vlookup($A736, FantasyPro!$B$2:$E$316, 4, false)), 0, vlookup($A736, FantasyPro!$B$2:$E$316, 4, false))</f>
        <v>0</v>
      </c>
      <c r="I736" s="27">
        <f>if(ISNA(vlookup($A736, RotoWire!$B$2:$E$681, 4, false)), 0, vlookup($A736, RotoWire!$B$2:$E$681, 4, false))</f>
        <v>0</v>
      </c>
      <c r="J736" s="28">
        <f t="shared" si="1"/>
        <v>0</v>
      </c>
      <c r="K736" s="28">
        <f t="shared" si="2"/>
        <v>0</v>
      </c>
    </row>
    <row r="737" hidden="1">
      <c r="A737" s="6" t="s">
        <v>676</v>
      </c>
      <c r="B737" s="25" t="s">
        <v>955</v>
      </c>
      <c r="C737" s="5" t="s">
        <v>69</v>
      </c>
      <c r="D737" s="5" t="s">
        <v>7</v>
      </c>
      <c r="E737" s="26">
        <f>vlookup(C737,'Team Bye List'!$A$1:$B$33,2,False)</f>
        <v>11</v>
      </c>
      <c r="F737" s="27">
        <f>if(ISNA(vlookup($A737, ESPN!$B$2:$E$257, 4, false)), 0, vlookup($A737, ESPN!$B$2:$E$257, 4, false))</f>
        <v>0</v>
      </c>
      <c r="G737" s="27">
        <f>if(ISNA(vlookup($A737, FFToolbox!$B$2:$E$239, 4, false)), 0, vlookup($A737, FFToolbox!$B$2:$E$239, 4, false))</f>
        <v>0</v>
      </c>
      <c r="H737" s="27">
        <f>if(ISNA(vlookup($A737, FantasyPro!$B$2:$E$316, 4, false)), 0, vlookup($A737, FantasyPro!$B$2:$E$316, 4, false))</f>
        <v>0</v>
      </c>
      <c r="I737" s="27">
        <f>if(ISNA(vlookup($A737, RotoWire!$B$2:$E$681, 4, false)), 0, vlookup($A737, RotoWire!$B$2:$E$681, 4, false))</f>
        <v>0</v>
      </c>
      <c r="J737" s="28">
        <f t="shared" si="1"/>
        <v>0</v>
      </c>
      <c r="K737" s="28">
        <f t="shared" si="2"/>
        <v>0</v>
      </c>
    </row>
    <row r="738" hidden="1">
      <c r="A738" s="6" t="s">
        <v>608</v>
      </c>
      <c r="B738" s="25" t="s">
        <v>955</v>
      </c>
      <c r="C738" s="5" t="s">
        <v>91</v>
      </c>
      <c r="D738" s="5" t="s">
        <v>14</v>
      </c>
      <c r="E738" s="26">
        <f>vlookup(C738,'Team Bye List'!$A$1:$B$33,2,False)</f>
        <v>10</v>
      </c>
      <c r="F738" s="27">
        <f>if(ISNA(vlookup($A738, ESPN!$B$2:$E$257, 4, false)), 0, vlookup($A738, ESPN!$B$2:$E$257, 4, false))</f>
        <v>0</v>
      </c>
      <c r="G738" s="27">
        <f>if(ISNA(vlookup($A738, FFToolbox!$B$2:$E$239, 4, false)), 0, vlookup($A738, FFToolbox!$B$2:$E$239, 4, false))</f>
        <v>0</v>
      </c>
      <c r="H738" s="27">
        <f>if(ISNA(vlookup($A738, FantasyPro!$B$2:$E$316, 4, false)), 0, vlookup($A738, FantasyPro!$B$2:$E$316, 4, false))</f>
        <v>0</v>
      </c>
      <c r="I738" s="27">
        <f>if(ISNA(vlookup($A738, RotoWire!$B$2:$E$681, 4, false)), 0, vlookup($A738, RotoWire!$B$2:$E$681, 4, false))</f>
        <v>0</v>
      </c>
      <c r="J738" s="28">
        <f t="shared" si="1"/>
        <v>0</v>
      </c>
      <c r="K738" s="28">
        <f t="shared" si="2"/>
        <v>0</v>
      </c>
    </row>
    <row r="739" hidden="1">
      <c r="A739" s="6" t="s">
        <v>284</v>
      </c>
      <c r="B739" s="25" t="s">
        <v>955</v>
      </c>
      <c r="C739" s="5" t="s">
        <v>16</v>
      </c>
      <c r="D739" s="5" t="s">
        <v>14</v>
      </c>
      <c r="E739" s="26">
        <f>vlookup(C739,'Team Bye List'!$A$1:$B$33,2,False)</f>
        <v>9</v>
      </c>
      <c r="F739" s="27">
        <f>if(ISNA(vlookup($A739, ESPN!$B$2:$E$257, 4, false)), 0, vlookup($A739, ESPN!$B$2:$E$257, 4, false))</f>
        <v>0</v>
      </c>
      <c r="G739" s="27">
        <f>if(ISNA(vlookup($A739, FFToolbox!$B$2:$E$239, 4, false)), 0, vlookup($A739, FFToolbox!$B$2:$E$239, 4, false))</f>
        <v>0</v>
      </c>
      <c r="H739" s="27">
        <f>if(ISNA(vlookup($A739, FantasyPro!$B$2:$E$316, 4, false)), 0, vlookup($A739, FantasyPro!$B$2:$E$316, 4, false))</f>
        <v>0</v>
      </c>
      <c r="I739" s="27">
        <f>if(ISNA(vlookup($A739, RotoWire!$B$2:$E$681, 4, false)), 0, vlookup($A739, RotoWire!$B$2:$E$681, 4, false))</f>
        <v>0</v>
      </c>
      <c r="J739" s="28">
        <f t="shared" si="1"/>
        <v>0</v>
      </c>
      <c r="K739" s="28">
        <f t="shared" si="2"/>
        <v>0</v>
      </c>
    </row>
    <row r="740" hidden="1">
      <c r="A740" s="6" t="s">
        <v>689</v>
      </c>
      <c r="B740" s="25" t="s">
        <v>955</v>
      </c>
      <c r="C740" s="5" t="s">
        <v>11</v>
      </c>
      <c r="D740" s="5" t="s">
        <v>7</v>
      </c>
      <c r="E740" s="26">
        <f>vlookup(C740,'Team Bye List'!$A$1:$B$33,2,False)</f>
        <v>12</v>
      </c>
      <c r="F740" s="27">
        <f>if(ISNA(vlookup($A740, ESPN!$B$2:$E$257, 4, false)), 0, vlookup($A740, ESPN!$B$2:$E$257, 4, false))</f>
        <v>0</v>
      </c>
      <c r="G740" s="27">
        <f>if(ISNA(vlookup($A740, FFToolbox!$B$2:$E$239, 4, false)), 0, vlookup($A740, FFToolbox!$B$2:$E$239, 4, false))</f>
        <v>0</v>
      </c>
      <c r="H740" s="27">
        <f>if(ISNA(vlookup($A740, FantasyPro!$B$2:$E$316, 4, false)), 0, vlookup($A740, FantasyPro!$B$2:$E$316, 4, false))</f>
        <v>0</v>
      </c>
      <c r="I740" s="27">
        <f>if(ISNA(vlookup($A740, RotoWire!$B$2:$E$681, 4, false)), 0, vlookup($A740, RotoWire!$B$2:$E$681, 4, false))</f>
        <v>0</v>
      </c>
      <c r="J740" s="28">
        <f t="shared" si="1"/>
        <v>0</v>
      </c>
      <c r="K740" s="28">
        <f t="shared" si="2"/>
        <v>0</v>
      </c>
    </row>
    <row r="741" hidden="1">
      <c r="A741" s="6" t="s">
        <v>546</v>
      </c>
      <c r="B741" s="25" t="s">
        <v>955</v>
      </c>
      <c r="C741" s="5" t="s">
        <v>26</v>
      </c>
      <c r="D741" s="5" t="s">
        <v>14</v>
      </c>
      <c r="E741" s="26">
        <f>vlookup(C741,'Team Bye List'!$A$1:$B$33,2,False)</f>
        <v>12</v>
      </c>
      <c r="F741" s="27">
        <f>if(ISNA(vlookup($A741, ESPN!$B$2:$E$257, 4, false)), 0, vlookup($A741, ESPN!$B$2:$E$257, 4, false))</f>
        <v>0</v>
      </c>
      <c r="G741" s="27">
        <f>if(ISNA(vlookup($A741, FFToolbox!$B$2:$E$239, 4, false)), 0, vlookup($A741, FFToolbox!$B$2:$E$239, 4, false))</f>
        <v>0</v>
      </c>
      <c r="H741" s="27">
        <f>if(ISNA(vlookup($A741, FantasyPro!$B$2:$E$316, 4, false)), 0, vlookup($A741, FantasyPro!$B$2:$E$316, 4, false))</f>
        <v>0</v>
      </c>
      <c r="I741" s="27">
        <f>if(ISNA(vlookup($A741, RotoWire!$B$2:$E$681, 4, false)), 0, vlookup($A741, RotoWire!$B$2:$E$681, 4, false))</f>
        <v>0</v>
      </c>
      <c r="J741" s="28">
        <f t="shared" si="1"/>
        <v>0</v>
      </c>
      <c r="K741" s="28">
        <f t="shared" si="2"/>
        <v>0</v>
      </c>
    </row>
    <row r="742" hidden="1">
      <c r="A742" s="6" t="s">
        <v>670</v>
      </c>
      <c r="B742" s="25" t="s">
        <v>955</v>
      </c>
      <c r="C742" s="5" t="s">
        <v>52</v>
      </c>
      <c r="D742" s="5" t="s">
        <v>7</v>
      </c>
      <c r="E742" s="26">
        <f>vlookup(C742,'Team Bye List'!$A$1:$B$33,2,False)</f>
        <v>4</v>
      </c>
      <c r="F742" s="27">
        <f>if(ISNA(vlookup($A742, ESPN!$B$2:$E$257, 4, false)), 0, vlookup($A742, ESPN!$B$2:$E$257, 4, false))</f>
        <v>0</v>
      </c>
      <c r="G742" s="27">
        <f>if(ISNA(vlookup($A742, FFToolbox!$B$2:$E$239, 4, false)), 0, vlookup($A742, FFToolbox!$B$2:$E$239, 4, false))</f>
        <v>0</v>
      </c>
      <c r="H742" s="27">
        <f>if(ISNA(vlookup($A742, FantasyPro!$B$2:$E$316, 4, false)), 0, vlookup($A742, FantasyPro!$B$2:$E$316, 4, false))</f>
        <v>0</v>
      </c>
      <c r="I742" s="27">
        <f>if(ISNA(vlookup($A742, RotoWire!$B$2:$E$681, 4, false)), 0, vlookup($A742, RotoWire!$B$2:$E$681, 4, false))</f>
        <v>0</v>
      </c>
      <c r="J742" s="28">
        <f t="shared" si="1"/>
        <v>0</v>
      </c>
      <c r="K742" s="28">
        <f t="shared" si="2"/>
        <v>0</v>
      </c>
    </row>
    <row r="743" hidden="1">
      <c r="A743" s="6" t="s">
        <v>350</v>
      </c>
      <c r="B743" s="25" t="s">
        <v>955</v>
      </c>
      <c r="C743" s="5" t="s">
        <v>52</v>
      </c>
      <c r="D743" s="5" t="s">
        <v>12</v>
      </c>
      <c r="E743" s="26">
        <f>vlookup(C743,'Team Bye List'!$A$1:$B$33,2,False)</f>
        <v>4</v>
      </c>
      <c r="F743" s="27">
        <f>if(ISNA(vlookup($A743, ESPN!$B$2:$E$257, 4, false)), 0, vlookup($A743, ESPN!$B$2:$E$257, 4, false))</f>
        <v>0</v>
      </c>
      <c r="G743" s="27">
        <f>if(ISNA(vlookup($A743, FFToolbox!$B$2:$E$239, 4, false)), 0, vlookup($A743, FFToolbox!$B$2:$E$239, 4, false))</f>
        <v>0</v>
      </c>
      <c r="H743" s="27">
        <f>if(ISNA(vlookup($A743, FantasyPro!$B$2:$E$316, 4, false)), 0, vlookup($A743, FantasyPro!$B$2:$E$316, 4, false))</f>
        <v>0</v>
      </c>
      <c r="I743" s="27">
        <f>if(ISNA(vlookup($A743, RotoWire!$B$2:$E$681, 4, false)), 0, vlookup($A743, RotoWire!$B$2:$E$681, 4, false))</f>
        <v>0</v>
      </c>
      <c r="J743" s="28">
        <f t="shared" si="1"/>
        <v>0</v>
      </c>
      <c r="K743" s="28">
        <f t="shared" si="2"/>
        <v>0</v>
      </c>
    </row>
    <row r="744" hidden="1">
      <c r="A744" s="6" t="s">
        <v>494</v>
      </c>
      <c r="B744" s="25" t="s">
        <v>955</v>
      </c>
      <c r="C744" s="5" t="s">
        <v>28</v>
      </c>
      <c r="D744" s="5" t="s">
        <v>14</v>
      </c>
      <c r="E744" s="26">
        <f>vlookup(C744,'Team Bye List'!$A$1:$B$33,2,False)</f>
        <v>11</v>
      </c>
      <c r="F744" s="27">
        <f>if(ISNA(vlookup($A744, ESPN!$B$2:$E$257, 4, false)), 0, vlookup($A744, ESPN!$B$2:$E$257, 4, false))</f>
        <v>0</v>
      </c>
      <c r="G744" s="27">
        <f>if(ISNA(vlookup($A744, FFToolbox!$B$2:$E$239, 4, false)), 0, vlookup($A744, FFToolbox!$B$2:$E$239, 4, false))</f>
        <v>0</v>
      </c>
      <c r="H744" s="27">
        <f>if(ISNA(vlookup($A744, FantasyPro!$B$2:$E$316, 4, false)), 0, vlookup($A744, FantasyPro!$B$2:$E$316, 4, false))</f>
        <v>0</v>
      </c>
      <c r="I744" s="27">
        <f>if(ISNA(vlookup($A744, RotoWire!$B$2:$E$681, 4, false)), 0, vlookup($A744, RotoWire!$B$2:$E$681, 4, false))</f>
        <v>0</v>
      </c>
      <c r="J744" s="28">
        <f t="shared" si="1"/>
        <v>0</v>
      </c>
      <c r="K744" s="28">
        <f t="shared" si="2"/>
        <v>0</v>
      </c>
    </row>
    <row r="745">
      <c r="A745" s="6" t="s">
        <v>770</v>
      </c>
      <c r="B745" s="25" t="s">
        <v>955</v>
      </c>
      <c r="C745" s="5" t="s">
        <v>52</v>
      </c>
      <c r="D745" s="5" t="s">
        <v>39</v>
      </c>
      <c r="E745" s="26">
        <f>vlookup(C745,'Team Bye List'!$A$1:$B$33,2,False)</f>
        <v>4</v>
      </c>
      <c r="F745" s="27">
        <f>if(ISNA(vlookup($A745, ESPN!$B$2:$E$257, 4, false)), 0, vlookup($A745, ESPN!$B$2:$E$257, 4, false))</f>
        <v>0</v>
      </c>
      <c r="G745" s="27">
        <f>if(ISNA(vlookup($A745, FFToolbox!$B$2:$E$239, 4, false)), 0, vlookup($A745, FFToolbox!$B$2:$E$239, 4, false))</f>
        <v>0</v>
      </c>
      <c r="H745" s="27">
        <f>if(ISNA(vlookup($A745, FantasyPro!$B$2:$E$316, 4, false)), 0, vlookup($A745, FantasyPro!$B$2:$E$316, 4, false))</f>
        <v>0</v>
      </c>
      <c r="I745" s="27">
        <f>if(ISNA(vlookup($A745, RotoWire!$B$2:$E$681, 4, false)), 0, vlookup($A745, RotoWire!$B$2:$E$681, 4, false))</f>
        <v>0</v>
      </c>
      <c r="J745" s="28">
        <f t="shared" si="1"/>
        <v>0</v>
      </c>
      <c r="K745" s="28">
        <f t="shared" si="2"/>
        <v>0</v>
      </c>
    </row>
    <row r="746" hidden="1">
      <c r="A746" s="6" t="s">
        <v>725</v>
      </c>
      <c r="B746" s="25" t="s">
        <v>955</v>
      </c>
      <c r="C746" s="5" t="s">
        <v>35</v>
      </c>
      <c r="D746" s="5" t="s">
        <v>7</v>
      </c>
      <c r="E746" s="26">
        <f>vlookup(C746,'Team Bye List'!$A$1:$B$33,2,False)</f>
        <v>7</v>
      </c>
      <c r="F746" s="27">
        <f>if(ISNA(vlookup($A746, ESPN!$B$2:$E$257, 4, false)), 0, vlookup($A746, ESPN!$B$2:$E$257, 4, false))</f>
        <v>0</v>
      </c>
      <c r="G746" s="27">
        <f>if(ISNA(vlookup($A746, FFToolbox!$B$2:$E$239, 4, false)), 0, vlookup($A746, FFToolbox!$B$2:$E$239, 4, false))</f>
        <v>0</v>
      </c>
      <c r="H746" s="27">
        <f>if(ISNA(vlookup($A746, FantasyPro!$B$2:$E$316, 4, false)), 0, vlookup($A746, FantasyPro!$B$2:$E$316, 4, false))</f>
        <v>0</v>
      </c>
      <c r="I746" s="27">
        <f>if(ISNA(vlookup($A746, RotoWire!$B$2:$E$681, 4, false)), 0, vlookup($A746, RotoWire!$B$2:$E$681, 4, false))</f>
        <v>0</v>
      </c>
      <c r="J746" s="28">
        <f t="shared" si="1"/>
        <v>0</v>
      </c>
      <c r="K746" s="28">
        <f t="shared" si="2"/>
        <v>0</v>
      </c>
    </row>
    <row r="747" hidden="1">
      <c r="A747" s="6" t="s">
        <v>281</v>
      </c>
      <c r="B747" s="25" t="s">
        <v>955</v>
      </c>
      <c r="C747" s="5" t="s">
        <v>165</v>
      </c>
      <c r="D747" s="5" t="s">
        <v>14</v>
      </c>
      <c r="E747" s="26">
        <f>vlookup(C747,'Team Bye List'!$A$1:$B$33,2,False)</f>
        <v>10</v>
      </c>
      <c r="F747" s="27">
        <f>if(ISNA(vlookup($A747, ESPN!$B$2:$E$257, 4, false)), 0, vlookup($A747, ESPN!$B$2:$E$257, 4, false))</f>
        <v>0</v>
      </c>
      <c r="G747" s="27">
        <f>if(ISNA(vlookup($A747, FFToolbox!$B$2:$E$239, 4, false)), 0, vlookup($A747, FFToolbox!$B$2:$E$239, 4, false))</f>
        <v>0</v>
      </c>
      <c r="H747" s="27">
        <f>if(ISNA(vlookup($A747, FantasyPro!$B$2:$E$316, 4, false)), 0, vlookup($A747, FantasyPro!$B$2:$E$316, 4, false))</f>
        <v>0</v>
      </c>
      <c r="I747" s="27">
        <f>if(ISNA(vlookup($A747, RotoWire!$B$2:$E$681, 4, false)), 0, vlookup($A747, RotoWire!$B$2:$E$681, 4, false))</f>
        <v>0</v>
      </c>
      <c r="J747" s="28">
        <f t="shared" si="1"/>
        <v>0</v>
      </c>
      <c r="K747" s="28">
        <f t="shared" si="2"/>
        <v>0</v>
      </c>
    </row>
    <row r="748" hidden="1">
      <c r="A748" s="6" t="s">
        <v>403</v>
      </c>
      <c r="B748" s="25" t="s">
        <v>955</v>
      </c>
      <c r="C748" s="5" t="s">
        <v>122</v>
      </c>
      <c r="D748" s="5" t="s">
        <v>12</v>
      </c>
      <c r="E748" s="26">
        <f>vlookup(C748,'Team Bye List'!$A$1:$B$33,2,False)</f>
        <v>10</v>
      </c>
      <c r="F748" s="27">
        <f>if(ISNA(vlookup($A748, ESPN!$B$2:$E$257, 4, false)), 0, vlookup($A748, ESPN!$B$2:$E$257, 4, false))</f>
        <v>0</v>
      </c>
      <c r="G748" s="27">
        <f>if(ISNA(vlookup($A748, FFToolbox!$B$2:$E$239, 4, false)), 0, vlookup($A748, FFToolbox!$B$2:$E$239, 4, false))</f>
        <v>0</v>
      </c>
      <c r="H748" s="27">
        <f>if(ISNA(vlookup($A748, FantasyPro!$B$2:$E$316, 4, false)), 0, vlookup($A748, FantasyPro!$B$2:$E$316, 4, false))</f>
        <v>0</v>
      </c>
      <c r="I748" s="27">
        <f>if(ISNA(vlookup($A748, RotoWire!$B$2:$E$681, 4, false)), 0, vlookup($A748, RotoWire!$B$2:$E$681, 4, false))</f>
        <v>0</v>
      </c>
      <c r="J748" s="28">
        <f t="shared" si="1"/>
        <v>0</v>
      </c>
      <c r="K748" s="28">
        <f t="shared" si="2"/>
        <v>0</v>
      </c>
    </row>
    <row r="749" hidden="1">
      <c r="A749" s="6" t="s">
        <v>721</v>
      </c>
      <c r="B749" s="25" t="s">
        <v>955</v>
      </c>
      <c r="C749" s="5" t="s">
        <v>43</v>
      </c>
      <c r="D749" s="5" t="s">
        <v>7</v>
      </c>
      <c r="E749" s="26">
        <f>vlookup(C749,'Team Bye List'!$A$1:$B$33,2,False)</f>
        <v>12</v>
      </c>
      <c r="F749" s="27">
        <f>if(ISNA(vlookup($A749, ESPN!$B$2:$E$257, 4, false)), 0, vlookup($A749, ESPN!$B$2:$E$257, 4, false))</f>
        <v>0</v>
      </c>
      <c r="G749" s="27">
        <f>if(ISNA(vlookup($A749, FFToolbox!$B$2:$E$239, 4, false)), 0, vlookup($A749, FFToolbox!$B$2:$E$239, 4, false))</f>
        <v>0</v>
      </c>
      <c r="H749" s="27">
        <f>if(ISNA(vlookup($A749, FantasyPro!$B$2:$E$316, 4, false)), 0, vlookup($A749, FantasyPro!$B$2:$E$316, 4, false))</f>
        <v>0</v>
      </c>
      <c r="I749" s="27">
        <f>if(ISNA(vlookup($A749, RotoWire!$B$2:$E$681, 4, false)), 0, vlookup($A749, RotoWire!$B$2:$E$681, 4, false))</f>
        <v>0</v>
      </c>
      <c r="J749" s="28">
        <f t="shared" si="1"/>
        <v>0</v>
      </c>
      <c r="K749" s="28">
        <f t="shared" si="2"/>
        <v>0</v>
      </c>
    </row>
    <row r="750" hidden="1">
      <c r="A750" s="6" t="s">
        <v>661</v>
      </c>
      <c r="B750" s="25" t="s">
        <v>955</v>
      </c>
      <c r="C750" s="5" t="s">
        <v>71</v>
      </c>
      <c r="D750" s="5" t="s">
        <v>7</v>
      </c>
      <c r="E750" s="26">
        <f>vlookup(C750,'Team Bye List'!$A$1:$B$33,2,False)</f>
        <v>5</v>
      </c>
      <c r="F750" s="27">
        <f>if(ISNA(vlookup($A750, ESPN!$B$2:$E$257, 4, false)), 0, vlookup($A750, ESPN!$B$2:$E$257, 4, false))</f>
        <v>0</v>
      </c>
      <c r="G750" s="27">
        <f>if(ISNA(vlookup($A750, FFToolbox!$B$2:$E$239, 4, false)), 0, vlookup($A750, FFToolbox!$B$2:$E$239, 4, false))</f>
        <v>0</v>
      </c>
      <c r="H750" s="27">
        <f>if(ISNA(vlookup($A750, FantasyPro!$B$2:$E$316, 4, false)), 0, vlookup($A750, FantasyPro!$B$2:$E$316, 4, false))</f>
        <v>0</v>
      </c>
      <c r="I750" s="27">
        <f>if(ISNA(vlookup($A750, RotoWire!$B$2:$E$681, 4, false)), 0, vlookup($A750, RotoWire!$B$2:$E$681, 4, false))</f>
        <v>0</v>
      </c>
      <c r="J750" s="28">
        <f t="shared" si="1"/>
        <v>0</v>
      </c>
      <c r="K750" s="28">
        <f t="shared" si="2"/>
        <v>0</v>
      </c>
    </row>
    <row r="751" hidden="1">
      <c r="A751" s="6" t="s">
        <v>629</v>
      </c>
      <c r="B751" s="25" t="s">
        <v>955</v>
      </c>
      <c r="C751" s="5" t="s">
        <v>52</v>
      </c>
      <c r="D751" s="5" t="s">
        <v>7</v>
      </c>
      <c r="E751" s="26">
        <f>vlookup(C751,'Team Bye List'!$A$1:$B$33,2,False)</f>
        <v>4</v>
      </c>
      <c r="F751" s="27">
        <f>if(ISNA(vlookup($A751, ESPN!$B$2:$E$257, 4, false)), 0, vlookup($A751, ESPN!$B$2:$E$257, 4, false))</f>
        <v>0</v>
      </c>
      <c r="G751" s="27">
        <f>if(ISNA(vlookup($A751, FFToolbox!$B$2:$E$239, 4, false)), 0, vlookup($A751, FFToolbox!$B$2:$E$239, 4, false))</f>
        <v>0</v>
      </c>
      <c r="H751" s="27">
        <f>if(ISNA(vlookup($A751, FantasyPro!$B$2:$E$316, 4, false)), 0, vlookup($A751, FantasyPro!$B$2:$E$316, 4, false))</f>
        <v>0</v>
      </c>
      <c r="I751" s="27">
        <f>if(ISNA(vlookup($A751, RotoWire!$B$2:$E$681, 4, false)), 0, vlookup($A751, RotoWire!$B$2:$E$681, 4, false))</f>
        <v>0</v>
      </c>
      <c r="J751" s="28">
        <f t="shared" si="1"/>
        <v>0</v>
      </c>
      <c r="K751" s="28">
        <f t="shared" si="2"/>
        <v>0</v>
      </c>
    </row>
    <row r="752">
      <c r="A752" s="6" t="s">
        <v>802</v>
      </c>
      <c r="B752" s="25" t="s">
        <v>955</v>
      </c>
      <c r="C752" s="5" t="s">
        <v>96</v>
      </c>
      <c r="D752" s="5" t="s">
        <v>39</v>
      </c>
      <c r="E752" s="26">
        <f>vlookup(C752,'Team Bye List'!$A$1:$B$33,2,False)</f>
        <v>6</v>
      </c>
      <c r="F752" s="27">
        <f>if(ISNA(vlookup($A752, ESPN!$B$2:$E$257, 4, false)), 0, vlookup($A752, ESPN!$B$2:$E$257, 4, false))</f>
        <v>0</v>
      </c>
      <c r="G752" s="27">
        <f>if(ISNA(vlookup($A752, FFToolbox!$B$2:$E$239, 4, false)), 0, vlookup($A752, FFToolbox!$B$2:$E$239, 4, false))</f>
        <v>0</v>
      </c>
      <c r="H752" s="27">
        <f>if(ISNA(vlookup($A752, FantasyPro!$B$2:$E$316, 4, false)), 0, vlookup($A752, FantasyPro!$B$2:$E$316, 4, false))</f>
        <v>0</v>
      </c>
      <c r="I752" s="27">
        <f>if(ISNA(vlookup($A752, RotoWire!$B$2:$E$681, 4, false)), 0, vlookup($A752, RotoWire!$B$2:$E$681, 4, false))</f>
        <v>0</v>
      </c>
      <c r="J752" s="28">
        <f t="shared" si="1"/>
        <v>0</v>
      </c>
      <c r="K752" s="28">
        <f t="shared" si="2"/>
        <v>0</v>
      </c>
    </row>
    <row r="753" hidden="1">
      <c r="A753" s="6" t="s">
        <v>398</v>
      </c>
      <c r="B753" s="25" t="s">
        <v>955</v>
      </c>
      <c r="C753" s="5" t="s">
        <v>62</v>
      </c>
      <c r="D753" s="5" t="s">
        <v>12</v>
      </c>
      <c r="E753" s="26">
        <f>vlookup(C753,'Team Bye List'!$A$1:$B$33,2,False)</f>
        <v>12</v>
      </c>
      <c r="F753" s="27">
        <f>if(ISNA(vlookup($A753, ESPN!$B$2:$E$257, 4, false)), 0, vlookup($A753, ESPN!$B$2:$E$257, 4, false))</f>
        <v>0</v>
      </c>
      <c r="G753" s="27">
        <f>if(ISNA(vlookup($A753, FFToolbox!$B$2:$E$239, 4, false)), 0, vlookup($A753, FFToolbox!$B$2:$E$239, 4, false))</f>
        <v>0</v>
      </c>
      <c r="H753" s="27">
        <f>if(ISNA(vlookup($A753, FantasyPro!$B$2:$E$316, 4, false)), 0, vlookup($A753, FantasyPro!$B$2:$E$316, 4, false))</f>
        <v>0</v>
      </c>
      <c r="I753" s="27">
        <f>if(ISNA(vlookup($A753, RotoWire!$B$2:$E$681, 4, false)), 0, vlookup($A753, RotoWire!$B$2:$E$681, 4, false))</f>
        <v>0</v>
      </c>
      <c r="J753" s="28">
        <f t="shared" si="1"/>
        <v>0</v>
      </c>
      <c r="K753" s="28">
        <f t="shared" si="2"/>
        <v>0</v>
      </c>
    </row>
    <row r="754" hidden="1">
      <c r="A754" s="6" t="s">
        <v>729</v>
      </c>
      <c r="B754" s="25" t="s">
        <v>955</v>
      </c>
      <c r="C754" s="5" t="s">
        <v>104</v>
      </c>
      <c r="D754" s="5" t="s">
        <v>7</v>
      </c>
      <c r="E754" s="26">
        <f>vlookup(C754,'Team Bye List'!$A$1:$B$33,2,False)</f>
        <v>8</v>
      </c>
      <c r="F754" s="27">
        <f>if(ISNA(vlookup($A754, ESPN!$B$2:$E$257, 4, false)), 0, vlookup($A754, ESPN!$B$2:$E$257, 4, false))</f>
        <v>0</v>
      </c>
      <c r="G754" s="27">
        <f>if(ISNA(vlookup($A754, FFToolbox!$B$2:$E$239, 4, false)), 0, vlookup($A754, FFToolbox!$B$2:$E$239, 4, false))</f>
        <v>0</v>
      </c>
      <c r="H754" s="27">
        <f>if(ISNA(vlookup($A754, FantasyPro!$B$2:$E$316, 4, false)), 0, vlookup($A754, FantasyPro!$B$2:$E$316, 4, false))</f>
        <v>0</v>
      </c>
      <c r="I754" s="27">
        <f>if(ISNA(vlookup($A754, RotoWire!$B$2:$E$681, 4, false)), 0, vlookup($A754, RotoWire!$B$2:$E$681, 4, false))</f>
        <v>0</v>
      </c>
      <c r="J754" s="28">
        <f t="shared" si="1"/>
        <v>0</v>
      </c>
      <c r="K754" s="28">
        <f t="shared" si="2"/>
        <v>0</v>
      </c>
    </row>
    <row r="755" hidden="1">
      <c r="A755" s="6" t="s">
        <v>309</v>
      </c>
      <c r="B755" s="25" t="s">
        <v>955</v>
      </c>
      <c r="C755" s="5" t="s">
        <v>24</v>
      </c>
      <c r="D755" s="5" t="s">
        <v>12</v>
      </c>
      <c r="E755" s="26">
        <f>vlookup(C755,'Team Bye List'!$A$1:$B$33,2,False)</f>
        <v>9</v>
      </c>
      <c r="F755" s="27">
        <f>if(ISNA(vlookup($A755, ESPN!$B$2:$E$257, 4, false)), 0, vlookup($A755, ESPN!$B$2:$E$257, 4, false))</f>
        <v>0</v>
      </c>
      <c r="G755" s="27">
        <f>if(ISNA(vlookup($A755, FFToolbox!$B$2:$E$239, 4, false)), 0, vlookup($A755, FFToolbox!$B$2:$E$239, 4, false))</f>
        <v>0</v>
      </c>
      <c r="H755" s="27">
        <f>if(ISNA(vlookup($A755, FantasyPro!$B$2:$E$316, 4, false)), 0, vlookup($A755, FantasyPro!$B$2:$E$316, 4, false))</f>
        <v>0</v>
      </c>
      <c r="I755" s="27">
        <f>if(ISNA(vlookup($A755, RotoWire!$B$2:$E$681, 4, false)), 0, vlookup($A755, RotoWire!$B$2:$E$681, 4, false))</f>
        <v>0</v>
      </c>
      <c r="J755" s="28">
        <f t="shared" si="1"/>
        <v>0</v>
      </c>
      <c r="K755" s="28">
        <f t="shared" si="2"/>
        <v>0</v>
      </c>
    </row>
    <row r="756" hidden="1">
      <c r="A756" s="6" t="s">
        <v>293</v>
      </c>
      <c r="B756" s="25" t="s">
        <v>955</v>
      </c>
      <c r="C756" s="5" t="s">
        <v>139</v>
      </c>
      <c r="D756" s="5" t="s">
        <v>12</v>
      </c>
      <c r="E756" s="26">
        <f>vlookup(C756,'Team Bye List'!$A$1:$B$33,2,False)</f>
        <v>6</v>
      </c>
      <c r="F756" s="27">
        <f>if(ISNA(vlookup($A756, ESPN!$B$2:$E$257, 4, false)), 0, vlookup($A756, ESPN!$B$2:$E$257, 4, false))</f>
        <v>0</v>
      </c>
      <c r="G756" s="27">
        <f>if(ISNA(vlookup($A756, FFToolbox!$B$2:$E$239, 4, false)), 0, vlookup($A756, FFToolbox!$B$2:$E$239, 4, false))</f>
        <v>0</v>
      </c>
      <c r="H756" s="27">
        <f>if(ISNA(vlookup($A756, FantasyPro!$B$2:$E$316, 4, false)), 0, vlookup($A756, FantasyPro!$B$2:$E$316, 4, false))</f>
        <v>0</v>
      </c>
      <c r="I756" s="27">
        <f>if(ISNA(vlookup($A756, RotoWire!$B$2:$E$681, 4, false)), 0, vlookup($A756, RotoWire!$B$2:$E$681, 4, false))</f>
        <v>0</v>
      </c>
      <c r="J756" s="28">
        <f t="shared" si="1"/>
        <v>0</v>
      </c>
      <c r="K756" s="28">
        <f t="shared" si="2"/>
        <v>0</v>
      </c>
    </row>
    <row r="757">
      <c r="A757" s="6" t="s">
        <v>764</v>
      </c>
      <c r="B757" s="25" t="s">
        <v>955</v>
      </c>
      <c r="C757" s="5" t="s">
        <v>43</v>
      </c>
      <c r="D757" s="5" t="s">
        <v>39</v>
      </c>
      <c r="E757" s="26">
        <f>vlookup(C757,'Team Bye List'!$A$1:$B$33,2,False)</f>
        <v>12</v>
      </c>
      <c r="F757" s="27">
        <f>if(ISNA(vlookup($A757, ESPN!$B$2:$E$257, 4, false)), 0, vlookup($A757, ESPN!$B$2:$E$257, 4, false))</f>
        <v>0</v>
      </c>
      <c r="G757" s="27">
        <f>if(ISNA(vlookup($A757, FFToolbox!$B$2:$E$239, 4, false)), 0, vlookup($A757, FFToolbox!$B$2:$E$239, 4, false))</f>
        <v>0</v>
      </c>
      <c r="H757" s="27">
        <f>if(ISNA(vlookup($A757, FantasyPro!$B$2:$E$316, 4, false)), 0, vlookup($A757, FantasyPro!$B$2:$E$316, 4, false))</f>
        <v>0</v>
      </c>
      <c r="I757" s="27">
        <f>if(ISNA(vlookup($A757, RotoWire!$B$2:$E$681, 4, false)), 0, vlookup($A757, RotoWire!$B$2:$E$681, 4, false))</f>
        <v>0</v>
      </c>
      <c r="J757" s="28">
        <f t="shared" si="1"/>
        <v>0</v>
      </c>
      <c r="K757" s="28">
        <f t="shared" si="2"/>
        <v>0</v>
      </c>
    </row>
    <row r="758" hidden="1">
      <c r="A758" s="6" t="s">
        <v>270</v>
      </c>
      <c r="B758" s="25" t="s">
        <v>955</v>
      </c>
      <c r="C758" s="5" t="s">
        <v>165</v>
      </c>
      <c r="D758" s="5" t="s">
        <v>12</v>
      </c>
      <c r="E758" s="26">
        <f>vlookup(C758,'Team Bye List'!$A$1:$B$33,2,False)</f>
        <v>10</v>
      </c>
      <c r="F758" s="27">
        <f>if(ISNA(vlookup($A758, ESPN!$B$2:$E$257, 4, false)), 0, vlookup($A758, ESPN!$B$2:$E$257, 4, false))</f>
        <v>0</v>
      </c>
      <c r="G758" s="27">
        <f>if(ISNA(vlookup($A758, FFToolbox!$B$2:$E$239, 4, false)), 0, vlookup($A758, FFToolbox!$B$2:$E$239, 4, false))</f>
        <v>0</v>
      </c>
      <c r="H758" s="27">
        <f>if(ISNA(vlookup($A758, FantasyPro!$B$2:$E$316, 4, false)), 0, vlookup($A758, FantasyPro!$B$2:$E$316, 4, false))</f>
        <v>0</v>
      </c>
      <c r="I758" s="27">
        <f>if(ISNA(vlookup($A758, RotoWire!$B$2:$E$681, 4, false)), 0, vlookup($A758, RotoWire!$B$2:$E$681, 4, false))</f>
        <v>0</v>
      </c>
      <c r="J758" s="28">
        <f t="shared" si="1"/>
        <v>0</v>
      </c>
      <c r="K758" s="28">
        <f t="shared" si="2"/>
        <v>0</v>
      </c>
    </row>
    <row r="759" hidden="1">
      <c r="A759" s="6" t="s">
        <v>587</v>
      </c>
      <c r="B759" s="25" t="s">
        <v>955</v>
      </c>
      <c r="C759" s="5" t="s">
        <v>139</v>
      </c>
      <c r="D759" s="5" t="s">
        <v>14</v>
      </c>
      <c r="E759" s="26">
        <f>vlookup(C759,'Team Bye List'!$A$1:$B$33,2,False)</f>
        <v>6</v>
      </c>
      <c r="F759" s="27">
        <f>if(ISNA(vlookup($A759, ESPN!$B$2:$E$257, 4, false)), 0, vlookup($A759, ESPN!$B$2:$E$257, 4, false))</f>
        <v>0</v>
      </c>
      <c r="G759" s="27">
        <f>if(ISNA(vlookup($A759, FFToolbox!$B$2:$E$239, 4, false)), 0, vlookup($A759, FFToolbox!$B$2:$E$239, 4, false))</f>
        <v>0</v>
      </c>
      <c r="H759" s="27">
        <f>if(ISNA(vlookup($A759, FantasyPro!$B$2:$E$316, 4, false)), 0, vlookup($A759, FantasyPro!$B$2:$E$316, 4, false))</f>
        <v>0</v>
      </c>
      <c r="I759" s="27">
        <f>if(ISNA(vlookup($A759, RotoWire!$B$2:$E$681, 4, false)), 0, vlookup($A759, RotoWire!$B$2:$E$681, 4, false))</f>
        <v>0</v>
      </c>
      <c r="J759" s="28">
        <f t="shared" si="1"/>
        <v>0</v>
      </c>
      <c r="K759" s="28">
        <f t="shared" si="2"/>
        <v>0</v>
      </c>
    </row>
    <row r="760" hidden="1">
      <c r="A760" s="6" t="s">
        <v>423</v>
      </c>
      <c r="B760" s="25" t="s">
        <v>955</v>
      </c>
      <c r="C760" s="5" t="s">
        <v>43</v>
      </c>
      <c r="D760" s="5" t="s">
        <v>12</v>
      </c>
      <c r="E760" s="26">
        <f>vlookup(C760,'Team Bye List'!$A$1:$B$33,2,False)</f>
        <v>12</v>
      </c>
      <c r="F760" s="27">
        <f>if(ISNA(vlookup($A760, ESPN!$B$2:$E$257, 4, false)), 0, vlookup($A760, ESPN!$B$2:$E$257, 4, false))</f>
        <v>0</v>
      </c>
      <c r="G760" s="27">
        <f>if(ISNA(vlookup($A760, FFToolbox!$B$2:$E$239, 4, false)), 0, vlookup($A760, FFToolbox!$B$2:$E$239, 4, false))</f>
        <v>0</v>
      </c>
      <c r="H760" s="27">
        <f>if(ISNA(vlookup($A760, FantasyPro!$B$2:$E$316, 4, false)), 0, vlookup($A760, FantasyPro!$B$2:$E$316, 4, false))</f>
        <v>0</v>
      </c>
      <c r="I760" s="27">
        <f>if(ISNA(vlookup($A760, RotoWire!$B$2:$E$681, 4, false)), 0, vlookup($A760, RotoWire!$B$2:$E$681, 4, false))</f>
        <v>0</v>
      </c>
      <c r="J760" s="28">
        <f t="shared" si="1"/>
        <v>0</v>
      </c>
      <c r="K760" s="28">
        <f t="shared" si="2"/>
        <v>0</v>
      </c>
    </row>
    <row r="761" hidden="1">
      <c r="A761" s="6" t="s">
        <v>331</v>
      </c>
      <c r="B761" s="25" t="s">
        <v>955</v>
      </c>
      <c r="C761" s="5" t="s">
        <v>43</v>
      </c>
      <c r="D761" s="5" t="s">
        <v>12</v>
      </c>
      <c r="E761" s="26">
        <f>vlookup(C761,'Team Bye List'!$A$1:$B$33,2,False)</f>
        <v>12</v>
      </c>
      <c r="F761" s="27">
        <f>if(ISNA(vlookup($A761, ESPN!$B$2:$E$257, 4, false)), 0, vlookup($A761, ESPN!$B$2:$E$257, 4, false))</f>
        <v>0</v>
      </c>
      <c r="G761" s="27">
        <f>if(ISNA(vlookup($A761, FFToolbox!$B$2:$E$239, 4, false)), 0, vlookup($A761, FFToolbox!$B$2:$E$239, 4, false))</f>
        <v>0</v>
      </c>
      <c r="H761" s="27">
        <f>if(ISNA(vlookup($A761, FantasyPro!$B$2:$E$316, 4, false)), 0, vlookup($A761, FantasyPro!$B$2:$E$316, 4, false))</f>
        <v>0</v>
      </c>
      <c r="I761" s="27">
        <f>if(ISNA(vlookup($A761, RotoWire!$B$2:$E$681, 4, false)), 0, vlookup($A761, RotoWire!$B$2:$E$681, 4, false))</f>
        <v>0</v>
      </c>
      <c r="J761" s="28">
        <f t="shared" si="1"/>
        <v>0</v>
      </c>
      <c r="K761" s="28">
        <f t="shared" si="2"/>
        <v>0</v>
      </c>
    </row>
    <row r="762" hidden="1">
      <c r="A762" s="6" t="s">
        <v>498</v>
      </c>
      <c r="B762" s="25" t="s">
        <v>955</v>
      </c>
      <c r="C762" s="5" t="s">
        <v>18</v>
      </c>
      <c r="D762" s="5" t="s">
        <v>14</v>
      </c>
      <c r="E762" s="26">
        <f>vlookup(C762,'Team Bye List'!$A$1:$B$33,2,False)</f>
        <v>10</v>
      </c>
      <c r="F762" s="27">
        <f>if(ISNA(vlookup($A762, ESPN!$B$2:$E$257, 4, false)), 0, vlookup($A762, ESPN!$B$2:$E$257, 4, false))</f>
        <v>0</v>
      </c>
      <c r="G762" s="27">
        <f>if(ISNA(vlookup($A762, FFToolbox!$B$2:$E$239, 4, false)), 0, vlookup($A762, FFToolbox!$B$2:$E$239, 4, false))</f>
        <v>0</v>
      </c>
      <c r="H762" s="27">
        <f>if(ISNA(vlookup($A762, FantasyPro!$B$2:$E$316, 4, false)), 0, vlookup($A762, FantasyPro!$B$2:$E$316, 4, false))</f>
        <v>0</v>
      </c>
      <c r="I762" s="27">
        <f>if(ISNA(vlookup($A762, RotoWire!$B$2:$E$681, 4, false)), 0, vlookup($A762, RotoWire!$B$2:$E$681, 4, false))</f>
        <v>0</v>
      </c>
      <c r="J762" s="28">
        <f t="shared" si="1"/>
        <v>0</v>
      </c>
      <c r="K762" s="28">
        <f t="shared" si="2"/>
        <v>0</v>
      </c>
    </row>
    <row r="763" hidden="1">
      <c r="A763" s="6" t="s">
        <v>648</v>
      </c>
      <c r="B763" s="25" t="s">
        <v>955</v>
      </c>
      <c r="C763" s="5" t="s">
        <v>6</v>
      </c>
      <c r="D763" s="5" t="s">
        <v>7</v>
      </c>
      <c r="E763" s="26">
        <f>vlookup(C763,'Team Bye List'!$A$1:$B$33,2,False)</f>
        <v>11</v>
      </c>
      <c r="F763" s="27">
        <f>if(ISNA(vlookup($A763, ESPN!$B$2:$E$257, 4, false)), 0, vlookup($A763, ESPN!$B$2:$E$257, 4, false))</f>
        <v>0</v>
      </c>
      <c r="G763" s="27">
        <f>if(ISNA(vlookup($A763, FFToolbox!$B$2:$E$239, 4, false)), 0, vlookup($A763, FFToolbox!$B$2:$E$239, 4, false))</f>
        <v>0</v>
      </c>
      <c r="H763" s="27">
        <f>if(ISNA(vlookup($A763, FantasyPro!$B$2:$E$316, 4, false)), 0, vlookup($A763, FantasyPro!$B$2:$E$316, 4, false))</f>
        <v>0</v>
      </c>
      <c r="I763" s="27">
        <f>if(ISNA(vlookup($A763, RotoWire!$B$2:$E$681, 4, false)), 0, vlookup($A763, RotoWire!$B$2:$E$681, 4, false))</f>
        <v>0</v>
      </c>
      <c r="J763" s="28">
        <f t="shared" si="1"/>
        <v>0</v>
      </c>
      <c r="K763" s="28">
        <f t="shared" si="2"/>
        <v>0</v>
      </c>
    </row>
    <row r="764" hidden="1">
      <c r="A764" s="6" t="s">
        <v>719</v>
      </c>
      <c r="B764" s="25" t="s">
        <v>955</v>
      </c>
      <c r="C764" s="5" t="s">
        <v>59</v>
      </c>
      <c r="D764" s="5" t="s">
        <v>7</v>
      </c>
      <c r="E764" s="26">
        <f>vlookup(C764,'Team Bye List'!$A$1:$B$33,2,False)</f>
        <v>10</v>
      </c>
      <c r="F764" s="27">
        <f>if(ISNA(vlookup($A764, ESPN!$B$2:$E$257, 4, false)), 0, vlookup($A764, ESPN!$B$2:$E$257, 4, false))</f>
        <v>0</v>
      </c>
      <c r="G764" s="27">
        <f>if(ISNA(vlookup($A764, FFToolbox!$B$2:$E$239, 4, false)), 0, vlookup($A764, FFToolbox!$B$2:$E$239, 4, false))</f>
        <v>0</v>
      </c>
      <c r="H764" s="27">
        <f>if(ISNA(vlookup($A764, FantasyPro!$B$2:$E$316, 4, false)), 0, vlookup($A764, FantasyPro!$B$2:$E$316, 4, false))</f>
        <v>0</v>
      </c>
      <c r="I764" s="27">
        <f>if(ISNA(vlookup($A764, RotoWire!$B$2:$E$681, 4, false)), 0, vlookup($A764, RotoWire!$B$2:$E$681, 4, false))</f>
        <v>0</v>
      </c>
      <c r="J764" s="28">
        <f t="shared" si="1"/>
        <v>0</v>
      </c>
      <c r="K764" s="28">
        <f t="shared" si="2"/>
        <v>0</v>
      </c>
    </row>
    <row r="765" hidden="1">
      <c r="A765" s="6" t="s">
        <v>227</v>
      </c>
      <c r="B765" s="25" t="s">
        <v>955</v>
      </c>
      <c r="C765" s="5" t="s">
        <v>69</v>
      </c>
      <c r="D765" s="5" t="s">
        <v>12</v>
      </c>
      <c r="E765" s="26">
        <f>vlookup(C765,'Team Bye List'!$A$1:$B$33,2,False)</f>
        <v>11</v>
      </c>
      <c r="F765" s="27">
        <f>if(ISNA(vlookup($A765, ESPN!$B$2:$E$257, 4, false)), 0, vlookup($A765, ESPN!$B$2:$E$257, 4, false))</f>
        <v>0</v>
      </c>
      <c r="G765" s="27">
        <f>if(ISNA(vlookup($A765, FFToolbox!$B$2:$E$239, 4, false)), 0, vlookup($A765, FFToolbox!$B$2:$E$239, 4, false))</f>
        <v>0</v>
      </c>
      <c r="H765" s="27">
        <f>if(ISNA(vlookup($A765, FantasyPro!$B$2:$E$316, 4, false)), 0, vlookup($A765, FantasyPro!$B$2:$E$316, 4, false))</f>
        <v>0</v>
      </c>
      <c r="I765" s="27">
        <f>if(ISNA(vlookup($A765, RotoWire!$B$2:$E$681, 4, false)), 0, vlookup($A765, RotoWire!$B$2:$E$681, 4, false))</f>
        <v>0</v>
      </c>
      <c r="J765" s="28">
        <f t="shared" si="1"/>
        <v>0</v>
      </c>
      <c r="K765" s="28">
        <f t="shared" si="2"/>
        <v>0</v>
      </c>
    </row>
    <row r="766" hidden="1">
      <c r="A766" s="6" t="s">
        <v>191</v>
      </c>
      <c r="B766" s="25" t="s">
        <v>955</v>
      </c>
      <c r="C766" s="5" t="s">
        <v>18</v>
      </c>
      <c r="D766" s="5" t="s">
        <v>14</v>
      </c>
      <c r="E766" s="26">
        <f>vlookup(C766,'Team Bye List'!$A$1:$B$33,2,False)</f>
        <v>10</v>
      </c>
      <c r="F766" s="27">
        <f>if(ISNA(vlookup($A766, ESPN!$B$2:$E$257, 4, false)), 0, vlookup($A766, ESPN!$B$2:$E$257, 4, false))</f>
        <v>0</v>
      </c>
      <c r="G766" s="27">
        <f>if(ISNA(vlookup($A766, FFToolbox!$B$2:$E$239, 4, false)), 0, vlookup($A766, FFToolbox!$B$2:$E$239, 4, false))</f>
        <v>0</v>
      </c>
      <c r="H766" s="27">
        <f>if(ISNA(vlookup($A766, FantasyPro!$B$2:$E$316, 4, false)), 0, vlookup($A766, FantasyPro!$B$2:$E$316, 4, false))</f>
        <v>0</v>
      </c>
      <c r="I766" s="27">
        <f>if(ISNA(vlookup($A766, RotoWire!$B$2:$E$681, 4, false)), 0, vlookup($A766, RotoWire!$B$2:$E$681, 4, false))</f>
        <v>0</v>
      </c>
      <c r="J766" s="28">
        <f t="shared" si="1"/>
        <v>0</v>
      </c>
      <c r="K766" s="28">
        <f t="shared" si="2"/>
        <v>0</v>
      </c>
    </row>
    <row r="767" hidden="1">
      <c r="A767" s="6" t="s">
        <v>442</v>
      </c>
      <c r="B767" s="25" t="s">
        <v>955</v>
      </c>
      <c r="C767" s="5" t="s">
        <v>59</v>
      </c>
      <c r="D767" s="5" t="s">
        <v>12</v>
      </c>
      <c r="E767" s="26">
        <f>vlookup(C767,'Team Bye List'!$A$1:$B$33,2,False)</f>
        <v>10</v>
      </c>
      <c r="F767" s="27">
        <f>if(ISNA(vlookup($A767, ESPN!$B$2:$E$257, 4, false)), 0, vlookup($A767, ESPN!$B$2:$E$257, 4, false))</f>
        <v>0</v>
      </c>
      <c r="G767" s="27">
        <f>if(ISNA(vlookup($A767, FFToolbox!$B$2:$E$239, 4, false)), 0, vlookup($A767, FFToolbox!$B$2:$E$239, 4, false))</f>
        <v>0</v>
      </c>
      <c r="H767" s="27">
        <f>if(ISNA(vlookup($A767, FantasyPro!$B$2:$E$316, 4, false)), 0, vlookup($A767, FantasyPro!$B$2:$E$316, 4, false))</f>
        <v>0</v>
      </c>
      <c r="I767" s="27">
        <f>if(ISNA(vlookup($A767, RotoWire!$B$2:$E$681, 4, false)), 0, vlookup($A767, RotoWire!$B$2:$E$681, 4, false))</f>
        <v>0</v>
      </c>
      <c r="J767" s="28">
        <f t="shared" si="1"/>
        <v>0</v>
      </c>
      <c r="K767" s="28">
        <f t="shared" si="2"/>
        <v>0</v>
      </c>
    </row>
    <row r="768" hidden="1">
      <c r="A768" s="6" t="s">
        <v>274</v>
      </c>
      <c r="B768" s="25" t="s">
        <v>955</v>
      </c>
      <c r="C768" s="5" t="s">
        <v>104</v>
      </c>
      <c r="D768" s="5" t="s">
        <v>14</v>
      </c>
      <c r="E768" s="26">
        <f>vlookup(C768,'Team Bye List'!$A$1:$B$33,2,False)</f>
        <v>8</v>
      </c>
      <c r="F768" s="27">
        <f>if(ISNA(vlookup($A768, ESPN!$B$2:$E$257, 4, false)), 0, vlookup($A768, ESPN!$B$2:$E$257, 4, false))</f>
        <v>0</v>
      </c>
      <c r="G768" s="27">
        <f>if(ISNA(vlookup($A768, FFToolbox!$B$2:$E$239, 4, false)), 0, vlookup($A768, FFToolbox!$B$2:$E$239, 4, false))</f>
        <v>0</v>
      </c>
      <c r="H768" s="27">
        <f>if(ISNA(vlookup($A768, FantasyPro!$B$2:$E$316, 4, false)), 0, vlookup($A768, FantasyPro!$B$2:$E$316, 4, false))</f>
        <v>0</v>
      </c>
      <c r="I768" s="27">
        <f>if(ISNA(vlookup($A768, RotoWire!$B$2:$E$681, 4, false)), 0, vlookup($A768, RotoWire!$B$2:$E$681, 4, false))</f>
        <v>0</v>
      </c>
      <c r="J768" s="28">
        <f t="shared" si="1"/>
        <v>0</v>
      </c>
      <c r="K768" s="28">
        <f t="shared" si="2"/>
        <v>0</v>
      </c>
    </row>
    <row r="769" hidden="1">
      <c r="A769" s="6" t="s">
        <v>297</v>
      </c>
      <c r="B769" s="25" t="s">
        <v>955</v>
      </c>
      <c r="C769" s="5" t="s">
        <v>35</v>
      </c>
      <c r="D769" s="5" t="s">
        <v>12</v>
      </c>
      <c r="E769" s="26">
        <f>vlookup(C769,'Team Bye List'!$A$1:$B$33,2,False)</f>
        <v>7</v>
      </c>
      <c r="F769" s="27">
        <f>if(ISNA(vlookup($A769, ESPN!$B$2:$E$257, 4, false)), 0, vlookup($A769, ESPN!$B$2:$E$257, 4, false))</f>
        <v>0</v>
      </c>
      <c r="G769" s="27">
        <f>if(ISNA(vlookup($A769, FFToolbox!$B$2:$E$239, 4, false)), 0, vlookup($A769, FFToolbox!$B$2:$E$239, 4, false))</f>
        <v>0</v>
      </c>
      <c r="H769" s="27">
        <f>if(ISNA(vlookup($A769, FantasyPro!$B$2:$E$316, 4, false)), 0, vlookup($A769, FantasyPro!$B$2:$E$316, 4, false))</f>
        <v>0</v>
      </c>
      <c r="I769" s="27">
        <f>if(ISNA(vlookup($A769, RotoWire!$B$2:$E$681, 4, false)), 0, vlookup($A769, RotoWire!$B$2:$E$681, 4, false))</f>
        <v>0</v>
      </c>
      <c r="J769" s="28">
        <f t="shared" si="1"/>
        <v>0</v>
      </c>
      <c r="K769" s="28">
        <f t="shared" si="2"/>
        <v>0</v>
      </c>
    </row>
    <row r="770" hidden="1">
      <c r="A770" s="6" t="s">
        <v>374</v>
      </c>
      <c r="B770" s="25" t="s">
        <v>955</v>
      </c>
      <c r="C770" s="5" t="s">
        <v>35</v>
      </c>
      <c r="D770" s="5" t="s">
        <v>12</v>
      </c>
      <c r="E770" s="26">
        <f>vlookup(C770,'Team Bye List'!$A$1:$B$33,2,False)</f>
        <v>7</v>
      </c>
      <c r="F770" s="27">
        <f>if(ISNA(vlookup($A770, ESPN!$B$2:$E$257, 4, false)), 0, vlookup($A770, ESPN!$B$2:$E$257, 4, false))</f>
        <v>0</v>
      </c>
      <c r="G770" s="27">
        <f>if(ISNA(vlookup($A770, FFToolbox!$B$2:$E$239, 4, false)), 0, vlookup($A770, FFToolbox!$B$2:$E$239, 4, false))</f>
        <v>0</v>
      </c>
      <c r="H770" s="27">
        <f>if(ISNA(vlookup($A770, FantasyPro!$B$2:$E$316, 4, false)), 0, vlookup($A770, FantasyPro!$B$2:$E$316, 4, false))</f>
        <v>0</v>
      </c>
      <c r="I770" s="27">
        <f>if(ISNA(vlookup($A770, RotoWire!$B$2:$E$681, 4, false)), 0, vlookup($A770, RotoWire!$B$2:$E$681, 4, false))</f>
        <v>0</v>
      </c>
      <c r="J770" s="28">
        <f t="shared" si="1"/>
        <v>0</v>
      </c>
      <c r="K770" s="28">
        <f t="shared" si="2"/>
        <v>0</v>
      </c>
    </row>
    <row r="771" hidden="1">
      <c r="A771" s="6" t="s">
        <v>531</v>
      </c>
      <c r="B771" s="25" t="s">
        <v>955</v>
      </c>
      <c r="C771" s="5" t="s">
        <v>48</v>
      </c>
      <c r="D771" s="5" t="s">
        <v>14</v>
      </c>
      <c r="E771" s="26">
        <f>vlookup(C771,'Team Bye List'!$A$1:$B$33,2,False)</f>
        <v>6</v>
      </c>
      <c r="F771" s="27">
        <f>if(ISNA(vlookup($A771, ESPN!$B$2:$E$257, 4, false)), 0, vlookup($A771, ESPN!$B$2:$E$257, 4, false))</f>
        <v>0</v>
      </c>
      <c r="G771" s="27">
        <f>if(ISNA(vlookup($A771, FFToolbox!$B$2:$E$239, 4, false)), 0, vlookup($A771, FFToolbox!$B$2:$E$239, 4, false))</f>
        <v>0</v>
      </c>
      <c r="H771" s="27">
        <f>if(ISNA(vlookup($A771, FantasyPro!$B$2:$E$316, 4, false)), 0, vlookup($A771, FantasyPro!$B$2:$E$316, 4, false))</f>
        <v>0</v>
      </c>
      <c r="I771" s="27">
        <f>if(ISNA(vlookup($A771, RotoWire!$B$2:$E$681, 4, false)), 0, vlookup($A771, RotoWire!$B$2:$E$681, 4, false))</f>
        <v>0</v>
      </c>
      <c r="J771" s="28">
        <f t="shared" si="1"/>
        <v>0</v>
      </c>
      <c r="K771" s="28">
        <f t="shared" si="2"/>
        <v>0</v>
      </c>
    </row>
    <row r="772" hidden="1">
      <c r="A772" s="6" t="s">
        <v>650</v>
      </c>
      <c r="B772" s="25" t="s">
        <v>955</v>
      </c>
      <c r="C772" s="5" t="s">
        <v>71</v>
      </c>
      <c r="D772" s="5" t="s">
        <v>7</v>
      </c>
      <c r="E772" s="26">
        <f>vlookup(C772,'Team Bye List'!$A$1:$B$33,2,False)</f>
        <v>5</v>
      </c>
      <c r="F772" s="27">
        <f>if(ISNA(vlookup($A772, ESPN!$B$2:$E$257, 4, false)), 0, vlookup($A772, ESPN!$B$2:$E$257, 4, false))</f>
        <v>0</v>
      </c>
      <c r="G772" s="27">
        <f>if(ISNA(vlookup($A772, FFToolbox!$B$2:$E$239, 4, false)), 0, vlookup($A772, FFToolbox!$B$2:$E$239, 4, false))</f>
        <v>0</v>
      </c>
      <c r="H772" s="27">
        <f>if(ISNA(vlookup($A772, FantasyPro!$B$2:$E$316, 4, false)), 0, vlookup($A772, FantasyPro!$B$2:$E$316, 4, false))</f>
        <v>0</v>
      </c>
      <c r="I772" s="27">
        <f>if(ISNA(vlookup($A772, RotoWire!$B$2:$E$681, 4, false)), 0, vlookup($A772, RotoWire!$B$2:$E$681, 4, false))</f>
        <v>0</v>
      </c>
      <c r="J772" s="28">
        <f t="shared" si="1"/>
        <v>0</v>
      </c>
      <c r="K772" s="28">
        <f t="shared" si="2"/>
        <v>0</v>
      </c>
    </row>
    <row r="773" hidden="1">
      <c r="A773" s="6" t="s">
        <v>207</v>
      </c>
      <c r="B773" s="25" t="s">
        <v>955</v>
      </c>
      <c r="C773" s="5" t="s">
        <v>26</v>
      </c>
      <c r="D773" s="5" t="s">
        <v>120</v>
      </c>
      <c r="E773" s="26">
        <f>vlookup(C773,'Team Bye List'!$A$1:$B$33,2,False)</f>
        <v>12</v>
      </c>
      <c r="F773" s="27">
        <f>if(ISNA(vlookup($A773, ESPN!$B$2:$E$257, 4, false)), 0, vlookup($A773, ESPN!$B$2:$E$257, 4, false))</f>
        <v>0</v>
      </c>
      <c r="G773" s="27">
        <f>if(ISNA(vlookup($A773, FFToolbox!$B$2:$E$239, 4, false)), 0, vlookup($A773, FFToolbox!$B$2:$E$239, 4, false))</f>
        <v>0</v>
      </c>
      <c r="H773" s="27">
        <f>if(ISNA(vlookup($A773, FantasyPro!$B$2:$E$316, 4, false)), 0, vlookup($A773, FantasyPro!$B$2:$E$316, 4, false))</f>
        <v>0</v>
      </c>
      <c r="I773" s="27">
        <f>if(ISNA(vlookup($A773, RotoWire!$B$2:$E$681, 4, false)), 0, vlookup($A773, RotoWire!$B$2:$E$681, 4, false))</f>
        <v>0</v>
      </c>
      <c r="J773" s="28">
        <f t="shared" si="1"/>
        <v>0</v>
      </c>
      <c r="K773" s="28">
        <f t="shared" si="2"/>
        <v>0</v>
      </c>
    </row>
    <row r="774" hidden="1">
      <c r="A774" s="6" t="s">
        <v>269</v>
      </c>
      <c r="B774" s="25" t="s">
        <v>955</v>
      </c>
      <c r="C774" s="5" t="s">
        <v>139</v>
      </c>
      <c r="D774" s="5" t="s">
        <v>14</v>
      </c>
      <c r="E774" s="26">
        <f>vlookup(C774,'Team Bye List'!$A$1:$B$33,2,False)</f>
        <v>6</v>
      </c>
      <c r="F774" s="27">
        <f>if(ISNA(vlookup($A774, ESPN!$B$2:$E$257, 4, false)), 0, vlookup($A774, ESPN!$B$2:$E$257, 4, false))</f>
        <v>0</v>
      </c>
      <c r="G774" s="27">
        <f>if(ISNA(vlookup($A774, FFToolbox!$B$2:$E$239, 4, false)), 0, vlookup($A774, FFToolbox!$B$2:$E$239, 4, false))</f>
        <v>0</v>
      </c>
      <c r="H774" s="27">
        <f>if(ISNA(vlookup($A774, FantasyPro!$B$2:$E$316, 4, false)), 0, vlookup($A774, FantasyPro!$B$2:$E$316, 4, false))</f>
        <v>0</v>
      </c>
      <c r="I774" s="27">
        <f>if(ISNA(vlookup($A774, RotoWire!$B$2:$E$681, 4, false)), 0, vlookup($A774, RotoWire!$B$2:$E$681, 4, false))</f>
        <v>0</v>
      </c>
      <c r="J774" s="28">
        <f t="shared" si="1"/>
        <v>0</v>
      </c>
      <c r="K774" s="28">
        <f t="shared" si="2"/>
        <v>0</v>
      </c>
    </row>
  </sheetData>
  <autoFilter ref="$A$1:$K$774">
    <filterColumn colId="3">
      <filters>
        <filter val="QB"/>
      </filters>
    </filterColumn>
    <sortState ref="A1:K774">
      <sortCondition descending="1" ref="J1:J774"/>
    </sortState>
  </autoFilter>
  <conditionalFormatting sqref="A1:K774">
    <cfRule type="expression" dxfId="0" priority="1">
      <formula> $B1 = "Yes"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.75"/>
    <col customWidth="1" min="3" max="3" width="8.25"/>
    <col customWidth="1" min="4" max="4" width="8.63"/>
    <col customWidth="1" min="11" max="11" width="15.25"/>
  </cols>
  <sheetData>
    <row r="1">
      <c r="A1" s="23" t="s">
        <v>1</v>
      </c>
      <c r="B1" s="23" t="s">
        <v>2</v>
      </c>
      <c r="C1" s="23" t="s">
        <v>3</v>
      </c>
      <c r="D1" s="23" t="s">
        <v>948</v>
      </c>
      <c r="E1" s="23" t="s">
        <v>958</v>
      </c>
      <c r="F1" s="23" t="s">
        <v>959</v>
      </c>
      <c r="G1" s="23" t="s">
        <v>960</v>
      </c>
      <c r="H1" s="23" t="s">
        <v>961</v>
      </c>
      <c r="L1" s="29">
        <f>200-L19</f>
        <v>144</v>
      </c>
    </row>
    <row r="2">
      <c r="A2" s="30" t="s">
        <v>40</v>
      </c>
      <c r="B2" s="31" t="s">
        <v>41</v>
      </c>
      <c r="C2" s="31" t="s">
        <v>14</v>
      </c>
      <c r="D2" s="31">
        <v>6.0</v>
      </c>
      <c r="E2" s="32">
        <v>80.0</v>
      </c>
      <c r="F2" s="33"/>
      <c r="G2" s="34"/>
      <c r="H2" s="34"/>
      <c r="J2" s="35" t="s">
        <v>3</v>
      </c>
      <c r="K2" s="36" t="s">
        <v>1</v>
      </c>
      <c r="L2" s="37" t="s">
        <v>962</v>
      </c>
    </row>
    <row r="3">
      <c r="A3" s="38" t="s">
        <v>29</v>
      </c>
      <c r="B3" s="31" t="s">
        <v>30</v>
      </c>
      <c r="C3" s="31" t="s">
        <v>14</v>
      </c>
      <c r="D3" s="31">
        <v>7.0</v>
      </c>
      <c r="E3" s="32">
        <v>66.0</v>
      </c>
      <c r="F3" s="33"/>
      <c r="G3" s="34">
        <v>43.0</v>
      </c>
      <c r="H3" s="34"/>
      <c r="J3" s="39" t="s">
        <v>963</v>
      </c>
      <c r="K3" s="40"/>
      <c r="L3" s="41"/>
    </row>
    <row r="4">
      <c r="A4" s="38" t="s">
        <v>19</v>
      </c>
      <c r="B4" s="31" t="s">
        <v>20</v>
      </c>
      <c r="C4" s="31" t="s">
        <v>14</v>
      </c>
      <c r="D4" s="31">
        <v>9.0</v>
      </c>
      <c r="E4" s="32">
        <v>62.0</v>
      </c>
      <c r="F4" s="33"/>
      <c r="G4" s="34">
        <v>52.0</v>
      </c>
      <c r="H4" s="34"/>
      <c r="J4" s="42" t="s">
        <v>964</v>
      </c>
      <c r="K4" s="43" t="s">
        <v>21</v>
      </c>
      <c r="L4" s="44">
        <v>44.0</v>
      </c>
    </row>
    <row r="5">
      <c r="A5" s="45" t="s">
        <v>965</v>
      </c>
      <c r="B5" s="31" t="s">
        <v>35</v>
      </c>
      <c r="C5" s="31" t="s">
        <v>14</v>
      </c>
      <c r="D5" s="31">
        <v>7.0</v>
      </c>
      <c r="E5" s="32">
        <v>36.0</v>
      </c>
      <c r="F5" s="33"/>
      <c r="G5" s="34"/>
      <c r="H5" s="34"/>
      <c r="J5" s="42" t="s">
        <v>966</v>
      </c>
      <c r="K5" s="43" t="s">
        <v>89</v>
      </c>
      <c r="L5" s="44">
        <v>12.0</v>
      </c>
    </row>
    <row r="6">
      <c r="A6" s="45" t="s">
        <v>36</v>
      </c>
      <c r="B6" s="31" t="s">
        <v>37</v>
      </c>
      <c r="C6" s="31" t="s">
        <v>14</v>
      </c>
      <c r="D6" s="31">
        <v>7.0</v>
      </c>
      <c r="E6" s="32">
        <v>52.0</v>
      </c>
      <c r="F6" s="33"/>
      <c r="G6" s="34"/>
      <c r="H6" s="34"/>
      <c r="J6" s="42" t="s">
        <v>967</v>
      </c>
      <c r="K6" s="43"/>
      <c r="L6" s="44"/>
    </row>
    <row r="7">
      <c r="A7" s="45" t="s">
        <v>5</v>
      </c>
      <c r="B7" s="31" t="s">
        <v>6</v>
      </c>
      <c r="C7" s="31" t="s">
        <v>7</v>
      </c>
      <c r="D7" s="31">
        <v>11.0</v>
      </c>
      <c r="E7" s="32">
        <v>82.0</v>
      </c>
      <c r="F7" s="33"/>
      <c r="G7" s="34"/>
      <c r="H7" s="34"/>
      <c r="J7" s="42" t="s">
        <v>12</v>
      </c>
      <c r="K7" s="43"/>
      <c r="L7" s="44"/>
    </row>
    <row r="8">
      <c r="A8" s="38" t="s">
        <v>51</v>
      </c>
      <c r="B8" s="31" t="s">
        <v>52</v>
      </c>
      <c r="C8" s="31" t="s">
        <v>7</v>
      </c>
      <c r="D8" s="31">
        <v>4.0</v>
      </c>
      <c r="E8" s="32">
        <v>86.0</v>
      </c>
      <c r="F8" s="33"/>
      <c r="G8" s="34"/>
      <c r="H8" s="34"/>
      <c r="J8" s="42" t="s">
        <v>968</v>
      </c>
      <c r="K8" s="43"/>
      <c r="L8" s="44"/>
    </row>
    <row r="9">
      <c r="A9" s="45" t="s">
        <v>64</v>
      </c>
      <c r="B9" s="31" t="s">
        <v>62</v>
      </c>
      <c r="C9" s="31" t="s">
        <v>7</v>
      </c>
      <c r="D9" s="31">
        <v>12.0</v>
      </c>
      <c r="E9" s="32">
        <v>46.0</v>
      </c>
      <c r="F9" s="33"/>
      <c r="G9" s="34"/>
      <c r="H9" s="34"/>
      <c r="J9" s="42" t="s">
        <v>134</v>
      </c>
      <c r="K9" s="43"/>
      <c r="L9" s="44"/>
    </row>
    <row r="10">
      <c r="A10" s="45" t="s">
        <v>80</v>
      </c>
      <c r="B10" s="31" t="s">
        <v>20</v>
      </c>
      <c r="C10" s="31" t="s">
        <v>7</v>
      </c>
      <c r="D10" s="31">
        <v>9.0</v>
      </c>
      <c r="E10" s="32">
        <v>46.0</v>
      </c>
      <c r="F10" s="33"/>
      <c r="G10" s="34"/>
      <c r="H10" s="34"/>
      <c r="J10" s="42" t="s">
        <v>120</v>
      </c>
      <c r="K10" s="43"/>
      <c r="L10" s="44"/>
    </row>
    <row r="11">
      <c r="A11" s="45" t="s">
        <v>77</v>
      </c>
      <c r="B11" s="31" t="s">
        <v>69</v>
      </c>
      <c r="C11" s="31" t="s">
        <v>7</v>
      </c>
      <c r="D11" s="31">
        <v>11.0</v>
      </c>
      <c r="E11" s="32">
        <v>20.0</v>
      </c>
      <c r="F11" s="33"/>
      <c r="G11" s="34"/>
      <c r="H11" s="34"/>
      <c r="J11" s="42" t="s">
        <v>969</v>
      </c>
      <c r="K11" s="43"/>
      <c r="L11" s="44"/>
    </row>
    <row r="12">
      <c r="A12" s="45" t="s">
        <v>145</v>
      </c>
      <c r="B12" s="31" t="s">
        <v>96</v>
      </c>
      <c r="C12" s="31" t="s">
        <v>7</v>
      </c>
      <c r="D12" s="31">
        <v>6.0</v>
      </c>
      <c r="E12" s="32">
        <v>0.0</v>
      </c>
      <c r="F12" s="33"/>
      <c r="G12" s="34"/>
      <c r="H12" s="34"/>
      <c r="J12" s="42" t="s">
        <v>970</v>
      </c>
      <c r="K12" s="43"/>
      <c r="L12" s="44"/>
    </row>
    <row r="13">
      <c r="A13" s="38" t="s">
        <v>348</v>
      </c>
      <c r="B13" s="31" t="s">
        <v>18</v>
      </c>
      <c r="C13" s="31" t="s">
        <v>7</v>
      </c>
      <c r="D13" s="31">
        <v>10.0</v>
      </c>
      <c r="E13" s="32">
        <v>12.0</v>
      </c>
      <c r="F13" s="33"/>
      <c r="G13" s="34"/>
      <c r="H13" s="34"/>
      <c r="J13" s="42" t="s">
        <v>971</v>
      </c>
      <c r="K13" s="43"/>
      <c r="L13" s="44"/>
    </row>
    <row r="14">
      <c r="A14" s="45" t="s">
        <v>123</v>
      </c>
      <c r="B14" s="31" t="s">
        <v>16</v>
      </c>
      <c r="C14" s="31" t="s">
        <v>39</v>
      </c>
      <c r="D14" s="31">
        <v>9.0</v>
      </c>
      <c r="E14" s="32">
        <v>36.0</v>
      </c>
      <c r="F14" s="33"/>
      <c r="G14" s="34"/>
      <c r="H14" s="34"/>
      <c r="J14" s="42" t="s">
        <v>972</v>
      </c>
      <c r="K14" s="43"/>
      <c r="L14" s="44"/>
    </row>
    <row r="15">
      <c r="A15" s="45" t="s">
        <v>94</v>
      </c>
      <c r="B15" s="31" t="s">
        <v>28</v>
      </c>
      <c r="C15" s="31" t="s">
        <v>39</v>
      </c>
      <c r="D15" s="31">
        <v>11.0</v>
      </c>
      <c r="E15" s="32">
        <v>50.0</v>
      </c>
      <c r="F15" s="33"/>
      <c r="G15" s="34"/>
      <c r="H15" s="34"/>
      <c r="J15" s="42" t="s">
        <v>973</v>
      </c>
      <c r="K15" s="43"/>
      <c r="L15" s="44"/>
    </row>
    <row r="16">
      <c r="A16" s="45" t="s">
        <v>131</v>
      </c>
      <c r="B16" s="31" t="s">
        <v>24</v>
      </c>
      <c r="C16" s="31" t="s">
        <v>39</v>
      </c>
      <c r="D16" s="31">
        <v>9.0</v>
      </c>
      <c r="E16" s="32">
        <v>12.0</v>
      </c>
      <c r="F16" s="33"/>
      <c r="G16" s="34"/>
      <c r="H16" s="34"/>
      <c r="J16" s="42" t="s">
        <v>974</v>
      </c>
      <c r="K16" s="43"/>
      <c r="L16" s="44"/>
    </row>
    <row r="17">
      <c r="A17" s="45" t="s">
        <v>58</v>
      </c>
      <c r="B17" s="31" t="s">
        <v>59</v>
      </c>
      <c r="C17" s="31" t="s">
        <v>12</v>
      </c>
      <c r="D17" s="31">
        <v>10.0</v>
      </c>
      <c r="E17" s="32">
        <v>30.0</v>
      </c>
      <c r="F17" s="33"/>
      <c r="G17" s="34"/>
      <c r="H17" s="34"/>
      <c r="J17" s="42" t="s">
        <v>975</v>
      </c>
      <c r="K17" s="43"/>
      <c r="L17" s="44"/>
    </row>
    <row r="18">
      <c r="A18" s="45" t="s">
        <v>976</v>
      </c>
      <c r="B18" s="31" t="s">
        <v>37</v>
      </c>
      <c r="C18" s="31" t="s">
        <v>12</v>
      </c>
      <c r="D18" s="31">
        <v>7.0</v>
      </c>
      <c r="E18" s="32">
        <v>12.0</v>
      </c>
      <c r="F18" s="33"/>
      <c r="G18" s="34"/>
      <c r="H18" s="34"/>
      <c r="J18" s="46" t="s">
        <v>977</v>
      </c>
      <c r="K18" s="47"/>
      <c r="L18" s="48"/>
    </row>
    <row r="19">
      <c r="A19" s="45" t="s">
        <v>109</v>
      </c>
      <c r="B19" s="31" t="s">
        <v>20</v>
      </c>
      <c r="C19" s="31" t="s">
        <v>12</v>
      </c>
      <c r="D19" s="31">
        <v>9.0</v>
      </c>
      <c r="E19" s="32">
        <v>12.0</v>
      </c>
      <c r="F19" s="33"/>
      <c r="G19" s="34"/>
      <c r="H19" s="34"/>
      <c r="L19" s="49">
        <f>sum(L3:L18)</f>
        <v>56</v>
      </c>
    </row>
    <row r="20">
      <c r="A20" s="45" t="s">
        <v>108</v>
      </c>
      <c r="B20" s="31" t="s">
        <v>30</v>
      </c>
      <c r="C20" s="31" t="s">
        <v>12</v>
      </c>
      <c r="D20" s="31">
        <v>7.0</v>
      </c>
      <c r="E20" s="32">
        <v>20.0</v>
      </c>
      <c r="F20" s="33"/>
      <c r="G20" s="34"/>
      <c r="H20" s="34"/>
    </row>
    <row r="21">
      <c r="A21" s="45" t="s">
        <v>190</v>
      </c>
      <c r="B21" s="31" t="s">
        <v>28</v>
      </c>
      <c r="C21" s="31" t="s">
        <v>12</v>
      </c>
      <c r="D21" s="31">
        <v>11.0</v>
      </c>
      <c r="E21" s="32">
        <v>24.0</v>
      </c>
      <c r="F21" s="33"/>
      <c r="G21" s="34"/>
      <c r="H21" s="34"/>
    </row>
    <row r="22">
      <c r="A22" s="45" t="s">
        <v>194</v>
      </c>
      <c r="B22" s="31" t="s">
        <v>62</v>
      </c>
      <c r="C22" s="31" t="s">
        <v>12</v>
      </c>
      <c r="D22" s="31">
        <v>12.0</v>
      </c>
      <c r="E22" s="32">
        <v>20.0</v>
      </c>
      <c r="F22" s="33"/>
      <c r="G22" s="34"/>
      <c r="H22" s="34"/>
    </row>
    <row r="23">
      <c r="A23" s="45" t="s">
        <v>978</v>
      </c>
      <c r="B23" s="31" t="s">
        <v>16</v>
      </c>
      <c r="C23" s="31" t="s">
        <v>120</v>
      </c>
      <c r="D23" s="31">
        <v>9.0</v>
      </c>
      <c r="E23" s="32">
        <v>12.0</v>
      </c>
      <c r="F23" s="33"/>
      <c r="G23" s="34"/>
      <c r="H23" s="34"/>
    </row>
    <row r="24">
      <c r="A24" s="45" t="s">
        <v>147</v>
      </c>
      <c r="B24" s="31" t="s">
        <v>46</v>
      </c>
      <c r="C24" s="31" t="s">
        <v>120</v>
      </c>
      <c r="D24" s="31">
        <v>10.0</v>
      </c>
      <c r="E24" s="32">
        <v>14.0</v>
      </c>
      <c r="F24" s="33"/>
      <c r="G24" s="34"/>
      <c r="H24" s="34"/>
    </row>
    <row r="25">
      <c r="A25" s="45" t="s">
        <v>839</v>
      </c>
      <c r="B25" s="31" t="s">
        <v>96</v>
      </c>
      <c r="C25" s="31" t="s">
        <v>134</v>
      </c>
      <c r="D25" s="31">
        <v>6.0</v>
      </c>
      <c r="E25" s="32">
        <v>22.0</v>
      </c>
      <c r="F25" s="33"/>
      <c r="G25" s="34"/>
      <c r="H25" s="34"/>
    </row>
    <row r="26">
      <c r="A26" s="45" t="s">
        <v>847</v>
      </c>
      <c r="B26" s="31" t="s">
        <v>43</v>
      </c>
      <c r="C26" s="31" t="s">
        <v>134</v>
      </c>
      <c r="D26" s="31">
        <v>12.0</v>
      </c>
      <c r="E26" s="32">
        <v>12.0</v>
      </c>
      <c r="F26" s="33"/>
      <c r="G26" s="34"/>
      <c r="H26" s="34"/>
    </row>
    <row r="27">
      <c r="A27" s="45" t="s">
        <v>840</v>
      </c>
      <c r="B27" s="31" t="s">
        <v>24</v>
      </c>
      <c r="C27" s="31" t="s">
        <v>134</v>
      </c>
      <c r="D27" s="31">
        <v>9.0</v>
      </c>
      <c r="E27" s="32">
        <v>14.0</v>
      </c>
      <c r="F27" s="33"/>
      <c r="G27" s="34"/>
      <c r="H27" s="34"/>
    </row>
    <row r="28">
      <c r="A28" s="45" t="s">
        <v>852</v>
      </c>
      <c r="B28" s="31" t="s">
        <v>18</v>
      </c>
      <c r="C28" s="31" t="s">
        <v>134</v>
      </c>
      <c r="D28" s="31">
        <v>10.0</v>
      </c>
      <c r="E28" s="32">
        <v>14.0</v>
      </c>
      <c r="F28" s="33"/>
      <c r="G28" s="34"/>
      <c r="H28" s="34"/>
    </row>
    <row r="29">
      <c r="A29" s="50"/>
      <c r="B29" s="51"/>
      <c r="C29" s="52"/>
      <c r="D29" s="52"/>
      <c r="E29" s="53"/>
      <c r="F29" s="33"/>
      <c r="G29" s="34"/>
      <c r="H29" s="34"/>
    </row>
    <row r="30">
      <c r="A30" s="50"/>
      <c r="B30" s="51"/>
      <c r="C30" s="52"/>
      <c r="D30" s="52"/>
      <c r="E30" s="53"/>
      <c r="F30" s="33"/>
      <c r="G30" s="34"/>
      <c r="H30" s="34"/>
    </row>
    <row r="31">
      <c r="A31" s="50"/>
      <c r="B31" s="51"/>
      <c r="C31" s="52"/>
      <c r="D31" s="52"/>
      <c r="E31" s="53"/>
      <c r="F31" s="33"/>
      <c r="G31" s="34"/>
      <c r="H31" s="34"/>
    </row>
    <row r="32">
      <c r="B32" s="54"/>
      <c r="C32" s="54"/>
      <c r="D32" s="54"/>
      <c r="E32" s="54"/>
      <c r="F32" s="54"/>
      <c r="G32" s="54"/>
      <c r="H32" s="54"/>
    </row>
    <row r="33">
      <c r="B33" s="54"/>
      <c r="C33" s="54"/>
      <c r="D33" s="54"/>
      <c r="E33" s="54"/>
      <c r="F33" s="54"/>
      <c r="G33" s="54"/>
      <c r="H33" s="54"/>
    </row>
    <row r="34">
      <c r="B34" s="54"/>
      <c r="C34" s="54"/>
      <c r="D34" s="54"/>
      <c r="E34" s="54"/>
      <c r="F34" s="54"/>
      <c r="G34" s="54"/>
      <c r="H34" s="54"/>
    </row>
    <row r="35">
      <c r="B35" s="54"/>
      <c r="C35" s="54"/>
      <c r="D35" s="54"/>
      <c r="E35" s="54"/>
      <c r="F35" s="54"/>
      <c r="G35" s="54"/>
      <c r="H35" s="54"/>
    </row>
    <row r="36">
      <c r="B36" s="54"/>
      <c r="C36" s="54"/>
      <c r="D36" s="54"/>
      <c r="E36" s="54"/>
      <c r="F36" s="54"/>
      <c r="G36" s="54"/>
      <c r="H36" s="54"/>
    </row>
    <row r="37">
      <c r="B37" s="54"/>
      <c r="C37" s="54"/>
      <c r="D37" s="54"/>
      <c r="E37" s="54"/>
      <c r="F37" s="54"/>
      <c r="G37" s="54"/>
      <c r="H37" s="54"/>
    </row>
    <row r="38">
      <c r="B38" s="54"/>
      <c r="C38" s="54"/>
      <c r="D38" s="54"/>
      <c r="E38" s="54"/>
      <c r="F38" s="54"/>
      <c r="G38" s="54"/>
      <c r="H38" s="54"/>
    </row>
    <row r="39">
      <c r="B39" s="54"/>
      <c r="C39" s="54"/>
      <c r="D39" s="54"/>
      <c r="E39" s="54"/>
      <c r="F39" s="54"/>
      <c r="G39" s="54"/>
      <c r="H39" s="54"/>
    </row>
    <row r="40">
      <c r="B40" s="54"/>
      <c r="C40" s="54"/>
      <c r="D40" s="54"/>
      <c r="E40" s="54"/>
      <c r="F40" s="54"/>
      <c r="G40" s="54"/>
      <c r="H40" s="54"/>
    </row>
    <row r="41">
      <c r="B41" s="54"/>
      <c r="C41" s="54"/>
      <c r="D41" s="54"/>
      <c r="E41" s="54"/>
      <c r="F41" s="54"/>
      <c r="G41" s="54"/>
      <c r="H41" s="54"/>
    </row>
    <row r="42">
      <c r="B42" s="54"/>
      <c r="C42" s="54"/>
      <c r="D42" s="54"/>
      <c r="E42" s="54"/>
      <c r="F42" s="54"/>
      <c r="G42" s="54"/>
      <c r="H42" s="54"/>
    </row>
    <row r="43">
      <c r="B43" s="54"/>
      <c r="C43" s="54"/>
      <c r="D43" s="54"/>
      <c r="E43" s="54"/>
      <c r="F43" s="54"/>
      <c r="G43" s="54"/>
      <c r="H43" s="54"/>
    </row>
    <row r="44">
      <c r="B44" s="54"/>
      <c r="C44" s="54"/>
      <c r="D44" s="54"/>
      <c r="E44" s="54"/>
      <c r="F44" s="54"/>
      <c r="G44" s="54"/>
      <c r="H44" s="54"/>
    </row>
    <row r="45">
      <c r="B45" s="54"/>
      <c r="C45" s="54"/>
      <c r="D45" s="54"/>
      <c r="E45" s="54"/>
      <c r="F45" s="54"/>
      <c r="G45" s="54"/>
      <c r="H45" s="54"/>
    </row>
    <row r="46">
      <c r="B46" s="54"/>
      <c r="C46" s="54"/>
      <c r="D46" s="54"/>
      <c r="E46" s="54"/>
      <c r="F46" s="54"/>
      <c r="G46" s="54"/>
      <c r="H46" s="54"/>
    </row>
    <row r="47">
      <c r="B47" s="54"/>
      <c r="C47" s="54"/>
      <c r="D47" s="54"/>
      <c r="E47" s="54"/>
      <c r="F47" s="54"/>
      <c r="G47" s="54"/>
      <c r="H47" s="54"/>
    </row>
    <row r="48">
      <c r="B48" s="54"/>
      <c r="C48" s="54"/>
      <c r="D48" s="54"/>
      <c r="E48" s="54"/>
      <c r="F48" s="54"/>
      <c r="G48" s="54"/>
      <c r="H48" s="54"/>
    </row>
    <row r="49">
      <c r="B49" s="54"/>
      <c r="C49" s="54"/>
      <c r="D49" s="54"/>
      <c r="E49" s="54"/>
      <c r="F49" s="54"/>
      <c r="G49" s="54"/>
      <c r="H49" s="54"/>
    </row>
    <row r="50">
      <c r="B50" s="54"/>
      <c r="C50" s="54"/>
      <c r="D50" s="54"/>
      <c r="E50" s="54"/>
      <c r="F50" s="54"/>
      <c r="G50" s="54"/>
      <c r="H50" s="54"/>
    </row>
    <row r="51">
      <c r="B51" s="54"/>
      <c r="C51" s="54"/>
      <c r="D51" s="54"/>
      <c r="E51" s="54"/>
      <c r="F51" s="54"/>
      <c r="G51" s="54"/>
      <c r="H51" s="54"/>
    </row>
    <row r="52">
      <c r="B52" s="54"/>
      <c r="C52" s="54"/>
      <c r="D52" s="54"/>
      <c r="E52" s="54"/>
      <c r="F52" s="54"/>
      <c r="G52" s="54"/>
      <c r="H52" s="54"/>
    </row>
    <row r="53">
      <c r="B53" s="54"/>
      <c r="C53" s="54"/>
      <c r="D53" s="54"/>
      <c r="E53" s="54"/>
      <c r="F53" s="54"/>
      <c r="G53" s="54"/>
      <c r="H53" s="54"/>
    </row>
    <row r="54">
      <c r="B54" s="54"/>
      <c r="C54" s="54"/>
      <c r="D54" s="54"/>
      <c r="E54" s="54"/>
      <c r="F54" s="54"/>
      <c r="G54" s="54"/>
      <c r="H54" s="54"/>
    </row>
    <row r="55">
      <c r="B55" s="54"/>
      <c r="C55" s="54"/>
      <c r="D55" s="54"/>
      <c r="E55" s="54"/>
      <c r="F55" s="54"/>
      <c r="G55" s="54"/>
      <c r="H55" s="54"/>
    </row>
    <row r="56">
      <c r="B56" s="54"/>
      <c r="C56" s="54"/>
      <c r="D56" s="54"/>
      <c r="E56" s="54"/>
      <c r="F56" s="54"/>
      <c r="G56" s="54"/>
      <c r="H56" s="54"/>
    </row>
    <row r="57">
      <c r="B57" s="54"/>
      <c r="C57" s="54"/>
      <c r="D57" s="54"/>
      <c r="E57" s="54"/>
      <c r="F57" s="54"/>
      <c r="G57" s="54"/>
      <c r="H57" s="54"/>
    </row>
    <row r="58">
      <c r="B58" s="54"/>
      <c r="C58" s="54"/>
      <c r="D58" s="54"/>
      <c r="E58" s="54"/>
      <c r="F58" s="54"/>
      <c r="G58" s="54"/>
      <c r="H58" s="54"/>
    </row>
    <row r="59">
      <c r="B59" s="54"/>
      <c r="C59" s="54"/>
      <c r="D59" s="54"/>
      <c r="E59" s="54"/>
      <c r="F59" s="54"/>
      <c r="G59" s="54"/>
      <c r="H59" s="54"/>
    </row>
    <row r="60">
      <c r="B60" s="54"/>
      <c r="C60" s="54"/>
      <c r="D60" s="54"/>
      <c r="E60" s="54"/>
      <c r="F60" s="54"/>
      <c r="G60" s="54"/>
      <c r="H60" s="54"/>
    </row>
    <row r="61">
      <c r="B61" s="54"/>
      <c r="C61" s="54"/>
      <c r="D61" s="54"/>
      <c r="E61" s="54"/>
      <c r="F61" s="54"/>
      <c r="G61" s="54"/>
      <c r="H61" s="54"/>
    </row>
    <row r="62">
      <c r="B62" s="54"/>
      <c r="C62" s="54"/>
      <c r="D62" s="54"/>
      <c r="E62" s="54"/>
      <c r="F62" s="54"/>
      <c r="G62" s="54"/>
      <c r="H62" s="54"/>
    </row>
    <row r="63">
      <c r="B63" s="54"/>
      <c r="C63" s="54"/>
      <c r="D63" s="54"/>
      <c r="E63" s="54"/>
      <c r="F63" s="54"/>
      <c r="G63" s="54"/>
      <c r="H63" s="54"/>
    </row>
    <row r="64">
      <c r="B64" s="54"/>
      <c r="C64" s="54"/>
      <c r="D64" s="54"/>
      <c r="E64" s="54"/>
      <c r="F64" s="54"/>
      <c r="G64" s="54"/>
      <c r="H64" s="54"/>
    </row>
    <row r="65">
      <c r="B65" s="54"/>
      <c r="C65" s="54"/>
      <c r="D65" s="54"/>
      <c r="E65" s="54"/>
      <c r="F65" s="54"/>
      <c r="G65" s="54"/>
      <c r="H65" s="54"/>
    </row>
    <row r="66">
      <c r="B66" s="54"/>
      <c r="C66" s="54"/>
      <c r="D66" s="54"/>
      <c r="E66" s="54"/>
      <c r="F66" s="54"/>
      <c r="G66" s="54"/>
      <c r="H66" s="54"/>
    </row>
    <row r="67">
      <c r="B67" s="54"/>
      <c r="C67" s="54"/>
      <c r="D67" s="54"/>
      <c r="E67" s="54"/>
      <c r="F67" s="54"/>
      <c r="G67" s="54"/>
      <c r="H67" s="54"/>
    </row>
    <row r="68">
      <c r="B68" s="54"/>
      <c r="C68" s="54"/>
      <c r="D68" s="54"/>
      <c r="E68" s="54"/>
      <c r="F68" s="54"/>
      <c r="G68" s="54"/>
      <c r="H68" s="54"/>
    </row>
    <row r="69">
      <c r="B69" s="54"/>
      <c r="C69" s="54"/>
      <c r="D69" s="54"/>
      <c r="E69" s="54"/>
      <c r="F69" s="54"/>
      <c r="G69" s="54"/>
      <c r="H69" s="54"/>
    </row>
    <row r="70">
      <c r="B70" s="54"/>
      <c r="C70" s="54"/>
      <c r="D70" s="54"/>
      <c r="E70" s="54"/>
      <c r="F70" s="54"/>
      <c r="G70" s="54"/>
      <c r="H70" s="54"/>
    </row>
    <row r="71">
      <c r="B71" s="54"/>
      <c r="C71" s="54"/>
      <c r="D71" s="54"/>
      <c r="E71" s="54"/>
      <c r="F71" s="54"/>
      <c r="G71" s="54"/>
      <c r="H71" s="54"/>
    </row>
    <row r="72">
      <c r="B72" s="54"/>
      <c r="C72" s="54"/>
      <c r="D72" s="54"/>
      <c r="E72" s="54"/>
      <c r="F72" s="54"/>
      <c r="G72" s="54"/>
      <c r="H72" s="54"/>
    </row>
    <row r="73">
      <c r="B73" s="54"/>
      <c r="C73" s="54"/>
      <c r="D73" s="54"/>
      <c r="E73" s="54"/>
      <c r="F73" s="54"/>
      <c r="G73" s="54"/>
      <c r="H73" s="54"/>
    </row>
    <row r="74">
      <c r="B74" s="54"/>
      <c r="C74" s="54"/>
      <c r="D74" s="54"/>
      <c r="E74" s="54"/>
      <c r="F74" s="54"/>
      <c r="G74" s="54"/>
      <c r="H74" s="54"/>
    </row>
    <row r="75">
      <c r="B75" s="54"/>
      <c r="C75" s="54"/>
      <c r="D75" s="54"/>
      <c r="E75" s="54"/>
      <c r="F75" s="54"/>
      <c r="G75" s="54"/>
      <c r="H75" s="54"/>
    </row>
    <row r="76">
      <c r="B76" s="54"/>
      <c r="C76" s="54"/>
      <c r="D76" s="54"/>
      <c r="E76" s="54"/>
      <c r="F76" s="54"/>
      <c r="G76" s="54"/>
      <c r="H76" s="54"/>
    </row>
    <row r="77">
      <c r="B77" s="54"/>
      <c r="C77" s="54"/>
      <c r="D77" s="54"/>
      <c r="E77" s="54"/>
      <c r="F77" s="54"/>
      <c r="G77" s="54"/>
      <c r="H77" s="54"/>
    </row>
    <row r="78">
      <c r="B78" s="54"/>
      <c r="C78" s="54"/>
      <c r="D78" s="54"/>
      <c r="E78" s="54"/>
      <c r="F78" s="54"/>
      <c r="G78" s="54"/>
      <c r="H78" s="54"/>
    </row>
    <row r="79">
      <c r="B79" s="54"/>
      <c r="C79" s="54"/>
      <c r="D79" s="54"/>
      <c r="E79" s="54"/>
      <c r="F79" s="54"/>
      <c r="G79" s="54"/>
      <c r="H79" s="54"/>
    </row>
    <row r="80">
      <c r="B80" s="54"/>
      <c r="C80" s="54"/>
      <c r="D80" s="54"/>
      <c r="E80" s="54"/>
      <c r="F80" s="54"/>
      <c r="G80" s="54"/>
      <c r="H80" s="54"/>
    </row>
    <row r="81">
      <c r="B81" s="54"/>
      <c r="C81" s="54"/>
      <c r="D81" s="54"/>
      <c r="E81" s="54"/>
      <c r="F81" s="54"/>
      <c r="G81" s="54"/>
      <c r="H81" s="54"/>
    </row>
    <row r="82">
      <c r="B82" s="54"/>
      <c r="C82" s="54"/>
      <c r="D82" s="54"/>
      <c r="E82" s="54"/>
      <c r="F82" s="54"/>
      <c r="G82" s="54"/>
      <c r="H82" s="54"/>
    </row>
    <row r="83">
      <c r="B83" s="54"/>
      <c r="C83" s="54"/>
      <c r="D83" s="54"/>
      <c r="E83" s="54"/>
      <c r="F83" s="54"/>
      <c r="G83" s="54"/>
      <c r="H83" s="54"/>
    </row>
    <row r="84">
      <c r="B84" s="54"/>
      <c r="C84" s="54"/>
      <c r="D84" s="54"/>
      <c r="E84" s="54"/>
      <c r="F84" s="54"/>
      <c r="G84" s="54"/>
      <c r="H84" s="54"/>
    </row>
    <row r="85">
      <c r="B85" s="54"/>
      <c r="C85" s="54"/>
      <c r="D85" s="54"/>
      <c r="E85" s="54"/>
      <c r="F85" s="54"/>
      <c r="G85" s="54"/>
      <c r="H85" s="54"/>
    </row>
    <row r="86">
      <c r="B86" s="54"/>
      <c r="C86" s="54"/>
      <c r="D86" s="54"/>
      <c r="E86" s="54"/>
      <c r="F86" s="54"/>
      <c r="G86" s="54"/>
      <c r="H86" s="54"/>
    </row>
    <row r="87">
      <c r="B87" s="54"/>
      <c r="C87" s="54"/>
      <c r="D87" s="54"/>
      <c r="E87" s="54"/>
      <c r="F87" s="54"/>
      <c r="G87" s="54"/>
      <c r="H87" s="54"/>
    </row>
    <row r="88">
      <c r="B88" s="54"/>
      <c r="C88" s="54"/>
      <c r="D88" s="54"/>
      <c r="E88" s="54"/>
      <c r="F88" s="54"/>
      <c r="G88" s="54"/>
      <c r="H88" s="54"/>
    </row>
    <row r="89">
      <c r="B89" s="54"/>
      <c r="C89" s="54"/>
      <c r="D89" s="54"/>
      <c r="E89" s="54"/>
      <c r="F89" s="54"/>
      <c r="G89" s="54"/>
      <c r="H89" s="54"/>
    </row>
    <row r="90">
      <c r="B90" s="54"/>
      <c r="C90" s="54"/>
      <c r="D90" s="54"/>
      <c r="E90" s="54"/>
      <c r="F90" s="54"/>
      <c r="G90" s="54"/>
      <c r="H90" s="54"/>
    </row>
    <row r="91">
      <c r="B91" s="54"/>
      <c r="C91" s="54"/>
      <c r="D91" s="54"/>
      <c r="E91" s="54"/>
      <c r="F91" s="54"/>
      <c r="G91" s="54"/>
      <c r="H91" s="54"/>
    </row>
    <row r="92">
      <c r="B92" s="54"/>
      <c r="C92" s="54"/>
      <c r="D92" s="54"/>
      <c r="E92" s="54"/>
      <c r="F92" s="54"/>
      <c r="G92" s="54"/>
      <c r="H92" s="54"/>
    </row>
    <row r="93">
      <c r="B93" s="54"/>
      <c r="C93" s="54"/>
      <c r="D93" s="54"/>
      <c r="E93" s="54"/>
      <c r="F93" s="54"/>
      <c r="G93" s="54"/>
      <c r="H93" s="54"/>
    </row>
    <row r="94">
      <c r="B94" s="54"/>
      <c r="C94" s="54"/>
      <c r="D94" s="54"/>
      <c r="E94" s="54"/>
      <c r="F94" s="54"/>
      <c r="G94" s="54"/>
      <c r="H94" s="54"/>
    </row>
    <row r="95">
      <c r="B95" s="54"/>
      <c r="C95" s="54"/>
      <c r="D95" s="54"/>
      <c r="E95" s="54"/>
      <c r="F95" s="54"/>
      <c r="G95" s="54"/>
      <c r="H95" s="54"/>
    </row>
    <row r="96">
      <c r="B96" s="54"/>
      <c r="C96" s="54"/>
      <c r="D96" s="54"/>
      <c r="E96" s="54"/>
      <c r="F96" s="54"/>
      <c r="G96" s="54"/>
      <c r="H96" s="54"/>
    </row>
    <row r="97">
      <c r="B97" s="54"/>
      <c r="C97" s="54"/>
      <c r="D97" s="54"/>
      <c r="E97" s="54"/>
      <c r="F97" s="54"/>
      <c r="G97" s="54"/>
      <c r="H97" s="54"/>
    </row>
    <row r="98">
      <c r="B98" s="54"/>
      <c r="C98" s="54"/>
      <c r="D98" s="54"/>
      <c r="E98" s="54"/>
      <c r="F98" s="54"/>
      <c r="G98" s="54"/>
      <c r="H98" s="54"/>
    </row>
    <row r="99">
      <c r="B99" s="54"/>
      <c r="C99" s="54"/>
      <c r="D99" s="54"/>
      <c r="E99" s="54"/>
      <c r="F99" s="54"/>
      <c r="G99" s="54"/>
      <c r="H99" s="54"/>
    </row>
    <row r="100">
      <c r="B100" s="54"/>
      <c r="C100" s="54"/>
      <c r="D100" s="54"/>
      <c r="E100" s="54"/>
      <c r="F100" s="54"/>
      <c r="G100" s="54"/>
      <c r="H100" s="54"/>
    </row>
    <row r="101">
      <c r="B101" s="54"/>
      <c r="C101" s="54"/>
      <c r="D101" s="54"/>
      <c r="E101" s="54"/>
      <c r="F101" s="54"/>
      <c r="G101" s="54"/>
      <c r="H101" s="54"/>
    </row>
    <row r="102">
      <c r="B102" s="54"/>
      <c r="C102" s="54"/>
      <c r="D102" s="54"/>
      <c r="E102" s="54"/>
      <c r="F102" s="54"/>
      <c r="G102" s="54"/>
      <c r="H102" s="54"/>
    </row>
    <row r="103">
      <c r="B103" s="54"/>
      <c r="C103" s="54"/>
      <c r="D103" s="54"/>
      <c r="E103" s="54"/>
      <c r="F103" s="54"/>
      <c r="G103" s="54"/>
      <c r="H103" s="54"/>
    </row>
    <row r="104">
      <c r="B104" s="54"/>
      <c r="C104" s="54"/>
      <c r="D104" s="54"/>
      <c r="E104" s="54"/>
      <c r="F104" s="54"/>
      <c r="G104" s="54"/>
      <c r="H104" s="54"/>
    </row>
    <row r="105">
      <c r="B105" s="54"/>
      <c r="C105" s="54"/>
      <c r="D105" s="54"/>
      <c r="E105" s="54"/>
      <c r="F105" s="54"/>
      <c r="G105" s="54"/>
      <c r="H105" s="54"/>
    </row>
    <row r="106">
      <c r="B106" s="54"/>
      <c r="C106" s="54"/>
      <c r="D106" s="54"/>
      <c r="E106" s="54"/>
      <c r="F106" s="54"/>
      <c r="G106" s="54"/>
      <c r="H106" s="54"/>
    </row>
    <row r="107">
      <c r="B107" s="54"/>
      <c r="C107" s="54"/>
      <c r="D107" s="54"/>
      <c r="E107" s="54"/>
      <c r="F107" s="54"/>
      <c r="G107" s="54"/>
      <c r="H107" s="54"/>
    </row>
    <row r="108">
      <c r="B108" s="54"/>
      <c r="C108" s="54"/>
      <c r="D108" s="54"/>
      <c r="E108" s="54"/>
      <c r="F108" s="54"/>
      <c r="G108" s="54"/>
      <c r="H108" s="54"/>
    </row>
    <row r="109">
      <c r="B109" s="54"/>
      <c r="C109" s="54"/>
      <c r="D109" s="54"/>
      <c r="E109" s="54"/>
      <c r="F109" s="54"/>
      <c r="G109" s="54"/>
      <c r="H109" s="54"/>
    </row>
    <row r="110">
      <c r="B110" s="54"/>
      <c r="C110" s="54"/>
      <c r="D110" s="54"/>
      <c r="E110" s="54"/>
      <c r="F110" s="54"/>
      <c r="G110" s="54"/>
      <c r="H110" s="54"/>
    </row>
    <row r="111">
      <c r="B111" s="54"/>
      <c r="C111" s="54"/>
      <c r="D111" s="54"/>
      <c r="E111" s="54"/>
      <c r="F111" s="54"/>
      <c r="G111" s="54"/>
      <c r="H111" s="54"/>
    </row>
    <row r="112">
      <c r="B112" s="54"/>
      <c r="C112" s="54"/>
      <c r="D112" s="54"/>
      <c r="E112" s="54"/>
      <c r="F112" s="54"/>
      <c r="G112" s="54"/>
      <c r="H112" s="54"/>
    </row>
    <row r="113">
      <c r="B113" s="54"/>
      <c r="C113" s="54"/>
      <c r="D113" s="54"/>
      <c r="E113" s="54"/>
      <c r="F113" s="54"/>
      <c r="G113" s="54"/>
      <c r="H113" s="54"/>
    </row>
    <row r="114">
      <c r="B114" s="54"/>
      <c r="C114" s="54"/>
      <c r="D114" s="54"/>
      <c r="E114" s="54"/>
      <c r="F114" s="54"/>
      <c r="G114" s="54"/>
      <c r="H114" s="54"/>
    </row>
    <row r="115">
      <c r="B115" s="54"/>
      <c r="C115" s="54"/>
      <c r="D115" s="54"/>
      <c r="E115" s="54"/>
      <c r="F115" s="54"/>
      <c r="G115" s="54"/>
      <c r="H115" s="54"/>
    </row>
    <row r="116">
      <c r="B116" s="54"/>
      <c r="C116" s="54"/>
      <c r="D116" s="54"/>
      <c r="E116" s="54"/>
      <c r="F116" s="54"/>
      <c r="G116" s="54"/>
      <c r="H116" s="54"/>
    </row>
    <row r="117">
      <c r="B117" s="54"/>
      <c r="C117" s="54"/>
      <c r="D117" s="54"/>
      <c r="E117" s="54"/>
      <c r="F117" s="54"/>
      <c r="G117" s="54"/>
      <c r="H117" s="54"/>
    </row>
    <row r="118">
      <c r="B118" s="54"/>
      <c r="C118" s="54"/>
      <c r="D118" s="54"/>
      <c r="E118" s="54"/>
      <c r="F118" s="54"/>
      <c r="G118" s="54"/>
      <c r="H118" s="54"/>
    </row>
    <row r="119">
      <c r="B119" s="54"/>
      <c r="C119" s="54"/>
      <c r="D119" s="54"/>
      <c r="E119" s="54"/>
      <c r="F119" s="54"/>
      <c r="G119" s="54"/>
      <c r="H119" s="54"/>
    </row>
    <row r="120">
      <c r="B120" s="54"/>
      <c r="C120" s="54"/>
      <c r="D120" s="54"/>
      <c r="E120" s="54"/>
      <c r="F120" s="54"/>
      <c r="G120" s="54"/>
      <c r="H120" s="54"/>
    </row>
    <row r="121">
      <c r="B121" s="54"/>
      <c r="C121" s="54"/>
      <c r="D121" s="54"/>
      <c r="E121" s="54"/>
      <c r="F121" s="54"/>
      <c r="G121" s="54"/>
      <c r="H121" s="54"/>
    </row>
    <row r="122">
      <c r="B122" s="54"/>
      <c r="C122" s="54"/>
      <c r="D122" s="54"/>
      <c r="E122" s="54"/>
      <c r="F122" s="54"/>
      <c r="G122" s="54"/>
      <c r="H122" s="54"/>
    </row>
    <row r="123">
      <c r="B123" s="54"/>
      <c r="C123" s="54"/>
      <c r="D123" s="54"/>
      <c r="E123" s="54"/>
      <c r="F123" s="54"/>
      <c r="G123" s="54"/>
      <c r="H123" s="54"/>
    </row>
    <row r="124">
      <c r="B124" s="54"/>
      <c r="C124" s="54"/>
      <c r="D124" s="54"/>
      <c r="E124" s="54"/>
      <c r="F124" s="54"/>
      <c r="G124" s="54"/>
      <c r="H124" s="54"/>
    </row>
    <row r="125">
      <c r="B125" s="54"/>
      <c r="C125" s="54"/>
      <c r="D125" s="54"/>
      <c r="E125" s="54"/>
      <c r="F125" s="54"/>
      <c r="G125" s="54"/>
      <c r="H125" s="54"/>
    </row>
    <row r="126">
      <c r="B126" s="54"/>
      <c r="C126" s="54"/>
      <c r="D126" s="54"/>
      <c r="E126" s="54"/>
      <c r="F126" s="54"/>
      <c r="G126" s="54"/>
      <c r="H126" s="54"/>
    </row>
    <row r="127">
      <c r="B127" s="54"/>
      <c r="C127" s="54"/>
      <c r="D127" s="54"/>
      <c r="E127" s="54"/>
      <c r="F127" s="54"/>
      <c r="G127" s="54"/>
      <c r="H127" s="54"/>
    </row>
    <row r="128">
      <c r="B128" s="54"/>
      <c r="C128" s="54"/>
      <c r="D128" s="54"/>
      <c r="E128" s="54"/>
      <c r="F128" s="54"/>
      <c r="G128" s="54"/>
      <c r="H128" s="54"/>
    </row>
    <row r="129">
      <c r="B129" s="54"/>
      <c r="C129" s="54"/>
      <c r="D129" s="54"/>
      <c r="E129" s="54"/>
      <c r="F129" s="54"/>
      <c r="G129" s="54"/>
      <c r="H129" s="54"/>
    </row>
    <row r="130">
      <c r="B130" s="54"/>
      <c r="C130" s="54"/>
      <c r="D130" s="54"/>
      <c r="E130" s="54"/>
      <c r="F130" s="54"/>
      <c r="G130" s="54"/>
      <c r="H130" s="54"/>
    </row>
    <row r="131">
      <c r="B131" s="54"/>
      <c r="C131" s="54"/>
      <c r="D131" s="54"/>
      <c r="E131" s="54"/>
      <c r="F131" s="54"/>
      <c r="G131" s="54"/>
      <c r="H131" s="54"/>
    </row>
    <row r="132">
      <c r="B132" s="54"/>
      <c r="C132" s="54"/>
      <c r="D132" s="54"/>
      <c r="E132" s="54"/>
      <c r="F132" s="54"/>
      <c r="G132" s="54"/>
      <c r="H132" s="54"/>
    </row>
    <row r="133">
      <c r="B133" s="54"/>
      <c r="C133" s="54"/>
      <c r="D133" s="54"/>
      <c r="E133" s="54"/>
      <c r="F133" s="54"/>
      <c r="G133" s="54"/>
      <c r="H133" s="54"/>
    </row>
    <row r="134">
      <c r="B134" s="54"/>
      <c r="C134" s="54"/>
      <c r="D134" s="54"/>
      <c r="E134" s="54"/>
      <c r="F134" s="54"/>
      <c r="G134" s="54"/>
      <c r="H134" s="54"/>
    </row>
    <row r="135">
      <c r="B135" s="54"/>
      <c r="C135" s="54"/>
      <c r="D135" s="54"/>
      <c r="E135" s="54"/>
      <c r="F135" s="54"/>
      <c r="G135" s="54"/>
      <c r="H135" s="54"/>
    </row>
    <row r="136">
      <c r="B136" s="54"/>
      <c r="C136" s="54"/>
      <c r="D136" s="54"/>
      <c r="E136" s="54"/>
      <c r="F136" s="54"/>
      <c r="G136" s="54"/>
      <c r="H136" s="54"/>
    </row>
    <row r="137">
      <c r="B137" s="54"/>
      <c r="C137" s="54"/>
      <c r="D137" s="54"/>
      <c r="E137" s="54"/>
      <c r="F137" s="54"/>
      <c r="G137" s="54"/>
      <c r="H137" s="54"/>
    </row>
    <row r="138">
      <c r="B138" s="54"/>
      <c r="C138" s="54"/>
      <c r="D138" s="54"/>
      <c r="E138" s="54"/>
      <c r="F138" s="54"/>
      <c r="G138" s="54"/>
      <c r="H138" s="54"/>
    </row>
    <row r="139">
      <c r="B139" s="54"/>
      <c r="C139" s="54"/>
      <c r="D139" s="54"/>
      <c r="E139" s="54"/>
      <c r="F139" s="54"/>
      <c r="G139" s="54"/>
      <c r="H139" s="54"/>
    </row>
    <row r="140">
      <c r="B140" s="54"/>
      <c r="C140" s="54"/>
      <c r="D140" s="54"/>
      <c r="E140" s="54"/>
      <c r="F140" s="54"/>
      <c r="G140" s="54"/>
      <c r="H140" s="54"/>
    </row>
    <row r="141">
      <c r="B141" s="54"/>
      <c r="C141" s="54"/>
      <c r="D141" s="54"/>
      <c r="E141" s="54"/>
      <c r="F141" s="54"/>
      <c r="G141" s="54"/>
      <c r="H141" s="54"/>
    </row>
    <row r="142">
      <c r="B142" s="54"/>
      <c r="C142" s="54"/>
      <c r="D142" s="54"/>
      <c r="E142" s="54"/>
      <c r="F142" s="54"/>
      <c r="G142" s="54"/>
      <c r="H142" s="54"/>
    </row>
    <row r="143">
      <c r="B143" s="54"/>
      <c r="C143" s="54"/>
      <c r="D143" s="54"/>
      <c r="E143" s="54"/>
      <c r="F143" s="54"/>
      <c r="G143" s="54"/>
      <c r="H143" s="54"/>
    </row>
    <row r="144">
      <c r="B144" s="54"/>
      <c r="C144" s="54"/>
      <c r="D144" s="54"/>
      <c r="E144" s="54"/>
      <c r="F144" s="54"/>
      <c r="G144" s="54"/>
      <c r="H144" s="54"/>
    </row>
    <row r="145">
      <c r="B145" s="54"/>
      <c r="C145" s="54"/>
      <c r="D145" s="54"/>
      <c r="E145" s="54"/>
      <c r="F145" s="54"/>
      <c r="G145" s="54"/>
      <c r="H145" s="54"/>
    </row>
    <row r="146">
      <c r="B146" s="54"/>
      <c r="C146" s="54"/>
      <c r="D146" s="54"/>
      <c r="E146" s="54"/>
      <c r="F146" s="54"/>
      <c r="G146" s="54"/>
      <c r="H146" s="54"/>
    </row>
    <row r="147">
      <c r="B147" s="54"/>
      <c r="C147" s="54"/>
      <c r="D147" s="54"/>
      <c r="E147" s="54"/>
      <c r="F147" s="54"/>
      <c r="G147" s="54"/>
      <c r="H147" s="54"/>
    </row>
    <row r="148">
      <c r="B148" s="54"/>
      <c r="C148" s="54"/>
      <c r="D148" s="54"/>
      <c r="E148" s="54"/>
      <c r="F148" s="54"/>
      <c r="G148" s="54"/>
      <c r="H148" s="54"/>
    </row>
    <row r="149">
      <c r="B149" s="54"/>
      <c r="C149" s="54"/>
      <c r="D149" s="54"/>
      <c r="E149" s="54"/>
      <c r="F149" s="54"/>
      <c r="G149" s="54"/>
      <c r="H149" s="54"/>
    </row>
    <row r="150">
      <c r="B150" s="54"/>
      <c r="C150" s="54"/>
      <c r="D150" s="54"/>
      <c r="E150" s="54"/>
      <c r="F150" s="54"/>
      <c r="G150" s="54"/>
      <c r="H150" s="54"/>
    </row>
    <row r="151">
      <c r="B151" s="54"/>
      <c r="C151" s="54"/>
      <c r="D151" s="54"/>
      <c r="E151" s="54"/>
      <c r="F151" s="54"/>
      <c r="G151" s="54"/>
      <c r="H151" s="54"/>
    </row>
    <row r="152">
      <c r="B152" s="54"/>
      <c r="C152" s="54"/>
      <c r="D152" s="54"/>
      <c r="E152" s="54"/>
      <c r="F152" s="54"/>
      <c r="G152" s="54"/>
      <c r="H152" s="54"/>
    </row>
    <row r="153">
      <c r="B153" s="54"/>
      <c r="C153" s="54"/>
      <c r="D153" s="54"/>
      <c r="E153" s="54"/>
      <c r="F153" s="54"/>
      <c r="G153" s="54"/>
      <c r="H153" s="54"/>
    </row>
    <row r="154">
      <c r="B154" s="54"/>
      <c r="C154" s="54"/>
      <c r="D154" s="54"/>
      <c r="E154" s="54"/>
      <c r="F154" s="54"/>
      <c r="G154" s="54"/>
      <c r="H154" s="54"/>
    </row>
    <row r="155">
      <c r="B155" s="54"/>
      <c r="C155" s="54"/>
      <c r="D155" s="54"/>
      <c r="E155" s="54"/>
      <c r="F155" s="54"/>
      <c r="G155" s="54"/>
      <c r="H155" s="54"/>
    </row>
    <row r="156">
      <c r="B156" s="54"/>
      <c r="C156" s="54"/>
      <c r="D156" s="54"/>
      <c r="E156" s="54"/>
      <c r="F156" s="54"/>
      <c r="G156" s="54"/>
      <c r="H156" s="54"/>
    </row>
    <row r="157">
      <c r="B157" s="54"/>
      <c r="C157" s="54"/>
      <c r="D157" s="54"/>
      <c r="E157" s="54"/>
      <c r="F157" s="54"/>
      <c r="G157" s="54"/>
      <c r="H157" s="54"/>
    </row>
    <row r="158">
      <c r="B158" s="54"/>
      <c r="C158" s="54"/>
      <c r="D158" s="54"/>
      <c r="E158" s="54"/>
      <c r="F158" s="54"/>
      <c r="G158" s="54"/>
      <c r="H158" s="54"/>
    </row>
    <row r="159">
      <c r="B159" s="54"/>
      <c r="C159" s="54"/>
      <c r="D159" s="54"/>
      <c r="E159" s="54"/>
      <c r="F159" s="54"/>
      <c r="G159" s="54"/>
      <c r="H159" s="54"/>
    </row>
    <row r="160">
      <c r="B160" s="54"/>
      <c r="C160" s="54"/>
      <c r="D160" s="54"/>
      <c r="E160" s="54"/>
      <c r="F160" s="54"/>
      <c r="G160" s="54"/>
      <c r="H160" s="54"/>
    </row>
    <row r="161">
      <c r="B161" s="54"/>
      <c r="C161" s="54"/>
      <c r="D161" s="54"/>
      <c r="E161" s="54"/>
      <c r="F161" s="54"/>
      <c r="G161" s="54"/>
      <c r="H161" s="54"/>
    </row>
    <row r="162">
      <c r="B162" s="54"/>
      <c r="C162" s="54"/>
      <c r="D162" s="54"/>
      <c r="E162" s="54"/>
      <c r="F162" s="54"/>
      <c r="G162" s="54"/>
      <c r="H162" s="54"/>
    </row>
    <row r="163">
      <c r="B163" s="54"/>
      <c r="C163" s="54"/>
      <c r="D163" s="54"/>
      <c r="E163" s="54"/>
      <c r="F163" s="54"/>
      <c r="G163" s="54"/>
      <c r="H163" s="54"/>
    </row>
    <row r="164">
      <c r="B164" s="54"/>
      <c r="C164" s="54"/>
      <c r="D164" s="54"/>
      <c r="E164" s="54"/>
      <c r="F164" s="54"/>
      <c r="G164" s="54"/>
      <c r="H164" s="54"/>
    </row>
    <row r="165">
      <c r="B165" s="54"/>
      <c r="C165" s="54"/>
      <c r="D165" s="54"/>
      <c r="E165" s="54"/>
      <c r="F165" s="54"/>
      <c r="G165" s="54"/>
      <c r="H165" s="54"/>
    </row>
    <row r="166">
      <c r="B166" s="54"/>
      <c r="C166" s="54"/>
      <c r="D166" s="54"/>
      <c r="E166" s="54"/>
      <c r="F166" s="54"/>
      <c r="G166" s="54"/>
      <c r="H166" s="54"/>
    </row>
    <row r="167">
      <c r="B167" s="54"/>
      <c r="C167" s="54"/>
      <c r="D167" s="54"/>
      <c r="E167" s="54"/>
      <c r="F167" s="54"/>
      <c r="G167" s="54"/>
      <c r="H167" s="54"/>
    </row>
    <row r="168">
      <c r="B168" s="54"/>
      <c r="C168" s="54"/>
      <c r="D168" s="54"/>
      <c r="E168" s="54"/>
      <c r="F168" s="54"/>
      <c r="G168" s="54"/>
      <c r="H168" s="54"/>
    </row>
    <row r="169">
      <c r="B169" s="54"/>
      <c r="C169" s="54"/>
      <c r="D169" s="54"/>
      <c r="E169" s="54"/>
      <c r="F169" s="54"/>
      <c r="G169" s="54"/>
      <c r="H169" s="54"/>
    </row>
    <row r="170">
      <c r="B170" s="54"/>
      <c r="C170" s="54"/>
      <c r="D170" s="54"/>
      <c r="E170" s="54"/>
      <c r="F170" s="54"/>
      <c r="G170" s="54"/>
      <c r="H170" s="54"/>
    </row>
    <row r="171">
      <c r="B171" s="54"/>
      <c r="C171" s="54"/>
      <c r="D171" s="54"/>
      <c r="E171" s="54"/>
      <c r="F171" s="54"/>
      <c r="G171" s="54"/>
      <c r="H171" s="54"/>
    </row>
    <row r="172">
      <c r="B172" s="54"/>
      <c r="C172" s="54"/>
      <c r="D172" s="54"/>
      <c r="E172" s="54"/>
      <c r="F172" s="54"/>
      <c r="G172" s="54"/>
      <c r="H172" s="54"/>
    </row>
    <row r="173">
      <c r="B173" s="54"/>
      <c r="C173" s="54"/>
      <c r="D173" s="54"/>
      <c r="E173" s="54"/>
      <c r="F173" s="54"/>
      <c r="G173" s="54"/>
      <c r="H173" s="54"/>
    </row>
    <row r="174">
      <c r="B174" s="54"/>
      <c r="C174" s="54"/>
      <c r="D174" s="54"/>
      <c r="E174" s="54"/>
      <c r="F174" s="54"/>
      <c r="G174" s="54"/>
      <c r="H174" s="54"/>
    </row>
    <row r="175">
      <c r="B175" s="54"/>
      <c r="C175" s="54"/>
      <c r="D175" s="54"/>
      <c r="E175" s="54"/>
      <c r="F175" s="54"/>
      <c r="G175" s="54"/>
      <c r="H175" s="54"/>
    </row>
    <row r="176">
      <c r="B176" s="54"/>
      <c r="C176" s="54"/>
      <c r="D176" s="54"/>
      <c r="E176" s="54"/>
      <c r="F176" s="54"/>
      <c r="G176" s="54"/>
      <c r="H176" s="54"/>
    </row>
    <row r="177">
      <c r="B177" s="54"/>
      <c r="C177" s="54"/>
      <c r="D177" s="54"/>
      <c r="E177" s="54"/>
      <c r="F177" s="54"/>
      <c r="G177" s="54"/>
      <c r="H177" s="54"/>
    </row>
    <row r="178">
      <c r="B178" s="54"/>
      <c r="C178" s="54"/>
      <c r="D178" s="54"/>
      <c r="E178" s="54"/>
      <c r="F178" s="54"/>
      <c r="G178" s="54"/>
      <c r="H178" s="54"/>
    </row>
    <row r="179">
      <c r="B179" s="54"/>
      <c r="C179" s="54"/>
      <c r="D179" s="54"/>
      <c r="E179" s="54"/>
      <c r="F179" s="54"/>
      <c r="G179" s="54"/>
      <c r="H179" s="54"/>
    </row>
    <row r="180">
      <c r="B180" s="54"/>
      <c r="C180" s="54"/>
      <c r="D180" s="54"/>
      <c r="E180" s="54"/>
      <c r="F180" s="54"/>
      <c r="G180" s="54"/>
      <c r="H180" s="54"/>
    </row>
    <row r="181">
      <c r="B181" s="54"/>
      <c r="C181" s="54"/>
      <c r="D181" s="54"/>
      <c r="E181" s="54"/>
      <c r="F181" s="54"/>
      <c r="G181" s="54"/>
      <c r="H181" s="54"/>
    </row>
    <row r="182">
      <c r="B182" s="54"/>
      <c r="C182" s="54"/>
      <c r="D182" s="54"/>
      <c r="E182" s="54"/>
      <c r="F182" s="54"/>
      <c r="G182" s="54"/>
      <c r="H182" s="54"/>
    </row>
    <row r="183">
      <c r="B183" s="54"/>
      <c r="C183" s="54"/>
      <c r="D183" s="54"/>
      <c r="E183" s="54"/>
      <c r="F183" s="54"/>
      <c r="G183" s="54"/>
      <c r="H183" s="54"/>
    </row>
    <row r="184">
      <c r="B184" s="54"/>
      <c r="C184" s="54"/>
      <c r="D184" s="54"/>
      <c r="E184" s="54"/>
      <c r="F184" s="54"/>
      <c r="G184" s="54"/>
      <c r="H184" s="54"/>
    </row>
    <row r="185">
      <c r="B185" s="54"/>
      <c r="C185" s="54"/>
      <c r="D185" s="54"/>
      <c r="E185" s="54"/>
      <c r="F185" s="54"/>
      <c r="G185" s="54"/>
      <c r="H185" s="54"/>
    </row>
    <row r="186">
      <c r="B186" s="54"/>
      <c r="C186" s="54"/>
      <c r="D186" s="54"/>
      <c r="E186" s="54"/>
      <c r="F186" s="54"/>
      <c r="G186" s="54"/>
      <c r="H186" s="54"/>
    </row>
    <row r="187">
      <c r="B187" s="54"/>
      <c r="C187" s="54"/>
      <c r="D187" s="54"/>
      <c r="E187" s="54"/>
      <c r="F187" s="54"/>
      <c r="G187" s="54"/>
      <c r="H187" s="54"/>
    </row>
    <row r="188">
      <c r="B188" s="54"/>
      <c r="C188" s="54"/>
      <c r="D188" s="54"/>
      <c r="E188" s="54"/>
      <c r="F188" s="54"/>
      <c r="G188" s="54"/>
      <c r="H188" s="54"/>
    </row>
    <row r="189">
      <c r="B189" s="54"/>
      <c r="C189" s="54"/>
      <c r="D189" s="54"/>
      <c r="E189" s="54"/>
      <c r="F189" s="54"/>
      <c r="G189" s="54"/>
      <c r="H189" s="54"/>
    </row>
    <row r="190">
      <c r="B190" s="54"/>
      <c r="C190" s="54"/>
      <c r="D190" s="54"/>
      <c r="E190" s="54"/>
      <c r="F190" s="54"/>
      <c r="G190" s="54"/>
      <c r="H190" s="54"/>
    </row>
    <row r="191">
      <c r="B191" s="54"/>
      <c r="C191" s="54"/>
      <c r="D191" s="54"/>
      <c r="E191" s="54"/>
      <c r="F191" s="54"/>
      <c r="G191" s="54"/>
      <c r="H191" s="54"/>
    </row>
    <row r="192">
      <c r="B192" s="54"/>
      <c r="C192" s="54"/>
      <c r="D192" s="54"/>
      <c r="E192" s="54"/>
      <c r="F192" s="54"/>
      <c r="G192" s="54"/>
      <c r="H192" s="54"/>
    </row>
    <row r="193">
      <c r="B193" s="54"/>
      <c r="C193" s="54"/>
      <c r="D193" s="54"/>
      <c r="E193" s="54"/>
      <c r="F193" s="54"/>
      <c r="G193" s="54"/>
      <c r="H193" s="54"/>
    </row>
    <row r="194">
      <c r="B194" s="54"/>
      <c r="C194" s="54"/>
      <c r="D194" s="54"/>
      <c r="E194" s="54"/>
      <c r="F194" s="54"/>
      <c r="G194" s="54"/>
      <c r="H194" s="54"/>
    </row>
    <row r="195">
      <c r="B195" s="54"/>
      <c r="C195" s="54"/>
      <c r="D195" s="54"/>
      <c r="E195" s="54"/>
      <c r="F195" s="54"/>
      <c r="G195" s="54"/>
      <c r="H195" s="54"/>
    </row>
    <row r="196">
      <c r="B196" s="54"/>
      <c r="C196" s="54"/>
      <c r="D196" s="54"/>
      <c r="E196" s="54"/>
      <c r="F196" s="54"/>
      <c r="G196" s="54"/>
      <c r="H196" s="54"/>
    </row>
    <row r="197">
      <c r="B197" s="54"/>
      <c r="C197" s="54"/>
      <c r="D197" s="54"/>
      <c r="E197" s="54"/>
      <c r="F197" s="54"/>
      <c r="G197" s="54"/>
      <c r="H197" s="54"/>
    </row>
    <row r="198">
      <c r="B198" s="54"/>
      <c r="C198" s="54"/>
      <c r="D198" s="54"/>
      <c r="E198" s="54"/>
      <c r="F198" s="54"/>
      <c r="G198" s="54"/>
      <c r="H198" s="54"/>
    </row>
    <row r="199">
      <c r="B199" s="54"/>
      <c r="C199" s="54"/>
      <c r="D199" s="54"/>
      <c r="E199" s="54"/>
      <c r="F199" s="54"/>
      <c r="G199" s="54"/>
      <c r="H199" s="54"/>
    </row>
    <row r="200">
      <c r="B200" s="54"/>
      <c r="C200" s="54"/>
      <c r="D200" s="54"/>
      <c r="E200" s="54"/>
      <c r="F200" s="54"/>
      <c r="G200" s="54"/>
      <c r="H200" s="54"/>
    </row>
    <row r="201">
      <c r="B201" s="54"/>
      <c r="C201" s="54"/>
      <c r="D201" s="54"/>
      <c r="E201" s="54"/>
      <c r="F201" s="54"/>
      <c r="G201" s="54"/>
      <c r="H201" s="54"/>
    </row>
    <row r="202">
      <c r="B202" s="54"/>
      <c r="C202" s="54"/>
      <c r="D202" s="54"/>
      <c r="E202" s="54"/>
      <c r="F202" s="54"/>
      <c r="G202" s="54"/>
      <c r="H202" s="54"/>
    </row>
    <row r="203">
      <c r="B203" s="54"/>
      <c r="C203" s="54"/>
      <c r="D203" s="54"/>
      <c r="E203" s="54"/>
      <c r="F203" s="54"/>
      <c r="G203" s="54"/>
      <c r="H203" s="54"/>
    </row>
    <row r="204">
      <c r="B204" s="54"/>
      <c r="C204" s="54"/>
      <c r="D204" s="54"/>
      <c r="E204" s="54"/>
      <c r="F204" s="54"/>
      <c r="G204" s="54"/>
      <c r="H204" s="54"/>
    </row>
    <row r="205">
      <c r="B205" s="54"/>
      <c r="C205" s="54"/>
      <c r="D205" s="54"/>
      <c r="E205" s="54"/>
      <c r="F205" s="54"/>
      <c r="G205" s="54"/>
      <c r="H205" s="54"/>
    </row>
    <row r="206">
      <c r="B206" s="54"/>
      <c r="C206" s="54"/>
      <c r="D206" s="54"/>
      <c r="E206" s="54"/>
      <c r="F206" s="54"/>
      <c r="G206" s="54"/>
      <c r="H206" s="54"/>
    </row>
    <row r="207">
      <c r="B207" s="54"/>
      <c r="C207" s="54"/>
      <c r="D207" s="54"/>
      <c r="E207" s="54"/>
      <c r="F207" s="54"/>
      <c r="G207" s="54"/>
      <c r="H207" s="54"/>
    </row>
    <row r="208">
      <c r="B208" s="54"/>
      <c r="C208" s="54"/>
      <c r="D208" s="54"/>
      <c r="E208" s="54"/>
      <c r="F208" s="54"/>
      <c r="G208" s="54"/>
      <c r="H208" s="54"/>
    </row>
    <row r="209">
      <c r="B209" s="54"/>
      <c r="C209" s="54"/>
      <c r="D209" s="54"/>
      <c r="E209" s="54"/>
      <c r="F209" s="54"/>
      <c r="G209" s="54"/>
      <c r="H209" s="54"/>
    </row>
    <row r="210">
      <c r="B210" s="54"/>
      <c r="C210" s="54"/>
      <c r="D210" s="54"/>
      <c r="E210" s="54"/>
      <c r="F210" s="54"/>
      <c r="G210" s="54"/>
      <c r="H210" s="54"/>
    </row>
    <row r="211">
      <c r="B211" s="54"/>
      <c r="C211" s="54"/>
      <c r="D211" s="54"/>
      <c r="E211" s="54"/>
      <c r="F211" s="54"/>
      <c r="G211" s="54"/>
      <c r="H211" s="54"/>
    </row>
    <row r="212">
      <c r="B212" s="54"/>
      <c r="C212" s="54"/>
      <c r="D212" s="54"/>
      <c r="E212" s="54"/>
      <c r="F212" s="54"/>
      <c r="G212" s="54"/>
      <c r="H212" s="54"/>
    </row>
    <row r="213">
      <c r="B213" s="54"/>
      <c r="C213" s="54"/>
      <c r="D213" s="54"/>
      <c r="E213" s="54"/>
      <c r="F213" s="54"/>
      <c r="G213" s="54"/>
      <c r="H213" s="54"/>
    </row>
    <row r="214">
      <c r="B214" s="54"/>
      <c r="C214" s="54"/>
      <c r="D214" s="54"/>
      <c r="E214" s="54"/>
      <c r="F214" s="54"/>
      <c r="G214" s="54"/>
      <c r="H214" s="54"/>
    </row>
    <row r="215">
      <c r="B215" s="54"/>
      <c r="C215" s="54"/>
      <c r="D215" s="54"/>
      <c r="E215" s="54"/>
      <c r="F215" s="54"/>
      <c r="G215" s="54"/>
      <c r="H215" s="54"/>
    </row>
    <row r="216">
      <c r="B216" s="54"/>
      <c r="C216" s="54"/>
      <c r="D216" s="54"/>
      <c r="E216" s="54"/>
      <c r="F216" s="54"/>
      <c r="G216" s="54"/>
      <c r="H216" s="54"/>
    </row>
    <row r="217">
      <c r="B217" s="54"/>
      <c r="C217" s="54"/>
      <c r="D217" s="54"/>
      <c r="E217" s="54"/>
      <c r="F217" s="54"/>
      <c r="G217" s="54"/>
      <c r="H217" s="54"/>
    </row>
    <row r="218">
      <c r="B218" s="54"/>
      <c r="C218" s="54"/>
      <c r="D218" s="54"/>
      <c r="E218" s="54"/>
      <c r="F218" s="54"/>
      <c r="G218" s="54"/>
      <c r="H218" s="54"/>
    </row>
    <row r="219">
      <c r="B219" s="54"/>
      <c r="C219" s="54"/>
      <c r="D219" s="54"/>
      <c r="E219" s="54"/>
      <c r="F219" s="54"/>
      <c r="G219" s="54"/>
      <c r="H219" s="54"/>
    </row>
    <row r="220">
      <c r="B220" s="54"/>
      <c r="C220" s="54"/>
      <c r="D220" s="54"/>
      <c r="E220" s="54"/>
      <c r="F220" s="54"/>
      <c r="G220" s="54"/>
      <c r="H220" s="54"/>
    </row>
    <row r="221">
      <c r="B221" s="54"/>
      <c r="C221" s="54"/>
      <c r="D221" s="54"/>
      <c r="E221" s="54"/>
      <c r="F221" s="54"/>
      <c r="G221" s="54"/>
      <c r="H221" s="54"/>
    </row>
    <row r="222">
      <c r="B222" s="54"/>
      <c r="C222" s="54"/>
      <c r="D222" s="54"/>
      <c r="E222" s="54"/>
      <c r="F222" s="54"/>
      <c r="G222" s="54"/>
      <c r="H222" s="54"/>
    </row>
    <row r="223">
      <c r="B223" s="54"/>
      <c r="C223" s="54"/>
      <c r="D223" s="54"/>
      <c r="E223" s="54"/>
      <c r="F223" s="54"/>
      <c r="G223" s="54"/>
      <c r="H223" s="54"/>
    </row>
    <row r="224">
      <c r="B224" s="54"/>
      <c r="C224" s="54"/>
      <c r="D224" s="54"/>
      <c r="E224" s="54"/>
      <c r="F224" s="54"/>
      <c r="G224" s="54"/>
      <c r="H224" s="54"/>
    </row>
    <row r="225">
      <c r="B225" s="54"/>
      <c r="C225" s="54"/>
      <c r="D225" s="54"/>
      <c r="E225" s="54"/>
      <c r="F225" s="54"/>
      <c r="G225" s="54"/>
      <c r="H225" s="54"/>
    </row>
    <row r="226">
      <c r="B226" s="54"/>
      <c r="C226" s="54"/>
      <c r="D226" s="54"/>
      <c r="E226" s="54"/>
      <c r="F226" s="54"/>
      <c r="G226" s="54"/>
      <c r="H226" s="54"/>
    </row>
    <row r="227">
      <c r="B227" s="54"/>
      <c r="C227" s="54"/>
      <c r="D227" s="54"/>
      <c r="E227" s="54"/>
      <c r="F227" s="54"/>
      <c r="G227" s="54"/>
      <c r="H227" s="54"/>
    </row>
    <row r="228">
      <c r="B228" s="54"/>
      <c r="C228" s="54"/>
      <c r="D228" s="54"/>
      <c r="E228" s="54"/>
      <c r="F228" s="54"/>
      <c r="G228" s="54"/>
      <c r="H228" s="54"/>
    </row>
    <row r="229">
      <c r="B229" s="54"/>
      <c r="C229" s="54"/>
      <c r="D229" s="54"/>
      <c r="E229" s="54"/>
      <c r="F229" s="54"/>
      <c r="G229" s="54"/>
      <c r="H229" s="54"/>
    </row>
    <row r="230">
      <c r="B230" s="54"/>
      <c r="C230" s="54"/>
      <c r="D230" s="54"/>
      <c r="E230" s="54"/>
      <c r="F230" s="54"/>
      <c r="G230" s="54"/>
      <c r="H230" s="54"/>
    </row>
    <row r="231">
      <c r="B231" s="54"/>
      <c r="C231" s="54"/>
      <c r="D231" s="54"/>
      <c r="E231" s="54"/>
      <c r="F231" s="54"/>
      <c r="G231" s="54"/>
      <c r="H231" s="54"/>
    </row>
    <row r="232">
      <c r="B232" s="54"/>
      <c r="C232" s="54"/>
      <c r="D232" s="54"/>
      <c r="E232" s="54"/>
      <c r="F232" s="54"/>
      <c r="G232" s="54"/>
      <c r="H232" s="54"/>
    </row>
    <row r="233">
      <c r="B233" s="54"/>
      <c r="C233" s="54"/>
      <c r="D233" s="54"/>
      <c r="E233" s="54"/>
      <c r="F233" s="54"/>
      <c r="G233" s="54"/>
      <c r="H233" s="54"/>
    </row>
    <row r="234">
      <c r="B234" s="54"/>
      <c r="C234" s="54"/>
      <c r="D234" s="54"/>
      <c r="E234" s="54"/>
      <c r="F234" s="54"/>
      <c r="G234" s="54"/>
      <c r="H234" s="54"/>
    </row>
    <row r="235">
      <c r="B235" s="54"/>
      <c r="C235" s="54"/>
      <c r="D235" s="54"/>
      <c r="E235" s="54"/>
      <c r="F235" s="54"/>
      <c r="G235" s="54"/>
      <c r="H235" s="54"/>
    </row>
    <row r="236">
      <c r="B236" s="54"/>
      <c r="C236" s="54"/>
      <c r="D236" s="54"/>
      <c r="E236" s="54"/>
      <c r="F236" s="54"/>
      <c r="G236" s="54"/>
      <c r="H236" s="54"/>
    </row>
    <row r="237">
      <c r="B237" s="54"/>
      <c r="C237" s="54"/>
      <c r="D237" s="54"/>
      <c r="E237" s="54"/>
      <c r="F237" s="54"/>
      <c r="G237" s="54"/>
      <c r="H237" s="54"/>
    </row>
    <row r="238">
      <c r="B238" s="54"/>
      <c r="C238" s="54"/>
      <c r="D238" s="54"/>
      <c r="E238" s="54"/>
      <c r="F238" s="54"/>
      <c r="G238" s="54"/>
      <c r="H238" s="54"/>
    </row>
    <row r="239">
      <c r="B239" s="54"/>
      <c r="C239" s="54"/>
      <c r="D239" s="54"/>
      <c r="E239" s="54"/>
      <c r="F239" s="54"/>
      <c r="G239" s="54"/>
      <c r="H239" s="54"/>
    </row>
    <row r="240">
      <c r="B240" s="54"/>
      <c r="C240" s="54"/>
      <c r="D240" s="54"/>
      <c r="E240" s="54"/>
      <c r="F240" s="54"/>
      <c r="G240" s="54"/>
      <c r="H240" s="54"/>
    </row>
    <row r="241">
      <c r="B241" s="54"/>
      <c r="C241" s="54"/>
      <c r="D241" s="54"/>
      <c r="E241" s="54"/>
      <c r="F241" s="54"/>
      <c r="G241" s="54"/>
      <c r="H241" s="54"/>
    </row>
    <row r="242">
      <c r="B242" s="54"/>
      <c r="C242" s="54"/>
      <c r="D242" s="54"/>
      <c r="E242" s="54"/>
      <c r="F242" s="54"/>
      <c r="G242" s="54"/>
      <c r="H242" s="54"/>
    </row>
    <row r="243">
      <c r="B243" s="54"/>
      <c r="C243" s="54"/>
      <c r="D243" s="54"/>
      <c r="E243" s="54"/>
      <c r="F243" s="54"/>
      <c r="G243" s="54"/>
      <c r="H243" s="54"/>
    </row>
    <row r="244">
      <c r="B244" s="54"/>
      <c r="C244" s="54"/>
      <c r="D244" s="54"/>
      <c r="E244" s="54"/>
      <c r="F244" s="54"/>
      <c r="G244" s="54"/>
      <c r="H244" s="54"/>
    </row>
    <row r="245">
      <c r="B245" s="54"/>
      <c r="C245" s="54"/>
      <c r="D245" s="54"/>
      <c r="E245" s="54"/>
      <c r="F245" s="54"/>
      <c r="G245" s="54"/>
      <c r="H245" s="54"/>
    </row>
    <row r="246">
      <c r="B246" s="54"/>
      <c r="C246" s="54"/>
      <c r="D246" s="54"/>
      <c r="E246" s="54"/>
      <c r="F246" s="54"/>
      <c r="G246" s="54"/>
      <c r="H246" s="54"/>
    </row>
    <row r="247">
      <c r="B247" s="54"/>
      <c r="C247" s="54"/>
      <c r="D247" s="54"/>
      <c r="E247" s="54"/>
      <c r="F247" s="54"/>
      <c r="G247" s="54"/>
      <c r="H247" s="54"/>
    </row>
    <row r="248">
      <c r="B248" s="54"/>
      <c r="C248" s="54"/>
      <c r="D248" s="54"/>
      <c r="E248" s="54"/>
      <c r="F248" s="54"/>
      <c r="G248" s="54"/>
      <c r="H248" s="54"/>
    </row>
    <row r="249">
      <c r="B249" s="54"/>
      <c r="C249" s="54"/>
      <c r="D249" s="54"/>
      <c r="E249" s="54"/>
      <c r="F249" s="54"/>
      <c r="G249" s="54"/>
      <c r="H249" s="54"/>
    </row>
    <row r="250">
      <c r="B250" s="54"/>
      <c r="C250" s="54"/>
      <c r="D250" s="54"/>
      <c r="E250" s="54"/>
      <c r="F250" s="54"/>
      <c r="G250" s="54"/>
      <c r="H250" s="54"/>
    </row>
    <row r="251">
      <c r="B251" s="54"/>
      <c r="C251" s="54"/>
      <c r="D251" s="54"/>
      <c r="E251" s="54"/>
      <c r="F251" s="54"/>
      <c r="G251" s="54"/>
      <c r="H251" s="54"/>
    </row>
    <row r="252">
      <c r="B252" s="54"/>
      <c r="C252" s="54"/>
      <c r="D252" s="54"/>
      <c r="E252" s="54"/>
      <c r="F252" s="54"/>
      <c r="G252" s="54"/>
      <c r="H252" s="54"/>
    </row>
    <row r="253">
      <c r="B253" s="54"/>
      <c r="C253" s="54"/>
      <c r="D253" s="54"/>
      <c r="E253" s="54"/>
      <c r="F253" s="54"/>
      <c r="G253" s="54"/>
      <c r="H253" s="54"/>
    </row>
    <row r="254">
      <c r="B254" s="54"/>
      <c r="C254" s="54"/>
      <c r="D254" s="54"/>
      <c r="E254" s="54"/>
      <c r="F254" s="54"/>
      <c r="G254" s="54"/>
      <c r="H254" s="54"/>
    </row>
    <row r="255">
      <c r="B255" s="54"/>
      <c r="C255" s="54"/>
      <c r="D255" s="54"/>
      <c r="E255" s="54"/>
      <c r="F255" s="54"/>
      <c r="G255" s="54"/>
      <c r="H255" s="54"/>
    </row>
    <row r="256">
      <c r="B256" s="54"/>
      <c r="C256" s="54"/>
      <c r="D256" s="54"/>
      <c r="E256" s="54"/>
      <c r="F256" s="54"/>
      <c r="G256" s="54"/>
      <c r="H256" s="54"/>
    </row>
    <row r="257">
      <c r="B257" s="54"/>
      <c r="C257" s="54"/>
      <c r="D257" s="54"/>
      <c r="E257" s="54"/>
      <c r="F257" s="54"/>
      <c r="G257" s="54"/>
      <c r="H257" s="54"/>
    </row>
    <row r="258">
      <c r="B258" s="54"/>
      <c r="C258" s="54"/>
      <c r="D258" s="54"/>
      <c r="E258" s="54"/>
      <c r="F258" s="54"/>
      <c r="G258" s="54"/>
      <c r="H258" s="54"/>
    </row>
    <row r="259">
      <c r="B259" s="54"/>
      <c r="C259" s="54"/>
      <c r="D259" s="54"/>
      <c r="E259" s="54"/>
      <c r="F259" s="54"/>
      <c r="G259" s="54"/>
      <c r="H259" s="54"/>
    </row>
    <row r="260">
      <c r="B260" s="54"/>
      <c r="C260" s="54"/>
      <c r="D260" s="54"/>
      <c r="E260" s="54"/>
      <c r="F260" s="54"/>
      <c r="G260" s="54"/>
      <c r="H260" s="54"/>
    </row>
    <row r="261">
      <c r="B261" s="54"/>
      <c r="C261" s="54"/>
      <c r="D261" s="54"/>
      <c r="E261" s="54"/>
      <c r="F261" s="54"/>
      <c r="G261" s="54"/>
      <c r="H261" s="54"/>
    </row>
    <row r="262">
      <c r="B262" s="54"/>
      <c r="C262" s="54"/>
      <c r="D262" s="54"/>
      <c r="E262" s="54"/>
      <c r="F262" s="54"/>
      <c r="G262" s="54"/>
      <c r="H262" s="54"/>
    </row>
    <row r="263">
      <c r="B263" s="54"/>
      <c r="C263" s="54"/>
      <c r="D263" s="54"/>
      <c r="E263" s="54"/>
      <c r="F263" s="54"/>
      <c r="G263" s="54"/>
      <c r="H263" s="54"/>
    </row>
    <row r="264">
      <c r="B264" s="54"/>
      <c r="C264" s="54"/>
      <c r="D264" s="54"/>
      <c r="E264" s="54"/>
      <c r="F264" s="54"/>
      <c r="G264" s="54"/>
      <c r="H264" s="54"/>
    </row>
    <row r="265">
      <c r="B265" s="54"/>
      <c r="C265" s="54"/>
      <c r="D265" s="54"/>
      <c r="E265" s="54"/>
      <c r="F265" s="54"/>
      <c r="G265" s="54"/>
      <c r="H265" s="54"/>
    </row>
    <row r="266">
      <c r="B266" s="54"/>
      <c r="C266" s="54"/>
      <c r="D266" s="54"/>
      <c r="E266" s="54"/>
      <c r="F266" s="54"/>
      <c r="G266" s="54"/>
      <c r="H266" s="54"/>
    </row>
    <row r="267">
      <c r="B267" s="54"/>
      <c r="C267" s="54"/>
      <c r="D267" s="54"/>
      <c r="E267" s="54"/>
      <c r="F267" s="54"/>
      <c r="G267" s="54"/>
      <c r="H267" s="54"/>
    </row>
    <row r="268">
      <c r="B268" s="54"/>
      <c r="C268" s="54"/>
      <c r="D268" s="54"/>
      <c r="E268" s="54"/>
      <c r="F268" s="54"/>
      <c r="G268" s="54"/>
      <c r="H268" s="54"/>
    </row>
    <row r="269">
      <c r="B269" s="54"/>
      <c r="C269" s="54"/>
      <c r="D269" s="54"/>
      <c r="E269" s="54"/>
      <c r="F269" s="54"/>
      <c r="G269" s="54"/>
      <c r="H269" s="54"/>
    </row>
    <row r="270">
      <c r="B270" s="54"/>
      <c r="C270" s="54"/>
      <c r="D270" s="54"/>
      <c r="E270" s="54"/>
      <c r="F270" s="54"/>
      <c r="G270" s="54"/>
      <c r="H270" s="54"/>
    </row>
    <row r="271">
      <c r="B271" s="54"/>
      <c r="C271" s="54"/>
      <c r="D271" s="54"/>
      <c r="E271" s="54"/>
      <c r="F271" s="54"/>
      <c r="G271" s="54"/>
      <c r="H271" s="54"/>
    </row>
    <row r="272">
      <c r="B272" s="54"/>
      <c r="C272" s="54"/>
      <c r="D272" s="54"/>
      <c r="E272" s="54"/>
      <c r="F272" s="54"/>
      <c r="G272" s="54"/>
      <c r="H272" s="54"/>
    </row>
    <row r="273">
      <c r="B273" s="54"/>
      <c r="C273" s="54"/>
      <c r="D273" s="54"/>
      <c r="E273" s="54"/>
      <c r="F273" s="54"/>
      <c r="G273" s="54"/>
      <c r="H273" s="54"/>
    </row>
    <row r="274">
      <c r="B274" s="54"/>
      <c r="C274" s="54"/>
      <c r="D274" s="54"/>
      <c r="E274" s="54"/>
      <c r="F274" s="54"/>
      <c r="G274" s="54"/>
      <c r="H274" s="54"/>
    </row>
    <row r="275">
      <c r="B275" s="54"/>
      <c r="C275" s="54"/>
      <c r="D275" s="54"/>
      <c r="E275" s="54"/>
      <c r="F275" s="54"/>
      <c r="G275" s="54"/>
      <c r="H275" s="54"/>
    </row>
    <row r="276">
      <c r="B276" s="54"/>
      <c r="C276" s="54"/>
      <c r="D276" s="54"/>
      <c r="E276" s="54"/>
      <c r="F276" s="54"/>
      <c r="G276" s="54"/>
      <c r="H276" s="54"/>
    </row>
    <row r="277">
      <c r="B277" s="54"/>
      <c r="C277" s="54"/>
      <c r="D277" s="54"/>
      <c r="E277" s="54"/>
      <c r="F277" s="54"/>
      <c r="G277" s="54"/>
      <c r="H277" s="54"/>
    </row>
    <row r="278">
      <c r="B278" s="54"/>
      <c r="C278" s="54"/>
      <c r="D278" s="54"/>
      <c r="E278" s="54"/>
      <c r="F278" s="54"/>
      <c r="G278" s="54"/>
      <c r="H278" s="54"/>
    </row>
    <row r="279">
      <c r="B279" s="54"/>
      <c r="C279" s="54"/>
      <c r="D279" s="54"/>
      <c r="E279" s="54"/>
      <c r="F279" s="54"/>
      <c r="G279" s="54"/>
      <c r="H279" s="54"/>
    </row>
    <row r="280">
      <c r="B280" s="54"/>
      <c r="C280" s="54"/>
      <c r="D280" s="54"/>
      <c r="E280" s="54"/>
      <c r="F280" s="54"/>
      <c r="G280" s="54"/>
      <c r="H280" s="54"/>
    </row>
    <row r="281">
      <c r="B281" s="54"/>
      <c r="C281" s="54"/>
      <c r="D281" s="54"/>
      <c r="E281" s="54"/>
      <c r="F281" s="54"/>
      <c r="G281" s="54"/>
      <c r="H281" s="54"/>
    </row>
    <row r="282">
      <c r="B282" s="54"/>
      <c r="C282" s="54"/>
      <c r="D282" s="54"/>
      <c r="E282" s="54"/>
      <c r="F282" s="54"/>
      <c r="G282" s="54"/>
      <c r="H282" s="54"/>
    </row>
    <row r="283">
      <c r="B283" s="54"/>
      <c r="C283" s="54"/>
      <c r="D283" s="54"/>
      <c r="E283" s="54"/>
      <c r="F283" s="54"/>
      <c r="G283" s="54"/>
      <c r="H283" s="54"/>
    </row>
    <row r="284">
      <c r="B284" s="54"/>
      <c r="C284" s="54"/>
      <c r="D284" s="54"/>
      <c r="E284" s="54"/>
      <c r="F284" s="54"/>
      <c r="G284" s="54"/>
      <c r="H284" s="54"/>
    </row>
    <row r="285">
      <c r="B285" s="54"/>
      <c r="C285" s="54"/>
      <c r="D285" s="54"/>
      <c r="E285" s="54"/>
      <c r="F285" s="54"/>
      <c r="G285" s="54"/>
      <c r="H285" s="54"/>
    </row>
    <row r="286">
      <c r="B286" s="54"/>
      <c r="C286" s="54"/>
      <c r="D286" s="54"/>
      <c r="E286" s="54"/>
      <c r="F286" s="54"/>
      <c r="G286" s="54"/>
      <c r="H286" s="54"/>
    </row>
    <row r="287">
      <c r="B287" s="54"/>
      <c r="C287" s="54"/>
      <c r="D287" s="54"/>
      <c r="E287" s="54"/>
      <c r="F287" s="54"/>
      <c r="G287" s="54"/>
      <c r="H287" s="54"/>
    </row>
    <row r="288">
      <c r="B288" s="54"/>
      <c r="C288" s="54"/>
      <c r="D288" s="54"/>
      <c r="E288" s="54"/>
      <c r="F288" s="54"/>
      <c r="G288" s="54"/>
      <c r="H288" s="54"/>
    </row>
    <row r="289">
      <c r="B289" s="54"/>
      <c r="C289" s="54"/>
      <c r="D289" s="54"/>
      <c r="E289" s="54"/>
      <c r="F289" s="54"/>
      <c r="G289" s="54"/>
      <c r="H289" s="54"/>
    </row>
    <row r="290">
      <c r="B290" s="54"/>
      <c r="C290" s="54"/>
      <c r="D290" s="54"/>
      <c r="E290" s="54"/>
      <c r="F290" s="54"/>
      <c r="G290" s="54"/>
      <c r="H290" s="54"/>
    </row>
    <row r="291">
      <c r="B291" s="54"/>
      <c r="C291" s="54"/>
      <c r="D291" s="54"/>
      <c r="E291" s="54"/>
      <c r="F291" s="54"/>
      <c r="G291" s="54"/>
      <c r="H291" s="54"/>
    </row>
    <row r="292">
      <c r="B292" s="54"/>
      <c r="C292" s="54"/>
      <c r="D292" s="54"/>
      <c r="E292" s="54"/>
      <c r="F292" s="54"/>
      <c r="G292" s="54"/>
      <c r="H292" s="54"/>
    </row>
    <row r="293">
      <c r="B293" s="54"/>
      <c r="C293" s="54"/>
      <c r="D293" s="54"/>
      <c r="E293" s="54"/>
      <c r="F293" s="54"/>
      <c r="G293" s="54"/>
      <c r="H293" s="54"/>
    </row>
    <row r="294">
      <c r="B294" s="54"/>
      <c r="C294" s="54"/>
      <c r="D294" s="54"/>
      <c r="E294" s="54"/>
      <c r="F294" s="54"/>
      <c r="G294" s="54"/>
      <c r="H294" s="54"/>
    </row>
    <row r="295">
      <c r="B295" s="54"/>
      <c r="C295" s="54"/>
      <c r="D295" s="54"/>
      <c r="E295" s="54"/>
      <c r="F295" s="54"/>
      <c r="G295" s="54"/>
      <c r="H295" s="54"/>
    </row>
    <row r="296">
      <c r="B296" s="54"/>
      <c r="C296" s="54"/>
      <c r="D296" s="54"/>
      <c r="E296" s="54"/>
      <c r="F296" s="54"/>
      <c r="G296" s="54"/>
      <c r="H296" s="54"/>
    </row>
    <row r="297">
      <c r="B297" s="54"/>
      <c r="C297" s="54"/>
      <c r="D297" s="54"/>
      <c r="E297" s="54"/>
      <c r="F297" s="54"/>
      <c r="G297" s="54"/>
      <c r="H297" s="54"/>
    </row>
    <row r="298">
      <c r="B298" s="54"/>
      <c r="C298" s="54"/>
      <c r="D298" s="54"/>
      <c r="E298" s="54"/>
      <c r="F298" s="54"/>
      <c r="G298" s="54"/>
      <c r="H298" s="54"/>
    </row>
    <row r="299">
      <c r="B299" s="54"/>
      <c r="C299" s="54"/>
      <c r="D299" s="54"/>
      <c r="E299" s="54"/>
      <c r="F299" s="54"/>
      <c r="G299" s="54"/>
      <c r="H299" s="54"/>
    </row>
    <row r="300">
      <c r="B300" s="54"/>
      <c r="C300" s="54"/>
      <c r="D300" s="54"/>
      <c r="E300" s="54"/>
      <c r="F300" s="54"/>
      <c r="G300" s="54"/>
      <c r="H300" s="54"/>
    </row>
    <row r="301">
      <c r="B301" s="54"/>
      <c r="C301" s="54"/>
      <c r="D301" s="54"/>
      <c r="E301" s="54"/>
      <c r="F301" s="54"/>
      <c r="G301" s="54"/>
      <c r="H301" s="54"/>
    </row>
    <row r="302">
      <c r="B302" s="54"/>
      <c r="C302" s="54"/>
      <c r="D302" s="54"/>
      <c r="E302" s="54"/>
      <c r="F302" s="54"/>
      <c r="G302" s="54"/>
      <c r="H302" s="54"/>
    </row>
    <row r="303">
      <c r="B303" s="54"/>
      <c r="C303" s="54"/>
      <c r="D303" s="54"/>
      <c r="E303" s="54"/>
      <c r="F303" s="54"/>
      <c r="G303" s="54"/>
      <c r="H303" s="54"/>
    </row>
    <row r="304">
      <c r="B304" s="54"/>
      <c r="C304" s="54"/>
      <c r="D304" s="54"/>
      <c r="E304" s="54"/>
      <c r="F304" s="54"/>
      <c r="G304" s="54"/>
      <c r="H304" s="54"/>
    </row>
    <row r="305">
      <c r="B305" s="54"/>
      <c r="C305" s="54"/>
      <c r="D305" s="54"/>
      <c r="E305" s="54"/>
      <c r="F305" s="54"/>
      <c r="G305" s="54"/>
      <c r="H305" s="54"/>
    </row>
    <row r="306">
      <c r="B306" s="54"/>
      <c r="C306" s="54"/>
      <c r="D306" s="54"/>
      <c r="E306" s="54"/>
      <c r="F306" s="54"/>
      <c r="G306" s="54"/>
      <c r="H306" s="54"/>
    </row>
    <row r="307">
      <c r="B307" s="54"/>
      <c r="C307" s="54"/>
      <c r="D307" s="54"/>
      <c r="E307" s="54"/>
      <c r="F307" s="54"/>
      <c r="G307" s="54"/>
      <c r="H307" s="54"/>
    </row>
    <row r="308">
      <c r="B308" s="54"/>
      <c r="C308" s="54"/>
      <c r="D308" s="54"/>
      <c r="E308" s="54"/>
      <c r="F308" s="54"/>
      <c r="G308" s="54"/>
      <c r="H308" s="54"/>
    </row>
    <row r="309">
      <c r="B309" s="54"/>
      <c r="C309" s="54"/>
      <c r="D309" s="54"/>
      <c r="E309" s="54"/>
      <c r="F309" s="54"/>
      <c r="G309" s="54"/>
      <c r="H309" s="54"/>
    </row>
    <row r="310">
      <c r="B310" s="54"/>
      <c r="C310" s="54"/>
      <c r="D310" s="54"/>
      <c r="E310" s="54"/>
      <c r="F310" s="54"/>
      <c r="G310" s="54"/>
      <c r="H310" s="54"/>
    </row>
    <row r="311">
      <c r="B311" s="54"/>
      <c r="C311" s="54"/>
      <c r="D311" s="54"/>
      <c r="E311" s="54"/>
      <c r="F311" s="54"/>
      <c r="G311" s="54"/>
      <c r="H311" s="54"/>
    </row>
    <row r="312">
      <c r="B312" s="54"/>
      <c r="C312" s="54"/>
      <c r="D312" s="54"/>
      <c r="E312" s="54"/>
      <c r="F312" s="54"/>
      <c r="G312" s="54"/>
      <c r="H312" s="54"/>
    </row>
    <row r="313">
      <c r="B313" s="54"/>
      <c r="C313" s="54"/>
      <c r="D313" s="54"/>
      <c r="E313" s="54"/>
      <c r="F313" s="54"/>
      <c r="G313" s="54"/>
      <c r="H313" s="54"/>
    </row>
    <row r="314">
      <c r="B314" s="54"/>
      <c r="C314" s="54"/>
      <c r="D314" s="54"/>
      <c r="E314" s="54"/>
      <c r="F314" s="54"/>
      <c r="G314" s="54"/>
      <c r="H314" s="54"/>
    </row>
    <row r="315">
      <c r="B315" s="54"/>
      <c r="C315" s="54"/>
      <c r="D315" s="54"/>
      <c r="E315" s="54"/>
      <c r="F315" s="54"/>
      <c r="G315" s="54"/>
      <c r="H315" s="54"/>
    </row>
    <row r="316">
      <c r="B316" s="54"/>
      <c r="C316" s="54"/>
      <c r="D316" s="54"/>
      <c r="E316" s="54"/>
      <c r="F316" s="54"/>
      <c r="G316" s="54"/>
      <c r="H316" s="54"/>
    </row>
    <row r="317">
      <c r="B317" s="54"/>
      <c r="C317" s="54"/>
      <c r="D317" s="54"/>
      <c r="E317" s="54"/>
      <c r="F317" s="54"/>
      <c r="G317" s="54"/>
      <c r="H317" s="54"/>
    </row>
    <row r="318">
      <c r="B318" s="54"/>
      <c r="C318" s="54"/>
      <c r="D318" s="54"/>
      <c r="E318" s="54"/>
      <c r="F318" s="54"/>
      <c r="G318" s="54"/>
      <c r="H318" s="54"/>
    </row>
    <row r="319">
      <c r="B319" s="54"/>
      <c r="C319" s="54"/>
      <c r="D319" s="54"/>
      <c r="E319" s="54"/>
      <c r="F319" s="54"/>
      <c r="G319" s="54"/>
      <c r="H319" s="54"/>
    </row>
    <row r="320">
      <c r="B320" s="54"/>
      <c r="C320" s="54"/>
      <c r="D320" s="54"/>
      <c r="E320" s="54"/>
      <c r="F320" s="54"/>
      <c r="G320" s="54"/>
      <c r="H320" s="54"/>
    </row>
    <row r="321">
      <c r="B321" s="54"/>
      <c r="C321" s="54"/>
      <c r="D321" s="54"/>
      <c r="E321" s="54"/>
      <c r="F321" s="54"/>
      <c r="G321" s="54"/>
      <c r="H321" s="54"/>
    </row>
    <row r="322">
      <c r="B322" s="54"/>
      <c r="C322" s="54"/>
      <c r="D322" s="54"/>
      <c r="E322" s="54"/>
      <c r="F322" s="54"/>
      <c r="G322" s="54"/>
      <c r="H322" s="54"/>
    </row>
    <row r="323">
      <c r="B323" s="54"/>
      <c r="C323" s="54"/>
      <c r="D323" s="54"/>
      <c r="E323" s="54"/>
      <c r="F323" s="54"/>
      <c r="G323" s="54"/>
      <c r="H323" s="54"/>
    </row>
    <row r="324">
      <c r="B324" s="54"/>
      <c r="C324" s="54"/>
      <c r="D324" s="54"/>
      <c r="E324" s="54"/>
      <c r="F324" s="54"/>
      <c r="G324" s="54"/>
      <c r="H324" s="54"/>
    </row>
    <row r="325">
      <c r="B325" s="54"/>
      <c r="C325" s="54"/>
      <c r="D325" s="54"/>
      <c r="E325" s="54"/>
      <c r="F325" s="54"/>
      <c r="G325" s="54"/>
      <c r="H325" s="54"/>
    </row>
    <row r="326">
      <c r="B326" s="54"/>
      <c r="C326" s="54"/>
      <c r="D326" s="54"/>
      <c r="E326" s="54"/>
      <c r="F326" s="54"/>
      <c r="G326" s="54"/>
      <c r="H326" s="54"/>
    </row>
    <row r="327">
      <c r="B327" s="54"/>
      <c r="C327" s="54"/>
      <c r="D327" s="54"/>
      <c r="E327" s="54"/>
      <c r="F327" s="54"/>
      <c r="G327" s="54"/>
      <c r="H327" s="54"/>
    </row>
    <row r="328">
      <c r="B328" s="54"/>
      <c r="C328" s="54"/>
      <c r="D328" s="54"/>
      <c r="E328" s="54"/>
      <c r="F328" s="54"/>
      <c r="G328" s="54"/>
      <c r="H328" s="54"/>
    </row>
    <row r="329">
      <c r="B329" s="54"/>
      <c r="C329" s="54"/>
      <c r="D329" s="54"/>
      <c r="E329" s="54"/>
      <c r="F329" s="54"/>
      <c r="G329" s="54"/>
      <c r="H329" s="54"/>
    </row>
    <row r="330">
      <c r="B330" s="54"/>
      <c r="C330" s="54"/>
      <c r="D330" s="54"/>
      <c r="E330" s="54"/>
      <c r="F330" s="54"/>
      <c r="G330" s="54"/>
      <c r="H330" s="54"/>
    </row>
    <row r="331">
      <c r="B331" s="54"/>
      <c r="C331" s="54"/>
      <c r="D331" s="54"/>
      <c r="E331" s="54"/>
      <c r="F331" s="54"/>
      <c r="G331" s="54"/>
      <c r="H331" s="54"/>
    </row>
    <row r="332">
      <c r="B332" s="54"/>
      <c r="C332" s="54"/>
      <c r="D332" s="54"/>
      <c r="E332" s="54"/>
      <c r="F332" s="54"/>
      <c r="G332" s="54"/>
      <c r="H332" s="54"/>
    </row>
    <row r="333">
      <c r="B333" s="54"/>
      <c r="C333" s="54"/>
      <c r="D333" s="54"/>
      <c r="E333" s="54"/>
      <c r="F333" s="54"/>
      <c r="G333" s="54"/>
      <c r="H333" s="54"/>
    </row>
    <row r="334">
      <c r="B334" s="54"/>
      <c r="C334" s="54"/>
      <c r="D334" s="54"/>
      <c r="E334" s="54"/>
      <c r="F334" s="54"/>
      <c r="G334" s="54"/>
      <c r="H334" s="54"/>
    </row>
    <row r="335">
      <c r="B335" s="54"/>
      <c r="C335" s="54"/>
      <c r="D335" s="54"/>
      <c r="E335" s="54"/>
      <c r="F335" s="54"/>
      <c r="G335" s="54"/>
      <c r="H335" s="54"/>
    </row>
    <row r="336">
      <c r="B336" s="54"/>
      <c r="C336" s="54"/>
      <c r="D336" s="54"/>
      <c r="E336" s="54"/>
      <c r="F336" s="54"/>
      <c r="G336" s="54"/>
      <c r="H336" s="54"/>
    </row>
    <row r="337">
      <c r="B337" s="54"/>
      <c r="C337" s="54"/>
      <c r="D337" s="54"/>
      <c r="E337" s="54"/>
      <c r="F337" s="54"/>
      <c r="G337" s="54"/>
      <c r="H337" s="54"/>
    </row>
    <row r="338">
      <c r="B338" s="54"/>
      <c r="C338" s="54"/>
      <c r="D338" s="54"/>
      <c r="E338" s="54"/>
      <c r="F338" s="54"/>
      <c r="G338" s="54"/>
      <c r="H338" s="54"/>
    </row>
    <row r="339">
      <c r="B339" s="54"/>
      <c r="C339" s="54"/>
      <c r="D339" s="54"/>
      <c r="E339" s="54"/>
      <c r="F339" s="54"/>
      <c r="G339" s="54"/>
      <c r="H339" s="54"/>
    </row>
    <row r="340">
      <c r="B340" s="54"/>
      <c r="C340" s="54"/>
      <c r="D340" s="54"/>
      <c r="E340" s="54"/>
      <c r="F340" s="54"/>
      <c r="G340" s="54"/>
      <c r="H340" s="54"/>
    </row>
    <row r="341">
      <c r="B341" s="54"/>
      <c r="C341" s="54"/>
      <c r="D341" s="54"/>
      <c r="E341" s="54"/>
      <c r="F341" s="54"/>
      <c r="G341" s="54"/>
      <c r="H341" s="54"/>
    </row>
    <row r="342">
      <c r="B342" s="54"/>
      <c r="C342" s="54"/>
      <c r="D342" s="54"/>
      <c r="E342" s="54"/>
      <c r="F342" s="54"/>
      <c r="G342" s="54"/>
      <c r="H342" s="54"/>
    </row>
    <row r="343">
      <c r="B343" s="54"/>
      <c r="C343" s="54"/>
      <c r="D343" s="54"/>
      <c r="E343" s="54"/>
      <c r="F343" s="54"/>
      <c r="G343" s="54"/>
      <c r="H343" s="54"/>
    </row>
    <row r="344">
      <c r="B344" s="54"/>
      <c r="C344" s="54"/>
      <c r="D344" s="54"/>
      <c r="E344" s="54"/>
      <c r="F344" s="54"/>
      <c r="G344" s="54"/>
      <c r="H344" s="54"/>
    </row>
    <row r="345">
      <c r="B345" s="54"/>
      <c r="C345" s="54"/>
      <c r="D345" s="54"/>
      <c r="E345" s="54"/>
      <c r="F345" s="54"/>
      <c r="G345" s="54"/>
      <c r="H345" s="54"/>
    </row>
    <row r="346">
      <c r="B346" s="54"/>
      <c r="C346" s="54"/>
      <c r="D346" s="54"/>
      <c r="E346" s="54"/>
      <c r="F346" s="54"/>
      <c r="G346" s="54"/>
      <c r="H346" s="54"/>
    </row>
    <row r="347">
      <c r="B347" s="54"/>
      <c r="C347" s="54"/>
      <c r="D347" s="54"/>
      <c r="E347" s="54"/>
      <c r="F347" s="54"/>
      <c r="G347" s="54"/>
      <c r="H347" s="54"/>
    </row>
    <row r="348">
      <c r="B348" s="54"/>
      <c r="C348" s="54"/>
      <c r="D348" s="54"/>
      <c r="E348" s="54"/>
      <c r="F348" s="54"/>
      <c r="G348" s="54"/>
      <c r="H348" s="54"/>
    </row>
    <row r="349">
      <c r="B349" s="54"/>
      <c r="C349" s="54"/>
      <c r="D349" s="54"/>
      <c r="E349" s="54"/>
      <c r="F349" s="54"/>
      <c r="G349" s="54"/>
      <c r="H349" s="54"/>
    </row>
    <row r="350">
      <c r="B350" s="54"/>
      <c r="C350" s="54"/>
      <c r="D350" s="54"/>
      <c r="E350" s="54"/>
      <c r="F350" s="54"/>
      <c r="G350" s="54"/>
      <c r="H350" s="54"/>
    </row>
    <row r="351">
      <c r="B351" s="54"/>
      <c r="C351" s="54"/>
      <c r="D351" s="54"/>
      <c r="E351" s="54"/>
      <c r="F351" s="54"/>
      <c r="G351" s="54"/>
      <c r="H351" s="54"/>
    </row>
    <row r="352">
      <c r="B352" s="54"/>
      <c r="C352" s="54"/>
      <c r="D352" s="54"/>
      <c r="E352" s="54"/>
      <c r="F352" s="54"/>
      <c r="G352" s="54"/>
      <c r="H352" s="54"/>
    </row>
    <row r="353">
      <c r="B353" s="54"/>
      <c r="C353" s="54"/>
      <c r="D353" s="54"/>
      <c r="E353" s="54"/>
      <c r="F353" s="54"/>
      <c r="G353" s="54"/>
      <c r="H353" s="54"/>
    </row>
    <row r="354">
      <c r="B354" s="54"/>
      <c r="C354" s="54"/>
      <c r="D354" s="54"/>
      <c r="E354" s="54"/>
      <c r="F354" s="54"/>
      <c r="G354" s="54"/>
      <c r="H354" s="54"/>
    </row>
    <row r="355">
      <c r="B355" s="54"/>
      <c r="C355" s="54"/>
      <c r="D355" s="54"/>
      <c r="E355" s="54"/>
      <c r="F355" s="54"/>
      <c r="G355" s="54"/>
      <c r="H355" s="54"/>
    </row>
    <row r="356">
      <c r="B356" s="54"/>
      <c r="C356" s="54"/>
      <c r="D356" s="54"/>
      <c r="E356" s="54"/>
      <c r="F356" s="54"/>
      <c r="G356" s="54"/>
      <c r="H356" s="54"/>
    </row>
    <row r="357">
      <c r="B357" s="54"/>
      <c r="C357" s="54"/>
      <c r="D357" s="54"/>
      <c r="E357" s="54"/>
      <c r="F357" s="54"/>
      <c r="G357" s="54"/>
      <c r="H357" s="54"/>
    </row>
    <row r="358">
      <c r="B358" s="54"/>
      <c r="C358" s="54"/>
      <c r="D358" s="54"/>
      <c r="E358" s="54"/>
      <c r="F358" s="54"/>
      <c r="G358" s="54"/>
      <c r="H358" s="54"/>
    </row>
    <row r="359">
      <c r="B359" s="54"/>
      <c r="C359" s="54"/>
      <c r="D359" s="54"/>
      <c r="E359" s="54"/>
      <c r="F359" s="54"/>
      <c r="G359" s="54"/>
      <c r="H359" s="54"/>
    </row>
    <row r="360">
      <c r="B360" s="54"/>
      <c r="C360" s="54"/>
      <c r="D360" s="54"/>
      <c r="E360" s="54"/>
      <c r="F360" s="54"/>
      <c r="G360" s="54"/>
      <c r="H360" s="54"/>
    </row>
    <row r="361">
      <c r="B361" s="54"/>
      <c r="C361" s="54"/>
      <c r="D361" s="54"/>
      <c r="E361" s="54"/>
      <c r="F361" s="54"/>
      <c r="G361" s="54"/>
      <c r="H361" s="54"/>
    </row>
    <row r="362">
      <c r="B362" s="54"/>
      <c r="C362" s="54"/>
      <c r="D362" s="54"/>
      <c r="E362" s="54"/>
      <c r="F362" s="54"/>
      <c r="G362" s="54"/>
      <c r="H362" s="54"/>
    </row>
    <row r="363">
      <c r="B363" s="54"/>
      <c r="C363" s="54"/>
      <c r="D363" s="54"/>
      <c r="E363" s="54"/>
      <c r="F363" s="54"/>
      <c r="G363" s="54"/>
      <c r="H363" s="54"/>
    </row>
    <row r="364">
      <c r="B364" s="54"/>
      <c r="C364" s="54"/>
      <c r="D364" s="54"/>
      <c r="E364" s="54"/>
      <c r="F364" s="54"/>
      <c r="G364" s="54"/>
      <c r="H364" s="54"/>
    </row>
    <row r="365">
      <c r="B365" s="54"/>
      <c r="C365" s="54"/>
      <c r="D365" s="54"/>
      <c r="E365" s="54"/>
      <c r="F365" s="54"/>
      <c r="G365" s="54"/>
      <c r="H365" s="54"/>
    </row>
    <row r="366">
      <c r="B366" s="54"/>
      <c r="C366" s="54"/>
      <c r="D366" s="54"/>
      <c r="E366" s="54"/>
      <c r="F366" s="54"/>
      <c r="G366" s="54"/>
      <c r="H366" s="54"/>
    </row>
    <row r="367">
      <c r="B367" s="54"/>
      <c r="C367" s="54"/>
      <c r="D367" s="54"/>
      <c r="E367" s="54"/>
      <c r="F367" s="54"/>
      <c r="G367" s="54"/>
      <c r="H367" s="54"/>
    </row>
    <row r="368">
      <c r="B368" s="54"/>
      <c r="C368" s="54"/>
      <c r="D368" s="54"/>
      <c r="E368" s="54"/>
      <c r="F368" s="54"/>
      <c r="G368" s="54"/>
      <c r="H368" s="54"/>
    </row>
    <row r="369">
      <c r="B369" s="54"/>
      <c r="C369" s="54"/>
      <c r="D369" s="54"/>
      <c r="E369" s="54"/>
      <c r="F369" s="54"/>
      <c r="G369" s="54"/>
      <c r="H369" s="54"/>
    </row>
    <row r="370">
      <c r="B370" s="54"/>
      <c r="C370" s="54"/>
      <c r="D370" s="54"/>
      <c r="E370" s="54"/>
      <c r="F370" s="54"/>
      <c r="G370" s="54"/>
      <c r="H370" s="54"/>
    </row>
    <row r="371">
      <c r="B371" s="54"/>
      <c r="C371" s="54"/>
      <c r="D371" s="54"/>
      <c r="E371" s="54"/>
      <c r="F371" s="54"/>
      <c r="G371" s="54"/>
      <c r="H371" s="54"/>
    </row>
    <row r="372">
      <c r="B372" s="54"/>
      <c r="C372" s="54"/>
      <c r="D372" s="54"/>
      <c r="E372" s="54"/>
      <c r="F372" s="54"/>
      <c r="G372" s="54"/>
      <c r="H372" s="54"/>
    </row>
    <row r="373">
      <c r="B373" s="54"/>
      <c r="C373" s="54"/>
      <c r="D373" s="54"/>
      <c r="E373" s="54"/>
      <c r="F373" s="54"/>
      <c r="G373" s="54"/>
      <c r="H373" s="54"/>
    </row>
    <row r="374">
      <c r="B374" s="54"/>
      <c r="C374" s="54"/>
      <c r="D374" s="54"/>
      <c r="E374" s="54"/>
      <c r="F374" s="54"/>
      <c r="G374" s="54"/>
      <c r="H374" s="54"/>
    </row>
    <row r="375">
      <c r="B375" s="54"/>
      <c r="C375" s="54"/>
      <c r="D375" s="54"/>
      <c r="E375" s="54"/>
      <c r="F375" s="54"/>
      <c r="G375" s="54"/>
      <c r="H375" s="54"/>
    </row>
    <row r="376">
      <c r="B376" s="54"/>
      <c r="C376" s="54"/>
      <c r="D376" s="54"/>
      <c r="E376" s="54"/>
      <c r="F376" s="54"/>
      <c r="G376" s="54"/>
      <c r="H376" s="54"/>
    </row>
    <row r="377">
      <c r="B377" s="54"/>
      <c r="C377" s="54"/>
      <c r="D377" s="54"/>
      <c r="E377" s="54"/>
      <c r="F377" s="54"/>
      <c r="G377" s="54"/>
      <c r="H377" s="54"/>
    </row>
    <row r="378">
      <c r="B378" s="54"/>
      <c r="C378" s="54"/>
      <c r="D378" s="54"/>
      <c r="E378" s="54"/>
      <c r="F378" s="54"/>
      <c r="G378" s="54"/>
      <c r="H378" s="54"/>
    </row>
    <row r="379">
      <c r="B379" s="54"/>
      <c r="C379" s="54"/>
      <c r="D379" s="54"/>
      <c r="E379" s="54"/>
      <c r="F379" s="54"/>
      <c r="G379" s="54"/>
      <c r="H379" s="54"/>
    </row>
    <row r="380">
      <c r="B380" s="54"/>
      <c r="C380" s="54"/>
      <c r="D380" s="54"/>
      <c r="E380" s="54"/>
      <c r="F380" s="54"/>
      <c r="G380" s="54"/>
      <c r="H380" s="54"/>
    </row>
    <row r="381">
      <c r="B381" s="54"/>
      <c r="C381" s="54"/>
      <c r="D381" s="54"/>
      <c r="E381" s="54"/>
      <c r="F381" s="54"/>
      <c r="G381" s="54"/>
      <c r="H381" s="54"/>
    </row>
    <row r="382">
      <c r="B382" s="54"/>
      <c r="C382" s="54"/>
      <c r="D382" s="54"/>
      <c r="E382" s="54"/>
      <c r="F382" s="54"/>
      <c r="G382" s="54"/>
      <c r="H382" s="54"/>
    </row>
    <row r="383">
      <c r="B383" s="54"/>
      <c r="C383" s="54"/>
      <c r="D383" s="54"/>
      <c r="E383" s="54"/>
      <c r="F383" s="54"/>
      <c r="G383" s="54"/>
      <c r="H383" s="54"/>
    </row>
    <row r="384">
      <c r="B384" s="54"/>
      <c r="C384" s="54"/>
      <c r="D384" s="54"/>
      <c r="E384" s="54"/>
      <c r="F384" s="54"/>
      <c r="G384" s="54"/>
      <c r="H384" s="54"/>
    </row>
    <row r="385">
      <c r="B385" s="54"/>
      <c r="C385" s="54"/>
      <c r="D385" s="54"/>
      <c r="E385" s="54"/>
      <c r="F385" s="54"/>
      <c r="G385" s="54"/>
      <c r="H385" s="54"/>
    </row>
    <row r="386">
      <c r="B386" s="54"/>
      <c r="C386" s="54"/>
      <c r="D386" s="54"/>
      <c r="E386" s="54"/>
      <c r="F386" s="54"/>
      <c r="G386" s="54"/>
      <c r="H386" s="54"/>
    </row>
    <row r="387">
      <c r="B387" s="54"/>
      <c r="C387" s="54"/>
      <c r="D387" s="54"/>
      <c r="E387" s="54"/>
      <c r="F387" s="54"/>
      <c r="G387" s="54"/>
      <c r="H387" s="54"/>
    </row>
    <row r="388">
      <c r="B388" s="54"/>
      <c r="C388" s="54"/>
      <c r="D388" s="54"/>
      <c r="E388" s="54"/>
      <c r="F388" s="54"/>
      <c r="G388" s="54"/>
      <c r="H388" s="54"/>
    </row>
    <row r="389">
      <c r="B389" s="54"/>
      <c r="C389" s="54"/>
      <c r="D389" s="54"/>
      <c r="E389" s="54"/>
      <c r="F389" s="54"/>
      <c r="G389" s="54"/>
      <c r="H389" s="54"/>
    </row>
    <row r="390">
      <c r="B390" s="54"/>
      <c r="C390" s="54"/>
      <c r="D390" s="54"/>
      <c r="E390" s="54"/>
      <c r="F390" s="54"/>
      <c r="G390" s="54"/>
      <c r="H390" s="54"/>
    </row>
    <row r="391">
      <c r="B391" s="54"/>
      <c r="C391" s="54"/>
      <c r="D391" s="54"/>
      <c r="E391" s="54"/>
      <c r="F391" s="54"/>
      <c r="G391" s="54"/>
      <c r="H391" s="54"/>
    </row>
    <row r="392">
      <c r="B392" s="54"/>
      <c r="C392" s="54"/>
      <c r="D392" s="54"/>
      <c r="E392" s="54"/>
      <c r="F392" s="54"/>
      <c r="G392" s="54"/>
      <c r="H392" s="54"/>
    </row>
    <row r="393">
      <c r="B393" s="54"/>
      <c r="C393" s="54"/>
      <c r="D393" s="54"/>
      <c r="E393" s="54"/>
      <c r="F393" s="54"/>
      <c r="G393" s="54"/>
      <c r="H393" s="54"/>
    </row>
    <row r="394">
      <c r="B394" s="54"/>
      <c r="C394" s="54"/>
      <c r="D394" s="54"/>
      <c r="E394" s="54"/>
      <c r="F394" s="54"/>
      <c r="G394" s="54"/>
      <c r="H394" s="54"/>
    </row>
    <row r="395">
      <c r="B395" s="54"/>
      <c r="C395" s="54"/>
      <c r="D395" s="54"/>
      <c r="E395" s="54"/>
      <c r="F395" s="54"/>
      <c r="G395" s="54"/>
      <c r="H395" s="54"/>
    </row>
    <row r="396">
      <c r="B396" s="54"/>
      <c r="C396" s="54"/>
      <c r="D396" s="54"/>
      <c r="E396" s="54"/>
      <c r="F396" s="54"/>
      <c r="G396" s="54"/>
      <c r="H396" s="54"/>
    </row>
    <row r="397">
      <c r="B397" s="54"/>
      <c r="C397" s="54"/>
      <c r="D397" s="54"/>
      <c r="E397" s="54"/>
      <c r="F397" s="54"/>
      <c r="G397" s="54"/>
      <c r="H397" s="54"/>
    </row>
    <row r="398">
      <c r="B398" s="54"/>
      <c r="C398" s="54"/>
      <c r="D398" s="54"/>
      <c r="E398" s="54"/>
      <c r="F398" s="54"/>
      <c r="G398" s="54"/>
      <c r="H398" s="54"/>
    </row>
    <row r="399">
      <c r="B399" s="54"/>
      <c r="C399" s="54"/>
      <c r="D399" s="54"/>
      <c r="E399" s="54"/>
      <c r="F399" s="54"/>
      <c r="G399" s="54"/>
      <c r="H399" s="54"/>
    </row>
    <row r="400">
      <c r="B400" s="54"/>
      <c r="C400" s="54"/>
      <c r="D400" s="54"/>
      <c r="E400" s="54"/>
      <c r="F400" s="54"/>
      <c r="G400" s="54"/>
      <c r="H400" s="54"/>
    </row>
    <row r="401">
      <c r="B401" s="54"/>
      <c r="C401" s="54"/>
      <c r="D401" s="54"/>
      <c r="E401" s="54"/>
      <c r="F401" s="54"/>
      <c r="G401" s="54"/>
      <c r="H401" s="54"/>
    </row>
    <row r="402">
      <c r="B402" s="54"/>
      <c r="C402" s="54"/>
      <c r="D402" s="54"/>
      <c r="E402" s="54"/>
      <c r="F402" s="54"/>
      <c r="G402" s="54"/>
      <c r="H402" s="54"/>
    </row>
    <row r="403">
      <c r="B403" s="54"/>
      <c r="C403" s="54"/>
      <c r="D403" s="54"/>
      <c r="E403" s="54"/>
      <c r="F403" s="54"/>
      <c r="G403" s="54"/>
      <c r="H403" s="54"/>
    </row>
    <row r="404">
      <c r="B404" s="54"/>
      <c r="C404" s="54"/>
      <c r="D404" s="54"/>
      <c r="E404" s="54"/>
      <c r="F404" s="54"/>
      <c r="G404" s="54"/>
      <c r="H404" s="54"/>
    </row>
    <row r="405">
      <c r="B405" s="54"/>
      <c r="C405" s="54"/>
      <c r="D405" s="54"/>
      <c r="E405" s="54"/>
      <c r="F405" s="54"/>
      <c r="G405" s="54"/>
      <c r="H405" s="54"/>
    </row>
    <row r="406">
      <c r="B406" s="54"/>
      <c r="C406" s="54"/>
      <c r="D406" s="54"/>
      <c r="E406" s="54"/>
      <c r="F406" s="54"/>
      <c r="G406" s="54"/>
      <c r="H406" s="54"/>
    </row>
    <row r="407">
      <c r="B407" s="54"/>
      <c r="C407" s="54"/>
      <c r="D407" s="54"/>
      <c r="E407" s="54"/>
      <c r="F407" s="54"/>
      <c r="G407" s="54"/>
      <c r="H407" s="54"/>
    </row>
    <row r="408">
      <c r="B408" s="54"/>
      <c r="C408" s="54"/>
      <c r="D408" s="54"/>
      <c r="E408" s="54"/>
      <c r="F408" s="54"/>
      <c r="G408" s="54"/>
      <c r="H408" s="54"/>
    </row>
    <row r="409">
      <c r="B409" s="54"/>
      <c r="C409" s="54"/>
      <c r="D409" s="54"/>
      <c r="E409" s="54"/>
      <c r="F409" s="54"/>
      <c r="G409" s="54"/>
      <c r="H409" s="54"/>
    </row>
    <row r="410">
      <c r="B410" s="54"/>
      <c r="C410" s="54"/>
      <c r="D410" s="54"/>
      <c r="E410" s="54"/>
      <c r="F410" s="54"/>
      <c r="G410" s="54"/>
      <c r="H410" s="54"/>
    </row>
    <row r="411">
      <c r="B411" s="54"/>
      <c r="C411" s="54"/>
      <c r="D411" s="54"/>
      <c r="E411" s="54"/>
      <c r="F411" s="54"/>
      <c r="G411" s="54"/>
      <c r="H411" s="54"/>
    </row>
    <row r="412">
      <c r="B412" s="54"/>
      <c r="C412" s="54"/>
      <c r="D412" s="54"/>
      <c r="E412" s="54"/>
      <c r="F412" s="54"/>
      <c r="G412" s="54"/>
      <c r="H412" s="54"/>
    </row>
    <row r="413">
      <c r="B413" s="54"/>
      <c r="C413" s="54"/>
      <c r="D413" s="54"/>
      <c r="E413" s="54"/>
      <c r="F413" s="54"/>
      <c r="G413" s="54"/>
      <c r="H413" s="54"/>
    </row>
    <row r="414">
      <c r="B414" s="54"/>
      <c r="C414" s="54"/>
      <c r="D414" s="54"/>
      <c r="E414" s="54"/>
      <c r="F414" s="54"/>
      <c r="G414" s="54"/>
      <c r="H414" s="54"/>
    </row>
    <row r="415">
      <c r="B415" s="54"/>
      <c r="C415" s="54"/>
      <c r="D415" s="54"/>
      <c r="E415" s="54"/>
      <c r="F415" s="54"/>
      <c r="G415" s="54"/>
      <c r="H415" s="54"/>
    </row>
    <row r="416">
      <c r="B416" s="54"/>
      <c r="C416" s="54"/>
      <c r="D416" s="54"/>
      <c r="E416" s="54"/>
      <c r="F416" s="54"/>
      <c r="G416" s="54"/>
      <c r="H416" s="54"/>
    </row>
    <row r="417">
      <c r="B417" s="54"/>
      <c r="C417" s="54"/>
      <c r="D417" s="54"/>
      <c r="E417" s="54"/>
      <c r="F417" s="54"/>
      <c r="G417" s="54"/>
      <c r="H417" s="54"/>
    </row>
    <row r="418">
      <c r="B418" s="54"/>
      <c r="C418" s="54"/>
      <c r="D418" s="54"/>
      <c r="E418" s="54"/>
      <c r="F418" s="54"/>
      <c r="G418" s="54"/>
      <c r="H418" s="54"/>
    </row>
    <row r="419">
      <c r="B419" s="54"/>
      <c r="C419" s="54"/>
      <c r="D419" s="54"/>
      <c r="E419" s="54"/>
      <c r="F419" s="54"/>
      <c r="G419" s="54"/>
      <c r="H419" s="54"/>
    </row>
    <row r="420">
      <c r="B420" s="54"/>
      <c r="C420" s="54"/>
      <c r="D420" s="54"/>
      <c r="E420" s="54"/>
      <c r="F420" s="54"/>
      <c r="G420" s="54"/>
      <c r="H420" s="54"/>
    </row>
    <row r="421">
      <c r="B421" s="54"/>
      <c r="C421" s="54"/>
      <c r="D421" s="54"/>
      <c r="E421" s="54"/>
      <c r="F421" s="54"/>
      <c r="G421" s="54"/>
      <c r="H421" s="54"/>
    </row>
    <row r="422">
      <c r="B422" s="54"/>
      <c r="C422" s="54"/>
      <c r="D422" s="54"/>
      <c r="E422" s="54"/>
      <c r="F422" s="54"/>
      <c r="G422" s="54"/>
      <c r="H422" s="54"/>
    </row>
    <row r="423">
      <c r="B423" s="54"/>
      <c r="C423" s="54"/>
      <c r="D423" s="54"/>
      <c r="E423" s="54"/>
      <c r="F423" s="54"/>
      <c r="G423" s="54"/>
      <c r="H423" s="54"/>
    </row>
    <row r="424">
      <c r="B424" s="54"/>
      <c r="C424" s="54"/>
      <c r="D424" s="54"/>
      <c r="E424" s="54"/>
      <c r="F424" s="54"/>
      <c r="G424" s="54"/>
      <c r="H424" s="54"/>
    </row>
    <row r="425">
      <c r="B425" s="54"/>
      <c r="C425" s="54"/>
      <c r="D425" s="54"/>
      <c r="E425" s="54"/>
      <c r="F425" s="54"/>
      <c r="G425" s="54"/>
      <c r="H425" s="54"/>
    </row>
    <row r="426">
      <c r="B426" s="54"/>
      <c r="C426" s="54"/>
      <c r="D426" s="54"/>
      <c r="E426" s="54"/>
      <c r="F426" s="54"/>
      <c r="G426" s="54"/>
      <c r="H426" s="54"/>
    </row>
    <row r="427">
      <c r="B427" s="54"/>
      <c r="C427" s="54"/>
      <c r="D427" s="54"/>
      <c r="E427" s="54"/>
      <c r="F427" s="54"/>
      <c r="G427" s="54"/>
      <c r="H427" s="54"/>
    </row>
    <row r="428">
      <c r="B428" s="54"/>
      <c r="C428" s="54"/>
      <c r="D428" s="54"/>
      <c r="E428" s="54"/>
      <c r="F428" s="54"/>
      <c r="G428" s="54"/>
      <c r="H428" s="54"/>
    </row>
    <row r="429">
      <c r="B429" s="54"/>
      <c r="C429" s="54"/>
      <c r="D429" s="54"/>
      <c r="E429" s="54"/>
      <c r="F429" s="54"/>
      <c r="G429" s="54"/>
      <c r="H429" s="54"/>
    </row>
    <row r="430">
      <c r="B430" s="54"/>
      <c r="C430" s="54"/>
      <c r="D430" s="54"/>
      <c r="E430" s="54"/>
      <c r="F430" s="54"/>
      <c r="G430" s="54"/>
      <c r="H430" s="54"/>
    </row>
    <row r="431">
      <c r="B431" s="54"/>
      <c r="C431" s="54"/>
      <c r="D431" s="54"/>
      <c r="E431" s="54"/>
      <c r="F431" s="54"/>
      <c r="G431" s="54"/>
      <c r="H431" s="54"/>
    </row>
    <row r="432">
      <c r="B432" s="54"/>
      <c r="C432" s="54"/>
      <c r="D432" s="54"/>
      <c r="E432" s="54"/>
      <c r="F432" s="54"/>
      <c r="G432" s="54"/>
      <c r="H432" s="54"/>
    </row>
    <row r="433">
      <c r="B433" s="54"/>
      <c r="C433" s="54"/>
      <c r="D433" s="54"/>
      <c r="E433" s="54"/>
      <c r="F433" s="54"/>
      <c r="G433" s="54"/>
      <c r="H433" s="54"/>
    </row>
    <row r="434">
      <c r="B434" s="54"/>
      <c r="C434" s="54"/>
      <c r="D434" s="54"/>
      <c r="E434" s="54"/>
      <c r="F434" s="54"/>
      <c r="G434" s="54"/>
      <c r="H434" s="54"/>
    </row>
    <row r="435">
      <c r="B435" s="54"/>
      <c r="C435" s="54"/>
      <c r="D435" s="54"/>
      <c r="E435" s="54"/>
      <c r="F435" s="54"/>
      <c r="G435" s="54"/>
      <c r="H435" s="54"/>
    </row>
    <row r="436">
      <c r="B436" s="54"/>
      <c r="C436" s="54"/>
      <c r="D436" s="54"/>
      <c r="E436" s="54"/>
      <c r="F436" s="54"/>
      <c r="G436" s="54"/>
      <c r="H436" s="54"/>
    </row>
    <row r="437">
      <c r="B437" s="54"/>
      <c r="C437" s="54"/>
      <c r="D437" s="54"/>
      <c r="E437" s="54"/>
      <c r="F437" s="54"/>
      <c r="G437" s="54"/>
      <c r="H437" s="54"/>
    </row>
    <row r="438">
      <c r="B438" s="54"/>
      <c r="C438" s="54"/>
      <c r="D438" s="54"/>
      <c r="E438" s="54"/>
      <c r="F438" s="54"/>
      <c r="G438" s="54"/>
      <c r="H438" s="54"/>
    </row>
    <row r="439">
      <c r="B439" s="54"/>
      <c r="C439" s="54"/>
      <c r="D439" s="54"/>
      <c r="E439" s="54"/>
      <c r="F439" s="54"/>
      <c r="G439" s="54"/>
      <c r="H439" s="54"/>
    </row>
    <row r="440">
      <c r="B440" s="54"/>
      <c r="C440" s="54"/>
      <c r="D440" s="54"/>
      <c r="E440" s="54"/>
      <c r="F440" s="54"/>
      <c r="G440" s="54"/>
      <c r="H440" s="54"/>
    </row>
    <row r="441">
      <c r="B441" s="54"/>
      <c r="C441" s="54"/>
      <c r="D441" s="54"/>
      <c r="E441" s="54"/>
      <c r="F441" s="54"/>
      <c r="G441" s="54"/>
      <c r="H441" s="54"/>
    </row>
    <row r="442">
      <c r="B442" s="54"/>
      <c r="C442" s="54"/>
      <c r="D442" s="54"/>
      <c r="E442" s="54"/>
      <c r="F442" s="54"/>
      <c r="G442" s="54"/>
      <c r="H442" s="54"/>
    </row>
    <row r="443">
      <c r="B443" s="54"/>
      <c r="C443" s="54"/>
      <c r="D443" s="54"/>
      <c r="E443" s="54"/>
      <c r="F443" s="54"/>
      <c r="G443" s="54"/>
      <c r="H443" s="54"/>
    </row>
    <row r="444">
      <c r="B444" s="54"/>
      <c r="C444" s="54"/>
      <c r="D444" s="54"/>
      <c r="E444" s="54"/>
      <c r="F444" s="54"/>
      <c r="G444" s="54"/>
      <c r="H444" s="54"/>
    </row>
    <row r="445">
      <c r="B445" s="54"/>
      <c r="C445" s="54"/>
      <c r="D445" s="54"/>
      <c r="E445" s="54"/>
      <c r="F445" s="54"/>
      <c r="G445" s="54"/>
      <c r="H445" s="54"/>
    </row>
    <row r="446">
      <c r="B446" s="54"/>
      <c r="C446" s="54"/>
      <c r="D446" s="54"/>
      <c r="E446" s="54"/>
      <c r="F446" s="54"/>
      <c r="G446" s="54"/>
      <c r="H446" s="54"/>
    </row>
    <row r="447">
      <c r="B447" s="54"/>
      <c r="C447" s="54"/>
      <c r="D447" s="54"/>
      <c r="E447" s="54"/>
      <c r="F447" s="54"/>
      <c r="G447" s="54"/>
      <c r="H447" s="54"/>
    </row>
    <row r="448">
      <c r="B448" s="54"/>
      <c r="C448" s="54"/>
      <c r="D448" s="54"/>
      <c r="E448" s="54"/>
      <c r="F448" s="54"/>
      <c r="G448" s="54"/>
      <c r="H448" s="54"/>
    </row>
    <row r="449">
      <c r="B449" s="54"/>
      <c r="C449" s="54"/>
      <c r="D449" s="54"/>
      <c r="E449" s="54"/>
      <c r="F449" s="54"/>
      <c r="G449" s="54"/>
      <c r="H449" s="54"/>
    </row>
    <row r="450">
      <c r="B450" s="54"/>
      <c r="C450" s="54"/>
      <c r="D450" s="54"/>
      <c r="E450" s="54"/>
      <c r="F450" s="54"/>
      <c r="G450" s="54"/>
      <c r="H450" s="54"/>
    </row>
    <row r="451">
      <c r="B451" s="54"/>
      <c r="C451" s="54"/>
      <c r="D451" s="54"/>
      <c r="E451" s="54"/>
      <c r="F451" s="54"/>
      <c r="G451" s="54"/>
      <c r="H451" s="54"/>
    </row>
    <row r="452">
      <c r="B452" s="54"/>
      <c r="C452" s="54"/>
      <c r="D452" s="54"/>
      <c r="E452" s="54"/>
      <c r="F452" s="54"/>
      <c r="G452" s="54"/>
      <c r="H452" s="54"/>
    </row>
    <row r="453">
      <c r="B453" s="54"/>
      <c r="C453" s="54"/>
      <c r="D453" s="54"/>
      <c r="E453" s="54"/>
      <c r="F453" s="54"/>
      <c r="G453" s="54"/>
      <c r="H453" s="54"/>
    </row>
    <row r="454">
      <c r="B454" s="54"/>
      <c r="C454" s="54"/>
      <c r="D454" s="54"/>
      <c r="E454" s="54"/>
      <c r="F454" s="54"/>
      <c r="G454" s="54"/>
      <c r="H454" s="54"/>
    </row>
    <row r="455">
      <c r="B455" s="54"/>
      <c r="C455" s="54"/>
      <c r="D455" s="54"/>
      <c r="E455" s="54"/>
      <c r="F455" s="54"/>
      <c r="G455" s="54"/>
      <c r="H455" s="54"/>
    </row>
    <row r="456">
      <c r="B456" s="54"/>
      <c r="C456" s="54"/>
      <c r="D456" s="54"/>
      <c r="E456" s="54"/>
      <c r="F456" s="54"/>
      <c r="G456" s="54"/>
      <c r="H456" s="54"/>
    </row>
    <row r="457">
      <c r="B457" s="54"/>
      <c r="C457" s="54"/>
      <c r="D457" s="54"/>
      <c r="E457" s="54"/>
      <c r="F457" s="54"/>
      <c r="G457" s="54"/>
      <c r="H457" s="54"/>
    </row>
    <row r="458">
      <c r="B458" s="54"/>
      <c r="C458" s="54"/>
      <c r="D458" s="54"/>
      <c r="E458" s="54"/>
      <c r="F458" s="54"/>
      <c r="G458" s="54"/>
      <c r="H458" s="54"/>
    </row>
    <row r="459">
      <c r="B459" s="54"/>
      <c r="C459" s="54"/>
      <c r="D459" s="54"/>
      <c r="E459" s="54"/>
      <c r="F459" s="54"/>
      <c r="G459" s="54"/>
      <c r="H459" s="54"/>
    </row>
    <row r="460">
      <c r="B460" s="54"/>
      <c r="C460" s="54"/>
      <c r="D460" s="54"/>
      <c r="E460" s="54"/>
      <c r="F460" s="54"/>
      <c r="G460" s="54"/>
      <c r="H460" s="54"/>
    </row>
    <row r="461">
      <c r="B461" s="54"/>
      <c r="C461" s="54"/>
      <c r="D461" s="54"/>
      <c r="E461" s="54"/>
      <c r="F461" s="54"/>
      <c r="G461" s="54"/>
      <c r="H461" s="54"/>
    </row>
    <row r="462">
      <c r="B462" s="54"/>
      <c r="C462" s="54"/>
      <c r="D462" s="54"/>
      <c r="E462" s="54"/>
      <c r="F462" s="54"/>
      <c r="G462" s="54"/>
      <c r="H462" s="54"/>
    </row>
    <row r="463">
      <c r="B463" s="54"/>
      <c r="C463" s="54"/>
      <c r="D463" s="54"/>
      <c r="E463" s="54"/>
      <c r="F463" s="54"/>
      <c r="G463" s="54"/>
      <c r="H463" s="54"/>
    </row>
    <row r="464">
      <c r="B464" s="54"/>
      <c r="C464" s="54"/>
      <c r="D464" s="54"/>
      <c r="E464" s="54"/>
      <c r="F464" s="54"/>
      <c r="G464" s="54"/>
      <c r="H464" s="54"/>
    </row>
    <row r="465">
      <c r="B465" s="54"/>
      <c r="C465" s="54"/>
      <c r="D465" s="54"/>
      <c r="E465" s="54"/>
      <c r="F465" s="54"/>
      <c r="G465" s="54"/>
      <c r="H465" s="54"/>
    </row>
    <row r="466">
      <c r="B466" s="54"/>
      <c r="C466" s="54"/>
      <c r="D466" s="54"/>
      <c r="E466" s="54"/>
      <c r="F466" s="54"/>
      <c r="G466" s="54"/>
      <c r="H466" s="54"/>
    </row>
    <row r="467">
      <c r="B467" s="54"/>
      <c r="C467" s="54"/>
      <c r="D467" s="54"/>
      <c r="E467" s="54"/>
      <c r="F467" s="54"/>
      <c r="G467" s="54"/>
      <c r="H467" s="54"/>
    </row>
    <row r="468">
      <c r="B468" s="54"/>
      <c r="C468" s="54"/>
      <c r="D468" s="54"/>
      <c r="E468" s="54"/>
      <c r="F468" s="54"/>
      <c r="G468" s="54"/>
      <c r="H468" s="54"/>
    </row>
    <row r="469">
      <c r="B469" s="54"/>
      <c r="C469" s="54"/>
      <c r="D469" s="54"/>
      <c r="E469" s="54"/>
      <c r="F469" s="54"/>
      <c r="G469" s="54"/>
      <c r="H469" s="54"/>
    </row>
    <row r="470">
      <c r="B470" s="54"/>
      <c r="C470" s="54"/>
      <c r="D470" s="54"/>
      <c r="E470" s="54"/>
      <c r="F470" s="54"/>
      <c r="G470" s="54"/>
      <c r="H470" s="54"/>
    </row>
    <row r="471">
      <c r="B471" s="54"/>
      <c r="C471" s="54"/>
      <c r="D471" s="54"/>
      <c r="E471" s="54"/>
      <c r="F471" s="54"/>
      <c r="G471" s="54"/>
      <c r="H471" s="54"/>
    </row>
    <row r="472">
      <c r="B472" s="54"/>
      <c r="C472" s="54"/>
      <c r="D472" s="54"/>
      <c r="E472" s="54"/>
      <c r="F472" s="54"/>
      <c r="G472" s="54"/>
      <c r="H472" s="54"/>
    </row>
    <row r="473">
      <c r="B473" s="54"/>
      <c r="C473" s="54"/>
      <c r="D473" s="54"/>
      <c r="E473" s="54"/>
      <c r="F473" s="54"/>
      <c r="G473" s="54"/>
      <c r="H473" s="54"/>
    </row>
    <row r="474">
      <c r="B474" s="54"/>
      <c r="C474" s="54"/>
      <c r="D474" s="54"/>
      <c r="E474" s="54"/>
      <c r="F474" s="54"/>
      <c r="G474" s="54"/>
      <c r="H474" s="54"/>
    </row>
    <row r="475">
      <c r="B475" s="54"/>
      <c r="C475" s="54"/>
      <c r="D475" s="54"/>
      <c r="E475" s="54"/>
      <c r="F475" s="54"/>
      <c r="G475" s="54"/>
      <c r="H475" s="54"/>
    </row>
    <row r="476">
      <c r="B476" s="54"/>
      <c r="C476" s="54"/>
      <c r="D476" s="54"/>
      <c r="E476" s="54"/>
      <c r="F476" s="54"/>
      <c r="G476" s="54"/>
      <c r="H476" s="54"/>
    </row>
    <row r="477">
      <c r="B477" s="54"/>
      <c r="C477" s="54"/>
      <c r="D477" s="54"/>
      <c r="E477" s="54"/>
      <c r="F477" s="54"/>
      <c r="G477" s="54"/>
      <c r="H477" s="54"/>
    </row>
    <row r="478">
      <c r="B478" s="54"/>
      <c r="C478" s="54"/>
      <c r="D478" s="54"/>
      <c r="E478" s="54"/>
      <c r="F478" s="54"/>
      <c r="G478" s="54"/>
      <c r="H478" s="54"/>
    </row>
    <row r="479">
      <c r="B479" s="54"/>
      <c r="C479" s="54"/>
      <c r="D479" s="54"/>
      <c r="E479" s="54"/>
      <c r="F479" s="54"/>
      <c r="G479" s="54"/>
      <c r="H479" s="54"/>
    </row>
    <row r="480">
      <c r="B480" s="54"/>
      <c r="C480" s="54"/>
      <c r="D480" s="54"/>
      <c r="E480" s="54"/>
      <c r="F480" s="54"/>
      <c r="G480" s="54"/>
      <c r="H480" s="54"/>
    </row>
    <row r="481">
      <c r="B481" s="54"/>
      <c r="C481" s="54"/>
      <c r="D481" s="54"/>
      <c r="E481" s="54"/>
      <c r="F481" s="54"/>
      <c r="G481" s="54"/>
      <c r="H481" s="54"/>
    </row>
    <row r="482">
      <c r="B482" s="54"/>
      <c r="C482" s="54"/>
      <c r="D482" s="54"/>
      <c r="E482" s="54"/>
      <c r="F482" s="54"/>
      <c r="G482" s="54"/>
      <c r="H482" s="54"/>
    </row>
    <row r="483">
      <c r="B483" s="54"/>
      <c r="C483" s="54"/>
      <c r="D483" s="54"/>
      <c r="E483" s="54"/>
      <c r="F483" s="54"/>
      <c r="G483" s="54"/>
      <c r="H483" s="54"/>
    </row>
    <row r="484">
      <c r="B484" s="54"/>
      <c r="C484" s="54"/>
      <c r="D484" s="54"/>
      <c r="E484" s="54"/>
      <c r="F484" s="54"/>
      <c r="G484" s="54"/>
      <c r="H484" s="54"/>
    </row>
    <row r="485">
      <c r="B485" s="54"/>
      <c r="C485" s="54"/>
      <c r="D485" s="54"/>
      <c r="E485" s="54"/>
      <c r="F485" s="54"/>
      <c r="G485" s="54"/>
      <c r="H485" s="54"/>
    </row>
    <row r="486">
      <c r="B486" s="54"/>
      <c r="C486" s="54"/>
      <c r="D486" s="54"/>
      <c r="E486" s="54"/>
      <c r="F486" s="54"/>
      <c r="G486" s="54"/>
      <c r="H486" s="54"/>
    </row>
    <row r="487">
      <c r="B487" s="54"/>
      <c r="C487" s="54"/>
      <c r="D487" s="54"/>
      <c r="E487" s="54"/>
      <c r="F487" s="54"/>
      <c r="G487" s="54"/>
      <c r="H487" s="54"/>
    </row>
    <row r="488">
      <c r="B488" s="54"/>
      <c r="C488" s="54"/>
      <c r="D488" s="54"/>
      <c r="E488" s="54"/>
      <c r="F488" s="54"/>
      <c r="G488" s="54"/>
      <c r="H488" s="54"/>
    </row>
    <row r="489">
      <c r="B489" s="54"/>
      <c r="C489" s="54"/>
      <c r="D489" s="54"/>
      <c r="E489" s="54"/>
      <c r="F489" s="54"/>
      <c r="G489" s="54"/>
      <c r="H489" s="54"/>
    </row>
    <row r="490">
      <c r="B490" s="54"/>
      <c r="C490" s="54"/>
      <c r="D490" s="54"/>
      <c r="E490" s="54"/>
      <c r="F490" s="54"/>
      <c r="G490" s="54"/>
      <c r="H490" s="54"/>
    </row>
    <row r="491">
      <c r="B491" s="54"/>
      <c r="C491" s="54"/>
      <c r="D491" s="54"/>
      <c r="E491" s="54"/>
      <c r="F491" s="54"/>
      <c r="G491" s="54"/>
      <c r="H491" s="54"/>
    </row>
    <row r="492">
      <c r="B492" s="54"/>
      <c r="C492" s="54"/>
      <c r="D492" s="54"/>
      <c r="E492" s="54"/>
      <c r="F492" s="54"/>
      <c r="G492" s="54"/>
      <c r="H492" s="54"/>
    </row>
    <row r="493">
      <c r="B493" s="54"/>
      <c r="C493" s="54"/>
      <c r="D493" s="54"/>
      <c r="E493" s="54"/>
      <c r="F493" s="54"/>
      <c r="G493" s="54"/>
      <c r="H493" s="54"/>
    </row>
    <row r="494">
      <c r="B494" s="54"/>
      <c r="C494" s="54"/>
      <c r="D494" s="54"/>
      <c r="E494" s="54"/>
      <c r="F494" s="54"/>
      <c r="G494" s="54"/>
      <c r="H494" s="54"/>
    </row>
    <row r="495">
      <c r="B495" s="54"/>
      <c r="C495" s="54"/>
      <c r="D495" s="54"/>
      <c r="E495" s="54"/>
      <c r="F495" s="54"/>
      <c r="G495" s="54"/>
      <c r="H495" s="54"/>
    </row>
    <row r="496">
      <c r="B496" s="54"/>
      <c r="C496" s="54"/>
      <c r="D496" s="54"/>
      <c r="E496" s="54"/>
      <c r="F496" s="54"/>
      <c r="G496" s="54"/>
      <c r="H496" s="54"/>
    </row>
    <row r="497">
      <c r="B497" s="54"/>
      <c r="C497" s="54"/>
      <c r="D497" s="54"/>
      <c r="E497" s="54"/>
      <c r="F497" s="54"/>
      <c r="G497" s="54"/>
      <c r="H497" s="54"/>
    </row>
    <row r="498">
      <c r="B498" s="54"/>
      <c r="C498" s="54"/>
      <c r="D498" s="54"/>
      <c r="E498" s="54"/>
      <c r="F498" s="54"/>
      <c r="G498" s="54"/>
      <c r="H498" s="54"/>
    </row>
    <row r="499">
      <c r="B499" s="54"/>
      <c r="C499" s="54"/>
      <c r="D499" s="54"/>
      <c r="E499" s="54"/>
      <c r="F499" s="54"/>
      <c r="G499" s="54"/>
      <c r="H499" s="54"/>
    </row>
    <row r="500">
      <c r="B500" s="54"/>
      <c r="C500" s="54"/>
      <c r="D500" s="54"/>
      <c r="E500" s="54"/>
      <c r="F500" s="54"/>
      <c r="G500" s="54"/>
      <c r="H500" s="54"/>
    </row>
    <row r="501">
      <c r="B501" s="54"/>
      <c r="C501" s="54"/>
      <c r="D501" s="54"/>
      <c r="E501" s="54"/>
      <c r="F501" s="54"/>
      <c r="G501" s="54"/>
      <c r="H501" s="54"/>
    </row>
    <row r="502">
      <c r="B502" s="54"/>
      <c r="C502" s="54"/>
      <c r="D502" s="54"/>
      <c r="E502" s="54"/>
      <c r="F502" s="54"/>
      <c r="G502" s="54"/>
      <c r="H502" s="54"/>
    </row>
    <row r="503">
      <c r="B503" s="54"/>
      <c r="C503" s="54"/>
      <c r="D503" s="54"/>
      <c r="E503" s="54"/>
      <c r="F503" s="54"/>
      <c r="G503" s="54"/>
      <c r="H503" s="54"/>
    </row>
    <row r="504">
      <c r="B504" s="54"/>
      <c r="C504" s="54"/>
      <c r="D504" s="54"/>
      <c r="E504" s="54"/>
      <c r="F504" s="54"/>
      <c r="G504" s="54"/>
      <c r="H504" s="54"/>
    </row>
    <row r="505">
      <c r="B505" s="54"/>
      <c r="C505" s="54"/>
      <c r="D505" s="54"/>
      <c r="E505" s="54"/>
      <c r="F505" s="54"/>
      <c r="G505" s="54"/>
      <c r="H505" s="54"/>
    </row>
    <row r="506">
      <c r="B506" s="54"/>
      <c r="C506" s="54"/>
      <c r="D506" s="54"/>
      <c r="E506" s="54"/>
      <c r="F506" s="54"/>
      <c r="G506" s="54"/>
      <c r="H506" s="54"/>
    </row>
    <row r="507">
      <c r="B507" s="54"/>
      <c r="C507" s="54"/>
      <c r="D507" s="54"/>
      <c r="E507" s="54"/>
      <c r="F507" s="54"/>
      <c r="G507" s="54"/>
      <c r="H507" s="54"/>
    </row>
    <row r="508">
      <c r="B508" s="54"/>
      <c r="C508" s="54"/>
      <c r="D508" s="54"/>
      <c r="E508" s="54"/>
      <c r="F508" s="54"/>
      <c r="G508" s="54"/>
      <c r="H508" s="54"/>
    </row>
    <row r="509">
      <c r="B509" s="54"/>
      <c r="C509" s="54"/>
      <c r="D509" s="54"/>
      <c r="E509" s="54"/>
      <c r="F509" s="54"/>
      <c r="G509" s="54"/>
      <c r="H509" s="54"/>
    </row>
    <row r="510">
      <c r="B510" s="54"/>
      <c r="C510" s="54"/>
      <c r="D510" s="54"/>
      <c r="E510" s="54"/>
      <c r="F510" s="54"/>
      <c r="G510" s="54"/>
      <c r="H510" s="54"/>
    </row>
    <row r="511">
      <c r="B511" s="54"/>
      <c r="C511" s="54"/>
      <c r="D511" s="54"/>
      <c r="E511" s="54"/>
      <c r="F511" s="54"/>
      <c r="G511" s="54"/>
      <c r="H511" s="54"/>
    </row>
    <row r="512">
      <c r="B512" s="54"/>
      <c r="C512" s="54"/>
      <c r="D512" s="54"/>
      <c r="E512" s="54"/>
      <c r="F512" s="54"/>
      <c r="G512" s="54"/>
      <c r="H512" s="54"/>
    </row>
    <row r="513">
      <c r="B513" s="54"/>
      <c r="C513" s="54"/>
      <c r="D513" s="54"/>
      <c r="E513" s="54"/>
      <c r="F513" s="54"/>
      <c r="G513" s="54"/>
      <c r="H513" s="54"/>
    </row>
    <row r="514">
      <c r="B514" s="54"/>
      <c r="C514" s="54"/>
      <c r="D514" s="54"/>
      <c r="E514" s="54"/>
      <c r="F514" s="54"/>
      <c r="G514" s="54"/>
      <c r="H514" s="54"/>
    </row>
    <row r="515">
      <c r="B515" s="54"/>
      <c r="C515" s="54"/>
      <c r="D515" s="54"/>
      <c r="E515" s="54"/>
      <c r="F515" s="54"/>
      <c r="G515" s="54"/>
      <c r="H515" s="54"/>
    </row>
    <row r="516">
      <c r="B516" s="54"/>
      <c r="C516" s="54"/>
      <c r="D516" s="54"/>
      <c r="E516" s="54"/>
      <c r="F516" s="54"/>
      <c r="G516" s="54"/>
      <c r="H516" s="54"/>
    </row>
    <row r="517">
      <c r="B517" s="54"/>
      <c r="C517" s="54"/>
      <c r="D517" s="54"/>
      <c r="E517" s="54"/>
      <c r="F517" s="54"/>
      <c r="G517" s="54"/>
      <c r="H517" s="54"/>
    </row>
    <row r="518">
      <c r="B518" s="54"/>
      <c r="C518" s="54"/>
      <c r="D518" s="54"/>
      <c r="E518" s="54"/>
      <c r="F518" s="54"/>
      <c r="G518" s="54"/>
      <c r="H518" s="54"/>
    </row>
    <row r="519">
      <c r="B519" s="54"/>
      <c r="C519" s="54"/>
      <c r="D519" s="54"/>
      <c r="E519" s="54"/>
      <c r="F519" s="54"/>
      <c r="G519" s="54"/>
      <c r="H519" s="54"/>
    </row>
    <row r="520">
      <c r="B520" s="54"/>
      <c r="C520" s="54"/>
      <c r="D520" s="54"/>
      <c r="E520" s="54"/>
      <c r="F520" s="54"/>
      <c r="G520" s="54"/>
      <c r="H520" s="54"/>
    </row>
    <row r="521">
      <c r="B521" s="54"/>
      <c r="C521" s="54"/>
      <c r="D521" s="54"/>
      <c r="E521" s="54"/>
      <c r="F521" s="54"/>
      <c r="G521" s="54"/>
      <c r="H521" s="54"/>
    </row>
    <row r="522">
      <c r="B522" s="54"/>
      <c r="C522" s="54"/>
      <c r="D522" s="54"/>
      <c r="E522" s="54"/>
      <c r="F522" s="54"/>
      <c r="G522" s="54"/>
      <c r="H522" s="54"/>
    </row>
    <row r="523">
      <c r="B523" s="54"/>
      <c r="C523" s="54"/>
      <c r="D523" s="54"/>
      <c r="E523" s="54"/>
      <c r="F523" s="54"/>
      <c r="G523" s="54"/>
      <c r="H523" s="54"/>
    </row>
    <row r="524">
      <c r="B524" s="54"/>
      <c r="C524" s="54"/>
      <c r="D524" s="54"/>
      <c r="E524" s="54"/>
      <c r="F524" s="54"/>
      <c r="G524" s="54"/>
      <c r="H524" s="54"/>
    </row>
    <row r="525">
      <c r="B525" s="54"/>
      <c r="C525" s="54"/>
      <c r="D525" s="54"/>
      <c r="E525" s="54"/>
      <c r="F525" s="54"/>
      <c r="G525" s="54"/>
      <c r="H525" s="54"/>
    </row>
    <row r="526">
      <c r="B526" s="54"/>
      <c r="C526" s="54"/>
      <c r="D526" s="54"/>
      <c r="E526" s="54"/>
      <c r="F526" s="54"/>
      <c r="G526" s="54"/>
      <c r="H526" s="54"/>
    </row>
    <row r="527">
      <c r="B527" s="54"/>
      <c r="C527" s="54"/>
      <c r="D527" s="54"/>
      <c r="E527" s="54"/>
      <c r="F527" s="54"/>
      <c r="G527" s="54"/>
      <c r="H527" s="54"/>
    </row>
    <row r="528">
      <c r="B528" s="54"/>
      <c r="C528" s="54"/>
      <c r="D528" s="54"/>
      <c r="E528" s="54"/>
      <c r="F528" s="54"/>
      <c r="G528" s="54"/>
      <c r="H528" s="54"/>
    </row>
    <row r="529">
      <c r="B529" s="54"/>
      <c r="C529" s="54"/>
      <c r="D529" s="54"/>
      <c r="E529" s="54"/>
      <c r="F529" s="54"/>
      <c r="G529" s="54"/>
      <c r="H529" s="54"/>
    </row>
    <row r="530">
      <c r="B530" s="54"/>
      <c r="C530" s="54"/>
      <c r="D530" s="54"/>
      <c r="E530" s="54"/>
      <c r="F530" s="54"/>
      <c r="G530" s="54"/>
      <c r="H530" s="54"/>
    </row>
    <row r="531">
      <c r="B531" s="54"/>
      <c r="C531" s="54"/>
      <c r="D531" s="54"/>
      <c r="E531" s="54"/>
      <c r="F531" s="54"/>
      <c r="G531" s="54"/>
      <c r="H531" s="54"/>
    </row>
    <row r="532">
      <c r="B532" s="54"/>
      <c r="C532" s="54"/>
      <c r="D532" s="54"/>
      <c r="E532" s="54"/>
      <c r="F532" s="54"/>
      <c r="G532" s="54"/>
      <c r="H532" s="54"/>
    </row>
    <row r="533">
      <c r="B533" s="54"/>
      <c r="C533" s="54"/>
      <c r="D533" s="54"/>
      <c r="E533" s="54"/>
      <c r="F533" s="54"/>
      <c r="G533" s="54"/>
      <c r="H533" s="54"/>
    </row>
    <row r="534">
      <c r="B534" s="54"/>
      <c r="C534" s="54"/>
      <c r="D534" s="54"/>
      <c r="E534" s="54"/>
      <c r="F534" s="54"/>
      <c r="G534" s="54"/>
      <c r="H534" s="54"/>
    </row>
    <row r="535">
      <c r="B535" s="54"/>
      <c r="C535" s="54"/>
      <c r="D535" s="54"/>
      <c r="E535" s="54"/>
      <c r="F535" s="54"/>
      <c r="G535" s="54"/>
      <c r="H535" s="54"/>
    </row>
    <row r="536">
      <c r="B536" s="54"/>
      <c r="C536" s="54"/>
      <c r="D536" s="54"/>
      <c r="E536" s="54"/>
      <c r="F536" s="54"/>
      <c r="G536" s="54"/>
      <c r="H536" s="54"/>
    </row>
    <row r="537">
      <c r="B537" s="54"/>
      <c r="C537" s="54"/>
      <c r="D537" s="54"/>
      <c r="E537" s="54"/>
      <c r="F537" s="54"/>
      <c r="G537" s="54"/>
      <c r="H537" s="54"/>
    </row>
    <row r="538">
      <c r="B538" s="54"/>
      <c r="C538" s="54"/>
      <c r="D538" s="54"/>
      <c r="E538" s="54"/>
      <c r="F538" s="54"/>
      <c r="G538" s="54"/>
      <c r="H538" s="54"/>
    </row>
    <row r="539">
      <c r="B539" s="54"/>
      <c r="C539" s="54"/>
      <c r="D539" s="54"/>
      <c r="E539" s="54"/>
      <c r="F539" s="54"/>
      <c r="G539" s="54"/>
      <c r="H539" s="54"/>
    </row>
    <row r="540">
      <c r="B540" s="54"/>
      <c r="C540" s="54"/>
      <c r="D540" s="54"/>
      <c r="E540" s="54"/>
      <c r="F540" s="54"/>
      <c r="G540" s="54"/>
      <c r="H540" s="54"/>
    </row>
    <row r="541">
      <c r="B541" s="54"/>
      <c r="C541" s="54"/>
      <c r="D541" s="54"/>
      <c r="E541" s="54"/>
      <c r="F541" s="54"/>
      <c r="G541" s="54"/>
      <c r="H541" s="54"/>
    </row>
    <row r="542">
      <c r="B542" s="54"/>
      <c r="C542" s="54"/>
      <c r="D542" s="54"/>
      <c r="E542" s="54"/>
      <c r="F542" s="54"/>
      <c r="G542" s="54"/>
      <c r="H542" s="54"/>
    </row>
    <row r="543">
      <c r="B543" s="54"/>
      <c r="C543" s="54"/>
      <c r="D543" s="54"/>
      <c r="E543" s="54"/>
      <c r="F543" s="54"/>
      <c r="G543" s="54"/>
      <c r="H543" s="54"/>
    </row>
    <row r="544">
      <c r="B544" s="54"/>
      <c r="C544" s="54"/>
      <c r="D544" s="54"/>
      <c r="E544" s="54"/>
      <c r="F544" s="54"/>
      <c r="G544" s="54"/>
      <c r="H544" s="54"/>
    </row>
    <row r="545">
      <c r="B545" s="54"/>
      <c r="C545" s="54"/>
      <c r="D545" s="54"/>
      <c r="E545" s="54"/>
      <c r="F545" s="54"/>
      <c r="G545" s="54"/>
      <c r="H545" s="54"/>
    </row>
    <row r="546">
      <c r="B546" s="54"/>
      <c r="C546" s="54"/>
      <c r="D546" s="54"/>
      <c r="E546" s="54"/>
      <c r="F546" s="54"/>
      <c r="G546" s="54"/>
      <c r="H546" s="54"/>
    </row>
    <row r="547">
      <c r="B547" s="54"/>
      <c r="C547" s="54"/>
      <c r="D547" s="54"/>
      <c r="E547" s="54"/>
      <c r="F547" s="54"/>
      <c r="G547" s="54"/>
      <c r="H547" s="54"/>
    </row>
    <row r="548">
      <c r="B548" s="54"/>
      <c r="C548" s="54"/>
      <c r="D548" s="54"/>
      <c r="E548" s="54"/>
      <c r="F548" s="54"/>
      <c r="G548" s="54"/>
      <c r="H548" s="54"/>
    </row>
    <row r="549">
      <c r="B549" s="54"/>
      <c r="C549" s="54"/>
      <c r="D549" s="54"/>
      <c r="E549" s="54"/>
      <c r="F549" s="54"/>
      <c r="G549" s="54"/>
      <c r="H549" s="54"/>
    </row>
    <row r="550">
      <c r="B550" s="54"/>
      <c r="C550" s="54"/>
      <c r="D550" s="54"/>
      <c r="E550" s="54"/>
      <c r="F550" s="54"/>
      <c r="G550" s="54"/>
      <c r="H550" s="54"/>
    </row>
    <row r="551">
      <c r="B551" s="54"/>
      <c r="C551" s="54"/>
      <c r="D551" s="54"/>
      <c r="E551" s="54"/>
      <c r="F551" s="54"/>
      <c r="G551" s="54"/>
      <c r="H551" s="54"/>
    </row>
    <row r="552">
      <c r="B552" s="54"/>
      <c r="C552" s="54"/>
      <c r="D552" s="54"/>
      <c r="E552" s="54"/>
      <c r="F552" s="54"/>
      <c r="G552" s="54"/>
      <c r="H552" s="54"/>
    </row>
    <row r="553">
      <c r="B553" s="54"/>
      <c r="C553" s="54"/>
      <c r="D553" s="54"/>
      <c r="E553" s="54"/>
      <c r="F553" s="54"/>
      <c r="G553" s="54"/>
      <c r="H553" s="54"/>
    </row>
    <row r="554">
      <c r="B554" s="54"/>
      <c r="C554" s="54"/>
      <c r="D554" s="54"/>
      <c r="E554" s="54"/>
      <c r="F554" s="54"/>
      <c r="G554" s="54"/>
      <c r="H554" s="54"/>
    </row>
    <row r="555">
      <c r="B555" s="54"/>
      <c r="C555" s="54"/>
      <c r="D555" s="54"/>
      <c r="E555" s="54"/>
      <c r="F555" s="54"/>
      <c r="G555" s="54"/>
      <c r="H555" s="54"/>
    </row>
    <row r="556">
      <c r="B556" s="54"/>
      <c r="C556" s="54"/>
      <c r="D556" s="54"/>
      <c r="E556" s="54"/>
      <c r="F556" s="54"/>
      <c r="G556" s="54"/>
      <c r="H556" s="54"/>
    </row>
    <row r="557">
      <c r="B557" s="54"/>
      <c r="C557" s="54"/>
      <c r="D557" s="54"/>
      <c r="E557" s="54"/>
      <c r="F557" s="54"/>
      <c r="G557" s="54"/>
      <c r="H557" s="54"/>
    </row>
    <row r="558">
      <c r="B558" s="54"/>
      <c r="C558" s="54"/>
      <c r="D558" s="54"/>
      <c r="E558" s="54"/>
      <c r="F558" s="54"/>
      <c r="G558" s="54"/>
      <c r="H558" s="54"/>
    </row>
    <row r="559">
      <c r="B559" s="54"/>
      <c r="C559" s="54"/>
      <c r="D559" s="54"/>
      <c r="E559" s="54"/>
      <c r="F559" s="54"/>
      <c r="G559" s="54"/>
      <c r="H559" s="54"/>
    </row>
    <row r="560">
      <c r="B560" s="54"/>
      <c r="C560" s="54"/>
      <c r="D560" s="54"/>
      <c r="E560" s="54"/>
      <c r="F560" s="54"/>
      <c r="G560" s="54"/>
      <c r="H560" s="54"/>
    </row>
    <row r="561">
      <c r="B561" s="54"/>
      <c r="C561" s="54"/>
      <c r="D561" s="54"/>
      <c r="E561" s="54"/>
      <c r="F561" s="54"/>
      <c r="G561" s="54"/>
      <c r="H561" s="54"/>
    </row>
    <row r="562">
      <c r="B562" s="54"/>
      <c r="C562" s="54"/>
      <c r="D562" s="54"/>
      <c r="E562" s="54"/>
      <c r="F562" s="54"/>
      <c r="G562" s="54"/>
      <c r="H562" s="54"/>
    </row>
    <row r="563">
      <c r="B563" s="54"/>
      <c r="C563" s="54"/>
      <c r="D563" s="54"/>
      <c r="E563" s="54"/>
      <c r="F563" s="54"/>
      <c r="G563" s="54"/>
      <c r="H563" s="54"/>
    </row>
    <row r="564">
      <c r="B564" s="54"/>
      <c r="C564" s="54"/>
      <c r="D564" s="54"/>
      <c r="E564" s="54"/>
      <c r="F564" s="54"/>
      <c r="G564" s="54"/>
      <c r="H564" s="54"/>
    </row>
    <row r="565">
      <c r="B565" s="54"/>
      <c r="C565" s="54"/>
      <c r="D565" s="54"/>
      <c r="E565" s="54"/>
      <c r="F565" s="54"/>
      <c r="G565" s="54"/>
      <c r="H565" s="54"/>
    </row>
    <row r="566">
      <c r="B566" s="54"/>
      <c r="C566" s="54"/>
      <c r="D566" s="54"/>
      <c r="E566" s="54"/>
      <c r="F566" s="54"/>
      <c r="G566" s="54"/>
      <c r="H566" s="54"/>
    </row>
    <row r="567">
      <c r="B567" s="54"/>
      <c r="C567" s="54"/>
      <c r="D567" s="54"/>
      <c r="E567" s="54"/>
      <c r="F567" s="54"/>
      <c r="G567" s="54"/>
      <c r="H567" s="54"/>
    </row>
    <row r="568">
      <c r="B568" s="54"/>
      <c r="C568" s="54"/>
      <c r="D568" s="54"/>
      <c r="E568" s="54"/>
      <c r="F568" s="54"/>
      <c r="G568" s="54"/>
      <c r="H568" s="54"/>
    </row>
    <row r="569">
      <c r="B569" s="54"/>
      <c r="C569" s="54"/>
      <c r="D569" s="54"/>
      <c r="E569" s="54"/>
      <c r="F569" s="54"/>
      <c r="G569" s="54"/>
      <c r="H569" s="54"/>
    </row>
    <row r="570">
      <c r="B570" s="54"/>
      <c r="C570" s="54"/>
      <c r="D570" s="54"/>
      <c r="E570" s="54"/>
      <c r="F570" s="54"/>
      <c r="G570" s="54"/>
      <c r="H570" s="54"/>
    </row>
    <row r="571">
      <c r="B571" s="54"/>
      <c r="C571" s="54"/>
      <c r="D571" s="54"/>
      <c r="E571" s="54"/>
      <c r="F571" s="54"/>
      <c r="G571" s="54"/>
      <c r="H571" s="54"/>
    </row>
    <row r="572">
      <c r="B572" s="54"/>
      <c r="C572" s="54"/>
      <c r="D572" s="54"/>
      <c r="E572" s="54"/>
      <c r="F572" s="54"/>
      <c r="G572" s="54"/>
      <c r="H572" s="54"/>
    </row>
    <row r="573">
      <c r="B573" s="54"/>
      <c r="C573" s="54"/>
      <c r="D573" s="54"/>
      <c r="E573" s="54"/>
      <c r="F573" s="54"/>
      <c r="G573" s="54"/>
      <c r="H573" s="54"/>
    </row>
    <row r="574">
      <c r="B574" s="54"/>
      <c r="C574" s="54"/>
      <c r="D574" s="54"/>
      <c r="E574" s="54"/>
      <c r="F574" s="54"/>
      <c r="G574" s="54"/>
      <c r="H574" s="54"/>
    </row>
    <row r="575">
      <c r="B575" s="54"/>
      <c r="C575" s="54"/>
      <c r="D575" s="54"/>
      <c r="E575" s="54"/>
      <c r="F575" s="54"/>
      <c r="G575" s="54"/>
      <c r="H575" s="54"/>
    </row>
    <row r="576">
      <c r="B576" s="54"/>
      <c r="C576" s="54"/>
      <c r="D576" s="54"/>
      <c r="E576" s="54"/>
      <c r="F576" s="54"/>
      <c r="G576" s="54"/>
      <c r="H576" s="54"/>
    </row>
    <row r="577">
      <c r="B577" s="54"/>
      <c r="C577" s="54"/>
      <c r="D577" s="54"/>
      <c r="E577" s="54"/>
      <c r="F577" s="54"/>
      <c r="G577" s="54"/>
      <c r="H577" s="54"/>
    </row>
    <row r="578">
      <c r="B578" s="54"/>
      <c r="C578" s="54"/>
      <c r="D578" s="54"/>
      <c r="E578" s="54"/>
      <c r="F578" s="54"/>
      <c r="G578" s="54"/>
      <c r="H578" s="54"/>
    </row>
    <row r="579">
      <c r="B579" s="54"/>
      <c r="C579" s="54"/>
      <c r="D579" s="54"/>
      <c r="E579" s="54"/>
      <c r="F579" s="54"/>
      <c r="G579" s="54"/>
      <c r="H579" s="54"/>
    </row>
    <row r="580">
      <c r="B580" s="54"/>
      <c r="C580" s="54"/>
      <c r="D580" s="54"/>
      <c r="E580" s="54"/>
      <c r="F580" s="54"/>
      <c r="G580" s="54"/>
      <c r="H580" s="54"/>
    </row>
    <row r="581">
      <c r="B581" s="54"/>
      <c r="C581" s="54"/>
      <c r="D581" s="54"/>
      <c r="E581" s="54"/>
      <c r="F581" s="54"/>
      <c r="G581" s="54"/>
      <c r="H581" s="54"/>
    </row>
    <row r="582">
      <c r="B582" s="54"/>
      <c r="C582" s="54"/>
      <c r="D582" s="54"/>
      <c r="E582" s="54"/>
      <c r="F582" s="54"/>
      <c r="G582" s="54"/>
      <c r="H582" s="54"/>
    </row>
    <row r="583">
      <c r="B583" s="54"/>
      <c r="C583" s="54"/>
      <c r="D583" s="54"/>
      <c r="E583" s="54"/>
      <c r="F583" s="54"/>
      <c r="G583" s="54"/>
      <c r="H583" s="54"/>
    </row>
    <row r="584">
      <c r="B584" s="54"/>
      <c r="C584" s="54"/>
      <c r="D584" s="54"/>
      <c r="E584" s="54"/>
      <c r="F584" s="54"/>
      <c r="G584" s="54"/>
      <c r="H584" s="54"/>
    </row>
    <row r="585">
      <c r="B585" s="54"/>
      <c r="C585" s="54"/>
      <c r="D585" s="54"/>
      <c r="E585" s="54"/>
      <c r="F585" s="54"/>
      <c r="G585" s="54"/>
      <c r="H585" s="54"/>
    </row>
    <row r="586">
      <c r="B586" s="54"/>
      <c r="C586" s="54"/>
      <c r="D586" s="54"/>
      <c r="E586" s="54"/>
      <c r="F586" s="54"/>
      <c r="G586" s="54"/>
      <c r="H586" s="54"/>
    </row>
    <row r="587">
      <c r="B587" s="54"/>
      <c r="C587" s="54"/>
      <c r="D587" s="54"/>
      <c r="E587" s="54"/>
      <c r="F587" s="54"/>
      <c r="G587" s="54"/>
      <c r="H587" s="54"/>
    </row>
    <row r="588">
      <c r="B588" s="54"/>
      <c r="C588" s="54"/>
      <c r="D588" s="54"/>
      <c r="E588" s="54"/>
      <c r="F588" s="54"/>
      <c r="G588" s="54"/>
      <c r="H588" s="54"/>
    </row>
    <row r="589">
      <c r="B589" s="54"/>
      <c r="C589" s="54"/>
      <c r="D589" s="54"/>
      <c r="E589" s="54"/>
      <c r="F589" s="54"/>
      <c r="G589" s="54"/>
      <c r="H589" s="54"/>
    </row>
    <row r="590">
      <c r="B590" s="54"/>
      <c r="C590" s="54"/>
      <c r="D590" s="54"/>
      <c r="E590" s="54"/>
      <c r="F590" s="54"/>
      <c r="G590" s="54"/>
      <c r="H590" s="54"/>
    </row>
    <row r="591">
      <c r="B591" s="54"/>
      <c r="C591" s="54"/>
      <c r="D591" s="54"/>
      <c r="E591" s="54"/>
      <c r="F591" s="54"/>
      <c r="G591" s="54"/>
      <c r="H591" s="54"/>
    </row>
    <row r="592">
      <c r="B592" s="54"/>
      <c r="C592" s="54"/>
      <c r="D592" s="54"/>
      <c r="E592" s="54"/>
      <c r="F592" s="54"/>
      <c r="G592" s="54"/>
      <c r="H592" s="54"/>
    </row>
    <row r="593">
      <c r="B593" s="54"/>
      <c r="C593" s="54"/>
      <c r="D593" s="54"/>
      <c r="E593" s="54"/>
      <c r="F593" s="54"/>
      <c r="G593" s="54"/>
      <c r="H593" s="54"/>
    </row>
    <row r="594">
      <c r="B594" s="54"/>
      <c r="C594" s="54"/>
      <c r="D594" s="54"/>
      <c r="E594" s="54"/>
      <c r="F594" s="54"/>
      <c r="G594" s="54"/>
      <c r="H594" s="54"/>
    </row>
    <row r="595">
      <c r="B595" s="54"/>
      <c r="C595" s="54"/>
      <c r="D595" s="54"/>
      <c r="E595" s="54"/>
      <c r="F595" s="54"/>
      <c r="G595" s="54"/>
      <c r="H595" s="54"/>
    </row>
    <row r="596">
      <c r="B596" s="54"/>
      <c r="C596" s="54"/>
      <c r="D596" s="54"/>
      <c r="E596" s="54"/>
      <c r="F596" s="54"/>
      <c r="G596" s="54"/>
      <c r="H596" s="54"/>
    </row>
    <row r="597">
      <c r="B597" s="54"/>
      <c r="C597" s="54"/>
      <c r="D597" s="54"/>
      <c r="E597" s="54"/>
      <c r="F597" s="54"/>
      <c r="G597" s="54"/>
      <c r="H597" s="54"/>
    </row>
    <row r="598">
      <c r="B598" s="54"/>
      <c r="C598" s="54"/>
      <c r="D598" s="54"/>
      <c r="E598" s="54"/>
      <c r="F598" s="54"/>
      <c r="G598" s="54"/>
      <c r="H598" s="54"/>
    </row>
    <row r="599">
      <c r="B599" s="54"/>
      <c r="C599" s="54"/>
      <c r="D599" s="54"/>
      <c r="E599" s="54"/>
      <c r="F599" s="54"/>
      <c r="G599" s="54"/>
      <c r="H599" s="54"/>
    </row>
    <row r="600">
      <c r="B600" s="54"/>
      <c r="C600" s="54"/>
      <c r="D600" s="54"/>
      <c r="E600" s="54"/>
      <c r="F600" s="54"/>
      <c r="G600" s="54"/>
      <c r="H600" s="54"/>
    </row>
    <row r="601">
      <c r="B601" s="54"/>
      <c r="C601" s="54"/>
      <c r="D601" s="54"/>
      <c r="E601" s="54"/>
      <c r="F601" s="54"/>
      <c r="G601" s="54"/>
      <c r="H601" s="54"/>
    </row>
    <row r="602">
      <c r="B602" s="54"/>
      <c r="C602" s="54"/>
      <c r="D602" s="54"/>
      <c r="E602" s="54"/>
      <c r="F602" s="54"/>
      <c r="G602" s="54"/>
      <c r="H602" s="54"/>
    </row>
    <row r="603">
      <c r="B603" s="54"/>
      <c r="C603" s="54"/>
      <c r="D603" s="54"/>
      <c r="E603" s="54"/>
      <c r="F603" s="54"/>
      <c r="G603" s="54"/>
      <c r="H603" s="54"/>
    </row>
    <row r="604">
      <c r="B604" s="54"/>
      <c r="C604" s="54"/>
      <c r="D604" s="54"/>
      <c r="E604" s="54"/>
      <c r="F604" s="54"/>
      <c r="G604" s="54"/>
      <c r="H604" s="54"/>
    </row>
    <row r="605">
      <c r="B605" s="54"/>
      <c r="C605" s="54"/>
      <c r="D605" s="54"/>
      <c r="E605" s="54"/>
      <c r="F605" s="54"/>
      <c r="G605" s="54"/>
      <c r="H605" s="54"/>
    </row>
    <row r="606">
      <c r="B606" s="54"/>
      <c r="C606" s="54"/>
      <c r="D606" s="54"/>
      <c r="E606" s="54"/>
      <c r="F606" s="54"/>
      <c r="G606" s="54"/>
      <c r="H606" s="54"/>
    </row>
    <row r="607">
      <c r="B607" s="54"/>
      <c r="C607" s="54"/>
      <c r="D607" s="54"/>
      <c r="E607" s="54"/>
      <c r="F607" s="54"/>
      <c r="G607" s="54"/>
      <c r="H607" s="54"/>
    </row>
    <row r="608">
      <c r="B608" s="54"/>
      <c r="C608" s="54"/>
      <c r="D608" s="54"/>
      <c r="E608" s="54"/>
      <c r="F608" s="54"/>
      <c r="G608" s="54"/>
      <c r="H608" s="54"/>
    </row>
    <row r="609">
      <c r="B609" s="54"/>
      <c r="C609" s="54"/>
      <c r="D609" s="54"/>
      <c r="E609" s="54"/>
      <c r="F609" s="54"/>
      <c r="G609" s="54"/>
      <c r="H609" s="54"/>
    </row>
    <row r="610">
      <c r="B610" s="54"/>
      <c r="C610" s="54"/>
      <c r="D610" s="54"/>
      <c r="E610" s="54"/>
      <c r="F610" s="54"/>
      <c r="G610" s="54"/>
      <c r="H610" s="54"/>
    </row>
    <row r="611">
      <c r="B611" s="54"/>
      <c r="C611" s="54"/>
      <c r="D611" s="54"/>
      <c r="E611" s="54"/>
      <c r="F611" s="54"/>
      <c r="G611" s="54"/>
      <c r="H611" s="54"/>
    </row>
    <row r="612">
      <c r="B612" s="54"/>
      <c r="C612" s="54"/>
      <c r="D612" s="54"/>
      <c r="E612" s="54"/>
      <c r="F612" s="54"/>
      <c r="G612" s="54"/>
      <c r="H612" s="54"/>
    </row>
    <row r="613">
      <c r="B613" s="54"/>
      <c r="C613" s="54"/>
      <c r="D613" s="54"/>
      <c r="E613" s="54"/>
      <c r="F613" s="54"/>
      <c r="G613" s="54"/>
      <c r="H613" s="54"/>
    </row>
    <row r="614">
      <c r="B614" s="54"/>
      <c r="C614" s="54"/>
      <c r="D614" s="54"/>
      <c r="E614" s="54"/>
      <c r="F614" s="54"/>
      <c r="G614" s="54"/>
      <c r="H614" s="54"/>
    </row>
    <row r="615">
      <c r="B615" s="54"/>
      <c r="C615" s="54"/>
      <c r="D615" s="54"/>
      <c r="E615" s="54"/>
      <c r="F615" s="54"/>
      <c r="G615" s="54"/>
      <c r="H615" s="54"/>
    </row>
    <row r="616">
      <c r="B616" s="54"/>
      <c r="C616" s="54"/>
      <c r="D616" s="54"/>
      <c r="E616" s="54"/>
      <c r="F616" s="54"/>
      <c r="G616" s="54"/>
      <c r="H616" s="54"/>
    </row>
    <row r="617">
      <c r="B617" s="54"/>
      <c r="C617" s="54"/>
      <c r="D617" s="54"/>
      <c r="E617" s="54"/>
      <c r="F617" s="54"/>
      <c r="G617" s="54"/>
      <c r="H617" s="54"/>
    </row>
    <row r="618">
      <c r="B618" s="54"/>
      <c r="C618" s="54"/>
      <c r="D618" s="54"/>
      <c r="E618" s="54"/>
      <c r="F618" s="54"/>
      <c r="G618" s="54"/>
      <c r="H618" s="54"/>
    </row>
    <row r="619">
      <c r="B619" s="54"/>
      <c r="C619" s="54"/>
      <c r="D619" s="54"/>
      <c r="E619" s="54"/>
      <c r="F619" s="54"/>
      <c r="G619" s="54"/>
      <c r="H619" s="54"/>
    </row>
    <row r="620">
      <c r="B620" s="54"/>
      <c r="C620" s="54"/>
      <c r="D620" s="54"/>
      <c r="E620" s="54"/>
      <c r="F620" s="54"/>
      <c r="G620" s="54"/>
      <c r="H620" s="54"/>
    </row>
    <row r="621">
      <c r="B621" s="54"/>
      <c r="C621" s="54"/>
      <c r="D621" s="54"/>
      <c r="E621" s="54"/>
      <c r="F621" s="54"/>
      <c r="G621" s="54"/>
      <c r="H621" s="54"/>
    </row>
    <row r="622">
      <c r="B622" s="54"/>
      <c r="C622" s="54"/>
      <c r="D622" s="54"/>
      <c r="E622" s="54"/>
      <c r="F622" s="54"/>
      <c r="G622" s="54"/>
      <c r="H622" s="54"/>
    </row>
    <row r="623">
      <c r="B623" s="54"/>
      <c r="C623" s="54"/>
      <c r="D623" s="54"/>
      <c r="E623" s="54"/>
      <c r="F623" s="54"/>
      <c r="G623" s="54"/>
      <c r="H623" s="54"/>
    </row>
    <row r="624">
      <c r="B624" s="54"/>
      <c r="C624" s="54"/>
      <c r="D624" s="54"/>
      <c r="E624" s="54"/>
      <c r="F624" s="54"/>
      <c r="G624" s="54"/>
      <c r="H624" s="54"/>
    </row>
    <row r="625">
      <c r="B625" s="54"/>
      <c r="C625" s="54"/>
      <c r="D625" s="54"/>
      <c r="E625" s="54"/>
      <c r="F625" s="54"/>
      <c r="G625" s="54"/>
      <c r="H625" s="54"/>
    </row>
    <row r="626">
      <c r="B626" s="54"/>
      <c r="C626" s="54"/>
      <c r="D626" s="54"/>
      <c r="E626" s="54"/>
      <c r="F626" s="54"/>
      <c r="G626" s="54"/>
      <c r="H626" s="54"/>
    </row>
    <row r="627">
      <c r="B627" s="54"/>
      <c r="C627" s="54"/>
      <c r="D627" s="54"/>
      <c r="E627" s="54"/>
      <c r="F627" s="54"/>
      <c r="G627" s="54"/>
      <c r="H627" s="54"/>
    </row>
    <row r="628">
      <c r="B628" s="54"/>
      <c r="C628" s="54"/>
      <c r="D628" s="54"/>
      <c r="E628" s="54"/>
      <c r="F628" s="54"/>
      <c r="G628" s="54"/>
      <c r="H628" s="54"/>
    </row>
    <row r="629">
      <c r="B629" s="54"/>
      <c r="C629" s="54"/>
      <c r="D629" s="54"/>
      <c r="E629" s="54"/>
      <c r="F629" s="54"/>
      <c r="G629" s="54"/>
      <c r="H629" s="54"/>
    </row>
    <row r="630">
      <c r="B630" s="54"/>
      <c r="C630" s="54"/>
      <c r="D630" s="54"/>
      <c r="E630" s="54"/>
      <c r="F630" s="54"/>
      <c r="G630" s="54"/>
      <c r="H630" s="54"/>
    </row>
    <row r="631">
      <c r="B631" s="54"/>
      <c r="C631" s="54"/>
      <c r="D631" s="54"/>
      <c r="E631" s="54"/>
      <c r="F631" s="54"/>
      <c r="G631" s="54"/>
      <c r="H631" s="54"/>
    </row>
    <row r="632">
      <c r="B632" s="54"/>
      <c r="C632" s="54"/>
      <c r="D632" s="54"/>
      <c r="E632" s="54"/>
      <c r="F632" s="54"/>
      <c r="G632" s="54"/>
      <c r="H632" s="54"/>
    </row>
    <row r="633">
      <c r="B633" s="54"/>
      <c r="C633" s="54"/>
      <c r="D633" s="54"/>
      <c r="E633" s="54"/>
      <c r="F633" s="54"/>
      <c r="G633" s="54"/>
      <c r="H633" s="54"/>
    </row>
    <row r="634">
      <c r="B634" s="54"/>
      <c r="C634" s="54"/>
      <c r="D634" s="54"/>
      <c r="E634" s="54"/>
      <c r="F634" s="54"/>
      <c r="G634" s="54"/>
      <c r="H634" s="54"/>
    </row>
    <row r="635">
      <c r="B635" s="54"/>
      <c r="C635" s="54"/>
      <c r="D635" s="54"/>
      <c r="E635" s="54"/>
      <c r="F635" s="54"/>
      <c r="G635" s="54"/>
      <c r="H635" s="54"/>
    </row>
    <row r="636">
      <c r="B636" s="54"/>
      <c r="C636" s="54"/>
      <c r="D636" s="54"/>
      <c r="E636" s="54"/>
      <c r="F636" s="54"/>
      <c r="G636" s="54"/>
      <c r="H636" s="54"/>
    </row>
    <row r="637">
      <c r="B637" s="54"/>
      <c r="C637" s="54"/>
      <c r="D637" s="54"/>
      <c r="E637" s="54"/>
      <c r="F637" s="54"/>
      <c r="G637" s="54"/>
      <c r="H637" s="54"/>
    </row>
    <row r="638">
      <c r="B638" s="54"/>
      <c r="C638" s="54"/>
      <c r="D638" s="54"/>
      <c r="E638" s="54"/>
      <c r="F638" s="54"/>
      <c r="G638" s="54"/>
      <c r="H638" s="54"/>
    </row>
    <row r="639">
      <c r="B639" s="54"/>
      <c r="C639" s="54"/>
      <c r="D639" s="54"/>
      <c r="E639" s="54"/>
      <c r="F639" s="54"/>
      <c r="G639" s="54"/>
      <c r="H639" s="54"/>
    </row>
    <row r="640">
      <c r="B640" s="54"/>
      <c r="C640" s="54"/>
      <c r="D640" s="54"/>
      <c r="E640" s="54"/>
      <c r="F640" s="54"/>
      <c r="G640" s="54"/>
      <c r="H640" s="54"/>
    </row>
    <row r="641">
      <c r="B641" s="54"/>
      <c r="C641" s="54"/>
      <c r="D641" s="54"/>
      <c r="E641" s="54"/>
      <c r="F641" s="54"/>
      <c r="G641" s="54"/>
      <c r="H641" s="54"/>
    </row>
    <row r="642">
      <c r="B642" s="54"/>
      <c r="C642" s="54"/>
      <c r="D642" s="54"/>
      <c r="E642" s="54"/>
      <c r="F642" s="54"/>
      <c r="G642" s="54"/>
      <c r="H642" s="54"/>
    </row>
    <row r="643">
      <c r="B643" s="54"/>
      <c r="C643" s="54"/>
      <c r="D643" s="54"/>
      <c r="E643" s="54"/>
      <c r="F643" s="54"/>
      <c r="G643" s="54"/>
      <c r="H643" s="54"/>
    </row>
    <row r="644">
      <c r="B644" s="54"/>
      <c r="C644" s="54"/>
      <c r="D644" s="54"/>
      <c r="E644" s="54"/>
      <c r="F644" s="54"/>
      <c r="G644" s="54"/>
      <c r="H644" s="54"/>
    </row>
    <row r="645">
      <c r="B645" s="54"/>
      <c r="C645" s="54"/>
      <c r="D645" s="54"/>
      <c r="E645" s="54"/>
      <c r="F645" s="54"/>
      <c r="G645" s="54"/>
      <c r="H645" s="54"/>
    </row>
    <row r="646">
      <c r="B646" s="54"/>
      <c r="C646" s="54"/>
      <c r="D646" s="54"/>
      <c r="E646" s="54"/>
      <c r="F646" s="54"/>
      <c r="G646" s="54"/>
      <c r="H646" s="54"/>
    </row>
    <row r="647">
      <c r="B647" s="54"/>
      <c r="C647" s="54"/>
      <c r="D647" s="54"/>
      <c r="E647" s="54"/>
      <c r="F647" s="54"/>
      <c r="G647" s="54"/>
      <c r="H647" s="54"/>
    </row>
    <row r="648">
      <c r="B648" s="54"/>
      <c r="C648" s="54"/>
      <c r="D648" s="54"/>
      <c r="E648" s="54"/>
      <c r="F648" s="54"/>
      <c r="G648" s="54"/>
      <c r="H648" s="54"/>
    </row>
    <row r="649">
      <c r="B649" s="54"/>
      <c r="C649" s="54"/>
      <c r="D649" s="54"/>
      <c r="E649" s="54"/>
      <c r="F649" s="54"/>
      <c r="G649" s="54"/>
      <c r="H649" s="54"/>
    </row>
    <row r="650">
      <c r="B650" s="54"/>
      <c r="C650" s="54"/>
      <c r="D650" s="54"/>
      <c r="E650" s="54"/>
      <c r="F650" s="54"/>
      <c r="G650" s="54"/>
      <c r="H650" s="54"/>
    </row>
    <row r="651">
      <c r="B651" s="54"/>
      <c r="C651" s="54"/>
      <c r="D651" s="54"/>
      <c r="E651" s="54"/>
      <c r="F651" s="54"/>
      <c r="G651" s="54"/>
      <c r="H651" s="54"/>
    </row>
    <row r="652">
      <c r="B652" s="54"/>
      <c r="C652" s="54"/>
      <c r="D652" s="54"/>
      <c r="E652" s="54"/>
      <c r="F652" s="54"/>
      <c r="G652" s="54"/>
      <c r="H652" s="54"/>
    </row>
    <row r="653">
      <c r="B653" s="54"/>
      <c r="C653" s="54"/>
      <c r="D653" s="54"/>
      <c r="E653" s="54"/>
      <c r="F653" s="54"/>
      <c r="G653" s="54"/>
      <c r="H653" s="54"/>
    </row>
    <row r="654">
      <c r="B654" s="54"/>
      <c r="C654" s="54"/>
      <c r="D654" s="54"/>
      <c r="E654" s="54"/>
      <c r="F654" s="54"/>
      <c r="G654" s="54"/>
      <c r="H654" s="54"/>
    </row>
    <row r="655">
      <c r="B655" s="54"/>
      <c r="C655" s="54"/>
      <c r="D655" s="54"/>
      <c r="E655" s="54"/>
      <c r="F655" s="54"/>
      <c r="G655" s="54"/>
      <c r="H655" s="54"/>
    </row>
    <row r="656">
      <c r="B656" s="54"/>
      <c r="C656" s="54"/>
      <c r="D656" s="54"/>
      <c r="E656" s="54"/>
      <c r="F656" s="54"/>
      <c r="G656" s="54"/>
      <c r="H656" s="54"/>
    </row>
    <row r="657">
      <c r="B657" s="54"/>
      <c r="C657" s="54"/>
      <c r="D657" s="54"/>
      <c r="E657" s="54"/>
      <c r="F657" s="54"/>
      <c r="G657" s="54"/>
      <c r="H657" s="54"/>
    </row>
    <row r="658">
      <c r="B658" s="54"/>
      <c r="C658" s="54"/>
      <c r="D658" s="54"/>
      <c r="E658" s="54"/>
      <c r="F658" s="54"/>
      <c r="G658" s="54"/>
      <c r="H658" s="54"/>
    </row>
    <row r="659">
      <c r="B659" s="54"/>
      <c r="C659" s="54"/>
      <c r="D659" s="54"/>
      <c r="E659" s="54"/>
      <c r="F659" s="54"/>
      <c r="G659" s="54"/>
      <c r="H659" s="54"/>
    </row>
    <row r="660">
      <c r="B660" s="54"/>
      <c r="C660" s="54"/>
      <c r="D660" s="54"/>
      <c r="E660" s="54"/>
      <c r="F660" s="54"/>
      <c r="G660" s="54"/>
      <c r="H660" s="54"/>
    </row>
    <row r="661">
      <c r="B661" s="54"/>
      <c r="C661" s="54"/>
      <c r="D661" s="54"/>
      <c r="E661" s="54"/>
      <c r="F661" s="54"/>
      <c r="G661" s="54"/>
      <c r="H661" s="54"/>
    </row>
    <row r="662">
      <c r="B662" s="54"/>
      <c r="C662" s="54"/>
      <c r="D662" s="54"/>
      <c r="E662" s="54"/>
      <c r="F662" s="54"/>
      <c r="G662" s="54"/>
      <c r="H662" s="54"/>
    </row>
    <row r="663">
      <c r="B663" s="54"/>
      <c r="C663" s="54"/>
      <c r="D663" s="54"/>
      <c r="E663" s="54"/>
      <c r="F663" s="54"/>
      <c r="G663" s="54"/>
      <c r="H663" s="54"/>
    </row>
    <row r="664">
      <c r="B664" s="54"/>
      <c r="C664" s="54"/>
      <c r="D664" s="54"/>
      <c r="E664" s="54"/>
      <c r="F664" s="54"/>
      <c r="G664" s="54"/>
      <c r="H664" s="54"/>
    </row>
    <row r="665">
      <c r="B665" s="54"/>
      <c r="C665" s="54"/>
      <c r="D665" s="54"/>
      <c r="E665" s="54"/>
      <c r="F665" s="54"/>
      <c r="G665" s="54"/>
      <c r="H665" s="54"/>
    </row>
    <row r="666">
      <c r="B666" s="54"/>
      <c r="C666" s="54"/>
      <c r="D666" s="54"/>
      <c r="E666" s="54"/>
      <c r="F666" s="54"/>
      <c r="G666" s="54"/>
      <c r="H666" s="54"/>
    </row>
    <row r="667">
      <c r="B667" s="54"/>
      <c r="C667" s="54"/>
      <c r="D667" s="54"/>
      <c r="E667" s="54"/>
      <c r="F667" s="54"/>
      <c r="G667" s="54"/>
      <c r="H667" s="54"/>
    </row>
    <row r="668">
      <c r="B668" s="54"/>
      <c r="C668" s="54"/>
      <c r="D668" s="54"/>
      <c r="E668" s="54"/>
      <c r="F668" s="54"/>
      <c r="G668" s="54"/>
      <c r="H668" s="54"/>
    </row>
    <row r="669">
      <c r="B669" s="54"/>
      <c r="C669" s="54"/>
      <c r="D669" s="54"/>
      <c r="E669" s="54"/>
      <c r="F669" s="54"/>
      <c r="G669" s="54"/>
      <c r="H669" s="54"/>
    </row>
    <row r="670">
      <c r="B670" s="54"/>
      <c r="C670" s="54"/>
      <c r="D670" s="54"/>
      <c r="E670" s="54"/>
      <c r="F670" s="54"/>
      <c r="G670" s="54"/>
      <c r="H670" s="54"/>
    </row>
    <row r="671">
      <c r="B671" s="54"/>
      <c r="C671" s="54"/>
      <c r="D671" s="54"/>
      <c r="E671" s="54"/>
      <c r="F671" s="54"/>
      <c r="G671" s="54"/>
      <c r="H671" s="54"/>
    </row>
    <row r="672">
      <c r="B672" s="54"/>
      <c r="C672" s="54"/>
      <c r="D672" s="54"/>
      <c r="E672" s="54"/>
      <c r="F672" s="54"/>
      <c r="G672" s="54"/>
      <c r="H672" s="54"/>
    </row>
    <row r="673">
      <c r="B673" s="54"/>
      <c r="C673" s="54"/>
      <c r="D673" s="54"/>
      <c r="E673" s="54"/>
      <c r="F673" s="54"/>
      <c r="G673" s="54"/>
      <c r="H673" s="54"/>
    </row>
    <row r="674">
      <c r="B674" s="54"/>
      <c r="C674" s="54"/>
      <c r="D674" s="54"/>
      <c r="E674" s="54"/>
      <c r="F674" s="54"/>
      <c r="G674" s="54"/>
      <c r="H674" s="54"/>
    </row>
    <row r="675">
      <c r="B675" s="54"/>
      <c r="C675" s="54"/>
      <c r="D675" s="54"/>
      <c r="E675" s="54"/>
      <c r="F675" s="54"/>
      <c r="G675" s="54"/>
      <c r="H675" s="54"/>
    </row>
    <row r="676">
      <c r="B676" s="54"/>
      <c r="C676" s="54"/>
      <c r="D676" s="54"/>
      <c r="E676" s="54"/>
      <c r="F676" s="54"/>
      <c r="G676" s="54"/>
      <c r="H676" s="54"/>
    </row>
    <row r="677">
      <c r="B677" s="54"/>
      <c r="C677" s="54"/>
      <c r="D677" s="54"/>
      <c r="E677" s="54"/>
      <c r="F677" s="54"/>
      <c r="G677" s="54"/>
      <c r="H677" s="54"/>
    </row>
    <row r="678">
      <c r="B678" s="54"/>
      <c r="C678" s="54"/>
      <c r="D678" s="54"/>
      <c r="E678" s="54"/>
      <c r="F678" s="54"/>
      <c r="G678" s="54"/>
      <c r="H678" s="54"/>
    </row>
    <row r="679">
      <c r="B679" s="54"/>
      <c r="C679" s="54"/>
      <c r="D679" s="54"/>
      <c r="E679" s="54"/>
      <c r="F679" s="54"/>
      <c r="G679" s="54"/>
      <c r="H679" s="54"/>
    </row>
    <row r="680">
      <c r="B680" s="54"/>
      <c r="C680" s="54"/>
      <c r="D680" s="54"/>
      <c r="E680" s="54"/>
      <c r="F680" s="54"/>
      <c r="G680" s="54"/>
      <c r="H680" s="54"/>
    </row>
    <row r="681">
      <c r="B681" s="54"/>
      <c r="C681" s="54"/>
      <c r="D681" s="54"/>
      <c r="E681" s="54"/>
      <c r="F681" s="54"/>
      <c r="G681" s="54"/>
      <c r="H681" s="54"/>
    </row>
    <row r="682">
      <c r="B682" s="54"/>
      <c r="C682" s="54"/>
      <c r="D682" s="54"/>
      <c r="E682" s="54"/>
      <c r="F682" s="54"/>
      <c r="G682" s="54"/>
      <c r="H682" s="54"/>
    </row>
    <row r="683">
      <c r="B683" s="54"/>
      <c r="C683" s="54"/>
      <c r="D683" s="54"/>
      <c r="E683" s="54"/>
      <c r="F683" s="54"/>
      <c r="G683" s="54"/>
      <c r="H683" s="54"/>
    </row>
    <row r="684">
      <c r="B684" s="54"/>
      <c r="C684" s="54"/>
      <c r="D684" s="54"/>
      <c r="E684" s="54"/>
      <c r="F684" s="54"/>
      <c r="G684" s="54"/>
      <c r="H684" s="54"/>
    </row>
    <row r="685">
      <c r="B685" s="54"/>
      <c r="C685" s="54"/>
      <c r="D685" s="54"/>
      <c r="E685" s="54"/>
      <c r="F685" s="54"/>
      <c r="G685" s="54"/>
      <c r="H685" s="54"/>
    </row>
    <row r="686">
      <c r="B686" s="54"/>
      <c r="C686" s="54"/>
      <c r="D686" s="54"/>
      <c r="E686" s="54"/>
      <c r="F686" s="54"/>
      <c r="G686" s="54"/>
      <c r="H686" s="54"/>
    </row>
    <row r="687">
      <c r="B687" s="54"/>
      <c r="C687" s="54"/>
      <c r="D687" s="54"/>
      <c r="E687" s="54"/>
      <c r="F687" s="54"/>
      <c r="G687" s="54"/>
      <c r="H687" s="54"/>
    </row>
    <row r="688">
      <c r="B688" s="54"/>
      <c r="C688" s="54"/>
      <c r="D688" s="54"/>
      <c r="E688" s="54"/>
      <c r="F688" s="54"/>
      <c r="G688" s="54"/>
      <c r="H688" s="54"/>
    </row>
    <row r="689">
      <c r="B689" s="54"/>
      <c r="C689" s="54"/>
      <c r="D689" s="54"/>
      <c r="E689" s="54"/>
      <c r="F689" s="54"/>
      <c r="G689" s="54"/>
      <c r="H689" s="54"/>
    </row>
    <row r="690">
      <c r="B690" s="54"/>
      <c r="C690" s="54"/>
      <c r="D690" s="54"/>
      <c r="E690" s="54"/>
      <c r="F690" s="54"/>
      <c r="G690" s="54"/>
      <c r="H690" s="54"/>
    </row>
    <row r="691">
      <c r="B691" s="54"/>
      <c r="C691" s="54"/>
      <c r="D691" s="54"/>
      <c r="E691" s="54"/>
      <c r="F691" s="54"/>
      <c r="G691" s="54"/>
      <c r="H691" s="54"/>
    </row>
    <row r="692">
      <c r="B692" s="54"/>
      <c r="C692" s="54"/>
      <c r="D692" s="54"/>
      <c r="E692" s="54"/>
      <c r="F692" s="54"/>
      <c r="G692" s="54"/>
      <c r="H692" s="54"/>
    </row>
    <row r="693">
      <c r="B693" s="54"/>
      <c r="C693" s="54"/>
      <c r="D693" s="54"/>
      <c r="E693" s="54"/>
      <c r="F693" s="54"/>
      <c r="G693" s="54"/>
      <c r="H693" s="54"/>
    </row>
    <row r="694">
      <c r="B694" s="54"/>
      <c r="C694" s="54"/>
      <c r="D694" s="54"/>
      <c r="E694" s="54"/>
      <c r="F694" s="54"/>
      <c r="G694" s="54"/>
      <c r="H694" s="54"/>
    </row>
    <row r="695">
      <c r="B695" s="54"/>
      <c r="C695" s="54"/>
      <c r="D695" s="54"/>
      <c r="E695" s="54"/>
      <c r="F695" s="54"/>
      <c r="G695" s="54"/>
      <c r="H695" s="54"/>
    </row>
    <row r="696">
      <c r="B696" s="54"/>
      <c r="C696" s="54"/>
      <c r="D696" s="54"/>
      <c r="E696" s="54"/>
      <c r="F696" s="54"/>
      <c r="G696" s="54"/>
      <c r="H696" s="54"/>
    </row>
    <row r="697">
      <c r="B697" s="54"/>
      <c r="C697" s="54"/>
      <c r="D697" s="54"/>
      <c r="E697" s="54"/>
      <c r="F697" s="54"/>
      <c r="G697" s="54"/>
      <c r="H697" s="54"/>
    </row>
    <row r="698">
      <c r="B698" s="54"/>
      <c r="C698" s="54"/>
      <c r="D698" s="54"/>
      <c r="E698" s="54"/>
      <c r="F698" s="54"/>
      <c r="G698" s="54"/>
      <c r="H698" s="54"/>
    </row>
    <row r="699">
      <c r="B699" s="54"/>
      <c r="C699" s="54"/>
      <c r="D699" s="54"/>
      <c r="E699" s="54"/>
      <c r="F699" s="54"/>
      <c r="G699" s="54"/>
      <c r="H699" s="54"/>
    </row>
    <row r="700">
      <c r="B700" s="54"/>
      <c r="C700" s="54"/>
      <c r="D700" s="54"/>
      <c r="E700" s="54"/>
      <c r="F700" s="54"/>
      <c r="G700" s="54"/>
      <c r="H700" s="54"/>
    </row>
    <row r="701">
      <c r="B701" s="54"/>
      <c r="C701" s="54"/>
      <c r="D701" s="54"/>
      <c r="E701" s="54"/>
      <c r="F701" s="54"/>
      <c r="G701" s="54"/>
      <c r="H701" s="54"/>
    </row>
    <row r="702">
      <c r="B702" s="54"/>
      <c r="C702" s="54"/>
      <c r="D702" s="54"/>
      <c r="E702" s="54"/>
      <c r="F702" s="54"/>
      <c r="G702" s="54"/>
      <c r="H702" s="54"/>
    </row>
    <row r="703">
      <c r="B703" s="54"/>
      <c r="C703" s="54"/>
      <c r="D703" s="54"/>
      <c r="E703" s="54"/>
      <c r="F703" s="54"/>
      <c r="G703" s="54"/>
      <c r="H703" s="54"/>
    </row>
    <row r="704">
      <c r="B704" s="54"/>
      <c r="C704" s="54"/>
      <c r="D704" s="54"/>
      <c r="E704" s="54"/>
      <c r="F704" s="54"/>
      <c r="G704" s="54"/>
      <c r="H704" s="54"/>
    </row>
    <row r="705">
      <c r="B705" s="54"/>
      <c r="C705" s="54"/>
      <c r="D705" s="54"/>
      <c r="E705" s="54"/>
      <c r="F705" s="54"/>
      <c r="G705" s="54"/>
      <c r="H705" s="54"/>
    </row>
    <row r="706">
      <c r="B706" s="54"/>
      <c r="C706" s="54"/>
      <c r="D706" s="54"/>
      <c r="E706" s="54"/>
      <c r="F706" s="54"/>
      <c r="G706" s="54"/>
      <c r="H706" s="54"/>
    </row>
    <row r="707">
      <c r="B707" s="54"/>
      <c r="C707" s="54"/>
      <c r="D707" s="54"/>
      <c r="E707" s="54"/>
      <c r="F707" s="54"/>
      <c r="G707" s="54"/>
      <c r="H707" s="54"/>
    </row>
    <row r="708">
      <c r="B708" s="54"/>
      <c r="C708" s="54"/>
      <c r="D708" s="54"/>
      <c r="E708" s="54"/>
      <c r="F708" s="54"/>
      <c r="G708" s="54"/>
      <c r="H708" s="54"/>
    </row>
    <row r="709">
      <c r="B709" s="54"/>
      <c r="C709" s="54"/>
      <c r="D709" s="54"/>
      <c r="E709" s="54"/>
      <c r="F709" s="54"/>
      <c r="G709" s="54"/>
      <c r="H709" s="54"/>
    </row>
    <row r="710">
      <c r="B710" s="54"/>
      <c r="C710" s="54"/>
      <c r="D710" s="54"/>
      <c r="E710" s="54"/>
      <c r="F710" s="54"/>
      <c r="G710" s="54"/>
      <c r="H710" s="54"/>
    </row>
    <row r="711">
      <c r="B711" s="54"/>
      <c r="C711" s="54"/>
      <c r="D711" s="54"/>
      <c r="E711" s="54"/>
      <c r="F711" s="54"/>
      <c r="G711" s="54"/>
      <c r="H711" s="54"/>
    </row>
    <row r="712">
      <c r="B712" s="54"/>
      <c r="C712" s="54"/>
      <c r="D712" s="54"/>
      <c r="E712" s="54"/>
      <c r="F712" s="54"/>
      <c r="G712" s="54"/>
      <c r="H712" s="54"/>
    </row>
    <row r="713">
      <c r="B713" s="54"/>
      <c r="C713" s="54"/>
      <c r="D713" s="54"/>
      <c r="E713" s="54"/>
      <c r="F713" s="54"/>
      <c r="G713" s="54"/>
      <c r="H713" s="54"/>
    </row>
    <row r="714">
      <c r="B714" s="54"/>
      <c r="C714" s="54"/>
      <c r="D714" s="54"/>
      <c r="E714" s="54"/>
      <c r="F714" s="54"/>
      <c r="G714" s="54"/>
      <c r="H714" s="54"/>
    </row>
    <row r="715">
      <c r="B715" s="54"/>
      <c r="C715" s="54"/>
      <c r="D715" s="54"/>
      <c r="E715" s="54"/>
      <c r="F715" s="54"/>
      <c r="G715" s="54"/>
      <c r="H715" s="54"/>
    </row>
    <row r="716">
      <c r="B716" s="54"/>
      <c r="C716" s="54"/>
      <c r="D716" s="54"/>
      <c r="E716" s="54"/>
      <c r="F716" s="54"/>
      <c r="G716" s="54"/>
      <c r="H716" s="54"/>
    </row>
    <row r="717">
      <c r="B717" s="54"/>
      <c r="C717" s="54"/>
      <c r="D717" s="54"/>
      <c r="E717" s="54"/>
      <c r="F717" s="54"/>
      <c r="G717" s="54"/>
      <c r="H717" s="54"/>
    </row>
    <row r="718">
      <c r="B718" s="54"/>
      <c r="C718" s="54"/>
      <c r="D718" s="54"/>
      <c r="E718" s="54"/>
      <c r="F718" s="54"/>
      <c r="G718" s="54"/>
      <c r="H718" s="54"/>
    </row>
    <row r="719">
      <c r="B719" s="54"/>
      <c r="C719" s="54"/>
      <c r="D719" s="54"/>
      <c r="E719" s="54"/>
      <c r="F719" s="54"/>
      <c r="G719" s="54"/>
      <c r="H719" s="54"/>
    </row>
    <row r="720">
      <c r="B720" s="54"/>
      <c r="C720" s="54"/>
      <c r="D720" s="54"/>
      <c r="E720" s="54"/>
      <c r="F720" s="54"/>
      <c r="G720" s="54"/>
      <c r="H720" s="54"/>
    </row>
    <row r="721">
      <c r="B721" s="54"/>
      <c r="C721" s="54"/>
      <c r="D721" s="54"/>
      <c r="E721" s="54"/>
      <c r="F721" s="54"/>
      <c r="G721" s="54"/>
      <c r="H721" s="54"/>
    </row>
    <row r="722">
      <c r="B722" s="54"/>
      <c r="C722" s="54"/>
      <c r="D722" s="54"/>
      <c r="E722" s="54"/>
      <c r="F722" s="54"/>
      <c r="G722" s="54"/>
      <c r="H722" s="54"/>
    </row>
    <row r="723">
      <c r="B723" s="54"/>
      <c r="C723" s="54"/>
      <c r="D723" s="54"/>
      <c r="E723" s="54"/>
      <c r="F723" s="54"/>
      <c r="G723" s="54"/>
      <c r="H723" s="54"/>
    </row>
    <row r="724">
      <c r="B724" s="54"/>
      <c r="C724" s="54"/>
      <c r="D724" s="54"/>
      <c r="E724" s="54"/>
      <c r="F724" s="54"/>
      <c r="G724" s="54"/>
      <c r="H724" s="54"/>
    </row>
    <row r="725">
      <c r="B725" s="54"/>
      <c r="C725" s="54"/>
      <c r="D725" s="54"/>
      <c r="E725" s="54"/>
      <c r="F725" s="54"/>
      <c r="G725" s="54"/>
      <c r="H725" s="54"/>
    </row>
    <row r="726">
      <c r="B726" s="54"/>
      <c r="C726" s="54"/>
      <c r="D726" s="54"/>
      <c r="E726" s="54"/>
      <c r="F726" s="54"/>
      <c r="G726" s="54"/>
      <c r="H726" s="54"/>
    </row>
    <row r="727">
      <c r="B727" s="54"/>
      <c r="C727" s="54"/>
      <c r="D727" s="54"/>
      <c r="E727" s="54"/>
      <c r="F727" s="54"/>
      <c r="G727" s="54"/>
      <c r="H727" s="54"/>
    </row>
    <row r="728">
      <c r="B728" s="54"/>
      <c r="C728" s="54"/>
      <c r="D728" s="54"/>
      <c r="E728" s="54"/>
      <c r="F728" s="54"/>
      <c r="G728" s="54"/>
      <c r="H728" s="54"/>
    </row>
    <row r="729">
      <c r="B729" s="54"/>
      <c r="C729" s="54"/>
      <c r="D729" s="54"/>
      <c r="E729" s="54"/>
      <c r="F729" s="54"/>
      <c r="G729" s="54"/>
      <c r="H729" s="54"/>
    </row>
    <row r="730">
      <c r="B730" s="54"/>
      <c r="C730" s="54"/>
      <c r="D730" s="54"/>
      <c r="E730" s="54"/>
      <c r="F730" s="54"/>
      <c r="G730" s="54"/>
      <c r="H730" s="54"/>
    </row>
    <row r="731">
      <c r="B731" s="54"/>
      <c r="C731" s="54"/>
      <c r="D731" s="54"/>
      <c r="E731" s="54"/>
      <c r="F731" s="54"/>
      <c r="G731" s="54"/>
      <c r="H731" s="54"/>
    </row>
    <row r="732">
      <c r="B732" s="54"/>
      <c r="C732" s="54"/>
      <c r="D732" s="54"/>
      <c r="E732" s="54"/>
      <c r="F732" s="54"/>
      <c r="G732" s="54"/>
      <c r="H732" s="54"/>
    </row>
    <row r="733">
      <c r="B733" s="54"/>
      <c r="C733" s="54"/>
      <c r="D733" s="54"/>
      <c r="E733" s="54"/>
      <c r="F733" s="54"/>
      <c r="G733" s="54"/>
      <c r="H733" s="54"/>
    </row>
    <row r="734">
      <c r="B734" s="54"/>
      <c r="C734" s="54"/>
      <c r="D734" s="54"/>
      <c r="E734" s="54"/>
      <c r="F734" s="54"/>
      <c r="G734" s="54"/>
      <c r="H734" s="54"/>
    </row>
    <row r="735">
      <c r="B735" s="54"/>
      <c r="C735" s="54"/>
      <c r="D735" s="54"/>
      <c r="E735" s="54"/>
      <c r="F735" s="54"/>
      <c r="G735" s="54"/>
      <c r="H735" s="54"/>
    </row>
    <row r="736">
      <c r="B736" s="54"/>
      <c r="C736" s="54"/>
      <c r="D736" s="54"/>
      <c r="E736" s="54"/>
      <c r="F736" s="54"/>
      <c r="G736" s="54"/>
      <c r="H736" s="54"/>
    </row>
    <row r="737">
      <c r="B737" s="54"/>
      <c r="C737" s="54"/>
      <c r="D737" s="54"/>
      <c r="E737" s="54"/>
      <c r="F737" s="54"/>
      <c r="G737" s="54"/>
      <c r="H737" s="54"/>
    </row>
    <row r="738">
      <c r="B738" s="54"/>
      <c r="C738" s="54"/>
      <c r="D738" s="54"/>
      <c r="E738" s="54"/>
      <c r="F738" s="54"/>
      <c r="G738" s="54"/>
      <c r="H738" s="54"/>
    </row>
    <row r="739">
      <c r="B739" s="54"/>
      <c r="C739" s="54"/>
      <c r="D739" s="54"/>
      <c r="E739" s="54"/>
      <c r="F739" s="54"/>
      <c r="G739" s="54"/>
      <c r="H739" s="54"/>
    </row>
    <row r="740">
      <c r="B740" s="54"/>
      <c r="C740" s="54"/>
      <c r="D740" s="54"/>
      <c r="E740" s="54"/>
      <c r="F740" s="54"/>
      <c r="G740" s="54"/>
      <c r="H740" s="54"/>
    </row>
    <row r="741">
      <c r="B741" s="54"/>
      <c r="C741" s="54"/>
      <c r="D741" s="54"/>
      <c r="E741" s="54"/>
      <c r="F741" s="54"/>
      <c r="G741" s="54"/>
      <c r="H741" s="54"/>
    </row>
    <row r="742">
      <c r="B742" s="54"/>
      <c r="C742" s="54"/>
      <c r="D742" s="54"/>
      <c r="E742" s="54"/>
      <c r="F742" s="54"/>
      <c r="G742" s="54"/>
      <c r="H742" s="54"/>
    </row>
    <row r="743">
      <c r="B743" s="54"/>
      <c r="C743" s="54"/>
      <c r="D743" s="54"/>
      <c r="E743" s="54"/>
      <c r="F743" s="54"/>
      <c r="G743" s="54"/>
      <c r="H743" s="54"/>
    </row>
    <row r="744">
      <c r="B744" s="54"/>
      <c r="C744" s="54"/>
      <c r="D744" s="54"/>
      <c r="E744" s="54"/>
      <c r="F744" s="54"/>
      <c r="G744" s="54"/>
      <c r="H744" s="54"/>
    </row>
    <row r="745">
      <c r="B745" s="54"/>
      <c r="C745" s="54"/>
      <c r="D745" s="54"/>
      <c r="E745" s="54"/>
      <c r="F745" s="54"/>
      <c r="G745" s="54"/>
      <c r="H745" s="54"/>
    </row>
    <row r="746">
      <c r="B746" s="54"/>
      <c r="C746" s="54"/>
      <c r="D746" s="54"/>
      <c r="E746" s="54"/>
      <c r="F746" s="54"/>
      <c r="G746" s="54"/>
      <c r="H746" s="54"/>
    </row>
    <row r="747">
      <c r="B747" s="54"/>
      <c r="C747" s="54"/>
      <c r="D747" s="54"/>
      <c r="E747" s="54"/>
      <c r="F747" s="54"/>
      <c r="G747" s="54"/>
      <c r="H747" s="54"/>
    </row>
    <row r="748">
      <c r="B748" s="54"/>
      <c r="C748" s="54"/>
      <c r="D748" s="54"/>
      <c r="E748" s="54"/>
      <c r="F748" s="54"/>
      <c r="G748" s="54"/>
      <c r="H748" s="54"/>
    </row>
    <row r="749">
      <c r="B749" s="54"/>
      <c r="C749" s="54"/>
      <c r="D749" s="54"/>
      <c r="E749" s="54"/>
      <c r="F749" s="54"/>
      <c r="G749" s="54"/>
      <c r="H749" s="54"/>
    </row>
    <row r="750">
      <c r="B750" s="54"/>
      <c r="C750" s="54"/>
      <c r="D750" s="54"/>
      <c r="E750" s="54"/>
      <c r="F750" s="54"/>
      <c r="G750" s="54"/>
      <c r="H750" s="54"/>
    </row>
    <row r="751">
      <c r="B751" s="54"/>
      <c r="C751" s="54"/>
      <c r="D751" s="54"/>
      <c r="E751" s="54"/>
      <c r="F751" s="54"/>
      <c r="G751" s="54"/>
      <c r="H751" s="54"/>
    </row>
    <row r="752">
      <c r="B752" s="54"/>
      <c r="C752" s="54"/>
      <c r="D752" s="54"/>
      <c r="E752" s="54"/>
      <c r="F752" s="54"/>
      <c r="G752" s="54"/>
      <c r="H752" s="54"/>
    </row>
    <row r="753">
      <c r="B753" s="54"/>
      <c r="C753" s="54"/>
      <c r="D753" s="54"/>
      <c r="E753" s="54"/>
      <c r="F753" s="54"/>
      <c r="G753" s="54"/>
      <c r="H753" s="54"/>
    </row>
    <row r="754">
      <c r="B754" s="54"/>
      <c r="C754" s="54"/>
      <c r="D754" s="54"/>
      <c r="E754" s="54"/>
      <c r="F754" s="54"/>
      <c r="G754" s="54"/>
      <c r="H754" s="54"/>
    </row>
    <row r="755">
      <c r="B755" s="54"/>
      <c r="C755" s="54"/>
      <c r="D755" s="54"/>
      <c r="E755" s="54"/>
      <c r="F755" s="54"/>
      <c r="G755" s="54"/>
      <c r="H755" s="54"/>
    </row>
    <row r="756">
      <c r="B756" s="54"/>
      <c r="C756" s="54"/>
      <c r="D756" s="54"/>
      <c r="E756" s="54"/>
      <c r="F756" s="54"/>
      <c r="G756" s="54"/>
      <c r="H756" s="54"/>
    </row>
    <row r="757">
      <c r="B757" s="54"/>
      <c r="C757" s="54"/>
      <c r="D757" s="54"/>
      <c r="E757" s="54"/>
      <c r="F757" s="54"/>
      <c r="G757" s="54"/>
      <c r="H757" s="54"/>
    </row>
    <row r="758">
      <c r="B758" s="54"/>
      <c r="C758" s="54"/>
      <c r="D758" s="54"/>
      <c r="E758" s="54"/>
      <c r="F758" s="54"/>
      <c r="G758" s="54"/>
      <c r="H758" s="54"/>
    </row>
    <row r="759">
      <c r="B759" s="54"/>
      <c r="C759" s="54"/>
      <c r="D759" s="54"/>
      <c r="E759" s="54"/>
      <c r="F759" s="54"/>
      <c r="G759" s="54"/>
      <c r="H759" s="54"/>
    </row>
    <row r="760">
      <c r="B760" s="54"/>
      <c r="C760" s="54"/>
      <c r="D760" s="54"/>
      <c r="E760" s="54"/>
      <c r="F760" s="54"/>
      <c r="G760" s="54"/>
      <c r="H760" s="54"/>
    </row>
    <row r="761">
      <c r="B761" s="54"/>
      <c r="C761" s="54"/>
      <c r="D761" s="54"/>
      <c r="E761" s="54"/>
      <c r="F761" s="54"/>
      <c r="G761" s="54"/>
      <c r="H761" s="54"/>
    </row>
    <row r="762">
      <c r="B762" s="54"/>
      <c r="C762" s="54"/>
      <c r="D762" s="54"/>
      <c r="E762" s="54"/>
      <c r="F762" s="54"/>
      <c r="G762" s="54"/>
      <c r="H762" s="54"/>
    </row>
    <row r="763">
      <c r="B763" s="54"/>
      <c r="C763" s="54"/>
      <c r="D763" s="54"/>
      <c r="E763" s="54"/>
      <c r="F763" s="54"/>
      <c r="G763" s="54"/>
      <c r="H763" s="54"/>
    </row>
    <row r="764">
      <c r="B764" s="54"/>
      <c r="C764" s="54"/>
      <c r="D764" s="54"/>
      <c r="E764" s="54"/>
      <c r="F764" s="54"/>
      <c r="G764" s="54"/>
      <c r="H764" s="54"/>
    </row>
    <row r="765">
      <c r="B765" s="54"/>
      <c r="C765" s="54"/>
      <c r="D765" s="54"/>
      <c r="E765" s="54"/>
      <c r="F765" s="54"/>
      <c r="G765" s="54"/>
      <c r="H765" s="54"/>
    </row>
    <row r="766">
      <c r="B766" s="54"/>
      <c r="C766" s="54"/>
      <c r="D766" s="54"/>
      <c r="E766" s="54"/>
      <c r="F766" s="54"/>
      <c r="G766" s="54"/>
      <c r="H766" s="54"/>
    </row>
    <row r="767">
      <c r="B767" s="54"/>
      <c r="C767" s="54"/>
      <c r="D767" s="54"/>
      <c r="E767" s="54"/>
      <c r="F767" s="54"/>
      <c r="G767" s="54"/>
      <c r="H767" s="54"/>
    </row>
    <row r="768">
      <c r="B768" s="54"/>
      <c r="C768" s="54"/>
      <c r="D768" s="54"/>
      <c r="E768" s="54"/>
      <c r="F768" s="54"/>
      <c r="G768" s="54"/>
      <c r="H768" s="54"/>
    </row>
    <row r="769">
      <c r="B769" s="54"/>
      <c r="C769" s="54"/>
      <c r="D769" s="54"/>
      <c r="E769" s="54"/>
      <c r="F769" s="54"/>
      <c r="G769" s="54"/>
      <c r="H769" s="54"/>
    </row>
    <row r="770">
      <c r="B770" s="54"/>
      <c r="C770" s="54"/>
      <c r="D770" s="54"/>
      <c r="E770" s="54"/>
      <c r="F770" s="54"/>
      <c r="G770" s="54"/>
      <c r="H770" s="54"/>
    </row>
    <row r="771">
      <c r="B771" s="54"/>
      <c r="C771" s="54"/>
      <c r="D771" s="54"/>
      <c r="E771" s="54"/>
      <c r="F771" s="54"/>
      <c r="G771" s="54"/>
      <c r="H771" s="54"/>
    </row>
    <row r="772">
      <c r="B772" s="54"/>
      <c r="C772" s="54"/>
      <c r="D772" s="54"/>
      <c r="E772" s="54"/>
      <c r="F772" s="54"/>
      <c r="G772" s="54"/>
      <c r="H772" s="54"/>
    </row>
    <row r="773">
      <c r="B773" s="54"/>
      <c r="C773" s="54"/>
      <c r="D773" s="54"/>
      <c r="E773" s="54"/>
      <c r="F773" s="54"/>
      <c r="G773" s="54"/>
      <c r="H773" s="54"/>
    </row>
    <row r="774">
      <c r="B774" s="54"/>
      <c r="C774" s="54"/>
      <c r="D774" s="54"/>
      <c r="E774" s="54"/>
      <c r="F774" s="54"/>
      <c r="G774" s="54"/>
      <c r="H774" s="54"/>
    </row>
    <row r="775">
      <c r="B775" s="54"/>
      <c r="C775" s="54"/>
      <c r="D775" s="54"/>
      <c r="E775" s="54"/>
      <c r="F775" s="54"/>
      <c r="G775" s="54"/>
      <c r="H775" s="54"/>
    </row>
    <row r="776">
      <c r="B776" s="54"/>
      <c r="C776" s="54"/>
      <c r="D776" s="54"/>
      <c r="E776" s="54"/>
      <c r="F776" s="54"/>
      <c r="G776" s="54"/>
      <c r="H776" s="54"/>
    </row>
    <row r="777">
      <c r="B777" s="54"/>
      <c r="C777" s="54"/>
      <c r="D777" s="54"/>
      <c r="E777" s="54"/>
      <c r="F777" s="54"/>
      <c r="G777" s="54"/>
      <c r="H777" s="54"/>
    </row>
    <row r="778">
      <c r="B778" s="54"/>
      <c r="C778" s="54"/>
      <c r="D778" s="54"/>
      <c r="E778" s="54"/>
      <c r="F778" s="54"/>
      <c r="G778" s="54"/>
      <c r="H778" s="54"/>
    </row>
    <row r="779">
      <c r="B779" s="54"/>
      <c r="C779" s="54"/>
      <c r="D779" s="54"/>
      <c r="E779" s="54"/>
      <c r="F779" s="54"/>
      <c r="G779" s="54"/>
      <c r="H779" s="54"/>
    </row>
    <row r="780">
      <c r="B780" s="54"/>
      <c r="C780" s="54"/>
      <c r="D780" s="54"/>
      <c r="E780" s="54"/>
      <c r="F780" s="54"/>
      <c r="G780" s="54"/>
      <c r="H780" s="54"/>
    </row>
    <row r="781">
      <c r="B781" s="54"/>
      <c r="C781" s="54"/>
      <c r="D781" s="54"/>
      <c r="E781" s="54"/>
      <c r="F781" s="54"/>
      <c r="G781" s="54"/>
      <c r="H781" s="54"/>
    </row>
    <row r="782">
      <c r="B782" s="54"/>
      <c r="C782" s="54"/>
      <c r="D782" s="54"/>
      <c r="E782" s="54"/>
      <c r="F782" s="54"/>
      <c r="G782" s="54"/>
      <c r="H782" s="54"/>
    </row>
    <row r="783">
      <c r="B783" s="54"/>
      <c r="C783" s="54"/>
      <c r="D783" s="54"/>
      <c r="E783" s="54"/>
      <c r="F783" s="54"/>
      <c r="G783" s="54"/>
      <c r="H783" s="54"/>
    </row>
    <row r="784">
      <c r="B784" s="54"/>
      <c r="C784" s="54"/>
      <c r="D784" s="54"/>
      <c r="E784" s="54"/>
      <c r="F784" s="54"/>
      <c r="G784" s="54"/>
      <c r="H784" s="54"/>
    </row>
    <row r="785">
      <c r="B785" s="54"/>
      <c r="C785" s="54"/>
      <c r="D785" s="54"/>
      <c r="E785" s="54"/>
      <c r="F785" s="54"/>
      <c r="G785" s="54"/>
      <c r="H785" s="54"/>
    </row>
    <row r="786">
      <c r="B786" s="54"/>
      <c r="C786" s="54"/>
      <c r="D786" s="54"/>
      <c r="E786" s="54"/>
      <c r="F786" s="54"/>
      <c r="G786" s="54"/>
      <c r="H786" s="54"/>
    </row>
    <row r="787">
      <c r="B787" s="54"/>
      <c r="C787" s="54"/>
      <c r="D787" s="54"/>
      <c r="E787" s="54"/>
      <c r="F787" s="54"/>
      <c r="G787" s="54"/>
      <c r="H787" s="54"/>
    </row>
    <row r="788">
      <c r="B788" s="54"/>
      <c r="C788" s="54"/>
      <c r="D788" s="54"/>
      <c r="E788" s="54"/>
      <c r="F788" s="54"/>
      <c r="G788" s="54"/>
      <c r="H788" s="54"/>
    </row>
    <row r="789">
      <c r="B789" s="54"/>
      <c r="C789" s="54"/>
      <c r="D789" s="54"/>
      <c r="E789" s="54"/>
      <c r="F789" s="54"/>
      <c r="G789" s="54"/>
      <c r="H789" s="54"/>
    </row>
    <row r="790">
      <c r="B790" s="54"/>
      <c r="C790" s="54"/>
      <c r="D790" s="54"/>
      <c r="E790" s="54"/>
      <c r="F790" s="54"/>
      <c r="G790" s="54"/>
      <c r="H790" s="54"/>
    </row>
    <row r="791">
      <c r="B791" s="54"/>
      <c r="C791" s="54"/>
      <c r="D791" s="54"/>
      <c r="E791" s="54"/>
      <c r="F791" s="54"/>
      <c r="G791" s="54"/>
      <c r="H791" s="54"/>
    </row>
    <row r="792">
      <c r="B792" s="54"/>
      <c r="C792" s="54"/>
      <c r="D792" s="54"/>
      <c r="E792" s="54"/>
      <c r="F792" s="54"/>
      <c r="G792" s="54"/>
      <c r="H792" s="54"/>
    </row>
    <row r="793">
      <c r="B793" s="54"/>
      <c r="C793" s="54"/>
      <c r="D793" s="54"/>
      <c r="E793" s="54"/>
      <c r="F793" s="54"/>
      <c r="G793" s="54"/>
      <c r="H793" s="54"/>
    </row>
    <row r="794">
      <c r="B794" s="54"/>
      <c r="C794" s="54"/>
      <c r="D794" s="54"/>
      <c r="E794" s="54"/>
      <c r="F794" s="54"/>
      <c r="G794" s="54"/>
      <c r="H794" s="54"/>
    </row>
    <row r="795">
      <c r="B795" s="54"/>
      <c r="C795" s="54"/>
      <c r="D795" s="54"/>
      <c r="E795" s="54"/>
      <c r="F795" s="54"/>
      <c r="G795" s="54"/>
      <c r="H795" s="54"/>
    </row>
    <row r="796">
      <c r="B796" s="54"/>
      <c r="C796" s="54"/>
      <c r="D796" s="54"/>
      <c r="E796" s="54"/>
      <c r="F796" s="54"/>
      <c r="G796" s="54"/>
      <c r="H796" s="54"/>
    </row>
    <row r="797">
      <c r="B797" s="54"/>
      <c r="C797" s="54"/>
      <c r="D797" s="54"/>
      <c r="E797" s="54"/>
      <c r="F797" s="54"/>
      <c r="G797" s="54"/>
      <c r="H797" s="54"/>
    </row>
    <row r="798">
      <c r="B798" s="54"/>
      <c r="C798" s="54"/>
      <c r="D798" s="54"/>
      <c r="E798" s="54"/>
      <c r="F798" s="54"/>
      <c r="G798" s="54"/>
      <c r="H798" s="54"/>
    </row>
    <row r="799">
      <c r="B799" s="54"/>
      <c r="C799" s="54"/>
      <c r="D799" s="54"/>
      <c r="E799" s="54"/>
      <c r="F799" s="54"/>
      <c r="G799" s="54"/>
      <c r="H799" s="54"/>
    </row>
    <row r="800">
      <c r="B800" s="54"/>
      <c r="C800" s="54"/>
      <c r="D800" s="54"/>
      <c r="E800" s="54"/>
      <c r="F800" s="54"/>
      <c r="G800" s="54"/>
      <c r="H800" s="54"/>
    </row>
    <row r="801">
      <c r="B801" s="54"/>
      <c r="C801" s="54"/>
      <c r="D801" s="54"/>
      <c r="E801" s="54"/>
      <c r="F801" s="54"/>
      <c r="G801" s="54"/>
      <c r="H801" s="54"/>
    </row>
    <row r="802">
      <c r="B802" s="54"/>
      <c r="C802" s="54"/>
      <c r="D802" s="54"/>
      <c r="E802" s="54"/>
      <c r="F802" s="54"/>
      <c r="G802" s="54"/>
      <c r="H802" s="54"/>
    </row>
    <row r="803">
      <c r="B803" s="54"/>
      <c r="C803" s="54"/>
      <c r="D803" s="54"/>
      <c r="E803" s="54"/>
      <c r="F803" s="54"/>
      <c r="G803" s="54"/>
      <c r="H803" s="54"/>
    </row>
    <row r="804">
      <c r="B804" s="54"/>
      <c r="C804" s="54"/>
      <c r="D804" s="54"/>
      <c r="E804" s="54"/>
      <c r="F804" s="54"/>
      <c r="G804" s="54"/>
      <c r="H804" s="54"/>
    </row>
    <row r="805">
      <c r="B805" s="54"/>
      <c r="C805" s="54"/>
      <c r="D805" s="54"/>
      <c r="E805" s="54"/>
      <c r="F805" s="54"/>
      <c r="G805" s="54"/>
      <c r="H805" s="54"/>
    </row>
    <row r="806">
      <c r="B806" s="54"/>
      <c r="C806" s="54"/>
      <c r="D806" s="54"/>
      <c r="E806" s="54"/>
      <c r="F806" s="54"/>
      <c r="G806" s="54"/>
      <c r="H806" s="54"/>
    </row>
    <row r="807">
      <c r="B807" s="54"/>
      <c r="C807" s="54"/>
      <c r="D807" s="54"/>
      <c r="E807" s="54"/>
      <c r="F807" s="54"/>
      <c r="G807" s="54"/>
      <c r="H807" s="54"/>
    </row>
    <row r="808">
      <c r="B808" s="54"/>
      <c r="C808" s="54"/>
      <c r="D808" s="54"/>
      <c r="E808" s="54"/>
      <c r="F808" s="54"/>
      <c r="G808" s="54"/>
      <c r="H808" s="54"/>
    </row>
    <row r="809">
      <c r="B809" s="54"/>
      <c r="C809" s="54"/>
      <c r="D809" s="54"/>
      <c r="E809" s="54"/>
      <c r="F809" s="54"/>
      <c r="G809" s="54"/>
      <c r="H809" s="54"/>
    </row>
    <row r="810">
      <c r="B810" s="54"/>
      <c r="C810" s="54"/>
      <c r="D810" s="54"/>
      <c r="E810" s="54"/>
      <c r="F810" s="54"/>
      <c r="G810" s="54"/>
      <c r="H810" s="54"/>
    </row>
    <row r="811">
      <c r="B811" s="54"/>
      <c r="C811" s="54"/>
      <c r="D811" s="54"/>
      <c r="E811" s="54"/>
      <c r="F811" s="54"/>
      <c r="G811" s="54"/>
      <c r="H811" s="54"/>
    </row>
    <row r="812">
      <c r="B812" s="54"/>
      <c r="C812" s="54"/>
      <c r="D812" s="54"/>
      <c r="E812" s="54"/>
      <c r="F812" s="54"/>
      <c r="G812" s="54"/>
      <c r="H812" s="54"/>
    </row>
    <row r="813">
      <c r="B813" s="54"/>
      <c r="C813" s="54"/>
      <c r="D813" s="54"/>
      <c r="E813" s="54"/>
      <c r="F813" s="54"/>
      <c r="G813" s="54"/>
      <c r="H813" s="54"/>
    </row>
    <row r="814">
      <c r="B814" s="54"/>
      <c r="C814" s="54"/>
      <c r="D814" s="54"/>
      <c r="E814" s="54"/>
      <c r="F814" s="54"/>
      <c r="G814" s="54"/>
      <c r="H814" s="54"/>
    </row>
    <row r="815">
      <c r="B815" s="54"/>
      <c r="C815" s="54"/>
      <c r="D815" s="54"/>
      <c r="E815" s="54"/>
      <c r="F815" s="54"/>
      <c r="G815" s="54"/>
      <c r="H815" s="54"/>
    </row>
    <row r="816">
      <c r="B816" s="54"/>
      <c r="C816" s="54"/>
      <c r="D816" s="54"/>
      <c r="E816" s="54"/>
      <c r="F816" s="54"/>
      <c r="G816" s="54"/>
      <c r="H816" s="54"/>
    </row>
    <row r="817">
      <c r="B817" s="54"/>
      <c r="C817" s="54"/>
      <c r="D817" s="54"/>
      <c r="E817" s="54"/>
      <c r="F817" s="54"/>
      <c r="G817" s="54"/>
      <c r="H817" s="54"/>
    </row>
    <row r="818">
      <c r="B818" s="54"/>
      <c r="C818" s="54"/>
      <c r="D818" s="54"/>
      <c r="E818" s="54"/>
      <c r="F818" s="54"/>
      <c r="G818" s="54"/>
      <c r="H818" s="54"/>
    </row>
    <row r="819">
      <c r="B819" s="54"/>
      <c r="C819" s="54"/>
      <c r="D819" s="54"/>
      <c r="E819" s="54"/>
      <c r="F819" s="54"/>
      <c r="G819" s="54"/>
      <c r="H819" s="54"/>
    </row>
    <row r="820">
      <c r="B820" s="54"/>
      <c r="C820" s="54"/>
      <c r="D820" s="54"/>
      <c r="E820" s="54"/>
      <c r="F820" s="54"/>
      <c r="G820" s="54"/>
      <c r="H820" s="54"/>
    </row>
    <row r="821">
      <c r="B821" s="54"/>
      <c r="C821" s="54"/>
      <c r="D821" s="54"/>
      <c r="E821" s="54"/>
      <c r="F821" s="54"/>
      <c r="G821" s="54"/>
      <c r="H821" s="54"/>
    </row>
    <row r="822">
      <c r="B822" s="54"/>
      <c r="C822" s="54"/>
      <c r="D822" s="54"/>
      <c r="E822" s="54"/>
      <c r="F822" s="54"/>
      <c r="G822" s="54"/>
      <c r="H822" s="54"/>
    </row>
    <row r="823">
      <c r="B823" s="54"/>
      <c r="C823" s="54"/>
      <c r="D823" s="54"/>
      <c r="E823" s="54"/>
      <c r="F823" s="54"/>
      <c r="G823" s="54"/>
      <c r="H823" s="54"/>
    </row>
    <row r="824">
      <c r="B824" s="54"/>
      <c r="C824" s="54"/>
      <c r="D824" s="54"/>
      <c r="E824" s="54"/>
      <c r="F824" s="54"/>
      <c r="G824" s="54"/>
      <c r="H824" s="54"/>
    </row>
    <row r="825">
      <c r="B825" s="54"/>
      <c r="C825" s="54"/>
      <c r="D825" s="54"/>
      <c r="E825" s="54"/>
      <c r="F825" s="54"/>
      <c r="G825" s="54"/>
      <c r="H825" s="54"/>
    </row>
    <row r="826">
      <c r="B826" s="54"/>
      <c r="C826" s="54"/>
      <c r="D826" s="54"/>
      <c r="E826" s="54"/>
      <c r="F826" s="54"/>
      <c r="G826" s="54"/>
      <c r="H826" s="54"/>
    </row>
    <row r="827">
      <c r="B827" s="54"/>
      <c r="C827" s="54"/>
      <c r="D827" s="54"/>
      <c r="E827" s="54"/>
      <c r="F827" s="54"/>
      <c r="G827" s="54"/>
      <c r="H827" s="54"/>
    </row>
    <row r="828">
      <c r="B828" s="54"/>
      <c r="C828" s="54"/>
      <c r="D828" s="54"/>
      <c r="E828" s="54"/>
      <c r="F828" s="54"/>
      <c r="G828" s="54"/>
      <c r="H828" s="54"/>
    </row>
    <row r="829">
      <c r="B829" s="54"/>
      <c r="C829" s="54"/>
      <c r="D829" s="54"/>
      <c r="E829" s="54"/>
      <c r="F829" s="54"/>
      <c r="G829" s="54"/>
      <c r="H829" s="54"/>
    </row>
    <row r="830">
      <c r="B830" s="54"/>
      <c r="C830" s="54"/>
      <c r="D830" s="54"/>
      <c r="E830" s="54"/>
      <c r="F830" s="54"/>
      <c r="G830" s="54"/>
      <c r="H830" s="54"/>
    </row>
    <row r="831">
      <c r="B831" s="54"/>
      <c r="C831" s="54"/>
      <c r="D831" s="54"/>
      <c r="E831" s="54"/>
      <c r="F831" s="54"/>
      <c r="G831" s="54"/>
      <c r="H831" s="54"/>
    </row>
    <row r="832">
      <c r="B832" s="54"/>
      <c r="C832" s="54"/>
      <c r="D832" s="54"/>
      <c r="E832" s="54"/>
      <c r="F832" s="54"/>
      <c r="G832" s="54"/>
      <c r="H832" s="54"/>
    </row>
    <row r="833">
      <c r="B833" s="54"/>
      <c r="C833" s="54"/>
      <c r="D833" s="54"/>
      <c r="E833" s="54"/>
      <c r="F833" s="54"/>
      <c r="G833" s="54"/>
      <c r="H833" s="54"/>
    </row>
    <row r="834">
      <c r="B834" s="54"/>
      <c r="C834" s="54"/>
      <c r="D834" s="54"/>
      <c r="E834" s="54"/>
      <c r="F834" s="54"/>
      <c r="G834" s="54"/>
      <c r="H834" s="54"/>
    </row>
    <row r="835">
      <c r="B835" s="54"/>
      <c r="C835" s="54"/>
      <c r="D835" s="54"/>
      <c r="E835" s="54"/>
      <c r="F835" s="54"/>
      <c r="G835" s="54"/>
      <c r="H835" s="54"/>
    </row>
    <row r="836">
      <c r="B836" s="54"/>
      <c r="C836" s="54"/>
      <c r="D836" s="54"/>
      <c r="E836" s="54"/>
      <c r="F836" s="54"/>
      <c r="G836" s="54"/>
      <c r="H836" s="54"/>
    </row>
    <row r="837">
      <c r="B837" s="54"/>
      <c r="C837" s="54"/>
      <c r="D837" s="54"/>
      <c r="E837" s="54"/>
      <c r="F837" s="54"/>
      <c r="G837" s="54"/>
      <c r="H837" s="54"/>
    </row>
    <row r="838">
      <c r="B838" s="54"/>
      <c r="C838" s="54"/>
      <c r="D838" s="54"/>
      <c r="E838" s="54"/>
      <c r="F838" s="54"/>
      <c r="G838" s="54"/>
      <c r="H838" s="54"/>
    </row>
    <row r="839">
      <c r="B839" s="54"/>
      <c r="C839" s="54"/>
      <c r="D839" s="54"/>
      <c r="E839" s="54"/>
      <c r="F839" s="54"/>
      <c r="G839" s="54"/>
      <c r="H839" s="54"/>
    </row>
    <row r="840">
      <c r="B840" s="54"/>
      <c r="C840" s="54"/>
      <c r="D840" s="54"/>
      <c r="E840" s="54"/>
      <c r="F840" s="54"/>
      <c r="G840" s="54"/>
      <c r="H840" s="54"/>
    </row>
    <row r="841">
      <c r="B841" s="54"/>
      <c r="C841" s="54"/>
      <c r="D841" s="54"/>
      <c r="E841" s="54"/>
      <c r="F841" s="54"/>
      <c r="G841" s="54"/>
      <c r="H841" s="54"/>
    </row>
    <row r="842">
      <c r="B842" s="54"/>
      <c r="C842" s="54"/>
      <c r="D842" s="54"/>
      <c r="E842" s="54"/>
      <c r="F842" s="54"/>
      <c r="G842" s="54"/>
      <c r="H842" s="54"/>
    </row>
    <row r="843">
      <c r="B843" s="54"/>
      <c r="C843" s="54"/>
      <c r="D843" s="54"/>
      <c r="E843" s="54"/>
      <c r="F843" s="54"/>
      <c r="G843" s="54"/>
      <c r="H843" s="54"/>
    </row>
    <row r="844">
      <c r="B844" s="54"/>
      <c r="C844" s="54"/>
      <c r="D844" s="54"/>
      <c r="E844" s="54"/>
      <c r="F844" s="54"/>
      <c r="G844" s="54"/>
      <c r="H844" s="54"/>
    </row>
    <row r="845">
      <c r="B845" s="54"/>
      <c r="C845" s="54"/>
      <c r="D845" s="54"/>
      <c r="E845" s="54"/>
      <c r="F845" s="54"/>
      <c r="G845" s="54"/>
      <c r="H845" s="54"/>
    </row>
    <row r="846">
      <c r="B846" s="54"/>
      <c r="C846" s="54"/>
      <c r="D846" s="54"/>
      <c r="E846" s="54"/>
      <c r="F846" s="54"/>
      <c r="G846" s="54"/>
      <c r="H846" s="54"/>
    </row>
    <row r="847">
      <c r="B847" s="54"/>
      <c r="C847" s="54"/>
      <c r="D847" s="54"/>
      <c r="E847" s="54"/>
      <c r="F847" s="54"/>
      <c r="G847" s="54"/>
      <c r="H847" s="54"/>
    </row>
    <row r="848">
      <c r="B848" s="54"/>
      <c r="C848" s="54"/>
      <c r="D848" s="54"/>
      <c r="E848" s="54"/>
      <c r="F848" s="54"/>
      <c r="G848" s="54"/>
      <c r="H848" s="54"/>
    </row>
    <row r="849">
      <c r="B849" s="54"/>
      <c r="C849" s="54"/>
      <c r="D849" s="54"/>
      <c r="E849" s="54"/>
      <c r="F849" s="54"/>
      <c r="G849" s="54"/>
      <c r="H849" s="54"/>
    </row>
    <row r="850">
      <c r="B850" s="54"/>
      <c r="C850" s="54"/>
      <c r="D850" s="54"/>
      <c r="E850" s="54"/>
      <c r="F850" s="54"/>
      <c r="G850" s="54"/>
      <c r="H850" s="54"/>
    </row>
    <row r="851">
      <c r="B851" s="54"/>
      <c r="C851" s="54"/>
      <c r="D851" s="54"/>
      <c r="E851" s="54"/>
      <c r="F851" s="54"/>
      <c r="G851" s="54"/>
      <c r="H851" s="54"/>
    </row>
    <row r="852">
      <c r="B852" s="54"/>
      <c r="C852" s="54"/>
      <c r="D852" s="54"/>
      <c r="E852" s="54"/>
      <c r="F852" s="54"/>
      <c r="G852" s="54"/>
      <c r="H852" s="54"/>
    </row>
    <row r="853">
      <c r="B853" s="54"/>
      <c r="C853" s="54"/>
      <c r="D853" s="54"/>
      <c r="E853" s="54"/>
      <c r="F853" s="54"/>
      <c r="G853" s="54"/>
      <c r="H853" s="54"/>
    </row>
    <row r="854">
      <c r="B854" s="54"/>
      <c r="C854" s="54"/>
      <c r="D854" s="54"/>
      <c r="E854" s="54"/>
      <c r="F854" s="54"/>
      <c r="G854" s="54"/>
      <c r="H854" s="54"/>
    </row>
    <row r="855">
      <c r="B855" s="54"/>
      <c r="C855" s="54"/>
      <c r="D855" s="54"/>
      <c r="E855" s="54"/>
      <c r="F855" s="54"/>
      <c r="G855" s="54"/>
      <c r="H855" s="54"/>
    </row>
    <row r="856">
      <c r="B856" s="54"/>
      <c r="C856" s="54"/>
      <c r="D856" s="54"/>
      <c r="E856" s="54"/>
      <c r="F856" s="54"/>
      <c r="G856" s="54"/>
      <c r="H856" s="54"/>
    </row>
    <row r="857">
      <c r="B857" s="54"/>
      <c r="C857" s="54"/>
      <c r="D857" s="54"/>
      <c r="E857" s="54"/>
      <c r="F857" s="54"/>
      <c r="G857" s="54"/>
      <c r="H857" s="54"/>
    </row>
    <row r="858">
      <c r="B858" s="54"/>
      <c r="C858" s="54"/>
      <c r="D858" s="54"/>
      <c r="E858" s="54"/>
      <c r="F858" s="54"/>
      <c r="G858" s="54"/>
      <c r="H858" s="54"/>
    </row>
    <row r="859">
      <c r="B859" s="54"/>
      <c r="C859" s="54"/>
      <c r="D859" s="54"/>
      <c r="E859" s="54"/>
      <c r="F859" s="54"/>
      <c r="G859" s="54"/>
      <c r="H859" s="54"/>
    </row>
    <row r="860">
      <c r="B860" s="54"/>
      <c r="C860" s="54"/>
      <c r="D860" s="54"/>
      <c r="E860" s="54"/>
      <c r="F860" s="54"/>
      <c r="G860" s="54"/>
      <c r="H860" s="54"/>
    </row>
    <row r="861">
      <c r="B861" s="54"/>
      <c r="C861" s="54"/>
      <c r="D861" s="54"/>
      <c r="E861" s="54"/>
      <c r="F861" s="54"/>
      <c r="G861" s="54"/>
      <c r="H861" s="54"/>
    </row>
    <row r="862">
      <c r="B862" s="54"/>
      <c r="C862" s="54"/>
      <c r="D862" s="54"/>
      <c r="E862" s="54"/>
      <c r="F862" s="54"/>
      <c r="G862" s="54"/>
      <c r="H862" s="54"/>
    </row>
    <row r="863">
      <c r="B863" s="54"/>
      <c r="C863" s="54"/>
      <c r="D863" s="54"/>
      <c r="E863" s="54"/>
      <c r="F863" s="54"/>
      <c r="G863" s="54"/>
      <c r="H863" s="54"/>
    </row>
    <row r="864">
      <c r="B864" s="54"/>
      <c r="C864" s="54"/>
      <c r="D864" s="54"/>
      <c r="E864" s="54"/>
      <c r="F864" s="54"/>
      <c r="G864" s="54"/>
      <c r="H864" s="54"/>
    </row>
    <row r="865">
      <c r="B865" s="54"/>
      <c r="C865" s="54"/>
      <c r="D865" s="54"/>
      <c r="E865" s="54"/>
      <c r="F865" s="54"/>
      <c r="G865" s="54"/>
      <c r="H865" s="54"/>
    </row>
    <row r="866">
      <c r="B866" s="54"/>
      <c r="C866" s="54"/>
      <c r="D866" s="54"/>
      <c r="E866" s="54"/>
      <c r="F866" s="54"/>
      <c r="G866" s="54"/>
      <c r="H866" s="54"/>
    </row>
    <row r="867">
      <c r="B867" s="54"/>
      <c r="C867" s="54"/>
      <c r="D867" s="54"/>
      <c r="E867" s="54"/>
      <c r="F867" s="54"/>
      <c r="G867" s="54"/>
      <c r="H867" s="54"/>
    </row>
    <row r="868">
      <c r="B868" s="54"/>
      <c r="C868" s="54"/>
      <c r="D868" s="54"/>
      <c r="E868" s="54"/>
      <c r="F868" s="54"/>
      <c r="G868" s="54"/>
      <c r="H868" s="54"/>
    </row>
    <row r="869">
      <c r="B869" s="54"/>
      <c r="C869" s="54"/>
      <c r="D869" s="54"/>
      <c r="E869" s="54"/>
      <c r="F869" s="54"/>
      <c r="G869" s="54"/>
      <c r="H869" s="54"/>
    </row>
    <row r="870">
      <c r="B870" s="54"/>
      <c r="C870" s="54"/>
      <c r="D870" s="54"/>
      <c r="E870" s="54"/>
      <c r="F870" s="54"/>
      <c r="G870" s="54"/>
      <c r="H870" s="54"/>
    </row>
    <row r="871">
      <c r="B871" s="54"/>
      <c r="C871" s="54"/>
      <c r="D871" s="54"/>
      <c r="E871" s="54"/>
      <c r="F871" s="54"/>
      <c r="G871" s="54"/>
      <c r="H871" s="54"/>
    </row>
    <row r="872">
      <c r="B872" s="54"/>
      <c r="C872" s="54"/>
      <c r="D872" s="54"/>
      <c r="E872" s="54"/>
      <c r="F872" s="54"/>
      <c r="G872" s="54"/>
      <c r="H872" s="54"/>
    </row>
    <row r="873">
      <c r="B873" s="54"/>
      <c r="C873" s="54"/>
      <c r="D873" s="54"/>
      <c r="E873" s="54"/>
      <c r="F873" s="54"/>
      <c r="G873" s="54"/>
      <c r="H873" s="54"/>
    </row>
    <row r="874">
      <c r="B874" s="54"/>
      <c r="C874" s="54"/>
      <c r="D874" s="54"/>
      <c r="E874" s="54"/>
      <c r="F874" s="54"/>
      <c r="G874" s="54"/>
      <c r="H874" s="54"/>
    </row>
    <row r="875">
      <c r="B875" s="54"/>
      <c r="C875" s="54"/>
      <c r="D875" s="54"/>
      <c r="E875" s="54"/>
      <c r="F875" s="54"/>
      <c r="G875" s="54"/>
      <c r="H875" s="54"/>
    </row>
    <row r="876">
      <c r="B876" s="54"/>
      <c r="C876" s="54"/>
      <c r="D876" s="54"/>
      <c r="E876" s="54"/>
      <c r="F876" s="54"/>
      <c r="G876" s="54"/>
      <c r="H876" s="54"/>
    </row>
    <row r="877">
      <c r="B877" s="54"/>
      <c r="C877" s="54"/>
      <c r="D877" s="54"/>
      <c r="E877" s="54"/>
      <c r="F877" s="54"/>
      <c r="G877" s="54"/>
      <c r="H877" s="54"/>
    </row>
    <row r="878">
      <c r="B878" s="54"/>
      <c r="C878" s="54"/>
      <c r="D878" s="54"/>
      <c r="E878" s="54"/>
      <c r="F878" s="54"/>
      <c r="G878" s="54"/>
      <c r="H878" s="54"/>
    </row>
    <row r="879">
      <c r="B879" s="54"/>
      <c r="C879" s="54"/>
      <c r="D879" s="54"/>
      <c r="E879" s="54"/>
      <c r="F879" s="54"/>
      <c r="G879" s="54"/>
      <c r="H879" s="54"/>
    </row>
    <row r="880">
      <c r="B880" s="54"/>
      <c r="C880" s="54"/>
      <c r="D880" s="54"/>
      <c r="E880" s="54"/>
      <c r="F880" s="54"/>
      <c r="G880" s="54"/>
      <c r="H880" s="54"/>
    </row>
    <row r="881">
      <c r="B881" s="54"/>
      <c r="C881" s="54"/>
      <c r="D881" s="54"/>
      <c r="E881" s="54"/>
      <c r="F881" s="54"/>
      <c r="G881" s="54"/>
      <c r="H881" s="54"/>
    </row>
    <row r="882">
      <c r="B882" s="54"/>
      <c r="C882" s="54"/>
      <c r="D882" s="54"/>
      <c r="E882" s="54"/>
      <c r="F882" s="54"/>
      <c r="G882" s="54"/>
      <c r="H882" s="54"/>
    </row>
    <row r="883">
      <c r="B883" s="54"/>
      <c r="C883" s="54"/>
      <c r="D883" s="54"/>
      <c r="E883" s="54"/>
      <c r="F883" s="54"/>
      <c r="G883" s="54"/>
      <c r="H883" s="54"/>
    </row>
    <row r="884">
      <c r="B884" s="54"/>
      <c r="C884" s="54"/>
      <c r="D884" s="54"/>
      <c r="E884" s="54"/>
      <c r="F884" s="54"/>
      <c r="G884" s="54"/>
      <c r="H884" s="54"/>
    </row>
    <row r="885">
      <c r="B885" s="54"/>
      <c r="C885" s="54"/>
      <c r="D885" s="54"/>
      <c r="E885" s="54"/>
      <c r="F885" s="54"/>
      <c r="G885" s="54"/>
      <c r="H885" s="54"/>
    </row>
    <row r="886">
      <c r="B886" s="54"/>
      <c r="C886" s="54"/>
      <c r="D886" s="54"/>
      <c r="E886" s="54"/>
      <c r="F886" s="54"/>
      <c r="G886" s="54"/>
      <c r="H886" s="54"/>
    </row>
    <row r="887">
      <c r="B887" s="54"/>
      <c r="C887" s="54"/>
      <c r="D887" s="54"/>
      <c r="E887" s="54"/>
      <c r="F887" s="54"/>
      <c r="G887" s="54"/>
      <c r="H887" s="54"/>
    </row>
    <row r="888">
      <c r="B888" s="54"/>
      <c r="C888" s="54"/>
      <c r="D888" s="54"/>
      <c r="E888" s="54"/>
      <c r="F888" s="54"/>
      <c r="G888" s="54"/>
      <c r="H888" s="54"/>
    </row>
    <row r="889">
      <c r="B889" s="54"/>
      <c r="C889" s="54"/>
      <c r="D889" s="54"/>
      <c r="E889" s="54"/>
      <c r="F889" s="54"/>
      <c r="G889" s="54"/>
      <c r="H889" s="54"/>
    </row>
    <row r="890">
      <c r="B890" s="54"/>
      <c r="C890" s="54"/>
      <c r="D890" s="54"/>
      <c r="E890" s="54"/>
      <c r="F890" s="54"/>
      <c r="G890" s="54"/>
      <c r="H890" s="54"/>
    </row>
    <row r="891">
      <c r="B891" s="54"/>
      <c r="C891" s="54"/>
      <c r="D891" s="54"/>
      <c r="E891" s="54"/>
      <c r="F891" s="54"/>
      <c r="G891" s="54"/>
      <c r="H891" s="54"/>
    </row>
    <row r="892">
      <c r="B892" s="54"/>
      <c r="C892" s="54"/>
      <c r="D892" s="54"/>
      <c r="E892" s="54"/>
      <c r="F892" s="54"/>
      <c r="G892" s="54"/>
      <c r="H892" s="54"/>
    </row>
    <row r="893">
      <c r="B893" s="54"/>
      <c r="C893" s="54"/>
      <c r="D893" s="54"/>
      <c r="E893" s="54"/>
      <c r="F893" s="54"/>
      <c r="G893" s="54"/>
      <c r="H893" s="54"/>
    </row>
    <row r="894">
      <c r="B894" s="54"/>
      <c r="C894" s="54"/>
      <c r="D894" s="54"/>
      <c r="E894" s="54"/>
      <c r="F894" s="54"/>
      <c r="G894" s="54"/>
      <c r="H894" s="54"/>
    </row>
    <row r="895">
      <c r="B895" s="54"/>
      <c r="C895" s="54"/>
      <c r="D895" s="54"/>
      <c r="E895" s="54"/>
      <c r="F895" s="54"/>
      <c r="G895" s="54"/>
      <c r="H895" s="54"/>
    </row>
    <row r="896">
      <c r="B896" s="54"/>
      <c r="C896" s="54"/>
      <c r="D896" s="54"/>
      <c r="E896" s="54"/>
      <c r="F896" s="54"/>
      <c r="G896" s="54"/>
      <c r="H896" s="54"/>
    </row>
    <row r="897">
      <c r="B897" s="54"/>
      <c r="C897" s="54"/>
      <c r="D897" s="54"/>
      <c r="E897" s="54"/>
      <c r="F897" s="54"/>
      <c r="G897" s="54"/>
      <c r="H897" s="54"/>
    </row>
    <row r="898">
      <c r="B898" s="54"/>
      <c r="C898" s="54"/>
      <c r="D898" s="54"/>
      <c r="E898" s="54"/>
      <c r="F898" s="54"/>
      <c r="G898" s="54"/>
      <c r="H898" s="54"/>
    </row>
    <row r="899">
      <c r="B899" s="54"/>
      <c r="C899" s="54"/>
      <c r="D899" s="54"/>
      <c r="E899" s="54"/>
      <c r="F899" s="54"/>
      <c r="G899" s="54"/>
      <c r="H899" s="54"/>
    </row>
    <row r="900">
      <c r="B900" s="54"/>
      <c r="C900" s="54"/>
      <c r="D900" s="54"/>
      <c r="E900" s="54"/>
      <c r="F900" s="54"/>
      <c r="G900" s="54"/>
      <c r="H900" s="54"/>
    </row>
    <row r="901">
      <c r="B901" s="54"/>
      <c r="C901" s="54"/>
      <c r="D901" s="54"/>
      <c r="E901" s="54"/>
      <c r="F901" s="54"/>
      <c r="G901" s="54"/>
      <c r="H901" s="54"/>
    </row>
    <row r="902">
      <c r="B902" s="54"/>
      <c r="C902" s="54"/>
      <c r="D902" s="54"/>
      <c r="E902" s="54"/>
      <c r="F902" s="54"/>
      <c r="G902" s="54"/>
      <c r="H902" s="54"/>
    </row>
    <row r="903">
      <c r="B903" s="54"/>
      <c r="C903" s="54"/>
      <c r="D903" s="54"/>
      <c r="E903" s="54"/>
      <c r="F903" s="54"/>
      <c r="G903" s="54"/>
      <c r="H903" s="54"/>
    </row>
    <row r="904">
      <c r="B904" s="54"/>
      <c r="C904" s="54"/>
      <c r="D904" s="54"/>
      <c r="E904" s="54"/>
      <c r="F904" s="54"/>
      <c r="G904" s="54"/>
      <c r="H904" s="54"/>
    </row>
    <row r="905">
      <c r="B905" s="54"/>
      <c r="C905" s="54"/>
      <c r="D905" s="54"/>
      <c r="E905" s="54"/>
      <c r="F905" s="54"/>
      <c r="G905" s="54"/>
      <c r="H905" s="54"/>
    </row>
    <row r="906">
      <c r="B906" s="54"/>
      <c r="C906" s="54"/>
      <c r="D906" s="54"/>
      <c r="E906" s="54"/>
      <c r="F906" s="54"/>
      <c r="G906" s="54"/>
      <c r="H906" s="54"/>
    </row>
    <row r="907">
      <c r="B907" s="54"/>
      <c r="C907" s="54"/>
      <c r="D907" s="54"/>
      <c r="E907" s="54"/>
      <c r="F907" s="54"/>
      <c r="G907" s="54"/>
      <c r="H907" s="54"/>
    </row>
    <row r="908">
      <c r="B908" s="54"/>
      <c r="C908" s="54"/>
      <c r="D908" s="54"/>
      <c r="E908" s="54"/>
      <c r="F908" s="54"/>
      <c r="G908" s="54"/>
      <c r="H908" s="54"/>
    </row>
    <row r="909">
      <c r="B909" s="54"/>
      <c r="C909" s="54"/>
      <c r="D909" s="54"/>
      <c r="E909" s="54"/>
      <c r="F909" s="54"/>
      <c r="G909" s="54"/>
      <c r="H909" s="54"/>
    </row>
    <row r="910">
      <c r="B910" s="54"/>
      <c r="C910" s="54"/>
      <c r="D910" s="54"/>
      <c r="E910" s="54"/>
      <c r="F910" s="54"/>
      <c r="G910" s="54"/>
      <c r="H910" s="54"/>
    </row>
    <row r="911">
      <c r="B911" s="54"/>
      <c r="C911" s="54"/>
      <c r="D911" s="54"/>
      <c r="E911" s="54"/>
      <c r="F911" s="54"/>
      <c r="G911" s="54"/>
      <c r="H911" s="54"/>
    </row>
    <row r="912">
      <c r="B912" s="54"/>
      <c r="C912" s="54"/>
      <c r="D912" s="54"/>
      <c r="E912" s="54"/>
      <c r="F912" s="54"/>
      <c r="G912" s="54"/>
      <c r="H912" s="54"/>
    </row>
    <row r="913">
      <c r="B913" s="54"/>
      <c r="C913" s="54"/>
      <c r="D913" s="54"/>
      <c r="E913" s="54"/>
      <c r="F913" s="54"/>
      <c r="G913" s="54"/>
      <c r="H913" s="54"/>
    </row>
    <row r="914">
      <c r="B914" s="54"/>
      <c r="C914" s="54"/>
      <c r="D914" s="54"/>
      <c r="E914" s="54"/>
      <c r="F914" s="54"/>
      <c r="G914" s="54"/>
      <c r="H914" s="54"/>
    </row>
    <row r="915">
      <c r="B915" s="54"/>
      <c r="C915" s="54"/>
      <c r="D915" s="54"/>
      <c r="E915" s="54"/>
      <c r="F915" s="54"/>
      <c r="G915" s="54"/>
      <c r="H915" s="54"/>
    </row>
    <row r="916">
      <c r="B916" s="54"/>
      <c r="C916" s="54"/>
      <c r="D916" s="54"/>
      <c r="E916" s="54"/>
      <c r="F916" s="54"/>
      <c r="G916" s="54"/>
      <c r="H916" s="54"/>
    </row>
    <row r="917">
      <c r="B917" s="54"/>
      <c r="C917" s="54"/>
      <c r="D917" s="54"/>
      <c r="E917" s="54"/>
      <c r="F917" s="54"/>
      <c r="G917" s="54"/>
      <c r="H917" s="54"/>
    </row>
    <row r="918">
      <c r="B918" s="54"/>
      <c r="C918" s="54"/>
      <c r="D918" s="54"/>
      <c r="E918" s="54"/>
      <c r="F918" s="54"/>
      <c r="G918" s="54"/>
      <c r="H918" s="54"/>
    </row>
    <row r="919">
      <c r="B919" s="54"/>
      <c r="C919" s="54"/>
      <c r="D919" s="54"/>
      <c r="E919" s="54"/>
      <c r="F919" s="54"/>
      <c r="G919" s="54"/>
      <c r="H919" s="54"/>
    </row>
    <row r="920">
      <c r="B920" s="54"/>
      <c r="C920" s="54"/>
      <c r="D920" s="54"/>
      <c r="E920" s="54"/>
      <c r="F920" s="54"/>
      <c r="G920" s="54"/>
      <c r="H920" s="54"/>
    </row>
    <row r="921">
      <c r="B921" s="54"/>
      <c r="C921" s="54"/>
      <c r="D921" s="54"/>
      <c r="E921" s="54"/>
      <c r="F921" s="54"/>
      <c r="G921" s="54"/>
      <c r="H921" s="54"/>
    </row>
    <row r="922">
      <c r="B922" s="54"/>
      <c r="C922" s="54"/>
      <c r="D922" s="54"/>
      <c r="E922" s="54"/>
      <c r="F922" s="54"/>
      <c r="G922" s="54"/>
      <c r="H922" s="54"/>
    </row>
    <row r="923">
      <c r="B923" s="54"/>
      <c r="C923" s="54"/>
      <c r="D923" s="54"/>
      <c r="E923" s="54"/>
      <c r="F923" s="54"/>
      <c r="G923" s="54"/>
      <c r="H923" s="54"/>
    </row>
    <row r="924">
      <c r="B924" s="54"/>
      <c r="C924" s="54"/>
      <c r="D924" s="54"/>
      <c r="E924" s="54"/>
      <c r="F924" s="54"/>
      <c r="G924" s="54"/>
      <c r="H924" s="54"/>
    </row>
    <row r="925">
      <c r="B925" s="54"/>
      <c r="C925" s="54"/>
      <c r="D925" s="54"/>
      <c r="E925" s="54"/>
      <c r="F925" s="54"/>
      <c r="G925" s="54"/>
      <c r="H925" s="54"/>
    </row>
    <row r="926">
      <c r="B926" s="54"/>
      <c r="C926" s="54"/>
      <c r="D926" s="54"/>
      <c r="E926" s="54"/>
      <c r="F926" s="54"/>
      <c r="G926" s="54"/>
      <c r="H926" s="54"/>
    </row>
    <row r="927">
      <c r="B927" s="54"/>
      <c r="C927" s="54"/>
      <c r="D927" s="54"/>
      <c r="E927" s="54"/>
      <c r="F927" s="54"/>
      <c r="G927" s="54"/>
      <c r="H927" s="54"/>
    </row>
    <row r="928">
      <c r="B928" s="54"/>
      <c r="C928" s="54"/>
      <c r="D928" s="54"/>
      <c r="E928" s="54"/>
      <c r="F928" s="54"/>
      <c r="G928" s="54"/>
      <c r="H928" s="54"/>
    </row>
    <row r="929">
      <c r="B929" s="54"/>
      <c r="C929" s="54"/>
      <c r="D929" s="54"/>
      <c r="E929" s="54"/>
      <c r="F929" s="54"/>
      <c r="G929" s="54"/>
      <c r="H929" s="54"/>
    </row>
    <row r="930">
      <c r="B930" s="54"/>
      <c r="C930" s="54"/>
      <c r="D930" s="54"/>
      <c r="E930" s="54"/>
      <c r="F930" s="54"/>
      <c r="G930" s="54"/>
      <c r="H930" s="54"/>
    </row>
    <row r="931">
      <c r="B931" s="54"/>
      <c r="C931" s="54"/>
      <c r="D931" s="54"/>
      <c r="E931" s="54"/>
      <c r="F931" s="54"/>
      <c r="G931" s="54"/>
      <c r="H931" s="54"/>
    </row>
    <row r="932">
      <c r="B932" s="54"/>
      <c r="C932" s="54"/>
      <c r="D932" s="54"/>
      <c r="E932" s="54"/>
      <c r="F932" s="54"/>
      <c r="G932" s="54"/>
      <c r="H932" s="54"/>
    </row>
    <row r="933">
      <c r="B933" s="54"/>
      <c r="C933" s="54"/>
      <c r="D933" s="54"/>
      <c r="E933" s="54"/>
      <c r="F933" s="54"/>
      <c r="G933" s="54"/>
      <c r="H933" s="54"/>
    </row>
    <row r="934">
      <c r="B934" s="54"/>
      <c r="C934" s="54"/>
      <c r="D934" s="54"/>
      <c r="E934" s="54"/>
      <c r="F934" s="54"/>
      <c r="G934" s="54"/>
      <c r="H934" s="54"/>
    </row>
    <row r="935">
      <c r="B935" s="54"/>
      <c r="C935" s="54"/>
      <c r="D935" s="54"/>
      <c r="E935" s="54"/>
      <c r="F935" s="54"/>
      <c r="G935" s="54"/>
      <c r="H935" s="54"/>
    </row>
    <row r="936">
      <c r="B936" s="54"/>
      <c r="C936" s="54"/>
      <c r="D936" s="54"/>
      <c r="E936" s="54"/>
      <c r="F936" s="54"/>
      <c r="G936" s="54"/>
      <c r="H936" s="54"/>
    </row>
    <row r="937">
      <c r="B937" s="54"/>
      <c r="C937" s="54"/>
      <c r="D937" s="54"/>
      <c r="E937" s="54"/>
      <c r="F937" s="54"/>
      <c r="G937" s="54"/>
      <c r="H937" s="54"/>
    </row>
    <row r="938">
      <c r="B938" s="54"/>
      <c r="C938" s="54"/>
      <c r="D938" s="54"/>
      <c r="E938" s="54"/>
      <c r="F938" s="54"/>
      <c r="G938" s="54"/>
      <c r="H938" s="54"/>
    </row>
    <row r="939">
      <c r="B939" s="54"/>
      <c r="C939" s="54"/>
      <c r="D939" s="54"/>
      <c r="E939" s="54"/>
      <c r="F939" s="54"/>
      <c r="G939" s="54"/>
      <c r="H939" s="54"/>
    </row>
    <row r="940">
      <c r="B940" s="54"/>
      <c r="C940" s="54"/>
      <c r="D940" s="54"/>
      <c r="E940" s="54"/>
      <c r="F940" s="54"/>
      <c r="G940" s="54"/>
      <c r="H940" s="54"/>
    </row>
    <row r="941">
      <c r="B941" s="54"/>
      <c r="C941" s="54"/>
      <c r="D941" s="54"/>
      <c r="E941" s="54"/>
      <c r="F941" s="54"/>
      <c r="G941" s="54"/>
      <c r="H941" s="54"/>
    </row>
    <row r="942">
      <c r="B942" s="54"/>
      <c r="C942" s="54"/>
      <c r="D942" s="54"/>
      <c r="E942" s="54"/>
      <c r="F942" s="54"/>
      <c r="G942" s="54"/>
      <c r="H942" s="54"/>
    </row>
    <row r="943">
      <c r="B943" s="54"/>
      <c r="C943" s="54"/>
      <c r="D943" s="54"/>
      <c r="E943" s="54"/>
      <c r="F943" s="54"/>
      <c r="G943" s="54"/>
      <c r="H943" s="54"/>
    </row>
    <row r="944">
      <c r="B944" s="54"/>
      <c r="C944" s="54"/>
      <c r="D944" s="54"/>
      <c r="E944" s="54"/>
      <c r="F944" s="54"/>
      <c r="G944" s="54"/>
      <c r="H944" s="54"/>
    </row>
    <row r="945">
      <c r="B945" s="54"/>
      <c r="C945" s="54"/>
      <c r="D945" s="54"/>
      <c r="E945" s="54"/>
      <c r="F945" s="54"/>
      <c r="G945" s="54"/>
      <c r="H945" s="54"/>
    </row>
    <row r="946">
      <c r="B946" s="54"/>
      <c r="C946" s="54"/>
      <c r="D946" s="54"/>
      <c r="E946" s="54"/>
      <c r="F946" s="54"/>
      <c r="G946" s="54"/>
      <c r="H946" s="54"/>
    </row>
    <row r="947">
      <c r="B947" s="54"/>
      <c r="C947" s="54"/>
      <c r="D947" s="54"/>
      <c r="E947" s="54"/>
      <c r="F947" s="54"/>
      <c r="G947" s="54"/>
      <c r="H947" s="54"/>
    </row>
    <row r="948">
      <c r="B948" s="54"/>
      <c r="C948" s="54"/>
      <c r="D948" s="54"/>
      <c r="E948" s="54"/>
      <c r="F948" s="54"/>
      <c r="G948" s="54"/>
      <c r="H948" s="54"/>
    </row>
    <row r="949">
      <c r="B949" s="54"/>
      <c r="C949" s="54"/>
      <c r="D949" s="54"/>
      <c r="E949" s="54"/>
      <c r="F949" s="54"/>
      <c r="G949" s="54"/>
      <c r="H949" s="54"/>
    </row>
    <row r="950">
      <c r="B950" s="54"/>
      <c r="C950" s="54"/>
      <c r="D950" s="54"/>
      <c r="E950" s="54"/>
      <c r="F950" s="54"/>
      <c r="G950" s="54"/>
      <c r="H950" s="54"/>
    </row>
    <row r="951">
      <c r="B951" s="54"/>
      <c r="C951" s="54"/>
      <c r="D951" s="54"/>
      <c r="E951" s="54"/>
      <c r="F951" s="54"/>
      <c r="G951" s="54"/>
      <c r="H951" s="54"/>
    </row>
    <row r="952">
      <c r="B952" s="54"/>
      <c r="C952" s="54"/>
      <c r="D952" s="54"/>
      <c r="E952" s="54"/>
      <c r="F952" s="54"/>
      <c r="G952" s="54"/>
      <c r="H952" s="54"/>
    </row>
    <row r="953">
      <c r="B953" s="54"/>
      <c r="C953" s="54"/>
      <c r="D953" s="54"/>
      <c r="E953" s="54"/>
      <c r="F953" s="54"/>
      <c r="G953" s="54"/>
      <c r="H953" s="54"/>
    </row>
    <row r="954">
      <c r="B954" s="54"/>
      <c r="C954" s="54"/>
      <c r="D954" s="54"/>
      <c r="E954" s="54"/>
      <c r="F954" s="54"/>
      <c r="G954" s="54"/>
      <c r="H954" s="54"/>
    </row>
    <row r="955">
      <c r="B955" s="54"/>
      <c r="C955" s="54"/>
      <c r="D955" s="54"/>
      <c r="E955" s="54"/>
      <c r="F955" s="54"/>
      <c r="G955" s="54"/>
      <c r="H955" s="54"/>
    </row>
    <row r="956">
      <c r="B956" s="54"/>
      <c r="C956" s="54"/>
      <c r="D956" s="54"/>
      <c r="E956" s="54"/>
      <c r="F956" s="54"/>
      <c r="G956" s="54"/>
      <c r="H956" s="54"/>
    </row>
    <row r="957">
      <c r="B957" s="54"/>
      <c r="C957" s="54"/>
      <c r="D957" s="54"/>
      <c r="E957" s="54"/>
      <c r="F957" s="54"/>
      <c r="G957" s="54"/>
      <c r="H957" s="54"/>
    </row>
    <row r="958">
      <c r="B958" s="54"/>
      <c r="C958" s="54"/>
      <c r="D958" s="54"/>
      <c r="E958" s="54"/>
      <c r="F958" s="54"/>
      <c r="G958" s="54"/>
      <c r="H958" s="54"/>
    </row>
    <row r="959">
      <c r="B959" s="54"/>
      <c r="C959" s="54"/>
      <c r="D959" s="54"/>
      <c r="E959" s="54"/>
      <c r="F959" s="54"/>
      <c r="G959" s="54"/>
      <c r="H959" s="54"/>
    </row>
    <row r="960">
      <c r="B960" s="54"/>
      <c r="C960" s="54"/>
      <c r="D960" s="54"/>
      <c r="E960" s="54"/>
      <c r="F960" s="54"/>
      <c r="G960" s="54"/>
      <c r="H960" s="54"/>
    </row>
    <row r="961">
      <c r="B961" s="54"/>
      <c r="C961" s="54"/>
      <c r="D961" s="54"/>
      <c r="E961" s="54"/>
      <c r="F961" s="54"/>
      <c r="G961" s="54"/>
      <c r="H961" s="54"/>
    </row>
    <row r="962">
      <c r="B962" s="54"/>
      <c r="C962" s="54"/>
      <c r="D962" s="54"/>
      <c r="E962" s="54"/>
      <c r="F962" s="54"/>
      <c r="G962" s="54"/>
      <c r="H962" s="54"/>
    </row>
    <row r="963">
      <c r="B963" s="54"/>
      <c r="C963" s="54"/>
      <c r="D963" s="54"/>
      <c r="E963" s="54"/>
      <c r="F963" s="54"/>
      <c r="G963" s="54"/>
      <c r="H963" s="54"/>
    </row>
    <row r="964">
      <c r="B964" s="54"/>
      <c r="C964" s="54"/>
      <c r="D964" s="54"/>
      <c r="E964" s="54"/>
      <c r="F964" s="54"/>
      <c r="G964" s="54"/>
      <c r="H964" s="54"/>
    </row>
    <row r="965">
      <c r="B965" s="54"/>
      <c r="C965" s="54"/>
      <c r="D965" s="54"/>
      <c r="E965" s="54"/>
      <c r="F965" s="54"/>
      <c r="G965" s="54"/>
      <c r="H965" s="54"/>
    </row>
    <row r="966">
      <c r="B966" s="54"/>
      <c r="C966" s="54"/>
      <c r="D966" s="54"/>
      <c r="E966" s="54"/>
      <c r="F966" s="54"/>
      <c r="G966" s="54"/>
      <c r="H966" s="54"/>
    </row>
    <row r="967">
      <c r="B967" s="54"/>
      <c r="C967" s="54"/>
      <c r="D967" s="54"/>
      <c r="E967" s="54"/>
      <c r="F967" s="54"/>
      <c r="G967" s="54"/>
      <c r="H967" s="54"/>
    </row>
    <row r="968">
      <c r="B968" s="54"/>
      <c r="C968" s="54"/>
      <c r="D968" s="54"/>
      <c r="E968" s="54"/>
      <c r="F968" s="54"/>
      <c r="G968" s="54"/>
      <c r="H968" s="54"/>
    </row>
    <row r="969">
      <c r="B969" s="54"/>
      <c r="C969" s="54"/>
      <c r="D969" s="54"/>
      <c r="E969" s="54"/>
      <c r="F969" s="54"/>
      <c r="G969" s="54"/>
      <c r="H969" s="54"/>
    </row>
    <row r="970">
      <c r="B970" s="54"/>
      <c r="C970" s="54"/>
      <c r="D970" s="54"/>
      <c r="E970" s="54"/>
      <c r="F970" s="54"/>
      <c r="G970" s="54"/>
      <c r="H970" s="54"/>
    </row>
    <row r="971">
      <c r="B971" s="54"/>
      <c r="C971" s="54"/>
      <c r="D971" s="54"/>
      <c r="E971" s="54"/>
      <c r="F971" s="54"/>
      <c r="G971" s="54"/>
      <c r="H971" s="54"/>
    </row>
    <row r="972">
      <c r="B972" s="54"/>
      <c r="C972" s="54"/>
      <c r="D972" s="54"/>
      <c r="E972" s="54"/>
      <c r="F972" s="54"/>
      <c r="G972" s="54"/>
      <c r="H972" s="54"/>
    </row>
    <row r="973">
      <c r="B973" s="54"/>
      <c r="C973" s="54"/>
      <c r="D973" s="54"/>
      <c r="E973" s="54"/>
      <c r="F973" s="54"/>
      <c r="G973" s="54"/>
      <c r="H973" s="54"/>
    </row>
    <row r="974">
      <c r="B974" s="54"/>
      <c r="C974" s="54"/>
      <c r="D974" s="54"/>
      <c r="E974" s="54"/>
      <c r="F974" s="54"/>
      <c r="G974" s="54"/>
      <c r="H974" s="54"/>
    </row>
    <row r="975">
      <c r="B975" s="54"/>
      <c r="C975" s="54"/>
      <c r="D975" s="54"/>
      <c r="E975" s="54"/>
      <c r="F975" s="54"/>
      <c r="G975" s="54"/>
      <c r="H975" s="54"/>
    </row>
    <row r="976">
      <c r="B976" s="54"/>
      <c r="C976" s="54"/>
      <c r="D976" s="54"/>
      <c r="E976" s="54"/>
      <c r="F976" s="54"/>
      <c r="G976" s="54"/>
      <c r="H976" s="54"/>
    </row>
    <row r="977">
      <c r="B977" s="54"/>
      <c r="C977" s="54"/>
      <c r="D977" s="54"/>
      <c r="E977" s="54"/>
      <c r="F977" s="54"/>
      <c r="G977" s="54"/>
      <c r="H977" s="54"/>
    </row>
    <row r="978">
      <c r="B978" s="54"/>
      <c r="C978" s="54"/>
      <c r="D978" s="54"/>
      <c r="E978" s="54"/>
      <c r="F978" s="54"/>
      <c r="G978" s="54"/>
      <c r="H978" s="54"/>
    </row>
    <row r="979">
      <c r="B979" s="54"/>
      <c r="C979" s="54"/>
      <c r="D979" s="54"/>
      <c r="E979" s="54"/>
      <c r="F979" s="54"/>
      <c r="G979" s="54"/>
      <c r="H979" s="54"/>
    </row>
    <row r="980">
      <c r="B980" s="54"/>
      <c r="C980" s="54"/>
      <c r="D980" s="54"/>
      <c r="E980" s="54"/>
      <c r="F980" s="54"/>
      <c r="G980" s="54"/>
      <c r="H980" s="54"/>
    </row>
    <row r="981">
      <c r="B981" s="54"/>
      <c r="C981" s="54"/>
      <c r="D981" s="54"/>
      <c r="E981" s="54"/>
      <c r="F981" s="54"/>
      <c r="G981" s="54"/>
      <c r="H981" s="54"/>
    </row>
    <row r="982">
      <c r="B982" s="54"/>
      <c r="C982" s="54"/>
      <c r="D982" s="54"/>
      <c r="E982" s="54"/>
      <c r="F982" s="54"/>
      <c r="G982" s="54"/>
      <c r="H982" s="54"/>
    </row>
    <row r="983">
      <c r="B983" s="54"/>
      <c r="C983" s="54"/>
      <c r="D983" s="54"/>
      <c r="E983" s="54"/>
      <c r="F983" s="54"/>
      <c r="G983" s="54"/>
      <c r="H983" s="54"/>
    </row>
    <row r="984">
      <c r="B984" s="54"/>
      <c r="C984" s="54"/>
      <c r="D984" s="54"/>
      <c r="E984" s="54"/>
      <c r="F984" s="54"/>
      <c r="G984" s="54"/>
      <c r="H984" s="54"/>
    </row>
    <row r="985">
      <c r="B985" s="54"/>
      <c r="C985" s="54"/>
      <c r="D985" s="54"/>
      <c r="E985" s="54"/>
      <c r="F985" s="54"/>
      <c r="G985" s="54"/>
      <c r="H985" s="54"/>
    </row>
    <row r="986">
      <c r="B986" s="54"/>
      <c r="C986" s="54"/>
      <c r="D986" s="54"/>
      <c r="E986" s="54"/>
      <c r="F986" s="54"/>
      <c r="G986" s="54"/>
      <c r="H986" s="54"/>
    </row>
    <row r="987">
      <c r="B987" s="54"/>
      <c r="C987" s="54"/>
      <c r="D987" s="54"/>
      <c r="E987" s="54"/>
      <c r="F987" s="54"/>
      <c r="G987" s="54"/>
      <c r="H987" s="54"/>
    </row>
    <row r="988">
      <c r="B988" s="54"/>
      <c r="C988" s="54"/>
      <c r="D988" s="54"/>
      <c r="E988" s="54"/>
      <c r="F988" s="54"/>
      <c r="G988" s="54"/>
      <c r="H988" s="54"/>
    </row>
    <row r="989">
      <c r="B989" s="54"/>
      <c r="C989" s="54"/>
      <c r="D989" s="54"/>
      <c r="E989" s="54"/>
      <c r="F989" s="54"/>
      <c r="G989" s="54"/>
      <c r="H989" s="54"/>
    </row>
    <row r="990">
      <c r="B990" s="54"/>
      <c r="C990" s="54"/>
      <c r="D990" s="54"/>
      <c r="E990" s="54"/>
      <c r="F990" s="54"/>
      <c r="G990" s="54"/>
      <c r="H990" s="54"/>
    </row>
    <row r="991">
      <c r="B991" s="54"/>
      <c r="C991" s="54"/>
      <c r="D991" s="54"/>
      <c r="E991" s="54"/>
      <c r="F991" s="54"/>
      <c r="G991" s="54"/>
      <c r="H991" s="54"/>
    </row>
    <row r="992">
      <c r="B992" s="54"/>
      <c r="C992" s="54"/>
      <c r="D992" s="54"/>
      <c r="E992" s="54"/>
      <c r="F992" s="54"/>
      <c r="G992" s="54"/>
      <c r="H992" s="54"/>
    </row>
    <row r="993">
      <c r="B993" s="54"/>
      <c r="C993" s="54"/>
      <c r="D993" s="54"/>
      <c r="E993" s="54"/>
      <c r="F993" s="54"/>
      <c r="G993" s="54"/>
      <c r="H993" s="54"/>
    </row>
    <row r="994">
      <c r="B994" s="54"/>
      <c r="C994" s="54"/>
      <c r="D994" s="54"/>
      <c r="E994" s="54"/>
      <c r="F994" s="54"/>
      <c r="G994" s="54"/>
      <c r="H994" s="54"/>
    </row>
    <row r="995">
      <c r="B995" s="54"/>
      <c r="C995" s="54"/>
      <c r="D995" s="54"/>
      <c r="E995" s="54"/>
      <c r="F995" s="54"/>
      <c r="G995" s="54"/>
      <c r="H995" s="54"/>
    </row>
    <row r="996">
      <c r="B996" s="54"/>
      <c r="C996" s="54"/>
      <c r="D996" s="54"/>
      <c r="E996" s="54"/>
      <c r="F996" s="54"/>
      <c r="G996" s="54"/>
      <c r="H996" s="54"/>
    </row>
    <row r="997">
      <c r="B997" s="54"/>
      <c r="C997" s="54"/>
      <c r="D997" s="54"/>
      <c r="E997" s="54"/>
      <c r="F997" s="54"/>
      <c r="G997" s="54"/>
      <c r="H997" s="54"/>
    </row>
    <row r="998">
      <c r="B998" s="54"/>
      <c r="C998" s="54"/>
      <c r="D998" s="54"/>
      <c r="E998" s="54"/>
      <c r="F998" s="54"/>
      <c r="G998" s="54"/>
      <c r="H998" s="54"/>
    </row>
    <row r="999">
      <c r="B999" s="54"/>
      <c r="C999" s="54"/>
      <c r="D999" s="54"/>
      <c r="E999" s="54"/>
      <c r="F999" s="54"/>
      <c r="G999" s="54"/>
      <c r="H999" s="54"/>
    </row>
    <row r="1000">
      <c r="B1000" s="54"/>
      <c r="C1000" s="54"/>
      <c r="D1000" s="54"/>
      <c r="E1000" s="54"/>
      <c r="F1000" s="54"/>
      <c r="G1000" s="54"/>
      <c r="H1000" s="5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</v>
      </c>
      <c r="B1" s="23" t="s">
        <v>948</v>
      </c>
    </row>
    <row r="2">
      <c r="A2" s="55" t="s">
        <v>26</v>
      </c>
      <c r="B2" s="55">
        <v>12.0</v>
      </c>
    </row>
    <row r="3">
      <c r="A3" s="55" t="s">
        <v>20</v>
      </c>
      <c r="B3" s="55">
        <v>9.0</v>
      </c>
    </row>
    <row r="4">
      <c r="A4" s="55" t="s">
        <v>104</v>
      </c>
      <c r="B4" s="55">
        <v>8.0</v>
      </c>
    </row>
    <row r="5">
      <c r="A5" s="55" t="s">
        <v>139</v>
      </c>
      <c r="B5" s="55">
        <v>6.0</v>
      </c>
    </row>
    <row r="6">
      <c r="A6" s="55" t="s">
        <v>22</v>
      </c>
      <c r="B6" s="55">
        <v>7.0</v>
      </c>
    </row>
    <row r="7">
      <c r="A7" s="55" t="s">
        <v>96</v>
      </c>
      <c r="B7" s="55">
        <v>6.0</v>
      </c>
    </row>
    <row r="8">
      <c r="A8" s="55" t="s">
        <v>54</v>
      </c>
      <c r="B8" s="55">
        <v>9.0</v>
      </c>
    </row>
    <row r="9">
      <c r="A9" s="55" t="s">
        <v>30</v>
      </c>
      <c r="B9" s="55">
        <v>7.0</v>
      </c>
    </row>
    <row r="10">
      <c r="A10" s="55" t="s">
        <v>9</v>
      </c>
      <c r="B10" s="55">
        <v>8.0</v>
      </c>
    </row>
    <row r="11">
      <c r="A11" s="55" t="s">
        <v>122</v>
      </c>
      <c r="B11" s="55">
        <v>10.0</v>
      </c>
    </row>
    <row r="12">
      <c r="A12" s="55" t="s">
        <v>71</v>
      </c>
      <c r="B12" s="55">
        <v>5.0</v>
      </c>
    </row>
    <row r="13">
      <c r="A13" s="55" t="s">
        <v>28</v>
      </c>
      <c r="B13" s="55">
        <v>11.0</v>
      </c>
    </row>
    <row r="14">
      <c r="A14" s="55" t="s">
        <v>18</v>
      </c>
      <c r="B14" s="55">
        <v>10.0</v>
      </c>
    </row>
    <row r="15">
      <c r="A15" s="55" t="s">
        <v>48</v>
      </c>
      <c r="B15" s="55">
        <v>6.0</v>
      </c>
    </row>
    <row r="16">
      <c r="A16" s="55" t="s">
        <v>91</v>
      </c>
      <c r="B16" s="55">
        <v>10.0</v>
      </c>
    </row>
    <row r="17">
      <c r="A17" s="55" t="s">
        <v>11</v>
      </c>
      <c r="B17" s="55">
        <v>12.0</v>
      </c>
    </row>
    <row r="18">
      <c r="A18" s="55" t="s">
        <v>43</v>
      </c>
      <c r="B18" s="55">
        <v>12.0</v>
      </c>
    </row>
    <row r="19">
      <c r="A19" s="55" t="s">
        <v>24</v>
      </c>
      <c r="B19" s="55">
        <v>9.0</v>
      </c>
    </row>
    <row r="20">
      <c r="A20" s="55" t="s">
        <v>163</v>
      </c>
      <c r="B20" s="55">
        <v>5.0</v>
      </c>
    </row>
    <row r="21">
      <c r="A21" s="55" t="s">
        <v>62</v>
      </c>
      <c r="B21" s="55">
        <v>12.0</v>
      </c>
    </row>
    <row r="22">
      <c r="A22" s="55" t="s">
        <v>46</v>
      </c>
      <c r="B22" s="55">
        <v>10.0</v>
      </c>
    </row>
    <row r="23">
      <c r="A23" s="55" t="s">
        <v>16</v>
      </c>
      <c r="B23" s="55">
        <v>9.0</v>
      </c>
    </row>
    <row r="24">
      <c r="A24" s="55" t="s">
        <v>6</v>
      </c>
      <c r="B24" s="55">
        <v>11.0</v>
      </c>
    </row>
    <row r="25">
      <c r="A25" s="55" t="s">
        <v>52</v>
      </c>
      <c r="B25" s="55">
        <v>4.0</v>
      </c>
    </row>
    <row r="26">
      <c r="A26" s="55" t="s">
        <v>41</v>
      </c>
      <c r="B26" s="55">
        <v>6.0</v>
      </c>
    </row>
    <row r="27">
      <c r="A27" s="55" t="s">
        <v>59</v>
      </c>
      <c r="B27" s="55">
        <v>10.0</v>
      </c>
    </row>
    <row r="28">
      <c r="A28" s="55" t="s">
        <v>35</v>
      </c>
      <c r="B28" s="55">
        <v>7.0</v>
      </c>
    </row>
    <row r="29">
      <c r="A29" s="55" t="s">
        <v>69</v>
      </c>
      <c r="B29" s="55">
        <v>11.0</v>
      </c>
    </row>
    <row r="30">
      <c r="A30" s="55" t="s">
        <v>33</v>
      </c>
      <c r="B30" s="55">
        <v>4.0</v>
      </c>
    </row>
    <row r="31">
      <c r="A31" s="55" t="s">
        <v>37</v>
      </c>
      <c r="B31" s="55">
        <v>7.0</v>
      </c>
    </row>
    <row r="32">
      <c r="A32" s="55" t="s">
        <v>50</v>
      </c>
      <c r="B32" s="55">
        <v>11.0</v>
      </c>
    </row>
    <row r="33">
      <c r="A33" s="55" t="s">
        <v>165</v>
      </c>
      <c r="B33" s="55">
        <v>10.0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1</v>
      </c>
      <c r="B1" s="56" t="s">
        <v>979</v>
      </c>
      <c r="C1" s="57" t="s">
        <v>4</v>
      </c>
    </row>
    <row r="2">
      <c r="A2" s="58" t="s">
        <v>304</v>
      </c>
      <c r="B2" s="59" t="s">
        <v>7</v>
      </c>
      <c r="C2" s="60">
        <v>14.0</v>
      </c>
    </row>
    <row r="3">
      <c r="A3" s="58" t="s">
        <v>75</v>
      </c>
      <c r="B3" s="59" t="s">
        <v>12</v>
      </c>
      <c r="C3" s="60">
        <v>18.0</v>
      </c>
    </row>
    <row r="4">
      <c r="A4" s="58" t="s">
        <v>68</v>
      </c>
      <c r="B4" s="59" t="s">
        <v>14</v>
      </c>
      <c r="C4" s="60">
        <v>14.0</v>
      </c>
    </row>
    <row r="5">
      <c r="A5" s="61" t="s">
        <v>212</v>
      </c>
      <c r="B5" s="59" t="s">
        <v>39</v>
      </c>
      <c r="C5" s="60">
        <v>12.0</v>
      </c>
    </row>
    <row r="6">
      <c r="A6" s="58" t="s">
        <v>56</v>
      </c>
      <c r="B6" s="59" t="s">
        <v>7</v>
      </c>
      <c r="C6" s="60">
        <v>14.0</v>
      </c>
    </row>
    <row r="7">
      <c r="A7" s="58" t="s">
        <v>81</v>
      </c>
      <c r="B7" s="59" t="s">
        <v>14</v>
      </c>
      <c r="C7" s="60">
        <v>12.0</v>
      </c>
    </row>
    <row r="8">
      <c r="A8" s="58" t="s">
        <v>60</v>
      </c>
      <c r="B8" s="59" t="s">
        <v>39</v>
      </c>
      <c r="C8" s="60">
        <v>16.0</v>
      </c>
    </row>
    <row r="9">
      <c r="A9" s="58" t="s">
        <v>72</v>
      </c>
      <c r="B9" s="59" t="s">
        <v>14</v>
      </c>
      <c r="C9" s="60">
        <v>26.0</v>
      </c>
    </row>
    <row r="10">
      <c r="A10" s="58" t="s">
        <v>23</v>
      </c>
      <c r="B10" s="59" t="s">
        <v>7</v>
      </c>
      <c r="C10" s="60">
        <v>52.0</v>
      </c>
    </row>
    <row r="11">
      <c r="A11" s="62" t="s">
        <v>31</v>
      </c>
      <c r="B11" s="59" t="s">
        <v>14</v>
      </c>
      <c r="C11" s="60">
        <v>36.0</v>
      </c>
    </row>
    <row r="12">
      <c r="A12" s="62" t="s">
        <v>32</v>
      </c>
      <c r="B12" s="63" t="s">
        <v>12</v>
      </c>
      <c r="C12" s="60">
        <v>16.0</v>
      </c>
    </row>
    <row r="13">
      <c r="A13" s="62" t="s">
        <v>61</v>
      </c>
      <c r="B13" s="63" t="s">
        <v>14</v>
      </c>
      <c r="C13" s="60">
        <v>26.0</v>
      </c>
    </row>
    <row r="14">
      <c r="A14" s="62" t="s">
        <v>73</v>
      </c>
      <c r="B14" s="63" t="s">
        <v>39</v>
      </c>
      <c r="C14" s="60">
        <v>14.0</v>
      </c>
    </row>
    <row r="15">
      <c r="A15" s="62" t="s">
        <v>25</v>
      </c>
      <c r="B15" s="63" t="s">
        <v>7</v>
      </c>
      <c r="C15" s="60">
        <v>44.0</v>
      </c>
    </row>
    <row r="16">
      <c r="A16" s="62" t="s">
        <v>55</v>
      </c>
      <c r="B16" s="63" t="s">
        <v>14</v>
      </c>
      <c r="C16" s="60">
        <v>34.0</v>
      </c>
    </row>
    <row r="17">
      <c r="A17" s="62" t="s">
        <v>13</v>
      </c>
      <c r="B17" s="63" t="s">
        <v>14</v>
      </c>
      <c r="C17" s="60">
        <v>40.0</v>
      </c>
    </row>
    <row r="18">
      <c r="A18" s="62" t="s">
        <v>15</v>
      </c>
      <c r="B18" s="63" t="s">
        <v>7</v>
      </c>
      <c r="C18" s="60">
        <v>24.0</v>
      </c>
    </row>
    <row r="19">
      <c r="A19" s="62" t="s">
        <v>115</v>
      </c>
      <c r="B19" s="63" t="s">
        <v>39</v>
      </c>
      <c r="C19" s="60">
        <v>12.0</v>
      </c>
    </row>
    <row r="20">
      <c r="A20" s="62" t="s">
        <v>66</v>
      </c>
      <c r="B20" s="63" t="s">
        <v>14</v>
      </c>
      <c r="C20" s="60">
        <v>14.0</v>
      </c>
    </row>
    <row r="21">
      <c r="A21" s="62" t="s">
        <v>8</v>
      </c>
      <c r="B21" s="63" t="s">
        <v>7</v>
      </c>
      <c r="C21" s="60">
        <v>54.0</v>
      </c>
    </row>
    <row r="22">
      <c r="A22" s="62" t="s">
        <v>21</v>
      </c>
      <c r="B22" s="63" t="s">
        <v>7</v>
      </c>
      <c r="C22" s="60">
        <v>44.0</v>
      </c>
    </row>
    <row r="23">
      <c r="A23" s="62" t="s">
        <v>89</v>
      </c>
      <c r="B23" s="63" t="s">
        <v>14</v>
      </c>
      <c r="C23" s="60">
        <v>12.0</v>
      </c>
    </row>
    <row r="24">
      <c r="A24" s="62" t="s">
        <v>10</v>
      </c>
      <c r="B24" s="63" t="s">
        <v>12</v>
      </c>
      <c r="C24" s="60">
        <v>36.0</v>
      </c>
    </row>
    <row r="25">
      <c r="A25" s="62" t="s">
        <v>27</v>
      </c>
      <c r="B25" s="63" t="s">
        <v>14</v>
      </c>
      <c r="C25" s="60">
        <v>50.0</v>
      </c>
    </row>
    <row r="26">
      <c r="A26" s="62" t="s">
        <v>100</v>
      </c>
      <c r="B26" s="63" t="s">
        <v>7</v>
      </c>
      <c r="C26" s="60">
        <v>20.0</v>
      </c>
    </row>
    <row r="27">
      <c r="A27" s="62" t="s">
        <v>17</v>
      </c>
      <c r="B27" s="63" t="s">
        <v>14</v>
      </c>
      <c r="C27" s="60">
        <v>50.0</v>
      </c>
    </row>
    <row r="28">
      <c r="A28" s="62" t="s">
        <v>38</v>
      </c>
      <c r="B28" s="63" t="s">
        <v>39</v>
      </c>
      <c r="C28" s="60">
        <v>18.0</v>
      </c>
    </row>
    <row r="29">
      <c r="A29" s="62" t="s">
        <v>63</v>
      </c>
      <c r="B29" s="63" t="s">
        <v>7</v>
      </c>
      <c r="C29" s="60">
        <v>16.0</v>
      </c>
    </row>
  </sheetData>
  <drawing r:id="rId1"/>
</worksheet>
</file>