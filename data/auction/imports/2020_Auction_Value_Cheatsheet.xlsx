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FantasyPro" sheetId="2" r:id="rId5"/>
    <sheet state="visible" name="Ultimate Draft Kit" sheetId="3" r:id="rId6"/>
    <sheet state="visible" name="FFToolbox" sheetId="4" r:id="rId7"/>
    <sheet state="visible" name="Masterview" sheetId="5" r:id="rId8"/>
    <sheet state="visible" name="Players We Want" sheetId="6" r:id="rId9"/>
    <sheet state="visible" name="Team Bye List" sheetId="7" r:id="rId10"/>
    <sheet state="visible" name="Keepers" sheetId="8" r:id="rId11"/>
    <sheet state="visible" name="Player Name" sheetId="9" r:id="rId12"/>
  </sheets>
  <definedNames>
    <definedName hidden="1" localSheetId="0" name="_xlnm._FilterDatabase">ESPN!$A$1:$E$1031</definedName>
    <definedName hidden="1" localSheetId="1" name="_xlnm._FilterDatabase">FantasyPro!$A$1:$E$514</definedName>
    <definedName hidden="1" localSheetId="2" name="_xlnm._FilterDatabase">'Ultimate Draft Kit'!$A$1:$E$201</definedName>
    <definedName hidden="1" localSheetId="3" name="_xlnm._FilterDatabase">FFToolbox!$A$1:$E$475</definedName>
    <definedName hidden="1" localSheetId="4" name="_xlnm._FilterDatabase">Masterview!$A$1:$K$1010</definedName>
    <definedName hidden="1" localSheetId="6" name="_xlnm._FilterDatabase">'Team Bye List'!$A$1:$B$33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tc={48b03f20-9e40-4b39-8a6f-8dfdfcb6329e}</author>
  </authors>
  <commentList>
    <comment authorId="0" xr:uid="{48b03f20-9e40-4b39-8a6f-8dfdfcb6329e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need your help dong a vlookup to have this cell look at the player name tab and pull in the team abbrev based on the name. @jeffhudge@gmail.com
Assigned to jeffhudge@gmail.com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tc={786ddcd9-b5f7-4575-a255-0a77412ce5ce}</author>
    <author>tc={eb61f83a-9e5c-4919-a331-799aef5361bf}</author>
  </authors>
  <commentList>
    <comment authorId="0" xr:uid="{786ddcd9-b5f7-4575-a255-0a77412ce5ce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@jeffhudge@gmail.com I already need your help. I imported the first set of players to tab 1 and somehow that jacked up the formula(s). When you get some spare time take a peek.
Assigned to jeffhudge@gmail.com
</t>
      </text>
    </comment>
    <comment authorId="1" xr:uid="{eb61f83a-9e5c-4919-a331-799aef5361bf}" ref="G8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@jeffhudge@gmail.com could you help fix this error?
</t>
      </text>
    </comment>
  </commentList>
</comments>
</file>

<file path=xl/sharedStrings.xml><?xml version="1.0" encoding="utf-8"?>
<sst xmlns="http://schemas.openxmlformats.org/spreadsheetml/2006/main" count="13548" uniqueCount="1129">
  <si>
    <t>Rank</t>
  </si>
  <si>
    <t>Name</t>
  </si>
  <si>
    <t>Team</t>
  </si>
  <si>
    <t>Position</t>
  </si>
  <si>
    <t>Value</t>
  </si>
  <si>
    <t>Christian McCaffrey</t>
  </si>
  <si>
    <t>CAR</t>
  </si>
  <si>
    <t>RB</t>
  </si>
  <si>
    <t>Patrick Mahomes</t>
  </si>
  <si>
    <t>KC</t>
  </si>
  <si>
    <t>QB</t>
  </si>
  <si>
    <t>Lamar Jackson</t>
  </si>
  <si>
    <t>BAL</t>
  </si>
  <si>
    <t>Ezekiel Elliott</t>
  </si>
  <si>
    <t>DAL</t>
  </si>
  <si>
    <t>Travis Kelce</t>
  </si>
  <si>
    <t>TE</t>
  </si>
  <si>
    <t>Josh Jacobs</t>
  </si>
  <si>
    <t>LV</t>
  </si>
  <si>
    <t>Deshaun Watson</t>
  </si>
  <si>
    <t>HOU</t>
  </si>
  <si>
    <t>Dalvin Cook</t>
  </si>
  <si>
    <t>MIN</t>
  </si>
  <si>
    <t>Michael Thomas</t>
  </si>
  <si>
    <t>NO</t>
  </si>
  <si>
    <t>WR</t>
  </si>
  <si>
    <t>George Kittle</t>
  </si>
  <si>
    <t>SF</t>
  </si>
  <si>
    <t>Saquon Barkley</t>
  </si>
  <si>
    <t>NYG</t>
  </si>
  <si>
    <t>Tyreek Hill</t>
  </si>
  <si>
    <t>Miles Sanders</t>
  </si>
  <si>
    <t>PHI</t>
  </si>
  <si>
    <t>Derrick Henry</t>
  </si>
  <si>
    <t>TEN</t>
  </si>
  <si>
    <t>Clyde Edwards-Helaire</t>
  </si>
  <si>
    <t>Alvin Kamara</t>
  </si>
  <si>
    <t>Mike Evans</t>
  </si>
  <si>
    <t>TB</t>
  </si>
  <si>
    <t>Russell Wilson</t>
  </si>
  <si>
    <t>SEA</t>
  </si>
  <si>
    <t>Chris Carson</t>
  </si>
  <si>
    <t>Mark Andrews</t>
  </si>
  <si>
    <t>Julio Jones</t>
  </si>
  <si>
    <t>ATL</t>
  </si>
  <si>
    <t>Dak Prescott</t>
  </si>
  <si>
    <t>Chris Godwin</t>
  </si>
  <si>
    <t>Josh Allen</t>
  </si>
  <si>
    <t>BUF</t>
  </si>
  <si>
    <t>Darren Waller</t>
  </si>
  <si>
    <t>Zach Ertz</t>
  </si>
  <si>
    <t>DeAndre Hopkins</t>
  </si>
  <si>
    <t>ARZ</t>
  </si>
  <si>
    <t>Nick Chubb</t>
  </si>
  <si>
    <t>CLE</t>
  </si>
  <si>
    <t>Davante Adams</t>
  </si>
  <si>
    <t>GB</t>
  </si>
  <si>
    <t>Adam Thielen</t>
  </si>
  <si>
    <t>JuJu Smith-Schuster</t>
  </si>
  <si>
    <t>PIT</t>
  </si>
  <si>
    <t>Joe Mixon</t>
  </si>
  <si>
    <t>CIN</t>
  </si>
  <si>
    <t>Courtland Sutton</t>
  </si>
  <si>
    <t>DEN</t>
  </si>
  <si>
    <t>Tyler Lockett</t>
  </si>
  <si>
    <t>Aaron Jones</t>
  </si>
  <si>
    <t>Amari Cooper</t>
  </si>
  <si>
    <t>David Johnson</t>
  </si>
  <si>
    <t>Kenny Golladay</t>
  </si>
  <si>
    <t>DET</t>
  </si>
  <si>
    <t>Tom Brady</t>
  </si>
  <si>
    <t>DJ Moore</t>
  </si>
  <si>
    <t>Carson Wentz</t>
  </si>
  <si>
    <t>T.Y. Hilton</t>
  </si>
  <si>
    <t>IND</t>
  </si>
  <si>
    <t>DK Metcalf</t>
  </si>
  <si>
    <t>Allen Robinson</t>
  </si>
  <si>
    <t>CHI</t>
  </si>
  <si>
    <t>Ben Roethlisberger</t>
  </si>
  <si>
    <t>A.J. Brown</t>
  </si>
  <si>
    <t>Calvin Ridley</t>
  </si>
  <si>
    <t>Matt Ryan</t>
  </si>
  <si>
    <t>Todd Gurley II</t>
  </si>
  <si>
    <t>Odell Beckham Jr.</t>
  </si>
  <si>
    <t>Jonathan Taylor</t>
  </si>
  <si>
    <t>Cam Newton</t>
  </si>
  <si>
    <t>NE</t>
  </si>
  <si>
    <t>Kyler Murray</t>
  </si>
  <si>
    <t>Kenyan Drake</t>
  </si>
  <si>
    <t>Robert Woods</t>
  </si>
  <si>
    <t>LA</t>
  </si>
  <si>
    <t>Terry McLaurin</t>
  </si>
  <si>
    <t>WAS</t>
  </si>
  <si>
    <t>Michael Gallup</t>
  </si>
  <si>
    <t>Jared Cook</t>
  </si>
  <si>
    <t>Austin Ekeler</t>
  </si>
  <si>
    <t>LAC</t>
  </si>
  <si>
    <t>Cooper Kupp</t>
  </si>
  <si>
    <t>Jarvis Landry</t>
  </si>
  <si>
    <t>Drew Brees</t>
  </si>
  <si>
    <t>Derek Carr</t>
  </si>
  <si>
    <t>DeVante Parker</t>
  </si>
  <si>
    <t>MIA</t>
  </si>
  <si>
    <t>DJ Chark</t>
  </si>
  <si>
    <t>JAC</t>
  </si>
  <si>
    <t>Evan Engram</t>
  </si>
  <si>
    <t>Stefon Diggs</t>
  </si>
  <si>
    <t>Tyler Higbee</t>
  </si>
  <si>
    <t>Marquise Brown</t>
  </si>
  <si>
    <t>Brandin Cooks</t>
  </si>
  <si>
    <t>Keenan Allen</t>
  </si>
  <si>
    <t>Marvin Jones Jr.</t>
  </si>
  <si>
    <t>James Conner</t>
  </si>
  <si>
    <t>Julian Edelman</t>
  </si>
  <si>
    <t>Rob Gronkowski</t>
  </si>
  <si>
    <t>Noah Fant</t>
  </si>
  <si>
    <t>Raheem Mostert</t>
  </si>
  <si>
    <t>Melvin Gordon</t>
  </si>
  <si>
    <t>Leonard Fournette</t>
  </si>
  <si>
    <t>Hayden Hurst</t>
  </si>
  <si>
    <t>Hunter Henry</t>
  </si>
  <si>
    <t>Diontae Johnson</t>
  </si>
  <si>
    <t>Devin Singletary</t>
  </si>
  <si>
    <t>A.J. Green</t>
  </si>
  <si>
    <t>Will Fuller V</t>
  </si>
  <si>
    <t>Jack Doyle</t>
  </si>
  <si>
    <t>Robby Anderson</t>
  </si>
  <si>
    <t>Aaron Rodgers</t>
  </si>
  <si>
    <t>Curtis Samuel</t>
  </si>
  <si>
    <t>Mike Gesicki</t>
  </si>
  <si>
    <t>T.J. Hockenson</t>
  </si>
  <si>
    <t>Sterling Shepard</t>
  </si>
  <si>
    <t>Tyrod Taylor</t>
  </si>
  <si>
    <t>Le'Veon Bell</t>
  </si>
  <si>
    <t>NYJ</t>
  </si>
  <si>
    <t>John Brown</t>
  </si>
  <si>
    <t>Eric Ebron</t>
  </si>
  <si>
    <t>Tyler Boyd</t>
  </si>
  <si>
    <t>Emmanuel Sanders</t>
  </si>
  <si>
    <t>Jimmy Garoppolo</t>
  </si>
  <si>
    <t>Mecole Hardman</t>
  </si>
  <si>
    <t>Austin Hooper</t>
  </si>
  <si>
    <t>David Montgomery</t>
  </si>
  <si>
    <t>Henry Ruggs III</t>
  </si>
  <si>
    <t>DeSean Jackson</t>
  </si>
  <si>
    <t>Matthew Stafford</t>
  </si>
  <si>
    <t>Preston Williams</t>
  </si>
  <si>
    <t>Chris Herndon</t>
  </si>
  <si>
    <t>Christian Kirk</t>
  </si>
  <si>
    <t>Philip Rivers</t>
  </si>
  <si>
    <t>Ronald Jones</t>
  </si>
  <si>
    <t>Jamison Crowder</t>
  </si>
  <si>
    <t>Mark Ingram II</t>
  </si>
  <si>
    <t>D'Andre Swift</t>
  </si>
  <si>
    <t>Mike Williams</t>
  </si>
  <si>
    <t>Golden Tate</t>
  </si>
  <si>
    <t>Darius Slayton</t>
  </si>
  <si>
    <t>Breshad Perriman</t>
  </si>
  <si>
    <t>Dallas Goedert</t>
  </si>
  <si>
    <t>Teddy Bridgewater</t>
  </si>
  <si>
    <t>Blake Jarwin</t>
  </si>
  <si>
    <t>Jimmy Graham</t>
  </si>
  <si>
    <t>Jonnu Smith</t>
  </si>
  <si>
    <t>Jerry Jeudy</t>
  </si>
  <si>
    <t>Cam Akers</t>
  </si>
  <si>
    <t>Buffalo Bills</t>
  </si>
  <si>
    <t>DST</t>
  </si>
  <si>
    <t>Philadelphia Eagles</t>
  </si>
  <si>
    <t>Wil Lutz</t>
  </si>
  <si>
    <t>K</t>
  </si>
  <si>
    <t>Harrison Butker</t>
  </si>
  <si>
    <t>Pittsburgh Steelers</t>
  </si>
  <si>
    <t>Justin Tucker</t>
  </si>
  <si>
    <t>Indianapolis Colts</t>
  </si>
  <si>
    <t>San Francisco 49ers</t>
  </si>
  <si>
    <t>New England Patriots</t>
  </si>
  <si>
    <t>Los Angeles Chargers</t>
  </si>
  <si>
    <t>Denver Broncos</t>
  </si>
  <si>
    <t>Irv Smith Jr.</t>
  </si>
  <si>
    <t>Baltimore Ravens</t>
  </si>
  <si>
    <t>Kirk Cousins</t>
  </si>
  <si>
    <t>Ryan Fitzpatrick</t>
  </si>
  <si>
    <t>Jared Goff</t>
  </si>
  <si>
    <t>Matt Prater</t>
  </si>
  <si>
    <t>Younghoe Koo</t>
  </si>
  <si>
    <t>Tyler Bass</t>
  </si>
  <si>
    <t>Robbie Gould</t>
  </si>
  <si>
    <t>Sam Sloman</t>
  </si>
  <si>
    <t>Chris Boswell</t>
  </si>
  <si>
    <t>Chase McLaughlin</t>
  </si>
  <si>
    <t>Brandon McManus</t>
  </si>
  <si>
    <t>Dan Bailey</t>
  </si>
  <si>
    <t>Jake Elliott</t>
  </si>
  <si>
    <t>Matt Gay</t>
  </si>
  <si>
    <t>Austin Seibert</t>
  </si>
  <si>
    <t>Justin Rohrwasser</t>
  </si>
  <si>
    <t>Greg Zuerlein</t>
  </si>
  <si>
    <t>Joey Slye</t>
  </si>
  <si>
    <t>Ka'imi Fairbairn</t>
  </si>
  <si>
    <t>Josh Lambo</t>
  </si>
  <si>
    <t>Zane Gonzalez</t>
  </si>
  <si>
    <t>Cincinnati Bengals</t>
  </si>
  <si>
    <t>Jason Myers</t>
  </si>
  <si>
    <t>Graham Gano</t>
  </si>
  <si>
    <t>Daniel Carlson</t>
  </si>
  <si>
    <t>Mason Crosby</t>
  </si>
  <si>
    <t>Detroit Lions</t>
  </si>
  <si>
    <t>Mike Badgley</t>
  </si>
  <si>
    <t>Dustin Hopkins</t>
  </si>
  <si>
    <t>Randy Bullock</t>
  </si>
  <si>
    <t>Minnesota Vikings</t>
  </si>
  <si>
    <t>Greg Joseph</t>
  </si>
  <si>
    <t>Tennessee Titans</t>
  </si>
  <si>
    <t>Chicago Bears</t>
  </si>
  <si>
    <t>Las Vegas Raiders</t>
  </si>
  <si>
    <t>OAK</t>
  </si>
  <si>
    <t>Miami Dolphins</t>
  </si>
  <si>
    <t>Kansas City Chiefs</t>
  </si>
  <si>
    <t>Dallas Cowboys</t>
  </si>
  <si>
    <t>CeeDee Lamb</t>
  </si>
  <si>
    <t>Seattle Seahawks</t>
  </si>
  <si>
    <t>Jalen Reagor</t>
  </si>
  <si>
    <t>Brandon Aiyuk</t>
  </si>
  <si>
    <t>New York Jets</t>
  </si>
  <si>
    <t>Green Bay Packers</t>
  </si>
  <si>
    <t>Arizona Cardinals</t>
  </si>
  <si>
    <t>New Orleans Saints</t>
  </si>
  <si>
    <t>Jacksonville Jaguars</t>
  </si>
  <si>
    <t>Atlanta Falcons</t>
  </si>
  <si>
    <t>Tampa Bay Buccaneers</t>
  </si>
  <si>
    <t>Washington Football Team</t>
  </si>
  <si>
    <t>Carolina Panthers</t>
  </si>
  <si>
    <t>Los Angeles Rams</t>
  </si>
  <si>
    <t>LAR</t>
  </si>
  <si>
    <t>Cleveland Browns</t>
  </si>
  <si>
    <t>New York Giants</t>
  </si>
  <si>
    <t>Houston Texans</t>
  </si>
  <si>
    <t>Justin Jefferson</t>
  </si>
  <si>
    <t>Jason Sanders</t>
  </si>
  <si>
    <t>Eddy Pineiro</t>
  </si>
  <si>
    <t>Will Dissly</t>
  </si>
  <si>
    <t>Sam Ficken</t>
  </si>
  <si>
    <t>Tyler Eifert</t>
  </si>
  <si>
    <t>Dawson Knox</t>
  </si>
  <si>
    <t>Sammy Watkins</t>
  </si>
  <si>
    <t>N'Keal Harry</t>
  </si>
  <si>
    <t>Gardner Minshew</t>
  </si>
  <si>
    <t>Jace Sternberger</t>
  </si>
  <si>
    <t>Daniel Jones</t>
  </si>
  <si>
    <t>Marlon Mack</t>
  </si>
  <si>
    <t>Parris Campbell</t>
  </si>
  <si>
    <t>Anthony Miller</t>
  </si>
  <si>
    <t>Drew Lock</t>
  </si>
  <si>
    <t>Phillip Lindsay</t>
  </si>
  <si>
    <t>Kyle Rudolph</t>
  </si>
  <si>
    <t>Ian Thomas</t>
  </si>
  <si>
    <t>Ryan Succop</t>
  </si>
  <si>
    <t>FA</t>
  </si>
  <si>
    <t>Stephen Hauschka</t>
  </si>
  <si>
    <t>Adam Vinatieri</t>
  </si>
  <si>
    <t>Phil Dawson</t>
  </si>
  <si>
    <t>Sebastian Janikowski</t>
  </si>
  <si>
    <t>Nick Folk</t>
  </si>
  <si>
    <t>Stephen Gostkowski</t>
  </si>
  <si>
    <t>Mike Nugent</t>
  </si>
  <si>
    <t>Matt Bryant</t>
  </si>
  <si>
    <t>Chandler Catanzaro</t>
  </si>
  <si>
    <t>Caleb Sturgis</t>
  </si>
  <si>
    <t>Brett Maher</t>
  </si>
  <si>
    <t>Giorgio Tavecchio</t>
  </si>
  <si>
    <t>Kai Forbath</t>
  </si>
  <si>
    <t>Ryan Santoso</t>
  </si>
  <si>
    <t>Cairo Santos</t>
  </si>
  <si>
    <t>Cody Parkey</t>
  </si>
  <si>
    <t>Matt McCrane</t>
  </si>
  <si>
    <t>Kaare Vedvik</t>
  </si>
  <si>
    <t>Aldrick Rosas</t>
  </si>
  <si>
    <t>Zack Moss</t>
  </si>
  <si>
    <t>Kerryon Johnson</t>
  </si>
  <si>
    <t>Randall Cobb</t>
  </si>
  <si>
    <t>Darren Fells</t>
  </si>
  <si>
    <t>Greg Olsen</t>
  </si>
  <si>
    <t>Cole Beasley</t>
  </si>
  <si>
    <t>Allen Lazard</t>
  </si>
  <si>
    <t>Nick Foles</t>
  </si>
  <si>
    <t>Larry Fitzgerald</t>
  </si>
  <si>
    <t>Baker Mayfield</t>
  </si>
  <si>
    <t>Tevin Coleman</t>
  </si>
  <si>
    <t>Dan Arnold</t>
  </si>
  <si>
    <t>Ryan Tannehill</t>
  </si>
  <si>
    <t>Dwayne Haskins</t>
  </si>
  <si>
    <t>Steven Sims Jr.</t>
  </si>
  <si>
    <t>Kareem Hunt</t>
  </si>
  <si>
    <t>Jordan Howard</t>
  </si>
  <si>
    <t>Michael Pittman Jr.</t>
  </si>
  <si>
    <t>Russell Gage</t>
  </si>
  <si>
    <t>Nick Boyle</t>
  </si>
  <si>
    <t>Joe Burrow</t>
  </si>
  <si>
    <t>C.J. Uzomah</t>
  </si>
  <si>
    <t>Corey Davis</t>
  </si>
  <si>
    <t>Dede Westbrook</t>
  </si>
  <si>
    <t>J.K. Dobbins</t>
  </si>
  <si>
    <t>Mohamed Sanu</t>
  </si>
  <si>
    <t>James Washington</t>
  </si>
  <si>
    <t>Gerald Everett</t>
  </si>
  <si>
    <t>Kendrick Bourne</t>
  </si>
  <si>
    <t>Chris Conley</t>
  </si>
  <si>
    <t>Denzel Mims</t>
  </si>
  <si>
    <t>Trent Taylor</t>
  </si>
  <si>
    <t>O.J. Howard</t>
  </si>
  <si>
    <t>Logan Thomas</t>
  </si>
  <si>
    <t>Tyrell Williams</t>
  </si>
  <si>
    <t>James White</t>
  </si>
  <si>
    <t>Danny Amendola</t>
  </si>
  <si>
    <t>Devin Asiasi</t>
  </si>
  <si>
    <t>Jakeem Grant</t>
  </si>
  <si>
    <t>Jordan Akins</t>
  </si>
  <si>
    <t>Josh Reynolds</t>
  </si>
  <si>
    <t>David Njoku</t>
  </si>
  <si>
    <t>Vance McDonald</t>
  </si>
  <si>
    <t>Jordan Reed</t>
  </si>
  <si>
    <t>Hunter Renfrow</t>
  </si>
  <si>
    <t>Latavius Murray</t>
  </si>
  <si>
    <t>Tarik Cohen</t>
  </si>
  <si>
    <t>Anthony Firkser</t>
  </si>
  <si>
    <t>Chase Claypool</t>
  </si>
  <si>
    <t>Darrell Henderson</t>
  </si>
  <si>
    <t>Trey Burton</t>
  </si>
  <si>
    <t>Justin Jackson</t>
  </si>
  <si>
    <t>Boston Scott</t>
  </si>
  <si>
    <t>Phillip Dorsett</t>
  </si>
  <si>
    <t>Adrian Peterson</t>
  </si>
  <si>
    <t>Antonio Gandy-Golden</t>
  </si>
  <si>
    <t>Sam Darnold</t>
  </si>
  <si>
    <t>Jeremy Sprinkle</t>
  </si>
  <si>
    <t>Damien Harris</t>
  </si>
  <si>
    <t>Matt Breida</t>
  </si>
  <si>
    <t>Adam Humphries</t>
  </si>
  <si>
    <t>Dalton Schultz</t>
  </si>
  <si>
    <t>Cole Kmet</t>
  </si>
  <si>
    <t>James O'Shaughnessy</t>
  </si>
  <si>
    <t>Duke Johnson Jr.</t>
  </si>
  <si>
    <t>Ted Ginn Jr.</t>
  </si>
  <si>
    <t>Kenny Stills</t>
  </si>
  <si>
    <t>Bryan Edwards</t>
  </si>
  <si>
    <t>Dontrelle Inman</t>
  </si>
  <si>
    <t>Jesse James</t>
  </si>
  <si>
    <t>Josh Hill</t>
  </si>
  <si>
    <t>Tee Higgins</t>
  </si>
  <si>
    <t>Jake Kumerow</t>
  </si>
  <si>
    <t>Jason Witten</t>
  </si>
  <si>
    <t>Scott Miller</t>
  </si>
  <si>
    <t>Nyheim Hines</t>
  </si>
  <si>
    <t>Marcedes Lewis</t>
  </si>
  <si>
    <t>Cameron Brate</t>
  </si>
  <si>
    <t>Alexander Mattison</t>
  </si>
  <si>
    <t>Ricky Seals-Jones</t>
  </si>
  <si>
    <t>Kaden Smith</t>
  </si>
  <si>
    <t>Drew Sample</t>
  </si>
  <si>
    <t>Antonio Gibson</t>
  </si>
  <si>
    <t>Miles Boykin</t>
  </si>
  <si>
    <t>Ryan Griffin</t>
  </si>
  <si>
    <t>Virgil Green</t>
  </si>
  <si>
    <t>Luke Stocker</t>
  </si>
  <si>
    <t>Blake Bell</t>
  </si>
  <si>
    <t>Demetrius Harris</t>
  </si>
  <si>
    <t>Kahale Warring</t>
  </si>
  <si>
    <t>Laviska Shenault Jr.</t>
  </si>
  <si>
    <t>DaeSean Hamilton</t>
  </si>
  <si>
    <t>Maxx Williams</t>
  </si>
  <si>
    <t>Tyler Kroft</t>
  </si>
  <si>
    <t>Carlos Hyde</t>
  </si>
  <si>
    <t>Dalton Keene</t>
  </si>
  <si>
    <t>Willie Snead IV</t>
  </si>
  <si>
    <t>Josiah Deguara</t>
  </si>
  <si>
    <t>MyCole Pruitt</t>
  </si>
  <si>
    <t>JJ Arcega-Whiteside</t>
  </si>
  <si>
    <t>Mo Alie-Cox</t>
  </si>
  <si>
    <t>Jaeden Graham</t>
  </si>
  <si>
    <t>John Ross</t>
  </si>
  <si>
    <t>Chris Manhertz</t>
  </si>
  <si>
    <t>Ryan Izzo</t>
  </si>
  <si>
    <t>Derek Carrier</t>
  </si>
  <si>
    <t>Sony Michel</t>
  </si>
  <si>
    <t>David Moore</t>
  </si>
  <si>
    <t>Tony Pollard</t>
  </si>
  <si>
    <t>Tyler Conklin</t>
  </si>
  <si>
    <t>Richard Rodgers</t>
  </si>
  <si>
    <t>Jakobi Meyers</t>
  </si>
  <si>
    <t>LeSean McCoy</t>
  </si>
  <si>
    <t>Harrison Bryant</t>
  </si>
  <si>
    <t>Jacob Hollister</t>
  </si>
  <si>
    <t>Durham Smythe</t>
  </si>
  <si>
    <t>Andrew Beck</t>
  </si>
  <si>
    <t>Nick Vannett</t>
  </si>
  <si>
    <t>Zach Gentry</t>
  </si>
  <si>
    <t>Jerick McKinnon</t>
  </si>
  <si>
    <t>Deon Yelder</t>
  </si>
  <si>
    <t>Jordan Thomas</t>
  </si>
  <si>
    <t>Devin Duvernay</t>
  </si>
  <si>
    <t>Adam Trautman</t>
  </si>
  <si>
    <t>Levine Toilolo</t>
  </si>
  <si>
    <t>Jamaal Williams</t>
  </si>
  <si>
    <t>Darrell Daniels</t>
  </si>
  <si>
    <t>Ross Dwelley</t>
  </si>
  <si>
    <t>J.P. Holtz</t>
  </si>
  <si>
    <t>Johnny Mundt</t>
  </si>
  <si>
    <t>Hale Hentges</t>
  </si>
  <si>
    <t>Temarrick Hemingway</t>
  </si>
  <si>
    <t>Lee Smith</t>
  </si>
  <si>
    <t>Brycen Hopkins</t>
  </si>
  <si>
    <t>Tommy Sweeney</t>
  </si>
  <si>
    <t>Trevon Wesco</t>
  </si>
  <si>
    <t>Hunter Bryant</t>
  </si>
  <si>
    <t>Daniel Brown</t>
  </si>
  <si>
    <t>Darrynton Evans</t>
  </si>
  <si>
    <t>Tyler Davis</t>
  </si>
  <si>
    <t>Albert Okwuegbunam</t>
  </si>
  <si>
    <t>Tre'Quan Smith</t>
  </si>
  <si>
    <t>Mason Schreck</t>
  </si>
  <si>
    <t>Geoff Swaim</t>
  </si>
  <si>
    <t>Donald Parham</t>
  </si>
  <si>
    <t>Marquez Valdes-Scantling</t>
  </si>
  <si>
    <t>Cethan Carter</t>
  </si>
  <si>
    <t>Chester Rogers</t>
  </si>
  <si>
    <t>Benny Snell Jr.</t>
  </si>
  <si>
    <t>Xavier Grimble</t>
  </si>
  <si>
    <t>Antony Auclair</t>
  </si>
  <si>
    <t>Adam Shaheen</t>
  </si>
  <si>
    <t>Colby Parkinson</t>
  </si>
  <si>
    <t>Zach Pascal</t>
  </si>
  <si>
    <t>Tyler Johnson</t>
  </si>
  <si>
    <t>Brandon Dillon</t>
  </si>
  <si>
    <t>Charlie Woerner</t>
  </si>
  <si>
    <t>Stephen Sullivan</t>
  </si>
  <si>
    <t>Isaac Nauta</t>
  </si>
  <si>
    <t>Caleb Wilson</t>
  </si>
  <si>
    <t>Alize Mack</t>
  </si>
  <si>
    <t>Moritz Bohringer</t>
  </si>
  <si>
    <t>Ross Travis</t>
  </si>
  <si>
    <t>Jesper Horsted</t>
  </si>
  <si>
    <t>Stephen Carlson</t>
  </si>
  <si>
    <t>Codey McElroy</t>
  </si>
  <si>
    <t>Hakeem Valles</t>
  </si>
  <si>
    <t>Josh Perkins</t>
  </si>
  <si>
    <t>Ben Koyack</t>
  </si>
  <si>
    <t>David Morgan</t>
  </si>
  <si>
    <t>Alan Cross</t>
  </si>
  <si>
    <t>Cole Hikutini</t>
  </si>
  <si>
    <t>Ben Braunecker</t>
  </si>
  <si>
    <t>David Grinnage</t>
  </si>
  <si>
    <t>Evan Baylis</t>
  </si>
  <si>
    <t>Pharaoh Brown</t>
  </si>
  <si>
    <t>Sean Culkin</t>
  </si>
  <si>
    <t>Jeff Heuerman</t>
  </si>
  <si>
    <t>Matt LaCosse</t>
  </si>
  <si>
    <t>Alex Ellis</t>
  </si>
  <si>
    <t>Nick O'Leary</t>
  </si>
  <si>
    <t>Stephen Anderson</t>
  </si>
  <si>
    <t>Robert Tonyan</t>
  </si>
  <si>
    <t>Eric Saubert</t>
  </si>
  <si>
    <t>Jason Croom</t>
  </si>
  <si>
    <t>Cole Wick</t>
  </si>
  <si>
    <t>Garrett Griffin</t>
  </si>
  <si>
    <t>Rico Gathers</t>
  </si>
  <si>
    <t>Bronson Kaufusi</t>
  </si>
  <si>
    <t>James Looney</t>
  </si>
  <si>
    <t>Jordan Leggett</t>
  </si>
  <si>
    <t>Tyrone Swoopes</t>
  </si>
  <si>
    <t>Tanner Hudson</t>
  </si>
  <si>
    <t>Troy Fumagalli</t>
  </si>
  <si>
    <t>Jake Butt</t>
  </si>
  <si>
    <t>Matt Flanagan</t>
  </si>
  <si>
    <t>A.J. Derby</t>
  </si>
  <si>
    <t>Niles Paul</t>
  </si>
  <si>
    <t>Charles Clay</t>
  </si>
  <si>
    <t>Lance Kendricks</t>
  </si>
  <si>
    <t>John Phillips</t>
  </si>
  <si>
    <t>Ed Dickson</t>
  </si>
  <si>
    <t>Jermaine Gresham</t>
  </si>
  <si>
    <t>Logan Paulsen</t>
  </si>
  <si>
    <t>Delanie Walker</t>
  </si>
  <si>
    <t>Antonio Gates</t>
  </si>
  <si>
    <t>Benjamin Watson</t>
  </si>
  <si>
    <t>Vernon Davis</t>
  </si>
  <si>
    <t>Dion Sims</t>
  </si>
  <si>
    <t>Luke Willson</t>
  </si>
  <si>
    <t>Austin Seferian-Jenkins</t>
  </si>
  <si>
    <t>Garrett Celek</t>
  </si>
  <si>
    <t>Bradley Sowell</t>
  </si>
  <si>
    <t>Rhett Ellison</t>
  </si>
  <si>
    <t>Dwayne Allen</t>
  </si>
  <si>
    <t>Dylan Cantrell</t>
  </si>
  <si>
    <t>Jason Vander Laan</t>
  </si>
  <si>
    <t>Michael Roberts</t>
  </si>
  <si>
    <t>Kendall Blanton</t>
  </si>
  <si>
    <t>Garrett Dickerson</t>
  </si>
  <si>
    <t>Carson Meier</t>
  </si>
  <si>
    <t>Donnie Ernsberger</t>
  </si>
  <si>
    <t>Austin Roberts</t>
  </si>
  <si>
    <t>Khari Lee</t>
  </si>
  <si>
    <t>Tommy Stevens</t>
  </si>
  <si>
    <t>Foster Moreau</t>
  </si>
  <si>
    <t>Charles Jones</t>
  </si>
  <si>
    <t>Jordan Franks</t>
  </si>
  <si>
    <t>Thaddeus Moss</t>
  </si>
  <si>
    <t>C.J. Conrad</t>
  </si>
  <si>
    <t>Jared Pinkney</t>
  </si>
  <si>
    <t>Josh Oliver</t>
  </si>
  <si>
    <t>Greg Ward Jr.</t>
  </si>
  <si>
    <t>Van Jefferson</t>
  </si>
  <si>
    <t>Cordarrelle Patterson</t>
  </si>
  <si>
    <t>Tim Patrick</t>
  </si>
  <si>
    <t>Demarcus Robinson</t>
  </si>
  <si>
    <t>Andy Isabella</t>
  </si>
  <si>
    <t>Damiere Byrd</t>
  </si>
  <si>
    <t>Lynn Bowden Jr.</t>
  </si>
  <si>
    <t>Christian Blake</t>
  </si>
  <si>
    <t>Chase Edmonds</t>
  </si>
  <si>
    <t>Dante Pettis</t>
  </si>
  <si>
    <t>Giovani Bernard</t>
  </si>
  <si>
    <t>Equanimeous St. Brown</t>
  </si>
  <si>
    <t>Olabisi Johnson</t>
  </si>
  <si>
    <t>Anthony McFarland Jr.</t>
  </si>
  <si>
    <t>Nelson Agholor</t>
  </si>
  <si>
    <t>Kalif Raymond</t>
  </si>
  <si>
    <t>Hakeem Butler</t>
  </si>
  <si>
    <t>Isaiah Ford</t>
  </si>
  <si>
    <t>Jalen Richard</t>
  </si>
  <si>
    <t>Ito Smith</t>
  </si>
  <si>
    <t>Olamide Zaccheaus</t>
  </si>
  <si>
    <t>Joshua Kelley</t>
  </si>
  <si>
    <t>Deonte Harris</t>
  </si>
  <si>
    <t>John Hightower</t>
  </si>
  <si>
    <t>AJ Dillon</t>
  </si>
  <si>
    <t>Jamal Agnew</t>
  </si>
  <si>
    <t>Joe Reed</t>
  </si>
  <si>
    <t>Pharoh Cooper</t>
  </si>
  <si>
    <t>Chris Hogan</t>
  </si>
  <si>
    <t>Javon Wims</t>
  </si>
  <si>
    <t>Rashard Higgins</t>
  </si>
  <si>
    <t>KeeSean Johnson</t>
  </si>
  <si>
    <t>Darrel Williams</t>
  </si>
  <si>
    <t>Gabriel Davis</t>
  </si>
  <si>
    <t>Quintez Cephus</t>
  </si>
  <si>
    <t>Trey Quinn</t>
  </si>
  <si>
    <t>Auden Tate</t>
  </si>
  <si>
    <t>Gus Edwards</t>
  </si>
  <si>
    <t>Keelan Cole</t>
  </si>
  <si>
    <t>Jalen Guyton</t>
  </si>
  <si>
    <t>Quez Watkins</t>
  </si>
  <si>
    <t>Jaylen Samuels</t>
  </si>
  <si>
    <t>Isaiah McKenzie</t>
  </si>
  <si>
    <t>Ventell Bryant</t>
  </si>
  <si>
    <t>Cedrick Wilson</t>
  </si>
  <si>
    <t>Justin Watson</t>
  </si>
  <si>
    <t>Riley Ridley</t>
  </si>
  <si>
    <t>Laquon Treadwell</t>
  </si>
  <si>
    <t>KhaDarel Hodge</t>
  </si>
  <si>
    <t>Tajae Sharpe</t>
  </si>
  <si>
    <t>Tavon Austin</t>
  </si>
  <si>
    <t>Reggie Begelton</t>
  </si>
  <si>
    <t>Braxton Berrios</t>
  </si>
  <si>
    <t>Darius Jennings</t>
  </si>
  <si>
    <t>John Ursua</t>
  </si>
  <si>
    <t>Darnell Mooney</t>
  </si>
  <si>
    <t>Corey Coleman</t>
  </si>
  <si>
    <t>Frank Gore</t>
  </si>
  <si>
    <t>Jason Moore</t>
  </si>
  <si>
    <t>Isaiah Hodgins</t>
  </si>
  <si>
    <t>Byron Pringle</t>
  </si>
  <si>
    <t>Vyncint Smith</t>
  </si>
  <si>
    <t>Devin Smith</t>
  </si>
  <si>
    <t>DeAndre Carter</t>
  </si>
  <si>
    <t>Keith Kirkwood</t>
  </si>
  <si>
    <t>K.J. Osborn</t>
  </si>
  <si>
    <t>Nsimba Webster</t>
  </si>
  <si>
    <t>James Proche</t>
  </si>
  <si>
    <t>Dezmon Patmon</t>
  </si>
  <si>
    <t>Chad Beebe</t>
  </si>
  <si>
    <t>Isaiah Coulter</t>
  </si>
  <si>
    <t>Geremy Davis</t>
  </si>
  <si>
    <t>Zay Jones</t>
  </si>
  <si>
    <t>Freddie Swain</t>
  </si>
  <si>
    <t>Seth Roberts</t>
  </si>
  <si>
    <t>Rex Burkhead</t>
  </si>
  <si>
    <t>Alex Erickson</t>
  </si>
  <si>
    <t>Donovan Peoples-Jones</t>
  </si>
  <si>
    <t>Chris Moore</t>
  </si>
  <si>
    <t>Rashard Davis</t>
  </si>
  <si>
    <t>Gary Jennings Jr.</t>
  </si>
  <si>
    <t>Chris Thompson</t>
  </si>
  <si>
    <t>La'Mical Perine</t>
  </si>
  <si>
    <t>K.J. Hill</t>
  </si>
  <si>
    <t>Andre Roberts</t>
  </si>
  <si>
    <t>Ryan Switzer</t>
  </si>
  <si>
    <t>DeAndre Washington</t>
  </si>
  <si>
    <t>Lil'Jordan Humphrey</t>
  </si>
  <si>
    <t>J.D. McKissic</t>
  </si>
  <si>
    <t>Diontae Spencer</t>
  </si>
  <si>
    <t>Brian Hill</t>
  </si>
  <si>
    <t>Collin Johnson</t>
  </si>
  <si>
    <t>Mike Davis</t>
  </si>
  <si>
    <t>KJ Hamler</t>
  </si>
  <si>
    <t>Bryce Love</t>
  </si>
  <si>
    <t>Michael Walker</t>
  </si>
  <si>
    <t>JoJo Natson</t>
  </si>
  <si>
    <t>Darrius Shepherd</t>
  </si>
  <si>
    <t>Trent Sherfield</t>
  </si>
  <si>
    <t>DeAndrew White</t>
  </si>
  <si>
    <t>Gunner Olszewski</t>
  </si>
  <si>
    <t>Da'Mari Scott</t>
  </si>
  <si>
    <t>Johnny Holton</t>
  </si>
  <si>
    <t>Taywan Taylor</t>
  </si>
  <si>
    <t>Rodney Adams</t>
  </si>
  <si>
    <t>Chad Williams</t>
  </si>
  <si>
    <t>Chad Hansen</t>
  </si>
  <si>
    <t>Jawill Davis</t>
  </si>
  <si>
    <t>Malachi Dupre</t>
  </si>
  <si>
    <t>Brandon Powell</t>
  </si>
  <si>
    <t>Cam Sims</t>
  </si>
  <si>
    <t>Duke Williams</t>
  </si>
  <si>
    <t>Jalen Hurd</t>
  </si>
  <si>
    <t>Josh Malone</t>
  </si>
  <si>
    <t>J'Mon Moore</t>
  </si>
  <si>
    <t>Quincy Adeboyejo</t>
  </si>
  <si>
    <t>Darvin Kidsy</t>
  </si>
  <si>
    <t>River Cracraft</t>
  </si>
  <si>
    <t>Stacy Coley</t>
  </si>
  <si>
    <t>Robert Foster</t>
  </si>
  <si>
    <t>Victor Bolden Jr.</t>
  </si>
  <si>
    <t>Chris Lacy</t>
  </si>
  <si>
    <t>Noah Brown</t>
  </si>
  <si>
    <t>Daurice Fountain</t>
  </si>
  <si>
    <t>Keelan Doss</t>
  </si>
  <si>
    <t>Richie James</t>
  </si>
  <si>
    <t>Mike Thomas</t>
  </si>
  <si>
    <t>Cam Phillips</t>
  </si>
  <si>
    <t>Artavis Scott</t>
  </si>
  <si>
    <t>Tyre Brady</t>
  </si>
  <si>
    <t>Austin Proehl</t>
  </si>
  <si>
    <t>Cody Hollister</t>
  </si>
  <si>
    <t>Geronimo Allison</t>
  </si>
  <si>
    <t>Malik Turner</t>
  </si>
  <si>
    <t>Spencer Schnell</t>
  </si>
  <si>
    <t>Marcus Green</t>
  </si>
  <si>
    <t>Deebo Samuel</t>
  </si>
  <si>
    <t>Tom Kennedy</t>
  </si>
  <si>
    <t>Simmie Cobbs Jr.</t>
  </si>
  <si>
    <t>Juwann Winfree</t>
  </si>
  <si>
    <t>Stanley Morgan</t>
  </si>
  <si>
    <t>Travis Fulgham</t>
  </si>
  <si>
    <t>Cameron Batson</t>
  </si>
  <si>
    <t>Jordan Lasley</t>
  </si>
  <si>
    <t>Jazz Ferguson</t>
  </si>
  <si>
    <t>Jauan Jennings</t>
  </si>
  <si>
    <t>Deon Cain</t>
  </si>
  <si>
    <t>Ray-Ray McCloud III</t>
  </si>
  <si>
    <t>Quadree Henderson</t>
  </si>
  <si>
    <t>Isaac Whitney</t>
  </si>
  <si>
    <t>Damion Ratley</t>
  </si>
  <si>
    <t>J.J. Nelson</t>
  </si>
  <si>
    <t>Cameron Meredith</t>
  </si>
  <si>
    <t>Justin Hardy</t>
  </si>
  <si>
    <t>Tommylee Lewis</t>
  </si>
  <si>
    <t>Trevor Davis</t>
  </si>
  <si>
    <t>Sammie Coates Jr.</t>
  </si>
  <si>
    <t>Taylor Gabriel</t>
  </si>
  <si>
    <t>Allen Hurns</t>
  </si>
  <si>
    <t>Freddie Martino</t>
  </si>
  <si>
    <t>Bennie Fowler</t>
  </si>
  <si>
    <t>Albert Wilson</t>
  </si>
  <si>
    <t>Bradley Marquez</t>
  </si>
  <si>
    <t>Marvin Hall</t>
  </si>
  <si>
    <t>Maurice Harris</t>
  </si>
  <si>
    <t>Charone Peake</t>
  </si>
  <si>
    <t>Rashad Greene</t>
  </si>
  <si>
    <t>Eli Rogers</t>
  </si>
  <si>
    <t>Josh Doctson</t>
  </si>
  <si>
    <t>Max McCaffrey</t>
  </si>
  <si>
    <t>Tevin Jones</t>
  </si>
  <si>
    <t>Marcus Johnson</t>
  </si>
  <si>
    <t>Fred Brown</t>
  </si>
  <si>
    <t>Marken Michel</t>
  </si>
  <si>
    <t>Keenan Reynolds</t>
  </si>
  <si>
    <t>Ricardo Louis</t>
  </si>
  <si>
    <t>C.J. Board</t>
  </si>
  <si>
    <t>Austin Carr</t>
  </si>
  <si>
    <t>Mose Frazier</t>
  </si>
  <si>
    <t>Devin Funchess</t>
  </si>
  <si>
    <t>Amara Darboh</t>
  </si>
  <si>
    <t>Jehu Chesson</t>
  </si>
  <si>
    <t>Mack Hollins</t>
  </si>
  <si>
    <t>Riley McCarron</t>
  </si>
  <si>
    <t>Andy Jones</t>
  </si>
  <si>
    <t>Leonte Carroo</t>
  </si>
  <si>
    <t>Jaydon Mickens</t>
  </si>
  <si>
    <t>Gehrig Dieter</t>
  </si>
  <si>
    <t>Keon Hatcher</t>
  </si>
  <si>
    <t>Alonzo Russell</t>
  </si>
  <si>
    <t>Cody Core</t>
  </si>
  <si>
    <t>Ishmael Hyman</t>
  </si>
  <si>
    <t>Derrick Willies</t>
  </si>
  <si>
    <t>Robert Davis</t>
  </si>
  <si>
    <t>Shelton Gibson</t>
  </si>
  <si>
    <t>Kevin White</t>
  </si>
  <si>
    <t>Steven Mitchell</t>
  </si>
  <si>
    <t>Lance Lenoir</t>
  </si>
  <si>
    <t>Taquan Mizzell</t>
  </si>
  <si>
    <t>Janarion Grant</t>
  </si>
  <si>
    <t>Andre Patton</t>
  </si>
  <si>
    <t>Jester Weah</t>
  </si>
  <si>
    <t>Bobo Wilson</t>
  </si>
  <si>
    <t>Marcell Ateman</t>
  </si>
  <si>
    <t>Marcus Kemp</t>
  </si>
  <si>
    <t>Dez Bryant</t>
  </si>
  <si>
    <t>Demaryius Thomas</t>
  </si>
  <si>
    <t>Michael Crabtree</t>
  </si>
  <si>
    <t>Darrius Heyward-Bey</t>
  </si>
  <si>
    <t>Brandon LaFell</t>
  </si>
  <si>
    <t>Mike Wallace</t>
  </si>
  <si>
    <t>Pierre Garcon</t>
  </si>
  <si>
    <t>Jordy Nelson</t>
  </si>
  <si>
    <t>Matthew Slater</t>
  </si>
  <si>
    <t>Antonio Brown</t>
  </si>
  <si>
    <t>Dwayne Harris</t>
  </si>
  <si>
    <t>Torrey Smith</t>
  </si>
  <si>
    <t>Jeremy Kerley</t>
  </si>
  <si>
    <t>Aldrick Robinson</t>
  </si>
  <si>
    <t>Doug Baldwin</t>
  </si>
  <si>
    <t>Brandon Marshall</t>
  </si>
  <si>
    <t>Jaron Brown</t>
  </si>
  <si>
    <t>Russell Shepard</t>
  </si>
  <si>
    <t>Nick Williams</t>
  </si>
  <si>
    <t>Kelvin Benjamin</t>
  </si>
  <si>
    <t>Marqise Lee</t>
  </si>
  <si>
    <t>Donte Moncrief</t>
  </si>
  <si>
    <t>Cody Latimer</t>
  </si>
  <si>
    <t>Paul Richardson</t>
  </si>
  <si>
    <t>Jordan Matthews</t>
  </si>
  <si>
    <t>De'Anthony Thomas</t>
  </si>
  <si>
    <t>Bruce Ellington</t>
  </si>
  <si>
    <t>Ryan Grant</t>
  </si>
  <si>
    <t>TJ Jones</t>
  </si>
  <si>
    <t>Martavis Bryant</t>
  </si>
  <si>
    <t>Quincy Enunwa</t>
  </si>
  <si>
    <t>Josh Gordon</t>
  </si>
  <si>
    <t>Deonte Thompson</t>
  </si>
  <si>
    <t>Joshua Bellamy</t>
  </si>
  <si>
    <t>Rod Streater</t>
  </si>
  <si>
    <t>Jermaine Kearse</t>
  </si>
  <si>
    <t>Marquise Goodwin</t>
  </si>
  <si>
    <t>Justin Hunter</t>
  </si>
  <si>
    <t>Brice Butler</t>
  </si>
  <si>
    <t>Markus Wheaton</t>
  </si>
  <si>
    <t>Terrance Williams</t>
  </si>
  <si>
    <t>Andre Holmes</t>
  </si>
  <si>
    <t>Terrelle Pryor</t>
  </si>
  <si>
    <t>Kamar Aiken</t>
  </si>
  <si>
    <t>Michael Floyd</t>
  </si>
  <si>
    <t>Alshon Jeffery</t>
  </si>
  <si>
    <t>Brian Quick</t>
  </si>
  <si>
    <t>Jarius Wright</t>
  </si>
  <si>
    <t>Travis Benjamin</t>
  </si>
  <si>
    <t>Rishard Matthews</t>
  </si>
  <si>
    <t>Ryquell Armstead</t>
  </si>
  <si>
    <t>Dare Ogunbowale</t>
  </si>
  <si>
    <t>Dion Lewis</t>
  </si>
  <si>
    <t>Malcolm Brown</t>
  </si>
  <si>
    <t>Peyton Barber</t>
  </si>
  <si>
    <t>Ke'Shawn Vaughn</t>
  </si>
  <si>
    <t>Kyle Juszczyk</t>
  </si>
  <si>
    <t>Corey Clement</t>
  </si>
  <si>
    <t>Patrick Laird</t>
  </si>
  <si>
    <t>CJ Ham</t>
  </si>
  <si>
    <t>Mike Boone</t>
  </si>
  <si>
    <t>Bo Scarbrough</t>
  </si>
  <si>
    <t>Royce Freeman</t>
  </si>
  <si>
    <t>Lamar Miller</t>
  </si>
  <si>
    <t>Reggie Bonnafon</t>
  </si>
  <si>
    <t>Trayveon Williams</t>
  </si>
  <si>
    <t>Ty Montgomery</t>
  </si>
  <si>
    <t>Karan Higdon</t>
  </si>
  <si>
    <t>Jeff Wilson Jr.</t>
  </si>
  <si>
    <t>Dontrell Hilliard</t>
  </si>
  <si>
    <t>Qadree Ollison</t>
  </si>
  <si>
    <t>DeeJay Dallas</t>
  </si>
  <si>
    <t>Devontae Booker</t>
  </si>
  <si>
    <t>Senorise Perry</t>
  </si>
  <si>
    <t>Eno Benjamin</t>
  </si>
  <si>
    <t>Jordan Wilkins</t>
  </si>
  <si>
    <t>Wayne Gallman</t>
  </si>
  <si>
    <t>Darius Anderson</t>
  </si>
  <si>
    <t>Darwin Thompson</t>
  </si>
  <si>
    <t>Ameer Abdullah</t>
  </si>
  <si>
    <t>T.J. Yeldon</t>
  </si>
  <si>
    <t>Alec Ingold</t>
  </si>
  <si>
    <t>Justice Hill</t>
  </si>
  <si>
    <t>Jason Huntley</t>
  </si>
  <si>
    <t>Nick Bawden</t>
  </si>
  <si>
    <t>Elijhaa Penny</t>
  </si>
  <si>
    <t>Tyler Ervin</t>
  </si>
  <si>
    <t>Khari Blasingame</t>
  </si>
  <si>
    <t>Anthony Sherman</t>
  </si>
  <si>
    <t>Malcolm Perry</t>
  </si>
  <si>
    <t>John Kelly</t>
  </si>
  <si>
    <t>Andy Janovich</t>
  </si>
  <si>
    <t>Ryan Nall</t>
  </si>
  <si>
    <t>Taiwan Jones</t>
  </si>
  <si>
    <t>Michael Warren II</t>
  </si>
  <si>
    <t>Derek Watt</t>
  </si>
  <si>
    <t>Patrick DiMarco</t>
  </si>
  <si>
    <t>Michael Burton</t>
  </si>
  <si>
    <t>D'Ernest Johnson</t>
  </si>
  <si>
    <t>Keith Smith</t>
  </si>
  <si>
    <t>Trenton Cannon</t>
  </si>
  <si>
    <t>Buddy Howell</t>
  </si>
  <si>
    <t>Jakob Johnson</t>
  </si>
  <si>
    <t>Alex Armah</t>
  </si>
  <si>
    <t>Devine Ozigbo</t>
  </si>
  <si>
    <t>Trey Edmunds</t>
  </si>
  <si>
    <t>Roosevelt Nix</t>
  </si>
  <si>
    <t>Dwayne Washington</t>
  </si>
  <si>
    <t>Nick Bellore</t>
  </si>
  <si>
    <t>Javon Leake</t>
  </si>
  <si>
    <t>D.J. Foster</t>
  </si>
  <si>
    <t>LeVante Bellamy</t>
  </si>
  <si>
    <t>Travis Homer</t>
  </si>
  <si>
    <t>Patrick Ricard</t>
  </si>
  <si>
    <t>J.J. Taylor</t>
  </si>
  <si>
    <t>Raymond Calais</t>
  </si>
  <si>
    <t>Damarea Crockett</t>
  </si>
  <si>
    <t>Elijah Holyfield</t>
  </si>
  <si>
    <t>Dexter Williams</t>
  </si>
  <si>
    <t>Ty Johnson</t>
  </si>
  <si>
    <t>Mike Weber</t>
  </si>
  <si>
    <t>Jordan Scarlett</t>
  </si>
  <si>
    <t>Chris Warren</t>
  </si>
  <si>
    <t>De'Lance Turner</t>
  </si>
  <si>
    <t>JaMycal Hasty</t>
  </si>
  <si>
    <t>Bruce Anderson</t>
  </si>
  <si>
    <t>Josh Adams</t>
  </si>
  <si>
    <t>Kerrith Whyte Jr.</t>
  </si>
  <si>
    <t>Mark Walton</t>
  </si>
  <si>
    <t>Devante Mays</t>
  </si>
  <si>
    <t>Salvon Ahmed</t>
  </si>
  <si>
    <t>Mark Thompson</t>
  </si>
  <si>
    <t>James Robinson</t>
  </si>
  <si>
    <t>Adrian Killins Jr.</t>
  </si>
  <si>
    <t>Christian Wade</t>
  </si>
  <si>
    <t>Craig Reynolds</t>
  </si>
  <si>
    <t>Danny Vitale</t>
  </si>
  <si>
    <t>Kenneth Dixon</t>
  </si>
  <si>
    <t>Tra Carson</t>
  </si>
  <si>
    <t>Ricky Ortiz</t>
  </si>
  <si>
    <t>Troymaine Pope</t>
  </si>
  <si>
    <t>Shane Smith</t>
  </si>
  <si>
    <t>Jonathan Williams</t>
  </si>
  <si>
    <t>C.J. Prosise</t>
  </si>
  <si>
    <t>Darius Jackson</t>
  </si>
  <si>
    <t>Justin Davis</t>
  </si>
  <si>
    <t>Cameron Artis-Payne</t>
  </si>
  <si>
    <t>Elijah McGuire</t>
  </si>
  <si>
    <t>Wendell Smallwood</t>
  </si>
  <si>
    <t>Akrum Wadley</t>
  </si>
  <si>
    <t>T.J. Logan</t>
  </si>
  <si>
    <t>Alex Collins</t>
  </si>
  <si>
    <t>David Williams</t>
  </si>
  <si>
    <t>Isaiah Crowell</t>
  </si>
  <si>
    <t>Charcandrick West</t>
  </si>
  <si>
    <t>Damien Williams</t>
  </si>
  <si>
    <t>Jeremy Langford</t>
  </si>
  <si>
    <t>Marcus Murphy</t>
  </si>
  <si>
    <t>Rod Smith</t>
  </si>
  <si>
    <t>Zach Zenner</t>
  </si>
  <si>
    <t>Corey Grant</t>
  </si>
  <si>
    <t>Malcolm Johnson</t>
  </si>
  <si>
    <t>Jay Ajayi</t>
  </si>
  <si>
    <t>Rob Kelley</t>
  </si>
  <si>
    <t>Byron Marshall</t>
  </si>
  <si>
    <t>Paul Perkins</t>
  </si>
  <si>
    <t>Josh Ferguson</t>
  </si>
  <si>
    <t>Tre Madden</t>
  </si>
  <si>
    <t>Javorius Allen</t>
  </si>
  <si>
    <t>Brandon Wilds</t>
  </si>
  <si>
    <t>Robert Turbin</t>
  </si>
  <si>
    <t>Orson Charles</t>
  </si>
  <si>
    <t>Doug Martin</t>
  </si>
  <si>
    <t>Alfred Morris</t>
  </si>
  <si>
    <t>Christine Michael</t>
  </si>
  <si>
    <t>Travaris Cadet</t>
  </si>
  <si>
    <t>Brandon Bolden</t>
  </si>
  <si>
    <t>Derrick Coleman</t>
  </si>
  <si>
    <t>Jamize Olawale</t>
  </si>
  <si>
    <t>Zach Line</t>
  </si>
  <si>
    <t>Tommy Bohanon</t>
  </si>
  <si>
    <t>Kenjon Barner</t>
  </si>
  <si>
    <t>Mike Gillislee</t>
  </si>
  <si>
    <t>Theo Riddick</t>
  </si>
  <si>
    <t>Spencer Ware</t>
  </si>
  <si>
    <t>C.J. Anderson</t>
  </si>
  <si>
    <t>Myles Gaskin</t>
  </si>
  <si>
    <t>Tony Brooks-James</t>
  </si>
  <si>
    <t>Derrius Guice</t>
  </si>
  <si>
    <t>James Williams</t>
  </si>
  <si>
    <t>Jeremy McNichols</t>
  </si>
  <si>
    <t>Kalen Ballage</t>
  </si>
  <si>
    <t>D'Onta Foreman</t>
  </si>
  <si>
    <t>Wes Hills</t>
  </si>
  <si>
    <t>Keith Ford</t>
  </si>
  <si>
    <t>Matt Dayes</t>
  </si>
  <si>
    <t>Khalfani Muhammad</t>
  </si>
  <si>
    <t>Jordan Chunn</t>
  </si>
  <si>
    <t>Dalyn Dawkins</t>
  </si>
  <si>
    <t>Jonathan Hilliman</t>
  </si>
  <si>
    <t>Cullen Gillaspia</t>
  </si>
  <si>
    <t>Roc Thomas</t>
  </si>
  <si>
    <t>Austin Walter</t>
  </si>
  <si>
    <t>Detrez Newsome</t>
  </si>
  <si>
    <t>Shaun Wilson</t>
  </si>
  <si>
    <t>Samaje Perine</t>
  </si>
  <si>
    <t>Taysom Hill</t>
  </si>
  <si>
    <t>Jalen Hurts</t>
  </si>
  <si>
    <t>Mason Rudolph</t>
  </si>
  <si>
    <t>Robert Griffin III</t>
  </si>
  <si>
    <t>Matt Schaub</t>
  </si>
  <si>
    <t>Kyle Allen</t>
  </si>
  <si>
    <t>Matt Barkley</t>
  </si>
  <si>
    <t>Geno Smith</t>
  </si>
  <si>
    <t>Chad Henne</t>
  </si>
  <si>
    <t>Marcus Mariota</t>
  </si>
  <si>
    <t>Jacoby Brissett</t>
  </si>
  <si>
    <t>AJ McCarron</t>
  </si>
  <si>
    <t>Blaine Gabbert</t>
  </si>
  <si>
    <t>Andy Dalton</t>
  </si>
  <si>
    <t>Nick Mullens</t>
  </si>
  <si>
    <t>Jarrett Stidham</t>
  </si>
  <si>
    <t>Brett Hundley</t>
  </si>
  <si>
    <t>Jameis Winston</t>
  </si>
  <si>
    <t>Jeff Driskel</t>
  </si>
  <si>
    <t>Case Keenum</t>
  </si>
  <si>
    <t>Colt McCoy</t>
  </si>
  <si>
    <t>Chase Daniel</t>
  </si>
  <si>
    <t>Mitchell Trubisky</t>
  </si>
  <si>
    <t>Tua Tagovailoa</t>
  </si>
  <si>
    <t>Justin Herbert</t>
  </si>
  <si>
    <t>P.J. Walker</t>
  </si>
  <si>
    <t>Ryan Finley</t>
  </si>
  <si>
    <t>Jordan Love</t>
  </si>
  <si>
    <t>Trevor Siemian</t>
  </si>
  <si>
    <t>Joshua Dobbs</t>
  </si>
  <si>
    <t>James Morgan</t>
  </si>
  <si>
    <t>Sean Mannion</t>
  </si>
  <si>
    <t>Taylor Heinicke</t>
  </si>
  <si>
    <t>Brandon Allen</t>
  </si>
  <si>
    <t>Jake Rudock</t>
  </si>
  <si>
    <t>Cody Kessler</t>
  </si>
  <si>
    <t>Logan Woodside</t>
  </si>
  <si>
    <t>J.T. Barrett IV</t>
  </si>
  <si>
    <t>Tanner Lee</t>
  </si>
  <si>
    <t>Mike White</t>
  </si>
  <si>
    <t>Kyle Lauletta</t>
  </si>
  <si>
    <t>Tim Boyle</t>
  </si>
  <si>
    <t>Nate Sudfeld</t>
  </si>
  <si>
    <t>C.J. Beathard</t>
  </si>
  <si>
    <t>Paxton Lynch</t>
  </si>
  <si>
    <t>Chad Kelly</t>
  </si>
  <si>
    <t>Cooper Rush</t>
  </si>
  <si>
    <t>Kyle Sloter</t>
  </si>
  <si>
    <t>Nathan Peterman</t>
  </si>
  <si>
    <t>Brian Hoyer</t>
  </si>
  <si>
    <t>Mark Sanchez</t>
  </si>
  <si>
    <t>Josh Johnson</t>
  </si>
  <si>
    <t>Sam Bradford</t>
  </si>
  <si>
    <t>Joe Webb III</t>
  </si>
  <si>
    <t>Colin Kaepernick</t>
  </si>
  <si>
    <t>Joe Flacco</t>
  </si>
  <si>
    <t>Matt Moore</t>
  </si>
  <si>
    <t>Drew Stanton</t>
  </si>
  <si>
    <t>Alex Smith</t>
  </si>
  <si>
    <t>Eli Manning</t>
  </si>
  <si>
    <t>Derek Anderson</t>
  </si>
  <si>
    <t>Matt Cassel</t>
  </si>
  <si>
    <t>Josh McCown</t>
  </si>
  <si>
    <t>Brandon Weeden</t>
  </si>
  <si>
    <t>Brock Osweiler</t>
  </si>
  <si>
    <t>Andrew Luck</t>
  </si>
  <si>
    <t>Mike Glennon</t>
  </si>
  <si>
    <t>Alex Tanney</t>
  </si>
  <si>
    <t>Garrett Gilbert</t>
  </si>
  <si>
    <t>David Fales</t>
  </si>
  <si>
    <t>Blake Bortles</t>
  </si>
  <si>
    <t>Josh Rosen</t>
  </si>
  <si>
    <t>Brett Rypien</t>
  </si>
  <si>
    <t>Jake Luton</t>
  </si>
  <si>
    <t>Alex McGough</t>
  </si>
  <si>
    <t>DeShone Kizer</t>
  </si>
  <si>
    <t>Devlin Hodges</t>
  </si>
  <si>
    <t>Ben DiNucci</t>
  </si>
  <si>
    <t>Will Grier</t>
  </si>
  <si>
    <t>Danny Etling</t>
  </si>
  <si>
    <t>Davis Webb</t>
  </si>
  <si>
    <t>Luke Falk</t>
  </si>
  <si>
    <t>Easton Stick</t>
  </si>
  <si>
    <t>Trace McSorley</t>
  </si>
  <si>
    <t>David Blough</t>
  </si>
  <si>
    <t>Clayton Thorson</t>
  </si>
  <si>
    <t>ARI</t>
  </si>
  <si>
    <t>D.J. Moore</t>
  </si>
  <si>
    <t>D.J. Chark</t>
  </si>
  <si>
    <t>Ronald Jones II</t>
  </si>
  <si>
    <t>Duke Johnson</t>
  </si>
  <si>
    <t>Gardner Minshew II</t>
  </si>
  <si>
    <t>A.J. Dillon</t>
  </si>
  <si>
    <t>Steven Sims</t>
  </si>
  <si>
    <t>Michael Badgley</t>
  </si>
  <si>
    <t>Rashaad Penny</t>
  </si>
  <si>
    <t>Mitch Trubisky</t>
  </si>
  <si>
    <t>Devonta Freeman</t>
  </si>
  <si>
    <t>J.J. Arcega-Whiteside</t>
  </si>
  <si>
    <t>Lamical Perine</t>
  </si>
  <si>
    <t>Willie Snead</t>
  </si>
  <si>
    <t>Keke Coutee</t>
  </si>
  <si>
    <t>Greg Ward</t>
  </si>
  <si>
    <t>Ted Ginn</t>
  </si>
  <si>
    <t>Jeff Wilson</t>
  </si>
  <si>
    <t>Bilal Powell</t>
  </si>
  <si>
    <t>Paul Richardson Jr.</t>
  </si>
  <si>
    <t>Rodney Anderson</t>
  </si>
  <si>
    <t>Rodrigo Blankenship</t>
  </si>
  <si>
    <t>David Fluellen</t>
  </si>
  <si>
    <t>DJ Chark Jr.</t>
  </si>
  <si>
    <t>JAX</t>
  </si>
  <si>
    <t>D’Andre Swift</t>
  </si>
  <si>
    <t>Ke’Shawn Vaughn</t>
  </si>
  <si>
    <t>N’Keal Harry</t>
  </si>
  <si>
    <t>Mohamed Sanu Sr.</t>
  </si>
  <si>
    <t>Phillip Dorsett II</t>
  </si>
  <si>
    <t>John Ross III</t>
  </si>
  <si>
    <t>Tre’Quan Smith</t>
  </si>
  <si>
    <t>Kelvin Harmon</t>
  </si>
  <si>
    <t>Bisi Johnson</t>
  </si>
  <si>
    <t>K.J. Hamler</t>
  </si>
  <si>
    <t>Dwayne Haskins Jr.</t>
  </si>
  <si>
    <t>Darrell Henderson Jr.</t>
  </si>
  <si>
    <t>Juju Smith-Schuster</t>
  </si>
  <si>
    <t>Anthony Gordon</t>
  </si>
  <si>
    <t>Jake Fromm</t>
  </si>
  <si>
    <t>John Wolford</t>
  </si>
  <si>
    <t>Seth DeValve</t>
  </si>
  <si>
    <t>Keeper</t>
  </si>
  <si>
    <t>Pos</t>
  </si>
  <si>
    <t>Bye Week</t>
  </si>
  <si>
    <t>ESPN</t>
  </si>
  <si>
    <t>UDK</t>
  </si>
  <si>
    <t>FantasyPro</t>
  </si>
  <si>
    <t>FFToolbox</t>
  </si>
  <si>
    <t>Avg Going Rate</t>
  </si>
  <si>
    <t>Variation</t>
  </si>
  <si>
    <t>Yes</t>
  </si>
  <si>
    <t>yes</t>
  </si>
  <si>
    <t>No</t>
  </si>
  <si>
    <t>Alexander Hollins</t>
  </si>
  <si>
    <t>Alfred Blue</t>
  </si>
  <si>
    <t>Antonio Callaway</t>
  </si>
  <si>
    <t>Benny Cunningham</t>
  </si>
  <si>
    <t>Brandon Zylstra</t>
  </si>
  <si>
    <t>Brian Parker</t>
  </si>
  <si>
    <t>Chris Ivory</t>
  </si>
  <si>
    <t>Clive Walford</t>
  </si>
  <si>
    <t>Cole McDonald</t>
  </si>
  <si>
    <t>Cyril Grayson</t>
  </si>
  <si>
    <t>Damion Willis</t>
  </si>
  <si>
    <t>Darren Sproles</t>
  </si>
  <si>
    <t>Deontay Burnett</t>
  </si>
  <si>
    <t>Dillon Mitchell</t>
  </si>
  <si>
    <t>Emanuel Hall</t>
  </si>
  <si>
    <t>Eric Tomlinson</t>
  </si>
  <si>
    <t>Erik Swoope</t>
  </si>
  <si>
    <t>Gabe Holmes</t>
  </si>
  <si>
    <t>Greg Dortch</t>
  </si>
  <si>
    <t>J.J. Jones</t>
  </si>
  <si>
    <t>Jacob Eason</t>
  </si>
  <si>
    <t>Jacquizz Rodgers</t>
  </si>
  <si>
    <t>Jalen Tolliver</t>
  </si>
  <si>
    <t>Jamaal Charles</t>
  </si>
  <si>
    <t>James Develin</t>
  </si>
  <si>
    <t>Jeff Smith</t>
  </si>
  <si>
    <t>Jeremy Hill</t>
  </si>
  <si>
    <t>Jerome Cunningham</t>
  </si>
  <si>
    <t>Jonathan Stewart</t>
  </si>
  <si>
    <t>Kapri Bibbs</t>
  </si>
  <si>
    <t>Krishawn Hogan</t>
  </si>
  <si>
    <t>LeGarrette Blount</t>
  </si>
  <si>
    <t>Marshawn Lynch</t>
  </si>
  <si>
    <t>Matt Lengel</t>
  </si>
  <si>
    <t>Nate Stanley</t>
  </si>
  <si>
    <t>Neal Sterling</t>
  </si>
  <si>
    <t>Quinton Flowers</t>
  </si>
  <si>
    <t>Rico Gafford</t>
  </si>
  <si>
    <t>Ryan Hewitt</t>
  </si>
  <si>
    <t>Scott Simonson</t>
  </si>
  <si>
    <t>Stevan Ridley</t>
  </si>
  <si>
    <t>Terry Godwin</t>
  </si>
  <si>
    <t>Tim White</t>
  </si>
  <si>
    <t>Trenton Irwin</t>
  </si>
  <si>
    <t>Keeper Price</t>
  </si>
  <si>
    <t>Start Bid</t>
  </si>
  <si>
    <t>Avg Price</t>
  </si>
  <si>
    <t>Max Bid</t>
  </si>
  <si>
    <t>Amount</t>
  </si>
  <si>
    <t>QB1</t>
  </si>
  <si>
    <t>RB1</t>
  </si>
  <si>
    <t>WR1</t>
  </si>
  <si>
    <t>WR2</t>
  </si>
  <si>
    <t>RB2</t>
  </si>
  <si>
    <t>D/ST</t>
  </si>
  <si>
    <t>Ravens</t>
  </si>
  <si>
    <t>WR3</t>
  </si>
  <si>
    <t>WR4</t>
  </si>
  <si>
    <t>Jarvis landry</t>
  </si>
  <si>
    <t>QB2</t>
  </si>
  <si>
    <t>RB3</t>
  </si>
  <si>
    <t>WR5</t>
  </si>
  <si>
    <t>TE2</t>
  </si>
  <si>
    <t>Gronk</t>
  </si>
  <si>
    <t>Bears</t>
  </si>
  <si>
    <t>WR6</t>
  </si>
  <si>
    <t>Marvin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</si>
</sst>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##0;###0"/>
  </numFmts>
  <fonts count="21">
    <font>
      <sz val="10.0"/>
      <color rgb="FF000000"/>
      <name val="Arial"/>
    </font>
    <font>
      <b/>
      <sz val="11.0"/>
      <color rgb="FF000000"/>
      <name val="Calibri"/>
    </font>
    <font>
      <b/>
      <name val="Arial"/>
    </font>
    <font>
      <name val="Arial"/>
    </font>
    <font>
      <sz val="11.0"/>
      <color rgb="FF000000"/>
      <name val="Calibri"/>
    </font>
    <font>
      <sz val="11.0"/>
      <color rgb="FF48494A"/>
      <name val="Calibri"/>
    </font>
    <font/>
    <font>
      <sz val="11.0"/>
      <name val="Calibri"/>
    </font>
    <font>
      <color rgb="FF454545"/>
      <name val="Proxima_regular"/>
    </font>
    <font>
      <b/>
      <color rgb="FF000000"/>
      <name val="Arial"/>
    </font>
    <font>
      <sz val="11.0"/>
      <name val="Helvetica Neue"/>
    </font>
    <font>
      <sz val="11.0"/>
      <color rgb="FF000000"/>
      <name val="Inconsolata"/>
    </font>
    <font>
      <b/>
      <sz val="11.0"/>
      <name val="Helvetica Neue"/>
    </font>
    <font>
      <b/>
    </font>
    <font>
      <color rgb="FF222222"/>
      <name val="&quot;Helvetica Neue&quot;"/>
    </font>
    <font>
      <color rgb="FF000000"/>
      <name val="Arial"/>
    </font>
    <font>
      <b/>
      <sz val="8.0"/>
      <color rgb="FF000000"/>
      <name val="Arial"/>
    </font>
    <font>
      <sz val="8.0"/>
      <name val="Arial"/>
    </font>
    <font>
      <sz val="8.0"/>
      <color rgb="FF000000"/>
      <name val="Arial"/>
    </font>
    <font>
      <b/>
      <sz val="11.0"/>
      <name val="&quot;Helvetica Neue&quot;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 shrinkToFit="0" wrapText="0"/>
    </xf>
    <xf borderId="2" fillId="0" fontId="4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4" numFmtId="164" xfId="0" applyAlignment="1" applyBorder="1" applyFont="1" applyNumberFormat="1">
      <alignment horizontal="center" readingOrder="0" shrinkToFit="0" wrapText="0"/>
    </xf>
    <xf borderId="3" fillId="4" fontId="5" numFmtId="0" xfId="0" applyAlignment="1" applyBorder="1" applyFont="1">
      <alignment horizontal="left" readingOrder="0" shrinkToFit="0" wrapText="0"/>
    </xf>
    <xf borderId="3" fillId="4" fontId="5" numFmtId="0" xfId="0" applyAlignment="1" applyBorder="1" applyFont="1">
      <alignment horizontal="center" readingOrder="0" shrinkToFit="0" wrapText="0"/>
    </xf>
    <xf borderId="3" fillId="4" fontId="5" numFmtId="164" xfId="0" applyAlignment="1" applyBorder="1" applyFont="1" applyNumberFormat="1">
      <alignment horizontal="center" readingOrder="0" shrinkToFit="0" wrapText="0"/>
    </xf>
    <xf borderId="2" fillId="4" fontId="5" numFmtId="0" xfId="0" applyAlignment="1" applyBorder="1" applyFont="1">
      <alignment horizontal="left" readingOrder="0" shrinkToFit="0" wrapText="0"/>
    </xf>
    <xf borderId="1" fillId="4" fontId="3" numFmtId="0" xfId="0" applyAlignment="1" applyBorder="1" applyFont="1">
      <alignment readingOrder="0" shrinkToFit="0" wrapText="0"/>
    </xf>
    <xf borderId="3" fillId="4" fontId="4" numFmtId="164" xfId="0" applyAlignment="1" applyBorder="1" applyFont="1" applyNumberFormat="1">
      <alignment horizontal="center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shrinkToFit="0" wrapText="0"/>
    </xf>
    <xf borderId="0" fillId="4" fontId="3" numFmtId="164" xfId="0" applyAlignment="1" applyFont="1" applyNumberFormat="1">
      <alignment horizontal="center" shrinkToFit="0" wrapText="0"/>
    </xf>
    <xf borderId="0" fillId="4" fontId="3" numFmtId="164" xfId="0" applyAlignment="1" applyFont="1" applyNumberFormat="1">
      <alignment horizontal="center" readingOrder="0" shrinkToFit="0" wrapText="0"/>
    </xf>
    <xf borderId="1" fillId="0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164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5" fillId="4" fontId="8" numFmtId="0" xfId="0" applyAlignment="1" applyBorder="1" applyFont="1">
      <alignment horizontal="center" readingOrder="0"/>
    </xf>
    <xf borderId="1" fillId="4" fontId="3" numFmtId="164" xfId="0" applyAlignment="1" applyBorder="1" applyFont="1" applyNumberFormat="1">
      <alignment horizontal="center" shrinkToFit="0" wrapText="0"/>
    </xf>
    <xf borderId="1" fillId="3" fontId="9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/>
    </xf>
    <xf borderId="3" fillId="4" fontId="10" numFmtId="0" xfId="0" applyAlignment="1" applyBorder="1" applyFont="1">
      <alignment horizontal="center" readingOrder="0" vertical="bottom"/>
    </xf>
    <xf borderId="3" fillId="4" fontId="10" numFmtId="0" xfId="0" applyAlignment="1" applyBorder="1" applyFont="1">
      <alignment horizontal="center" vertical="bottom"/>
    </xf>
    <xf borderId="1" fillId="4" fontId="11" numFmtId="164" xfId="0" applyAlignment="1" applyBorder="1" applyFont="1" applyNumberFormat="1">
      <alignment horizontal="center"/>
    </xf>
    <xf borderId="1" fillId="4" fontId="6" numFmtId="164" xfId="0" applyAlignment="1" applyBorder="1" applyFont="1" applyNumberFormat="1">
      <alignment horizontal="center"/>
    </xf>
    <xf borderId="3" fillId="4" fontId="12" numFmtId="0" xfId="0" applyAlignment="1" applyBorder="1" applyFont="1">
      <alignment horizontal="center" vertical="bottom"/>
    </xf>
    <xf borderId="0" fillId="4" fontId="10" numFmtId="0" xfId="0" applyAlignment="1" applyFont="1">
      <alignment horizontal="center" vertical="bottom"/>
    </xf>
    <xf borderId="0" fillId="4" fontId="11" numFmtId="164" xfId="0" applyAlignment="1" applyFont="1" applyNumberFormat="1">
      <alignment horizontal="center"/>
    </xf>
    <xf borderId="0" fillId="4" fontId="6" numFmtId="164" xfId="0" applyAlignment="1" applyFont="1" applyNumberFormat="1">
      <alignment horizontal="center"/>
    </xf>
    <xf borderId="1" fillId="3" fontId="9" numFmtId="0" xfId="0" applyAlignment="1" applyBorder="1" applyFont="1">
      <alignment horizontal="center" readingOrder="0" shrinkToFit="0" vertical="center" wrapText="0"/>
    </xf>
    <xf borderId="6" fillId="5" fontId="13" numFmtId="164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 vertical="center"/>
    </xf>
    <xf borderId="1" fillId="4" fontId="14" numFmtId="0" xfId="0" applyAlignment="1" applyBorder="1" applyFont="1">
      <alignment horizontal="left" readingOrder="0" vertical="center"/>
    </xf>
    <xf borderId="1" fillId="4" fontId="14" numFmtId="0" xfId="0" applyAlignment="1" applyBorder="1" applyFont="1">
      <alignment horizontal="center" readingOrder="0" vertical="center"/>
    </xf>
    <xf borderId="1" fillId="4" fontId="14" numFmtId="164" xfId="0" applyAlignment="1" applyBorder="1" applyFont="1" applyNumberFormat="1">
      <alignment horizontal="center" readingOrder="0" vertical="center"/>
    </xf>
    <xf borderId="1" fillId="4" fontId="6" numFmtId="164" xfId="0" applyAlignment="1" applyBorder="1" applyFont="1" applyNumberFormat="1">
      <alignment horizontal="center" vertical="center"/>
    </xf>
    <xf borderId="1" fillId="4" fontId="11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readingOrder="0" vertical="center"/>
    </xf>
    <xf borderId="7" fillId="6" fontId="13" numFmtId="0" xfId="0" applyAlignment="1" applyBorder="1" applyFill="1" applyFont="1">
      <alignment horizontal="center" readingOrder="0"/>
    </xf>
    <xf borderId="8" fillId="6" fontId="13" numFmtId="0" xfId="0" applyAlignment="1" applyBorder="1" applyFont="1">
      <alignment horizontal="center" readingOrder="0"/>
    </xf>
    <xf borderId="9" fillId="6" fontId="13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10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6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left" readingOrder="0" shrinkToFit="0" vertical="center" wrapText="0"/>
    </xf>
    <xf borderId="13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4" fillId="0" fontId="6" numFmtId="164" xfId="0" applyAlignment="1" applyBorder="1" applyFont="1" applyNumberFormat="1">
      <alignment horizontal="center" readingOrder="0"/>
    </xf>
    <xf borderId="15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164" xfId="0" applyAlignment="1" applyBorder="1" applyFont="1" applyNumberFormat="1">
      <alignment horizontal="center" readingOrder="0"/>
    </xf>
    <xf borderId="6" fillId="0" fontId="13" numFmtId="164" xfId="0" applyAlignment="1" applyBorder="1" applyFont="1" applyNumberFormat="1">
      <alignment horizontal="center"/>
    </xf>
    <xf borderId="1" fillId="4" fontId="14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left" vertical="bottom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1" fillId="0" fontId="15" numFmtId="0" xfId="0" applyAlignment="1" applyBorder="1" applyFont="1">
      <alignment horizontal="center" readingOrder="0" shrinkToFit="0" wrapText="0"/>
    </xf>
    <xf borderId="1" fillId="6" fontId="16" numFmtId="165" xfId="0" applyAlignment="1" applyBorder="1" applyFont="1" applyNumberFormat="1">
      <alignment horizontal="center" shrinkToFit="0" wrapText="1"/>
    </xf>
    <xf borderId="3" fillId="6" fontId="16" numFmtId="165" xfId="0" applyAlignment="1" applyBorder="1" applyFont="1" applyNumberFormat="1">
      <alignment horizontal="center" readingOrder="0" shrinkToFit="0" vertical="center" wrapText="1"/>
    </xf>
    <xf borderId="1" fillId="4" fontId="17" numFmtId="0" xfId="0" applyAlignment="1" applyBorder="1" applyFont="1">
      <alignment shrinkToFit="0" wrapText="1"/>
    </xf>
    <xf borderId="1" fillId="0" fontId="18" numFmtId="165" xfId="0" applyAlignment="1" applyBorder="1" applyFont="1" applyNumberFormat="1">
      <alignment horizontal="center" shrinkToFit="0" wrapText="1"/>
    </xf>
    <xf borderId="3" fillId="0" fontId="18" numFmtId="164" xfId="0" applyAlignment="1" applyBorder="1" applyFont="1" applyNumberFormat="1">
      <alignment horizontal="center" readingOrder="0" shrinkToFit="0" vertical="center" wrapText="1"/>
    </xf>
    <xf borderId="1" fillId="4" fontId="17" numFmtId="0" xfId="0" applyAlignment="1" applyBorder="1" applyFont="1">
      <alignment readingOrder="0" shrinkToFit="0" wrapText="1"/>
    </xf>
    <xf borderId="3" fillId="4" fontId="17" numFmtId="0" xfId="0" applyAlignment="1" applyBorder="1" applyFont="1">
      <alignment readingOrder="0" shrinkToFit="0" vertical="center" wrapText="1"/>
    </xf>
    <xf borderId="1" fillId="0" fontId="18" numFmtId="165" xfId="0" applyAlignment="1" applyBorder="1" applyFont="1" applyNumberFormat="1">
      <alignment horizontal="center" readingOrder="0" shrinkToFit="0" wrapText="1"/>
    </xf>
    <xf borderId="0" fillId="7" fontId="19" numFmtId="0" xfId="0" applyAlignment="1" applyFill="1" applyFont="1">
      <alignment horizontal="center" vertical="bottom"/>
    </xf>
    <xf borderId="1" fillId="7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>
  <Task id="{4b245329-acd7-4600-a593-2e535a0e1720}">
    <Anchor>
      <Comment id="{48b03f20-9e40-4b39-8a6f-8dfdfcb6329e}"/>
    </Anchor>
    <History>
      <Event time="2020-08-29T03:07:17.00" id="{dde69d8f-1d8f-477a-ae91-dfff2eb16194}">
        <Attribution userId="placeholder@email.com" userName="Raymond Long" userProvider="google-sheets"/>
        <Anchor>
          <Comment id="{48b03f20-9e40-4b39-8a6f-8dfdfcb6329e}"/>
        </Anchor>
        <Create/>
      </Event>
      <Event time="2020-08-29T03:07:17.00" id="{df6c7b53-b91b-4b0f-b296-e0da8563b9ce}">
        <Attribution userId="placeholder@email.com" userName="Raymond Long" userProvider="google-sheets"/>
        <Anchor>
          <Comment id="{48b03f20-9e40-4b39-8a6f-8dfdfcb6329e}"/>
        </Anchor>
        <Assign userId="jeffhudge@gmail.com" userName="jeffhudge@gmail.com" userProvider="google-sheets"/>
      </Event>
    </History>
  </Task>
</Tasks>
</file>

<file path=xl/documenttasks/documenttask2.xml><?xml version="1.0" encoding="utf-8"?>
<Tasks xmlns="http://schemas.microsoft.com/office/tasks/2019/documenttasks">
  <Task id="{66914ef1-44e4-40f0-8fb1-d63a020b75ae}">
    <Anchor>
      <Comment id="{786ddcd9-b5f7-4575-a255-0a77412ce5ce}"/>
    </Anchor>
    <History>
      <Event time="2020-08-27T01:22:52.00" id="{4c339188-019d-43ab-b597-09f5142b3418}">
        <Attribution userId="placeholder@email.com" userName="Raymond Long" userProvider="google-sheets"/>
        <Anchor>
          <Comment id="{786ddcd9-b5f7-4575-a255-0a77412ce5ce}"/>
        </Anchor>
        <Create/>
      </Event>
      <Event time="2020-08-27T01:22:52.00" id="{b2b35eba-e230-4f7a-8ab2-f66f6a497f53}">
        <Attribution userId="placeholder@email.com" userName="Raymond Long" userProvider="google-sheets"/>
        <Anchor>
          <Comment id="{786ddcd9-b5f7-4575-a255-0a77412ce5ce}"/>
        </Anchor>
        <Assign userId="jeffhudge@gmail.com" userName="jeffhudge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ffhudge@gmail.com" id="{015738da-4814-4fb2-b85c-2e17542bb2eb}" userId="jeffhudge@gmail.com" providerId="google-sheets"/>
  <x18tc:person displayName="Raymond Long" id="{52051c98-9a54-4ecf-abb5-24ea4dc51fdd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0-08-29T03:07:17.00" personId="{52051c98-9a54-4ecf-abb5-24ea4dc51fdd}" id="{48b03f20-9e40-4b39-8a6f-8dfdfcb6329e}" done="1">
    <x18tc:text xml:space="preserve">I need your help dong a vlookup to have this cell look at the player name tab and pull in the team abbrev based on the name. @jeffhudge@gmail.com
Assigned to jeffhudge@gmail.com</x18tc:text>
    <x18tc:mentions>
      <x18tc:mention mentionpersonId="{015738da-4814-4fb2-b85c-2e17542bb2eb}" mentionId="{a82f9384-9b4b-46e6-bf9e-e6725dad86e0}" startIndex="125" length="20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06" dT="2020-08-29T21:07:25.00" personId="{52051c98-9a54-4ecf-abb5-24ea4dc51fdd}" id="{eb61f83a-9e5c-4919-a331-799aef5361bf}" done="1">
    <x18tc:text xml:space="preserve">@jeffhudge@gmail.com could you help fix this error?</x18tc:text>
    <x18tc:mentions>
      <x18tc:mention mentionpersonId="{015738da-4814-4fb2-b85c-2e17542bb2eb}" mentionId="{451f2c8c-da40-4525-a8a6-7cb73dd7f057}" startIndex="0" length="20"/>
    </x18tc:mentions>
  </x18tc:threadedComment>
  <x18tc:threadedComment ref="F2" dT="2020-08-27T01:22:52.00" personId="{52051c98-9a54-4ecf-abb5-24ea4dc51fdd}" id="{786ddcd9-b5f7-4575-a255-0a77412ce5ce}" done="1">
    <x18tc:text xml:space="preserve">@jeffhudge@gmail.com I already need your help. I imported the first set of players to tab 1 and somehow that jacked up the formula(s). When you get some spare time take a peek.
Assigned to jeffhudge@gmail.com</x18tc:text>
    <x18tc:mentions>
      <x18tc:mention mentionpersonId="{015738da-4814-4fb2-b85c-2e17542bb2eb}" mentionId="{9f7f944a-c1a4-4b58-ae2c-6af293240f96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5">
        <v>1.0</v>
      </c>
      <c r="B2" s="6" t="s">
        <v>5</v>
      </c>
      <c r="C2" s="7" t="s">
        <v>6</v>
      </c>
      <c r="D2" s="7" t="s">
        <v>7</v>
      </c>
      <c r="E2" s="8">
        <v>59.0</v>
      </c>
    </row>
    <row r="3">
      <c r="A3" s="5">
        <v>2.0</v>
      </c>
      <c r="B3" s="9" t="s">
        <v>8</v>
      </c>
      <c r="C3" s="10" t="s">
        <v>9</v>
      </c>
      <c r="D3" s="10" t="s">
        <v>10</v>
      </c>
      <c r="E3" s="11">
        <v>57.0</v>
      </c>
    </row>
    <row r="4">
      <c r="A4" s="5">
        <v>3.0</v>
      </c>
      <c r="B4" s="9" t="s">
        <v>11</v>
      </c>
      <c r="C4" s="10" t="s">
        <v>12</v>
      </c>
      <c r="D4" s="10" t="s">
        <v>10</v>
      </c>
      <c r="E4" s="11">
        <v>52.0</v>
      </c>
    </row>
    <row r="5">
      <c r="A5" s="5">
        <v>4.0</v>
      </c>
      <c r="B5" s="9" t="s">
        <v>13</v>
      </c>
      <c r="C5" s="10" t="s">
        <v>14</v>
      </c>
      <c r="D5" s="10" t="s">
        <v>7</v>
      </c>
      <c r="E5" s="11">
        <v>51.0</v>
      </c>
    </row>
    <row r="6">
      <c r="A6" s="5">
        <v>5.0</v>
      </c>
      <c r="B6" s="9" t="s">
        <v>15</v>
      </c>
      <c r="C6" s="10" t="s">
        <v>9</v>
      </c>
      <c r="D6" s="10" t="s">
        <v>16</v>
      </c>
      <c r="E6" s="11">
        <v>50.0</v>
      </c>
    </row>
    <row r="7">
      <c r="A7" s="5">
        <v>6.0</v>
      </c>
      <c r="B7" s="9" t="s">
        <v>17</v>
      </c>
      <c r="C7" s="10" t="s">
        <v>18</v>
      </c>
      <c r="D7" s="10" t="s">
        <v>7</v>
      </c>
      <c r="E7" s="11">
        <v>49.0</v>
      </c>
    </row>
    <row r="8">
      <c r="A8" s="5">
        <v>7.0</v>
      </c>
      <c r="B8" s="9" t="s">
        <v>19</v>
      </c>
      <c r="C8" s="10" t="s">
        <v>20</v>
      </c>
      <c r="D8" s="10" t="s">
        <v>10</v>
      </c>
      <c r="E8" s="11">
        <v>48.0</v>
      </c>
    </row>
    <row r="9">
      <c r="A9" s="5">
        <v>8.0</v>
      </c>
      <c r="B9" s="9" t="s">
        <v>21</v>
      </c>
      <c r="C9" s="10" t="s">
        <v>22</v>
      </c>
      <c r="D9" s="10" t="s">
        <v>7</v>
      </c>
      <c r="E9" s="11">
        <v>46.0</v>
      </c>
    </row>
    <row r="10">
      <c r="A10" s="5">
        <v>9.0</v>
      </c>
      <c r="B10" s="9" t="s">
        <v>23</v>
      </c>
      <c r="C10" s="10" t="s">
        <v>24</v>
      </c>
      <c r="D10" s="10" t="s">
        <v>25</v>
      </c>
      <c r="E10" s="11">
        <v>42.0</v>
      </c>
    </row>
    <row r="11">
      <c r="A11" s="5">
        <v>10.0</v>
      </c>
      <c r="B11" s="9" t="s">
        <v>26</v>
      </c>
      <c r="C11" s="10" t="s">
        <v>27</v>
      </c>
      <c r="D11" s="10" t="s">
        <v>16</v>
      </c>
      <c r="E11" s="11">
        <v>42.0</v>
      </c>
    </row>
    <row r="12">
      <c r="A12" s="5">
        <v>11.0</v>
      </c>
      <c r="B12" s="9" t="s">
        <v>28</v>
      </c>
      <c r="C12" s="10" t="s">
        <v>29</v>
      </c>
      <c r="D12" s="10" t="s">
        <v>7</v>
      </c>
      <c r="E12" s="11">
        <v>39.0</v>
      </c>
    </row>
    <row r="13">
      <c r="A13" s="5">
        <v>12.0</v>
      </c>
      <c r="B13" s="9" t="s">
        <v>30</v>
      </c>
      <c r="C13" s="10" t="s">
        <v>9</v>
      </c>
      <c r="D13" s="10" t="s">
        <v>25</v>
      </c>
      <c r="E13" s="11">
        <v>39.0</v>
      </c>
    </row>
    <row r="14">
      <c r="A14" s="5">
        <v>13.0</v>
      </c>
      <c r="B14" s="9" t="s">
        <v>31</v>
      </c>
      <c r="C14" s="10" t="s">
        <v>32</v>
      </c>
      <c r="D14" s="10" t="s">
        <v>7</v>
      </c>
      <c r="E14" s="11">
        <v>37.0</v>
      </c>
    </row>
    <row r="15">
      <c r="A15" s="5">
        <v>14.0</v>
      </c>
      <c r="B15" s="9" t="s">
        <v>33</v>
      </c>
      <c r="C15" s="10" t="s">
        <v>34</v>
      </c>
      <c r="D15" s="10" t="s">
        <v>7</v>
      </c>
      <c r="E15" s="11">
        <v>36.0</v>
      </c>
    </row>
    <row r="16">
      <c r="A16" s="5">
        <v>15.0</v>
      </c>
      <c r="B16" s="9" t="s">
        <v>35</v>
      </c>
      <c r="C16" s="10" t="s">
        <v>9</v>
      </c>
      <c r="D16" s="10" t="s">
        <v>7</v>
      </c>
      <c r="E16" s="11">
        <v>36.0</v>
      </c>
    </row>
    <row r="17">
      <c r="A17" s="5">
        <v>16.0</v>
      </c>
      <c r="B17" s="9" t="s">
        <v>36</v>
      </c>
      <c r="C17" s="10" t="s">
        <v>24</v>
      </c>
      <c r="D17" s="10" t="s">
        <v>7</v>
      </c>
      <c r="E17" s="11">
        <v>35.0</v>
      </c>
    </row>
    <row r="18">
      <c r="A18" s="5">
        <v>17.0</v>
      </c>
      <c r="B18" s="9" t="s">
        <v>37</v>
      </c>
      <c r="C18" s="10" t="s">
        <v>38</v>
      </c>
      <c r="D18" s="10" t="s">
        <v>25</v>
      </c>
      <c r="E18" s="11">
        <v>35.0</v>
      </c>
    </row>
    <row r="19">
      <c r="A19" s="5">
        <v>18.0</v>
      </c>
      <c r="B19" s="9" t="s">
        <v>39</v>
      </c>
      <c r="C19" s="10" t="s">
        <v>40</v>
      </c>
      <c r="D19" s="10" t="s">
        <v>10</v>
      </c>
      <c r="E19" s="11">
        <v>34.0</v>
      </c>
    </row>
    <row r="20">
      <c r="A20" s="5">
        <v>19.0</v>
      </c>
      <c r="B20" s="9" t="s">
        <v>41</v>
      </c>
      <c r="C20" s="10" t="s">
        <v>40</v>
      </c>
      <c r="D20" s="10" t="s">
        <v>7</v>
      </c>
      <c r="E20" s="11">
        <v>33.0</v>
      </c>
    </row>
    <row r="21">
      <c r="A21" s="5">
        <v>20.0</v>
      </c>
      <c r="B21" s="9" t="s">
        <v>42</v>
      </c>
      <c r="C21" s="10" t="s">
        <v>12</v>
      </c>
      <c r="D21" s="10" t="s">
        <v>16</v>
      </c>
      <c r="E21" s="11">
        <v>33.0</v>
      </c>
    </row>
    <row r="22">
      <c r="A22" s="5">
        <v>21.0</v>
      </c>
      <c r="B22" s="9" t="s">
        <v>43</v>
      </c>
      <c r="C22" s="10" t="s">
        <v>44</v>
      </c>
      <c r="D22" s="10" t="s">
        <v>25</v>
      </c>
      <c r="E22" s="11">
        <v>32.0</v>
      </c>
    </row>
    <row r="23">
      <c r="A23" s="5">
        <v>22.0</v>
      </c>
      <c r="B23" s="9" t="s">
        <v>45</v>
      </c>
      <c r="C23" s="10" t="s">
        <v>14</v>
      </c>
      <c r="D23" s="10" t="s">
        <v>10</v>
      </c>
      <c r="E23" s="11">
        <v>32.0</v>
      </c>
    </row>
    <row r="24">
      <c r="A24" s="5">
        <v>23.0</v>
      </c>
      <c r="B24" s="9" t="s">
        <v>46</v>
      </c>
      <c r="C24" s="10" t="s">
        <v>38</v>
      </c>
      <c r="D24" s="10" t="s">
        <v>25</v>
      </c>
      <c r="E24" s="11">
        <v>32.0</v>
      </c>
    </row>
    <row r="25">
      <c r="A25" s="5">
        <v>24.0</v>
      </c>
      <c r="B25" s="9" t="s">
        <v>47</v>
      </c>
      <c r="C25" s="10" t="s">
        <v>48</v>
      </c>
      <c r="D25" s="10" t="s">
        <v>10</v>
      </c>
      <c r="E25" s="11">
        <v>30.0</v>
      </c>
    </row>
    <row r="26">
      <c r="A26" s="5">
        <v>25.0</v>
      </c>
      <c r="B26" s="9" t="s">
        <v>49</v>
      </c>
      <c r="C26" s="10" t="s">
        <v>18</v>
      </c>
      <c r="D26" s="10" t="s">
        <v>16</v>
      </c>
      <c r="E26" s="11">
        <v>30.0</v>
      </c>
    </row>
    <row r="27">
      <c r="A27" s="5">
        <v>26.0</v>
      </c>
      <c r="B27" s="9" t="s">
        <v>50</v>
      </c>
      <c r="C27" s="10" t="s">
        <v>32</v>
      </c>
      <c r="D27" s="10" t="s">
        <v>16</v>
      </c>
      <c r="E27" s="11">
        <v>29.0</v>
      </c>
    </row>
    <row r="28">
      <c r="A28" s="5">
        <v>27.0</v>
      </c>
      <c r="B28" s="9" t="s">
        <v>51</v>
      </c>
      <c r="C28" s="10" t="s">
        <v>52</v>
      </c>
      <c r="D28" s="10" t="s">
        <v>25</v>
      </c>
      <c r="E28" s="11">
        <v>28.0</v>
      </c>
    </row>
    <row r="29">
      <c r="A29" s="5">
        <v>28.0</v>
      </c>
      <c r="B29" s="9" t="s">
        <v>53</v>
      </c>
      <c r="C29" s="10" t="s">
        <v>54</v>
      </c>
      <c r="D29" s="10" t="s">
        <v>7</v>
      </c>
      <c r="E29" s="11">
        <v>28.0</v>
      </c>
    </row>
    <row r="30">
      <c r="A30" s="5">
        <v>29.0</v>
      </c>
      <c r="B30" s="9" t="s">
        <v>55</v>
      </c>
      <c r="C30" s="10" t="s">
        <v>56</v>
      </c>
      <c r="D30" s="10" t="s">
        <v>25</v>
      </c>
      <c r="E30" s="11">
        <v>28.0</v>
      </c>
    </row>
    <row r="31">
      <c r="A31" s="5">
        <v>30.0</v>
      </c>
      <c r="B31" s="9" t="s">
        <v>57</v>
      </c>
      <c r="C31" s="10" t="s">
        <v>22</v>
      </c>
      <c r="D31" s="10" t="s">
        <v>25</v>
      </c>
      <c r="E31" s="11">
        <v>28.0</v>
      </c>
    </row>
    <row r="32">
      <c r="A32" s="5">
        <v>31.0</v>
      </c>
      <c r="B32" s="9" t="s">
        <v>58</v>
      </c>
      <c r="C32" s="10" t="s">
        <v>59</v>
      </c>
      <c r="D32" s="10" t="s">
        <v>25</v>
      </c>
      <c r="E32" s="11">
        <v>28.0</v>
      </c>
    </row>
    <row r="33">
      <c r="A33" s="5">
        <v>32.0</v>
      </c>
      <c r="B33" s="9" t="s">
        <v>60</v>
      </c>
      <c r="C33" s="10" t="s">
        <v>61</v>
      </c>
      <c r="D33" s="10" t="s">
        <v>7</v>
      </c>
      <c r="E33" s="11">
        <v>27.0</v>
      </c>
    </row>
    <row r="34">
      <c r="A34" s="5">
        <v>33.0</v>
      </c>
      <c r="B34" s="9" t="s">
        <v>62</v>
      </c>
      <c r="C34" s="10" t="s">
        <v>63</v>
      </c>
      <c r="D34" s="10" t="s">
        <v>25</v>
      </c>
      <c r="E34" s="11">
        <v>26.0</v>
      </c>
    </row>
    <row r="35">
      <c r="A35" s="5">
        <v>34.0</v>
      </c>
      <c r="B35" s="9" t="s">
        <v>64</v>
      </c>
      <c r="C35" s="10" t="s">
        <v>40</v>
      </c>
      <c r="D35" s="10" t="s">
        <v>25</v>
      </c>
      <c r="E35" s="11">
        <v>26.0</v>
      </c>
    </row>
    <row r="36">
      <c r="A36" s="5">
        <v>35.0</v>
      </c>
      <c r="B36" s="9" t="s">
        <v>65</v>
      </c>
      <c r="C36" s="10" t="s">
        <v>56</v>
      </c>
      <c r="D36" s="10" t="s">
        <v>7</v>
      </c>
      <c r="E36" s="11">
        <v>25.0</v>
      </c>
    </row>
    <row r="37">
      <c r="A37" s="5">
        <v>36.0</v>
      </c>
      <c r="B37" s="9" t="s">
        <v>66</v>
      </c>
      <c r="C37" s="10" t="s">
        <v>14</v>
      </c>
      <c r="D37" s="10" t="s">
        <v>25</v>
      </c>
      <c r="E37" s="11">
        <v>25.0</v>
      </c>
    </row>
    <row r="38">
      <c r="A38" s="5">
        <v>37.0</v>
      </c>
      <c r="B38" s="9" t="s">
        <v>67</v>
      </c>
      <c r="C38" s="10" t="s">
        <v>20</v>
      </c>
      <c r="D38" s="10" t="s">
        <v>7</v>
      </c>
      <c r="E38" s="11">
        <v>24.0</v>
      </c>
    </row>
    <row r="39">
      <c r="A39" s="5">
        <v>38.0</v>
      </c>
      <c r="B39" s="9" t="s">
        <v>68</v>
      </c>
      <c r="C39" s="10" t="s">
        <v>69</v>
      </c>
      <c r="D39" s="10" t="s">
        <v>25</v>
      </c>
      <c r="E39" s="11">
        <v>24.0</v>
      </c>
    </row>
    <row r="40">
      <c r="A40" s="5">
        <v>39.0</v>
      </c>
      <c r="B40" s="9" t="s">
        <v>70</v>
      </c>
      <c r="C40" s="10" t="s">
        <v>38</v>
      </c>
      <c r="D40" s="10" t="s">
        <v>10</v>
      </c>
      <c r="E40" s="11">
        <v>24.0</v>
      </c>
    </row>
    <row r="41">
      <c r="A41" s="5">
        <v>40.0</v>
      </c>
      <c r="B41" s="9" t="s">
        <v>71</v>
      </c>
      <c r="C41" s="10" t="s">
        <v>6</v>
      </c>
      <c r="D41" s="10" t="s">
        <v>25</v>
      </c>
      <c r="E41" s="11">
        <v>23.0</v>
      </c>
    </row>
    <row r="42">
      <c r="A42" s="5">
        <v>41.0</v>
      </c>
      <c r="B42" s="9" t="s">
        <v>72</v>
      </c>
      <c r="C42" s="10" t="s">
        <v>32</v>
      </c>
      <c r="D42" s="10" t="s">
        <v>10</v>
      </c>
      <c r="E42" s="11">
        <v>23.0</v>
      </c>
    </row>
    <row r="43">
      <c r="A43" s="5">
        <v>42.0</v>
      </c>
      <c r="B43" s="9" t="s">
        <v>73</v>
      </c>
      <c r="C43" s="10" t="s">
        <v>74</v>
      </c>
      <c r="D43" s="10" t="s">
        <v>25</v>
      </c>
      <c r="E43" s="11">
        <v>23.0</v>
      </c>
    </row>
    <row r="44">
      <c r="A44" s="5">
        <v>43.0</v>
      </c>
      <c r="B44" s="9" t="s">
        <v>75</v>
      </c>
      <c r="C44" s="10" t="s">
        <v>40</v>
      </c>
      <c r="D44" s="10" t="s">
        <v>25</v>
      </c>
      <c r="E44" s="11">
        <v>23.0</v>
      </c>
    </row>
    <row r="45">
      <c r="A45" s="5">
        <v>44.0</v>
      </c>
      <c r="B45" s="9" t="s">
        <v>76</v>
      </c>
      <c r="C45" s="10" t="s">
        <v>77</v>
      </c>
      <c r="D45" s="10" t="s">
        <v>25</v>
      </c>
      <c r="E45" s="11">
        <v>23.0</v>
      </c>
    </row>
    <row r="46">
      <c r="A46" s="5">
        <v>45.0</v>
      </c>
      <c r="B46" s="9" t="s">
        <v>78</v>
      </c>
      <c r="C46" s="10" t="s">
        <v>59</v>
      </c>
      <c r="D46" s="10" t="s">
        <v>10</v>
      </c>
      <c r="E46" s="11">
        <v>22.0</v>
      </c>
    </row>
    <row r="47">
      <c r="A47" s="5">
        <v>46.0</v>
      </c>
      <c r="B47" s="9" t="s">
        <v>79</v>
      </c>
      <c r="C47" s="10" t="s">
        <v>34</v>
      </c>
      <c r="D47" s="10" t="s">
        <v>25</v>
      </c>
      <c r="E47" s="11">
        <v>22.0</v>
      </c>
    </row>
    <row r="48">
      <c r="A48" s="5">
        <v>47.0</v>
      </c>
      <c r="B48" s="9" t="s">
        <v>80</v>
      </c>
      <c r="C48" s="10" t="s">
        <v>44</v>
      </c>
      <c r="D48" s="10" t="s">
        <v>25</v>
      </c>
      <c r="E48" s="11">
        <v>22.0</v>
      </c>
    </row>
    <row r="49">
      <c r="A49" s="5">
        <v>48.0</v>
      </c>
      <c r="B49" s="9" t="s">
        <v>81</v>
      </c>
      <c r="C49" s="10" t="s">
        <v>44</v>
      </c>
      <c r="D49" s="10" t="s">
        <v>10</v>
      </c>
      <c r="E49" s="11">
        <v>22.0</v>
      </c>
    </row>
    <row r="50">
      <c r="A50" s="5">
        <v>49.0</v>
      </c>
      <c r="B50" s="9" t="s">
        <v>82</v>
      </c>
      <c r="C50" s="10" t="s">
        <v>44</v>
      </c>
      <c r="D50" s="10" t="s">
        <v>7</v>
      </c>
      <c r="E50" s="11">
        <v>22.0</v>
      </c>
    </row>
    <row r="51">
      <c r="A51" s="5">
        <v>50.0</v>
      </c>
      <c r="B51" s="9" t="s">
        <v>83</v>
      </c>
      <c r="C51" s="10" t="s">
        <v>54</v>
      </c>
      <c r="D51" s="10" t="s">
        <v>25</v>
      </c>
      <c r="E51" s="11">
        <v>21.0</v>
      </c>
    </row>
    <row r="52">
      <c r="A52" s="5">
        <v>51.0</v>
      </c>
      <c r="B52" s="9" t="s">
        <v>84</v>
      </c>
      <c r="C52" s="10" t="s">
        <v>74</v>
      </c>
      <c r="D52" s="10" t="s">
        <v>7</v>
      </c>
      <c r="E52" s="11">
        <v>20.0</v>
      </c>
    </row>
    <row r="53">
      <c r="A53" s="5">
        <v>52.0</v>
      </c>
      <c r="B53" s="9" t="s">
        <v>85</v>
      </c>
      <c r="C53" s="10" t="s">
        <v>86</v>
      </c>
      <c r="D53" s="10" t="s">
        <v>10</v>
      </c>
      <c r="E53" s="11">
        <v>20.0</v>
      </c>
    </row>
    <row r="54">
      <c r="A54" s="5">
        <v>53.0</v>
      </c>
      <c r="B54" s="9" t="s">
        <v>87</v>
      </c>
      <c r="C54" s="10" t="s">
        <v>52</v>
      </c>
      <c r="D54" s="10" t="s">
        <v>10</v>
      </c>
      <c r="E54" s="11">
        <v>20.0</v>
      </c>
    </row>
    <row r="55">
      <c r="A55" s="5">
        <v>54.0</v>
      </c>
      <c r="B55" s="9" t="s">
        <v>88</v>
      </c>
      <c r="C55" s="10" t="s">
        <v>52</v>
      </c>
      <c r="D55" s="10" t="s">
        <v>7</v>
      </c>
      <c r="E55" s="11">
        <v>20.0</v>
      </c>
    </row>
    <row r="56">
      <c r="A56" s="5">
        <v>55.0</v>
      </c>
      <c r="B56" s="9" t="s">
        <v>89</v>
      </c>
      <c r="C56" s="10" t="s">
        <v>90</v>
      </c>
      <c r="D56" s="10" t="s">
        <v>25</v>
      </c>
      <c r="E56" s="11">
        <v>20.0</v>
      </c>
    </row>
    <row r="57">
      <c r="A57" s="5">
        <v>56.0</v>
      </c>
      <c r="B57" s="9" t="s">
        <v>91</v>
      </c>
      <c r="C57" s="10" t="s">
        <v>92</v>
      </c>
      <c r="D57" s="10" t="s">
        <v>25</v>
      </c>
      <c r="E57" s="11">
        <v>19.0</v>
      </c>
    </row>
    <row r="58">
      <c r="A58" s="5">
        <v>57.0</v>
      </c>
      <c r="B58" s="9" t="s">
        <v>93</v>
      </c>
      <c r="C58" s="10" t="s">
        <v>14</v>
      </c>
      <c r="D58" s="10" t="s">
        <v>25</v>
      </c>
      <c r="E58" s="11">
        <v>19.0</v>
      </c>
    </row>
    <row r="59">
      <c r="A59" s="5">
        <v>58.0</v>
      </c>
      <c r="B59" s="9" t="s">
        <v>94</v>
      </c>
      <c r="C59" s="10" t="s">
        <v>24</v>
      </c>
      <c r="D59" s="10" t="s">
        <v>16</v>
      </c>
      <c r="E59" s="11">
        <v>18.0</v>
      </c>
    </row>
    <row r="60">
      <c r="A60" s="5">
        <v>59.0</v>
      </c>
      <c r="B60" s="9" t="s">
        <v>95</v>
      </c>
      <c r="C60" s="10" t="s">
        <v>96</v>
      </c>
      <c r="D60" s="10" t="s">
        <v>7</v>
      </c>
      <c r="E60" s="11">
        <v>18.0</v>
      </c>
    </row>
    <row r="61">
      <c r="A61" s="5">
        <v>60.0</v>
      </c>
      <c r="B61" s="9" t="s">
        <v>97</v>
      </c>
      <c r="C61" s="10" t="s">
        <v>90</v>
      </c>
      <c r="D61" s="10" t="s">
        <v>25</v>
      </c>
      <c r="E61" s="11">
        <v>17.0</v>
      </c>
    </row>
    <row r="62">
      <c r="A62" s="5">
        <v>61.0</v>
      </c>
      <c r="B62" s="9" t="s">
        <v>98</v>
      </c>
      <c r="C62" s="10" t="s">
        <v>54</v>
      </c>
      <c r="D62" s="10" t="s">
        <v>25</v>
      </c>
      <c r="E62" s="11">
        <v>17.0</v>
      </c>
    </row>
    <row r="63">
      <c r="A63" s="5">
        <v>62.0</v>
      </c>
      <c r="B63" s="9" t="s">
        <v>99</v>
      </c>
      <c r="C63" s="10" t="s">
        <v>24</v>
      </c>
      <c r="D63" s="10" t="s">
        <v>10</v>
      </c>
      <c r="E63" s="11">
        <v>17.0</v>
      </c>
    </row>
    <row r="64">
      <c r="A64" s="5">
        <v>63.0</v>
      </c>
      <c r="B64" s="9" t="s">
        <v>100</v>
      </c>
      <c r="C64" s="10" t="s">
        <v>18</v>
      </c>
      <c r="D64" s="10" t="s">
        <v>10</v>
      </c>
      <c r="E64" s="11">
        <v>16.0</v>
      </c>
    </row>
    <row r="65">
      <c r="A65" s="5">
        <v>64.0</v>
      </c>
      <c r="B65" s="9" t="s">
        <v>101</v>
      </c>
      <c r="C65" s="10" t="s">
        <v>102</v>
      </c>
      <c r="D65" s="10" t="s">
        <v>25</v>
      </c>
      <c r="E65" s="11">
        <v>16.0</v>
      </c>
    </row>
    <row r="66">
      <c r="A66" s="5">
        <v>65.0</v>
      </c>
      <c r="B66" s="9" t="s">
        <v>103</v>
      </c>
      <c r="C66" s="10" t="s">
        <v>104</v>
      </c>
      <c r="D66" s="10" t="s">
        <v>25</v>
      </c>
      <c r="E66" s="11">
        <v>15.0</v>
      </c>
    </row>
    <row r="67">
      <c r="A67" s="5">
        <v>66.0</v>
      </c>
      <c r="B67" s="9" t="s">
        <v>105</v>
      </c>
      <c r="C67" s="10" t="s">
        <v>29</v>
      </c>
      <c r="D67" s="10" t="s">
        <v>16</v>
      </c>
      <c r="E67" s="11">
        <v>15.0</v>
      </c>
    </row>
    <row r="68">
      <c r="A68" s="5">
        <v>67.0</v>
      </c>
      <c r="B68" s="9" t="s">
        <v>106</v>
      </c>
      <c r="C68" s="10" t="s">
        <v>48</v>
      </c>
      <c r="D68" s="10" t="s">
        <v>25</v>
      </c>
      <c r="E68" s="11">
        <v>15.0</v>
      </c>
    </row>
    <row r="69">
      <c r="A69" s="5">
        <v>68.0</v>
      </c>
      <c r="B69" s="9" t="s">
        <v>107</v>
      </c>
      <c r="C69" s="10" t="s">
        <v>90</v>
      </c>
      <c r="D69" s="10" t="s">
        <v>16</v>
      </c>
      <c r="E69" s="11">
        <v>15.0</v>
      </c>
    </row>
    <row r="70">
      <c r="A70" s="5">
        <v>69.0</v>
      </c>
      <c r="B70" s="9" t="s">
        <v>108</v>
      </c>
      <c r="C70" s="10" t="s">
        <v>12</v>
      </c>
      <c r="D70" s="10" t="s">
        <v>25</v>
      </c>
      <c r="E70" s="11">
        <v>15.0</v>
      </c>
    </row>
    <row r="71">
      <c r="A71" s="5">
        <v>70.0</v>
      </c>
      <c r="B71" s="9" t="s">
        <v>109</v>
      </c>
      <c r="C71" s="10" t="s">
        <v>20</v>
      </c>
      <c r="D71" s="10" t="s">
        <v>25</v>
      </c>
      <c r="E71" s="11">
        <v>14.0</v>
      </c>
    </row>
    <row r="72">
      <c r="A72" s="5">
        <v>71.0</v>
      </c>
      <c r="B72" s="9" t="s">
        <v>110</v>
      </c>
      <c r="C72" s="10" t="s">
        <v>96</v>
      </c>
      <c r="D72" s="10" t="s">
        <v>25</v>
      </c>
      <c r="E72" s="11">
        <v>13.0</v>
      </c>
    </row>
    <row r="73">
      <c r="A73" s="5">
        <v>72.0</v>
      </c>
      <c r="B73" s="9" t="s">
        <v>111</v>
      </c>
      <c r="C73" s="10" t="s">
        <v>69</v>
      </c>
      <c r="D73" s="10" t="s">
        <v>25</v>
      </c>
      <c r="E73" s="11">
        <v>13.0</v>
      </c>
    </row>
    <row r="74">
      <c r="A74" s="5">
        <v>73.0</v>
      </c>
      <c r="B74" s="9" t="s">
        <v>112</v>
      </c>
      <c r="C74" s="10" t="s">
        <v>59</v>
      </c>
      <c r="D74" s="10" t="s">
        <v>7</v>
      </c>
      <c r="E74" s="11">
        <v>12.0</v>
      </c>
    </row>
    <row r="75">
      <c r="A75" s="5">
        <v>74.0</v>
      </c>
      <c r="B75" s="9" t="s">
        <v>113</v>
      </c>
      <c r="C75" s="10" t="s">
        <v>86</v>
      </c>
      <c r="D75" s="10" t="s">
        <v>25</v>
      </c>
      <c r="E75" s="11">
        <v>12.0</v>
      </c>
    </row>
    <row r="76">
      <c r="A76" s="5">
        <v>75.0</v>
      </c>
      <c r="B76" s="9" t="s">
        <v>114</v>
      </c>
      <c r="C76" s="10" t="s">
        <v>38</v>
      </c>
      <c r="D76" s="10" t="s">
        <v>16</v>
      </c>
      <c r="E76" s="11">
        <v>12.0</v>
      </c>
    </row>
    <row r="77">
      <c r="A77" s="5">
        <v>76.0</v>
      </c>
      <c r="B77" s="9" t="s">
        <v>115</v>
      </c>
      <c r="C77" s="10" t="s">
        <v>63</v>
      </c>
      <c r="D77" s="10" t="s">
        <v>16</v>
      </c>
      <c r="E77" s="11">
        <v>12.0</v>
      </c>
    </row>
    <row r="78">
      <c r="A78" s="5">
        <v>77.0</v>
      </c>
      <c r="B78" s="9" t="s">
        <v>116</v>
      </c>
      <c r="C78" s="10" t="s">
        <v>27</v>
      </c>
      <c r="D78" s="10" t="s">
        <v>7</v>
      </c>
      <c r="E78" s="11">
        <v>11.0</v>
      </c>
    </row>
    <row r="79">
      <c r="A79" s="5">
        <v>78.0</v>
      </c>
      <c r="B79" s="9" t="s">
        <v>117</v>
      </c>
      <c r="C79" s="10" t="s">
        <v>63</v>
      </c>
      <c r="D79" s="10" t="s">
        <v>7</v>
      </c>
      <c r="E79" s="11">
        <v>11.0</v>
      </c>
    </row>
    <row r="80">
      <c r="A80" s="5">
        <v>79.0</v>
      </c>
      <c r="B80" s="9" t="s">
        <v>118</v>
      </c>
      <c r="C80" s="10" t="s">
        <v>104</v>
      </c>
      <c r="D80" s="10" t="s">
        <v>7</v>
      </c>
      <c r="E80" s="11">
        <v>11.0</v>
      </c>
    </row>
    <row r="81">
      <c r="A81" s="5">
        <v>80.0</v>
      </c>
      <c r="B81" s="9" t="s">
        <v>119</v>
      </c>
      <c r="C81" s="10" t="s">
        <v>44</v>
      </c>
      <c r="D81" s="10" t="s">
        <v>16</v>
      </c>
      <c r="E81" s="11">
        <v>11.0</v>
      </c>
    </row>
    <row r="82">
      <c r="A82" s="5">
        <v>81.0</v>
      </c>
      <c r="B82" s="9" t="s">
        <v>120</v>
      </c>
      <c r="C82" s="10" t="s">
        <v>96</v>
      </c>
      <c r="D82" s="10" t="s">
        <v>16</v>
      </c>
      <c r="E82" s="11">
        <v>11.0</v>
      </c>
    </row>
    <row r="83">
      <c r="A83" s="5">
        <v>82.0</v>
      </c>
      <c r="B83" s="9" t="s">
        <v>121</v>
      </c>
      <c r="C83" s="10" t="s">
        <v>59</v>
      </c>
      <c r="D83" s="10" t="s">
        <v>25</v>
      </c>
      <c r="E83" s="11">
        <v>11.0</v>
      </c>
    </row>
    <row r="84">
      <c r="A84" s="5">
        <v>83.0</v>
      </c>
      <c r="B84" s="9" t="s">
        <v>122</v>
      </c>
      <c r="C84" s="10" t="s">
        <v>48</v>
      </c>
      <c r="D84" s="10" t="s">
        <v>7</v>
      </c>
      <c r="E84" s="11">
        <v>10.0</v>
      </c>
    </row>
    <row r="85">
      <c r="A85" s="5">
        <v>84.0</v>
      </c>
      <c r="B85" s="9" t="s">
        <v>123</v>
      </c>
      <c r="C85" s="10" t="s">
        <v>61</v>
      </c>
      <c r="D85" s="10" t="s">
        <v>25</v>
      </c>
      <c r="E85" s="11">
        <v>10.0</v>
      </c>
    </row>
    <row r="86">
      <c r="A86" s="5">
        <v>85.0</v>
      </c>
      <c r="B86" s="9" t="s">
        <v>124</v>
      </c>
      <c r="C86" s="10" t="s">
        <v>20</v>
      </c>
      <c r="D86" s="10" t="s">
        <v>25</v>
      </c>
      <c r="E86" s="11">
        <v>9.0</v>
      </c>
    </row>
    <row r="87">
      <c r="A87" s="5">
        <v>86.0</v>
      </c>
      <c r="B87" s="9" t="s">
        <v>125</v>
      </c>
      <c r="C87" s="10" t="s">
        <v>74</v>
      </c>
      <c r="D87" s="10" t="s">
        <v>16</v>
      </c>
      <c r="E87" s="11">
        <v>9.0</v>
      </c>
    </row>
    <row r="88">
      <c r="A88" s="5">
        <v>87.0</v>
      </c>
      <c r="B88" s="9" t="s">
        <v>126</v>
      </c>
      <c r="C88" s="10" t="s">
        <v>6</v>
      </c>
      <c r="D88" s="10" t="s">
        <v>25</v>
      </c>
      <c r="E88" s="11">
        <v>9.0</v>
      </c>
    </row>
    <row r="89">
      <c r="A89" s="5">
        <v>88.0</v>
      </c>
      <c r="B89" s="9" t="s">
        <v>127</v>
      </c>
      <c r="C89" s="10" t="s">
        <v>56</v>
      </c>
      <c r="D89" s="10" t="s">
        <v>10</v>
      </c>
      <c r="E89" s="11">
        <v>8.0</v>
      </c>
    </row>
    <row r="90">
      <c r="A90" s="5">
        <v>89.0</v>
      </c>
      <c r="B90" s="9" t="s">
        <v>128</v>
      </c>
      <c r="C90" s="10" t="s">
        <v>6</v>
      </c>
      <c r="D90" s="10" t="s">
        <v>25</v>
      </c>
      <c r="E90" s="11">
        <v>8.0</v>
      </c>
    </row>
    <row r="91">
      <c r="A91" s="5">
        <v>90.0</v>
      </c>
      <c r="B91" s="9" t="s">
        <v>129</v>
      </c>
      <c r="C91" s="10" t="s">
        <v>102</v>
      </c>
      <c r="D91" s="10" t="s">
        <v>16</v>
      </c>
      <c r="E91" s="11">
        <v>8.0</v>
      </c>
    </row>
    <row r="92">
      <c r="A92" s="5">
        <v>91.0</v>
      </c>
      <c r="B92" s="9" t="s">
        <v>130</v>
      </c>
      <c r="C92" s="10" t="s">
        <v>69</v>
      </c>
      <c r="D92" s="10" t="s">
        <v>16</v>
      </c>
      <c r="E92" s="11">
        <v>8.0</v>
      </c>
    </row>
    <row r="93">
      <c r="A93" s="5">
        <v>92.0</v>
      </c>
      <c r="B93" s="9" t="s">
        <v>131</v>
      </c>
      <c r="C93" s="10" t="s">
        <v>29</v>
      </c>
      <c r="D93" s="10" t="s">
        <v>25</v>
      </c>
      <c r="E93" s="11">
        <v>8.0</v>
      </c>
    </row>
    <row r="94">
      <c r="A94" s="5">
        <v>93.0</v>
      </c>
      <c r="B94" s="9" t="s">
        <v>132</v>
      </c>
      <c r="C94" s="10" t="s">
        <v>96</v>
      </c>
      <c r="D94" s="10" t="s">
        <v>10</v>
      </c>
      <c r="E94" s="11">
        <v>8.0</v>
      </c>
    </row>
    <row r="95">
      <c r="A95" s="5">
        <v>94.0</v>
      </c>
      <c r="B95" s="9" t="s">
        <v>133</v>
      </c>
      <c r="C95" s="10" t="s">
        <v>134</v>
      </c>
      <c r="D95" s="10" t="s">
        <v>7</v>
      </c>
      <c r="E95" s="11">
        <v>8.0</v>
      </c>
    </row>
    <row r="96">
      <c r="A96" s="5">
        <v>95.0</v>
      </c>
      <c r="B96" s="9" t="s">
        <v>135</v>
      </c>
      <c r="C96" s="10" t="s">
        <v>48</v>
      </c>
      <c r="D96" s="10" t="s">
        <v>25</v>
      </c>
      <c r="E96" s="11">
        <v>8.0</v>
      </c>
    </row>
    <row r="97">
      <c r="A97" s="5">
        <v>96.0</v>
      </c>
      <c r="B97" s="9" t="s">
        <v>136</v>
      </c>
      <c r="C97" s="10" t="s">
        <v>59</v>
      </c>
      <c r="D97" s="10" t="s">
        <v>16</v>
      </c>
      <c r="E97" s="11">
        <v>8.0</v>
      </c>
    </row>
    <row r="98">
      <c r="A98" s="5">
        <v>97.0</v>
      </c>
      <c r="B98" s="9" t="s">
        <v>137</v>
      </c>
      <c r="C98" s="10" t="s">
        <v>61</v>
      </c>
      <c r="D98" s="10" t="s">
        <v>25</v>
      </c>
      <c r="E98" s="11">
        <v>7.0</v>
      </c>
    </row>
    <row r="99">
      <c r="A99" s="5">
        <v>98.0</v>
      </c>
      <c r="B99" s="9" t="s">
        <v>138</v>
      </c>
      <c r="C99" s="10" t="s">
        <v>24</v>
      </c>
      <c r="D99" s="10" t="s">
        <v>25</v>
      </c>
      <c r="E99" s="11">
        <v>7.0</v>
      </c>
    </row>
    <row r="100">
      <c r="A100" s="5">
        <v>99.0</v>
      </c>
      <c r="B100" s="9" t="s">
        <v>139</v>
      </c>
      <c r="C100" s="10" t="s">
        <v>27</v>
      </c>
      <c r="D100" s="10" t="s">
        <v>10</v>
      </c>
      <c r="E100" s="11">
        <v>7.0</v>
      </c>
    </row>
    <row r="101">
      <c r="A101" s="5">
        <v>100.0</v>
      </c>
      <c r="B101" s="9" t="s">
        <v>140</v>
      </c>
      <c r="C101" s="10" t="s">
        <v>9</v>
      </c>
      <c r="D101" s="10" t="s">
        <v>25</v>
      </c>
      <c r="E101" s="11">
        <v>7.0</v>
      </c>
    </row>
    <row r="102">
      <c r="A102" s="5">
        <v>101.0</v>
      </c>
      <c r="B102" s="12" t="s">
        <v>141</v>
      </c>
      <c r="C102" s="10" t="s">
        <v>54</v>
      </c>
      <c r="D102" s="10" t="s">
        <v>16</v>
      </c>
      <c r="E102" s="11">
        <v>7.0</v>
      </c>
    </row>
    <row r="103">
      <c r="A103" s="5">
        <v>102.0</v>
      </c>
      <c r="B103" s="9" t="s">
        <v>142</v>
      </c>
      <c r="C103" s="10" t="s">
        <v>77</v>
      </c>
      <c r="D103" s="10" t="s">
        <v>7</v>
      </c>
      <c r="E103" s="11">
        <v>6.0</v>
      </c>
    </row>
    <row r="104">
      <c r="A104" s="5">
        <v>103.0</v>
      </c>
      <c r="B104" s="9" t="s">
        <v>143</v>
      </c>
      <c r="C104" s="10" t="s">
        <v>18</v>
      </c>
      <c r="D104" s="10" t="s">
        <v>25</v>
      </c>
      <c r="E104" s="11">
        <v>6.0</v>
      </c>
    </row>
    <row r="105">
      <c r="A105" s="5">
        <v>104.0</v>
      </c>
      <c r="B105" s="9" t="s">
        <v>144</v>
      </c>
      <c r="C105" s="10" t="s">
        <v>32</v>
      </c>
      <c r="D105" s="10" t="s">
        <v>25</v>
      </c>
      <c r="E105" s="11">
        <v>6.0</v>
      </c>
    </row>
    <row r="106">
      <c r="A106" s="5">
        <v>105.0</v>
      </c>
      <c r="B106" s="9" t="s">
        <v>145</v>
      </c>
      <c r="C106" s="10" t="s">
        <v>69</v>
      </c>
      <c r="D106" s="10" t="s">
        <v>10</v>
      </c>
      <c r="E106" s="11">
        <v>6.0</v>
      </c>
    </row>
    <row r="107">
      <c r="A107" s="5">
        <v>106.0</v>
      </c>
      <c r="B107" s="9" t="s">
        <v>146</v>
      </c>
      <c r="C107" s="10" t="s">
        <v>102</v>
      </c>
      <c r="D107" s="10" t="s">
        <v>25</v>
      </c>
      <c r="E107" s="11">
        <v>6.0</v>
      </c>
    </row>
    <row r="108">
      <c r="A108" s="5">
        <v>107.0</v>
      </c>
      <c r="B108" s="9" t="s">
        <v>147</v>
      </c>
      <c r="C108" s="10" t="s">
        <v>134</v>
      </c>
      <c r="D108" s="10" t="s">
        <v>16</v>
      </c>
      <c r="E108" s="11">
        <v>6.0</v>
      </c>
    </row>
    <row r="109">
      <c r="A109" s="5">
        <v>108.0</v>
      </c>
      <c r="B109" s="9" t="s">
        <v>148</v>
      </c>
      <c r="C109" s="10" t="s">
        <v>52</v>
      </c>
      <c r="D109" s="10" t="s">
        <v>25</v>
      </c>
      <c r="E109" s="11">
        <v>6.0</v>
      </c>
    </row>
    <row r="110">
      <c r="A110" s="5">
        <v>109.0</v>
      </c>
      <c r="B110" s="9" t="s">
        <v>149</v>
      </c>
      <c r="C110" s="10" t="s">
        <v>74</v>
      </c>
      <c r="D110" s="10" t="s">
        <v>10</v>
      </c>
      <c r="E110" s="11">
        <v>6.0</v>
      </c>
    </row>
    <row r="111">
      <c r="A111" s="5">
        <v>110.0</v>
      </c>
      <c r="B111" s="9" t="s">
        <v>150</v>
      </c>
      <c r="C111" s="10" t="s">
        <v>38</v>
      </c>
      <c r="D111" s="10" t="s">
        <v>7</v>
      </c>
      <c r="E111" s="11">
        <v>5.0</v>
      </c>
    </row>
    <row r="112">
      <c r="A112" s="5">
        <v>111.0</v>
      </c>
      <c r="B112" s="9" t="s">
        <v>151</v>
      </c>
      <c r="C112" s="10" t="s">
        <v>134</v>
      </c>
      <c r="D112" s="10" t="s">
        <v>25</v>
      </c>
      <c r="E112" s="11">
        <v>5.0</v>
      </c>
    </row>
    <row r="113">
      <c r="A113" s="5">
        <v>112.0</v>
      </c>
      <c r="B113" s="9" t="s">
        <v>152</v>
      </c>
      <c r="C113" s="10" t="s">
        <v>12</v>
      </c>
      <c r="D113" s="10" t="s">
        <v>7</v>
      </c>
      <c r="E113" s="11">
        <v>5.0</v>
      </c>
    </row>
    <row r="114">
      <c r="A114" s="5">
        <v>113.0</v>
      </c>
      <c r="B114" s="9" t="s">
        <v>153</v>
      </c>
      <c r="C114" s="10" t="s">
        <v>69</v>
      </c>
      <c r="D114" s="10" t="s">
        <v>7</v>
      </c>
      <c r="E114" s="11">
        <v>4.0</v>
      </c>
    </row>
    <row r="115">
      <c r="A115" s="5">
        <v>114.0</v>
      </c>
      <c r="B115" s="9" t="s">
        <v>154</v>
      </c>
      <c r="C115" s="10" t="s">
        <v>96</v>
      </c>
      <c r="D115" s="10" t="s">
        <v>25</v>
      </c>
      <c r="E115" s="11">
        <v>4.0</v>
      </c>
    </row>
    <row r="116">
      <c r="A116" s="5">
        <v>115.0</v>
      </c>
      <c r="B116" s="9" t="s">
        <v>155</v>
      </c>
      <c r="C116" s="10" t="s">
        <v>29</v>
      </c>
      <c r="D116" s="10" t="s">
        <v>25</v>
      </c>
      <c r="E116" s="11">
        <v>4.0</v>
      </c>
    </row>
    <row r="117">
      <c r="A117" s="5">
        <v>116.0</v>
      </c>
      <c r="B117" s="9" t="s">
        <v>156</v>
      </c>
      <c r="C117" s="10" t="s">
        <v>29</v>
      </c>
      <c r="D117" s="10" t="s">
        <v>25</v>
      </c>
      <c r="E117" s="11">
        <v>3.0</v>
      </c>
    </row>
    <row r="118">
      <c r="A118" s="5">
        <v>117.0</v>
      </c>
      <c r="B118" s="9" t="s">
        <v>157</v>
      </c>
      <c r="C118" s="10" t="s">
        <v>134</v>
      </c>
      <c r="D118" s="10" t="s">
        <v>25</v>
      </c>
      <c r="E118" s="11">
        <v>3.0</v>
      </c>
    </row>
    <row r="119">
      <c r="A119" s="5">
        <v>118.0</v>
      </c>
      <c r="B119" s="9" t="s">
        <v>158</v>
      </c>
      <c r="C119" s="10" t="s">
        <v>32</v>
      </c>
      <c r="D119" s="10" t="s">
        <v>16</v>
      </c>
      <c r="E119" s="11">
        <v>3.0</v>
      </c>
    </row>
    <row r="120">
      <c r="A120" s="5">
        <v>119.0</v>
      </c>
      <c r="B120" s="9" t="s">
        <v>159</v>
      </c>
      <c r="C120" s="10" t="s">
        <v>6</v>
      </c>
      <c r="D120" s="10" t="s">
        <v>10</v>
      </c>
      <c r="E120" s="11">
        <v>3.0</v>
      </c>
    </row>
    <row r="121">
      <c r="A121" s="5">
        <v>120.0</v>
      </c>
      <c r="B121" s="9" t="s">
        <v>160</v>
      </c>
      <c r="C121" s="10" t="s">
        <v>14</v>
      </c>
      <c r="D121" s="10" t="s">
        <v>16</v>
      </c>
      <c r="E121" s="11">
        <v>3.0</v>
      </c>
    </row>
    <row r="122">
      <c r="A122" s="5">
        <v>121.0</v>
      </c>
      <c r="B122" s="9" t="s">
        <v>161</v>
      </c>
      <c r="C122" s="10" t="s">
        <v>77</v>
      </c>
      <c r="D122" s="10" t="s">
        <v>16</v>
      </c>
      <c r="E122" s="11">
        <v>3.0</v>
      </c>
    </row>
    <row r="123">
      <c r="A123" s="5">
        <v>122.0</v>
      </c>
      <c r="B123" s="9" t="s">
        <v>162</v>
      </c>
      <c r="C123" s="10" t="s">
        <v>34</v>
      </c>
      <c r="D123" s="10" t="s">
        <v>16</v>
      </c>
      <c r="E123" s="11">
        <v>2.0</v>
      </c>
    </row>
    <row r="124">
      <c r="A124" s="5">
        <v>123.0</v>
      </c>
      <c r="B124" s="9" t="s">
        <v>163</v>
      </c>
      <c r="C124" s="10" t="s">
        <v>63</v>
      </c>
      <c r="D124" s="10" t="s">
        <v>25</v>
      </c>
      <c r="E124" s="11">
        <v>2.0</v>
      </c>
    </row>
    <row r="125">
      <c r="A125" s="5">
        <v>124.0</v>
      </c>
      <c r="B125" s="9" t="s">
        <v>164</v>
      </c>
      <c r="C125" s="10" t="s">
        <v>90</v>
      </c>
      <c r="D125" s="10" t="s">
        <v>7</v>
      </c>
      <c r="E125" s="11">
        <v>2.0</v>
      </c>
    </row>
    <row r="126">
      <c r="A126" s="5">
        <v>125.0</v>
      </c>
      <c r="B126" s="13" t="s">
        <v>165</v>
      </c>
      <c r="C126" s="10" t="s">
        <v>48</v>
      </c>
      <c r="D126" s="10" t="s">
        <v>166</v>
      </c>
      <c r="E126" s="11">
        <v>1.0</v>
      </c>
    </row>
    <row r="127">
      <c r="A127" s="5">
        <v>126.0</v>
      </c>
      <c r="B127" s="13" t="s">
        <v>167</v>
      </c>
      <c r="C127" s="10" t="s">
        <v>32</v>
      </c>
      <c r="D127" s="10" t="s">
        <v>166</v>
      </c>
      <c r="E127" s="11">
        <v>1.0</v>
      </c>
    </row>
    <row r="128">
      <c r="A128" s="5">
        <v>127.0</v>
      </c>
      <c r="B128" s="9" t="s">
        <v>168</v>
      </c>
      <c r="C128" s="10" t="s">
        <v>24</v>
      </c>
      <c r="D128" s="10" t="s">
        <v>169</v>
      </c>
      <c r="E128" s="11">
        <v>1.0</v>
      </c>
    </row>
    <row r="129">
      <c r="A129" s="5">
        <v>128.0</v>
      </c>
      <c r="B129" s="9" t="s">
        <v>170</v>
      </c>
      <c r="C129" s="10" t="s">
        <v>9</v>
      </c>
      <c r="D129" s="10" t="s">
        <v>169</v>
      </c>
      <c r="E129" s="11">
        <v>1.0</v>
      </c>
    </row>
    <row r="130">
      <c r="A130" s="5">
        <v>129.0</v>
      </c>
      <c r="B130" s="13" t="s">
        <v>171</v>
      </c>
      <c r="C130" s="10" t="s">
        <v>59</v>
      </c>
      <c r="D130" s="10" t="s">
        <v>166</v>
      </c>
      <c r="E130" s="11">
        <v>1.0</v>
      </c>
    </row>
    <row r="131">
      <c r="A131" s="5">
        <v>130.0</v>
      </c>
      <c r="B131" s="9" t="s">
        <v>172</v>
      </c>
      <c r="C131" s="10" t="s">
        <v>12</v>
      </c>
      <c r="D131" s="10" t="s">
        <v>169</v>
      </c>
      <c r="E131" s="11">
        <v>1.0</v>
      </c>
    </row>
    <row r="132">
      <c r="A132" s="5">
        <v>131.0</v>
      </c>
      <c r="B132" s="13" t="s">
        <v>173</v>
      </c>
      <c r="C132" s="10" t="s">
        <v>74</v>
      </c>
      <c r="D132" s="10" t="s">
        <v>166</v>
      </c>
      <c r="E132" s="11">
        <v>1.0</v>
      </c>
    </row>
    <row r="133">
      <c r="A133" s="5">
        <v>132.0</v>
      </c>
      <c r="B133" s="13" t="s">
        <v>174</v>
      </c>
      <c r="C133" s="10" t="s">
        <v>27</v>
      </c>
      <c r="D133" s="10" t="s">
        <v>166</v>
      </c>
      <c r="E133" s="11">
        <v>1.0</v>
      </c>
    </row>
    <row r="134">
      <c r="A134" s="5">
        <v>133.0</v>
      </c>
      <c r="B134" s="13" t="s">
        <v>175</v>
      </c>
      <c r="C134" s="10" t="s">
        <v>86</v>
      </c>
      <c r="D134" s="10" t="s">
        <v>166</v>
      </c>
      <c r="E134" s="11">
        <v>1.0</v>
      </c>
    </row>
    <row r="135">
      <c r="A135" s="5">
        <v>134.0</v>
      </c>
      <c r="B135" s="13" t="s">
        <v>176</v>
      </c>
      <c r="C135" s="10" t="s">
        <v>96</v>
      </c>
      <c r="D135" s="10" t="s">
        <v>166</v>
      </c>
      <c r="E135" s="11">
        <v>1.0</v>
      </c>
    </row>
    <row r="136">
      <c r="A136" s="5">
        <v>135.0</v>
      </c>
      <c r="B136" s="13" t="s">
        <v>177</v>
      </c>
      <c r="C136" s="10" t="s">
        <v>63</v>
      </c>
      <c r="D136" s="10" t="s">
        <v>166</v>
      </c>
      <c r="E136" s="11">
        <v>1.0</v>
      </c>
    </row>
    <row r="137">
      <c r="A137" s="5">
        <v>136.0</v>
      </c>
      <c r="B137" s="9" t="s">
        <v>178</v>
      </c>
      <c r="C137" s="10" t="s">
        <v>22</v>
      </c>
      <c r="D137" s="10" t="s">
        <v>16</v>
      </c>
      <c r="E137" s="11">
        <v>1.0</v>
      </c>
    </row>
    <row r="138">
      <c r="A138" s="5">
        <v>137.0</v>
      </c>
      <c r="B138" s="13" t="s">
        <v>179</v>
      </c>
      <c r="C138" s="10" t="s">
        <v>12</v>
      </c>
      <c r="D138" s="10" t="s">
        <v>166</v>
      </c>
      <c r="E138" s="11">
        <v>1.0</v>
      </c>
    </row>
    <row r="139">
      <c r="A139" s="5">
        <v>138.0</v>
      </c>
      <c r="B139" s="9" t="s">
        <v>180</v>
      </c>
      <c r="C139" s="10" t="s">
        <v>22</v>
      </c>
      <c r="D139" s="10" t="s">
        <v>10</v>
      </c>
      <c r="E139" s="11">
        <v>1.0</v>
      </c>
    </row>
    <row r="140">
      <c r="A140" s="5">
        <v>139.0</v>
      </c>
      <c r="B140" s="9" t="s">
        <v>181</v>
      </c>
      <c r="C140" s="10" t="s">
        <v>102</v>
      </c>
      <c r="D140" s="10" t="s">
        <v>10</v>
      </c>
      <c r="E140" s="11">
        <v>1.0</v>
      </c>
    </row>
    <row r="141">
      <c r="A141" s="5">
        <v>140.0</v>
      </c>
      <c r="B141" s="9" t="s">
        <v>182</v>
      </c>
      <c r="C141" s="10" t="s">
        <v>90</v>
      </c>
      <c r="D141" s="10" t="s">
        <v>10</v>
      </c>
      <c r="E141" s="11">
        <v>1.0</v>
      </c>
    </row>
    <row r="142">
      <c r="A142" s="5">
        <v>141.0</v>
      </c>
      <c r="B142" s="9" t="s">
        <v>183</v>
      </c>
      <c r="C142" s="10" t="s">
        <v>69</v>
      </c>
      <c r="D142" s="10" t="s">
        <v>169</v>
      </c>
      <c r="E142" s="11">
        <v>1.0</v>
      </c>
    </row>
    <row r="143">
      <c r="A143" s="5">
        <v>142.0</v>
      </c>
      <c r="B143" s="9" t="s">
        <v>184</v>
      </c>
      <c r="C143" s="10" t="s">
        <v>44</v>
      </c>
      <c r="D143" s="10" t="s">
        <v>169</v>
      </c>
      <c r="E143" s="11">
        <v>1.0</v>
      </c>
    </row>
    <row r="144">
      <c r="A144" s="5">
        <v>143.0</v>
      </c>
      <c r="B144" s="9" t="s">
        <v>185</v>
      </c>
      <c r="C144" s="10" t="s">
        <v>48</v>
      </c>
      <c r="D144" s="10" t="s">
        <v>169</v>
      </c>
      <c r="E144" s="11">
        <v>1.0</v>
      </c>
    </row>
    <row r="145">
      <c r="A145" s="5">
        <v>144.0</v>
      </c>
      <c r="B145" s="9" t="s">
        <v>186</v>
      </c>
      <c r="C145" s="10" t="s">
        <v>27</v>
      </c>
      <c r="D145" s="10" t="s">
        <v>169</v>
      </c>
      <c r="E145" s="11">
        <v>1.0</v>
      </c>
    </row>
    <row r="146">
      <c r="A146" s="5">
        <v>145.0</v>
      </c>
      <c r="B146" s="9" t="s">
        <v>187</v>
      </c>
      <c r="C146" s="10" t="s">
        <v>90</v>
      </c>
      <c r="D146" s="10" t="s">
        <v>169</v>
      </c>
      <c r="E146" s="11">
        <v>1.0</v>
      </c>
    </row>
    <row r="147">
      <c r="A147" s="5">
        <v>146.0</v>
      </c>
      <c r="B147" s="9" t="s">
        <v>188</v>
      </c>
      <c r="C147" s="10" t="s">
        <v>59</v>
      </c>
      <c r="D147" s="10" t="s">
        <v>169</v>
      </c>
      <c r="E147" s="11">
        <v>1.0</v>
      </c>
    </row>
    <row r="148">
      <c r="A148" s="5">
        <v>147.0</v>
      </c>
      <c r="B148" s="9" t="s">
        <v>189</v>
      </c>
      <c r="C148" s="10" t="s">
        <v>74</v>
      </c>
      <c r="D148" s="10" t="s">
        <v>169</v>
      </c>
      <c r="E148" s="11">
        <v>1.0</v>
      </c>
    </row>
    <row r="149">
      <c r="A149" s="5">
        <v>148.0</v>
      </c>
      <c r="B149" s="9" t="s">
        <v>190</v>
      </c>
      <c r="C149" s="10" t="s">
        <v>63</v>
      </c>
      <c r="D149" s="10" t="s">
        <v>169</v>
      </c>
      <c r="E149" s="11">
        <v>1.0</v>
      </c>
    </row>
    <row r="150">
      <c r="A150" s="5">
        <v>149.0</v>
      </c>
      <c r="B150" s="9" t="s">
        <v>191</v>
      </c>
      <c r="C150" s="10" t="s">
        <v>22</v>
      </c>
      <c r="D150" s="10" t="s">
        <v>169</v>
      </c>
      <c r="E150" s="11">
        <v>1.0</v>
      </c>
    </row>
    <row r="151">
      <c r="A151" s="5">
        <v>150.0</v>
      </c>
      <c r="B151" s="9" t="s">
        <v>192</v>
      </c>
      <c r="C151" s="10" t="s">
        <v>32</v>
      </c>
      <c r="D151" s="10" t="s">
        <v>169</v>
      </c>
      <c r="E151" s="11">
        <v>1.0</v>
      </c>
    </row>
    <row r="152">
      <c r="A152" s="5">
        <v>151.0</v>
      </c>
      <c r="B152" s="9" t="s">
        <v>193</v>
      </c>
      <c r="C152" s="10" t="s">
        <v>38</v>
      </c>
      <c r="D152" s="10" t="s">
        <v>169</v>
      </c>
      <c r="E152" s="11">
        <v>1.0</v>
      </c>
    </row>
    <row r="153">
      <c r="A153" s="5">
        <v>152.0</v>
      </c>
      <c r="B153" s="9" t="s">
        <v>194</v>
      </c>
      <c r="C153" s="10" t="s">
        <v>54</v>
      </c>
      <c r="D153" s="10" t="s">
        <v>169</v>
      </c>
      <c r="E153" s="11">
        <v>1.0</v>
      </c>
    </row>
    <row r="154">
      <c r="A154" s="5">
        <v>153.0</v>
      </c>
      <c r="B154" s="9" t="s">
        <v>195</v>
      </c>
      <c r="C154" s="10" t="s">
        <v>86</v>
      </c>
      <c r="D154" s="10" t="s">
        <v>169</v>
      </c>
      <c r="E154" s="11">
        <v>1.0</v>
      </c>
    </row>
    <row r="155">
      <c r="A155" s="5">
        <v>154.0</v>
      </c>
      <c r="B155" s="9" t="s">
        <v>196</v>
      </c>
      <c r="C155" s="10" t="s">
        <v>14</v>
      </c>
      <c r="D155" s="10" t="s">
        <v>169</v>
      </c>
      <c r="E155" s="11">
        <v>1.0</v>
      </c>
    </row>
    <row r="156">
      <c r="A156" s="5">
        <v>155.0</v>
      </c>
      <c r="B156" s="9" t="s">
        <v>197</v>
      </c>
      <c r="C156" s="10" t="s">
        <v>6</v>
      </c>
      <c r="D156" s="10" t="s">
        <v>169</v>
      </c>
      <c r="E156" s="11">
        <v>1.0</v>
      </c>
    </row>
    <row r="157">
      <c r="A157" s="5">
        <v>156.0</v>
      </c>
      <c r="B157" s="9" t="s">
        <v>198</v>
      </c>
      <c r="C157" s="10" t="s">
        <v>20</v>
      </c>
      <c r="D157" s="10" t="s">
        <v>169</v>
      </c>
      <c r="E157" s="11">
        <v>1.0</v>
      </c>
    </row>
    <row r="158">
      <c r="A158" s="5">
        <v>157.0</v>
      </c>
      <c r="B158" s="9" t="s">
        <v>199</v>
      </c>
      <c r="C158" s="10" t="s">
        <v>104</v>
      </c>
      <c r="D158" s="10" t="s">
        <v>169</v>
      </c>
      <c r="E158" s="11">
        <v>1.0</v>
      </c>
    </row>
    <row r="159">
      <c r="A159" s="5">
        <v>158.0</v>
      </c>
      <c r="B159" s="9" t="s">
        <v>200</v>
      </c>
      <c r="C159" s="10" t="s">
        <v>52</v>
      </c>
      <c r="D159" s="10" t="s">
        <v>169</v>
      </c>
      <c r="E159" s="11">
        <v>1.0</v>
      </c>
    </row>
    <row r="160">
      <c r="A160" s="5">
        <v>159.0</v>
      </c>
      <c r="B160" s="13" t="s">
        <v>201</v>
      </c>
      <c r="C160" s="10" t="s">
        <v>61</v>
      </c>
      <c r="D160" s="10" t="s">
        <v>166</v>
      </c>
      <c r="E160" s="11">
        <v>1.0</v>
      </c>
    </row>
    <row r="161">
      <c r="A161" s="5">
        <v>160.0</v>
      </c>
      <c r="B161" s="9" t="s">
        <v>202</v>
      </c>
      <c r="C161" s="10" t="s">
        <v>40</v>
      </c>
      <c r="D161" s="10" t="s">
        <v>169</v>
      </c>
      <c r="E161" s="11">
        <v>1.0</v>
      </c>
    </row>
    <row r="162">
      <c r="A162" s="5">
        <v>161.0</v>
      </c>
      <c r="B162" s="9" t="s">
        <v>203</v>
      </c>
      <c r="C162" s="10" t="s">
        <v>29</v>
      </c>
      <c r="D162" s="10" t="s">
        <v>169</v>
      </c>
      <c r="E162" s="11">
        <v>1.0</v>
      </c>
    </row>
    <row r="163">
      <c r="A163" s="5">
        <v>162.0</v>
      </c>
      <c r="B163" s="9" t="s">
        <v>204</v>
      </c>
      <c r="C163" s="10" t="s">
        <v>18</v>
      </c>
      <c r="D163" s="10" t="s">
        <v>169</v>
      </c>
      <c r="E163" s="11">
        <v>1.0</v>
      </c>
    </row>
    <row r="164">
      <c r="A164" s="5">
        <v>163.0</v>
      </c>
      <c r="B164" s="9" t="s">
        <v>205</v>
      </c>
      <c r="C164" s="10" t="s">
        <v>56</v>
      </c>
      <c r="D164" s="10" t="s">
        <v>169</v>
      </c>
      <c r="E164" s="11">
        <v>1.0</v>
      </c>
    </row>
    <row r="165">
      <c r="A165" s="5">
        <v>164.0</v>
      </c>
      <c r="B165" s="13" t="s">
        <v>206</v>
      </c>
      <c r="C165" s="10" t="s">
        <v>69</v>
      </c>
      <c r="D165" s="10" t="s">
        <v>166</v>
      </c>
      <c r="E165" s="11">
        <v>1.0</v>
      </c>
    </row>
    <row r="166">
      <c r="A166" s="5">
        <v>165.0</v>
      </c>
      <c r="B166" s="9" t="s">
        <v>207</v>
      </c>
      <c r="C166" s="10" t="s">
        <v>96</v>
      </c>
      <c r="D166" s="10" t="s">
        <v>169</v>
      </c>
      <c r="E166" s="11">
        <v>1.0</v>
      </c>
    </row>
    <row r="167">
      <c r="A167" s="5">
        <v>166.0</v>
      </c>
      <c r="B167" s="9" t="s">
        <v>208</v>
      </c>
      <c r="C167" s="10" t="s">
        <v>92</v>
      </c>
      <c r="D167" s="10" t="s">
        <v>169</v>
      </c>
      <c r="E167" s="11">
        <v>1.0</v>
      </c>
    </row>
    <row r="168">
      <c r="A168" s="5">
        <v>167.0</v>
      </c>
      <c r="B168" s="9" t="s">
        <v>209</v>
      </c>
      <c r="C168" s="10" t="s">
        <v>61</v>
      </c>
      <c r="D168" s="10" t="s">
        <v>169</v>
      </c>
      <c r="E168" s="11">
        <v>1.0</v>
      </c>
    </row>
    <row r="169">
      <c r="A169" s="5">
        <v>168.0</v>
      </c>
      <c r="B169" s="13" t="s">
        <v>210</v>
      </c>
      <c r="C169" s="10" t="s">
        <v>22</v>
      </c>
      <c r="D169" s="10" t="s">
        <v>166</v>
      </c>
      <c r="E169" s="11">
        <v>1.0</v>
      </c>
    </row>
    <row r="170">
      <c r="A170" s="5">
        <v>169.0</v>
      </c>
      <c r="B170" s="9" t="s">
        <v>211</v>
      </c>
      <c r="C170" s="10" t="s">
        <v>34</v>
      </c>
      <c r="D170" s="10" t="s">
        <v>169</v>
      </c>
      <c r="E170" s="11">
        <v>1.0</v>
      </c>
    </row>
    <row r="171">
      <c r="A171" s="5">
        <v>170.0</v>
      </c>
      <c r="B171" s="13" t="s">
        <v>212</v>
      </c>
      <c r="C171" s="10" t="s">
        <v>34</v>
      </c>
      <c r="D171" s="10" t="s">
        <v>166</v>
      </c>
      <c r="E171" s="11">
        <v>1.0</v>
      </c>
    </row>
    <row r="172">
      <c r="A172" s="5">
        <v>171.0</v>
      </c>
      <c r="B172" s="13" t="s">
        <v>213</v>
      </c>
      <c r="C172" s="10" t="s">
        <v>77</v>
      </c>
      <c r="D172" s="10" t="s">
        <v>166</v>
      </c>
      <c r="E172" s="11">
        <v>1.0</v>
      </c>
    </row>
    <row r="173">
      <c r="A173" s="5">
        <v>172.0</v>
      </c>
      <c r="B173" s="13" t="s">
        <v>214</v>
      </c>
      <c r="C173" s="10" t="s">
        <v>215</v>
      </c>
      <c r="D173" s="10" t="s">
        <v>166</v>
      </c>
      <c r="E173" s="11">
        <v>1.0</v>
      </c>
    </row>
    <row r="174">
      <c r="A174" s="5">
        <v>173.0</v>
      </c>
      <c r="B174" s="13" t="s">
        <v>216</v>
      </c>
      <c r="C174" s="10" t="s">
        <v>102</v>
      </c>
      <c r="D174" s="10" t="s">
        <v>166</v>
      </c>
      <c r="E174" s="11">
        <v>1.0</v>
      </c>
    </row>
    <row r="175">
      <c r="A175" s="5">
        <v>174.0</v>
      </c>
      <c r="B175" s="13" t="s">
        <v>217</v>
      </c>
      <c r="C175" s="10" t="s">
        <v>9</v>
      </c>
      <c r="D175" s="10" t="s">
        <v>166</v>
      </c>
      <c r="E175" s="11">
        <v>1.0</v>
      </c>
    </row>
    <row r="176">
      <c r="A176" s="5">
        <v>175.0</v>
      </c>
      <c r="B176" s="13" t="s">
        <v>218</v>
      </c>
      <c r="C176" s="10" t="s">
        <v>14</v>
      </c>
      <c r="D176" s="10" t="s">
        <v>166</v>
      </c>
      <c r="E176" s="11">
        <v>1.0</v>
      </c>
    </row>
    <row r="177">
      <c r="A177" s="5">
        <v>176.0</v>
      </c>
      <c r="B177" s="9" t="s">
        <v>219</v>
      </c>
      <c r="C177" s="10" t="s">
        <v>14</v>
      </c>
      <c r="D177" s="10" t="s">
        <v>25</v>
      </c>
      <c r="E177" s="11">
        <v>1.0</v>
      </c>
    </row>
    <row r="178">
      <c r="A178" s="5">
        <v>177.0</v>
      </c>
      <c r="B178" s="13" t="s">
        <v>220</v>
      </c>
      <c r="C178" s="10" t="s">
        <v>40</v>
      </c>
      <c r="D178" s="10" t="s">
        <v>166</v>
      </c>
      <c r="E178" s="11">
        <v>1.0</v>
      </c>
    </row>
    <row r="179">
      <c r="A179" s="5">
        <v>178.0</v>
      </c>
      <c r="B179" s="9" t="s">
        <v>221</v>
      </c>
      <c r="C179" s="10" t="s">
        <v>32</v>
      </c>
      <c r="D179" s="10" t="s">
        <v>25</v>
      </c>
      <c r="E179" s="11">
        <v>1.0</v>
      </c>
    </row>
    <row r="180">
      <c r="A180" s="5">
        <v>179.0</v>
      </c>
      <c r="B180" s="9" t="s">
        <v>222</v>
      </c>
      <c r="C180" s="10" t="s">
        <v>27</v>
      </c>
      <c r="D180" s="10" t="s">
        <v>25</v>
      </c>
      <c r="E180" s="11">
        <v>1.0</v>
      </c>
    </row>
    <row r="181">
      <c r="A181" s="5">
        <v>180.0</v>
      </c>
      <c r="B181" s="13" t="s">
        <v>223</v>
      </c>
      <c r="C181" s="10" t="s">
        <v>134</v>
      </c>
      <c r="D181" s="10" t="s">
        <v>166</v>
      </c>
      <c r="E181" s="11">
        <v>1.0</v>
      </c>
    </row>
    <row r="182">
      <c r="A182" s="5">
        <v>181.0</v>
      </c>
      <c r="B182" s="13" t="s">
        <v>224</v>
      </c>
      <c r="C182" s="10" t="s">
        <v>56</v>
      </c>
      <c r="D182" s="10" t="s">
        <v>166</v>
      </c>
      <c r="E182" s="11">
        <v>1.0</v>
      </c>
    </row>
    <row r="183">
      <c r="A183" s="5">
        <v>182.0</v>
      </c>
      <c r="B183" s="13" t="s">
        <v>225</v>
      </c>
      <c r="C183" s="10" t="s">
        <v>52</v>
      </c>
      <c r="D183" s="10" t="s">
        <v>166</v>
      </c>
      <c r="E183" s="11">
        <v>1.0</v>
      </c>
    </row>
    <row r="184">
      <c r="A184" s="5">
        <v>183.0</v>
      </c>
      <c r="B184" s="13" t="s">
        <v>226</v>
      </c>
      <c r="C184" s="10" t="s">
        <v>24</v>
      </c>
      <c r="D184" s="10" t="s">
        <v>166</v>
      </c>
      <c r="E184" s="11">
        <v>1.0</v>
      </c>
    </row>
    <row r="185">
      <c r="A185" s="5">
        <v>184.0</v>
      </c>
      <c r="B185" s="13" t="s">
        <v>227</v>
      </c>
      <c r="C185" s="10" t="s">
        <v>104</v>
      </c>
      <c r="D185" s="10" t="s">
        <v>166</v>
      </c>
      <c r="E185" s="11">
        <v>1.0</v>
      </c>
    </row>
    <row r="186">
      <c r="A186" s="5">
        <v>185.0</v>
      </c>
      <c r="B186" s="13" t="s">
        <v>228</v>
      </c>
      <c r="C186" s="10" t="s">
        <v>44</v>
      </c>
      <c r="D186" s="10" t="s">
        <v>166</v>
      </c>
      <c r="E186" s="11">
        <v>1.0</v>
      </c>
    </row>
    <row r="187">
      <c r="A187" s="5">
        <v>186.0</v>
      </c>
      <c r="B187" s="13" t="s">
        <v>229</v>
      </c>
      <c r="C187" s="10" t="s">
        <v>38</v>
      </c>
      <c r="D187" s="10" t="s">
        <v>166</v>
      </c>
      <c r="E187" s="11">
        <v>1.0</v>
      </c>
    </row>
    <row r="188">
      <c r="A188" s="5">
        <v>187.0</v>
      </c>
      <c r="B188" s="13" t="s">
        <v>230</v>
      </c>
      <c r="C188" s="10" t="s">
        <v>92</v>
      </c>
      <c r="D188" s="10" t="s">
        <v>166</v>
      </c>
      <c r="E188" s="11">
        <v>1.0</v>
      </c>
    </row>
    <row r="189">
      <c r="A189" s="5">
        <v>188.0</v>
      </c>
      <c r="B189" s="13" t="s">
        <v>231</v>
      </c>
      <c r="C189" s="10" t="s">
        <v>6</v>
      </c>
      <c r="D189" s="10" t="s">
        <v>166</v>
      </c>
      <c r="E189" s="11">
        <v>1.0</v>
      </c>
    </row>
    <row r="190">
      <c r="A190" s="5">
        <v>189.0</v>
      </c>
      <c r="B190" s="13" t="s">
        <v>232</v>
      </c>
      <c r="C190" s="10" t="s">
        <v>233</v>
      </c>
      <c r="D190" s="10" t="s">
        <v>166</v>
      </c>
      <c r="E190" s="11">
        <v>1.0</v>
      </c>
    </row>
    <row r="191">
      <c r="A191" s="5">
        <v>190.0</v>
      </c>
      <c r="B191" s="13" t="s">
        <v>234</v>
      </c>
      <c r="C191" s="10" t="s">
        <v>54</v>
      </c>
      <c r="D191" s="10" t="s">
        <v>166</v>
      </c>
      <c r="E191" s="11">
        <v>1.0</v>
      </c>
    </row>
    <row r="192">
      <c r="A192" s="5">
        <v>191.0</v>
      </c>
      <c r="B192" s="13" t="s">
        <v>235</v>
      </c>
      <c r="C192" s="10" t="s">
        <v>29</v>
      </c>
      <c r="D192" s="10" t="s">
        <v>166</v>
      </c>
      <c r="E192" s="11">
        <v>1.0</v>
      </c>
    </row>
    <row r="193">
      <c r="A193" s="5">
        <v>192.0</v>
      </c>
      <c r="B193" s="13" t="s">
        <v>236</v>
      </c>
      <c r="C193" s="10" t="s">
        <v>20</v>
      </c>
      <c r="D193" s="10" t="s">
        <v>166</v>
      </c>
      <c r="E193" s="11">
        <v>1.0</v>
      </c>
    </row>
    <row r="194">
      <c r="A194" s="5">
        <v>193.0</v>
      </c>
      <c r="B194" s="9" t="s">
        <v>237</v>
      </c>
      <c r="C194" s="10" t="s">
        <v>22</v>
      </c>
      <c r="D194" s="10" t="s">
        <v>25</v>
      </c>
      <c r="E194" s="11">
        <v>0.0</v>
      </c>
    </row>
    <row r="195">
      <c r="A195" s="5">
        <v>194.0</v>
      </c>
      <c r="B195" s="9" t="s">
        <v>238</v>
      </c>
      <c r="C195" s="10" t="s">
        <v>102</v>
      </c>
      <c r="D195" s="10" t="s">
        <v>169</v>
      </c>
      <c r="E195" s="11">
        <v>0.0</v>
      </c>
    </row>
    <row r="196">
      <c r="A196" s="5">
        <v>195.0</v>
      </c>
      <c r="B196" s="9" t="s">
        <v>239</v>
      </c>
      <c r="C196" s="10" t="s">
        <v>77</v>
      </c>
      <c r="D196" s="10" t="s">
        <v>169</v>
      </c>
      <c r="E196" s="11">
        <v>0.0</v>
      </c>
    </row>
    <row r="197">
      <c r="A197" s="5">
        <v>196.0</v>
      </c>
      <c r="B197" s="9" t="s">
        <v>240</v>
      </c>
      <c r="C197" s="10" t="s">
        <v>40</v>
      </c>
      <c r="D197" s="10" t="s">
        <v>16</v>
      </c>
      <c r="E197" s="11">
        <v>0.0</v>
      </c>
    </row>
    <row r="198">
      <c r="A198" s="5">
        <v>197.0</v>
      </c>
      <c r="B198" s="9" t="s">
        <v>241</v>
      </c>
      <c r="C198" s="10" t="s">
        <v>134</v>
      </c>
      <c r="D198" s="10" t="s">
        <v>169</v>
      </c>
      <c r="E198" s="11">
        <v>0.0</v>
      </c>
    </row>
    <row r="199">
      <c r="A199" s="5">
        <v>198.0</v>
      </c>
      <c r="B199" s="12" t="s">
        <v>242</v>
      </c>
      <c r="C199" s="10" t="s">
        <v>104</v>
      </c>
      <c r="D199" s="10" t="s">
        <v>16</v>
      </c>
      <c r="E199" s="14">
        <v>0.0</v>
      </c>
    </row>
    <row r="200">
      <c r="A200" s="5">
        <v>199.0</v>
      </c>
      <c r="B200" s="9" t="s">
        <v>243</v>
      </c>
      <c r="C200" s="10" t="s">
        <v>48</v>
      </c>
      <c r="D200" s="10" t="s">
        <v>16</v>
      </c>
      <c r="E200" s="14">
        <v>0.0</v>
      </c>
    </row>
    <row r="201">
      <c r="A201" s="5">
        <v>200.0</v>
      </c>
      <c r="B201" s="9" t="s">
        <v>244</v>
      </c>
      <c r="C201" s="10" t="s">
        <v>9</v>
      </c>
      <c r="D201" s="10" t="s">
        <v>25</v>
      </c>
      <c r="E201" s="14">
        <v>0.0</v>
      </c>
    </row>
    <row r="202">
      <c r="A202" s="5">
        <v>201.0</v>
      </c>
      <c r="B202" s="9" t="s">
        <v>245</v>
      </c>
      <c r="C202" s="10" t="s">
        <v>86</v>
      </c>
      <c r="D202" s="10" t="s">
        <v>25</v>
      </c>
      <c r="E202" s="14">
        <v>0.0</v>
      </c>
    </row>
    <row r="203">
      <c r="A203" s="5">
        <v>202.0</v>
      </c>
      <c r="B203" s="9" t="s">
        <v>246</v>
      </c>
      <c r="C203" s="10" t="s">
        <v>104</v>
      </c>
      <c r="D203" s="10" t="s">
        <v>10</v>
      </c>
      <c r="E203" s="14">
        <v>0.0</v>
      </c>
    </row>
    <row r="204">
      <c r="A204" s="5">
        <v>203.0</v>
      </c>
      <c r="B204" s="9" t="s">
        <v>247</v>
      </c>
      <c r="C204" s="10" t="s">
        <v>56</v>
      </c>
      <c r="D204" s="10" t="s">
        <v>16</v>
      </c>
      <c r="E204" s="14">
        <v>0.0</v>
      </c>
    </row>
    <row r="205">
      <c r="A205" s="5">
        <v>204.0</v>
      </c>
      <c r="B205" s="9" t="s">
        <v>248</v>
      </c>
      <c r="C205" s="10" t="s">
        <v>29</v>
      </c>
      <c r="D205" s="10" t="s">
        <v>10</v>
      </c>
      <c r="E205" s="14">
        <v>0.0</v>
      </c>
    </row>
    <row r="206">
      <c r="A206" s="5">
        <v>205.0</v>
      </c>
      <c r="B206" s="9" t="s">
        <v>249</v>
      </c>
      <c r="C206" s="10" t="s">
        <v>74</v>
      </c>
      <c r="D206" s="10" t="s">
        <v>7</v>
      </c>
      <c r="E206" s="14">
        <v>0.0</v>
      </c>
    </row>
    <row r="207">
      <c r="A207" s="5">
        <v>206.0</v>
      </c>
      <c r="B207" s="9" t="s">
        <v>250</v>
      </c>
      <c r="C207" s="10" t="s">
        <v>74</v>
      </c>
      <c r="D207" s="10" t="s">
        <v>25</v>
      </c>
      <c r="E207" s="14">
        <v>0.0</v>
      </c>
    </row>
    <row r="208">
      <c r="A208" s="5">
        <v>207.0</v>
      </c>
      <c r="B208" s="9" t="s">
        <v>251</v>
      </c>
      <c r="C208" s="10" t="s">
        <v>77</v>
      </c>
      <c r="D208" s="10" t="s">
        <v>25</v>
      </c>
      <c r="E208" s="14">
        <v>0.0</v>
      </c>
    </row>
    <row r="209">
      <c r="A209" s="5">
        <v>208.0</v>
      </c>
      <c r="B209" s="9" t="s">
        <v>252</v>
      </c>
      <c r="C209" s="10" t="s">
        <v>63</v>
      </c>
      <c r="D209" s="10" t="s">
        <v>10</v>
      </c>
      <c r="E209" s="14">
        <v>0.0</v>
      </c>
    </row>
    <row r="210">
      <c r="A210" s="5">
        <v>209.0</v>
      </c>
      <c r="B210" s="9" t="s">
        <v>253</v>
      </c>
      <c r="C210" s="10" t="s">
        <v>63</v>
      </c>
      <c r="D210" s="10" t="s">
        <v>7</v>
      </c>
      <c r="E210" s="14">
        <v>0.0</v>
      </c>
    </row>
    <row r="211">
      <c r="A211" s="5">
        <v>210.0</v>
      </c>
      <c r="B211" s="9" t="s">
        <v>254</v>
      </c>
      <c r="C211" s="10" t="s">
        <v>22</v>
      </c>
      <c r="D211" s="10" t="s">
        <v>16</v>
      </c>
      <c r="E211" s="14">
        <v>0.0</v>
      </c>
    </row>
    <row r="212">
      <c r="A212" s="5">
        <v>211.0</v>
      </c>
      <c r="B212" s="9" t="s">
        <v>255</v>
      </c>
      <c r="C212" s="10" t="s">
        <v>6</v>
      </c>
      <c r="D212" s="10" t="s">
        <v>16</v>
      </c>
      <c r="E212" s="14">
        <v>0.0</v>
      </c>
    </row>
    <row r="213">
      <c r="A213" s="5">
        <v>212.0</v>
      </c>
      <c r="B213" s="9" t="s">
        <v>256</v>
      </c>
      <c r="C213" s="10" t="s">
        <v>257</v>
      </c>
      <c r="D213" s="10" t="s">
        <v>169</v>
      </c>
      <c r="E213" s="14">
        <v>0.0</v>
      </c>
    </row>
    <row r="214">
      <c r="A214" s="5">
        <v>213.0</v>
      </c>
      <c r="B214" s="9" t="s">
        <v>258</v>
      </c>
      <c r="C214" s="10" t="s">
        <v>257</v>
      </c>
      <c r="D214" s="10" t="s">
        <v>169</v>
      </c>
      <c r="E214" s="14">
        <v>0.0</v>
      </c>
    </row>
    <row r="215">
      <c r="A215" s="5">
        <v>214.0</v>
      </c>
      <c r="B215" s="9" t="s">
        <v>259</v>
      </c>
      <c r="C215" s="10" t="s">
        <v>257</v>
      </c>
      <c r="D215" s="10" t="s">
        <v>169</v>
      </c>
      <c r="E215" s="14">
        <v>0.0</v>
      </c>
    </row>
    <row r="216">
      <c r="A216" s="5">
        <v>215.0</v>
      </c>
      <c r="B216" s="9" t="s">
        <v>260</v>
      </c>
      <c r="C216" s="10" t="s">
        <v>257</v>
      </c>
      <c r="D216" s="10" t="s">
        <v>169</v>
      </c>
      <c r="E216" s="14">
        <v>0.0</v>
      </c>
    </row>
    <row r="217">
      <c r="A217" s="5">
        <v>216.0</v>
      </c>
      <c r="B217" s="9" t="s">
        <v>261</v>
      </c>
      <c r="C217" s="10" t="s">
        <v>257</v>
      </c>
      <c r="D217" s="10" t="s">
        <v>169</v>
      </c>
      <c r="E217" s="14">
        <v>0.0</v>
      </c>
    </row>
    <row r="218">
      <c r="A218" s="5">
        <v>217.0</v>
      </c>
      <c r="B218" s="9" t="s">
        <v>262</v>
      </c>
      <c r="C218" s="10" t="s">
        <v>86</v>
      </c>
      <c r="D218" s="10" t="s">
        <v>169</v>
      </c>
      <c r="E218" s="14">
        <v>0.0</v>
      </c>
    </row>
    <row r="219">
      <c r="A219" s="5">
        <v>218.0</v>
      </c>
      <c r="B219" s="9" t="s">
        <v>263</v>
      </c>
      <c r="C219" s="10" t="s">
        <v>257</v>
      </c>
      <c r="D219" s="10" t="s">
        <v>169</v>
      </c>
      <c r="E219" s="14">
        <v>0.0</v>
      </c>
    </row>
    <row r="220">
      <c r="A220" s="5">
        <v>219.0</v>
      </c>
      <c r="B220" s="9" t="s">
        <v>264</v>
      </c>
      <c r="C220" s="10" t="s">
        <v>257</v>
      </c>
      <c r="D220" s="10" t="s">
        <v>169</v>
      </c>
      <c r="E220" s="14">
        <v>0.0</v>
      </c>
    </row>
    <row r="221">
      <c r="A221" s="5">
        <v>220.0</v>
      </c>
      <c r="B221" s="9" t="s">
        <v>265</v>
      </c>
      <c r="C221" s="10" t="s">
        <v>257</v>
      </c>
      <c r="D221" s="10" t="s">
        <v>169</v>
      </c>
      <c r="E221" s="14">
        <v>0.0</v>
      </c>
    </row>
    <row r="222">
      <c r="A222" s="5">
        <v>221.0</v>
      </c>
      <c r="B222" s="9" t="s">
        <v>266</v>
      </c>
      <c r="C222" s="10" t="s">
        <v>257</v>
      </c>
      <c r="D222" s="10" t="s">
        <v>169</v>
      </c>
      <c r="E222" s="14">
        <v>0.0</v>
      </c>
    </row>
    <row r="223">
      <c r="A223" s="5">
        <v>222.0</v>
      </c>
      <c r="B223" s="9" t="s">
        <v>267</v>
      </c>
      <c r="C223" s="10" t="s">
        <v>257</v>
      </c>
      <c r="D223" s="10" t="s">
        <v>169</v>
      </c>
      <c r="E223" s="14">
        <v>0.0</v>
      </c>
    </row>
    <row r="224">
      <c r="A224" s="5">
        <v>223.0</v>
      </c>
      <c r="B224" s="9" t="s">
        <v>268</v>
      </c>
      <c r="C224" s="10" t="s">
        <v>134</v>
      </c>
      <c r="D224" s="10" t="s">
        <v>169</v>
      </c>
      <c r="E224" s="14">
        <v>0.0</v>
      </c>
    </row>
    <row r="225">
      <c r="A225" s="5">
        <v>224.0</v>
      </c>
      <c r="B225" s="9" t="s">
        <v>269</v>
      </c>
      <c r="C225" s="10" t="s">
        <v>257</v>
      </c>
      <c r="D225" s="10" t="s">
        <v>169</v>
      </c>
      <c r="E225" s="14">
        <v>0.0</v>
      </c>
    </row>
    <row r="226">
      <c r="A226" s="5">
        <v>225.0</v>
      </c>
      <c r="B226" s="9" t="s">
        <v>270</v>
      </c>
      <c r="C226" s="10" t="s">
        <v>257</v>
      </c>
      <c r="D226" s="10" t="s">
        <v>169</v>
      </c>
      <c r="E226" s="14">
        <v>0.0</v>
      </c>
    </row>
    <row r="227">
      <c r="A227" s="5">
        <v>226.0</v>
      </c>
      <c r="B227" s="9" t="s">
        <v>271</v>
      </c>
      <c r="C227" s="10" t="s">
        <v>257</v>
      </c>
      <c r="D227" s="10" t="s">
        <v>169</v>
      </c>
      <c r="E227" s="14">
        <v>0.0</v>
      </c>
    </row>
    <row r="228">
      <c r="A228" s="5">
        <v>227.0</v>
      </c>
      <c r="B228" s="9" t="s">
        <v>272</v>
      </c>
      <c r="C228" s="10" t="s">
        <v>77</v>
      </c>
      <c r="D228" s="10" t="s">
        <v>169</v>
      </c>
      <c r="E228" s="14">
        <v>0.0</v>
      </c>
    </row>
    <row r="229">
      <c r="A229" s="5">
        <v>228.0</v>
      </c>
      <c r="B229" s="9" t="s">
        <v>273</v>
      </c>
      <c r="C229" s="10" t="s">
        <v>257</v>
      </c>
      <c r="D229" s="10" t="s">
        <v>169</v>
      </c>
      <c r="E229" s="14">
        <v>0.0</v>
      </c>
    </row>
    <row r="230">
      <c r="A230" s="5">
        <v>229.0</v>
      </c>
      <c r="B230" s="9" t="s">
        <v>274</v>
      </c>
      <c r="C230" s="10" t="s">
        <v>257</v>
      </c>
      <c r="D230" s="10" t="s">
        <v>169</v>
      </c>
      <c r="E230" s="14">
        <v>0.0</v>
      </c>
    </row>
    <row r="231">
      <c r="A231" s="5">
        <v>230.0</v>
      </c>
      <c r="B231" s="9" t="s">
        <v>275</v>
      </c>
      <c r="C231" s="10" t="s">
        <v>6</v>
      </c>
      <c r="D231" s="10" t="s">
        <v>169</v>
      </c>
      <c r="E231" s="14">
        <v>0.0</v>
      </c>
    </row>
    <row r="232">
      <c r="A232" s="5">
        <v>231.0</v>
      </c>
      <c r="B232" s="9" t="s">
        <v>276</v>
      </c>
      <c r="C232" s="10" t="s">
        <v>257</v>
      </c>
      <c r="D232" s="10" t="s">
        <v>169</v>
      </c>
      <c r="E232" s="14">
        <v>0.0</v>
      </c>
    </row>
    <row r="233">
      <c r="A233" s="5">
        <v>232.0</v>
      </c>
      <c r="B233" s="9" t="s">
        <v>277</v>
      </c>
      <c r="C233" s="10" t="s">
        <v>48</v>
      </c>
      <c r="D233" s="10" t="s">
        <v>7</v>
      </c>
      <c r="E233" s="14">
        <v>0.0</v>
      </c>
    </row>
    <row r="234">
      <c r="A234" s="5">
        <v>233.0</v>
      </c>
      <c r="B234" s="9" t="s">
        <v>278</v>
      </c>
      <c r="C234" s="10" t="s">
        <v>69</v>
      </c>
      <c r="D234" s="10" t="s">
        <v>7</v>
      </c>
      <c r="E234" s="14">
        <v>0.0</v>
      </c>
    </row>
    <row r="235">
      <c r="A235" s="5">
        <v>234.0</v>
      </c>
      <c r="B235" s="9" t="s">
        <v>279</v>
      </c>
      <c r="C235" s="10" t="s">
        <v>20</v>
      </c>
      <c r="D235" s="10" t="s">
        <v>25</v>
      </c>
      <c r="E235" s="14">
        <v>0.0</v>
      </c>
    </row>
    <row r="236">
      <c r="A236" s="5">
        <v>235.0</v>
      </c>
      <c r="B236" s="9" t="s">
        <v>280</v>
      </c>
      <c r="C236" s="10" t="s">
        <v>20</v>
      </c>
      <c r="D236" s="10" t="s">
        <v>16</v>
      </c>
      <c r="E236" s="14">
        <v>0.0</v>
      </c>
    </row>
    <row r="237">
      <c r="A237" s="5">
        <v>236.0</v>
      </c>
      <c r="B237" s="9" t="s">
        <v>281</v>
      </c>
      <c r="C237" s="10" t="s">
        <v>40</v>
      </c>
      <c r="D237" s="10" t="s">
        <v>16</v>
      </c>
      <c r="E237" s="14">
        <v>0.0</v>
      </c>
    </row>
    <row r="238">
      <c r="A238" s="5">
        <v>237.0</v>
      </c>
      <c r="B238" s="9" t="s">
        <v>282</v>
      </c>
      <c r="C238" s="10" t="s">
        <v>48</v>
      </c>
      <c r="D238" s="10" t="s">
        <v>25</v>
      </c>
      <c r="E238" s="14">
        <v>0.0</v>
      </c>
    </row>
    <row r="239">
      <c r="A239" s="5">
        <v>238.0</v>
      </c>
      <c r="B239" s="9" t="s">
        <v>283</v>
      </c>
      <c r="C239" s="10" t="s">
        <v>56</v>
      </c>
      <c r="D239" s="10" t="s">
        <v>25</v>
      </c>
      <c r="E239" s="14">
        <v>0.0</v>
      </c>
    </row>
    <row r="240">
      <c r="A240" s="5">
        <v>239.0</v>
      </c>
      <c r="B240" s="9" t="s">
        <v>284</v>
      </c>
      <c r="C240" s="10" t="s">
        <v>77</v>
      </c>
      <c r="D240" s="10" t="s">
        <v>10</v>
      </c>
      <c r="E240" s="14">
        <v>0.0</v>
      </c>
    </row>
    <row r="241">
      <c r="A241" s="5">
        <v>240.0</v>
      </c>
      <c r="B241" s="9" t="s">
        <v>285</v>
      </c>
      <c r="C241" s="10" t="s">
        <v>52</v>
      </c>
      <c r="D241" s="10" t="s">
        <v>25</v>
      </c>
      <c r="E241" s="14">
        <v>0.0</v>
      </c>
    </row>
    <row r="242">
      <c r="A242" s="5">
        <v>241.0</v>
      </c>
      <c r="B242" s="9" t="s">
        <v>286</v>
      </c>
      <c r="C242" s="10" t="s">
        <v>54</v>
      </c>
      <c r="D242" s="10" t="s">
        <v>10</v>
      </c>
      <c r="E242" s="14">
        <v>0.0</v>
      </c>
    </row>
    <row r="243">
      <c r="A243" s="5">
        <v>242.0</v>
      </c>
      <c r="B243" s="9" t="s">
        <v>287</v>
      </c>
      <c r="C243" s="10" t="s">
        <v>27</v>
      </c>
      <c r="D243" s="10" t="s">
        <v>7</v>
      </c>
      <c r="E243" s="14">
        <v>0.0</v>
      </c>
    </row>
    <row r="244">
      <c r="A244" s="5">
        <v>243.0</v>
      </c>
      <c r="B244" s="9" t="s">
        <v>288</v>
      </c>
      <c r="C244" s="10" t="s">
        <v>52</v>
      </c>
      <c r="D244" s="10" t="s">
        <v>16</v>
      </c>
      <c r="E244" s="14">
        <v>0.0</v>
      </c>
    </row>
    <row r="245">
      <c r="A245" s="5">
        <v>244.0</v>
      </c>
      <c r="B245" s="9" t="s">
        <v>289</v>
      </c>
      <c r="C245" s="10" t="s">
        <v>34</v>
      </c>
      <c r="D245" s="10" t="s">
        <v>10</v>
      </c>
      <c r="E245" s="14">
        <v>0.0</v>
      </c>
    </row>
    <row r="246">
      <c r="A246" s="5">
        <v>245.0</v>
      </c>
      <c r="B246" s="9" t="s">
        <v>290</v>
      </c>
      <c r="C246" s="10" t="s">
        <v>92</v>
      </c>
      <c r="D246" s="10" t="s">
        <v>10</v>
      </c>
      <c r="E246" s="14">
        <v>0.0</v>
      </c>
    </row>
    <row r="247">
      <c r="A247" s="5">
        <v>246.0</v>
      </c>
      <c r="B247" s="9" t="s">
        <v>291</v>
      </c>
      <c r="C247" s="10" t="s">
        <v>92</v>
      </c>
      <c r="D247" s="10" t="s">
        <v>25</v>
      </c>
      <c r="E247" s="14">
        <v>0.0</v>
      </c>
    </row>
    <row r="248">
      <c r="A248" s="5">
        <v>247.0</v>
      </c>
      <c r="B248" s="9" t="s">
        <v>292</v>
      </c>
      <c r="C248" s="10" t="s">
        <v>54</v>
      </c>
      <c r="D248" s="10" t="s">
        <v>7</v>
      </c>
      <c r="E248" s="14">
        <v>0.0</v>
      </c>
    </row>
    <row r="249">
      <c r="A249" s="5">
        <v>248.0</v>
      </c>
      <c r="B249" s="9" t="s">
        <v>293</v>
      </c>
      <c r="C249" s="10" t="s">
        <v>102</v>
      </c>
      <c r="D249" s="10" t="s">
        <v>7</v>
      </c>
      <c r="E249" s="14">
        <v>0.0</v>
      </c>
    </row>
    <row r="250">
      <c r="A250" s="5">
        <v>249.0</v>
      </c>
      <c r="B250" s="9" t="s">
        <v>294</v>
      </c>
      <c r="C250" s="10" t="s">
        <v>74</v>
      </c>
      <c r="D250" s="10" t="s">
        <v>25</v>
      </c>
      <c r="E250" s="14">
        <v>0.0</v>
      </c>
    </row>
    <row r="251">
      <c r="A251" s="5">
        <v>250.0</v>
      </c>
      <c r="B251" s="9" t="s">
        <v>295</v>
      </c>
      <c r="C251" s="10" t="s">
        <v>44</v>
      </c>
      <c r="D251" s="10" t="s">
        <v>25</v>
      </c>
      <c r="E251" s="14">
        <v>0.0</v>
      </c>
    </row>
    <row r="252">
      <c r="A252" s="5">
        <v>251.0</v>
      </c>
      <c r="B252" s="9" t="s">
        <v>296</v>
      </c>
      <c r="C252" s="10" t="s">
        <v>12</v>
      </c>
      <c r="D252" s="10" t="s">
        <v>16</v>
      </c>
      <c r="E252" s="14">
        <v>0.0</v>
      </c>
    </row>
    <row r="253">
      <c r="A253" s="5">
        <v>252.0</v>
      </c>
      <c r="B253" s="9" t="s">
        <v>297</v>
      </c>
      <c r="C253" s="10" t="s">
        <v>61</v>
      </c>
      <c r="D253" s="10" t="s">
        <v>10</v>
      </c>
      <c r="E253" s="14">
        <v>0.0</v>
      </c>
    </row>
    <row r="254">
      <c r="A254" s="5">
        <v>253.0</v>
      </c>
      <c r="B254" s="9" t="s">
        <v>298</v>
      </c>
      <c r="C254" s="10" t="s">
        <v>61</v>
      </c>
      <c r="D254" s="10" t="s">
        <v>16</v>
      </c>
      <c r="E254" s="14">
        <v>0.0</v>
      </c>
    </row>
    <row r="255">
      <c r="A255" s="5">
        <v>254.0</v>
      </c>
      <c r="B255" s="9" t="s">
        <v>299</v>
      </c>
      <c r="C255" s="10" t="s">
        <v>34</v>
      </c>
      <c r="D255" s="10" t="s">
        <v>25</v>
      </c>
      <c r="E255" s="14">
        <v>0.0</v>
      </c>
    </row>
    <row r="256">
      <c r="A256" s="5">
        <v>255.0</v>
      </c>
      <c r="B256" s="9" t="s">
        <v>300</v>
      </c>
      <c r="C256" s="10" t="s">
        <v>104</v>
      </c>
      <c r="D256" s="10" t="s">
        <v>25</v>
      </c>
      <c r="E256" s="14">
        <v>0.0</v>
      </c>
    </row>
    <row r="257">
      <c r="A257" s="5">
        <v>256.0</v>
      </c>
      <c r="B257" s="9" t="s">
        <v>301</v>
      </c>
      <c r="C257" s="10" t="s">
        <v>12</v>
      </c>
      <c r="D257" s="10" t="s">
        <v>7</v>
      </c>
      <c r="E257" s="14">
        <v>0.0</v>
      </c>
    </row>
    <row r="258">
      <c r="A258" s="5">
        <v>257.0</v>
      </c>
      <c r="B258" s="9" t="s">
        <v>302</v>
      </c>
      <c r="C258" s="10" t="s">
        <v>86</v>
      </c>
      <c r="D258" s="10" t="s">
        <v>25</v>
      </c>
      <c r="E258" s="14">
        <v>0.0</v>
      </c>
    </row>
    <row r="259">
      <c r="A259" s="5">
        <v>258.0</v>
      </c>
      <c r="B259" s="9" t="s">
        <v>303</v>
      </c>
      <c r="C259" s="10" t="s">
        <v>59</v>
      </c>
      <c r="D259" s="10" t="s">
        <v>25</v>
      </c>
      <c r="E259" s="14">
        <v>0.0</v>
      </c>
    </row>
    <row r="260">
      <c r="A260" s="5">
        <v>259.0</v>
      </c>
      <c r="B260" s="9" t="s">
        <v>304</v>
      </c>
      <c r="C260" s="10" t="s">
        <v>90</v>
      </c>
      <c r="D260" s="10" t="s">
        <v>16</v>
      </c>
      <c r="E260" s="14">
        <v>0.0</v>
      </c>
    </row>
    <row r="261">
      <c r="A261" s="5">
        <v>260.0</v>
      </c>
      <c r="B261" s="9" t="s">
        <v>305</v>
      </c>
      <c r="C261" s="10" t="s">
        <v>27</v>
      </c>
      <c r="D261" s="10" t="s">
        <v>25</v>
      </c>
      <c r="E261" s="14">
        <v>0.0</v>
      </c>
    </row>
    <row r="262">
      <c r="A262" s="5">
        <v>261.0</v>
      </c>
      <c r="B262" s="9" t="s">
        <v>306</v>
      </c>
      <c r="C262" s="10" t="s">
        <v>104</v>
      </c>
      <c r="D262" s="10" t="s">
        <v>25</v>
      </c>
      <c r="E262" s="14">
        <v>0.0</v>
      </c>
    </row>
    <row r="263">
      <c r="A263" s="5">
        <v>262.0</v>
      </c>
      <c r="B263" s="9" t="s">
        <v>307</v>
      </c>
      <c r="C263" s="10" t="s">
        <v>134</v>
      </c>
      <c r="D263" s="10" t="s">
        <v>25</v>
      </c>
      <c r="E263" s="14">
        <v>0.0</v>
      </c>
    </row>
    <row r="264">
      <c r="A264" s="5">
        <v>263.0</v>
      </c>
      <c r="B264" s="9" t="s">
        <v>308</v>
      </c>
      <c r="C264" s="10" t="s">
        <v>27</v>
      </c>
      <c r="D264" s="10" t="s">
        <v>25</v>
      </c>
      <c r="E264" s="14">
        <v>0.0</v>
      </c>
    </row>
    <row r="265">
      <c r="A265" s="5">
        <v>264.0</v>
      </c>
      <c r="B265" s="9" t="s">
        <v>309</v>
      </c>
      <c r="C265" s="10" t="s">
        <v>38</v>
      </c>
      <c r="D265" s="10" t="s">
        <v>16</v>
      </c>
      <c r="E265" s="14">
        <v>0.0</v>
      </c>
    </row>
    <row r="266">
      <c r="A266" s="5">
        <v>265.0</v>
      </c>
      <c r="B266" s="9" t="s">
        <v>310</v>
      </c>
      <c r="C266" s="10" t="s">
        <v>92</v>
      </c>
      <c r="D266" s="10" t="s">
        <v>16</v>
      </c>
      <c r="E266" s="14">
        <v>0.0</v>
      </c>
    </row>
    <row r="267">
      <c r="A267" s="5">
        <v>266.0</v>
      </c>
      <c r="B267" s="9" t="s">
        <v>311</v>
      </c>
      <c r="C267" s="10" t="s">
        <v>18</v>
      </c>
      <c r="D267" s="10" t="s">
        <v>25</v>
      </c>
      <c r="E267" s="14">
        <v>0.0</v>
      </c>
    </row>
    <row r="268">
      <c r="A268" s="5">
        <v>267.0</v>
      </c>
      <c r="B268" s="9" t="s">
        <v>312</v>
      </c>
      <c r="C268" s="10" t="s">
        <v>86</v>
      </c>
      <c r="D268" s="10" t="s">
        <v>7</v>
      </c>
      <c r="E268" s="14">
        <v>0.0</v>
      </c>
    </row>
    <row r="269">
      <c r="A269" s="5">
        <v>268.0</v>
      </c>
      <c r="B269" s="9" t="s">
        <v>313</v>
      </c>
      <c r="C269" s="10" t="s">
        <v>69</v>
      </c>
      <c r="D269" s="10" t="s">
        <v>25</v>
      </c>
      <c r="E269" s="14">
        <v>0.0</v>
      </c>
    </row>
    <row r="270">
      <c r="A270" s="5">
        <v>269.0</v>
      </c>
      <c r="B270" s="9" t="s">
        <v>314</v>
      </c>
      <c r="C270" s="10" t="s">
        <v>86</v>
      </c>
      <c r="D270" s="10" t="s">
        <v>16</v>
      </c>
      <c r="E270" s="14">
        <v>0.0</v>
      </c>
    </row>
    <row r="271">
      <c r="A271" s="5">
        <v>270.0</v>
      </c>
      <c r="B271" s="9" t="s">
        <v>315</v>
      </c>
      <c r="C271" s="10" t="s">
        <v>102</v>
      </c>
      <c r="D271" s="10" t="s">
        <v>25</v>
      </c>
      <c r="E271" s="14">
        <v>0.0</v>
      </c>
    </row>
    <row r="272">
      <c r="A272" s="5">
        <v>271.0</v>
      </c>
      <c r="B272" s="9" t="s">
        <v>316</v>
      </c>
      <c r="C272" s="10" t="s">
        <v>20</v>
      </c>
      <c r="D272" s="10" t="s">
        <v>16</v>
      </c>
      <c r="E272" s="14">
        <v>0.0</v>
      </c>
    </row>
    <row r="273">
      <c r="A273" s="5">
        <v>272.0</v>
      </c>
      <c r="B273" s="9" t="s">
        <v>317</v>
      </c>
      <c r="C273" s="10" t="s">
        <v>90</v>
      </c>
      <c r="D273" s="10" t="s">
        <v>25</v>
      </c>
      <c r="E273" s="14">
        <v>0.0</v>
      </c>
    </row>
    <row r="274">
      <c r="A274" s="5">
        <v>273.0</v>
      </c>
      <c r="B274" s="9" t="s">
        <v>318</v>
      </c>
      <c r="C274" s="10" t="s">
        <v>54</v>
      </c>
      <c r="D274" s="10" t="s">
        <v>16</v>
      </c>
      <c r="E274" s="14">
        <v>0.0</v>
      </c>
    </row>
    <row r="275">
      <c r="A275" s="5">
        <v>274.0</v>
      </c>
      <c r="B275" s="9" t="s">
        <v>319</v>
      </c>
      <c r="C275" s="10" t="s">
        <v>59</v>
      </c>
      <c r="D275" s="10" t="s">
        <v>16</v>
      </c>
      <c r="E275" s="14">
        <v>0.0</v>
      </c>
    </row>
    <row r="276">
      <c r="A276" s="5">
        <v>275.0</v>
      </c>
      <c r="B276" s="9" t="s">
        <v>320</v>
      </c>
      <c r="C276" s="10" t="s">
        <v>27</v>
      </c>
      <c r="D276" s="10" t="s">
        <v>16</v>
      </c>
      <c r="E276" s="14">
        <v>0.0</v>
      </c>
    </row>
    <row r="277">
      <c r="A277" s="5">
        <v>276.0</v>
      </c>
      <c r="B277" s="9" t="s">
        <v>321</v>
      </c>
      <c r="C277" s="10" t="s">
        <v>18</v>
      </c>
      <c r="D277" s="10" t="s">
        <v>25</v>
      </c>
      <c r="E277" s="14">
        <v>0.0</v>
      </c>
    </row>
    <row r="278">
      <c r="A278" s="5">
        <v>277.0</v>
      </c>
      <c r="B278" s="9" t="s">
        <v>322</v>
      </c>
      <c r="C278" s="10" t="s">
        <v>24</v>
      </c>
      <c r="D278" s="10" t="s">
        <v>7</v>
      </c>
      <c r="E278" s="14">
        <v>0.0</v>
      </c>
    </row>
    <row r="279">
      <c r="A279" s="5">
        <v>278.0</v>
      </c>
      <c r="B279" s="9" t="s">
        <v>323</v>
      </c>
      <c r="C279" s="10" t="s">
        <v>77</v>
      </c>
      <c r="D279" s="10" t="s">
        <v>7</v>
      </c>
      <c r="E279" s="14">
        <v>0.0</v>
      </c>
    </row>
    <row r="280">
      <c r="A280" s="5">
        <v>279.0</v>
      </c>
      <c r="B280" s="9" t="s">
        <v>324</v>
      </c>
      <c r="C280" s="10" t="s">
        <v>34</v>
      </c>
      <c r="D280" s="10" t="s">
        <v>16</v>
      </c>
      <c r="E280" s="14">
        <v>0.0</v>
      </c>
    </row>
    <row r="281">
      <c r="A281" s="5">
        <v>280.0</v>
      </c>
      <c r="B281" s="9" t="s">
        <v>325</v>
      </c>
      <c r="C281" s="10" t="s">
        <v>59</v>
      </c>
      <c r="D281" s="10" t="s">
        <v>25</v>
      </c>
      <c r="E281" s="14">
        <v>0.0</v>
      </c>
    </row>
    <row r="282">
      <c r="A282" s="5">
        <v>281.0</v>
      </c>
      <c r="B282" s="9" t="s">
        <v>326</v>
      </c>
      <c r="C282" s="10" t="s">
        <v>90</v>
      </c>
      <c r="D282" s="10" t="s">
        <v>7</v>
      </c>
      <c r="E282" s="14">
        <v>0.0</v>
      </c>
    </row>
    <row r="283">
      <c r="A283" s="5">
        <v>282.0</v>
      </c>
      <c r="B283" s="9" t="s">
        <v>327</v>
      </c>
      <c r="C283" s="10" t="s">
        <v>74</v>
      </c>
      <c r="D283" s="10" t="s">
        <v>16</v>
      </c>
      <c r="E283" s="14">
        <v>0.0</v>
      </c>
    </row>
    <row r="284">
      <c r="A284" s="5">
        <v>283.0</v>
      </c>
      <c r="B284" s="9" t="s">
        <v>328</v>
      </c>
      <c r="C284" s="10" t="s">
        <v>96</v>
      </c>
      <c r="D284" s="10" t="s">
        <v>7</v>
      </c>
      <c r="E284" s="14">
        <v>0.0</v>
      </c>
    </row>
    <row r="285">
      <c r="A285" s="5">
        <v>284.0</v>
      </c>
      <c r="B285" s="9" t="s">
        <v>329</v>
      </c>
      <c r="C285" s="10" t="s">
        <v>32</v>
      </c>
      <c r="D285" s="10" t="s">
        <v>7</v>
      </c>
      <c r="E285" s="14">
        <v>0.0</v>
      </c>
    </row>
    <row r="286">
      <c r="A286" s="5">
        <v>285.0</v>
      </c>
      <c r="B286" s="9" t="s">
        <v>330</v>
      </c>
      <c r="C286" s="10" t="s">
        <v>40</v>
      </c>
      <c r="D286" s="10" t="s">
        <v>25</v>
      </c>
      <c r="E286" s="14">
        <v>0.0</v>
      </c>
    </row>
    <row r="287">
      <c r="A287" s="5">
        <v>286.0</v>
      </c>
      <c r="B287" s="9" t="s">
        <v>331</v>
      </c>
      <c r="C287" s="10" t="s">
        <v>92</v>
      </c>
      <c r="D287" s="10" t="s">
        <v>7</v>
      </c>
      <c r="E287" s="14">
        <v>0.0</v>
      </c>
    </row>
    <row r="288">
      <c r="A288" s="5">
        <v>287.0</v>
      </c>
      <c r="B288" s="9" t="s">
        <v>332</v>
      </c>
      <c r="C288" s="10" t="s">
        <v>92</v>
      </c>
      <c r="D288" s="10" t="s">
        <v>25</v>
      </c>
      <c r="E288" s="14">
        <v>0.0</v>
      </c>
    </row>
    <row r="289">
      <c r="A289" s="5">
        <v>288.0</v>
      </c>
      <c r="B289" s="9" t="s">
        <v>333</v>
      </c>
      <c r="C289" s="10" t="s">
        <v>134</v>
      </c>
      <c r="D289" s="10" t="s">
        <v>10</v>
      </c>
      <c r="E289" s="14">
        <v>0.0</v>
      </c>
    </row>
    <row r="290">
      <c r="A290" s="5">
        <v>289.0</v>
      </c>
      <c r="B290" s="9" t="s">
        <v>334</v>
      </c>
      <c r="C290" s="10" t="s">
        <v>92</v>
      </c>
      <c r="D290" s="10" t="s">
        <v>16</v>
      </c>
      <c r="E290" s="14">
        <v>0.0</v>
      </c>
    </row>
    <row r="291">
      <c r="A291" s="5">
        <v>290.0</v>
      </c>
      <c r="B291" s="9" t="s">
        <v>335</v>
      </c>
      <c r="C291" s="10" t="s">
        <v>86</v>
      </c>
      <c r="D291" s="10" t="s">
        <v>7</v>
      </c>
      <c r="E291" s="14">
        <v>0.0</v>
      </c>
    </row>
    <row r="292">
      <c r="A292" s="5">
        <v>291.0</v>
      </c>
      <c r="B292" s="9" t="s">
        <v>336</v>
      </c>
      <c r="C292" s="10" t="s">
        <v>102</v>
      </c>
      <c r="D292" s="10" t="s">
        <v>7</v>
      </c>
      <c r="E292" s="14">
        <v>0.0</v>
      </c>
    </row>
    <row r="293">
      <c r="A293" s="5">
        <v>292.0</v>
      </c>
      <c r="B293" s="9" t="s">
        <v>337</v>
      </c>
      <c r="C293" s="10" t="s">
        <v>34</v>
      </c>
      <c r="D293" s="10" t="s">
        <v>25</v>
      </c>
      <c r="E293" s="14">
        <v>0.0</v>
      </c>
    </row>
    <row r="294">
      <c r="A294" s="5">
        <v>293.0</v>
      </c>
      <c r="B294" s="9" t="s">
        <v>338</v>
      </c>
      <c r="C294" s="10" t="s">
        <v>14</v>
      </c>
      <c r="D294" s="10" t="s">
        <v>16</v>
      </c>
      <c r="E294" s="14">
        <v>0.0</v>
      </c>
    </row>
    <row r="295">
      <c r="A295" s="5">
        <v>294.0</v>
      </c>
      <c r="B295" s="9" t="s">
        <v>339</v>
      </c>
      <c r="C295" s="10" t="s">
        <v>77</v>
      </c>
      <c r="D295" s="10" t="s">
        <v>16</v>
      </c>
      <c r="E295" s="14">
        <v>0.0</v>
      </c>
    </row>
    <row r="296">
      <c r="A296" s="5">
        <v>295.0</v>
      </c>
      <c r="B296" s="9" t="s">
        <v>340</v>
      </c>
      <c r="C296" s="10" t="s">
        <v>104</v>
      </c>
      <c r="D296" s="10" t="s">
        <v>16</v>
      </c>
      <c r="E296" s="14">
        <v>0.0</v>
      </c>
    </row>
    <row r="297">
      <c r="A297" s="5">
        <v>296.0</v>
      </c>
      <c r="B297" s="9" t="s">
        <v>341</v>
      </c>
      <c r="C297" s="10" t="s">
        <v>20</v>
      </c>
      <c r="D297" s="10" t="s">
        <v>7</v>
      </c>
      <c r="E297" s="14">
        <v>0.0</v>
      </c>
    </row>
    <row r="298">
      <c r="A298" s="5">
        <v>297.0</v>
      </c>
      <c r="B298" s="9" t="s">
        <v>342</v>
      </c>
      <c r="C298" s="10" t="s">
        <v>77</v>
      </c>
      <c r="D298" s="10" t="s">
        <v>25</v>
      </c>
      <c r="E298" s="14">
        <v>0.0</v>
      </c>
    </row>
    <row r="299">
      <c r="A299" s="5">
        <v>298.0</v>
      </c>
      <c r="B299" s="12" t="s">
        <v>343</v>
      </c>
      <c r="C299" s="10" t="s">
        <v>20</v>
      </c>
      <c r="D299" s="10" t="s">
        <v>25</v>
      </c>
      <c r="E299" s="14">
        <v>0.0</v>
      </c>
    </row>
    <row r="300">
      <c r="A300" s="5">
        <v>299.0</v>
      </c>
      <c r="B300" s="9" t="s">
        <v>344</v>
      </c>
      <c r="C300" s="10" t="s">
        <v>18</v>
      </c>
      <c r="D300" s="10" t="s">
        <v>25</v>
      </c>
      <c r="E300" s="14">
        <v>0.0</v>
      </c>
    </row>
    <row r="301">
      <c r="A301" s="5">
        <v>300.0</v>
      </c>
      <c r="B301" s="9" t="s">
        <v>345</v>
      </c>
      <c r="C301" s="10" t="s">
        <v>92</v>
      </c>
      <c r="D301" s="10" t="s">
        <v>25</v>
      </c>
      <c r="E301" s="14">
        <v>0.0</v>
      </c>
    </row>
    <row r="302">
      <c r="A302" s="5">
        <v>301.0</v>
      </c>
      <c r="B302" s="9" t="s">
        <v>346</v>
      </c>
      <c r="C302" s="10" t="s">
        <v>69</v>
      </c>
      <c r="D302" s="10" t="s">
        <v>16</v>
      </c>
      <c r="E302" s="14">
        <v>0.0</v>
      </c>
    </row>
    <row r="303">
      <c r="A303" s="5">
        <v>302.0</v>
      </c>
      <c r="B303" s="9" t="s">
        <v>347</v>
      </c>
      <c r="C303" s="10" t="s">
        <v>24</v>
      </c>
      <c r="D303" s="10" t="s">
        <v>16</v>
      </c>
      <c r="E303" s="14">
        <v>0.0</v>
      </c>
    </row>
    <row r="304">
      <c r="A304" s="5">
        <v>303.0</v>
      </c>
      <c r="B304" s="9" t="s">
        <v>348</v>
      </c>
      <c r="C304" s="10" t="s">
        <v>61</v>
      </c>
      <c r="D304" s="10" t="s">
        <v>25</v>
      </c>
      <c r="E304" s="14">
        <v>0.0</v>
      </c>
    </row>
    <row r="305">
      <c r="A305" s="5">
        <v>304.0</v>
      </c>
      <c r="B305" s="9" t="s">
        <v>349</v>
      </c>
      <c r="C305" s="10" t="s">
        <v>56</v>
      </c>
      <c r="D305" s="10" t="s">
        <v>25</v>
      </c>
      <c r="E305" s="14">
        <v>0.0</v>
      </c>
    </row>
    <row r="306">
      <c r="A306" s="5">
        <v>305.0</v>
      </c>
      <c r="B306" s="9" t="s">
        <v>350</v>
      </c>
      <c r="C306" s="10" t="s">
        <v>18</v>
      </c>
      <c r="D306" s="10" t="s">
        <v>16</v>
      </c>
      <c r="E306" s="14">
        <v>0.0</v>
      </c>
    </row>
    <row r="307">
      <c r="A307" s="5">
        <v>306.0</v>
      </c>
      <c r="B307" s="9" t="s">
        <v>351</v>
      </c>
      <c r="C307" s="10" t="s">
        <v>38</v>
      </c>
      <c r="D307" s="10" t="s">
        <v>25</v>
      </c>
      <c r="E307" s="14">
        <v>0.0</v>
      </c>
    </row>
    <row r="308">
      <c r="A308" s="5">
        <v>307.0</v>
      </c>
      <c r="B308" s="9" t="s">
        <v>352</v>
      </c>
      <c r="C308" s="10" t="s">
        <v>74</v>
      </c>
      <c r="D308" s="10" t="s">
        <v>7</v>
      </c>
      <c r="E308" s="14">
        <v>0.0</v>
      </c>
    </row>
    <row r="309">
      <c r="A309" s="5">
        <v>308.0</v>
      </c>
      <c r="B309" s="9" t="s">
        <v>353</v>
      </c>
      <c r="C309" s="10" t="s">
        <v>56</v>
      </c>
      <c r="D309" s="10" t="s">
        <v>16</v>
      </c>
      <c r="E309" s="14">
        <v>0.0</v>
      </c>
    </row>
    <row r="310">
      <c r="A310" s="5">
        <v>309.0</v>
      </c>
      <c r="B310" s="9" t="s">
        <v>354</v>
      </c>
      <c r="C310" s="10" t="s">
        <v>38</v>
      </c>
      <c r="D310" s="10" t="s">
        <v>16</v>
      </c>
      <c r="E310" s="14">
        <v>0.0</v>
      </c>
    </row>
    <row r="311">
      <c r="A311" s="5">
        <v>310.0</v>
      </c>
      <c r="B311" s="9" t="s">
        <v>355</v>
      </c>
      <c r="C311" s="10" t="s">
        <v>22</v>
      </c>
      <c r="D311" s="10" t="s">
        <v>7</v>
      </c>
      <c r="E311" s="14">
        <v>0.0</v>
      </c>
    </row>
    <row r="312">
      <c r="A312" s="5">
        <v>311.0</v>
      </c>
      <c r="B312" s="9" t="s">
        <v>356</v>
      </c>
      <c r="C312" s="10" t="s">
        <v>9</v>
      </c>
      <c r="D312" s="10" t="s">
        <v>16</v>
      </c>
      <c r="E312" s="14">
        <v>0.0</v>
      </c>
    </row>
    <row r="313">
      <c r="A313" s="5">
        <v>312.0</v>
      </c>
      <c r="B313" s="9" t="s">
        <v>357</v>
      </c>
      <c r="C313" s="10" t="s">
        <v>29</v>
      </c>
      <c r="D313" s="10" t="s">
        <v>16</v>
      </c>
      <c r="E313" s="14">
        <v>0.0</v>
      </c>
    </row>
    <row r="314">
      <c r="A314" s="5">
        <v>313.0</v>
      </c>
      <c r="B314" s="9" t="s">
        <v>358</v>
      </c>
      <c r="C314" s="10" t="s">
        <v>61</v>
      </c>
      <c r="D314" s="10" t="s">
        <v>16</v>
      </c>
      <c r="E314" s="14">
        <v>0.0</v>
      </c>
    </row>
    <row r="315">
      <c r="A315" s="5">
        <v>314.0</v>
      </c>
      <c r="B315" s="9" t="s">
        <v>359</v>
      </c>
      <c r="C315" s="10" t="s">
        <v>92</v>
      </c>
      <c r="D315" s="10" t="s">
        <v>7</v>
      </c>
      <c r="E315" s="14">
        <v>0.0</v>
      </c>
    </row>
    <row r="316">
      <c r="A316" s="5">
        <v>315.0</v>
      </c>
      <c r="B316" s="9" t="s">
        <v>360</v>
      </c>
      <c r="C316" s="10" t="s">
        <v>12</v>
      </c>
      <c r="D316" s="10" t="s">
        <v>25</v>
      </c>
      <c r="E316" s="14">
        <v>0.0</v>
      </c>
    </row>
    <row r="317">
      <c r="A317" s="5">
        <v>316.0</v>
      </c>
      <c r="B317" s="9" t="s">
        <v>361</v>
      </c>
      <c r="C317" s="10" t="s">
        <v>134</v>
      </c>
      <c r="D317" s="10" t="s">
        <v>16</v>
      </c>
      <c r="E317" s="14">
        <v>0.0</v>
      </c>
    </row>
    <row r="318">
      <c r="A318" s="5">
        <v>317.0</v>
      </c>
      <c r="B318" s="9" t="s">
        <v>362</v>
      </c>
      <c r="C318" s="10" t="s">
        <v>96</v>
      </c>
      <c r="D318" s="10" t="s">
        <v>16</v>
      </c>
      <c r="E318" s="14">
        <v>0.0</v>
      </c>
    </row>
    <row r="319">
      <c r="A319" s="5">
        <v>318.0</v>
      </c>
      <c r="B319" s="9" t="s">
        <v>363</v>
      </c>
      <c r="C319" s="10" t="s">
        <v>44</v>
      </c>
      <c r="D319" s="10" t="s">
        <v>16</v>
      </c>
      <c r="E319" s="14">
        <v>0.0</v>
      </c>
    </row>
    <row r="320">
      <c r="A320" s="5">
        <v>319.0</v>
      </c>
      <c r="B320" s="9" t="s">
        <v>364</v>
      </c>
      <c r="C320" s="10" t="s">
        <v>14</v>
      </c>
      <c r="D320" s="10" t="s">
        <v>16</v>
      </c>
      <c r="E320" s="14">
        <v>0.0</v>
      </c>
    </row>
    <row r="321">
      <c r="A321" s="5">
        <v>320.0</v>
      </c>
      <c r="B321" s="9" t="s">
        <v>365</v>
      </c>
      <c r="C321" s="10" t="s">
        <v>77</v>
      </c>
      <c r="D321" s="10" t="s">
        <v>16</v>
      </c>
      <c r="E321" s="14">
        <v>0.0</v>
      </c>
    </row>
    <row r="322">
      <c r="A322" s="5">
        <v>321.0</v>
      </c>
      <c r="B322" s="9" t="s">
        <v>366</v>
      </c>
      <c r="C322" s="10" t="s">
        <v>20</v>
      </c>
      <c r="D322" s="10" t="s">
        <v>16</v>
      </c>
      <c r="E322" s="14">
        <v>0.0</v>
      </c>
    </row>
    <row r="323">
      <c r="A323" s="5">
        <v>322.0</v>
      </c>
      <c r="B323" s="9" t="s">
        <v>367</v>
      </c>
      <c r="C323" s="10" t="s">
        <v>104</v>
      </c>
      <c r="D323" s="10" t="s">
        <v>25</v>
      </c>
      <c r="E323" s="14">
        <v>0.0</v>
      </c>
    </row>
    <row r="324">
      <c r="A324" s="5">
        <v>323.0</v>
      </c>
      <c r="B324" s="9" t="s">
        <v>368</v>
      </c>
      <c r="C324" s="10" t="s">
        <v>63</v>
      </c>
      <c r="D324" s="10" t="s">
        <v>25</v>
      </c>
      <c r="E324" s="14">
        <v>0.0</v>
      </c>
    </row>
    <row r="325">
      <c r="A325" s="5">
        <v>324.0</v>
      </c>
      <c r="B325" s="9" t="s">
        <v>369</v>
      </c>
      <c r="C325" s="10" t="s">
        <v>52</v>
      </c>
      <c r="D325" s="10" t="s">
        <v>16</v>
      </c>
      <c r="E325" s="14">
        <v>0.0</v>
      </c>
    </row>
    <row r="326">
      <c r="A326" s="5">
        <v>325.0</v>
      </c>
      <c r="B326" s="9" t="s">
        <v>370</v>
      </c>
      <c r="C326" s="10" t="s">
        <v>48</v>
      </c>
      <c r="D326" s="10" t="s">
        <v>16</v>
      </c>
      <c r="E326" s="14">
        <v>0.0</v>
      </c>
    </row>
    <row r="327">
      <c r="A327" s="5">
        <v>326.0</v>
      </c>
      <c r="B327" s="9" t="s">
        <v>371</v>
      </c>
      <c r="C327" s="10" t="s">
        <v>40</v>
      </c>
      <c r="D327" s="10" t="s">
        <v>7</v>
      </c>
      <c r="E327" s="14">
        <v>0.0</v>
      </c>
    </row>
    <row r="328">
      <c r="A328" s="5">
        <v>327.0</v>
      </c>
      <c r="B328" s="9" t="s">
        <v>372</v>
      </c>
      <c r="C328" s="10" t="s">
        <v>86</v>
      </c>
      <c r="D328" s="10" t="s">
        <v>16</v>
      </c>
      <c r="E328" s="14">
        <v>0.0</v>
      </c>
    </row>
    <row r="329">
      <c r="A329" s="5">
        <v>328.0</v>
      </c>
      <c r="B329" s="9" t="s">
        <v>373</v>
      </c>
      <c r="C329" s="10" t="s">
        <v>12</v>
      </c>
      <c r="D329" s="10" t="s">
        <v>25</v>
      </c>
      <c r="E329" s="14">
        <v>0.0</v>
      </c>
    </row>
    <row r="330">
      <c r="A330" s="5">
        <v>329.0</v>
      </c>
      <c r="B330" s="9" t="s">
        <v>374</v>
      </c>
      <c r="C330" s="10" t="s">
        <v>56</v>
      </c>
      <c r="D330" s="10" t="s">
        <v>16</v>
      </c>
      <c r="E330" s="14">
        <v>0.0</v>
      </c>
    </row>
    <row r="331">
      <c r="A331" s="5">
        <v>330.0</v>
      </c>
      <c r="B331" s="9" t="s">
        <v>375</v>
      </c>
      <c r="C331" s="10" t="s">
        <v>34</v>
      </c>
      <c r="D331" s="10" t="s">
        <v>16</v>
      </c>
      <c r="E331" s="14">
        <v>0.0</v>
      </c>
    </row>
    <row r="332">
      <c r="A332" s="5">
        <v>331.0</v>
      </c>
      <c r="B332" s="9" t="s">
        <v>376</v>
      </c>
      <c r="C332" s="10" t="s">
        <v>32</v>
      </c>
      <c r="D332" s="10" t="s">
        <v>25</v>
      </c>
      <c r="E332" s="14">
        <v>0.0</v>
      </c>
    </row>
    <row r="333">
      <c r="A333" s="5">
        <v>332.0</v>
      </c>
      <c r="B333" s="9" t="s">
        <v>377</v>
      </c>
      <c r="C333" s="10" t="s">
        <v>74</v>
      </c>
      <c r="D333" s="10" t="s">
        <v>16</v>
      </c>
      <c r="E333" s="14">
        <v>0.0</v>
      </c>
    </row>
    <row r="334">
      <c r="A334" s="5">
        <v>333.0</v>
      </c>
      <c r="B334" s="9" t="s">
        <v>378</v>
      </c>
      <c r="C334" s="10" t="s">
        <v>44</v>
      </c>
      <c r="D334" s="10" t="s">
        <v>16</v>
      </c>
      <c r="E334" s="14">
        <v>0.0</v>
      </c>
    </row>
    <row r="335">
      <c r="A335" s="5">
        <v>334.0</v>
      </c>
      <c r="B335" s="9" t="s">
        <v>379</v>
      </c>
      <c r="C335" s="10" t="s">
        <v>61</v>
      </c>
      <c r="D335" s="10" t="s">
        <v>25</v>
      </c>
      <c r="E335" s="14">
        <v>0.0</v>
      </c>
    </row>
    <row r="336">
      <c r="A336" s="5">
        <v>335.0</v>
      </c>
      <c r="B336" s="9" t="s">
        <v>380</v>
      </c>
      <c r="C336" s="10" t="s">
        <v>6</v>
      </c>
      <c r="D336" s="10" t="s">
        <v>16</v>
      </c>
      <c r="E336" s="14">
        <v>0.0</v>
      </c>
    </row>
    <row r="337">
      <c r="A337" s="5">
        <v>336.0</v>
      </c>
      <c r="B337" s="9" t="s">
        <v>381</v>
      </c>
      <c r="C337" s="10" t="s">
        <v>86</v>
      </c>
      <c r="D337" s="10" t="s">
        <v>16</v>
      </c>
      <c r="E337" s="14">
        <v>0.0</v>
      </c>
    </row>
    <row r="338">
      <c r="A338" s="5">
        <v>337.0</v>
      </c>
      <c r="B338" s="9" t="s">
        <v>382</v>
      </c>
      <c r="C338" s="10" t="s">
        <v>18</v>
      </c>
      <c r="D338" s="10" t="s">
        <v>16</v>
      </c>
      <c r="E338" s="14">
        <v>0.0</v>
      </c>
    </row>
    <row r="339">
      <c r="A339" s="5">
        <v>338.0</v>
      </c>
      <c r="B339" s="9" t="s">
        <v>383</v>
      </c>
      <c r="C339" s="10" t="s">
        <v>86</v>
      </c>
      <c r="D339" s="10" t="s">
        <v>7</v>
      </c>
      <c r="E339" s="14">
        <v>0.0</v>
      </c>
    </row>
    <row r="340">
      <c r="A340" s="5">
        <v>339.0</v>
      </c>
      <c r="B340" s="9" t="s">
        <v>384</v>
      </c>
      <c r="C340" s="10" t="s">
        <v>40</v>
      </c>
      <c r="D340" s="10" t="s">
        <v>25</v>
      </c>
      <c r="E340" s="14">
        <v>0.0</v>
      </c>
    </row>
    <row r="341">
      <c r="A341" s="5">
        <v>340.0</v>
      </c>
      <c r="B341" s="9" t="s">
        <v>385</v>
      </c>
      <c r="C341" s="10" t="s">
        <v>14</v>
      </c>
      <c r="D341" s="10" t="s">
        <v>7</v>
      </c>
      <c r="E341" s="14">
        <v>0.0</v>
      </c>
    </row>
    <row r="342">
      <c r="A342" s="5">
        <v>341.0</v>
      </c>
      <c r="B342" s="9" t="s">
        <v>386</v>
      </c>
      <c r="C342" s="10" t="s">
        <v>22</v>
      </c>
      <c r="D342" s="10" t="s">
        <v>16</v>
      </c>
      <c r="E342" s="14">
        <v>0.0</v>
      </c>
    </row>
    <row r="343">
      <c r="A343" s="5">
        <v>342.0</v>
      </c>
      <c r="B343" s="9" t="s">
        <v>387</v>
      </c>
      <c r="C343" s="10" t="s">
        <v>92</v>
      </c>
      <c r="D343" s="10" t="s">
        <v>16</v>
      </c>
      <c r="E343" s="14">
        <v>0.0</v>
      </c>
    </row>
    <row r="344">
      <c r="A344" s="5">
        <v>343.0</v>
      </c>
      <c r="B344" s="9" t="s">
        <v>388</v>
      </c>
      <c r="C344" s="10" t="s">
        <v>86</v>
      </c>
      <c r="D344" s="10" t="s">
        <v>25</v>
      </c>
      <c r="E344" s="14">
        <v>0.0</v>
      </c>
    </row>
    <row r="345">
      <c r="A345" s="5">
        <v>344.0</v>
      </c>
      <c r="B345" s="9" t="s">
        <v>389</v>
      </c>
      <c r="C345" s="10" t="s">
        <v>38</v>
      </c>
      <c r="D345" s="10" t="s">
        <v>7</v>
      </c>
      <c r="E345" s="14">
        <v>0.0</v>
      </c>
    </row>
    <row r="346">
      <c r="A346" s="5">
        <v>345.0</v>
      </c>
      <c r="B346" s="9" t="s">
        <v>390</v>
      </c>
      <c r="C346" s="10" t="s">
        <v>54</v>
      </c>
      <c r="D346" s="10" t="s">
        <v>16</v>
      </c>
      <c r="E346" s="14">
        <v>0.0</v>
      </c>
    </row>
    <row r="347">
      <c r="A347" s="5">
        <v>346.0</v>
      </c>
      <c r="B347" s="9" t="s">
        <v>391</v>
      </c>
      <c r="C347" s="10" t="s">
        <v>40</v>
      </c>
      <c r="D347" s="10" t="s">
        <v>16</v>
      </c>
      <c r="E347" s="14">
        <v>0.0</v>
      </c>
    </row>
    <row r="348">
      <c r="A348" s="5">
        <v>347.0</v>
      </c>
      <c r="B348" s="9" t="s">
        <v>392</v>
      </c>
      <c r="C348" s="10" t="s">
        <v>102</v>
      </c>
      <c r="D348" s="10" t="s">
        <v>16</v>
      </c>
      <c r="E348" s="14">
        <v>0.0</v>
      </c>
    </row>
    <row r="349">
      <c r="A349" s="5">
        <v>348.0</v>
      </c>
      <c r="B349" s="9" t="s">
        <v>393</v>
      </c>
      <c r="C349" s="10" t="s">
        <v>63</v>
      </c>
      <c r="D349" s="10" t="s">
        <v>16</v>
      </c>
      <c r="E349" s="14">
        <v>0.0</v>
      </c>
    </row>
    <row r="350">
      <c r="A350" s="5">
        <v>349.0</v>
      </c>
      <c r="B350" s="9" t="s">
        <v>394</v>
      </c>
      <c r="C350" s="10" t="s">
        <v>63</v>
      </c>
      <c r="D350" s="10" t="s">
        <v>16</v>
      </c>
      <c r="E350" s="14">
        <v>0.0</v>
      </c>
    </row>
    <row r="351">
      <c r="A351" s="5">
        <v>350.0</v>
      </c>
      <c r="B351" s="9" t="s">
        <v>395</v>
      </c>
      <c r="C351" s="10" t="s">
        <v>59</v>
      </c>
      <c r="D351" s="10" t="s">
        <v>16</v>
      </c>
      <c r="E351" s="14">
        <v>0.0</v>
      </c>
    </row>
    <row r="352">
      <c r="A352" s="5">
        <v>351.0</v>
      </c>
      <c r="B352" s="9" t="s">
        <v>396</v>
      </c>
      <c r="C352" s="10" t="s">
        <v>27</v>
      </c>
      <c r="D352" s="10" t="s">
        <v>7</v>
      </c>
      <c r="E352" s="14">
        <v>0.0</v>
      </c>
    </row>
    <row r="353">
      <c r="A353" s="5">
        <v>352.0</v>
      </c>
      <c r="B353" s="9" t="s">
        <v>397</v>
      </c>
      <c r="C353" s="10" t="s">
        <v>9</v>
      </c>
      <c r="D353" s="10" t="s">
        <v>16</v>
      </c>
      <c r="E353" s="14">
        <v>0.0</v>
      </c>
    </row>
    <row r="354">
      <c r="A354" s="5">
        <v>353.0</v>
      </c>
      <c r="B354" s="9" t="s">
        <v>398</v>
      </c>
      <c r="C354" s="10" t="s">
        <v>20</v>
      </c>
      <c r="D354" s="10" t="s">
        <v>16</v>
      </c>
      <c r="E354" s="14">
        <v>0.0</v>
      </c>
    </row>
    <row r="355">
      <c r="A355" s="5">
        <v>354.0</v>
      </c>
      <c r="B355" s="9" t="s">
        <v>399</v>
      </c>
      <c r="C355" s="10" t="s">
        <v>12</v>
      </c>
      <c r="D355" s="10" t="s">
        <v>25</v>
      </c>
      <c r="E355" s="14">
        <v>0.0</v>
      </c>
    </row>
    <row r="356">
      <c r="A356" s="5">
        <v>355.0</v>
      </c>
      <c r="B356" s="9" t="s">
        <v>400</v>
      </c>
      <c r="C356" s="10" t="s">
        <v>24</v>
      </c>
      <c r="D356" s="10" t="s">
        <v>16</v>
      </c>
      <c r="E356" s="14">
        <v>0.0</v>
      </c>
    </row>
    <row r="357">
      <c r="A357" s="5">
        <v>356.0</v>
      </c>
      <c r="B357" s="9" t="s">
        <v>401</v>
      </c>
      <c r="C357" s="10" t="s">
        <v>29</v>
      </c>
      <c r="D357" s="10" t="s">
        <v>16</v>
      </c>
      <c r="E357" s="14">
        <v>0.0</v>
      </c>
    </row>
    <row r="358">
      <c r="A358" s="5">
        <v>357.0</v>
      </c>
      <c r="B358" s="9" t="s">
        <v>402</v>
      </c>
      <c r="C358" s="10" t="s">
        <v>56</v>
      </c>
      <c r="D358" s="10" t="s">
        <v>7</v>
      </c>
      <c r="E358" s="14">
        <v>0.0</v>
      </c>
    </row>
    <row r="359">
      <c r="A359" s="5">
        <v>358.0</v>
      </c>
      <c r="B359" s="9" t="s">
        <v>403</v>
      </c>
      <c r="C359" s="10" t="s">
        <v>52</v>
      </c>
      <c r="D359" s="10" t="s">
        <v>16</v>
      </c>
      <c r="E359" s="14">
        <v>0.0</v>
      </c>
    </row>
    <row r="360">
      <c r="A360" s="5">
        <v>359.0</v>
      </c>
      <c r="B360" s="9" t="s">
        <v>404</v>
      </c>
      <c r="C360" s="10" t="s">
        <v>27</v>
      </c>
      <c r="D360" s="10" t="s">
        <v>16</v>
      </c>
      <c r="E360" s="14">
        <v>0.0</v>
      </c>
    </row>
    <row r="361">
      <c r="A361" s="5">
        <v>360.0</v>
      </c>
      <c r="B361" s="9" t="s">
        <v>405</v>
      </c>
      <c r="C361" s="10" t="s">
        <v>77</v>
      </c>
      <c r="D361" s="10" t="s">
        <v>16</v>
      </c>
      <c r="E361" s="14">
        <v>0.0</v>
      </c>
    </row>
    <row r="362">
      <c r="A362" s="5">
        <v>361.0</v>
      </c>
      <c r="B362" s="9" t="s">
        <v>406</v>
      </c>
      <c r="C362" s="10" t="s">
        <v>90</v>
      </c>
      <c r="D362" s="10" t="s">
        <v>16</v>
      </c>
      <c r="E362" s="14">
        <v>0.0</v>
      </c>
    </row>
    <row r="363">
      <c r="A363" s="5">
        <v>362.0</v>
      </c>
      <c r="B363" s="9" t="s">
        <v>407</v>
      </c>
      <c r="C363" s="10" t="s">
        <v>92</v>
      </c>
      <c r="D363" s="10" t="s">
        <v>16</v>
      </c>
      <c r="E363" s="14">
        <v>0.0</v>
      </c>
    </row>
    <row r="364">
      <c r="A364" s="5">
        <v>363.0</v>
      </c>
      <c r="B364" s="9" t="s">
        <v>408</v>
      </c>
      <c r="C364" s="10" t="s">
        <v>6</v>
      </c>
      <c r="D364" s="10" t="s">
        <v>16</v>
      </c>
      <c r="E364" s="14">
        <v>0.0</v>
      </c>
    </row>
    <row r="365">
      <c r="A365" s="5">
        <v>364.0</v>
      </c>
      <c r="B365" s="9" t="s">
        <v>409</v>
      </c>
      <c r="C365" s="10" t="s">
        <v>48</v>
      </c>
      <c r="D365" s="10" t="s">
        <v>16</v>
      </c>
      <c r="E365" s="14">
        <v>0.0</v>
      </c>
    </row>
    <row r="366">
      <c r="A366" s="5">
        <v>365.0</v>
      </c>
      <c r="B366" s="9" t="s">
        <v>410</v>
      </c>
      <c r="C366" s="10" t="s">
        <v>90</v>
      </c>
      <c r="D366" s="10" t="s">
        <v>16</v>
      </c>
      <c r="E366" s="14">
        <v>0.0</v>
      </c>
    </row>
    <row r="367">
      <c r="A367" s="5">
        <v>366.0</v>
      </c>
      <c r="B367" s="9" t="s">
        <v>411</v>
      </c>
      <c r="C367" s="10" t="s">
        <v>48</v>
      </c>
      <c r="D367" s="10" t="s">
        <v>16</v>
      </c>
      <c r="E367" s="14">
        <v>0.0</v>
      </c>
    </row>
    <row r="368">
      <c r="A368" s="5">
        <v>367.0</v>
      </c>
      <c r="B368" s="9" t="s">
        <v>412</v>
      </c>
      <c r="C368" s="10" t="s">
        <v>134</v>
      </c>
      <c r="D368" s="10" t="s">
        <v>16</v>
      </c>
      <c r="E368" s="14">
        <v>0.0</v>
      </c>
    </row>
    <row r="369">
      <c r="A369" s="5">
        <v>368.0</v>
      </c>
      <c r="B369" s="9" t="s">
        <v>413</v>
      </c>
      <c r="C369" s="10" t="s">
        <v>69</v>
      </c>
      <c r="D369" s="10" t="s">
        <v>16</v>
      </c>
      <c r="E369" s="14">
        <v>0.0</v>
      </c>
    </row>
    <row r="370">
      <c r="A370" s="5">
        <v>369.0</v>
      </c>
      <c r="B370" s="9" t="s">
        <v>414</v>
      </c>
      <c r="C370" s="10" t="s">
        <v>134</v>
      </c>
      <c r="D370" s="10" t="s">
        <v>16</v>
      </c>
      <c r="E370" s="14">
        <v>0.0</v>
      </c>
    </row>
    <row r="371">
      <c r="A371" s="5">
        <v>370.0</v>
      </c>
      <c r="B371" s="9" t="s">
        <v>415</v>
      </c>
      <c r="C371" s="10" t="s">
        <v>34</v>
      </c>
      <c r="D371" s="10" t="s">
        <v>7</v>
      </c>
      <c r="E371" s="14">
        <v>0.0</v>
      </c>
    </row>
    <row r="372">
      <c r="A372" s="5">
        <v>371.0</v>
      </c>
      <c r="B372" s="9" t="s">
        <v>416</v>
      </c>
      <c r="C372" s="10" t="s">
        <v>104</v>
      </c>
      <c r="D372" s="10" t="s">
        <v>16</v>
      </c>
      <c r="E372" s="14">
        <v>0.0</v>
      </c>
    </row>
    <row r="373">
      <c r="A373" s="5">
        <v>372.0</v>
      </c>
      <c r="B373" s="9" t="s">
        <v>417</v>
      </c>
      <c r="C373" s="10" t="s">
        <v>63</v>
      </c>
      <c r="D373" s="10" t="s">
        <v>16</v>
      </c>
      <c r="E373" s="14">
        <v>0.0</v>
      </c>
    </row>
    <row r="374">
      <c r="A374" s="5">
        <v>373.0</v>
      </c>
      <c r="B374" s="9" t="s">
        <v>418</v>
      </c>
      <c r="C374" s="10" t="s">
        <v>24</v>
      </c>
      <c r="D374" s="10" t="s">
        <v>25</v>
      </c>
      <c r="E374" s="14">
        <v>0.0</v>
      </c>
    </row>
    <row r="375">
      <c r="A375" s="5">
        <v>374.0</v>
      </c>
      <c r="B375" s="9" t="s">
        <v>419</v>
      </c>
      <c r="C375" s="10" t="s">
        <v>61</v>
      </c>
      <c r="D375" s="10" t="s">
        <v>16</v>
      </c>
      <c r="E375" s="14">
        <v>0.0</v>
      </c>
    </row>
    <row r="376">
      <c r="A376" s="5">
        <v>375.0</v>
      </c>
      <c r="B376" s="9" t="s">
        <v>420</v>
      </c>
      <c r="C376" s="10" t="s">
        <v>34</v>
      </c>
      <c r="D376" s="10" t="s">
        <v>16</v>
      </c>
      <c r="E376" s="14">
        <v>0.0</v>
      </c>
    </row>
    <row r="377">
      <c r="A377" s="5">
        <v>376.0</v>
      </c>
      <c r="B377" s="9" t="s">
        <v>421</v>
      </c>
      <c r="C377" s="10" t="s">
        <v>96</v>
      </c>
      <c r="D377" s="10" t="s">
        <v>16</v>
      </c>
      <c r="E377" s="14">
        <v>0.0</v>
      </c>
    </row>
    <row r="378">
      <c r="A378" s="5">
        <v>377.0</v>
      </c>
      <c r="B378" s="9" t="s">
        <v>422</v>
      </c>
      <c r="C378" s="10" t="s">
        <v>56</v>
      </c>
      <c r="D378" s="10" t="s">
        <v>25</v>
      </c>
      <c r="E378" s="14">
        <v>0.0</v>
      </c>
    </row>
    <row r="379">
      <c r="A379" s="5">
        <v>378.0</v>
      </c>
      <c r="B379" s="9" t="s">
        <v>423</v>
      </c>
      <c r="C379" s="10" t="s">
        <v>61</v>
      </c>
      <c r="D379" s="10" t="s">
        <v>16</v>
      </c>
      <c r="E379" s="14">
        <v>0.0</v>
      </c>
    </row>
    <row r="380">
      <c r="A380" s="5">
        <v>379.0</v>
      </c>
      <c r="B380" s="9" t="s">
        <v>424</v>
      </c>
      <c r="C380" s="10" t="s">
        <v>102</v>
      </c>
      <c r="D380" s="10" t="s">
        <v>25</v>
      </c>
      <c r="E380" s="14">
        <v>0.0</v>
      </c>
    </row>
    <row r="381">
      <c r="A381" s="5">
        <v>380.0</v>
      </c>
      <c r="B381" s="9" t="s">
        <v>425</v>
      </c>
      <c r="C381" s="10" t="s">
        <v>59</v>
      </c>
      <c r="D381" s="10" t="s">
        <v>7</v>
      </c>
      <c r="E381" s="14">
        <v>0.0</v>
      </c>
    </row>
    <row r="382">
      <c r="A382" s="5">
        <v>381.0</v>
      </c>
      <c r="B382" s="9" t="s">
        <v>426</v>
      </c>
      <c r="C382" s="10" t="s">
        <v>74</v>
      </c>
      <c r="D382" s="10" t="s">
        <v>16</v>
      </c>
      <c r="E382" s="14">
        <v>0.0</v>
      </c>
    </row>
    <row r="383">
      <c r="A383" s="5">
        <v>382.0</v>
      </c>
      <c r="B383" s="9" t="s">
        <v>427</v>
      </c>
      <c r="C383" s="10" t="s">
        <v>38</v>
      </c>
      <c r="D383" s="10" t="s">
        <v>16</v>
      </c>
      <c r="E383" s="14">
        <v>0.0</v>
      </c>
    </row>
    <row r="384">
      <c r="A384" s="5">
        <v>383.0</v>
      </c>
      <c r="B384" s="9" t="s">
        <v>428</v>
      </c>
      <c r="C384" s="10" t="s">
        <v>102</v>
      </c>
      <c r="D384" s="10" t="s">
        <v>16</v>
      </c>
      <c r="E384" s="14">
        <v>0.0</v>
      </c>
    </row>
    <row r="385">
      <c r="A385" s="5">
        <v>384.0</v>
      </c>
      <c r="B385" s="9" t="s">
        <v>429</v>
      </c>
      <c r="C385" s="10" t="s">
        <v>40</v>
      </c>
      <c r="D385" s="10" t="s">
        <v>16</v>
      </c>
      <c r="E385" s="14">
        <v>0.0</v>
      </c>
    </row>
    <row r="386">
      <c r="A386" s="5">
        <v>385.0</v>
      </c>
      <c r="B386" s="9" t="s">
        <v>430</v>
      </c>
      <c r="C386" s="10" t="s">
        <v>74</v>
      </c>
      <c r="D386" s="10" t="s">
        <v>25</v>
      </c>
      <c r="E386" s="14">
        <v>0.0</v>
      </c>
    </row>
    <row r="387">
      <c r="A387" s="5">
        <v>386.0</v>
      </c>
      <c r="B387" s="9" t="s">
        <v>431</v>
      </c>
      <c r="C387" s="10" t="s">
        <v>38</v>
      </c>
      <c r="D387" s="10" t="s">
        <v>25</v>
      </c>
      <c r="E387" s="14">
        <v>0.0</v>
      </c>
    </row>
    <row r="388">
      <c r="A388" s="5">
        <v>387.0</v>
      </c>
      <c r="B388" s="9" t="s">
        <v>432</v>
      </c>
      <c r="C388" s="10" t="s">
        <v>22</v>
      </c>
      <c r="D388" s="10" t="s">
        <v>16</v>
      </c>
      <c r="E388" s="14">
        <v>0.0</v>
      </c>
    </row>
    <row r="389">
      <c r="A389" s="5">
        <v>388.0</v>
      </c>
      <c r="B389" s="9" t="s">
        <v>433</v>
      </c>
      <c r="C389" s="10" t="s">
        <v>27</v>
      </c>
      <c r="D389" s="10" t="s">
        <v>16</v>
      </c>
      <c r="E389" s="14">
        <v>0.0</v>
      </c>
    </row>
    <row r="390">
      <c r="A390" s="5">
        <v>389.0</v>
      </c>
      <c r="B390" s="9" t="s">
        <v>434</v>
      </c>
      <c r="C390" s="10" t="s">
        <v>40</v>
      </c>
      <c r="D390" s="10" t="s">
        <v>16</v>
      </c>
      <c r="E390" s="14">
        <v>0.0</v>
      </c>
    </row>
    <row r="391">
      <c r="A391" s="5">
        <v>390.0</v>
      </c>
      <c r="B391" s="9" t="s">
        <v>435</v>
      </c>
      <c r="C391" s="10" t="s">
        <v>69</v>
      </c>
      <c r="D391" s="10" t="s">
        <v>16</v>
      </c>
      <c r="E391" s="14">
        <v>0.0</v>
      </c>
    </row>
    <row r="392">
      <c r="A392" s="5">
        <v>391.0</v>
      </c>
      <c r="B392" s="9" t="s">
        <v>436</v>
      </c>
      <c r="C392" s="10" t="s">
        <v>32</v>
      </c>
      <c r="D392" s="10" t="s">
        <v>16</v>
      </c>
      <c r="E392" s="14">
        <v>0.0</v>
      </c>
    </row>
    <row r="393">
      <c r="A393" s="5">
        <v>392.0</v>
      </c>
      <c r="B393" s="9" t="s">
        <v>437</v>
      </c>
      <c r="C393" s="10" t="s">
        <v>257</v>
      </c>
      <c r="D393" s="10" t="s">
        <v>16</v>
      </c>
      <c r="E393" s="14">
        <v>0.0</v>
      </c>
    </row>
    <row r="394">
      <c r="A394" s="5">
        <v>393.0</v>
      </c>
      <c r="B394" s="9" t="s">
        <v>438</v>
      </c>
      <c r="C394" s="10" t="s">
        <v>257</v>
      </c>
      <c r="D394" s="10" t="s">
        <v>16</v>
      </c>
      <c r="E394" s="14">
        <v>0.0</v>
      </c>
    </row>
    <row r="395">
      <c r="A395" s="5">
        <v>394.0</v>
      </c>
      <c r="B395" s="9" t="s">
        <v>439</v>
      </c>
      <c r="C395" s="10" t="s">
        <v>134</v>
      </c>
      <c r="D395" s="10" t="s">
        <v>16</v>
      </c>
      <c r="E395" s="14">
        <v>0.0</v>
      </c>
    </row>
    <row r="396">
      <c r="A396" s="5">
        <v>395.0</v>
      </c>
      <c r="B396" s="9" t="s">
        <v>440</v>
      </c>
      <c r="C396" s="10" t="s">
        <v>77</v>
      </c>
      <c r="D396" s="10" t="s">
        <v>16</v>
      </c>
      <c r="E396" s="14">
        <v>0.0</v>
      </c>
    </row>
    <row r="397">
      <c r="A397" s="5">
        <v>396.0</v>
      </c>
      <c r="B397" s="9" t="s">
        <v>441</v>
      </c>
      <c r="C397" s="10" t="s">
        <v>54</v>
      </c>
      <c r="D397" s="10" t="s">
        <v>16</v>
      </c>
      <c r="E397" s="14">
        <v>0.0</v>
      </c>
    </row>
    <row r="398">
      <c r="A398" s="5">
        <v>397.0</v>
      </c>
      <c r="B398" s="9" t="s">
        <v>442</v>
      </c>
      <c r="C398" s="10" t="s">
        <v>38</v>
      </c>
      <c r="D398" s="10" t="s">
        <v>16</v>
      </c>
      <c r="E398" s="14">
        <v>0.0</v>
      </c>
    </row>
    <row r="399">
      <c r="A399" s="5">
        <v>398.0</v>
      </c>
      <c r="B399" s="12" t="s">
        <v>443</v>
      </c>
      <c r="C399" s="10" t="s">
        <v>257</v>
      </c>
      <c r="D399" s="10" t="s">
        <v>16</v>
      </c>
      <c r="E399" s="14">
        <v>0.0</v>
      </c>
    </row>
    <row r="400">
      <c r="A400" s="5">
        <v>399.0</v>
      </c>
      <c r="B400" s="9" t="s">
        <v>444</v>
      </c>
      <c r="C400" s="10" t="s">
        <v>32</v>
      </c>
      <c r="D400" s="10" t="s">
        <v>16</v>
      </c>
      <c r="E400" s="14">
        <v>0.0</v>
      </c>
    </row>
    <row r="401">
      <c r="A401" s="5">
        <v>400.0</v>
      </c>
      <c r="B401" s="9" t="s">
        <v>445</v>
      </c>
      <c r="C401" s="10" t="s">
        <v>257</v>
      </c>
      <c r="D401" s="10" t="s">
        <v>16</v>
      </c>
      <c r="E401" s="14">
        <v>0.0</v>
      </c>
    </row>
    <row r="402">
      <c r="A402" s="5">
        <v>401.0</v>
      </c>
      <c r="B402" s="9" t="s">
        <v>446</v>
      </c>
      <c r="C402" s="10" t="s">
        <v>257</v>
      </c>
      <c r="D402" s="10" t="s">
        <v>16</v>
      </c>
      <c r="E402" s="14">
        <v>0.0</v>
      </c>
    </row>
    <row r="403">
      <c r="A403" s="5">
        <v>402.0</v>
      </c>
      <c r="B403" s="9" t="s">
        <v>447</v>
      </c>
      <c r="C403" s="10" t="s">
        <v>257</v>
      </c>
      <c r="D403" s="10" t="s">
        <v>16</v>
      </c>
      <c r="E403" s="14">
        <v>0.0</v>
      </c>
    </row>
    <row r="404">
      <c r="A404" s="5">
        <v>403.0</v>
      </c>
      <c r="B404" s="9" t="s">
        <v>448</v>
      </c>
      <c r="C404" s="10" t="s">
        <v>14</v>
      </c>
      <c r="D404" s="10" t="s">
        <v>16</v>
      </c>
      <c r="E404" s="14">
        <v>0.0</v>
      </c>
    </row>
    <row r="405">
      <c r="A405" s="5">
        <v>404.0</v>
      </c>
      <c r="B405" s="9" t="s">
        <v>449</v>
      </c>
      <c r="C405" s="10" t="s">
        <v>257</v>
      </c>
      <c r="D405" s="10" t="s">
        <v>16</v>
      </c>
      <c r="E405" s="14">
        <v>0.0</v>
      </c>
    </row>
    <row r="406">
      <c r="A406" s="5">
        <v>405.0</v>
      </c>
      <c r="B406" s="9" t="s">
        <v>450</v>
      </c>
      <c r="C406" s="10" t="s">
        <v>257</v>
      </c>
      <c r="D406" s="10" t="s">
        <v>16</v>
      </c>
      <c r="E406" s="14">
        <v>0.0</v>
      </c>
    </row>
    <row r="407">
      <c r="A407" s="5">
        <v>406.0</v>
      </c>
      <c r="B407" s="9" t="s">
        <v>451</v>
      </c>
      <c r="C407" s="10" t="s">
        <v>56</v>
      </c>
      <c r="D407" s="10" t="s">
        <v>16</v>
      </c>
      <c r="E407" s="14">
        <v>0.0</v>
      </c>
    </row>
    <row r="408">
      <c r="A408" s="5">
        <v>407.0</v>
      </c>
      <c r="B408" s="9" t="s">
        <v>452</v>
      </c>
      <c r="C408" s="10" t="s">
        <v>54</v>
      </c>
      <c r="D408" s="10" t="s">
        <v>16</v>
      </c>
      <c r="E408" s="14">
        <v>0.0</v>
      </c>
    </row>
    <row r="409">
      <c r="A409" s="5">
        <v>408.0</v>
      </c>
      <c r="B409" s="9" t="s">
        <v>453</v>
      </c>
      <c r="C409" s="10" t="s">
        <v>257</v>
      </c>
      <c r="D409" s="10" t="s">
        <v>16</v>
      </c>
      <c r="E409" s="14">
        <v>0.0</v>
      </c>
    </row>
    <row r="410">
      <c r="A410" s="5">
        <v>409.0</v>
      </c>
      <c r="B410" s="9" t="s">
        <v>454</v>
      </c>
      <c r="C410" s="10" t="s">
        <v>257</v>
      </c>
      <c r="D410" s="10" t="s">
        <v>16</v>
      </c>
      <c r="E410" s="14">
        <v>0.0</v>
      </c>
    </row>
    <row r="411">
      <c r="A411" s="5">
        <v>410.0</v>
      </c>
      <c r="B411" s="9" t="s">
        <v>455</v>
      </c>
      <c r="C411" s="10" t="s">
        <v>86</v>
      </c>
      <c r="D411" s="10" t="s">
        <v>16</v>
      </c>
      <c r="E411" s="14">
        <v>0.0</v>
      </c>
    </row>
    <row r="412">
      <c r="A412" s="5">
        <v>411.0</v>
      </c>
      <c r="B412" s="9" t="s">
        <v>456</v>
      </c>
      <c r="C412" s="10" t="s">
        <v>257</v>
      </c>
      <c r="D412" s="10" t="s">
        <v>16</v>
      </c>
      <c r="E412" s="14">
        <v>0.0</v>
      </c>
    </row>
    <row r="413">
      <c r="A413" s="5">
        <v>412.0</v>
      </c>
      <c r="B413" s="9" t="s">
        <v>457</v>
      </c>
      <c r="C413" s="10" t="s">
        <v>18</v>
      </c>
      <c r="D413" s="10" t="s">
        <v>16</v>
      </c>
      <c r="E413" s="14">
        <v>0.0</v>
      </c>
    </row>
    <row r="414">
      <c r="A414" s="5">
        <v>413.0</v>
      </c>
      <c r="B414" s="9" t="s">
        <v>458</v>
      </c>
      <c r="C414" s="10" t="s">
        <v>96</v>
      </c>
      <c r="D414" s="10" t="s">
        <v>16</v>
      </c>
      <c r="E414" s="14">
        <v>0.0</v>
      </c>
    </row>
    <row r="415">
      <c r="A415" s="5">
        <v>414.0</v>
      </c>
      <c r="B415" s="9" t="s">
        <v>459</v>
      </c>
      <c r="C415" s="10" t="s">
        <v>56</v>
      </c>
      <c r="D415" s="10" t="s">
        <v>16</v>
      </c>
      <c r="E415" s="14">
        <v>0.0</v>
      </c>
    </row>
    <row r="416">
      <c r="A416" s="5">
        <v>415.0</v>
      </c>
      <c r="B416" s="9" t="s">
        <v>460</v>
      </c>
      <c r="C416" s="10" t="s">
        <v>77</v>
      </c>
      <c r="D416" s="10" t="s">
        <v>16</v>
      </c>
      <c r="E416" s="14">
        <v>0.0</v>
      </c>
    </row>
    <row r="417">
      <c r="A417" s="5">
        <v>416.0</v>
      </c>
      <c r="B417" s="9" t="s">
        <v>461</v>
      </c>
      <c r="C417" s="10" t="s">
        <v>48</v>
      </c>
      <c r="D417" s="10" t="s">
        <v>16</v>
      </c>
      <c r="E417" s="14">
        <v>0.0</v>
      </c>
    </row>
    <row r="418">
      <c r="A418" s="5">
        <v>417.0</v>
      </c>
      <c r="B418" s="9" t="s">
        <v>462</v>
      </c>
      <c r="C418" s="10" t="s">
        <v>24</v>
      </c>
      <c r="D418" s="10" t="s">
        <v>16</v>
      </c>
      <c r="E418" s="14">
        <v>0.0</v>
      </c>
    </row>
    <row r="419">
      <c r="A419" s="5">
        <v>418.0</v>
      </c>
      <c r="B419" s="9" t="s">
        <v>463</v>
      </c>
      <c r="C419" s="10" t="s">
        <v>24</v>
      </c>
      <c r="D419" s="10" t="s">
        <v>16</v>
      </c>
      <c r="E419" s="14">
        <v>0.0</v>
      </c>
    </row>
    <row r="420">
      <c r="A420" s="5">
        <v>419.0</v>
      </c>
      <c r="B420" s="9" t="s">
        <v>464</v>
      </c>
      <c r="C420" s="10" t="s">
        <v>257</v>
      </c>
      <c r="D420" s="10" t="s">
        <v>16</v>
      </c>
      <c r="E420" s="14">
        <v>0.0</v>
      </c>
    </row>
    <row r="421">
      <c r="A421" s="5">
        <v>420.0</v>
      </c>
      <c r="B421" s="9" t="s">
        <v>465</v>
      </c>
      <c r="C421" s="10" t="s">
        <v>134</v>
      </c>
      <c r="D421" s="10" t="s">
        <v>16</v>
      </c>
      <c r="E421" s="14">
        <v>0.0</v>
      </c>
    </row>
    <row r="422">
      <c r="A422" s="5">
        <v>421.0</v>
      </c>
      <c r="B422" s="9" t="s">
        <v>466</v>
      </c>
      <c r="C422" s="10" t="s">
        <v>257</v>
      </c>
      <c r="D422" s="10" t="s">
        <v>16</v>
      </c>
      <c r="E422" s="14">
        <v>0.0</v>
      </c>
    </row>
    <row r="423">
      <c r="A423" s="5">
        <v>422.0</v>
      </c>
      <c r="B423" s="9" t="s">
        <v>467</v>
      </c>
      <c r="C423" s="10" t="s">
        <v>257</v>
      </c>
      <c r="D423" s="10" t="s">
        <v>16</v>
      </c>
      <c r="E423" s="14">
        <v>0.0</v>
      </c>
    </row>
    <row r="424">
      <c r="A424" s="5">
        <v>423.0</v>
      </c>
      <c r="B424" s="9" t="s">
        <v>468</v>
      </c>
      <c r="C424" s="10" t="s">
        <v>32</v>
      </c>
      <c r="D424" s="10" t="s">
        <v>16</v>
      </c>
      <c r="E424" s="14">
        <v>0.0</v>
      </c>
    </row>
    <row r="425">
      <c r="A425" s="5">
        <v>424.0</v>
      </c>
      <c r="B425" s="9" t="s">
        <v>469</v>
      </c>
      <c r="C425" s="10" t="s">
        <v>38</v>
      </c>
      <c r="D425" s="10" t="s">
        <v>16</v>
      </c>
      <c r="E425" s="14">
        <v>0.0</v>
      </c>
    </row>
    <row r="426">
      <c r="A426" s="5">
        <v>425.0</v>
      </c>
      <c r="B426" s="9" t="s">
        <v>470</v>
      </c>
      <c r="C426" s="10" t="s">
        <v>63</v>
      </c>
      <c r="D426" s="10" t="s">
        <v>16</v>
      </c>
      <c r="E426" s="14">
        <v>0.0</v>
      </c>
    </row>
    <row r="427">
      <c r="A427" s="5">
        <v>426.0</v>
      </c>
      <c r="B427" s="9" t="s">
        <v>471</v>
      </c>
      <c r="C427" s="10" t="s">
        <v>63</v>
      </c>
      <c r="D427" s="10" t="s">
        <v>16</v>
      </c>
      <c r="E427" s="14">
        <v>0.0</v>
      </c>
    </row>
    <row r="428">
      <c r="A428" s="5">
        <v>427.0</v>
      </c>
      <c r="B428" s="9" t="s">
        <v>472</v>
      </c>
      <c r="C428" s="10" t="s">
        <v>104</v>
      </c>
      <c r="D428" s="10" t="s">
        <v>16</v>
      </c>
      <c r="E428" s="14">
        <v>0.0</v>
      </c>
    </row>
    <row r="429">
      <c r="A429" s="5">
        <v>428.0</v>
      </c>
      <c r="B429" s="9" t="s">
        <v>473</v>
      </c>
      <c r="C429" s="10" t="s">
        <v>257</v>
      </c>
      <c r="D429" s="10" t="s">
        <v>16</v>
      </c>
      <c r="E429" s="14">
        <v>0.0</v>
      </c>
    </row>
    <row r="430">
      <c r="A430" s="5">
        <v>429.0</v>
      </c>
      <c r="B430" s="9" t="s">
        <v>474</v>
      </c>
      <c r="C430" s="10" t="s">
        <v>257</v>
      </c>
      <c r="D430" s="10" t="s">
        <v>16</v>
      </c>
      <c r="E430" s="14">
        <v>0.0</v>
      </c>
    </row>
    <row r="431">
      <c r="A431" s="5">
        <v>430.0</v>
      </c>
      <c r="B431" s="9" t="s">
        <v>475</v>
      </c>
      <c r="C431" s="10" t="s">
        <v>257</v>
      </c>
      <c r="D431" s="10" t="s">
        <v>16</v>
      </c>
      <c r="E431" s="14">
        <v>0.0</v>
      </c>
    </row>
    <row r="432">
      <c r="A432" s="5">
        <v>431.0</v>
      </c>
      <c r="B432" s="9" t="s">
        <v>476</v>
      </c>
      <c r="C432" s="10" t="s">
        <v>257</v>
      </c>
      <c r="D432" s="10" t="s">
        <v>16</v>
      </c>
      <c r="E432" s="14">
        <v>0.0</v>
      </c>
    </row>
    <row r="433">
      <c r="A433" s="5">
        <v>432.0</v>
      </c>
      <c r="B433" s="9" t="s">
        <v>477</v>
      </c>
      <c r="C433" s="10" t="s">
        <v>257</v>
      </c>
      <c r="D433" s="10" t="s">
        <v>16</v>
      </c>
      <c r="E433" s="14">
        <v>0.0</v>
      </c>
    </row>
    <row r="434">
      <c r="A434" s="5">
        <v>433.0</v>
      </c>
      <c r="B434" s="9" t="s">
        <v>478</v>
      </c>
      <c r="C434" s="10" t="s">
        <v>257</v>
      </c>
      <c r="D434" s="10" t="s">
        <v>16</v>
      </c>
      <c r="E434" s="14">
        <v>0.0</v>
      </c>
    </row>
    <row r="435">
      <c r="A435" s="5">
        <v>434.0</v>
      </c>
      <c r="B435" s="9" t="s">
        <v>479</v>
      </c>
      <c r="C435" s="10" t="s">
        <v>257</v>
      </c>
      <c r="D435" s="10" t="s">
        <v>16</v>
      </c>
      <c r="E435" s="14">
        <v>0.0</v>
      </c>
    </row>
    <row r="436">
      <c r="A436" s="5">
        <v>435.0</v>
      </c>
      <c r="B436" s="9" t="s">
        <v>480</v>
      </c>
      <c r="C436" s="10" t="s">
        <v>257</v>
      </c>
      <c r="D436" s="10" t="s">
        <v>16</v>
      </c>
      <c r="E436" s="14">
        <v>0.0</v>
      </c>
    </row>
    <row r="437">
      <c r="A437" s="5">
        <v>436.0</v>
      </c>
      <c r="B437" s="9" t="s">
        <v>481</v>
      </c>
      <c r="C437" s="10" t="s">
        <v>257</v>
      </c>
      <c r="D437" s="10" t="s">
        <v>16</v>
      </c>
      <c r="E437" s="14">
        <v>0.0</v>
      </c>
    </row>
    <row r="438">
      <c r="A438" s="5">
        <v>437.0</v>
      </c>
      <c r="B438" s="9" t="s">
        <v>482</v>
      </c>
      <c r="C438" s="10" t="s">
        <v>257</v>
      </c>
      <c r="D438" s="10" t="s">
        <v>16</v>
      </c>
      <c r="E438" s="14">
        <v>0.0</v>
      </c>
    </row>
    <row r="439">
      <c r="A439" s="5">
        <v>438.0</v>
      </c>
      <c r="B439" s="9" t="s">
        <v>483</v>
      </c>
      <c r="C439" s="10" t="s">
        <v>257</v>
      </c>
      <c r="D439" s="10" t="s">
        <v>16</v>
      </c>
      <c r="E439" s="14">
        <v>0.0</v>
      </c>
    </row>
    <row r="440">
      <c r="A440" s="5">
        <v>439.0</v>
      </c>
      <c r="B440" s="9" t="s">
        <v>484</v>
      </c>
      <c r="C440" s="10" t="s">
        <v>257</v>
      </c>
      <c r="D440" s="10" t="s">
        <v>16</v>
      </c>
      <c r="E440" s="14">
        <v>0.0</v>
      </c>
    </row>
    <row r="441">
      <c r="A441" s="5">
        <v>440.0</v>
      </c>
      <c r="B441" s="9" t="s">
        <v>485</v>
      </c>
      <c r="C441" s="10" t="s">
        <v>257</v>
      </c>
      <c r="D441" s="10" t="s">
        <v>16</v>
      </c>
      <c r="E441" s="14">
        <v>0.0</v>
      </c>
    </row>
    <row r="442">
      <c r="A442" s="5">
        <v>441.0</v>
      </c>
      <c r="B442" s="9" t="s">
        <v>486</v>
      </c>
      <c r="C442" s="10" t="s">
        <v>40</v>
      </c>
      <c r="D442" s="10" t="s">
        <v>16</v>
      </c>
      <c r="E442" s="14">
        <v>0.0</v>
      </c>
    </row>
    <row r="443">
      <c r="A443" s="5">
        <v>442.0</v>
      </c>
      <c r="B443" s="9" t="s">
        <v>487</v>
      </c>
      <c r="C443" s="10" t="s">
        <v>257</v>
      </c>
      <c r="D443" s="10" t="s">
        <v>16</v>
      </c>
      <c r="E443" s="14">
        <v>0.0</v>
      </c>
    </row>
    <row r="444">
      <c r="A444" s="5">
        <v>443.0</v>
      </c>
      <c r="B444" s="9" t="s">
        <v>488</v>
      </c>
      <c r="C444" s="10" t="s">
        <v>257</v>
      </c>
      <c r="D444" s="10" t="s">
        <v>16</v>
      </c>
      <c r="E444" s="14">
        <v>0.0</v>
      </c>
    </row>
    <row r="445">
      <c r="A445" s="5">
        <v>444.0</v>
      </c>
      <c r="B445" s="9" t="s">
        <v>489</v>
      </c>
      <c r="C445" s="10" t="s">
        <v>257</v>
      </c>
      <c r="D445" s="10" t="s">
        <v>16</v>
      </c>
      <c r="E445" s="14">
        <v>0.0</v>
      </c>
    </row>
    <row r="446">
      <c r="A446" s="5">
        <v>445.0</v>
      </c>
      <c r="B446" s="9" t="s">
        <v>490</v>
      </c>
      <c r="C446" s="10" t="s">
        <v>257</v>
      </c>
      <c r="D446" s="10" t="s">
        <v>16</v>
      </c>
      <c r="E446" s="14">
        <v>0.0</v>
      </c>
    </row>
    <row r="447">
      <c r="A447" s="5">
        <v>446.0</v>
      </c>
      <c r="B447" s="9" t="s">
        <v>491</v>
      </c>
      <c r="C447" s="10" t="s">
        <v>257</v>
      </c>
      <c r="D447" s="10" t="s">
        <v>16</v>
      </c>
      <c r="E447" s="14">
        <v>0.0</v>
      </c>
    </row>
    <row r="448">
      <c r="A448" s="5">
        <v>447.0</v>
      </c>
      <c r="B448" s="9" t="s">
        <v>492</v>
      </c>
      <c r="C448" s="10" t="s">
        <v>52</v>
      </c>
      <c r="D448" s="10" t="s">
        <v>16</v>
      </c>
      <c r="E448" s="14">
        <v>0.0</v>
      </c>
    </row>
    <row r="449">
      <c r="A449" s="5">
        <v>448.0</v>
      </c>
      <c r="B449" s="9" t="s">
        <v>493</v>
      </c>
      <c r="C449" s="10" t="s">
        <v>24</v>
      </c>
      <c r="D449" s="10" t="s">
        <v>16</v>
      </c>
      <c r="E449" s="14">
        <v>0.0</v>
      </c>
    </row>
    <row r="450">
      <c r="A450" s="5">
        <v>449.0</v>
      </c>
      <c r="B450" s="9" t="s">
        <v>494</v>
      </c>
      <c r="C450" s="10" t="s">
        <v>257</v>
      </c>
      <c r="D450" s="10" t="s">
        <v>16</v>
      </c>
      <c r="E450" s="14">
        <v>0.0</v>
      </c>
    </row>
    <row r="451">
      <c r="A451" s="5">
        <v>450.0</v>
      </c>
      <c r="B451" s="9" t="s">
        <v>495</v>
      </c>
      <c r="C451" s="10" t="s">
        <v>90</v>
      </c>
      <c r="D451" s="10" t="s">
        <v>16</v>
      </c>
      <c r="E451" s="14">
        <v>0.0</v>
      </c>
    </row>
    <row r="452">
      <c r="A452" s="5">
        <v>451.0</v>
      </c>
      <c r="B452" s="9" t="s">
        <v>496</v>
      </c>
      <c r="C452" s="10" t="s">
        <v>29</v>
      </c>
      <c r="D452" s="10" t="s">
        <v>16</v>
      </c>
      <c r="E452" s="14">
        <v>0.0</v>
      </c>
    </row>
    <row r="453">
      <c r="A453" s="5">
        <v>452.0</v>
      </c>
      <c r="B453" s="9" t="s">
        <v>497</v>
      </c>
      <c r="C453" s="10" t="s">
        <v>257</v>
      </c>
      <c r="D453" s="10" t="s">
        <v>16</v>
      </c>
      <c r="E453" s="14">
        <v>0.0</v>
      </c>
    </row>
    <row r="454">
      <c r="A454" s="5">
        <v>453.0</v>
      </c>
      <c r="B454" s="9" t="s">
        <v>498</v>
      </c>
      <c r="C454" s="10" t="s">
        <v>257</v>
      </c>
      <c r="D454" s="10" t="s">
        <v>16</v>
      </c>
      <c r="E454" s="14">
        <v>0.0</v>
      </c>
    </row>
    <row r="455">
      <c r="A455" s="5">
        <v>454.0</v>
      </c>
      <c r="B455" s="9" t="s">
        <v>499</v>
      </c>
      <c r="C455" s="10" t="s">
        <v>257</v>
      </c>
      <c r="D455" s="10" t="s">
        <v>16</v>
      </c>
      <c r="E455" s="14">
        <v>0.0</v>
      </c>
    </row>
    <row r="456">
      <c r="A456" s="5">
        <v>455.0</v>
      </c>
      <c r="B456" s="9" t="s">
        <v>500</v>
      </c>
      <c r="C456" s="10" t="s">
        <v>44</v>
      </c>
      <c r="D456" s="10" t="s">
        <v>16</v>
      </c>
      <c r="E456" s="14">
        <v>0.0</v>
      </c>
    </row>
    <row r="457">
      <c r="A457" s="5">
        <v>456.0</v>
      </c>
      <c r="B457" s="9" t="s">
        <v>501</v>
      </c>
      <c r="C457" s="10" t="s">
        <v>24</v>
      </c>
      <c r="D457" s="10" t="s">
        <v>16</v>
      </c>
      <c r="E457" s="14">
        <v>0.0</v>
      </c>
    </row>
    <row r="458">
      <c r="A458" s="5">
        <v>457.0</v>
      </c>
      <c r="B458" s="9" t="s">
        <v>502</v>
      </c>
      <c r="C458" s="10" t="s">
        <v>18</v>
      </c>
      <c r="D458" s="10" t="s">
        <v>16</v>
      </c>
      <c r="E458" s="14">
        <v>0.0</v>
      </c>
    </row>
    <row r="459">
      <c r="A459" s="5">
        <v>458.0</v>
      </c>
      <c r="B459" s="9" t="s">
        <v>503</v>
      </c>
      <c r="C459" s="10" t="s">
        <v>104</v>
      </c>
      <c r="D459" s="10" t="s">
        <v>16</v>
      </c>
      <c r="E459" s="14">
        <v>0.0</v>
      </c>
    </row>
    <row r="460">
      <c r="A460" s="5">
        <v>459.0</v>
      </c>
      <c r="B460" s="9" t="s">
        <v>504</v>
      </c>
      <c r="C460" s="10" t="s">
        <v>61</v>
      </c>
      <c r="D460" s="10" t="s">
        <v>16</v>
      </c>
      <c r="E460" s="14">
        <v>0.0</v>
      </c>
    </row>
    <row r="461">
      <c r="A461" s="5">
        <v>460.0</v>
      </c>
      <c r="B461" s="9" t="s">
        <v>432</v>
      </c>
      <c r="C461" s="10" t="s">
        <v>22</v>
      </c>
      <c r="D461" s="10" t="s">
        <v>16</v>
      </c>
      <c r="E461" s="14">
        <v>0.0</v>
      </c>
    </row>
    <row r="462">
      <c r="A462" s="5">
        <v>461.0</v>
      </c>
      <c r="B462" s="9" t="s">
        <v>433</v>
      </c>
      <c r="C462" s="10" t="s">
        <v>27</v>
      </c>
      <c r="D462" s="10" t="s">
        <v>16</v>
      </c>
      <c r="E462" s="14">
        <v>0.0</v>
      </c>
    </row>
    <row r="463">
      <c r="A463" s="5">
        <v>462.0</v>
      </c>
      <c r="B463" s="9" t="s">
        <v>434</v>
      </c>
      <c r="C463" s="10" t="s">
        <v>40</v>
      </c>
      <c r="D463" s="10" t="s">
        <v>16</v>
      </c>
      <c r="E463" s="14">
        <v>0.0</v>
      </c>
    </row>
    <row r="464">
      <c r="A464" s="5">
        <v>463.0</v>
      </c>
      <c r="B464" s="9" t="s">
        <v>435</v>
      </c>
      <c r="C464" s="10" t="s">
        <v>69</v>
      </c>
      <c r="D464" s="10" t="s">
        <v>16</v>
      </c>
      <c r="E464" s="14">
        <v>0.0</v>
      </c>
    </row>
    <row r="465">
      <c r="A465" s="5">
        <v>464.0</v>
      </c>
      <c r="B465" s="9" t="s">
        <v>436</v>
      </c>
      <c r="C465" s="10" t="s">
        <v>32</v>
      </c>
      <c r="D465" s="10" t="s">
        <v>16</v>
      </c>
      <c r="E465" s="14">
        <v>0.0</v>
      </c>
    </row>
    <row r="466">
      <c r="A466" s="5">
        <v>465.0</v>
      </c>
      <c r="B466" s="9" t="s">
        <v>437</v>
      </c>
      <c r="C466" s="10" t="s">
        <v>257</v>
      </c>
      <c r="D466" s="10" t="s">
        <v>16</v>
      </c>
      <c r="E466" s="14">
        <v>0.0</v>
      </c>
    </row>
    <row r="467">
      <c r="A467" s="5">
        <v>466.0</v>
      </c>
      <c r="B467" s="9" t="s">
        <v>438</v>
      </c>
      <c r="C467" s="10" t="s">
        <v>257</v>
      </c>
      <c r="D467" s="10" t="s">
        <v>16</v>
      </c>
      <c r="E467" s="14">
        <v>0.0</v>
      </c>
    </row>
    <row r="468">
      <c r="A468" s="5">
        <v>467.0</v>
      </c>
      <c r="B468" s="9" t="s">
        <v>439</v>
      </c>
      <c r="C468" s="10" t="s">
        <v>134</v>
      </c>
      <c r="D468" s="10" t="s">
        <v>16</v>
      </c>
      <c r="E468" s="14">
        <v>0.0</v>
      </c>
    </row>
    <row r="469">
      <c r="A469" s="5">
        <v>468.0</v>
      </c>
      <c r="B469" s="9" t="s">
        <v>440</v>
      </c>
      <c r="C469" s="10" t="s">
        <v>77</v>
      </c>
      <c r="D469" s="10" t="s">
        <v>16</v>
      </c>
      <c r="E469" s="14">
        <v>0.0</v>
      </c>
    </row>
    <row r="470">
      <c r="A470" s="5">
        <v>469.0</v>
      </c>
      <c r="B470" s="9" t="s">
        <v>441</v>
      </c>
      <c r="C470" s="10" t="s">
        <v>54</v>
      </c>
      <c r="D470" s="10" t="s">
        <v>16</v>
      </c>
      <c r="E470" s="14">
        <v>0.0</v>
      </c>
    </row>
    <row r="471">
      <c r="A471" s="5">
        <v>470.0</v>
      </c>
      <c r="B471" s="9" t="s">
        <v>442</v>
      </c>
      <c r="C471" s="10" t="s">
        <v>38</v>
      </c>
      <c r="D471" s="10" t="s">
        <v>16</v>
      </c>
      <c r="E471" s="14">
        <v>0.0</v>
      </c>
    </row>
    <row r="472">
      <c r="A472" s="5">
        <v>471.0</v>
      </c>
      <c r="B472" s="9" t="s">
        <v>505</v>
      </c>
      <c r="C472" s="10" t="s">
        <v>92</v>
      </c>
      <c r="D472" s="10" t="s">
        <v>16</v>
      </c>
      <c r="E472" s="14">
        <v>0.0</v>
      </c>
    </row>
    <row r="473">
      <c r="A473" s="5">
        <v>472.0</v>
      </c>
      <c r="B473" s="9" t="s">
        <v>506</v>
      </c>
      <c r="C473" s="10" t="s">
        <v>257</v>
      </c>
      <c r="D473" s="10" t="s">
        <v>16</v>
      </c>
      <c r="E473" s="14">
        <v>0.0</v>
      </c>
    </row>
    <row r="474">
      <c r="A474" s="5">
        <v>473.0</v>
      </c>
      <c r="B474" s="9" t="s">
        <v>507</v>
      </c>
      <c r="C474" s="10" t="s">
        <v>44</v>
      </c>
      <c r="D474" s="10" t="s">
        <v>16</v>
      </c>
      <c r="E474" s="14">
        <v>0.0</v>
      </c>
    </row>
    <row r="475">
      <c r="A475" s="5">
        <v>474.0</v>
      </c>
      <c r="B475" s="9" t="s">
        <v>508</v>
      </c>
      <c r="C475" s="10" t="s">
        <v>104</v>
      </c>
      <c r="D475" s="10" t="s">
        <v>16</v>
      </c>
      <c r="E475" s="14">
        <v>0.0</v>
      </c>
    </row>
    <row r="476">
      <c r="A476" s="5">
        <v>475.0</v>
      </c>
      <c r="B476" s="9" t="s">
        <v>509</v>
      </c>
      <c r="C476" s="10" t="s">
        <v>32</v>
      </c>
      <c r="D476" s="10" t="s">
        <v>25</v>
      </c>
      <c r="E476" s="14">
        <v>0.0</v>
      </c>
    </row>
    <row r="477">
      <c r="A477" s="5">
        <v>476.0</v>
      </c>
      <c r="B477" s="9" t="s">
        <v>510</v>
      </c>
      <c r="C477" s="10" t="s">
        <v>90</v>
      </c>
      <c r="D477" s="10" t="s">
        <v>25</v>
      </c>
      <c r="E477" s="14">
        <v>0.0</v>
      </c>
    </row>
    <row r="478">
      <c r="A478" s="5">
        <v>477.0</v>
      </c>
      <c r="B478" s="9" t="s">
        <v>511</v>
      </c>
      <c r="C478" s="10" t="s">
        <v>77</v>
      </c>
      <c r="D478" s="10" t="s">
        <v>25</v>
      </c>
      <c r="E478" s="14">
        <v>0.0</v>
      </c>
    </row>
    <row r="479">
      <c r="A479" s="5">
        <v>478.0</v>
      </c>
      <c r="B479" s="9" t="s">
        <v>512</v>
      </c>
      <c r="C479" s="10" t="s">
        <v>63</v>
      </c>
      <c r="D479" s="10" t="s">
        <v>25</v>
      </c>
      <c r="E479" s="14">
        <v>0.0</v>
      </c>
    </row>
    <row r="480">
      <c r="A480" s="5">
        <v>479.0</v>
      </c>
      <c r="B480" s="9" t="s">
        <v>513</v>
      </c>
      <c r="C480" s="10" t="s">
        <v>9</v>
      </c>
      <c r="D480" s="10" t="s">
        <v>25</v>
      </c>
      <c r="E480" s="14">
        <v>0.0</v>
      </c>
    </row>
    <row r="481">
      <c r="A481" s="5">
        <v>480.0</v>
      </c>
      <c r="B481" s="9" t="s">
        <v>514</v>
      </c>
      <c r="C481" s="10" t="s">
        <v>52</v>
      </c>
      <c r="D481" s="10" t="s">
        <v>25</v>
      </c>
      <c r="E481" s="14">
        <v>0.0</v>
      </c>
    </row>
    <row r="482">
      <c r="A482" s="5">
        <v>481.0</v>
      </c>
      <c r="B482" s="9" t="s">
        <v>515</v>
      </c>
      <c r="C482" s="10" t="s">
        <v>86</v>
      </c>
      <c r="D482" s="10" t="s">
        <v>25</v>
      </c>
      <c r="E482" s="14">
        <v>0.0</v>
      </c>
    </row>
    <row r="483">
      <c r="A483" s="5">
        <v>482.0</v>
      </c>
      <c r="B483" s="9" t="s">
        <v>516</v>
      </c>
      <c r="C483" s="10" t="s">
        <v>18</v>
      </c>
      <c r="D483" s="10" t="s">
        <v>7</v>
      </c>
      <c r="E483" s="14">
        <v>0.0</v>
      </c>
    </row>
    <row r="484">
      <c r="A484" s="5">
        <v>483.0</v>
      </c>
      <c r="B484" s="9" t="s">
        <v>517</v>
      </c>
      <c r="C484" s="10" t="s">
        <v>44</v>
      </c>
      <c r="D484" s="10" t="s">
        <v>25</v>
      </c>
      <c r="E484" s="14">
        <v>0.0</v>
      </c>
    </row>
    <row r="485">
      <c r="A485" s="5">
        <v>484.0</v>
      </c>
      <c r="B485" s="9" t="s">
        <v>518</v>
      </c>
      <c r="C485" s="10" t="s">
        <v>52</v>
      </c>
      <c r="D485" s="10" t="s">
        <v>7</v>
      </c>
      <c r="E485" s="14">
        <v>0.0</v>
      </c>
    </row>
    <row r="486">
      <c r="A486" s="5">
        <v>485.0</v>
      </c>
      <c r="B486" s="9" t="s">
        <v>519</v>
      </c>
      <c r="C486" s="10" t="s">
        <v>27</v>
      </c>
      <c r="D486" s="10" t="s">
        <v>25</v>
      </c>
      <c r="E486" s="14">
        <v>0.0</v>
      </c>
    </row>
    <row r="487">
      <c r="A487" s="5">
        <v>486.0</v>
      </c>
      <c r="B487" s="9" t="s">
        <v>520</v>
      </c>
      <c r="C487" s="10" t="s">
        <v>61</v>
      </c>
      <c r="D487" s="10" t="s">
        <v>7</v>
      </c>
      <c r="E487" s="14">
        <v>0.0</v>
      </c>
    </row>
    <row r="488">
      <c r="A488" s="5">
        <v>487.0</v>
      </c>
      <c r="B488" s="9" t="s">
        <v>521</v>
      </c>
      <c r="C488" s="10" t="s">
        <v>56</v>
      </c>
      <c r="D488" s="10" t="s">
        <v>25</v>
      </c>
      <c r="E488" s="14">
        <v>0.0</v>
      </c>
    </row>
    <row r="489">
      <c r="A489" s="5">
        <v>488.0</v>
      </c>
      <c r="B489" s="9" t="s">
        <v>522</v>
      </c>
      <c r="C489" s="10" t="s">
        <v>22</v>
      </c>
      <c r="D489" s="10" t="s">
        <v>25</v>
      </c>
      <c r="E489" s="14">
        <v>0.0</v>
      </c>
    </row>
    <row r="490">
      <c r="A490" s="5">
        <v>489.0</v>
      </c>
      <c r="B490" s="9" t="s">
        <v>523</v>
      </c>
      <c r="C490" s="10" t="s">
        <v>59</v>
      </c>
      <c r="D490" s="10" t="s">
        <v>7</v>
      </c>
      <c r="E490" s="14">
        <v>0.0</v>
      </c>
    </row>
    <row r="491">
      <c r="A491" s="5">
        <v>490.0</v>
      </c>
      <c r="B491" s="9" t="s">
        <v>524</v>
      </c>
      <c r="C491" s="10" t="s">
        <v>18</v>
      </c>
      <c r="D491" s="10" t="s">
        <v>25</v>
      </c>
      <c r="E491" s="14">
        <v>0.0</v>
      </c>
    </row>
    <row r="492">
      <c r="A492" s="5">
        <v>491.0</v>
      </c>
      <c r="B492" s="9" t="s">
        <v>525</v>
      </c>
      <c r="C492" s="10" t="s">
        <v>34</v>
      </c>
      <c r="D492" s="10" t="s">
        <v>25</v>
      </c>
      <c r="E492" s="14">
        <v>0.0</v>
      </c>
    </row>
    <row r="493">
      <c r="A493" s="5">
        <v>492.0</v>
      </c>
      <c r="B493" s="9" t="s">
        <v>526</v>
      </c>
      <c r="C493" s="10" t="s">
        <v>52</v>
      </c>
      <c r="D493" s="10" t="s">
        <v>25</v>
      </c>
      <c r="E493" s="14">
        <v>0.0</v>
      </c>
    </row>
    <row r="494">
      <c r="A494" s="5">
        <v>493.0</v>
      </c>
      <c r="B494" s="9" t="s">
        <v>527</v>
      </c>
      <c r="C494" s="10" t="s">
        <v>102</v>
      </c>
      <c r="D494" s="10" t="s">
        <v>25</v>
      </c>
      <c r="E494" s="14">
        <v>0.0</v>
      </c>
    </row>
    <row r="495">
      <c r="A495" s="5">
        <v>494.0</v>
      </c>
      <c r="B495" s="9" t="s">
        <v>528</v>
      </c>
      <c r="C495" s="10" t="s">
        <v>18</v>
      </c>
      <c r="D495" s="10" t="s">
        <v>7</v>
      </c>
      <c r="E495" s="14">
        <v>0.0</v>
      </c>
    </row>
    <row r="496">
      <c r="A496" s="5">
        <v>495.0</v>
      </c>
      <c r="B496" s="9" t="s">
        <v>529</v>
      </c>
      <c r="C496" s="10" t="s">
        <v>44</v>
      </c>
      <c r="D496" s="10" t="s">
        <v>7</v>
      </c>
      <c r="E496" s="14">
        <v>0.0</v>
      </c>
    </row>
    <row r="497">
      <c r="A497" s="5">
        <v>496.0</v>
      </c>
      <c r="B497" s="9" t="s">
        <v>530</v>
      </c>
      <c r="C497" s="10" t="s">
        <v>44</v>
      </c>
      <c r="D497" s="10" t="s">
        <v>25</v>
      </c>
      <c r="E497" s="14">
        <v>0.0</v>
      </c>
    </row>
    <row r="498">
      <c r="A498" s="5">
        <v>497.0</v>
      </c>
      <c r="B498" s="9" t="s">
        <v>531</v>
      </c>
      <c r="C498" s="10" t="s">
        <v>96</v>
      </c>
      <c r="D498" s="10" t="s">
        <v>7</v>
      </c>
      <c r="E498" s="14">
        <v>0.0</v>
      </c>
    </row>
    <row r="499">
      <c r="A499" s="5">
        <v>498.0</v>
      </c>
      <c r="B499" s="12" t="s">
        <v>532</v>
      </c>
      <c r="C499" s="10" t="s">
        <v>24</v>
      </c>
      <c r="D499" s="10" t="s">
        <v>25</v>
      </c>
      <c r="E499" s="14">
        <v>0.0</v>
      </c>
    </row>
    <row r="500">
      <c r="A500" s="5">
        <v>499.0</v>
      </c>
      <c r="B500" s="9" t="s">
        <v>533</v>
      </c>
      <c r="C500" s="10" t="s">
        <v>32</v>
      </c>
      <c r="D500" s="10" t="s">
        <v>25</v>
      </c>
      <c r="E500" s="14">
        <v>0.0</v>
      </c>
    </row>
    <row r="501">
      <c r="A501" s="5">
        <v>500.0</v>
      </c>
      <c r="B501" s="9" t="s">
        <v>534</v>
      </c>
      <c r="C501" s="10" t="s">
        <v>56</v>
      </c>
      <c r="D501" s="10" t="s">
        <v>7</v>
      </c>
      <c r="E501" s="14">
        <v>0.0</v>
      </c>
    </row>
    <row r="502">
      <c r="A502" s="5">
        <v>501.0</v>
      </c>
      <c r="B502" s="9" t="s">
        <v>535</v>
      </c>
      <c r="C502" s="10" t="s">
        <v>69</v>
      </c>
      <c r="D502" s="10" t="s">
        <v>25</v>
      </c>
      <c r="E502" s="14">
        <v>0.0</v>
      </c>
    </row>
    <row r="503">
      <c r="A503" s="5">
        <v>502.0</v>
      </c>
      <c r="B503" s="9" t="s">
        <v>536</v>
      </c>
      <c r="C503" s="10" t="s">
        <v>96</v>
      </c>
      <c r="D503" s="10" t="s">
        <v>25</v>
      </c>
      <c r="E503" s="14">
        <v>0.0</v>
      </c>
    </row>
    <row r="504">
      <c r="A504" s="5">
        <v>503.0</v>
      </c>
      <c r="B504" s="9" t="s">
        <v>537</v>
      </c>
      <c r="C504" s="10" t="s">
        <v>6</v>
      </c>
      <c r="D504" s="10" t="s">
        <v>25</v>
      </c>
      <c r="E504" s="14">
        <v>0.0</v>
      </c>
    </row>
    <row r="505">
      <c r="A505" s="5">
        <v>504.0</v>
      </c>
      <c r="B505" s="9" t="s">
        <v>538</v>
      </c>
      <c r="C505" s="10" t="s">
        <v>134</v>
      </c>
      <c r="D505" s="10" t="s">
        <v>25</v>
      </c>
      <c r="E505" s="14">
        <v>0.0</v>
      </c>
    </row>
    <row r="506">
      <c r="A506" s="5">
        <v>505.0</v>
      </c>
      <c r="B506" s="9" t="s">
        <v>539</v>
      </c>
      <c r="C506" s="10" t="s">
        <v>77</v>
      </c>
      <c r="D506" s="10" t="s">
        <v>25</v>
      </c>
      <c r="E506" s="14">
        <v>0.0</v>
      </c>
    </row>
    <row r="507">
      <c r="A507" s="5">
        <v>506.0</v>
      </c>
      <c r="B507" s="9" t="s">
        <v>540</v>
      </c>
      <c r="C507" s="10" t="s">
        <v>54</v>
      </c>
      <c r="D507" s="10" t="s">
        <v>25</v>
      </c>
      <c r="E507" s="14">
        <v>0.0</v>
      </c>
    </row>
    <row r="508">
      <c r="A508" s="5">
        <v>507.0</v>
      </c>
      <c r="B508" s="9" t="s">
        <v>541</v>
      </c>
      <c r="C508" s="10" t="s">
        <v>52</v>
      </c>
      <c r="D508" s="10" t="s">
        <v>25</v>
      </c>
      <c r="E508" s="14">
        <v>0.0</v>
      </c>
    </row>
    <row r="509">
      <c r="A509" s="5">
        <v>508.0</v>
      </c>
      <c r="B509" s="9" t="s">
        <v>542</v>
      </c>
      <c r="C509" s="10" t="s">
        <v>9</v>
      </c>
      <c r="D509" s="10" t="s">
        <v>7</v>
      </c>
      <c r="E509" s="14">
        <v>0.0</v>
      </c>
    </row>
    <row r="510">
      <c r="A510" s="5">
        <v>509.0</v>
      </c>
      <c r="B510" s="9" t="s">
        <v>543</v>
      </c>
      <c r="C510" s="10" t="s">
        <v>48</v>
      </c>
      <c r="D510" s="10" t="s">
        <v>25</v>
      </c>
      <c r="E510" s="14">
        <v>0.0</v>
      </c>
    </row>
    <row r="511">
      <c r="A511" s="5">
        <v>510.0</v>
      </c>
      <c r="B511" s="9" t="s">
        <v>544</v>
      </c>
      <c r="C511" s="10" t="s">
        <v>69</v>
      </c>
      <c r="D511" s="10" t="s">
        <v>25</v>
      </c>
      <c r="E511" s="14">
        <v>0.0</v>
      </c>
    </row>
    <row r="512">
      <c r="A512" s="5">
        <v>511.0</v>
      </c>
      <c r="B512" s="9" t="s">
        <v>545</v>
      </c>
      <c r="C512" s="10" t="s">
        <v>92</v>
      </c>
      <c r="D512" s="10" t="s">
        <v>25</v>
      </c>
      <c r="E512" s="14">
        <v>0.0</v>
      </c>
    </row>
    <row r="513">
      <c r="A513" s="5">
        <v>512.0</v>
      </c>
      <c r="B513" s="9" t="s">
        <v>546</v>
      </c>
      <c r="C513" s="10" t="s">
        <v>61</v>
      </c>
      <c r="D513" s="10" t="s">
        <v>25</v>
      </c>
      <c r="E513" s="14">
        <v>0.0</v>
      </c>
    </row>
    <row r="514">
      <c r="A514" s="5">
        <v>513.0</v>
      </c>
      <c r="B514" s="9" t="s">
        <v>547</v>
      </c>
      <c r="C514" s="10" t="s">
        <v>12</v>
      </c>
      <c r="D514" s="10" t="s">
        <v>7</v>
      </c>
      <c r="E514" s="14">
        <v>0.0</v>
      </c>
    </row>
    <row r="515">
      <c r="A515" s="5">
        <v>514.0</v>
      </c>
      <c r="B515" s="9" t="s">
        <v>548</v>
      </c>
      <c r="C515" s="10" t="s">
        <v>104</v>
      </c>
      <c r="D515" s="10" t="s">
        <v>25</v>
      </c>
      <c r="E515" s="14">
        <v>0.0</v>
      </c>
    </row>
    <row r="516">
      <c r="A516" s="5">
        <v>515.0</v>
      </c>
      <c r="B516" s="9" t="s">
        <v>549</v>
      </c>
      <c r="C516" s="10" t="s">
        <v>96</v>
      </c>
      <c r="D516" s="10" t="s">
        <v>25</v>
      </c>
      <c r="E516" s="14">
        <v>0.0</v>
      </c>
    </row>
    <row r="517">
      <c r="A517" s="5">
        <v>516.0</v>
      </c>
      <c r="B517" s="9" t="s">
        <v>550</v>
      </c>
      <c r="C517" s="10" t="s">
        <v>32</v>
      </c>
      <c r="D517" s="10" t="s">
        <v>25</v>
      </c>
      <c r="E517" s="14">
        <v>0.0</v>
      </c>
    </row>
    <row r="518">
      <c r="A518" s="5">
        <v>517.0</v>
      </c>
      <c r="B518" s="9" t="s">
        <v>551</v>
      </c>
      <c r="C518" s="10" t="s">
        <v>59</v>
      </c>
      <c r="D518" s="10" t="s">
        <v>7</v>
      </c>
      <c r="E518" s="14">
        <v>0.0</v>
      </c>
    </row>
    <row r="519">
      <c r="A519" s="5">
        <v>518.0</v>
      </c>
      <c r="B519" s="9" t="s">
        <v>552</v>
      </c>
      <c r="C519" s="10" t="s">
        <v>48</v>
      </c>
      <c r="D519" s="10" t="s">
        <v>25</v>
      </c>
      <c r="E519" s="14">
        <v>0.0</v>
      </c>
    </row>
    <row r="520">
      <c r="A520" s="5">
        <v>519.0</v>
      </c>
      <c r="B520" s="9" t="s">
        <v>553</v>
      </c>
      <c r="C520" s="10" t="s">
        <v>14</v>
      </c>
      <c r="D520" s="10" t="s">
        <v>25</v>
      </c>
      <c r="E520" s="14">
        <v>0.0</v>
      </c>
    </row>
    <row r="521">
      <c r="A521" s="5">
        <v>520.0</v>
      </c>
      <c r="B521" s="9" t="s">
        <v>554</v>
      </c>
      <c r="C521" s="10" t="s">
        <v>14</v>
      </c>
      <c r="D521" s="10" t="s">
        <v>25</v>
      </c>
      <c r="E521" s="14">
        <v>0.0</v>
      </c>
    </row>
    <row r="522">
      <c r="A522" s="5">
        <v>521.0</v>
      </c>
      <c r="B522" s="9" t="s">
        <v>555</v>
      </c>
      <c r="C522" s="10" t="s">
        <v>38</v>
      </c>
      <c r="D522" s="10" t="s">
        <v>25</v>
      </c>
      <c r="E522" s="14">
        <v>0.0</v>
      </c>
    </row>
    <row r="523">
      <c r="A523" s="5">
        <v>522.0</v>
      </c>
      <c r="B523" s="9" t="s">
        <v>556</v>
      </c>
      <c r="C523" s="10" t="s">
        <v>77</v>
      </c>
      <c r="D523" s="10" t="s">
        <v>25</v>
      </c>
      <c r="E523" s="14">
        <v>0.0</v>
      </c>
    </row>
    <row r="524">
      <c r="A524" s="5">
        <v>523.0</v>
      </c>
      <c r="B524" s="9" t="s">
        <v>557</v>
      </c>
      <c r="C524" s="10" t="s">
        <v>44</v>
      </c>
      <c r="D524" s="10" t="s">
        <v>25</v>
      </c>
      <c r="E524" s="14">
        <v>0.0</v>
      </c>
    </row>
    <row r="525">
      <c r="A525" s="5">
        <v>524.0</v>
      </c>
      <c r="B525" s="9" t="s">
        <v>558</v>
      </c>
      <c r="C525" s="10" t="s">
        <v>54</v>
      </c>
      <c r="D525" s="10" t="s">
        <v>25</v>
      </c>
      <c r="E525" s="14">
        <v>0.0</v>
      </c>
    </row>
    <row r="526">
      <c r="A526" s="5">
        <v>525.0</v>
      </c>
      <c r="B526" s="9" t="s">
        <v>559</v>
      </c>
      <c r="C526" s="10" t="s">
        <v>22</v>
      </c>
      <c r="D526" s="10" t="s">
        <v>25</v>
      </c>
      <c r="E526" s="14">
        <v>0.0</v>
      </c>
    </row>
    <row r="527">
      <c r="A527" s="5">
        <v>526.0</v>
      </c>
      <c r="B527" s="9" t="s">
        <v>560</v>
      </c>
      <c r="C527" s="10" t="s">
        <v>27</v>
      </c>
      <c r="D527" s="10" t="s">
        <v>25</v>
      </c>
      <c r="E527" s="14">
        <v>0.0</v>
      </c>
    </row>
    <row r="528">
      <c r="A528" s="5">
        <v>527.0</v>
      </c>
      <c r="B528" s="9" t="s">
        <v>561</v>
      </c>
      <c r="C528" s="10" t="s">
        <v>56</v>
      </c>
      <c r="D528" s="10" t="s">
        <v>25</v>
      </c>
      <c r="E528" s="14">
        <v>0.0</v>
      </c>
    </row>
    <row r="529">
      <c r="A529" s="5">
        <v>528.0</v>
      </c>
      <c r="B529" s="9" t="s">
        <v>562</v>
      </c>
      <c r="C529" s="10" t="s">
        <v>134</v>
      </c>
      <c r="D529" s="10" t="s">
        <v>25</v>
      </c>
      <c r="E529" s="14">
        <v>0.0</v>
      </c>
    </row>
    <row r="530">
      <c r="A530" s="5">
        <v>529.0</v>
      </c>
      <c r="B530" s="9" t="s">
        <v>563</v>
      </c>
      <c r="C530" s="10" t="s">
        <v>96</v>
      </c>
      <c r="D530" s="10" t="s">
        <v>25</v>
      </c>
      <c r="E530" s="14">
        <v>0.0</v>
      </c>
    </row>
    <row r="531">
      <c r="A531" s="5">
        <v>530.0</v>
      </c>
      <c r="B531" s="9" t="s">
        <v>564</v>
      </c>
      <c r="C531" s="10" t="s">
        <v>40</v>
      </c>
      <c r="D531" s="10" t="s">
        <v>25</v>
      </c>
      <c r="E531" s="14">
        <v>0.0</v>
      </c>
    </row>
    <row r="532">
      <c r="A532" s="5">
        <v>531.0</v>
      </c>
      <c r="B532" s="9" t="s">
        <v>565</v>
      </c>
      <c r="C532" s="10" t="s">
        <v>77</v>
      </c>
      <c r="D532" s="10" t="s">
        <v>25</v>
      </c>
      <c r="E532" s="14">
        <v>0.0</v>
      </c>
    </row>
    <row r="533">
      <c r="A533" s="5">
        <v>532.0</v>
      </c>
      <c r="B533" s="9" t="s">
        <v>566</v>
      </c>
      <c r="C533" s="10" t="s">
        <v>29</v>
      </c>
      <c r="D533" s="10" t="s">
        <v>25</v>
      </c>
      <c r="E533" s="14">
        <v>0.0</v>
      </c>
    </row>
    <row r="534">
      <c r="A534" s="5">
        <v>533.0</v>
      </c>
      <c r="B534" s="9" t="s">
        <v>567</v>
      </c>
      <c r="C534" s="10" t="s">
        <v>134</v>
      </c>
      <c r="D534" s="10" t="s">
        <v>7</v>
      </c>
      <c r="E534" s="14">
        <v>0.0</v>
      </c>
    </row>
    <row r="535">
      <c r="A535" s="5">
        <v>534.0</v>
      </c>
      <c r="B535" s="9" t="s">
        <v>568</v>
      </c>
      <c r="C535" s="10" t="s">
        <v>96</v>
      </c>
      <c r="D535" s="10" t="s">
        <v>25</v>
      </c>
      <c r="E535" s="14">
        <v>0.0</v>
      </c>
    </row>
    <row r="536">
      <c r="A536" s="5">
        <v>535.0</v>
      </c>
      <c r="B536" s="9" t="s">
        <v>569</v>
      </c>
      <c r="C536" s="10" t="s">
        <v>48</v>
      </c>
      <c r="D536" s="10" t="s">
        <v>25</v>
      </c>
      <c r="E536" s="14">
        <v>0.0</v>
      </c>
    </row>
    <row r="537">
      <c r="A537" s="5">
        <v>536.0</v>
      </c>
      <c r="B537" s="9" t="s">
        <v>570</v>
      </c>
      <c r="C537" s="10" t="s">
        <v>9</v>
      </c>
      <c r="D537" s="10" t="s">
        <v>25</v>
      </c>
      <c r="E537" s="14">
        <v>0.0</v>
      </c>
    </row>
    <row r="538">
      <c r="A538" s="5">
        <v>537.0</v>
      </c>
      <c r="B538" s="9" t="s">
        <v>571</v>
      </c>
      <c r="C538" s="10" t="s">
        <v>134</v>
      </c>
      <c r="D538" s="10" t="s">
        <v>25</v>
      </c>
      <c r="E538" s="14">
        <v>0.0</v>
      </c>
    </row>
    <row r="539">
      <c r="A539" s="5">
        <v>538.0</v>
      </c>
      <c r="B539" s="9" t="s">
        <v>572</v>
      </c>
      <c r="C539" s="10" t="s">
        <v>14</v>
      </c>
      <c r="D539" s="10" t="s">
        <v>25</v>
      </c>
      <c r="E539" s="14">
        <v>0.0</v>
      </c>
    </row>
    <row r="540">
      <c r="A540" s="5">
        <v>539.0</v>
      </c>
      <c r="B540" s="9" t="s">
        <v>573</v>
      </c>
      <c r="C540" s="10" t="s">
        <v>20</v>
      </c>
      <c r="D540" s="10" t="s">
        <v>25</v>
      </c>
      <c r="E540" s="14">
        <v>0.0</v>
      </c>
    </row>
    <row r="541">
      <c r="A541" s="5">
        <v>540.0</v>
      </c>
      <c r="B541" s="9" t="s">
        <v>574</v>
      </c>
      <c r="C541" s="10" t="s">
        <v>6</v>
      </c>
      <c r="D541" s="10" t="s">
        <v>25</v>
      </c>
      <c r="E541" s="14">
        <v>0.0</v>
      </c>
    </row>
    <row r="542">
      <c r="A542" s="5">
        <v>541.0</v>
      </c>
      <c r="B542" s="9" t="s">
        <v>575</v>
      </c>
      <c r="C542" s="10" t="s">
        <v>22</v>
      </c>
      <c r="D542" s="10" t="s">
        <v>25</v>
      </c>
      <c r="E542" s="14">
        <v>0.0</v>
      </c>
    </row>
    <row r="543">
      <c r="A543" s="5">
        <v>542.0</v>
      </c>
      <c r="B543" s="9" t="s">
        <v>576</v>
      </c>
      <c r="C543" s="10" t="s">
        <v>90</v>
      </c>
      <c r="D543" s="10" t="s">
        <v>25</v>
      </c>
      <c r="E543" s="14">
        <v>0.0</v>
      </c>
    </row>
    <row r="544">
      <c r="A544" s="5">
        <v>543.0</v>
      </c>
      <c r="B544" s="9" t="s">
        <v>577</v>
      </c>
      <c r="C544" s="10" t="s">
        <v>12</v>
      </c>
      <c r="D544" s="10" t="s">
        <v>25</v>
      </c>
      <c r="E544" s="14">
        <v>0.0</v>
      </c>
    </row>
    <row r="545">
      <c r="A545" s="5">
        <v>544.0</v>
      </c>
      <c r="B545" s="9" t="s">
        <v>578</v>
      </c>
      <c r="C545" s="10" t="s">
        <v>74</v>
      </c>
      <c r="D545" s="10" t="s">
        <v>25</v>
      </c>
      <c r="E545" s="14">
        <v>0.0</v>
      </c>
    </row>
    <row r="546">
      <c r="A546" s="5">
        <v>545.0</v>
      </c>
      <c r="B546" s="9" t="s">
        <v>579</v>
      </c>
      <c r="C546" s="10" t="s">
        <v>22</v>
      </c>
      <c r="D546" s="10" t="s">
        <v>25</v>
      </c>
      <c r="E546" s="14">
        <v>0.0</v>
      </c>
    </row>
    <row r="547">
      <c r="A547" s="5">
        <v>546.0</v>
      </c>
      <c r="B547" s="9" t="s">
        <v>580</v>
      </c>
      <c r="C547" s="10" t="s">
        <v>20</v>
      </c>
      <c r="D547" s="10" t="s">
        <v>25</v>
      </c>
      <c r="E547" s="14">
        <v>0.0</v>
      </c>
    </row>
    <row r="548">
      <c r="A548" s="5">
        <v>547.0</v>
      </c>
      <c r="B548" s="9" t="s">
        <v>581</v>
      </c>
      <c r="C548" s="10" t="s">
        <v>69</v>
      </c>
      <c r="D548" s="10" t="s">
        <v>25</v>
      </c>
      <c r="E548" s="14">
        <v>0.0</v>
      </c>
    </row>
    <row r="549">
      <c r="A549" s="5">
        <v>548.0</v>
      </c>
      <c r="B549" s="9" t="s">
        <v>582</v>
      </c>
      <c r="C549" s="10" t="s">
        <v>18</v>
      </c>
      <c r="D549" s="10" t="s">
        <v>25</v>
      </c>
      <c r="E549" s="14">
        <v>0.0</v>
      </c>
    </row>
    <row r="550">
      <c r="A550" s="5">
        <v>549.0</v>
      </c>
      <c r="B550" s="9" t="s">
        <v>583</v>
      </c>
      <c r="C550" s="10" t="s">
        <v>40</v>
      </c>
      <c r="D550" s="10" t="s">
        <v>25</v>
      </c>
      <c r="E550" s="14">
        <v>0.0</v>
      </c>
    </row>
    <row r="551">
      <c r="A551" s="5">
        <v>550.0</v>
      </c>
      <c r="B551" s="9" t="s">
        <v>584</v>
      </c>
      <c r="C551" s="10" t="s">
        <v>6</v>
      </c>
      <c r="D551" s="10" t="s">
        <v>25</v>
      </c>
      <c r="E551" s="14">
        <v>0.0</v>
      </c>
    </row>
    <row r="552">
      <c r="A552" s="5">
        <v>551.0</v>
      </c>
      <c r="B552" s="9" t="s">
        <v>585</v>
      </c>
      <c r="C552" s="10" t="s">
        <v>86</v>
      </c>
      <c r="D552" s="10" t="s">
        <v>7</v>
      </c>
      <c r="E552" s="14">
        <v>0.0</v>
      </c>
    </row>
    <row r="553">
      <c r="A553" s="5">
        <v>552.0</v>
      </c>
      <c r="B553" s="9" t="s">
        <v>586</v>
      </c>
      <c r="C553" s="10" t="s">
        <v>61</v>
      </c>
      <c r="D553" s="10" t="s">
        <v>25</v>
      </c>
      <c r="E553" s="14">
        <v>0.0</v>
      </c>
    </row>
    <row r="554">
      <c r="A554" s="5">
        <v>553.0</v>
      </c>
      <c r="B554" s="9" t="s">
        <v>587</v>
      </c>
      <c r="C554" s="10" t="s">
        <v>54</v>
      </c>
      <c r="D554" s="10" t="s">
        <v>25</v>
      </c>
      <c r="E554" s="14">
        <v>0.0</v>
      </c>
    </row>
    <row r="555">
      <c r="A555" s="5">
        <v>554.0</v>
      </c>
      <c r="B555" s="9" t="s">
        <v>588</v>
      </c>
      <c r="C555" s="10" t="s">
        <v>12</v>
      </c>
      <c r="D555" s="10" t="s">
        <v>25</v>
      </c>
      <c r="E555" s="14">
        <v>0.0</v>
      </c>
    </row>
    <row r="556">
      <c r="A556" s="5">
        <v>555.0</v>
      </c>
      <c r="B556" s="9" t="s">
        <v>589</v>
      </c>
      <c r="C556" s="10" t="s">
        <v>34</v>
      </c>
      <c r="D556" s="10" t="s">
        <v>25</v>
      </c>
      <c r="E556" s="14">
        <v>0.0</v>
      </c>
    </row>
    <row r="557">
      <c r="A557" s="5">
        <v>556.0</v>
      </c>
      <c r="B557" s="9" t="s">
        <v>590</v>
      </c>
      <c r="C557" s="10" t="s">
        <v>102</v>
      </c>
      <c r="D557" s="10" t="s">
        <v>25</v>
      </c>
      <c r="E557" s="14">
        <v>0.0</v>
      </c>
    </row>
    <row r="558">
      <c r="A558" s="5">
        <v>557.0</v>
      </c>
      <c r="B558" s="9" t="s">
        <v>591</v>
      </c>
      <c r="C558" s="10" t="s">
        <v>104</v>
      </c>
      <c r="D558" s="10" t="s">
        <v>7</v>
      </c>
      <c r="E558" s="14">
        <v>0.0</v>
      </c>
    </row>
    <row r="559">
      <c r="A559" s="5">
        <v>558.0</v>
      </c>
      <c r="B559" s="9" t="s">
        <v>592</v>
      </c>
      <c r="C559" s="10" t="s">
        <v>134</v>
      </c>
      <c r="D559" s="10" t="s">
        <v>7</v>
      </c>
      <c r="E559" s="14">
        <v>0.0</v>
      </c>
    </row>
    <row r="560">
      <c r="A560" s="5">
        <v>559.0</v>
      </c>
      <c r="B560" s="9" t="s">
        <v>593</v>
      </c>
      <c r="C560" s="10" t="s">
        <v>96</v>
      </c>
      <c r="D560" s="10" t="s">
        <v>25</v>
      </c>
      <c r="E560" s="14">
        <v>0.0</v>
      </c>
    </row>
    <row r="561">
      <c r="A561" s="5">
        <v>560.0</v>
      </c>
      <c r="B561" s="9" t="s">
        <v>594</v>
      </c>
      <c r="C561" s="10" t="s">
        <v>48</v>
      </c>
      <c r="D561" s="10" t="s">
        <v>25</v>
      </c>
      <c r="E561" s="14">
        <v>0.0</v>
      </c>
    </row>
    <row r="562">
      <c r="A562" s="5">
        <v>561.0</v>
      </c>
      <c r="B562" s="9" t="s">
        <v>595</v>
      </c>
      <c r="C562" s="10" t="s">
        <v>59</v>
      </c>
      <c r="D562" s="10" t="s">
        <v>25</v>
      </c>
      <c r="E562" s="14">
        <v>0.0</v>
      </c>
    </row>
    <row r="563">
      <c r="A563" s="5">
        <v>562.0</v>
      </c>
      <c r="B563" s="9" t="s">
        <v>596</v>
      </c>
      <c r="C563" s="10" t="s">
        <v>9</v>
      </c>
      <c r="D563" s="10" t="s">
        <v>7</v>
      </c>
      <c r="E563" s="14">
        <v>0.0</v>
      </c>
    </row>
    <row r="564">
      <c r="A564" s="5">
        <v>563.0</v>
      </c>
      <c r="B564" s="9" t="s">
        <v>597</v>
      </c>
      <c r="C564" s="10" t="s">
        <v>24</v>
      </c>
      <c r="D564" s="10" t="s">
        <v>25</v>
      </c>
      <c r="E564" s="14">
        <v>0.0</v>
      </c>
    </row>
    <row r="565">
      <c r="A565" s="5">
        <v>564.0</v>
      </c>
      <c r="B565" s="9" t="s">
        <v>598</v>
      </c>
      <c r="C565" s="10" t="s">
        <v>92</v>
      </c>
      <c r="D565" s="10" t="s">
        <v>7</v>
      </c>
      <c r="E565" s="14">
        <v>0.0</v>
      </c>
    </row>
    <row r="566">
      <c r="A566" s="5">
        <v>565.0</v>
      </c>
      <c r="B566" s="9" t="s">
        <v>599</v>
      </c>
      <c r="C566" s="10" t="s">
        <v>63</v>
      </c>
      <c r="D566" s="10" t="s">
        <v>25</v>
      </c>
      <c r="E566" s="14">
        <v>0.0</v>
      </c>
    </row>
    <row r="567">
      <c r="A567" s="5">
        <v>566.0</v>
      </c>
      <c r="B567" s="9" t="s">
        <v>600</v>
      </c>
      <c r="C567" s="10" t="s">
        <v>44</v>
      </c>
      <c r="D567" s="10" t="s">
        <v>7</v>
      </c>
      <c r="E567" s="14">
        <v>0.0</v>
      </c>
    </row>
    <row r="568">
      <c r="A568" s="5">
        <v>567.0</v>
      </c>
      <c r="B568" s="9" t="s">
        <v>601</v>
      </c>
      <c r="C568" s="10" t="s">
        <v>104</v>
      </c>
      <c r="D568" s="10" t="s">
        <v>25</v>
      </c>
      <c r="E568" s="14">
        <v>0.0</v>
      </c>
    </row>
    <row r="569">
      <c r="A569" s="5">
        <v>568.0</v>
      </c>
      <c r="B569" s="9" t="s">
        <v>602</v>
      </c>
      <c r="C569" s="10" t="s">
        <v>6</v>
      </c>
      <c r="D569" s="10" t="s">
        <v>7</v>
      </c>
      <c r="E569" s="14">
        <v>0.0</v>
      </c>
    </row>
    <row r="570">
      <c r="A570" s="5">
        <v>569.0</v>
      </c>
      <c r="B570" s="9" t="s">
        <v>603</v>
      </c>
      <c r="C570" s="10" t="s">
        <v>63</v>
      </c>
      <c r="D570" s="10" t="s">
        <v>25</v>
      </c>
      <c r="E570" s="14">
        <v>0.0</v>
      </c>
    </row>
    <row r="571">
      <c r="A571" s="5">
        <v>570.0</v>
      </c>
      <c r="B571" s="9" t="s">
        <v>604</v>
      </c>
      <c r="C571" s="10" t="s">
        <v>92</v>
      </c>
      <c r="D571" s="10" t="s">
        <v>7</v>
      </c>
      <c r="E571" s="14">
        <v>0.0</v>
      </c>
    </row>
    <row r="572">
      <c r="A572" s="5">
        <v>571.0</v>
      </c>
      <c r="B572" s="9" t="s">
        <v>605</v>
      </c>
      <c r="C572" s="10" t="s">
        <v>104</v>
      </c>
      <c r="D572" s="10" t="s">
        <v>25</v>
      </c>
      <c r="E572" s="14">
        <v>0.0</v>
      </c>
    </row>
    <row r="573">
      <c r="A573" s="5">
        <v>572.0</v>
      </c>
      <c r="B573" s="9" t="s">
        <v>606</v>
      </c>
      <c r="C573" s="10" t="s">
        <v>54</v>
      </c>
      <c r="D573" s="10" t="s">
        <v>25</v>
      </c>
      <c r="E573" s="14">
        <v>0.0</v>
      </c>
    </row>
    <row r="574">
      <c r="A574" s="5">
        <v>573.0</v>
      </c>
      <c r="B574" s="9" t="s">
        <v>607</v>
      </c>
      <c r="C574" s="10" t="s">
        <v>56</v>
      </c>
      <c r="D574" s="10" t="s">
        <v>25</v>
      </c>
      <c r="E574" s="14">
        <v>0.0</v>
      </c>
    </row>
    <row r="575">
      <c r="A575" s="5">
        <v>574.0</v>
      </c>
      <c r="B575" s="9" t="s">
        <v>608</v>
      </c>
      <c r="C575" s="10" t="s">
        <v>52</v>
      </c>
      <c r="D575" s="10" t="s">
        <v>25</v>
      </c>
      <c r="E575" s="14">
        <v>0.0</v>
      </c>
    </row>
    <row r="576">
      <c r="A576" s="5">
        <v>575.0</v>
      </c>
      <c r="B576" s="9" t="s">
        <v>609</v>
      </c>
      <c r="C576" s="10" t="s">
        <v>12</v>
      </c>
      <c r="D576" s="10" t="s">
        <v>25</v>
      </c>
      <c r="E576" s="14">
        <v>0.0</v>
      </c>
    </row>
    <row r="577">
      <c r="A577" s="5">
        <v>576.0</v>
      </c>
      <c r="B577" s="9" t="s">
        <v>610</v>
      </c>
      <c r="C577" s="10" t="s">
        <v>86</v>
      </c>
      <c r="D577" s="10" t="s">
        <v>25</v>
      </c>
      <c r="E577" s="14">
        <v>0.0</v>
      </c>
    </row>
    <row r="578">
      <c r="A578" s="5">
        <v>577.0</v>
      </c>
      <c r="B578" s="9" t="s">
        <v>611</v>
      </c>
      <c r="C578" s="10" t="s">
        <v>29</v>
      </c>
      <c r="D578" s="10" t="s">
        <v>25</v>
      </c>
      <c r="E578" s="14">
        <v>0.0</v>
      </c>
    </row>
    <row r="579">
      <c r="A579" s="5">
        <v>578.0</v>
      </c>
      <c r="B579" s="9" t="s">
        <v>612</v>
      </c>
      <c r="C579" s="10" t="s">
        <v>257</v>
      </c>
      <c r="D579" s="10" t="s">
        <v>25</v>
      </c>
      <c r="E579" s="14">
        <v>0.0</v>
      </c>
    </row>
    <row r="580">
      <c r="A580" s="5">
        <v>579.0</v>
      </c>
      <c r="B580" s="9" t="s">
        <v>613</v>
      </c>
      <c r="C580" s="10" t="s">
        <v>54</v>
      </c>
      <c r="D580" s="10" t="s">
        <v>25</v>
      </c>
      <c r="E580" s="14">
        <v>0.0</v>
      </c>
    </row>
    <row r="581">
      <c r="A581" s="5">
        <v>580.0</v>
      </c>
      <c r="B581" s="9" t="s">
        <v>614</v>
      </c>
      <c r="C581" s="10" t="s">
        <v>77</v>
      </c>
      <c r="D581" s="10" t="s">
        <v>25</v>
      </c>
      <c r="E581" s="14">
        <v>0.0</v>
      </c>
    </row>
    <row r="582">
      <c r="A582" s="5">
        <v>581.0</v>
      </c>
      <c r="B582" s="9" t="s">
        <v>615</v>
      </c>
      <c r="C582" s="10" t="s">
        <v>74</v>
      </c>
      <c r="D582" s="10" t="s">
        <v>25</v>
      </c>
      <c r="E582" s="14">
        <v>0.0</v>
      </c>
    </row>
    <row r="583">
      <c r="A583" s="5">
        <v>582.0</v>
      </c>
      <c r="B583" s="9" t="s">
        <v>616</v>
      </c>
      <c r="C583" s="10" t="s">
        <v>20</v>
      </c>
      <c r="D583" s="10" t="s">
        <v>25</v>
      </c>
      <c r="E583" s="14">
        <v>0.0</v>
      </c>
    </row>
    <row r="584">
      <c r="A584" s="5">
        <v>583.0</v>
      </c>
      <c r="B584" s="9" t="s">
        <v>617</v>
      </c>
      <c r="C584" s="10" t="s">
        <v>257</v>
      </c>
      <c r="D584" s="10" t="s">
        <v>25</v>
      </c>
      <c r="E584" s="14">
        <v>0.0</v>
      </c>
    </row>
    <row r="585">
      <c r="A585" s="5">
        <v>584.0</v>
      </c>
      <c r="B585" s="9" t="s">
        <v>618</v>
      </c>
      <c r="C585" s="10" t="s">
        <v>257</v>
      </c>
      <c r="D585" s="10" t="s">
        <v>25</v>
      </c>
      <c r="E585" s="14">
        <v>0.0</v>
      </c>
    </row>
    <row r="586">
      <c r="A586" s="5">
        <v>585.0</v>
      </c>
      <c r="B586" s="9" t="s">
        <v>619</v>
      </c>
      <c r="C586" s="10" t="s">
        <v>44</v>
      </c>
      <c r="D586" s="10" t="s">
        <v>25</v>
      </c>
      <c r="E586" s="14">
        <v>0.0</v>
      </c>
    </row>
    <row r="587">
      <c r="A587" s="5">
        <v>586.0</v>
      </c>
      <c r="B587" s="9" t="s">
        <v>620</v>
      </c>
      <c r="C587" s="10" t="s">
        <v>92</v>
      </c>
      <c r="D587" s="10" t="s">
        <v>25</v>
      </c>
      <c r="E587" s="14">
        <v>0.0</v>
      </c>
    </row>
    <row r="588">
      <c r="A588" s="5">
        <v>587.0</v>
      </c>
      <c r="B588" s="9" t="s">
        <v>621</v>
      </c>
      <c r="C588" s="10" t="s">
        <v>48</v>
      </c>
      <c r="D588" s="10" t="s">
        <v>25</v>
      </c>
      <c r="E588" s="14">
        <v>0.0</v>
      </c>
    </row>
    <row r="589">
      <c r="A589" s="5">
        <v>588.0</v>
      </c>
      <c r="B589" s="9" t="s">
        <v>622</v>
      </c>
      <c r="C589" s="10" t="s">
        <v>27</v>
      </c>
      <c r="D589" s="10" t="s">
        <v>25</v>
      </c>
      <c r="E589" s="14">
        <v>0.0</v>
      </c>
    </row>
    <row r="590">
      <c r="A590" s="5">
        <v>589.0</v>
      </c>
      <c r="B590" s="9" t="s">
        <v>623</v>
      </c>
      <c r="C590" s="10" t="s">
        <v>134</v>
      </c>
      <c r="D590" s="10" t="s">
        <v>25</v>
      </c>
      <c r="E590" s="14">
        <v>0.0</v>
      </c>
    </row>
    <row r="591">
      <c r="A591" s="5">
        <v>590.0</v>
      </c>
      <c r="B591" s="9" t="s">
        <v>624</v>
      </c>
      <c r="C591" s="10" t="s">
        <v>54</v>
      </c>
      <c r="D591" s="10" t="s">
        <v>25</v>
      </c>
      <c r="E591" s="14">
        <v>0.0</v>
      </c>
    </row>
    <row r="592">
      <c r="A592" s="5">
        <v>591.0</v>
      </c>
      <c r="B592" s="9" t="s">
        <v>625</v>
      </c>
      <c r="C592" s="10" t="s">
        <v>86</v>
      </c>
      <c r="D592" s="10" t="s">
        <v>25</v>
      </c>
      <c r="E592" s="14">
        <v>0.0</v>
      </c>
    </row>
    <row r="593">
      <c r="A593" s="5">
        <v>592.0</v>
      </c>
      <c r="B593" s="9" t="s">
        <v>626</v>
      </c>
      <c r="C593" s="10" t="s">
        <v>92</v>
      </c>
      <c r="D593" s="10" t="s">
        <v>25</v>
      </c>
      <c r="E593" s="14">
        <v>0.0</v>
      </c>
    </row>
    <row r="594">
      <c r="A594" s="5">
        <v>593.0</v>
      </c>
      <c r="B594" s="9" t="s">
        <v>627</v>
      </c>
      <c r="C594" s="10" t="s">
        <v>27</v>
      </c>
      <c r="D594" s="10" t="s">
        <v>25</v>
      </c>
      <c r="E594" s="14">
        <v>0.0</v>
      </c>
    </row>
    <row r="595">
      <c r="A595" s="5">
        <v>594.0</v>
      </c>
      <c r="B595" s="9" t="s">
        <v>628</v>
      </c>
      <c r="C595" s="10" t="s">
        <v>257</v>
      </c>
      <c r="D595" s="10" t="s">
        <v>25</v>
      </c>
      <c r="E595" s="14">
        <v>0.0</v>
      </c>
    </row>
    <row r="596">
      <c r="A596" s="5">
        <v>595.0</v>
      </c>
      <c r="B596" s="9" t="s">
        <v>629</v>
      </c>
      <c r="C596" s="10" t="s">
        <v>48</v>
      </c>
      <c r="D596" s="10" t="s">
        <v>25</v>
      </c>
      <c r="E596" s="14">
        <v>0.0</v>
      </c>
    </row>
    <row r="597">
      <c r="A597" s="5">
        <v>596.0</v>
      </c>
      <c r="B597" s="9" t="s">
        <v>630</v>
      </c>
      <c r="C597" s="10" t="s">
        <v>69</v>
      </c>
      <c r="D597" s="10" t="s">
        <v>25</v>
      </c>
      <c r="E597" s="14">
        <v>0.0</v>
      </c>
    </row>
    <row r="598">
      <c r="A598" s="5">
        <v>597.0</v>
      </c>
      <c r="B598" s="9" t="s">
        <v>591</v>
      </c>
      <c r="C598" s="10" t="s">
        <v>27</v>
      </c>
      <c r="D598" s="10" t="s">
        <v>25</v>
      </c>
      <c r="E598" s="14">
        <v>0.0</v>
      </c>
    </row>
    <row r="599">
      <c r="A599" s="5">
        <v>598.0</v>
      </c>
      <c r="B599" s="12" t="s">
        <v>631</v>
      </c>
      <c r="C599" s="10" t="s">
        <v>69</v>
      </c>
      <c r="D599" s="10" t="s">
        <v>25</v>
      </c>
      <c r="E599" s="14">
        <v>0.0</v>
      </c>
    </row>
    <row r="600">
      <c r="A600" s="5">
        <v>599.0</v>
      </c>
      <c r="B600" s="9" t="s">
        <v>632</v>
      </c>
      <c r="C600" s="10" t="s">
        <v>14</v>
      </c>
      <c r="D600" s="10" t="s">
        <v>25</v>
      </c>
      <c r="E600" s="14">
        <v>0.0</v>
      </c>
    </row>
    <row r="601">
      <c r="A601" s="5">
        <v>600.0</v>
      </c>
      <c r="B601" s="9" t="s">
        <v>633</v>
      </c>
      <c r="C601" s="10" t="s">
        <v>74</v>
      </c>
      <c r="D601" s="10" t="s">
        <v>25</v>
      </c>
      <c r="E601" s="14">
        <v>0.0</v>
      </c>
    </row>
    <row r="602">
      <c r="A602" s="5">
        <v>601.0</v>
      </c>
      <c r="B602" s="9" t="s">
        <v>634</v>
      </c>
      <c r="C602" s="10" t="s">
        <v>18</v>
      </c>
      <c r="D602" s="10" t="s">
        <v>25</v>
      </c>
      <c r="E602" s="14">
        <v>0.0</v>
      </c>
    </row>
    <row r="603">
      <c r="A603" s="5">
        <v>602.0</v>
      </c>
      <c r="B603" s="9" t="s">
        <v>635</v>
      </c>
      <c r="C603" s="10" t="s">
        <v>27</v>
      </c>
      <c r="D603" s="10" t="s">
        <v>25</v>
      </c>
      <c r="E603" s="14">
        <v>0.0</v>
      </c>
    </row>
    <row r="604">
      <c r="A604" s="5">
        <v>603.0</v>
      </c>
      <c r="B604" s="9" t="s">
        <v>636</v>
      </c>
      <c r="C604" s="10" t="s">
        <v>61</v>
      </c>
      <c r="D604" s="10" t="s">
        <v>25</v>
      </c>
      <c r="E604" s="14">
        <v>0.0</v>
      </c>
    </row>
    <row r="605">
      <c r="A605" s="5">
        <v>604.0</v>
      </c>
      <c r="B605" s="9" t="s">
        <v>637</v>
      </c>
      <c r="C605" s="10" t="s">
        <v>6</v>
      </c>
      <c r="D605" s="10" t="s">
        <v>25</v>
      </c>
      <c r="E605" s="14">
        <v>0.0</v>
      </c>
    </row>
    <row r="606">
      <c r="A606" s="5">
        <v>605.0</v>
      </c>
      <c r="B606" s="9" t="s">
        <v>638</v>
      </c>
      <c r="C606" s="10" t="s">
        <v>74</v>
      </c>
      <c r="D606" s="10" t="s">
        <v>25</v>
      </c>
      <c r="E606" s="14">
        <v>0.0</v>
      </c>
    </row>
    <row r="607">
      <c r="A607" s="5">
        <v>606.0</v>
      </c>
      <c r="B607" s="9" t="s">
        <v>639</v>
      </c>
      <c r="C607" s="10" t="s">
        <v>257</v>
      </c>
      <c r="D607" s="10" t="s">
        <v>25</v>
      </c>
      <c r="E607" s="14">
        <v>0.0</v>
      </c>
    </row>
    <row r="608">
      <c r="A608" s="5">
        <v>607.0</v>
      </c>
      <c r="B608" s="9" t="s">
        <v>640</v>
      </c>
      <c r="C608" s="10" t="s">
        <v>257</v>
      </c>
      <c r="D608" s="10" t="s">
        <v>25</v>
      </c>
      <c r="E608" s="14">
        <v>0.0</v>
      </c>
    </row>
    <row r="609">
      <c r="A609" s="5">
        <v>608.0</v>
      </c>
      <c r="B609" s="9" t="s">
        <v>641</v>
      </c>
      <c r="C609" s="10" t="s">
        <v>34</v>
      </c>
      <c r="D609" s="10" t="s">
        <v>25</v>
      </c>
      <c r="E609" s="14">
        <v>0.0</v>
      </c>
    </row>
    <row r="610">
      <c r="A610" s="5">
        <v>609.0</v>
      </c>
      <c r="B610" s="9" t="s">
        <v>642</v>
      </c>
      <c r="C610" s="10" t="s">
        <v>69</v>
      </c>
      <c r="D610" s="10" t="s">
        <v>25</v>
      </c>
      <c r="E610" s="14">
        <v>0.0</v>
      </c>
    </row>
    <row r="611">
      <c r="A611" s="5">
        <v>610.0</v>
      </c>
      <c r="B611" s="9" t="s">
        <v>643</v>
      </c>
      <c r="C611" s="10" t="s">
        <v>56</v>
      </c>
      <c r="D611" s="10" t="s">
        <v>25</v>
      </c>
      <c r="E611" s="14">
        <v>0.0</v>
      </c>
    </row>
    <row r="612">
      <c r="A612" s="5">
        <v>611.0</v>
      </c>
      <c r="B612" s="9" t="s">
        <v>644</v>
      </c>
      <c r="C612" s="10" t="s">
        <v>38</v>
      </c>
      <c r="D612" s="10" t="s">
        <v>25</v>
      </c>
      <c r="E612" s="14">
        <v>0.0</v>
      </c>
    </row>
    <row r="613">
      <c r="A613" s="5">
        <v>612.0</v>
      </c>
      <c r="B613" s="9" t="s">
        <v>645</v>
      </c>
      <c r="C613" s="10" t="s">
        <v>32</v>
      </c>
      <c r="D613" s="10" t="s">
        <v>25</v>
      </c>
      <c r="E613" s="14">
        <v>0.0</v>
      </c>
    </row>
    <row r="614">
      <c r="A614" s="5">
        <v>613.0</v>
      </c>
      <c r="B614" s="9" t="s">
        <v>646</v>
      </c>
      <c r="C614" s="10" t="s">
        <v>27</v>
      </c>
      <c r="D614" s="10" t="s">
        <v>25</v>
      </c>
      <c r="E614" s="14">
        <v>0.0</v>
      </c>
    </row>
    <row r="615">
      <c r="A615" s="5">
        <v>614.0</v>
      </c>
      <c r="B615" s="9" t="s">
        <v>647</v>
      </c>
      <c r="C615" s="10" t="s">
        <v>69</v>
      </c>
      <c r="D615" s="10" t="s">
        <v>25</v>
      </c>
      <c r="E615" s="14">
        <v>0.0</v>
      </c>
    </row>
    <row r="616">
      <c r="A616" s="5">
        <v>615.0</v>
      </c>
      <c r="B616" s="9" t="s">
        <v>648</v>
      </c>
      <c r="C616" s="10" t="s">
        <v>257</v>
      </c>
      <c r="D616" s="10" t="s">
        <v>25</v>
      </c>
      <c r="E616" s="14">
        <v>0.0</v>
      </c>
    </row>
    <row r="617">
      <c r="A617" s="5">
        <v>616.0</v>
      </c>
      <c r="B617" s="9" t="s">
        <v>649</v>
      </c>
      <c r="C617" s="10" t="s">
        <v>63</v>
      </c>
      <c r="D617" s="10" t="s">
        <v>25</v>
      </c>
      <c r="E617" s="14">
        <v>0.0</v>
      </c>
    </row>
    <row r="618">
      <c r="A618" s="5">
        <v>617.0</v>
      </c>
      <c r="B618" s="9" t="s">
        <v>650</v>
      </c>
      <c r="C618" s="10" t="s">
        <v>61</v>
      </c>
      <c r="D618" s="10" t="s">
        <v>25</v>
      </c>
      <c r="E618" s="14">
        <v>0.0</v>
      </c>
    </row>
    <row r="619">
      <c r="A619" s="5">
        <v>618.0</v>
      </c>
      <c r="B619" s="9" t="s">
        <v>651</v>
      </c>
      <c r="C619" s="10" t="s">
        <v>32</v>
      </c>
      <c r="D619" s="10" t="s">
        <v>25</v>
      </c>
      <c r="E619" s="14">
        <v>0.0</v>
      </c>
    </row>
    <row r="620">
      <c r="A620" s="5">
        <v>619.0</v>
      </c>
      <c r="B620" s="9" t="s">
        <v>652</v>
      </c>
      <c r="C620" s="10" t="s">
        <v>34</v>
      </c>
      <c r="D620" s="10" t="s">
        <v>25</v>
      </c>
      <c r="E620" s="14">
        <v>0.0</v>
      </c>
    </row>
    <row r="621">
      <c r="A621" s="5">
        <v>620.0</v>
      </c>
      <c r="B621" s="9" t="s">
        <v>653</v>
      </c>
      <c r="C621" s="10" t="s">
        <v>257</v>
      </c>
      <c r="D621" s="10" t="s">
        <v>25</v>
      </c>
      <c r="E621" s="14">
        <v>0.0</v>
      </c>
    </row>
    <row r="622">
      <c r="A622" s="5">
        <v>621.0</v>
      </c>
      <c r="B622" s="9" t="s">
        <v>654</v>
      </c>
      <c r="C622" s="10" t="s">
        <v>257</v>
      </c>
      <c r="D622" s="10" t="s">
        <v>25</v>
      </c>
      <c r="E622" s="14">
        <v>0.0</v>
      </c>
    </row>
    <row r="623">
      <c r="A623" s="5">
        <v>622.0</v>
      </c>
      <c r="B623" s="9" t="s">
        <v>655</v>
      </c>
      <c r="C623" s="10" t="s">
        <v>27</v>
      </c>
      <c r="D623" s="10" t="s">
        <v>25</v>
      </c>
      <c r="E623" s="14">
        <v>0.0</v>
      </c>
    </row>
    <row r="624">
      <c r="A624" s="5">
        <v>623.0</v>
      </c>
      <c r="B624" s="9" t="s">
        <v>656</v>
      </c>
      <c r="C624" s="10" t="s">
        <v>59</v>
      </c>
      <c r="D624" s="10" t="s">
        <v>25</v>
      </c>
      <c r="E624" s="14">
        <v>0.0</v>
      </c>
    </row>
    <row r="625">
      <c r="A625" s="5">
        <v>624.0</v>
      </c>
      <c r="B625" s="9" t="s">
        <v>657</v>
      </c>
      <c r="C625" s="10" t="s">
        <v>59</v>
      </c>
      <c r="D625" s="10" t="s">
        <v>25</v>
      </c>
      <c r="E625" s="14">
        <v>0.0</v>
      </c>
    </row>
    <row r="626">
      <c r="A626" s="5">
        <v>625.0</v>
      </c>
      <c r="B626" s="9" t="s">
        <v>658</v>
      </c>
      <c r="C626" s="10" t="s">
        <v>257</v>
      </c>
      <c r="D626" s="10" t="s">
        <v>25</v>
      </c>
      <c r="E626" s="14">
        <v>0.0</v>
      </c>
    </row>
    <row r="627">
      <c r="A627" s="5">
        <v>626.0</v>
      </c>
      <c r="B627" s="9" t="s">
        <v>659</v>
      </c>
      <c r="C627" s="10" t="s">
        <v>20</v>
      </c>
      <c r="D627" s="10" t="s">
        <v>25</v>
      </c>
      <c r="E627" s="14">
        <v>0.0</v>
      </c>
    </row>
    <row r="628">
      <c r="A628" s="5">
        <v>627.0</v>
      </c>
      <c r="B628" s="9" t="s">
        <v>660</v>
      </c>
      <c r="C628" s="10" t="s">
        <v>54</v>
      </c>
      <c r="D628" s="10" t="s">
        <v>25</v>
      </c>
      <c r="E628" s="14">
        <v>0.0</v>
      </c>
    </row>
    <row r="629">
      <c r="A629" s="5">
        <v>628.0</v>
      </c>
      <c r="B629" s="9" t="s">
        <v>661</v>
      </c>
      <c r="C629" s="10" t="s">
        <v>27</v>
      </c>
      <c r="D629" s="10" t="s">
        <v>25</v>
      </c>
      <c r="E629" s="14">
        <v>0.0</v>
      </c>
    </row>
    <row r="630">
      <c r="A630" s="5">
        <v>629.0</v>
      </c>
      <c r="B630" s="9" t="s">
        <v>662</v>
      </c>
      <c r="C630" s="10" t="s">
        <v>257</v>
      </c>
      <c r="D630" s="10" t="s">
        <v>25</v>
      </c>
      <c r="E630" s="14">
        <v>0.0</v>
      </c>
    </row>
    <row r="631">
      <c r="A631" s="5">
        <v>630.0</v>
      </c>
      <c r="B631" s="9" t="s">
        <v>663</v>
      </c>
      <c r="C631" s="10" t="s">
        <v>257</v>
      </c>
      <c r="D631" s="10" t="s">
        <v>25</v>
      </c>
      <c r="E631" s="14">
        <v>0.0</v>
      </c>
    </row>
    <row r="632">
      <c r="A632" s="5">
        <v>631.0</v>
      </c>
      <c r="B632" s="9" t="s">
        <v>664</v>
      </c>
      <c r="C632" s="10" t="s">
        <v>6</v>
      </c>
      <c r="D632" s="10" t="s">
        <v>25</v>
      </c>
      <c r="E632" s="14">
        <v>0.0</v>
      </c>
    </row>
    <row r="633">
      <c r="A633" s="5">
        <v>632.0</v>
      </c>
      <c r="B633" s="9" t="s">
        <v>665</v>
      </c>
      <c r="C633" s="10" t="s">
        <v>257</v>
      </c>
      <c r="D633" s="10" t="s">
        <v>25</v>
      </c>
      <c r="E633" s="14">
        <v>0.0</v>
      </c>
    </row>
    <row r="634">
      <c r="A634" s="5">
        <v>633.0</v>
      </c>
      <c r="B634" s="9" t="s">
        <v>666</v>
      </c>
      <c r="C634" s="10" t="s">
        <v>257</v>
      </c>
      <c r="D634" s="10" t="s">
        <v>25</v>
      </c>
      <c r="E634" s="14">
        <v>0.0</v>
      </c>
    </row>
    <row r="635">
      <c r="A635" s="5">
        <v>634.0</v>
      </c>
      <c r="B635" s="9" t="s">
        <v>667</v>
      </c>
      <c r="C635" s="10" t="s">
        <v>257</v>
      </c>
      <c r="D635" s="10" t="s">
        <v>25</v>
      </c>
      <c r="E635" s="14">
        <v>0.0</v>
      </c>
    </row>
    <row r="636">
      <c r="A636" s="5">
        <v>635.0</v>
      </c>
      <c r="B636" s="9" t="s">
        <v>668</v>
      </c>
      <c r="C636" s="10" t="s">
        <v>102</v>
      </c>
      <c r="D636" s="10" t="s">
        <v>25</v>
      </c>
      <c r="E636" s="14">
        <v>0.0</v>
      </c>
    </row>
    <row r="637">
      <c r="A637" s="5">
        <v>636.0</v>
      </c>
      <c r="B637" s="9" t="s">
        <v>669</v>
      </c>
      <c r="C637" s="10" t="s">
        <v>257</v>
      </c>
      <c r="D637" s="10" t="s">
        <v>25</v>
      </c>
      <c r="E637" s="14">
        <v>0.0</v>
      </c>
    </row>
    <row r="638">
      <c r="A638" s="5">
        <v>637.0</v>
      </c>
      <c r="B638" s="9" t="s">
        <v>670</v>
      </c>
      <c r="C638" s="10" t="s">
        <v>24</v>
      </c>
      <c r="D638" s="10" t="s">
        <v>25</v>
      </c>
      <c r="E638" s="14">
        <v>0.0</v>
      </c>
    </row>
    <row r="639">
      <c r="A639" s="5">
        <v>638.0</v>
      </c>
      <c r="B639" s="9" t="s">
        <v>671</v>
      </c>
      <c r="C639" s="10" t="s">
        <v>102</v>
      </c>
      <c r="D639" s="10" t="s">
        <v>25</v>
      </c>
      <c r="E639" s="14">
        <v>0.0</v>
      </c>
    </row>
    <row r="640">
      <c r="A640" s="5">
        <v>639.0</v>
      </c>
      <c r="B640" s="9" t="s">
        <v>672</v>
      </c>
      <c r="C640" s="10" t="s">
        <v>257</v>
      </c>
      <c r="D640" s="10" t="s">
        <v>25</v>
      </c>
      <c r="E640" s="14">
        <v>0.0</v>
      </c>
    </row>
    <row r="641">
      <c r="A641" s="5">
        <v>640.0</v>
      </c>
      <c r="B641" s="9" t="s">
        <v>673</v>
      </c>
      <c r="C641" s="10" t="s">
        <v>69</v>
      </c>
      <c r="D641" s="10" t="s">
        <v>25</v>
      </c>
      <c r="E641" s="14">
        <v>0.0</v>
      </c>
    </row>
    <row r="642">
      <c r="A642" s="5">
        <v>641.0</v>
      </c>
      <c r="B642" s="9" t="s">
        <v>674</v>
      </c>
      <c r="C642" s="10" t="s">
        <v>257</v>
      </c>
      <c r="D642" s="10" t="s">
        <v>25</v>
      </c>
      <c r="E642" s="14">
        <v>0.0</v>
      </c>
    </row>
    <row r="643">
      <c r="A643" s="5">
        <v>642.0</v>
      </c>
      <c r="B643" s="9" t="s">
        <v>675</v>
      </c>
      <c r="C643" s="10" t="s">
        <v>257</v>
      </c>
      <c r="D643" s="10" t="s">
        <v>25</v>
      </c>
      <c r="E643" s="14">
        <v>0.0</v>
      </c>
    </row>
    <row r="644">
      <c r="A644" s="5">
        <v>643.0</v>
      </c>
      <c r="B644" s="9" t="s">
        <v>676</v>
      </c>
      <c r="C644" s="10" t="s">
        <v>257</v>
      </c>
      <c r="D644" s="10" t="s">
        <v>25</v>
      </c>
      <c r="E644" s="14">
        <v>0.0</v>
      </c>
    </row>
    <row r="645">
      <c r="A645" s="5">
        <v>644.0</v>
      </c>
      <c r="B645" s="9" t="s">
        <v>677</v>
      </c>
      <c r="C645" s="10" t="s">
        <v>257</v>
      </c>
      <c r="D645" s="10" t="s">
        <v>25</v>
      </c>
      <c r="E645" s="14">
        <v>0.0</v>
      </c>
    </row>
    <row r="646">
      <c r="A646" s="5">
        <v>645.0</v>
      </c>
      <c r="B646" s="9" t="s">
        <v>678</v>
      </c>
      <c r="C646" s="10" t="s">
        <v>134</v>
      </c>
      <c r="D646" s="10" t="s">
        <v>25</v>
      </c>
      <c r="E646" s="14">
        <v>0.0</v>
      </c>
    </row>
    <row r="647">
      <c r="A647" s="5">
        <v>646.0</v>
      </c>
      <c r="B647" s="9" t="s">
        <v>679</v>
      </c>
      <c r="C647" s="10" t="s">
        <v>257</v>
      </c>
      <c r="D647" s="10" t="s">
        <v>25</v>
      </c>
      <c r="E647" s="14">
        <v>0.0</v>
      </c>
    </row>
    <row r="648">
      <c r="A648" s="5">
        <v>647.0</v>
      </c>
      <c r="B648" s="9" t="s">
        <v>680</v>
      </c>
      <c r="C648" s="10" t="s">
        <v>14</v>
      </c>
      <c r="D648" s="10" t="s">
        <v>25</v>
      </c>
      <c r="E648" s="14">
        <v>0.0</v>
      </c>
    </row>
    <row r="649">
      <c r="A649" s="5">
        <v>648.0</v>
      </c>
      <c r="B649" s="9" t="s">
        <v>681</v>
      </c>
      <c r="C649" s="10" t="s">
        <v>74</v>
      </c>
      <c r="D649" s="10" t="s">
        <v>25</v>
      </c>
      <c r="E649" s="14">
        <v>0.0</v>
      </c>
    </row>
    <row r="650">
      <c r="A650" s="5">
        <v>649.0</v>
      </c>
      <c r="B650" s="9" t="s">
        <v>682</v>
      </c>
      <c r="C650" s="10" t="s">
        <v>63</v>
      </c>
      <c r="D650" s="10" t="s">
        <v>25</v>
      </c>
      <c r="E650" s="14">
        <v>0.0</v>
      </c>
    </row>
    <row r="651">
      <c r="A651" s="5">
        <v>650.0</v>
      </c>
      <c r="B651" s="9" t="s">
        <v>683</v>
      </c>
      <c r="C651" s="10" t="s">
        <v>6</v>
      </c>
      <c r="D651" s="10" t="s">
        <v>25</v>
      </c>
      <c r="E651" s="14">
        <v>0.0</v>
      </c>
    </row>
    <row r="652">
      <c r="A652" s="5">
        <v>651.0</v>
      </c>
      <c r="B652" s="9" t="s">
        <v>684</v>
      </c>
      <c r="C652" s="10" t="s">
        <v>257</v>
      </c>
      <c r="D652" s="10" t="s">
        <v>25</v>
      </c>
      <c r="E652" s="14">
        <v>0.0</v>
      </c>
    </row>
    <row r="653">
      <c r="A653" s="5">
        <v>652.0</v>
      </c>
      <c r="B653" s="9" t="s">
        <v>685</v>
      </c>
      <c r="C653" s="10" t="s">
        <v>102</v>
      </c>
      <c r="D653" s="10" t="s">
        <v>25</v>
      </c>
      <c r="E653" s="14">
        <v>0.0</v>
      </c>
    </row>
    <row r="654">
      <c r="A654" s="5">
        <v>653.0</v>
      </c>
      <c r="B654" s="9" t="s">
        <v>686</v>
      </c>
      <c r="C654" s="10" t="s">
        <v>29</v>
      </c>
      <c r="D654" s="10" t="s">
        <v>25</v>
      </c>
      <c r="E654" s="14">
        <v>0.0</v>
      </c>
    </row>
    <row r="655">
      <c r="A655" s="5">
        <v>654.0</v>
      </c>
      <c r="B655" s="9" t="s">
        <v>687</v>
      </c>
      <c r="C655" s="10" t="s">
        <v>24</v>
      </c>
      <c r="D655" s="10" t="s">
        <v>25</v>
      </c>
      <c r="E655" s="14">
        <v>0.0</v>
      </c>
    </row>
    <row r="656">
      <c r="A656" s="5">
        <v>655.0</v>
      </c>
      <c r="B656" s="9" t="s">
        <v>688</v>
      </c>
      <c r="C656" s="10" t="s">
        <v>257</v>
      </c>
      <c r="D656" s="10" t="s">
        <v>25</v>
      </c>
      <c r="E656" s="14">
        <v>0.0</v>
      </c>
    </row>
    <row r="657">
      <c r="A657" s="5">
        <v>656.0</v>
      </c>
      <c r="B657" s="9" t="s">
        <v>689</v>
      </c>
      <c r="C657" s="10" t="s">
        <v>56</v>
      </c>
      <c r="D657" s="10" t="s">
        <v>25</v>
      </c>
      <c r="E657" s="14">
        <v>0.0</v>
      </c>
    </row>
    <row r="658">
      <c r="A658" s="5">
        <v>657.0</v>
      </c>
      <c r="B658" s="9" t="s">
        <v>690</v>
      </c>
      <c r="C658" s="10" t="s">
        <v>59</v>
      </c>
      <c r="D658" s="10" t="s">
        <v>25</v>
      </c>
      <c r="E658" s="14">
        <v>0.0</v>
      </c>
    </row>
    <row r="659">
      <c r="A659" s="5">
        <v>658.0</v>
      </c>
      <c r="B659" s="9" t="s">
        <v>691</v>
      </c>
      <c r="C659" s="10" t="s">
        <v>134</v>
      </c>
      <c r="D659" s="10" t="s">
        <v>25</v>
      </c>
      <c r="E659" s="14">
        <v>0.0</v>
      </c>
    </row>
    <row r="660">
      <c r="A660" s="5">
        <v>659.0</v>
      </c>
      <c r="B660" s="9" t="s">
        <v>692</v>
      </c>
      <c r="C660" s="10" t="s">
        <v>102</v>
      </c>
      <c r="D660" s="10" t="s">
        <v>25</v>
      </c>
      <c r="E660" s="14">
        <v>0.0</v>
      </c>
    </row>
    <row r="661">
      <c r="A661" s="5">
        <v>660.0</v>
      </c>
      <c r="B661" s="9" t="s">
        <v>693</v>
      </c>
      <c r="C661" s="10" t="s">
        <v>257</v>
      </c>
      <c r="D661" s="10" t="s">
        <v>25</v>
      </c>
      <c r="E661" s="14">
        <v>0.0</v>
      </c>
    </row>
    <row r="662">
      <c r="A662" s="5">
        <v>661.0</v>
      </c>
      <c r="B662" s="9" t="s">
        <v>694</v>
      </c>
      <c r="C662" s="10" t="s">
        <v>257</v>
      </c>
      <c r="D662" s="10" t="s">
        <v>25</v>
      </c>
      <c r="E662" s="14">
        <v>0.0</v>
      </c>
    </row>
    <row r="663">
      <c r="A663" s="5">
        <v>662.0</v>
      </c>
      <c r="B663" s="9" t="s">
        <v>695</v>
      </c>
      <c r="C663" s="10" t="s">
        <v>257</v>
      </c>
      <c r="D663" s="10" t="s">
        <v>25</v>
      </c>
      <c r="E663" s="14">
        <v>0.0</v>
      </c>
    </row>
    <row r="664">
      <c r="A664" s="5">
        <v>663.0</v>
      </c>
      <c r="B664" s="9" t="s">
        <v>696</v>
      </c>
      <c r="C664" s="10" t="s">
        <v>38</v>
      </c>
      <c r="D664" s="10" t="s">
        <v>25</v>
      </c>
      <c r="E664" s="14">
        <v>0.0</v>
      </c>
    </row>
    <row r="665">
      <c r="A665" s="5">
        <v>664.0</v>
      </c>
      <c r="B665" s="9" t="s">
        <v>697</v>
      </c>
      <c r="C665" s="10" t="s">
        <v>9</v>
      </c>
      <c r="D665" s="10" t="s">
        <v>25</v>
      </c>
      <c r="E665" s="14">
        <v>0.0</v>
      </c>
    </row>
    <row r="666">
      <c r="A666" s="5">
        <v>665.0</v>
      </c>
      <c r="B666" s="9" t="s">
        <v>698</v>
      </c>
      <c r="C666" s="10" t="s">
        <v>257</v>
      </c>
      <c r="D666" s="10" t="s">
        <v>25</v>
      </c>
      <c r="E666" s="14">
        <v>0.0</v>
      </c>
    </row>
    <row r="667">
      <c r="A667" s="5">
        <v>666.0</v>
      </c>
      <c r="B667" s="9" t="s">
        <v>699</v>
      </c>
      <c r="C667" s="10" t="s">
        <v>257</v>
      </c>
      <c r="D667" s="10" t="s">
        <v>25</v>
      </c>
      <c r="E667" s="14">
        <v>0.0</v>
      </c>
    </row>
    <row r="668">
      <c r="A668" s="5">
        <v>667.0</v>
      </c>
      <c r="B668" s="9" t="s">
        <v>700</v>
      </c>
      <c r="C668" s="10" t="s">
        <v>29</v>
      </c>
      <c r="D668" s="10" t="s">
        <v>25</v>
      </c>
      <c r="E668" s="14">
        <v>0.0</v>
      </c>
    </row>
    <row r="669">
      <c r="A669" s="5">
        <v>668.0</v>
      </c>
      <c r="B669" s="9" t="s">
        <v>701</v>
      </c>
      <c r="C669" s="10" t="s">
        <v>6</v>
      </c>
      <c r="D669" s="10" t="s">
        <v>25</v>
      </c>
      <c r="E669" s="14">
        <v>0.0</v>
      </c>
    </row>
    <row r="670">
      <c r="A670" s="5">
        <v>669.0</v>
      </c>
      <c r="B670" s="9" t="s">
        <v>702</v>
      </c>
      <c r="C670" s="10" t="s">
        <v>257</v>
      </c>
      <c r="D670" s="10" t="s">
        <v>25</v>
      </c>
      <c r="E670" s="14">
        <v>0.0</v>
      </c>
    </row>
    <row r="671">
      <c r="A671" s="5">
        <v>670.0</v>
      </c>
      <c r="B671" s="9" t="s">
        <v>703</v>
      </c>
      <c r="C671" s="10" t="s">
        <v>32</v>
      </c>
      <c r="D671" s="10" t="s">
        <v>25</v>
      </c>
      <c r="E671" s="14">
        <v>0.0</v>
      </c>
    </row>
    <row r="672">
      <c r="A672" s="5">
        <v>671.0</v>
      </c>
      <c r="B672" s="9" t="s">
        <v>704</v>
      </c>
      <c r="C672" s="10" t="s">
        <v>257</v>
      </c>
      <c r="D672" s="10" t="s">
        <v>25</v>
      </c>
      <c r="E672" s="14">
        <v>0.0</v>
      </c>
    </row>
    <row r="673">
      <c r="A673" s="5">
        <v>672.0</v>
      </c>
      <c r="B673" s="9" t="s">
        <v>705</v>
      </c>
      <c r="C673" s="10" t="s">
        <v>27</v>
      </c>
      <c r="D673" s="10" t="s">
        <v>25</v>
      </c>
      <c r="E673" s="14">
        <v>0.0</v>
      </c>
    </row>
    <row r="674">
      <c r="A674" s="5">
        <v>673.0</v>
      </c>
      <c r="B674" s="9" t="s">
        <v>706</v>
      </c>
      <c r="C674" s="10" t="s">
        <v>20</v>
      </c>
      <c r="D674" s="10" t="s">
        <v>25</v>
      </c>
      <c r="E674" s="14">
        <v>0.0</v>
      </c>
    </row>
    <row r="675">
      <c r="A675" s="5">
        <v>674.0</v>
      </c>
      <c r="B675" s="9" t="s">
        <v>707</v>
      </c>
      <c r="C675" s="10" t="s">
        <v>257</v>
      </c>
      <c r="D675" s="10" t="s">
        <v>25</v>
      </c>
      <c r="E675" s="14">
        <v>0.0</v>
      </c>
    </row>
    <row r="676">
      <c r="A676" s="5">
        <v>675.0</v>
      </c>
      <c r="B676" s="9" t="s">
        <v>708</v>
      </c>
      <c r="C676" s="10" t="s">
        <v>257</v>
      </c>
      <c r="D676" s="10" t="s">
        <v>25</v>
      </c>
      <c r="E676" s="14">
        <v>0.0</v>
      </c>
    </row>
    <row r="677">
      <c r="A677" s="5">
        <v>676.0</v>
      </c>
      <c r="B677" s="9" t="s">
        <v>709</v>
      </c>
      <c r="C677" s="10" t="s">
        <v>257</v>
      </c>
      <c r="D677" s="10" t="s">
        <v>25</v>
      </c>
      <c r="E677" s="14">
        <v>0.0</v>
      </c>
    </row>
    <row r="678">
      <c r="A678" s="5">
        <v>677.0</v>
      </c>
      <c r="B678" s="9" t="s">
        <v>710</v>
      </c>
      <c r="C678" s="10" t="s">
        <v>52</v>
      </c>
      <c r="D678" s="10" t="s">
        <v>25</v>
      </c>
      <c r="E678" s="14">
        <v>0.0</v>
      </c>
    </row>
    <row r="679">
      <c r="A679" s="5">
        <v>678.0</v>
      </c>
      <c r="B679" s="9" t="s">
        <v>711</v>
      </c>
      <c r="C679" s="10" t="s">
        <v>92</v>
      </c>
      <c r="D679" s="10" t="s">
        <v>25</v>
      </c>
      <c r="E679" s="14">
        <v>0.0</v>
      </c>
    </row>
    <row r="680">
      <c r="A680" s="5">
        <v>679.0</v>
      </c>
      <c r="B680" s="9" t="s">
        <v>712</v>
      </c>
      <c r="C680" s="10" t="s">
        <v>257</v>
      </c>
      <c r="D680" s="10" t="s">
        <v>25</v>
      </c>
      <c r="E680" s="14">
        <v>0.0</v>
      </c>
    </row>
    <row r="681">
      <c r="A681" s="5">
        <v>680.0</v>
      </c>
      <c r="B681" s="9" t="s">
        <v>713</v>
      </c>
      <c r="C681" s="10" t="s">
        <v>18</v>
      </c>
      <c r="D681" s="10" t="s">
        <v>25</v>
      </c>
      <c r="E681" s="14">
        <v>0.0</v>
      </c>
    </row>
    <row r="682">
      <c r="A682" s="5">
        <v>681.0</v>
      </c>
      <c r="B682" s="9" t="s">
        <v>714</v>
      </c>
      <c r="C682" s="10" t="s">
        <v>9</v>
      </c>
      <c r="D682" s="10" t="s">
        <v>25</v>
      </c>
      <c r="E682" s="14">
        <v>0.0</v>
      </c>
    </row>
    <row r="683">
      <c r="A683" s="5">
        <v>682.0</v>
      </c>
      <c r="B683" s="9" t="s">
        <v>715</v>
      </c>
      <c r="C683" s="10" t="s">
        <v>257</v>
      </c>
      <c r="D683" s="10" t="s">
        <v>25</v>
      </c>
      <c r="E683" s="14">
        <v>0.0</v>
      </c>
    </row>
    <row r="684">
      <c r="A684" s="5">
        <v>683.0</v>
      </c>
      <c r="B684" s="9" t="s">
        <v>716</v>
      </c>
      <c r="C684" s="10" t="s">
        <v>257</v>
      </c>
      <c r="D684" s="10" t="s">
        <v>25</v>
      </c>
      <c r="E684" s="14">
        <v>0.0</v>
      </c>
    </row>
    <row r="685">
      <c r="A685" s="5">
        <v>684.0</v>
      </c>
      <c r="B685" s="9" t="s">
        <v>717</v>
      </c>
      <c r="C685" s="10" t="s">
        <v>257</v>
      </c>
      <c r="D685" s="10" t="s">
        <v>25</v>
      </c>
      <c r="E685" s="14">
        <v>0.0</v>
      </c>
    </row>
    <row r="686">
      <c r="A686" s="5">
        <v>685.0</v>
      </c>
      <c r="B686" s="9" t="s">
        <v>718</v>
      </c>
      <c r="C686" s="10" t="s">
        <v>257</v>
      </c>
      <c r="D686" s="10" t="s">
        <v>25</v>
      </c>
      <c r="E686" s="14">
        <v>0.0</v>
      </c>
    </row>
    <row r="687">
      <c r="A687" s="5">
        <v>686.0</v>
      </c>
      <c r="B687" s="9" t="s">
        <v>719</v>
      </c>
      <c r="C687" s="10" t="s">
        <v>257</v>
      </c>
      <c r="D687" s="10" t="s">
        <v>25</v>
      </c>
      <c r="E687" s="14">
        <v>0.0</v>
      </c>
    </row>
    <row r="688">
      <c r="A688" s="5">
        <v>687.0</v>
      </c>
      <c r="B688" s="9" t="s">
        <v>720</v>
      </c>
      <c r="C688" s="10" t="s">
        <v>257</v>
      </c>
      <c r="D688" s="10" t="s">
        <v>25</v>
      </c>
      <c r="E688" s="14">
        <v>0.0</v>
      </c>
    </row>
    <row r="689">
      <c r="A689" s="5">
        <v>688.0</v>
      </c>
      <c r="B689" s="9" t="s">
        <v>721</v>
      </c>
      <c r="C689" s="10" t="s">
        <v>257</v>
      </c>
      <c r="D689" s="10" t="s">
        <v>25</v>
      </c>
      <c r="E689" s="14">
        <v>0.0</v>
      </c>
    </row>
    <row r="690">
      <c r="A690" s="5">
        <v>689.0</v>
      </c>
      <c r="B690" s="9" t="s">
        <v>722</v>
      </c>
      <c r="C690" s="10" t="s">
        <v>257</v>
      </c>
      <c r="D690" s="10" t="s">
        <v>25</v>
      </c>
      <c r="E690" s="14">
        <v>0.0</v>
      </c>
    </row>
    <row r="691">
      <c r="A691" s="5">
        <v>690.0</v>
      </c>
      <c r="B691" s="9" t="s">
        <v>723</v>
      </c>
      <c r="C691" s="10" t="s">
        <v>86</v>
      </c>
      <c r="D691" s="10" t="s">
        <v>25</v>
      </c>
      <c r="E691" s="14">
        <v>0.0</v>
      </c>
    </row>
    <row r="692">
      <c r="A692" s="5">
        <v>691.0</v>
      </c>
      <c r="B692" s="9" t="s">
        <v>724</v>
      </c>
      <c r="C692" s="10" t="s">
        <v>257</v>
      </c>
      <c r="D692" s="10" t="s">
        <v>25</v>
      </c>
      <c r="E692" s="14">
        <v>0.0</v>
      </c>
    </row>
    <row r="693">
      <c r="A693" s="5">
        <v>692.0</v>
      </c>
      <c r="B693" s="9" t="s">
        <v>725</v>
      </c>
      <c r="C693" s="10" t="s">
        <v>257</v>
      </c>
      <c r="D693" s="10" t="s">
        <v>25</v>
      </c>
      <c r="E693" s="14">
        <v>0.0</v>
      </c>
    </row>
    <row r="694">
      <c r="A694" s="5">
        <v>693.0</v>
      </c>
      <c r="B694" s="9" t="s">
        <v>726</v>
      </c>
      <c r="C694" s="10" t="s">
        <v>257</v>
      </c>
      <c r="D694" s="10" t="s">
        <v>25</v>
      </c>
      <c r="E694" s="14">
        <v>0.0</v>
      </c>
    </row>
    <row r="695">
      <c r="A695" s="5">
        <v>694.0</v>
      </c>
      <c r="B695" s="9" t="s">
        <v>727</v>
      </c>
      <c r="C695" s="10" t="s">
        <v>257</v>
      </c>
      <c r="D695" s="10" t="s">
        <v>25</v>
      </c>
      <c r="E695" s="14">
        <v>0.0</v>
      </c>
    </row>
    <row r="696">
      <c r="A696" s="5">
        <v>695.0</v>
      </c>
      <c r="B696" s="9" t="s">
        <v>728</v>
      </c>
      <c r="C696" s="10" t="s">
        <v>257</v>
      </c>
      <c r="D696" s="10" t="s">
        <v>25</v>
      </c>
      <c r="E696" s="14">
        <v>0.0</v>
      </c>
    </row>
    <row r="697">
      <c r="A697" s="5">
        <v>696.0</v>
      </c>
      <c r="B697" s="9" t="s">
        <v>729</v>
      </c>
      <c r="C697" s="10" t="s">
        <v>257</v>
      </c>
      <c r="D697" s="10" t="s">
        <v>25</v>
      </c>
      <c r="E697" s="14">
        <v>0.0</v>
      </c>
    </row>
    <row r="698">
      <c r="A698" s="5">
        <v>697.0</v>
      </c>
      <c r="B698" s="9" t="s">
        <v>730</v>
      </c>
      <c r="C698" s="10" t="s">
        <v>257</v>
      </c>
      <c r="D698" s="10" t="s">
        <v>25</v>
      </c>
      <c r="E698" s="14">
        <v>0.0</v>
      </c>
    </row>
    <row r="699">
      <c r="A699" s="5">
        <v>698.0</v>
      </c>
      <c r="B699" s="12" t="s">
        <v>701</v>
      </c>
      <c r="C699" s="10" t="s">
        <v>6</v>
      </c>
      <c r="D699" s="10" t="s">
        <v>25</v>
      </c>
      <c r="E699" s="14">
        <v>0.0</v>
      </c>
    </row>
    <row r="700">
      <c r="A700" s="5">
        <v>699.0</v>
      </c>
      <c r="B700" s="9" t="s">
        <v>702</v>
      </c>
      <c r="C700" s="10" t="s">
        <v>257</v>
      </c>
      <c r="D700" s="10" t="s">
        <v>25</v>
      </c>
      <c r="E700" s="14">
        <v>0.0</v>
      </c>
    </row>
    <row r="701">
      <c r="A701" s="5">
        <v>700.0</v>
      </c>
      <c r="B701" s="9" t="s">
        <v>703</v>
      </c>
      <c r="C701" s="10" t="s">
        <v>32</v>
      </c>
      <c r="D701" s="10" t="s">
        <v>25</v>
      </c>
      <c r="E701" s="14">
        <v>0.0</v>
      </c>
    </row>
    <row r="702">
      <c r="A702" s="5">
        <v>701.0</v>
      </c>
      <c r="B702" s="9" t="s">
        <v>704</v>
      </c>
      <c r="C702" s="10" t="s">
        <v>257</v>
      </c>
      <c r="D702" s="10" t="s">
        <v>25</v>
      </c>
      <c r="E702" s="14">
        <v>0.0</v>
      </c>
    </row>
    <row r="703">
      <c r="A703" s="5">
        <v>702.0</v>
      </c>
      <c r="B703" s="9" t="s">
        <v>705</v>
      </c>
      <c r="C703" s="10" t="s">
        <v>27</v>
      </c>
      <c r="D703" s="10" t="s">
        <v>25</v>
      </c>
      <c r="E703" s="14">
        <v>0.0</v>
      </c>
    </row>
    <row r="704">
      <c r="A704" s="5">
        <v>703.0</v>
      </c>
      <c r="B704" s="9" t="s">
        <v>706</v>
      </c>
      <c r="C704" s="10" t="s">
        <v>20</v>
      </c>
      <c r="D704" s="10" t="s">
        <v>25</v>
      </c>
      <c r="E704" s="14">
        <v>0.0</v>
      </c>
    </row>
    <row r="705">
      <c r="A705" s="5">
        <v>704.0</v>
      </c>
      <c r="B705" s="9" t="s">
        <v>707</v>
      </c>
      <c r="C705" s="10" t="s">
        <v>257</v>
      </c>
      <c r="D705" s="10" t="s">
        <v>25</v>
      </c>
      <c r="E705" s="14">
        <v>0.0</v>
      </c>
    </row>
    <row r="706">
      <c r="A706" s="5">
        <v>705.0</v>
      </c>
      <c r="B706" s="9" t="s">
        <v>708</v>
      </c>
      <c r="C706" s="10" t="s">
        <v>257</v>
      </c>
      <c r="D706" s="10" t="s">
        <v>25</v>
      </c>
      <c r="E706" s="14">
        <v>0.0</v>
      </c>
    </row>
    <row r="707">
      <c r="A707" s="5">
        <v>706.0</v>
      </c>
      <c r="B707" s="9" t="s">
        <v>709</v>
      </c>
      <c r="C707" s="10" t="s">
        <v>257</v>
      </c>
      <c r="D707" s="10" t="s">
        <v>25</v>
      </c>
      <c r="E707" s="14">
        <v>0.0</v>
      </c>
    </row>
    <row r="708">
      <c r="A708" s="5">
        <v>707.0</v>
      </c>
      <c r="B708" s="9" t="s">
        <v>710</v>
      </c>
      <c r="C708" s="10" t="s">
        <v>52</v>
      </c>
      <c r="D708" s="10" t="s">
        <v>25</v>
      </c>
      <c r="E708" s="14">
        <v>0.0</v>
      </c>
    </row>
    <row r="709">
      <c r="A709" s="5">
        <v>708.0</v>
      </c>
      <c r="B709" s="9" t="s">
        <v>711</v>
      </c>
      <c r="C709" s="10" t="s">
        <v>92</v>
      </c>
      <c r="D709" s="10" t="s">
        <v>25</v>
      </c>
      <c r="E709" s="14">
        <v>0.0</v>
      </c>
    </row>
    <row r="710">
      <c r="A710" s="5">
        <v>709.0</v>
      </c>
      <c r="B710" s="9" t="s">
        <v>712</v>
      </c>
      <c r="C710" s="10" t="s">
        <v>257</v>
      </c>
      <c r="D710" s="10" t="s">
        <v>25</v>
      </c>
      <c r="E710" s="14">
        <v>0.0</v>
      </c>
    </row>
    <row r="711">
      <c r="A711" s="5">
        <v>710.0</v>
      </c>
      <c r="B711" s="9" t="s">
        <v>713</v>
      </c>
      <c r="C711" s="10" t="s">
        <v>18</v>
      </c>
      <c r="D711" s="10" t="s">
        <v>25</v>
      </c>
      <c r="E711" s="14">
        <v>0.0</v>
      </c>
    </row>
    <row r="712">
      <c r="A712" s="5">
        <v>711.0</v>
      </c>
      <c r="B712" s="9" t="s">
        <v>714</v>
      </c>
      <c r="C712" s="10" t="s">
        <v>9</v>
      </c>
      <c r="D712" s="10" t="s">
        <v>25</v>
      </c>
      <c r="E712" s="14">
        <v>0.0</v>
      </c>
    </row>
    <row r="713">
      <c r="A713" s="5">
        <v>712.0</v>
      </c>
      <c r="B713" s="9" t="s">
        <v>715</v>
      </c>
      <c r="C713" s="10" t="s">
        <v>257</v>
      </c>
      <c r="D713" s="10" t="s">
        <v>25</v>
      </c>
      <c r="E713" s="14">
        <v>0.0</v>
      </c>
    </row>
    <row r="714">
      <c r="A714" s="5">
        <v>713.0</v>
      </c>
      <c r="B714" s="9" t="s">
        <v>716</v>
      </c>
      <c r="C714" s="10" t="s">
        <v>257</v>
      </c>
      <c r="D714" s="10" t="s">
        <v>25</v>
      </c>
      <c r="E714" s="14">
        <v>0.0</v>
      </c>
    </row>
    <row r="715">
      <c r="A715" s="5">
        <v>714.0</v>
      </c>
      <c r="B715" s="9" t="s">
        <v>717</v>
      </c>
      <c r="C715" s="10" t="s">
        <v>257</v>
      </c>
      <c r="D715" s="10" t="s">
        <v>25</v>
      </c>
      <c r="E715" s="14">
        <v>0.0</v>
      </c>
    </row>
    <row r="716">
      <c r="A716" s="5">
        <v>715.0</v>
      </c>
      <c r="B716" s="9" t="s">
        <v>718</v>
      </c>
      <c r="C716" s="10" t="s">
        <v>257</v>
      </c>
      <c r="D716" s="10" t="s">
        <v>25</v>
      </c>
      <c r="E716" s="14">
        <v>0.0</v>
      </c>
    </row>
    <row r="717">
      <c r="A717" s="5">
        <v>716.0</v>
      </c>
      <c r="B717" s="9" t="s">
        <v>719</v>
      </c>
      <c r="C717" s="10" t="s">
        <v>257</v>
      </c>
      <c r="D717" s="10" t="s">
        <v>25</v>
      </c>
      <c r="E717" s="14">
        <v>0.0</v>
      </c>
    </row>
    <row r="718">
      <c r="A718" s="5">
        <v>717.0</v>
      </c>
      <c r="B718" s="9" t="s">
        <v>720</v>
      </c>
      <c r="C718" s="10" t="s">
        <v>257</v>
      </c>
      <c r="D718" s="10" t="s">
        <v>25</v>
      </c>
      <c r="E718" s="14">
        <v>0.0</v>
      </c>
    </row>
    <row r="719">
      <c r="A719" s="5">
        <v>718.0</v>
      </c>
      <c r="B719" s="9" t="s">
        <v>721</v>
      </c>
      <c r="C719" s="10" t="s">
        <v>257</v>
      </c>
      <c r="D719" s="10" t="s">
        <v>25</v>
      </c>
      <c r="E719" s="14">
        <v>0.0</v>
      </c>
    </row>
    <row r="720">
      <c r="A720" s="5">
        <v>719.0</v>
      </c>
      <c r="B720" s="9" t="s">
        <v>722</v>
      </c>
      <c r="C720" s="10" t="s">
        <v>257</v>
      </c>
      <c r="D720" s="10" t="s">
        <v>25</v>
      </c>
      <c r="E720" s="14">
        <v>0.0</v>
      </c>
    </row>
    <row r="721">
      <c r="A721" s="5">
        <v>720.0</v>
      </c>
      <c r="B721" s="9" t="s">
        <v>723</v>
      </c>
      <c r="C721" s="10" t="s">
        <v>86</v>
      </c>
      <c r="D721" s="10" t="s">
        <v>25</v>
      </c>
      <c r="E721" s="14">
        <v>0.0</v>
      </c>
    </row>
    <row r="722">
      <c r="A722" s="5">
        <v>721.0</v>
      </c>
      <c r="B722" s="9" t="s">
        <v>724</v>
      </c>
      <c r="C722" s="10" t="s">
        <v>257</v>
      </c>
      <c r="D722" s="10" t="s">
        <v>25</v>
      </c>
      <c r="E722" s="14">
        <v>0.0</v>
      </c>
    </row>
    <row r="723">
      <c r="A723" s="5">
        <v>722.0</v>
      </c>
      <c r="B723" s="9" t="s">
        <v>725</v>
      </c>
      <c r="C723" s="10" t="s">
        <v>257</v>
      </c>
      <c r="D723" s="10" t="s">
        <v>25</v>
      </c>
      <c r="E723" s="14">
        <v>0.0</v>
      </c>
    </row>
    <row r="724">
      <c r="A724" s="5">
        <v>723.0</v>
      </c>
      <c r="B724" s="9" t="s">
        <v>726</v>
      </c>
      <c r="C724" s="10" t="s">
        <v>257</v>
      </c>
      <c r="D724" s="10" t="s">
        <v>25</v>
      </c>
      <c r="E724" s="14">
        <v>0.0</v>
      </c>
    </row>
    <row r="725">
      <c r="A725" s="5">
        <v>724.0</v>
      </c>
      <c r="B725" s="9" t="s">
        <v>727</v>
      </c>
      <c r="C725" s="10" t="s">
        <v>257</v>
      </c>
      <c r="D725" s="10" t="s">
        <v>25</v>
      </c>
      <c r="E725" s="14">
        <v>0.0</v>
      </c>
    </row>
    <row r="726">
      <c r="A726" s="5">
        <v>725.0</v>
      </c>
      <c r="B726" s="9" t="s">
        <v>728</v>
      </c>
      <c r="C726" s="10" t="s">
        <v>257</v>
      </c>
      <c r="D726" s="10" t="s">
        <v>25</v>
      </c>
      <c r="E726" s="14">
        <v>0.0</v>
      </c>
    </row>
    <row r="727">
      <c r="A727" s="5">
        <v>726.0</v>
      </c>
      <c r="B727" s="9" t="s">
        <v>729</v>
      </c>
      <c r="C727" s="10" t="s">
        <v>257</v>
      </c>
      <c r="D727" s="10" t="s">
        <v>25</v>
      </c>
      <c r="E727" s="14">
        <v>0.0</v>
      </c>
    </row>
    <row r="728">
      <c r="A728" s="5">
        <v>727.0</v>
      </c>
      <c r="B728" s="9" t="s">
        <v>730</v>
      </c>
      <c r="C728" s="10" t="s">
        <v>257</v>
      </c>
      <c r="D728" s="10" t="s">
        <v>25</v>
      </c>
      <c r="E728" s="14">
        <v>0.0</v>
      </c>
    </row>
    <row r="729">
      <c r="A729" s="5">
        <v>728.0</v>
      </c>
      <c r="B729" s="9" t="s">
        <v>731</v>
      </c>
      <c r="C729" s="10" t="s">
        <v>257</v>
      </c>
      <c r="D729" s="10" t="s">
        <v>25</v>
      </c>
      <c r="E729" s="14">
        <v>0.0</v>
      </c>
    </row>
    <row r="730">
      <c r="A730" s="5">
        <v>729.0</v>
      </c>
      <c r="B730" s="9" t="s">
        <v>732</v>
      </c>
      <c r="C730" s="10" t="s">
        <v>257</v>
      </c>
      <c r="D730" s="10" t="s">
        <v>25</v>
      </c>
      <c r="E730" s="14">
        <v>0.0</v>
      </c>
    </row>
    <row r="731">
      <c r="A731" s="5">
        <v>730.0</v>
      </c>
      <c r="B731" s="9" t="s">
        <v>733</v>
      </c>
      <c r="C731" s="10" t="s">
        <v>257</v>
      </c>
      <c r="D731" s="10" t="s">
        <v>25</v>
      </c>
      <c r="E731" s="14">
        <v>0.0</v>
      </c>
    </row>
    <row r="732">
      <c r="A732" s="5">
        <v>731.0</v>
      </c>
      <c r="B732" s="9" t="s">
        <v>734</v>
      </c>
      <c r="C732" s="10" t="s">
        <v>257</v>
      </c>
      <c r="D732" s="10" t="s">
        <v>25</v>
      </c>
      <c r="E732" s="14">
        <v>0.0</v>
      </c>
    </row>
    <row r="733">
      <c r="A733" s="5">
        <v>732.0</v>
      </c>
      <c r="B733" s="9" t="s">
        <v>735</v>
      </c>
      <c r="C733" s="10" t="s">
        <v>86</v>
      </c>
      <c r="D733" s="10" t="s">
        <v>25</v>
      </c>
      <c r="E733" s="14">
        <v>0.0</v>
      </c>
    </row>
    <row r="734">
      <c r="A734" s="5">
        <v>733.0</v>
      </c>
      <c r="B734" s="9" t="s">
        <v>736</v>
      </c>
      <c r="C734" s="10" t="s">
        <v>134</v>
      </c>
      <c r="D734" s="10" t="s">
        <v>25</v>
      </c>
      <c r="E734" s="14">
        <v>0.0</v>
      </c>
    </row>
    <row r="735">
      <c r="A735" s="5">
        <v>734.0</v>
      </c>
      <c r="B735" s="9" t="s">
        <v>737</v>
      </c>
      <c r="C735" s="10" t="s">
        <v>257</v>
      </c>
      <c r="D735" s="10" t="s">
        <v>25</v>
      </c>
      <c r="E735" s="14">
        <v>0.0</v>
      </c>
    </row>
    <row r="736">
      <c r="A736" s="5">
        <v>735.0</v>
      </c>
      <c r="B736" s="9" t="s">
        <v>738</v>
      </c>
      <c r="C736" s="10" t="s">
        <v>257</v>
      </c>
      <c r="D736" s="10" t="s">
        <v>25</v>
      </c>
      <c r="E736" s="14">
        <v>0.0</v>
      </c>
    </row>
    <row r="737">
      <c r="A737" s="5">
        <v>736.0</v>
      </c>
      <c r="B737" s="9" t="s">
        <v>739</v>
      </c>
      <c r="C737" s="10" t="s">
        <v>257</v>
      </c>
      <c r="D737" s="10" t="s">
        <v>25</v>
      </c>
      <c r="E737" s="14">
        <v>0.0</v>
      </c>
    </row>
    <row r="738">
      <c r="A738" s="5">
        <v>737.0</v>
      </c>
      <c r="B738" s="9" t="s">
        <v>740</v>
      </c>
      <c r="C738" s="10" t="s">
        <v>12</v>
      </c>
      <c r="D738" s="10" t="s">
        <v>25</v>
      </c>
      <c r="E738" s="14">
        <v>0.0</v>
      </c>
    </row>
    <row r="739">
      <c r="A739" s="5">
        <v>738.0</v>
      </c>
      <c r="B739" s="9" t="s">
        <v>741</v>
      </c>
      <c r="C739" s="10" t="s">
        <v>257</v>
      </c>
      <c r="D739" s="10" t="s">
        <v>25</v>
      </c>
      <c r="E739" s="14">
        <v>0.0</v>
      </c>
    </row>
    <row r="740">
      <c r="A740" s="5">
        <v>739.0</v>
      </c>
      <c r="B740" s="9" t="s">
        <v>742</v>
      </c>
      <c r="C740" s="10" t="s">
        <v>257</v>
      </c>
      <c r="D740" s="10" t="s">
        <v>25</v>
      </c>
      <c r="E740" s="14">
        <v>0.0</v>
      </c>
    </row>
    <row r="741">
      <c r="A741" s="5">
        <v>740.0</v>
      </c>
      <c r="B741" s="9" t="s">
        <v>743</v>
      </c>
      <c r="C741" s="10" t="s">
        <v>257</v>
      </c>
      <c r="D741" s="10" t="s">
        <v>25</v>
      </c>
      <c r="E741" s="14">
        <v>0.0</v>
      </c>
    </row>
    <row r="742">
      <c r="A742" s="5">
        <v>741.0</v>
      </c>
      <c r="B742" s="9" t="s">
        <v>744</v>
      </c>
      <c r="C742" s="10" t="s">
        <v>257</v>
      </c>
      <c r="D742" s="10" t="s">
        <v>25</v>
      </c>
      <c r="E742" s="14">
        <v>0.0</v>
      </c>
    </row>
    <row r="743">
      <c r="A743" s="5">
        <v>742.0</v>
      </c>
      <c r="B743" s="9" t="s">
        <v>745</v>
      </c>
      <c r="C743" s="10" t="s">
        <v>257</v>
      </c>
      <c r="D743" s="10" t="s">
        <v>25</v>
      </c>
      <c r="E743" s="14">
        <v>0.0</v>
      </c>
    </row>
    <row r="744">
      <c r="A744" s="5">
        <v>743.0</v>
      </c>
      <c r="B744" s="9" t="s">
        <v>746</v>
      </c>
      <c r="C744" s="10" t="s">
        <v>257</v>
      </c>
      <c r="D744" s="10" t="s">
        <v>25</v>
      </c>
      <c r="E744" s="14">
        <v>0.0</v>
      </c>
    </row>
    <row r="745">
      <c r="A745" s="5">
        <v>744.0</v>
      </c>
      <c r="B745" s="9" t="s">
        <v>747</v>
      </c>
      <c r="C745" s="10" t="s">
        <v>257</v>
      </c>
      <c r="D745" s="10" t="s">
        <v>25</v>
      </c>
      <c r="E745" s="14">
        <v>0.0</v>
      </c>
    </row>
    <row r="746">
      <c r="A746" s="5">
        <v>745.0</v>
      </c>
      <c r="B746" s="9" t="s">
        <v>748</v>
      </c>
      <c r="C746" s="10" t="s">
        <v>134</v>
      </c>
      <c r="D746" s="10" t="s">
        <v>25</v>
      </c>
      <c r="E746" s="14">
        <v>0.0</v>
      </c>
    </row>
    <row r="747">
      <c r="A747" s="5">
        <v>746.0</v>
      </c>
      <c r="B747" s="9" t="s">
        <v>749</v>
      </c>
      <c r="C747" s="10" t="s">
        <v>257</v>
      </c>
      <c r="D747" s="10" t="s">
        <v>25</v>
      </c>
      <c r="E747" s="14">
        <v>0.0</v>
      </c>
    </row>
    <row r="748">
      <c r="A748" s="5">
        <v>747.0</v>
      </c>
      <c r="B748" s="9" t="s">
        <v>750</v>
      </c>
      <c r="C748" s="10" t="s">
        <v>257</v>
      </c>
      <c r="D748" s="10" t="s">
        <v>25</v>
      </c>
      <c r="E748" s="14">
        <v>0.0</v>
      </c>
    </row>
    <row r="749">
      <c r="A749" s="5">
        <v>748.0</v>
      </c>
      <c r="B749" s="9" t="s">
        <v>751</v>
      </c>
      <c r="C749" s="10" t="s">
        <v>32</v>
      </c>
      <c r="D749" s="10" t="s">
        <v>25</v>
      </c>
      <c r="E749" s="14">
        <v>0.0</v>
      </c>
    </row>
    <row r="750">
      <c r="A750" s="5">
        <v>749.0</v>
      </c>
      <c r="B750" s="9" t="s">
        <v>752</v>
      </c>
      <c r="C750" s="10" t="s">
        <v>257</v>
      </c>
      <c r="D750" s="10" t="s">
        <v>25</v>
      </c>
      <c r="E750" s="14">
        <v>0.0</v>
      </c>
    </row>
    <row r="751">
      <c r="A751" s="5">
        <v>750.0</v>
      </c>
      <c r="B751" s="9" t="s">
        <v>753</v>
      </c>
      <c r="C751" s="10" t="s">
        <v>257</v>
      </c>
      <c r="D751" s="10" t="s">
        <v>25</v>
      </c>
      <c r="E751" s="14">
        <v>0.0</v>
      </c>
    </row>
    <row r="752">
      <c r="A752" s="5">
        <v>751.0</v>
      </c>
      <c r="B752" s="9" t="s">
        <v>754</v>
      </c>
      <c r="C752" s="10" t="s">
        <v>257</v>
      </c>
      <c r="D752" s="10" t="s">
        <v>25</v>
      </c>
      <c r="E752" s="14">
        <v>0.0</v>
      </c>
    </row>
    <row r="753">
      <c r="A753" s="5">
        <v>752.0</v>
      </c>
      <c r="B753" s="9" t="s">
        <v>755</v>
      </c>
      <c r="C753" s="10" t="s">
        <v>257</v>
      </c>
      <c r="D753" s="10" t="s">
        <v>25</v>
      </c>
      <c r="E753" s="14">
        <v>0.0</v>
      </c>
    </row>
    <row r="754">
      <c r="A754" s="5">
        <v>753.0</v>
      </c>
      <c r="B754" s="9" t="s">
        <v>756</v>
      </c>
      <c r="C754" s="10" t="s">
        <v>257</v>
      </c>
      <c r="D754" s="10" t="s">
        <v>25</v>
      </c>
      <c r="E754" s="14">
        <v>0.0</v>
      </c>
    </row>
    <row r="755">
      <c r="A755" s="5">
        <v>754.0</v>
      </c>
      <c r="B755" s="9" t="s">
        <v>757</v>
      </c>
      <c r="C755" s="10" t="s">
        <v>257</v>
      </c>
      <c r="D755" s="10" t="s">
        <v>25</v>
      </c>
      <c r="E755" s="14">
        <v>0.0</v>
      </c>
    </row>
    <row r="756">
      <c r="A756" s="5">
        <v>755.0</v>
      </c>
      <c r="B756" s="9" t="s">
        <v>758</v>
      </c>
      <c r="C756" s="10" t="s">
        <v>257</v>
      </c>
      <c r="D756" s="10" t="s">
        <v>25</v>
      </c>
      <c r="E756" s="14">
        <v>0.0</v>
      </c>
    </row>
    <row r="757">
      <c r="A757" s="5">
        <v>756.0</v>
      </c>
      <c r="B757" s="9" t="s">
        <v>759</v>
      </c>
      <c r="C757" s="10" t="s">
        <v>257</v>
      </c>
      <c r="D757" s="10" t="s">
        <v>25</v>
      </c>
      <c r="E757" s="14">
        <v>0.0</v>
      </c>
    </row>
    <row r="758">
      <c r="A758" s="5">
        <v>757.0</v>
      </c>
      <c r="B758" s="9" t="s">
        <v>760</v>
      </c>
      <c r="C758" s="10" t="s">
        <v>32</v>
      </c>
      <c r="D758" s="10" t="s">
        <v>25</v>
      </c>
      <c r="E758" s="14">
        <v>0.0</v>
      </c>
    </row>
    <row r="759">
      <c r="A759" s="5">
        <v>758.0</v>
      </c>
      <c r="B759" s="9" t="s">
        <v>761</v>
      </c>
      <c r="C759" s="10" t="s">
        <v>257</v>
      </c>
      <c r="D759" s="10" t="s">
        <v>25</v>
      </c>
      <c r="E759" s="14">
        <v>0.0</v>
      </c>
    </row>
    <row r="760">
      <c r="A760" s="5">
        <v>759.0</v>
      </c>
      <c r="B760" s="9" t="s">
        <v>762</v>
      </c>
      <c r="C760" s="10" t="s">
        <v>257</v>
      </c>
      <c r="D760" s="10" t="s">
        <v>25</v>
      </c>
      <c r="E760" s="14">
        <v>0.0</v>
      </c>
    </row>
    <row r="761">
      <c r="A761" s="5">
        <v>760.0</v>
      </c>
      <c r="B761" s="9" t="s">
        <v>763</v>
      </c>
      <c r="C761" s="10" t="s">
        <v>27</v>
      </c>
      <c r="D761" s="10" t="s">
        <v>25</v>
      </c>
      <c r="E761" s="14">
        <v>0.0</v>
      </c>
    </row>
    <row r="762">
      <c r="A762" s="5">
        <v>761.0</v>
      </c>
      <c r="B762" s="9" t="s">
        <v>764</v>
      </c>
      <c r="C762" s="10" t="s">
        <v>257</v>
      </c>
      <c r="D762" s="10" t="s">
        <v>25</v>
      </c>
      <c r="E762" s="14">
        <v>0.0</v>
      </c>
    </row>
    <row r="763">
      <c r="A763" s="5">
        <v>762.0</v>
      </c>
      <c r="B763" s="9" t="s">
        <v>765</v>
      </c>
      <c r="C763" s="10" t="s">
        <v>104</v>
      </c>
      <c r="D763" s="10" t="s">
        <v>7</v>
      </c>
      <c r="E763" s="14">
        <v>0.0</v>
      </c>
    </row>
    <row r="764">
      <c r="A764" s="5">
        <v>763.0</v>
      </c>
      <c r="B764" s="9" t="s">
        <v>766</v>
      </c>
      <c r="C764" s="10" t="s">
        <v>38</v>
      </c>
      <c r="D764" s="10" t="s">
        <v>7</v>
      </c>
      <c r="E764" s="14">
        <v>0.0</v>
      </c>
    </row>
    <row r="765">
      <c r="A765" s="5">
        <v>764.0</v>
      </c>
      <c r="B765" s="9" t="s">
        <v>767</v>
      </c>
      <c r="C765" s="10" t="s">
        <v>29</v>
      </c>
      <c r="D765" s="10" t="s">
        <v>7</v>
      </c>
      <c r="E765" s="14">
        <v>0.0</v>
      </c>
    </row>
    <row r="766">
      <c r="A766" s="5">
        <v>765.0</v>
      </c>
      <c r="B766" s="9" t="s">
        <v>768</v>
      </c>
      <c r="C766" s="10" t="s">
        <v>90</v>
      </c>
      <c r="D766" s="10" t="s">
        <v>7</v>
      </c>
      <c r="E766" s="14">
        <v>0.0</v>
      </c>
    </row>
    <row r="767">
      <c r="A767" s="5">
        <v>766.0</v>
      </c>
      <c r="B767" s="9" t="s">
        <v>769</v>
      </c>
      <c r="C767" s="10" t="s">
        <v>92</v>
      </c>
      <c r="D767" s="10" t="s">
        <v>7</v>
      </c>
      <c r="E767" s="14">
        <v>0.0</v>
      </c>
    </row>
    <row r="768">
      <c r="A768" s="5">
        <v>767.0</v>
      </c>
      <c r="B768" s="9" t="s">
        <v>770</v>
      </c>
      <c r="C768" s="10" t="s">
        <v>38</v>
      </c>
      <c r="D768" s="10" t="s">
        <v>7</v>
      </c>
      <c r="E768" s="14">
        <v>0.0</v>
      </c>
    </row>
    <row r="769">
      <c r="A769" s="5">
        <v>768.0</v>
      </c>
      <c r="B769" s="9" t="s">
        <v>771</v>
      </c>
      <c r="C769" s="10" t="s">
        <v>27</v>
      </c>
      <c r="D769" s="10" t="s">
        <v>7</v>
      </c>
      <c r="E769" s="14">
        <v>0.0</v>
      </c>
    </row>
    <row r="770">
      <c r="A770" s="5">
        <v>769.0</v>
      </c>
      <c r="B770" s="9" t="s">
        <v>772</v>
      </c>
      <c r="C770" s="10" t="s">
        <v>32</v>
      </c>
      <c r="D770" s="10" t="s">
        <v>7</v>
      </c>
      <c r="E770" s="14">
        <v>0.0</v>
      </c>
    </row>
    <row r="771">
      <c r="A771" s="5">
        <v>770.0</v>
      </c>
      <c r="B771" s="9" t="s">
        <v>773</v>
      </c>
      <c r="C771" s="10" t="s">
        <v>102</v>
      </c>
      <c r="D771" s="10" t="s">
        <v>7</v>
      </c>
      <c r="E771" s="14">
        <v>0.0</v>
      </c>
    </row>
    <row r="772">
      <c r="A772" s="5">
        <v>771.0</v>
      </c>
      <c r="B772" s="9" t="s">
        <v>774</v>
      </c>
      <c r="C772" s="10" t="s">
        <v>22</v>
      </c>
      <c r="D772" s="10" t="s">
        <v>7</v>
      </c>
      <c r="E772" s="14">
        <v>0.0</v>
      </c>
    </row>
    <row r="773">
      <c r="A773" s="5">
        <v>772.0</v>
      </c>
      <c r="B773" s="9" t="s">
        <v>775</v>
      </c>
      <c r="C773" s="10" t="s">
        <v>22</v>
      </c>
      <c r="D773" s="10" t="s">
        <v>7</v>
      </c>
      <c r="E773" s="14">
        <v>0.0</v>
      </c>
    </row>
    <row r="774">
      <c r="A774" s="5">
        <v>773.0</v>
      </c>
      <c r="B774" s="9" t="s">
        <v>776</v>
      </c>
      <c r="C774" s="10" t="s">
        <v>69</v>
      </c>
      <c r="D774" s="10" t="s">
        <v>7</v>
      </c>
      <c r="E774" s="14">
        <v>0.0</v>
      </c>
    </row>
    <row r="775">
      <c r="A775" s="5">
        <v>774.0</v>
      </c>
      <c r="B775" s="9" t="s">
        <v>777</v>
      </c>
      <c r="C775" s="10" t="s">
        <v>63</v>
      </c>
      <c r="D775" s="10" t="s">
        <v>7</v>
      </c>
      <c r="E775" s="14">
        <v>0.0</v>
      </c>
    </row>
    <row r="776">
      <c r="A776" s="5">
        <v>775.0</v>
      </c>
      <c r="B776" s="9" t="s">
        <v>778</v>
      </c>
      <c r="C776" s="10" t="s">
        <v>86</v>
      </c>
      <c r="D776" s="10" t="s">
        <v>7</v>
      </c>
      <c r="E776" s="14">
        <v>0.0</v>
      </c>
    </row>
    <row r="777">
      <c r="A777" s="5">
        <v>776.0</v>
      </c>
      <c r="B777" s="9" t="s">
        <v>779</v>
      </c>
      <c r="C777" s="10" t="s">
        <v>6</v>
      </c>
      <c r="D777" s="10" t="s">
        <v>7</v>
      </c>
      <c r="E777" s="14">
        <v>0.0</v>
      </c>
    </row>
    <row r="778">
      <c r="A778" s="5">
        <v>777.0</v>
      </c>
      <c r="B778" s="9" t="s">
        <v>780</v>
      </c>
      <c r="C778" s="10" t="s">
        <v>61</v>
      </c>
      <c r="D778" s="10" t="s">
        <v>7</v>
      </c>
      <c r="E778" s="14">
        <v>0.0</v>
      </c>
    </row>
    <row r="779">
      <c r="A779" s="5">
        <v>778.0</v>
      </c>
      <c r="B779" s="9" t="s">
        <v>781</v>
      </c>
      <c r="C779" s="10" t="s">
        <v>24</v>
      </c>
      <c r="D779" s="10" t="s">
        <v>7</v>
      </c>
      <c r="E779" s="14">
        <v>0.0</v>
      </c>
    </row>
    <row r="780">
      <c r="A780" s="5">
        <v>779.0</v>
      </c>
      <c r="B780" s="9" t="s">
        <v>782</v>
      </c>
      <c r="C780" s="10" t="s">
        <v>20</v>
      </c>
      <c r="D780" s="10" t="s">
        <v>7</v>
      </c>
      <c r="E780" s="14">
        <v>0.0</v>
      </c>
    </row>
    <row r="781">
      <c r="A781" s="5">
        <v>780.0</v>
      </c>
      <c r="B781" s="9" t="s">
        <v>783</v>
      </c>
      <c r="C781" s="10" t="s">
        <v>27</v>
      </c>
      <c r="D781" s="10" t="s">
        <v>7</v>
      </c>
      <c r="E781" s="14">
        <v>0.0</v>
      </c>
    </row>
    <row r="782">
      <c r="A782" s="5">
        <v>781.0</v>
      </c>
      <c r="B782" s="9" t="s">
        <v>784</v>
      </c>
      <c r="C782" s="10" t="s">
        <v>54</v>
      </c>
      <c r="D782" s="10" t="s">
        <v>7</v>
      </c>
      <c r="E782" s="14">
        <v>0.0</v>
      </c>
    </row>
    <row r="783">
      <c r="A783" s="5">
        <v>782.0</v>
      </c>
      <c r="B783" s="9" t="s">
        <v>785</v>
      </c>
      <c r="C783" s="10" t="s">
        <v>44</v>
      </c>
      <c r="D783" s="10" t="s">
        <v>7</v>
      </c>
      <c r="E783" s="14">
        <v>0.0</v>
      </c>
    </row>
    <row r="784">
      <c r="A784" s="5">
        <v>783.0</v>
      </c>
      <c r="B784" s="9" t="s">
        <v>786</v>
      </c>
      <c r="C784" s="10" t="s">
        <v>40</v>
      </c>
      <c r="D784" s="10" t="s">
        <v>7</v>
      </c>
      <c r="E784" s="14">
        <v>0.0</v>
      </c>
    </row>
    <row r="785">
      <c r="A785" s="5">
        <v>784.0</v>
      </c>
      <c r="B785" s="9" t="s">
        <v>787</v>
      </c>
      <c r="C785" s="10" t="s">
        <v>18</v>
      </c>
      <c r="D785" s="10" t="s">
        <v>7</v>
      </c>
      <c r="E785" s="14">
        <v>0.0</v>
      </c>
    </row>
    <row r="786">
      <c r="A786" s="5">
        <v>785.0</v>
      </c>
      <c r="B786" s="9" t="s">
        <v>788</v>
      </c>
      <c r="C786" s="10" t="s">
        <v>34</v>
      </c>
      <c r="D786" s="10" t="s">
        <v>7</v>
      </c>
      <c r="E786" s="14">
        <v>0.0</v>
      </c>
    </row>
    <row r="787">
      <c r="A787" s="5">
        <v>786.0</v>
      </c>
      <c r="B787" s="9" t="s">
        <v>789</v>
      </c>
      <c r="C787" s="10" t="s">
        <v>52</v>
      </c>
      <c r="D787" s="10" t="s">
        <v>7</v>
      </c>
      <c r="E787" s="14">
        <v>0.0</v>
      </c>
    </row>
    <row r="788">
      <c r="A788" s="5">
        <v>787.0</v>
      </c>
      <c r="B788" s="9" t="s">
        <v>790</v>
      </c>
      <c r="C788" s="10" t="s">
        <v>74</v>
      </c>
      <c r="D788" s="10" t="s">
        <v>7</v>
      </c>
      <c r="E788" s="14">
        <v>0.0</v>
      </c>
    </row>
    <row r="789">
      <c r="A789" s="5">
        <v>788.0</v>
      </c>
      <c r="B789" s="9" t="s">
        <v>791</v>
      </c>
      <c r="C789" s="10" t="s">
        <v>29</v>
      </c>
      <c r="D789" s="10" t="s">
        <v>7</v>
      </c>
      <c r="E789" s="14">
        <v>0.0</v>
      </c>
    </row>
    <row r="790">
      <c r="A790" s="5">
        <v>789.0</v>
      </c>
      <c r="B790" s="9" t="s">
        <v>792</v>
      </c>
      <c r="C790" s="10" t="s">
        <v>14</v>
      </c>
      <c r="D790" s="10" t="s">
        <v>7</v>
      </c>
      <c r="E790" s="14">
        <v>0.0</v>
      </c>
    </row>
    <row r="791">
      <c r="A791" s="5">
        <v>790.0</v>
      </c>
      <c r="B791" s="9" t="s">
        <v>793</v>
      </c>
      <c r="C791" s="10" t="s">
        <v>9</v>
      </c>
      <c r="D791" s="10" t="s">
        <v>7</v>
      </c>
      <c r="E791" s="14">
        <v>0.0</v>
      </c>
    </row>
    <row r="792">
      <c r="A792" s="5">
        <v>791.0</v>
      </c>
      <c r="B792" s="9" t="s">
        <v>794</v>
      </c>
      <c r="C792" s="10" t="s">
        <v>22</v>
      </c>
      <c r="D792" s="10" t="s">
        <v>7</v>
      </c>
      <c r="E792" s="14">
        <v>0.0</v>
      </c>
    </row>
    <row r="793">
      <c r="A793" s="5">
        <v>792.0</v>
      </c>
      <c r="B793" s="9" t="s">
        <v>795</v>
      </c>
      <c r="C793" s="10" t="s">
        <v>48</v>
      </c>
      <c r="D793" s="10" t="s">
        <v>7</v>
      </c>
      <c r="E793" s="14">
        <v>0.0</v>
      </c>
    </row>
    <row r="794">
      <c r="A794" s="5">
        <v>793.0</v>
      </c>
      <c r="B794" s="9" t="s">
        <v>796</v>
      </c>
      <c r="C794" s="10" t="s">
        <v>18</v>
      </c>
      <c r="D794" s="10" t="s">
        <v>7</v>
      </c>
      <c r="E794" s="14">
        <v>0.0</v>
      </c>
    </row>
    <row r="795">
      <c r="A795" s="5">
        <v>794.0</v>
      </c>
      <c r="B795" s="9" t="s">
        <v>797</v>
      </c>
      <c r="C795" s="10" t="s">
        <v>12</v>
      </c>
      <c r="D795" s="10" t="s">
        <v>7</v>
      </c>
      <c r="E795" s="14">
        <v>0.0</v>
      </c>
    </row>
    <row r="796">
      <c r="A796" s="5">
        <v>795.0</v>
      </c>
      <c r="B796" s="9" t="s">
        <v>798</v>
      </c>
      <c r="C796" s="10" t="s">
        <v>69</v>
      </c>
      <c r="D796" s="10" t="s">
        <v>7</v>
      </c>
      <c r="E796" s="14">
        <v>0.0</v>
      </c>
    </row>
    <row r="797">
      <c r="A797" s="5">
        <v>796.0</v>
      </c>
      <c r="B797" s="9" t="s">
        <v>799</v>
      </c>
      <c r="C797" s="10" t="s">
        <v>69</v>
      </c>
      <c r="D797" s="10" t="s">
        <v>7</v>
      </c>
      <c r="E797" s="14">
        <v>0.0</v>
      </c>
    </row>
    <row r="798">
      <c r="A798" s="5">
        <v>797.0</v>
      </c>
      <c r="B798" s="9" t="s">
        <v>800</v>
      </c>
      <c r="C798" s="10" t="s">
        <v>29</v>
      </c>
      <c r="D798" s="10" t="s">
        <v>7</v>
      </c>
      <c r="E798" s="14">
        <v>0.0</v>
      </c>
    </row>
    <row r="799">
      <c r="A799" s="5">
        <v>798.0</v>
      </c>
      <c r="B799" s="12" t="s">
        <v>801</v>
      </c>
      <c r="C799" s="10" t="s">
        <v>56</v>
      </c>
      <c r="D799" s="10" t="s">
        <v>7</v>
      </c>
      <c r="E799" s="14">
        <v>0.0</v>
      </c>
    </row>
    <row r="800">
      <c r="A800" s="5">
        <v>799.0</v>
      </c>
      <c r="B800" s="9" t="s">
        <v>802</v>
      </c>
      <c r="C800" s="10" t="s">
        <v>34</v>
      </c>
      <c r="D800" s="10" t="s">
        <v>7</v>
      </c>
      <c r="E800" s="14">
        <v>0.0</v>
      </c>
    </row>
    <row r="801">
      <c r="A801" s="5">
        <v>800.0</v>
      </c>
      <c r="B801" s="9" t="s">
        <v>803</v>
      </c>
      <c r="C801" s="10" t="s">
        <v>9</v>
      </c>
      <c r="D801" s="10" t="s">
        <v>7</v>
      </c>
      <c r="E801" s="14">
        <v>0.0</v>
      </c>
    </row>
    <row r="802">
      <c r="A802" s="5">
        <v>801.0</v>
      </c>
      <c r="B802" s="9" t="s">
        <v>804</v>
      </c>
      <c r="C802" s="10" t="s">
        <v>102</v>
      </c>
      <c r="D802" s="10" t="s">
        <v>7</v>
      </c>
      <c r="E802" s="14">
        <v>0.0</v>
      </c>
    </row>
    <row r="803">
      <c r="A803" s="5">
        <v>802.0</v>
      </c>
      <c r="B803" s="9" t="s">
        <v>805</v>
      </c>
      <c r="C803" s="10" t="s">
        <v>90</v>
      </c>
      <c r="D803" s="10" t="s">
        <v>7</v>
      </c>
      <c r="E803" s="14">
        <v>0.0</v>
      </c>
    </row>
    <row r="804">
      <c r="A804" s="5">
        <v>803.0</v>
      </c>
      <c r="B804" s="9" t="s">
        <v>806</v>
      </c>
      <c r="C804" s="10" t="s">
        <v>54</v>
      </c>
      <c r="D804" s="10" t="s">
        <v>7</v>
      </c>
      <c r="E804" s="14">
        <v>0.0</v>
      </c>
    </row>
    <row r="805">
      <c r="A805" s="5">
        <v>804.0</v>
      </c>
      <c r="B805" s="9" t="s">
        <v>807</v>
      </c>
      <c r="C805" s="10" t="s">
        <v>77</v>
      </c>
      <c r="D805" s="10" t="s">
        <v>7</v>
      </c>
      <c r="E805" s="14">
        <v>0.0</v>
      </c>
    </row>
    <row r="806">
      <c r="A806" s="5">
        <v>805.0</v>
      </c>
      <c r="B806" s="9" t="s">
        <v>808</v>
      </c>
      <c r="C806" s="10" t="s">
        <v>48</v>
      </c>
      <c r="D806" s="10" t="s">
        <v>7</v>
      </c>
      <c r="E806" s="14">
        <v>0.0</v>
      </c>
    </row>
    <row r="807">
      <c r="A807" s="5">
        <v>806.0</v>
      </c>
      <c r="B807" s="9" t="s">
        <v>809</v>
      </c>
      <c r="C807" s="10" t="s">
        <v>32</v>
      </c>
      <c r="D807" s="10" t="s">
        <v>7</v>
      </c>
      <c r="E807" s="14">
        <v>0.0</v>
      </c>
    </row>
    <row r="808">
      <c r="A808" s="5">
        <v>807.0</v>
      </c>
      <c r="B808" s="9" t="s">
        <v>810</v>
      </c>
      <c r="C808" s="10" t="s">
        <v>59</v>
      </c>
      <c r="D808" s="10" t="s">
        <v>7</v>
      </c>
      <c r="E808" s="14">
        <v>0.0</v>
      </c>
    </row>
    <row r="809">
      <c r="A809" s="5">
        <v>808.0</v>
      </c>
      <c r="B809" s="9" t="s">
        <v>811</v>
      </c>
      <c r="C809" s="10" t="s">
        <v>48</v>
      </c>
      <c r="D809" s="10" t="s">
        <v>7</v>
      </c>
      <c r="E809" s="14">
        <v>0.0</v>
      </c>
    </row>
    <row r="810">
      <c r="A810" s="5">
        <v>809.0</v>
      </c>
      <c r="B810" s="9" t="s">
        <v>812</v>
      </c>
      <c r="C810" s="10" t="s">
        <v>24</v>
      </c>
      <c r="D810" s="10" t="s">
        <v>7</v>
      </c>
      <c r="E810" s="14">
        <v>0.0</v>
      </c>
    </row>
    <row r="811">
      <c r="A811" s="5">
        <v>810.0</v>
      </c>
      <c r="B811" s="9" t="s">
        <v>813</v>
      </c>
      <c r="C811" s="10" t="s">
        <v>54</v>
      </c>
      <c r="D811" s="10" t="s">
        <v>7</v>
      </c>
      <c r="E811" s="14">
        <v>0.0</v>
      </c>
    </row>
    <row r="812">
      <c r="A812" s="5">
        <v>811.0</v>
      </c>
      <c r="B812" s="9" t="s">
        <v>814</v>
      </c>
      <c r="C812" s="10" t="s">
        <v>44</v>
      </c>
      <c r="D812" s="10" t="s">
        <v>7</v>
      </c>
      <c r="E812" s="14">
        <v>0.0</v>
      </c>
    </row>
    <row r="813">
      <c r="A813" s="5">
        <v>812.0</v>
      </c>
      <c r="B813" s="9" t="s">
        <v>815</v>
      </c>
      <c r="C813" s="10" t="s">
        <v>6</v>
      </c>
      <c r="D813" s="10" t="s">
        <v>7</v>
      </c>
      <c r="E813" s="14">
        <v>0.0</v>
      </c>
    </row>
    <row r="814">
      <c r="A814" s="5">
        <v>813.0</v>
      </c>
      <c r="B814" s="9" t="s">
        <v>816</v>
      </c>
      <c r="C814" s="10" t="s">
        <v>20</v>
      </c>
      <c r="D814" s="10" t="s">
        <v>7</v>
      </c>
      <c r="E814" s="14">
        <v>0.0</v>
      </c>
    </row>
    <row r="815">
      <c r="A815" s="5">
        <v>814.0</v>
      </c>
      <c r="B815" s="9" t="s">
        <v>817</v>
      </c>
      <c r="C815" s="10" t="s">
        <v>86</v>
      </c>
      <c r="D815" s="10" t="s">
        <v>7</v>
      </c>
      <c r="E815" s="14">
        <v>0.0</v>
      </c>
    </row>
    <row r="816">
      <c r="A816" s="5">
        <v>815.0</v>
      </c>
      <c r="B816" s="9" t="s">
        <v>818</v>
      </c>
      <c r="C816" s="10" t="s">
        <v>6</v>
      </c>
      <c r="D816" s="10" t="s">
        <v>7</v>
      </c>
      <c r="E816" s="14">
        <v>0.0</v>
      </c>
    </row>
    <row r="817">
      <c r="A817" s="5">
        <v>816.0</v>
      </c>
      <c r="B817" s="9" t="s">
        <v>819</v>
      </c>
      <c r="C817" s="10" t="s">
        <v>104</v>
      </c>
      <c r="D817" s="10" t="s">
        <v>7</v>
      </c>
      <c r="E817" s="14">
        <v>0.0</v>
      </c>
    </row>
    <row r="818">
      <c r="A818" s="5">
        <v>817.0</v>
      </c>
      <c r="B818" s="9" t="s">
        <v>820</v>
      </c>
      <c r="C818" s="10" t="s">
        <v>59</v>
      </c>
      <c r="D818" s="10" t="s">
        <v>7</v>
      </c>
      <c r="E818" s="14">
        <v>0.0</v>
      </c>
    </row>
    <row r="819">
      <c r="A819" s="5">
        <v>818.0</v>
      </c>
      <c r="B819" s="9" t="s">
        <v>821</v>
      </c>
      <c r="C819" s="10" t="s">
        <v>74</v>
      </c>
      <c r="D819" s="10" t="s">
        <v>7</v>
      </c>
      <c r="E819" s="14">
        <v>0.0</v>
      </c>
    </row>
    <row r="820">
      <c r="A820" s="5">
        <v>819.0</v>
      </c>
      <c r="B820" s="9" t="s">
        <v>822</v>
      </c>
      <c r="C820" s="10" t="s">
        <v>24</v>
      </c>
      <c r="D820" s="10" t="s">
        <v>7</v>
      </c>
      <c r="E820" s="14">
        <v>0.0</v>
      </c>
    </row>
    <row r="821">
      <c r="A821" s="5">
        <v>820.0</v>
      </c>
      <c r="B821" s="9" t="s">
        <v>823</v>
      </c>
      <c r="C821" s="10" t="s">
        <v>40</v>
      </c>
      <c r="D821" s="10" t="s">
        <v>7</v>
      </c>
      <c r="E821" s="14">
        <v>0.0</v>
      </c>
    </row>
    <row r="822">
      <c r="A822" s="5">
        <v>821.0</v>
      </c>
      <c r="B822" s="9" t="s">
        <v>824</v>
      </c>
      <c r="C822" s="10" t="s">
        <v>29</v>
      </c>
      <c r="D822" s="10" t="s">
        <v>7</v>
      </c>
      <c r="E822" s="14">
        <v>0.0</v>
      </c>
    </row>
    <row r="823">
      <c r="A823" s="5">
        <v>822.0</v>
      </c>
      <c r="B823" s="9" t="s">
        <v>825</v>
      </c>
      <c r="C823" s="10" t="s">
        <v>52</v>
      </c>
      <c r="D823" s="10" t="s">
        <v>7</v>
      </c>
      <c r="E823" s="14">
        <v>0.0</v>
      </c>
    </row>
    <row r="824">
      <c r="A824" s="5">
        <v>823.0</v>
      </c>
      <c r="B824" s="9" t="s">
        <v>826</v>
      </c>
      <c r="C824" s="10" t="s">
        <v>63</v>
      </c>
      <c r="D824" s="10" t="s">
        <v>7</v>
      </c>
      <c r="E824" s="14">
        <v>0.0</v>
      </c>
    </row>
    <row r="825">
      <c r="A825" s="5">
        <v>824.0</v>
      </c>
      <c r="B825" s="9" t="s">
        <v>827</v>
      </c>
      <c r="C825" s="10" t="s">
        <v>40</v>
      </c>
      <c r="D825" s="10" t="s">
        <v>7</v>
      </c>
      <c r="E825" s="14">
        <v>0.0</v>
      </c>
    </row>
    <row r="826">
      <c r="A826" s="5">
        <v>825.0</v>
      </c>
      <c r="B826" s="9" t="s">
        <v>828</v>
      </c>
      <c r="C826" s="10" t="s">
        <v>12</v>
      </c>
      <c r="D826" s="10" t="s">
        <v>7</v>
      </c>
      <c r="E826" s="14">
        <v>0.0</v>
      </c>
    </row>
    <row r="827">
      <c r="A827" s="5">
        <v>826.0</v>
      </c>
      <c r="B827" s="9" t="s">
        <v>829</v>
      </c>
      <c r="C827" s="10" t="s">
        <v>86</v>
      </c>
      <c r="D827" s="10" t="s">
        <v>7</v>
      </c>
      <c r="E827" s="14">
        <v>0.0</v>
      </c>
    </row>
    <row r="828">
      <c r="A828" s="5">
        <v>827.0</v>
      </c>
      <c r="B828" s="9" t="s">
        <v>830</v>
      </c>
      <c r="C828" s="10" t="s">
        <v>38</v>
      </c>
      <c r="D828" s="10" t="s">
        <v>7</v>
      </c>
      <c r="E828" s="14">
        <v>0.0</v>
      </c>
    </row>
    <row r="829">
      <c r="A829" s="5">
        <v>828.0</v>
      </c>
      <c r="B829" s="9" t="s">
        <v>831</v>
      </c>
      <c r="C829" s="10" t="s">
        <v>56</v>
      </c>
      <c r="D829" s="10" t="s">
        <v>7</v>
      </c>
      <c r="E829" s="14">
        <v>0.0</v>
      </c>
    </row>
    <row r="830">
      <c r="A830" s="5">
        <v>829.0</v>
      </c>
      <c r="B830" s="9" t="s">
        <v>832</v>
      </c>
      <c r="C830" s="10" t="s">
        <v>32</v>
      </c>
      <c r="D830" s="10" t="s">
        <v>7</v>
      </c>
      <c r="E830" s="14">
        <v>0.0</v>
      </c>
    </row>
    <row r="831">
      <c r="A831" s="5">
        <v>830.0</v>
      </c>
      <c r="B831" s="9" t="s">
        <v>833</v>
      </c>
      <c r="C831" s="10" t="s">
        <v>56</v>
      </c>
      <c r="D831" s="10" t="s">
        <v>7</v>
      </c>
      <c r="E831" s="14">
        <v>0.0</v>
      </c>
    </row>
    <row r="832">
      <c r="A832" s="5">
        <v>831.0</v>
      </c>
      <c r="B832" s="9" t="s">
        <v>834</v>
      </c>
      <c r="C832" s="10" t="s">
        <v>69</v>
      </c>
      <c r="D832" s="10" t="s">
        <v>7</v>
      </c>
      <c r="E832" s="14">
        <v>0.0</v>
      </c>
    </row>
    <row r="833">
      <c r="A833" s="5">
        <v>832.0</v>
      </c>
      <c r="B833" s="9" t="s">
        <v>835</v>
      </c>
      <c r="C833" s="10" t="s">
        <v>257</v>
      </c>
      <c r="D833" s="10" t="s">
        <v>7</v>
      </c>
      <c r="E833" s="14">
        <v>0.0</v>
      </c>
    </row>
    <row r="834">
      <c r="A834" s="5">
        <v>833.0</v>
      </c>
      <c r="B834" s="9" t="s">
        <v>836</v>
      </c>
      <c r="C834" s="10" t="s">
        <v>257</v>
      </c>
      <c r="D834" s="10" t="s">
        <v>7</v>
      </c>
      <c r="E834" s="14">
        <v>0.0</v>
      </c>
    </row>
    <row r="835">
      <c r="A835" s="5">
        <v>834.0</v>
      </c>
      <c r="B835" s="9" t="s">
        <v>837</v>
      </c>
      <c r="C835" s="10" t="s">
        <v>257</v>
      </c>
      <c r="D835" s="10" t="s">
        <v>7</v>
      </c>
      <c r="E835" s="14">
        <v>0.0</v>
      </c>
    </row>
    <row r="836">
      <c r="A836" s="5">
        <v>835.0</v>
      </c>
      <c r="B836" s="9" t="s">
        <v>838</v>
      </c>
      <c r="C836" s="10" t="s">
        <v>257</v>
      </c>
      <c r="D836" s="10" t="s">
        <v>7</v>
      </c>
      <c r="E836" s="14">
        <v>0.0</v>
      </c>
    </row>
    <row r="837">
      <c r="A837" s="5">
        <v>836.0</v>
      </c>
      <c r="B837" s="9" t="s">
        <v>839</v>
      </c>
      <c r="C837" s="10" t="s">
        <v>27</v>
      </c>
      <c r="D837" s="10" t="s">
        <v>7</v>
      </c>
      <c r="E837" s="14">
        <v>0.0</v>
      </c>
    </row>
    <row r="838">
      <c r="A838" s="5">
        <v>837.0</v>
      </c>
      <c r="B838" s="9" t="s">
        <v>840</v>
      </c>
      <c r="C838" s="10" t="s">
        <v>74</v>
      </c>
      <c r="D838" s="10" t="s">
        <v>7</v>
      </c>
      <c r="E838" s="14">
        <v>0.0</v>
      </c>
    </row>
    <row r="839">
      <c r="A839" s="5">
        <v>838.0</v>
      </c>
      <c r="B839" s="9" t="s">
        <v>841</v>
      </c>
      <c r="C839" s="10" t="s">
        <v>134</v>
      </c>
      <c r="D839" s="10" t="s">
        <v>7</v>
      </c>
      <c r="E839" s="14">
        <v>0.0</v>
      </c>
    </row>
    <row r="840">
      <c r="A840" s="5">
        <v>839.0</v>
      </c>
      <c r="B840" s="9" t="s">
        <v>842</v>
      </c>
      <c r="C840" s="10" t="s">
        <v>59</v>
      </c>
      <c r="D840" s="10" t="s">
        <v>7</v>
      </c>
      <c r="E840" s="14">
        <v>0.0</v>
      </c>
    </row>
    <row r="841">
      <c r="A841" s="5">
        <v>840.0</v>
      </c>
      <c r="B841" s="9" t="s">
        <v>843</v>
      </c>
      <c r="C841" s="10" t="s">
        <v>257</v>
      </c>
      <c r="D841" s="10" t="s">
        <v>7</v>
      </c>
      <c r="E841" s="14">
        <v>0.0</v>
      </c>
    </row>
    <row r="842">
      <c r="A842" s="5">
        <v>841.0</v>
      </c>
      <c r="B842" s="9" t="s">
        <v>844</v>
      </c>
      <c r="C842" s="10" t="s">
        <v>257</v>
      </c>
      <c r="D842" s="10" t="s">
        <v>7</v>
      </c>
      <c r="E842" s="14">
        <v>0.0</v>
      </c>
    </row>
    <row r="843">
      <c r="A843" s="5">
        <v>842.0</v>
      </c>
      <c r="B843" s="9" t="s">
        <v>845</v>
      </c>
      <c r="C843" s="10" t="s">
        <v>102</v>
      </c>
      <c r="D843" s="10" t="s">
        <v>7</v>
      </c>
      <c r="E843" s="14">
        <v>0.0</v>
      </c>
    </row>
    <row r="844">
      <c r="A844" s="5">
        <v>843.0</v>
      </c>
      <c r="B844" s="9" t="s">
        <v>846</v>
      </c>
      <c r="C844" s="10" t="s">
        <v>257</v>
      </c>
      <c r="D844" s="10" t="s">
        <v>7</v>
      </c>
      <c r="E844" s="14">
        <v>0.0</v>
      </c>
    </row>
    <row r="845">
      <c r="A845" s="5">
        <v>844.0</v>
      </c>
      <c r="B845" s="9" t="s">
        <v>847</v>
      </c>
      <c r="C845" s="10" t="s">
        <v>104</v>
      </c>
      <c r="D845" s="10" t="s">
        <v>7</v>
      </c>
      <c r="E845" s="14">
        <v>0.0</v>
      </c>
    </row>
    <row r="846">
      <c r="A846" s="5">
        <v>845.0</v>
      </c>
      <c r="B846" s="9" t="s">
        <v>848</v>
      </c>
      <c r="C846" s="10" t="s">
        <v>32</v>
      </c>
      <c r="D846" s="10" t="s">
        <v>7</v>
      </c>
      <c r="E846" s="14">
        <v>0.0</v>
      </c>
    </row>
    <row r="847">
      <c r="A847" s="5">
        <v>846.0</v>
      </c>
      <c r="B847" s="9" t="s">
        <v>849</v>
      </c>
      <c r="C847" s="10" t="s">
        <v>48</v>
      </c>
      <c r="D847" s="10" t="s">
        <v>7</v>
      </c>
      <c r="E847" s="14">
        <v>0.0</v>
      </c>
    </row>
    <row r="848">
      <c r="A848" s="5">
        <v>847.0</v>
      </c>
      <c r="B848" s="9" t="s">
        <v>850</v>
      </c>
      <c r="C848" s="10" t="s">
        <v>44</v>
      </c>
      <c r="D848" s="10" t="s">
        <v>7</v>
      </c>
      <c r="E848" s="14">
        <v>0.0</v>
      </c>
    </row>
    <row r="849">
      <c r="A849" s="5">
        <v>848.0</v>
      </c>
      <c r="B849" s="9" t="s">
        <v>851</v>
      </c>
      <c r="C849" s="10" t="s">
        <v>86</v>
      </c>
      <c r="D849" s="10" t="s">
        <v>7</v>
      </c>
      <c r="E849" s="14">
        <v>0.0</v>
      </c>
    </row>
    <row r="850">
      <c r="A850" s="5">
        <v>849.0</v>
      </c>
      <c r="B850" s="9" t="s">
        <v>852</v>
      </c>
      <c r="C850" s="10" t="s">
        <v>257</v>
      </c>
      <c r="D850" s="10" t="s">
        <v>7</v>
      </c>
      <c r="E850" s="14">
        <v>0.0</v>
      </c>
    </row>
    <row r="851">
      <c r="A851" s="5">
        <v>850.0</v>
      </c>
      <c r="B851" s="9" t="s">
        <v>853</v>
      </c>
      <c r="C851" s="10" t="s">
        <v>257</v>
      </c>
      <c r="D851" s="10" t="s">
        <v>7</v>
      </c>
      <c r="E851" s="14">
        <v>0.0</v>
      </c>
    </row>
    <row r="852">
      <c r="A852" s="5">
        <v>851.0</v>
      </c>
      <c r="B852" s="9" t="s">
        <v>854</v>
      </c>
      <c r="C852" s="10" t="s">
        <v>257</v>
      </c>
      <c r="D852" s="10" t="s">
        <v>7</v>
      </c>
      <c r="E852" s="14">
        <v>0.0</v>
      </c>
    </row>
    <row r="853">
      <c r="A853" s="5">
        <v>852.0</v>
      </c>
      <c r="B853" s="9" t="s">
        <v>855</v>
      </c>
      <c r="C853" s="10" t="s">
        <v>257</v>
      </c>
      <c r="D853" s="10" t="s">
        <v>7</v>
      </c>
      <c r="E853" s="14">
        <v>0.0</v>
      </c>
    </row>
    <row r="854">
      <c r="A854" s="5">
        <v>853.0</v>
      </c>
      <c r="B854" s="9" t="s">
        <v>856</v>
      </c>
      <c r="C854" s="10" t="s">
        <v>257</v>
      </c>
      <c r="D854" s="10" t="s">
        <v>7</v>
      </c>
      <c r="E854" s="14">
        <v>0.0</v>
      </c>
    </row>
    <row r="855">
      <c r="A855" s="5">
        <v>854.0</v>
      </c>
      <c r="B855" s="9" t="s">
        <v>857</v>
      </c>
      <c r="C855" s="10" t="s">
        <v>69</v>
      </c>
      <c r="D855" s="10" t="s">
        <v>7</v>
      </c>
      <c r="E855" s="14">
        <v>0.0</v>
      </c>
    </row>
    <row r="856">
      <c r="A856" s="5">
        <v>855.0</v>
      </c>
      <c r="B856" s="9" t="s">
        <v>858</v>
      </c>
      <c r="C856" s="10" t="s">
        <v>257</v>
      </c>
      <c r="D856" s="10" t="s">
        <v>7</v>
      </c>
      <c r="E856" s="14">
        <v>0.0</v>
      </c>
    </row>
    <row r="857">
      <c r="A857" s="5">
        <v>856.0</v>
      </c>
      <c r="B857" s="9" t="s">
        <v>859</v>
      </c>
      <c r="C857" s="10" t="s">
        <v>257</v>
      </c>
      <c r="D857" s="10" t="s">
        <v>7</v>
      </c>
      <c r="E857" s="14">
        <v>0.0</v>
      </c>
    </row>
    <row r="858">
      <c r="A858" s="5">
        <v>857.0</v>
      </c>
      <c r="B858" s="9" t="s">
        <v>860</v>
      </c>
      <c r="C858" s="10" t="s">
        <v>257</v>
      </c>
      <c r="D858" s="10" t="s">
        <v>7</v>
      </c>
      <c r="E858" s="14">
        <v>0.0</v>
      </c>
    </row>
    <row r="859">
      <c r="A859" s="5">
        <v>858.0</v>
      </c>
      <c r="B859" s="9" t="s">
        <v>861</v>
      </c>
      <c r="C859" s="10" t="s">
        <v>257</v>
      </c>
      <c r="D859" s="10" t="s">
        <v>7</v>
      </c>
      <c r="E859" s="14">
        <v>0.0</v>
      </c>
    </row>
    <row r="860">
      <c r="A860" s="5">
        <v>859.0</v>
      </c>
      <c r="B860" s="9" t="s">
        <v>862</v>
      </c>
      <c r="C860" s="10" t="s">
        <v>9</v>
      </c>
      <c r="D860" s="10" t="s">
        <v>7</v>
      </c>
      <c r="E860" s="14">
        <v>0.0</v>
      </c>
    </row>
    <row r="861">
      <c r="A861" s="5">
        <v>860.0</v>
      </c>
      <c r="B861" s="9" t="s">
        <v>863</v>
      </c>
      <c r="C861" s="10" t="s">
        <v>59</v>
      </c>
      <c r="D861" s="10" t="s">
        <v>7</v>
      </c>
      <c r="E861" s="14">
        <v>0.0</v>
      </c>
    </row>
    <row r="862">
      <c r="A862" s="5">
        <v>861.0</v>
      </c>
      <c r="B862" s="9" t="s">
        <v>864</v>
      </c>
      <c r="C862" s="10" t="s">
        <v>257</v>
      </c>
      <c r="D862" s="10" t="s">
        <v>7</v>
      </c>
      <c r="E862" s="14">
        <v>0.0</v>
      </c>
    </row>
    <row r="863">
      <c r="A863" s="5">
        <v>862.0</v>
      </c>
      <c r="B863" s="9" t="s">
        <v>865</v>
      </c>
      <c r="C863" s="10" t="s">
        <v>38</v>
      </c>
      <c r="D863" s="10" t="s">
        <v>7</v>
      </c>
      <c r="E863" s="14">
        <v>0.0</v>
      </c>
    </row>
    <row r="864">
      <c r="A864" s="5">
        <v>863.0</v>
      </c>
      <c r="B864" s="9" t="s">
        <v>866</v>
      </c>
      <c r="C864" s="10" t="s">
        <v>257</v>
      </c>
      <c r="D864" s="10" t="s">
        <v>7</v>
      </c>
      <c r="E864" s="14">
        <v>0.0</v>
      </c>
    </row>
    <row r="865">
      <c r="A865" s="5">
        <v>864.0</v>
      </c>
      <c r="B865" s="9" t="s">
        <v>867</v>
      </c>
      <c r="C865" s="10" t="s">
        <v>257</v>
      </c>
      <c r="D865" s="10" t="s">
        <v>7</v>
      </c>
      <c r="E865" s="14">
        <v>0.0</v>
      </c>
    </row>
    <row r="866">
      <c r="A866" s="5">
        <v>865.0</v>
      </c>
      <c r="B866" s="9" t="s">
        <v>868</v>
      </c>
      <c r="C866" s="10" t="s">
        <v>257</v>
      </c>
      <c r="D866" s="10" t="s">
        <v>7</v>
      </c>
      <c r="E866" s="14">
        <v>0.0</v>
      </c>
    </row>
    <row r="867">
      <c r="A867" s="5">
        <v>866.0</v>
      </c>
      <c r="B867" s="9" t="s">
        <v>869</v>
      </c>
      <c r="C867" s="10" t="s">
        <v>257</v>
      </c>
      <c r="D867" s="10" t="s">
        <v>7</v>
      </c>
      <c r="E867" s="14">
        <v>0.0</v>
      </c>
    </row>
    <row r="868">
      <c r="A868" s="5">
        <v>867.0</v>
      </c>
      <c r="B868" s="9" t="s">
        <v>870</v>
      </c>
      <c r="C868" s="10" t="s">
        <v>9</v>
      </c>
      <c r="D868" s="10" t="s">
        <v>7</v>
      </c>
      <c r="E868" s="14">
        <v>0.0</v>
      </c>
    </row>
    <row r="869">
      <c r="A869" s="5">
        <v>868.0</v>
      </c>
      <c r="B869" s="9" t="s">
        <v>871</v>
      </c>
      <c r="C869" s="10" t="s">
        <v>257</v>
      </c>
      <c r="D869" s="10" t="s">
        <v>7</v>
      </c>
      <c r="E869" s="14">
        <v>0.0</v>
      </c>
    </row>
    <row r="870">
      <c r="A870" s="5">
        <v>869.0</v>
      </c>
      <c r="B870" s="9" t="s">
        <v>872</v>
      </c>
      <c r="C870" s="10" t="s">
        <v>257</v>
      </c>
      <c r="D870" s="10" t="s">
        <v>7</v>
      </c>
      <c r="E870" s="14">
        <v>0.0</v>
      </c>
    </row>
    <row r="871">
      <c r="A871" s="5">
        <v>870.0</v>
      </c>
      <c r="B871" s="9" t="s">
        <v>873</v>
      </c>
      <c r="C871" s="10" t="s">
        <v>18</v>
      </c>
      <c r="D871" s="10" t="s">
        <v>7</v>
      </c>
      <c r="E871" s="14">
        <v>0.0</v>
      </c>
    </row>
    <row r="872">
      <c r="A872" s="5">
        <v>871.0</v>
      </c>
      <c r="B872" s="9" t="s">
        <v>874</v>
      </c>
      <c r="C872" s="10" t="s">
        <v>257</v>
      </c>
      <c r="D872" s="10" t="s">
        <v>7</v>
      </c>
      <c r="E872" s="14">
        <v>0.0</v>
      </c>
    </row>
    <row r="873">
      <c r="A873" s="5">
        <v>872.0</v>
      </c>
      <c r="B873" s="9" t="s">
        <v>875</v>
      </c>
      <c r="C873" s="10" t="s">
        <v>257</v>
      </c>
      <c r="D873" s="10" t="s">
        <v>7</v>
      </c>
      <c r="E873" s="14">
        <v>0.0</v>
      </c>
    </row>
    <row r="874">
      <c r="A874" s="5">
        <v>873.0</v>
      </c>
      <c r="B874" s="9" t="s">
        <v>876</v>
      </c>
      <c r="C874" s="10" t="s">
        <v>257</v>
      </c>
      <c r="D874" s="10" t="s">
        <v>7</v>
      </c>
      <c r="E874" s="14">
        <v>0.0</v>
      </c>
    </row>
    <row r="875">
      <c r="A875" s="5">
        <v>874.0</v>
      </c>
      <c r="B875" s="9" t="s">
        <v>877</v>
      </c>
      <c r="C875" s="10" t="s">
        <v>257</v>
      </c>
      <c r="D875" s="10" t="s">
        <v>7</v>
      </c>
      <c r="E875" s="14">
        <v>0.0</v>
      </c>
    </row>
    <row r="876">
      <c r="A876" s="5">
        <v>875.0</v>
      </c>
      <c r="B876" s="9" t="s">
        <v>878</v>
      </c>
      <c r="C876" s="10" t="s">
        <v>257</v>
      </c>
      <c r="D876" s="10" t="s">
        <v>7</v>
      </c>
      <c r="E876" s="14">
        <v>0.0</v>
      </c>
    </row>
    <row r="877">
      <c r="A877" s="5">
        <v>876.0</v>
      </c>
      <c r="B877" s="9" t="s">
        <v>879</v>
      </c>
      <c r="C877" s="10" t="s">
        <v>257</v>
      </c>
      <c r="D877" s="10" t="s">
        <v>7</v>
      </c>
      <c r="E877" s="14">
        <v>0.0</v>
      </c>
    </row>
    <row r="878">
      <c r="A878" s="5">
        <v>877.0</v>
      </c>
      <c r="B878" s="9" t="s">
        <v>880</v>
      </c>
      <c r="C878" s="10" t="s">
        <v>257</v>
      </c>
      <c r="D878" s="10" t="s">
        <v>7</v>
      </c>
      <c r="E878" s="14">
        <v>0.0</v>
      </c>
    </row>
    <row r="879">
      <c r="A879" s="5">
        <v>878.0</v>
      </c>
      <c r="B879" s="9" t="s">
        <v>881</v>
      </c>
      <c r="C879" s="10" t="s">
        <v>257</v>
      </c>
      <c r="D879" s="10" t="s">
        <v>7</v>
      </c>
      <c r="E879" s="14">
        <v>0.0</v>
      </c>
    </row>
    <row r="880">
      <c r="A880" s="5">
        <v>879.0</v>
      </c>
      <c r="B880" s="9" t="s">
        <v>882</v>
      </c>
      <c r="C880" s="10" t="s">
        <v>257</v>
      </c>
      <c r="D880" s="10" t="s">
        <v>7</v>
      </c>
      <c r="E880" s="14">
        <v>0.0</v>
      </c>
    </row>
    <row r="881">
      <c r="A881" s="5">
        <v>880.0</v>
      </c>
      <c r="B881" s="9" t="s">
        <v>883</v>
      </c>
      <c r="C881" s="10" t="s">
        <v>257</v>
      </c>
      <c r="D881" s="10" t="s">
        <v>7</v>
      </c>
      <c r="E881" s="14">
        <v>0.0</v>
      </c>
    </row>
    <row r="882">
      <c r="A882" s="5">
        <v>881.0</v>
      </c>
      <c r="B882" s="9" t="s">
        <v>884</v>
      </c>
      <c r="C882" s="10" t="s">
        <v>257</v>
      </c>
      <c r="D882" s="10" t="s">
        <v>7</v>
      </c>
      <c r="E882" s="14">
        <v>0.0</v>
      </c>
    </row>
    <row r="883">
      <c r="A883" s="5">
        <v>882.0</v>
      </c>
      <c r="B883" s="9" t="s">
        <v>885</v>
      </c>
      <c r="C883" s="10" t="s">
        <v>257</v>
      </c>
      <c r="D883" s="10" t="s">
        <v>7</v>
      </c>
      <c r="E883" s="14">
        <v>0.0</v>
      </c>
    </row>
    <row r="884">
      <c r="A884" s="5">
        <v>883.0</v>
      </c>
      <c r="B884" s="9" t="s">
        <v>886</v>
      </c>
      <c r="C884" s="10" t="s">
        <v>257</v>
      </c>
      <c r="D884" s="10" t="s">
        <v>7</v>
      </c>
      <c r="E884" s="14">
        <v>0.0</v>
      </c>
    </row>
    <row r="885">
      <c r="A885" s="5">
        <v>884.0</v>
      </c>
      <c r="B885" s="9" t="s">
        <v>887</v>
      </c>
      <c r="C885" s="10" t="s">
        <v>257</v>
      </c>
      <c r="D885" s="10" t="s">
        <v>7</v>
      </c>
      <c r="E885" s="14">
        <v>0.0</v>
      </c>
    </row>
    <row r="886">
      <c r="A886" s="5">
        <v>885.0</v>
      </c>
      <c r="B886" s="9" t="s">
        <v>888</v>
      </c>
      <c r="C886" s="10" t="s">
        <v>257</v>
      </c>
      <c r="D886" s="10" t="s">
        <v>7</v>
      </c>
      <c r="E886" s="14">
        <v>0.0</v>
      </c>
    </row>
    <row r="887">
      <c r="A887" s="5">
        <v>886.0</v>
      </c>
      <c r="B887" s="9" t="s">
        <v>889</v>
      </c>
      <c r="C887" s="10" t="s">
        <v>257</v>
      </c>
      <c r="D887" s="10" t="s">
        <v>7</v>
      </c>
      <c r="E887" s="14">
        <v>0.0</v>
      </c>
    </row>
    <row r="888">
      <c r="A888" s="5">
        <v>887.0</v>
      </c>
      <c r="B888" s="9" t="s">
        <v>890</v>
      </c>
      <c r="C888" s="10" t="s">
        <v>257</v>
      </c>
      <c r="D888" s="10" t="s">
        <v>7</v>
      </c>
      <c r="E888" s="14">
        <v>0.0</v>
      </c>
    </row>
    <row r="889">
      <c r="A889" s="5">
        <v>888.0</v>
      </c>
      <c r="B889" s="9" t="s">
        <v>891</v>
      </c>
      <c r="C889" s="10" t="s">
        <v>86</v>
      </c>
      <c r="D889" s="10" t="s">
        <v>7</v>
      </c>
      <c r="E889" s="14">
        <v>0.0</v>
      </c>
    </row>
    <row r="890">
      <c r="A890" s="5">
        <v>889.0</v>
      </c>
      <c r="B890" s="9" t="s">
        <v>892</v>
      </c>
      <c r="C890" s="10" t="s">
        <v>257</v>
      </c>
      <c r="D890" s="10" t="s">
        <v>7</v>
      </c>
      <c r="E890" s="14">
        <v>0.0</v>
      </c>
    </row>
    <row r="891">
      <c r="A891" s="5">
        <v>890.0</v>
      </c>
      <c r="B891" s="9" t="s">
        <v>893</v>
      </c>
      <c r="C891" s="10" t="s">
        <v>14</v>
      </c>
      <c r="D891" s="10" t="s">
        <v>7</v>
      </c>
      <c r="E891" s="14">
        <v>0.0</v>
      </c>
    </row>
    <row r="892">
      <c r="A892" s="5">
        <v>891.0</v>
      </c>
      <c r="B892" s="9" t="s">
        <v>894</v>
      </c>
      <c r="C892" s="10" t="s">
        <v>257</v>
      </c>
      <c r="D892" s="10" t="s">
        <v>7</v>
      </c>
      <c r="E892" s="14">
        <v>0.0</v>
      </c>
    </row>
    <row r="893">
      <c r="A893" s="5">
        <v>892.0</v>
      </c>
      <c r="B893" s="9" t="s">
        <v>895</v>
      </c>
      <c r="C893" s="10" t="s">
        <v>257</v>
      </c>
      <c r="D893" s="10" t="s">
        <v>7</v>
      </c>
      <c r="E893" s="14">
        <v>0.0</v>
      </c>
    </row>
    <row r="894">
      <c r="A894" s="5">
        <v>893.0</v>
      </c>
      <c r="B894" s="9" t="s">
        <v>896</v>
      </c>
      <c r="C894" s="10" t="s">
        <v>12</v>
      </c>
      <c r="D894" s="10" t="s">
        <v>7</v>
      </c>
      <c r="E894" s="14">
        <v>0.0</v>
      </c>
    </row>
    <row r="895">
      <c r="A895" s="5">
        <v>894.0</v>
      </c>
      <c r="B895" s="9" t="s">
        <v>897</v>
      </c>
      <c r="C895" s="10" t="s">
        <v>257</v>
      </c>
      <c r="D895" s="10" t="s">
        <v>7</v>
      </c>
      <c r="E895" s="14">
        <v>0.0</v>
      </c>
    </row>
    <row r="896">
      <c r="A896" s="5">
        <v>895.0</v>
      </c>
      <c r="B896" s="9" t="s">
        <v>898</v>
      </c>
      <c r="C896" s="10" t="s">
        <v>18</v>
      </c>
      <c r="D896" s="10" t="s">
        <v>7</v>
      </c>
      <c r="E896" s="14">
        <v>0.0</v>
      </c>
    </row>
    <row r="897">
      <c r="A897" s="5">
        <v>896.0</v>
      </c>
      <c r="B897" s="9" t="s">
        <v>899</v>
      </c>
      <c r="C897" s="10" t="s">
        <v>257</v>
      </c>
      <c r="D897" s="10" t="s">
        <v>7</v>
      </c>
      <c r="E897" s="14">
        <v>0.0</v>
      </c>
    </row>
    <row r="898">
      <c r="A898" s="5">
        <v>897.0</v>
      </c>
      <c r="B898" s="9" t="s">
        <v>900</v>
      </c>
      <c r="C898" s="10" t="s">
        <v>257</v>
      </c>
      <c r="D898" s="10" t="s">
        <v>7</v>
      </c>
      <c r="E898" s="14">
        <v>0.0</v>
      </c>
    </row>
    <row r="899">
      <c r="A899" s="5">
        <v>898.0</v>
      </c>
      <c r="B899" s="12" t="s">
        <v>901</v>
      </c>
      <c r="C899" s="10" t="s">
        <v>102</v>
      </c>
      <c r="D899" s="10" t="s">
        <v>7</v>
      </c>
      <c r="E899" s="14">
        <v>0.0</v>
      </c>
    </row>
    <row r="900">
      <c r="A900" s="5">
        <v>899.0</v>
      </c>
      <c r="B900" s="9" t="s">
        <v>902</v>
      </c>
      <c r="C900" s="10" t="s">
        <v>22</v>
      </c>
      <c r="D900" s="10" t="s">
        <v>7</v>
      </c>
      <c r="E900" s="14">
        <v>0.0</v>
      </c>
    </row>
    <row r="901">
      <c r="A901" s="5">
        <v>900.0</v>
      </c>
      <c r="B901" s="9" t="s">
        <v>903</v>
      </c>
      <c r="C901" s="10" t="s">
        <v>257</v>
      </c>
      <c r="D901" s="10" t="s">
        <v>7</v>
      </c>
      <c r="E901" s="14">
        <v>0.0</v>
      </c>
    </row>
    <row r="902">
      <c r="A902" s="5">
        <v>901.0</v>
      </c>
      <c r="B902" s="9" t="s">
        <v>904</v>
      </c>
      <c r="C902" s="10" t="s">
        <v>257</v>
      </c>
      <c r="D902" s="10" t="s">
        <v>7</v>
      </c>
      <c r="E902" s="14">
        <v>0.0</v>
      </c>
    </row>
    <row r="903">
      <c r="A903" s="5">
        <v>902.0</v>
      </c>
      <c r="B903" s="9" t="s">
        <v>905</v>
      </c>
      <c r="C903" s="10" t="s">
        <v>34</v>
      </c>
      <c r="D903" s="10" t="s">
        <v>7</v>
      </c>
      <c r="E903" s="14">
        <v>0.0</v>
      </c>
    </row>
    <row r="904">
      <c r="A904" s="5">
        <v>903.0</v>
      </c>
      <c r="B904" s="9" t="s">
        <v>906</v>
      </c>
      <c r="C904" s="10" t="s">
        <v>134</v>
      </c>
      <c r="D904" s="10" t="s">
        <v>7</v>
      </c>
      <c r="E904" s="14">
        <v>0.0</v>
      </c>
    </row>
    <row r="905">
      <c r="A905" s="5">
        <v>904.0</v>
      </c>
      <c r="B905" s="9" t="s">
        <v>907</v>
      </c>
      <c r="C905" s="10" t="s">
        <v>257</v>
      </c>
      <c r="D905" s="10" t="s">
        <v>7</v>
      </c>
      <c r="E905" s="14">
        <v>0.0</v>
      </c>
    </row>
    <row r="906">
      <c r="A906" s="5">
        <v>905.0</v>
      </c>
      <c r="B906" s="9" t="s">
        <v>908</v>
      </c>
      <c r="C906" s="10" t="s">
        <v>69</v>
      </c>
      <c r="D906" s="10" t="s">
        <v>7</v>
      </c>
      <c r="E906" s="14">
        <v>0.0</v>
      </c>
    </row>
    <row r="907">
      <c r="A907" s="5">
        <v>906.0</v>
      </c>
      <c r="B907" s="9" t="s">
        <v>909</v>
      </c>
      <c r="C907" s="10" t="s">
        <v>257</v>
      </c>
      <c r="D907" s="10" t="s">
        <v>7</v>
      </c>
      <c r="E907" s="14">
        <v>0.0</v>
      </c>
    </row>
    <row r="908">
      <c r="A908" s="5">
        <v>907.0</v>
      </c>
      <c r="B908" s="9" t="s">
        <v>910</v>
      </c>
      <c r="C908" s="10" t="s">
        <v>257</v>
      </c>
      <c r="D908" s="10" t="s">
        <v>7</v>
      </c>
      <c r="E908" s="14">
        <v>0.0</v>
      </c>
    </row>
    <row r="909">
      <c r="A909" s="5">
        <v>908.0</v>
      </c>
      <c r="B909" s="9" t="s">
        <v>911</v>
      </c>
      <c r="C909" s="10" t="s">
        <v>257</v>
      </c>
      <c r="D909" s="10" t="s">
        <v>7</v>
      </c>
      <c r="E909" s="14">
        <v>0.0</v>
      </c>
    </row>
    <row r="910">
      <c r="A910" s="5">
        <v>909.0</v>
      </c>
      <c r="B910" s="9" t="s">
        <v>912</v>
      </c>
      <c r="C910" s="10" t="s">
        <v>257</v>
      </c>
      <c r="D910" s="10" t="s">
        <v>7</v>
      </c>
      <c r="E910" s="14">
        <v>0.0</v>
      </c>
    </row>
    <row r="911">
      <c r="A911" s="5">
        <v>910.0</v>
      </c>
      <c r="B911" s="9" t="s">
        <v>913</v>
      </c>
      <c r="C911" s="10" t="s">
        <v>257</v>
      </c>
      <c r="D911" s="10" t="s">
        <v>7</v>
      </c>
      <c r="E911" s="14">
        <v>0.0</v>
      </c>
    </row>
    <row r="912">
      <c r="A912" s="5">
        <v>911.0</v>
      </c>
      <c r="B912" s="9" t="s">
        <v>914</v>
      </c>
      <c r="C912" s="10" t="s">
        <v>257</v>
      </c>
      <c r="D912" s="10" t="s">
        <v>7</v>
      </c>
      <c r="E912" s="14">
        <v>0.0</v>
      </c>
    </row>
    <row r="913">
      <c r="A913" s="5">
        <v>912.0</v>
      </c>
      <c r="B913" s="9" t="s">
        <v>915</v>
      </c>
      <c r="C913" s="10" t="s">
        <v>20</v>
      </c>
      <c r="D913" s="10" t="s">
        <v>7</v>
      </c>
      <c r="E913" s="14">
        <v>0.0</v>
      </c>
    </row>
    <row r="914">
      <c r="A914" s="5">
        <v>913.0</v>
      </c>
      <c r="B914" s="9" t="s">
        <v>916</v>
      </c>
      <c r="C914" s="10" t="s">
        <v>257</v>
      </c>
      <c r="D914" s="10" t="s">
        <v>7</v>
      </c>
      <c r="E914" s="14">
        <v>0.0</v>
      </c>
    </row>
    <row r="915">
      <c r="A915" s="5">
        <v>914.0</v>
      </c>
      <c r="B915" s="9" t="s">
        <v>917</v>
      </c>
      <c r="C915" s="10" t="s">
        <v>257</v>
      </c>
      <c r="D915" s="10" t="s">
        <v>7</v>
      </c>
      <c r="E915" s="14">
        <v>0.0</v>
      </c>
    </row>
    <row r="916">
      <c r="A916" s="5">
        <v>915.0</v>
      </c>
      <c r="B916" s="9" t="s">
        <v>918</v>
      </c>
      <c r="C916" s="10" t="s">
        <v>257</v>
      </c>
      <c r="D916" s="10" t="s">
        <v>7</v>
      </c>
      <c r="E916" s="14">
        <v>0.0</v>
      </c>
    </row>
    <row r="917">
      <c r="A917" s="5">
        <v>916.0</v>
      </c>
      <c r="B917" s="9" t="s">
        <v>919</v>
      </c>
      <c r="C917" s="10" t="s">
        <v>257</v>
      </c>
      <c r="D917" s="10" t="s">
        <v>7</v>
      </c>
      <c r="E917" s="14">
        <v>0.0</v>
      </c>
    </row>
    <row r="918">
      <c r="A918" s="5">
        <v>917.0</v>
      </c>
      <c r="B918" s="9" t="s">
        <v>920</v>
      </c>
      <c r="C918" s="10" t="s">
        <v>61</v>
      </c>
      <c r="D918" s="10" t="s">
        <v>7</v>
      </c>
      <c r="E918" s="14">
        <v>0.0</v>
      </c>
    </row>
    <row r="919">
      <c r="A919" s="5">
        <v>918.0</v>
      </c>
      <c r="B919" s="9" t="s">
        <v>830</v>
      </c>
      <c r="C919" s="10" t="s">
        <v>38</v>
      </c>
      <c r="D919" s="10" t="s">
        <v>7</v>
      </c>
      <c r="E919" s="14">
        <v>0.0</v>
      </c>
    </row>
    <row r="920">
      <c r="A920" s="5">
        <v>919.0</v>
      </c>
      <c r="B920" s="9" t="s">
        <v>831</v>
      </c>
      <c r="C920" s="10" t="s">
        <v>56</v>
      </c>
      <c r="D920" s="10" t="s">
        <v>7</v>
      </c>
      <c r="E920" s="14">
        <v>0.0</v>
      </c>
    </row>
    <row r="921">
      <c r="A921" s="5">
        <v>920.0</v>
      </c>
      <c r="B921" s="9" t="s">
        <v>832</v>
      </c>
      <c r="C921" s="10" t="s">
        <v>32</v>
      </c>
      <c r="D921" s="10" t="s">
        <v>7</v>
      </c>
      <c r="E921" s="14">
        <v>0.0</v>
      </c>
    </row>
    <row r="922">
      <c r="A922" s="5">
        <v>921.0</v>
      </c>
      <c r="B922" s="9" t="s">
        <v>833</v>
      </c>
      <c r="C922" s="10" t="s">
        <v>56</v>
      </c>
      <c r="D922" s="10" t="s">
        <v>7</v>
      </c>
      <c r="E922" s="14">
        <v>0.0</v>
      </c>
    </row>
    <row r="923">
      <c r="A923" s="5">
        <v>922.0</v>
      </c>
      <c r="B923" s="9" t="s">
        <v>834</v>
      </c>
      <c r="C923" s="10" t="s">
        <v>69</v>
      </c>
      <c r="D923" s="10" t="s">
        <v>7</v>
      </c>
      <c r="E923" s="14">
        <v>0.0</v>
      </c>
    </row>
    <row r="924">
      <c r="A924" s="5">
        <v>923.0</v>
      </c>
      <c r="B924" s="9" t="s">
        <v>835</v>
      </c>
      <c r="C924" s="10" t="s">
        <v>257</v>
      </c>
      <c r="D924" s="10" t="s">
        <v>7</v>
      </c>
      <c r="E924" s="14">
        <v>0.0</v>
      </c>
    </row>
    <row r="925">
      <c r="A925" s="5">
        <v>924.0</v>
      </c>
      <c r="B925" s="9" t="s">
        <v>836</v>
      </c>
      <c r="C925" s="10" t="s">
        <v>257</v>
      </c>
      <c r="D925" s="10" t="s">
        <v>7</v>
      </c>
      <c r="E925" s="14">
        <v>0.0</v>
      </c>
    </row>
    <row r="926">
      <c r="A926" s="5">
        <v>925.0</v>
      </c>
      <c r="B926" s="9" t="s">
        <v>837</v>
      </c>
      <c r="C926" s="10" t="s">
        <v>257</v>
      </c>
      <c r="D926" s="10" t="s">
        <v>7</v>
      </c>
      <c r="E926" s="14">
        <v>0.0</v>
      </c>
    </row>
    <row r="927">
      <c r="A927" s="5">
        <v>926.0</v>
      </c>
      <c r="B927" s="9" t="s">
        <v>838</v>
      </c>
      <c r="C927" s="10" t="s">
        <v>257</v>
      </c>
      <c r="D927" s="10" t="s">
        <v>7</v>
      </c>
      <c r="E927" s="14">
        <v>0.0</v>
      </c>
    </row>
    <row r="928">
      <c r="A928" s="5">
        <v>927.0</v>
      </c>
      <c r="B928" s="9" t="s">
        <v>839</v>
      </c>
      <c r="C928" s="10" t="s">
        <v>27</v>
      </c>
      <c r="D928" s="10" t="s">
        <v>7</v>
      </c>
      <c r="E928" s="14">
        <v>0.0</v>
      </c>
    </row>
    <row r="929">
      <c r="A929" s="5">
        <v>928.0</v>
      </c>
      <c r="B929" s="9" t="s">
        <v>840</v>
      </c>
      <c r="C929" s="10" t="s">
        <v>74</v>
      </c>
      <c r="D929" s="10" t="s">
        <v>7</v>
      </c>
      <c r="E929" s="14">
        <v>0.0</v>
      </c>
    </row>
    <row r="930">
      <c r="A930" s="5">
        <v>929.0</v>
      </c>
      <c r="B930" s="9" t="s">
        <v>841</v>
      </c>
      <c r="C930" s="10" t="s">
        <v>134</v>
      </c>
      <c r="D930" s="10" t="s">
        <v>7</v>
      </c>
      <c r="E930" s="14">
        <v>0.0</v>
      </c>
    </row>
    <row r="931">
      <c r="A931" s="5">
        <v>930.0</v>
      </c>
      <c r="B931" s="9" t="s">
        <v>842</v>
      </c>
      <c r="C931" s="10" t="s">
        <v>59</v>
      </c>
      <c r="D931" s="10" t="s">
        <v>7</v>
      </c>
      <c r="E931" s="14">
        <v>0.0</v>
      </c>
    </row>
    <row r="932">
      <c r="A932" s="5">
        <v>931.0</v>
      </c>
      <c r="B932" s="9" t="s">
        <v>843</v>
      </c>
      <c r="C932" s="10" t="s">
        <v>257</v>
      </c>
      <c r="D932" s="10" t="s">
        <v>7</v>
      </c>
      <c r="E932" s="14">
        <v>0.0</v>
      </c>
    </row>
    <row r="933">
      <c r="A933" s="5">
        <v>932.0</v>
      </c>
      <c r="B933" s="9" t="s">
        <v>844</v>
      </c>
      <c r="C933" s="10" t="s">
        <v>257</v>
      </c>
      <c r="D933" s="10" t="s">
        <v>7</v>
      </c>
      <c r="E933" s="14">
        <v>0.0</v>
      </c>
    </row>
    <row r="934">
      <c r="A934" s="5">
        <v>933.0</v>
      </c>
      <c r="B934" s="9" t="s">
        <v>845</v>
      </c>
      <c r="C934" s="10" t="s">
        <v>102</v>
      </c>
      <c r="D934" s="10" t="s">
        <v>7</v>
      </c>
      <c r="E934" s="14">
        <v>0.0</v>
      </c>
    </row>
    <row r="935">
      <c r="A935" s="5">
        <v>934.0</v>
      </c>
      <c r="B935" s="9" t="s">
        <v>846</v>
      </c>
      <c r="C935" s="10" t="s">
        <v>257</v>
      </c>
      <c r="D935" s="10" t="s">
        <v>7</v>
      </c>
      <c r="E935" s="14">
        <v>0.0</v>
      </c>
    </row>
    <row r="936">
      <c r="A936" s="5">
        <v>935.0</v>
      </c>
      <c r="B936" s="9" t="s">
        <v>847</v>
      </c>
      <c r="C936" s="10" t="s">
        <v>104</v>
      </c>
      <c r="D936" s="10" t="s">
        <v>7</v>
      </c>
      <c r="E936" s="14">
        <v>0.0</v>
      </c>
    </row>
    <row r="937">
      <c r="A937" s="5">
        <v>936.0</v>
      </c>
      <c r="B937" s="9" t="s">
        <v>848</v>
      </c>
      <c r="C937" s="10" t="s">
        <v>32</v>
      </c>
      <c r="D937" s="10" t="s">
        <v>7</v>
      </c>
      <c r="E937" s="14">
        <v>0.0</v>
      </c>
    </row>
    <row r="938">
      <c r="A938" s="5">
        <v>937.0</v>
      </c>
      <c r="B938" s="9" t="s">
        <v>849</v>
      </c>
      <c r="C938" s="10" t="s">
        <v>48</v>
      </c>
      <c r="D938" s="10" t="s">
        <v>7</v>
      </c>
      <c r="E938" s="14">
        <v>0.0</v>
      </c>
    </row>
    <row r="939">
      <c r="A939" s="5">
        <v>938.0</v>
      </c>
      <c r="B939" s="9" t="s">
        <v>850</v>
      </c>
      <c r="C939" s="10" t="s">
        <v>44</v>
      </c>
      <c r="D939" s="10" t="s">
        <v>7</v>
      </c>
      <c r="E939" s="14">
        <v>0.0</v>
      </c>
    </row>
    <row r="940">
      <c r="A940" s="5">
        <v>939.0</v>
      </c>
      <c r="B940" s="9" t="s">
        <v>921</v>
      </c>
      <c r="C940" s="10" t="s">
        <v>24</v>
      </c>
      <c r="D940" s="10" t="s">
        <v>10</v>
      </c>
      <c r="E940" s="14">
        <v>0.0</v>
      </c>
    </row>
    <row r="941">
      <c r="A941" s="5">
        <v>940.0</v>
      </c>
      <c r="B941" s="9" t="s">
        <v>922</v>
      </c>
      <c r="C941" s="10" t="s">
        <v>32</v>
      </c>
      <c r="D941" s="10" t="s">
        <v>10</v>
      </c>
      <c r="E941" s="14">
        <v>0.0</v>
      </c>
    </row>
    <row r="942">
      <c r="A942" s="5">
        <v>941.0</v>
      </c>
      <c r="B942" s="9" t="s">
        <v>923</v>
      </c>
      <c r="C942" s="10" t="s">
        <v>59</v>
      </c>
      <c r="D942" s="10" t="s">
        <v>10</v>
      </c>
      <c r="E942" s="14">
        <v>0.0</v>
      </c>
    </row>
    <row r="943">
      <c r="A943" s="5">
        <v>942.0</v>
      </c>
      <c r="B943" s="9" t="s">
        <v>924</v>
      </c>
      <c r="C943" s="10" t="s">
        <v>12</v>
      </c>
      <c r="D943" s="10" t="s">
        <v>10</v>
      </c>
      <c r="E943" s="14">
        <v>0.0</v>
      </c>
    </row>
    <row r="944">
      <c r="A944" s="5">
        <v>943.0</v>
      </c>
      <c r="B944" s="9" t="s">
        <v>925</v>
      </c>
      <c r="C944" s="10" t="s">
        <v>44</v>
      </c>
      <c r="D944" s="10" t="s">
        <v>10</v>
      </c>
      <c r="E944" s="14">
        <v>0.0</v>
      </c>
    </row>
    <row r="945">
      <c r="A945" s="5">
        <v>944.0</v>
      </c>
      <c r="B945" s="9" t="s">
        <v>926</v>
      </c>
      <c r="C945" s="10" t="s">
        <v>92</v>
      </c>
      <c r="D945" s="10" t="s">
        <v>10</v>
      </c>
      <c r="E945" s="14">
        <v>0.0</v>
      </c>
    </row>
    <row r="946">
      <c r="A946" s="5">
        <v>945.0</v>
      </c>
      <c r="B946" s="9" t="s">
        <v>927</v>
      </c>
      <c r="C946" s="10" t="s">
        <v>48</v>
      </c>
      <c r="D946" s="10" t="s">
        <v>10</v>
      </c>
      <c r="E946" s="14">
        <v>0.0</v>
      </c>
    </row>
    <row r="947">
      <c r="A947" s="5">
        <v>946.0</v>
      </c>
      <c r="B947" s="9" t="s">
        <v>928</v>
      </c>
      <c r="C947" s="10" t="s">
        <v>40</v>
      </c>
      <c r="D947" s="10" t="s">
        <v>10</v>
      </c>
      <c r="E947" s="14">
        <v>0.0</v>
      </c>
    </row>
    <row r="948">
      <c r="A948" s="5">
        <v>947.0</v>
      </c>
      <c r="B948" s="9" t="s">
        <v>929</v>
      </c>
      <c r="C948" s="10" t="s">
        <v>9</v>
      </c>
      <c r="D948" s="10" t="s">
        <v>10</v>
      </c>
      <c r="E948" s="14">
        <v>0.0</v>
      </c>
    </row>
    <row r="949">
      <c r="A949" s="5">
        <v>948.0</v>
      </c>
      <c r="B949" s="9" t="s">
        <v>930</v>
      </c>
      <c r="C949" s="10" t="s">
        <v>18</v>
      </c>
      <c r="D949" s="10" t="s">
        <v>10</v>
      </c>
      <c r="E949" s="14">
        <v>0.0</v>
      </c>
    </row>
    <row r="950">
      <c r="A950" s="5">
        <v>949.0</v>
      </c>
      <c r="B950" s="9" t="s">
        <v>931</v>
      </c>
      <c r="C950" s="10" t="s">
        <v>74</v>
      </c>
      <c r="D950" s="10" t="s">
        <v>10</v>
      </c>
      <c r="E950" s="14">
        <v>0.0</v>
      </c>
    </row>
    <row r="951">
      <c r="A951" s="5">
        <v>950.0</v>
      </c>
      <c r="B951" s="9" t="s">
        <v>932</v>
      </c>
      <c r="C951" s="10" t="s">
        <v>20</v>
      </c>
      <c r="D951" s="10" t="s">
        <v>10</v>
      </c>
      <c r="E951" s="14">
        <v>0.0</v>
      </c>
    </row>
    <row r="952">
      <c r="A952" s="5">
        <v>951.0</v>
      </c>
      <c r="B952" s="9" t="s">
        <v>933</v>
      </c>
      <c r="C952" s="10" t="s">
        <v>38</v>
      </c>
      <c r="D952" s="10" t="s">
        <v>10</v>
      </c>
      <c r="E952" s="14">
        <v>0.0</v>
      </c>
    </row>
    <row r="953">
      <c r="A953" s="5">
        <v>952.0</v>
      </c>
      <c r="B953" s="9" t="s">
        <v>934</v>
      </c>
      <c r="C953" s="10" t="s">
        <v>14</v>
      </c>
      <c r="D953" s="10" t="s">
        <v>10</v>
      </c>
      <c r="E953" s="14">
        <v>0.0</v>
      </c>
    </row>
    <row r="954">
      <c r="A954" s="5">
        <v>953.0</v>
      </c>
      <c r="B954" s="9" t="s">
        <v>935</v>
      </c>
      <c r="C954" s="10" t="s">
        <v>27</v>
      </c>
      <c r="D954" s="10" t="s">
        <v>10</v>
      </c>
      <c r="E954" s="14">
        <v>0.0</v>
      </c>
    </row>
    <row r="955">
      <c r="A955" s="5">
        <v>954.0</v>
      </c>
      <c r="B955" s="9" t="s">
        <v>936</v>
      </c>
      <c r="C955" s="10" t="s">
        <v>86</v>
      </c>
      <c r="D955" s="10" t="s">
        <v>10</v>
      </c>
      <c r="E955" s="14">
        <v>0.0</v>
      </c>
    </row>
    <row r="956">
      <c r="A956" s="5">
        <v>955.0</v>
      </c>
      <c r="B956" s="9" t="s">
        <v>937</v>
      </c>
      <c r="C956" s="10" t="s">
        <v>52</v>
      </c>
      <c r="D956" s="10" t="s">
        <v>10</v>
      </c>
      <c r="E956" s="14">
        <v>0.0</v>
      </c>
    </row>
    <row r="957">
      <c r="A957" s="5">
        <v>956.0</v>
      </c>
      <c r="B957" s="9" t="s">
        <v>938</v>
      </c>
      <c r="C957" s="10" t="s">
        <v>24</v>
      </c>
      <c r="D957" s="10" t="s">
        <v>10</v>
      </c>
      <c r="E957" s="14">
        <v>0.0</v>
      </c>
    </row>
    <row r="958">
      <c r="A958" s="5">
        <v>957.0</v>
      </c>
      <c r="B958" s="9" t="s">
        <v>939</v>
      </c>
      <c r="C958" s="10" t="s">
        <v>63</v>
      </c>
      <c r="D958" s="10" t="s">
        <v>10</v>
      </c>
      <c r="E958" s="14">
        <v>0.0</v>
      </c>
    </row>
    <row r="959">
      <c r="A959" s="5">
        <v>958.0</v>
      </c>
      <c r="B959" s="9" t="s">
        <v>940</v>
      </c>
      <c r="C959" s="10" t="s">
        <v>54</v>
      </c>
      <c r="D959" s="10" t="s">
        <v>10</v>
      </c>
      <c r="E959" s="14">
        <v>0.0</v>
      </c>
    </row>
    <row r="960">
      <c r="A960" s="5">
        <v>959.0</v>
      </c>
      <c r="B960" s="9" t="s">
        <v>941</v>
      </c>
      <c r="C960" s="10" t="s">
        <v>29</v>
      </c>
      <c r="D960" s="10" t="s">
        <v>10</v>
      </c>
      <c r="E960" s="14">
        <v>0.0</v>
      </c>
    </row>
    <row r="961">
      <c r="A961" s="5">
        <v>960.0</v>
      </c>
      <c r="B961" s="9" t="s">
        <v>942</v>
      </c>
      <c r="C961" s="10" t="s">
        <v>69</v>
      </c>
      <c r="D961" s="10" t="s">
        <v>10</v>
      </c>
      <c r="E961" s="14">
        <v>0.0</v>
      </c>
    </row>
    <row r="962">
      <c r="A962" s="5">
        <v>961.0</v>
      </c>
      <c r="B962" s="9" t="s">
        <v>943</v>
      </c>
      <c r="C962" s="10" t="s">
        <v>77</v>
      </c>
      <c r="D962" s="10" t="s">
        <v>10</v>
      </c>
      <c r="E962" s="14">
        <v>0.0</v>
      </c>
    </row>
    <row r="963">
      <c r="A963" s="5">
        <v>962.0</v>
      </c>
      <c r="B963" s="9" t="s">
        <v>944</v>
      </c>
      <c r="C963" s="10" t="s">
        <v>102</v>
      </c>
      <c r="D963" s="10" t="s">
        <v>10</v>
      </c>
      <c r="E963" s="14">
        <v>0.0</v>
      </c>
    </row>
    <row r="964">
      <c r="A964" s="5">
        <v>963.0</v>
      </c>
      <c r="B964" s="9" t="s">
        <v>945</v>
      </c>
      <c r="C964" s="10" t="s">
        <v>96</v>
      </c>
      <c r="D964" s="10" t="s">
        <v>10</v>
      </c>
      <c r="E964" s="14">
        <v>0.0</v>
      </c>
    </row>
    <row r="965">
      <c r="A965" s="5">
        <v>964.0</v>
      </c>
      <c r="B965" s="9" t="s">
        <v>946</v>
      </c>
      <c r="C965" s="10" t="s">
        <v>6</v>
      </c>
      <c r="D965" s="10" t="s">
        <v>10</v>
      </c>
      <c r="E965" s="14">
        <v>0.0</v>
      </c>
    </row>
    <row r="966">
      <c r="A966" s="5">
        <v>965.0</v>
      </c>
      <c r="B966" s="9" t="s">
        <v>947</v>
      </c>
      <c r="C966" s="10" t="s">
        <v>61</v>
      </c>
      <c r="D966" s="10" t="s">
        <v>10</v>
      </c>
      <c r="E966" s="14">
        <v>0.0</v>
      </c>
    </row>
    <row r="967">
      <c r="A967" s="5">
        <v>966.0</v>
      </c>
      <c r="B967" s="9" t="s">
        <v>948</v>
      </c>
      <c r="C967" s="10" t="s">
        <v>56</v>
      </c>
      <c r="D967" s="10" t="s">
        <v>10</v>
      </c>
      <c r="E967" s="14">
        <v>0.0</v>
      </c>
    </row>
    <row r="968">
      <c r="A968" s="5">
        <v>967.0</v>
      </c>
      <c r="B968" s="9" t="s">
        <v>949</v>
      </c>
      <c r="C968" s="10" t="s">
        <v>34</v>
      </c>
      <c r="D968" s="10" t="s">
        <v>10</v>
      </c>
      <c r="E968" s="14">
        <v>0.0</v>
      </c>
    </row>
    <row r="969">
      <c r="A969" s="5">
        <v>968.0</v>
      </c>
      <c r="B969" s="9" t="s">
        <v>950</v>
      </c>
      <c r="C969" s="10" t="s">
        <v>104</v>
      </c>
      <c r="D969" s="10" t="s">
        <v>10</v>
      </c>
      <c r="E969" s="14">
        <v>0.0</v>
      </c>
    </row>
    <row r="970">
      <c r="A970" s="5">
        <v>969.0</v>
      </c>
      <c r="B970" s="9" t="s">
        <v>951</v>
      </c>
      <c r="C970" s="10" t="s">
        <v>134</v>
      </c>
      <c r="D970" s="10" t="s">
        <v>10</v>
      </c>
      <c r="E970" s="14">
        <v>0.0</v>
      </c>
    </row>
    <row r="971">
      <c r="A971" s="5">
        <v>970.0</v>
      </c>
      <c r="B971" s="9" t="s">
        <v>952</v>
      </c>
      <c r="C971" s="10" t="s">
        <v>22</v>
      </c>
      <c r="D971" s="10" t="s">
        <v>10</v>
      </c>
      <c r="E971" s="14">
        <v>0.0</v>
      </c>
    </row>
    <row r="972">
      <c r="A972" s="5">
        <v>971.0</v>
      </c>
      <c r="B972" s="9" t="s">
        <v>953</v>
      </c>
      <c r="C972" s="10" t="s">
        <v>257</v>
      </c>
      <c r="D972" s="10" t="s">
        <v>10</v>
      </c>
      <c r="E972" s="14">
        <v>0.0</v>
      </c>
    </row>
    <row r="973">
      <c r="A973" s="5">
        <v>972.0</v>
      </c>
      <c r="B973" s="9" t="s">
        <v>954</v>
      </c>
      <c r="C973" s="10" t="s">
        <v>61</v>
      </c>
      <c r="D973" s="10" t="s">
        <v>10</v>
      </c>
      <c r="E973" s="14">
        <v>0.0</v>
      </c>
    </row>
    <row r="974">
      <c r="A974" s="5">
        <v>973.0</v>
      </c>
      <c r="B974" s="9" t="s">
        <v>955</v>
      </c>
      <c r="C974" s="10" t="s">
        <v>257</v>
      </c>
      <c r="D974" s="10" t="s">
        <v>10</v>
      </c>
      <c r="E974" s="14">
        <v>0.0</v>
      </c>
    </row>
    <row r="975">
      <c r="A975" s="5">
        <v>974.0</v>
      </c>
      <c r="B975" s="9" t="s">
        <v>956</v>
      </c>
      <c r="C975" s="10" t="s">
        <v>257</v>
      </c>
      <c r="D975" s="10" t="s">
        <v>10</v>
      </c>
      <c r="E975" s="14">
        <v>0.0</v>
      </c>
    </row>
    <row r="976">
      <c r="A976" s="5">
        <v>975.0</v>
      </c>
      <c r="B976" s="9" t="s">
        <v>957</v>
      </c>
      <c r="C976" s="10" t="s">
        <v>34</v>
      </c>
      <c r="D976" s="10" t="s">
        <v>10</v>
      </c>
      <c r="E976" s="14">
        <v>0.0</v>
      </c>
    </row>
    <row r="977">
      <c r="A977" s="5">
        <v>976.0</v>
      </c>
      <c r="B977" s="9" t="s">
        <v>958</v>
      </c>
      <c r="C977" s="10" t="s">
        <v>257</v>
      </c>
      <c r="D977" s="10" t="s">
        <v>10</v>
      </c>
      <c r="E977" s="14">
        <v>0.0</v>
      </c>
    </row>
    <row r="978">
      <c r="A978" s="5">
        <v>977.0</v>
      </c>
      <c r="B978" s="9" t="s">
        <v>959</v>
      </c>
      <c r="C978" s="10" t="s">
        <v>257</v>
      </c>
      <c r="D978" s="10" t="s">
        <v>10</v>
      </c>
      <c r="E978" s="14">
        <v>0.0</v>
      </c>
    </row>
    <row r="979">
      <c r="A979" s="5">
        <v>978.0</v>
      </c>
      <c r="B979" s="9" t="s">
        <v>960</v>
      </c>
      <c r="C979" s="10" t="s">
        <v>134</v>
      </c>
      <c r="D979" s="10" t="s">
        <v>10</v>
      </c>
      <c r="E979" s="14">
        <v>0.0</v>
      </c>
    </row>
    <row r="980">
      <c r="A980" s="5">
        <v>979.0</v>
      </c>
      <c r="B980" s="9" t="s">
        <v>961</v>
      </c>
      <c r="C980" s="10" t="s">
        <v>257</v>
      </c>
      <c r="D980" s="10" t="s">
        <v>10</v>
      </c>
      <c r="E980" s="14">
        <v>0.0</v>
      </c>
    </row>
    <row r="981">
      <c r="A981" s="5">
        <v>980.0</v>
      </c>
      <c r="B981" s="9" t="s">
        <v>962</v>
      </c>
      <c r="C981" s="10" t="s">
        <v>56</v>
      </c>
      <c r="D981" s="10" t="s">
        <v>10</v>
      </c>
      <c r="E981" s="14">
        <v>0.0</v>
      </c>
    </row>
    <row r="982">
      <c r="A982" s="5">
        <v>981.0</v>
      </c>
      <c r="B982" s="9" t="s">
        <v>963</v>
      </c>
      <c r="C982" s="10" t="s">
        <v>32</v>
      </c>
      <c r="D982" s="10" t="s">
        <v>10</v>
      </c>
      <c r="E982" s="14">
        <v>0.0</v>
      </c>
    </row>
    <row r="983">
      <c r="A983" s="5">
        <v>982.0</v>
      </c>
      <c r="B983" s="9" t="s">
        <v>964</v>
      </c>
      <c r="C983" s="10" t="s">
        <v>27</v>
      </c>
      <c r="D983" s="10" t="s">
        <v>10</v>
      </c>
      <c r="E983" s="14">
        <v>0.0</v>
      </c>
    </row>
    <row r="984">
      <c r="A984" s="5">
        <v>983.0</v>
      </c>
      <c r="B984" s="9" t="s">
        <v>965</v>
      </c>
      <c r="C984" s="10" t="s">
        <v>59</v>
      </c>
      <c r="D984" s="10" t="s">
        <v>10</v>
      </c>
      <c r="E984" s="14">
        <v>0.0</v>
      </c>
    </row>
    <row r="985">
      <c r="A985" s="5">
        <v>984.0</v>
      </c>
      <c r="B985" s="9" t="s">
        <v>966</v>
      </c>
      <c r="C985" s="10" t="s">
        <v>74</v>
      </c>
      <c r="D985" s="10" t="s">
        <v>10</v>
      </c>
      <c r="E985" s="14">
        <v>0.0</v>
      </c>
    </row>
    <row r="986">
      <c r="A986" s="5">
        <v>985.0</v>
      </c>
      <c r="B986" s="9" t="s">
        <v>967</v>
      </c>
      <c r="C986" s="10" t="s">
        <v>29</v>
      </c>
      <c r="D986" s="10" t="s">
        <v>10</v>
      </c>
      <c r="E986" s="14">
        <v>0.0</v>
      </c>
    </row>
    <row r="987">
      <c r="A987" s="5">
        <v>986.0</v>
      </c>
      <c r="B987" s="9" t="s">
        <v>968</v>
      </c>
      <c r="C987" s="10" t="s">
        <v>257</v>
      </c>
      <c r="D987" s="10" t="s">
        <v>10</v>
      </c>
      <c r="E987" s="14">
        <v>0.0</v>
      </c>
    </row>
    <row r="988">
      <c r="A988" s="5">
        <v>987.0</v>
      </c>
      <c r="B988" s="9" t="s">
        <v>969</v>
      </c>
      <c r="C988" s="10" t="s">
        <v>18</v>
      </c>
      <c r="D988" s="10" t="s">
        <v>10</v>
      </c>
      <c r="E988" s="14">
        <v>0.0</v>
      </c>
    </row>
    <row r="989">
      <c r="A989" s="5">
        <v>988.0</v>
      </c>
      <c r="B989" s="9" t="s">
        <v>970</v>
      </c>
      <c r="C989" s="10" t="s">
        <v>86</v>
      </c>
      <c r="D989" s="10" t="s">
        <v>10</v>
      </c>
      <c r="E989" s="14">
        <v>0.0</v>
      </c>
    </row>
    <row r="990">
      <c r="A990" s="5">
        <v>989.0</v>
      </c>
      <c r="B990" s="9" t="s">
        <v>971</v>
      </c>
      <c r="C990" s="10" t="s">
        <v>257</v>
      </c>
      <c r="D990" s="10" t="s">
        <v>10</v>
      </c>
      <c r="E990" s="14">
        <v>0.0</v>
      </c>
    </row>
    <row r="991">
      <c r="A991" s="5">
        <v>990.0</v>
      </c>
      <c r="B991" s="9" t="s">
        <v>972</v>
      </c>
      <c r="C991" s="10" t="s">
        <v>257</v>
      </c>
      <c r="D991" s="10" t="s">
        <v>10</v>
      </c>
      <c r="E991" s="14">
        <v>0.0</v>
      </c>
    </row>
    <row r="992">
      <c r="A992" s="5">
        <v>991.0</v>
      </c>
      <c r="B992" s="9" t="s">
        <v>973</v>
      </c>
      <c r="C992" s="10" t="s">
        <v>257</v>
      </c>
      <c r="D992" s="10" t="s">
        <v>10</v>
      </c>
      <c r="E992" s="14">
        <v>0.0</v>
      </c>
    </row>
    <row r="993">
      <c r="A993" s="5">
        <v>992.0</v>
      </c>
      <c r="B993" s="9" t="s">
        <v>974</v>
      </c>
      <c r="C993" s="10" t="s">
        <v>257</v>
      </c>
      <c r="D993" s="10" t="s">
        <v>10</v>
      </c>
      <c r="E993" s="14">
        <v>0.0</v>
      </c>
    </row>
    <row r="994">
      <c r="A994" s="5">
        <v>993.0</v>
      </c>
      <c r="B994" s="9" t="s">
        <v>975</v>
      </c>
      <c r="C994" s="10" t="s">
        <v>257</v>
      </c>
      <c r="D994" s="10" t="s">
        <v>10</v>
      </c>
      <c r="E994" s="14">
        <v>0.0</v>
      </c>
    </row>
    <row r="995">
      <c r="A995" s="5">
        <v>994.0</v>
      </c>
      <c r="B995" s="9" t="s">
        <v>976</v>
      </c>
      <c r="C995" s="10" t="s">
        <v>134</v>
      </c>
      <c r="D995" s="10" t="s">
        <v>10</v>
      </c>
      <c r="E995" s="14">
        <v>0.0</v>
      </c>
    </row>
    <row r="996">
      <c r="A996" s="5">
        <v>995.0</v>
      </c>
      <c r="B996" s="9" t="s">
        <v>977</v>
      </c>
      <c r="C996" s="10" t="s">
        <v>9</v>
      </c>
      <c r="D996" s="10" t="s">
        <v>10</v>
      </c>
      <c r="E996" s="14">
        <v>0.0</v>
      </c>
    </row>
    <row r="997">
      <c r="A997" s="5">
        <v>996.0</v>
      </c>
      <c r="B997" s="9" t="s">
        <v>978</v>
      </c>
      <c r="C997" s="10" t="s">
        <v>257</v>
      </c>
      <c r="D997" s="10" t="s">
        <v>10</v>
      </c>
      <c r="E997" s="14">
        <v>0.0</v>
      </c>
    </row>
    <row r="998">
      <c r="A998" s="5">
        <v>997.0</v>
      </c>
      <c r="B998" s="9" t="s">
        <v>979</v>
      </c>
      <c r="C998" s="10" t="s">
        <v>92</v>
      </c>
      <c r="D998" s="10" t="s">
        <v>10</v>
      </c>
      <c r="E998" s="14">
        <v>0.0</v>
      </c>
    </row>
    <row r="999">
      <c r="A999" s="5">
        <v>998.0</v>
      </c>
      <c r="B999" s="12" t="s">
        <v>975</v>
      </c>
      <c r="C999" s="10" t="s">
        <v>257</v>
      </c>
      <c r="D999" s="10" t="s">
        <v>10</v>
      </c>
      <c r="E999" s="14">
        <v>0.0</v>
      </c>
    </row>
    <row r="1000">
      <c r="A1000" s="5">
        <v>999.0</v>
      </c>
      <c r="B1000" s="9" t="s">
        <v>976</v>
      </c>
      <c r="C1000" s="10" t="s">
        <v>134</v>
      </c>
      <c r="D1000" s="10" t="s">
        <v>10</v>
      </c>
      <c r="E1000" s="14">
        <v>0.0</v>
      </c>
    </row>
    <row r="1001">
      <c r="A1001" s="5">
        <v>1000.0</v>
      </c>
      <c r="B1001" s="9" t="s">
        <v>977</v>
      </c>
      <c r="C1001" s="10" t="s">
        <v>9</v>
      </c>
      <c r="D1001" s="10" t="s">
        <v>10</v>
      </c>
      <c r="E1001" s="14">
        <v>0.0</v>
      </c>
    </row>
    <row r="1002">
      <c r="A1002" s="5">
        <v>1001.0</v>
      </c>
      <c r="B1002" s="9" t="s">
        <v>978</v>
      </c>
      <c r="C1002" s="10" t="s">
        <v>257</v>
      </c>
      <c r="D1002" s="10" t="s">
        <v>10</v>
      </c>
      <c r="E1002" s="14">
        <v>0.0</v>
      </c>
    </row>
    <row r="1003">
      <c r="A1003" s="5">
        <v>1002.0</v>
      </c>
      <c r="B1003" s="9" t="s">
        <v>979</v>
      </c>
      <c r="C1003" s="10" t="s">
        <v>92</v>
      </c>
      <c r="D1003" s="10" t="s">
        <v>10</v>
      </c>
      <c r="E1003" s="14">
        <v>0.0</v>
      </c>
    </row>
    <row r="1004">
      <c r="A1004" s="5">
        <v>1003.0</v>
      </c>
      <c r="B1004" s="9" t="s">
        <v>980</v>
      </c>
      <c r="C1004" s="10" t="s">
        <v>257</v>
      </c>
      <c r="D1004" s="10" t="s">
        <v>10</v>
      </c>
      <c r="E1004" s="14">
        <v>0.0</v>
      </c>
    </row>
    <row r="1005">
      <c r="A1005" s="5">
        <v>1004.0</v>
      </c>
      <c r="B1005" s="9" t="s">
        <v>981</v>
      </c>
      <c r="C1005" s="10" t="s">
        <v>257</v>
      </c>
      <c r="D1005" s="10" t="s">
        <v>10</v>
      </c>
      <c r="E1005" s="14">
        <v>0.0</v>
      </c>
    </row>
    <row r="1006">
      <c r="A1006" s="5">
        <v>1005.0</v>
      </c>
      <c r="B1006" s="9" t="s">
        <v>982</v>
      </c>
      <c r="C1006" s="10" t="s">
        <v>257</v>
      </c>
      <c r="D1006" s="10" t="s">
        <v>10</v>
      </c>
      <c r="E1006" s="14">
        <v>0.0</v>
      </c>
    </row>
    <row r="1007">
      <c r="A1007" s="5">
        <v>1006.0</v>
      </c>
      <c r="B1007" s="9" t="s">
        <v>983</v>
      </c>
      <c r="C1007" s="10" t="s">
        <v>257</v>
      </c>
      <c r="D1007" s="10" t="s">
        <v>10</v>
      </c>
      <c r="E1007" s="14">
        <v>0.0</v>
      </c>
    </row>
    <row r="1008">
      <c r="A1008" s="5">
        <v>1007.0</v>
      </c>
      <c r="B1008" s="9" t="s">
        <v>984</v>
      </c>
      <c r="C1008" s="10" t="s">
        <v>257</v>
      </c>
      <c r="D1008" s="10" t="s">
        <v>10</v>
      </c>
      <c r="E1008" s="14">
        <v>0.0</v>
      </c>
    </row>
    <row r="1009">
      <c r="A1009" s="5">
        <v>1008.0</v>
      </c>
      <c r="B1009" s="9" t="s">
        <v>985</v>
      </c>
      <c r="C1009" s="10" t="s">
        <v>257</v>
      </c>
      <c r="D1009" s="10" t="s">
        <v>10</v>
      </c>
      <c r="E1009" s="14">
        <v>0.0</v>
      </c>
    </row>
    <row r="1010">
      <c r="A1010" s="5">
        <v>1009.0</v>
      </c>
      <c r="B1010" s="9" t="s">
        <v>986</v>
      </c>
      <c r="C1010" s="10" t="s">
        <v>257</v>
      </c>
      <c r="D1010" s="10" t="s">
        <v>10</v>
      </c>
      <c r="E1010" s="14">
        <v>0.0</v>
      </c>
    </row>
    <row r="1011">
      <c r="A1011" s="5">
        <v>1010.0</v>
      </c>
      <c r="B1011" s="9" t="s">
        <v>987</v>
      </c>
      <c r="C1011" s="10" t="s">
        <v>104</v>
      </c>
      <c r="D1011" s="11" t="s">
        <v>10</v>
      </c>
      <c r="E1011" s="14">
        <v>0.0</v>
      </c>
    </row>
    <row r="1012">
      <c r="A1012" s="5">
        <v>1011.0</v>
      </c>
      <c r="B1012" s="9" t="s">
        <v>988</v>
      </c>
      <c r="C1012" s="10" t="s">
        <v>29</v>
      </c>
      <c r="D1012" s="11" t="s">
        <v>10</v>
      </c>
      <c r="E1012" s="14">
        <v>0.0</v>
      </c>
    </row>
    <row r="1013">
      <c r="A1013" s="5">
        <v>1012.0</v>
      </c>
      <c r="B1013" s="9" t="s">
        <v>989</v>
      </c>
      <c r="C1013" s="10" t="s">
        <v>54</v>
      </c>
      <c r="D1013" s="11" t="s">
        <v>10</v>
      </c>
      <c r="E1013" s="14">
        <v>0.0</v>
      </c>
    </row>
    <row r="1014">
      <c r="A1014" s="5">
        <v>1013.0</v>
      </c>
      <c r="B1014" s="9" t="s">
        <v>990</v>
      </c>
      <c r="C1014" s="10" t="s">
        <v>134</v>
      </c>
      <c r="D1014" s="11" t="s">
        <v>10</v>
      </c>
      <c r="E1014" s="14">
        <v>0.0</v>
      </c>
    </row>
    <row r="1015">
      <c r="A1015" s="5">
        <v>1014.0</v>
      </c>
      <c r="B1015" s="9" t="s">
        <v>361</v>
      </c>
      <c r="C1015" s="10" t="s">
        <v>38</v>
      </c>
      <c r="D1015" s="11" t="s">
        <v>10</v>
      </c>
      <c r="E1015" s="14">
        <v>0.0</v>
      </c>
    </row>
    <row r="1016">
      <c r="A1016" s="5">
        <v>1015.0</v>
      </c>
      <c r="B1016" s="9" t="s">
        <v>991</v>
      </c>
      <c r="C1016" s="10" t="s">
        <v>257</v>
      </c>
      <c r="D1016" s="11" t="s">
        <v>10</v>
      </c>
      <c r="E1016" s="14">
        <v>0.0</v>
      </c>
    </row>
    <row r="1017">
      <c r="A1017" s="5">
        <v>1016.0</v>
      </c>
      <c r="B1017" s="9" t="s">
        <v>992</v>
      </c>
      <c r="C1017" s="10" t="s">
        <v>102</v>
      </c>
      <c r="D1017" s="11" t="s">
        <v>10</v>
      </c>
      <c r="E1017" s="14">
        <v>0.0</v>
      </c>
    </row>
    <row r="1018">
      <c r="A1018" s="5">
        <v>1017.0</v>
      </c>
      <c r="B1018" s="9" t="s">
        <v>993</v>
      </c>
      <c r="C1018" s="10" t="s">
        <v>63</v>
      </c>
      <c r="D1018" s="11" t="s">
        <v>10</v>
      </c>
      <c r="E1018" s="14">
        <v>0.0</v>
      </c>
    </row>
    <row r="1019">
      <c r="A1019" s="5">
        <v>1018.0</v>
      </c>
      <c r="B1019" s="9" t="s">
        <v>994</v>
      </c>
      <c r="C1019" s="10" t="s">
        <v>104</v>
      </c>
      <c r="D1019" s="11" t="s">
        <v>10</v>
      </c>
      <c r="E1019" s="14">
        <v>0.0</v>
      </c>
    </row>
    <row r="1020">
      <c r="A1020" s="5">
        <v>1019.0</v>
      </c>
      <c r="B1020" s="9" t="s">
        <v>995</v>
      </c>
      <c r="C1020" s="10" t="s">
        <v>20</v>
      </c>
      <c r="D1020" s="11" t="s">
        <v>10</v>
      </c>
      <c r="E1020" s="14">
        <v>0.0</v>
      </c>
    </row>
    <row r="1021">
      <c r="A1021" s="5">
        <v>1020.0</v>
      </c>
      <c r="B1021" s="9" t="s">
        <v>996</v>
      </c>
      <c r="C1021" s="10" t="s">
        <v>257</v>
      </c>
      <c r="D1021" s="11" t="s">
        <v>10</v>
      </c>
      <c r="E1021" s="14">
        <v>0.0</v>
      </c>
    </row>
    <row r="1022">
      <c r="A1022" s="5">
        <v>1021.0</v>
      </c>
      <c r="B1022" s="9" t="s">
        <v>997</v>
      </c>
      <c r="C1022" s="10" t="s">
        <v>59</v>
      </c>
      <c r="D1022" s="11" t="s">
        <v>10</v>
      </c>
      <c r="E1022" s="14">
        <v>0.0</v>
      </c>
    </row>
    <row r="1023">
      <c r="A1023" s="5">
        <v>1022.0</v>
      </c>
      <c r="B1023" s="9" t="s">
        <v>998</v>
      </c>
      <c r="C1023" s="10" t="s">
        <v>14</v>
      </c>
      <c r="D1023" s="11" t="s">
        <v>10</v>
      </c>
      <c r="E1023" s="14">
        <v>0.0</v>
      </c>
    </row>
    <row r="1024">
      <c r="A1024" s="5">
        <v>1023.0</v>
      </c>
      <c r="B1024" s="9" t="s">
        <v>999</v>
      </c>
      <c r="C1024" s="10" t="s">
        <v>6</v>
      </c>
      <c r="D1024" s="11" t="s">
        <v>10</v>
      </c>
      <c r="E1024" s="14">
        <v>0.0</v>
      </c>
    </row>
    <row r="1025">
      <c r="A1025" s="5">
        <v>1024.0</v>
      </c>
      <c r="B1025" s="9" t="s">
        <v>1000</v>
      </c>
      <c r="C1025" s="10" t="s">
        <v>40</v>
      </c>
      <c r="D1025" s="11" t="s">
        <v>10</v>
      </c>
      <c r="E1025" s="14">
        <v>0.0</v>
      </c>
    </row>
    <row r="1026">
      <c r="A1026" s="5">
        <v>1025.0</v>
      </c>
      <c r="B1026" s="9" t="s">
        <v>1001</v>
      </c>
      <c r="C1026" s="10" t="s">
        <v>48</v>
      </c>
      <c r="D1026" s="11" t="s">
        <v>10</v>
      </c>
      <c r="E1026" s="14">
        <v>0.0</v>
      </c>
    </row>
    <row r="1027">
      <c r="A1027" s="5">
        <v>1026.0</v>
      </c>
      <c r="B1027" s="9" t="s">
        <v>1002</v>
      </c>
      <c r="C1027" s="10" t="s">
        <v>257</v>
      </c>
      <c r="D1027" s="11" t="s">
        <v>10</v>
      </c>
      <c r="E1027" s="14">
        <v>0.0</v>
      </c>
    </row>
    <row r="1028">
      <c r="A1028" s="5">
        <v>1027.0</v>
      </c>
      <c r="B1028" s="9" t="s">
        <v>1003</v>
      </c>
      <c r="C1028" s="10" t="s">
        <v>96</v>
      </c>
      <c r="D1028" s="11" t="s">
        <v>10</v>
      </c>
      <c r="E1028" s="14">
        <v>0.0</v>
      </c>
    </row>
    <row r="1029">
      <c r="A1029" s="5">
        <v>1028.0</v>
      </c>
      <c r="B1029" s="9" t="s">
        <v>1004</v>
      </c>
      <c r="C1029" s="10" t="s">
        <v>12</v>
      </c>
      <c r="D1029" s="11" t="s">
        <v>10</v>
      </c>
      <c r="E1029" s="14">
        <v>0.0</v>
      </c>
    </row>
    <row r="1030">
      <c r="A1030" s="5">
        <v>1029.0</v>
      </c>
      <c r="B1030" s="9" t="s">
        <v>1005</v>
      </c>
      <c r="C1030" s="10" t="s">
        <v>69</v>
      </c>
      <c r="D1030" s="11" t="s">
        <v>10</v>
      </c>
      <c r="E1030" s="14">
        <v>0.0</v>
      </c>
    </row>
    <row r="1031">
      <c r="A1031" s="5">
        <v>1030.0</v>
      </c>
      <c r="B1031" s="9" t="s">
        <v>1006</v>
      </c>
      <c r="C1031" s="10" t="s">
        <v>14</v>
      </c>
      <c r="D1031" s="11" t="s">
        <v>10</v>
      </c>
      <c r="E1031" s="14">
        <v>0.0</v>
      </c>
    </row>
    <row r="1032">
      <c r="A1032" s="15"/>
      <c r="B1032" s="16"/>
      <c r="C1032" s="15"/>
      <c r="D1032" s="17"/>
      <c r="E1032" s="18"/>
    </row>
    <row r="1033">
      <c r="A1033" s="15"/>
      <c r="B1033" s="16"/>
      <c r="C1033" s="15"/>
      <c r="D1033" s="17"/>
      <c r="E1033" s="18"/>
    </row>
    <row r="1034">
      <c r="A1034" s="15"/>
      <c r="B1034" s="16"/>
      <c r="C1034" s="15"/>
      <c r="D1034" s="17"/>
      <c r="E1034" s="18"/>
    </row>
    <row r="1035">
      <c r="A1035" s="15"/>
      <c r="B1035" s="16"/>
      <c r="C1035" s="15"/>
      <c r="D1035" s="17"/>
      <c r="E1035" s="18"/>
    </row>
    <row r="1036">
      <c r="A1036" s="15"/>
      <c r="B1036" s="16"/>
      <c r="C1036" s="15"/>
      <c r="D1036" s="17"/>
      <c r="E1036" s="18"/>
    </row>
    <row r="1037">
      <c r="A1037" s="15"/>
      <c r="B1037" s="16"/>
      <c r="C1037" s="15"/>
      <c r="D1037" s="17"/>
      <c r="E1037" s="18"/>
    </row>
    <row r="1038">
      <c r="A1038" s="15"/>
      <c r="B1038" s="16"/>
      <c r="C1038" s="15"/>
      <c r="D1038" s="17"/>
      <c r="E1038" s="18"/>
    </row>
    <row r="1039">
      <c r="A1039" s="15"/>
      <c r="B1039" s="16"/>
      <c r="C1039" s="15"/>
      <c r="D1039" s="17"/>
      <c r="E1039" s="18"/>
    </row>
    <row r="1040">
      <c r="A1040" s="15"/>
      <c r="B1040" s="16"/>
      <c r="C1040" s="15"/>
      <c r="D1040" s="17"/>
      <c r="E1040" s="18"/>
    </row>
    <row r="1041">
      <c r="A1041" s="15"/>
      <c r="B1041" s="16"/>
      <c r="C1041" s="15"/>
      <c r="D1041" s="17"/>
      <c r="E1041" s="18"/>
    </row>
    <row r="1042">
      <c r="A1042" s="15"/>
      <c r="B1042" s="16"/>
      <c r="C1042" s="15"/>
      <c r="D1042" s="17"/>
      <c r="E1042" s="18"/>
    </row>
    <row r="1043">
      <c r="A1043" s="15"/>
      <c r="B1043" s="16"/>
      <c r="C1043" s="15"/>
      <c r="D1043" s="17"/>
      <c r="E1043" s="18"/>
    </row>
    <row r="1044">
      <c r="A1044" s="15"/>
      <c r="B1044" s="16"/>
      <c r="C1044" s="15"/>
      <c r="D1044" s="17"/>
      <c r="E1044" s="18"/>
    </row>
    <row r="1045">
      <c r="A1045" s="15"/>
      <c r="B1045" s="16"/>
      <c r="C1045" s="15"/>
      <c r="D1045" s="17"/>
      <c r="E1045" s="18"/>
    </row>
    <row r="1046">
      <c r="A1046" s="15"/>
      <c r="B1046" s="16"/>
      <c r="C1046" s="15"/>
      <c r="D1046" s="17"/>
      <c r="E1046" s="18"/>
    </row>
    <row r="1047">
      <c r="A1047" s="15"/>
      <c r="B1047" s="16"/>
      <c r="C1047" s="15"/>
      <c r="D1047" s="17"/>
      <c r="E1047" s="18"/>
    </row>
    <row r="1048">
      <c r="A1048" s="15"/>
      <c r="B1048" s="16"/>
      <c r="C1048" s="15"/>
      <c r="D1048" s="17"/>
      <c r="E1048" s="18"/>
    </row>
    <row r="1049">
      <c r="A1049" s="15"/>
      <c r="B1049" s="16"/>
      <c r="C1049" s="15"/>
      <c r="D1049" s="17"/>
      <c r="E1049" s="18"/>
    </row>
    <row r="1050">
      <c r="A1050" s="15"/>
      <c r="B1050" s="16"/>
      <c r="C1050" s="15"/>
      <c r="D1050" s="17"/>
      <c r="E1050" s="18"/>
    </row>
    <row r="1051">
      <c r="A1051" s="15"/>
      <c r="B1051" s="16"/>
      <c r="C1051" s="15"/>
      <c r="D1051" s="17"/>
      <c r="E1051" s="18"/>
    </row>
    <row r="1052">
      <c r="A1052" s="15"/>
      <c r="B1052" s="16"/>
      <c r="C1052" s="15"/>
      <c r="D1052" s="17"/>
      <c r="E1052" s="18"/>
    </row>
    <row r="1053">
      <c r="A1053" s="15"/>
      <c r="B1053" s="16"/>
      <c r="C1053" s="15"/>
      <c r="D1053" s="17"/>
      <c r="E1053" s="18"/>
    </row>
    <row r="1054">
      <c r="A1054" s="15"/>
      <c r="B1054" s="16"/>
      <c r="C1054" s="15"/>
      <c r="D1054" s="17"/>
      <c r="E1054" s="18"/>
    </row>
    <row r="1055">
      <c r="A1055" s="15"/>
      <c r="B1055" s="16"/>
      <c r="C1055" s="15"/>
      <c r="D1055" s="17"/>
      <c r="E1055" s="18"/>
    </row>
    <row r="1056">
      <c r="A1056" s="15"/>
      <c r="B1056" s="16"/>
      <c r="C1056" s="15"/>
      <c r="D1056" s="17"/>
      <c r="E1056" s="18"/>
    </row>
    <row r="1057">
      <c r="A1057" s="15"/>
      <c r="B1057" s="16"/>
      <c r="C1057" s="15"/>
      <c r="D1057" s="17"/>
      <c r="E1057" s="18"/>
    </row>
    <row r="1058">
      <c r="A1058" s="15"/>
      <c r="B1058" s="16"/>
      <c r="C1058" s="15"/>
      <c r="D1058" s="17"/>
      <c r="E1058" s="18"/>
    </row>
    <row r="1059">
      <c r="A1059" s="15"/>
      <c r="B1059" s="16"/>
      <c r="C1059" s="15"/>
      <c r="D1059" s="17"/>
      <c r="E1059" s="18"/>
    </row>
    <row r="1060">
      <c r="A1060" s="15"/>
      <c r="B1060" s="16"/>
      <c r="C1060" s="15"/>
      <c r="D1060" s="17"/>
      <c r="E1060" s="18"/>
    </row>
    <row r="1061">
      <c r="A1061" s="15"/>
      <c r="B1061" s="16"/>
      <c r="C1061" s="15"/>
      <c r="D1061" s="17"/>
      <c r="E1061" s="18"/>
    </row>
    <row r="1062">
      <c r="A1062" s="15"/>
      <c r="B1062" s="16"/>
      <c r="C1062" s="15"/>
      <c r="D1062" s="17"/>
      <c r="E1062" s="18"/>
    </row>
    <row r="1063">
      <c r="A1063" s="15"/>
      <c r="B1063" s="16"/>
      <c r="C1063" s="15"/>
      <c r="D1063" s="17"/>
      <c r="E1063" s="18"/>
    </row>
    <row r="1064">
      <c r="A1064" s="15"/>
      <c r="B1064" s="16"/>
      <c r="C1064" s="15"/>
      <c r="D1064" s="17"/>
      <c r="E1064" s="18"/>
    </row>
    <row r="1065">
      <c r="A1065" s="15"/>
      <c r="B1065" s="16"/>
      <c r="C1065" s="15"/>
      <c r="D1065" s="17"/>
      <c r="E1065" s="18"/>
    </row>
    <row r="1066">
      <c r="A1066" s="15"/>
      <c r="B1066" s="16"/>
      <c r="C1066" s="15"/>
      <c r="D1066" s="17"/>
      <c r="E1066" s="18"/>
    </row>
    <row r="1067">
      <c r="A1067" s="15"/>
      <c r="B1067" s="16"/>
      <c r="C1067" s="15"/>
      <c r="D1067" s="17"/>
      <c r="E1067" s="18"/>
    </row>
    <row r="1068">
      <c r="A1068" s="15"/>
      <c r="B1068" s="16"/>
      <c r="C1068" s="15"/>
      <c r="D1068" s="17"/>
      <c r="E1068" s="18"/>
    </row>
    <row r="1069">
      <c r="A1069" s="15"/>
      <c r="B1069" s="16"/>
      <c r="C1069" s="15"/>
      <c r="D1069" s="17"/>
      <c r="E1069" s="18"/>
    </row>
    <row r="1070">
      <c r="A1070" s="15"/>
      <c r="B1070" s="16"/>
      <c r="C1070" s="15"/>
      <c r="D1070" s="17"/>
      <c r="E1070" s="18"/>
    </row>
    <row r="1071">
      <c r="A1071" s="15"/>
      <c r="B1071" s="16"/>
      <c r="C1071" s="15"/>
      <c r="D1071" s="17"/>
      <c r="E1071" s="18"/>
    </row>
    <row r="1072">
      <c r="A1072" s="15"/>
      <c r="B1072" s="16"/>
      <c r="C1072" s="15"/>
      <c r="D1072" s="17"/>
      <c r="E1072" s="18"/>
    </row>
    <row r="1073">
      <c r="A1073" s="15"/>
      <c r="B1073" s="16"/>
      <c r="C1073" s="15"/>
      <c r="D1073" s="17"/>
      <c r="E1073" s="18"/>
    </row>
    <row r="1074">
      <c r="A1074" s="15"/>
      <c r="B1074" s="16"/>
      <c r="C1074" s="15"/>
      <c r="D1074" s="17"/>
      <c r="E1074" s="18"/>
    </row>
    <row r="1075">
      <c r="A1075" s="15"/>
      <c r="B1075" s="16"/>
      <c r="C1075" s="15"/>
      <c r="D1075" s="17"/>
      <c r="E1075" s="18"/>
    </row>
    <row r="1076">
      <c r="A1076" s="15"/>
      <c r="B1076" s="16"/>
      <c r="C1076" s="15"/>
      <c r="D1076" s="17"/>
      <c r="E1076" s="18"/>
    </row>
    <row r="1077">
      <c r="A1077" s="15"/>
      <c r="B1077" s="16"/>
      <c r="C1077" s="15"/>
      <c r="D1077" s="17"/>
      <c r="E1077" s="18"/>
    </row>
    <row r="1078">
      <c r="A1078" s="15"/>
      <c r="B1078" s="16"/>
      <c r="C1078" s="15"/>
      <c r="D1078" s="17"/>
      <c r="E1078" s="18"/>
    </row>
    <row r="1079">
      <c r="A1079" s="15"/>
      <c r="B1079" s="16"/>
      <c r="C1079" s="15"/>
      <c r="D1079" s="17"/>
      <c r="E1079" s="18"/>
    </row>
    <row r="1080">
      <c r="A1080" s="15"/>
      <c r="B1080" s="16"/>
      <c r="C1080" s="15"/>
      <c r="D1080" s="17"/>
      <c r="E1080" s="18"/>
    </row>
    <row r="1081">
      <c r="A1081" s="15"/>
      <c r="B1081" s="16"/>
      <c r="C1081" s="15"/>
      <c r="D1081" s="17"/>
      <c r="E1081" s="18"/>
    </row>
    <row r="1082">
      <c r="A1082" s="15"/>
      <c r="B1082" s="16"/>
      <c r="C1082" s="15"/>
      <c r="D1082" s="17"/>
      <c r="E1082" s="18"/>
    </row>
    <row r="1083">
      <c r="A1083" s="15"/>
      <c r="B1083" s="16"/>
      <c r="C1083" s="15"/>
      <c r="D1083" s="17"/>
      <c r="E1083" s="18"/>
    </row>
    <row r="1084">
      <c r="A1084" s="15"/>
      <c r="B1084" s="16"/>
      <c r="C1084" s="15"/>
      <c r="D1084" s="17"/>
      <c r="E1084" s="18"/>
    </row>
    <row r="1085">
      <c r="A1085" s="15"/>
      <c r="B1085" s="16"/>
      <c r="C1085" s="15"/>
      <c r="D1085" s="17"/>
      <c r="E1085" s="18"/>
    </row>
    <row r="1086">
      <c r="A1086" s="15"/>
      <c r="B1086" s="16"/>
      <c r="C1086" s="15"/>
      <c r="D1086" s="17"/>
      <c r="E1086" s="18"/>
    </row>
    <row r="1087">
      <c r="A1087" s="15"/>
      <c r="B1087" s="16"/>
      <c r="C1087" s="15"/>
      <c r="D1087" s="17"/>
      <c r="E1087" s="18"/>
    </row>
    <row r="1088">
      <c r="A1088" s="15"/>
      <c r="B1088" s="16"/>
      <c r="C1088" s="15"/>
      <c r="D1088" s="17"/>
      <c r="E1088" s="18"/>
    </row>
    <row r="1089">
      <c r="A1089" s="15"/>
      <c r="B1089" s="16"/>
      <c r="C1089" s="15"/>
      <c r="D1089" s="17"/>
      <c r="E1089" s="18"/>
    </row>
    <row r="1090">
      <c r="A1090" s="15"/>
      <c r="B1090" s="16"/>
      <c r="C1090" s="15"/>
      <c r="D1090" s="17"/>
      <c r="E1090" s="18"/>
    </row>
    <row r="1091">
      <c r="A1091" s="15"/>
      <c r="B1091" s="16"/>
      <c r="C1091" s="15"/>
      <c r="D1091" s="17"/>
      <c r="E1091" s="18"/>
    </row>
    <row r="1092">
      <c r="A1092" s="15"/>
      <c r="B1092" s="16"/>
      <c r="C1092" s="15"/>
      <c r="D1092" s="17"/>
      <c r="E1092" s="18"/>
    </row>
    <row r="1093">
      <c r="A1093" s="15"/>
      <c r="B1093" s="16"/>
      <c r="C1093" s="15"/>
      <c r="D1093" s="17"/>
      <c r="E1093" s="18"/>
    </row>
    <row r="1094">
      <c r="A1094" s="15"/>
      <c r="B1094" s="16"/>
      <c r="C1094" s="15"/>
      <c r="D1094" s="17"/>
      <c r="E1094" s="18"/>
    </row>
    <row r="1095">
      <c r="A1095" s="15"/>
      <c r="B1095" s="16"/>
      <c r="C1095" s="15"/>
      <c r="D1095" s="17"/>
      <c r="E1095" s="18"/>
    </row>
    <row r="1096">
      <c r="A1096" s="15"/>
      <c r="B1096" s="16"/>
      <c r="C1096" s="15"/>
      <c r="D1096" s="17"/>
      <c r="E1096" s="18"/>
    </row>
    <row r="1097">
      <c r="A1097" s="15"/>
      <c r="B1097" s="16"/>
      <c r="C1097" s="15"/>
      <c r="D1097" s="17"/>
      <c r="E1097" s="18"/>
    </row>
    <row r="1098">
      <c r="A1098" s="15"/>
      <c r="B1098" s="16"/>
      <c r="C1098" s="15"/>
      <c r="D1098" s="17"/>
      <c r="E1098" s="18"/>
    </row>
    <row r="1099">
      <c r="A1099" s="15"/>
      <c r="B1099" s="16"/>
      <c r="C1099" s="15"/>
      <c r="D1099" s="17"/>
      <c r="E1099" s="18"/>
    </row>
    <row r="1100">
      <c r="A1100" s="15"/>
      <c r="B1100" s="16"/>
      <c r="C1100" s="15"/>
      <c r="D1100" s="17"/>
      <c r="E1100" s="18"/>
    </row>
    <row r="1101">
      <c r="A1101" s="15"/>
      <c r="B1101" s="16"/>
      <c r="C1101" s="15"/>
      <c r="D1101" s="17"/>
      <c r="E1101" s="18"/>
    </row>
    <row r="1102">
      <c r="A1102" s="15"/>
      <c r="B1102" s="16"/>
      <c r="C1102" s="15"/>
      <c r="D1102" s="17"/>
      <c r="E1102" s="18"/>
    </row>
    <row r="1103">
      <c r="A1103" s="15"/>
      <c r="B1103" s="16"/>
      <c r="C1103" s="15"/>
      <c r="D1103" s="17"/>
      <c r="E1103" s="18"/>
    </row>
    <row r="1104">
      <c r="A1104" s="15"/>
      <c r="B1104" s="16"/>
      <c r="C1104" s="15"/>
      <c r="D1104" s="17"/>
      <c r="E1104" s="18"/>
    </row>
    <row r="1105">
      <c r="A1105" s="15"/>
      <c r="B1105" s="16"/>
      <c r="C1105" s="15"/>
      <c r="D1105" s="17"/>
      <c r="E1105" s="18"/>
    </row>
    <row r="1106">
      <c r="A1106" s="15"/>
      <c r="B1106" s="16"/>
      <c r="C1106" s="15"/>
      <c r="D1106" s="17"/>
      <c r="E1106" s="18"/>
    </row>
    <row r="1107">
      <c r="A1107" s="15"/>
      <c r="B1107" s="16"/>
      <c r="C1107" s="15"/>
      <c r="D1107" s="17"/>
      <c r="E1107" s="18"/>
    </row>
    <row r="1108">
      <c r="A1108" s="15"/>
      <c r="B1108" s="16"/>
      <c r="C1108" s="15"/>
      <c r="D1108" s="17"/>
      <c r="E1108" s="18"/>
    </row>
    <row r="1109">
      <c r="A1109" s="15"/>
      <c r="B1109" s="16"/>
      <c r="C1109" s="15"/>
      <c r="D1109" s="17"/>
      <c r="E1109" s="18"/>
    </row>
    <row r="1110">
      <c r="A1110" s="15"/>
      <c r="B1110" s="16"/>
      <c r="C1110" s="15"/>
      <c r="D1110" s="17"/>
      <c r="E1110" s="18"/>
    </row>
    <row r="1111">
      <c r="A1111" s="15"/>
      <c r="B1111" s="16"/>
      <c r="C1111" s="15"/>
      <c r="D1111" s="17"/>
      <c r="E1111" s="18"/>
    </row>
    <row r="1112">
      <c r="A1112" s="15"/>
      <c r="B1112" s="16"/>
      <c r="C1112" s="15"/>
      <c r="D1112" s="17"/>
      <c r="E1112" s="18"/>
    </row>
    <row r="1113">
      <c r="A1113" s="15"/>
      <c r="B1113" s="16"/>
      <c r="C1113" s="15"/>
      <c r="D1113" s="17"/>
      <c r="E1113" s="18"/>
    </row>
    <row r="1114">
      <c r="A1114" s="15"/>
      <c r="B1114" s="16"/>
      <c r="C1114" s="15"/>
      <c r="D1114" s="17"/>
      <c r="E1114" s="18"/>
    </row>
    <row r="1115">
      <c r="A1115" s="15"/>
      <c r="B1115" s="16"/>
      <c r="C1115" s="15"/>
      <c r="D1115" s="17"/>
      <c r="E1115" s="18"/>
    </row>
    <row r="1116">
      <c r="A1116" s="15"/>
      <c r="B1116" s="16"/>
      <c r="C1116" s="15"/>
      <c r="D1116" s="17"/>
      <c r="E1116" s="18"/>
    </row>
    <row r="1117">
      <c r="A1117" s="15"/>
      <c r="B1117" s="16"/>
      <c r="C1117" s="15"/>
      <c r="D1117" s="17"/>
      <c r="E1117" s="18"/>
    </row>
    <row r="1118">
      <c r="A1118" s="15"/>
      <c r="B1118" s="16"/>
      <c r="C1118" s="15"/>
      <c r="D1118" s="17"/>
      <c r="E1118" s="18"/>
    </row>
    <row r="1119">
      <c r="A1119" s="15"/>
      <c r="B1119" s="16"/>
      <c r="C1119" s="15"/>
      <c r="D1119" s="17"/>
      <c r="E1119" s="18"/>
    </row>
    <row r="1120">
      <c r="A1120" s="15"/>
      <c r="B1120" s="16"/>
      <c r="C1120" s="15"/>
      <c r="D1120" s="17"/>
      <c r="E1120" s="18"/>
    </row>
    <row r="1121">
      <c r="A1121" s="15"/>
      <c r="B1121" s="16"/>
      <c r="C1121" s="15"/>
      <c r="D1121" s="17"/>
      <c r="E1121" s="18"/>
    </row>
    <row r="1122">
      <c r="A1122" s="15"/>
      <c r="B1122" s="16"/>
      <c r="C1122" s="15"/>
      <c r="D1122" s="17"/>
      <c r="E1122" s="18"/>
    </row>
    <row r="1123">
      <c r="A1123" s="15"/>
      <c r="B1123" s="16"/>
      <c r="C1123" s="15"/>
      <c r="D1123" s="17"/>
      <c r="E1123" s="18"/>
    </row>
    <row r="1124">
      <c r="A1124" s="15"/>
      <c r="B1124" s="16"/>
      <c r="C1124" s="15"/>
      <c r="D1124" s="17"/>
      <c r="E1124" s="18"/>
    </row>
    <row r="1125">
      <c r="A1125" s="15"/>
      <c r="B1125" s="16"/>
      <c r="C1125" s="15"/>
      <c r="D1125" s="17"/>
      <c r="E1125" s="18"/>
    </row>
    <row r="1126">
      <c r="A1126" s="15"/>
      <c r="B1126" s="16"/>
      <c r="C1126" s="15"/>
      <c r="D1126" s="17"/>
      <c r="E1126" s="18"/>
    </row>
    <row r="1127">
      <c r="A1127" s="15"/>
      <c r="B1127" s="16"/>
      <c r="C1127" s="15"/>
      <c r="D1127" s="17"/>
      <c r="E1127" s="18"/>
    </row>
    <row r="1128">
      <c r="A1128" s="15"/>
      <c r="B1128" s="16"/>
      <c r="C1128" s="15"/>
      <c r="D1128" s="17"/>
      <c r="E1128" s="18"/>
    </row>
    <row r="1129">
      <c r="A1129" s="15"/>
      <c r="B1129" s="16"/>
      <c r="C1129" s="15"/>
      <c r="D1129" s="17"/>
      <c r="E1129" s="18"/>
    </row>
    <row r="1130">
      <c r="A1130" s="15"/>
      <c r="B1130" s="16"/>
      <c r="C1130" s="15"/>
      <c r="D1130" s="17"/>
      <c r="E1130" s="18"/>
    </row>
    <row r="1131">
      <c r="A1131" s="15"/>
      <c r="B1131" s="16"/>
      <c r="C1131" s="15"/>
      <c r="D1131" s="17"/>
      <c r="E1131" s="18"/>
    </row>
    <row r="1132">
      <c r="A1132" s="15"/>
      <c r="B1132" s="16"/>
      <c r="C1132" s="15"/>
      <c r="D1132" s="17"/>
      <c r="E1132" s="18"/>
    </row>
    <row r="1133">
      <c r="A1133" s="15"/>
      <c r="B1133" s="16"/>
      <c r="C1133" s="15"/>
      <c r="D1133" s="17"/>
      <c r="E1133" s="18"/>
    </row>
    <row r="1134">
      <c r="A1134" s="15"/>
      <c r="B1134" s="16"/>
      <c r="C1134" s="15"/>
      <c r="D1134" s="17"/>
      <c r="E1134" s="18"/>
    </row>
    <row r="1135">
      <c r="A1135" s="15"/>
      <c r="B1135" s="16"/>
      <c r="C1135" s="15"/>
      <c r="D1135" s="17"/>
      <c r="E1135" s="18"/>
    </row>
    <row r="1136">
      <c r="A1136" s="15"/>
      <c r="B1136" s="16"/>
      <c r="C1136" s="15"/>
      <c r="D1136" s="17"/>
      <c r="E1136" s="18"/>
    </row>
    <row r="1137">
      <c r="A1137" s="15"/>
      <c r="B1137" s="16"/>
      <c r="C1137" s="15"/>
      <c r="D1137" s="17"/>
      <c r="E1137" s="18"/>
    </row>
    <row r="1138">
      <c r="A1138" s="15"/>
      <c r="B1138" s="16"/>
      <c r="C1138" s="15"/>
      <c r="D1138" s="17"/>
      <c r="E1138" s="18"/>
    </row>
    <row r="1139">
      <c r="A1139" s="15"/>
      <c r="B1139" s="16"/>
      <c r="C1139" s="15"/>
      <c r="D1139" s="17"/>
      <c r="E1139" s="18"/>
    </row>
    <row r="1140">
      <c r="A1140" s="15"/>
      <c r="B1140" s="16"/>
      <c r="C1140" s="15"/>
      <c r="D1140" s="17"/>
      <c r="E1140" s="18"/>
    </row>
    <row r="1141">
      <c r="A1141" s="15"/>
      <c r="B1141" s="16"/>
      <c r="C1141" s="15"/>
      <c r="D1141" s="17"/>
      <c r="E1141" s="18"/>
    </row>
    <row r="1142">
      <c r="A1142" s="15"/>
      <c r="B1142" s="16"/>
      <c r="C1142" s="15"/>
      <c r="D1142" s="17"/>
      <c r="E1142" s="18"/>
    </row>
    <row r="1143">
      <c r="A1143" s="15"/>
      <c r="B1143" s="16"/>
      <c r="C1143" s="15"/>
      <c r="D1143" s="17"/>
      <c r="E1143" s="18"/>
    </row>
    <row r="1144">
      <c r="A1144" s="15"/>
      <c r="B1144" s="16"/>
      <c r="C1144" s="15"/>
      <c r="D1144" s="17"/>
      <c r="E1144" s="18"/>
    </row>
    <row r="1145">
      <c r="A1145" s="15"/>
      <c r="B1145" s="16"/>
      <c r="C1145" s="15"/>
      <c r="D1145" s="17"/>
      <c r="E1145" s="18"/>
    </row>
    <row r="1146">
      <c r="A1146" s="15"/>
      <c r="B1146" s="16"/>
      <c r="C1146" s="15"/>
      <c r="D1146" s="17"/>
      <c r="E1146" s="18"/>
    </row>
    <row r="1147">
      <c r="A1147" s="15"/>
      <c r="B1147" s="16"/>
      <c r="C1147" s="15"/>
      <c r="D1147" s="17"/>
      <c r="E1147" s="18"/>
    </row>
    <row r="1148">
      <c r="A1148" s="15"/>
      <c r="B1148" s="16"/>
      <c r="C1148" s="15"/>
      <c r="D1148" s="17"/>
      <c r="E1148" s="18"/>
    </row>
    <row r="1149">
      <c r="A1149" s="15"/>
      <c r="B1149" s="16"/>
      <c r="C1149" s="15"/>
      <c r="D1149" s="17"/>
      <c r="E1149" s="18"/>
    </row>
    <row r="1150">
      <c r="A1150" s="15"/>
      <c r="B1150" s="16"/>
      <c r="C1150" s="15"/>
      <c r="D1150" s="17"/>
      <c r="E1150" s="18"/>
    </row>
    <row r="1151">
      <c r="A1151" s="15"/>
      <c r="B1151" s="16"/>
      <c r="C1151" s="15"/>
      <c r="D1151" s="17"/>
      <c r="E1151" s="18"/>
    </row>
    <row r="1152">
      <c r="A1152" s="15"/>
      <c r="B1152" s="16"/>
      <c r="C1152" s="15"/>
      <c r="D1152" s="17"/>
      <c r="E1152" s="18"/>
    </row>
    <row r="1153">
      <c r="A1153" s="15"/>
      <c r="B1153" s="16"/>
      <c r="C1153" s="15"/>
      <c r="D1153" s="17"/>
      <c r="E1153" s="18"/>
    </row>
    <row r="1154">
      <c r="A1154" s="15"/>
      <c r="B1154" s="16"/>
      <c r="C1154" s="15"/>
      <c r="D1154" s="17"/>
      <c r="E1154" s="18"/>
    </row>
    <row r="1155">
      <c r="A1155" s="15"/>
      <c r="B1155" s="16"/>
      <c r="C1155" s="15"/>
      <c r="D1155" s="17"/>
      <c r="E1155" s="18"/>
    </row>
    <row r="1156">
      <c r="A1156" s="15"/>
      <c r="B1156" s="16"/>
      <c r="C1156" s="15"/>
      <c r="D1156" s="17"/>
      <c r="E1156" s="18"/>
    </row>
    <row r="1157">
      <c r="A1157" s="15"/>
      <c r="B1157" s="16"/>
      <c r="C1157" s="15"/>
      <c r="D1157" s="17"/>
      <c r="E1157" s="18"/>
    </row>
    <row r="1158">
      <c r="A1158" s="15"/>
      <c r="B1158" s="16"/>
      <c r="C1158" s="15"/>
      <c r="D1158" s="17"/>
      <c r="E1158" s="18"/>
    </row>
    <row r="1159">
      <c r="A1159" s="15"/>
      <c r="B1159" s="16"/>
      <c r="C1159" s="15"/>
      <c r="D1159" s="17"/>
      <c r="E1159" s="18"/>
    </row>
    <row r="1160">
      <c r="A1160" s="15"/>
      <c r="B1160" s="16"/>
      <c r="C1160" s="15"/>
      <c r="D1160" s="17"/>
      <c r="E1160" s="18"/>
    </row>
    <row r="1161">
      <c r="A1161" s="15"/>
      <c r="B1161" s="16"/>
      <c r="C1161" s="15"/>
      <c r="D1161" s="17"/>
      <c r="E1161" s="18"/>
    </row>
    <row r="1162">
      <c r="A1162" s="15"/>
      <c r="B1162" s="16"/>
      <c r="C1162" s="15"/>
      <c r="D1162" s="17"/>
      <c r="E1162" s="18"/>
    </row>
    <row r="1163">
      <c r="A1163" s="15"/>
      <c r="B1163" s="16"/>
      <c r="C1163" s="15"/>
      <c r="D1163" s="17"/>
      <c r="E1163" s="18"/>
    </row>
    <row r="1164">
      <c r="A1164" s="15"/>
      <c r="B1164" s="16"/>
      <c r="C1164" s="15"/>
      <c r="D1164" s="17"/>
      <c r="E1164" s="18"/>
    </row>
    <row r="1165">
      <c r="A1165" s="15"/>
      <c r="B1165" s="16"/>
      <c r="C1165" s="15"/>
      <c r="D1165" s="17"/>
      <c r="E1165" s="18"/>
    </row>
    <row r="1166">
      <c r="A1166" s="15"/>
      <c r="B1166" s="16"/>
      <c r="C1166" s="15"/>
      <c r="D1166" s="17"/>
      <c r="E1166" s="18"/>
    </row>
    <row r="1167">
      <c r="A1167" s="15"/>
      <c r="B1167" s="16"/>
      <c r="C1167" s="15"/>
      <c r="D1167" s="17"/>
      <c r="E1167" s="18"/>
    </row>
    <row r="1168">
      <c r="A1168" s="15"/>
      <c r="B1168" s="16"/>
      <c r="C1168" s="15"/>
      <c r="D1168" s="17"/>
      <c r="E1168" s="18"/>
    </row>
    <row r="1169">
      <c r="A1169" s="15"/>
      <c r="B1169" s="16"/>
      <c r="C1169" s="15"/>
      <c r="D1169" s="17"/>
      <c r="E1169" s="18"/>
    </row>
    <row r="1170">
      <c r="A1170" s="15"/>
      <c r="B1170" s="16"/>
      <c r="C1170" s="15"/>
      <c r="D1170" s="17"/>
      <c r="E1170" s="18"/>
    </row>
    <row r="1171">
      <c r="A1171" s="15"/>
      <c r="B1171" s="16"/>
      <c r="C1171" s="15"/>
      <c r="D1171" s="17"/>
      <c r="E1171" s="18"/>
    </row>
    <row r="1172">
      <c r="A1172" s="15"/>
      <c r="B1172" s="16"/>
      <c r="C1172" s="15"/>
      <c r="D1172" s="17"/>
      <c r="E1172" s="18"/>
    </row>
    <row r="1173">
      <c r="A1173" s="15"/>
      <c r="B1173" s="16"/>
      <c r="C1173" s="15"/>
      <c r="D1173" s="17"/>
      <c r="E1173" s="18"/>
    </row>
    <row r="1174">
      <c r="A1174" s="15"/>
      <c r="B1174" s="16"/>
      <c r="C1174" s="15"/>
      <c r="D1174" s="17"/>
      <c r="E1174" s="18"/>
    </row>
    <row r="1175">
      <c r="A1175" s="15"/>
      <c r="B1175" s="16"/>
      <c r="C1175" s="15"/>
      <c r="D1175" s="17"/>
      <c r="E1175" s="18"/>
    </row>
    <row r="1176">
      <c r="A1176" s="15"/>
      <c r="B1176" s="16"/>
      <c r="C1176" s="15"/>
      <c r="D1176" s="17"/>
      <c r="E1176" s="18"/>
    </row>
    <row r="1177">
      <c r="A1177" s="15"/>
      <c r="B1177" s="16"/>
      <c r="C1177" s="15"/>
      <c r="D1177" s="17"/>
      <c r="E1177" s="18"/>
    </row>
    <row r="1178">
      <c r="A1178" s="15"/>
      <c r="B1178" s="16"/>
      <c r="C1178" s="15"/>
      <c r="D1178" s="17"/>
      <c r="E1178" s="18"/>
    </row>
    <row r="1179">
      <c r="A1179" s="15"/>
      <c r="B1179" s="16"/>
      <c r="C1179" s="15"/>
      <c r="D1179" s="17"/>
      <c r="E1179" s="18"/>
    </row>
    <row r="1180">
      <c r="A1180" s="15"/>
      <c r="B1180" s="16"/>
      <c r="C1180" s="15"/>
      <c r="D1180" s="17"/>
      <c r="E1180" s="18"/>
    </row>
    <row r="1181">
      <c r="A1181" s="15"/>
      <c r="B1181" s="16"/>
      <c r="C1181" s="15"/>
      <c r="D1181" s="17"/>
      <c r="E1181" s="18"/>
    </row>
    <row r="1182">
      <c r="A1182" s="15"/>
      <c r="B1182" s="16"/>
      <c r="C1182" s="15"/>
      <c r="D1182" s="17"/>
      <c r="E1182" s="18"/>
    </row>
    <row r="1183">
      <c r="A1183" s="15"/>
      <c r="B1183" s="16"/>
      <c r="C1183" s="15"/>
      <c r="D1183" s="17"/>
      <c r="E1183" s="18"/>
    </row>
    <row r="1184">
      <c r="A1184" s="15"/>
      <c r="B1184" s="16"/>
      <c r="C1184" s="15"/>
      <c r="D1184" s="17"/>
      <c r="E1184" s="18"/>
    </row>
    <row r="1185">
      <c r="A1185" s="15"/>
      <c r="B1185" s="16"/>
      <c r="C1185" s="15"/>
      <c r="D1185" s="17"/>
      <c r="E1185" s="18"/>
    </row>
    <row r="1186">
      <c r="A1186" s="15"/>
      <c r="B1186" s="16"/>
      <c r="C1186" s="15"/>
      <c r="D1186" s="17"/>
      <c r="E1186" s="18"/>
    </row>
    <row r="1187">
      <c r="A1187" s="15"/>
      <c r="B1187" s="16"/>
      <c r="C1187" s="15"/>
      <c r="D1187" s="17"/>
      <c r="E1187" s="18"/>
    </row>
    <row r="1188">
      <c r="A1188" s="15"/>
      <c r="B1188" s="16"/>
      <c r="C1188" s="15"/>
      <c r="D1188" s="17"/>
      <c r="E1188" s="18"/>
    </row>
    <row r="1189">
      <c r="A1189" s="15"/>
      <c r="B1189" s="16"/>
      <c r="C1189" s="15"/>
      <c r="D1189" s="17"/>
      <c r="E1189" s="18"/>
    </row>
    <row r="1190">
      <c r="A1190" s="15"/>
      <c r="B1190" s="16"/>
      <c r="C1190" s="15"/>
      <c r="D1190" s="17"/>
      <c r="E1190" s="18"/>
    </row>
    <row r="1191">
      <c r="A1191" s="15"/>
      <c r="B1191" s="16"/>
      <c r="C1191" s="15"/>
      <c r="D1191" s="17"/>
      <c r="E1191" s="18"/>
    </row>
    <row r="1192">
      <c r="A1192" s="15"/>
      <c r="B1192" s="16"/>
      <c r="C1192" s="15"/>
      <c r="D1192" s="17"/>
      <c r="E1192" s="18"/>
    </row>
    <row r="1193">
      <c r="A1193" s="15"/>
      <c r="B1193" s="16"/>
      <c r="C1193" s="15"/>
      <c r="D1193" s="17"/>
      <c r="E1193" s="18"/>
    </row>
    <row r="1194">
      <c r="A1194" s="15"/>
      <c r="B1194" s="16"/>
      <c r="C1194" s="15"/>
      <c r="D1194" s="17"/>
      <c r="E1194" s="18"/>
    </row>
    <row r="1195">
      <c r="A1195" s="15"/>
      <c r="B1195" s="16"/>
      <c r="C1195" s="15"/>
      <c r="D1195" s="17"/>
      <c r="E1195" s="18"/>
    </row>
    <row r="1196">
      <c r="A1196" s="15"/>
      <c r="B1196" s="16"/>
      <c r="C1196" s="15"/>
      <c r="D1196" s="17"/>
      <c r="E1196" s="18"/>
    </row>
    <row r="1197">
      <c r="A1197" s="15"/>
      <c r="B1197" s="16"/>
      <c r="C1197" s="15"/>
      <c r="D1197" s="17"/>
      <c r="E1197" s="18"/>
    </row>
    <row r="1198">
      <c r="A1198" s="15"/>
      <c r="B1198" s="16"/>
      <c r="C1198" s="15"/>
      <c r="D1198" s="17"/>
      <c r="E1198" s="18"/>
    </row>
    <row r="1199">
      <c r="A1199" s="15"/>
      <c r="B1199" s="16"/>
      <c r="C1199" s="15"/>
      <c r="D1199" s="17"/>
      <c r="E1199" s="18"/>
    </row>
    <row r="1200">
      <c r="A1200" s="15"/>
      <c r="B1200" s="16"/>
      <c r="C1200" s="15"/>
      <c r="D1200" s="17"/>
      <c r="E1200" s="18"/>
    </row>
    <row r="1201">
      <c r="A1201" s="15"/>
      <c r="B1201" s="16"/>
      <c r="C1201" s="15"/>
      <c r="D1201" s="17"/>
      <c r="E1201" s="18"/>
    </row>
    <row r="1202">
      <c r="A1202" s="15"/>
      <c r="B1202" s="16"/>
      <c r="C1202" s="15"/>
      <c r="D1202" s="17"/>
      <c r="E1202" s="18"/>
    </row>
    <row r="1203">
      <c r="A1203" s="15"/>
      <c r="B1203" s="16"/>
      <c r="C1203" s="15"/>
      <c r="D1203" s="17"/>
      <c r="E1203" s="18"/>
    </row>
    <row r="1204">
      <c r="A1204" s="15"/>
      <c r="B1204" s="16"/>
      <c r="C1204" s="15"/>
      <c r="D1204" s="17"/>
      <c r="E1204" s="18"/>
    </row>
    <row r="1205">
      <c r="A1205" s="15"/>
      <c r="B1205" s="16"/>
      <c r="C1205" s="15"/>
      <c r="D1205" s="17"/>
      <c r="E1205" s="18"/>
    </row>
    <row r="1206">
      <c r="A1206" s="15"/>
      <c r="B1206" s="16"/>
      <c r="C1206" s="15"/>
      <c r="D1206" s="17"/>
      <c r="E1206" s="18"/>
    </row>
    <row r="1207">
      <c r="A1207" s="15"/>
      <c r="B1207" s="16"/>
      <c r="C1207" s="15"/>
      <c r="D1207" s="17"/>
      <c r="E1207" s="18"/>
    </row>
    <row r="1208">
      <c r="A1208" s="15"/>
      <c r="B1208" s="16"/>
      <c r="C1208" s="15"/>
      <c r="D1208" s="17"/>
      <c r="E1208" s="18"/>
    </row>
    <row r="1209">
      <c r="A1209" s="15"/>
      <c r="B1209" s="16"/>
      <c r="C1209" s="15"/>
      <c r="D1209" s="17"/>
      <c r="E1209" s="18"/>
    </row>
    <row r="1210">
      <c r="A1210" s="15"/>
      <c r="B1210" s="16"/>
      <c r="C1210" s="15"/>
      <c r="D1210" s="17"/>
      <c r="E1210" s="18"/>
    </row>
    <row r="1211">
      <c r="A1211" s="15"/>
      <c r="B1211" s="16"/>
      <c r="C1211" s="15"/>
      <c r="D1211" s="17"/>
      <c r="E1211" s="18"/>
    </row>
    <row r="1212">
      <c r="A1212" s="15"/>
      <c r="B1212" s="16"/>
      <c r="C1212" s="15"/>
      <c r="D1212" s="17"/>
      <c r="E1212" s="18"/>
    </row>
    <row r="1213">
      <c r="A1213" s="15"/>
      <c r="B1213" s="16"/>
      <c r="C1213" s="15"/>
      <c r="D1213" s="17"/>
      <c r="E1213" s="18"/>
    </row>
    <row r="1214">
      <c r="A1214" s="15"/>
      <c r="B1214" s="16"/>
      <c r="C1214" s="15"/>
      <c r="D1214" s="17"/>
      <c r="E1214" s="18"/>
    </row>
    <row r="1215">
      <c r="A1215" s="15"/>
      <c r="B1215" s="16"/>
      <c r="C1215" s="15"/>
      <c r="D1215" s="17"/>
      <c r="E1215" s="18"/>
    </row>
    <row r="1216">
      <c r="A1216" s="15"/>
      <c r="B1216" s="16"/>
      <c r="C1216" s="15"/>
      <c r="D1216" s="17"/>
      <c r="E1216" s="18"/>
    </row>
    <row r="1217">
      <c r="A1217" s="15"/>
      <c r="B1217" s="16"/>
      <c r="C1217" s="15"/>
      <c r="D1217" s="17"/>
      <c r="E1217" s="18"/>
    </row>
    <row r="1218">
      <c r="A1218" s="15"/>
      <c r="B1218" s="16"/>
      <c r="C1218" s="15"/>
      <c r="D1218" s="17"/>
      <c r="E1218" s="18"/>
    </row>
    <row r="1219">
      <c r="A1219" s="15"/>
      <c r="B1219" s="16"/>
      <c r="C1219" s="15"/>
      <c r="D1219" s="17"/>
      <c r="E1219" s="18"/>
    </row>
    <row r="1220">
      <c r="A1220" s="15"/>
      <c r="B1220" s="16"/>
      <c r="C1220" s="15"/>
      <c r="D1220" s="17"/>
      <c r="E1220" s="18"/>
    </row>
    <row r="1221">
      <c r="A1221" s="15"/>
      <c r="B1221" s="16"/>
      <c r="C1221" s="15"/>
      <c r="D1221" s="17"/>
      <c r="E1221" s="18"/>
    </row>
    <row r="1222">
      <c r="A1222" s="15"/>
      <c r="B1222" s="16"/>
      <c r="C1222" s="15"/>
      <c r="D1222" s="17"/>
      <c r="E1222" s="18"/>
    </row>
    <row r="1223">
      <c r="A1223" s="15"/>
      <c r="B1223" s="16"/>
      <c r="C1223" s="15"/>
      <c r="D1223" s="17"/>
      <c r="E1223" s="18"/>
    </row>
    <row r="1224">
      <c r="A1224" s="15"/>
      <c r="B1224" s="16"/>
      <c r="C1224" s="15"/>
      <c r="D1224" s="17"/>
      <c r="E1224" s="18"/>
    </row>
    <row r="1225">
      <c r="A1225" s="15"/>
      <c r="B1225" s="16"/>
      <c r="C1225" s="15"/>
      <c r="D1225" s="17"/>
      <c r="E1225" s="18"/>
    </row>
    <row r="1226">
      <c r="A1226" s="15"/>
      <c r="B1226" s="16"/>
      <c r="C1226" s="15"/>
      <c r="D1226" s="17"/>
      <c r="E1226" s="18"/>
    </row>
    <row r="1227">
      <c r="A1227" s="15"/>
      <c r="B1227" s="16"/>
      <c r="C1227" s="15"/>
      <c r="D1227" s="17"/>
      <c r="E1227" s="18"/>
    </row>
    <row r="1228">
      <c r="A1228" s="15"/>
      <c r="B1228" s="16"/>
      <c r="C1228" s="15"/>
      <c r="D1228" s="17"/>
      <c r="E1228" s="18"/>
    </row>
    <row r="1229">
      <c r="A1229" s="15"/>
      <c r="B1229" s="16"/>
      <c r="C1229" s="15"/>
      <c r="D1229" s="17"/>
      <c r="E1229" s="18"/>
    </row>
    <row r="1230">
      <c r="A1230" s="15"/>
      <c r="B1230" s="16"/>
      <c r="C1230" s="15"/>
      <c r="D1230" s="17"/>
      <c r="E1230" s="18"/>
    </row>
    <row r="1231">
      <c r="A1231" s="15"/>
      <c r="B1231" s="16"/>
      <c r="C1231" s="15"/>
      <c r="D1231" s="17"/>
      <c r="E1231" s="18"/>
    </row>
    <row r="1232">
      <c r="A1232" s="15"/>
      <c r="B1232" s="16"/>
      <c r="C1232" s="15"/>
      <c r="D1232" s="17"/>
      <c r="E1232" s="18"/>
    </row>
    <row r="1233">
      <c r="A1233" s="15"/>
      <c r="B1233" s="16"/>
      <c r="C1233" s="15"/>
      <c r="D1233" s="17"/>
      <c r="E1233" s="18"/>
    </row>
    <row r="1234">
      <c r="A1234" s="15"/>
      <c r="B1234" s="16"/>
      <c r="C1234" s="15"/>
      <c r="D1234" s="17"/>
      <c r="E1234" s="18"/>
    </row>
    <row r="1235">
      <c r="A1235" s="15"/>
      <c r="B1235" s="16"/>
      <c r="C1235" s="15"/>
      <c r="D1235" s="17"/>
      <c r="E1235" s="18"/>
    </row>
    <row r="1236">
      <c r="A1236" s="15"/>
      <c r="B1236" s="16"/>
      <c r="C1236" s="15"/>
      <c r="D1236" s="17"/>
      <c r="E1236" s="18"/>
    </row>
    <row r="1237">
      <c r="A1237" s="15"/>
      <c r="B1237" s="16"/>
      <c r="C1237" s="15"/>
      <c r="D1237" s="17"/>
      <c r="E1237" s="18"/>
    </row>
    <row r="1238">
      <c r="A1238" s="15"/>
      <c r="B1238" s="16"/>
      <c r="C1238" s="15"/>
      <c r="D1238" s="17"/>
      <c r="E1238" s="18"/>
    </row>
    <row r="1239">
      <c r="A1239" s="15"/>
      <c r="B1239" s="16"/>
      <c r="C1239" s="15"/>
      <c r="D1239" s="17"/>
      <c r="E1239" s="18"/>
    </row>
    <row r="1240">
      <c r="A1240" s="15"/>
      <c r="B1240" s="16"/>
      <c r="C1240" s="15"/>
      <c r="D1240" s="17"/>
      <c r="E1240" s="18"/>
    </row>
    <row r="1241">
      <c r="A1241" s="15"/>
      <c r="B1241" s="16"/>
      <c r="C1241" s="15"/>
      <c r="D1241" s="17"/>
      <c r="E1241" s="18"/>
    </row>
    <row r="1242">
      <c r="A1242" s="15"/>
      <c r="B1242" s="16"/>
      <c r="C1242" s="15"/>
      <c r="D1242" s="17"/>
      <c r="E1242" s="18"/>
    </row>
    <row r="1243">
      <c r="A1243" s="15"/>
      <c r="B1243" s="16"/>
      <c r="C1243" s="15"/>
      <c r="D1243" s="17"/>
      <c r="E1243" s="18"/>
    </row>
    <row r="1244">
      <c r="A1244" s="15"/>
      <c r="B1244" s="16"/>
      <c r="C1244" s="15"/>
      <c r="D1244" s="17"/>
      <c r="E1244" s="18"/>
    </row>
    <row r="1245">
      <c r="A1245" s="15"/>
      <c r="B1245" s="16"/>
      <c r="C1245" s="15"/>
      <c r="D1245" s="17"/>
      <c r="E1245" s="18"/>
    </row>
    <row r="1246">
      <c r="A1246" s="15"/>
      <c r="B1246" s="16"/>
      <c r="C1246" s="15"/>
      <c r="D1246" s="17"/>
      <c r="E1246" s="18"/>
    </row>
    <row r="1247">
      <c r="A1247" s="15"/>
      <c r="B1247" s="16"/>
      <c r="C1247" s="15"/>
      <c r="D1247" s="17"/>
      <c r="E1247" s="18"/>
    </row>
    <row r="1248">
      <c r="A1248" s="15"/>
      <c r="B1248" s="16"/>
      <c r="C1248" s="15"/>
      <c r="D1248" s="17"/>
      <c r="E1248" s="18"/>
    </row>
    <row r="1249">
      <c r="A1249" s="15"/>
      <c r="B1249" s="16"/>
      <c r="C1249" s="15"/>
      <c r="D1249" s="17"/>
      <c r="E1249" s="18"/>
    </row>
    <row r="1250">
      <c r="A1250" s="15"/>
      <c r="B1250" s="16"/>
      <c r="C1250" s="15"/>
      <c r="D1250" s="17"/>
      <c r="E1250" s="18"/>
    </row>
    <row r="1251">
      <c r="A1251" s="15"/>
      <c r="B1251" s="16"/>
      <c r="C1251" s="15"/>
      <c r="D1251" s="17"/>
      <c r="E1251" s="18"/>
    </row>
    <row r="1252">
      <c r="A1252" s="15"/>
      <c r="B1252" s="16"/>
      <c r="C1252" s="15"/>
      <c r="D1252" s="17"/>
      <c r="E1252" s="18"/>
    </row>
    <row r="1253">
      <c r="A1253" s="15"/>
      <c r="B1253" s="16"/>
      <c r="C1253" s="15"/>
      <c r="D1253" s="17"/>
      <c r="E1253" s="18"/>
    </row>
    <row r="1254">
      <c r="A1254" s="15"/>
      <c r="B1254" s="16"/>
      <c r="C1254" s="15"/>
      <c r="D1254" s="17"/>
      <c r="E1254" s="18"/>
    </row>
    <row r="1255">
      <c r="A1255" s="15"/>
      <c r="B1255" s="16"/>
      <c r="C1255" s="15"/>
      <c r="D1255" s="17"/>
      <c r="E1255" s="18"/>
    </row>
    <row r="1256">
      <c r="A1256" s="15"/>
      <c r="B1256" s="16"/>
      <c r="C1256" s="15"/>
      <c r="D1256" s="17"/>
      <c r="E1256" s="18"/>
    </row>
    <row r="1257">
      <c r="A1257" s="15"/>
      <c r="B1257" s="16"/>
      <c r="C1257" s="15"/>
      <c r="D1257" s="17"/>
      <c r="E1257" s="18"/>
    </row>
    <row r="1258">
      <c r="A1258" s="15"/>
      <c r="B1258" s="16"/>
      <c r="C1258" s="15"/>
      <c r="D1258" s="17"/>
      <c r="E1258" s="18"/>
    </row>
    <row r="1259">
      <c r="A1259" s="15"/>
      <c r="B1259" s="16"/>
      <c r="C1259" s="15"/>
      <c r="D1259" s="17"/>
      <c r="E1259" s="18"/>
    </row>
    <row r="1260">
      <c r="A1260" s="15"/>
      <c r="B1260" s="16"/>
      <c r="C1260" s="15"/>
      <c r="D1260" s="17"/>
      <c r="E1260" s="18"/>
    </row>
    <row r="1261">
      <c r="A1261" s="15"/>
      <c r="B1261" s="16"/>
      <c r="C1261" s="15"/>
      <c r="D1261" s="17"/>
      <c r="E1261" s="18"/>
    </row>
    <row r="1262">
      <c r="A1262" s="15"/>
      <c r="B1262" s="16"/>
      <c r="C1262" s="15"/>
      <c r="D1262" s="17"/>
      <c r="E1262" s="18"/>
    </row>
    <row r="1263">
      <c r="A1263" s="15"/>
      <c r="B1263" s="16"/>
      <c r="C1263" s="15"/>
      <c r="D1263" s="17"/>
      <c r="E1263" s="18"/>
    </row>
    <row r="1264">
      <c r="A1264" s="15"/>
      <c r="B1264" s="16"/>
      <c r="C1264" s="15"/>
      <c r="D1264" s="17"/>
      <c r="E1264" s="18"/>
    </row>
    <row r="1265">
      <c r="A1265" s="15"/>
      <c r="B1265" s="16"/>
      <c r="C1265" s="15"/>
      <c r="D1265" s="17"/>
      <c r="E1265" s="18"/>
    </row>
    <row r="1266">
      <c r="A1266" s="15"/>
      <c r="B1266" s="16"/>
      <c r="C1266" s="15"/>
      <c r="D1266" s="17"/>
      <c r="E1266" s="18"/>
    </row>
    <row r="1267">
      <c r="A1267" s="15"/>
      <c r="B1267" s="16"/>
      <c r="C1267" s="15"/>
      <c r="D1267" s="17"/>
      <c r="E1267" s="18"/>
    </row>
    <row r="1268">
      <c r="A1268" s="15"/>
      <c r="B1268" s="16"/>
      <c r="C1268" s="15"/>
      <c r="D1268" s="17"/>
      <c r="E1268" s="18"/>
    </row>
    <row r="1269">
      <c r="A1269" s="15"/>
      <c r="B1269" s="16"/>
      <c r="C1269" s="15"/>
      <c r="D1269" s="17"/>
      <c r="E1269" s="18"/>
    </row>
    <row r="1270">
      <c r="A1270" s="15"/>
      <c r="B1270" s="16"/>
      <c r="C1270" s="15"/>
      <c r="D1270" s="17"/>
      <c r="E1270" s="18"/>
    </row>
    <row r="1271">
      <c r="A1271" s="15"/>
      <c r="B1271" s="16"/>
      <c r="C1271" s="15"/>
      <c r="D1271" s="17"/>
      <c r="E1271" s="18"/>
    </row>
    <row r="1272">
      <c r="A1272" s="15"/>
      <c r="B1272" s="16"/>
      <c r="C1272" s="15"/>
      <c r="D1272" s="17"/>
      <c r="E1272" s="18"/>
    </row>
    <row r="1273">
      <c r="A1273" s="15"/>
      <c r="B1273" s="16"/>
      <c r="C1273" s="15"/>
      <c r="D1273" s="17"/>
      <c r="E1273" s="18"/>
    </row>
    <row r="1274">
      <c r="A1274" s="15"/>
      <c r="B1274" s="16"/>
      <c r="C1274" s="15"/>
      <c r="D1274" s="17"/>
      <c r="E1274" s="18"/>
    </row>
    <row r="1275">
      <c r="A1275" s="15"/>
      <c r="B1275" s="16"/>
      <c r="C1275" s="15"/>
      <c r="D1275" s="17"/>
      <c r="E1275" s="18"/>
    </row>
    <row r="1276">
      <c r="A1276" s="15"/>
      <c r="B1276" s="16"/>
      <c r="C1276" s="15"/>
      <c r="D1276" s="17"/>
      <c r="E1276" s="18"/>
    </row>
    <row r="1277">
      <c r="A1277" s="15"/>
      <c r="B1277" s="16"/>
      <c r="C1277" s="15"/>
      <c r="D1277" s="17"/>
      <c r="E1277" s="18"/>
    </row>
    <row r="1278">
      <c r="A1278" s="15"/>
      <c r="B1278" s="16"/>
      <c r="C1278" s="15"/>
      <c r="D1278" s="17"/>
      <c r="E1278" s="18"/>
    </row>
    <row r="1279">
      <c r="A1279" s="15"/>
      <c r="B1279" s="16"/>
      <c r="C1279" s="15"/>
      <c r="D1279" s="17"/>
      <c r="E1279" s="18"/>
    </row>
    <row r="1280">
      <c r="A1280" s="15"/>
      <c r="B1280" s="16"/>
      <c r="C1280" s="15"/>
      <c r="D1280" s="17"/>
      <c r="E1280" s="18"/>
    </row>
    <row r="1281">
      <c r="A1281" s="15"/>
      <c r="B1281" s="16"/>
      <c r="C1281" s="15"/>
      <c r="D1281" s="17"/>
      <c r="E1281" s="18"/>
    </row>
  </sheetData>
  <autoFilter ref="$A$1:$E$10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idden="1">
      <c r="A2" s="5">
        <v>1.0</v>
      </c>
      <c r="B2" s="19" t="s">
        <v>5</v>
      </c>
      <c r="C2" s="20" t="s">
        <v>6</v>
      </c>
      <c r="D2" s="20" t="s">
        <v>7</v>
      </c>
      <c r="E2" s="21">
        <v>63.0</v>
      </c>
    </row>
    <row r="3" hidden="1">
      <c r="A3" s="5">
        <v>2.0</v>
      </c>
      <c r="B3" s="6" t="s">
        <v>28</v>
      </c>
      <c r="C3" s="7" t="s">
        <v>29</v>
      </c>
      <c r="D3" s="7" t="s">
        <v>7</v>
      </c>
      <c r="E3" s="8">
        <v>53.0</v>
      </c>
    </row>
    <row r="4" hidden="1">
      <c r="A4" s="5">
        <v>3.0</v>
      </c>
      <c r="B4" s="6" t="s">
        <v>13</v>
      </c>
      <c r="C4" s="7" t="s">
        <v>14</v>
      </c>
      <c r="D4" s="7" t="s">
        <v>7</v>
      </c>
      <c r="E4" s="8">
        <v>52.0</v>
      </c>
    </row>
    <row r="5" hidden="1">
      <c r="A5" s="5">
        <v>4.0</v>
      </c>
      <c r="B5" s="6" t="s">
        <v>36</v>
      </c>
      <c r="C5" s="7" t="s">
        <v>24</v>
      </c>
      <c r="D5" s="7" t="s">
        <v>7</v>
      </c>
      <c r="E5" s="8">
        <v>52.0</v>
      </c>
    </row>
    <row r="6" hidden="1">
      <c r="A6" s="5">
        <v>5.0</v>
      </c>
      <c r="B6" s="6" t="s">
        <v>21</v>
      </c>
      <c r="C6" s="7" t="s">
        <v>22</v>
      </c>
      <c r="D6" s="7" t="s">
        <v>7</v>
      </c>
      <c r="E6" s="8">
        <v>49.0</v>
      </c>
    </row>
    <row r="7" hidden="1">
      <c r="A7" s="5">
        <v>6.0</v>
      </c>
      <c r="B7" s="6" t="s">
        <v>33</v>
      </c>
      <c r="C7" s="7" t="s">
        <v>34</v>
      </c>
      <c r="D7" s="7" t="s">
        <v>7</v>
      </c>
      <c r="E7" s="8">
        <v>48.0</v>
      </c>
    </row>
    <row r="8" hidden="1">
      <c r="A8" s="5">
        <v>7.0</v>
      </c>
      <c r="B8" s="6" t="s">
        <v>23</v>
      </c>
      <c r="C8" s="7" t="s">
        <v>24</v>
      </c>
      <c r="D8" s="7" t="s">
        <v>25</v>
      </c>
      <c r="E8" s="8">
        <v>45.0</v>
      </c>
    </row>
    <row r="9" hidden="1">
      <c r="A9" s="5">
        <v>8.0</v>
      </c>
      <c r="B9" s="6" t="s">
        <v>55</v>
      </c>
      <c r="C9" s="7" t="s">
        <v>56</v>
      </c>
      <c r="D9" s="7" t="s">
        <v>25</v>
      </c>
      <c r="E9" s="8">
        <v>45.0</v>
      </c>
    </row>
    <row r="10" hidden="1">
      <c r="A10" s="5">
        <v>9.0</v>
      </c>
      <c r="B10" s="6" t="s">
        <v>35</v>
      </c>
      <c r="C10" s="7" t="s">
        <v>9</v>
      </c>
      <c r="D10" s="7" t="s">
        <v>7</v>
      </c>
      <c r="E10" s="8">
        <v>42.0</v>
      </c>
    </row>
    <row r="11" hidden="1">
      <c r="A11" s="5">
        <v>10.0</v>
      </c>
      <c r="B11" s="6" t="s">
        <v>60</v>
      </c>
      <c r="C11" s="7" t="s">
        <v>61</v>
      </c>
      <c r="D11" s="7" t="s">
        <v>7</v>
      </c>
      <c r="E11" s="8">
        <v>37.0</v>
      </c>
    </row>
    <row r="12" hidden="1">
      <c r="A12" s="5">
        <v>11.0</v>
      </c>
      <c r="B12" s="6" t="s">
        <v>43</v>
      </c>
      <c r="C12" s="7" t="s">
        <v>44</v>
      </c>
      <c r="D12" s="7" t="s">
        <v>25</v>
      </c>
      <c r="E12" s="8">
        <v>36.0</v>
      </c>
    </row>
    <row r="13" hidden="1">
      <c r="A13" s="5">
        <v>12.0</v>
      </c>
      <c r="B13" s="6" t="s">
        <v>30</v>
      </c>
      <c r="C13" s="7" t="s">
        <v>9</v>
      </c>
      <c r="D13" s="7" t="s">
        <v>25</v>
      </c>
      <c r="E13" s="8">
        <v>36.0</v>
      </c>
    </row>
    <row r="14" hidden="1">
      <c r="A14" s="5">
        <v>13.0</v>
      </c>
      <c r="B14" s="6" t="s">
        <v>31</v>
      </c>
      <c r="C14" s="7" t="s">
        <v>32</v>
      </c>
      <c r="D14" s="7" t="s">
        <v>7</v>
      </c>
      <c r="E14" s="8">
        <v>36.0</v>
      </c>
    </row>
    <row r="15" hidden="1">
      <c r="A15" s="5">
        <v>14.0</v>
      </c>
      <c r="B15" s="6" t="s">
        <v>53</v>
      </c>
      <c r="C15" s="7" t="s">
        <v>54</v>
      </c>
      <c r="D15" s="7" t="s">
        <v>7</v>
      </c>
      <c r="E15" s="8">
        <v>34.0</v>
      </c>
    </row>
    <row r="16" hidden="1">
      <c r="A16" s="5">
        <v>15.0</v>
      </c>
      <c r="B16" s="6" t="s">
        <v>17</v>
      </c>
      <c r="C16" s="7" t="s">
        <v>18</v>
      </c>
      <c r="D16" s="7" t="s">
        <v>7</v>
      </c>
      <c r="E16" s="8">
        <v>34.0</v>
      </c>
    </row>
    <row r="17" hidden="1">
      <c r="A17" s="5">
        <v>16.0</v>
      </c>
      <c r="B17" s="6" t="s">
        <v>88</v>
      </c>
      <c r="C17" s="7" t="s">
        <v>1007</v>
      </c>
      <c r="D17" s="7" t="s">
        <v>7</v>
      </c>
      <c r="E17" s="8">
        <v>34.0</v>
      </c>
    </row>
    <row r="18">
      <c r="A18" s="5">
        <v>17.0</v>
      </c>
      <c r="B18" s="6" t="s">
        <v>15</v>
      </c>
      <c r="C18" s="7" t="s">
        <v>9</v>
      </c>
      <c r="D18" s="7" t="s">
        <v>16</v>
      </c>
      <c r="E18" s="8">
        <v>34.0</v>
      </c>
    </row>
    <row r="19" hidden="1">
      <c r="A19" s="5">
        <v>18.0</v>
      </c>
      <c r="B19" s="6" t="s">
        <v>95</v>
      </c>
      <c r="C19" s="7" t="s">
        <v>96</v>
      </c>
      <c r="D19" s="7" t="s">
        <v>7</v>
      </c>
      <c r="E19" s="8">
        <v>34.0</v>
      </c>
    </row>
    <row r="20" hidden="1">
      <c r="A20" s="5">
        <v>19.0</v>
      </c>
      <c r="B20" s="6" t="s">
        <v>46</v>
      </c>
      <c r="C20" s="7" t="s">
        <v>38</v>
      </c>
      <c r="D20" s="7" t="s">
        <v>25</v>
      </c>
      <c r="E20" s="8">
        <v>34.0</v>
      </c>
    </row>
    <row r="21" hidden="1">
      <c r="A21" s="5">
        <v>20.0</v>
      </c>
      <c r="B21" s="6" t="s">
        <v>51</v>
      </c>
      <c r="C21" s="7" t="s">
        <v>1007</v>
      </c>
      <c r="D21" s="7" t="s">
        <v>25</v>
      </c>
      <c r="E21" s="8">
        <v>33.0</v>
      </c>
    </row>
    <row r="22" hidden="1">
      <c r="A22" s="5">
        <v>21.0</v>
      </c>
      <c r="B22" s="6" t="s">
        <v>65</v>
      </c>
      <c r="C22" s="7" t="s">
        <v>56</v>
      </c>
      <c r="D22" s="7" t="s">
        <v>7</v>
      </c>
      <c r="E22" s="8">
        <v>33.0</v>
      </c>
    </row>
    <row r="23">
      <c r="A23" s="5">
        <v>22.0</v>
      </c>
      <c r="B23" s="6" t="s">
        <v>26</v>
      </c>
      <c r="C23" s="7" t="s">
        <v>27</v>
      </c>
      <c r="D23" s="7" t="s">
        <v>16</v>
      </c>
      <c r="E23" s="8">
        <v>29.0</v>
      </c>
    </row>
    <row r="24" hidden="1">
      <c r="A24" s="5">
        <v>23.0</v>
      </c>
      <c r="B24" s="6" t="s">
        <v>68</v>
      </c>
      <c r="C24" s="7" t="s">
        <v>69</v>
      </c>
      <c r="D24" s="7" t="s">
        <v>25</v>
      </c>
      <c r="E24" s="8">
        <v>29.0</v>
      </c>
    </row>
    <row r="25" hidden="1">
      <c r="A25" s="5">
        <v>24.0</v>
      </c>
      <c r="B25" s="6" t="s">
        <v>76</v>
      </c>
      <c r="C25" s="7" t="s">
        <v>77</v>
      </c>
      <c r="D25" s="7" t="s">
        <v>25</v>
      </c>
      <c r="E25" s="8">
        <v>28.0</v>
      </c>
    </row>
    <row r="26" hidden="1">
      <c r="A26" s="5">
        <v>25.0</v>
      </c>
      <c r="B26" s="6" t="s">
        <v>8</v>
      </c>
      <c r="C26" s="7" t="s">
        <v>9</v>
      </c>
      <c r="D26" s="7" t="s">
        <v>10</v>
      </c>
      <c r="E26" s="8">
        <v>28.0</v>
      </c>
    </row>
    <row r="27" hidden="1">
      <c r="A27" s="5">
        <v>26.0</v>
      </c>
      <c r="B27" s="6" t="s">
        <v>37</v>
      </c>
      <c r="C27" s="7" t="s">
        <v>38</v>
      </c>
      <c r="D27" s="7" t="s">
        <v>25</v>
      </c>
      <c r="E27" s="8">
        <v>28.0</v>
      </c>
    </row>
    <row r="28" hidden="1">
      <c r="A28" s="5">
        <v>27.0</v>
      </c>
      <c r="B28" s="6" t="s">
        <v>11</v>
      </c>
      <c r="C28" s="7" t="s">
        <v>12</v>
      </c>
      <c r="D28" s="7" t="s">
        <v>10</v>
      </c>
      <c r="E28" s="8">
        <v>28.0</v>
      </c>
    </row>
    <row r="29" hidden="1">
      <c r="A29" s="5">
        <v>28.0</v>
      </c>
      <c r="B29" s="6" t="s">
        <v>41</v>
      </c>
      <c r="C29" s="7" t="s">
        <v>40</v>
      </c>
      <c r="D29" s="7" t="s">
        <v>7</v>
      </c>
      <c r="E29" s="8">
        <v>27.0</v>
      </c>
    </row>
    <row r="30" hidden="1">
      <c r="A30" s="5">
        <v>29.0</v>
      </c>
      <c r="B30" s="6" t="s">
        <v>1008</v>
      </c>
      <c r="C30" s="7" t="s">
        <v>6</v>
      </c>
      <c r="D30" s="7" t="s">
        <v>25</v>
      </c>
      <c r="E30" s="8">
        <v>27.0</v>
      </c>
    </row>
    <row r="31" hidden="1">
      <c r="A31" s="5">
        <v>30.0</v>
      </c>
      <c r="B31" s="6" t="s">
        <v>57</v>
      </c>
      <c r="C31" s="7" t="s">
        <v>22</v>
      </c>
      <c r="D31" s="7" t="s">
        <v>25</v>
      </c>
      <c r="E31" s="8">
        <v>27.0</v>
      </c>
    </row>
    <row r="32" hidden="1">
      <c r="A32" s="5">
        <v>31.0</v>
      </c>
      <c r="B32" s="6" t="s">
        <v>82</v>
      </c>
      <c r="C32" s="7" t="s">
        <v>44</v>
      </c>
      <c r="D32" s="7" t="s">
        <v>7</v>
      </c>
      <c r="E32" s="8">
        <v>27.0</v>
      </c>
    </row>
    <row r="33" hidden="1">
      <c r="A33" s="5">
        <v>32.0</v>
      </c>
      <c r="B33" s="6" t="s">
        <v>83</v>
      </c>
      <c r="C33" s="7" t="s">
        <v>54</v>
      </c>
      <c r="D33" s="7" t="s">
        <v>25</v>
      </c>
      <c r="E33" s="8">
        <v>26.0</v>
      </c>
    </row>
    <row r="34" hidden="1">
      <c r="A34" s="5">
        <v>33.0</v>
      </c>
      <c r="B34" s="6" t="s">
        <v>118</v>
      </c>
      <c r="C34" s="7" t="s">
        <v>104</v>
      </c>
      <c r="D34" s="7" t="s">
        <v>7</v>
      </c>
      <c r="E34" s="8">
        <v>26.0</v>
      </c>
    </row>
    <row r="35" hidden="1">
      <c r="A35" s="5">
        <v>34.0</v>
      </c>
      <c r="B35" s="6" t="s">
        <v>58</v>
      </c>
      <c r="C35" s="7" t="s">
        <v>59</v>
      </c>
      <c r="D35" s="7" t="s">
        <v>25</v>
      </c>
      <c r="E35" s="8">
        <v>26.0</v>
      </c>
    </row>
    <row r="36" hidden="1">
      <c r="A36" s="5">
        <v>35.0</v>
      </c>
      <c r="B36" s="6" t="s">
        <v>66</v>
      </c>
      <c r="C36" s="7" t="s">
        <v>14</v>
      </c>
      <c r="D36" s="7" t="s">
        <v>25</v>
      </c>
      <c r="E36" s="8">
        <v>25.0</v>
      </c>
    </row>
    <row r="37" hidden="1">
      <c r="A37" s="5">
        <v>36.0</v>
      </c>
      <c r="B37" s="6" t="s">
        <v>112</v>
      </c>
      <c r="C37" s="7" t="s">
        <v>59</v>
      </c>
      <c r="D37" s="7" t="s">
        <v>7</v>
      </c>
      <c r="E37" s="8">
        <v>25.0</v>
      </c>
    </row>
    <row r="38" hidden="1">
      <c r="A38" s="5">
        <v>37.0</v>
      </c>
      <c r="B38" s="6" t="s">
        <v>89</v>
      </c>
      <c r="C38" s="7" t="s">
        <v>233</v>
      </c>
      <c r="D38" s="7" t="s">
        <v>25</v>
      </c>
      <c r="E38" s="8">
        <v>25.0</v>
      </c>
    </row>
    <row r="39" hidden="1">
      <c r="A39" s="5">
        <v>38.0</v>
      </c>
      <c r="B39" s="6" t="s">
        <v>117</v>
      </c>
      <c r="C39" s="7" t="s">
        <v>63</v>
      </c>
      <c r="D39" s="7" t="s">
        <v>7</v>
      </c>
      <c r="E39" s="8">
        <v>25.0</v>
      </c>
    </row>
    <row r="40" hidden="1">
      <c r="A40" s="5">
        <v>39.0</v>
      </c>
      <c r="B40" s="6" t="s">
        <v>79</v>
      </c>
      <c r="C40" s="7" t="s">
        <v>34</v>
      </c>
      <c r="D40" s="7" t="s">
        <v>25</v>
      </c>
      <c r="E40" s="8">
        <v>25.0</v>
      </c>
    </row>
    <row r="41" hidden="1">
      <c r="A41" s="5">
        <v>40.0</v>
      </c>
      <c r="B41" s="6" t="s">
        <v>84</v>
      </c>
      <c r="C41" s="7" t="s">
        <v>74</v>
      </c>
      <c r="D41" s="7" t="s">
        <v>7</v>
      </c>
      <c r="E41" s="8">
        <v>25.0</v>
      </c>
    </row>
    <row r="42" hidden="1">
      <c r="A42" s="5">
        <v>41.0</v>
      </c>
      <c r="B42" s="6" t="s">
        <v>80</v>
      </c>
      <c r="C42" s="7" t="s">
        <v>44</v>
      </c>
      <c r="D42" s="7" t="s">
        <v>25</v>
      </c>
      <c r="E42" s="8">
        <v>24.0</v>
      </c>
    </row>
    <row r="43" hidden="1">
      <c r="A43" s="5">
        <v>42.0</v>
      </c>
      <c r="B43" s="6" t="s">
        <v>133</v>
      </c>
      <c r="C43" s="7" t="s">
        <v>134</v>
      </c>
      <c r="D43" s="7" t="s">
        <v>7</v>
      </c>
      <c r="E43" s="8">
        <v>24.0</v>
      </c>
    </row>
    <row r="44" hidden="1">
      <c r="A44" s="5">
        <v>43.0</v>
      </c>
      <c r="B44" s="6" t="s">
        <v>97</v>
      </c>
      <c r="C44" s="7" t="s">
        <v>233</v>
      </c>
      <c r="D44" s="7" t="s">
        <v>25</v>
      </c>
      <c r="E44" s="8">
        <v>24.0</v>
      </c>
    </row>
    <row r="45" hidden="1">
      <c r="A45" s="5">
        <v>44.0</v>
      </c>
      <c r="B45" s="6" t="s">
        <v>67</v>
      </c>
      <c r="C45" s="7" t="s">
        <v>20</v>
      </c>
      <c r="D45" s="7" t="s">
        <v>7</v>
      </c>
      <c r="E45" s="8">
        <v>24.0</v>
      </c>
    </row>
    <row r="46">
      <c r="A46" s="5">
        <v>45.0</v>
      </c>
      <c r="B46" s="6" t="s">
        <v>42</v>
      </c>
      <c r="C46" s="7" t="s">
        <v>12</v>
      </c>
      <c r="D46" s="7" t="s">
        <v>16</v>
      </c>
      <c r="E46" s="8">
        <v>23.0</v>
      </c>
    </row>
    <row r="47" hidden="1">
      <c r="A47" s="5">
        <v>46.0</v>
      </c>
      <c r="B47" s="6" t="s">
        <v>64</v>
      </c>
      <c r="C47" s="7" t="s">
        <v>40</v>
      </c>
      <c r="D47" s="7" t="s">
        <v>25</v>
      </c>
      <c r="E47" s="8">
        <v>22.0</v>
      </c>
    </row>
    <row r="48" hidden="1">
      <c r="A48" s="5">
        <v>47.0</v>
      </c>
      <c r="B48" s="6" t="s">
        <v>1009</v>
      </c>
      <c r="C48" s="7" t="s">
        <v>104</v>
      </c>
      <c r="D48" s="7" t="s">
        <v>25</v>
      </c>
      <c r="E48" s="8">
        <v>21.0</v>
      </c>
    </row>
    <row r="49">
      <c r="A49" s="5">
        <v>48.0</v>
      </c>
      <c r="B49" s="6" t="s">
        <v>50</v>
      </c>
      <c r="C49" s="7" t="s">
        <v>32</v>
      </c>
      <c r="D49" s="7" t="s">
        <v>16</v>
      </c>
      <c r="E49" s="8">
        <v>20.0</v>
      </c>
    </row>
    <row r="50" hidden="1">
      <c r="A50" s="5">
        <v>49.0</v>
      </c>
      <c r="B50" s="6" t="s">
        <v>91</v>
      </c>
      <c r="C50" s="7" t="s">
        <v>92</v>
      </c>
      <c r="D50" s="7" t="s">
        <v>25</v>
      </c>
      <c r="E50" s="8">
        <v>20.0</v>
      </c>
    </row>
    <row r="51" hidden="1">
      <c r="A51" s="5">
        <v>50.0</v>
      </c>
      <c r="B51" s="6" t="s">
        <v>152</v>
      </c>
      <c r="C51" s="7" t="s">
        <v>12</v>
      </c>
      <c r="D51" s="7" t="s">
        <v>7</v>
      </c>
      <c r="E51" s="8">
        <v>20.0</v>
      </c>
    </row>
    <row r="52" hidden="1">
      <c r="A52" s="5">
        <v>51.0</v>
      </c>
      <c r="B52" s="6" t="s">
        <v>62</v>
      </c>
      <c r="C52" s="7" t="s">
        <v>63</v>
      </c>
      <c r="D52" s="7" t="s">
        <v>25</v>
      </c>
      <c r="E52" s="8">
        <v>20.0</v>
      </c>
    </row>
    <row r="53" hidden="1">
      <c r="A53" s="5">
        <v>52.0</v>
      </c>
      <c r="B53" s="13" t="s">
        <v>75</v>
      </c>
      <c r="C53" s="7" t="s">
        <v>40</v>
      </c>
      <c r="D53" s="7" t="s">
        <v>25</v>
      </c>
      <c r="E53" s="8">
        <v>19.0</v>
      </c>
    </row>
    <row r="54" hidden="1">
      <c r="A54" s="5">
        <v>53.0</v>
      </c>
      <c r="B54" s="6" t="s">
        <v>110</v>
      </c>
      <c r="C54" s="7" t="s">
        <v>96</v>
      </c>
      <c r="D54" s="7" t="s">
        <v>25</v>
      </c>
      <c r="E54" s="8">
        <v>19.0</v>
      </c>
    </row>
    <row r="55" hidden="1">
      <c r="A55" s="5">
        <v>54.0</v>
      </c>
      <c r="B55" s="6" t="s">
        <v>45</v>
      </c>
      <c r="C55" s="7" t="s">
        <v>14</v>
      </c>
      <c r="D55" s="7" t="s">
        <v>10</v>
      </c>
      <c r="E55" s="8">
        <v>18.0</v>
      </c>
    </row>
    <row r="56" hidden="1">
      <c r="A56" s="5">
        <v>55.0</v>
      </c>
      <c r="B56" s="6" t="s">
        <v>101</v>
      </c>
      <c r="C56" s="7" t="s">
        <v>102</v>
      </c>
      <c r="D56" s="7" t="s">
        <v>25</v>
      </c>
      <c r="E56" s="8">
        <v>17.0</v>
      </c>
    </row>
    <row r="57" hidden="1">
      <c r="A57" s="5">
        <v>56.0</v>
      </c>
      <c r="B57" s="6" t="s">
        <v>292</v>
      </c>
      <c r="C57" s="7" t="s">
        <v>54</v>
      </c>
      <c r="D57" s="7" t="s">
        <v>7</v>
      </c>
      <c r="E57" s="8">
        <v>16.0</v>
      </c>
    </row>
    <row r="58" hidden="1">
      <c r="A58" s="5">
        <v>57.0</v>
      </c>
      <c r="B58" s="6" t="s">
        <v>116</v>
      </c>
      <c r="C58" s="7" t="s">
        <v>27</v>
      </c>
      <c r="D58" s="7" t="s">
        <v>7</v>
      </c>
      <c r="E58" s="8">
        <v>16.0</v>
      </c>
    </row>
    <row r="59" hidden="1">
      <c r="A59" s="5">
        <v>58.0</v>
      </c>
      <c r="B59" s="6" t="s">
        <v>164</v>
      </c>
      <c r="C59" s="7" t="s">
        <v>233</v>
      </c>
      <c r="D59" s="7" t="s">
        <v>7</v>
      </c>
      <c r="E59" s="8">
        <v>16.0</v>
      </c>
    </row>
    <row r="60" hidden="1">
      <c r="A60" s="5">
        <v>59.0</v>
      </c>
      <c r="B60" s="6" t="s">
        <v>153</v>
      </c>
      <c r="C60" s="7" t="s">
        <v>69</v>
      </c>
      <c r="D60" s="7" t="s">
        <v>7</v>
      </c>
      <c r="E60" s="8">
        <v>16.0</v>
      </c>
    </row>
    <row r="61">
      <c r="A61" s="5">
        <v>60.0</v>
      </c>
      <c r="B61" s="6" t="s">
        <v>49</v>
      </c>
      <c r="C61" s="7" t="s">
        <v>18</v>
      </c>
      <c r="D61" s="7" t="s">
        <v>16</v>
      </c>
      <c r="E61" s="8">
        <v>15.0</v>
      </c>
    </row>
    <row r="62" hidden="1">
      <c r="A62" s="5">
        <v>61.0</v>
      </c>
      <c r="B62" s="6" t="s">
        <v>142</v>
      </c>
      <c r="C62" s="7" t="s">
        <v>77</v>
      </c>
      <c r="D62" s="7" t="s">
        <v>7</v>
      </c>
      <c r="E62" s="8">
        <v>15.0</v>
      </c>
    </row>
    <row r="63" hidden="1">
      <c r="A63" s="5">
        <v>62.0</v>
      </c>
      <c r="B63" s="6" t="s">
        <v>87</v>
      </c>
      <c r="C63" s="7" t="s">
        <v>1007</v>
      </c>
      <c r="D63" s="7" t="s">
        <v>10</v>
      </c>
      <c r="E63" s="8">
        <v>15.0</v>
      </c>
    </row>
    <row r="64" hidden="1">
      <c r="A64" s="5">
        <v>63.0</v>
      </c>
      <c r="B64" s="6" t="s">
        <v>122</v>
      </c>
      <c r="C64" s="7" t="s">
        <v>48</v>
      </c>
      <c r="D64" s="7" t="s">
        <v>7</v>
      </c>
      <c r="E64" s="8">
        <v>15.0</v>
      </c>
    </row>
    <row r="65" hidden="1">
      <c r="A65" s="5">
        <v>64.0</v>
      </c>
      <c r="B65" s="6" t="s">
        <v>19</v>
      </c>
      <c r="C65" s="7" t="s">
        <v>20</v>
      </c>
      <c r="D65" s="7" t="s">
        <v>10</v>
      </c>
      <c r="E65" s="8">
        <v>14.0</v>
      </c>
    </row>
    <row r="66" hidden="1">
      <c r="A66" s="5">
        <v>65.0</v>
      </c>
      <c r="B66" s="6" t="s">
        <v>73</v>
      </c>
      <c r="C66" s="7" t="s">
        <v>74</v>
      </c>
      <c r="D66" s="7" t="s">
        <v>25</v>
      </c>
      <c r="E66" s="8">
        <v>14.0</v>
      </c>
    </row>
    <row r="67" hidden="1">
      <c r="A67" s="5">
        <v>66.0</v>
      </c>
      <c r="B67" s="6" t="s">
        <v>39</v>
      </c>
      <c r="C67" s="7" t="s">
        <v>40</v>
      </c>
      <c r="D67" s="7" t="s">
        <v>10</v>
      </c>
      <c r="E67" s="8">
        <v>14.0</v>
      </c>
    </row>
    <row r="68" hidden="1">
      <c r="A68" s="5">
        <v>67.0</v>
      </c>
      <c r="B68" s="6" t="s">
        <v>106</v>
      </c>
      <c r="C68" s="7" t="s">
        <v>48</v>
      </c>
      <c r="D68" s="7" t="s">
        <v>25</v>
      </c>
      <c r="E68" s="8">
        <v>14.0</v>
      </c>
    </row>
    <row r="69" hidden="1">
      <c r="A69" s="5">
        <v>68.0</v>
      </c>
      <c r="B69" s="6" t="s">
        <v>1010</v>
      </c>
      <c r="C69" s="7" t="s">
        <v>38</v>
      </c>
      <c r="D69" s="7" t="s">
        <v>7</v>
      </c>
      <c r="E69" s="8">
        <v>14.0</v>
      </c>
    </row>
    <row r="70" hidden="1">
      <c r="A70" s="5">
        <v>69.0</v>
      </c>
      <c r="B70" s="6" t="s">
        <v>98</v>
      </c>
      <c r="C70" s="7" t="s">
        <v>54</v>
      </c>
      <c r="D70" s="7" t="s">
        <v>25</v>
      </c>
      <c r="E70" s="8">
        <v>14.0</v>
      </c>
    </row>
    <row r="71" hidden="1">
      <c r="A71" s="5">
        <v>70.0</v>
      </c>
      <c r="B71" s="6" t="s">
        <v>93</v>
      </c>
      <c r="C71" s="7" t="s">
        <v>14</v>
      </c>
      <c r="D71" s="7" t="s">
        <v>25</v>
      </c>
      <c r="E71" s="8">
        <v>13.0</v>
      </c>
    </row>
    <row r="72" hidden="1">
      <c r="A72" s="5">
        <v>71.0</v>
      </c>
      <c r="B72" s="6" t="s">
        <v>137</v>
      </c>
      <c r="C72" s="7" t="s">
        <v>61</v>
      </c>
      <c r="D72" s="7" t="s">
        <v>25</v>
      </c>
      <c r="E72" s="8">
        <v>13.0</v>
      </c>
    </row>
    <row r="73">
      <c r="A73" s="5">
        <v>72.0</v>
      </c>
      <c r="B73" s="6" t="s">
        <v>105</v>
      </c>
      <c r="C73" s="7" t="s">
        <v>29</v>
      </c>
      <c r="D73" s="7" t="s">
        <v>16</v>
      </c>
      <c r="E73" s="8">
        <v>12.0</v>
      </c>
    </row>
    <row r="74" hidden="1">
      <c r="A74" s="5">
        <v>73.0</v>
      </c>
      <c r="B74" s="6" t="s">
        <v>108</v>
      </c>
      <c r="C74" s="7" t="s">
        <v>12</v>
      </c>
      <c r="D74" s="7" t="s">
        <v>25</v>
      </c>
      <c r="E74" s="8">
        <v>12.0</v>
      </c>
    </row>
    <row r="75" hidden="1">
      <c r="A75" s="5">
        <v>74.0</v>
      </c>
      <c r="B75" s="6" t="s">
        <v>123</v>
      </c>
      <c r="C75" s="7" t="s">
        <v>61</v>
      </c>
      <c r="D75" s="7" t="s">
        <v>25</v>
      </c>
      <c r="E75" s="8">
        <v>11.0</v>
      </c>
    </row>
    <row r="76" hidden="1">
      <c r="A76" s="5">
        <v>75.0</v>
      </c>
      <c r="B76" s="6" t="s">
        <v>113</v>
      </c>
      <c r="C76" s="7" t="s">
        <v>86</v>
      </c>
      <c r="D76" s="7" t="s">
        <v>25</v>
      </c>
      <c r="E76" s="8">
        <v>11.0</v>
      </c>
    </row>
    <row r="77">
      <c r="A77" s="5">
        <v>76.0</v>
      </c>
      <c r="B77" s="6" t="s">
        <v>120</v>
      </c>
      <c r="C77" s="7" t="s">
        <v>96</v>
      </c>
      <c r="D77" s="7" t="s">
        <v>16</v>
      </c>
      <c r="E77" s="8">
        <v>11.0</v>
      </c>
    </row>
    <row r="78" hidden="1">
      <c r="A78" s="5">
        <v>77.0</v>
      </c>
      <c r="B78" s="6" t="s">
        <v>47</v>
      </c>
      <c r="C78" s="7" t="s">
        <v>48</v>
      </c>
      <c r="D78" s="7" t="s">
        <v>10</v>
      </c>
      <c r="E78" s="8">
        <v>11.0</v>
      </c>
    </row>
    <row r="79" hidden="1">
      <c r="A79" s="5">
        <v>78.0</v>
      </c>
      <c r="B79" s="6" t="s">
        <v>312</v>
      </c>
      <c r="C79" s="7" t="s">
        <v>86</v>
      </c>
      <c r="D79" s="7" t="s">
        <v>7</v>
      </c>
      <c r="E79" s="8">
        <v>10.0</v>
      </c>
    </row>
    <row r="80" hidden="1">
      <c r="A80" s="5">
        <v>79.0</v>
      </c>
      <c r="B80" s="6" t="s">
        <v>293</v>
      </c>
      <c r="C80" s="7" t="s">
        <v>102</v>
      </c>
      <c r="D80" s="7" t="s">
        <v>7</v>
      </c>
      <c r="E80" s="8">
        <v>10.0</v>
      </c>
    </row>
    <row r="81">
      <c r="A81" s="5">
        <v>80.0</v>
      </c>
      <c r="B81" s="6" t="s">
        <v>107</v>
      </c>
      <c r="C81" s="7" t="s">
        <v>233</v>
      </c>
      <c r="D81" s="7" t="s">
        <v>16</v>
      </c>
      <c r="E81" s="8">
        <v>10.0</v>
      </c>
    </row>
    <row r="82" hidden="1">
      <c r="A82" s="5">
        <v>81.0</v>
      </c>
      <c r="B82" s="6" t="s">
        <v>81</v>
      </c>
      <c r="C82" s="7" t="s">
        <v>44</v>
      </c>
      <c r="D82" s="7" t="s">
        <v>10</v>
      </c>
      <c r="E82" s="8">
        <v>10.0</v>
      </c>
    </row>
    <row r="83" hidden="1">
      <c r="A83" s="5">
        <v>82.0</v>
      </c>
      <c r="B83" s="13" t="s">
        <v>111</v>
      </c>
      <c r="C83" s="7" t="s">
        <v>69</v>
      </c>
      <c r="D83" s="7" t="s">
        <v>25</v>
      </c>
      <c r="E83" s="8">
        <v>9.0</v>
      </c>
    </row>
    <row r="84" hidden="1">
      <c r="A84" s="5">
        <v>83.0</v>
      </c>
      <c r="B84" s="13" t="s">
        <v>124</v>
      </c>
      <c r="C84" s="7" t="s">
        <v>20</v>
      </c>
      <c r="D84" s="7" t="s">
        <v>25</v>
      </c>
      <c r="E84" s="8">
        <v>9.0</v>
      </c>
    </row>
    <row r="85" hidden="1">
      <c r="A85" s="5">
        <v>84.0</v>
      </c>
      <c r="B85" s="6" t="s">
        <v>301</v>
      </c>
      <c r="C85" s="7" t="s">
        <v>12</v>
      </c>
      <c r="D85" s="7" t="s">
        <v>7</v>
      </c>
      <c r="E85" s="8">
        <v>9.0</v>
      </c>
    </row>
    <row r="86" hidden="1">
      <c r="A86" s="5">
        <v>85.0</v>
      </c>
      <c r="B86" s="6" t="s">
        <v>72</v>
      </c>
      <c r="C86" s="7" t="s">
        <v>32</v>
      </c>
      <c r="D86" s="7" t="s">
        <v>10</v>
      </c>
      <c r="E86" s="8">
        <v>9.0</v>
      </c>
    </row>
    <row r="87" hidden="1">
      <c r="A87" s="5">
        <v>86.0</v>
      </c>
      <c r="B87" s="6" t="s">
        <v>99</v>
      </c>
      <c r="C87" s="7" t="s">
        <v>24</v>
      </c>
      <c r="D87" s="7" t="s">
        <v>10</v>
      </c>
      <c r="E87" s="8">
        <v>9.0</v>
      </c>
    </row>
    <row r="88" hidden="1">
      <c r="A88" s="5">
        <v>87.0</v>
      </c>
      <c r="B88" s="6" t="s">
        <v>109</v>
      </c>
      <c r="C88" s="7" t="s">
        <v>20</v>
      </c>
      <c r="D88" s="7" t="s">
        <v>25</v>
      </c>
      <c r="E88" s="8">
        <v>8.0</v>
      </c>
    </row>
    <row r="89" hidden="1">
      <c r="A89" s="5">
        <v>88.0</v>
      </c>
      <c r="B89" s="6" t="s">
        <v>336</v>
      </c>
      <c r="C89" s="7" t="s">
        <v>102</v>
      </c>
      <c r="D89" s="7" t="s">
        <v>7</v>
      </c>
      <c r="E89" s="8">
        <v>8.0</v>
      </c>
    </row>
    <row r="90" hidden="1">
      <c r="A90" s="5">
        <v>89.0</v>
      </c>
      <c r="B90" s="6" t="s">
        <v>253</v>
      </c>
      <c r="C90" s="7" t="s">
        <v>63</v>
      </c>
      <c r="D90" s="7" t="s">
        <v>7</v>
      </c>
      <c r="E90" s="8">
        <v>8.0</v>
      </c>
    </row>
    <row r="91" hidden="1">
      <c r="A91" s="5">
        <v>90.0</v>
      </c>
      <c r="B91" s="6" t="s">
        <v>323</v>
      </c>
      <c r="C91" s="7" t="s">
        <v>77</v>
      </c>
      <c r="D91" s="7" t="s">
        <v>7</v>
      </c>
      <c r="E91" s="8">
        <v>8.0</v>
      </c>
    </row>
    <row r="92">
      <c r="A92" s="5">
        <v>91.0</v>
      </c>
      <c r="B92" s="6" t="s">
        <v>119</v>
      </c>
      <c r="C92" s="7" t="s">
        <v>44</v>
      </c>
      <c r="D92" s="7" t="s">
        <v>16</v>
      </c>
      <c r="E92" s="8">
        <v>8.0</v>
      </c>
    </row>
    <row r="93" hidden="1">
      <c r="A93" s="5">
        <v>92.0</v>
      </c>
      <c r="B93" s="6" t="s">
        <v>70</v>
      </c>
      <c r="C93" s="7" t="s">
        <v>38</v>
      </c>
      <c r="D93" s="7" t="s">
        <v>10</v>
      </c>
      <c r="E93" s="8">
        <v>8.0</v>
      </c>
    </row>
    <row r="94" hidden="1">
      <c r="A94" s="5">
        <v>93.0</v>
      </c>
      <c r="B94" s="6" t="s">
        <v>287</v>
      </c>
      <c r="C94" s="7" t="s">
        <v>27</v>
      </c>
      <c r="D94" s="7" t="s">
        <v>7</v>
      </c>
      <c r="E94" s="8">
        <v>8.0</v>
      </c>
    </row>
    <row r="95" hidden="1">
      <c r="A95" s="5">
        <v>94.0</v>
      </c>
      <c r="B95" s="6" t="s">
        <v>278</v>
      </c>
      <c r="C95" s="7" t="s">
        <v>69</v>
      </c>
      <c r="D95" s="7" t="s">
        <v>7</v>
      </c>
      <c r="E95" s="8">
        <v>8.0</v>
      </c>
    </row>
    <row r="96" hidden="1">
      <c r="A96" s="5">
        <v>95.0</v>
      </c>
      <c r="B96" s="6" t="s">
        <v>121</v>
      </c>
      <c r="C96" s="7" t="s">
        <v>59</v>
      </c>
      <c r="D96" s="7" t="s">
        <v>25</v>
      </c>
      <c r="E96" s="8">
        <v>7.0</v>
      </c>
    </row>
    <row r="97" hidden="1">
      <c r="A97" s="5">
        <v>96.0</v>
      </c>
      <c r="B97" s="6" t="s">
        <v>145</v>
      </c>
      <c r="C97" s="7" t="s">
        <v>69</v>
      </c>
      <c r="D97" s="7" t="s">
        <v>10</v>
      </c>
      <c r="E97" s="8">
        <v>7.0</v>
      </c>
    </row>
    <row r="98" hidden="1">
      <c r="A98" s="5">
        <v>97.0</v>
      </c>
      <c r="B98" s="6" t="s">
        <v>148</v>
      </c>
      <c r="C98" s="7" t="s">
        <v>1007</v>
      </c>
      <c r="D98" s="7" t="s">
        <v>25</v>
      </c>
      <c r="E98" s="8">
        <v>7.0</v>
      </c>
    </row>
    <row r="99" hidden="1">
      <c r="A99" s="5">
        <v>98.0</v>
      </c>
      <c r="B99" s="6" t="s">
        <v>277</v>
      </c>
      <c r="C99" s="7" t="s">
        <v>48</v>
      </c>
      <c r="D99" s="7" t="s">
        <v>7</v>
      </c>
      <c r="E99" s="8">
        <v>7.0</v>
      </c>
    </row>
    <row r="100">
      <c r="A100" s="5">
        <v>99.0</v>
      </c>
      <c r="B100" s="6" t="s">
        <v>94</v>
      </c>
      <c r="C100" s="7" t="s">
        <v>24</v>
      </c>
      <c r="D100" s="7" t="s">
        <v>16</v>
      </c>
      <c r="E100" s="8">
        <v>7.0</v>
      </c>
    </row>
    <row r="101" hidden="1">
      <c r="A101" s="5">
        <v>100.0</v>
      </c>
      <c r="B101" s="6" t="s">
        <v>249</v>
      </c>
      <c r="C101" s="7" t="s">
        <v>74</v>
      </c>
      <c r="D101" s="7" t="s">
        <v>7</v>
      </c>
      <c r="E101" s="8">
        <v>7.0</v>
      </c>
    </row>
    <row r="102" hidden="1">
      <c r="A102" s="5">
        <v>101.0</v>
      </c>
      <c r="B102" s="6" t="s">
        <v>151</v>
      </c>
      <c r="C102" s="7" t="s">
        <v>134</v>
      </c>
      <c r="D102" s="7" t="s">
        <v>25</v>
      </c>
      <c r="E102" s="8">
        <v>6.0</v>
      </c>
    </row>
    <row r="103">
      <c r="A103" s="5">
        <v>102.0</v>
      </c>
      <c r="B103" s="6" t="s">
        <v>129</v>
      </c>
      <c r="C103" s="7" t="s">
        <v>102</v>
      </c>
      <c r="D103" s="7" t="s">
        <v>16</v>
      </c>
      <c r="E103" s="8">
        <v>6.0</v>
      </c>
    </row>
    <row r="104">
      <c r="A104" s="5">
        <v>103.0</v>
      </c>
      <c r="B104" s="6" t="s">
        <v>141</v>
      </c>
      <c r="C104" s="7" t="s">
        <v>54</v>
      </c>
      <c r="D104" s="7" t="s">
        <v>16</v>
      </c>
      <c r="E104" s="8">
        <v>6.0</v>
      </c>
    </row>
    <row r="105" hidden="1">
      <c r="A105" s="5">
        <v>104.0</v>
      </c>
      <c r="B105" s="6" t="s">
        <v>127</v>
      </c>
      <c r="C105" s="7" t="s">
        <v>56</v>
      </c>
      <c r="D105" s="7" t="s">
        <v>10</v>
      </c>
      <c r="E105" s="8">
        <v>6.0</v>
      </c>
    </row>
    <row r="106">
      <c r="A106" s="5">
        <v>105.0</v>
      </c>
      <c r="B106" s="6" t="s">
        <v>114</v>
      </c>
      <c r="C106" s="7" t="s">
        <v>38</v>
      </c>
      <c r="D106" s="7" t="s">
        <v>16</v>
      </c>
      <c r="E106" s="8">
        <v>6.0</v>
      </c>
    </row>
    <row r="107" hidden="1">
      <c r="A107" s="5">
        <v>106.0</v>
      </c>
      <c r="B107" s="6" t="s">
        <v>135</v>
      </c>
      <c r="C107" s="7" t="s">
        <v>48</v>
      </c>
      <c r="D107" s="7" t="s">
        <v>25</v>
      </c>
      <c r="E107" s="8">
        <v>6.0</v>
      </c>
    </row>
    <row r="108" hidden="1">
      <c r="A108" s="5">
        <v>107.0</v>
      </c>
      <c r="B108" s="6" t="s">
        <v>322</v>
      </c>
      <c r="C108" s="7" t="s">
        <v>24</v>
      </c>
      <c r="D108" s="7" t="s">
        <v>7</v>
      </c>
      <c r="E108" s="8">
        <v>6.0</v>
      </c>
    </row>
    <row r="109" hidden="1">
      <c r="A109" s="5">
        <v>108.0</v>
      </c>
      <c r="B109" s="6" t="s">
        <v>131</v>
      </c>
      <c r="C109" s="7" t="s">
        <v>29</v>
      </c>
      <c r="D109" s="7" t="s">
        <v>25</v>
      </c>
      <c r="E109" s="8">
        <v>6.0</v>
      </c>
    </row>
    <row r="110" hidden="1">
      <c r="A110" s="5">
        <v>109.0</v>
      </c>
      <c r="B110" s="6" t="s">
        <v>156</v>
      </c>
      <c r="C110" s="7" t="s">
        <v>29</v>
      </c>
      <c r="D110" s="7" t="s">
        <v>25</v>
      </c>
      <c r="E110" s="8">
        <v>6.0</v>
      </c>
    </row>
    <row r="111" hidden="1">
      <c r="A111" s="5">
        <v>110.0</v>
      </c>
      <c r="B111" s="6" t="s">
        <v>646</v>
      </c>
      <c r="C111" s="7" t="s">
        <v>27</v>
      </c>
      <c r="D111" s="7" t="s">
        <v>25</v>
      </c>
      <c r="E111" s="8">
        <v>5.0</v>
      </c>
    </row>
    <row r="112" hidden="1">
      <c r="A112" s="5">
        <v>111.0</v>
      </c>
      <c r="B112" s="6" t="s">
        <v>138</v>
      </c>
      <c r="C112" s="7" t="s">
        <v>24</v>
      </c>
      <c r="D112" s="7" t="s">
        <v>25</v>
      </c>
      <c r="E112" s="8">
        <v>5.0</v>
      </c>
    </row>
    <row r="113" hidden="1">
      <c r="A113" s="5">
        <v>112.0</v>
      </c>
      <c r="B113" s="6" t="s">
        <v>154</v>
      </c>
      <c r="C113" s="7" t="s">
        <v>96</v>
      </c>
      <c r="D113" s="7" t="s">
        <v>25</v>
      </c>
      <c r="E113" s="8">
        <v>5.0</v>
      </c>
    </row>
    <row r="114" hidden="1">
      <c r="A114" s="5">
        <v>113.0</v>
      </c>
      <c r="B114" s="6" t="s">
        <v>1011</v>
      </c>
      <c r="C114" s="7" t="s">
        <v>20</v>
      </c>
      <c r="D114" s="7" t="s">
        <v>7</v>
      </c>
      <c r="E114" s="8">
        <v>5.0</v>
      </c>
    </row>
    <row r="115" hidden="1">
      <c r="A115" s="5">
        <v>114.0</v>
      </c>
      <c r="B115" s="6" t="s">
        <v>78</v>
      </c>
      <c r="C115" s="7" t="s">
        <v>59</v>
      </c>
      <c r="D115" s="7" t="s">
        <v>10</v>
      </c>
      <c r="E115" s="8">
        <v>5.0</v>
      </c>
    </row>
    <row r="116" hidden="1">
      <c r="A116" s="5">
        <v>115.0</v>
      </c>
      <c r="B116" s="6" t="s">
        <v>248</v>
      </c>
      <c r="C116" s="7" t="s">
        <v>29</v>
      </c>
      <c r="D116" s="7" t="s">
        <v>10</v>
      </c>
      <c r="E116" s="8">
        <v>4.0</v>
      </c>
    </row>
    <row r="117" hidden="1">
      <c r="A117" s="5">
        <v>116.0</v>
      </c>
      <c r="B117" s="6" t="s">
        <v>383</v>
      </c>
      <c r="C117" s="7" t="s">
        <v>86</v>
      </c>
      <c r="D117" s="7" t="s">
        <v>7</v>
      </c>
      <c r="E117" s="8">
        <v>4.0</v>
      </c>
    </row>
    <row r="118" hidden="1">
      <c r="A118" s="5">
        <v>117.0</v>
      </c>
      <c r="B118" s="6" t="s">
        <v>251</v>
      </c>
      <c r="C118" s="7" t="s">
        <v>77</v>
      </c>
      <c r="D118" s="7" t="s">
        <v>25</v>
      </c>
      <c r="E118" s="8">
        <v>4.0</v>
      </c>
    </row>
    <row r="119" hidden="1">
      <c r="A119" s="5">
        <v>118.0</v>
      </c>
      <c r="B119" s="6" t="s">
        <v>219</v>
      </c>
      <c r="C119" s="7" t="s">
        <v>14</v>
      </c>
      <c r="D119" s="7" t="s">
        <v>25</v>
      </c>
      <c r="E119" s="8">
        <v>4.0</v>
      </c>
    </row>
    <row r="120">
      <c r="A120" s="5">
        <v>119.0</v>
      </c>
      <c r="B120" s="6" t="s">
        <v>130</v>
      </c>
      <c r="C120" s="7" t="s">
        <v>69</v>
      </c>
      <c r="D120" s="7" t="s">
        <v>16</v>
      </c>
      <c r="E120" s="8">
        <v>4.0</v>
      </c>
    </row>
    <row r="121">
      <c r="A121" s="5">
        <v>120.0</v>
      </c>
      <c r="B121" s="6" t="s">
        <v>162</v>
      </c>
      <c r="C121" s="7" t="s">
        <v>34</v>
      </c>
      <c r="D121" s="7" t="s">
        <v>16</v>
      </c>
      <c r="E121" s="8">
        <v>4.0</v>
      </c>
    </row>
    <row r="122" hidden="1">
      <c r="A122" s="5">
        <v>121.0</v>
      </c>
      <c r="B122" s="6" t="s">
        <v>359</v>
      </c>
      <c r="C122" s="7" t="s">
        <v>92</v>
      </c>
      <c r="D122" s="7" t="s">
        <v>7</v>
      </c>
      <c r="E122" s="8">
        <v>4.0</v>
      </c>
    </row>
    <row r="123" hidden="1">
      <c r="A123" s="5">
        <v>122.0</v>
      </c>
      <c r="B123" s="6" t="s">
        <v>331</v>
      </c>
      <c r="C123" s="7" t="s">
        <v>92</v>
      </c>
      <c r="D123" s="7" t="s">
        <v>7</v>
      </c>
      <c r="E123" s="8">
        <v>4.0</v>
      </c>
    </row>
    <row r="124" hidden="1">
      <c r="A124" s="5">
        <v>123.0</v>
      </c>
      <c r="B124" s="6" t="s">
        <v>182</v>
      </c>
      <c r="C124" s="7" t="s">
        <v>233</v>
      </c>
      <c r="D124" s="7" t="s">
        <v>10</v>
      </c>
      <c r="E124" s="8">
        <v>4.0</v>
      </c>
    </row>
    <row r="125" hidden="1">
      <c r="A125" s="5">
        <v>124.0</v>
      </c>
      <c r="B125" s="6" t="s">
        <v>155</v>
      </c>
      <c r="C125" s="7" t="s">
        <v>29</v>
      </c>
      <c r="D125" s="7" t="s">
        <v>25</v>
      </c>
      <c r="E125" s="8">
        <v>4.0</v>
      </c>
    </row>
    <row r="126" hidden="1">
      <c r="A126" s="5">
        <v>125.0</v>
      </c>
      <c r="B126" s="6" t="s">
        <v>355</v>
      </c>
      <c r="C126" s="7" t="s">
        <v>22</v>
      </c>
      <c r="D126" s="7" t="s">
        <v>7</v>
      </c>
      <c r="E126" s="8">
        <v>4.0</v>
      </c>
    </row>
    <row r="127">
      <c r="A127" s="5">
        <v>126.0</v>
      </c>
      <c r="B127" s="6" t="s">
        <v>158</v>
      </c>
      <c r="C127" s="7" t="s">
        <v>32</v>
      </c>
      <c r="D127" s="7" t="s">
        <v>16</v>
      </c>
      <c r="E127" s="8">
        <v>4.0</v>
      </c>
    </row>
    <row r="128" hidden="1">
      <c r="A128" s="5">
        <v>127.0</v>
      </c>
      <c r="B128" s="6" t="s">
        <v>85</v>
      </c>
      <c r="C128" s="7" t="s">
        <v>86</v>
      </c>
      <c r="D128" s="7" t="s">
        <v>10</v>
      </c>
      <c r="E128" s="8">
        <v>4.0</v>
      </c>
    </row>
    <row r="129" hidden="1">
      <c r="A129" s="5">
        <v>128.0</v>
      </c>
      <c r="B129" s="6" t="s">
        <v>326</v>
      </c>
      <c r="C129" s="7" t="s">
        <v>233</v>
      </c>
      <c r="D129" s="7" t="s">
        <v>7</v>
      </c>
      <c r="E129" s="8">
        <v>3.0</v>
      </c>
    </row>
    <row r="130">
      <c r="A130" s="5">
        <v>129.0</v>
      </c>
      <c r="B130" s="6" t="s">
        <v>115</v>
      </c>
      <c r="C130" s="7" t="s">
        <v>63</v>
      </c>
      <c r="D130" s="7" t="s">
        <v>16</v>
      </c>
      <c r="E130" s="8">
        <v>3.0</v>
      </c>
    </row>
    <row r="131" hidden="1">
      <c r="A131" s="5">
        <v>130.0</v>
      </c>
      <c r="B131" s="6" t="s">
        <v>146</v>
      </c>
      <c r="C131" s="7" t="s">
        <v>102</v>
      </c>
      <c r="D131" s="7" t="s">
        <v>25</v>
      </c>
      <c r="E131" s="8">
        <v>3.0</v>
      </c>
    </row>
    <row r="132" hidden="1">
      <c r="A132" s="5">
        <v>131.0</v>
      </c>
      <c r="B132" s="6" t="s">
        <v>289</v>
      </c>
      <c r="C132" s="7" t="s">
        <v>34</v>
      </c>
      <c r="D132" s="7" t="s">
        <v>10</v>
      </c>
      <c r="E132" s="8">
        <v>3.0</v>
      </c>
    </row>
    <row r="133" hidden="1">
      <c r="A133" s="5">
        <v>132.0</v>
      </c>
      <c r="B133" s="6" t="s">
        <v>286</v>
      </c>
      <c r="C133" s="7" t="s">
        <v>54</v>
      </c>
      <c r="D133" s="7" t="s">
        <v>10</v>
      </c>
      <c r="E133" s="8">
        <v>3.0</v>
      </c>
    </row>
    <row r="134" hidden="1">
      <c r="A134" s="5">
        <v>133.0</v>
      </c>
      <c r="B134" s="6" t="s">
        <v>221</v>
      </c>
      <c r="C134" s="7" t="s">
        <v>32</v>
      </c>
      <c r="D134" s="7" t="s">
        <v>25</v>
      </c>
      <c r="E134" s="8">
        <v>3.0</v>
      </c>
    </row>
    <row r="135" hidden="1">
      <c r="A135" s="5">
        <v>134.0</v>
      </c>
      <c r="B135" s="6" t="s">
        <v>385</v>
      </c>
      <c r="C135" s="7" t="s">
        <v>14</v>
      </c>
      <c r="D135" s="7" t="s">
        <v>7</v>
      </c>
      <c r="E135" s="8">
        <v>3.0</v>
      </c>
    </row>
    <row r="136" hidden="1">
      <c r="A136" s="5">
        <v>135.0</v>
      </c>
      <c r="B136" s="6" t="s">
        <v>770</v>
      </c>
      <c r="C136" s="7" t="s">
        <v>38</v>
      </c>
      <c r="D136" s="7" t="s">
        <v>7</v>
      </c>
      <c r="E136" s="8">
        <v>3.0</v>
      </c>
    </row>
    <row r="137" hidden="1">
      <c r="A137" s="5">
        <v>136.0</v>
      </c>
      <c r="B137" s="6" t="s">
        <v>329</v>
      </c>
      <c r="C137" s="7" t="s">
        <v>32</v>
      </c>
      <c r="D137" s="7" t="s">
        <v>7</v>
      </c>
      <c r="E137" s="8">
        <v>3.0</v>
      </c>
    </row>
    <row r="138" hidden="1">
      <c r="A138" s="5">
        <v>137.0</v>
      </c>
      <c r="B138" s="6" t="s">
        <v>518</v>
      </c>
      <c r="C138" s="7" t="s">
        <v>1007</v>
      </c>
      <c r="D138" s="7" t="s">
        <v>7</v>
      </c>
      <c r="E138" s="8">
        <v>3.0</v>
      </c>
    </row>
    <row r="139">
      <c r="A139" s="5">
        <v>138.0</v>
      </c>
      <c r="B139" s="6" t="s">
        <v>160</v>
      </c>
      <c r="C139" s="7" t="s">
        <v>14</v>
      </c>
      <c r="D139" s="7" t="s">
        <v>16</v>
      </c>
      <c r="E139" s="8">
        <v>3.0</v>
      </c>
    </row>
    <row r="140" hidden="1">
      <c r="A140" s="5">
        <v>139.0</v>
      </c>
      <c r="B140" s="6" t="s">
        <v>143</v>
      </c>
      <c r="C140" s="7" t="s">
        <v>18</v>
      </c>
      <c r="D140" s="7" t="s">
        <v>25</v>
      </c>
      <c r="E140" s="8">
        <v>2.0</v>
      </c>
    </row>
    <row r="141" hidden="1">
      <c r="A141" s="5">
        <v>140.0</v>
      </c>
      <c r="B141" s="6" t="s">
        <v>140</v>
      </c>
      <c r="C141" s="7" t="s">
        <v>9</v>
      </c>
      <c r="D141" s="7" t="s">
        <v>25</v>
      </c>
      <c r="E141" s="8">
        <v>2.0</v>
      </c>
    </row>
    <row r="142" hidden="1">
      <c r="A142" s="5">
        <v>141.0</v>
      </c>
      <c r="B142" s="6" t="s">
        <v>163</v>
      </c>
      <c r="C142" s="7" t="s">
        <v>63</v>
      </c>
      <c r="D142" s="7" t="s">
        <v>25</v>
      </c>
      <c r="E142" s="8">
        <v>2.0</v>
      </c>
    </row>
    <row r="143" hidden="1">
      <c r="A143" s="5">
        <v>142.0</v>
      </c>
      <c r="B143" s="6" t="s">
        <v>297</v>
      </c>
      <c r="C143" s="7" t="s">
        <v>61</v>
      </c>
      <c r="D143" s="7" t="s">
        <v>10</v>
      </c>
      <c r="E143" s="8">
        <v>2.0</v>
      </c>
    </row>
    <row r="144" hidden="1">
      <c r="A144" s="5">
        <v>143.0</v>
      </c>
      <c r="B144" s="6" t="s">
        <v>335</v>
      </c>
      <c r="C144" s="7" t="s">
        <v>86</v>
      </c>
      <c r="D144" s="7" t="s">
        <v>7</v>
      </c>
      <c r="E144" s="8">
        <v>2.0</v>
      </c>
    </row>
    <row r="145">
      <c r="A145" s="5">
        <v>144.0</v>
      </c>
      <c r="B145" s="6" t="s">
        <v>147</v>
      </c>
      <c r="C145" s="7" t="s">
        <v>134</v>
      </c>
      <c r="D145" s="7" t="s">
        <v>16</v>
      </c>
      <c r="E145" s="8">
        <v>2.0</v>
      </c>
    </row>
    <row r="146" hidden="1">
      <c r="A146" s="5">
        <v>145.0</v>
      </c>
      <c r="B146" s="6" t="s">
        <v>352</v>
      </c>
      <c r="C146" s="7" t="s">
        <v>74</v>
      </c>
      <c r="D146" s="7" t="s">
        <v>7</v>
      </c>
      <c r="E146" s="8">
        <v>2.0</v>
      </c>
    </row>
    <row r="147">
      <c r="A147" s="5">
        <v>146.0</v>
      </c>
      <c r="B147" s="6" t="s">
        <v>125</v>
      </c>
      <c r="C147" s="7" t="s">
        <v>74</v>
      </c>
      <c r="D147" s="7" t="s">
        <v>16</v>
      </c>
      <c r="E147" s="8">
        <v>2.0</v>
      </c>
    </row>
    <row r="148" hidden="1">
      <c r="A148" s="5">
        <v>147.0</v>
      </c>
      <c r="B148" s="6" t="s">
        <v>128</v>
      </c>
      <c r="C148" s="7" t="s">
        <v>6</v>
      </c>
      <c r="D148" s="7" t="s">
        <v>25</v>
      </c>
      <c r="E148" s="8">
        <v>2.0</v>
      </c>
    </row>
    <row r="149" hidden="1">
      <c r="A149" s="5">
        <v>148.0</v>
      </c>
      <c r="B149" s="6" t="s">
        <v>157</v>
      </c>
      <c r="C149" s="7" t="s">
        <v>134</v>
      </c>
      <c r="D149" s="7" t="s">
        <v>25</v>
      </c>
      <c r="E149" s="8">
        <v>2.0</v>
      </c>
    </row>
    <row r="150" hidden="1">
      <c r="A150" s="5">
        <v>149.0</v>
      </c>
      <c r="B150" s="6" t="s">
        <v>1012</v>
      </c>
      <c r="C150" s="7" t="s">
        <v>104</v>
      </c>
      <c r="D150" s="7" t="s">
        <v>10</v>
      </c>
      <c r="E150" s="8">
        <v>2.0</v>
      </c>
    </row>
    <row r="151" hidden="1">
      <c r="A151" s="5">
        <v>150.0</v>
      </c>
      <c r="B151" s="6" t="s">
        <v>180</v>
      </c>
      <c r="C151" s="7" t="s">
        <v>22</v>
      </c>
      <c r="D151" s="7" t="s">
        <v>10</v>
      </c>
      <c r="E151" s="8">
        <v>2.0</v>
      </c>
    </row>
    <row r="152" hidden="1">
      <c r="A152" s="5">
        <v>151.0</v>
      </c>
      <c r="B152" s="6" t="s">
        <v>126</v>
      </c>
      <c r="C152" s="7" t="s">
        <v>6</v>
      </c>
      <c r="D152" s="7" t="s">
        <v>25</v>
      </c>
      <c r="E152" s="8">
        <v>2.0</v>
      </c>
    </row>
    <row r="153" hidden="1">
      <c r="A153" s="5">
        <v>152.0</v>
      </c>
      <c r="B153" s="6" t="s">
        <v>222</v>
      </c>
      <c r="C153" s="7" t="s">
        <v>27</v>
      </c>
      <c r="D153" s="7" t="s">
        <v>25</v>
      </c>
      <c r="E153" s="8">
        <v>2.0</v>
      </c>
    </row>
    <row r="154" hidden="1">
      <c r="A154" s="5">
        <v>153.0</v>
      </c>
      <c r="B154" s="6" t="s">
        <v>237</v>
      </c>
      <c r="C154" s="7" t="s">
        <v>22</v>
      </c>
      <c r="D154" s="7" t="s">
        <v>25</v>
      </c>
      <c r="E154" s="8">
        <v>2.0</v>
      </c>
    </row>
    <row r="155" hidden="1">
      <c r="A155" s="5">
        <v>154.0</v>
      </c>
      <c r="B155" s="6" t="s">
        <v>283</v>
      </c>
      <c r="C155" s="7" t="s">
        <v>56</v>
      </c>
      <c r="D155" s="7" t="s">
        <v>25</v>
      </c>
      <c r="E155" s="8">
        <v>1.0</v>
      </c>
    </row>
    <row r="156" hidden="1">
      <c r="A156" s="5">
        <v>155.0</v>
      </c>
      <c r="B156" s="6" t="s">
        <v>245</v>
      </c>
      <c r="C156" s="7" t="s">
        <v>86</v>
      </c>
      <c r="D156" s="7" t="s">
        <v>25</v>
      </c>
      <c r="E156" s="8">
        <v>1.0</v>
      </c>
    </row>
    <row r="157">
      <c r="A157" s="5">
        <v>156.0</v>
      </c>
      <c r="B157" s="6" t="s">
        <v>136</v>
      </c>
      <c r="C157" s="7" t="s">
        <v>59</v>
      </c>
      <c r="D157" s="7" t="s">
        <v>16</v>
      </c>
      <c r="E157" s="8">
        <v>1.0</v>
      </c>
    </row>
    <row r="158" hidden="1">
      <c r="A158" s="5">
        <v>157.0</v>
      </c>
      <c r="B158" s="6" t="s">
        <v>139</v>
      </c>
      <c r="C158" s="7" t="s">
        <v>27</v>
      </c>
      <c r="D158" s="7" t="s">
        <v>10</v>
      </c>
      <c r="E158" s="8">
        <v>1.0</v>
      </c>
    </row>
    <row r="159" hidden="1">
      <c r="A159" s="5">
        <v>158.0</v>
      </c>
      <c r="B159" s="6" t="s">
        <v>174</v>
      </c>
      <c r="C159" s="7" t="s">
        <v>27</v>
      </c>
      <c r="D159" s="7" t="s">
        <v>166</v>
      </c>
      <c r="E159" s="8">
        <v>1.0</v>
      </c>
    </row>
    <row r="160" hidden="1">
      <c r="A160" s="5">
        <v>159.0</v>
      </c>
      <c r="B160" s="6" t="s">
        <v>171</v>
      </c>
      <c r="C160" s="7" t="s">
        <v>59</v>
      </c>
      <c r="D160" s="7" t="s">
        <v>166</v>
      </c>
      <c r="E160" s="8">
        <v>1.0</v>
      </c>
    </row>
    <row r="161" hidden="1">
      <c r="A161" s="5">
        <v>160.0</v>
      </c>
      <c r="B161" s="6" t="s">
        <v>328</v>
      </c>
      <c r="C161" s="7" t="s">
        <v>96</v>
      </c>
      <c r="D161" s="7" t="s">
        <v>7</v>
      </c>
      <c r="E161" s="8">
        <v>1.0</v>
      </c>
    </row>
    <row r="162" hidden="1">
      <c r="A162" s="5">
        <v>161.0</v>
      </c>
      <c r="B162" s="6" t="s">
        <v>179</v>
      </c>
      <c r="C162" s="7" t="s">
        <v>12</v>
      </c>
      <c r="D162" s="7" t="s">
        <v>166</v>
      </c>
      <c r="E162" s="8">
        <v>1.0</v>
      </c>
    </row>
    <row r="163" hidden="1">
      <c r="A163" s="5">
        <v>162.0</v>
      </c>
      <c r="B163" s="6" t="s">
        <v>149</v>
      </c>
      <c r="C163" s="7" t="s">
        <v>74</v>
      </c>
      <c r="D163" s="7" t="s">
        <v>10</v>
      </c>
      <c r="E163" s="8">
        <v>1.0</v>
      </c>
    </row>
    <row r="164" hidden="1">
      <c r="A164" s="5">
        <v>163.0</v>
      </c>
      <c r="B164" s="6" t="s">
        <v>144</v>
      </c>
      <c r="C164" s="7" t="s">
        <v>32</v>
      </c>
      <c r="D164" s="7" t="s">
        <v>25</v>
      </c>
      <c r="E164" s="8">
        <v>1.0</v>
      </c>
    </row>
    <row r="165" hidden="1">
      <c r="A165" s="5">
        <v>164.0</v>
      </c>
      <c r="B165" s="6" t="s">
        <v>1013</v>
      </c>
      <c r="C165" s="7" t="s">
        <v>56</v>
      </c>
      <c r="D165" s="7" t="s">
        <v>7</v>
      </c>
      <c r="E165" s="8">
        <v>1.0</v>
      </c>
    </row>
    <row r="166" hidden="1">
      <c r="A166" s="5">
        <v>165.0</v>
      </c>
      <c r="B166" s="6" t="s">
        <v>252</v>
      </c>
      <c r="C166" s="7" t="s">
        <v>63</v>
      </c>
      <c r="D166" s="7" t="s">
        <v>10</v>
      </c>
      <c r="E166" s="8">
        <v>1.0</v>
      </c>
    </row>
    <row r="167" hidden="1">
      <c r="A167" s="5">
        <v>166.0</v>
      </c>
      <c r="B167" s="6" t="s">
        <v>244</v>
      </c>
      <c r="C167" s="7" t="s">
        <v>9</v>
      </c>
      <c r="D167" s="7" t="s">
        <v>25</v>
      </c>
      <c r="E167" s="8">
        <v>1.0</v>
      </c>
    </row>
    <row r="168" hidden="1">
      <c r="A168" s="5">
        <v>167.0</v>
      </c>
      <c r="B168" s="6" t="s">
        <v>250</v>
      </c>
      <c r="C168" s="7" t="s">
        <v>74</v>
      </c>
      <c r="D168" s="7" t="s">
        <v>25</v>
      </c>
      <c r="E168" s="8">
        <v>1.0</v>
      </c>
    </row>
    <row r="169" hidden="1">
      <c r="A169" s="5">
        <v>168.0</v>
      </c>
      <c r="B169" s="6" t="s">
        <v>159</v>
      </c>
      <c r="C169" s="7" t="s">
        <v>6</v>
      </c>
      <c r="D169" s="7" t="s">
        <v>10</v>
      </c>
      <c r="E169" s="8">
        <v>1.0</v>
      </c>
    </row>
    <row r="170">
      <c r="A170" s="5">
        <v>169.0</v>
      </c>
      <c r="B170" s="6" t="s">
        <v>255</v>
      </c>
      <c r="C170" s="7" t="s">
        <v>6</v>
      </c>
      <c r="D170" s="7" t="s">
        <v>16</v>
      </c>
      <c r="E170" s="8">
        <v>1.0</v>
      </c>
    </row>
    <row r="171" hidden="1">
      <c r="A171" s="5">
        <v>170.0</v>
      </c>
      <c r="B171" s="6" t="s">
        <v>165</v>
      </c>
      <c r="C171" s="7" t="s">
        <v>48</v>
      </c>
      <c r="D171" s="7" t="s">
        <v>166</v>
      </c>
      <c r="E171" s="8">
        <v>1.0</v>
      </c>
    </row>
    <row r="172" hidden="1">
      <c r="A172" s="5">
        <v>171.0</v>
      </c>
      <c r="B172" s="6" t="s">
        <v>175</v>
      </c>
      <c r="C172" s="7" t="s">
        <v>86</v>
      </c>
      <c r="D172" s="7" t="s">
        <v>166</v>
      </c>
      <c r="E172" s="8">
        <v>1.0</v>
      </c>
    </row>
    <row r="173" hidden="1">
      <c r="A173" s="5">
        <v>172.0</v>
      </c>
      <c r="B173" s="6" t="s">
        <v>170</v>
      </c>
      <c r="C173" s="7" t="s">
        <v>9</v>
      </c>
      <c r="D173" s="7" t="s">
        <v>169</v>
      </c>
      <c r="E173" s="8">
        <v>1.0</v>
      </c>
    </row>
    <row r="174" hidden="1">
      <c r="A174" s="5">
        <v>173.0</v>
      </c>
      <c r="B174" s="6" t="s">
        <v>294</v>
      </c>
      <c r="C174" s="7" t="s">
        <v>74</v>
      </c>
      <c r="D174" s="7" t="s">
        <v>25</v>
      </c>
      <c r="E174" s="8">
        <v>1.0</v>
      </c>
    </row>
    <row r="175" hidden="1">
      <c r="A175" s="5">
        <v>174.0</v>
      </c>
      <c r="B175" s="6" t="s">
        <v>333</v>
      </c>
      <c r="C175" s="7" t="s">
        <v>134</v>
      </c>
      <c r="D175" s="7" t="s">
        <v>10</v>
      </c>
      <c r="E175" s="8">
        <v>1.0</v>
      </c>
    </row>
    <row r="176" hidden="1">
      <c r="A176" s="5">
        <v>175.0</v>
      </c>
      <c r="B176" s="6" t="s">
        <v>172</v>
      </c>
      <c r="C176" s="7" t="s">
        <v>12</v>
      </c>
      <c r="D176" s="7" t="s">
        <v>169</v>
      </c>
      <c r="E176" s="8">
        <v>1.0</v>
      </c>
    </row>
    <row r="177" hidden="1">
      <c r="A177" s="5">
        <v>176.0</v>
      </c>
      <c r="B177" s="6" t="s">
        <v>213</v>
      </c>
      <c r="C177" s="7" t="s">
        <v>77</v>
      </c>
      <c r="D177" s="7" t="s">
        <v>166</v>
      </c>
      <c r="E177" s="8">
        <v>1.0</v>
      </c>
    </row>
    <row r="178" hidden="1">
      <c r="A178" s="5">
        <v>177.0</v>
      </c>
      <c r="B178" s="6" t="s">
        <v>226</v>
      </c>
      <c r="C178" s="7" t="s">
        <v>24</v>
      </c>
      <c r="D178" s="7" t="s">
        <v>166</v>
      </c>
      <c r="E178" s="8">
        <v>1.0</v>
      </c>
    </row>
    <row r="179">
      <c r="A179" s="5">
        <v>178.0</v>
      </c>
      <c r="B179" s="6" t="s">
        <v>178</v>
      </c>
      <c r="C179" s="7" t="s">
        <v>22</v>
      </c>
      <c r="D179" s="7" t="s">
        <v>16</v>
      </c>
      <c r="E179" s="8">
        <v>1.0</v>
      </c>
    </row>
    <row r="180" hidden="1">
      <c r="A180" s="5">
        <v>179.0</v>
      </c>
      <c r="B180" s="6" t="s">
        <v>371</v>
      </c>
      <c r="C180" s="7" t="s">
        <v>40</v>
      </c>
      <c r="D180" s="7" t="s">
        <v>7</v>
      </c>
      <c r="E180" s="8">
        <v>1.0</v>
      </c>
    </row>
    <row r="181" hidden="1">
      <c r="A181" s="5">
        <v>180.0</v>
      </c>
      <c r="B181" s="6" t="s">
        <v>285</v>
      </c>
      <c r="C181" s="7" t="s">
        <v>1007</v>
      </c>
      <c r="D181" s="7" t="s">
        <v>25</v>
      </c>
      <c r="E181" s="8">
        <v>1.0</v>
      </c>
    </row>
    <row r="182" hidden="1">
      <c r="A182" s="5">
        <v>181.0</v>
      </c>
      <c r="B182" s="6" t="s">
        <v>303</v>
      </c>
      <c r="C182" s="7" t="s">
        <v>59</v>
      </c>
      <c r="D182" s="7" t="s">
        <v>25</v>
      </c>
      <c r="E182" s="8">
        <v>1.0</v>
      </c>
    </row>
    <row r="183" hidden="1">
      <c r="A183" s="5">
        <v>182.0</v>
      </c>
      <c r="B183" s="6" t="s">
        <v>100</v>
      </c>
      <c r="C183" s="7" t="s">
        <v>18</v>
      </c>
      <c r="D183" s="7" t="s">
        <v>10</v>
      </c>
      <c r="E183" s="8">
        <v>1.0</v>
      </c>
    </row>
    <row r="184" hidden="1">
      <c r="A184" s="5">
        <v>183.0</v>
      </c>
      <c r="B184" s="6" t="s">
        <v>168</v>
      </c>
      <c r="C184" s="7" t="s">
        <v>24</v>
      </c>
      <c r="D184" s="7" t="s">
        <v>169</v>
      </c>
      <c r="E184" s="8">
        <v>1.0</v>
      </c>
    </row>
    <row r="185" hidden="1">
      <c r="A185" s="5">
        <v>184.0</v>
      </c>
      <c r="B185" s="6" t="s">
        <v>196</v>
      </c>
      <c r="C185" s="7" t="s">
        <v>14</v>
      </c>
      <c r="D185" s="7" t="s">
        <v>169</v>
      </c>
      <c r="E185" s="8">
        <v>1.0</v>
      </c>
    </row>
    <row r="186" hidden="1">
      <c r="A186" s="5">
        <v>185.0</v>
      </c>
      <c r="B186" s="6" t="s">
        <v>217</v>
      </c>
      <c r="C186" s="7" t="s">
        <v>9</v>
      </c>
      <c r="D186" s="7" t="s">
        <v>166</v>
      </c>
      <c r="E186" s="8">
        <v>1.0</v>
      </c>
    </row>
    <row r="187" hidden="1">
      <c r="A187" s="5">
        <v>186.0</v>
      </c>
      <c r="B187" s="6" t="s">
        <v>760</v>
      </c>
      <c r="C187" s="7" t="s">
        <v>32</v>
      </c>
      <c r="D187" s="7" t="s">
        <v>25</v>
      </c>
      <c r="E187" s="8">
        <v>1.0</v>
      </c>
    </row>
    <row r="188" hidden="1">
      <c r="A188" s="5">
        <v>187.0</v>
      </c>
      <c r="B188" s="6" t="s">
        <v>415</v>
      </c>
      <c r="C188" s="7" t="s">
        <v>34</v>
      </c>
      <c r="D188" s="7" t="s">
        <v>7</v>
      </c>
      <c r="E188" s="8">
        <v>1.0</v>
      </c>
    </row>
    <row r="189" hidden="1">
      <c r="A189" s="5">
        <v>188.0</v>
      </c>
      <c r="B189" s="6" t="s">
        <v>321</v>
      </c>
      <c r="C189" s="7" t="s">
        <v>18</v>
      </c>
      <c r="D189" s="7" t="s">
        <v>25</v>
      </c>
      <c r="E189" s="8">
        <v>1.0</v>
      </c>
    </row>
    <row r="190" hidden="1">
      <c r="A190" s="5">
        <v>189.0</v>
      </c>
      <c r="B190" s="6" t="s">
        <v>402</v>
      </c>
      <c r="C190" s="7" t="s">
        <v>56</v>
      </c>
      <c r="D190" s="7" t="s">
        <v>7</v>
      </c>
      <c r="E190" s="8">
        <v>1.0</v>
      </c>
    </row>
    <row r="191">
      <c r="A191" s="5">
        <v>190.0</v>
      </c>
      <c r="B191" s="6" t="s">
        <v>281</v>
      </c>
      <c r="C191" s="7" t="s">
        <v>40</v>
      </c>
      <c r="D191" s="7" t="s">
        <v>16</v>
      </c>
      <c r="E191" s="8">
        <v>1.0</v>
      </c>
    </row>
    <row r="192" hidden="1">
      <c r="A192" s="5">
        <v>191.0</v>
      </c>
      <c r="B192" s="6" t="s">
        <v>210</v>
      </c>
      <c r="C192" s="7" t="s">
        <v>22</v>
      </c>
      <c r="D192" s="7" t="s">
        <v>166</v>
      </c>
      <c r="E192" s="8">
        <v>1.0</v>
      </c>
    </row>
    <row r="193" hidden="1">
      <c r="A193" s="5">
        <v>192.0</v>
      </c>
      <c r="B193" s="6" t="s">
        <v>279</v>
      </c>
      <c r="C193" s="7" t="s">
        <v>20</v>
      </c>
      <c r="D193" s="7" t="s">
        <v>25</v>
      </c>
      <c r="E193" s="8">
        <v>0.0</v>
      </c>
    </row>
    <row r="194" hidden="1">
      <c r="A194" s="5">
        <v>193.0</v>
      </c>
      <c r="B194" s="6" t="s">
        <v>531</v>
      </c>
      <c r="C194" s="7" t="s">
        <v>96</v>
      </c>
      <c r="D194" s="7" t="s">
        <v>7</v>
      </c>
      <c r="E194" s="8">
        <v>0.0</v>
      </c>
    </row>
    <row r="195" hidden="1">
      <c r="A195" s="5">
        <v>194.0</v>
      </c>
      <c r="B195" s="6" t="s">
        <v>300</v>
      </c>
      <c r="C195" s="7" t="s">
        <v>104</v>
      </c>
      <c r="D195" s="7" t="s">
        <v>25</v>
      </c>
      <c r="E195" s="8">
        <v>0.0</v>
      </c>
    </row>
    <row r="196" hidden="1">
      <c r="A196" s="5">
        <v>195.0</v>
      </c>
      <c r="B196" s="6" t="s">
        <v>299</v>
      </c>
      <c r="C196" s="7" t="s">
        <v>34</v>
      </c>
      <c r="D196" s="7" t="s">
        <v>25</v>
      </c>
      <c r="E196" s="8">
        <v>0.0</v>
      </c>
    </row>
    <row r="197" hidden="1">
      <c r="A197" s="5">
        <v>196.0</v>
      </c>
      <c r="B197" s="6" t="s">
        <v>232</v>
      </c>
      <c r="C197" s="7" t="s">
        <v>233</v>
      </c>
      <c r="D197" s="7" t="s">
        <v>166</v>
      </c>
      <c r="E197" s="8">
        <v>0.0</v>
      </c>
    </row>
    <row r="198" hidden="1">
      <c r="A198" s="5">
        <v>197.0</v>
      </c>
      <c r="B198" s="6" t="s">
        <v>520</v>
      </c>
      <c r="C198" s="7" t="s">
        <v>61</v>
      </c>
      <c r="D198" s="7" t="s">
        <v>7</v>
      </c>
      <c r="E198" s="8">
        <v>0.0</v>
      </c>
    </row>
    <row r="199" hidden="1">
      <c r="A199" s="5">
        <v>198.0</v>
      </c>
      <c r="B199" s="6" t="s">
        <v>186</v>
      </c>
      <c r="C199" s="7" t="s">
        <v>27</v>
      </c>
      <c r="D199" s="7" t="s">
        <v>169</v>
      </c>
      <c r="E199" s="8">
        <v>0.0</v>
      </c>
    </row>
    <row r="200" hidden="1">
      <c r="A200" s="5">
        <v>199.0</v>
      </c>
      <c r="B200" s="6" t="s">
        <v>177</v>
      </c>
      <c r="C200" s="7" t="s">
        <v>63</v>
      </c>
      <c r="D200" s="7" t="s">
        <v>166</v>
      </c>
      <c r="E200" s="8">
        <v>0.0</v>
      </c>
    </row>
    <row r="201">
      <c r="A201" s="5">
        <v>200.0</v>
      </c>
      <c r="B201" s="6" t="s">
        <v>309</v>
      </c>
      <c r="C201" s="7" t="s">
        <v>38</v>
      </c>
      <c r="D201" s="7" t="s">
        <v>16</v>
      </c>
      <c r="E201" s="8">
        <v>0.0</v>
      </c>
    </row>
    <row r="202" hidden="1">
      <c r="A202" s="5">
        <v>201.0</v>
      </c>
      <c r="B202" s="6" t="s">
        <v>193</v>
      </c>
      <c r="C202" s="7" t="s">
        <v>38</v>
      </c>
      <c r="D202" s="7" t="s">
        <v>169</v>
      </c>
      <c r="E202" s="8">
        <v>0.0</v>
      </c>
    </row>
    <row r="203" hidden="1">
      <c r="A203" s="5">
        <v>202.0</v>
      </c>
      <c r="B203" s="6" t="s">
        <v>367</v>
      </c>
      <c r="C203" s="7" t="s">
        <v>104</v>
      </c>
      <c r="D203" s="7" t="s">
        <v>25</v>
      </c>
      <c r="E203" s="8">
        <v>0.0</v>
      </c>
    </row>
    <row r="204" hidden="1">
      <c r="A204" s="5">
        <v>203.0</v>
      </c>
      <c r="B204" s="6" t="s">
        <v>307</v>
      </c>
      <c r="C204" s="7" t="s">
        <v>134</v>
      </c>
      <c r="D204" s="7" t="s">
        <v>25</v>
      </c>
      <c r="E204" s="8">
        <v>0.0</v>
      </c>
    </row>
    <row r="205" hidden="1">
      <c r="A205" s="5">
        <v>204.0</v>
      </c>
      <c r="B205" s="6" t="s">
        <v>183</v>
      </c>
      <c r="C205" s="7" t="s">
        <v>69</v>
      </c>
      <c r="D205" s="7" t="s">
        <v>169</v>
      </c>
      <c r="E205" s="8">
        <v>0.0</v>
      </c>
    </row>
    <row r="206" hidden="1">
      <c r="A206" s="5">
        <v>205.0</v>
      </c>
      <c r="B206" s="6" t="s">
        <v>523</v>
      </c>
      <c r="C206" s="7" t="s">
        <v>59</v>
      </c>
      <c r="D206" s="7" t="s">
        <v>7</v>
      </c>
      <c r="E206" s="8">
        <v>0.0</v>
      </c>
    </row>
    <row r="207" hidden="1">
      <c r="A207" s="5">
        <v>206.0</v>
      </c>
      <c r="B207" s="6" t="s">
        <v>282</v>
      </c>
      <c r="C207" s="7" t="s">
        <v>48</v>
      </c>
      <c r="D207" s="7" t="s">
        <v>25</v>
      </c>
      <c r="E207" s="8">
        <v>0.0</v>
      </c>
    </row>
    <row r="208" hidden="1">
      <c r="A208" s="5">
        <v>207.0</v>
      </c>
      <c r="B208" s="6" t="s">
        <v>167</v>
      </c>
      <c r="C208" s="7" t="s">
        <v>32</v>
      </c>
      <c r="D208" s="7" t="s">
        <v>166</v>
      </c>
      <c r="E208" s="8">
        <v>0.0</v>
      </c>
    </row>
    <row r="209" hidden="1">
      <c r="A209" s="5">
        <v>208.0</v>
      </c>
      <c r="B209" s="6" t="s">
        <v>176</v>
      </c>
      <c r="C209" s="7" t="s">
        <v>96</v>
      </c>
      <c r="D209" s="7" t="s">
        <v>166</v>
      </c>
      <c r="E209" s="8">
        <v>0.0</v>
      </c>
    </row>
    <row r="210" hidden="1">
      <c r="A210" s="5">
        <v>209.0</v>
      </c>
      <c r="B210" s="6" t="s">
        <v>1014</v>
      </c>
      <c r="C210" s="7" t="s">
        <v>92</v>
      </c>
      <c r="D210" s="7" t="s">
        <v>25</v>
      </c>
      <c r="E210" s="8">
        <v>0.0</v>
      </c>
    </row>
    <row r="211">
      <c r="A211" s="5">
        <v>210.0</v>
      </c>
      <c r="B211" s="6" t="s">
        <v>247</v>
      </c>
      <c r="C211" s="7" t="s">
        <v>56</v>
      </c>
      <c r="D211" s="7" t="s">
        <v>16</v>
      </c>
      <c r="E211" s="8">
        <v>0.0</v>
      </c>
    </row>
    <row r="212" hidden="1">
      <c r="A212" s="5">
        <v>211.0</v>
      </c>
      <c r="B212" s="6" t="s">
        <v>212</v>
      </c>
      <c r="C212" s="7" t="s">
        <v>34</v>
      </c>
      <c r="D212" s="7" t="s">
        <v>166</v>
      </c>
      <c r="E212" s="8">
        <v>0.0</v>
      </c>
    </row>
    <row r="213" hidden="1">
      <c r="A213" s="5">
        <v>212.0</v>
      </c>
      <c r="B213" s="6" t="s">
        <v>591</v>
      </c>
      <c r="C213" s="7" t="s">
        <v>104</v>
      </c>
      <c r="D213" s="7" t="s">
        <v>7</v>
      </c>
      <c r="E213" s="8">
        <v>0.0</v>
      </c>
    </row>
    <row r="214" hidden="1">
      <c r="A214" s="5">
        <v>213.0</v>
      </c>
      <c r="B214" s="6" t="s">
        <v>200</v>
      </c>
      <c r="C214" s="7" t="s">
        <v>1007</v>
      </c>
      <c r="D214" s="7" t="s">
        <v>169</v>
      </c>
      <c r="E214" s="8">
        <v>0.0</v>
      </c>
    </row>
    <row r="215" hidden="1">
      <c r="A215" s="5">
        <v>214.0</v>
      </c>
      <c r="B215" s="6" t="s">
        <v>192</v>
      </c>
      <c r="C215" s="7" t="s">
        <v>32</v>
      </c>
      <c r="D215" s="7" t="s">
        <v>169</v>
      </c>
      <c r="E215" s="8">
        <v>0.0</v>
      </c>
    </row>
    <row r="216" hidden="1">
      <c r="A216" s="5">
        <v>215.0</v>
      </c>
      <c r="B216" s="6" t="s">
        <v>198</v>
      </c>
      <c r="C216" s="7" t="s">
        <v>20</v>
      </c>
      <c r="D216" s="7" t="s">
        <v>169</v>
      </c>
      <c r="E216" s="8">
        <v>0.0</v>
      </c>
    </row>
    <row r="217" hidden="1">
      <c r="A217" s="5">
        <v>216.0</v>
      </c>
      <c r="B217" s="6" t="s">
        <v>311</v>
      </c>
      <c r="C217" s="7" t="s">
        <v>18</v>
      </c>
      <c r="D217" s="7" t="s">
        <v>25</v>
      </c>
      <c r="E217" s="8">
        <v>0.0</v>
      </c>
    </row>
    <row r="218">
      <c r="A218" s="5">
        <v>217.0</v>
      </c>
      <c r="B218" s="6" t="s">
        <v>243</v>
      </c>
      <c r="C218" s="7" t="s">
        <v>48</v>
      </c>
      <c r="D218" s="7" t="s">
        <v>16</v>
      </c>
      <c r="E218" s="8">
        <v>0.0</v>
      </c>
    </row>
    <row r="219" hidden="1">
      <c r="A219" s="5">
        <v>218.0</v>
      </c>
      <c r="B219" s="6" t="s">
        <v>596</v>
      </c>
      <c r="C219" s="7" t="s">
        <v>9</v>
      </c>
      <c r="D219" s="7" t="s">
        <v>7</v>
      </c>
      <c r="E219" s="8">
        <v>0.0</v>
      </c>
    </row>
    <row r="220" hidden="1">
      <c r="A220" s="5">
        <v>219.0</v>
      </c>
      <c r="B220" s="6" t="s">
        <v>290</v>
      </c>
      <c r="C220" s="7" t="s">
        <v>92</v>
      </c>
      <c r="D220" s="7" t="s">
        <v>10</v>
      </c>
      <c r="E220" s="8">
        <v>0.0</v>
      </c>
    </row>
    <row r="221" hidden="1">
      <c r="A221" s="5">
        <v>220.0</v>
      </c>
      <c r="B221" s="6" t="s">
        <v>768</v>
      </c>
      <c r="C221" s="7" t="s">
        <v>233</v>
      </c>
      <c r="D221" s="7" t="s">
        <v>7</v>
      </c>
      <c r="E221" s="8">
        <v>0.0</v>
      </c>
    </row>
    <row r="222">
      <c r="A222" s="5">
        <v>221.0</v>
      </c>
      <c r="B222" s="6" t="s">
        <v>304</v>
      </c>
      <c r="C222" s="7" t="s">
        <v>233</v>
      </c>
      <c r="D222" s="7" t="s">
        <v>16</v>
      </c>
      <c r="E222" s="8">
        <v>0.0</v>
      </c>
    </row>
    <row r="223" hidden="1">
      <c r="A223" s="5">
        <v>222.0</v>
      </c>
      <c r="B223" s="6" t="s">
        <v>765</v>
      </c>
      <c r="C223" s="7" t="s">
        <v>104</v>
      </c>
      <c r="D223" s="7" t="s">
        <v>7</v>
      </c>
      <c r="E223" s="8">
        <v>0.0</v>
      </c>
    </row>
    <row r="224" hidden="1">
      <c r="A224" s="5">
        <v>223.0</v>
      </c>
      <c r="B224" s="6" t="s">
        <v>379</v>
      </c>
      <c r="C224" s="7" t="s">
        <v>61</v>
      </c>
      <c r="D224" s="7" t="s">
        <v>25</v>
      </c>
      <c r="E224" s="8">
        <v>0.0</v>
      </c>
    </row>
    <row r="225" hidden="1">
      <c r="A225" s="5">
        <v>224.0</v>
      </c>
      <c r="B225" s="6" t="s">
        <v>425</v>
      </c>
      <c r="C225" s="7" t="s">
        <v>59</v>
      </c>
      <c r="D225" s="7" t="s">
        <v>7</v>
      </c>
      <c r="E225" s="8">
        <v>0.0</v>
      </c>
    </row>
    <row r="226" hidden="1">
      <c r="A226" s="5">
        <v>225.0</v>
      </c>
      <c r="B226" s="6" t="s">
        <v>173</v>
      </c>
      <c r="C226" s="7" t="s">
        <v>74</v>
      </c>
      <c r="D226" s="7" t="s">
        <v>166</v>
      </c>
      <c r="E226" s="8">
        <v>0.0</v>
      </c>
    </row>
    <row r="227">
      <c r="A227" s="5">
        <v>226.0</v>
      </c>
      <c r="B227" s="6" t="s">
        <v>254</v>
      </c>
      <c r="C227" s="7" t="s">
        <v>22</v>
      </c>
      <c r="D227" s="7" t="s">
        <v>16</v>
      </c>
      <c r="E227" s="8">
        <v>0.0</v>
      </c>
    </row>
    <row r="228" hidden="1">
      <c r="A228" s="5">
        <v>227.0</v>
      </c>
      <c r="B228" s="6" t="s">
        <v>220</v>
      </c>
      <c r="C228" s="7" t="s">
        <v>40</v>
      </c>
      <c r="D228" s="7" t="s">
        <v>166</v>
      </c>
      <c r="E228" s="8">
        <v>0.0</v>
      </c>
    </row>
    <row r="229" hidden="1">
      <c r="A229" s="5">
        <v>228.0</v>
      </c>
      <c r="B229" s="6" t="s">
        <v>224</v>
      </c>
      <c r="C229" s="7" t="s">
        <v>56</v>
      </c>
      <c r="D229" s="7" t="s">
        <v>166</v>
      </c>
      <c r="E229" s="8">
        <v>0.0</v>
      </c>
    </row>
    <row r="230" hidden="1">
      <c r="A230" s="5">
        <v>229.0</v>
      </c>
      <c r="B230" s="6" t="s">
        <v>343</v>
      </c>
      <c r="C230" s="7" t="s">
        <v>20</v>
      </c>
      <c r="D230" s="7" t="s">
        <v>25</v>
      </c>
      <c r="E230" s="8">
        <v>0.0</v>
      </c>
    </row>
    <row r="231" hidden="1">
      <c r="A231" s="5">
        <v>230.0</v>
      </c>
      <c r="B231" s="6" t="s">
        <v>1015</v>
      </c>
      <c r="C231" s="7" t="s">
        <v>96</v>
      </c>
      <c r="D231" s="7" t="s">
        <v>169</v>
      </c>
      <c r="E231" s="8">
        <v>0.0</v>
      </c>
    </row>
    <row r="232" hidden="1">
      <c r="A232" s="5">
        <v>231.0</v>
      </c>
      <c r="B232" s="6" t="s">
        <v>191</v>
      </c>
      <c r="C232" s="7" t="s">
        <v>22</v>
      </c>
      <c r="D232" s="7" t="s">
        <v>169</v>
      </c>
      <c r="E232" s="8">
        <v>0.0</v>
      </c>
    </row>
    <row r="233">
      <c r="A233" s="5">
        <v>232.0</v>
      </c>
      <c r="B233" s="6" t="s">
        <v>240</v>
      </c>
      <c r="C233" s="7" t="s">
        <v>40</v>
      </c>
      <c r="D233" s="7" t="s">
        <v>16</v>
      </c>
      <c r="E233" s="8">
        <v>0.0</v>
      </c>
    </row>
    <row r="234" hidden="1">
      <c r="A234" s="5">
        <v>233.0</v>
      </c>
      <c r="B234" s="6" t="s">
        <v>132</v>
      </c>
      <c r="C234" s="7" t="s">
        <v>96</v>
      </c>
      <c r="D234" s="7" t="s">
        <v>10</v>
      </c>
      <c r="E234" s="8">
        <v>0.0</v>
      </c>
    </row>
    <row r="235" hidden="1">
      <c r="A235" s="5">
        <v>234.0</v>
      </c>
      <c r="B235" s="6" t="s">
        <v>604</v>
      </c>
      <c r="C235" s="7" t="s">
        <v>92</v>
      </c>
      <c r="D235" s="7" t="s">
        <v>7</v>
      </c>
      <c r="E235" s="8">
        <v>0.0</v>
      </c>
    </row>
    <row r="236" hidden="1">
      <c r="A236" s="5">
        <v>235.0</v>
      </c>
      <c r="B236" s="6" t="s">
        <v>205</v>
      </c>
      <c r="C236" s="7" t="s">
        <v>56</v>
      </c>
      <c r="D236" s="7" t="s">
        <v>169</v>
      </c>
      <c r="E236" s="8">
        <v>0.0</v>
      </c>
    </row>
    <row r="237" hidden="1">
      <c r="A237" s="5">
        <v>236.0</v>
      </c>
      <c r="B237" s="6" t="s">
        <v>302</v>
      </c>
      <c r="C237" s="7" t="s">
        <v>86</v>
      </c>
      <c r="D237" s="7" t="s">
        <v>25</v>
      </c>
      <c r="E237" s="8">
        <v>0.0</v>
      </c>
    </row>
    <row r="238" hidden="1">
      <c r="A238" s="5">
        <v>237.0</v>
      </c>
      <c r="B238" s="6" t="s">
        <v>184</v>
      </c>
      <c r="C238" s="7" t="s">
        <v>44</v>
      </c>
      <c r="D238" s="7" t="s">
        <v>169</v>
      </c>
      <c r="E238" s="8">
        <v>0.0</v>
      </c>
    </row>
    <row r="239" hidden="1">
      <c r="A239" s="5">
        <v>238.0</v>
      </c>
      <c r="B239" s="6" t="s">
        <v>229</v>
      </c>
      <c r="C239" s="7" t="s">
        <v>38</v>
      </c>
      <c r="D239" s="7" t="s">
        <v>166</v>
      </c>
      <c r="E239" s="8">
        <v>0.0</v>
      </c>
    </row>
    <row r="240" hidden="1">
      <c r="A240" s="5">
        <v>239.0</v>
      </c>
      <c r="B240" s="6" t="s">
        <v>348</v>
      </c>
      <c r="C240" s="7" t="s">
        <v>61</v>
      </c>
      <c r="D240" s="7" t="s">
        <v>25</v>
      </c>
      <c r="E240" s="8">
        <v>0.0</v>
      </c>
    </row>
    <row r="241" hidden="1">
      <c r="A241" s="5">
        <v>240.0</v>
      </c>
      <c r="B241" s="6" t="s">
        <v>218</v>
      </c>
      <c r="C241" s="7" t="s">
        <v>14</v>
      </c>
      <c r="D241" s="7" t="s">
        <v>166</v>
      </c>
      <c r="E241" s="8">
        <v>0.0</v>
      </c>
    </row>
    <row r="242" hidden="1">
      <c r="A242" s="5">
        <v>241.0</v>
      </c>
      <c r="B242" s="6" t="s">
        <v>190</v>
      </c>
      <c r="C242" s="7" t="s">
        <v>63</v>
      </c>
      <c r="D242" s="7" t="s">
        <v>169</v>
      </c>
      <c r="E242" s="8">
        <v>0.0</v>
      </c>
    </row>
    <row r="243" hidden="1">
      <c r="A243" s="5">
        <v>242.0</v>
      </c>
      <c r="B243" s="6" t="s">
        <v>1016</v>
      </c>
      <c r="C243" s="7" t="s">
        <v>40</v>
      </c>
      <c r="D243" s="7" t="s">
        <v>7</v>
      </c>
      <c r="E243" s="8">
        <v>0.0</v>
      </c>
    </row>
    <row r="244" hidden="1">
      <c r="A244" s="5">
        <v>243.0</v>
      </c>
      <c r="B244" s="6" t="s">
        <v>234</v>
      </c>
      <c r="C244" s="7" t="s">
        <v>54</v>
      </c>
      <c r="D244" s="7" t="s">
        <v>166</v>
      </c>
      <c r="E244" s="8">
        <v>0.0</v>
      </c>
    </row>
    <row r="245" hidden="1">
      <c r="A245" s="5">
        <v>244.0</v>
      </c>
      <c r="B245" s="6" t="s">
        <v>396</v>
      </c>
      <c r="C245" s="7" t="s">
        <v>27</v>
      </c>
      <c r="D245" s="7" t="s">
        <v>7</v>
      </c>
      <c r="E245" s="8">
        <v>0.0</v>
      </c>
    </row>
    <row r="246" hidden="1">
      <c r="A246" s="5">
        <v>245.0</v>
      </c>
      <c r="B246" s="6" t="s">
        <v>202</v>
      </c>
      <c r="C246" s="7" t="s">
        <v>40</v>
      </c>
      <c r="D246" s="7" t="s">
        <v>169</v>
      </c>
      <c r="E246" s="8">
        <v>0.0</v>
      </c>
    </row>
    <row r="247" hidden="1">
      <c r="A247" s="5">
        <v>246.0</v>
      </c>
      <c r="B247" s="6" t="s">
        <v>528</v>
      </c>
      <c r="C247" s="7" t="s">
        <v>18</v>
      </c>
      <c r="D247" s="7" t="s">
        <v>7</v>
      </c>
      <c r="E247" s="8">
        <v>0.0</v>
      </c>
    </row>
    <row r="248" hidden="1">
      <c r="A248" s="5">
        <v>247.0</v>
      </c>
      <c r="B248" s="6" t="s">
        <v>181</v>
      </c>
      <c r="C248" s="7" t="s">
        <v>102</v>
      </c>
      <c r="D248" s="7" t="s">
        <v>10</v>
      </c>
      <c r="E248" s="8">
        <v>0.0</v>
      </c>
    </row>
    <row r="249" hidden="1">
      <c r="A249" s="5">
        <v>248.0</v>
      </c>
      <c r="B249" s="6" t="s">
        <v>529</v>
      </c>
      <c r="C249" s="7" t="s">
        <v>44</v>
      </c>
      <c r="D249" s="7" t="s">
        <v>7</v>
      </c>
      <c r="E249" s="8">
        <v>0.0</v>
      </c>
    </row>
    <row r="250" hidden="1">
      <c r="A250" s="5">
        <v>249.0</v>
      </c>
      <c r="B250" s="6" t="s">
        <v>188</v>
      </c>
      <c r="C250" s="7" t="s">
        <v>59</v>
      </c>
      <c r="D250" s="7" t="s">
        <v>169</v>
      </c>
      <c r="E250" s="8">
        <v>0.0</v>
      </c>
    </row>
    <row r="251" hidden="1">
      <c r="A251" s="5">
        <v>250.0</v>
      </c>
      <c r="B251" s="6" t="s">
        <v>223</v>
      </c>
      <c r="C251" s="7" t="s">
        <v>134</v>
      </c>
      <c r="D251" s="7" t="s">
        <v>166</v>
      </c>
      <c r="E251" s="8">
        <v>0.0</v>
      </c>
    </row>
    <row r="252" hidden="1">
      <c r="A252" s="5">
        <v>251.0</v>
      </c>
      <c r="B252" s="6" t="s">
        <v>284</v>
      </c>
      <c r="C252" s="7" t="s">
        <v>77</v>
      </c>
      <c r="D252" s="7" t="s">
        <v>10</v>
      </c>
      <c r="E252" s="8">
        <v>0.0</v>
      </c>
    </row>
    <row r="253">
      <c r="A253" s="5">
        <v>252.0</v>
      </c>
      <c r="B253" s="6" t="s">
        <v>161</v>
      </c>
      <c r="C253" s="7" t="s">
        <v>77</v>
      </c>
      <c r="D253" s="7" t="s">
        <v>16</v>
      </c>
      <c r="E253" s="8">
        <v>0.0</v>
      </c>
    </row>
    <row r="254" hidden="1">
      <c r="A254" s="5">
        <v>253.0</v>
      </c>
      <c r="B254" s="6" t="s">
        <v>313</v>
      </c>
      <c r="C254" s="7" t="s">
        <v>69</v>
      </c>
      <c r="D254" s="7" t="s">
        <v>25</v>
      </c>
      <c r="E254" s="8">
        <v>0.0</v>
      </c>
    </row>
    <row r="255" hidden="1">
      <c r="A255" s="5">
        <v>254.0</v>
      </c>
      <c r="B255" s="6" t="s">
        <v>777</v>
      </c>
      <c r="C255" s="7" t="s">
        <v>63</v>
      </c>
      <c r="D255" s="7" t="s">
        <v>7</v>
      </c>
      <c r="E255" s="8">
        <v>0.0</v>
      </c>
    </row>
    <row r="256" hidden="1">
      <c r="A256" s="5">
        <v>255.0</v>
      </c>
      <c r="B256" s="6" t="s">
        <v>585</v>
      </c>
      <c r="C256" s="7" t="s">
        <v>86</v>
      </c>
      <c r="D256" s="7" t="s">
        <v>7</v>
      </c>
      <c r="E256" s="8">
        <v>0.0</v>
      </c>
    </row>
    <row r="257" hidden="1">
      <c r="A257" s="5">
        <v>256.0</v>
      </c>
      <c r="B257" s="6" t="s">
        <v>197</v>
      </c>
      <c r="C257" s="7" t="s">
        <v>6</v>
      </c>
      <c r="D257" s="7" t="s">
        <v>169</v>
      </c>
      <c r="E257" s="8">
        <v>0.0</v>
      </c>
    </row>
    <row r="258">
      <c r="A258" s="5">
        <v>257.0</v>
      </c>
      <c r="B258" s="6" t="s">
        <v>318</v>
      </c>
      <c r="C258" s="7" t="s">
        <v>54</v>
      </c>
      <c r="D258" s="7" t="s">
        <v>16</v>
      </c>
      <c r="E258" s="8">
        <v>0.0</v>
      </c>
    </row>
    <row r="259" hidden="1">
      <c r="A259" s="5">
        <v>258.0</v>
      </c>
      <c r="B259" s="6" t="s">
        <v>360</v>
      </c>
      <c r="C259" s="7" t="s">
        <v>12</v>
      </c>
      <c r="D259" s="7" t="s">
        <v>25</v>
      </c>
      <c r="E259" s="8">
        <v>0.0</v>
      </c>
    </row>
    <row r="260" hidden="1">
      <c r="A260" s="5">
        <v>259.0</v>
      </c>
      <c r="B260" s="6" t="s">
        <v>797</v>
      </c>
      <c r="C260" s="7" t="s">
        <v>12</v>
      </c>
      <c r="D260" s="7" t="s">
        <v>7</v>
      </c>
      <c r="E260" s="8">
        <v>0.0</v>
      </c>
    </row>
    <row r="261" hidden="1">
      <c r="A261" s="5">
        <v>260.0</v>
      </c>
      <c r="B261" s="6" t="s">
        <v>295</v>
      </c>
      <c r="C261" s="7" t="s">
        <v>44</v>
      </c>
      <c r="D261" s="7" t="s">
        <v>25</v>
      </c>
      <c r="E261" s="8">
        <v>0.0</v>
      </c>
    </row>
    <row r="262">
      <c r="A262" s="5">
        <v>261.0</v>
      </c>
      <c r="B262" s="6" t="s">
        <v>242</v>
      </c>
      <c r="C262" s="7" t="s">
        <v>104</v>
      </c>
      <c r="D262" s="7" t="s">
        <v>16</v>
      </c>
      <c r="E262" s="8">
        <v>0.0</v>
      </c>
    </row>
    <row r="263" hidden="1">
      <c r="A263" s="5">
        <v>262.0</v>
      </c>
      <c r="B263" s="6" t="s">
        <v>317</v>
      </c>
      <c r="C263" s="7" t="s">
        <v>233</v>
      </c>
      <c r="D263" s="7" t="s">
        <v>25</v>
      </c>
      <c r="E263" s="8">
        <v>0.0</v>
      </c>
    </row>
    <row r="264" hidden="1">
      <c r="A264" s="5">
        <v>263.0</v>
      </c>
      <c r="B264" s="6" t="s">
        <v>547</v>
      </c>
      <c r="C264" s="7" t="s">
        <v>12</v>
      </c>
      <c r="D264" s="7" t="s">
        <v>7</v>
      </c>
      <c r="E264" s="8">
        <v>0.0</v>
      </c>
    </row>
    <row r="265" hidden="1">
      <c r="A265" s="5">
        <v>264.0</v>
      </c>
      <c r="B265" s="6" t="s">
        <v>306</v>
      </c>
      <c r="C265" s="7" t="s">
        <v>104</v>
      </c>
      <c r="D265" s="7" t="s">
        <v>25</v>
      </c>
      <c r="E265" s="8">
        <v>0.0</v>
      </c>
    </row>
    <row r="266" hidden="1">
      <c r="A266" s="5">
        <v>265.0</v>
      </c>
      <c r="B266" s="6" t="s">
        <v>418</v>
      </c>
      <c r="C266" s="7" t="s">
        <v>24</v>
      </c>
      <c r="D266" s="7" t="s">
        <v>25</v>
      </c>
      <c r="E266" s="8">
        <v>0.0</v>
      </c>
    </row>
    <row r="267" hidden="1">
      <c r="A267" s="5">
        <v>266.0</v>
      </c>
      <c r="B267" s="6" t="s">
        <v>236</v>
      </c>
      <c r="C267" s="7" t="s">
        <v>20</v>
      </c>
      <c r="D267" s="7" t="s">
        <v>166</v>
      </c>
      <c r="E267" s="8">
        <v>0.0</v>
      </c>
    </row>
    <row r="268" hidden="1">
      <c r="A268" s="5">
        <v>267.0</v>
      </c>
      <c r="B268" s="6" t="s">
        <v>551</v>
      </c>
      <c r="C268" s="7" t="s">
        <v>59</v>
      </c>
      <c r="D268" s="7" t="s">
        <v>7</v>
      </c>
      <c r="E268" s="8">
        <v>0.0</v>
      </c>
    </row>
    <row r="269" hidden="1">
      <c r="A269" s="5">
        <v>268.0</v>
      </c>
      <c r="B269" s="6" t="s">
        <v>194</v>
      </c>
      <c r="C269" s="7" t="s">
        <v>54</v>
      </c>
      <c r="D269" s="7" t="s">
        <v>169</v>
      </c>
      <c r="E269" s="8">
        <v>0.0</v>
      </c>
    </row>
    <row r="270" hidden="1">
      <c r="A270" s="5">
        <v>269.0</v>
      </c>
      <c r="B270" s="6" t="s">
        <v>199</v>
      </c>
      <c r="C270" s="7" t="s">
        <v>104</v>
      </c>
      <c r="D270" s="7" t="s">
        <v>169</v>
      </c>
      <c r="E270" s="8">
        <v>0.0</v>
      </c>
    </row>
    <row r="271" hidden="1">
      <c r="A271" s="5">
        <v>270.0</v>
      </c>
      <c r="B271" s="6" t="s">
        <v>767</v>
      </c>
      <c r="C271" s="7" t="s">
        <v>29</v>
      </c>
      <c r="D271" s="7" t="s">
        <v>7</v>
      </c>
      <c r="E271" s="8">
        <v>0.0</v>
      </c>
    </row>
    <row r="272" hidden="1">
      <c r="A272" s="5">
        <v>271.0</v>
      </c>
      <c r="B272" s="6" t="s">
        <v>230</v>
      </c>
      <c r="C272" s="7" t="s">
        <v>92</v>
      </c>
      <c r="D272" s="7" t="s">
        <v>166</v>
      </c>
      <c r="E272" s="8">
        <v>0.0</v>
      </c>
    </row>
    <row r="273" hidden="1">
      <c r="A273" s="5">
        <v>272.0</v>
      </c>
      <c r="B273" s="6" t="s">
        <v>944</v>
      </c>
      <c r="C273" s="7" t="s">
        <v>102</v>
      </c>
      <c r="D273" s="7" t="s">
        <v>10</v>
      </c>
      <c r="E273" s="8">
        <v>0.0</v>
      </c>
    </row>
    <row r="274" hidden="1">
      <c r="A274" s="5">
        <v>273.0</v>
      </c>
      <c r="B274" s="6" t="s">
        <v>514</v>
      </c>
      <c r="C274" s="7" t="s">
        <v>1007</v>
      </c>
      <c r="D274" s="7" t="s">
        <v>25</v>
      </c>
      <c r="E274" s="8">
        <v>0.0</v>
      </c>
    </row>
    <row r="275" hidden="1">
      <c r="A275" s="5">
        <v>274.0</v>
      </c>
      <c r="B275" s="6" t="s">
        <v>227</v>
      </c>
      <c r="C275" s="7" t="s">
        <v>104</v>
      </c>
      <c r="D275" s="7" t="s">
        <v>166</v>
      </c>
      <c r="E275" s="8">
        <v>0.0</v>
      </c>
    </row>
    <row r="276" hidden="1">
      <c r="A276" s="5">
        <v>275.0</v>
      </c>
      <c r="B276" s="6" t="s">
        <v>793</v>
      </c>
      <c r="C276" s="7" t="s">
        <v>9</v>
      </c>
      <c r="D276" s="7" t="s">
        <v>7</v>
      </c>
      <c r="E276" s="8">
        <v>0.0</v>
      </c>
    </row>
    <row r="277" hidden="1">
      <c r="A277" s="5">
        <v>276.0</v>
      </c>
      <c r="B277" s="6" t="s">
        <v>258</v>
      </c>
      <c r="C277" s="7" t="s">
        <v>257</v>
      </c>
      <c r="D277" s="7" t="s">
        <v>169</v>
      </c>
      <c r="E277" s="8">
        <v>0.0</v>
      </c>
    </row>
    <row r="278" hidden="1">
      <c r="A278" s="5">
        <v>277.0</v>
      </c>
      <c r="B278" s="6" t="s">
        <v>337</v>
      </c>
      <c r="C278" s="7" t="s">
        <v>34</v>
      </c>
      <c r="D278" s="7" t="s">
        <v>25</v>
      </c>
      <c r="E278" s="8">
        <v>0.0</v>
      </c>
    </row>
    <row r="279" hidden="1">
      <c r="A279" s="5">
        <v>278.0</v>
      </c>
      <c r="B279" s="6" t="s">
        <v>769</v>
      </c>
      <c r="C279" s="7" t="s">
        <v>92</v>
      </c>
      <c r="D279" s="7" t="s">
        <v>7</v>
      </c>
      <c r="E279" s="8">
        <v>0.0</v>
      </c>
    </row>
    <row r="280" hidden="1">
      <c r="A280" s="5">
        <v>279.0</v>
      </c>
      <c r="B280" s="6" t="s">
        <v>389</v>
      </c>
      <c r="C280" s="7" t="s">
        <v>38</v>
      </c>
      <c r="D280" s="7" t="s">
        <v>7</v>
      </c>
      <c r="E280" s="8">
        <v>0.0</v>
      </c>
    </row>
    <row r="281" hidden="1">
      <c r="A281" s="5">
        <v>280.0</v>
      </c>
      <c r="B281" s="6" t="s">
        <v>228</v>
      </c>
      <c r="C281" s="7" t="s">
        <v>44</v>
      </c>
      <c r="D281" s="7" t="s">
        <v>166</v>
      </c>
      <c r="E281" s="8">
        <v>0.0</v>
      </c>
    </row>
    <row r="282" hidden="1">
      <c r="A282" s="5">
        <v>281.0</v>
      </c>
      <c r="B282" s="6" t="s">
        <v>325</v>
      </c>
      <c r="C282" s="7" t="s">
        <v>59</v>
      </c>
      <c r="D282" s="7" t="s">
        <v>25</v>
      </c>
      <c r="E282" s="8">
        <v>0.0</v>
      </c>
    </row>
    <row r="283" hidden="1">
      <c r="A283" s="5">
        <v>282.0</v>
      </c>
      <c r="B283" s="6" t="s">
        <v>766</v>
      </c>
      <c r="C283" s="7" t="s">
        <v>38</v>
      </c>
      <c r="D283" s="7" t="s">
        <v>7</v>
      </c>
      <c r="E283" s="8">
        <v>0.0</v>
      </c>
    </row>
    <row r="284" hidden="1">
      <c r="A284" s="5">
        <v>283.0</v>
      </c>
      <c r="B284" s="6" t="s">
        <v>344</v>
      </c>
      <c r="C284" s="7" t="s">
        <v>18</v>
      </c>
      <c r="D284" s="7" t="s">
        <v>25</v>
      </c>
      <c r="E284" s="8">
        <v>0.0</v>
      </c>
    </row>
    <row r="285">
      <c r="A285" s="5">
        <v>284.0</v>
      </c>
      <c r="B285" s="6" t="s">
        <v>319</v>
      </c>
      <c r="C285" s="7" t="s">
        <v>59</v>
      </c>
      <c r="D285" s="7" t="s">
        <v>16</v>
      </c>
      <c r="E285" s="8">
        <v>0.0</v>
      </c>
    </row>
    <row r="286" hidden="1">
      <c r="A286" s="5">
        <v>285.0</v>
      </c>
      <c r="B286" s="6" t="s">
        <v>422</v>
      </c>
      <c r="C286" s="7" t="s">
        <v>56</v>
      </c>
      <c r="D286" s="7" t="s">
        <v>25</v>
      </c>
      <c r="E286" s="8">
        <v>0.0</v>
      </c>
    </row>
    <row r="287" hidden="1">
      <c r="A287" s="5">
        <v>286.0</v>
      </c>
      <c r="B287" s="6" t="s">
        <v>1017</v>
      </c>
      <c r="C287" s="7" t="s">
        <v>77</v>
      </c>
      <c r="D287" s="7" t="s">
        <v>10</v>
      </c>
      <c r="E287" s="8">
        <v>0.0</v>
      </c>
    </row>
    <row r="288" hidden="1">
      <c r="A288" s="5">
        <v>287.0</v>
      </c>
      <c r="B288" s="6" t="s">
        <v>204</v>
      </c>
      <c r="C288" s="7" t="s">
        <v>18</v>
      </c>
      <c r="D288" s="7" t="s">
        <v>169</v>
      </c>
      <c r="E288" s="8">
        <v>0.0</v>
      </c>
    </row>
    <row r="289" hidden="1">
      <c r="A289" s="5">
        <v>288.0</v>
      </c>
      <c r="B289" s="6" t="s">
        <v>206</v>
      </c>
      <c r="C289" s="7" t="s">
        <v>69</v>
      </c>
      <c r="D289" s="7" t="s">
        <v>166</v>
      </c>
      <c r="E289" s="8">
        <v>0.0</v>
      </c>
    </row>
    <row r="290" hidden="1">
      <c r="A290" s="5">
        <v>289.0</v>
      </c>
      <c r="B290" s="6" t="s">
        <v>567</v>
      </c>
      <c r="C290" s="7" t="s">
        <v>134</v>
      </c>
      <c r="D290" s="7" t="s">
        <v>7</v>
      </c>
      <c r="E290" s="8">
        <v>0.0</v>
      </c>
    </row>
    <row r="291" hidden="1">
      <c r="A291" s="5">
        <v>290.0</v>
      </c>
      <c r="B291" s="6" t="s">
        <v>778</v>
      </c>
      <c r="C291" s="7" t="s">
        <v>86</v>
      </c>
      <c r="D291" s="7" t="s">
        <v>7</v>
      </c>
      <c r="E291" s="8">
        <v>0.0</v>
      </c>
    </row>
    <row r="292" hidden="1">
      <c r="A292" s="5">
        <v>291.0</v>
      </c>
      <c r="B292" s="6" t="s">
        <v>330</v>
      </c>
      <c r="C292" s="7" t="s">
        <v>40</v>
      </c>
      <c r="D292" s="7" t="s">
        <v>25</v>
      </c>
      <c r="E292" s="8">
        <v>0.0</v>
      </c>
    </row>
    <row r="293" hidden="1">
      <c r="A293" s="5">
        <v>292.0</v>
      </c>
      <c r="B293" s="6" t="s">
        <v>603</v>
      </c>
      <c r="C293" s="7" t="s">
        <v>63</v>
      </c>
      <c r="D293" s="7" t="s">
        <v>25</v>
      </c>
      <c r="E293" s="8">
        <v>0.0</v>
      </c>
    </row>
    <row r="294" hidden="1">
      <c r="A294" s="5">
        <v>293.0</v>
      </c>
      <c r="B294" s="6" t="s">
        <v>231</v>
      </c>
      <c r="C294" s="7" t="s">
        <v>6</v>
      </c>
      <c r="D294" s="7" t="s">
        <v>166</v>
      </c>
      <c r="E294" s="8">
        <v>0.0</v>
      </c>
    </row>
    <row r="295" hidden="1">
      <c r="A295" s="5">
        <v>294.0</v>
      </c>
      <c r="B295" s="6" t="s">
        <v>268</v>
      </c>
      <c r="C295" s="7" t="s">
        <v>134</v>
      </c>
      <c r="D295" s="7" t="s">
        <v>169</v>
      </c>
      <c r="E295" s="8">
        <v>0.0</v>
      </c>
    </row>
    <row r="296" hidden="1">
      <c r="A296" s="5">
        <v>295.0</v>
      </c>
      <c r="B296" s="6" t="s">
        <v>546</v>
      </c>
      <c r="C296" s="7" t="s">
        <v>61</v>
      </c>
      <c r="D296" s="7" t="s">
        <v>25</v>
      </c>
      <c r="E296" s="8">
        <v>0.0</v>
      </c>
    </row>
    <row r="297" hidden="1">
      <c r="A297" s="5">
        <v>296.0</v>
      </c>
      <c r="B297" s="6" t="s">
        <v>600</v>
      </c>
      <c r="C297" s="7" t="s">
        <v>44</v>
      </c>
      <c r="D297" s="7" t="s">
        <v>7</v>
      </c>
      <c r="E297" s="8">
        <v>0.0</v>
      </c>
    </row>
    <row r="298" hidden="1">
      <c r="A298" s="5">
        <v>297.0</v>
      </c>
      <c r="B298" s="6" t="s">
        <v>542</v>
      </c>
      <c r="C298" s="7" t="s">
        <v>9</v>
      </c>
      <c r="D298" s="7" t="s">
        <v>7</v>
      </c>
      <c r="E298" s="8">
        <v>0.0</v>
      </c>
    </row>
    <row r="299" hidden="1">
      <c r="A299" s="5">
        <v>298.0</v>
      </c>
      <c r="B299" s="6" t="s">
        <v>1018</v>
      </c>
      <c r="C299" s="7" t="s">
        <v>257</v>
      </c>
      <c r="D299" s="7" t="s">
        <v>7</v>
      </c>
      <c r="E299" s="8">
        <v>0.0</v>
      </c>
    </row>
    <row r="300" hidden="1">
      <c r="A300" s="5">
        <v>299.0</v>
      </c>
      <c r="B300" s="6" t="s">
        <v>430</v>
      </c>
      <c r="C300" s="7" t="s">
        <v>74</v>
      </c>
      <c r="D300" s="7" t="s">
        <v>25</v>
      </c>
      <c r="E300" s="8">
        <v>0.0</v>
      </c>
    </row>
    <row r="301" hidden="1">
      <c r="A301" s="5">
        <v>300.0</v>
      </c>
      <c r="B301" s="6" t="s">
        <v>1019</v>
      </c>
      <c r="C301" s="7" t="s">
        <v>32</v>
      </c>
      <c r="D301" s="7" t="s">
        <v>25</v>
      </c>
      <c r="E301" s="8">
        <v>0.0</v>
      </c>
    </row>
    <row r="302" hidden="1">
      <c r="A302" s="5">
        <v>301.0</v>
      </c>
      <c r="B302" s="6" t="s">
        <v>208</v>
      </c>
      <c r="C302" s="7" t="s">
        <v>92</v>
      </c>
      <c r="D302" s="7" t="s">
        <v>169</v>
      </c>
      <c r="E302" s="8">
        <v>0.0</v>
      </c>
    </row>
    <row r="303" hidden="1">
      <c r="A303" s="5">
        <v>302.0</v>
      </c>
      <c r="B303" s="6" t="s">
        <v>189</v>
      </c>
      <c r="C303" s="7" t="s">
        <v>74</v>
      </c>
      <c r="D303" s="7" t="s">
        <v>169</v>
      </c>
      <c r="E303" s="8">
        <v>0.0</v>
      </c>
    </row>
    <row r="304" hidden="1">
      <c r="A304" s="5">
        <v>303.0</v>
      </c>
      <c r="B304" s="6" t="s">
        <v>945</v>
      </c>
      <c r="C304" s="7" t="s">
        <v>96</v>
      </c>
      <c r="D304" s="7" t="s">
        <v>10</v>
      </c>
      <c r="E304" s="8">
        <v>0.0</v>
      </c>
    </row>
    <row r="305" hidden="1">
      <c r="A305" s="5">
        <v>304.0</v>
      </c>
      <c r="B305" s="6" t="s">
        <v>305</v>
      </c>
      <c r="C305" s="7" t="s">
        <v>27</v>
      </c>
      <c r="D305" s="7" t="s">
        <v>25</v>
      </c>
      <c r="E305" s="8">
        <v>0.0</v>
      </c>
    </row>
    <row r="306" hidden="1">
      <c r="A306" s="5">
        <v>305.0</v>
      </c>
      <c r="B306" s="6" t="s">
        <v>513</v>
      </c>
      <c r="C306" s="7" t="s">
        <v>9</v>
      </c>
      <c r="D306" s="7" t="s">
        <v>25</v>
      </c>
      <c r="E306" s="8">
        <v>0.0</v>
      </c>
    </row>
    <row r="307">
      <c r="A307" s="5">
        <v>306.0</v>
      </c>
      <c r="B307" s="6" t="s">
        <v>354</v>
      </c>
      <c r="C307" s="7" t="s">
        <v>38</v>
      </c>
      <c r="D307" s="7" t="s">
        <v>16</v>
      </c>
      <c r="E307" s="8">
        <v>0.0</v>
      </c>
    </row>
    <row r="308" hidden="1">
      <c r="A308" s="5">
        <v>307.0</v>
      </c>
      <c r="B308" s="6" t="s">
        <v>516</v>
      </c>
      <c r="C308" s="7" t="s">
        <v>18</v>
      </c>
      <c r="D308" s="7" t="s">
        <v>7</v>
      </c>
      <c r="E308" s="8">
        <v>0.0</v>
      </c>
    </row>
    <row r="309" hidden="1">
      <c r="A309" s="5">
        <v>308.0</v>
      </c>
      <c r="B309" s="6" t="s">
        <v>775</v>
      </c>
      <c r="C309" s="7" t="s">
        <v>22</v>
      </c>
      <c r="D309" s="7" t="s">
        <v>7</v>
      </c>
      <c r="E309" s="8">
        <v>0.0</v>
      </c>
    </row>
    <row r="310" hidden="1">
      <c r="A310" s="5">
        <v>309.0</v>
      </c>
      <c r="B310" s="6" t="s">
        <v>332</v>
      </c>
      <c r="C310" s="7" t="s">
        <v>92</v>
      </c>
      <c r="D310" s="7" t="s">
        <v>25</v>
      </c>
      <c r="E310" s="8">
        <v>0.0</v>
      </c>
    </row>
    <row r="311" hidden="1">
      <c r="A311" s="5">
        <v>310.0</v>
      </c>
      <c r="B311" s="6" t="s">
        <v>276</v>
      </c>
      <c r="C311" s="7" t="s">
        <v>257</v>
      </c>
      <c r="D311" s="7" t="s">
        <v>169</v>
      </c>
      <c r="E311" s="8">
        <v>0.0</v>
      </c>
    </row>
    <row r="312" hidden="1">
      <c r="A312" s="5">
        <v>311.0</v>
      </c>
      <c r="B312" s="6" t="s">
        <v>524</v>
      </c>
      <c r="C312" s="7" t="s">
        <v>18</v>
      </c>
      <c r="D312" s="7" t="s">
        <v>25</v>
      </c>
      <c r="E312" s="8">
        <v>0.0</v>
      </c>
    </row>
    <row r="313" hidden="1">
      <c r="A313" s="5">
        <v>312.0</v>
      </c>
      <c r="B313" s="6" t="s">
        <v>225</v>
      </c>
      <c r="C313" s="7" t="s">
        <v>1007</v>
      </c>
      <c r="D313" s="7" t="s">
        <v>166</v>
      </c>
      <c r="E313" s="8">
        <v>0.0</v>
      </c>
    </row>
    <row r="314" hidden="1">
      <c r="A314" s="5">
        <v>313.0</v>
      </c>
      <c r="B314" s="6" t="s">
        <v>384</v>
      </c>
      <c r="C314" s="7" t="s">
        <v>40</v>
      </c>
      <c r="D314" s="7" t="s">
        <v>25</v>
      </c>
      <c r="E314" s="8">
        <v>0.0</v>
      </c>
    </row>
    <row r="315">
      <c r="A315" s="5">
        <v>314.0</v>
      </c>
      <c r="B315" s="6" t="s">
        <v>280</v>
      </c>
      <c r="C315" s="7" t="s">
        <v>20</v>
      </c>
      <c r="D315" s="7" t="s">
        <v>16</v>
      </c>
      <c r="E315" s="8">
        <v>0.0</v>
      </c>
    </row>
    <row r="316" hidden="1">
      <c r="A316" s="5">
        <v>315.0</v>
      </c>
      <c r="B316" s="6" t="s">
        <v>510</v>
      </c>
      <c r="C316" s="7" t="s">
        <v>233</v>
      </c>
      <c r="D316" s="7" t="s">
        <v>25</v>
      </c>
      <c r="E316" s="8">
        <v>0.0</v>
      </c>
    </row>
    <row r="317" hidden="1">
      <c r="A317" s="5">
        <v>316.0</v>
      </c>
      <c r="B317" s="6" t="s">
        <v>195</v>
      </c>
      <c r="C317" s="7" t="s">
        <v>86</v>
      </c>
      <c r="D317" s="7" t="s">
        <v>169</v>
      </c>
      <c r="E317" s="8">
        <v>0.0</v>
      </c>
    </row>
    <row r="318" hidden="1">
      <c r="A318" s="5">
        <v>317.0</v>
      </c>
      <c r="B318" s="6" t="s">
        <v>1020</v>
      </c>
      <c r="C318" s="7" t="s">
        <v>134</v>
      </c>
      <c r="D318" s="7" t="s">
        <v>7</v>
      </c>
      <c r="E318" s="8">
        <v>0.0</v>
      </c>
    </row>
    <row r="319" hidden="1">
      <c r="A319" s="5">
        <v>318.0</v>
      </c>
      <c r="B319" s="6" t="s">
        <v>399</v>
      </c>
      <c r="C319" s="7" t="s">
        <v>12</v>
      </c>
      <c r="D319" s="7" t="s">
        <v>25</v>
      </c>
      <c r="E319" s="8">
        <v>0.0</v>
      </c>
    </row>
    <row r="320" hidden="1">
      <c r="A320" s="5">
        <v>319.0</v>
      </c>
      <c r="B320" s="6" t="s">
        <v>786</v>
      </c>
      <c r="C320" s="7" t="s">
        <v>40</v>
      </c>
      <c r="D320" s="7" t="s">
        <v>7</v>
      </c>
      <c r="E320" s="8">
        <v>0.0</v>
      </c>
    </row>
    <row r="321" hidden="1">
      <c r="A321" s="5">
        <v>320.0</v>
      </c>
      <c r="B321" s="6" t="s">
        <v>388</v>
      </c>
      <c r="C321" s="7" t="s">
        <v>86</v>
      </c>
      <c r="D321" s="7" t="s">
        <v>25</v>
      </c>
      <c r="E321" s="8">
        <v>0.0</v>
      </c>
    </row>
    <row r="322" hidden="1">
      <c r="A322" s="5">
        <v>321.0</v>
      </c>
      <c r="B322" s="6" t="s">
        <v>1021</v>
      </c>
      <c r="C322" s="7" t="s">
        <v>12</v>
      </c>
      <c r="D322" s="7" t="s">
        <v>25</v>
      </c>
      <c r="E322" s="8">
        <v>0.0</v>
      </c>
    </row>
    <row r="323" hidden="1">
      <c r="A323" s="5">
        <v>322.0</v>
      </c>
      <c r="B323" s="6" t="s">
        <v>773</v>
      </c>
      <c r="C323" s="7" t="s">
        <v>102</v>
      </c>
      <c r="D323" s="7" t="s">
        <v>7</v>
      </c>
      <c r="E323" s="8">
        <v>0.0</v>
      </c>
    </row>
    <row r="324" hidden="1">
      <c r="A324" s="5">
        <v>323.0</v>
      </c>
      <c r="B324" s="6" t="s">
        <v>209</v>
      </c>
      <c r="C324" s="7" t="s">
        <v>61</v>
      </c>
      <c r="D324" s="7" t="s">
        <v>169</v>
      </c>
      <c r="E324" s="8">
        <v>0.0</v>
      </c>
    </row>
    <row r="325">
      <c r="A325" s="5">
        <v>324.0</v>
      </c>
      <c r="B325" s="6" t="s">
        <v>327</v>
      </c>
      <c r="C325" s="7" t="s">
        <v>74</v>
      </c>
      <c r="D325" s="7" t="s">
        <v>16</v>
      </c>
      <c r="E325" s="8">
        <v>0.0</v>
      </c>
    </row>
    <row r="326" hidden="1">
      <c r="A326" s="5">
        <v>325.0</v>
      </c>
      <c r="B326" s="6" t="s">
        <v>936</v>
      </c>
      <c r="C326" s="7" t="s">
        <v>86</v>
      </c>
      <c r="D326" s="7" t="s">
        <v>10</v>
      </c>
      <c r="E326" s="8">
        <v>0.0</v>
      </c>
    </row>
    <row r="327" hidden="1">
      <c r="A327" s="5">
        <v>326.0</v>
      </c>
      <c r="B327" s="6" t="s">
        <v>779</v>
      </c>
      <c r="C327" s="7" t="s">
        <v>6</v>
      </c>
      <c r="D327" s="7" t="s">
        <v>7</v>
      </c>
      <c r="E327" s="8">
        <v>0.0</v>
      </c>
    </row>
    <row r="328">
      <c r="A328" s="5">
        <v>327.0</v>
      </c>
      <c r="B328" s="6" t="s">
        <v>298</v>
      </c>
      <c r="C328" s="7" t="s">
        <v>61</v>
      </c>
      <c r="D328" s="7" t="s">
        <v>16</v>
      </c>
      <c r="E328" s="8">
        <v>0.0</v>
      </c>
    </row>
    <row r="329">
      <c r="A329" s="5">
        <v>328.0</v>
      </c>
      <c r="B329" s="6" t="s">
        <v>316</v>
      </c>
      <c r="C329" s="7" t="s">
        <v>20</v>
      </c>
      <c r="D329" s="7" t="s">
        <v>16</v>
      </c>
      <c r="E329" s="8">
        <v>0.0</v>
      </c>
    </row>
    <row r="330" hidden="1">
      <c r="A330" s="5">
        <v>329.0</v>
      </c>
      <c r="B330" s="6" t="s">
        <v>214</v>
      </c>
      <c r="C330" s="7" t="s">
        <v>18</v>
      </c>
      <c r="D330" s="7" t="s">
        <v>166</v>
      </c>
      <c r="E330" s="8">
        <v>0.0</v>
      </c>
    </row>
    <row r="331" hidden="1">
      <c r="A331" s="5">
        <v>330.0</v>
      </c>
      <c r="B331" s="6" t="s">
        <v>368</v>
      </c>
      <c r="C331" s="7" t="s">
        <v>63</v>
      </c>
      <c r="D331" s="7" t="s">
        <v>25</v>
      </c>
      <c r="E331" s="8">
        <v>0.0</v>
      </c>
    </row>
    <row r="332" hidden="1">
      <c r="A332" s="5">
        <v>331.0</v>
      </c>
      <c r="B332" s="6" t="s">
        <v>791</v>
      </c>
      <c r="C332" s="7" t="s">
        <v>29</v>
      </c>
      <c r="D332" s="7" t="s">
        <v>7</v>
      </c>
      <c r="E332" s="8">
        <v>0.0</v>
      </c>
    </row>
    <row r="333" hidden="1">
      <c r="A333" s="5">
        <v>332.0</v>
      </c>
      <c r="B333" s="6" t="s">
        <v>795</v>
      </c>
      <c r="C333" s="7" t="s">
        <v>48</v>
      </c>
      <c r="D333" s="7" t="s">
        <v>7</v>
      </c>
      <c r="E333" s="8">
        <v>0.0</v>
      </c>
    </row>
    <row r="334" hidden="1">
      <c r="A334" s="5">
        <v>333.0</v>
      </c>
      <c r="B334" s="6" t="s">
        <v>790</v>
      </c>
      <c r="C334" s="7" t="s">
        <v>74</v>
      </c>
      <c r="D334" s="7" t="s">
        <v>7</v>
      </c>
      <c r="E334" s="8">
        <v>0.0</v>
      </c>
    </row>
    <row r="335">
      <c r="A335" s="5">
        <v>334.0</v>
      </c>
      <c r="B335" s="6" t="s">
        <v>288</v>
      </c>
      <c r="C335" s="7" t="s">
        <v>1007</v>
      </c>
      <c r="D335" s="7" t="s">
        <v>16</v>
      </c>
      <c r="E335" s="8">
        <v>0.0</v>
      </c>
    </row>
    <row r="336" hidden="1">
      <c r="A336" s="5">
        <v>335.0</v>
      </c>
      <c r="B336" s="6" t="s">
        <v>785</v>
      </c>
      <c r="C336" s="7" t="s">
        <v>44</v>
      </c>
      <c r="D336" s="7" t="s">
        <v>7</v>
      </c>
      <c r="E336" s="8">
        <v>0.0</v>
      </c>
    </row>
    <row r="337" hidden="1">
      <c r="A337" s="5">
        <v>336.0</v>
      </c>
      <c r="B337" s="6" t="s">
        <v>263</v>
      </c>
      <c r="C337" s="7" t="s">
        <v>257</v>
      </c>
      <c r="D337" s="7" t="s">
        <v>169</v>
      </c>
      <c r="E337" s="8">
        <v>0.0</v>
      </c>
    </row>
    <row r="338" hidden="1">
      <c r="A338" s="5">
        <v>337.0</v>
      </c>
      <c r="B338" s="6" t="s">
        <v>789</v>
      </c>
      <c r="C338" s="7" t="s">
        <v>1007</v>
      </c>
      <c r="D338" s="7" t="s">
        <v>7</v>
      </c>
      <c r="E338" s="8">
        <v>0.0</v>
      </c>
    </row>
    <row r="339" hidden="1">
      <c r="A339" s="5">
        <v>338.0</v>
      </c>
      <c r="B339" s="6" t="s">
        <v>776</v>
      </c>
      <c r="C339" s="7" t="s">
        <v>69</v>
      </c>
      <c r="D339" s="7" t="s">
        <v>7</v>
      </c>
      <c r="E339" s="8">
        <v>0.0</v>
      </c>
    </row>
    <row r="340">
      <c r="A340" s="5">
        <v>339.0</v>
      </c>
      <c r="B340" s="6" t="s">
        <v>314</v>
      </c>
      <c r="C340" s="7" t="s">
        <v>86</v>
      </c>
      <c r="D340" s="7" t="s">
        <v>16</v>
      </c>
      <c r="E340" s="8">
        <v>0.0</v>
      </c>
    </row>
    <row r="341">
      <c r="A341" s="5">
        <v>340.0</v>
      </c>
      <c r="B341" s="6" t="s">
        <v>391</v>
      </c>
      <c r="C341" s="7" t="s">
        <v>40</v>
      </c>
      <c r="D341" s="7" t="s">
        <v>16</v>
      </c>
      <c r="E341" s="8">
        <v>0.0</v>
      </c>
    </row>
    <row r="342" hidden="1">
      <c r="A342" s="5">
        <v>341.0</v>
      </c>
      <c r="B342" s="6" t="s">
        <v>1022</v>
      </c>
      <c r="C342" s="7" t="s">
        <v>20</v>
      </c>
      <c r="D342" s="7" t="s">
        <v>25</v>
      </c>
      <c r="E342" s="8">
        <v>0.0</v>
      </c>
    </row>
    <row r="343" hidden="1">
      <c r="A343" s="5">
        <v>342.0</v>
      </c>
      <c r="B343" s="6" t="s">
        <v>827</v>
      </c>
      <c r="C343" s="7" t="s">
        <v>40</v>
      </c>
      <c r="D343" s="7" t="s">
        <v>7</v>
      </c>
      <c r="E343" s="8">
        <v>0.0</v>
      </c>
    </row>
    <row r="344" hidden="1">
      <c r="A344" s="5">
        <v>343.0</v>
      </c>
      <c r="B344" s="6" t="s">
        <v>1023</v>
      </c>
      <c r="C344" s="7" t="s">
        <v>32</v>
      </c>
      <c r="D344" s="7" t="s">
        <v>25</v>
      </c>
      <c r="E344" s="8">
        <v>0.0</v>
      </c>
    </row>
    <row r="345" hidden="1">
      <c r="A345" s="5">
        <v>344.0</v>
      </c>
      <c r="B345" s="6" t="s">
        <v>938</v>
      </c>
      <c r="C345" s="7" t="s">
        <v>24</v>
      </c>
      <c r="D345" s="7" t="s">
        <v>10</v>
      </c>
      <c r="E345" s="8">
        <v>0.0</v>
      </c>
    </row>
    <row r="346" hidden="1">
      <c r="A346" s="5">
        <v>345.0</v>
      </c>
      <c r="B346" s="6" t="s">
        <v>903</v>
      </c>
      <c r="C346" s="7" t="s">
        <v>257</v>
      </c>
      <c r="D346" s="7" t="s">
        <v>7</v>
      </c>
      <c r="E346" s="8">
        <v>0.0</v>
      </c>
    </row>
    <row r="347">
      <c r="A347" s="5">
        <v>346.0</v>
      </c>
      <c r="B347" s="6" t="s">
        <v>350</v>
      </c>
      <c r="C347" s="7" t="s">
        <v>18</v>
      </c>
      <c r="D347" s="7" t="s">
        <v>16</v>
      </c>
      <c r="E347" s="8">
        <v>0.0</v>
      </c>
    </row>
    <row r="348" hidden="1">
      <c r="A348" s="5">
        <v>347.0</v>
      </c>
      <c r="B348" s="6" t="s">
        <v>901</v>
      </c>
      <c r="C348" s="7" t="s">
        <v>102</v>
      </c>
      <c r="D348" s="7" t="s">
        <v>7</v>
      </c>
      <c r="E348" s="8">
        <v>0.0</v>
      </c>
    </row>
    <row r="349">
      <c r="A349" s="5">
        <v>348.0</v>
      </c>
      <c r="B349" s="6" t="s">
        <v>296</v>
      </c>
      <c r="C349" s="7" t="s">
        <v>12</v>
      </c>
      <c r="D349" s="7" t="s">
        <v>16</v>
      </c>
      <c r="E349" s="8">
        <v>0.0</v>
      </c>
    </row>
    <row r="350" hidden="1">
      <c r="A350" s="5">
        <v>349.0</v>
      </c>
      <c r="B350" s="6" t="s">
        <v>921</v>
      </c>
      <c r="C350" s="7" t="s">
        <v>24</v>
      </c>
      <c r="D350" s="7" t="s">
        <v>10</v>
      </c>
      <c r="E350" s="8">
        <v>0.0</v>
      </c>
    </row>
    <row r="351">
      <c r="A351" s="5">
        <v>350.0</v>
      </c>
      <c r="B351" s="6" t="s">
        <v>339</v>
      </c>
      <c r="C351" s="7" t="s">
        <v>77</v>
      </c>
      <c r="D351" s="7" t="s">
        <v>16</v>
      </c>
      <c r="E351" s="8">
        <v>0.0</v>
      </c>
    </row>
    <row r="352" hidden="1">
      <c r="A352" s="5">
        <v>351.0</v>
      </c>
      <c r="B352" s="6" t="s">
        <v>522</v>
      </c>
      <c r="C352" s="7" t="s">
        <v>22</v>
      </c>
      <c r="D352" s="7" t="s">
        <v>25</v>
      </c>
      <c r="E352" s="8">
        <v>0.0</v>
      </c>
    </row>
    <row r="353" hidden="1">
      <c r="A353" s="5">
        <v>352.0</v>
      </c>
      <c r="B353" s="6" t="s">
        <v>1024</v>
      </c>
      <c r="C353" s="7" t="s">
        <v>77</v>
      </c>
      <c r="D353" s="7" t="s">
        <v>25</v>
      </c>
      <c r="E353" s="8">
        <v>0.0</v>
      </c>
    </row>
    <row r="354">
      <c r="A354" s="5">
        <v>353.0</v>
      </c>
      <c r="B354" s="6" t="s">
        <v>310</v>
      </c>
      <c r="C354" s="7" t="s">
        <v>92</v>
      </c>
      <c r="D354" s="7" t="s">
        <v>16</v>
      </c>
      <c r="E354" s="8">
        <v>0.0</v>
      </c>
    </row>
    <row r="355">
      <c r="A355" s="5">
        <v>354.0</v>
      </c>
      <c r="B355" s="6" t="s">
        <v>361</v>
      </c>
      <c r="C355" s="7" t="s">
        <v>134</v>
      </c>
      <c r="D355" s="7" t="s">
        <v>16</v>
      </c>
      <c r="E355" s="8">
        <v>0.0</v>
      </c>
    </row>
    <row r="356" hidden="1">
      <c r="A356" s="5">
        <v>355.0</v>
      </c>
      <c r="B356" s="6" t="s">
        <v>930</v>
      </c>
      <c r="C356" s="7" t="s">
        <v>18</v>
      </c>
      <c r="D356" s="7" t="s">
        <v>10</v>
      </c>
      <c r="E356" s="8">
        <v>0.0</v>
      </c>
    </row>
    <row r="357" hidden="1">
      <c r="A357" s="5">
        <v>356.0</v>
      </c>
      <c r="B357" s="6" t="s">
        <v>211</v>
      </c>
      <c r="C357" s="7" t="s">
        <v>34</v>
      </c>
      <c r="D357" s="7" t="s">
        <v>169</v>
      </c>
      <c r="E357" s="8">
        <v>0.0</v>
      </c>
    </row>
    <row r="358" hidden="1">
      <c r="A358" s="5">
        <v>357.0</v>
      </c>
      <c r="B358" s="6" t="s">
        <v>548</v>
      </c>
      <c r="C358" s="7" t="s">
        <v>104</v>
      </c>
      <c r="D358" s="7" t="s">
        <v>25</v>
      </c>
      <c r="E358" s="8">
        <v>0.0</v>
      </c>
    </row>
    <row r="359" hidden="1">
      <c r="A359" s="5">
        <v>358.0</v>
      </c>
      <c r="B359" s="6" t="s">
        <v>724</v>
      </c>
      <c r="C359" s="7" t="s">
        <v>257</v>
      </c>
      <c r="D359" s="7" t="s">
        <v>25</v>
      </c>
      <c r="E359" s="8">
        <v>0.0</v>
      </c>
    </row>
    <row r="360" hidden="1">
      <c r="A360" s="5">
        <v>359.0</v>
      </c>
      <c r="B360" s="6" t="s">
        <v>216</v>
      </c>
      <c r="C360" s="7" t="s">
        <v>102</v>
      </c>
      <c r="D360" s="7" t="s">
        <v>166</v>
      </c>
      <c r="E360" s="8">
        <v>0.0</v>
      </c>
    </row>
    <row r="361" hidden="1">
      <c r="A361" s="5">
        <v>360.0</v>
      </c>
      <c r="B361" s="6" t="s">
        <v>235</v>
      </c>
      <c r="C361" s="7" t="s">
        <v>29</v>
      </c>
      <c r="D361" s="7" t="s">
        <v>166</v>
      </c>
      <c r="E361" s="8">
        <v>0.0</v>
      </c>
    </row>
    <row r="362" hidden="1">
      <c r="A362" s="5">
        <v>361.0</v>
      </c>
      <c r="B362" s="6" t="s">
        <v>906</v>
      </c>
      <c r="C362" s="7" t="s">
        <v>134</v>
      </c>
      <c r="D362" s="7" t="s">
        <v>7</v>
      </c>
      <c r="E362" s="8">
        <v>0.0</v>
      </c>
    </row>
    <row r="363" hidden="1">
      <c r="A363" s="5">
        <v>362.0</v>
      </c>
      <c r="B363" s="6" t="s">
        <v>602</v>
      </c>
      <c r="C363" s="7" t="s">
        <v>6</v>
      </c>
      <c r="D363" s="7" t="s">
        <v>7</v>
      </c>
      <c r="E363" s="8">
        <v>0.0</v>
      </c>
    </row>
    <row r="364" hidden="1">
      <c r="A364" s="5">
        <v>363.0</v>
      </c>
      <c r="B364" s="6" t="s">
        <v>238</v>
      </c>
      <c r="C364" s="7" t="s">
        <v>102</v>
      </c>
      <c r="D364" s="7" t="s">
        <v>169</v>
      </c>
      <c r="E364" s="8">
        <v>0.0</v>
      </c>
    </row>
    <row r="365" hidden="1">
      <c r="A365" s="5">
        <v>364.0</v>
      </c>
      <c r="B365" s="6" t="s">
        <v>772</v>
      </c>
      <c r="C365" s="7" t="s">
        <v>32</v>
      </c>
      <c r="D365" s="7" t="s">
        <v>7</v>
      </c>
      <c r="E365" s="8">
        <v>0.0</v>
      </c>
    </row>
    <row r="366" hidden="1">
      <c r="A366" s="5">
        <v>365.0</v>
      </c>
      <c r="B366" s="6" t="s">
        <v>1025</v>
      </c>
      <c r="C366" s="7" t="s">
        <v>27</v>
      </c>
      <c r="D366" s="7" t="s">
        <v>7</v>
      </c>
      <c r="E366" s="8">
        <v>0.0</v>
      </c>
    </row>
    <row r="367" hidden="1">
      <c r="A367" s="5">
        <v>366.0</v>
      </c>
      <c r="B367" s="6" t="s">
        <v>239</v>
      </c>
      <c r="C367" s="7" t="s">
        <v>77</v>
      </c>
      <c r="D367" s="7" t="s">
        <v>169</v>
      </c>
      <c r="E367" s="8">
        <v>0.0</v>
      </c>
    </row>
    <row r="368" hidden="1">
      <c r="A368" s="5">
        <v>367.0</v>
      </c>
      <c r="B368" s="6" t="s">
        <v>259</v>
      </c>
      <c r="C368" s="7" t="s">
        <v>257</v>
      </c>
      <c r="D368" s="7" t="s">
        <v>169</v>
      </c>
      <c r="E368" s="8">
        <v>0.0</v>
      </c>
    </row>
    <row r="369" hidden="1">
      <c r="A369" s="5">
        <v>368.0</v>
      </c>
      <c r="B369" s="6" t="s">
        <v>934</v>
      </c>
      <c r="C369" s="7" t="s">
        <v>14</v>
      </c>
      <c r="D369" s="7" t="s">
        <v>10</v>
      </c>
      <c r="E369" s="8">
        <v>0.0</v>
      </c>
    </row>
    <row r="370">
      <c r="A370" s="5">
        <v>369.0</v>
      </c>
      <c r="B370" s="6" t="s">
        <v>334</v>
      </c>
      <c r="C370" s="7" t="s">
        <v>92</v>
      </c>
      <c r="D370" s="7" t="s">
        <v>16</v>
      </c>
      <c r="E370" s="8">
        <v>0.0</v>
      </c>
    </row>
    <row r="371" hidden="1">
      <c r="A371" s="5">
        <v>370.0</v>
      </c>
      <c r="B371" s="6" t="s">
        <v>270</v>
      </c>
      <c r="C371" s="7" t="s">
        <v>257</v>
      </c>
      <c r="D371" s="7" t="s">
        <v>169</v>
      </c>
      <c r="E371" s="8">
        <v>0.0</v>
      </c>
    </row>
    <row r="372" hidden="1">
      <c r="A372" s="5">
        <v>371.0</v>
      </c>
      <c r="B372" s="6" t="s">
        <v>781</v>
      </c>
      <c r="C372" s="7" t="s">
        <v>24</v>
      </c>
      <c r="D372" s="7" t="s">
        <v>7</v>
      </c>
      <c r="E372" s="8">
        <v>0.0</v>
      </c>
    </row>
    <row r="373" hidden="1">
      <c r="A373" s="5">
        <v>372.0</v>
      </c>
      <c r="B373" s="6" t="s">
        <v>519</v>
      </c>
      <c r="C373" s="7" t="s">
        <v>27</v>
      </c>
      <c r="D373" s="7" t="s">
        <v>25</v>
      </c>
      <c r="E373" s="8">
        <v>0.0</v>
      </c>
    </row>
    <row r="374" hidden="1">
      <c r="A374" s="5">
        <v>373.0</v>
      </c>
      <c r="B374" s="6" t="s">
        <v>201</v>
      </c>
      <c r="C374" s="7" t="s">
        <v>61</v>
      </c>
      <c r="D374" s="7" t="s">
        <v>166</v>
      </c>
      <c r="E374" s="8">
        <v>0.0</v>
      </c>
    </row>
    <row r="375">
      <c r="A375" s="5">
        <v>374.0</v>
      </c>
      <c r="B375" s="6" t="s">
        <v>400</v>
      </c>
      <c r="C375" s="7" t="s">
        <v>24</v>
      </c>
      <c r="D375" s="7" t="s">
        <v>16</v>
      </c>
      <c r="E375" s="8">
        <v>0.0</v>
      </c>
    </row>
    <row r="376" hidden="1">
      <c r="A376" s="5">
        <v>375.0</v>
      </c>
      <c r="B376" s="6" t="s">
        <v>308</v>
      </c>
      <c r="C376" s="7" t="s">
        <v>27</v>
      </c>
      <c r="D376" s="7" t="s">
        <v>25</v>
      </c>
      <c r="E376" s="8">
        <v>0.0</v>
      </c>
    </row>
    <row r="377" hidden="1">
      <c r="A377" s="5">
        <v>376.0</v>
      </c>
      <c r="B377" s="6" t="s">
        <v>351</v>
      </c>
      <c r="C377" s="7" t="s">
        <v>38</v>
      </c>
      <c r="D377" s="7" t="s">
        <v>25</v>
      </c>
      <c r="E377" s="8">
        <v>0.0</v>
      </c>
    </row>
    <row r="378" hidden="1">
      <c r="A378" s="5">
        <v>377.0</v>
      </c>
      <c r="B378" s="6" t="s">
        <v>555</v>
      </c>
      <c r="C378" s="7" t="s">
        <v>38</v>
      </c>
      <c r="D378" s="7" t="s">
        <v>25</v>
      </c>
      <c r="E378" s="8">
        <v>0.0</v>
      </c>
    </row>
    <row r="379" hidden="1">
      <c r="A379" s="5">
        <v>378.0</v>
      </c>
      <c r="B379" s="6" t="s">
        <v>187</v>
      </c>
      <c r="C379" s="7" t="s">
        <v>233</v>
      </c>
      <c r="D379" s="7" t="s">
        <v>169</v>
      </c>
      <c r="E379" s="8">
        <v>0.0</v>
      </c>
    </row>
    <row r="380" hidden="1">
      <c r="A380" s="5">
        <v>379.0</v>
      </c>
      <c r="B380" s="6" t="s">
        <v>541</v>
      </c>
      <c r="C380" s="7" t="s">
        <v>1007</v>
      </c>
      <c r="D380" s="7" t="s">
        <v>25</v>
      </c>
      <c r="E380" s="8">
        <v>0.0</v>
      </c>
    </row>
    <row r="381" hidden="1">
      <c r="A381" s="5">
        <v>380.0</v>
      </c>
      <c r="B381" s="6" t="s">
        <v>315</v>
      </c>
      <c r="C381" s="7" t="s">
        <v>102</v>
      </c>
      <c r="D381" s="7" t="s">
        <v>25</v>
      </c>
      <c r="E381" s="8">
        <v>0.0</v>
      </c>
    </row>
    <row r="382" hidden="1">
      <c r="A382" s="5">
        <v>381.0</v>
      </c>
      <c r="B382" s="6" t="s">
        <v>807</v>
      </c>
      <c r="C382" s="7" t="s">
        <v>77</v>
      </c>
      <c r="D382" s="7" t="s">
        <v>7</v>
      </c>
      <c r="E382" s="8">
        <v>0.0</v>
      </c>
    </row>
    <row r="383" hidden="1">
      <c r="A383" s="5">
        <v>382.0</v>
      </c>
      <c r="B383" s="6" t="s">
        <v>559</v>
      </c>
      <c r="C383" s="7" t="s">
        <v>22</v>
      </c>
      <c r="D383" s="7" t="s">
        <v>25</v>
      </c>
      <c r="E383" s="8">
        <v>0.0</v>
      </c>
    </row>
    <row r="384" hidden="1">
      <c r="A384" s="5">
        <v>383.0</v>
      </c>
      <c r="B384" s="6" t="s">
        <v>598</v>
      </c>
      <c r="C384" s="7" t="s">
        <v>92</v>
      </c>
      <c r="D384" s="7" t="s">
        <v>7</v>
      </c>
      <c r="E384" s="8">
        <v>0.0</v>
      </c>
    </row>
    <row r="385" hidden="1">
      <c r="A385" s="5">
        <v>384.0</v>
      </c>
      <c r="B385" s="6" t="s">
        <v>834</v>
      </c>
      <c r="C385" s="7" t="s">
        <v>69</v>
      </c>
      <c r="D385" s="7" t="s">
        <v>7</v>
      </c>
      <c r="E385" s="8">
        <v>0.0</v>
      </c>
    </row>
    <row r="386" hidden="1">
      <c r="A386" s="5">
        <v>385.0</v>
      </c>
      <c r="B386" s="6" t="s">
        <v>931</v>
      </c>
      <c r="C386" s="7" t="s">
        <v>74</v>
      </c>
      <c r="D386" s="7" t="s">
        <v>10</v>
      </c>
      <c r="E386" s="8">
        <v>0.0</v>
      </c>
    </row>
    <row r="387" hidden="1">
      <c r="A387" s="5">
        <v>386.0</v>
      </c>
      <c r="B387" s="6" t="s">
        <v>780</v>
      </c>
      <c r="C387" s="7" t="s">
        <v>61</v>
      </c>
      <c r="D387" s="7" t="s">
        <v>7</v>
      </c>
      <c r="E387" s="8">
        <v>0.0</v>
      </c>
    </row>
    <row r="388" hidden="1">
      <c r="A388" s="5">
        <v>387.0</v>
      </c>
      <c r="B388" s="6" t="s">
        <v>771</v>
      </c>
      <c r="C388" s="7" t="s">
        <v>27</v>
      </c>
      <c r="D388" s="7" t="s">
        <v>7</v>
      </c>
      <c r="E388" s="8">
        <v>0.0</v>
      </c>
    </row>
    <row r="389" hidden="1">
      <c r="A389" s="5">
        <v>388.0</v>
      </c>
      <c r="B389" s="6" t="s">
        <v>431</v>
      </c>
      <c r="C389" s="7" t="s">
        <v>38</v>
      </c>
      <c r="D389" s="7" t="s">
        <v>25</v>
      </c>
      <c r="E389" s="8">
        <v>0.0</v>
      </c>
    </row>
    <row r="390" hidden="1">
      <c r="A390" s="5">
        <v>389.0</v>
      </c>
      <c r="B390" s="6" t="s">
        <v>667</v>
      </c>
      <c r="C390" s="7" t="s">
        <v>257</v>
      </c>
      <c r="D390" s="7" t="s">
        <v>25</v>
      </c>
      <c r="E390" s="8">
        <v>0.0</v>
      </c>
    </row>
    <row r="391">
      <c r="A391" s="5">
        <v>390.0</v>
      </c>
      <c r="B391" s="6" t="s">
        <v>481</v>
      </c>
      <c r="C391" s="7" t="s">
        <v>257</v>
      </c>
      <c r="D391" s="7" t="s">
        <v>16</v>
      </c>
      <c r="E391" s="8">
        <v>0.0</v>
      </c>
    </row>
    <row r="392" hidden="1">
      <c r="A392" s="5">
        <v>391.0</v>
      </c>
      <c r="B392" s="6" t="s">
        <v>582</v>
      </c>
      <c r="C392" s="7" t="s">
        <v>18</v>
      </c>
      <c r="D392" s="7" t="s">
        <v>25</v>
      </c>
      <c r="E392" s="8">
        <v>0.0</v>
      </c>
    </row>
    <row r="393" hidden="1">
      <c r="A393" s="5">
        <v>392.0</v>
      </c>
      <c r="B393" s="6" t="s">
        <v>784</v>
      </c>
      <c r="C393" s="7" t="s">
        <v>54</v>
      </c>
      <c r="D393" s="7" t="s">
        <v>7</v>
      </c>
      <c r="E393" s="8">
        <v>0.0</v>
      </c>
    </row>
    <row r="394" hidden="1">
      <c r="A394" s="5">
        <v>393.0</v>
      </c>
      <c r="B394" s="6" t="s">
        <v>527</v>
      </c>
      <c r="C394" s="7" t="s">
        <v>102</v>
      </c>
      <c r="D394" s="7" t="s">
        <v>25</v>
      </c>
      <c r="E394" s="8">
        <v>0.0</v>
      </c>
    </row>
    <row r="395">
      <c r="A395" s="5">
        <v>394.0</v>
      </c>
      <c r="B395" s="6" t="s">
        <v>357</v>
      </c>
      <c r="C395" s="7" t="s">
        <v>29</v>
      </c>
      <c r="D395" s="7" t="s">
        <v>16</v>
      </c>
      <c r="E395" s="8">
        <v>0.0</v>
      </c>
    </row>
    <row r="396" hidden="1">
      <c r="A396" s="5">
        <v>395.0</v>
      </c>
      <c r="B396" s="6" t="s">
        <v>922</v>
      </c>
      <c r="C396" s="7" t="s">
        <v>32</v>
      </c>
      <c r="D396" s="7" t="s">
        <v>10</v>
      </c>
      <c r="E396" s="8">
        <v>0.0</v>
      </c>
    </row>
    <row r="397">
      <c r="A397" s="5">
        <v>396.0</v>
      </c>
      <c r="B397" s="6" t="s">
        <v>324</v>
      </c>
      <c r="C397" s="7" t="s">
        <v>34</v>
      </c>
      <c r="D397" s="7" t="s">
        <v>16</v>
      </c>
      <c r="E397" s="8">
        <v>0.0</v>
      </c>
    </row>
    <row r="398" hidden="1">
      <c r="A398" s="5">
        <v>397.0</v>
      </c>
      <c r="B398" s="6" t="s">
        <v>511</v>
      </c>
      <c r="C398" s="7" t="s">
        <v>77</v>
      </c>
      <c r="D398" s="7" t="s">
        <v>25</v>
      </c>
      <c r="E398" s="8">
        <v>0.0</v>
      </c>
    </row>
    <row r="399" hidden="1">
      <c r="A399" s="5">
        <v>398.0</v>
      </c>
      <c r="B399" s="6" t="s">
        <v>833</v>
      </c>
      <c r="C399" s="7" t="s">
        <v>56</v>
      </c>
      <c r="D399" s="7" t="s">
        <v>7</v>
      </c>
      <c r="E399" s="8">
        <v>0.0</v>
      </c>
    </row>
    <row r="400">
      <c r="A400" s="5">
        <v>399.0</v>
      </c>
      <c r="B400" s="6" t="s">
        <v>366</v>
      </c>
      <c r="C400" s="7" t="s">
        <v>20</v>
      </c>
      <c r="D400" s="7" t="s">
        <v>16</v>
      </c>
      <c r="E400" s="8">
        <v>0.0</v>
      </c>
    </row>
    <row r="401">
      <c r="A401" s="5">
        <v>400.0</v>
      </c>
      <c r="B401" s="6" t="s">
        <v>320</v>
      </c>
      <c r="C401" s="7" t="s">
        <v>27</v>
      </c>
      <c r="D401" s="7" t="s">
        <v>16</v>
      </c>
      <c r="E401" s="8">
        <v>0.0</v>
      </c>
    </row>
    <row r="402">
      <c r="A402" s="5">
        <v>401.0</v>
      </c>
      <c r="B402" s="6" t="s">
        <v>372</v>
      </c>
      <c r="C402" s="7" t="s">
        <v>86</v>
      </c>
      <c r="D402" s="7" t="s">
        <v>16</v>
      </c>
      <c r="E402" s="8">
        <v>0.0</v>
      </c>
    </row>
    <row r="403">
      <c r="A403" s="5">
        <v>402.0</v>
      </c>
      <c r="B403" s="6" t="s">
        <v>358</v>
      </c>
      <c r="C403" s="7" t="s">
        <v>61</v>
      </c>
      <c r="D403" s="7" t="s">
        <v>16</v>
      </c>
      <c r="E403" s="8">
        <v>0.0</v>
      </c>
    </row>
    <row r="404" hidden="1">
      <c r="A404" s="5">
        <v>403.0</v>
      </c>
      <c r="B404" s="6" t="s">
        <v>349</v>
      </c>
      <c r="C404" s="7" t="s">
        <v>56</v>
      </c>
      <c r="D404" s="7" t="s">
        <v>25</v>
      </c>
      <c r="E404" s="8">
        <v>0.0</v>
      </c>
    </row>
    <row r="405">
      <c r="A405" s="5">
        <v>404.0</v>
      </c>
      <c r="B405" s="6" t="s">
        <v>417</v>
      </c>
      <c r="C405" s="7" t="s">
        <v>63</v>
      </c>
      <c r="D405" s="7" t="s">
        <v>16</v>
      </c>
      <c r="E405" s="8">
        <v>0.0</v>
      </c>
    </row>
    <row r="406" hidden="1">
      <c r="A406" s="5">
        <v>405.0</v>
      </c>
      <c r="B406" s="6" t="s">
        <v>203</v>
      </c>
      <c r="C406" s="7" t="s">
        <v>29</v>
      </c>
      <c r="D406" s="7" t="s">
        <v>169</v>
      </c>
      <c r="E406" s="8">
        <v>0.0</v>
      </c>
    </row>
    <row r="407" hidden="1">
      <c r="A407" s="5">
        <v>406.0</v>
      </c>
      <c r="B407" s="6" t="s">
        <v>185</v>
      </c>
      <c r="C407" s="7" t="s">
        <v>48</v>
      </c>
      <c r="D407" s="7" t="s">
        <v>169</v>
      </c>
      <c r="E407" s="8">
        <v>0.0</v>
      </c>
    </row>
    <row r="408">
      <c r="A408" s="5">
        <v>407.0</v>
      </c>
      <c r="B408" s="6" t="s">
        <v>502</v>
      </c>
      <c r="C408" s="7" t="s">
        <v>18</v>
      </c>
      <c r="D408" s="7" t="s">
        <v>16</v>
      </c>
      <c r="E408" s="8">
        <v>0.0</v>
      </c>
    </row>
    <row r="409" hidden="1">
      <c r="A409" s="5">
        <v>408.0</v>
      </c>
      <c r="B409" s="6" t="s">
        <v>819</v>
      </c>
      <c r="C409" s="7" t="s">
        <v>104</v>
      </c>
      <c r="D409" s="7" t="s">
        <v>7</v>
      </c>
      <c r="E409" s="8">
        <v>0.0</v>
      </c>
    </row>
    <row r="410" hidden="1">
      <c r="A410" s="5">
        <v>409.0</v>
      </c>
      <c r="B410" s="6" t="s">
        <v>746</v>
      </c>
      <c r="C410" s="7" t="s">
        <v>257</v>
      </c>
      <c r="D410" s="7" t="s">
        <v>25</v>
      </c>
      <c r="E410" s="8">
        <v>0.0</v>
      </c>
    </row>
    <row r="411" hidden="1">
      <c r="A411" s="5">
        <v>410.0</v>
      </c>
      <c r="B411" s="6" t="s">
        <v>1026</v>
      </c>
      <c r="C411" s="7" t="s">
        <v>257</v>
      </c>
      <c r="D411" s="7" t="s">
        <v>7</v>
      </c>
      <c r="E411" s="8">
        <v>0.0</v>
      </c>
    </row>
    <row r="412" hidden="1">
      <c r="A412" s="5">
        <v>411.0</v>
      </c>
      <c r="B412" s="6" t="s">
        <v>1027</v>
      </c>
      <c r="C412" s="7" t="s">
        <v>257</v>
      </c>
      <c r="D412" s="7" t="s">
        <v>25</v>
      </c>
      <c r="E412" s="8">
        <v>0.0</v>
      </c>
    </row>
    <row r="413">
      <c r="A413" s="5">
        <v>412.0</v>
      </c>
      <c r="B413" s="6" t="s">
        <v>369</v>
      </c>
      <c r="C413" s="7" t="s">
        <v>1007</v>
      </c>
      <c r="D413" s="7" t="s">
        <v>16</v>
      </c>
      <c r="E413" s="8">
        <v>0.0</v>
      </c>
    </row>
    <row r="414" hidden="1">
      <c r="A414" s="5">
        <v>413.0</v>
      </c>
      <c r="B414" s="6" t="s">
        <v>716</v>
      </c>
      <c r="C414" s="7" t="s">
        <v>257</v>
      </c>
      <c r="D414" s="7" t="s">
        <v>25</v>
      </c>
      <c r="E414" s="8">
        <v>0.0</v>
      </c>
    </row>
    <row r="415" hidden="1">
      <c r="A415" s="5">
        <v>414.0</v>
      </c>
      <c r="B415" s="6" t="s">
        <v>345</v>
      </c>
      <c r="C415" s="7" t="s">
        <v>92</v>
      </c>
      <c r="D415" s="7" t="s">
        <v>25</v>
      </c>
      <c r="E415" s="8">
        <v>0.0</v>
      </c>
    </row>
    <row r="416" hidden="1">
      <c r="A416" s="5">
        <v>415.0</v>
      </c>
      <c r="B416" s="6" t="s">
        <v>521</v>
      </c>
      <c r="C416" s="7" t="s">
        <v>56</v>
      </c>
      <c r="D416" s="7" t="s">
        <v>25</v>
      </c>
      <c r="E416" s="8">
        <v>0.0</v>
      </c>
    </row>
    <row r="417" hidden="1">
      <c r="A417" s="5">
        <v>416.0</v>
      </c>
      <c r="B417" s="6" t="s">
        <v>526</v>
      </c>
      <c r="C417" s="7" t="s">
        <v>1007</v>
      </c>
      <c r="D417" s="7" t="s">
        <v>25</v>
      </c>
      <c r="E417" s="8">
        <v>0.0</v>
      </c>
    </row>
    <row r="418" hidden="1">
      <c r="A418" s="5">
        <v>417.0</v>
      </c>
      <c r="B418" s="6" t="s">
        <v>540</v>
      </c>
      <c r="C418" s="7" t="s">
        <v>54</v>
      </c>
      <c r="D418" s="7" t="s">
        <v>25</v>
      </c>
      <c r="E418" s="8">
        <v>0.0</v>
      </c>
    </row>
    <row r="419">
      <c r="A419" s="5">
        <v>418.0</v>
      </c>
      <c r="B419" s="6" t="s">
        <v>459</v>
      </c>
      <c r="C419" s="7" t="s">
        <v>56</v>
      </c>
      <c r="D419" s="7" t="s">
        <v>16</v>
      </c>
      <c r="E419" s="8">
        <v>0.0</v>
      </c>
    </row>
    <row r="420" hidden="1">
      <c r="A420" s="5">
        <v>419.0</v>
      </c>
      <c r="B420" s="6" t="s">
        <v>839</v>
      </c>
      <c r="C420" s="7" t="s">
        <v>27</v>
      </c>
      <c r="D420" s="7" t="s">
        <v>7</v>
      </c>
      <c r="E420" s="8">
        <v>0.0</v>
      </c>
    </row>
    <row r="421" hidden="1">
      <c r="A421" s="5">
        <v>420.0</v>
      </c>
      <c r="B421" s="6" t="s">
        <v>545</v>
      </c>
      <c r="C421" s="7" t="s">
        <v>92</v>
      </c>
      <c r="D421" s="7" t="s">
        <v>25</v>
      </c>
      <c r="E421" s="8">
        <v>0.0</v>
      </c>
    </row>
    <row r="422" hidden="1">
      <c r="A422" s="5">
        <v>421.0</v>
      </c>
      <c r="B422" s="6" t="s">
        <v>787</v>
      </c>
      <c r="C422" s="7" t="s">
        <v>18</v>
      </c>
      <c r="D422" s="7" t="s">
        <v>7</v>
      </c>
      <c r="E422" s="8">
        <v>0.0</v>
      </c>
    </row>
    <row r="423" hidden="1">
      <c r="A423" s="5">
        <v>422.0</v>
      </c>
      <c r="B423" s="6" t="s">
        <v>533</v>
      </c>
      <c r="C423" s="7" t="s">
        <v>32</v>
      </c>
      <c r="D423" s="7" t="s">
        <v>25</v>
      </c>
      <c r="E423" s="8">
        <v>0.0</v>
      </c>
    </row>
    <row r="424">
      <c r="A424" s="5">
        <v>423.0</v>
      </c>
      <c r="B424" s="6" t="s">
        <v>356</v>
      </c>
      <c r="C424" s="7" t="s">
        <v>9</v>
      </c>
      <c r="D424" s="7" t="s">
        <v>16</v>
      </c>
      <c r="E424" s="8">
        <v>0.0</v>
      </c>
    </row>
    <row r="425">
      <c r="A425" s="5">
        <v>424.0</v>
      </c>
      <c r="B425" s="6" t="s">
        <v>377</v>
      </c>
      <c r="C425" s="7" t="s">
        <v>74</v>
      </c>
      <c r="D425" s="7" t="s">
        <v>16</v>
      </c>
      <c r="E425" s="8">
        <v>0.0</v>
      </c>
    </row>
    <row r="426">
      <c r="A426" s="5">
        <v>425.0</v>
      </c>
      <c r="B426" s="6" t="s">
        <v>346</v>
      </c>
      <c r="C426" s="7" t="s">
        <v>69</v>
      </c>
      <c r="D426" s="7" t="s">
        <v>16</v>
      </c>
      <c r="E426" s="8">
        <v>0.0</v>
      </c>
    </row>
    <row r="427">
      <c r="A427" s="5">
        <v>426.0</v>
      </c>
      <c r="B427" s="6" t="s">
        <v>505</v>
      </c>
      <c r="C427" s="7" t="s">
        <v>257</v>
      </c>
      <c r="D427" s="7" t="s">
        <v>16</v>
      </c>
      <c r="E427" s="8">
        <v>0.0</v>
      </c>
    </row>
    <row r="428" hidden="1">
      <c r="A428" s="5">
        <v>427.0</v>
      </c>
      <c r="B428" s="6" t="s">
        <v>1028</v>
      </c>
      <c r="C428" s="7" t="s">
        <v>257</v>
      </c>
      <c r="D428" s="7" t="s">
        <v>7</v>
      </c>
      <c r="E428" s="8">
        <v>0.0</v>
      </c>
    </row>
    <row r="429">
      <c r="A429" s="5">
        <v>428.0</v>
      </c>
      <c r="B429" s="6" t="s">
        <v>394</v>
      </c>
      <c r="C429" s="7" t="s">
        <v>63</v>
      </c>
      <c r="D429" s="7" t="s">
        <v>16</v>
      </c>
      <c r="E429" s="8">
        <v>0.0</v>
      </c>
    </row>
    <row r="430" hidden="1">
      <c r="A430" s="5">
        <v>429.0</v>
      </c>
      <c r="B430" s="6" t="s">
        <v>544</v>
      </c>
      <c r="C430" s="7" t="s">
        <v>69</v>
      </c>
      <c r="D430" s="7" t="s">
        <v>25</v>
      </c>
      <c r="E430" s="8">
        <v>0.0</v>
      </c>
    </row>
    <row r="431">
      <c r="A431" s="5">
        <v>430.0</v>
      </c>
      <c r="B431" s="6" t="s">
        <v>347</v>
      </c>
      <c r="C431" s="7" t="s">
        <v>24</v>
      </c>
      <c r="D431" s="7" t="s">
        <v>16</v>
      </c>
      <c r="E431" s="8">
        <v>0.0</v>
      </c>
    </row>
    <row r="432" hidden="1">
      <c r="A432" s="5">
        <v>431.0</v>
      </c>
      <c r="B432" s="6" t="s">
        <v>830</v>
      </c>
      <c r="C432" s="7" t="s">
        <v>38</v>
      </c>
      <c r="D432" s="7" t="s">
        <v>7</v>
      </c>
      <c r="E432" s="8">
        <v>0.0</v>
      </c>
    </row>
    <row r="433" hidden="1">
      <c r="A433" s="5">
        <v>432.0</v>
      </c>
      <c r="B433" s="6" t="s">
        <v>926</v>
      </c>
      <c r="C433" s="7" t="s">
        <v>92</v>
      </c>
      <c r="D433" s="7" t="s">
        <v>10</v>
      </c>
      <c r="E433" s="8">
        <v>0.0</v>
      </c>
    </row>
    <row r="434" hidden="1">
      <c r="A434" s="5">
        <v>433.0</v>
      </c>
      <c r="B434" s="6" t="s">
        <v>241</v>
      </c>
      <c r="C434" s="7" t="s">
        <v>134</v>
      </c>
      <c r="D434" s="7" t="s">
        <v>169</v>
      </c>
      <c r="E434" s="8">
        <v>0.0</v>
      </c>
    </row>
    <row r="435" hidden="1">
      <c r="A435" s="5">
        <v>434.0</v>
      </c>
      <c r="B435" s="6" t="s">
        <v>512</v>
      </c>
      <c r="C435" s="7" t="s">
        <v>63</v>
      </c>
      <c r="D435" s="7" t="s">
        <v>25</v>
      </c>
      <c r="E435" s="8">
        <v>0.0</v>
      </c>
    </row>
    <row r="436" hidden="1">
      <c r="A436" s="5">
        <v>435.0</v>
      </c>
      <c r="B436" s="6" t="s">
        <v>822</v>
      </c>
      <c r="C436" s="7" t="s">
        <v>24</v>
      </c>
      <c r="D436" s="7" t="s">
        <v>7</v>
      </c>
      <c r="E436" s="8">
        <v>0.0</v>
      </c>
    </row>
    <row r="437" hidden="1">
      <c r="A437" s="5">
        <v>436.0</v>
      </c>
      <c r="B437" s="6" t="s">
        <v>515</v>
      </c>
      <c r="C437" s="7" t="s">
        <v>86</v>
      </c>
      <c r="D437" s="7" t="s">
        <v>25</v>
      </c>
      <c r="E437" s="8">
        <v>0.0</v>
      </c>
    </row>
    <row r="438" hidden="1">
      <c r="A438" s="5">
        <v>437.0</v>
      </c>
      <c r="B438" s="6" t="s">
        <v>584</v>
      </c>
      <c r="C438" s="7" t="s">
        <v>6</v>
      </c>
      <c r="D438" s="7" t="s">
        <v>25</v>
      </c>
      <c r="E438" s="8">
        <v>0.0</v>
      </c>
    </row>
    <row r="439">
      <c r="A439" s="5">
        <v>438.0</v>
      </c>
      <c r="B439" s="6" t="s">
        <v>340</v>
      </c>
      <c r="C439" s="7" t="s">
        <v>104</v>
      </c>
      <c r="D439" s="7" t="s">
        <v>16</v>
      </c>
      <c r="E439" s="8">
        <v>0.0</v>
      </c>
    </row>
    <row r="440" hidden="1">
      <c r="A440" s="5">
        <v>439.0</v>
      </c>
      <c r="B440" s="6" t="s">
        <v>805</v>
      </c>
      <c r="C440" s="7" t="s">
        <v>233</v>
      </c>
      <c r="D440" s="7" t="s">
        <v>7</v>
      </c>
      <c r="E440" s="8">
        <v>0.0</v>
      </c>
    </row>
    <row r="441" hidden="1">
      <c r="A441" s="5">
        <v>440.0</v>
      </c>
      <c r="B441" s="6" t="s">
        <v>836</v>
      </c>
      <c r="C441" s="7" t="s">
        <v>257</v>
      </c>
      <c r="D441" s="7" t="s">
        <v>7</v>
      </c>
      <c r="E441" s="8">
        <v>0.0</v>
      </c>
    </row>
    <row r="442">
      <c r="A442" s="5">
        <v>441.0</v>
      </c>
      <c r="B442" s="6" t="s">
        <v>378</v>
      </c>
      <c r="C442" s="7" t="s">
        <v>44</v>
      </c>
      <c r="D442" s="7" t="s">
        <v>16</v>
      </c>
      <c r="E442" s="8">
        <v>0.0</v>
      </c>
    </row>
    <row r="443" hidden="1">
      <c r="A443" s="5">
        <v>442.0</v>
      </c>
      <c r="B443" s="6" t="s">
        <v>900</v>
      </c>
      <c r="C443" s="7" t="s">
        <v>257</v>
      </c>
      <c r="D443" s="7" t="s">
        <v>7</v>
      </c>
      <c r="E443" s="8">
        <v>0.0</v>
      </c>
    </row>
    <row r="444" hidden="1">
      <c r="A444" s="5">
        <v>443.0</v>
      </c>
      <c r="B444" s="6" t="s">
        <v>536</v>
      </c>
      <c r="C444" s="7" t="s">
        <v>96</v>
      </c>
      <c r="D444" s="7" t="s">
        <v>25</v>
      </c>
      <c r="E444" s="8">
        <v>0.0</v>
      </c>
    </row>
    <row r="445" hidden="1">
      <c r="A445" s="5">
        <v>444.0</v>
      </c>
      <c r="B445" s="6" t="s">
        <v>587</v>
      </c>
      <c r="C445" s="7" t="s">
        <v>54</v>
      </c>
      <c r="D445" s="7" t="s">
        <v>25</v>
      </c>
      <c r="E445" s="8">
        <v>0.0</v>
      </c>
    </row>
    <row r="446" hidden="1">
      <c r="A446" s="5">
        <v>445.0</v>
      </c>
      <c r="B446" s="6" t="s">
        <v>794</v>
      </c>
      <c r="C446" s="7" t="s">
        <v>22</v>
      </c>
      <c r="D446" s="7" t="s">
        <v>7</v>
      </c>
      <c r="E446" s="8">
        <v>0.0</v>
      </c>
    </row>
    <row r="447" hidden="1">
      <c r="A447" s="5">
        <v>446.0</v>
      </c>
      <c r="B447" s="6" t="s">
        <v>913</v>
      </c>
      <c r="C447" s="7" t="s">
        <v>257</v>
      </c>
      <c r="D447" s="7" t="s">
        <v>7</v>
      </c>
      <c r="E447" s="8">
        <v>0.0</v>
      </c>
    </row>
    <row r="448" hidden="1">
      <c r="A448" s="5">
        <v>447.0</v>
      </c>
      <c r="B448" s="6" t="s">
        <v>782</v>
      </c>
      <c r="C448" s="7" t="s">
        <v>20</v>
      </c>
      <c r="D448" s="7" t="s">
        <v>7</v>
      </c>
      <c r="E448" s="8">
        <v>0.0</v>
      </c>
    </row>
    <row r="449" hidden="1">
      <c r="A449" s="5">
        <v>448.0</v>
      </c>
      <c r="B449" s="6" t="s">
        <v>539</v>
      </c>
      <c r="C449" s="7" t="s">
        <v>77</v>
      </c>
      <c r="D449" s="7" t="s">
        <v>25</v>
      </c>
      <c r="E449" s="8">
        <v>0.0</v>
      </c>
    </row>
    <row r="450">
      <c r="A450" s="5">
        <v>449.0</v>
      </c>
      <c r="B450" s="6" t="s">
        <v>338</v>
      </c>
      <c r="C450" s="7" t="s">
        <v>14</v>
      </c>
      <c r="D450" s="7" t="s">
        <v>16</v>
      </c>
      <c r="E450" s="8">
        <v>0.0</v>
      </c>
    </row>
    <row r="451" hidden="1">
      <c r="A451" s="5">
        <v>450.0</v>
      </c>
      <c r="B451" s="6" t="s">
        <v>1029</v>
      </c>
      <c r="C451" s="7" t="s">
        <v>74</v>
      </c>
      <c r="D451" s="7" t="s">
        <v>169</v>
      </c>
      <c r="E451" s="8">
        <v>0.0</v>
      </c>
    </row>
    <row r="452" hidden="1">
      <c r="A452" s="5">
        <v>451.0</v>
      </c>
      <c r="B452" s="6" t="s">
        <v>829</v>
      </c>
      <c r="C452" s="7" t="s">
        <v>86</v>
      </c>
      <c r="D452" s="7" t="s">
        <v>7</v>
      </c>
      <c r="E452" s="8">
        <v>0.0</v>
      </c>
    </row>
    <row r="453" hidden="1">
      <c r="A453" s="5">
        <v>452.0</v>
      </c>
      <c r="B453" s="6" t="s">
        <v>591</v>
      </c>
      <c r="C453" s="7" t="s">
        <v>257</v>
      </c>
      <c r="D453" s="7" t="s">
        <v>25</v>
      </c>
      <c r="E453" s="8">
        <v>0.0</v>
      </c>
    </row>
    <row r="454" hidden="1">
      <c r="A454" s="5">
        <v>453.0</v>
      </c>
      <c r="B454" s="6" t="s">
        <v>265</v>
      </c>
      <c r="C454" s="7" t="s">
        <v>257</v>
      </c>
      <c r="D454" s="7" t="s">
        <v>169</v>
      </c>
      <c r="E454" s="8">
        <v>0.0</v>
      </c>
    </row>
    <row r="455">
      <c r="A455" s="5">
        <v>454.0</v>
      </c>
      <c r="B455" s="6" t="s">
        <v>404</v>
      </c>
      <c r="C455" s="7" t="s">
        <v>27</v>
      </c>
      <c r="D455" s="7" t="s">
        <v>16</v>
      </c>
      <c r="E455" s="8">
        <v>0.0</v>
      </c>
    </row>
    <row r="456" hidden="1">
      <c r="A456" s="5">
        <v>455.0</v>
      </c>
      <c r="B456" s="6" t="s">
        <v>525</v>
      </c>
      <c r="C456" s="7" t="s">
        <v>34</v>
      </c>
      <c r="D456" s="7" t="s">
        <v>25</v>
      </c>
      <c r="E456" s="8">
        <v>0.0</v>
      </c>
    </row>
    <row r="457" hidden="1">
      <c r="A457" s="5">
        <v>456.0</v>
      </c>
      <c r="B457" s="6" t="s">
        <v>256</v>
      </c>
      <c r="C457" s="7" t="s">
        <v>257</v>
      </c>
      <c r="D457" s="7" t="s">
        <v>169</v>
      </c>
      <c r="E457" s="8">
        <v>0.0</v>
      </c>
    </row>
    <row r="458" hidden="1">
      <c r="A458" s="5">
        <v>457.0</v>
      </c>
      <c r="B458" s="6" t="s">
        <v>590</v>
      </c>
      <c r="C458" s="7" t="s">
        <v>102</v>
      </c>
      <c r="D458" s="7" t="s">
        <v>25</v>
      </c>
      <c r="E458" s="8">
        <v>0.0</v>
      </c>
    </row>
    <row r="459" hidden="1">
      <c r="A459" s="5">
        <v>458.0</v>
      </c>
      <c r="B459" s="6" t="s">
        <v>979</v>
      </c>
      <c r="C459" s="7" t="s">
        <v>92</v>
      </c>
      <c r="D459" s="7" t="s">
        <v>10</v>
      </c>
      <c r="E459" s="8">
        <v>0.0</v>
      </c>
    </row>
    <row r="460">
      <c r="A460" s="5">
        <v>459.0</v>
      </c>
      <c r="B460" s="6" t="s">
        <v>370</v>
      </c>
      <c r="C460" s="7" t="s">
        <v>48</v>
      </c>
      <c r="D460" s="7" t="s">
        <v>16</v>
      </c>
      <c r="E460" s="8">
        <v>0.0</v>
      </c>
    </row>
    <row r="461">
      <c r="A461" s="5">
        <v>460.0</v>
      </c>
      <c r="B461" s="6" t="s">
        <v>353</v>
      </c>
      <c r="C461" s="7" t="s">
        <v>56</v>
      </c>
      <c r="D461" s="7" t="s">
        <v>16</v>
      </c>
      <c r="E461" s="8">
        <v>0.0</v>
      </c>
    </row>
    <row r="462" hidden="1">
      <c r="A462" s="5">
        <v>461.0</v>
      </c>
      <c r="B462" s="6" t="s">
        <v>842</v>
      </c>
      <c r="C462" s="7" t="s">
        <v>59</v>
      </c>
      <c r="D462" s="7" t="s">
        <v>7</v>
      </c>
      <c r="E462" s="8">
        <v>0.0</v>
      </c>
    </row>
    <row r="463" hidden="1">
      <c r="A463" s="5">
        <v>462.0</v>
      </c>
      <c r="B463" s="6" t="s">
        <v>940</v>
      </c>
      <c r="C463" s="7" t="s">
        <v>54</v>
      </c>
      <c r="D463" s="7" t="s">
        <v>10</v>
      </c>
      <c r="E463" s="8">
        <v>0.0</v>
      </c>
    </row>
    <row r="464" hidden="1">
      <c r="A464" s="5">
        <v>463.0</v>
      </c>
      <c r="B464" s="6" t="s">
        <v>629</v>
      </c>
      <c r="C464" s="7" t="s">
        <v>48</v>
      </c>
      <c r="D464" s="7" t="s">
        <v>25</v>
      </c>
      <c r="E464" s="8">
        <v>0.0</v>
      </c>
    </row>
    <row r="465" hidden="1">
      <c r="A465" s="5">
        <v>464.0</v>
      </c>
      <c r="B465" s="6" t="s">
        <v>809</v>
      </c>
      <c r="C465" s="7" t="s">
        <v>32</v>
      </c>
      <c r="D465" s="7" t="s">
        <v>7</v>
      </c>
      <c r="E465" s="8">
        <v>0.0</v>
      </c>
    </row>
    <row r="466" hidden="1">
      <c r="A466" s="5">
        <v>465.0</v>
      </c>
      <c r="B466" s="6" t="s">
        <v>1030</v>
      </c>
      <c r="C466" s="7" t="s">
        <v>257</v>
      </c>
      <c r="D466" s="7" t="s">
        <v>7</v>
      </c>
      <c r="E466" s="8">
        <v>0.0</v>
      </c>
    </row>
    <row r="467" hidden="1">
      <c r="A467" s="5">
        <v>466.0</v>
      </c>
      <c r="B467" s="6" t="s">
        <v>266</v>
      </c>
      <c r="C467" s="7" t="s">
        <v>257</v>
      </c>
      <c r="D467" s="7" t="s">
        <v>169</v>
      </c>
      <c r="E467" s="8">
        <v>0.0</v>
      </c>
    </row>
    <row r="468" hidden="1">
      <c r="A468" s="5">
        <v>467.0</v>
      </c>
      <c r="B468" s="6" t="s">
        <v>692</v>
      </c>
      <c r="C468" s="7" t="s">
        <v>102</v>
      </c>
      <c r="D468" s="7" t="s">
        <v>25</v>
      </c>
      <c r="E468" s="8">
        <v>0.0</v>
      </c>
    </row>
    <row r="469" hidden="1">
      <c r="A469" s="5">
        <v>468.0</v>
      </c>
      <c r="B469" s="6" t="s">
        <v>774</v>
      </c>
      <c r="C469" s="7" t="s">
        <v>22</v>
      </c>
      <c r="D469" s="7" t="s">
        <v>7</v>
      </c>
      <c r="E469" s="8">
        <v>0.0</v>
      </c>
    </row>
    <row r="470" hidden="1">
      <c r="A470" s="5">
        <v>469.0</v>
      </c>
      <c r="B470" s="6" t="s">
        <v>557</v>
      </c>
      <c r="C470" s="7" t="s">
        <v>44</v>
      </c>
      <c r="D470" s="7" t="s">
        <v>25</v>
      </c>
      <c r="E470" s="8">
        <v>0.0</v>
      </c>
    </row>
    <row r="471">
      <c r="A471" s="5">
        <v>470.0</v>
      </c>
      <c r="B471" s="6" t="s">
        <v>365</v>
      </c>
      <c r="C471" s="7" t="s">
        <v>77</v>
      </c>
      <c r="D471" s="7" t="s">
        <v>16</v>
      </c>
      <c r="E471" s="8">
        <v>0.0</v>
      </c>
    </row>
    <row r="472" hidden="1">
      <c r="A472" s="5">
        <v>471.0</v>
      </c>
      <c r="B472" s="6" t="s">
        <v>543</v>
      </c>
      <c r="C472" s="7" t="s">
        <v>48</v>
      </c>
      <c r="D472" s="7" t="s">
        <v>25</v>
      </c>
      <c r="E472" s="8">
        <v>0.0</v>
      </c>
    </row>
    <row r="473" hidden="1">
      <c r="A473" s="5">
        <v>472.0</v>
      </c>
      <c r="B473" s="6" t="s">
        <v>613</v>
      </c>
      <c r="C473" s="7" t="s">
        <v>54</v>
      </c>
      <c r="D473" s="7" t="s">
        <v>25</v>
      </c>
      <c r="E473" s="8">
        <v>0.0</v>
      </c>
    </row>
    <row r="474" hidden="1">
      <c r="A474" s="5">
        <v>473.0</v>
      </c>
      <c r="B474" s="6" t="s">
        <v>556</v>
      </c>
      <c r="C474" s="7" t="s">
        <v>77</v>
      </c>
      <c r="D474" s="7" t="s">
        <v>25</v>
      </c>
      <c r="E474" s="8">
        <v>0.0</v>
      </c>
    </row>
    <row r="475" hidden="1">
      <c r="A475" s="5">
        <v>474.0</v>
      </c>
      <c r="B475" s="6" t="s">
        <v>593</v>
      </c>
      <c r="C475" s="7" t="s">
        <v>96</v>
      </c>
      <c r="D475" s="7" t="s">
        <v>25</v>
      </c>
      <c r="E475" s="8">
        <v>0.0</v>
      </c>
    </row>
    <row r="476" hidden="1">
      <c r="A476" s="5">
        <v>475.0</v>
      </c>
      <c r="B476" s="6" t="s">
        <v>806</v>
      </c>
      <c r="C476" s="7" t="s">
        <v>54</v>
      </c>
      <c r="D476" s="7" t="s">
        <v>7</v>
      </c>
      <c r="E476" s="8">
        <v>0.0</v>
      </c>
    </row>
    <row r="477">
      <c r="A477" s="5">
        <v>476.0</v>
      </c>
      <c r="B477" s="6" t="s">
        <v>428</v>
      </c>
      <c r="C477" s="7" t="s">
        <v>102</v>
      </c>
      <c r="D477" s="7" t="s">
        <v>16</v>
      </c>
      <c r="E477" s="8">
        <v>0.0</v>
      </c>
    </row>
    <row r="478" hidden="1">
      <c r="A478" s="5">
        <v>477.0</v>
      </c>
      <c r="B478" s="6" t="s">
        <v>816</v>
      </c>
      <c r="C478" s="7" t="s">
        <v>20</v>
      </c>
      <c r="D478" s="7" t="s">
        <v>7</v>
      </c>
      <c r="E478" s="8">
        <v>0.0</v>
      </c>
    </row>
    <row r="479" hidden="1">
      <c r="A479" s="5">
        <v>478.0</v>
      </c>
      <c r="B479" s="6" t="s">
        <v>800</v>
      </c>
      <c r="C479" s="7" t="s">
        <v>29</v>
      </c>
      <c r="D479" s="7" t="s">
        <v>7</v>
      </c>
      <c r="E479" s="8">
        <v>0.0</v>
      </c>
    </row>
    <row r="480">
      <c r="A480" s="5">
        <v>479.0</v>
      </c>
      <c r="B480" s="6" t="s">
        <v>374</v>
      </c>
      <c r="C480" s="7" t="s">
        <v>56</v>
      </c>
      <c r="D480" s="7" t="s">
        <v>16</v>
      </c>
      <c r="E480" s="8">
        <v>0.0</v>
      </c>
    </row>
    <row r="481" hidden="1">
      <c r="A481" s="5">
        <v>480.0</v>
      </c>
      <c r="B481" s="6" t="s">
        <v>796</v>
      </c>
      <c r="C481" s="7" t="s">
        <v>18</v>
      </c>
      <c r="D481" s="7" t="s">
        <v>7</v>
      </c>
      <c r="E481" s="8">
        <v>0.0</v>
      </c>
    </row>
    <row r="482" hidden="1">
      <c r="A482" s="5">
        <v>481.0</v>
      </c>
      <c r="B482" s="6" t="s">
        <v>586</v>
      </c>
      <c r="C482" s="7" t="s">
        <v>61</v>
      </c>
      <c r="D482" s="7" t="s">
        <v>25</v>
      </c>
      <c r="E482" s="8">
        <v>0.0</v>
      </c>
    </row>
    <row r="483" hidden="1">
      <c r="A483" s="5">
        <v>482.0</v>
      </c>
      <c r="B483" s="6" t="s">
        <v>841</v>
      </c>
      <c r="C483" s="7" t="s">
        <v>134</v>
      </c>
      <c r="D483" s="7" t="s">
        <v>7</v>
      </c>
      <c r="E483" s="8">
        <v>0.0</v>
      </c>
    </row>
    <row r="484" hidden="1">
      <c r="A484" s="5">
        <v>483.0</v>
      </c>
      <c r="B484" s="6" t="s">
        <v>710</v>
      </c>
      <c r="C484" s="7" t="s">
        <v>1007</v>
      </c>
      <c r="D484" s="7" t="s">
        <v>25</v>
      </c>
      <c r="E484" s="8">
        <v>0.0</v>
      </c>
    </row>
    <row r="485" hidden="1">
      <c r="A485" s="5">
        <v>484.0</v>
      </c>
      <c r="B485" s="6" t="s">
        <v>802</v>
      </c>
      <c r="C485" s="7" t="s">
        <v>34</v>
      </c>
      <c r="D485" s="7" t="s">
        <v>7</v>
      </c>
      <c r="E485" s="8">
        <v>0.0</v>
      </c>
    </row>
    <row r="486" hidden="1">
      <c r="A486" s="5">
        <v>485.0</v>
      </c>
      <c r="B486" s="6" t="s">
        <v>820</v>
      </c>
      <c r="C486" s="7" t="s">
        <v>59</v>
      </c>
      <c r="D486" s="7" t="s">
        <v>7</v>
      </c>
      <c r="E486" s="8">
        <v>0.0</v>
      </c>
    </row>
    <row r="487" hidden="1">
      <c r="A487" s="5">
        <v>486.0</v>
      </c>
      <c r="B487" s="6" t="s">
        <v>852</v>
      </c>
      <c r="C487" s="7" t="s">
        <v>257</v>
      </c>
      <c r="D487" s="7" t="s">
        <v>7</v>
      </c>
      <c r="E487" s="8">
        <v>0.0</v>
      </c>
    </row>
    <row r="488" hidden="1">
      <c r="A488" s="5">
        <v>487.0</v>
      </c>
      <c r="B488" s="6" t="s">
        <v>572</v>
      </c>
      <c r="C488" s="7" t="s">
        <v>14</v>
      </c>
      <c r="D488" s="7" t="s">
        <v>25</v>
      </c>
      <c r="E488" s="8">
        <v>0.0</v>
      </c>
    </row>
    <row r="489" hidden="1">
      <c r="A489" s="5">
        <v>488.0</v>
      </c>
      <c r="B489" s="6" t="s">
        <v>811</v>
      </c>
      <c r="C489" s="7" t="s">
        <v>48</v>
      </c>
      <c r="D489" s="7" t="s">
        <v>7</v>
      </c>
      <c r="E489" s="8">
        <v>0.0</v>
      </c>
    </row>
    <row r="490">
      <c r="A490" s="5">
        <v>489.0</v>
      </c>
      <c r="B490" s="6" t="s">
        <v>362</v>
      </c>
      <c r="C490" s="7" t="s">
        <v>96</v>
      </c>
      <c r="D490" s="7" t="s">
        <v>16</v>
      </c>
      <c r="E490" s="8">
        <v>0.0</v>
      </c>
    </row>
    <row r="491">
      <c r="A491" s="5">
        <v>490.0</v>
      </c>
      <c r="B491" s="6" t="s">
        <v>380</v>
      </c>
      <c r="C491" s="7" t="s">
        <v>6</v>
      </c>
      <c r="D491" s="7" t="s">
        <v>16</v>
      </c>
      <c r="E491" s="8">
        <v>0.0</v>
      </c>
    </row>
    <row r="492" hidden="1">
      <c r="A492" s="5">
        <v>491.0</v>
      </c>
      <c r="B492" s="6" t="s">
        <v>708</v>
      </c>
      <c r="C492" s="7" t="s">
        <v>257</v>
      </c>
      <c r="D492" s="7" t="s">
        <v>7</v>
      </c>
      <c r="E492" s="8">
        <v>0.0</v>
      </c>
    </row>
    <row r="493" hidden="1">
      <c r="A493" s="5">
        <v>492.0</v>
      </c>
      <c r="B493" s="6" t="s">
        <v>992</v>
      </c>
      <c r="C493" s="7" t="s">
        <v>102</v>
      </c>
      <c r="D493" s="7" t="s">
        <v>10</v>
      </c>
      <c r="E493" s="8">
        <v>0.0</v>
      </c>
    </row>
    <row r="494" hidden="1">
      <c r="A494" s="5">
        <v>493.0</v>
      </c>
      <c r="B494" s="6" t="s">
        <v>673</v>
      </c>
      <c r="C494" s="7" t="s">
        <v>69</v>
      </c>
      <c r="D494" s="7" t="s">
        <v>25</v>
      </c>
      <c r="E494" s="8">
        <v>0.0</v>
      </c>
    </row>
    <row r="495" hidden="1">
      <c r="A495" s="5">
        <v>494.0</v>
      </c>
      <c r="B495" s="6" t="s">
        <v>847</v>
      </c>
      <c r="C495" s="7" t="s">
        <v>104</v>
      </c>
      <c r="D495" s="7" t="s">
        <v>7</v>
      </c>
      <c r="E495" s="8">
        <v>0.0</v>
      </c>
    </row>
    <row r="496">
      <c r="A496" s="5">
        <v>495.0</v>
      </c>
      <c r="B496" s="6" t="s">
        <v>390</v>
      </c>
      <c r="C496" s="7" t="s">
        <v>54</v>
      </c>
      <c r="D496" s="7" t="s">
        <v>16</v>
      </c>
      <c r="E496" s="8">
        <v>0.0</v>
      </c>
    </row>
    <row r="497" hidden="1">
      <c r="A497" s="5">
        <v>496.0</v>
      </c>
      <c r="B497" s="6" t="s">
        <v>517</v>
      </c>
      <c r="C497" s="7" t="s">
        <v>44</v>
      </c>
      <c r="D497" s="7" t="s">
        <v>25</v>
      </c>
      <c r="E497" s="8">
        <v>0.0</v>
      </c>
    </row>
    <row r="498" hidden="1">
      <c r="A498" s="5">
        <v>497.0</v>
      </c>
      <c r="B498" s="6" t="s">
        <v>948</v>
      </c>
      <c r="C498" s="7" t="s">
        <v>56</v>
      </c>
      <c r="D498" s="7" t="s">
        <v>10</v>
      </c>
      <c r="E498" s="8">
        <v>0.0</v>
      </c>
    </row>
    <row r="499" hidden="1">
      <c r="A499" s="5">
        <v>498.0</v>
      </c>
      <c r="B499" s="6" t="s">
        <v>813</v>
      </c>
      <c r="C499" s="7" t="s">
        <v>54</v>
      </c>
      <c r="D499" s="7" t="s">
        <v>7</v>
      </c>
      <c r="E499" s="8">
        <v>0.0</v>
      </c>
    </row>
    <row r="500" hidden="1">
      <c r="A500" s="5">
        <v>499.0</v>
      </c>
      <c r="B500" s="6" t="s">
        <v>862</v>
      </c>
      <c r="C500" s="7" t="s">
        <v>9</v>
      </c>
      <c r="D500" s="7" t="s">
        <v>7</v>
      </c>
      <c r="E500" s="8">
        <v>0.0</v>
      </c>
    </row>
    <row r="501" hidden="1">
      <c r="A501" s="5">
        <v>500.0</v>
      </c>
      <c r="B501" s="6" t="s">
        <v>580</v>
      </c>
      <c r="C501" s="7" t="s">
        <v>20</v>
      </c>
      <c r="D501" s="7" t="s">
        <v>25</v>
      </c>
      <c r="E501" s="8">
        <v>0.0</v>
      </c>
    </row>
    <row r="502">
      <c r="A502" s="5">
        <v>501.0</v>
      </c>
      <c r="B502" s="6" t="s">
        <v>398</v>
      </c>
      <c r="C502" s="7" t="s">
        <v>20</v>
      </c>
      <c r="D502" s="7" t="s">
        <v>16</v>
      </c>
      <c r="E502" s="8">
        <v>0.0</v>
      </c>
    </row>
    <row r="503">
      <c r="A503" s="5">
        <v>502.0</v>
      </c>
      <c r="B503" s="6" t="s">
        <v>392</v>
      </c>
      <c r="C503" s="7" t="s">
        <v>102</v>
      </c>
      <c r="D503" s="7" t="s">
        <v>16</v>
      </c>
      <c r="E503" s="8">
        <v>0.0</v>
      </c>
    </row>
    <row r="504" hidden="1">
      <c r="A504" s="5">
        <v>503.0</v>
      </c>
      <c r="B504" s="6" t="s">
        <v>976</v>
      </c>
      <c r="C504" s="7" t="s">
        <v>134</v>
      </c>
      <c r="D504" s="7" t="s">
        <v>10</v>
      </c>
      <c r="E504" s="8">
        <v>0.0</v>
      </c>
    </row>
    <row r="505">
      <c r="A505" s="5">
        <v>504.0</v>
      </c>
      <c r="B505" s="6" t="s">
        <v>410</v>
      </c>
      <c r="C505" s="7" t="s">
        <v>233</v>
      </c>
      <c r="D505" s="7" t="s">
        <v>16</v>
      </c>
      <c r="E505" s="8">
        <v>0.0</v>
      </c>
    </row>
    <row r="506" hidden="1">
      <c r="A506" s="5">
        <v>505.0</v>
      </c>
      <c r="B506" s="6" t="s">
        <v>571</v>
      </c>
      <c r="C506" s="7" t="s">
        <v>134</v>
      </c>
      <c r="D506" s="7" t="s">
        <v>25</v>
      </c>
      <c r="E506" s="8">
        <v>0.0</v>
      </c>
    </row>
    <row r="507" hidden="1">
      <c r="A507" s="5">
        <v>506.0</v>
      </c>
      <c r="B507" s="6" t="s">
        <v>562</v>
      </c>
      <c r="C507" s="7" t="s">
        <v>134</v>
      </c>
      <c r="D507" s="7" t="s">
        <v>25</v>
      </c>
      <c r="E507" s="8">
        <v>0.0</v>
      </c>
    </row>
    <row r="508" hidden="1">
      <c r="A508" s="5">
        <v>507.0</v>
      </c>
      <c r="B508" s="6" t="s">
        <v>566</v>
      </c>
      <c r="C508" s="7" t="s">
        <v>29</v>
      </c>
      <c r="D508" s="7" t="s">
        <v>25</v>
      </c>
      <c r="E508" s="8">
        <v>0.0</v>
      </c>
    </row>
    <row r="509" hidden="1">
      <c r="A509" s="5">
        <v>508.0</v>
      </c>
      <c r="B509" s="6" t="s">
        <v>815</v>
      </c>
      <c r="C509" s="7" t="s">
        <v>6</v>
      </c>
      <c r="D509" s="7" t="s">
        <v>7</v>
      </c>
      <c r="E509" s="8">
        <v>0.0</v>
      </c>
    </row>
    <row r="510" hidden="1">
      <c r="A510" s="5">
        <v>509.0</v>
      </c>
      <c r="B510" s="6" t="s">
        <v>863</v>
      </c>
      <c r="C510" s="7" t="s">
        <v>59</v>
      </c>
      <c r="D510" s="7" t="s">
        <v>7</v>
      </c>
      <c r="E510" s="8">
        <v>0.0</v>
      </c>
    </row>
    <row r="511" hidden="1">
      <c r="A511" s="5">
        <v>510.0</v>
      </c>
      <c r="B511" s="6" t="s">
        <v>857</v>
      </c>
      <c r="C511" s="7" t="s">
        <v>69</v>
      </c>
      <c r="D511" s="7" t="s">
        <v>7</v>
      </c>
      <c r="E511" s="8">
        <v>0.0</v>
      </c>
    </row>
    <row r="512" hidden="1">
      <c r="A512" s="5">
        <v>511.0</v>
      </c>
      <c r="B512" s="6" t="s">
        <v>798</v>
      </c>
      <c r="C512" s="7" t="s">
        <v>69</v>
      </c>
      <c r="D512" s="7" t="s">
        <v>7</v>
      </c>
      <c r="E512" s="8">
        <v>0.0</v>
      </c>
    </row>
    <row r="513" hidden="1">
      <c r="A513" s="5">
        <v>512.0</v>
      </c>
      <c r="B513" s="6" t="s">
        <v>808</v>
      </c>
      <c r="C513" s="7" t="s">
        <v>48</v>
      </c>
      <c r="D513" s="7" t="s">
        <v>7</v>
      </c>
      <c r="E513" s="8">
        <v>0.0</v>
      </c>
    </row>
    <row r="514">
      <c r="A514" s="5">
        <v>513.0</v>
      </c>
      <c r="B514" s="6" t="s">
        <v>413</v>
      </c>
      <c r="C514" s="7" t="s">
        <v>69</v>
      </c>
      <c r="D514" s="7" t="s">
        <v>16</v>
      </c>
      <c r="E514" s="8">
        <v>0.0</v>
      </c>
    </row>
  </sheetData>
  <autoFilter ref="$A$1:$E$514">
    <filterColumn colId="3">
      <filters>
        <filter val="TE"/>
      </filters>
    </filterColumn>
    <sortState ref="A1:E514">
      <sortCondition ref="B1:B51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22">
        <v>1.0</v>
      </c>
      <c r="B2" s="23" t="s">
        <v>5</v>
      </c>
      <c r="C2" s="24" t="s">
        <v>6</v>
      </c>
      <c r="D2" s="24" t="s">
        <v>7</v>
      </c>
      <c r="E2" s="25">
        <v>64.0</v>
      </c>
    </row>
    <row r="3">
      <c r="A3" s="22">
        <v>2.0</v>
      </c>
      <c r="B3" s="26" t="s">
        <v>28</v>
      </c>
      <c r="C3" s="24" t="s">
        <v>29</v>
      </c>
      <c r="D3" s="24" t="s">
        <v>7</v>
      </c>
      <c r="E3" s="25">
        <v>55.0</v>
      </c>
    </row>
    <row r="4">
      <c r="A4" s="22">
        <v>3.0</v>
      </c>
      <c r="B4" s="26" t="s">
        <v>13</v>
      </c>
      <c r="C4" s="24" t="s">
        <v>14</v>
      </c>
      <c r="D4" s="24" t="s">
        <v>7</v>
      </c>
      <c r="E4" s="25">
        <v>50.0</v>
      </c>
    </row>
    <row r="5">
      <c r="A5" s="22">
        <v>4.0</v>
      </c>
      <c r="B5" s="26" t="s">
        <v>23</v>
      </c>
      <c r="C5" s="24" t="s">
        <v>24</v>
      </c>
      <c r="D5" s="24" t="s">
        <v>25</v>
      </c>
      <c r="E5" s="25">
        <v>48.0</v>
      </c>
    </row>
    <row r="6">
      <c r="A6" s="22">
        <v>5.0</v>
      </c>
      <c r="B6" s="26" t="s">
        <v>21</v>
      </c>
      <c r="C6" s="24" t="s">
        <v>22</v>
      </c>
      <c r="D6" s="24" t="s">
        <v>7</v>
      </c>
      <c r="E6" s="25">
        <v>46.0</v>
      </c>
    </row>
    <row r="7">
      <c r="A7" s="22">
        <v>6.0</v>
      </c>
      <c r="B7" s="26" t="s">
        <v>35</v>
      </c>
      <c r="C7" s="24" t="s">
        <v>9</v>
      </c>
      <c r="D7" s="24" t="s">
        <v>7</v>
      </c>
      <c r="E7" s="25">
        <v>45.0</v>
      </c>
    </row>
    <row r="8">
      <c r="A8" s="22">
        <v>7.0</v>
      </c>
      <c r="B8" s="26" t="s">
        <v>36</v>
      </c>
      <c r="C8" s="24" t="s">
        <v>24</v>
      </c>
      <c r="D8" s="24" t="s">
        <v>7</v>
      </c>
      <c r="E8" s="25">
        <v>44.0</v>
      </c>
    </row>
    <row r="9">
      <c r="A9" s="22">
        <v>8.0</v>
      </c>
      <c r="B9" s="26" t="s">
        <v>55</v>
      </c>
      <c r="C9" s="24" t="s">
        <v>56</v>
      </c>
      <c r="D9" s="24" t="s">
        <v>25</v>
      </c>
      <c r="E9" s="25">
        <v>42.0</v>
      </c>
    </row>
    <row r="10">
      <c r="A10" s="22">
        <v>9.0</v>
      </c>
      <c r="B10" s="26" t="s">
        <v>33</v>
      </c>
      <c r="C10" s="24" t="s">
        <v>34</v>
      </c>
      <c r="D10" s="24" t="s">
        <v>7</v>
      </c>
      <c r="E10" s="25">
        <v>42.0</v>
      </c>
    </row>
    <row r="11">
      <c r="A11" s="22">
        <v>10.0</v>
      </c>
      <c r="B11" s="26" t="s">
        <v>43</v>
      </c>
      <c r="C11" s="24" t="s">
        <v>44</v>
      </c>
      <c r="D11" s="24" t="s">
        <v>25</v>
      </c>
      <c r="E11" s="25">
        <v>41.0</v>
      </c>
    </row>
    <row r="12">
      <c r="A12" s="22">
        <v>11.0</v>
      </c>
      <c r="B12" s="26" t="s">
        <v>17</v>
      </c>
      <c r="C12" s="24" t="s">
        <v>18</v>
      </c>
      <c r="D12" s="24" t="s">
        <v>7</v>
      </c>
      <c r="E12" s="25">
        <v>41.0</v>
      </c>
    </row>
    <row r="13">
      <c r="A13" s="22">
        <v>12.0</v>
      </c>
      <c r="B13" s="26" t="s">
        <v>65</v>
      </c>
      <c r="C13" s="24" t="s">
        <v>56</v>
      </c>
      <c r="D13" s="24" t="s">
        <v>7</v>
      </c>
      <c r="E13" s="25">
        <v>40.0</v>
      </c>
    </row>
    <row r="14">
      <c r="A14" s="22">
        <v>13.0</v>
      </c>
      <c r="B14" s="26" t="s">
        <v>95</v>
      </c>
      <c r="C14" s="24" t="s">
        <v>96</v>
      </c>
      <c r="D14" s="24" t="s">
        <v>7</v>
      </c>
      <c r="E14" s="25">
        <v>38.0</v>
      </c>
    </row>
    <row r="15">
      <c r="A15" s="22">
        <v>14.0</v>
      </c>
      <c r="B15" s="26" t="s">
        <v>41</v>
      </c>
      <c r="C15" s="24" t="s">
        <v>40</v>
      </c>
      <c r="D15" s="24" t="s">
        <v>7</v>
      </c>
      <c r="E15" s="25">
        <v>38.0</v>
      </c>
    </row>
    <row r="16">
      <c r="A16" s="22">
        <v>15.0</v>
      </c>
      <c r="B16" s="26" t="s">
        <v>30</v>
      </c>
      <c r="C16" s="24" t="s">
        <v>9</v>
      </c>
      <c r="D16" s="24" t="s">
        <v>25</v>
      </c>
      <c r="E16" s="25">
        <v>37.0</v>
      </c>
    </row>
    <row r="17">
      <c r="A17" s="22">
        <v>16.0</v>
      </c>
      <c r="B17" s="26" t="s">
        <v>53</v>
      </c>
      <c r="C17" s="24" t="s">
        <v>54</v>
      </c>
      <c r="D17" s="24" t="s">
        <v>7</v>
      </c>
      <c r="E17" s="25">
        <v>37.0</v>
      </c>
    </row>
    <row r="18">
      <c r="A18" s="22">
        <v>17.0</v>
      </c>
      <c r="B18" s="26" t="s">
        <v>88</v>
      </c>
      <c r="C18" s="24" t="s">
        <v>1007</v>
      </c>
      <c r="D18" s="24" t="s">
        <v>7</v>
      </c>
      <c r="E18" s="25">
        <v>37.0</v>
      </c>
    </row>
    <row r="19">
      <c r="A19" s="22">
        <v>18.0</v>
      </c>
      <c r="B19" s="26" t="s">
        <v>68</v>
      </c>
      <c r="C19" s="24" t="s">
        <v>69</v>
      </c>
      <c r="D19" s="24" t="s">
        <v>25</v>
      </c>
      <c r="E19" s="25">
        <v>36.0</v>
      </c>
    </row>
    <row r="20">
      <c r="A20" s="22">
        <v>19.0</v>
      </c>
      <c r="B20" s="26" t="s">
        <v>46</v>
      </c>
      <c r="C20" s="24" t="s">
        <v>38</v>
      </c>
      <c r="D20" s="24" t="s">
        <v>25</v>
      </c>
      <c r="E20" s="25">
        <v>36.0</v>
      </c>
    </row>
    <row r="21">
      <c r="A21" s="22">
        <v>20.0</v>
      </c>
      <c r="B21" s="26" t="s">
        <v>60</v>
      </c>
      <c r="C21" s="24" t="s">
        <v>61</v>
      </c>
      <c r="D21" s="24" t="s">
        <v>7</v>
      </c>
      <c r="E21" s="25">
        <v>36.0</v>
      </c>
    </row>
    <row r="22">
      <c r="A22" s="22">
        <v>21.0</v>
      </c>
      <c r="B22" s="26" t="s">
        <v>31</v>
      </c>
      <c r="C22" s="24" t="s">
        <v>32</v>
      </c>
      <c r="D22" s="24" t="s">
        <v>7</v>
      </c>
      <c r="E22" s="25">
        <v>36.0</v>
      </c>
    </row>
    <row r="23">
      <c r="A23" s="22">
        <v>22.0</v>
      </c>
      <c r="B23" s="13" t="s">
        <v>133</v>
      </c>
      <c r="C23" s="24" t="s">
        <v>134</v>
      </c>
      <c r="D23" s="24" t="s">
        <v>7</v>
      </c>
      <c r="E23" s="25">
        <v>35.0</v>
      </c>
    </row>
    <row r="24">
      <c r="A24" s="22">
        <v>23.0</v>
      </c>
      <c r="B24" s="26" t="s">
        <v>84</v>
      </c>
      <c r="C24" s="24" t="s">
        <v>74</v>
      </c>
      <c r="D24" s="24" t="s">
        <v>7</v>
      </c>
      <c r="E24" s="25">
        <v>35.0</v>
      </c>
    </row>
    <row r="25">
      <c r="A25" s="22">
        <v>24.0</v>
      </c>
      <c r="B25" s="26" t="s">
        <v>66</v>
      </c>
      <c r="C25" s="24" t="s">
        <v>14</v>
      </c>
      <c r="D25" s="24" t="s">
        <v>25</v>
      </c>
      <c r="E25" s="25">
        <v>34.0</v>
      </c>
    </row>
    <row r="26">
      <c r="A26" s="22">
        <v>25.0</v>
      </c>
      <c r="B26" s="26" t="s">
        <v>51</v>
      </c>
      <c r="C26" s="24" t="s">
        <v>1007</v>
      </c>
      <c r="D26" s="24" t="s">
        <v>25</v>
      </c>
      <c r="E26" s="25">
        <v>33.0</v>
      </c>
    </row>
    <row r="27">
      <c r="A27" s="22">
        <v>26.0</v>
      </c>
      <c r="B27" s="26" t="s">
        <v>1008</v>
      </c>
      <c r="C27" s="24" t="s">
        <v>6</v>
      </c>
      <c r="D27" s="24" t="s">
        <v>25</v>
      </c>
      <c r="E27" s="25">
        <v>32.0</v>
      </c>
    </row>
    <row r="28">
      <c r="A28" s="22">
        <v>27.0</v>
      </c>
      <c r="B28" s="26" t="s">
        <v>97</v>
      </c>
      <c r="C28" s="24" t="s">
        <v>233</v>
      </c>
      <c r="D28" s="24" t="s">
        <v>25</v>
      </c>
      <c r="E28" s="25">
        <v>31.0</v>
      </c>
    </row>
    <row r="29">
      <c r="A29" s="22">
        <v>28.0</v>
      </c>
      <c r="B29" s="26" t="s">
        <v>112</v>
      </c>
      <c r="C29" s="24" t="s">
        <v>59</v>
      </c>
      <c r="D29" s="24" t="s">
        <v>7</v>
      </c>
      <c r="E29" s="25">
        <v>31.0</v>
      </c>
    </row>
    <row r="30">
      <c r="A30" s="22">
        <v>29.0</v>
      </c>
      <c r="B30" s="26" t="s">
        <v>89</v>
      </c>
      <c r="C30" s="24" t="s">
        <v>233</v>
      </c>
      <c r="D30" s="24" t="s">
        <v>25</v>
      </c>
      <c r="E30" s="25">
        <v>30.0</v>
      </c>
    </row>
    <row r="31">
      <c r="A31" s="22">
        <v>30.0</v>
      </c>
      <c r="B31" s="26" t="s">
        <v>67</v>
      </c>
      <c r="C31" s="24" t="s">
        <v>20</v>
      </c>
      <c r="D31" s="24" t="s">
        <v>7</v>
      </c>
      <c r="E31" s="25">
        <v>30.0</v>
      </c>
    </row>
    <row r="32">
      <c r="A32" s="22">
        <v>31.0</v>
      </c>
      <c r="B32" s="26" t="s">
        <v>57</v>
      </c>
      <c r="C32" s="24" t="s">
        <v>22</v>
      </c>
      <c r="D32" s="24" t="s">
        <v>25</v>
      </c>
      <c r="E32" s="25">
        <v>29.0</v>
      </c>
    </row>
    <row r="33">
      <c r="A33" s="22">
        <v>32.0</v>
      </c>
      <c r="B33" s="26" t="s">
        <v>1031</v>
      </c>
      <c r="C33" s="24" t="s">
        <v>1032</v>
      </c>
      <c r="D33" s="24" t="s">
        <v>25</v>
      </c>
      <c r="E33" s="25">
        <v>29.0</v>
      </c>
    </row>
    <row r="34">
      <c r="A34" s="22">
        <v>33.0</v>
      </c>
      <c r="B34" s="27" t="s">
        <v>76</v>
      </c>
      <c r="C34" s="24" t="s">
        <v>77</v>
      </c>
      <c r="D34" s="24" t="s">
        <v>25</v>
      </c>
      <c r="E34" s="25">
        <v>29.0</v>
      </c>
    </row>
    <row r="35">
      <c r="A35" s="22">
        <v>34.0</v>
      </c>
      <c r="B35" s="26" t="s">
        <v>37</v>
      </c>
      <c r="C35" s="24" t="s">
        <v>38</v>
      </c>
      <c r="D35" s="24" t="s">
        <v>25</v>
      </c>
      <c r="E35" s="25">
        <v>29.0</v>
      </c>
    </row>
    <row r="36">
      <c r="A36" s="22">
        <v>35.0</v>
      </c>
      <c r="B36" s="26" t="s">
        <v>80</v>
      </c>
      <c r="C36" s="24" t="s">
        <v>44</v>
      </c>
      <c r="D36" s="24" t="s">
        <v>25</v>
      </c>
      <c r="E36" s="25">
        <v>27.0</v>
      </c>
    </row>
    <row r="37">
      <c r="A37" s="22">
        <v>36.0</v>
      </c>
      <c r="B37" s="26" t="s">
        <v>83</v>
      </c>
      <c r="C37" s="24" t="s">
        <v>54</v>
      </c>
      <c r="D37" s="24" t="s">
        <v>25</v>
      </c>
      <c r="E37" s="25">
        <v>27.0</v>
      </c>
    </row>
    <row r="38">
      <c r="A38" s="22">
        <v>37.0</v>
      </c>
      <c r="B38" s="26" t="s">
        <v>11</v>
      </c>
      <c r="C38" s="24" t="s">
        <v>12</v>
      </c>
      <c r="D38" s="24" t="s">
        <v>10</v>
      </c>
      <c r="E38" s="25">
        <v>27.0</v>
      </c>
    </row>
    <row r="39">
      <c r="A39" s="22">
        <v>38.0</v>
      </c>
      <c r="B39" s="26" t="s">
        <v>152</v>
      </c>
      <c r="C39" s="24" t="s">
        <v>12</v>
      </c>
      <c r="D39" s="24" t="s">
        <v>7</v>
      </c>
      <c r="E39" s="25">
        <v>27.0</v>
      </c>
    </row>
    <row r="40">
      <c r="A40" s="22">
        <v>39.0</v>
      </c>
      <c r="B40" s="28" t="s">
        <v>118</v>
      </c>
      <c r="C40" s="29" t="s">
        <v>1032</v>
      </c>
      <c r="D40" s="29" t="s">
        <v>7</v>
      </c>
      <c r="E40" s="25">
        <v>27.0</v>
      </c>
    </row>
    <row r="41">
      <c r="A41" s="22">
        <v>40.0</v>
      </c>
      <c r="B41" s="26" t="s">
        <v>79</v>
      </c>
      <c r="C41" s="24" t="s">
        <v>34</v>
      </c>
      <c r="D41" s="24" t="s">
        <v>25</v>
      </c>
      <c r="E41" s="25">
        <v>26.0</v>
      </c>
    </row>
    <row r="42">
      <c r="A42" s="22">
        <v>41.0</v>
      </c>
      <c r="B42" s="26" t="s">
        <v>15</v>
      </c>
      <c r="C42" s="24" t="s">
        <v>9</v>
      </c>
      <c r="D42" s="24" t="s">
        <v>16</v>
      </c>
      <c r="E42" s="25">
        <v>26.0</v>
      </c>
    </row>
    <row r="43">
      <c r="A43" s="22">
        <v>42.0</v>
      </c>
      <c r="B43" s="26" t="s">
        <v>122</v>
      </c>
      <c r="C43" s="24" t="s">
        <v>48</v>
      </c>
      <c r="D43" s="24" t="s">
        <v>7</v>
      </c>
      <c r="E43" s="25">
        <v>26.0</v>
      </c>
    </row>
    <row r="44">
      <c r="A44" s="22">
        <v>43.0</v>
      </c>
      <c r="B44" s="26" t="s">
        <v>116</v>
      </c>
      <c r="C44" s="24" t="s">
        <v>27</v>
      </c>
      <c r="D44" s="24" t="s">
        <v>7</v>
      </c>
      <c r="E44" s="25">
        <v>25.0</v>
      </c>
    </row>
    <row r="45">
      <c r="A45" s="22">
        <v>44.0</v>
      </c>
      <c r="B45" s="26" t="s">
        <v>1010</v>
      </c>
      <c r="C45" s="24" t="s">
        <v>38</v>
      </c>
      <c r="D45" s="24" t="s">
        <v>7</v>
      </c>
      <c r="E45" s="25">
        <v>25.0</v>
      </c>
    </row>
    <row r="46">
      <c r="A46" s="22">
        <v>45.0</v>
      </c>
      <c r="B46" s="26" t="s">
        <v>62</v>
      </c>
      <c r="C46" s="24" t="s">
        <v>63</v>
      </c>
      <c r="D46" s="24" t="s">
        <v>25</v>
      </c>
      <c r="E46" s="25">
        <v>24.0</v>
      </c>
    </row>
    <row r="47">
      <c r="A47" s="22">
        <v>46.0</v>
      </c>
      <c r="B47" s="26" t="s">
        <v>82</v>
      </c>
      <c r="C47" s="24" t="s">
        <v>44</v>
      </c>
      <c r="D47" s="24" t="s">
        <v>7</v>
      </c>
      <c r="E47" s="25">
        <v>24.0</v>
      </c>
    </row>
    <row r="48">
      <c r="A48" s="22">
        <v>47.0</v>
      </c>
      <c r="B48" s="26" t="s">
        <v>101</v>
      </c>
      <c r="C48" s="24" t="s">
        <v>102</v>
      </c>
      <c r="D48" s="24" t="s">
        <v>25</v>
      </c>
      <c r="E48" s="25">
        <v>23.0</v>
      </c>
    </row>
    <row r="49">
      <c r="A49" s="22">
        <v>48.0</v>
      </c>
      <c r="B49" s="26" t="s">
        <v>91</v>
      </c>
      <c r="C49" s="24" t="s">
        <v>92</v>
      </c>
      <c r="D49" s="24" t="s">
        <v>25</v>
      </c>
      <c r="E49" s="25">
        <v>23.0</v>
      </c>
    </row>
    <row r="50">
      <c r="A50" s="22">
        <v>49.0</v>
      </c>
      <c r="B50" s="26" t="s">
        <v>142</v>
      </c>
      <c r="C50" s="24" t="s">
        <v>77</v>
      </c>
      <c r="D50" s="24" t="s">
        <v>7</v>
      </c>
      <c r="E50" s="25">
        <v>23.0</v>
      </c>
    </row>
    <row r="51">
      <c r="A51" s="22">
        <v>50.0</v>
      </c>
      <c r="B51" s="26" t="s">
        <v>58</v>
      </c>
      <c r="C51" s="24" t="s">
        <v>59</v>
      </c>
      <c r="D51" s="24" t="s">
        <v>25</v>
      </c>
      <c r="E51" s="25">
        <v>22.0</v>
      </c>
    </row>
    <row r="52">
      <c r="A52" s="22">
        <v>51.0</v>
      </c>
      <c r="B52" s="26" t="s">
        <v>64</v>
      </c>
      <c r="C52" s="24" t="s">
        <v>40</v>
      </c>
      <c r="D52" s="24" t="s">
        <v>25</v>
      </c>
      <c r="E52" s="25">
        <v>22.0</v>
      </c>
    </row>
    <row r="53">
      <c r="A53" s="22">
        <v>52.0</v>
      </c>
      <c r="B53" s="26" t="s">
        <v>73</v>
      </c>
      <c r="C53" s="24" t="s">
        <v>74</v>
      </c>
      <c r="D53" s="24" t="s">
        <v>25</v>
      </c>
      <c r="E53" s="25">
        <v>22.0</v>
      </c>
    </row>
    <row r="54">
      <c r="A54" s="22">
        <v>53.0</v>
      </c>
      <c r="B54" s="26" t="s">
        <v>8</v>
      </c>
      <c r="C54" s="24" t="s">
        <v>9</v>
      </c>
      <c r="D54" s="24" t="s">
        <v>10</v>
      </c>
      <c r="E54" s="25">
        <v>22.0</v>
      </c>
    </row>
    <row r="55">
      <c r="A55" s="22">
        <v>54.0</v>
      </c>
      <c r="B55" s="26" t="s">
        <v>26</v>
      </c>
      <c r="C55" s="24" t="s">
        <v>27</v>
      </c>
      <c r="D55" s="24" t="s">
        <v>16</v>
      </c>
      <c r="E55" s="25">
        <v>22.0</v>
      </c>
    </row>
    <row r="56">
      <c r="A56" s="22">
        <v>55.0</v>
      </c>
      <c r="B56" s="27" t="s">
        <v>117</v>
      </c>
      <c r="C56" s="24" t="s">
        <v>63</v>
      </c>
      <c r="D56" s="24" t="s">
        <v>7</v>
      </c>
      <c r="E56" s="25">
        <v>22.0</v>
      </c>
    </row>
    <row r="57">
      <c r="A57" s="22">
        <v>56.0</v>
      </c>
      <c r="B57" s="26" t="s">
        <v>110</v>
      </c>
      <c r="C57" s="24" t="s">
        <v>96</v>
      </c>
      <c r="D57" s="24" t="s">
        <v>25</v>
      </c>
      <c r="E57" s="25">
        <v>20.0</v>
      </c>
    </row>
    <row r="58">
      <c r="A58" s="22">
        <v>57.0</v>
      </c>
      <c r="B58" s="26" t="s">
        <v>42</v>
      </c>
      <c r="C58" s="24" t="s">
        <v>12</v>
      </c>
      <c r="D58" s="24" t="s">
        <v>16</v>
      </c>
      <c r="E58" s="25">
        <v>20.0</v>
      </c>
    </row>
    <row r="59">
      <c r="A59" s="22">
        <v>58.0</v>
      </c>
      <c r="B59" s="26" t="s">
        <v>164</v>
      </c>
      <c r="C59" s="24" t="s">
        <v>233</v>
      </c>
      <c r="D59" s="24" t="s">
        <v>7</v>
      </c>
      <c r="E59" s="25">
        <v>20.0</v>
      </c>
    </row>
    <row r="60">
      <c r="A60" s="22">
        <v>59.0</v>
      </c>
      <c r="B60" s="26" t="s">
        <v>106</v>
      </c>
      <c r="C60" s="24" t="s">
        <v>48</v>
      </c>
      <c r="D60" s="24" t="s">
        <v>25</v>
      </c>
      <c r="E60" s="25">
        <v>19.0</v>
      </c>
    </row>
    <row r="61">
      <c r="A61" s="22">
        <v>60.0</v>
      </c>
      <c r="B61" s="26" t="s">
        <v>93</v>
      </c>
      <c r="C61" s="24" t="s">
        <v>14</v>
      </c>
      <c r="D61" s="24" t="s">
        <v>25</v>
      </c>
      <c r="E61" s="25">
        <v>19.0</v>
      </c>
    </row>
    <row r="62">
      <c r="A62" s="22">
        <v>61.0</v>
      </c>
      <c r="B62" s="26" t="s">
        <v>108</v>
      </c>
      <c r="C62" s="24" t="s">
        <v>12</v>
      </c>
      <c r="D62" s="24" t="s">
        <v>25</v>
      </c>
      <c r="E62" s="25">
        <v>19.0</v>
      </c>
    </row>
    <row r="63">
      <c r="A63" s="22">
        <v>62.0</v>
      </c>
      <c r="B63" s="26" t="s">
        <v>123</v>
      </c>
      <c r="C63" s="24" t="s">
        <v>61</v>
      </c>
      <c r="D63" s="24" t="s">
        <v>25</v>
      </c>
      <c r="E63" s="25">
        <v>19.0</v>
      </c>
    </row>
    <row r="64">
      <c r="A64" s="22">
        <v>63.0</v>
      </c>
      <c r="B64" s="26" t="s">
        <v>111</v>
      </c>
      <c r="C64" s="24" t="s">
        <v>69</v>
      </c>
      <c r="D64" s="24" t="s">
        <v>25</v>
      </c>
      <c r="E64" s="25">
        <v>19.0</v>
      </c>
    </row>
    <row r="65">
      <c r="A65" s="22">
        <v>64.0</v>
      </c>
      <c r="B65" s="26" t="s">
        <v>45</v>
      </c>
      <c r="C65" s="24" t="s">
        <v>14</v>
      </c>
      <c r="D65" s="24" t="s">
        <v>10</v>
      </c>
      <c r="E65" s="25">
        <v>18.0</v>
      </c>
    </row>
    <row r="66">
      <c r="A66" s="22">
        <v>65.0</v>
      </c>
      <c r="B66" s="26" t="s">
        <v>87</v>
      </c>
      <c r="C66" s="24" t="s">
        <v>1007</v>
      </c>
      <c r="D66" s="24" t="s">
        <v>10</v>
      </c>
      <c r="E66" s="25">
        <v>17.0</v>
      </c>
    </row>
    <row r="67">
      <c r="A67" s="22">
        <v>66.0</v>
      </c>
      <c r="B67" s="26" t="s">
        <v>75</v>
      </c>
      <c r="C67" s="24" t="s">
        <v>40</v>
      </c>
      <c r="D67" s="24" t="s">
        <v>25</v>
      </c>
      <c r="E67" s="25">
        <v>16.0</v>
      </c>
    </row>
    <row r="68">
      <c r="A68" s="22">
        <v>67.0</v>
      </c>
      <c r="B68" s="26" t="s">
        <v>98</v>
      </c>
      <c r="C68" s="24" t="s">
        <v>54</v>
      </c>
      <c r="D68" s="24" t="s">
        <v>25</v>
      </c>
      <c r="E68" s="25">
        <v>15.0</v>
      </c>
    </row>
    <row r="69">
      <c r="A69" s="22">
        <v>68.0</v>
      </c>
      <c r="B69" s="26" t="s">
        <v>19</v>
      </c>
      <c r="C69" s="24" t="s">
        <v>20</v>
      </c>
      <c r="D69" s="24" t="s">
        <v>10</v>
      </c>
      <c r="E69" s="25">
        <v>15.0</v>
      </c>
    </row>
    <row r="70">
      <c r="A70" s="22">
        <v>69.0</v>
      </c>
      <c r="B70" s="26" t="s">
        <v>50</v>
      </c>
      <c r="C70" s="24" t="s">
        <v>32</v>
      </c>
      <c r="D70" s="24" t="s">
        <v>16</v>
      </c>
      <c r="E70" s="25">
        <v>15.0</v>
      </c>
    </row>
    <row r="71">
      <c r="A71" s="22">
        <v>70.0</v>
      </c>
      <c r="B71" s="26" t="s">
        <v>293</v>
      </c>
      <c r="C71" s="24" t="s">
        <v>102</v>
      </c>
      <c r="D71" s="24" t="s">
        <v>7</v>
      </c>
      <c r="E71" s="25">
        <v>15.0</v>
      </c>
    </row>
    <row r="72">
      <c r="A72" s="22">
        <v>71.0</v>
      </c>
      <c r="B72" s="26" t="s">
        <v>39</v>
      </c>
      <c r="C72" s="24" t="s">
        <v>40</v>
      </c>
      <c r="D72" s="24" t="s">
        <v>10</v>
      </c>
      <c r="E72" s="25">
        <v>14.0</v>
      </c>
    </row>
    <row r="73">
      <c r="A73" s="22">
        <v>72.0</v>
      </c>
      <c r="B73" s="26" t="s">
        <v>49</v>
      </c>
      <c r="C73" s="24" t="s">
        <v>18</v>
      </c>
      <c r="D73" s="24" t="s">
        <v>16</v>
      </c>
      <c r="E73" s="25">
        <v>14.0</v>
      </c>
    </row>
    <row r="74">
      <c r="A74" s="22">
        <v>73.0</v>
      </c>
      <c r="B74" s="26" t="s">
        <v>292</v>
      </c>
      <c r="C74" s="24" t="s">
        <v>54</v>
      </c>
      <c r="D74" s="24" t="s">
        <v>7</v>
      </c>
      <c r="E74" s="25">
        <v>14.0</v>
      </c>
    </row>
    <row r="75">
      <c r="A75" s="22">
        <v>74.0</v>
      </c>
      <c r="B75" s="26" t="s">
        <v>131</v>
      </c>
      <c r="C75" s="24" t="s">
        <v>29</v>
      </c>
      <c r="D75" s="24" t="s">
        <v>25</v>
      </c>
      <c r="E75" s="25">
        <v>12.0</v>
      </c>
    </row>
    <row r="76">
      <c r="A76" s="22">
        <v>75.0</v>
      </c>
      <c r="B76" s="26" t="s">
        <v>113</v>
      </c>
      <c r="C76" s="24" t="s">
        <v>86</v>
      </c>
      <c r="D76" s="24" t="s">
        <v>25</v>
      </c>
      <c r="E76" s="25">
        <v>12.0</v>
      </c>
    </row>
    <row r="77">
      <c r="A77" s="22">
        <v>76.0</v>
      </c>
      <c r="B77" s="26" t="s">
        <v>99</v>
      </c>
      <c r="C77" s="24" t="s">
        <v>24</v>
      </c>
      <c r="D77" s="24" t="s">
        <v>10</v>
      </c>
      <c r="E77" s="25">
        <v>12.0</v>
      </c>
    </row>
    <row r="78">
      <c r="A78" s="22">
        <v>77.0</v>
      </c>
      <c r="B78" s="26" t="s">
        <v>253</v>
      </c>
      <c r="C78" s="24" t="s">
        <v>63</v>
      </c>
      <c r="D78" s="24" t="s">
        <v>7</v>
      </c>
      <c r="E78" s="25">
        <v>12.0</v>
      </c>
    </row>
    <row r="79">
      <c r="A79" s="22">
        <v>78.0</v>
      </c>
      <c r="B79" s="26" t="s">
        <v>151</v>
      </c>
      <c r="C79" s="24" t="s">
        <v>134</v>
      </c>
      <c r="D79" s="24" t="s">
        <v>25</v>
      </c>
      <c r="E79" s="25">
        <v>11.0</v>
      </c>
    </row>
    <row r="80">
      <c r="A80" s="22">
        <v>79.0</v>
      </c>
      <c r="B80" s="26" t="s">
        <v>646</v>
      </c>
      <c r="C80" s="24" t="s">
        <v>27</v>
      </c>
      <c r="D80" s="24" t="s">
        <v>25</v>
      </c>
      <c r="E80" s="25">
        <v>11.0</v>
      </c>
    </row>
    <row r="81">
      <c r="A81" s="22">
        <v>80.0</v>
      </c>
      <c r="B81" s="26" t="s">
        <v>47</v>
      </c>
      <c r="C81" s="24" t="s">
        <v>48</v>
      </c>
      <c r="D81" s="24" t="s">
        <v>10</v>
      </c>
      <c r="E81" s="25">
        <v>11.0</v>
      </c>
    </row>
    <row r="82">
      <c r="A82" s="22">
        <v>81.0</v>
      </c>
      <c r="B82" s="26" t="s">
        <v>94</v>
      </c>
      <c r="C82" s="24" t="s">
        <v>24</v>
      </c>
      <c r="D82" s="24" t="s">
        <v>16</v>
      </c>
      <c r="E82" s="25">
        <v>11.0</v>
      </c>
    </row>
    <row r="83">
      <c r="A83" s="22">
        <v>82.0</v>
      </c>
      <c r="B83" s="26" t="s">
        <v>287</v>
      </c>
      <c r="C83" s="24" t="s">
        <v>27</v>
      </c>
      <c r="D83" s="24" t="s">
        <v>7</v>
      </c>
      <c r="E83" s="25">
        <v>11.0</v>
      </c>
    </row>
    <row r="84">
      <c r="A84" s="22">
        <v>83.0</v>
      </c>
      <c r="B84" s="26" t="s">
        <v>336</v>
      </c>
      <c r="C84" s="24" t="s">
        <v>102</v>
      </c>
      <c r="D84" s="24" t="s">
        <v>7</v>
      </c>
      <c r="E84" s="25">
        <v>11.0</v>
      </c>
    </row>
    <row r="85">
      <c r="A85" s="22">
        <v>84.0</v>
      </c>
      <c r="B85" s="26" t="s">
        <v>359</v>
      </c>
      <c r="C85" s="24" t="s">
        <v>92</v>
      </c>
      <c r="D85" s="24" t="s">
        <v>7</v>
      </c>
      <c r="E85" s="25">
        <v>10.0</v>
      </c>
    </row>
    <row r="86">
      <c r="A86" s="22">
        <v>85.0</v>
      </c>
      <c r="B86" s="26" t="s">
        <v>137</v>
      </c>
      <c r="C86" s="24" t="s">
        <v>61</v>
      </c>
      <c r="D86" s="24" t="s">
        <v>25</v>
      </c>
      <c r="E86" s="25">
        <v>9.0</v>
      </c>
    </row>
    <row r="87">
      <c r="A87" s="22">
        <v>86.0</v>
      </c>
      <c r="B87" s="26" t="s">
        <v>124</v>
      </c>
      <c r="C87" s="24" t="s">
        <v>20</v>
      </c>
      <c r="D87" s="24" t="s">
        <v>25</v>
      </c>
      <c r="E87" s="25">
        <v>9.0</v>
      </c>
    </row>
    <row r="88">
      <c r="A88" s="22">
        <v>87.0</v>
      </c>
      <c r="B88" s="26" t="s">
        <v>72</v>
      </c>
      <c r="C88" s="24" t="s">
        <v>32</v>
      </c>
      <c r="D88" s="24" t="s">
        <v>10</v>
      </c>
      <c r="E88" s="25">
        <v>9.0</v>
      </c>
    </row>
    <row r="89">
      <c r="A89" s="22">
        <v>88.0</v>
      </c>
      <c r="B89" s="26" t="s">
        <v>1033</v>
      </c>
      <c r="C89" s="24" t="s">
        <v>69</v>
      </c>
      <c r="D89" s="24" t="s">
        <v>7</v>
      </c>
      <c r="E89" s="25">
        <v>9.0</v>
      </c>
    </row>
    <row r="90">
      <c r="A90" s="22">
        <v>89.0</v>
      </c>
      <c r="B90" s="26" t="s">
        <v>323</v>
      </c>
      <c r="C90" s="24" t="s">
        <v>77</v>
      </c>
      <c r="D90" s="24" t="s">
        <v>7</v>
      </c>
      <c r="E90" s="25">
        <v>9.0</v>
      </c>
    </row>
    <row r="91">
      <c r="A91" s="22">
        <v>90.0</v>
      </c>
      <c r="B91" s="26" t="s">
        <v>312</v>
      </c>
      <c r="C91" s="24" t="s">
        <v>86</v>
      </c>
      <c r="D91" s="24" t="s">
        <v>7</v>
      </c>
      <c r="E91" s="25">
        <v>8.0</v>
      </c>
    </row>
    <row r="92">
      <c r="A92" s="22">
        <v>91.0</v>
      </c>
      <c r="B92" s="26" t="s">
        <v>155</v>
      </c>
      <c r="C92" s="24" t="s">
        <v>29</v>
      </c>
      <c r="D92" s="24" t="s">
        <v>25</v>
      </c>
      <c r="E92" s="25">
        <v>7.0</v>
      </c>
    </row>
    <row r="93">
      <c r="A93" s="22">
        <v>92.0</v>
      </c>
      <c r="B93" s="26" t="s">
        <v>156</v>
      </c>
      <c r="C93" s="24" t="s">
        <v>29</v>
      </c>
      <c r="D93" s="24" t="s">
        <v>25</v>
      </c>
      <c r="E93" s="25">
        <v>7.0</v>
      </c>
    </row>
    <row r="94">
      <c r="A94" s="22">
        <v>93.0</v>
      </c>
      <c r="B94" s="26" t="s">
        <v>138</v>
      </c>
      <c r="C94" s="24" t="s">
        <v>24</v>
      </c>
      <c r="D94" s="24" t="s">
        <v>25</v>
      </c>
      <c r="E94" s="25">
        <v>7.0</v>
      </c>
    </row>
    <row r="95">
      <c r="A95" s="22">
        <v>94.0</v>
      </c>
      <c r="B95" s="26" t="s">
        <v>145</v>
      </c>
      <c r="C95" s="24" t="s">
        <v>69</v>
      </c>
      <c r="D95" s="24" t="s">
        <v>10</v>
      </c>
      <c r="E95" s="25">
        <v>7.0</v>
      </c>
    </row>
    <row r="96">
      <c r="A96" s="22">
        <v>95.0</v>
      </c>
      <c r="B96" s="26" t="s">
        <v>129</v>
      </c>
      <c r="C96" s="24" t="s">
        <v>102</v>
      </c>
      <c r="D96" s="24" t="s">
        <v>16</v>
      </c>
      <c r="E96" s="25">
        <v>7.0</v>
      </c>
    </row>
    <row r="97">
      <c r="A97" s="22">
        <v>96.0</v>
      </c>
      <c r="B97" s="26" t="s">
        <v>278</v>
      </c>
      <c r="C97" s="24" t="s">
        <v>69</v>
      </c>
      <c r="D97" s="24" t="s">
        <v>7</v>
      </c>
      <c r="E97" s="25">
        <v>7.0</v>
      </c>
    </row>
    <row r="98">
      <c r="A98" s="22">
        <v>97.0</v>
      </c>
      <c r="B98" s="26" t="s">
        <v>277</v>
      </c>
      <c r="C98" s="24" t="s">
        <v>48</v>
      </c>
      <c r="D98" s="24" t="s">
        <v>7</v>
      </c>
      <c r="E98" s="25">
        <v>7.0</v>
      </c>
    </row>
    <row r="99">
      <c r="A99" s="22">
        <v>98.0</v>
      </c>
      <c r="B99" s="26" t="s">
        <v>109</v>
      </c>
      <c r="C99" s="24" t="s">
        <v>20</v>
      </c>
      <c r="D99" s="24" t="s">
        <v>25</v>
      </c>
      <c r="E99" s="25">
        <v>6.0</v>
      </c>
    </row>
    <row r="100">
      <c r="A100" s="22">
        <v>99.0</v>
      </c>
      <c r="B100" s="26" t="s">
        <v>157</v>
      </c>
      <c r="C100" s="24" t="s">
        <v>134</v>
      </c>
      <c r="D100" s="24" t="s">
        <v>25</v>
      </c>
      <c r="E100" s="25">
        <v>6.0</v>
      </c>
    </row>
    <row r="101">
      <c r="A101" s="22">
        <v>100.0</v>
      </c>
      <c r="B101" s="26" t="s">
        <v>146</v>
      </c>
      <c r="C101" s="24" t="s">
        <v>102</v>
      </c>
      <c r="D101" s="24" t="s">
        <v>25</v>
      </c>
      <c r="E101" s="25">
        <v>6.0</v>
      </c>
    </row>
    <row r="102">
      <c r="A102" s="22">
        <v>101.0</v>
      </c>
      <c r="B102" s="26" t="s">
        <v>105</v>
      </c>
      <c r="C102" s="24" t="s">
        <v>29</v>
      </c>
      <c r="D102" s="24" t="s">
        <v>16</v>
      </c>
      <c r="E102" s="25">
        <v>6.0</v>
      </c>
    </row>
    <row r="103">
      <c r="A103" s="22">
        <v>102.0</v>
      </c>
      <c r="B103" s="26" t="s">
        <v>121</v>
      </c>
      <c r="C103" s="24" t="s">
        <v>59</v>
      </c>
      <c r="D103" s="24" t="s">
        <v>25</v>
      </c>
      <c r="E103" s="25">
        <v>5.0</v>
      </c>
    </row>
    <row r="104">
      <c r="A104" s="22">
        <v>103.0</v>
      </c>
      <c r="B104" s="26" t="s">
        <v>163</v>
      </c>
      <c r="C104" s="24" t="s">
        <v>63</v>
      </c>
      <c r="D104" s="24" t="s">
        <v>25</v>
      </c>
      <c r="E104" s="25">
        <v>5.0</v>
      </c>
    </row>
    <row r="105">
      <c r="A105" s="22">
        <v>104.0</v>
      </c>
      <c r="B105" s="26" t="s">
        <v>85</v>
      </c>
      <c r="C105" s="24" t="s">
        <v>86</v>
      </c>
      <c r="D105" s="24" t="s">
        <v>10</v>
      </c>
      <c r="E105" s="25">
        <v>5.0</v>
      </c>
    </row>
    <row r="106">
      <c r="A106" s="22">
        <v>105.0</v>
      </c>
      <c r="B106" s="26" t="s">
        <v>107</v>
      </c>
      <c r="C106" s="24" t="s">
        <v>233</v>
      </c>
      <c r="D106" s="24" t="s">
        <v>16</v>
      </c>
      <c r="E106" s="25">
        <v>5.0</v>
      </c>
    </row>
    <row r="107">
      <c r="A107" s="22">
        <v>106.0</v>
      </c>
      <c r="B107" s="26" t="s">
        <v>329</v>
      </c>
      <c r="C107" s="24" t="s">
        <v>32</v>
      </c>
      <c r="D107" s="24" t="s">
        <v>7</v>
      </c>
      <c r="E107" s="25">
        <v>5.0</v>
      </c>
    </row>
    <row r="108">
      <c r="A108" s="22">
        <v>107.0</v>
      </c>
      <c r="B108" s="26" t="s">
        <v>352</v>
      </c>
      <c r="C108" s="24" t="s">
        <v>74</v>
      </c>
      <c r="D108" s="24" t="s">
        <v>7</v>
      </c>
      <c r="E108" s="25">
        <v>5.0</v>
      </c>
    </row>
    <row r="109">
      <c r="A109" s="22">
        <v>108.0</v>
      </c>
      <c r="B109" s="26" t="s">
        <v>251</v>
      </c>
      <c r="C109" s="24" t="s">
        <v>77</v>
      </c>
      <c r="D109" s="24" t="s">
        <v>25</v>
      </c>
      <c r="E109" s="25">
        <v>4.0</v>
      </c>
    </row>
    <row r="110">
      <c r="A110" s="22">
        <v>109.0</v>
      </c>
      <c r="B110" s="26" t="s">
        <v>127</v>
      </c>
      <c r="C110" s="24" t="s">
        <v>56</v>
      </c>
      <c r="D110" s="24" t="s">
        <v>10</v>
      </c>
      <c r="E110" s="25">
        <v>4.0</v>
      </c>
    </row>
    <row r="111">
      <c r="A111" s="22">
        <v>110.0</v>
      </c>
      <c r="B111" s="26" t="s">
        <v>70</v>
      </c>
      <c r="C111" s="24" t="s">
        <v>38</v>
      </c>
      <c r="D111" s="24" t="s">
        <v>10</v>
      </c>
      <c r="E111" s="25">
        <v>4.0</v>
      </c>
    </row>
    <row r="112">
      <c r="A112" s="22">
        <v>111.0</v>
      </c>
      <c r="B112" s="26" t="s">
        <v>126</v>
      </c>
      <c r="C112" s="24" t="s">
        <v>6</v>
      </c>
      <c r="D112" s="24" t="s">
        <v>25</v>
      </c>
      <c r="E112" s="25">
        <v>3.0</v>
      </c>
    </row>
    <row r="113">
      <c r="A113" s="22">
        <v>112.0</v>
      </c>
      <c r="B113" s="26" t="s">
        <v>154</v>
      </c>
      <c r="C113" s="24" t="s">
        <v>96</v>
      </c>
      <c r="D113" s="24" t="s">
        <v>25</v>
      </c>
      <c r="E113" s="25">
        <v>3.0</v>
      </c>
    </row>
    <row r="114">
      <c r="A114" s="22">
        <v>113.0</v>
      </c>
      <c r="B114" s="26" t="s">
        <v>760</v>
      </c>
      <c r="C114" s="24" t="s">
        <v>32</v>
      </c>
      <c r="D114" s="24" t="s">
        <v>25</v>
      </c>
      <c r="E114" s="25">
        <v>3.0</v>
      </c>
    </row>
    <row r="115">
      <c r="A115" s="22">
        <v>114.0</v>
      </c>
      <c r="B115" s="26" t="s">
        <v>81</v>
      </c>
      <c r="C115" s="24" t="s">
        <v>44</v>
      </c>
      <c r="D115" s="24" t="s">
        <v>10</v>
      </c>
      <c r="E115" s="25">
        <v>3.0</v>
      </c>
    </row>
    <row r="116">
      <c r="A116" s="22">
        <v>115.0</v>
      </c>
      <c r="B116" s="26" t="s">
        <v>78</v>
      </c>
      <c r="C116" s="24" t="s">
        <v>59</v>
      </c>
      <c r="D116" s="24" t="s">
        <v>10</v>
      </c>
      <c r="E116" s="25">
        <v>3.0</v>
      </c>
    </row>
    <row r="117">
      <c r="A117" s="22">
        <v>116.0</v>
      </c>
      <c r="B117" s="26" t="s">
        <v>160</v>
      </c>
      <c r="C117" s="24" t="s">
        <v>14</v>
      </c>
      <c r="D117" s="24" t="s">
        <v>16</v>
      </c>
      <c r="E117" s="25">
        <v>3.0</v>
      </c>
    </row>
    <row r="118">
      <c r="A118" s="22">
        <v>117.0</v>
      </c>
      <c r="B118" s="26" t="s">
        <v>120</v>
      </c>
      <c r="C118" s="24" t="s">
        <v>96</v>
      </c>
      <c r="D118" s="24" t="s">
        <v>16</v>
      </c>
      <c r="E118" s="25">
        <v>3.0</v>
      </c>
    </row>
    <row r="119">
      <c r="A119" s="22">
        <v>118.0</v>
      </c>
      <c r="B119" s="26" t="s">
        <v>162</v>
      </c>
      <c r="C119" s="24" t="s">
        <v>34</v>
      </c>
      <c r="D119" s="24" t="s">
        <v>16</v>
      </c>
      <c r="E119" s="25">
        <v>3.0</v>
      </c>
    </row>
    <row r="120">
      <c r="A120" s="22">
        <v>119.0</v>
      </c>
      <c r="B120" s="26" t="s">
        <v>1034</v>
      </c>
      <c r="C120" s="24" t="s">
        <v>38</v>
      </c>
      <c r="D120" s="24" t="s">
        <v>7</v>
      </c>
      <c r="E120" s="25">
        <v>3.0</v>
      </c>
    </row>
    <row r="121">
      <c r="A121" s="22">
        <v>120.0</v>
      </c>
      <c r="B121" s="26" t="s">
        <v>383</v>
      </c>
      <c r="C121" s="24" t="s">
        <v>86</v>
      </c>
      <c r="D121" s="24" t="s">
        <v>7</v>
      </c>
      <c r="E121" s="25">
        <v>3.0</v>
      </c>
    </row>
    <row r="122">
      <c r="A122" s="22">
        <v>121.0</v>
      </c>
      <c r="B122" s="26" t="s">
        <v>148</v>
      </c>
      <c r="C122" s="24" t="s">
        <v>1007</v>
      </c>
      <c r="D122" s="24" t="s">
        <v>25</v>
      </c>
      <c r="E122" s="25">
        <v>2.0</v>
      </c>
    </row>
    <row r="123">
      <c r="A123" s="22">
        <v>122.0</v>
      </c>
      <c r="B123" s="26" t="s">
        <v>144</v>
      </c>
      <c r="C123" s="24" t="s">
        <v>32</v>
      </c>
      <c r="D123" s="24" t="s">
        <v>25</v>
      </c>
      <c r="E123" s="25">
        <v>2.0</v>
      </c>
    </row>
    <row r="124">
      <c r="A124" s="22">
        <v>123.0</v>
      </c>
      <c r="B124" s="26" t="s">
        <v>1035</v>
      </c>
      <c r="C124" s="24" t="s">
        <v>86</v>
      </c>
      <c r="D124" s="24" t="s">
        <v>25</v>
      </c>
      <c r="E124" s="25">
        <v>2.0</v>
      </c>
    </row>
    <row r="125">
      <c r="A125" s="22">
        <v>124.0</v>
      </c>
      <c r="B125" s="26" t="s">
        <v>135</v>
      </c>
      <c r="C125" s="24" t="s">
        <v>48</v>
      </c>
      <c r="D125" s="24" t="s">
        <v>25</v>
      </c>
      <c r="E125" s="25">
        <v>2.0</v>
      </c>
    </row>
    <row r="126">
      <c r="A126" s="22">
        <v>125.0</v>
      </c>
      <c r="B126" s="26" t="s">
        <v>248</v>
      </c>
      <c r="C126" s="24" t="s">
        <v>29</v>
      </c>
      <c r="D126" s="24" t="s">
        <v>10</v>
      </c>
      <c r="E126" s="25">
        <v>2.0</v>
      </c>
    </row>
    <row r="127">
      <c r="A127" s="22">
        <v>126.0</v>
      </c>
      <c r="B127" s="26" t="s">
        <v>289</v>
      </c>
      <c r="C127" s="24" t="s">
        <v>34</v>
      </c>
      <c r="D127" s="24" t="s">
        <v>10</v>
      </c>
      <c r="E127" s="25">
        <v>2.0</v>
      </c>
    </row>
    <row r="128">
      <c r="A128" s="22">
        <v>127.0</v>
      </c>
      <c r="B128" s="26" t="s">
        <v>100</v>
      </c>
      <c r="C128" s="24" t="s">
        <v>18</v>
      </c>
      <c r="D128" s="24" t="s">
        <v>10</v>
      </c>
      <c r="E128" s="25">
        <v>2.0</v>
      </c>
    </row>
    <row r="129">
      <c r="A129" s="22">
        <v>128.0</v>
      </c>
      <c r="B129" s="26" t="s">
        <v>115</v>
      </c>
      <c r="C129" s="24" t="s">
        <v>63</v>
      </c>
      <c r="D129" s="24" t="s">
        <v>16</v>
      </c>
      <c r="E129" s="25">
        <v>2.0</v>
      </c>
    </row>
    <row r="130">
      <c r="A130" s="22">
        <v>129.0</v>
      </c>
      <c r="B130" s="26" t="s">
        <v>114</v>
      </c>
      <c r="C130" s="24" t="s">
        <v>38</v>
      </c>
      <c r="D130" s="24" t="s">
        <v>16</v>
      </c>
      <c r="E130" s="25">
        <v>2.0</v>
      </c>
    </row>
    <row r="131">
      <c r="A131" s="22">
        <v>130.0</v>
      </c>
      <c r="B131" s="26" t="s">
        <v>331</v>
      </c>
      <c r="C131" s="24" t="s">
        <v>92</v>
      </c>
      <c r="D131" s="24" t="s">
        <v>7</v>
      </c>
      <c r="E131" s="25">
        <v>2.0</v>
      </c>
    </row>
    <row r="132">
      <c r="A132" s="22">
        <v>131.0</v>
      </c>
      <c r="B132" s="26" t="s">
        <v>355</v>
      </c>
      <c r="C132" s="24" t="s">
        <v>22</v>
      </c>
      <c r="D132" s="24" t="s">
        <v>7</v>
      </c>
      <c r="E132" s="25">
        <v>2.0</v>
      </c>
    </row>
    <row r="133">
      <c r="A133" s="22">
        <v>132.0</v>
      </c>
      <c r="B133" s="26" t="s">
        <v>285</v>
      </c>
      <c r="C133" s="24" t="s">
        <v>1007</v>
      </c>
      <c r="D133" s="24" t="s">
        <v>25</v>
      </c>
      <c r="E133" s="25">
        <v>1.0</v>
      </c>
    </row>
    <row r="134">
      <c r="A134" s="22">
        <v>133.0</v>
      </c>
      <c r="B134" s="26" t="s">
        <v>313</v>
      </c>
      <c r="C134" s="24" t="s">
        <v>69</v>
      </c>
      <c r="D134" s="24" t="s">
        <v>25</v>
      </c>
      <c r="E134" s="25">
        <v>1.0</v>
      </c>
    </row>
    <row r="135">
      <c r="A135" s="22">
        <v>134.0</v>
      </c>
      <c r="B135" s="26" t="s">
        <v>342</v>
      </c>
      <c r="C135" s="24" t="s">
        <v>77</v>
      </c>
      <c r="D135" s="24" t="s">
        <v>25</v>
      </c>
      <c r="E135" s="25">
        <v>1.0</v>
      </c>
    </row>
    <row r="136">
      <c r="A136" s="22">
        <v>135.0</v>
      </c>
      <c r="B136" s="26" t="s">
        <v>279</v>
      </c>
      <c r="C136" s="24" t="s">
        <v>20</v>
      </c>
      <c r="D136" s="24" t="s">
        <v>25</v>
      </c>
      <c r="E136" s="25">
        <v>1.0</v>
      </c>
    </row>
    <row r="137">
      <c r="A137" s="22">
        <v>136.0</v>
      </c>
      <c r="B137" s="26" t="s">
        <v>1036</v>
      </c>
      <c r="C137" s="24" t="s">
        <v>86</v>
      </c>
      <c r="D137" s="24" t="s">
        <v>25</v>
      </c>
      <c r="E137" s="25">
        <v>1.0</v>
      </c>
    </row>
    <row r="138">
      <c r="A138" s="22">
        <v>137.0</v>
      </c>
      <c r="B138" s="26" t="s">
        <v>282</v>
      </c>
      <c r="C138" s="24" t="s">
        <v>48</v>
      </c>
      <c r="D138" s="24" t="s">
        <v>25</v>
      </c>
      <c r="E138" s="25">
        <v>1.0</v>
      </c>
    </row>
    <row r="139">
      <c r="A139" s="22">
        <v>138.0</v>
      </c>
      <c r="B139" s="26" t="s">
        <v>343</v>
      </c>
      <c r="C139" s="24" t="s">
        <v>20</v>
      </c>
      <c r="D139" s="24" t="s">
        <v>25</v>
      </c>
      <c r="E139" s="25">
        <v>1.0</v>
      </c>
    </row>
    <row r="140">
      <c r="A140" s="22">
        <v>139.0</v>
      </c>
      <c r="B140" s="26" t="s">
        <v>244</v>
      </c>
      <c r="C140" s="24" t="s">
        <v>9</v>
      </c>
      <c r="D140" s="24" t="s">
        <v>25</v>
      </c>
      <c r="E140" s="25">
        <v>1.0</v>
      </c>
    </row>
    <row r="141">
      <c r="A141" s="22">
        <v>140.0</v>
      </c>
      <c r="B141" s="26" t="s">
        <v>1037</v>
      </c>
      <c r="C141" s="24" t="s">
        <v>40</v>
      </c>
      <c r="D141" s="24" t="s">
        <v>25</v>
      </c>
      <c r="E141" s="25">
        <v>1.0</v>
      </c>
    </row>
    <row r="142">
      <c r="A142" s="22">
        <v>141.0</v>
      </c>
      <c r="B142" s="26" t="s">
        <v>306</v>
      </c>
      <c r="C142" s="24" t="s">
        <v>1032</v>
      </c>
      <c r="D142" s="24" t="s">
        <v>25</v>
      </c>
      <c r="E142" s="25">
        <v>1.0</v>
      </c>
    </row>
    <row r="143">
      <c r="A143" s="22">
        <v>142.0</v>
      </c>
      <c r="B143" s="26" t="s">
        <v>311</v>
      </c>
      <c r="C143" s="24" t="s">
        <v>18</v>
      </c>
      <c r="D143" s="24" t="s">
        <v>25</v>
      </c>
      <c r="E143" s="25">
        <v>1.0</v>
      </c>
    </row>
    <row r="144">
      <c r="A144" s="22">
        <v>143.0</v>
      </c>
      <c r="B144" s="26" t="s">
        <v>337</v>
      </c>
      <c r="C144" s="24" t="s">
        <v>34</v>
      </c>
      <c r="D144" s="24" t="s">
        <v>25</v>
      </c>
      <c r="E144" s="25">
        <v>1.0</v>
      </c>
    </row>
    <row r="145">
      <c r="A145" s="22">
        <v>144.0</v>
      </c>
      <c r="B145" s="26" t="s">
        <v>299</v>
      </c>
      <c r="C145" s="24" t="s">
        <v>34</v>
      </c>
      <c r="D145" s="24" t="s">
        <v>25</v>
      </c>
      <c r="E145" s="25">
        <v>1.0</v>
      </c>
    </row>
    <row r="146">
      <c r="A146" s="22">
        <v>145.0</v>
      </c>
      <c r="B146" s="26" t="s">
        <v>1038</v>
      </c>
      <c r="C146" s="24" t="s">
        <v>61</v>
      </c>
      <c r="D146" s="24" t="s">
        <v>25</v>
      </c>
      <c r="E146" s="25">
        <v>1.0</v>
      </c>
    </row>
    <row r="147">
      <c r="A147" s="22">
        <v>146.0</v>
      </c>
      <c r="B147" s="26" t="s">
        <v>128</v>
      </c>
      <c r="C147" s="24" t="s">
        <v>6</v>
      </c>
      <c r="D147" s="24" t="s">
        <v>25</v>
      </c>
      <c r="E147" s="25">
        <v>1.0</v>
      </c>
    </row>
    <row r="148">
      <c r="A148" s="22">
        <v>147.0</v>
      </c>
      <c r="B148" s="26" t="s">
        <v>300</v>
      </c>
      <c r="C148" s="24" t="s">
        <v>1032</v>
      </c>
      <c r="D148" s="24" t="s">
        <v>25</v>
      </c>
      <c r="E148" s="25">
        <v>1.0</v>
      </c>
    </row>
    <row r="149">
      <c r="A149" s="22">
        <v>148.0</v>
      </c>
      <c r="B149" s="26" t="s">
        <v>308</v>
      </c>
      <c r="C149" s="24" t="s">
        <v>27</v>
      </c>
      <c r="D149" s="24" t="s">
        <v>25</v>
      </c>
      <c r="E149" s="25">
        <v>1.0</v>
      </c>
    </row>
    <row r="150">
      <c r="A150" s="22">
        <v>149.0</v>
      </c>
      <c r="B150" s="26" t="s">
        <v>305</v>
      </c>
      <c r="C150" s="24" t="s">
        <v>27</v>
      </c>
      <c r="D150" s="24" t="s">
        <v>25</v>
      </c>
      <c r="E150" s="25">
        <v>1.0</v>
      </c>
    </row>
    <row r="151">
      <c r="A151" s="22">
        <v>150.0</v>
      </c>
      <c r="B151" s="26" t="s">
        <v>548</v>
      </c>
      <c r="C151" s="24" t="s">
        <v>1032</v>
      </c>
      <c r="D151" s="24" t="s">
        <v>25</v>
      </c>
      <c r="E151" s="25">
        <v>1.0</v>
      </c>
    </row>
    <row r="152">
      <c r="A152" s="22">
        <v>151.0</v>
      </c>
      <c r="B152" s="26" t="s">
        <v>303</v>
      </c>
      <c r="C152" s="24" t="s">
        <v>59</v>
      </c>
      <c r="D152" s="24" t="s">
        <v>25</v>
      </c>
      <c r="E152" s="25">
        <v>1.0</v>
      </c>
    </row>
    <row r="153">
      <c r="A153" s="22">
        <v>152.0</v>
      </c>
      <c r="B153" s="26" t="s">
        <v>1039</v>
      </c>
      <c r="C153" s="24" t="s">
        <v>24</v>
      </c>
      <c r="D153" s="24" t="s">
        <v>25</v>
      </c>
      <c r="E153" s="25">
        <v>1.0</v>
      </c>
    </row>
    <row r="154">
      <c r="A154" s="22">
        <v>153.0</v>
      </c>
      <c r="B154" s="26" t="s">
        <v>295</v>
      </c>
      <c r="C154" s="24" t="s">
        <v>44</v>
      </c>
      <c r="D154" s="24" t="s">
        <v>25</v>
      </c>
      <c r="E154" s="25">
        <v>1.0</v>
      </c>
    </row>
    <row r="155">
      <c r="A155" s="22">
        <v>154.0</v>
      </c>
      <c r="B155" s="26" t="s">
        <v>283</v>
      </c>
      <c r="C155" s="24" t="s">
        <v>56</v>
      </c>
      <c r="D155" s="24" t="s">
        <v>25</v>
      </c>
      <c r="E155" s="25">
        <v>1.0</v>
      </c>
    </row>
    <row r="156">
      <c r="A156" s="22">
        <v>155.0</v>
      </c>
      <c r="B156" s="26" t="s">
        <v>140</v>
      </c>
      <c r="C156" s="24" t="s">
        <v>9</v>
      </c>
      <c r="D156" s="24" t="s">
        <v>25</v>
      </c>
      <c r="E156" s="25">
        <v>1.0</v>
      </c>
    </row>
    <row r="157">
      <c r="A157" s="22">
        <v>156.0</v>
      </c>
      <c r="B157" s="26" t="s">
        <v>1040</v>
      </c>
      <c r="C157" s="24" t="s">
        <v>92</v>
      </c>
      <c r="D157" s="24" t="s">
        <v>25</v>
      </c>
      <c r="E157" s="25">
        <v>1.0</v>
      </c>
    </row>
    <row r="158">
      <c r="A158" s="22">
        <v>157.0</v>
      </c>
      <c r="B158" s="26" t="s">
        <v>514</v>
      </c>
      <c r="C158" s="24" t="s">
        <v>1007</v>
      </c>
      <c r="D158" s="24" t="s">
        <v>25</v>
      </c>
      <c r="E158" s="25">
        <v>1.0</v>
      </c>
    </row>
    <row r="159">
      <c r="A159" s="22">
        <v>158.0</v>
      </c>
      <c r="B159" s="26" t="s">
        <v>1041</v>
      </c>
      <c r="C159" s="24" t="s">
        <v>22</v>
      </c>
      <c r="D159" s="24" t="s">
        <v>25</v>
      </c>
      <c r="E159" s="25">
        <v>1.0</v>
      </c>
    </row>
    <row r="160">
      <c r="A160" s="22">
        <v>159.0</v>
      </c>
      <c r="B160" s="26" t="s">
        <v>321</v>
      </c>
      <c r="C160" s="24" t="s">
        <v>18</v>
      </c>
      <c r="D160" s="24" t="s">
        <v>25</v>
      </c>
      <c r="E160" s="25">
        <v>1.0</v>
      </c>
    </row>
    <row r="161">
      <c r="A161" s="22">
        <v>160.0</v>
      </c>
      <c r="B161" s="26" t="s">
        <v>250</v>
      </c>
      <c r="C161" s="24" t="s">
        <v>74</v>
      </c>
      <c r="D161" s="24" t="s">
        <v>25</v>
      </c>
      <c r="E161" s="25">
        <v>1.0</v>
      </c>
    </row>
    <row r="162">
      <c r="A162" s="22">
        <v>161.0</v>
      </c>
      <c r="B162" s="26" t="s">
        <v>360</v>
      </c>
      <c r="C162" s="24" t="s">
        <v>12</v>
      </c>
      <c r="D162" s="24" t="s">
        <v>25</v>
      </c>
      <c r="E162" s="25">
        <v>1.0</v>
      </c>
    </row>
    <row r="163">
      <c r="A163" s="22">
        <v>162.0</v>
      </c>
      <c r="B163" s="26" t="s">
        <v>526</v>
      </c>
      <c r="C163" s="24" t="s">
        <v>1007</v>
      </c>
      <c r="D163" s="24" t="s">
        <v>25</v>
      </c>
      <c r="E163" s="25">
        <v>1.0</v>
      </c>
    </row>
    <row r="164">
      <c r="A164" s="22">
        <v>163.0</v>
      </c>
      <c r="B164" s="26" t="s">
        <v>219</v>
      </c>
      <c r="C164" s="24" t="s">
        <v>14</v>
      </c>
      <c r="D164" s="24" t="s">
        <v>25</v>
      </c>
      <c r="E164" s="25">
        <v>1.0</v>
      </c>
    </row>
    <row r="165">
      <c r="A165" s="22">
        <v>164.0</v>
      </c>
      <c r="B165" s="26" t="s">
        <v>237</v>
      </c>
      <c r="C165" s="24" t="s">
        <v>22</v>
      </c>
      <c r="D165" s="24" t="s">
        <v>25</v>
      </c>
      <c r="E165" s="25">
        <v>1.0</v>
      </c>
    </row>
    <row r="166">
      <c r="A166" s="22">
        <v>165.0</v>
      </c>
      <c r="B166" s="26" t="s">
        <v>221</v>
      </c>
      <c r="C166" s="24" t="s">
        <v>32</v>
      </c>
      <c r="D166" s="24" t="s">
        <v>25</v>
      </c>
      <c r="E166" s="25">
        <v>1.0</v>
      </c>
    </row>
    <row r="167">
      <c r="A167" s="22">
        <v>166.0</v>
      </c>
      <c r="B167" s="26" t="s">
        <v>348</v>
      </c>
      <c r="C167" s="24" t="s">
        <v>61</v>
      </c>
      <c r="D167" s="24" t="s">
        <v>25</v>
      </c>
      <c r="E167" s="25">
        <v>1.0</v>
      </c>
    </row>
    <row r="168">
      <c r="A168" s="22">
        <v>167.0</v>
      </c>
      <c r="B168" s="26" t="s">
        <v>143</v>
      </c>
      <c r="C168" s="24" t="s">
        <v>18</v>
      </c>
      <c r="D168" s="24" t="s">
        <v>25</v>
      </c>
      <c r="E168" s="25">
        <v>1.0</v>
      </c>
    </row>
    <row r="169">
      <c r="A169" s="22">
        <v>168.0</v>
      </c>
      <c r="B169" s="26" t="s">
        <v>367</v>
      </c>
      <c r="C169" s="24" t="s">
        <v>1032</v>
      </c>
      <c r="D169" s="24" t="s">
        <v>25</v>
      </c>
      <c r="E169" s="25">
        <v>1.0</v>
      </c>
    </row>
    <row r="170">
      <c r="A170" s="22">
        <v>169.0</v>
      </c>
      <c r="B170" s="26" t="s">
        <v>344</v>
      </c>
      <c r="C170" s="24" t="s">
        <v>18</v>
      </c>
      <c r="D170" s="24" t="s">
        <v>25</v>
      </c>
      <c r="E170" s="25">
        <v>1.0</v>
      </c>
    </row>
    <row r="171">
      <c r="A171" s="22">
        <v>170.0</v>
      </c>
      <c r="B171" s="26" t="s">
        <v>510</v>
      </c>
      <c r="C171" s="24" t="s">
        <v>233</v>
      </c>
      <c r="D171" s="24" t="s">
        <v>25</v>
      </c>
      <c r="E171" s="25">
        <v>1.0</v>
      </c>
    </row>
    <row r="172">
      <c r="A172" s="22">
        <v>171.0</v>
      </c>
      <c r="B172" s="26" t="s">
        <v>307</v>
      </c>
      <c r="C172" s="24" t="s">
        <v>134</v>
      </c>
      <c r="D172" s="24" t="s">
        <v>25</v>
      </c>
      <c r="E172" s="25">
        <v>1.0</v>
      </c>
    </row>
    <row r="173">
      <c r="A173" s="22">
        <v>172.0</v>
      </c>
      <c r="B173" s="26" t="s">
        <v>332</v>
      </c>
      <c r="C173" s="24" t="s">
        <v>92</v>
      </c>
      <c r="D173" s="24" t="s">
        <v>25</v>
      </c>
      <c r="E173" s="25">
        <v>1.0</v>
      </c>
    </row>
    <row r="174">
      <c r="A174" s="22">
        <v>173.0</v>
      </c>
      <c r="B174" s="26" t="s">
        <v>294</v>
      </c>
      <c r="C174" s="24" t="s">
        <v>74</v>
      </c>
      <c r="D174" s="24" t="s">
        <v>25</v>
      </c>
      <c r="E174" s="25">
        <v>1.0</v>
      </c>
    </row>
    <row r="175">
      <c r="A175" s="22">
        <v>174.0</v>
      </c>
      <c r="B175" s="26" t="s">
        <v>222</v>
      </c>
      <c r="C175" s="24" t="s">
        <v>27</v>
      </c>
      <c r="D175" s="24" t="s">
        <v>25</v>
      </c>
      <c r="E175" s="25">
        <v>1.0</v>
      </c>
    </row>
    <row r="176">
      <c r="A176" s="22">
        <v>175.0</v>
      </c>
      <c r="B176" s="26" t="s">
        <v>325</v>
      </c>
      <c r="C176" s="24" t="s">
        <v>59</v>
      </c>
      <c r="D176" s="24" t="s">
        <v>25</v>
      </c>
      <c r="E176" s="25">
        <v>1.0</v>
      </c>
    </row>
    <row r="177">
      <c r="A177" s="22">
        <v>176.0</v>
      </c>
      <c r="B177" s="26" t="s">
        <v>587</v>
      </c>
      <c r="C177" s="24" t="s">
        <v>54</v>
      </c>
      <c r="D177" s="24" t="s">
        <v>25</v>
      </c>
      <c r="E177" s="25">
        <v>1.0</v>
      </c>
    </row>
    <row r="178">
      <c r="A178" s="22">
        <v>177.0</v>
      </c>
      <c r="B178" s="26" t="s">
        <v>1042</v>
      </c>
      <c r="C178" s="24" t="s">
        <v>63</v>
      </c>
      <c r="D178" s="24" t="s">
        <v>25</v>
      </c>
      <c r="E178" s="25">
        <v>1.0</v>
      </c>
    </row>
    <row r="179">
      <c r="A179" s="22">
        <v>178.0</v>
      </c>
      <c r="B179" s="26" t="s">
        <v>1012</v>
      </c>
      <c r="C179" s="24" t="s">
        <v>1032</v>
      </c>
      <c r="D179" s="24" t="s">
        <v>10</v>
      </c>
      <c r="E179" s="25">
        <v>1.0</v>
      </c>
    </row>
    <row r="180">
      <c r="A180" s="22">
        <v>179.0</v>
      </c>
      <c r="B180" s="26" t="s">
        <v>149</v>
      </c>
      <c r="C180" s="24" t="s">
        <v>74</v>
      </c>
      <c r="D180" s="24" t="s">
        <v>10</v>
      </c>
      <c r="E180" s="25">
        <v>1.0</v>
      </c>
    </row>
    <row r="181">
      <c r="A181" s="22">
        <v>180.0</v>
      </c>
      <c r="B181" s="26" t="s">
        <v>181</v>
      </c>
      <c r="C181" s="24" t="s">
        <v>102</v>
      </c>
      <c r="D181" s="24" t="s">
        <v>10</v>
      </c>
      <c r="E181" s="25">
        <v>1.0</v>
      </c>
    </row>
    <row r="182">
      <c r="A182" s="22">
        <v>181.0</v>
      </c>
      <c r="B182" s="26" t="s">
        <v>132</v>
      </c>
      <c r="C182" s="24" t="s">
        <v>96</v>
      </c>
      <c r="D182" s="24" t="s">
        <v>10</v>
      </c>
      <c r="E182" s="25">
        <v>1.0</v>
      </c>
    </row>
    <row r="183">
      <c r="A183" s="22">
        <v>182.0</v>
      </c>
      <c r="B183" s="26" t="s">
        <v>284</v>
      </c>
      <c r="C183" s="24" t="s">
        <v>77</v>
      </c>
      <c r="D183" s="24" t="s">
        <v>10</v>
      </c>
      <c r="E183" s="25">
        <v>1.0</v>
      </c>
    </row>
    <row r="184">
      <c r="A184" s="22">
        <v>183.0</v>
      </c>
      <c r="B184" s="26" t="s">
        <v>180</v>
      </c>
      <c r="C184" s="24" t="s">
        <v>22</v>
      </c>
      <c r="D184" s="24" t="s">
        <v>10</v>
      </c>
      <c r="E184" s="25">
        <v>1.0</v>
      </c>
    </row>
    <row r="185">
      <c r="A185" s="22">
        <v>184.0</v>
      </c>
      <c r="B185" s="26" t="s">
        <v>139</v>
      </c>
      <c r="C185" s="24" t="s">
        <v>27</v>
      </c>
      <c r="D185" s="24" t="s">
        <v>10</v>
      </c>
      <c r="E185" s="25">
        <v>1.0</v>
      </c>
    </row>
    <row r="186">
      <c r="A186" s="22">
        <v>185.0</v>
      </c>
      <c r="B186" s="26" t="s">
        <v>159</v>
      </c>
      <c r="C186" s="24" t="s">
        <v>6</v>
      </c>
      <c r="D186" s="24" t="s">
        <v>10</v>
      </c>
      <c r="E186" s="25">
        <v>1.0</v>
      </c>
    </row>
    <row r="187">
      <c r="A187" s="22">
        <v>186.0</v>
      </c>
      <c r="B187" s="26" t="s">
        <v>182</v>
      </c>
      <c r="C187" s="24" t="s">
        <v>233</v>
      </c>
      <c r="D187" s="24" t="s">
        <v>10</v>
      </c>
      <c r="E187" s="25">
        <v>1.0</v>
      </c>
    </row>
    <row r="188">
      <c r="A188" s="22">
        <v>187.0</v>
      </c>
      <c r="B188" s="26" t="s">
        <v>943</v>
      </c>
      <c r="C188" s="24" t="s">
        <v>77</v>
      </c>
      <c r="D188" s="24" t="s">
        <v>10</v>
      </c>
      <c r="E188" s="25">
        <v>1.0</v>
      </c>
    </row>
    <row r="189">
      <c r="A189" s="22">
        <v>188.0</v>
      </c>
      <c r="B189" s="26" t="s">
        <v>921</v>
      </c>
      <c r="C189" s="24" t="s">
        <v>24</v>
      </c>
      <c r="D189" s="24" t="s">
        <v>10</v>
      </c>
      <c r="E189" s="25">
        <v>1.0</v>
      </c>
    </row>
    <row r="190">
      <c r="A190" s="22">
        <v>189.0</v>
      </c>
      <c r="B190" s="26" t="s">
        <v>286</v>
      </c>
      <c r="C190" s="24" t="s">
        <v>54</v>
      </c>
      <c r="D190" s="24" t="s">
        <v>10</v>
      </c>
      <c r="E190" s="25">
        <v>1.0</v>
      </c>
    </row>
    <row r="191">
      <c r="A191" s="22">
        <v>190.0</v>
      </c>
      <c r="B191" s="26" t="s">
        <v>333</v>
      </c>
      <c r="C191" s="24" t="s">
        <v>134</v>
      </c>
      <c r="D191" s="24" t="s">
        <v>10</v>
      </c>
      <c r="E191" s="25">
        <v>1.0</v>
      </c>
    </row>
    <row r="192">
      <c r="A192" s="22">
        <v>191.0</v>
      </c>
      <c r="B192" s="26" t="s">
        <v>1043</v>
      </c>
      <c r="C192" s="24" t="s">
        <v>92</v>
      </c>
      <c r="D192" s="24" t="s">
        <v>10</v>
      </c>
      <c r="E192" s="25">
        <v>1.0</v>
      </c>
    </row>
    <row r="193">
      <c r="A193" s="22">
        <v>192.0</v>
      </c>
      <c r="B193" s="26" t="s">
        <v>252</v>
      </c>
      <c r="C193" s="24" t="s">
        <v>63</v>
      </c>
      <c r="D193" s="24" t="s">
        <v>10</v>
      </c>
      <c r="E193" s="25">
        <v>1.0</v>
      </c>
    </row>
    <row r="194">
      <c r="A194" s="22">
        <v>193.0</v>
      </c>
      <c r="B194" s="26" t="s">
        <v>936</v>
      </c>
      <c r="C194" s="24" t="s">
        <v>86</v>
      </c>
      <c r="D194" s="24" t="s">
        <v>10</v>
      </c>
      <c r="E194" s="25">
        <v>1.0</v>
      </c>
    </row>
    <row r="195">
      <c r="A195" s="22">
        <v>194.0</v>
      </c>
      <c r="B195" s="26" t="s">
        <v>944</v>
      </c>
      <c r="C195" s="24" t="s">
        <v>102</v>
      </c>
      <c r="D195" s="24" t="s">
        <v>10</v>
      </c>
      <c r="E195" s="25">
        <v>1.0</v>
      </c>
    </row>
    <row r="196">
      <c r="A196" s="22">
        <v>195.0</v>
      </c>
      <c r="B196" s="26" t="s">
        <v>945</v>
      </c>
      <c r="C196" s="24" t="s">
        <v>96</v>
      </c>
      <c r="D196" s="24" t="s">
        <v>10</v>
      </c>
      <c r="E196" s="25">
        <v>1.0</v>
      </c>
    </row>
    <row r="197">
      <c r="A197" s="22">
        <v>196.0</v>
      </c>
      <c r="B197" s="26" t="s">
        <v>281</v>
      </c>
      <c r="C197" s="24" t="s">
        <v>40</v>
      </c>
      <c r="D197" s="24" t="s">
        <v>16</v>
      </c>
      <c r="E197" s="25">
        <v>1.0</v>
      </c>
    </row>
    <row r="198">
      <c r="A198" s="22">
        <v>197.0</v>
      </c>
      <c r="B198" s="26" t="s">
        <v>161</v>
      </c>
      <c r="C198" s="24" t="s">
        <v>77</v>
      </c>
      <c r="D198" s="24" t="s">
        <v>16</v>
      </c>
      <c r="E198" s="25">
        <v>1.0</v>
      </c>
    </row>
    <row r="199">
      <c r="A199" s="22">
        <v>198.0</v>
      </c>
      <c r="B199" s="26" t="s">
        <v>254</v>
      </c>
      <c r="C199" s="24" t="s">
        <v>22</v>
      </c>
      <c r="D199" s="24" t="s">
        <v>16</v>
      </c>
      <c r="E199" s="25">
        <v>1.0</v>
      </c>
    </row>
    <row r="200">
      <c r="A200" s="22">
        <v>199.0</v>
      </c>
      <c r="B200" s="26" t="s">
        <v>242</v>
      </c>
      <c r="C200" s="24" t="s">
        <v>1032</v>
      </c>
      <c r="D200" s="24" t="s">
        <v>16</v>
      </c>
      <c r="E200" s="25">
        <v>1.0</v>
      </c>
    </row>
    <row r="201">
      <c r="A201" s="22">
        <v>200.0</v>
      </c>
      <c r="B201" s="26" t="s">
        <v>319</v>
      </c>
      <c r="C201" s="24" t="s">
        <v>59</v>
      </c>
      <c r="D201" s="24" t="s">
        <v>16</v>
      </c>
      <c r="E201" s="25">
        <v>1.0</v>
      </c>
    </row>
    <row r="202">
      <c r="A202" s="22">
        <v>201.0</v>
      </c>
      <c r="B202" s="26" t="s">
        <v>280</v>
      </c>
      <c r="C202" s="24" t="s">
        <v>20</v>
      </c>
      <c r="D202" s="24" t="s">
        <v>16</v>
      </c>
      <c r="E202" s="25">
        <v>1.0</v>
      </c>
    </row>
    <row r="203">
      <c r="A203" s="22">
        <v>202.0</v>
      </c>
      <c r="B203" s="26" t="s">
        <v>125</v>
      </c>
      <c r="C203" s="24" t="s">
        <v>74</v>
      </c>
      <c r="D203" s="24" t="s">
        <v>16</v>
      </c>
      <c r="E203" s="25">
        <v>1.0</v>
      </c>
    </row>
    <row r="204">
      <c r="A204" s="22">
        <v>203.0</v>
      </c>
      <c r="B204" s="26" t="s">
        <v>327</v>
      </c>
      <c r="C204" s="24" t="s">
        <v>74</v>
      </c>
      <c r="D204" s="24" t="s">
        <v>16</v>
      </c>
      <c r="E204" s="25">
        <v>1.0</v>
      </c>
    </row>
    <row r="205">
      <c r="A205" s="22">
        <v>204.0</v>
      </c>
      <c r="B205" s="26" t="s">
        <v>136</v>
      </c>
      <c r="C205" s="24" t="s">
        <v>59</v>
      </c>
      <c r="D205" s="24" t="s">
        <v>16</v>
      </c>
      <c r="E205" s="25">
        <v>1.0</v>
      </c>
    </row>
    <row r="206">
      <c r="A206" s="22">
        <v>205.0</v>
      </c>
      <c r="B206" s="26" t="s">
        <v>354</v>
      </c>
      <c r="C206" s="24" t="s">
        <v>38</v>
      </c>
      <c r="D206" s="24" t="s">
        <v>16</v>
      </c>
      <c r="E206" s="25">
        <v>1.0</v>
      </c>
    </row>
    <row r="207">
      <c r="A207" s="22">
        <v>206.0</v>
      </c>
      <c r="B207" s="26" t="s">
        <v>141</v>
      </c>
      <c r="C207" s="24" t="s">
        <v>54</v>
      </c>
      <c r="D207" s="24" t="s">
        <v>16</v>
      </c>
      <c r="E207" s="25">
        <v>1.0</v>
      </c>
    </row>
    <row r="208">
      <c r="A208" s="22">
        <v>207.0</v>
      </c>
      <c r="B208" s="26" t="s">
        <v>318</v>
      </c>
      <c r="C208" s="24" t="s">
        <v>54</v>
      </c>
      <c r="D208" s="24" t="s">
        <v>16</v>
      </c>
      <c r="E208" s="25">
        <v>1.0</v>
      </c>
    </row>
    <row r="209">
      <c r="A209" s="22">
        <v>208.0</v>
      </c>
      <c r="B209" s="26" t="s">
        <v>309</v>
      </c>
      <c r="C209" s="24" t="s">
        <v>38</v>
      </c>
      <c r="D209" s="24" t="s">
        <v>16</v>
      </c>
      <c r="E209" s="25">
        <v>1.0</v>
      </c>
    </row>
    <row r="210">
      <c r="A210" s="22">
        <v>209.0</v>
      </c>
      <c r="B210" s="26" t="s">
        <v>304</v>
      </c>
      <c r="C210" s="24" t="s">
        <v>233</v>
      </c>
      <c r="D210" s="24" t="s">
        <v>16</v>
      </c>
      <c r="E210" s="25">
        <v>1.0</v>
      </c>
    </row>
    <row r="211">
      <c r="A211" s="22">
        <v>210.0</v>
      </c>
      <c r="B211" s="26" t="s">
        <v>334</v>
      </c>
      <c r="C211" s="24" t="s">
        <v>92</v>
      </c>
      <c r="D211" s="24" t="s">
        <v>16</v>
      </c>
      <c r="E211" s="25">
        <v>1.0</v>
      </c>
    </row>
    <row r="212">
      <c r="A212" s="22">
        <v>211.0</v>
      </c>
      <c r="B212" s="26" t="s">
        <v>288</v>
      </c>
      <c r="C212" s="24" t="s">
        <v>1007</v>
      </c>
      <c r="D212" s="24" t="s">
        <v>16</v>
      </c>
      <c r="E212" s="25">
        <v>1.0</v>
      </c>
    </row>
    <row r="213">
      <c r="A213" s="22">
        <v>212.0</v>
      </c>
      <c r="B213" s="26" t="s">
        <v>119</v>
      </c>
      <c r="C213" s="24" t="s">
        <v>44</v>
      </c>
      <c r="D213" s="24" t="s">
        <v>16</v>
      </c>
      <c r="E213" s="25">
        <v>1.0</v>
      </c>
    </row>
    <row r="214">
      <c r="A214" s="22">
        <v>213.0</v>
      </c>
      <c r="B214" s="26" t="s">
        <v>158</v>
      </c>
      <c r="C214" s="24" t="s">
        <v>32</v>
      </c>
      <c r="D214" s="24" t="s">
        <v>16</v>
      </c>
      <c r="E214" s="25">
        <v>1.0</v>
      </c>
    </row>
    <row r="215">
      <c r="A215" s="22">
        <v>214.0</v>
      </c>
      <c r="B215" s="26" t="s">
        <v>255</v>
      </c>
      <c r="C215" s="24" t="s">
        <v>6</v>
      </c>
      <c r="D215" s="24" t="s">
        <v>16</v>
      </c>
      <c r="E215" s="25">
        <v>1.0</v>
      </c>
    </row>
    <row r="216">
      <c r="A216" s="22">
        <v>215.0</v>
      </c>
      <c r="B216" s="26" t="s">
        <v>147</v>
      </c>
      <c r="C216" s="24" t="s">
        <v>134</v>
      </c>
      <c r="D216" s="24" t="s">
        <v>16</v>
      </c>
      <c r="E216" s="25">
        <v>1.0</v>
      </c>
    </row>
    <row r="217">
      <c r="A217" s="22">
        <v>216.0</v>
      </c>
      <c r="B217" s="26" t="s">
        <v>240</v>
      </c>
      <c r="C217" s="24" t="s">
        <v>40</v>
      </c>
      <c r="D217" s="24" t="s">
        <v>16</v>
      </c>
      <c r="E217" s="25">
        <v>1.0</v>
      </c>
    </row>
    <row r="218">
      <c r="A218" s="22">
        <v>217.0</v>
      </c>
      <c r="B218" s="26" t="s">
        <v>130</v>
      </c>
      <c r="C218" s="24" t="s">
        <v>69</v>
      </c>
      <c r="D218" s="24" t="s">
        <v>16</v>
      </c>
      <c r="E218" s="25">
        <v>1.0</v>
      </c>
    </row>
    <row r="219">
      <c r="A219" s="22">
        <v>218.0</v>
      </c>
      <c r="B219" s="26" t="s">
        <v>243</v>
      </c>
      <c r="C219" s="24" t="s">
        <v>48</v>
      </c>
      <c r="D219" s="24" t="s">
        <v>16</v>
      </c>
      <c r="E219" s="25">
        <v>1.0</v>
      </c>
    </row>
    <row r="220">
      <c r="A220" s="22">
        <v>219.0</v>
      </c>
      <c r="B220" s="26" t="s">
        <v>178</v>
      </c>
      <c r="C220" s="24" t="s">
        <v>22</v>
      </c>
      <c r="D220" s="24" t="s">
        <v>16</v>
      </c>
      <c r="E220" s="25">
        <v>1.0</v>
      </c>
    </row>
    <row r="221">
      <c r="A221" s="22">
        <v>220.0</v>
      </c>
      <c r="B221" s="26" t="s">
        <v>247</v>
      </c>
      <c r="C221" s="24" t="s">
        <v>56</v>
      </c>
      <c r="D221" s="24" t="s">
        <v>16</v>
      </c>
      <c r="E221" s="25">
        <v>1.0</v>
      </c>
    </row>
    <row r="222">
      <c r="A222" s="22">
        <v>221.0</v>
      </c>
      <c r="B222" s="26" t="s">
        <v>339</v>
      </c>
      <c r="C222" s="24" t="s">
        <v>77</v>
      </c>
      <c r="D222" s="24" t="s">
        <v>16</v>
      </c>
      <c r="E222" s="25">
        <v>1.0</v>
      </c>
    </row>
    <row r="223">
      <c r="A223" s="22">
        <v>222.0</v>
      </c>
      <c r="B223" s="26" t="s">
        <v>402</v>
      </c>
      <c r="C223" s="24" t="s">
        <v>56</v>
      </c>
      <c r="D223" s="24" t="s">
        <v>7</v>
      </c>
      <c r="E223" s="25">
        <v>1.0</v>
      </c>
    </row>
    <row r="224">
      <c r="A224" s="22">
        <v>223.0</v>
      </c>
      <c r="B224" s="26" t="s">
        <v>249</v>
      </c>
      <c r="C224" s="24" t="s">
        <v>74</v>
      </c>
      <c r="D224" s="24" t="s">
        <v>7</v>
      </c>
      <c r="E224" s="25">
        <v>1.0</v>
      </c>
    </row>
    <row r="225">
      <c r="A225" s="22">
        <v>224.0</v>
      </c>
      <c r="B225" s="26" t="s">
        <v>322</v>
      </c>
      <c r="C225" s="24" t="s">
        <v>24</v>
      </c>
      <c r="D225" s="24" t="s">
        <v>7</v>
      </c>
      <c r="E225" s="25">
        <v>1.0</v>
      </c>
    </row>
    <row r="226">
      <c r="A226" s="22">
        <v>225.0</v>
      </c>
      <c r="B226" s="26" t="s">
        <v>1011</v>
      </c>
      <c r="C226" s="24" t="s">
        <v>20</v>
      </c>
      <c r="D226" s="24" t="s">
        <v>7</v>
      </c>
      <c r="E226" s="25">
        <v>1.0</v>
      </c>
    </row>
    <row r="227">
      <c r="A227" s="22">
        <v>226.0</v>
      </c>
      <c r="B227" s="26" t="s">
        <v>335</v>
      </c>
      <c r="C227" s="24" t="s">
        <v>86</v>
      </c>
      <c r="D227" s="24" t="s">
        <v>7</v>
      </c>
      <c r="E227" s="25">
        <v>1.0</v>
      </c>
    </row>
    <row r="228">
      <c r="A228" s="22">
        <v>227.0</v>
      </c>
      <c r="B228" s="26" t="s">
        <v>301</v>
      </c>
      <c r="C228" s="24" t="s">
        <v>12</v>
      </c>
      <c r="D228" s="24" t="s">
        <v>7</v>
      </c>
      <c r="E228" s="25">
        <v>1.0</v>
      </c>
    </row>
    <row r="229">
      <c r="A229" s="22">
        <v>228.0</v>
      </c>
      <c r="B229" s="26" t="s">
        <v>567</v>
      </c>
      <c r="C229" s="24" t="s">
        <v>134</v>
      </c>
      <c r="D229" s="24" t="s">
        <v>7</v>
      </c>
      <c r="E229" s="25">
        <v>1.0</v>
      </c>
    </row>
    <row r="230">
      <c r="A230" s="22">
        <v>229.0</v>
      </c>
      <c r="B230" s="26" t="s">
        <v>389</v>
      </c>
      <c r="C230" s="24" t="s">
        <v>38</v>
      </c>
      <c r="D230" s="24" t="s">
        <v>7</v>
      </c>
      <c r="E230" s="25">
        <v>1.0</v>
      </c>
    </row>
    <row r="231">
      <c r="A231" s="22">
        <v>230.0</v>
      </c>
      <c r="B231" s="26" t="s">
        <v>778</v>
      </c>
      <c r="C231" s="24" t="s">
        <v>86</v>
      </c>
      <c r="D231" s="24" t="s">
        <v>7</v>
      </c>
      <c r="E231" s="25">
        <v>1.0</v>
      </c>
    </row>
    <row r="232">
      <c r="A232" s="22">
        <v>231.0</v>
      </c>
      <c r="B232" s="26" t="s">
        <v>520</v>
      </c>
      <c r="C232" s="24" t="s">
        <v>61</v>
      </c>
      <c r="D232" s="24" t="s">
        <v>7</v>
      </c>
      <c r="E232" s="25">
        <v>1.0</v>
      </c>
    </row>
    <row r="233">
      <c r="A233" s="22">
        <v>232.0</v>
      </c>
      <c r="B233" s="26" t="s">
        <v>591</v>
      </c>
      <c r="C233" s="24" t="s">
        <v>1032</v>
      </c>
      <c r="D233" s="24" t="s">
        <v>7</v>
      </c>
      <c r="E233" s="25">
        <v>1.0</v>
      </c>
    </row>
    <row r="234">
      <c r="A234" s="22">
        <v>233.0</v>
      </c>
      <c r="B234" s="26" t="s">
        <v>396</v>
      </c>
      <c r="C234" s="24" t="s">
        <v>27</v>
      </c>
      <c r="D234" s="24" t="s">
        <v>7</v>
      </c>
      <c r="E234" s="25">
        <v>1.0</v>
      </c>
    </row>
    <row r="235">
      <c r="A235" s="22">
        <v>234.0</v>
      </c>
      <c r="B235" s="26" t="s">
        <v>371</v>
      </c>
      <c r="C235" s="24" t="s">
        <v>40</v>
      </c>
      <c r="D235" s="24" t="s">
        <v>7</v>
      </c>
      <c r="E235" s="25">
        <v>1.0</v>
      </c>
    </row>
    <row r="236">
      <c r="A236" s="22">
        <v>235.0</v>
      </c>
      <c r="B236" s="26" t="s">
        <v>781</v>
      </c>
      <c r="C236" s="24" t="s">
        <v>24</v>
      </c>
      <c r="D236" s="24" t="s">
        <v>7</v>
      </c>
      <c r="E236" s="25">
        <v>1.0</v>
      </c>
    </row>
    <row r="237">
      <c r="A237" s="22">
        <v>236.0</v>
      </c>
      <c r="B237" s="26" t="s">
        <v>768</v>
      </c>
      <c r="C237" s="24" t="s">
        <v>233</v>
      </c>
      <c r="D237" s="24" t="s">
        <v>7</v>
      </c>
      <c r="E237" s="25">
        <v>1.0</v>
      </c>
    </row>
    <row r="238">
      <c r="A238" s="22">
        <v>237.0</v>
      </c>
      <c r="B238" s="26" t="s">
        <v>596</v>
      </c>
      <c r="C238" s="24" t="s">
        <v>9</v>
      </c>
      <c r="D238" s="24" t="s">
        <v>7</v>
      </c>
      <c r="E238" s="25">
        <v>1.0</v>
      </c>
    </row>
    <row r="239">
      <c r="A239" s="22">
        <v>238.0</v>
      </c>
      <c r="B239" s="26" t="s">
        <v>769</v>
      </c>
      <c r="C239" s="24" t="s">
        <v>92</v>
      </c>
      <c r="D239" s="24" t="s">
        <v>7</v>
      </c>
      <c r="E239" s="25">
        <v>1.0</v>
      </c>
    </row>
    <row r="240">
      <c r="A240" s="22">
        <v>239.0</v>
      </c>
      <c r="B240" s="26" t="s">
        <v>528</v>
      </c>
      <c r="C240" s="24" t="s">
        <v>18</v>
      </c>
      <c r="D240" s="24" t="s">
        <v>7</v>
      </c>
      <c r="E240" s="25">
        <v>1.0</v>
      </c>
    </row>
    <row r="241">
      <c r="A241" s="22">
        <v>240.0</v>
      </c>
      <c r="B241" s="26" t="s">
        <v>600</v>
      </c>
      <c r="C241" s="24" t="s">
        <v>44</v>
      </c>
      <c r="D241" s="24" t="s">
        <v>7</v>
      </c>
      <c r="E241" s="25">
        <v>1.0</v>
      </c>
    </row>
    <row r="242">
      <c r="A242" s="22">
        <v>241.0</v>
      </c>
      <c r="B242" s="26" t="s">
        <v>1016</v>
      </c>
      <c r="C242" s="24" t="s">
        <v>40</v>
      </c>
      <c r="D242" s="24" t="s">
        <v>7</v>
      </c>
      <c r="E242" s="25">
        <v>1.0</v>
      </c>
    </row>
    <row r="243">
      <c r="A243" s="22">
        <v>242.0</v>
      </c>
      <c r="B243" s="26" t="s">
        <v>518</v>
      </c>
      <c r="C243" s="24" t="s">
        <v>1007</v>
      </c>
      <c r="D243" s="24" t="s">
        <v>7</v>
      </c>
      <c r="E243" s="25">
        <v>1.0</v>
      </c>
    </row>
    <row r="244">
      <c r="A244" s="22">
        <v>243.0</v>
      </c>
      <c r="B244" s="26" t="s">
        <v>529</v>
      </c>
      <c r="C244" s="24" t="s">
        <v>44</v>
      </c>
      <c r="D244" s="24" t="s">
        <v>7</v>
      </c>
      <c r="E244" s="25">
        <v>1.0</v>
      </c>
    </row>
    <row r="245">
      <c r="A245" s="22">
        <v>244.0</v>
      </c>
      <c r="B245" s="26" t="s">
        <v>551</v>
      </c>
      <c r="C245" s="24" t="s">
        <v>59</v>
      </c>
      <c r="D245" s="24" t="s">
        <v>7</v>
      </c>
      <c r="E245" s="25">
        <v>1.0</v>
      </c>
    </row>
    <row r="246">
      <c r="A246" s="22">
        <v>245.0</v>
      </c>
      <c r="B246" s="26" t="s">
        <v>328</v>
      </c>
      <c r="C246" s="24" t="s">
        <v>96</v>
      </c>
      <c r="D246" s="24" t="s">
        <v>7</v>
      </c>
      <c r="E246" s="25">
        <v>1.0</v>
      </c>
    </row>
    <row r="247">
      <c r="A247" s="22">
        <v>246.0</v>
      </c>
      <c r="B247" s="26" t="s">
        <v>779</v>
      </c>
      <c r="C247" s="24" t="s">
        <v>6</v>
      </c>
      <c r="D247" s="24" t="s">
        <v>7</v>
      </c>
      <c r="E247" s="25">
        <v>1.0</v>
      </c>
    </row>
    <row r="248">
      <c r="A248" s="22">
        <v>247.0</v>
      </c>
      <c r="B248" s="26" t="s">
        <v>547</v>
      </c>
      <c r="C248" s="24" t="s">
        <v>12</v>
      </c>
      <c r="D248" s="24" t="s">
        <v>7</v>
      </c>
      <c r="E248" s="25">
        <v>1.0</v>
      </c>
    </row>
    <row r="249">
      <c r="A249" s="22">
        <v>248.0</v>
      </c>
      <c r="B249" s="26" t="s">
        <v>1044</v>
      </c>
      <c r="C249" s="24" t="s">
        <v>233</v>
      </c>
      <c r="D249" s="24" t="s">
        <v>7</v>
      </c>
      <c r="E249" s="25">
        <v>1.0</v>
      </c>
    </row>
    <row r="250">
      <c r="A250" s="22">
        <v>249.0</v>
      </c>
      <c r="B250" s="26" t="s">
        <v>797</v>
      </c>
      <c r="C250" s="24" t="s">
        <v>12</v>
      </c>
      <c r="D250" s="24" t="s">
        <v>7</v>
      </c>
      <c r="E250" s="25">
        <v>1.0</v>
      </c>
    </row>
    <row r="251">
      <c r="A251" s="22">
        <v>250.0</v>
      </c>
      <c r="B251" s="26" t="s">
        <v>604</v>
      </c>
      <c r="C251" s="24" t="s">
        <v>92</v>
      </c>
      <c r="D251" s="24" t="s">
        <v>7</v>
      </c>
      <c r="E251" s="25">
        <v>1.0</v>
      </c>
    </row>
    <row r="252">
      <c r="A252" s="22">
        <v>251.0</v>
      </c>
      <c r="B252" s="26" t="s">
        <v>385</v>
      </c>
      <c r="C252" s="24" t="s">
        <v>14</v>
      </c>
      <c r="D252" s="24" t="s">
        <v>7</v>
      </c>
      <c r="E252" s="25">
        <v>1.0</v>
      </c>
    </row>
    <row r="253">
      <c r="A253" s="22">
        <v>252.0</v>
      </c>
      <c r="B253" s="26" t="s">
        <v>425</v>
      </c>
      <c r="C253" s="24" t="s">
        <v>59</v>
      </c>
      <c r="D253" s="24" t="s">
        <v>7</v>
      </c>
      <c r="E253" s="25">
        <v>1.0</v>
      </c>
    </row>
    <row r="254">
      <c r="A254" s="22">
        <v>253.0</v>
      </c>
      <c r="B254" s="26" t="s">
        <v>516</v>
      </c>
      <c r="C254" s="24" t="s">
        <v>18</v>
      </c>
      <c r="D254" s="24" t="s">
        <v>7</v>
      </c>
      <c r="E254" s="25">
        <v>1.0</v>
      </c>
    </row>
    <row r="255">
      <c r="A255" s="22">
        <v>254.0</v>
      </c>
      <c r="B255" s="26" t="s">
        <v>789</v>
      </c>
      <c r="C255" s="24" t="s">
        <v>1007</v>
      </c>
      <c r="D255" s="24" t="s">
        <v>7</v>
      </c>
      <c r="E255" s="25">
        <v>1.0</v>
      </c>
    </row>
    <row r="256">
      <c r="A256" s="22">
        <v>255.0</v>
      </c>
      <c r="B256" s="26" t="s">
        <v>531</v>
      </c>
      <c r="C256" s="24" t="s">
        <v>96</v>
      </c>
      <c r="D256" s="24" t="s">
        <v>7</v>
      </c>
      <c r="E256" s="25">
        <v>1.0</v>
      </c>
    </row>
    <row r="257">
      <c r="A257" s="22">
        <v>256.0</v>
      </c>
      <c r="B257" s="26" t="s">
        <v>1020</v>
      </c>
      <c r="C257" s="24" t="s">
        <v>134</v>
      </c>
      <c r="D257" s="24" t="s">
        <v>7</v>
      </c>
      <c r="E257" s="25">
        <v>1.0</v>
      </c>
    </row>
    <row r="258">
      <c r="A258" s="22">
        <v>257.0</v>
      </c>
      <c r="B258" s="26" t="s">
        <v>1013</v>
      </c>
      <c r="C258" s="24" t="s">
        <v>56</v>
      </c>
      <c r="D258" s="24" t="s">
        <v>7</v>
      </c>
      <c r="E258" s="25">
        <v>1.0</v>
      </c>
    </row>
    <row r="259">
      <c r="A259" s="22">
        <v>258.0</v>
      </c>
      <c r="B259" s="26" t="s">
        <v>786</v>
      </c>
      <c r="C259" s="24" t="s">
        <v>40</v>
      </c>
      <c r="D259" s="24" t="s">
        <v>7</v>
      </c>
      <c r="E259" s="25">
        <v>1.0</v>
      </c>
    </row>
    <row r="260">
      <c r="A260" s="22">
        <v>259.0</v>
      </c>
      <c r="B260" s="26" t="s">
        <v>415</v>
      </c>
      <c r="C260" s="24" t="s">
        <v>34</v>
      </c>
      <c r="D260" s="24" t="s">
        <v>7</v>
      </c>
      <c r="E260" s="25">
        <v>1.0</v>
      </c>
    </row>
    <row r="261">
      <c r="A261" s="22">
        <v>260.0</v>
      </c>
      <c r="B261" s="26" t="s">
        <v>523</v>
      </c>
      <c r="C261" s="24" t="s">
        <v>59</v>
      </c>
      <c r="D261" s="24" t="s">
        <v>7</v>
      </c>
      <c r="E261" s="25">
        <v>1.0</v>
      </c>
    </row>
  </sheetData>
  <autoFilter ref="$A$1:$E$2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A2" s="30">
        <v>1.0</v>
      </c>
      <c r="B2" s="13" t="s">
        <v>13</v>
      </c>
      <c r="C2" s="5" t="str">
        <f>vlookup(B2,Masterview!$A$2:$C$977, 3, FALSE)</f>
        <v>DAL</v>
      </c>
      <c r="D2" s="5" t="s">
        <v>7</v>
      </c>
      <c r="E2" s="31">
        <v>54.0</v>
      </c>
    </row>
    <row r="3">
      <c r="A3" s="30">
        <v>2.0</v>
      </c>
      <c r="B3" s="13" t="s">
        <v>5</v>
      </c>
      <c r="C3" s="5" t="str">
        <f>vlookup(B3,Masterview!$A$2:$C$977, 3, FALSE)</f>
        <v>CAR</v>
      </c>
      <c r="D3" s="5" t="s">
        <v>7</v>
      </c>
      <c r="E3" s="31">
        <v>52.0</v>
      </c>
    </row>
    <row r="4">
      <c r="A4" s="30">
        <v>3.0</v>
      </c>
      <c r="B4" s="13" t="s">
        <v>28</v>
      </c>
      <c r="C4" s="5" t="str">
        <f>vlookup(B4,Masterview!$A$2:$C$977, 3, FALSE)</f>
        <v>NYG</v>
      </c>
      <c r="D4" s="5" t="s">
        <v>7</v>
      </c>
      <c r="E4" s="31">
        <v>52.0</v>
      </c>
    </row>
    <row r="5">
      <c r="A5" s="30">
        <v>4.0</v>
      </c>
      <c r="B5" s="13" t="s">
        <v>43</v>
      </c>
      <c r="C5" s="5" t="str">
        <f>vlookup(B5,Masterview!$A$2:$C$977, 3, FALSE)</f>
        <v>ATL</v>
      </c>
      <c r="D5" s="5" t="s">
        <v>25</v>
      </c>
      <c r="E5" s="31">
        <v>50.0</v>
      </c>
    </row>
    <row r="6">
      <c r="A6" s="30">
        <v>5.0</v>
      </c>
      <c r="B6" s="13" t="s">
        <v>35</v>
      </c>
      <c r="C6" s="5" t="str">
        <f>vlookup(B6,Masterview!$A$2:$C$977, 3, FALSE)</f>
        <v>KC</v>
      </c>
      <c r="D6" s="5" t="s">
        <v>7</v>
      </c>
      <c r="E6" s="31">
        <v>48.0</v>
      </c>
    </row>
    <row r="7">
      <c r="A7" s="30">
        <v>6.0</v>
      </c>
      <c r="B7" s="13" t="s">
        <v>23</v>
      </c>
      <c r="C7" s="5" t="str">
        <f>vlookup(B7,Masterview!$A$2:$C$977, 3, FALSE)</f>
        <v>NO</v>
      </c>
      <c r="D7" s="5" t="s">
        <v>25</v>
      </c>
      <c r="E7" s="31">
        <v>48.0</v>
      </c>
    </row>
    <row r="8">
      <c r="A8" s="30">
        <v>7.0</v>
      </c>
      <c r="B8" s="13" t="s">
        <v>36</v>
      </c>
      <c r="C8" s="5" t="str">
        <f>vlookup(B8,Masterview!$A$2:$C$977, 3, FALSE)</f>
        <v>NO</v>
      </c>
      <c r="D8" s="5" t="s">
        <v>7</v>
      </c>
      <c r="E8" s="31">
        <v>46.0</v>
      </c>
    </row>
    <row r="9">
      <c r="A9" s="30">
        <v>8.0</v>
      </c>
      <c r="B9" s="13" t="s">
        <v>55</v>
      </c>
      <c r="C9" s="5" t="str">
        <f>vlookup(B9,Masterview!$A$2:$C$977, 3, FALSE)</f>
        <v>GB</v>
      </c>
      <c r="D9" s="5" t="s">
        <v>25</v>
      </c>
      <c r="E9" s="31">
        <v>46.0</v>
      </c>
    </row>
    <row r="10">
      <c r="A10" s="30">
        <v>9.0</v>
      </c>
      <c r="B10" s="13" t="s">
        <v>8</v>
      </c>
      <c r="C10" s="5" t="str">
        <f>vlookup(B10,Masterview!$A$2:$C$977, 3, FALSE)</f>
        <v>KC</v>
      </c>
      <c r="D10" s="5" t="s">
        <v>10</v>
      </c>
      <c r="E10" s="31">
        <v>46.0</v>
      </c>
    </row>
    <row r="11">
      <c r="A11" s="30">
        <v>10.0</v>
      </c>
      <c r="B11" s="13" t="s">
        <v>21</v>
      </c>
      <c r="C11" s="5" t="str">
        <f>vlookup(B11,Masterview!$A$2:$C$977, 3, FALSE)</f>
        <v>MIN</v>
      </c>
      <c r="D11" s="5" t="s">
        <v>7</v>
      </c>
      <c r="E11" s="31">
        <v>42.0</v>
      </c>
    </row>
    <row r="12">
      <c r="A12" s="30">
        <v>11.0</v>
      </c>
      <c r="B12" s="13" t="s">
        <v>51</v>
      </c>
      <c r="C12" s="5" t="str">
        <f>vlookup(B12,Masterview!$A$2:$C$977, 3, FALSE)</f>
        <v>ARI</v>
      </c>
      <c r="D12" s="5" t="s">
        <v>25</v>
      </c>
      <c r="E12" s="31">
        <v>42.0</v>
      </c>
    </row>
    <row r="13">
      <c r="A13" s="30">
        <v>12.0</v>
      </c>
      <c r="B13" s="13" t="s">
        <v>30</v>
      </c>
      <c r="C13" s="5" t="str">
        <f>vlookup(B13,Masterview!$A$2:$C$977, 3, FALSE)</f>
        <v>KC</v>
      </c>
      <c r="D13" s="5" t="s">
        <v>25</v>
      </c>
      <c r="E13" s="31">
        <v>40.0</v>
      </c>
    </row>
    <row r="14">
      <c r="A14" s="30">
        <v>13.0</v>
      </c>
      <c r="B14" s="13" t="s">
        <v>33</v>
      </c>
      <c r="C14" s="5" t="str">
        <f>vlookup(B14,Masterview!$A$2:$C$977, 3, FALSE)</f>
        <v>TEN</v>
      </c>
      <c r="D14" s="5" t="s">
        <v>7</v>
      </c>
      <c r="E14" s="31">
        <v>38.0</v>
      </c>
    </row>
    <row r="15">
      <c r="A15" s="30">
        <v>14.0</v>
      </c>
      <c r="B15" s="13" t="s">
        <v>15</v>
      </c>
      <c r="C15" s="5" t="str">
        <f>vlookup(B15,Masterview!$A$2:$C$977, 3, FALSE)</f>
        <v>KC</v>
      </c>
      <c r="D15" s="5" t="s">
        <v>16</v>
      </c>
      <c r="E15" s="31">
        <v>38.0</v>
      </c>
    </row>
    <row r="16">
      <c r="A16" s="30">
        <v>15.0</v>
      </c>
      <c r="B16" s="13" t="s">
        <v>37</v>
      </c>
      <c r="C16" s="5" t="str">
        <f>vlookup(B16,Masterview!$A$2:$C$977, 3, FALSE)</f>
        <v>TB</v>
      </c>
      <c r="D16" s="5" t="s">
        <v>25</v>
      </c>
      <c r="E16" s="31">
        <v>36.0</v>
      </c>
    </row>
    <row r="17">
      <c r="A17" s="30">
        <v>16.0</v>
      </c>
      <c r="B17" s="13" t="s">
        <v>60</v>
      </c>
      <c r="C17" s="5" t="str">
        <f>vlookup(B17,Masterview!$A$2:$C$977, 3, FALSE)</f>
        <v>CIN</v>
      </c>
      <c r="D17" s="5" t="s">
        <v>7</v>
      </c>
      <c r="E17" s="31">
        <v>34.0</v>
      </c>
    </row>
    <row r="18">
      <c r="A18" s="30">
        <v>17.0</v>
      </c>
      <c r="B18" s="13" t="s">
        <v>88</v>
      </c>
      <c r="C18" s="5" t="str">
        <f>vlookup(B18,Masterview!$A$2:$C$977, 3, FALSE)</f>
        <v>ARI</v>
      </c>
      <c r="D18" s="5" t="s">
        <v>7</v>
      </c>
      <c r="E18" s="31">
        <v>34.0</v>
      </c>
    </row>
    <row r="19">
      <c r="A19" s="30">
        <v>18.0</v>
      </c>
      <c r="B19" s="13" t="s">
        <v>83</v>
      </c>
      <c r="C19" s="5" t="str">
        <f>vlookup(B19,Masterview!$A$2:$C$977, 3, FALSE)</f>
        <v>CLE</v>
      </c>
      <c r="D19" s="5" t="s">
        <v>25</v>
      </c>
      <c r="E19" s="31">
        <v>34.0</v>
      </c>
    </row>
    <row r="20">
      <c r="A20" s="30">
        <v>19.0</v>
      </c>
      <c r="B20" s="13" t="s">
        <v>95</v>
      </c>
      <c r="C20" s="5" t="str">
        <f>vlookup(B20,Masterview!$A$2:$C$977, 3, FALSE)</f>
        <v>LAC</v>
      </c>
      <c r="D20" s="5" t="s">
        <v>7</v>
      </c>
      <c r="E20" s="31">
        <v>32.0</v>
      </c>
    </row>
    <row r="21">
      <c r="A21" s="30">
        <v>20.0</v>
      </c>
      <c r="B21" s="13" t="s">
        <v>17</v>
      </c>
      <c r="C21" s="5" t="str">
        <f>vlookup(B21,Masterview!$A$2:$C$977, 3, FALSE)</f>
        <v>LV</v>
      </c>
      <c r="D21" s="5" t="s">
        <v>7</v>
      </c>
      <c r="E21" s="31">
        <v>32.0</v>
      </c>
    </row>
    <row r="22">
      <c r="A22" s="30">
        <v>21.0</v>
      </c>
      <c r="B22" s="13" t="s">
        <v>133</v>
      </c>
      <c r="C22" s="5" t="str">
        <f>vlookup(B22,Masterview!$A$2:$C$977, 3, FALSE)</f>
        <v>NYJ</v>
      </c>
      <c r="D22" s="5" t="s">
        <v>7</v>
      </c>
      <c r="E22" s="31">
        <v>32.0</v>
      </c>
    </row>
    <row r="23">
      <c r="A23" s="30">
        <v>22.0</v>
      </c>
      <c r="B23" s="13" t="s">
        <v>53</v>
      </c>
      <c r="C23" s="5" t="str">
        <f>vlookup(B23,Masterview!$A$2:$C$977, 3, FALSE)</f>
        <v>CLE</v>
      </c>
      <c r="D23" s="5" t="s">
        <v>7</v>
      </c>
      <c r="E23" s="31">
        <v>32.0</v>
      </c>
    </row>
    <row r="24">
      <c r="A24" s="30">
        <v>23.0</v>
      </c>
      <c r="B24" s="13" t="s">
        <v>66</v>
      </c>
      <c r="C24" s="5" t="str">
        <f>vlookup(B24,Masterview!$A$2:$C$977, 3, FALSE)</f>
        <v>DAL</v>
      </c>
      <c r="D24" s="5" t="s">
        <v>25</v>
      </c>
      <c r="E24" s="31">
        <v>30.0</v>
      </c>
    </row>
    <row r="25">
      <c r="A25" s="30">
        <v>24.0</v>
      </c>
      <c r="B25" s="13" t="s">
        <v>46</v>
      </c>
      <c r="C25" s="5" t="str">
        <f>vlookup(B25,Masterview!$A$2:$C$977, 3, FALSE)</f>
        <v>TB</v>
      </c>
      <c r="D25" s="5" t="s">
        <v>25</v>
      </c>
      <c r="E25" s="31">
        <v>30.0</v>
      </c>
    </row>
    <row r="26">
      <c r="A26" s="30">
        <v>25.0</v>
      </c>
      <c r="B26" s="13" t="s">
        <v>71</v>
      </c>
      <c r="C26" s="5" t="str">
        <f>vlookup(B26,Masterview!$A$2:$C$977, 3, FALSE)</f>
        <v>CAR</v>
      </c>
      <c r="D26" s="5" t="s">
        <v>25</v>
      </c>
      <c r="E26" s="31">
        <v>30.0</v>
      </c>
    </row>
    <row r="27">
      <c r="A27" s="30">
        <v>26.0</v>
      </c>
      <c r="B27" s="13" t="s">
        <v>26</v>
      </c>
      <c r="C27" s="5" t="str">
        <f>vlookup(B27,Masterview!$A$2:$C$977, 3, FALSE)</f>
        <v>SF</v>
      </c>
      <c r="D27" s="5" t="s">
        <v>16</v>
      </c>
      <c r="E27" s="31">
        <v>30.0</v>
      </c>
    </row>
    <row r="28">
      <c r="A28" s="30">
        <v>27.0</v>
      </c>
      <c r="B28" s="13" t="s">
        <v>84</v>
      </c>
      <c r="C28" s="5" t="str">
        <f>vlookup(B28,Masterview!$A$2:$C$977, 3, FALSE)</f>
        <v>IND</v>
      </c>
      <c r="D28" s="5" t="s">
        <v>7</v>
      </c>
      <c r="E28" s="31">
        <v>30.0</v>
      </c>
    </row>
    <row r="29">
      <c r="A29" s="30">
        <v>28.0</v>
      </c>
      <c r="B29" s="13" t="s">
        <v>11</v>
      </c>
      <c r="C29" s="5" t="str">
        <f>vlookup(B29,Masterview!$A$2:$C$977, 3, FALSE)</f>
        <v>BAL</v>
      </c>
      <c r="D29" s="5" t="s">
        <v>10</v>
      </c>
      <c r="E29" s="31">
        <v>30.0</v>
      </c>
    </row>
    <row r="30">
      <c r="A30" s="30">
        <v>29.0</v>
      </c>
      <c r="B30" s="13" t="s">
        <v>31</v>
      </c>
      <c r="C30" s="5" t="str">
        <f>vlookup(B30,Masterview!$A$2:$C$977, 3, FALSE)</f>
        <v>PHI</v>
      </c>
      <c r="D30" s="5" t="s">
        <v>7</v>
      </c>
      <c r="E30" s="31">
        <v>30.0</v>
      </c>
    </row>
    <row r="31">
      <c r="A31" s="30">
        <v>30.0</v>
      </c>
      <c r="B31" s="13" t="s">
        <v>82</v>
      </c>
      <c r="C31" s="5" t="str">
        <f>vlookup(B31,Masterview!$A$2:$C$977, 3, FALSE)</f>
        <v>ATL</v>
      </c>
      <c r="D31" s="5" t="s">
        <v>7</v>
      </c>
      <c r="E31" s="31">
        <v>30.0</v>
      </c>
    </row>
    <row r="32">
      <c r="A32" s="30">
        <v>31.0</v>
      </c>
      <c r="B32" s="13" t="s">
        <v>65</v>
      </c>
      <c r="C32" s="5" t="str">
        <f>vlookup(B32,Masterview!$A$2:$C$977, 3, FALSE)</f>
        <v>GB</v>
      </c>
      <c r="D32" s="5" t="s">
        <v>7</v>
      </c>
      <c r="E32" s="31">
        <v>28.0</v>
      </c>
    </row>
    <row r="33">
      <c r="A33" s="30">
        <v>32.0</v>
      </c>
      <c r="B33" s="13" t="s">
        <v>57</v>
      </c>
      <c r="C33" s="5" t="str">
        <f>vlookup(B33,Masterview!$A$2:$C$977, 3, FALSE)</f>
        <v>MIN</v>
      </c>
      <c r="D33" s="5" t="s">
        <v>25</v>
      </c>
      <c r="E33" s="31">
        <v>28.0</v>
      </c>
    </row>
    <row r="34">
      <c r="A34" s="30">
        <v>33.0</v>
      </c>
      <c r="B34" s="13" t="s">
        <v>76</v>
      </c>
      <c r="C34" s="5" t="str">
        <f>vlookup(B34,Masterview!$A$2:$C$977, 3, FALSE)</f>
        <v>CHI</v>
      </c>
      <c r="D34" s="5" t="s">
        <v>25</v>
      </c>
      <c r="E34" s="31">
        <v>28.0</v>
      </c>
    </row>
    <row r="35">
      <c r="A35" s="30">
        <v>34.0</v>
      </c>
      <c r="B35" s="13" t="s">
        <v>67</v>
      </c>
      <c r="C35" s="5" t="str">
        <f>vlookup(B35,Masterview!$A$2:$C$977, 3, FALSE)</f>
        <v>HOU</v>
      </c>
      <c r="D35" s="5" t="s">
        <v>7</v>
      </c>
      <c r="E35" s="31">
        <v>28.0</v>
      </c>
    </row>
    <row r="36">
      <c r="A36" s="30">
        <v>35.0</v>
      </c>
      <c r="B36" s="13" t="s">
        <v>118</v>
      </c>
      <c r="C36" s="5" t="str">
        <f>vlookup(B36,Masterview!$A$2:$C$977, 3, FALSE)</f>
        <v>JAC</v>
      </c>
      <c r="D36" s="5" t="s">
        <v>7</v>
      </c>
      <c r="E36" s="31">
        <v>26.0</v>
      </c>
    </row>
    <row r="37">
      <c r="A37" s="30">
        <v>36.0</v>
      </c>
      <c r="B37" s="13" t="s">
        <v>152</v>
      </c>
      <c r="C37" s="5" t="str">
        <f>vlookup(B37,Masterview!$A$2:$C$977, 3, FALSE)</f>
        <v>BAL</v>
      </c>
      <c r="D37" s="5" t="s">
        <v>7</v>
      </c>
      <c r="E37" s="31">
        <v>26.0</v>
      </c>
    </row>
    <row r="38">
      <c r="A38" s="30">
        <v>37.0</v>
      </c>
      <c r="B38" s="13" t="s">
        <v>39</v>
      </c>
      <c r="C38" s="5" t="str">
        <f>vlookup(B38,Masterview!$A$2:$C$977, 3, FALSE)</f>
        <v>SEA</v>
      </c>
      <c r="D38" s="5" t="s">
        <v>10</v>
      </c>
      <c r="E38" s="31">
        <v>26.0</v>
      </c>
    </row>
    <row r="39">
      <c r="A39" s="30">
        <v>38.0</v>
      </c>
      <c r="B39" s="13" t="s">
        <v>41</v>
      </c>
      <c r="C39" s="5" t="str">
        <f>vlookup(B39,Masterview!$A$2:$C$977, 3, FALSE)</f>
        <v>SEA</v>
      </c>
      <c r="D39" s="5" t="s">
        <v>7</v>
      </c>
      <c r="E39" s="31">
        <v>24.0</v>
      </c>
    </row>
    <row r="40">
      <c r="A40" s="30">
        <v>39.0</v>
      </c>
      <c r="B40" s="13" t="s">
        <v>68</v>
      </c>
      <c r="C40" s="5" t="str">
        <f>vlookup(B40,Masterview!$A$2:$C$977, 3, FALSE)</f>
        <v>DET</v>
      </c>
      <c r="D40" s="5" t="s">
        <v>25</v>
      </c>
      <c r="E40" s="31">
        <v>24.0</v>
      </c>
    </row>
    <row r="41">
      <c r="A41" s="30">
        <v>40.0</v>
      </c>
      <c r="B41" s="13" t="s">
        <v>117</v>
      </c>
      <c r="C41" s="5" t="str">
        <f>vlookup(B41,Masterview!$A$2:$C$977, 3, FALSE)</f>
        <v>DEN</v>
      </c>
      <c r="D41" s="5" t="s">
        <v>7</v>
      </c>
      <c r="E41" s="31">
        <v>24.0</v>
      </c>
    </row>
    <row r="42">
      <c r="A42" s="30">
        <v>41.0</v>
      </c>
      <c r="B42" s="13" t="s">
        <v>116</v>
      </c>
      <c r="C42" s="5" t="str">
        <f>vlookup(B42,Masterview!$A$2:$C$977, 3, FALSE)</f>
        <v>SF</v>
      </c>
      <c r="D42" s="5" t="s">
        <v>7</v>
      </c>
      <c r="E42" s="31">
        <v>24.0</v>
      </c>
    </row>
    <row r="43">
      <c r="A43" s="30">
        <v>42.0</v>
      </c>
      <c r="B43" s="13" t="s">
        <v>164</v>
      </c>
      <c r="C43" s="5" t="str">
        <f>vlookup(B43,Masterview!$A$2:$C$977, 3, FALSE)</f>
        <v>LAR</v>
      </c>
      <c r="D43" s="5" t="s">
        <v>7</v>
      </c>
      <c r="E43" s="31">
        <v>22.0</v>
      </c>
    </row>
    <row r="44">
      <c r="A44" s="30">
        <v>43.0</v>
      </c>
      <c r="B44" s="13" t="s">
        <v>301</v>
      </c>
      <c r="C44" s="5" t="str">
        <f>vlookup(B44,Masterview!$A$2:$C$977, 3, FALSE)</f>
        <v>BAL</v>
      </c>
      <c r="D44" s="5" t="s">
        <v>7</v>
      </c>
      <c r="E44" s="31">
        <v>22.0</v>
      </c>
    </row>
    <row r="45">
      <c r="A45" s="30">
        <v>44.0</v>
      </c>
      <c r="B45" s="13" t="s">
        <v>112</v>
      </c>
      <c r="C45" s="5" t="str">
        <f>vlookup(B45,Masterview!$A$2:$C$977, 3, FALSE)</f>
        <v>PIT</v>
      </c>
      <c r="D45" s="5" t="s">
        <v>7</v>
      </c>
      <c r="E45" s="31">
        <v>22.0</v>
      </c>
    </row>
    <row r="46">
      <c r="A46" s="30">
        <v>45.0</v>
      </c>
      <c r="B46" s="13" t="s">
        <v>1045</v>
      </c>
      <c r="C46" s="5" t="str">
        <f>vlookup(B46,Masterview!$A$2:$C$977, 3, FALSE)</f>
        <v>PIT</v>
      </c>
      <c r="D46" s="5" t="s">
        <v>25</v>
      </c>
      <c r="E46" s="31">
        <v>22.0</v>
      </c>
    </row>
    <row r="47">
      <c r="A47" s="30">
        <v>46.0</v>
      </c>
      <c r="B47" s="13" t="s">
        <v>110</v>
      </c>
      <c r="C47" s="5" t="str">
        <f>vlookup(B47,Masterview!$A$2:$C$977, 3, FALSE)</f>
        <v>LAC</v>
      </c>
      <c r="D47" s="5" t="s">
        <v>25</v>
      </c>
      <c r="E47" s="31">
        <v>22.0</v>
      </c>
    </row>
    <row r="48">
      <c r="A48" s="30">
        <v>47.0</v>
      </c>
      <c r="B48" s="13" t="s">
        <v>89</v>
      </c>
      <c r="C48" s="5" t="str">
        <f>vlookup(B48,Masterview!$A$2:$C$977, 3, FALSE)</f>
        <v>LAR</v>
      </c>
      <c r="D48" s="5" t="s">
        <v>25</v>
      </c>
      <c r="E48" s="31">
        <v>22.0</v>
      </c>
    </row>
    <row r="49">
      <c r="A49" s="30">
        <v>48.0</v>
      </c>
      <c r="B49" s="13" t="s">
        <v>73</v>
      </c>
      <c r="C49" s="5" t="str">
        <f>vlookup(B49,Masterview!$A$2:$C$977, 3, FALSE)</f>
        <v>IND</v>
      </c>
      <c r="D49" s="5" t="s">
        <v>25</v>
      </c>
      <c r="E49" s="31">
        <v>22.0</v>
      </c>
    </row>
    <row r="50">
      <c r="A50" s="30">
        <v>49.0</v>
      </c>
      <c r="B50" s="13" t="s">
        <v>64</v>
      </c>
      <c r="C50" s="5" t="str">
        <f>vlookup(B50,Masterview!$A$2:$C$977, 3, FALSE)</f>
        <v>SEA</v>
      </c>
      <c r="D50" s="5" t="s">
        <v>25</v>
      </c>
      <c r="E50" s="31">
        <v>22.0</v>
      </c>
    </row>
    <row r="51">
      <c r="A51" s="30">
        <v>50.0</v>
      </c>
      <c r="B51" s="13" t="s">
        <v>79</v>
      </c>
      <c r="C51" s="5" t="str">
        <f>vlookup(B51,Masterview!$A$2:$C$977, 3, FALSE)</f>
        <v>TEN</v>
      </c>
      <c r="D51" s="5" t="s">
        <v>25</v>
      </c>
      <c r="E51" s="31">
        <v>20.0</v>
      </c>
    </row>
    <row r="52">
      <c r="A52" s="30">
        <v>51.0</v>
      </c>
      <c r="B52" s="13" t="s">
        <v>123</v>
      </c>
      <c r="C52" s="5" t="str">
        <f>vlookup(B52,Masterview!$A$2:$C$977, 3, FALSE)</f>
        <v>CIN</v>
      </c>
      <c r="D52" s="5" t="s">
        <v>25</v>
      </c>
      <c r="E52" s="31">
        <v>20.0</v>
      </c>
    </row>
    <row r="53">
      <c r="A53" s="30">
        <v>52.0</v>
      </c>
      <c r="B53" s="13" t="s">
        <v>80</v>
      </c>
      <c r="C53" s="5" t="str">
        <f>vlookup(B53,Masterview!$A$2:$C$977, 3, FALSE)</f>
        <v>ATL</v>
      </c>
      <c r="D53" s="5" t="s">
        <v>25</v>
      </c>
      <c r="E53" s="31">
        <v>20.0</v>
      </c>
    </row>
    <row r="54">
      <c r="A54" s="30">
        <v>53.0</v>
      </c>
      <c r="B54" s="13" t="s">
        <v>97</v>
      </c>
      <c r="C54" s="5" t="str">
        <f>vlookup(B54,Masterview!$A$2:$C$977, 3, FALSE)</f>
        <v>LAR</v>
      </c>
      <c r="D54" s="5" t="s">
        <v>25</v>
      </c>
      <c r="E54" s="31">
        <v>20.0</v>
      </c>
    </row>
    <row r="55">
      <c r="A55" s="30">
        <v>54.0</v>
      </c>
      <c r="B55" s="13" t="s">
        <v>153</v>
      </c>
      <c r="C55" s="5" t="str">
        <f>vlookup(B55,Masterview!$A$2:$C$977, 3, FALSE)</f>
        <v>DET</v>
      </c>
      <c r="D55" s="5" t="s">
        <v>7</v>
      </c>
      <c r="E55" s="31">
        <v>20.0</v>
      </c>
    </row>
    <row r="56">
      <c r="A56" s="30">
        <v>55.0</v>
      </c>
      <c r="B56" s="13" t="s">
        <v>45</v>
      </c>
      <c r="C56" s="5" t="str">
        <f>vlookup(B56,Masterview!$A$2:$C$977, 3, FALSE)</f>
        <v>DAL</v>
      </c>
      <c r="D56" s="5" t="s">
        <v>10</v>
      </c>
      <c r="E56" s="31">
        <v>20.0</v>
      </c>
    </row>
    <row r="57">
      <c r="A57" s="30">
        <v>56.0</v>
      </c>
      <c r="B57" s="13" t="s">
        <v>19</v>
      </c>
      <c r="C57" s="5" t="str">
        <f>vlookup(B57,Masterview!$A$2:$C$977, 3, FALSE)</f>
        <v>HOU</v>
      </c>
      <c r="D57" s="5" t="s">
        <v>10</v>
      </c>
      <c r="E57" s="31">
        <v>20.0</v>
      </c>
    </row>
    <row r="58">
      <c r="A58" s="30">
        <v>57.0</v>
      </c>
      <c r="B58" s="13" t="s">
        <v>87</v>
      </c>
      <c r="C58" s="5" t="str">
        <f>vlookup(B58,Masterview!$A$2:$C$977, 3, FALSE)</f>
        <v>ARI</v>
      </c>
      <c r="D58" s="5" t="s">
        <v>10</v>
      </c>
      <c r="E58" s="31">
        <v>20.0</v>
      </c>
    </row>
    <row r="59">
      <c r="A59" s="30">
        <v>58.0</v>
      </c>
      <c r="B59" s="13" t="s">
        <v>42</v>
      </c>
      <c r="C59" s="5" t="str">
        <f>vlookup(B59,Masterview!$A$2:$C$977, 3, FALSE)</f>
        <v>BAL</v>
      </c>
      <c r="D59" s="5" t="s">
        <v>16</v>
      </c>
      <c r="E59" s="31">
        <v>20.0</v>
      </c>
    </row>
    <row r="60">
      <c r="A60" s="30">
        <v>59.0</v>
      </c>
      <c r="B60" s="13" t="s">
        <v>106</v>
      </c>
      <c r="C60" s="5" t="str">
        <f>vlookup(B60,Masterview!$A$2:$C$977, 3, FALSE)</f>
        <v>BUF</v>
      </c>
      <c r="D60" s="5" t="s">
        <v>25</v>
      </c>
      <c r="E60" s="31">
        <v>20.0</v>
      </c>
    </row>
    <row r="61">
      <c r="A61" s="30">
        <v>60.0</v>
      </c>
      <c r="B61" s="13" t="s">
        <v>50</v>
      </c>
      <c r="C61" s="5" t="str">
        <f>vlookup(B61,Masterview!$A$2:$C$977, 3, FALSE)</f>
        <v>PHI</v>
      </c>
      <c r="D61" s="5" t="s">
        <v>16</v>
      </c>
      <c r="E61" s="31">
        <v>20.0</v>
      </c>
    </row>
    <row r="62">
      <c r="A62" s="30">
        <v>61.0</v>
      </c>
      <c r="B62" s="13" t="s">
        <v>127</v>
      </c>
      <c r="C62" s="5" t="str">
        <f>vlookup(B62,Masterview!$A$2:$C$977, 3, FALSE)</f>
        <v>GB</v>
      </c>
      <c r="D62" s="5" t="s">
        <v>10</v>
      </c>
      <c r="E62" s="31">
        <v>18.0</v>
      </c>
    </row>
    <row r="63">
      <c r="A63" s="30">
        <v>62.0</v>
      </c>
      <c r="B63" s="13" t="s">
        <v>101</v>
      </c>
      <c r="C63" s="5" t="str">
        <f>vlookup(B63,Masterview!$A$2:$C$977, 3, FALSE)</f>
        <v>MIA</v>
      </c>
      <c r="D63" s="5" t="s">
        <v>25</v>
      </c>
      <c r="E63" s="31">
        <v>18.0</v>
      </c>
    </row>
    <row r="64">
      <c r="A64" s="30">
        <v>63.0</v>
      </c>
      <c r="B64" s="13" t="s">
        <v>98</v>
      </c>
      <c r="C64" s="5" t="str">
        <f>vlookup(B64,Masterview!$A$2:$C$977, 3, FALSE)</f>
        <v>CLE</v>
      </c>
      <c r="D64" s="5" t="s">
        <v>25</v>
      </c>
      <c r="E64" s="31">
        <v>18.0</v>
      </c>
    </row>
    <row r="65">
      <c r="A65" s="30">
        <v>64.0</v>
      </c>
      <c r="B65" s="13" t="s">
        <v>292</v>
      </c>
      <c r="C65" s="5" t="str">
        <f>vlookup(B65,Masterview!$A$2:$C$977, 3, FALSE)</f>
        <v>CLE</v>
      </c>
      <c r="D65" s="5" t="s">
        <v>7</v>
      </c>
      <c r="E65" s="31">
        <v>18.0</v>
      </c>
    </row>
    <row r="66">
      <c r="A66" s="30">
        <v>65.0</v>
      </c>
      <c r="B66" s="13" t="s">
        <v>91</v>
      </c>
      <c r="C66" s="5" t="str">
        <f>vlookup(B66,Masterview!$A$2:$C$977, 3, FALSE)</f>
        <v>WAS</v>
      </c>
      <c r="D66" s="5" t="s">
        <v>25</v>
      </c>
      <c r="E66" s="31">
        <v>18.0</v>
      </c>
    </row>
    <row r="67">
      <c r="A67" s="30">
        <v>66.0</v>
      </c>
      <c r="B67" s="13" t="s">
        <v>109</v>
      </c>
      <c r="C67" s="5" t="str">
        <f>vlookup(B67,Masterview!$A$2:$C$977, 3, FALSE)</f>
        <v>HOU</v>
      </c>
      <c r="D67" s="5" t="s">
        <v>25</v>
      </c>
      <c r="E67" s="31">
        <v>16.0</v>
      </c>
    </row>
    <row r="68">
      <c r="A68" s="30">
        <v>67.0</v>
      </c>
      <c r="B68" s="13" t="s">
        <v>62</v>
      </c>
      <c r="C68" s="5" t="str">
        <f>vlookup(B68,Masterview!$A$2:$C$977, 3, FALSE)</f>
        <v>DEN</v>
      </c>
      <c r="D68" s="5" t="s">
        <v>25</v>
      </c>
      <c r="E68" s="31">
        <v>16.0</v>
      </c>
    </row>
    <row r="69">
      <c r="A69" s="30">
        <v>68.0</v>
      </c>
      <c r="B69" s="13" t="s">
        <v>103</v>
      </c>
      <c r="C69" s="5" t="str">
        <f>vlookup(B69,Masterview!$A$2:$C$977, 3, FALSE)</f>
        <v>JAC</v>
      </c>
      <c r="D69" s="5" t="s">
        <v>25</v>
      </c>
      <c r="E69" s="31">
        <v>16.0</v>
      </c>
    </row>
    <row r="70">
      <c r="A70" s="30">
        <v>69.0</v>
      </c>
      <c r="B70" s="13" t="s">
        <v>142</v>
      </c>
      <c r="C70" s="5" t="str">
        <f>vlookup(B70,Masterview!$A$2:$C$977, 3, FALSE)</f>
        <v>CHI</v>
      </c>
      <c r="D70" s="5" t="s">
        <v>7</v>
      </c>
      <c r="E70" s="31">
        <v>16.0</v>
      </c>
    </row>
    <row r="71">
      <c r="A71" s="30">
        <v>70.0</v>
      </c>
      <c r="B71" s="13" t="s">
        <v>75</v>
      </c>
      <c r="C71" s="5" t="str">
        <f>vlookup(B71,Masterview!$A$2:$C$977, 3, FALSE)</f>
        <v>SEA</v>
      </c>
      <c r="D71" s="5" t="s">
        <v>25</v>
      </c>
      <c r="E71" s="31">
        <v>16.0</v>
      </c>
    </row>
    <row r="72">
      <c r="A72" s="30">
        <v>71.0</v>
      </c>
      <c r="B72" s="13" t="s">
        <v>99</v>
      </c>
      <c r="C72" s="5" t="str">
        <f>vlookup(B72,Masterview!$A$2:$C$977, 3, FALSE)</f>
        <v>NO</v>
      </c>
      <c r="D72" s="5" t="s">
        <v>10</v>
      </c>
      <c r="E72" s="31">
        <v>16.0</v>
      </c>
    </row>
    <row r="73">
      <c r="A73" s="30">
        <v>72.0</v>
      </c>
      <c r="B73" s="13" t="s">
        <v>81</v>
      </c>
      <c r="C73" s="5" t="str">
        <f>vlookup(B73,Masterview!$A$2:$C$977, 3, FALSE)</f>
        <v>ATL</v>
      </c>
      <c r="D73" s="5" t="s">
        <v>10</v>
      </c>
      <c r="E73" s="31">
        <v>16.0</v>
      </c>
    </row>
    <row r="74">
      <c r="A74" s="30">
        <v>73.0</v>
      </c>
      <c r="B74" s="13" t="s">
        <v>145</v>
      </c>
      <c r="C74" s="5" t="str">
        <f>vlookup(B74,Masterview!$A$2:$C$977, 3, FALSE)</f>
        <v>DET</v>
      </c>
      <c r="D74" s="5" t="s">
        <v>10</v>
      </c>
      <c r="E74" s="31">
        <v>16.0</v>
      </c>
    </row>
    <row r="75">
      <c r="A75" s="30">
        <v>74.0</v>
      </c>
      <c r="B75" s="13" t="s">
        <v>114</v>
      </c>
      <c r="C75" s="5" t="str">
        <f>vlookup(B75,Masterview!$A$2:$C$977, 3, FALSE)</f>
        <v>TB</v>
      </c>
      <c r="D75" s="5" t="s">
        <v>16</v>
      </c>
      <c r="E75" s="31">
        <v>16.0</v>
      </c>
    </row>
    <row r="76">
      <c r="A76" s="30">
        <v>75.0</v>
      </c>
      <c r="B76" s="13" t="s">
        <v>219</v>
      </c>
      <c r="C76" s="5" t="str">
        <f>vlookup(B76,Masterview!$A$2:$C$977, 3, FALSE)</f>
        <v>DAL</v>
      </c>
      <c r="D76" s="5" t="s">
        <v>25</v>
      </c>
      <c r="E76" s="31">
        <v>14.0</v>
      </c>
    </row>
    <row r="77">
      <c r="A77" s="30">
        <v>76.0</v>
      </c>
      <c r="B77" s="13" t="s">
        <v>942</v>
      </c>
      <c r="C77" s="5" t="str">
        <f>vlookup(B77,Masterview!$A$2:$C$977, 3, FALSE)</f>
        <v>DET</v>
      </c>
      <c r="D77" s="5" t="s">
        <v>10</v>
      </c>
      <c r="E77" s="31">
        <v>14.0</v>
      </c>
    </row>
    <row r="78">
      <c r="A78" s="30">
        <v>77.0</v>
      </c>
      <c r="B78" s="13" t="s">
        <v>122</v>
      </c>
      <c r="C78" s="5" t="str">
        <f>vlookup(B78,Masterview!$A$2:$C$977, 3, FALSE)</f>
        <v>BUF</v>
      </c>
      <c r="D78" s="5" t="s">
        <v>7</v>
      </c>
      <c r="E78" s="31">
        <v>14.0</v>
      </c>
    </row>
    <row r="79">
      <c r="A79" s="30">
        <v>78.0</v>
      </c>
      <c r="B79" s="13" t="s">
        <v>163</v>
      </c>
      <c r="C79" s="5" t="str">
        <f>vlookup(B79,Masterview!$A$2:$C$977, 3, FALSE)</f>
        <v>DEN</v>
      </c>
      <c r="D79" s="5" t="s">
        <v>25</v>
      </c>
      <c r="E79" s="31">
        <v>14.0</v>
      </c>
    </row>
    <row r="80">
      <c r="A80" s="30">
        <v>79.0</v>
      </c>
      <c r="B80" s="13" t="s">
        <v>297</v>
      </c>
      <c r="C80" s="5" t="str">
        <f>vlookup(B80,Masterview!$A$2:$C$977, 3, FALSE)</f>
        <v>CIN</v>
      </c>
      <c r="D80" s="5" t="s">
        <v>10</v>
      </c>
      <c r="E80" s="31">
        <v>14.0</v>
      </c>
    </row>
    <row r="81">
      <c r="A81" s="30">
        <v>80.0</v>
      </c>
      <c r="B81" s="13" t="s">
        <v>293</v>
      </c>
      <c r="C81" s="5" t="str">
        <f>vlookup(B81,Masterview!$A$2:$C$977, 3, FALSE)</f>
        <v>MIA</v>
      </c>
      <c r="D81" s="5" t="s">
        <v>7</v>
      </c>
      <c r="E81" s="31">
        <v>14.0</v>
      </c>
    </row>
    <row r="82">
      <c r="A82" s="30">
        <v>81.0</v>
      </c>
      <c r="B82" s="13" t="s">
        <v>150</v>
      </c>
      <c r="C82" s="5" t="str">
        <f>vlookup(B82,Masterview!$A$2:$C$977, 3, FALSE)</f>
        <v>TB</v>
      </c>
      <c r="D82" s="5" t="s">
        <v>7</v>
      </c>
      <c r="E82" s="31">
        <v>14.0</v>
      </c>
    </row>
    <row r="83">
      <c r="A83" s="30">
        <v>82.0</v>
      </c>
      <c r="B83" s="13" t="s">
        <v>70</v>
      </c>
      <c r="C83" s="5" t="str">
        <f>vlookup(B83,Masterview!$A$2:$C$977, 3, FALSE)</f>
        <v>TB</v>
      </c>
      <c r="D83" s="5" t="s">
        <v>10</v>
      </c>
      <c r="E83" s="31">
        <v>14.0</v>
      </c>
    </row>
    <row r="84">
      <c r="A84" s="30">
        <v>83.0</v>
      </c>
      <c r="B84" s="13" t="s">
        <v>72</v>
      </c>
      <c r="C84" s="5" t="str">
        <f>vlookup(B84,Masterview!$A$2:$C$977, 3, FALSE)</f>
        <v>PHI</v>
      </c>
      <c r="D84" s="5" t="s">
        <v>10</v>
      </c>
      <c r="E84" s="31">
        <v>12.0</v>
      </c>
    </row>
    <row r="85">
      <c r="A85" s="30">
        <v>84.0</v>
      </c>
      <c r="B85" s="13" t="s">
        <v>49</v>
      </c>
      <c r="C85" s="5" t="str">
        <f>vlookup(B85,Masterview!$A$2:$C$977, 3, FALSE)</f>
        <v>LV</v>
      </c>
      <c r="D85" s="5" t="s">
        <v>16</v>
      </c>
      <c r="E85" s="31">
        <v>12.0</v>
      </c>
    </row>
    <row r="86">
      <c r="A86" s="30">
        <v>85.0</v>
      </c>
      <c r="B86" s="13" t="s">
        <v>119</v>
      </c>
      <c r="C86" s="5" t="str">
        <f>vlookup(B86,Masterview!$A$2:$C$977, 3, FALSE)</f>
        <v>ATL</v>
      </c>
      <c r="D86" s="5" t="s">
        <v>16</v>
      </c>
      <c r="E86" s="31">
        <v>12.0</v>
      </c>
    </row>
    <row r="87">
      <c r="A87" s="30">
        <v>86.0</v>
      </c>
      <c r="B87" s="13" t="s">
        <v>312</v>
      </c>
      <c r="C87" s="5" t="str">
        <f>vlookup(B87,Masterview!$A$2:$C$977, 3, FALSE)</f>
        <v>NE</v>
      </c>
      <c r="D87" s="5" t="s">
        <v>7</v>
      </c>
      <c r="E87" s="31">
        <v>12.0</v>
      </c>
    </row>
    <row r="88">
      <c r="A88" s="30">
        <v>87.0</v>
      </c>
      <c r="B88" s="13" t="s">
        <v>47</v>
      </c>
      <c r="C88" s="5" t="str">
        <f>vlookup(B88,Masterview!$A$2:$C$977, 3, FALSE)</f>
        <v>BUF</v>
      </c>
      <c r="D88" s="5" t="s">
        <v>10</v>
      </c>
      <c r="E88" s="31">
        <v>12.0</v>
      </c>
    </row>
    <row r="89">
      <c r="A89" s="30">
        <v>88.0</v>
      </c>
      <c r="B89" s="13" t="s">
        <v>113</v>
      </c>
      <c r="C89" s="5" t="str">
        <f>vlookup(B89,Masterview!$A$2:$C$977, 3, FALSE)</f>
        <v>NE</v>
      </c>
      <c r="D89" s="5" t="s">
        <v>25</v>
      </c>
      <c r="E89" s="31">
        <v>12.0</v>
      </c>
    </row>
    <row r="90">
      <c r="A90" s="30">
        <v>89.0</v>
      </c>
      <c r="B90" s="13" t="s">
        <v>237</v>
      </c>
      <c r="C90" s="5" t="str">
        <f>vlookup(B90,Masterview!$A$2:$C$977, 3, FALSE)</f>
        <v>MIN</v>
      </c>
      <c r="D90" s="5" t="s">
        <v>25</v>
      </c>
      <c r="E90" s="31">
        <v>12.0</v>
      </c>
    </row>
    <row r="91">
      <c r="A91" s="30">
        <v>90.0</v>
      </c>
      <c r="B91" s="13" t="s">
        <v>249</v>
      </c>
      <c r="C91" s="5" t="str">
        <f>vlookup(B91,Masterview!$A$2:$C$977, 3, FALSE)</f>
        <v>IND</v>
      </c>
      <c r="D91" s="5" t="s">
        <v>7</v>
      </c>
      <c r="E91" s="31">
        <v>12.0</v>
      </c>
    </row>
    <row r="92">
      <c r="A92" s="30">
        <v>91.0</v>
      </c>
      <c r="B92" s="13" t="s">
        <v>108</v>
      </c>
      <c r="C92" s="5" t="str">
        <f>vlookup(B92,Masterview!$A$2:$C$977, 3, FALSE)</f>
        <v>BAL</v>
      </c>
      <c r="D92" s="5" t="s">
        <v>25</v>
      </c>
      <c r="E92" s="31">
        <v>12.0</v>
      </c>
    </row>
    <row r="93">
      <c r="A93" s="30">
        <v>92.0</v>
      </c>
      <c r="B93" s="13" t="s">
        <v>137</v>
      </c>
      <c r="C93" s="5" t="str">
        <f>vlookup(B93,Masterview!$A$2:$C$977, 3, FALSE)</f>
        <v>CIN</v>
      </c>
      <c r="D93" s="5" t="s">
        <v>25</v>
      </c>
      <c r="E93" s="31">
        <v>12.0</v>
      </c>
    </row>
    <row r="94">
      <c r="A94" s="30">
        <v>93.0</v>
      </c>
      <c r="B94" s="13" t="s">
        <v>124</v>
      </c>
      <c r="C94" s="5" t="str">
        <f>vlookup(B94,Masterview!$A$2:$C$977, 3, FALSE)</f>
        <v>HOU</v>
      </c>
      <c r="D94" s="5" t="s">
        <v>25</v>
      </c>
      <c r="E94" s="31">
        <v>12.0</v>
      </c>
    </row>
    <row r="95">
      <c r="A95" s="30">
        <v>94.0</v>
      </c>
      <c r="B95" s="13" t="s">
        <v>359</v>
      </c>
      <c r="C95" s="5" t="str">
        <f>vlookup(B95,Masterview!$A$2:$C$977, 3, FALSE)</f>
        <v>WAS</v>
      </c>
      <c r="D95" s="5" t="s">
        <v>7</v>
      </c>
      <c r="E95" s="31">
        <v>10.0</v>
      </c>
    </row>
    <row r="96">
      <c r="A96" s="30">
        <v>95.0</v>
      </c>
      <c r="B96" s="13" t="s">
        <v>78</v>
      </c>
      <c r="C96" s="5" t="str">
        <f>vlookup(B96,Masterview!$A$2:$C$977, 3, FALSE)</f>
        <v>PIT</v>
      </c>
      <c r="D96" s="5" t="s">
        <v>10</v>
      </c>
      <c r="E96" s="31">
        <v>10.0</v>
      </c>
    </row>
    <row r="97">
      <c r="A97" s="30">
        <v>96.0</v>
      </c>
      <c r="B97" s="13" t="s">
        <v>222</v>
      </c>
      <c r="C97" s="5" t="str">
        <f>vlookup(B97,Masterview!$A$2:$C$977, 3, FALSE)</f>
        <v>SF</v>
      </c>
      <c r="D97" s="5" t="s">
        <v>25</v>
      </c>
      <c r="E97" s="31">
        <v>10.0</v>
      </c>
    </row>
    <row r="98">
      <c r="A98" s="30">
        <v>97.0</v>
      </c>
      <c r="B98" s="13" t="s">
        <v>85</v>
      </c>
      <c r="C98" s="5" t="str">
        <f>vlookup(B98,Masterview!$A$2:$C$977, 3, FALSE)</f>
        <v>NE</v>
      </c>
      <c r="D98" s="5" t="s">
        <v>10</v>
      </c>
      <c r="E98" s="31">
        <v>10.0</v>
      </c>
    </row>
    <row r="99">
      <c r="A99" s="30">
        <v>98.0</v>
      </c>
      <c r="B99" s="13" t="s">
        <v>105</v>
      </c>
      <c r="C99" s="5" t="str">
        <f>vlookup(B99,Masterview!$A$2:$C$977, 3, FALSE)</f>
        <v>NYG</v>
      </c>
      <c r="D99" s="5" t="s">
        <v>16</v>
      </c>
      <c r="E99" s="31">
        <v>10.0</v>
      </c>
    </row>
    <row r="100">
      <c r="A100" s="30">
        <v>99.0</v>
      </c>
      <c r="B100" s="13" t="s">
        <v>143</v>
      </c>
      <c r="C100" s="5" t="str">
        <f>vlookup(B100,Masterview!$A$2:$C$977, 3, FALSE)</f>
        <v>LV</v>
      </c>
      <c r="D100" s="5" t="s">
        <v>25</v>
      </c>
      <c r="E100" s="31">
        <v>10.0</v>
      </c>
    </row>
    <row r="101">
      <c r="A101" s="30">
        <v>100.0</v>
      </c>
      <c r="B101" s="13" t="s">
        <v>221</v>
      </c>
      <c r="C101" s="5" t="str">
        <f>vlookup(B101,Masterview!$A$2:$C$977, 3, FALSE)</f>
        <v>PHI</v>
      </c>
      <c r="D101" s="5" t="s">
        <v>25</v>
      </c>
      <c r="E101" s="31">
        <v>10.0</v>
      </c>
    </row>
    <row r="102">
      <c r="A102" s="30">
        <v>101.0</v>
      </c>
      <c r="B102" s="13" t="s">
        <v>111</v>
      </c>
      <c r="C102" s="5" t="str">
        <f>vlookup(B102,Masterview!$A$2:$C$977, 3, FALSE)</f>
        <v>DET</v>
      </c>
      <c r="D102" s="5" t="s">
        <v>25</v>
      </c>
      <c r="E102" s="31">
        <v>10.0</v>
      </c>
    </row>
    <row r="103">
      <c r="A103" s="30">
        <v>102.0</v>
      </c>
      <c r="B103" s="13" t="s">
        <v>93</v>
      </c>
      <c r="C103" s="5" t="str">
        <f>vlookup(B103,Masterview!$A$2:$C$977, 3, FALSE)</f>
        <v>DAL</v>
      </c>
      <c r="D103" s="5" t="s">
        <v>25</v>
      </c>
      <c r="E103" s="31">
        <v>10.0</v>
      </c>
    </row>
    <row r="104">
      <c r="A104" s="30">
        <v>103.0</v>
      </c>
      <c r="B104" s="13" t="s">
        <v>253</v>
      </c>
      <c r="C104" s="5" t="str">
        <f>vlookup(B104,Masterview!$A$2:$C$977, 3, FALSE)</f>
        <v>DEN</v>
      </c>
      <c r="D104" s="5" t="s">
        <v>7</v>
      </c>
      <c r="E104" s="31">
        <v>10.0</v>
      </c>
    </row>
    <row r="105">
      <c r="A105" s="30">
        <v>104.0</v>
      </c>
      <c r="B105" s="13" t="s">
        <v>944</v>
      </c>
      <c r="C105" s="5" t="str">
        <f>vlookup(B105,Masterview!$A$2:$C$977, 3, FALSE)</f>
        <v>MIA</v>
      </c>
      <c r="D105" s="5" t="s">
        <v>10</v>
      </c>
      <c r="E105" s="31">
        <v>10.0</v>
      </c>
    </row>
    <row r="106">
      <c r="A106" s="30">
        <v>105.0</v>
      </c>
      <c r="B106" s="13" t="s">
        <v>107</v>
      </c>
      <c r="C106" s="5" t="str">
        <f>vlookup(B106,Masterview!$A$2:$C$977, 3, FALSE)</f>
        <v>LAR</v>
      </c>
      <c r="D106" s="5" t="s">
        <v>16</v>
      </c>
      <c r="E106" s="31">
        <v>10.0</v>
      </c>
    </row>
    <row r="107">
      <c r="A107" s="30">
        <v>106.0</v>
      </c>
      <c r="B107" s="13" t="s">
        <v>277</v>
      </c>
      <c r="C107" s="5" t="str">
        <f>vlookup(B107,Masterview!$A$2:$C$977, 3, FALSE)</f>
        <v>BUF</v>
      </c>
      <c r="D107" s="5" t="s">
        <v>7</v>
      </c>
      <c r="E107" s="31">
        <v>10.0</v>
      </c>
    </row>
    <row r="108">
      <c r="A108" s="30">
        <v>107.0</v>
      </c>
      <c r="B108" s="13" t="s">
        <v>331</v>
      </c>
      <c r="C108" s="5" t="str">
        <f>vlookup(B108,Masterview!$A$2:$C$977, 3, FALSE)</f>
        <v>FA</v>
      </c>
      <c r="D108" s="5" t="s">
        <v>7</v>
      </c>
      <c r="E108" s="31">
        <v>8.0</v>
      </c>
    </row>
    <row r="109">
      <c r="A109" s="30">
        <v>108.0</v>
      </c>
      <c r="B109" s="13" t="s">
        <v>534</v>
      </c>
      <c r="C109" s="5" t="str">
        <f>vlookup(B109,Masterview!$A$2:$C$977, 3, FALSE)</f>
        <v>GB</v>
      </c>
      <c r="D109" s="5" t="s">
        <v>7</v>
      </c>
      <c r="E109" s="31">
        <v>8.0</v>
      </c>
    </row>
    <row r="110">
      <c r="A110" s="30">
        <v>109.0</v>
      </c>
      <c r="B110" s="13" t="s">
        <v>286</v>
      </c>
      <c r="C110" s="5" t="str">
        <f>vlookup(B110,Masterview!$A$2:$C$977, 3, FALSE)</f>
        <v>CLE</v>
      </c>
      <c r="D110" s="5" t="s">
        <v>10</v>
      </c>
      <c r="E110" s="31">
        <v>8.0</v>
      </c>
    </row>
    <row r="111">
      <c r="A111" s="30">
        <v>110.0</v>
      </c>
      <c r="B111" s="13" t="s">
        <v>604</v>
      </c>
      <c r="C111" s="5" t="str">
        <f>vlookup(B111,Masterview!$A$2:$C$977, 3, FALSE)</f>
        <v>WAS</v>
      </c>
      <c r="D111" s="5" t="s">
        <v>7</v>
      </c>
      <c r="E111" s="31">
        <v>8.0</v>
      </c>
    </row>
    <row r="112">
      <c r="A112" s="30">
        <v>111.0</v>
      </c>
      <c r="B112" s="13" t="s">
        <v>248</v>
      </c>
      <c r="C112" s="5" t="str">
        <f>vlookup(B112,Masterview!$A$2:$C$977, 3, FALSE)</f>
        <v>NYG</v>
      </c>
      <c r="D112" s="5" t="s">
        <v>10</v>
      </c>
      <c r="E112" s="31">
        <v>8.0</v>
      </c>
    </row>
    <row r="113">
      <c r="A113" s="30">
        <v>112.0</v>
      </c>
      <c r="B113" s="13" t="s">
        <v>156</v>
      </c>
      <c r="C113" s="5" t="str">
        <f>vlookup(B113,Masterview!$A$2:$C$977, 3, FALSE)</f>
        <v>NYG</v>
      </c>
      <c r="D113" s="5" t="s">
        <v>25</v>
      </c>
      <c r="E113" s="31">
        <v>8.0</v>
      </c>
    </row>
    <row r="114">
      <c r="A114" s="30">
        <v>113.0</v>
      </c>
      <c r="B114" s="13" t="s">
        <v>646</v>
      </c>
      <c r="C114" s="5" t="str">
        <f>vlookup(B114,Masterview!$A$2:$C$977, 3, FALSE)</f>
        <v>SF</v>
      </c>
      <c r="D114" s="5" t="s">
        <v>25</v>
      </c>
      <c r="E114" s="31">
        <v>8.0</v>
      </c>
    </row>
    <row r="115">
      <c r="A115" s="30">
        <v>114.0</v>
      </c>
      <c r="B115" s="13" t="s">
        <v>100</v>
      </c>
      <c r="C115" s="5" t="str">
        <f>vlookup(B115,Masterview!$A$2:$C$977, 3, FALSE)</f>
        <v>LV</v>
      </c>
      <c r="D115" s="5" t="s">
        <v>10</v>
      </c>
      <c r="E115" s="31">
        <v>8.0</v>
      </c>
    </row>
    <row r="116">
      <c r="A116" s="30">
        <v>115.0</v>
      </c>
      <c r="B116" s="13" t="s">
        <v>121</v>
      </c>
      <c r="C116" s="5" t="str">
        <f>vlookup(B116,Masterview!$A$2:$C$977, 3, FALSE)</f>
        <v>PIT</v>
      </c>
      <c r="D116" s="5" t="s">
        <v>25</v>
      </c>
      <c r="E116" s="31">
        <v>8.0</v>
      </c>
    </row>
    <row r="117">
      <c r="A117" s="30">
        <v>116.0</v>
      </c>
      <c r="B117" s="13" t="s">
        <v>138</v>
      </c>
      <c r="C117" s="5" t="str">
        <f>vlookup(B117,Masterview!$A$2:$C$977, 3, FALSE)</f>
        <v>NO</v>
      </c>
      <c r="D117" s="5" t="s">
        <v>25</v>
      </c>
      <c r="E117" s="31">
        <v>8.0</v>
      </c>
    </row>
    <row r="118">
      <c r="A118" s="30">
        <v>117.0</v>
      </c>
      <c r="B118" s="13" t="s">
        <v>246</v>
      </c>
      <c r="C118" s="5" t="str">
        <f>vlookup(B118,Masterview!$A$2:$C$977, 3, FALSE)</f>
        <v>JAC</v>
      </c>
      <c r="D118" s="5" t="s">
        <v>10</v>
      </c>
      <c r="E118" s="31">
        <v>8.0</v>
      </c>
    </row>
    <row r="119">
      <c r="A119" s="30">
        <v>118.0</v>
      </c>
      <c r="B119" s="13" t="s">
        <v>155</v>
      </c>
      <c r="C119" s="5" t="str">
        <f>vlookup(B119,Masterview!$A$2:$C$977, 3, FALSE)</f>
        <v>NYG</v>
      </c>
      <c r="D119" s="5" t="s">
        <v>25</v>
      </c>
      <c r="E119" s="31">
        <v>8.0</v>
      </c>
    </row>
    <row r="120">
      <c r="A120" s="30">
        <v>119.0</v>
      </c>
      <c r="B120" s="13" t="s">
        <v>120</v>
      </c>
      <c r="C120" s="5" t="str">
        <f>vlookup(B120,Masterview!$A$2:$C$977, 3, FALSE)</f>
        <v>LAC</v>
      </c>
      <c r="D120" s="5" t="s">
        <v>16</v>
      </c>
      <c r="E120" s="31">
        <v>8.0</v>
      </c>
    </row>
    <row r="121">
      <c r="A121" s="30">
        <v>120.0</v>
      </c>
      <c r="B121" s="13" t="s">
        <v>94</v>
      </c>
      <c r="C121" s="5" t="str">
        <f>vlookup(B121,Masterview!$A$2:$C$977, 3, FALSE)</f>
        <v>NO</v>
      </c>
      <c r="D121" s="5" t="s">
        <v>16</v>
      </c>
      <c r="E121" s="31">
        <v>8.0</v>
      </c>
    </row>
    <row r="122">
      <c r="A122" s="30">
        <v>121.0</v>
      </c>
      <c r="B122" s="13" t="s">
        <v>182</v>
      </c>
      <c r="C122" s="5" t="str">
        <f>vlookup(B122,Masterview!$A$2:$C$977, 3, FALSE)</f>
        <v>LAR</v>
      </c>
      <c r="D122" s="5" t="s">
        <v>10</v>
      </c>
      <c r="E122" s="31">
        <v>8.0</v>
      </c>
    </row>
    <row r="123">
      <c r="A123" s="30">
        <v>122.0</v>
      </c>
      <c r="B123" s="13" t="s">
        <v>135</v>
      </c>
      <c r="C123" s="5" t="str">
        <f>vlookup(B123,Masterview!$A$2:$C$977, 3, FALSE)</f>
        <v>BUF</v>
      </c>
      <c r="D123" s="5" t="s">
        <v>25</v>
      </c>
      <c r="E123" s="31">
        <v>8.0</v>
      </c>
    </row>
    <row r="124">
      <c r="A124" s="30">
        <v>123.0</v>
      </c>
      <c r="B124" s="13" t="s">
        <v>531</v>
      </c>
      <c r="C124" s="5" t="str">
        <f>vlookup(B124,Masterview!$A$2:$C$977, 3, FALSE)</f>
        <v>LAC</v>
      </c>
      <c r="D124" s="5" t="s">
        <v>7</v>
      </c>
      <c r="E124" s="31">
        <v>8.0</v>
      </c>
    </row>
    <row r="125">
      <c r="A125" s="30">
        <v>124.0</v>
      </c>
      <c r="B125" s="13" t="s">
        <v>770</v>
      </c>
      <c r="C125" s="5" t="str">
        <f>vlookup(B125,Masterview!$A$2:$C$977, 3, FALSE)</f>
        <v>TB</v>
      </c>
      <c r="D125" s="5" t="s">
        <v>7</v>
      </c>
      <c r="E125" s="31">
        <v>8.0</v>
      </c>
    </row>
    <row r="126">
      <c r="A126" s="30">
        <v>125.0</v>
      </c>
      <c r="B126" s="13" t="s">
        <v>278</v>
      </c>
      <c r="C126" s="5" t="str">
        <f>vlookup(B126,Masterview!$A$2:$C$977, 3, FALSE)</f>
        <v>DET</v>
      </c>
      <c r="D126" s="5" t="s">
        <v>7</v>
      </c>
      <c r="E126" s="31">
        <v>8.0</v>
      </c>
    </row>
    <row r="127">
      <c r="A127" s="30">
        <v>126.0</v>
      </c>
      <c r="B127" s="13" t="s">
        <v>322</v>
      </c>
      <c r="C127" s="5" t="str">
        <f>vlookup(B127,Masterview!$A$2:$C$977, 3, FALSE)</f>
        <v>NO</v>
      </c>
      <c r="D127" s="5" t="s">
        <v>7</v>
      </c>
      <c r="E127" s="31">
        <v>8.0</v>
      </c>
    </row>
    <row r="128">
      <c r="A128" s="30">
        <v>127.0</v>
      </c>
      <c r="B128" s="13" t="s">
        <v>336</v>
      </c>
      <c r="C128" s="5" t="str">
        <f>vlookup(B128,Masterview!$A$2:$C$977, 3, FALSE)</f>
        <v>MIA</v>
      </c>
      <c r="D128" s="5" t="s">
        <v>7</v>
      </c>
      <c r="E128" s="31">
        <v>8.0</v>
      </c>
    </row>
    <row r="129">
      <c r="A129" s="30">
        <v>128.0</v>
      </c>
      <c r="B129" s="13" t="s">
        <v>294</v>
      </c>
      <c r="C129" s="5" t="str">
        <f>vlookup(B129,Masterview!$A$2:$C$977, 3, FALSE)</f>
        <v>IND</v>
      </c>
      <c r="D129" s="5" t="s">
        <v>25</v>
      </c>
      <c r="E129" s="31">
        <v>8.0</v>
      </c>
    </row>
    <row r="130">
      <c r="A130" s="30">
        <v>129.0</v>
      </c>
      <c r="B130" s="13" t="s">
        <v>154</v>
      </c>
      <c r="C130" s="5" t="str">
        <f>vlookup(B130,Masterview!$A$2:$C$977, 3, FALSE)</f>
        <v>LAC</v>
      </c>
      <c r="D130" s="5" t="s">
        <v>25</v>
      </c>
      <c r="E130" s="31">
        <v>8.0</v>
      </c>
    </row>
    <row r="131">
      <c r="A131" s="30">
        <v>130.0</v>
      </c>
      <c r="B131" s="13" t="s">
        <v>149</v>
      </c>
      <c r="C131" s="5" t="str">
        <f>vlookup(B131,Masterview!$A$2:$C$977, 3, FALSE)</f>
        <v>IND</v>
      </c>
      <c r="D131" s="5" t="s">
        <v>10</v>
      </c>
      <c r="E131" s="31">
        <v>8.0</v>
      </c>
    </row>
    <row r="132">
      <c r="A132" s="30">
        <v>131.0</v>
      </c>
      <c r="B132" s="13" t="s">
        <v>131</v>
      </c>
      <c r="C132" s="5" t="str">
        <f>vlookup(B132,Masterview!$A$2:$C$977, 3, FALSE)</f>
        <v>NYG</v>
      </c>
      <c r="D132" s="5" t="s">
        <v>25</v>
      </c>
      <c r="E132" s="31">
        <v>8.0</v>
      </c>
    </row>
    <row r="133">
      <c r="A133" s="30">
        <v>132.0</v>
      </c>
      <c r="B133" s="13" t="s">
        <v>130</v>
      </c>
      <c r="C133" s="5" t="str">
        <f>vlookup(B133,Masterview!$A$2:$C$977, 3, FALSE)</f>
        <v>DET</v>
      </c>
      <c r="D133" s="5" t="s">
        <v>16</v>
      </c>
      <c r="E133" s="31">
        <v>8.0</v>
      </c>
    </row>
    <row r="134">
      <c r="A134" s="30">
        <v>133.0</v>
      </c>
      <c r="B134" s="13" t="s">
        <v>323</v>
      </c>
      <c r="C134" s="5" t="str">
        <f>vlookup(B134,Masterview!$A$2:$C$977, 3, FALSE)</f>
        <v>CHI</v>
      </c>
      <c r="D134" s="5" t="s">
        <v>7</v>
      </c>
      <c r="E134" s="31">
        <v>8.0</v>
      </c>
    </row>
    <row r="135">
      <c r="A135" s="30">
        <v>134.0</v>
      </c>
      <c r="B135" s="13" t="s">
        <v>348</v>
      </c>
      <c r="C135" s="5" t="str">
        <f>vlookup(B135,Masterview!$A$2:$C$977, 3, FALSE)</f>
        <v>CIN</v>
      </c>
      <c r="D135" s="5" t="s">
        <v>25</v>
      </c>
      <c r="E135" s="31">
        <v>8.0</v>
      </c>
    </row>
    <row r="136">
      <c r="A136" s="30">
        <v>135.0</v>
      </c>
      <c r="B136" s="13" t="s">
        <v>287</v>
      </c>
      <c r="C136" s="5" t="str">
        <f>vlookup(B136,Masterview!$A$2:$C$977, 3, FALSE)</f>
        <v>SF</v>
      </c>
      <c r="D136" s="5" t="s">
        <v>7</v>
      </c>
      <c r="E136" s="31">
        <v>8.0</v>
      </c>
    </row>
    <row r="137">
      <c r="A137" s="30">
        <v>136.0</v>
      </c>
      <c r="B137" s="13" t="s">
        <v>132</v>
      </c>
      <c r="C137" s="5" t="str">
        <f>vlookup(B137,Masterview!$A$2:$C$977, 3, FALSE)</f>
        <v>LAC</v>
      </c>
      <c r="D137" s="5" t="s">
        <v>10</v>
      </c>
      <c r="E137" s="31">
        <v>8.0</v>
      </c>
    </row>
    <row r="138">
      <c r="A138" s="30">
        <v>137.0</v>
      </c>
      <c r="B138" s="13" t="s">
        <v>355</v>
      </c>
      <c r="C138" s="5" t="str">
        <f>vlookup(B138,Masterview!$A$2:$C$977, 3, FALSE)</f>
        <v>MIN</v>
      </c>
      <c r="D138" s="5" t="s">
        <v>7</v>
      </c>
      <c r="E138" s="31">
        <v>6.0</v>
      </c>
    </row>
    <row r="139">
      <c r="A139" s="30">
        <v>138.0</v>
      </c>
      <c r="B139" s="13" t="s">
        <v>283</v>
      </c>
      <c r="C139" s="5" t="str">
        <f>vlookup(B139,Masterview!$A$2:$C$977, 3, FALSE)</f>
        <v>GB</v>
      </c>
      <c r="D139" s="5" t="s">
        <v>25</v>
      </c>
      <c r="E139" s="31">
        <v>6.0</v>
      </c>
    </row>
    <row r="140">
      <c r="A140" s="30">
        <v>139.0</v>
      </c>
      <c r="B140" s="13" t="s">
        <v>760</v>
      </c>
      <c r="C140" s="5" t="str">
        <f>vlookup(B140,Masterview!$A$2:$C$977, 3, FALSE)</f>
        <v>PHI</v>
      </c>
      <c r="D140" s="5" t="s">
        <v>25</v>
      </c>
      <c r="E140" s="31">
        <v>6.0</v>
      </c>
    </row>
    <row r="141">
      <c r="A141" s="30">
        <v>140.0</v>
      </c>
      <c r="B141" s="13" t="s">
        <v>523</v>
      </c>
      <c r="C141" s="5" t="str">
        <f>vlookup(B141,Masterview!$A$2:$C$977, 3, FALSE)</f>
        <v>PIT</v>
      </c>
      <c r="D141" s="5" t="s">
        <v>7</v>
      </c>
      <c r="E141" s="31">
        <v>6.0</v>
      </c>
    </row>
    <row r="142">
      <c r="A142" s="30">
        <v>141.0</v>
      </c>
      <c r="B142" s="13" t="s">
        <v>141</v>
      </c>
      <c r="C142" s="5" t="str">
        <f>vlookup(B142,Masterview!$A$2:$C$977, 3, FALSE)</f>
        <v>CLE</v>
      </c>
      <c r="D142" s="5" t="s">
        <v>16</v>
      </c>
      <c r="E142" s="31">
        <v>6.0</v>
      </c>
    </row>
    <row r="143">
      <c r="A143" s="30">
        <v>142.0</v>
      </c>
      <c r="B143" s="13" t="s">
        <v>160</v>
      </c>
      <c r="C143" s="5" t="str">
        <f>vlookup(B143,Masterview!$A$2:$C$977, 3, FALSE)</f>
        <v>DAL</v>
      </c>
      <c r="D143" s="5" t="s">
        <v>16</v>
      </c>
      <c r="E143" s="31">
        <v>6.0</v>
      </c>
    </row>
    <row r="144">
      <c r="A144" s="30">
        <v>143.0</v>
      </c>
      <c r="B144" s="13" t="s">
        <v>329</v>
      </c>
      <c r="C144" s="5" t="str">
        <f>vlookup(B144,Masterview!$A$2:$C$977, 3, FALSE)</f>
        <v>PHI</v>
      </c>
      <c r="D144" s="5" t="s">
        <v>7</v>
      </c>
      <c r="E144" s="31">
        <v>6.0</v>
      </c>
    </row>
    <row r="145">
      <c r="A145" s="30">
        <v>144.0</v>
      </c>
      <c r="B145" s="13" t="s">
        <v>157</v>
      </c>
      <c r="C145" s="5" t="str">
        <f>vlookup(B145,Masterview!$A$2:$C$977, 3, FALSE)</f>
        <v>NYJ</v>
      </c>
      <c r="D145" s="5" t="s">
        <v>25</v>
      </c>
      <c r="E145" s="31">
        <v>6.0</v>
      </c>
    </row>
    <row r="146">
      <c r="A146" s="30">
        <v>145.0</v>
      </c>
      <c r="B146" s="13" t="s">
        <v>344</v>
      </c>
      <c r="C146" s="5" t="str">
        <f>vlookup(B146,Masterview!$A$2:$C$977, 3, FALSE)</f>
        <v>LV</v>
      </c>
      <c r="D146" s="5" t="s">
        <v>25</v>
      </c>
      <c r="E146" s="31">
        <v>6.0</v>
      </c>
    </row>
    <row r="147">
      <c r="A147" s="30">
        <v>146.0</v>
      </c>
      <c r="B147" s="13" t="s">
        <v>325</v>
      </c>
      <c r="C147" s="5" t="str">
        <f>vlookup(B147,Masterview!$A$2:$C$977, 3, FALSE)</f>
        <v>PIT</v>
      </c>
      <c r="D147" s="5" t="s">
        <v>25</v>
      </c>
      <c r="E147" s="31">
        <v>6.0</v>
      </c>
    </row>
    <row r="148">
      <c r="A148" s="30">
        <v>147.0</v>
      </c>
      <c r="B148" s="13" t="s">
        <v>518</v>
      </c>
      <c r="C148" s="5" t="str">
        <f>vlookup(B148,Masterview!$A$2:$C$977, 3, FALSE)</f>
        <v>ARI</v>
      </c>
      <c r="D148" s="5" t="s">
        <v>7</v>
      </c>
      <c r="E148" s="31">
        <v>6.0</v>
      </c>
    </row>
    <row r="149">
      <c r="A149" s="30">
        <v>148.0</v>
      </c>
      <c r="B149" s="13" t="s">
        <v>148</v>
      </c>
      <c r="C149" s="5" t="str">
        <f>vlookup(B149,Masterview!$A$2:$C$977, 3, FALSE)</f>
        <v>ARI</v>
      </c>
      <c r="D149" s="5" t="s">
        <v>25</v>
      </c>
      <c r="E149" s="31">
        <v>6.0</v>
      </c>
    </row>
    <row r="150">
      <c r="A150" s="30">
        <v>149.0</v>
      </c>
      <c r="B150" s="13" t="s">
        <v>158</v>
      </c>
      <c r="C150" s="5" t="str">
        <f>vlookup(B150,Masterview!$A$2:$C$977, 3, FALSE)</f>
        <v>PHI</v>
      </c>
      <c r="D150" s="5" t="s">
        <v>16</v>
      </c>
      <c r="E150" s="31">
        <v>6.0</v>
      </c>
    </row>
    <row r="151">
      <c r="A151" s="30">
        <v>150.0</v>
      </c>
      <c r="B151" s="13" t="s">
        <v>307</v>
      </c>
      <c r="C151" s="5" t="str">
        <f>vlookup(B151,Masterview!$A$2:$C$977, 3, FALSE)</f>
        <v>NYJ</v>
      </c>
      <c r="D151" s="5" t="s">
        <v>25</v>
      </c>
      <c r="E151" s="31">
        <v>6.0</v>
      </c>
    </row>
    <row r="152">
      <c r="A152" s="30">
        <v>151.0</v>
      </c>
      <c r="B152" s="13" t="s">
        <v>252</v>
      </c>
      <c r="C152" s="5" t="str">
        <f>vlookup(B152,Masterview!$A$2:$C$977, 3, FALSE)</f>
        <v>DEN</v>
      </c>
      <c r="D152" s="5" t="s">
        <v>10</v>
      </c>
      <c r="E152" s="31">
        <v>6.0</v>
      </c>
    </row>
    <row r="153">
      <c r="A153" s="30">
        <v>152.0</v>
      </c>
      <c r="B153" s="13" t="s">
        <v>341</v>
      </c>
      <c r="C153" s="5" t="str">
        <f>vlookup(B153,Masterview!$A$2:$C$977, 3, FALSE)</f>
        <v>HOU</v>
      </c>
      <c r="D153" s="5" t="s">
        <v>7</v>
      </c>
      <c r="E153" s="31">
        <v>6.0</v>
      </c>
    </row>
    <row r="154">
      <c r="A154" s="30">
        <v>153.0</v>
      </c>
      <c r="B154" s="13" t="s">
        <v>170</v>
      </c>
      <c r="C154" s="5" t="str">
        <f>vlookup(B154,Masterview!$A$2:$C$977, 3, FALSE)</f>
        <v>KC</v>
      </c>
      <c r="D154" s="5" t="s">
        <v>169</v>
      </c>
      <c r="E154" s="31">
        <v>6.0</v>
      </c>
    </row>
    <row r="155">
      <c r="A155" s="30">
        <v>154.0</v>
      </c>
      <c r="B155" s="13" t="s">
        <v>938</v>
      </c>
      <c r="C155" s="5" t="str">
        <f>vlookup(B155,Masterview!$A$2:$C$977, 3, FALSE)</f>
        <v>NO</v>
      </c>
      <c r="D155" s="5" t="s">
        <v>10</v>
      </c>
      <c r="E155" s="31">
        <v>6.0</v>
      </c>
    </row>
    <row r="156">
      <c r="A156" s="30">
        <v>155.0</v>
      </c>
      <c r="B156" s="13" t="s">
        <v>151</v>
      </c>
      <c r="C156" s="5" t="str">
        <f>vlookup(B156,Masterview!$A$2:$C$977, 3, FALSE)</f>
        <v>NYJ</v>
      </c>
      <c r="D156" s="5" t="s">
        <v>25</v>
      </c>
      <c r="E156" s="31">
        <v>6.0</v>
      </c>
    </row>
    <row r="157">
      <c r="A157" s="30">
        <v>156.0</v>
      </c>
      <c r="B157" s="13" t="s">
        <v>139</v>
      </c>
      <c r="C157" s="5" t="str">
        <f>vlookup(B157,Masterview!$A$2:$C$977, 3, FALSE)</f>
        <v>SF</v>
      </c>
      <c r="D157" s="5" t="s">
        <v>10</v>
      </c>
      <c r="E157" s="31">
        <v>6.0</v>
      </c>
    </row>
    <row r="158">
      <c r="A158" s="30">
        <v>157.0</v>
      </c>
      <c r="B158" s="13" t="s">
        <v>162</v>
      </c>
      <c r="C158" s="5" t="str">
        <f>vlookup(B158,Masterview!$A$2:$C$977, 3, FALSE)</f>
        <v>TEN</v>
      </c>
      <c r="D158" s="5" t="s">
        <v>16</v>
      </c>
      <c r="E158" s="31">
        <v>6.0</v>
      </c>
    </row>
    <row r="159">
      <c r="A159" s="30">
        <v>158.0</v>
      </c>
      <c r="B159" s="13" t="s">
        <v>945</v>
      </c>
      <c r="C159" s="5" t="str">
        <f>vlookup(B159,Masterview!$A$2:$C$977, 3, FALSE)</f>
        <v>LAC</v>
      </c>
      <c r="D159" s="5" t="s">
        <v>10</v>
      </c>
      <c r="E159" s="31">
        <v>6.0</v>
      </c>
    </row>
    <row r="160">
      <c r="A160" s="30">
        <v>159.0</v>
      </c>
      <c r="B160" s="13" t="s">
        <v>328</v>
      </c>
      <c r="C160" s="5" t="str">
        <f>vlookup(B160,Masterview!$A$2:$C$977, 3, FALSE)</f>
        <v>LAC</v>
      </c>
      <c r="D160" s="5" t="s">
        <v>7</v>
      </c>
      <c r="E160" s="31">
        <v>6.0</v>
      </c>
    </row>
    <row r="161">
      <c r="A161" s="30">
        <v>160.0</v>
      </c>
      <c r="B161" s="13" t="s">
        <v>172</v>
      </c>
      <c r="C161" s="5" t="str">
        <f>vlookup(B161,Masterview!$A$2:$C$977, 3, FALSE)</f>
        <v>BAL</v>
      </c>
      <c r="D161" s="5" t="s">
        <v>169</v>
      </c>
      <c r="E161" s="31">
        <v>6.0</v>
      </c>
    </row>
    <row r="162">
      <c r="A162" s="30">
        <v>161.0</v>
      </c>
      <c r="B162" s="13" t="s">
        <v>180</v>
      </c>
      <c r="C162" s="5" t="str">
        <f>vlookup(B162,Masterview!$A$2:$C$977, 3, FALSE)</f>
        <v>MIN</v>
      </c>
      <c r="D162" s="5" t="s">
        <v>10</v>
      </c>
      <c r="E162" s="31">
        <v>6.0</v>
      </c>
    </row>
    <row r="163">
      <c r="A163" s="30">
        <v>162.0</v>
      </c>
      <c r="B163" s="13" t="s">
        <v>285</v>
      </c>
      <c r="C163" s="5" t="str">
        <f>vlookup(B163,Masterview!$A$2:$C$977, 3, FALSE)</f>
        <v>ARI</v>
      </c>
      <c r="D163" s="5" t="s">
        <v>25</v>
      </c>
      <c r="E163" s="31">
        <v>6.0</v>
      </c>
    </row>
    <row r="164">
      <c r="A164" s="30">
        <v>163.0</v>
      </c>
      <c r="B164" s="13" t="s">
        <v>367</v>
      </c>
      <c r="C164" s="5" t="str">
        <f>vlookup(B164,Masterview!$A$2:$C$977, 3, FALSE)</f>
        <v>JAC</v>
      </c>
      <c r="D164" s="5" t="s">
        <v>25</v>
      </c>
      <c r="E164" s="31">
        <v>6.0</v>
      </c>
    </row>
    <row r="165">
      <c r="A165" s="30">
        <v>164.0</v>
      </c>
      <c r="B165" s="13" t="s">
        <v>129</v>
      </c>
      <c r="C165" s="5" t="str">
        <f>vlookup(B165,Masterview!$A$2:$C$977, 3, FALSE)</f>
        <v>MIA</v>
      </c>
      <c r="D165" s="5" t="s">
        <v>16</v>
      </c>
      <c r="E165" s="31">
        <v>6.0</v>
      </c>
    </row>
    <row r="166">
      <c r="A166" s="30">
        <v>165.0</v>
      </c>
      <c r="B166" s="13" t="s">
        <v>943</v>
      </c>
      <c r="C166" s="5" t="str">
        <f>vlookup(B166,Masterview!$A$2:$C$977, 3, FALSE)</f>
        <v>CHI</v>
      </c>
      <c r="D166" s="5" t="s">
        <v>10</v>
      </c>
      <c r="E166" s="31">
        <v>6.0</v>
      </c>
    </row>
    <row r="167">
      <c r="A167" s="30">
        <v>166.0</v>
      </c>
      <c r="B167" s="13" t="s">
        <v>115</v>
      </c>
      <c r="C167" s="5" t="str">
        <f>vlookup(B167,Masterview!$A$2:$C$977, 3, FALSE)</f>
        <v>DEN</v>
      </c>
      <c r="D167" s="5" t="s">
        <v>16</v>
      </c>
      <c r="E167" s="31">
        <v>6.0</v>
      </c>
    </row>
    <row r="168">
      <c r="A168" s="30">
        <v>167.0</v>
      </c>
      <c r="B168" s="13" t="s">
        <v>289</v>
      </c>
      <c r="C168" s="5" t="str">
        <f>vlookup(B168,Masterview!$A$2:$C$977, 3, FALSE)</f>
        <v>TEN</v>
      </c>
      <c r="D168" s="5" t="s">
        <v>10</v>
      </c>
      <c r="E168" s="31">
        <v>6.0</v>
      </c>
    </row>
    <row r="169">
      <c r="A169" s="30">
        <v>168.0</v>
      </c>
      <c r="B169" s="13" t="s">
        <v>333</v>
      </c>
      <c r="C169" s="5" t="str">
        <f>vlookup(B169,Masterview!$A$2:$C$977, 3, FALSE)</f>
        <v>NYJ</v>
      </c>
      <c r="D169" s="5" t="s">
        <v>10</v>
      </c>
      <c r="E169" s="31">
        <v>6.0</v>
      </c>
    </row>
    <row r="170">
      <c r="A170" s="30">
        <v>169.0</v>
      </c>
      <c r="B170" s="13" t="s">
        <v>244</v>
      </c>
      <c r="C170" s="5" t="str">
        <f>vlookup(B170,Masterview!$A$2:$C$977, 3, FALSE)</f>
        <v>KC</v>
      </c>
      <c r="D170" s="5" t="s">
        <v>25</v>
      </c>
      <c r="E170" s="31">
        <v>6.0</v>
      </c>
    </row>
    <row r="171">
      <c r="A171" s="30">
        <v>170.0</v>
      </c>
      <c r="B171" s="13" t="s">
        <v>383</v>
      </c>
      <c r="C171" s="5" t="str">
        <f>vlookup(B171,Masterview!$A$2:$C$977, 3, FALSE)</f>
        <v>NE</v>
      </c>
      <c r="D171" s="5" t="s">
        <v>7</v>
      </c>
      <c r="E171" s="31">
        <v>6.0</v>
      </c>
    </row>
    <row r="172">
      <c r="A172" s="30">
        <v>171.0</v>
      </c>
      <c r="B172" s="13" t="s">
        <v>159</v>
      </c>
      <c r="C172" s="5" t="str">
        <f>vlookup(B172,Masterview!$A$2:$C$977, 3, FALSE)</f>
        <v>CAR</v>
      </c>
      <c r="D172" s="5" t="s">
        <v>10</v>
      </c>
      <c r="E172" s="31">
        <v>6.0</v>
      </c>
    </row>
    <row r="173">
      <c r="A173" s="30">
        <v>172.0</v>
      </c>
      <c r="B173" s="13" t="s">
        <v>385</v>
      </c>
      <c r="C173" s="5" t="str">
        <f>vlookup(B173,Masterview!$A$2:$C$977, 3, FALSE)</f>
        <v>DAL</v>
      </c>
      <c r="D173" s="5" t="s">
        <v>7</v>
      </c>
      <c r="E173" s="31">
        <v>6.0</v>
      </c>
    </row>
    <row r="174">
      <c r="A174" s="30">
        <v>173.0</v>
      </c>
      <c r="B174" s="13" t="s">
        <v>168</v>
      </c>
      <c r="C174" s="5" t="str">
        <f>vlookup(B174,Masterview!$A$2:$C$977, 3, FALSE)</f>
        <v>NO</v>
      </c>
      <c r="D174" s="5" t="s">
        <v>169</v>
      </c>
      <c r="E174" s="31">
        <v>6.0</v>
      </c>
    </row>
    <row r="175">
      <c r="A175" s="30">
        <v>174.0</v>
      </c>
      <c r="B175" s="13" t="s">
        <v>251</v>
      </c>
      <c r="C175" s="5" t="str">
        <f>vlookup(B175,Masterview!$A$2:$C$977, 3, FALSE)</f>
        <v>CHI</v>
      </c>
      <c r="D175" s="5" t="s">
        <v>25</v>
      </c>
      <c r="E175" s="31">
        <v>4.0</v>
      </c>
    </row>
    <row r="176">
      <c r="A176" s="30">
        <v>175.0</v>
      </c>
      <c r="B176" s="13" t="s">
        <v>359</v>
      </c>
      <c r="C176" s="5" t="str">
        <f>vlookup(B176,Masterview!$A$2:$C$977, 3, FALSE)</f>
        <v>WAS</v>
      </c>
      <c r="D176" s="5" t="s">
        <v>25</v>
      </c>
      <c r="E176" s="31">
        <v>4.0</v>
      </c>
    </row>
    <row r="177">
      <c r="A177" s="30">
        <v>176.0</v>
      </c>
      <c r="B177" s="13" t="s">
        <v>546</v>
      </c>
      <c r="C177" s="5" t="str">
        <f>vlookup(B177,Masterview!$A$2:$C$977, 3, FALSE)</f>
        <v>CIN</v>
      </c>
      <c r="D177" s="5" t="s">
        <v>25</v>
      </c>
      <c r="E177" s="31">
        <v>4.0</v>
      </c>
    </row>
    <row r="178">
      <c r="A178" s="30">
        <v>177.0</v>
      </c>
      <c r="B178" s="13" t="s">
        <v>194</v>
      </c>
      <c r="C178" s="5" t="str">
        <f>vlookup(B178,Masterview!$A$2:$C$977, 3, FALSE)</f>
        <v>CLE</v>
      </c>
      <c r="D178" s="5" t="s">
        <v>169</v>
      </c>
      <c r="E178" s="31">
        <v>4.0</v>
      </c>
    </row>
    <row r="179">
      <c r="A179" s="30">
        <v>178.0</v>
      </c>
      <c r="B179" s="13" t="s">
        <v>562</v>
      </c>
      <c r="C179" s="5" t="str">
        <f>vlookup(B179,Masterview!$A$2:$C$977, 3, FALSE)</f>
        <v>NYJ</v>
      </c>
      <c r="D179" s="5" t="s">
        <v>25</v>
      </c>
      <c r="E179" s="31">
        <v>4.0</v>
      </c>
    </row>
    <row r="180">
      <c r="A180" s="30">
        <v>179.0</v>
      </c>
      <c r="B180" s="13" t="s">
        <v>970</v>
      </c>
      <c r="C180" s="5" t="str">
        <f>vlookup(B180,Masterview!$A$2:$C$977, 3, FALSE)</f>
        <v>NE</v>
      </c>
      <c r="D180" s="5" t="s">
        <v>10</v>
      </c>
      <c r="E180" s="31">
        <v>4.0</v>
      </c>
    </row>
    <row r="181">
      <c r="A181" s="30">
        <v>180.0</v>
      </c>
      <c r="B181" s="13" t="s">
        <v>371</v>
      </c>
      <c r="C181" s="5" t="str">
        <f>vlookup(B181,Masterview!$A$2:$C$977, 3, FALSE)</f>
        <v>SEA</v>
      </c>
      <c r="D181" s="5" t="s">
        <v>7</v>
      </c>
      <c r="E181" s="31">
        <v>4.0</v>
      </c>
    </row>
    <row r="182">
      <c r="A182" s="30">
        <v>181.0</v>
      </c>
      <c r="B182" s="13" t="s">
        <v>189</v>
      </c>
      <c r="C182" s="5" t="str">
        <f>vlookup(B182,Masterview!$A$2:$C$977, 3, FALSE)</f>
        <v>IND</v>
      </c>
      <c r="D182" s="5" t="s">
        <v>169</v>
      </c>
      <c r="E182" s="31">
        <v>4.0</v>
      </c>
    </row>
    <row r="183">
      <c r="A183" s="30">
        <v>182.0</v>
      </c>
      <c r="B183" s="13" t="s">
        <v>147</v>
      </c>
      <c r="C183" s="5" t="str">
        <f>vlookup(B183,Masterview!$A$2:$C$977, 3, FALSE)</f>
        <v>NYJ</v>
      </c>
      <c r="D183" s="5" t="s">
        <v>16</v>
      </c>
      <c r="E183" s="31">
        <v>4.0</v>
      </c>
    </row>
    <row r="184">
      <c r="A184" s="30">
        <v>183.0</v>
      </c>
      <c r="B184" s="13" t="s">
        <v>566</v>
      </c>
      <c r="C184" s="5" t="str">
        <f>vlookup(B184,Masterview!$A$2:$C$977, 3, FALSE)</f>
        <v>NYG</v>
      </c>
      <c r="D184" s="5" t="s">
        <v>25</v>
      </c>
      <c r="E184" s="31">
        <v>4.0</v>
      </c>
    </row>
    <row r="185">
      <c r="A185" s="30">
        <v>184.0</v>
      </c>
      <c r="B185" s="13" t="s">
        <v>299</v>
      </c>
      <c r="C185" s="5" t="str">
        <f>vlookup(B185,Masterview!$A$2:$C$977, 3, FALSE)</f>
        <v>TEN</v>
      </c>
      <c r="D185" s="5" t="s">
        <v>25</v>
      </c>
      <c r="E185" s="31">
        <v>4.0</v>
      </c>
    </row>
    <row r="186">
      <c r="A186" s="30">
        <v>185.0</v>
      </c>
      <c r="B186" s="13" t="s">
        <v>128</v>
      </c>
      <c r="C186" s="5" t="str">
        <f>vlookup(B186,Masterview!$A$2:$C$977, 3, FALSE)</f>
        <v>CAR</v>
      </c>
      <c r="D186" s="5" t="s">
        <v>25</v>
      </c>
      <c r="E186" s="31">
        <v>4.0</v>
      </c>
    </row>
    <row r="187">
      <c r="A187" s="30">
        <v>186.0</v>
      </c>
      <c r="B187" s="13" t="s">
        <v>335</v>
      </c>
      <c r="C187" s="5" t="str">
        <f>vlookup(B187,Masterview!$A$2:$C$977, 3, FALSE)</f>
        <v>NE</v>
      </c>
      <c r="D187" s="5" t="s">
        <v>7</v>
      </c>
      <c r="E187" s="31">
        <v>4.0</v>
      </c>
    </row>
    <row r="188">
      <c r="A188" s="30">
        <v>187.0</v>
      </c>
      <c r="B188" s="13" t="s">
        <v>204</v>
      </c>
      <c r="C188" s="5" t="str">
        <f>vlookup(B188,Masterview!$A$2:$C$977, 3, FALSE)</f>
        <v>LV</v>
      </c>
      <c r="D188" s="5" t="s">
        <v>169</v>
      </c>
      <c r="E188" s="31">
        <v>4.0</v>
      </c>
    </row>
    <row r="189">
      <c r="A189" s="30">
        <v>188.0</v>
      </c>
      <c r="B189" s="13" t="s">
        <v>326</v>
      </c>
      <c r="C189" s="5" t="str">
        <f>vlookup(B189,Masterview!$A$2:$C$977, 3, FALSE)</f>
        <v>LAR</v>
      </c>
      <c r="D189" s="5" t="s">
        <v>7</v>
      </c>
      <c r="E189" s="31">
        <v>4.0</v>
      </c>
    </row>
    <row r="190">
      <c r="A190" s="30">
        <v>189.0</v>
      </c>
      <c r="B190" s="13" t="s">
        <v>415</v>
      </c>
      <c r="C190" s="5" t="str">
        <f>vlookup(B190,Masterview!$A$2:$C$977, 3, FALSE)</f>
        <v>TEN</v>
      </c>
      <c r="D190" s="5" t="s">
        <v>7</v>
      </c>
      <c r="E190" s="31">
        <v>4.0</v>
      </c>
    </row>
    <row r="191">
      <c r="A191" s="30">
        <v>190.0</v>
      </c>
      <c r="B191" s="13" t="s">
        <v>596</v>
      </c>
      <c r="C191" s="5" t="str">
        <f>vlookup(B191,Masterview!$A$2:$C$977, 3, FALSE)</f>
        <v>KC</v>
      </c>
      <c r="D191" s="5" t="s">
        <v>7</v>
      </c>
      <c r="E191" s="31">
        <v>4.0</v>
      </c>
    </row>
    <row r="192">
      <c r="A192" s="30">
        <v>191.0</v>
      </c>
      <c r="B192" s="13" t="s">
        <v>300</v>
      </c>
      <c r="C192" s="5" t="str">
        <f>vlookup(B192,Masterview!$A$2:$C$977, 3, FALSE)</f>
        <v>JAC</v>
      </c>
      <c r="D192" s="5" t="s">
        <v>25</v>
      </c>
      <c r="E192" s="31">
        <v>4.0</v>
      </c>
    </row>
    <row r="193">
      <c r="A193" s="30">
        <v>192.0</v>
      </c>
      <c r="B193" s="13" t="s">
        <v>144</v>
      </c>
      <c r="C193" s="5" t="str">
        <f>vlookup(B193,Masterview!$A$2:$C$977, 3, FALSE)</f>
        <v>PHI</v>
      </c>
      <c r="D193" s="5" t="s">
        <v>25</v>
      </c>
      <c r="E193" s="31">
        <v>4.0</v>
      </c>
    </row>
    <row r="194">
      <c r="A194" s="30">
        <v>193.0</v>
      </c>
      <c r="B194" s="13" t="s">
        <v>314</v>
      </c>
      <c r="C194" s="5" t="str">
        <f>vlookup(B194,Masterview!$A$2:$C$977, 3, FALSE)</f>
        <v>NE</v>
      </c>
      <c r="D194" s="5" t="s">
        <v>16</v>
      </c>
      <c r="E194" s="31">
        <v>4.0</v>
      </c>
    </row>
    <row r="195">
      <c r="A195" s="30">
        <v>194.0</v>
      </c>
      <c r="B195" s="13" t="s">
        <v>399</v>
      </c>
      <c r="C195" s="5" t="str">
        <f>vlookup(B195,Masterview!$A$2:$C$977, 3, FALSE)</f>
        <v>BAL</v>
      </c>
      <c r="D195" s="5" t="s">
        <v>25</v>
      </c>
      <c r="E195" s="31">
        <v>4.0</v>
      </c>
    </row>
    <row r="196">
      <c r="A196" s="30">
        <v>195.0</v>
      </c>
      <c r="B196" s="13" t="s">
        <v>208</v>
      </c>
      <c r="C196" s="5" t="str">
        <f>vlookup(B196,Masterview!$A$2:$C$977, 3, FALSE)</f>
        <v>WAS</v>
      </c>
      <c r="D196" s="5" t="s">
        <v>169</v>
      </c>
      <c r="E196" s="31">
        <v>4.0</v>
      </c>
    </row>
    <row r="197">
      <c r="A197" s="30">
        <v>196.0</v>
      </c>
      <c r="B197" s="13" t="s">
        <v>290</v>
      </c>
      <c r="C197" s="5" t="str">
        <f>vlookup(B197,Masterview!$A$2:$C$977, 3, FALSE)</f>
        <v>WAS</v>
      </c>
      <c r="D197" s="5" t="s">
        <v>10</v>
      </c>
      <c r="E197" s="31">
        <v>4.0</v>
      </c>
    </row>
    <row r="198">
      <c r="A198" s="30">
        <v>197.0</v>
      </c>
      <c r="B198" s="13" t="s">
        <v>789</v>
      </c>
      <c r="C198" s="5" t="str">
        <f>vlookup(B198,Masterview!$A$2:$C$977, 3, FALSE)</f>
        <v>ARI</v>
      </c>
      <c r="D198" s="5" t="s">
        <v>7</v>
      </c>
      <c r="E198" s="31">
        <v>4.0</v>
      </c>
    </row>
    <row r="199">
      <c r="A199" s="30">
        <v>198.0</v>
      </c>
      <c r="B199" s="13" t="s">
        <v>136</v>
      </c>
      <c r="C199" s="5" t="str">
        <f>vlookup(B199,Masterview!$A$2:$C$977, 3, FALSE)</f>
        <v>PIT</v>
      </c>
      <c r="D199" s="5" t="s">
        <v>16</v>
      </c>
      <c r="E199" s="31">
        <v>4.0</v>
      </c>
    </row>
    <row r="200">
      <c r="A200" s="30">
        <v>199.0</v>
      </c>
      <c r="B200" s="13" t="s">
        <v>304</v>
      </c>
      <c r="C200" s="5" t="str">
        <f>vlookup(B200,Masterview!$A$2:$C$977, 3, FALSE)</f>
        <v>LAR</v>
      </c>
      <c r="D200" s="5" t="s">
        <v>16</v>
      </c>
      <c r="E200" s="31">
        <v>4.0</v>
      </c>
    </row>
    <row r="201">
      <c r="A201" s="30">
        <v>200.0</v>
      </c>
      <c r="B201" s="13" t="s">
        <v>211</v>
      </c>
      <c r="C201" s="5" t="str">
        <f>vlookup(B201,Masterview!$A$2:$C$977, 3, FALSE)</f>
        <v>TEN</v>
      </c>
      <c r="D201" s="5" t="s">
        <v>169</v>
      </c>
      <c r="E201" s="31">
        <v>4.0</v>
      </c>
    </row>
    <row r="202">
      <c r="A202" s="30">
        <v>201.0</v>
      </c>
      <c r="B202" s="13" t="s">
        <v>281</v>
      </c>
      <c r="C202" s="5" t="str">
        <f>vlookup(B202,Masterview!$A$2:$C$977, 3, FALSE)</f>
        <v>SEA</v>
      </c>
      <c r="D202" s="5" t="s">
        <v>16</v>
      </c>
      <c r="E202" s="31">
        <v>4.0</v>
      </c>
    </row>
    <row r="203">
      <c r="A203" s="30">
        <v>202.0</v>
      </c>
      <c r="B203" s="13" t="s">
        <v>196</v>
      </c>
      <c r="C203" s="5" t="str">
        <f>vlookup(B203,Masterview!$A$2:$C$977, 3, FALSE)</f>
        <v>DAL</v>
      </c>
      <c r="D203" s="5" t="s">
        <v>169</v>
      </c>
      <c r="E203" s="31">
        <v>4.0</v>
      </c>
    </row>
    <row r="204">
      <c r="A204" s="30">
        <v>203.0</v>
      </c>
      <c r="B204" s="13" t="s">
        <v>255</v>
      </c>
      <c r="C204" s="5" t="str">
        <f>vlookup(B204,Masterview!$A$2:$C$977, 3, FALSE)</f>
        <v>CAR</v>
      </c>
      <c r="D204" s="5" t="s">
        <v>16</v>
      </c>
      <c r="E204" s="31">
        <v>4.0</v>
      </c>
    </row>
    <row r="205">
      <c r="A205" s="30">
        <v>204.0</v>
      </c>
      <c r="B205" s="13" t="s">
        <v>178</v>
      </c>
      <c r="C205" s="5" t="str">
        <f>vlookup(B205,Masterview!$A$2:$C$977, 3, FALSE)</f>
        <v>MIN</v>
      </c>
      <c r="D205" s="5" t="s">
        <v>16</v>
      </c>
      <c r="E205" s="31">
        <v>4.0</v>
      </c>
    </row>
    <row r="206">
      <c r="A206" s="30">
        <v>205.0</v>
      </c>
      <c r="B206" s="13" t="s">
        <v>125</v>
      </c>
      <c r="C206" s="5" t="str">
        <f>vlookup(B206,Masterview!$A$2:$C$977, 3, FALSE)</f>
        <v>IND</v>
      </c>
      <c r="D206" s="5" t="s">
        <v>16</v>
      </c>
      <c r="E206" s="31">
        <v>4.0</v>
      </c>
    </row>
    <row r="207">
      <c r="A207" s="30">
        <v>206.0</v>
      </c>
      <c r="B207" s="13" t="s">
        <v>922</v>
      </c>
      <c r="C207" s="5" t="str">
        <f>vlookup(B207,Masterview!$A$2:$C$977, 3, FALSE)</f>
        <v>PHI</v>
      </c>
      <c r="D207" s="5" t="s">
        <v>10</v>
      </c>
      <c r="E207" s="31">
        <v>4.0</v>
      </c>
    </row>
    <row r="208">
      <c r="A208" s="30">
        <v>207.0</v>
      </c>
      <c r="B208" s="13" t="s">
        <v>202</v>
      </c>
      <c r="C208" s="5" t="str">
        <f>vlookup(B208,Masterview!$A$2:$C$977, 3, FALSE)</f>
        <v>SEA</v>
      </c>
      <c r="D208" s="5" t="s">
        <v>169</v>
      </c>
      <c r="E208" s="31">
        <v>4.0</v>
      </c>
    </row>
    <row r="209">
      <c r="A209" s="30">
        <v>208.0</v>
      </c>
      <c r="B209" s="13" t="s">
        <v>396</v>
      </c>
      <c r="C209" s="5" t="str">
        <f>vlookup(B209,Masterview!$A$2:$C$977, 3, FALSE)</f>
        <v>SF</v>
      </c>
      <c r="D209" s="5" t="s">
        <v>7</v>
      </c>
      <c r="E209" s="31">
        <v>4.0</v>
      </c>
    </row>
    <row r="210">
      <c r="A210" s="30">
        <v>209.0</v>
      </c>
      <c r="B210" s="13" t="s">
        <v>197</v>
      </c>
      <c r="C210" s="5" t="str">
        <f>vlookup(B210,Masterview!$A$2:$C$977, 3, FALSE)</f>
        <v>CAR</v>
      </c>
      <c r="D210" s="5" t="s">
        <v>169</v>
      </c>
      <c r="E210" s="31">
        <v>4.0</v>
      </c>
    </row>
    <row r="211">
      <c r="A211" s="30">
        <v>210.0</v>
      </c>
      <c r="B211" s="13" t="s">
        <v>948</v>
      </c>
      <c r="C211" s="5" t="str">
        <f>vlookup(B211,Masterview!$A$2:$C$977, 3, FALSE)</f>
        <v>GB</v>
      </c>
      <c r="D211" s="5" t="s">
        <v>10</v>
      </c>
      <c r="E211" s="31">
        <v>4.0</v>
      </c>
    </row>
    <row r="212">
      <c r="A212" s="30">
        <v>211.0</v>
      </c>
      <c r="B212" s="13" t="s">
        <v>317</v>
      </c>
      <c r="C212" s="5" t="str">
        <f>vlookup(B212,Masterview!$A$2:$C$977, 3, FALSE)</f>
        <v>LAR</v>
      </c>
      <c r="D212" s="5" t="s">
        <v>25</v>
      </c>
      <c r="E212" s="31">
        <v>4.0</v>
      </c>
    </row>
    <row r="213">
      <c r="A213" s="30">
        <v>212.0</v>
      </c>
      <c r="B213" s="13" t="s">
        <v>603</v>
      </c>
      <c r="C213" s="5" t="str">
        <f>vlookup(B213,Masterview!$A$2:$C$977, 3, FALSE)</f>
        <v>DEN</v>
      </c>
      <c r="D213" s="5" t="s">
        <v>25</v>
      </c>
      <c r="E213" s="31">
        <v>4.0</v>
      </c>
    </row>
    <row r="214">
      <c r="A214" s="30">
        <v>213.0</v>
      </c>
      <c r="B214" s="13" t="s">
        <v>926</v>
      </c>
      <c r="C214" s="5" t="str">
        <f>vlookup(B214,Masterview!$A$2:$C$977, 3, FALSE)</f>
        <v>WAS</v>
      </c>
      <c r="D214" s="5" t="s">
        <v>10</v>
      </c>
      <c r="E214" s="31">
        <v>4.0</v>
      </c>
    </row>
    <row r="215">
      <c r="A215" s="30">
        <v>214.0</v>
      </c>
      <c r="B215" s="13" t="s">
        <v>592</v>
      </c>
      <c r="C215" s="5" t="str">
        <f>vlookup(B215,Masterview!$A$2:$C$977, 3, FALSE)</f>
        <v>NYJ</v>
      </c>
      <c r="D215" s="5" t="s">
        <v>7</v>
      </c>
      <c r="E215" s="31">
        <v>4.0</v>
      </c>
    </row>
    <row r="216">
      <c r="A216" s="30">
        <v>215.0</v>
      </c>
      <c r="B216" s="13" t="s">
        <v>778</v>
      </c>
      <c r="C216" s="5" t="str">
        <f>vlookup(B216,Masterview!$A$2:$C$977, 3, FALSE)</f>
        <v>FA</v>
      </c>
      <c r="D216" s="5" t="s">
        <v>7</v>
      </c>
      <c r="E216" s="31">
        <v>4.0</v>
      </c>
    </row>
    <row r="217">
      <c r="A217" s="30">
        <v>216.0</v>
      </c>
      <c r="B217" s="13" t="s">
        <v>389</v>
      </c>
      <c r="C217" s="5" t="str">
        <f>vlookup(B217,Masterview!$A$2:$C$977, 3, FALSE)</f>
        <v>FA</v>
      </c>
      <c r="D217" s="5" t="s">
        <v>7</v>
      </c>
      <c r="E217" s="31">
        <v>4.0</v>
      </c>
    </row>
    <row r="218">
      <c r="A218" s="30">
        <v>217.0</v>
      </c>
      <c r="B218" s="13" t="s">
        <v>768</v>
      </c>
      <c r="C218" s="5" t="str">
        <f>vlookup(B218,Masterview!$A$2:$C$977, 3, FALSE)</f>
        <v>LAR</v>
      </c>
      <c r="D218" s="5" t="s">
        <v>7</v>
      </c>
      <c r="E218" s="31">
        <v>4.0</v>
      </c>
    </row>
    <row r="219">
      <c r="A219" s="30">
        <v>218.0</v>
      </c>
      <c r="B219" s="13" t="s">
        <v>140</v>
      </c>
      <c r="C219" s="5" t="str">
        <f>vlookup(B219,Masterview!$A$2:$C$977, 3, FALSE)</f>
        <v>KC</v>
      </c>
      <c r="D219" s="5" t="s">
        <v>25</v>
      </c>
      <c r="E219" s="31">
        <v>4.0</v>
      </c>
    </row>
    <row r="220">
      <c r="A220" s="30">
        <v>219.0</v>
      </c>
      <c r="B220" s="13" t="s">
        <v>245</v>
      </c>
      <c r="C220" s="5" t="str">
        <f>vlookup(B220,Masterview!$A$2:$C$977, 3, FALSE)</f>
        <v>NE</v>
      </c>
      <c r="D220" s="5" t="s">
        <v>25</v>
      </c>
      <c r="E220" s="31">
        <v>4.0</v>
      </c>
    </row>
    <row r="221">
      <c r="A221" s="30">
        <v>220.0</v>
      </c>
      <c r="B221" s="13" t="s">
        <v>284</v>
      </c>
      <c r="C221" s="5" t="str">
        <f>vlookup(B221,Masterview!$A$2:$C$977, 3, FALSE)</f>
        <v>CHI</v>
      </c>
      <c r="D221" s="5" t="s">
        <v>10</v>
      </c>
      <c r="E221" s="31">
        <v>4.0</v>
      </c>
    </row>
    <row r="222">
      <c r="A222" s="30">
        <v>221.0</v>
      </c>
      <c r="B222" s="13" t="s">
        <v>352</v>
      </c>
      <c r="C222" s="5" t="str">
        <f>vlookup(B222,Masterview!$A$2:$C$977, 3, FALSE)</f>
        <v>IND</v>
      </c>
      <c r="D222" s="5" t="s">
        <v>7</v>
      </c>
      <c r="E222" s="31">
        <v>4.0</v>
      </c>
    </row>
    <row r="223">
      <c r="A223" s="30">
        <v>222.0</v>
      </c>
      <c r="B223" s="13" t="s">
        <v>309</v>
      </c>
      <c r="C223" s="5" t="str">
        <f>vlookup(B223,Masterview!$A$2:$C$977, 3, FALSE)</f>
        <v>TB</v>
      </c>
      <c r="D223" s="5" t="s">
        <v>16</v>
      </c>
      <c r="E223" s="31">
        <v>4.0</v>
      </c>
    </row>
    <row r="224">
      <c r="A224" s="30">
        <v>223.0</v>
      </c>
      <c r="B224" s="13" t="s">
        <v>250</v>
      </c>
      <c r="C224" s="5" t="str">
        <f>vlookup(B224,Masterview!$A$2:$C$977, 3, FALSE)</f>
        <v>IND</v>
      </c>
      <c r="D224" s="5" t="s">
        <v>25</v>
      </c>
      <c r="E224" s="31">
        <v>4.0</v>
      </c>
    </row>
    <row r="225">
      <c r="A225" s="30">
        <v>224.0</v>
      </c>
      <c r="B225" s="13" t="s">
        <v>146</v>
      </c>
      <c r="C225" s="5" t="str">
        <f>vlookup(B225,Masterview!$A$2:$C$977, 3, FALSE)</f>
        <v>MIA</v>
      </c>
      <c r="D225" s="5" t="s">
        <v>25</v>
      </c>
      <c r="E225" s="31">
        <v>4.0</v>
      </c>
    </row>
    <row r="226">
      <c r="A226" s="30">
        <v>225.0</v>
      </c>
      <c r="B226" s="13" t="s">
        <v>279</v>
      </c>
      <c r="C226" s="5" t="str">
        <f>vlookup(B226,Masterview!$A$2:$C$977, 3, FALSE)</f>
        <v>HOU</v>
      </c>
      <c r="D226" s="5" t="s">
        <v>25</v>
      </c>
      <c r="E226" s="31">
        <v>4.0</v>
      </c>
    </row>
    <row r="227">
      <c r="A227" s="30">
        <v>226.0</v>
      </c>
      <c r="B227" s="13" t="s">
        <v>1016</v>
      </c>
      <c r="C227" s="5" t="str">
        <f>vlookup(B227,Masterview!$A$2:$C$977, 3, FALSE)</f>
        <v>SEA</v>
      </c>
      <c r="D227" s="5" t="s">
        <v>7</v>
      </c>
      <c r="E227" s="31">
        <v>4.0</v>
      </c>
    </row>
    <row r="228">
      <c r="A228" s="30">
        <v>227.0</v>
      </c>
      <c r="B228" s="13" t="s">
        <v>186</v>
      </c>
      <c r="C228" s="5" t="str">
        <f>vlookup(B228,Masterview!$A$2:$C$977, 3, FALSE)</f>
        <v>SF</v>
      </c>
      <c r="D228" s="5" t="s">
        <v>169</v>
      </c>
      <c r="E228" s="31">
        <v>4.0</v>
      </c>
    </row>
    <row r="229">
      <c r="A229" s="30">
        <v>228.0</v>
      </c>
      <c r="B229" s="13" t="s">
        <v>126</v>
      </c>
      <c r="C229" s="5" t="str">
        <f>vlookup(B229,Masterview!$A$2:$C$977, 3, FALSE)</f>
        <v>CAR</v>
      </c>
      <c r="D229" s="5" t="s">
        <v>25</v>
      </c>
      <c r="E229" s="31">
        <v>4.0</v>
      </c>
    </row>
    <row r="230">
      <c r="A230" s="30">
        <v>229.0</v>
      </c>
      <c r="B230" s="13" t="s">
        <v>947</v>
      </c>
      <c r="C230" s="5" t="str">
        <f>vlookup(B230,Masterview!$A$2:$C$977, 3, FALSE)</f>
        <v>CIN</v>
      </c>
      <c r="D230" s="5" t="s">
        <v>10</v>
      </c>
      <c r="E230" s="31">
        <v>4.0</v>
      </c>
    </row>
    <row r="231">
      <c r="A231" s="30">
        <v>230.0</v>
      </c>
      <c r="B231" s="13" t="s">
        <v>181</v>
      </c>
      <c r="C231" s="5" t="str">
        <f>vlookup(B231,Masterview!$A$2:$C$977, 3, FALSE)</f>
        <v>MIA</v>
      </c>
      <c r="D231" s="5" t="s">
        <v>10</v>
      </c>
      <c r="E231" s="31">
        <v>4.0</v>
      </c>
    </row>
    <row r="232">
      <c r="A232" s="30">
        <v>231.0</v>
      </c>
      <c r="B232" s="13" t="s">
        <v>291</v>
      </c>
      <c r="C232" s="5" t="str">
        <f>vlookup(B232,Masterview!$A$2:$C$977, 3, FALSE)</f>
        <v>WAS</v>
      </c>
      <c r="D232" s="5" t="s">
        <v>25</v>
      </c>
      <c r="E232" s="31">
        <v>4.0</v>
      </c>
    </row>
    <row r="233">
      <c r="A233" s="30">
        <v>232.0</v>
      </c>
      <c r="B233" s="13" t="s">
        <v>510</v>
      </c>
      <c r="C233" s="5" t="str">
        <f>vlookup(B233,Masterview!$A$2:$C$977, 3, FALSE)</f>
        <v>LAR</v>
      </c>
      <c r="D233" s="5" t="s">
        <v>25</v>
      </c>
      <c r="E233" s="31">
        <v>4.0</v>
      </c>
    </row>
    <row r="234">
      <c r="A234" s="30">
        <v>233.0</v>
      </c>
      <c r="B234" s="13" t="s">
        <v>319</v>
      </c>
      <c r="C234" s="5" t="str">
        <f>vlookup(B234,Masterview!$A$2:$C$977, 3, FALSE)</f>
        <v>PIT</v>
      </c>
      <c r="D234" s="5" t="s">
        <v>16</v>
      </c>
      <c r="E234" s="31">
        <v>4.0</v>
      </c>
    </row>
    <row r="235">
      <c r="A235" s="30">
        <v>234.0</v>
      </c>
      <c r="B235" s="13" t="s">
        <v>240</v>
      </c>
      <c r="C235" s="5" t="str">
        <f>vlookup(B235,Masterview!$A$2:$C$977, 3, FALSE)</f>
        <v>SEA</v>
      </c>
      <c r="D235" s="5" t="s">
        <v>16</v>
      </c>
      <c r="E235" s="31">
        <v>4.0</v>
      </c>
    </row>
    <row r="236">
      <c r="A236" s="30">
        <v>235.0</v>
      </c>
      <c r="B236" s="13" t="s">
        <v>184</v>
      </c>
      <c r="C236" s="5" t="str">
        <f>vlookup(B236,Masterview!$A$2:$C$977, 3, FALSE)</f>
        <v>ATL</v>
      </c>
      <c r="D236" s="5" t="s">
        <v>169</v>
      </c>
      <c r="E236" s="31">
        <v>4.0</v>
      </c>
    </row>
    <row r="237">
      <c r="A237" s="30">
        <v>236.0</v>
      </c>
      <c r="B237" s="13" t="s">
        <v>337</v>
      </c>
      <c r="C237" s="5" t="str">
        <f>vlookup(B237,Masterview!$A$2:$C$977, 3, FALSE)</f>
        <v>TEN</v>
      </c>
      <c r="D237" s="5" t="s">
        <v>25</v>
      </c>
      <c r="E237" s="31">
        <v>2.0</v>
      </c>
    </row>
    <row r="238">
      <c r="A238" s="30">
        <v>237.0</v>
      </c>
      <c r="B238" s="13" t="s">
        <v>400</v>
      </c>
      <c r="C238" s="5" t="str">
        <f>vlookup(B238,Masterview!$A$2:$C$977, 3, FALSE)</f>
        <v>NO</v>
      </c>
      <c r="D238" s="5" t="s">
        <v>10</v>
      </c>
      <c r="E238" s="31">
        <v>2.0</v>
      </c>
    </row>
    <row r="239">
      <c r="A239" s="30">
        <v>238.0</v>
      </c>
      <c r="B239" s="13" t="s">
        <v>417</v>
      </c>
      <c r="C239" s="5" t="str">
        <f>vlookup(B239,Masterview!$A$2:$C$977, 3, FALSE)</f>
        <v>DEN</v>
      </c>
      <c r="D239" s="5" t="s">
        <v>16</v>
      </c>
      <c r="E239" s="31">
        <v>2.0</v>
      </c>
    </row>
    <row r="240">
      <c r="A240" s="30">
        <v>239.0</v>
      </c>
      <c r="B240" s="13" t="s">
        <v>276</v>
      </c>
      <c r="C240" s="5" t="str">
        <f>vlookup(B240,Masterview!$A$2:$C$977, 3, FALSE)</f>
        <v>NYG</v>
      </c>
      <c r="D240" s="5" t="s">
        <v>169</v>
      </c>
      <c r="E240" s="31">
        <v>2.0</v>
      </c>
    </row>
    <row r="241">
      <c r="A241" s="30">
        <v>240.0</v>
      </c>
      <c r="B241" s="13" t="s">
        <v>979</v>
      </c>
      <c r="C241" s="5" t="str">
        <f>vlookup(B241,Masterview!$A$2:$C$977, 3, FALSE)</f>
        <v>WAS</v>
      </c>
      <c r="D241" s="5" t="s">
        <v>10</v>
      </c>
      <c r="E241" s="31">
        <v>2.0</v>
      </c>
    </row>
    <row r="242">
      <c r="A242" s="30">
        <v>241.0</v>
      </c>
      <c r="B242" s="13" t="s">
        <v>668</v>
      </c>
      <c r="C242" s="5" t="str">
        <f>vlookup(B242,Masterview!$A$2:$C$977, 3, FALSE)</f>
        <v>MIA</v>
      </c>
      <c r="D242" s="5" t="s">
        <v>25</v>
      </c>
      <c r="E242" s="31">
        <v>2.0</v>
      </c>
    </row>
    <row r="243">
      <c r="A243" s="30">
        <v>242.0</v>
      </c>
      <c r="B243" s="13" t="s">
        <v>934</v>
      </c>
      <c r="C243" s="5" t="str">
        <f>vlookup(B243,Masterview!$A$2:$C$977, 3, FALSE)</f>
        <v>DAL</v>
      </c>
      <c r="D243" s="5" t="s">
        <v>10</v>
      </c>
      <c r="E243" s="31">
        <v>2.0</v>
      </c>
    </row>
    <row r="244">
      <c r="A244" s="30">
        <v>243.0</v>
      </c>
      <c r="B244" s="13" t="s">
        <v>514</v>
      </c>
      <c r="C244" s="5" t="str">
        <f>vlookup(B244,Masterview!$A$2:$C$977, 3, FALSE)</f>
        <v>ARI</v>
      </c>
      <c r="D244" s="5" t="s">
        <v>25</v>
      </c>
      <c r="E244" s="31">
        <v>2.0</v>
      </c>
    </row>
    <row r="245">
      <c r="A245" s="30">
        <v>244.0</v>
      </c>
      <c r="B245" s="13" t="s">
        <v>1046</v>
      </c>
      <c r="C245" s="5" t="str">
        <f>vlookup(B245,Masterview!$A$2:$C$977, 3, FALSE)</f>
        <v>SEA</v>
      </c>
      <c r="D245" s="5" t="s">
        <v>10</v>
      </c>
      <c r="E245" s="31">
        <v>2.0</v>
      </c>
    </row>
    <row r="246">
      <c r="A246" s="30">
        <v>245.0</v>
      </c>
      <c r="B246" s="13" t="s">
        <v>425</v>
      </c>
      <c r="C246" s="5" t="str">
        <f>vlookup(B246,Masterview!$A$2:$C$977, 3, FALSE)</f>
        <v>PIT</v>
      </c>
      <c r="D246" s="5" t="s">
        <v>7</v>
      </c>
      <c r="E246" s="31">
        <v>2.0</v>
      </c>
    </row>
    <row r="247">
      <c r="A247" s="30">
        <v>246.0</v>
      </c>
      <c r="B247" s="13" t="s">
        <v>522</v>
      </c>
      <c r="C247" s="5" t="str">
        <f>vlookup(B247,Masterview!$A$2:$C$977, 3, FALSE)</f>
        <v>MIN</v>
      </c>
      <c r="D247" s="5" t="s">
        <v>25</v>
      </c>
      <c r="E247" s="31">
        <v>2.0</v>
      </c>
    </row>
    <row r="248">
      <c r="A248" s="30">
        <v>247.0</v>
      </c>
      <c r="B248" s="13" t="s">
        <v>776</v>
      </c>
      <c r="C248" s="5" t="str">
        <f>vlookup(B248,Masterview!$A$2:$C$977, 3, FALSE)</f>
        <v>DET</v>
      </c>
      <c r="D248" s="5" t="s">
        <v>7</v>
      </c>
      <c r="E248" s="31">
        <v>2.0</v>
      </c>
    </row>
    <row r="249">
      <c r="A249" s="30">
        <v>248.0</v>
      </c>
      <c r="B249" s="13" t="s">
        <v>190</v>
      </c>
      <c r="C249" s="5" t="str">
        <f>vlookup(B249,Masterview!$A$2:$C$977, 3, FALSE)</f>
        <v>DEN</v>
      </c>
      <c r="D249" s="5" t="s">
        <v>169</v>
      </c>
      <c r="E249" s="31">
        <v>2.0</v>
      </c>
    </row>
    <row r="250">
      <c r="A250" s="30">
        <v>249.0</v>
      </c>
      <c r="B250" s="13" t="s">
        <v>268</v>
      </c>
      <c r="C250" s="5" t="str">
        <f>vlookup(B250,Masterview!$A$2:$C$977, 3, FALSE)</f>
        <v>NYJ</v>
      </c>
      <c r="D250" s="5" t="s">
        <v>169</v>
      </c>
      <c r="E250" s="31">
        <v>2.0</v>
      </c>
    </row>
    <row r="251">
      <c r="A251" s="30">
        <v>250.0</v>
      </c>
      <c r="B251" s="13" t="s">
        <v>600</v>
      </c>
      <c r="C251" s="5" t="str">
        <f>vlookup(B251,Masterview!$A$2:$C$977, 3, FALSE)</f>
        <v>ATL</v>
      </c>
      <c r="D251" s="5" t="s">
        <v>7</v>
      </c>
      <c r="E251" s="31">
        <v>2.0</v>
      </c>
    </row>
    <row r="252">
      <c r="A252" s="30">
        <v>251.0</v>
      </c>
      <c r="B252" s="13" t="s">
        <v>298</v>
      </c>
      <c r="C252" s="5" t="str">
        <f>vlookup(B252,Masterview!$A$2:$C$977, 3, FALSE)</f>
        <v>CIN</v>
      </c>
      <c r="D252" s="5" t="s">
        <v>16</v>
      </c>
      <c r="E252" s="31">
        <v>2.0</v>
      </c>
    </row>
    <row r="253">
      <c r="A253" s="30">
        <v>252.0</v>
      </c>
      <c r="B253" s="13" t="s">
        <v>940</v>
      </c>
      <c r="C253" s="5" t="str">
        <f>vlookup(B253,Masterview!$A$2:$C$977, 3, FALSE)</f>
        <v>CLE</v>
      </c>
      <c r="D253" s="5" t="s">
        <v>10</v>
      </c>
      <c r="E253" s="31">
        <v>2.0</v>
      </c>
    </row>
    <row r="254">
      <c r="A254" s="30">
        <v>253.0</v>
      </c>
      <c r="B254" s="13" t="s">
        <v>188</v>
      </c>
      <c r="C254" s="5" t="str">
        <f>vlookup(B254,Masterview!$A$2:$C$977, 3, FALSE)</f>
        <v>PIT</v>
      </c>
      <c r="D254" s="5" t="s">
        <v>169</v>
      </c>
      <c r="E254" s="31">
        <v>2.0</v>
      </c>
    </row>
    <row r="255">
      <c r="A255" s="30">
        <v>254.0</v>
      </c>
      <c r="B255" s="13" t="s">
        <v>306</v>
      </c>
      <c r="C255" s="5" t="str">
        <f>vlookup(B255,Masterview!$A$2:$C$977, 3, FALSE)</f>
        <v>JAC</v>
      </c>
      <c r="D255" s="5" t="s">
        <v>25</v>
      </c>
      <c r="E255" s="31">
        <v>2.0</v>
      </c>
    </row>
    <row r="256">
      <c r="A256" s="30">
        <v>255.0</v>
      </c>
      <c r="B256" s="13" t="s">
        <v>538</v>
      </c>
      <c r="C256" s="5" t="str">
        <f>vlookup(B256,Masterview!$A$2:$C$977, 3, FALSE)</f>
        <v>FA</v>
      </c>
      <c r="D256" s="5" t="s">
        <v>25</v>
      </c>
      <c r="E256" s="31">
        <v>2.0</v>
      </c>
    </row>
    <row r="257">
      <c r="A257" s="30">
        <v>256.0</v>
      </c>
      <c r="B257" s="13" t="s">
        <v>591</v>
      </c>
      <c r="C257" s="5" t="str">
        <f>vlookup(B257,Masterview!$A$2:$C$977, 3, FALSE)</f>
        <v>JAC</v>
      </c>
      <c r="D257" s="5" t="s">
        <v>7</v>
      </c>
      <c r="E257" s="31">
        <v>2.0</v>
      </c>
    </row>
    <row r="258">
      <c r="A258" s="30">
        <v>257.0</v>
      </c>
      <c r="B258" s="13" t="s">
        <v>282</v>
      </c>
      <c r="C258" s="5" t="str">
        <f>vlookup(B258,Masterview!$A$2:$C$977, 3, FALSE)</f>
        <v>BUF</v>
      </c>
      <c r="D258" s="5" t="s">
        <v>25</v>
      </c>
      <c r="E258" s="31">
        <v>2.0</v>
      </c>
    </row>
    <row r="259">
      <c r="A259" s="30">
        <v>258.0</v>
      </c>
      <c r="B259" s="13" t="s">
        <v>339</v>
      </c>
      <c r="C259" s="5" t="str">
        <f>vlookup(B259,Masterview!$A$2:$C$977, 3, FALSE)</f>
        <v>CHI</v>
      </c>
      <c r="D259" s="5" t="s">
        <v>16</v>
      </c>
      <c r="E259" s="31">
        <v>2.0</v>
      </c>
    </row>
    <row r="260">
      <c r="A260" s="30">
        <v>259.0</v>
      </c>
      <c r="B260" s="13" t="s">
        <v>511</v>
      </c>
      <c r="C260" s="5" t="str">
        <f>vlookup(B260,Masterview!$A$2:$C$977, 3, FALSE)</f>
        <v>CHI</v>
      </c>
      <c r="D260" s="5" t="s">
        <v>25</v>
      </c>
      <c r="E260" s="31">
        <v>2.0</v>
      </c>
    </row>
    <row r="261">
      <c r="A261" s="30">
        <v>260.0</v>
      </c>
      <c r="B261" s="13" t="s">
        <v>372</v>
      </c>
      <c r="C261" s="5" t="str">
        <f>vlookup(B261,Masterview!$A$2:$C$977, 3, FALSE)</f>
        <v>NE</v>
      </c>
      <c r="D261" s="5" t="s">
        <v>16</v>
      </c>
      <c r="E261" s="31">
        <v>2.0</v>
      </c>
    </row>
    <row r="262">
      <c r="A262" s="30">
        <v>261.0</v>
      </c>
      <c r="B262" s="13" t="s">
        <v>288</v>
      </c>
      <c r="C262" s="5" t="str">
        <f>vlookup(B262,Masterview!$A$2:$C$977, 3, FALSE)</f>
        <v>ARI</v>
      </c>
      <c r="D262" s="5" t="s">
        <v>16</v>
      </c>
      <c r="E262" s="31">
        <v>2.0</v>
      </c>
    </row>
    <row r="263">
      <c r="A263" s="30">
        <v>262.0</v>
      </c>
      <c r="B263" s="13" t="s">
        <v>191</v>
      </c>
      <c r="C263" s="5" t="str">
        <f>vlookup(B263,Masterview!$A$2:$C$977, 3, FALSE)</f>
        <v>MIN</v>
      </c>
      <c r="D263" s="5" t="s">
        <v>169</v>
      </c>
      <c r="E263" s="31">
        <v>2.0</v>
      </c>
    </row>
    <row r="264">
      <c r="A264" s="30">
        <v>263.0</v>
      </c>
      <c r="B264" s="13" t="s">
        <v>313</v>
      </c>
      <c r="C264" s="5" t="str">
        <f>vlookup(B264,Masterview!$A$2:$C$977, 3, FALSE)</f>
        <v>DET</v>
      </c>
      <c r="D264" s="5" t="s">
        <v>25</v>
      </c>
      <c r="E264" s="31">
        <v>2.0</v>
      </c>
    </row>
    <row r="265">
      <c r="A265" s="30">
        <v>264.0</v>
      </c>
      <c r="B265" s="13" t="s">
        <v>542</v>
      </c>
      <c r="C265" s="5" t="str">
        <f>vlookup(B265,Masterview!$A$2:$C$977, 3, FALSE)</f>
        <v>KC</v>
      </c>
      <c r="D265" s="5" t="s">
        <v>7</v>
      </c>
      <c r="E265" s="31">
        <v>2.0</v>
      </c>
    </row>
    <row r="266">
      <c r="A266" s="30">
        <v>265.0</v>
      </c>
      <c r="B266" s="13" t="s">
        <v>280</v>
      </c>
      <c r="C266" s="5" t="str">
        <f>vlookup(B266,Masterview!$A$2:$C$977, 3, FALSE)</f>
        <v>HOU</v>
      </c>
      <c r="D266" s="5" t="s">
        <v>16</v>
      </c>
      <c r="E266" s="31">
        <v>2.0</v>
      </c>
    </row>
    <row r="267">
      <c r="A267" s="30">
        <v>266.0</v>
      </c>
      <c r="B267" s="13" t="s">
        <v>793</v>
      </c>
      <c r="C267" s="5" t="str">
        <f>vlookup(B267,Masterview!$A$2:$C$977, 3, FALSE)</f>
        <v>KC</v>
      </c>
      <c r="D267" s="5" t="s">
        <v>7</v>
      </c>
      <c r="E267" s="31">
        <v>2.0</v>
      </c>
    </row>
    <row r="268">
      <c r="A268" s="30">
        <v>267.0</v>
      </c>
      <c r="B268" s="13" t="s">
        <v>384</v>
      </c>
      <c r="C268" s="5" t="str">
        <f>vlookup(B268,Masterview!$A$2:$C$977, 3, FALSE)</f>
        <v>SEA</v>
      </c>
      <c r="D268" s="5" t="s">
        <v>25</v>
      </c>
      <c r="E268" s="31">
        <v>2.0</v>
      </c>
    </row>
    <row r="269">
      <c r="A269" s="30">
        <v>268.0</v>
      </c>
      <c r="B269" s="13" t="s">
        <v>318</v>
      </c>
      <c r="C269" s="5" t="str">
        <f>vlookup(B269,Masterview!$A$2:$C$977, 3, FALSE)</f>
        <v>CLE</v>
      </c>
      <c r="D269" s="5" t="s">
        <v>16</v>
      </c>
      <c r="E269" s="31">
        <v>2.0</v>
      </c>
    </row>
    <row r="270">
      <c r="A270" s="30">
        <v>269.0</v>
      </c>
      <c r="B270" s="13" t="s">
        <v>243</v>
      </c>
      <c r="C270" s="5" t="str">
        <f>vlookup(B270,Masterview!$A$2:$C$977, 3, FALSE)</f>
        <v>BUF</v>
      </c>
      <c r="D270" s="5" t="s">
        <v>16</v>
      </c>
      <c r="E270" s="31">
        <v>2.0</v>
      </c>
    </row>
    <row r="271">
      <c r="A271" s="30">
        <v>270.0</v>
      </c>
      <c r="B271" s="13" t="s">
        <v>513</v>
      </c>
      <c r="C271" s="5" t="str">
        <f>vlookup(B271,Masterview!$A$2:$C$977, 3, FALSE)</f>
        <v>KC</v>
      </c>
      <c r="D271" s="5" t="s">
        <v>25</v>
      </c>
      <c r="E271" s="31">
        <v>2.0</v>
      </c>
    </row>
    <row r="272">
      <c r="A272" s="30">
        <v>271.0</v>
      </c>
      <c r="B272" s="13" t="s">
        <v>532</v>
      </c>
      <c r="C272" s="5" t="str">
        <f>vlookup(B272,Masterview!$A$2:$C$977, 3, FALSE)</f>
        <v>NO</v>
      </c>
      <c r="D272" s="5" t="s">
        <v>25</v>
      </c>
      <c r="E272" s="31">
        <v>2.0</v>
      </c>
    </row>
    <row r="273">
      <c r="A273" s="30">
        <v>272.0</v>
      </c>
      <c r="B273" s="13" t="s">
        <v>767</v>
      </c>
      <c r="C273" s="5" t="str">
        <f>vlookup(B273,Masterview!$A$2:$C$977, 3, FALSE)</f>
        <v>NYG</v>
      </c>
      <c r="D273" s="5" t="s">
        <v>7</v>
      </c>
      <c r="E273" s="31">
        <v>2.0</v>
      </c>
    </row>
    <row r="274">
      <c r="A274" s="30">
        <v>273.0</v>
      </c>
      <c r="B274" s="13" t="s">
        <v>587</v>
      </c>
      <c r="C274" s="5" t="str">
        <f>vlookup(B274,Masterview!$A$2:$C$977, 3, FALSE)</f>
        <v>CLE</v>
      </c>
      <c r="D274" s="5" t="s">
        <v>25</v>
      </c>
      <c r="E274" s="31">
        <v>2.0</v>
      </c>
    </row>
    <row r="275">
      <c r="A275" s="30">
        <v>274.0</v>
      </c>
      <c r="B275" s="13" t="s">
        <v>784</v>
      </c>
      <c r="C275" s="5" t="str">
        <f>vlookup(B275,Masterview!$A$2:$C$977, 3, FALSE)</f>
        <v>CLE</v>
      </c>
      <c r="D275" s="5" t="s">
        <v>7</v>
      </c>
      <c r="E275" s="31">
        <v>2.0</v>
      </c>
    </row>
    <row r="276">
      <c r="A276" s="30">
        <v>275.0</v>
      </c>
      <c r="B276" s="13" t="s">
        <v>832</v>
      </c>
      <c r="C276" s="5" t="str">
        <f>vlookup(B276,Masterview!$A$2:$C$977, 3, FALSE)</f>
        <v>PHI</v>
      </c>
      <c r="D276" s="5" t="s">
        <v>7</v>
      </c>
      <c r="E276" s="31">
        <v>2.0</v>
      </c>
    </row>
    <row r="277">
      <c r="A277" s="30">
        <v>276.0</v>
      </c>
      <c r="B277" s="13" t="s">
        <v>567</v>
      </c>
      <c r="C277" s="5" t="str">
        <f>vlookup(B277,Masterview!$A$2:$C$977, 3, FALSE)</f>
        <v>NYJ</v>
      </c>
      <c r="D277" s="5" t="s">
        <v>7</v>
      </c>
      <c r="E277" s="31">
        <v>2.0</v>
      </c>
    </row>
    <row r="278">
      <c r="A278" s="30">
        <v>277.0</v>
      </c>
      <c r="B278" s="13" t="s">
        <v>543</v>
      </c>
      <c r="C278" s="5" t="str">
        <f>vlookup(B278,Masterview!$A$2:$C$977, 3, FALSE)</f>
        <v>BUF</v>
      </c>
      <c r="D278" s="5" t="s">
        <v>25</v>
      </c>
      <c r="E278" s="31">
        <v>2.0</v>
      </c>
    </row>
    <row r="279">
      <c r="A279" s="30">
        <v>278.0</v>
      </c>
      <c r="B279" s="13" t="s">
        <v>590</v>
      </c>
      <c r="C279" s="5" t="str">
        <f>vlookup(B279,Masterview!$A$2:$C$977, 3, FALSE)</f>
        <v>MIA</v>
      </c>
      <c r="D279" s="5" t="s">
        <v>25</v>
      </c>
      <c r="E279" s="31">
        <v>2.0</v>
      </c>
    </row>
    <row r="280">
      <c r="A280" s="30">
        <v>279.0</v>
      </c>
      <c r="B280" s="13" t="s">
        <v>520</v>
      </c>
      <c r="C280" s="5" t="str">
        <f>vlookup(B280,Masterview!$A$2:$C$977, 3, FALSE)</f>
        <v>CIN</v>
      </c>
      <c r="D280" s="5" t="s">
        <v>7</v>
      </c>
      <c r="E280" s="31">
        <v>2.0</v>
      </c>
    </row>
    <row r="281">
      <c r="A281" s="30">
        <v>280.0</v>
      </c>
      <c r="B281" s="13" t="s">
        <v>509</v>
      </c>
      <c r="C281" s="5" t="str">
        <f>vlookup(B281,Masterview!$A$2:$C$977, 3, FALSE)</f>
        <v>PHI</v>
      </c>
      <c r="D281" s="5" t="s">
        <v>25</v>
      </c>
      <c r="E281" s="31">
        <v>2.0</v>
      </c>
    </row>
    <row r="282">
      <c r="A282" s="30">
        <v>281.0</v>
      </c>
      <c r="B282" s="13" t="s">
        <v>547</v>
      </c>
      <c r="C282" s="5" t="str">
        <f>vlookup(B282,Masterview!$A$2:$C$977, 3, FALSE)</f>
        <v>BAL</v>
      </c>
      <c r="D282" s="5" t="s">
        <v>7</v>
      </c>
      <c r="E282" s="31">
        <v>2.0</v>
      </c>
    </row>
    <row r="283">
      <c r="A283" s="30">
        <v>282.0</v>
      </c>
      <c r="B283" s="13" t="s">
        <v>321</v>
      </c>
      <c r="C283" s="5" t="str">
        <f>vlookup(B283,Masterview!$A$2:$C$977, 3, FALSE)</f>
        <v>LV</v>
      </c>
      <c r="D283" s="5" t="s">
        <v>25</v>
      </c>
      <c r="E283" s="31">
        <v>2.0</v>
      </c>
    </row>
    <row r="284">
      <c r="A284" s="30">
        <v>283.0</v>
      </c>
      <c r="B284" s="13" t="s">
        <v>527</v>
      </c>
      <c r="C284" s="5" t="str">
        <f>vlookup(B284,Masterview!$A$2:$C$977, 3, FALSE)</f>
        <v>MIA</v>
      </c>
      <c r="D284" s="5" t="s">
        <v>25</v>
      </c>
      <c r="E284" s="31">
        <v>2.0</v>
      </c>
    </row>
    <row r="285">
      <c r="A285" s="30">
        <v>284.0</v>
      </c>
      <c r="B285" s="13" t="s">
        <v>529</v>
      </c>
      <c r="C285" s="5" t="str">
        <f>vlookup(B285,Masterview!$A$2:$C$977, 3, FALSE)</f>
        <v>ATL</v>
      </c>
      <c r="D285" s="5" t="s">
        <v>7</v>
      </c>
      <c r="E285" s="31">
        <v>2.0</v>
      </c>
    </row>
    <row r="286">
      <c r="A286" s="30">
        <v>285.0</v>
      </c>
      <c r="B286" s="13" t="s">
        <v>598</v>
      </c>
      <c r="C286" s="5" t="str">
        <f>vlookup(B286,Masterview!$A$2:$C$977, 3, FALSE)</f>
        <v>WAS</v>
      </c>
      <c r="D286" s="5" t="s">
        <v>7</v>
      </c>
      <c r="E286" s="31">
        <v>2.0</v>
      </c>
    </row>
    <row r="287">
      <c r="A287" s="30">
        <v>286.0</v>
      </c>
      <c r="B287" s="13" t="s">
        <v>247</v>
      </c>
      <c r="C287" s="5" t="str">
        <f>vlookup(B287,Masterview!$A$2:$C$977, 3, FALSE)</f>
        <v>GB</v>
      </c>
      <c r="D287" s="5" t="s">
        <v>16</v>
      </c>
      <c r="E287" s="31">
        <v>2.0</v>
      </c>
    </row>
    <row r="288">
      <c r="A288" s="30">
        <v>287.0</v>
      </c>
      <c r="B288" s="13" t="s">
        <v>931</v>
      </c>
      <c r="C288" s="5" t="str">
        <f>vlookup(B288,Masterview!$A$2:$C$977, 3, FALSE)</f>
        <v>IND</v>
      </c>
      <c r="D288" s="5" t="s">
        <v>10</v>
      </c>
      <c r="E288" s="31">
        <v>2.0</v>
      </c>
    </row>
    <row r="289">
      <c r="A289" s="30">
        <v>288.0</v>
      </c>
      <c r="B289" s="13" t="s">
        <v>192</v>
      </c>
      <c r="C289" s="5" t="str">
        <f>vlookup(B289,Masterview!$A$2:$C$977, 3, FALSE)</f>
        <v>PHI</v>
      </c>
      <c r="D289" s="5" t="s">
        <v>169</v>
      </c>
      <c r="E289" s="31">
        <v>2.0</v>
      </c>
    </row>
    <row r="290">
      <c r="A290" s="30">
        <v>289.0</v>
      </c>
      <c r="B290" s="13" t="s">
        <v>528</v>
      </c>
      <c r="C290" s="5" t="str">
        <f>vlookup(B290,Masterview!$A$2:$C$977, 3, FALSE)</f>
        <v>LV</v>
      </c>
      <c r="D290" s="5" t="s">
        <v>7</v>
      </c>
      <c r="E290" s="31">
        <v>2.0</v>
      </c>
    </row>
    <row r="291">
      <c r="A291" s="30">
        <v>290.0</v>
      </c>
      <c r="B291" s="13" t="s">
        <v>402</v>
      </c>
      <c r="C291" s="5" t="str">
        <f>vlookup(B291,Masterview!$A$2:$C$977, 3, FALSE)</f>
        <v>GB</v>
      </c>
      <c r="D291" s="5" t="s">
        <v>7</v>
      </c>
      <c r="E291" s="31">
        <v>2.0</v>
      </c>
    </row>
    <row r="292">
      <c r="A292" s="30">
        <v>291.0</v>
      </c>
      <c r="B292" s="13" t="s">
        <v>303</v>
      </c>
      <c r="C292" s="5" t="str">
        <f>vlookup(B292,Masterview!$A$2:$C$977, 3, FALSE)</f>
        <v>PIT</v>
      </c>
      <c r="D292" s="5" t="s">
        <v>25</v>
      </c>
      <c r="E292" s="31">
        <v>2.0</v>
      </c>
    </row>
    <row r="293">
      <c r="A293" s="30">
        <v>292.0</v>
      </c>
      <c r="B293" s="13" t="s">
        <v>936</v>
      </c>
      <c r="C293" s="5" t="str">
        <f>vlookup(B293,Masterview!$A$2:$C$977, 3, FALSE)</f>
        <v>NE</v>
      </c>
      <c r="D293" s="5" t="s">
        <v>10</v>
      </c>
      <c r="E293" s="31">
        <v>2.0</v>
      </c>
    </row>
    <row r="294">
      <c r="A294" s="30">
        <v>293.0</v>
      </c>
      <c r="B294" s="13" t="s">
        <v>798</v>
      </c>
      <c r="C294" s="5" t="str">
        <f>vlookup(B294,Masterview!$A$2:$C$977, 3, FALSE)</f>
        <v>DET</v>
      </c>
      <c r="D294" s="5" t="s">
        <v>7</v>
      </c>
      <c r="E294" s="31">
        <v>2.0</v>
      </c>
    </row>
    <row r="295">
      <c r="A295" s="30">
        <v>294.0</v>
      </c>
      <c r="B295" s="13" t="s">
        <v>238</v>
      </c>
      <c r="C295" s="5" t="str">
        <f>vlookup(B295,Masterview!$A$2:$C$977, 3, FALSE)</f>
        <v>MIA</v>
      </c>
      <c r="D295" s="5" t="s">
        <v>169</v>
      </c>
      <c r="E295" s="31">
        <v>2.0</v>
      </c>
    </row>
    <row r="296">
      <c r="A296" s="30">
        <v>295.0</v>
      </c>
      <c r="B296" s="13" t="s">
        <v>350</v>
      </c>
      <c r="C296" s="5" t="str">
        <f>vlookup(B296,Masterview!$A$2:$C$977, 3, FALSE)</f>
        <v>LV</v>
      </c>
      <c r="D296" s="5" t="s">
        <v>16</v>
      </c>
      <c r="E296" s="31">
        <v>2.0</v>
      </c>
    </row>
    <row r="297">
      <c r="A297" s="30">
        <v>296.0</v>
      </c>
      <c r="B297" s="13" t="s">
        <v>551</v>
      </c>
      <c r="C297" s="5" t="str">
        <f>vlookup(B297,Masterview!$A$2:$C$977, 3, FALSE)</f>
        <v>PIT</v>
      </c>
      <c r="D297" s="5" t="s">
        <v>7</v>
      </c>
      <c r="E297" s="31">
        <v>2.0</v>
      </c>
    </row>
    <row r="298">
      <c r="A298" s="30">
        <v>297.0</v>
      </c>
      <c r="B298" s="13" t="s">
        <v>346</v>
      </c>
      <c r="C298" s="5" t="str">
        <f>vlookup(B298,Masterview!$A$2:$C$977, 3, FALSE)</f>
        <v>DET</v>
      </c>
      <c r="D298" s="5" t="s">
        <v>16</v>
      </c>
      <c r="E298" s="31">
        <v>2.0</v>
      </c>
    </row>
    <row r="299">
      <c r="A299" s="30">
        <v>298.0</v>
      </c>
      <c r="B299" s="13" t="s">
        <v>161</v>
      </c>
      <c r="C299" s="5" t="str">
        <f>vlookup(B299,Masterview!$A$2:$C$977, 3, FALSE)</f>
        <v>CHI</v>
      </c>
      <c r="D299" s="5" t="s">
        <v>16</v>
      </c>
      <c r="E299" s="31">
        <v>2.0</v>
      </c>
    </row>
    <row r="300">
      <c r="A300" s="30">
        <v>299.0</v>
      </c>
      <c r="B300" s="13" t="s">
        <v>976</v>
      </c>
      <c r="C300" s="5" t="str">
        <f>vlookup(B300,Masterview!$A$2:$C$977, 3, FALSE)</f>
        <v>NYJ</v>
      </c>
      <c r="D300" s="5" t="s">
        <v>10</v>
      </c>
      <c r="E300" s="31">
        <v>2.0</v>
      </c>
    </row>
    <row r="301">
      <c r="A301" s="30">
        <v>300.0</v>
      </c>
      <c r="B301" s="13" t="s">
        <v>536</v>
      </c>
      <c r="C301" s="5" t="str">
        <f>vlookup(B301,Masterview!$A$2:$C$977, 3, FALSE)</f>
        <v>LAC</v>
      </c>
      <c r="D301" s="5" t="s">
        <v>25</v>
      </c>
      <c r="E301" s="31">
        <v>2.0</v>
      </c>
    </row>
    <row r="302">
      <c r="A302" s="30">
        <v>301.0</v>
      </c>
      <c r="B302" s="13" t="s">
        <v>379</v>
      </c>
      <c r="C302" s="5" t="str">
        <f>vlookup(B302,Masterview!$A$2:$C$977, 3, FALSE)</f>
        <v>CIN</v>
      </c>
      <c r="D302" s="5" t="s">
        <v>25</v>
      </c>
      <c r="E302" s="31">
        <v>2.0</v>
      </c>
    </row>
    <row r="303">
      <c r="A303" s="30">
        <v>302.0</v>
      </c>
      <c r="B303" s="13" t="s">
        <v>316</v>
      </c>
      <c r="C303" s="5" t="str">
        <f>vlookup(B303,Masterview!$A$2:$C$977, 3, FALSE)</f>
        <v>HOU</v>
      </c>
      <c r="D303" s="5" t="s">
        <v>16</v>
      </c>
      <c r="E303" s="31">
        <v>2.0</v>
      </c>
    </row>
    <row r="304">
      <c r="A304" s="30">
        <v>303.0</v>
      </c>
      <c r="B304" s="13" t="s">
        <v>836</v>
      </c>
      <c r="C304" s="5" t="str">
        <f>vlookup(B304,Masterview!$A$2:$C$977, 3, FALSE)</f>
        <v>CAR</v>
      </c>
      <c r="D304" s="5" t="s">
        <v>7</v>
      </c>
      <c r="E304" s="31">
        <v>2.0</v>
      </c>
    </row>
    <row r="305">
      <c r="A305" s="30">
        <v>304.0</v>
      </c>
      <c r="B305" s="13" t="s">
        <v>199</v>
      </c>
      <c r="C305" s="5" t="str">
        <f>vlookup(B305,Masterview!$A$2:$C$977, 3, FALSE)</f>
        <v>JAC</v>
      </c>
      <c r="D305" s="5" t="s">
        <v>169</v>
      </c>
      <c r="E305" s="31">
        <v>2.0</v>
      </c>
    </row>
    <row r="306">
      <c r="A306" s="30">
        <v>305.0</v>
      </c>
      <c r="B306" s="13" t="s">
        <v>374</v>
      </c>
      <c r="C306" s="5" t="str">
        <f>vlookup(B306,Masterview!$A$2:$C$977, 3, FALSE)</f>
        <v>GB</v>
      </c>
      <c r="D306" s="5" t="s">
        <v>16</v>
      </c>
      <c r="E306" s="31">
        <v>2.0</v>
      </c>
    </row>
    <row r="307">
      <c r="A307" s="30">
        <v>306.0</v>
      </c>
      <c r="B307" s="13" t="s">
        <v>195</v>
      </c>
      <c r="C307" s="5" t="str">
        <f>vlookup(B307,Masterview!$A$2:$C$977, 3, FALSE)</f>
        <v>NE</v>
      </c>
      <c r="D307" s="5" t="s">
        <v>169</v>
      </c>
      <c r="E307" s="31">
        <v>2.0</v>
      </c>
    </row>
    <row r="308">
      <c r="A308" s="30">
        <v>307.0</v>
      </c>
      <c r="B308" s="13" t="s">
        <v>198</v>
      </c>
      <c r="C308" s="5" t="str">
        <f>vlookup(B308,Masterview!$A$2:$C$977, 3, FALSE)</f>
        <v>HOU</v>
      </c>
      <c r="D308" s="5" t="s">
        <v>169</v>
      </c>
      <c r="E308" s="31">
        <v>2.0</v>
      </c>
    </row>
    <row r="309">
      <c r="A309" s="30">
        <v>308.0</v>
      </c>
      <c r="B309" s="13" t="s">
        <v>357</v>
      </c>
      <c r="C309" s="5" t="str">
        <f>vlookup(B309,Masterview!$A$2:$C$977, 3, FALSE)</f>
        <v>NYG</v>
      </c>
      <c r="D309" s="5" t="s">
        <v>16</v>
      </c>
      <c r="E309" s="31">
        <v>2.0</v>
      </c>
    </row>
    <row r="310">
      <c r="A310" s="30">
        <v>309.0</v>
      </c>
      <c r="B310" s="13" t="s">
        <v>906</v>
      </c>
      <c r="C310" s="5" t="str">
        <f>vlookup(B310,Masterview!$A$2:$C$977, 3, FALSE)</f>
        <v>MIA</v>
      </c>
      <c r="D310" s="5" t="s">
        <v>7</v>
      </c>
      <c r="E310" s="31">
        <v>2.0</v>
      </c>
    </row>
    <row r="311">
      <c r="A311" s="30">
        <v>310.0</v>
      </c>
      <c r="B311" s="13" t="s">
        <v>305</v>
      </c>
      <c r="C311" s="5" t="str">
        <f>vlookup(B311,Masterview!$A$2:$C$977, 3, FALSE)</f>
        <v>SF</v>
      </c>
      <c r="D311" s="5" t="s">
        <v>25</v>
      </c>
      <c r="E311" s="31">
        <v>2.0</v>
      </c>
    </row>
    <row r="312">
      <c r="A312" s="30">
        <v>311.0</v>
      </c>
      <c r="B312" s="13" t="s">
        <v>343</v>
      </c>
      <c r="C312" s="5" t="str">
        <f>vlookup(B312,Masterview!$A$2:$C$977, 3, FALSE)</f>
        <v>HOU</v>
      </c>
      <c r="D312" s="5" t="s">
        <v>25</v>
      </c>
      <c r="E312" s="31">
        <v>2.0</v>
      </c>
    </row>
    <row r="313">
      <c r="A313" s="30">
        <v>312.0</v>
      </c>
      <c r="B313" s="13" t="s">
        <v>254</v>
      </c>
      <c r="C313" s="5" t="str">
        <f>vlookup(B313,Masterview!$A$2:$C$977, 3, FALSE)</f>
        <v>MIN</v>
      </c>
      <c r="D313" s="5" t="s">
        <v>16</v>
      </c>
      <c r="E313" s="31">
        <v>2.0</v>
      </c>
    </row>
    <row r="314">
      <c r="A314" s="30">
        <v>313.0</v>
      </c>
      <c r="B314" s="13" t="s">
        <v>310</v>
      </c>
      <c r="C314" s="5" t="str">
        <f>vlookup(B314,Masterview!$A$2:$C$977, 3, FALSE)</f>
        <v>WAS</v>
      </c>
      <c r="D314" s="5" t="s">
        <v>16</v>
      </c>
      <c r="E314" s="31">
        <v>2.0</v>
      </c>
    </row>
    <row r="315">
      <c r="A315" s="30">
        <v>314.0</v>
      </c>
      <c r="B315" s="13" t="s">
        <v>516</v>
      </c>
      <c r="C315" s="5" t="str">
        <f>vlookup(B315,Masterview!$A$2:$C$977, 3, FALSE)</f>
        <v>LV</v>
      </c>
      <c r="D315" s="5" t="s">
        <v>7</v>
      </c>
      <c r="E315" s="31">
        <v>2.0</v>
      </c>
    </row>
    <row r="316">
      <c r="A316" s="30">
        <v>315.0</v>
      </c>
      <c r="B316" s="13" t="s">
        <v>930</v>
      </c>
      <c r="C316" s="5" t="str">
        <f>vlookup(B316,Masterview!$A$2:$C$977, 3, FALSE)</f>
        <v>LV</v>
      </c>
      <c r="D316" s="5" t="s">
        <v>10</v>
      </c>
      <c r="E316" s="31">
        <v>2.0</v>
      </c>
    </row>
    <row r="317">
      <c r="A317" s="30">
        <v>316.0</v>
      </c>
      <c r="B317" s="13" t="s">
        <v>735</v>
      </c>
      <c r="C317" s="5" t="str">
        <f>vlookup(B317,Masterview!$A$2:$C$977, 3, FALSE)</f>
        <v>NE</v>
      </c>
      <c r="D317" s="5" t="s">
        <v>25</v>
      </c>
      <c r="E317" s="31">
        <v>2.0</v>
      </c>
    </row>
    <row r="318">
      <c r="A318" s="30">
        <v>317.0</v>
      </c>
      <c r="B318" s="13" t="s">
        <v>422</v>
      </c>
      <c r="C318" s="5" t="str">
        <f>vlookup(B318,Masterview!$A$2:$C$977, 3, FALSE)</f>
        <v>GB</v>
      </c>
      <c r="D318" s="5" t="s">
        <v>25</v>
      </c>
      <c r="E318" s="31">
        <v>2.0</v>
      </c>
    </row>
    <row r="319">
      <c r="A319" s="30">
        <v>318.0</v>
      </c>
      <c r="B319" s="13" t="s">
        <v>205</v>
      </c>
      <c r="C319" s="5" t="str">
        <f>vlookup(B319,Masterview!$A$2:$C$977, 3, FALSE)</f>
        <v>GB</v>
      </c>
      <c r="D319" s="5" t="s">
        <v>169</v>
      </c>
      <c r="E319" s="31">
        <v>2.0</v>
      </c>
    </row>
    <row r="320">
      <c r="A320" s="30">
        <v>319.0</v>
      </c>
      <c r="B320" s="13" t="s">
        <v>193</v>
      </c>
      <c r="C320" s="5" t="str">
        <f>vlookup(B320,Masterview!$A$2:$C$977, 3, FALSE)</f>
        <v>TB</v>
      </c>
      <c r="D320" s="5" t="s">
        <v>169</v>
      </c>
      <c r="E320" s="31">
        <v>2.0</v>
      </c>
    </row>
    <row r="321">
      <c r="A321" s="30">
        <v>320.0</v>
      </c>
      <c r="B321" s="13" t="s">
        <v>183</v>
      </c>
      <c r="C321" s="5" t="str">
        <f>vlookup(B321,Masterview!$A$2:$C$977, 3, FALSE)</f>
        <v>DET</v>
      </c>
      <c r="D321" s="5" t="s">
        <v>169</v>
      </c>
      <c r="E321" s="31">
        <v>2.0</v>
      </c>
    </row>
    <row r="322">
      <c r="A322" s="30">
        <v>321.0</v>
      </c>
      <c r="B322" s="13" t="s">
        <v>369</v>
      </c>
      <c r="C322" s="5" t="str">
        <f>vlookup(B322,Masterview!$A$2:$C$977, 3, FALSE)</f>
        <v>ARI</v>
      </c>
      <c r="D322" s="5" t="s">
        <v>16</v>
      </c>
      <c r="E322" s="31">
        <v>2.0</v>
      </c>
    </row>
    <row r="323">
      <c r="A323" s="30">
        <v>322.0</v>
      </c>
      <c r="B323" s="13" t="s">
        <v>207</v>
      </c>
      <c r="C323" s="5" t="str">
        <f>vlookup(B323,Masterview!$A$2:$C$977, 3, FALSE)</f>
        <v>LAC</v>
      </c>
      <c r="D323" s="5" t="s">
        <v>169</v>
      </c>
      <c r="E323" s="31">
        <v>2.0</v>
      </c>
    </row>
    <row r="324">
      <c r="A324" s="30">
        <v>323.0</v>
      </c>
      <c r="B324" s="13" t="s">
        <v>775</v>
      </c>
      <c r="C324" s="5" t="str">
        <f>vlookup(B324,Masterview!$A$2:$C$977, 3, FALSE)</f>
        <v>MIN</v>
      </c>
      <c r="D324" s="5" t="s">
        <v>7</v>
      </c>
      <c r="E324" s="31">
        <v>2.0</v>
      </c>
    </row>
    <row r="325">
      <c r="A325" s="30">
        <v>324.0</v>
      </c>
      <c r="B325" s="13" t="s">
        <v>360</v>
      </c>
      <c r="C325" s="5" t="str">
        <f>vlookup(B325,Masterview!$A$2:$C$977, 3, FALSE)</f>
        <v>BAL</v>
      </c>
      <c r="D325" s="5" t="s">
        <v>25</v>
      </c>
      <c r="E325" s="31">
        <v>2.0</v>
      </c>
    </row>
    <row r="326">
      <c r="A326" s="30">
        <v>325.0</v>
      </c>
      <c r="B326" s="13" t="s">
        <v>302</v>
      </c>
      <c r="C326" s="5" t="str">
        <f>vlookup(B326,Masterview!$A$2:$C$977, 3, FALSE)</f>
        <v>NE</v>
      </c>
      <c r="D326" s="5" t="s">
        <v>25</v>
      </c>
      <c r="E326" s="31">
        <v>2.0</v>
      </c>
    </row>
    <row r="327">
      <c r="A327" s="30">
        <v>326.0</v>
      </c>
      <c r="B327" s="13" t="s">
        <v>773</v>
      </c>
      <c r="C327" s="5" t="str">
        <f>vlookup(B327,Masterview!$A$2:$C$977, 3, FALSE)</f>
        <v>MIA</v>
      </c>
      <c r="D327" s="5" t="s">
        <v>7</v>
      </c>
      <c r="E327" s="31">
        <v>2.0</v>
      </c>
    </row>
    <row r="328">
      <c r="A328" s="30">
        <v>327.0</v>
      </c>
      <c r="B328" s="13" t="s">
        <v>769</v>
      </c>
      <c r="C328" s="5" t="str">
        <f>vlookup(B328,Masterview!$A$2:$C$977, 3, FALSE)</f>
        <v>WAS</v>
      </c>
      <c r="D328" s="5" t="s">
        <v>7</v>
      </c>
      <c r="E328" s="31">
        <v>2.0</v>
      </c>
    </row>
    <row r="329">
      <c r="A329" s="30">
        <v>328.0</v>
      </c>
      <c r="B329" s="13" t="s">
        <v>330</v>
      </c>
      <c r="C329" s="5" t="str">
        <f>vlookup(B329,Masterview!$A$2:$C$977, 3, FALSE)</f>
        <v>SEA</v>
      </c>
      <c r="D329" s="5" t="s">
        <v>25</v>
      </c>
      <c r="E329" s="31">
        <v>2.0</v>
      </c>
    </row>
    <row r="330">
      <c r="A330" s="30">
        <v>329.0</v>
      </c>
      <c r="B330" s="13" t="s">
        <v>785</v>
      </c>
      <c r="C330" s="5" t="str">
        <f>vlookup(B330,Masterview!$A$2:$C$977, 3, FALSE)</f>
        <v>ATL</v>
      </c>
      <c r="D330" s="5" t="s">
        <v>7</v>
      </c>
      <c r="E330" s="31">
        <v>2.0</v>
      </c>
    </row>
    <row r="331">
      <c r="A331" s="30">
        <v>330.0</v>
      </c>
      <c r="B331" s="13" t="s">
        <v>209</v>
      </c>
      <c r="C331" s="5" t="str">
        <f>vlookup(B331,Masterview!$A$2:$C$977, 3, FALSE)</f>
        <v>CIN</v>
      </c>
      <c r="D331" s="5" t="s">
        <v>169</v>
      </c>
      <c r="E331" s="31">
        <v>2.0</v>
      </c>
    </row>
    <row r="332">
      <c r="A332" s="30">
        <v>331.0</v>
      </c>
      <c r="B332" s="13" t="s">
        <v>540</v>
      </c>
      <c r="C332" s="5" t="str">
        <f>vlookup(B332,Masterview!$A$2:$C$977, 3, FALSE)</f>
        <v>CLE</v>
      </c>
      <c r="D332" s="5" t="s">
        <v>25</v>
      </c>
      <c r="E332" s="31">
        <v>2.0</v>
      </c>
    </row>
    <row r="333">
      <c r="A333" s="30">
        <v>332.0</v>
      </c>
      <c r="B333" s="13" t="s">
        <v>779</v>
      </c>
      <c r="C333" s="5" t="str">
        <f>vlookup(B333,Masterview!$A$2:$C$977, 3, FALSE)</f>
        <v>CAR</v>
      </c>
      <c r="D333" s="5" t="s">
        <v>7</v>
      </c>
      <c r="E333" s="31">
        <v>2.0</v>
      </c>
    </row>
    <row r="334">
      <c r="A334" s="30">
        <v>333.0</v>
      </c>
      <c r="B334" s="13" t="s">
        <v>585</v>
      </c>
      <c r="C334" s="5" t="str">
        <f>vlookup(B334,Masterview!$A$2:$C$977, 3, FALSE)</f>
        <v>NE</v>
      </c>
      <c r="D334" s="5" t="s">
        <v>7</v>
      </c>
      <c r="E334" s="31">
        <v>2.0</v>
      </c>
    </row>
    <row r="335">
      <c r="A335" s="30">
        <v>334.0</v>
      </c>
      <c r="B335" s="13" t="s">
        <v>924</v>
      </c>
      <c r="C335" s="5" t="str">
        <f>vlookup(B335,Masterview!$A$2:$C$977, 3, FALSE)</f>
        <v>BAL</v>
      </c>
      <c r="D335" s="5" t="s">
        <v>10</v>
      </c>
      <c r="E335" s="31">
        <v>2.0</v>
      </c>
    </row>
    <row r="336">
      <c r="A336" s="30">
        <v>335.0</v>
      </c>
      <c r="B336" s="13" t="s">
        <v>777</v>
      </c>
      <c r="C336" s="5" t="str">
        <f>vlookup(B336,Masterview!$A$2:$C$977, 3, FALSE)</f>
        <v>DEN</v>
      </c>
      <c r="D336" s="5" t="s">
        <v>7</v>
      </c>
      <c r="E336" s="31">
        <v>2.0</v>
      </c>
    </row>
    <row r="337">
      <c r="A337" s="30">
        <v>336.0</v>
      </c>
      <c r="B337" s="13" t="s">
        <v>295</v>
      </c>
      <c r="C337" s="5" t="str">
        <f>vlookup(B337,Masterview!$A$2:$C$977, 3, FALSE)</f>
        <v>ATL</v>
      </c>
      <c r="D337" s="5" t="s">
        <v>25</v>
      </c>
      <c r="E337" s="31">
        <v>2.0</v>
      </c>
    </row>
    <row r="338">
      <c r="A338" s="30">
        <v>337.0</v>
      </c>
      <c r="B338" s="13" t="s">
        <v>765</v>
      </c>
      <c r="C338" s="5" t="str">
        <f>vlookup(B338,Masterview!$A$2:$C$977, 3, FALSE)</f>
        <v>JAC</v>
      </c>
      <c r="D338" s="5" t="s">
        <v>7</v>
      </c>
      <c r="E338" s="31">
        <v>2.0</v>
      </c>
    </row>
    <row r="339">
      <c r="A339" s="30">
        <v>338.0</v>
      </c>
      <c r="B339" s="13" t="s">
        <v>351</v>
      </c>
      <c r="C339" s="5" t="str">
        <f>vlookup(B339,Masterview!$A$2:$C$977, 3, FALSE)</f>
        <v>TB</v>
      </c>
      <c r="D339" s="5" t="s">
        <v>25</v>
      </c>
      <c r="E339" s="31">
        <v>2.0</v>
      </c>
    </row>
    <row r="340">
      <c r="A340" s="30">
        <v>339.0</v>
      </c>
      <c r="B340" s="13" t="s">
        <v>258</v>
      </c>
      <c r="C340" s="5" t="str">
        <f>vlookup(B340,Masterview!$A$2:$C$977, 3, FALSE)</f>
        <v>BUF</v>
      </c>
      <c r="D340" s="5" t="s">
        <v>169</v>
      </c>
      <c r="E340" s="31">
        <v>2.0</v>
      </c>
    </row>
    <row r="341">
      <c r="A341" s="30">
        <v>340.0</v>
      </c>
      <c r="B341" s="13" t="s">
        <v>795</v>
      </c>
      <c r="C341" s="5" t="str">
        <f>vlookup(B341,Masterview!$A$2:$C$977, 3, FALSE)</f>
        <v>BUF</v>
      </c>
      <c r="D341" s="5" t="s">
        <v>7</v>
      </c>
      <c r="E341" s="31">
        <v>2.0</v>
      </c>
    </row>
    <row r="342">
      <c r="A342" s="30">
        <v>341.0</v>
      </c>
      <c r="B342" s="13" t="s">
        <v>559</v>
      </c>
      <c r="C342" s="5" t="str">
        <f>vlookup(B342,Masterview!$A$2:$C$977, 3, FALSE)</f>
        <v>MIN</v>
      </c>
      <c r="D342" s="5" t="s">
        <v>25</v>
      </c>
      <c r="E342" s="31">
        <v>2.0</v>
      </c>
    </row>
    <row r="343">
      <c r="A343" s="30">
        <v>342.0</v>
      </c>
      <c r="B343" s="13" t="s">
        <v>921</v>
      </c>
      <c r="C343" s="5" t="str">
        <f>vlookup(B343,Masterview!$A$2:$C$977, 3, FALSE)</f>
        <v>NO</v>
      </c>
      <c r="D343" s="5" t="s">
        <v>10</v>
      </c>
      <c r="E343" s="31">
        <v>2.0</v>
      </c>
    </row>
    <row r="344">
      <c r="A344" s="30">
        <v>343.0</v>
      </c>
      <c r="B344" s="13" t="s">
        <v>827</v>
      </c>
      <c r="C344" s="5" t="str">
        <f>vlookup(B344,Masterview!$A$2:$C$977, 3, FALSE)</f>
        <v>SEA</v>
      </c>
      <c r="D344" s="5" t="s">
        <v>7</v>
      </c>
      <c r="E344" s="31">
        <v>2.0</v>
      </c>
    </row>
    <row r="345">
      <c r="A345" s="30">
        <v>344.0</v>
      </c>
      <c r="B345" s="13" t="s">
        <v>780</v>
      </c>
      <c r="C345" s="5" t="str">
        <f>vlookup(B345,Masterview!$A$2:$C$977, 3, FALSE)</f>
        <v>CIN</v>
      </c>
      <c r="D345" s="5" t="s">
        <v>7</v>
      </c>
      <c r="E345" s="31">
        <v>2.0</v>
      </c>
    </row>
    <row r="346">
      <c r="A346" s="30">
        <v>345.0</v>
      </c>
      <c r="B346" s="13" t="s">
        <v>418</v>
      </c>
      <c r="C346" s="5" t="str">
        <f>vlookup(B346,Masterview!$A$2:$C$977, 3, FALSE)</f>
        <v>NO</v>
      </c>
      <c r="D346" s="5" t="s">
        <v>25</v>
      </c>
      <c r="E346" s="31">
        <v>2.0</v>
      </c>
    </row>
    <row r="347">
      <c r="A347" s="30">
        <v>346.0</v>
      </c>
      <c r="B347" s="13" t="s">
        <v>308</v>
      </c>
      <c r="C347" s="5" t="str">
        <f>vlookup(B347,Masterview!$A$2:$C$977, 3, FALSE)</f>
        <v>SF</v>
      </c>
      <c r="D347" s="5" t="s">
        <v>25</v>
      </c>
      <c r="E347" s="31">
        <v>2.0</v>
      </c>
    </row>
    <row r="348">
      <c r="A348" s="30">
        <v>347.0</v>
      </c>
      <c r="B348" s="13" t="s">
        <v>327</v>
      </c>
      <c r="C348" s="5" t="str">
        <f>vlookup(B348,Masterview!$A$2:$C$977, 3, FALSE)</f>
        <v>IND</v>
      </c>
      <c r="D348" s="5" t="s">
        <v>16</v>
      </c>
      <c r="E348" s="31">
        <v>2.0</v>
      </c>
    </row>
    <row r="349">
      <c r="A349" s="30">
        <v>348.0</v>
      </c>
      <c r="B349" s="13" t="s">
        <v>545</v>
      </c>
      <c r="C349" s="5" t="str">
        <f>vlookup(B349,Masterview!$A$2:$C$977, 3, FALSE)</f>
        <v>WAS</v>
      </c>
      <c r="D349" s="5" t="s">
        <v>25</v>
      </c>
      <c r="E349" s="31">
        <v>2.0</v>
      </c>
    </row>
    <row r="350">
      <c r="A350" s="30">
        <v>349.0</v>
      </c>
      <c r="B350" s="13" t="s">
        <v>242</v>
      </c>
      <c r="C350" s="5" t="str">
        <f>vlookup(B350,Masterview!$A$2:$C$977, 3, FALSE)</f>
        <v>JAC</v>
      </c>
      <c r="D350" s="5" t="s">
        <v>16</v>
      </c>
      <c r="E350" s="31">
        <v>2.0</v>
      </c>
    </row>
    <row r="351">
      <c r="A351" s="30">
        <v>350.0</v>
      </c>
      <c r="B351" s="13" t="s">
        <v>431</v>
      </c>
      <c r="C351" s="5" t="str">
        <f>vlookup(B351,Masterview!$A$2:$C$977, 3, FALSE)</f>
        <v>TB</v>
      </c>
      <c r="D351" s="5" t="s">
        <v>25</v>
      </c>
      <c r="E351" s="31">
        <v>2.0</v>
      </c>
    </row>
    <row r="352">
      <c r="A352" s="30">
        <v>351.0</v>
      </c>
      <c r="B352" s="13" t="s">
        <v>311</v>
      </c>
      <c r="C352" s="5" t="str">
        <f>vlookup(B352,Masterview!$A$2:$C$977, 3, FALSE)</f>
        <v>LV</v>
      </c>
      <c r="D352" s="5" t="s">
        <v>25</v>
      </c>
      <c r="E352" s="31">
        <v>2.0</v>
      </c>
    </row>
    <row r="353">
      <c r="A353" s="30">
        <v>352.0</v>
      </c>
      <c r="B353" s="13" t="s">
        <v>791</v>
      </c>
      <c r="C353" s="5" t="str">
        <f>vlookup(B353,Masterview!$A$2:$C$977, 3, FALSE)</f>
        <v>NYG</v>
      </c>
      <c r="D353" s="5" t="s">
        <v>7</v>
      </c>
      <c r="E353" s="31">
        <v>2.0</v>
      </c>
    </row>
    <row r="354">
      <c r="A354" s="30">
        <v>353.0</v>
      </c>
      <c r="B354" s="13" t="s">
        <v>373</v>
      </c>
      <c r="C354" s="5" t="str">
        <f>vlookup(B354,Masterview!$A$2:$C$977, 3, FALSE)</f>
        <v>BAL</v>
      </c>
      <c r="D354" s="5" t="s">
        <v>25</v>
      </c>
      <c r="E354" s="31">
        <v>2.0</v>
      </c>
    </row>
    <row r="355">
      <c r="A355" s="30">
        <v>354.0</v>
      </c>
      <c r="B355" s="13" t="s">
        <v>430</v>
      </c>
      <c r="C355" s="5" t="str">
        <f>vlookup(B355,Masterview!$A$2:$C$977, 3, FALSE)</f>
        <v>IND</v>
      </c>
      <c r="D355" s="5" t="s">
        <v>25</v>
      </c>
      <c r="E355" s="31">
        <v>2.0</v>
      </c>
    </row>
    <row r="356">
      <c r="A356" s="30">
        <v>355.0</v>
      </c>
      <c r="B356" s="13" t="s">
        <v>200</v>
      </c>
      <c r="C356" s="5" t="str">
        <f>vlookup(B356,Masterview!$A$2:$C$977, 3, FALSE)</f>
        <v>ARI</v>
      </c>
      <c r="D356" s="5" t="s">
        <v>169</v>
      </c>
      <c r="E356" s="31">
        <v>2.0</v>
      </c>
    </row>
    <row r="357">
      <c r="A357" s="30">
        <v>356.0</v>
      </c>
      <c r="B357" s="13" t="s">
        <v>259</v>
      </c>
      <c r="C357" s="5" t="str">
        <f>vlookup(B357,Masterview!$A$2:$C$977, 3, FALSE)</f>
        <v>#N/A</v>
      </c>
      <c r="D357" s="5" t="s">
        <v>169</v>
      </c>
      <c r="E357" s="31">
        <v>0.0</v>
      </c>
    </row>
    <row r="358">
      <c r="A358" s="30">
        <v>357.0</v>
      </c>
      <c r="B358" s="13" t="s">
        <v>932</v>
      </c>
      <c r="C358" s="5" t="str">
        <f>vlookup(B358,Masterview!$A$2:$C$977, 3, FALSE)</f>
        <v>HOU</v>
      </c>
      <c r="D358" s="5" t="s">
        <v>10</v>
      </c>
      <c r="E358" s="31">
        <v>0.0</v>
      </c>
    </row>
    <row r="359">
      <c r="A359" s="30">
        <v>358.0</v>
      </c>
      <c r="B359" s="13" t="s">
        <v>671</v>
      </c>
      <c r="C359" s="5" t="str">
        <f>vlookup(B359,Masterview!$A$2:$C$977, 3, FALSE)</f>
        <v>MIA</v>
      </c>
      <c r="D359" s="5" t="s">
        <v>25</v>
      </c>
      <c r="E359" s="31">
        <v>0.0</v>
      </c>
    </row>
    <row r="360">
      <c r="A360" s="30">
        <v>359.0</v>
      </c>
      <c r="B360" s="13" t="s">
        <v>710</v>
      </c>
      <c r="C360" s="5" t="str">
        <f>vlookup(B360,Masterview!$A$2:$C$977, 3, FALSE)</f>
        <v>LAC</v>
      </c>
      <c r="D360" s="5" t="s">
        <v>25</v>
      </c>
      <c r="E360" s="31">
        <v>0.0</v>
      </c>
    </row>
    <row r="361">
      <c r="A361" s="30">
        <v>360.0</v>
      </c>
      <c r="B361" s="13" t="s">
        <v>324</v>
      </c>
      <c r="C361" s="5" t="str">
        <f>vlookup(B361,Masterview!$A$2:$C$977, 3, FALSE)</f>
        <v>#N/A</v>
      </c>
      <c r="D361" s="5" t="s">
        <v>16</v>
      </c>
      <c r="E361" s="31">
        <v>0.0</v>
      </c>
    </row>
    <row r="362">
      <c r="A362" s="30">
        <v>362.0</v>
      </c>
      <c r="B362" s="13" t="s">
        <v>225</v>
      </c>
      <c r="C362" s="5" t="str">
        <f>vlookup(B362,Masterview!$A$2:$C$977, 3, FALSE)</f>
        <v>ARI</v>
      </c>
      <c r="D362" s="5" t="s">
        <v>166</v>
      </c>
      <c r="E362" s="31">
        <v>0.0</v>
      </c>
    </row>
    <row r="363">
      <c r="A363" s="30">
        <v>363.0</v>
      </c>
      <c r="B363" s="13" t="s">
        <v>228</v>
      </c>
      <c r="C363" s="5" t="str">
        <f>vlookup(B363,Masterview!$A$2:$C$977, 3, FALSE)</f>
        <v>ATL</v>
      </c>
      <c r="D363" s="5" t="s">
        <v>166</v>
      </c>
      <c r="E363" s="31">
        <v>0.0</v>
      </c>
    </row>
    <row r="364">
      <c r="A364" s="30">
        <v>364.0</v>
      </c>
      <c r="B364" s="13" t="s">
        <v>179</v>
      </c>
      <c r="C364" s="5" t="str">
        <f>vlookup(B364,Masterview!$A$2:$C$977, 3, FALSE)</f>
        <v>BAL</v>
      </c>
      <c r="D364" s="5" t="s">
        <v>166</v>
      </c>
      <c r="E364" s="31">
        <v>0.0</v>
      </c>
    </row>
    <row r="365">
      <c r="A365" s="30">
        <v>365.0</v>
      </c>
      <c r="B365" s="13" t="s">
        <v>670</v>
      </c>
      <c r="C365" s="5" t="str">
        <f>vlookup(B365,Masterview!$A$2:$C$977, 3, FALSE)</f>
        <v>FA</v>
      </c>
      <c r="D365" s="5" t="s">
        <v>25</v>
      </c>
      <c r="E365" s="31">
        <v>0.0</v>
      </c>
    </row>
    <row r="366">
      <c r="A366" s="30">
        <v>366.0</v>
      </c>
      <c r="B366" s="13" t="s">
        <v>933</v>
      </c>
      <c r="C366" s="5" t="str">
        <f>vlookup(B366,Masterview!$A$2:$C$977, 3, FALSE)</f>
        <v>TB</v>
      </c>
      <c r="D366" s="5" t="s">
        <v>10</v>
      </c>
      <c r="E366" s="31">
        <v>0.0</v>
      </c>
    </row>
    <row r="367">
      <c r="A367" s="30">
        <v>367.0</v>
      </c>
      <c r="B367" s="13" t="s">
        <v>937</v>
      </c>
      <c r="C367" s="5" t="str">
        <f>vlookup(B367,Masterview!$A$2:$C$977, 3, FALSE)</f>
        <v>ARI</v>
      </c>
      <c r="D367" s="5" t="s">
        <v>10</v>
      </c>
      <c r="E367" s="31">
        <v>0.0</v>
      </c>
    </row>
    <row r="368">
      <c r="A368" s="30">
        <v>368.0</v>
      </c>
      <c r="B368" s="13" t="s">
        <v>816</v>
      </c>
      <c r="C368" s="5" t="str">
        <f>vlookup(B368,Masterview!$A$2:$C$977, 3, FALSE)</f>
        <v>HOU</v>
      </c>
      <c r="D368" s="5" t="s">
        <v>7</v>
      </c>
      <c r="E368" s="31">
        <v>0.0</v>
      </c>
    </row>
    <row r="369">
      <c r="A369" s="30">
        <v>369.0</v>
      </c>
      <c r="B369" s="13" t="s">
        <v>165</v>
      </c>
      <c r="C369" s="5" t="str">
        <f>vlookup(B369,Masterview!$A$2:$C$977, 3, FALSE)</f>
        <v>BUF</v>
      </c>
      <c r="D369" s="5" t="s">
        <v>166</v>
      </c>
      <c r="E369" s="31">
        <v>0.0</v>
      </c>
    </row>
    <row r="370">
      <c r="A370" s="30">
        <v>370.0</v>
      </c>
      <c r="B370" s="13" t="s">
        <v>231</v>
      </c>
      <c r="C370" s="5" t="str">
        <f>vlookup(B370,Masterview!$A$2:$C$977, 3, FALSE)</f>
        <v>CAR</v>
      </c>
      <c r="D370" s="5" t="s">
        <v>166</v>
      </c>
      <c r="E370" s="31">
        <v>0.0</v>
      </c>
    </row>
    <row r="371">
      <c r="A371" s="30">
        <v>371.0</v>
      </c>
      <c r="B371" s="13" t="s">
        <v>554</v>
      </c>
      <c r="C371" s="5" t="str">
        <f>vlookup(B371,Masterview!$A$2:$C$977, 3, FALSE)</f>
        <v>DAL</v>
      </c>
      <c r="D371" s="5" t="s">
        <v>25</v>
      </c>
      <c r="E371" s="31">
        <v>0.0</v>
      </c>
    </row>
    <row r="372">
      <c r="A372" s="30">
        <v>372.0</v>
      </c>
      <c r="B372" s="13" t="s">
        <v>929</v>
      </c>
      <c r="C372" s="5" t="str">
        <f>vlookup(B372,Masterview!$A$2:$C$977, 3, FALSE)</f>
        <v>KC</v>
      </c>
      <c r="D372" s="5" t="s">
        <v>10</v>
      </c>
      <c r="E372" s="31">
        <v>0.0</v>
      </c>
    </row>
    <row r="373">
      <c r="A373" s="30">
        <v>373.0</v>
      </c>
      <c r="B373" s="13" t="s">
        <v>424</v>
      </c>
      <c r="C373" s="5" t="str">
        <f>vlookup(B373,Masterview!$A$2:$C$977, 3, FALSE)</f>
        <v>FA</v>
      </c>
      <c r="D373" s="5" t="s">
        <v>25</v>
      </c>
      <c r="E373" s="31">
        <v>0.0</v>
      </c>
    </row>
    <row r="374">
      <c r="A374" s="30">
        <v>374.0</v>
      </c>
      <c r="B374" s="13" t="s">
        <v>213</v>
      </c>
      <c r="C374" s="5" t="str">
        <f>vlookup(B374,Masterview!$A$2:$C$977, 3, FALSE)</f>
        <v>CHI</v>
      </c>
      <c r="D374" s="5" t="s">
        <v>166</v>
      </c>
      <c r="E374" s="31">
        <v>0.0</v>
      </c>
    </row>
    <row r="375">
      <c r="A375" s="30">
        <v>375.0</v>
      </c>
      <c r="B375" s="13" t="s">
        <v>380</v>
      </c>
      <c r="C375" s="5" t="str">
        <f>vlookup(B375,Masterview!$A$2:$C$977, 3, FALSE)</f>
        <v>CAR</v>
      </c>
      <c r="D375" s="5" t="s">
        <v>16</v>
      </c>
      <c r="E375" s="31">
        <v>0.0</v>
      </c>
    </row>
    <row r="376">
      <c r="A376" s="30">
        <v>376.0</v>
      </c>
      <c r="B376" s="13" t="s">
        <v>201</v>
      </c>
      <c r="C376" s="5" t="str">
        <f>vlookup(B376,Masterview!$A$2:$C$977, 3, FALSE)</f>
        <v>CIN</v>
      </c>
      <c r="D376" s="5" t="s">
        <v>166</v>
      </c>
      <c r="E376" s="31">
        <v>0.0</v>
      </c>
    </row>
    <row r="377">
      <c r="A377" s="30">
        <v>377.0</v>
      </c>
      <c r="B377" s="13" t="s">
        <v>234</v>
      </c>
      <c r="C377" s="5" t="str">
        <f>vlookup(B377,Masterview!$A$2:$C$977, 3, FALSE)</f>
        <v>CLE</v>
      </c>
      <c r="D377" s="5" t="s">
        <v>166</v>
      </c>
      <c r="E377" s="31">
        <v>0.0</v>
      </c>
    </row>
    <row r="378">
      <c r="A378" s="30">
        <v>378.0</v>
      </c>
      <c r="B378" s="13" t="s">
        <v>641</v>
      </c>
      <c r="C378" s="5" t="str">
        <f>vlookup(B378,Masterview!$A$2:$C$977, 3, FALSE)</f>
        <v>TEN</v>
      </c>
      <c r="D378" s="5" t="s">
        <v>25</v>
      </c>
      <c r="E378" s="31">
        <v>0.0</v>
      </c>
    </row>
    <row r="379">
      <c r="A379" s="30">
        <v>379.0</v>
      </c>
      <c r="B379" s="13" t="s">
        <v>941</v>
      </c>
      <c r="C379" s="5" t="str">
        <f>vlookup(B379,Masterview!$A$2:$C$977, 3, FALSE)</f>
        <v>NYG</v>
      </c>
      <c r="D379" s="5" t="s">
        <v>10</v>
      </c>
      <c r="E379" s="31">
        <v>0.0</v>
      </c>
    </row>
    <row r="380">
      <c r="A380" s="30">
        <v>380.0</v>
      </c>
      <c r="B380" s="13" t="s">
        <v>967</v>
      </c>
      <c r="C380" s="5" t="str">
        <f>vlookup(B380,Masterview!$A$2:$C$977, 3, FALSE)</f>
        <v>NYG</v>
      </c>
      <c r="D380" s="5" t="s">
        <v>10</v>
      </c>
      <c r="E380" s="31">
        <v>0.0</v>
      </c>
    </row>
    <row r="381">
      <c r="A381" s="30">
        <v>381.0</v>
      </c>
      <c r="B381" s="13" t="s">
        <v>368</v>
      </c>
      <c r="C381" s="5" t="str">
        <f>vlookup(B381,Masterview!$A$2:$C$977, 3, FALSE)</f>
        <v>DEN</v>
      </c>
      <c r="D381" s="5" t="s">
        <v>25</v>
      </c>
      <c r="E381" s="31">
        <v>0.0</v>
      </c>
    </row>
    <row r="382">
      <c r="A382" s="30">
        <v>382.0</v>
      </c>
      <c r="B382" s="13" t="s">
        <v>218</v>
      </c>
      <c r="C382" s="5" t="str">
        <f>vlookup(B382,Masterview!$A$2:$C$977, 3, FALSE)</f>
        <v>DAL</v>
      </c>
      <c r="D382" s="5" t="s">
        <v>166</v>
      </c>
      <c r="E382" s="31">
        <v>0.0</v>
      </c>
    </row>
    <row r="383">
      <c r="A383" s="30">
        <v>383.0</v>
      </c>
      <c r="B383" s="13" t="s">
        <v>338</v>
      </c>
      <c r="C383" s="5" t="str">
        <f>vlookup(B383,Masterview!$A$2:$C$977, 3, FALSE)</f>
        <v>#N/A</v>
      </c>
      <c r="D383" s="5" t="s">
        <v>16</v>
      </c>
      <c r="E383" s="31">
        <v>0.0</v>
      </c>
    </row>
    <row r="384">
      <c r="A384" s="30">
        <v>384.0</v>
      </c>
      <c r="B384" s="13" t="s">
        <v>913</v>
      </c>
      <c r="C384" s="5" t="str">
        <f>vlookup(B384,Masterview!$A$2:$C$977, 3, FALSE)</f>
        <v>TEN</v>
      </c>
      <c r="D384" s="5" t="s">
        <v>7</v>
      </c>
      <c r="E384" s="31">
        <v>0.0</v>
      </c>
    </row>
    <row r="385">
      <c r="A385" s="30">
        <v>385.0</v>
      </c>
      <c r="B385" s="13" t="s">
        <v>515</v>
      </c>
      <c r="C385" s="5" t="str">
        <f>vlookup(B385,Masterview!$A$2:$C$977, 3, FALSE)</f>
        <v>NE</v>
      </c>
      <c r="D385" s="5" t="s">
        <v>25</v>
      </c>
      <c r="E385" s="31">
        <v>0.0</v>
      </c>
    </row>
    <row r="386">
      <c r="A386" s="30">
        <v>386.0</v>
      </c>
      <c r="B386" s="13" t="s">
        <v>660</v>
      </c>
      <c r="C386" s="5" t="str">
        <f>vlookup(B386,Masterview!$A$2:$C$977, 3, FALSE)</f>
        <v>CLE</v>
      </c>
      <c r="D386" s="5" t="s">
        <v>25</v>
      </c>
      <c r="E386" s="31">
        <v>0.0</v>
      </c>
    </row>
    <row r="387">
      <c r="A387" s="30">
        <v>387.0</v>
      </c>
      <c r="B387" s="13" t="s">
        <v>1005</v>
      </c>
      <c r="C387" s="5" t="str">
        <f>vlookup(B387,Masterview!$A$2:$C$977, 3, FALSE)</f>
        <v>DET</v>
      </c>
      <c r="D387" s="5" t="s">
        <v>10</v>
      </c>
      <c r="E387" s="31">
        <v>0.0</v>
      </c>
    </row>
    <row r="388">
      <c r="A388" s="30">
        <v>388.0</v>
      </c>
      <c r="B388" s="13" t="s">
        <v>990</v>
      </c>
      <c r="C388" s="5" t="str">
        <f>vlookup(B388,Masterview!$A$2:$C$977, 3, FALSE)</f>
        <v>NYJ</v>
      </c>
      <c r="D388" s="5" t="s">
        <v>10</v>
      </c>
      <c r="E388" s="31">
        <v>0.0</v>
      </c>
    </row>
    <row r="389">
      <c r="A389" s="30">
        <v>389.0</v>
      </c>
      <c r="B389" s="13" t="s">
        <v>177</v>
      </c>
      <c r="C389" s="5" t="str">
        <f>vlookup(B389,Masterview!$A$2:$C$977, 3, FALSE)</f>
        <v>DEN</v>
      </c>
      <c r="D389" s="5" t="s">
        <v>166</v>
      </c>
      <c r="E389" s="31">
        <v>0.0</v>
      </c>
    </row>
    <row r="390">
      <c r="A390" s="30">
        <v>390.0</v>
      </c>
      <c r="B390" s="13" t="s">
        <v>206</v>
      </c>
      <c r="C390" s="5" t="str">
        <f>vlookup(B390,Masterview!$A$2:$C$977, 3, FALSE)</f>
        <v>DET</v>
      </c>
      <c r="D390" s="5" t="s">
        <v>166</v>
      </c>
      <c r="E390" s="31">
        <v>0.0</v>
      </c>
    </row>
    <row r="391">
      <c r="A391" s="30">
        <v>391.0</v>
      </c>
      <c r="B391" s="13" t="s">
        <v>358</v>
      </c>
      <c r="C391" s="5" t="str">
        <f>vlookup(B391,Masterview!$A$2:$C$977, 3, FALSE)</f>
        <v>#N/A</v>
      </c>
      <c r="D391" s="5" t="s">
        <v>16</v>
      </c>
      <c r="E391" s="31">
        <v>0.0</v>
      </c>
    </row>
    <row r="392">
      <c r="A392" s="30">
        <v>392.0</v>
      </c>
      <c r="B392" s="13" t="s">
        <v>392</v>
      </c>
      <c r="C392" s="5" t="str">
        <f>vlookup(B392,Masterview!$A$2:$C$977, 3, FALSE)</f>
        <v>MIA</v>
      </c>
      <c r="D392" s="5" t="s">
        <v>16</v>
      </c>
      <c r="E392" s="31">
        <v>0.0</v>
      </c>
    </row>
    <row r="393">
      <c r="A393" s="30">
        <v>393.0</v>
      </c>
      <c r="B393" s="13" t="s">
        <v>822</v>
      </c>
      <c r="C393" s="5" t="str">
        <f>vlookup(B393,Masterview!$A$2:$C$977, 3, FALSE)</f>
        <v>NO</v>
      </c>
      <c r="D393" s="5" t="s">
        <v>7</v>
      </c>
      <c r="E393" s="31">
        <v>0.0</v>
      </c>
    </row>
    <row r="394">
      <c r="A394" s="30">
        <v>394.0</v>
      </c>
      <c r="B394" s="13" t="s">
        <v>239</v>
      </c>
      <c r="C394" s="5" t="str">
        <f>vlookup(B394,Masterview!$A$2:$C$977, 3, FALSE)</f>
        <v>CHI</v>
      </c>
      <c r="D394" s="5" t="s">
        <v>169</v>
      </c>
      <c r="E394" s="31">
        <v>0.0</v>
      </c>
    </row>
    <row r="395">
      <c r="A395" s="30">
        <v>395.0</v>
      </c>
      <c r="B395" s="13" t="s">
        <v>862</v>
      </c>
      <c r="C395" s="5" t="str">
        <f>vlookup(B395,Masterview!$A$2:$C$977, 3, FALSE)</f>
        <v>KC</v>
      </c>
      <c r="D395" s="5" t="s">
        <v>7</v>
      </c>
      <c r="E395" s="31">
        <v>0.0</v>
      </c>
    </row>
    <row r="396">
      <c r="A396" s="30">
        <v>396.0</v>
      </c>
      <c r="B396" s="13" t="s">
        <v>521</v>
      </c>
      <c r="C396" s="5" t="str">
        <f>vlookup(B396,Masterview!$A$2:$C$977, 3, FALSE)</f>
        <v>GB</v>
      </c>
      <c r="D396" s="5" t="s">
        <v>25</v>
      </c>
      <c r="E396" s="31">
        <v>0.0</v>
      </c>
    </row>
    <row r="397">
      <c r="A397" s="30">
        <v>397.0</v>
      </c>
      <c r="B397" s="13" t="s">
        <v>642</v>
      </c>
      <c r="C397" s="5" t="str">
        <f>vlookup(B397,Masterview!$A$2:$C$977, 3, FALSE)</f>
        <v>DET</v>
      </c>
      <c r="D397" s="5" t="s">
        <v>25</v>
      </c>
      <c r="E397" s="31">
        <v>0.0</v>
      </c>
    </row>
    <row r="398">
      <c r="A398" s="30">
        <v>398.0</v>
      </c>
      <c r="B398" s="13" t="s">
        <v>203</v>
      </c>
      <c r="C398" s="5" t="str">
        <f>vlookup(B398,Masterview!$A$2:$C$977, 3, FALSE)</f>
        <v>CAR</v>
      </c>
      <c r="D398" s="5" t="s">
        <v>169</v>
      </c>
      <c r="E398" s="31">
        <v>0.0</v>
      </c>
    </row>
    <row r="399">
      <c r="A399" s="30">
        <v>399.0</v>
      </c>
      <c r="B399" s="13" t="s">
        <v>224</v>
      </c>
      <c r="C399" s="5" t="str">
        <f>vlookup(B399,Masterview!$A$2:$C$977, 3, FALSE)</f>
        <v>GB</v>
      </c>
      <c r="D399" s="5" t="s">
        <v>166</v>
      </c>
      <c r="E399" s="31">
        <v>0.0</v>
      </c>
    </row>
    <row r="400">
      <c r="A400" s="30">
        <v>400.0</v>
      </c>
      <c r="B400" s="13" t="s">
        <v>236</v>
      </c>
      <c r="C400" s="5" t="str">
        <f>vlookup(B400,Masterview!$A$2:$C$977, 3, FALSE)</f>
        <v>HOU</v>
      </c>
      <c r="D400" s="5" t="s">
        <v>166</v>
      </c>
      <c r="E400" s="31">
        <v>0.0</v>
      </c>
    </row>
    <row r="401">
      <c r="A401" s="30">
        <v>401.0</v>
      </c>
      <c r="B401" s="13" t="s">
        <v>173</v>
      </c>
      <c r="C401" s="5" t="str">
        <f>vlookup(B401,Masterview!$A$2:$C$977, 3, FALSE)</f>
        <v>IND</v>
      </c>
      <c r="D401" s="5" t="s">
        <v>166</v>
      </c>
      <c r="E401" s="31">
        <v>0.0</v>
      </c>
    </row>
    <row r="402">
      <c r="A402" s="30">
        <v>402.0</v>
      </c>
      <c r="B402" s="13" t="s">
        <v>552</v>
      </c>
      <c r="C402" s="5" t="str">
        <f>vlookup(B402,Masterview!$A$2:$C$977, 3, FALSE)</f>
        <v>BUF</v>
      </c>
      <c r="D402" s="5" t="s">
        <v>25</v>
      </c>
      <c r="E402" s="31">
        <v>0.0</v>
      </c>
    </row>
    <row r="403">
      <c r="A403" s="30">
        <v>403.0</v>
      </c>
      <c r="B403" s="13" t="s">
        <v>227</v>
      </c>
      <c r="C403" s="5" t="str">
        <f>vlookup(B403,Masterview!$A$2:$C$977, 3, FALSE)</f>
        <v>JAC</v>
      </c>
      <c r="D403" s="5" t="s">
        <v>166</v>
      </c>
      <c r="E403" s="31">
        <v>0.0</v>
      </c>
    </row>
    <row r="404">
      <c r="A404" s="30">
        <v>404.0</v>
      </c>
      <c r="B404" s="13" t="s">
        <v>378</v>
      </c>
      <c r="C404" s="5" t="str">
        <f>vlookup(B404,Masterview!$A$2:$C$977, 3, FALSE)</f>
        <v>ATL</v>
      </c>
      <c r="D404" s="5" t="s">
        <v>16</v>
      </c>
      <c r="E404" s="31">
        <v>0.0</v>
      </c>
    </row>
    <row r="405">
      <c r="A405" s="30">
        <v>405.0</v>
      </c>
      <c r="B405" s="13" t="s">
        <v>1047</v>
      </c>
      <c r="C405" s="5" t="str">
        <f>vlookup(B405,Masterview!$A$2:$C$977, 3, FALSE)</f>
        <v>BUF</v>
      </c>
      <c r="D405" s="5" t="s">
        <v>10</v>
      </c>
      <c r="E405" s="31">
        <v>0.0</v>
      </c>
    </row>
    <row r="406">
      <c r="A406" s="30">
        <v>406.0</v>
      </c>
      <c r="B406" s="13" t="s">
        <v>349</v>
      </c>
      <c r="C406" s="5" t="str">
        <f>vlookup(B406,Masterview!$A$2:$C$977, 3, FALSE)</f>
        <v>#N/A</v>
      </c>
      <c r="D406" s="5" t="s">
        <v>25</v>
      </c>
      <c r="E406" s="31">
        <v>0.0</v>
      </c>
    </row>
    <row r="407">
      <c r="A407" s="30">
        <v>407.0</v>
      </c>
      <c r="B407" s="13" t="s">
        <v>315</v>
      </c>
      <c r="C407" s="5" t="str">
        <f>vlookup(B407,Masterview!$A$2:$C$977, 3, FALSE)</f>
        <v>#N/A</v>
      </c>
      <c r="D407" s="5" t="s">
        <v>25</v>
      </c>
      <c r="E407" s="31">
        <v>0.0</v>
      </c>
    </row>
    <row r="408">
      <c r="A408" s="30">
        <v>408.0</v>
      </c>
      <c r="B408" s="13" t="s">
        <v>388</v>
      </c>
      <c r="C408" s="5" t="str">
        <f>vlookup(B408,Masterview!$A$2:$C$977, 3, FALSE)</f>
        <v>NE</v>
      </c>
      <c r="D408" s="5" t="s">
        <v>25</v>
      </c>
      <c r="E408" s="31">
        <v>0.0</v>
      </c>
    </row>
    <row r="409">
      <c r="A409" s="30">
        <v>409.0</v>
      </c>
      <c r="B409" s="13" t="s">
        <v>340</v>
      </c>
      <c r="C409" s="5" t="str">
        <f>vlookup(B409,Masterview!$A$2:$C$977, 3, FALSE)</f>
        <v>#N/A</v>
      </c>
      <c r="D409" s="5" t="s">
        <v>16</v>
      </c>
      <c r="E409" s="31">
        <v>0.0</v>
      </c>
    </row>
    <row r="410">
      <c r="A410" s="30">
        <v>410.0</v>
      </c>
      <c r="B410" s="13" t="s">
        <v>936</v>
      </c>
      <c r="C410" s="5" t="str">
        <f>vlookup(B410,Masterview!$A$2:$C$977, 3, FALSE)</f>
        <v>NE</v>
      </c>
      <c r="D410" s="5" t="s">
        <v>10</v>
      </c>
      <c r="E410" s="31">
        <v>0.0</v>
      </c>
    </row>
    <row r="411">
      <c r="A411" s="30">
        <v>411.0</v>
      </c>
      <c r="B411" s="13" t="s">
        <v>798</v>
      </c>
      <c r="C411" s="5" t="str">
        <f>vlookup(B411,Masterview!$A$2:$C$977, 3, FALSE)</f>
        <v>DET</v>
      </c>
      <c r="D411" s="5" t="s">
        <v>7</v>
      </c>
      <c r="E411" s="31">
        <v>0.0</v>
      </c>
    </row>
    <row r="412">
      <c r="A412" s="30">
        <v>412.0</v>
      </c>
      <c r="B412" s="13" t="s">
        <v>568</v>
      </c>
      <c r="C412" s="5" t="str">
        <f>vlookup(B412,Masterview!$A$2:$C$977, 3, FALSE)</f>
        <v>LAC</v>
      </c>
      <c r="D412" s="5" t="s">
        <v>25</v>
      </c>
      <c r="E412" s="31">
        <v>0.0</v>
      </c>
    </row>
    <row r="413">
      <c r="A413" s="30">
        <v>413.0</v>
      </c>
      <c r="B413" s="13" t="s">
        <v>539</v>
      </c>
      <c r="C413" s="5" t="str">
        <f>vlookup(B413,Masterview!$A$2:$C$977, 3, FALSE)</f>
        <v>CHI</v>
      </c>
      <c r="D413" s="5" t="s">
        <v>25</v>
      </c>
      <c r="E413" s="31">
        <v>0.0</v>
      </c>
    </row>
    <row r="414">
      <c r="A414" s="30">
        <v>414.0</v>
      </c>
      <c r="B414" s="13" t="s">
        <v>939</v>
      </c>
      <c r="C414" s="5" t="str">
        <f>vlookup(B414,Masterview!$A$2:$C$977, 3, FALSE)</f>
        <v>DEN</v>
      </c>
      <c r="D414" s="5" t="s">
        <v>10</v>
      </c>
      <c r="E414" s="31">
        <v>0.0</v>
      </c>
    </row>
    <row r="415">
      <c r="A415" s="30">
        <v>415.0</v>
      </c>
      <c r="B415" s="13" t="s">
        <v>334</v>
      </c>
      <c r="C415" s="5" t="str">
        <f>vlookup(B415,Masterview!$A$2:$C$977, 3, FALSE)</f>
        <v>#N/A</v>
      </c>
      <c r="D415" s="5" t="s">
        <v>16</v>
      </c>
      <c r="E415" s="31">
        <v>0.0</v>
      </c>
    </row>
    <row r="416">
      <c r="A416" s="30">
        <v>416.0</v>
      </c>
      <c r="B416" s="13" t="s">
        <v>564</v>
      </c>
      <c r="C416" s="5" t="str">
        <f>vlookup(B416,Masterview!$A$2:$C$977, 3, FALSE)</f>
        <v>SEA</v>
      </c>
      <c r="D416" s="5" t="s">
        <v>25</v>
      </c>
      <c r="E416" s="31">
        <v>0.0</v>
      </c>
    </row>
    <row r="417">
      <c r="A417" s="30">
        <v>417.0</v>
      </c>
      <c r="B417" s="13" t="s">
        <v>1048</v>
      </c>
      <c r="C417" s="5" t="s">
        <v>233</v>
      </c>
      <c r="D417" s="5" t="s">
        <v>10</v>
      </c>
      <c r="E417" s="31">
        <v>0.0</v>
      </c>
    </row>
    <row r="418">
      <c r="A418" s="30">
        <v>418.0</v>
      </c>
      <c r="B418" s="13" t="s">
        <v>1048</v>
      </c>
      <c r="C418" s="5" t="s">
        <v>233</v>
      </c>
      <c r="D418" s="5" t="s">
        <v>10</v>
      </c>
      <c r="E418" s="31">
        <v>0.0</v>
      </c>
    </row>
    <row r="419">
      <c r="A419" s="30">
        <v>419.0</v>
      </c>
      <c r="B419" s="13" t="s">
        <v>912</v>
      </c>
      <c r="C419" s="5" t="str">
        <f>vlookup(B419,Masterview!$A$2:$C$977, 3, FALSE)</f>
        <v>DAL</v>
      </c>
      <c r="D419" s="5" t="s">
        <v>7</v>
      </c>
      <c r="E419" s="31">
        <v>0.0</v>
      </c>
    </row>
    <row r="420">
      <c r="A420" s="30">
        <v>420.0</v>
      </c>
      <c r="B420" s="13" t="s">
        <v>320</v>
      </c>
      <c r="C420" s="5" t="str">
        <f>vlookup(B420,Masterview!$A$2:$C$977, 3, FALSE)</f>
        <v>#N/A</v>
      </c>
      <c r="D420" s="5" t="s">
        <v>16</v>
      </c>
      <c r="E420" s="31">
        <v>0.0</v>
      </c>
    </row>
    <row r="421">
      <c r="A421" s="30">
        <v>421.0</v>
      </c>
      <c r="B421" s="13" t="s">
        <v>790</v>
      </c>
      <c r="C421" s="5" t="str">
        <f>vlookup(B421,Masterview!$A$2:$C$977, 3, FALSE)</f>
        <v>IND</v>
      </c>
      <c r="D421" s="5" t="s">
        <v>7</v>
      </c>
      <c r="E421" s="31">
        <v>0.0</v>
      </c>
    </row>
    <row r="422">
      <c r="A422" s="30">
        <v>422.0</v>
      </c>
      <c r="B422" s="13" t="s">
        <v>950</v>
      </c>
      <c r="C422" s="5" t="str">
        <f>vlookup(B422,Masterview!$A$2:$C$977, 3, FALSE)</f>
        <v>JAC</v>
      </c>
      <c r="D422" s="5" t="s">
        <v>10</v>
      </c>
      <c r="E422" s="31">
        <v>0.0</v>
      </c>
    </row>
    <row r="423">
      <c r="A423" s="30">
        <v>423.0</v>
      </c>
      <c r="B423" s="13" t="s">
        <v>797</v>
      </c>
      <c r="C423" s="5" t="str">
        <f>vlookup(B423,Masterview!$A$2:$C$977, 3, FALSE)</f>
        <v>BAL</v>
      </c>
      <c r="D423" s="5" t="s">
        <v>7</v>
      </c>
      <c r="E423" s="31">
        <v>0.0</v>
      </c>
    </row>
    <row r="424">
      <c r="A424" s="30">
        <v>424.0</v>
      </c>
      <c r="B424" s="13" t="s">
        <v>555</v>
      </c>
      <c r="C424" s="5" t="str">
        <f>vlookup(B424,Masterview!$A$2:$C$977, 3, FALSE)</f>
        <v>TB</v>
      </c>
      <c r="D424" s="5" t="s">
        <v>25</v>
      </c>
      <c r="E424" s="31">
        <v>0.0</v>
      </c>
    </row>
    <row r="425">
      <c r="A425" s="30">
        <v>425.0</v>
      </c>
      <c r="B425" s="13" t="s">
        <v>525</v>
      </c>
      <c r="C425" s="5" t="str">
        <f>vlookup(B425,Masterview!$A$2:$C$977, 3, FALSE)</f>
        <v>TEN</v>
      </c>
      <c r="D425" s="5" t="s">
        <v>25</v>
      </c>
      <c r="E425" s="31">
        <v>0.0</v>
      </c>
    </row>
    <row r="426">
      <c r="A426" s="30">
        <v>426.0</v>
      </c>
      <c r="B426" s="13" t="s">
        <v>217</v>
      </c>
      <c r="C426" s="5" t="str">
        <f>vlookup(B426,Masterview!$A$2:$C$977, 3, FALSE)</f>
        <v>KC</v>
      </c>
      <c r="D426" s="5" t="s">
        <v>166</v>
      </c>
      <c r="E426" s="31">
        <v>0.0</v>
      </c>
    </row>
    <row r="427">
      <c r="A427" s="30">
        <v>427.0</v>
      </c>
      <c r="B427" s="13" t="s">
        <v>548</v>
      </c>
      <c r="C427" s="5" t="str">
        <f>vlookup(B427,Masterview!$A$2:$C$977, 3, FALSE)</f>
        <v>JAC</v>
      </c>
      <c r="D427" s="5" t="s">
        <v>25</v>
      </c>
      <c r="E427" s="31">
        <v>0.0</v>
      </c>
    </row>
    <row r="428">
      <c r="A428" s="30">
        <v>428.0</v>
      </c>
      <c r="B428" s="13" t="s">
        <v>541</v>
      </c>
      <c r="C428" s="5" t="str">
        <f>vlookup(B428,Masterview!$A$2:$C$977, 3, FALSE)</f>
        <v>ARI</v>
      </c>
      <c r="D428" s="5" t="s">
        <v>25</v>
      </c>
      <c r="E428" s="31">
        <v>0.0</v>
      </c>
    </row>
    <row r="429">
      <c r="A429" s="30">
        <v>429.0</v>
      </c>
      <c r="B429" s="13" t="s">
        <v>1040</v>
      </c>
      <c r="C429" s="5" t="str">
        <f>vlookup(B429,Masterview!$A$2:$C$977, 3, FALSE)</f>
        <v>WAS</v>
      </c>
      <c r="D429" s="5" t="s">
        <v>25</v>
      </c>
      <c r="E429" s="31">
        <v>0.0</v>
      </c>
    </row>
    <row r="430">
      <c r="A430" s="30">
        <v>430.0</v>
      </c>
      <c r="B430" s="13" t="s">
        <v>852</v>
      </c>
      <c r="C430" s="5" t="str">
        <f>vlookup(B430,Masterview!$A$2:$C$977, 3, FALSE)</f>
        <v>NYJ</v>
      </c>
      <c r="D430" s="5" t="s">
        <v>7</v>
      </c>
      <c r="E430" s="31">
        <v>0.0</v>
      </c>
    </row>
    <row r="431">
      <c r="A431" s="30">
        <v>431.0</v>
      </c>
      <c r="B431" s="13" t="s">
        <v>558</v>
      </c>
      <c r="C431" s="5" t="str">
        <f>vlookup(B431,Masterview!$A$2:$C$977, 3, FALSE)</f>
        <v>CLE</v>
      </c>
      <c r="D431" s="5" t="s">
        <v>25</v>
      </c>
      <c r="E431" s="31">
        <v>0.0</v>
      </c>
    </row>
    <row r="432">
      <c r="A432" s="30">
        <v>432.0</v>
      </c>
      <c r="B432" s="13" t="s">
        <v>771</v>
      </c>
      <c r="C432" s="5" t="str">
        <f>vlookup(B432,Masterview!$A$2:$C$977, 3, FALSE)</f>
        <v>SF</v>
      </c>
      <c r="D432" s="5" t="s">
        <v>7</v>
      </c>
      <c r="E432" s="31">
        <v>0.0</v>
      </c>
    </row>
    <row r="433">
      <c r="A433" s="30">
        <v>433.0</v>
      </c>
      <c r="B433" s="13" t="s">
        <v>557</v>
      </c>
      <c r="C433" s="5" t="str">
        <f>vlookup(B433,Masterview!$A$2:$C$977, 3, FALSE)</f>
        <v>ATL</v>
      </c>
      <c r="D433" s="5" t="s">
        <v>25</v>
      </c>
      <c r="E433" s="31">
        <v>0.0</v>
      </c>
    </row>
    <row r="434">
      <c r="A434" s="30">
        <v>434.0</v>
      </c>
      <c r="B434" s="13" t="s">
        <v>957</v>
      </c>
      <c r="C434" s="5" t="str">
        <f>vlookup(B434,Masterview!$A$2:$C$977, 3, FALSE)</f>
        <v>TEN</v>
      </c>
      <c r="D434" s="5" t="s">
        <v>10</v>
      </c>
      <c r="E434" s="31">
        <v>0.0</v>
      </c>
    </row>
    <row r="435">
      <c r="A435" s="30">
        <v>435.0</v>
      </c>
      <c r="B435" s="13" t="s">
        <v>214</v>
      </c>
      <c r="C435" s="5" t="str">
        <f>vlookup(B435,Masterview!$A$2:$C$977, 3, FALSE)</f>
        <v>LV</v>
      </c>
      <c r="D435" s="5" t="s">
        <v>166</v>
      </c>
      <c r="E435" s="31">
        <v>0.0</v>
      </c>
    </row>
    <row r="436">
      <c r="A436" s="30">
        <v>436.0</v>
      </c>
      <c r="B436" s="13" t="s">
        <v>176</v>
      </c>
      <c r="C436" s="5" t="str">
        <f>vlookup(B436,Masterview!$A$2:$C$977, 3, FALSE)</f>
        <v>LAC</v>
      </c>
      <c r="D436" s="5" t="s">
        <v>166</v>
      </c>
      <c r="E436" s="31">
        <v>0.0</v>
      </c>
    </row>
    <row r="437">
      <c r="A437" s="30">
        <v>437.0</v>
      </c>
      <c r="B437" s="13" t="s">
        <v>673</v>
      </c>
      <c r="C437" s="5" t="str">
        <f>vlookup(B437,Masterview!$A$2:$C$977, 3, FALSE)</f>
        <v>DET</v>
      </c>
      <c r="D437" s="5" t="s">
        <v>25</v>
      </c>
      <c r="E437" s="31">
        <v>0.0</v>
      </c>
    </row>
    <row r="438">
      <c r="A438" s="30">
        <v>438.0</v>
      </c>
      <c r="B438" s="13" t="s">
        <v>923</v>
      </c>
      <c r="C438" s="5" t="str">
        <f>vlookup(B438,Masterview!$A$2:$C$977, 3, FALSE)</f>
        <v>PIT</v>
      </c>
      <c r="D438" s="5" t="s">
        <v>10</v>
      </c>
      <c r="E438" s="31">
        <v>0.0</v>
      </c>
    </row>
    <row r="439">
      <c r="A439" s="30">
        <v>439.0</v>
      </c>
      <c r="B439" s="13" t="s">
        <v>925</v>
      </c>
      <c r="C439" s="5" t="str">
        <f>vlookup(B439,Masterview!$A$2:$C$977, 3, FALSE)</f>
        <v>ATL</v>
      </c>
      <c r="D439" s="5" t="s">
        <v>10</v>
      </c>
      <c r="E439" s="31">
        <v>0.0</v>
      </c>
    </row>
    <row r="440">
      <c r="A440" s="30">
        <v>440.0</v>
      </c>
      <c r="B440" s="13" t="s">
        <v>232</v>
      </c>
      <c r="C440" s="5" t="str">
        <f>vlookup(B440,Masterview!$A$2:$C$977, 3, FALSE)</f>
        <v>LAR</v>
      </c>
      <c r="D440" s="5" t="s">
        <v>166</v>
      </c>
      <c r="E440" s="31">
        <v>0.0</v>
      </c>
    </row>
    <row r="441">
      <c r="A441" s="30">
        <v>441.0</v>
      </c>
      <c r="B441" s="13" t="s">
        <v>602</v>
      </c>
      <c r="C441" s="5" t="str">
        <f>vlookup(B441,Masterview!$A$2:$C$977, 3, FALSE)</f>
        <v>CAR</v>
      </c>
      <c r="D441" s="5" t="s">
        <v>7</v>
      </c>
      <c r="E441" s="31">
        <v>0.0</v>
      </c>
    </row>
    <row r="442">
      <c r="A442" s="30">
        <v>442.0</v>
      </c>
      <c r="B442" s="13" t="s">
        <v>216</v>
      </c>
      <c r="C442" s="5" t="str">
        <f>vlookup(B442,Masterview!$A$2:$C$977, 3, FALSE)</f>
        <v>MIA</v>
      </c>
      <c r="D442" s="5" t="s">
        <v>166</v>
      </c>
      <c r="E442" s="31">
        <v>0.0</v>
      </c>
    </row>
    <row r="443">
      <c r="A443" s="30">
        <v>443.0</v>
      </c>
      <c r="B443" s="13" t="s">
        <v>377</v>
      </c>
      <c r="C443" s="5" t="str">
        <f>vlookup(B443,Masterview!$A$2:$C$977, 3, FALSE)</f>
        <v>IND</v>
      </c>
      <c r="D443" s="5" t="s">
        <v>16</v>
      </c>
      <c r="E443" s="31">
        <v>0.0</v>
      </c>
    </row>
    <row r="444">
      <c r="A444" s="30">
        <v>444.0</v>
      </c>
      <c r="B444" s="13" t="s">
        <v>524</v>
      </c>
      <c r="C444" s="5" t="str">
        <f>vlookup(B444,Masterview!$A$2:$C$977, 3, FALSE)</f>
        <v>LV</v>
      </c>
      <c r="D444" s="5" t="s">
        <v>25</v>
      </c>
      <c r="E444" s="31">
        <v>0.0</v>
      </c>
    </row>
    <row r="445">
      <c r="A445" s="30">
        <v>445.0</v>
      </c>
      <c r="B445" s="13" t="s">
        <v>210</v>
      </c>
      <c r="C445" s="5" t="str">
        <f>vlookup(B445,Masterview!$A$2:$C$977, 3, FALSE)</f>
        <v>MIN</v>
      </c>
      <c r="D445" s="5" t="s">
        <v>166</v>
      </c>
      <c r="E445" s="31">
        <v>0.0</v>
      </c>
    </row>
    <row r="446">
      <c r="A446" s="30">
        <v>446.0</v>
      </c>
      <c r="B446" s="13" t="s">
        <v>175</v>
      </c>
      <c r="C446" s="5" t="str">
        <f>vlookup(B446,Masterview!$A$2:$C$977, 3, FALSE)</f>
        <v>NE</v>
      </c>
      <c r="D446" s="5" t="s">
        <v>166</v>
      </c>
      <c r="E446" s="31">
        <v>0.0</v>
      </c>
    </row>
    <row r="447">
      <c r="A447" s="30">
        <v>447.0</v>
      </c>
      <c r="B447" s="13" t="s">
        <v>226</v>
      </c>
      <c r="C447" s="5" t="str">
        <f>vlookup(B447,Masterview!$A$2:$C$977, 3, FALSE)</f>
        <v>NO</v>
      </c>
      <c r="D447" s="5" t="s">
        <v>166</v>
      </c>
      <c r="E447" s="31">
        <v>0.0</v>
      </c>
    </row>
    <row r="448">
      <c r="A448" s="30">
        <v>448.0</v>
      </c>
      <c r="B448" s="13" t="s">
        <v>235</v>
      </c>
      <c r="C448" s="5" t="str">
        <f>vlookup(B448,Masterview!$A$2:$C$977, 3, FALSE)</f>
        <v>NYG</v>
      </c>
      <c r="D448" s="5" t="s">
        <v>166</v>
      </c>
      <c r="E448" s="31">
        <v>0.0</v>
      </c>
    </row>
    <row r="449">
      <c r="A449" s="30">
        <v>449.0</v>
      </c>
      <c r="B449" s="13" t="s">
        <v>296</v>
      </c>
      <c r="C449" s="5" t="str">
        <f>vlookup(B449,Masterview!$A$2:$C$977, 3, FALSE)</f>
        <v>#N/A</v>
      </c>
      <c r="D449" s="5" t="s">
        <v>16</v>
      </c>
      <c r="E449" s="31">
        <v>0.0</v>
      </c>
    </row>
    <row r="450">
      <c r="A450" s="30">
        <v>450.0</v>
      </c>
      <c r="B450" s="13" t="s">
        <v>935</v>
      </c>
      <c r="C450" s="5" t="str">
        <f>vlookup(B450,Masterview!$A$2:$C$977, 3, FALSE)</f>
        <v>SF</v>
      </c>
      <c r="D450" s="5" t="s">
        <v>10</v>
      </c>
      <c r="E450" s="31">
        <v>0.0</v>
      </c>
    </row>
    <row r="451">
      <c r="A451" s="30">
        <v>451.0</v>
      </c>
      <c r="B451" s="13" t="s">
        <v>223</v>
      </c>
      <c r="C451" s="5" t="str">
        <f>vlookup(B451,Masterview!$A$2:$C$977, 3, FALSE)</f>
        <v>NYJ</v>
      </c>
      <c r="D451" s="5" t="s">
        <v>166</v>
      </c>
      <c r="E451" s="31">
        <v>0.0</v>
      </c>
    </row>
    <row r="452">
      <c r="A452" s="30">
        <v>452.0</v>
      </c>
      <c r="B452" s="13" t="s">
        <v>167</v>
      </c>
      <c r="C452" s="5" t="str">
        <f>vlookup(B452,Masterview!$A$2:$C$977, 3, FALSE)</f>
        <v>PHI</v>
      </c>
      <c r="D452" s="5" t="s">
        <v>166</v>
      </c>
      <c r="E452" s="31">
        <v>0.0</v>
      </c>
    </row>
    <row r="453">
      <c r="A453" s="30">
        <v>453.0</v>
      </c>
      <c r="B453" s="13" t="s">
        <v>171</v>
      </c>
      <c r="C453" s="5" t="str">
        <f>vlookup(B453,Masterview!$A$2:$C$977, 3, FALSE)</f>
        <v>PIT</v>
      </c>
      <c r="D453" s="5" t="s">
        <v>166</v>
      </c>
      <c r="E453" s="31">
        <v>0.0</v>
      </c>
    </row>
    <row r="454">
      <c r="A454" s="30">
        <v>454.0</v>
      </c>
      <c r="B454" s="13" t="s">
        <v>830</v>
      </c>
      <c r="C454" s="5" t="str">
        <f>vlookup(B454,Masterview!$A$2:$C$977, 3, FALSE)</f>
        <v>TB</v>
      </c>
      <c r="D454" s="5" t="s">
        <v>7</v>
      </c>
      <c r="E454" s="31">
        <v>0.0</v>
      </c>
    </row>
    <row r="455">
      <c r="A455" s="30">
        <v>455.0</v>
      </c>
      <c r="B455" s="13" t="s">
        <v>356</v>
      </c>
      <c r="C455" s="5" t="str">
        <f>vlookup(B455,Masterview!$A$2:$C$977, 3, FALSE)</f>
        <v>#N/A</v>
      </c>
      <c r="D455" s="5" t="s">
        <v>16</v>
      </c>
      <c r="E455" s="31">
        <v>0.0</v>
      </c>
    </row>
    <row r="456">
      <c r="A456" s="30">
        <v>456.0</v>
      </c>
      <c r="B456" s="13" t="s">
        <v>404</v>
      </c>
      <c r="C456" s="5" t="str">
        <f>vlookup(B456,Masterview!$A$2:$C$977, 3, FALSE)</f>
        <v>SF</v>
      </c>
      <c r="D456" s="5" t="s">
        <v>16</v>
      </c>
      <c r="E456" s="31">
        <v>0.0</v>
      </c>
    </row>
    <row r="457">
      <c r="A457" s="30">
        <v>457.0</v>
      </c>
      <c r="B457" s="13" t="s">
        <v>361</v>
      </c>
      <c r="C457" s="5" t="str">
        <f>vlookup(B457,Masterview!$A$2:$C$977, 3, FALSE)</f>
        <v>#N/A</v>
      </c>
      <c r="D457" s="5" t="s">
        <v>16</v>
      </c>
      <c r="E457" s="31">
        <v>0.0</v>
      </c>
    </row>
    <row r="458">
      <c r="A458" s="30">
        <v>458.0</v>
      </c>
      <c r="B458" s="13" t="s">
        <v>807</v>
      </c>
      <c r="C458" s="5" t="str">
        <f>vlookup(B458,Masterview!$A$2:$C$977, 3, FALSE)</f>
        <v>CHI</v>
      </c>
      <c r="D458" s="5" t="s">
        <v>7</v>
      </c>
      <c r="E458" s="31">
        <v>0.0</v>
      </c>
    </row>
    <row r="459">
      <c r="A459" s="30">
        <v>459.0</v>
      </c>
      <c r="B459" s="13" t="s">
        <v>256</v>
      </c>
      <c r="C459" s="5" t="str">
        <f>vlookup(B459,Masterview!$A$2:$C$977, 3, FALSE)</f>
        <v>#N/A</v>
      </c>
      <c r="D459" s="5" t="s">
        <v>169</v>
      </c>
      <c r="E459" s="31">
        <v>0.0</v>
      </c>
    </row>
    <row r="460">
      <c r="A460" s="30">
        <v>460.0</v>
      </c>
      <c r="B460" s="13" t="s">
        <v>174</v>
      </c>
      <c r="C460" s="5" t="str">
        <f>vlookup(B460,Masterview!$A$2:$C$977, 3, FALSE)</f>
        <v>SF</v>
      </c>
      <c r="D460" s="5" t="s">
        <v>166</v>
      </c>
      <c r="E460" s="31">
        <v>0.0</v>
      </c>
    </row>
    <row r="461">
      <c r="A461" s="30">
        <v>461.0</v>
      </c>
      <c r="B461" s="13" t="s">
        <v>952</v>
      </c>
      <c r="C461" s="5" t="str">
        <f>vlookup(B461,Masterview!$A$2:$C$977, 3, FALSE)</f>
        <v>MIN</v>
      </c>
      <c r="D461" s="5" t="s">
        <v>10</v>
      </c>
      <c r="E461" s="31">
        <v>0.0</v>
      </c>
    </row>
    <row r="462">
      <c r="A462" s="30">
        <v>462.0</v>
      </c>
      <c r="B462" s="13" t="s">
        <v>220</v>
      </c>
      <c r="C462" s="5" t="str">
        <f>vlookup(B462,Masterview!$A$2:$C$977, 3, FALSE)</f>
        <v>SEA</v>
      </c>
      <c r="D462" s="5" t="s">
        <v>166</v>
      </c>
      <c r="E462" s="31">
        <v>0.0</v>
      </c>
    </row>
    <row r="463">
      <c r="A463" s="30">
        <v>463.0</v>
      </c>
      <c r="B463" s="13" t="s">
        <v>1049</v>
      </c>
      <c r="C463" s="5" t="str">
        <f>vlookup(B463,Masterview!$A$2:$C$977, 3, FALSE)</f>
        <v>FA</v>
      </c>
      <c r="D463" s="5" t="s">
        <v>16</v>
      </c>
      <c r="E463" s="31">
        <v>0.0</v>
      </c>
    </row>
    <row r="464">
      <c r="A464" s="30">
        <v>464.0</v>
      </c>
      <c r="B464" s="13" t="s">
        <v>584</v>
      </c>
      <c r="C464" s="5" t="str">
        <f>vlookup(B464,Masterview!$A$2:$C$977, 3, FALSE)</f>
        <v>CAR</v>
      </c>
      <c r="D464" s="5" t="s">
        <v>25</v>
      </c>
      <c r="E464" s="31">
        <v>0.0</v>
      </c>
    </row>
    <row r="465">
      <c r="A465" s="30">
        <v>465.0</v>
      </c>
      <c r="B465" s="13" t="s">
        <v>229</v>
      </c>
      <c r="C465" s="5" t="str">
        <f>vlookup(B465,Masterview!$A$2:$C$977, 3, FALSE)</f>
        <v>TB</v>
      </c>
      <c r="D465" s="5" t="s">
        <v>166</v>
      </c>
      <c r="E465" s="31">
        <v>0.0</v>
      </c>
    </row>
    <row r="466">
      <c r="A466" s="30">
        <v>466.0</v>
      </c>
      <c r="B466" s="13" t="s">
        <v>613</v>
      </c>
      <c r="C466" s="5" t="str">
        <f>vlookup(B466,Masterview!$A$2:$C$977, 3, FALSE)</f>
        <v>CLE</v>
      </c>
      <c r="D466" s="5" t="s">
        <v>25</v>
      </c>
      <c r="E466" s="31">
        <v>0.0</v>
      </c>
    </row>
    <row r="467">
      <c r="A467" s="30">
        <v>467.0</v>
      </c>
      <c r="B467" s="13" t="s">
        <v>342</v>
      </c>
      <c r="C467" s="5" t="str">
        <f>vlookup(B467,Masterview!$A$2:$C$977, 3, FALSE)</f>
        <v>CHI</v>
      </c>
      <c r="D467" s="5" t="s">
        <v>25</v>
      </c>
      <c r="E467" s="31">
        <v>0.0</v>
      </c>
    </row>
    <row r="468">
      <c r="A468" s="30">
        <v>468.0</v>
      </c>
      <c r="B468" s="13" t="s">
        <v>212</v>
      </c>
      <c r="C468" s="5" t="str">
        <f>vlookup(B468,Masterview!$A$2:$C$977, 3, FALSE)</f>
        <v>TEN</v>
      </c>
      <c r="D468" s="5" t="s">
        <v>166</v>
      </c>
      <c r="E468" s="31">
        <v>0.0</v>
      </c>
    </row>
    <row r="469">
      <c r="A469" s="30">
        <v>469.0</v>
      </c>
      <c r="B469" s="13" t="s">
        <v>962</v>
      </c>
      <c r="C469" s="5" t="str">
        <f>vlookup(B469,Masterview!$A$2:$C$977, 3, FALSE)</f>
        <v>GB</v>
      </c>
      <c r="D469" s="5" t="s">
        <v>10</v>
      </c>
      <c r="E469" s="31">
        <v>0.0</v>
      </c>
    </row>
    <row r="470">
      <c r="A470" s="30">
        <v>470.0</v>
      </c>
      <c r="B470" s="13" t="s">
        <v>781</v>
      </c>
      <c r="C470" s="5" t="str">
        <f>vlookup(B470,Masterview!$A$2:$C$977, 3, FALSE)</f>
        <v>NO</v>
      </c>
      <c r="D470" s="5" t="s">
        <v>7</v>
      </c>
      <c r="E470" s="31">
        <v>0.0</v>
      </c>
    </row>
    <row r="471">
      <c r="A471" s="30">
        <v>471.0</v>
      </c>
      <c r="B471" s="13" t="s">
        <v>370</v>
      </c>
      <c r="C471" s="5" t="str">
        <f>vlookup(B471,Masterview!$A$2:$C$977, 3, FALSE)</f>
        <v>BUF</v>
      </c>
      <c r="D471" s="5" t="s">
        <v>16</v>
      </c>
      <c r="E471" s="31">
        <v>0.0</v>
      </c>
    </row>
    <row r="472">
      <c r="A472" s="30">
        <v>472.0</v>
      </c>
      <c r="B472" s="13" t="s">
        <v>362</v>
      </c>
      <c r="C472" s="5" t="str">
        <f>vlookup(B472,Masterview!$A$2:$C$977, 3, FALSE)</f>
        <v>#N/A</v>
      </c>
      <c r="D472" s="5" t="s">
        <v>16</v>
      </c>
      <c r="E472" s="31">
        <v>0.0</v>
      </c>
    </row>
    <row r="473">
      <c r="A473" s="30">
        <v>473.0</v>
      </c>
      <c r="B473" s="13" t="s">
        <v>571</v>
      </c>
      <c r="C473" s="5" t="str">
        <f>vlookup(B473,Masterview!$A$2:$C$977, 3, FALSE)</f>
        <v>NYJ</v>
      </c>
      <c r="D473" s="5" t="s">
        <v>25</v>
      </c>
      <c r="E473" s="31">
        <v>0.0</v>
      </c>
    </row>
    <row r="474">
      <c r="A474" s="30">
        <v>474.0</v>
      </c>
      <c r="B474" s="13" t="s">
        <v>230</v>
      </c>
      <c r="C474" s="5" t="str">
        <f>vlookup(B474,Masterview!$A$2:$C$977, 3, FALSE)</f>
        <v>WAS</v>
      </c>
      <c r="D474" s="5" t="s">
        <v>166</v>
      </c>
      <c r="E474" s="31">
        <v>0.0</v>
      </c>
    </row>
    <row r="475">
      <c r="A475" s="30">
        <v>475.0</v>
      </c>
      <c r="B475" s="13" t="s">
        <v>999</v>
      </c>
      <c r="C475" s="5" t="str">
        <f>vlookup(B475,Masterview!$A$2:$C$977, 3, FALSE)</f>
        <v>CAR</v>
      </c>
      <c r="D475" s="5" t="s">
        <v>10</v>
      </c>
      <c r="E475" s="31">
        <v>0.0</v>
      </c>
    </row>
  </sheetData>
  <autoFilter ref="$A$1:$E$475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3" width="8.63"/>
    <col customWidth="1" min="4" max="4" width="9.88"/>
    <col customWidth="1" min="5" max="5" width="10.38"/>
    <col customWidth="1" min="7" max="7" width="11.88"/>
    <col customWidth="1" min="10" max="10" width="15.88"/>
  </cols>
  <sheetData>
    <row r="1">
      <c r="A1" s="32" t="s">
        <v>1</v>
      </c>
      <c r="B1" s="32" t="s">
        <v>1050</v>
      </c>
      <c r="C1" s="32" t="s">
        <v>2</v>
      </c>
      <c r="D1" s="32" t="s">
        <v>1051</v>
      </c>
      <c r="E1" s="32" t="s">
        <v>1052</v>
      </c>
      <c r="F1" s="32" t="s">
        <v>1053</v>
      </c>
      <c r="G1" s="32" t="s">
        <v>1054</v>
      </c>
      <c r="H1" s="32" t="s">
        <v>1055</v>
      </c>
      <c r="I1" s="32" t="s">
        <v>1056</v>
      </c>
      <c r="J1" s="33" t="s">
        <v>1057</v>
      </c>
      <c r="K1" s="32" t="s">
        <v>1058</v>
      </c>
    </row>
    <row r="2" hidden="1">
      <c r="A2" s="13" t="s">
        <v>5</v>
      </c>
      <c r="B2" s="34" t="s">
        <v>1059</v>
      </c>
      <c r="C2" s="5" t="s">
        <v>6</v>
      </c>
      <c r="D2" s="5" t="s">
        <v>7</v>
      </c>
      <c r="E2" s="35">
        <f>vlookup(C2,'Team Bye List'!$A$1:$B$33,2,False)</f>
        <v>12</v>
      </c>
      <c r="F2" s="36">
        <f>if(ISNA(vlookup($A2, ESPN!$B$2:$E$1010, 4, false)), 0, vlookup($A2, ESPN!$B$2:$E$1010, 4, false))</f>
        <v>59</v>
      </c>
      <c r="G2" s="36">
        <f>if(ISNA(vlookup($A2,'Ultimate Draft Kit'!$B$2:$E$261,4, false)), 0, vlookup($A2,'Ultimate Draft Kit'!$B$2:$E$261, 4, false))</f>
        <v>64</v>
      </c>
      <c r="H2" s="36">
        <f>if(ISNA(vlookup($A2, FantasyPro!$B$2:$E$514,4,false)),0,vlookup($A2,FantasyPro!$B$2:$E$514,4,false))</f>
        <v>63</v>
      </c>
      <c r="I2" s="36">
        <f>if(ISNA(vlookup($A2, FFToolbox!$B$2:$E$618, 4, false)), 0, vlookup($A2, FFToolbox!$B$2:$E$618, 4, false))</f>
        <v>52</v>
      </c>
      <c r="J2" s="37">
        <f t="shared" ref="J2:J1010" si="1">Average(F2:I2)</f>
        <v>59.5</v>
      </c>
      <c r="K2" s="37">
        <f t="shared" ref="K2:K1010" si="2">max(F2:I2)-min(F2:I2)</f>
        <v>12</v>
      </c>
    </row>
    <row r="3" hidden="1">
      <c r="A3" s="13" t="s">
        <v>13</v>
      </c>
      <c r="B3" s="34" t="s">
        <v>1059</v>
      </c>
      <c r="C3" s="5" t="s">
        <v>14</v>
      </c>
      <c r="D3" s="5" t="s">
        <v>7</v>
      </c>
      <c r="E3" s="35">
        <f>vlookup(C3,'Team Bye List'!$A$1:$B$33,2,False)</f>
        <v>10</v>
      </c>
      <c r="F3" s="36">
        <f>if(ISNA(vlookup($A3, ESPN!$B$2:$E$1010, 4, false)), 0, vlookup($A3, ESPN!$B$2:$E$1010, 4, false))</f>
        <v>51</v>
      </c>
      <c r="G3" s="36">
        <f>if(ISNA(vlookup($A3,'Ultimate Draft Kit'!$B$2:$E$261,4, false)), 0, vlookup($A3,'Ultimate Draft Kit'!$B$2:$E$261, 4, false))</f>
        <v>50</v>
      </c>
      <c r="H3" s="36">
        <f>if(ISNA(vlookup($A3, FantasyPro!$B$2:$E$514,4,false)),0,vlookup($A3,FantasyPro!$B$2:$E$514,4,false))</f>
        <v>52</v>
      </c>
      <c r="I3" s="36">
        <f>if(ISNA(vlookup($A3, FFToolbox!$B$2:$E$618, 4, false)), 0, vlookup($A3, FFToolbox!$B$2:$E$618, 4, false))</f>
        <v>54</v>
      </c>
      <c r="J3" s="37">
        <f t="shared" si="1"/>
        <v>51.75</v>
      </c>
      <c r="K3" s="37">
        <f t="shared" si="2"/>
        <v>4</v>
      </c>
    </row>
    <row r="4" hidden="1">
      <c r="A4" s="13" t="s">
        <v>28</v>
      </c>
      <c r="B4" s="34" t="s">
        <v>1059</v>
      </c>
      <c r="C4" s="5" t="s">
        <v>29</v>
      </c>
      <c r="D4" s="5" t="s">
        <v>7</v>
      </c>
      <c r="E4" s="35">
        <f>vlookup(C4,'Team Bye List'!$A$1:$B$33,2,False)</f>
        <v>11</v>
      </c>
      <c r="F4" s="36">
        <f>if(ISNA(vlookup($A4, ESPN!$B$2:$E$1010, 4, false)), 0, vlookup($A4, ESPN!$B$2:$E$1010, 4, false))</f>
        <v>39</v>
      </c>
      <c r="G4" s="36">
        <f>if(ISNA(vlookup($A4,'Ultimate Draft Kit'!$B$2:$E$261,4, false)), 0, vlookup($A4,'Ultimate Draft Kit'!$B$2:$E$261, 4, false))</f>
        <v>55</v>
      </c>
      <c r="H4" s="36">
        <f>if(ISNA(vlookup($A4, FantasyPro!$B$2:$E$514,4,false)),0,vlookup($A4,FantasyPro!$B$2:$E$514,4,false))</f>
        <v>53</v>
      </c>
      <c r="I4" s="36">
        <f>if(ISNA(vlookup($A4, FFToolbox!$B$2:$E$618, 4, false)), 0, vlookup($A4, FFToolbox!$B$2:$E$618, 4, false))</f>
        <v>52</v>
      </c>
      <c r="J4" s="37">
        <f t="shared" si="1"/>
        <v>49.75</v>
      </c>
      <c r="K4" s="37">
        <f t="shared" si="2"/>
        <v>16</v>
      </c>
    </row>
    <row r="5" hidden="1">
      <c r="A5" s="13" t="s">
        <v>21</v>
      </c>
      <c r="B5" s="34" t="s">
        <v>1059</v>
      </c>
      <c r="C5" s="5" t="s">
        <v>22</v>
      </c>
      <c r="D5" s="5" t="s">
        <v>7</v>
      </c>
      <c r="E5" s="35">
        <f>vlookup(C5,'Team Bye List'!$A$1:$B$33,2,False)</f>
        <v>7</v>
      </c>
      <c r="F5" s="36">
        <f>if(ISNA(vlookup($A5, ESPN!$B$2:$E$1010, 4, false)), 0, vlookup($A5, ESPN!$B$2:$E$1010, 4, false))</f>
        <v>46</v>
      </c>
      <c r="G5" s="36">
        <f>if(ISNA(vlookup($A5,'Ultimate Draft Kit'!$B$2:$E$261,4, false)), 0, vlookup($A5,'Ultimate Draft Kit'!$B$2:$E$261, 4, false))</f>
        <v>46</v>
      </c>
      <c r="H5" s="36">
        <f>if(ISNA(vlookup($A5, FantasyPro!$B$2:$E$514,4,false)),0,vlookup($A5,FantasyPro!$B$2:$E$514,4,false))</f>
        <v>49</v>
      </c>
      <c r="I5" s="36">
        <f>if(ISNA(vlookup($A5, FFToolbox!$B$2:$E$618, 4, false)), 0, vlookup($A5, FFToolbox!$B$2:$E$618, 4, false))</f>
        <v>42</v>
      </c>
      <c r="J5" s="37">
        <f t="shared" si="1"/>
        <v>45.75</v>
      </c>
      <c r="K5" s="37">
        <f t="shared" si="2"/>
        <v>7</v>
      </c>
    </row>
    <row r="6" hidden="1">
      <c r="A6" s="13" t="s">
        <v>23</v>
      </c>
      <c r="B6" s="34" t="s">
        <v>1059</v>
      </c>
      <c r="C6" s="5" t="s">
        <v>24</v>
      </c>
      <c r="D6" s="5" t="s">
        <v>25</v>
      </c>
      <c r="E6" s="35">
        <f>vlookup(C6,'Team Bye List'!$A$1:$B$33,2,False)</f>
        <v>6</v>
      </c>
      <c r="F6" s="36">
        <f>if(ISNA(vlookup($A6, ESPN!$B$2:$E$1010, 4, false)), 0, vlookup($A6, ESPN!$B$2:$E$1010, 4, false))</f>
        <v>42</v>
      </c>
      <c r="G6" s="36">
        <f>if(ISNA(vlookup($A6,'Ultimate Draft Kit'!$B$2:$E$261,4, false)), 0, vlookup($A6,'Ultimate Draft Kit'!$B$2:$E$261, 4, false))</f>
        <v>48</v>
      </c>
      <c r="H6" s="36">
        <f>if(ISNA(vlookup($A6, FantasyPro!$B$2:$E$514,4,false)),0,vlookup($A6,FantasyPro!$B$2:$E$514,4,false))</f>
        <v>45</v>
      </c>
      <c r="I6" s="36">
        <f>if(ISNA(vlookup($A6, FFToolbox!$B$2:$E$618, 4, false)), 0, vlookup($A6, FFToolbox!$B$2:$E$618, 4, false))</f>
        <v>48</v>
      </c>
      <c r="J6" s="37">
        <f t="shared" si="1"/>
        <v>45.75</v>
      </c>
      <c r="K6" s="37">
        <f t="shared" si="2"/>
        <v>6</v>
      </c>
    </row>
    <row r="7" hidden="1">
      <c r="A7" s="13" t="s">
        <v>36</v>
      </c>
      <c r="B7" s="34" t="s">
        <v>1059</v>
      </c>
      <c r="C7" s="5" t="s">
        <v>24</v>
      </c>
      <c r="D7" s="5" t="s">
        <v>7</v>
      </c>
      <c r="E7" s="35">
        <f>vlookup(C7,'Team Bye List'!$A$1:$B$33,2,False)</f>
        <v>6</v>
      </c>
      <c r="F7" s="36">
        <f>if(ISNA(vlookup($A7, ESPN!$B$2:$E$1010, 4, false)), 0, vlookup($A7, ESPN!$B$2:$E$1010, 4, false))</f>
        <v>35</v>
      </c>
      <c r="G7" s="36">
        <f>if(ISNA(vlookup($A7,'Ultimate Draft Kit'!$B$2:$E$261,4, false)), 0, vlookup($A7,'Ultimate Draft Kit'!$B$2:$E$261, 4, false))</f>
        <v>44</v>
      </c>
      <c r="H7" s="36">
        <f>if(ISNA(vlookup($A7, FantasyPro!$B$2:$E$514,4,false)),0,vlookup($A7,FantasyPro!$B$2:$E$514,4,false))</f>
        <v>52</v>
      </c>
      <c r="I7" s="36">
        <f>if(ISNA(vlookup($A7, FFToolbox!$B$2:$E$618, 4, false)), 0, vlookup($A7, FFToolbox!$B$2:$E$618, 4, false))</f>
        <v>46</v>
      </c>
      <c r="J7" s="37">
        <f t="shared" si="1"/>
        <v>44.25</v>
      </c>
      <c r="K7" s="37">
        <f t="shared" si="2"/>
        <v>17</v>
      </c>
    </row>
    <row r="8" hidden="1">
      <c r="A8" s="13" t="s">
        <v>35</v>
      </c>
      <c r="B8" s="34" t="s">
        <v>1059</v>
      </c>
      <c r="C8" s="5" t="s">
        <v>9</v>
      </c>
      <c r="D8" s="5" t="s">
        <v>7</v>
      </c>
      <c r="E8" s="35">
        <f>vlookup(C8,'Team Bye List'!$A$1:$B$33,2,False)</f>
        <v>10</v>
      </c>
      <c r="F8" s="36">
        <f>if(ISNA(vlookup($A8, ESPN!$B$2:$E$1010, 4, false)), 0, vlookup($A8, ESPN!$B$2:$E$1010, 4, false))</f>
        <v>36</v>
      </c>
      <c r="G8" s="36">
        <f>if(ISNA(vlookup($A8,'Ultimate Draft Kit'!$B$2:$E$261,4, false)), 0, vlookup($A8,'Ultimate Draft Kit'!$B$2:$E$261, 4, false))</f>
        <v>45</v>
      </c>
      <c r="H8" s="36">
        <f>if(ISNA(vlookup($A8, FantasyPro!$B$2:$E$514,4,false)),0,vlookup($A8,FantasyPro!$B$2:$E$514,4,false))</f>
        <v>42</v>
      </c>
      <c r="I8" s="36">
        <f>if(ISNA(vlookup($A8, FFToolbox!$B$2:$E$618, 4, false)), 0, vlookup($A8, FFToolbox!$B$2:$E$618, 4, false))</f>
        <v>48</v>
      </c>
      <c r="J8" s="37">
        <f t="shared" si="1"/>
        <v>42.75</v>
      </c>
      <c r="K8" s="37">
        <f t="shared" si="2"/>
        <v>12</v>
      </c>
    </row>
    <row r="9" hidden="1">
      <c r="A9" s="13" t="s">
        <v>33</v>
      </c>
      <c r="B9" s="34" t="s">
        <v>1059</v>
      </c>
      <c r="C9" s="5" t="s">
        <v>34</v>
      </c>
      <c r="D9" s="5" t="s">
        <v>7</v>
      </c>
      <c r="E9" s="35">
        <f>vlookup(C9,'Team Bye List'!$A$1:$B$33,2,False)</f>
        <v>7</v>
      </c>
      <c r="F9" s="36">
        <f>if(ISNA(vlookup($A9, ESPN!$B$2:$E$1010, 4, false)), 0, vlookup($A9, ESPN!$B$2:$E$1010, 4, false))</f>
        <v>36</v>
      </c>
      <c r="G9" s="36">
        <f>if(ISNA(vlookup($A9,'Ultimate Draft Kit'!$B$2:$E$261,4, false)), 0, vlookup($A9,'Ultimate Draft Kit'!$B$2:$E$261, 4, false))</f>
        <v>42</v>
      </c>
      <c r="H9" s="36">
        <f>if(ISNA(vlookup($A9, FantasyPro!$B$2:$E$514,4,false)),0,vlookup($A9,FantasyPro!$B$2:$E$514,4,false))</f>
        <v>48</v>
      </c>
      <c r="I9" s="36">
        <f>if(ISNA(vlookup($A9, FFToolbox!$B$2:$E$618, 4, false)), 0, vlookup($A9, FFToolbox!$B$2:$E$618, 4, false))</f>
        <v>38</v>
      </c>
      <c r="J9" s="37">
        <f t="shared" si="1"/>
        <v>41</v>
      </c>
      <c r="K9" s="37">
        <f t="shared" si="2"/>
        <v>12</v>
      </c>
    </row>
    <row r="10" hidden="1">
      <c r="A10" s="13" t="s">
        <v>55</v>
      </c>
      <c r="B10" s="34" t="s">
        <v>1059</v>
      </c>
      <c r="C10" s="5" t="s">
        <v>56</v>
      </c>
      <c r="D10" s="5" t="s">
        <v>25</v>
      </c>
      <c r="E10" s="35">
        <f>vlookup(C10,'Team Bye List'!$A$1:$B$33,2,False)</f>
        <v>5</v>
      </c>
      <c r="F10" s="36">
        <f>if(ISNA(vlookup($A10, ESPN!$B$2:$E$1010, 4, false)), 0, vlookup($A10, ESPN!$B$2:$E$1010, 4, false))</f>
        <v>28</v>
      </c>
      <c r="G10" s="36">
        <f>if(ISNA(vlookup($A10,'Ultimate Draft Kit'!$B$2:$E$261,4, false)), 0, vlookup($A10,'Ultimate Draft Kit'!$B$2:$E$261, 4, false))</f>
        <v>42</v>
      </c>
      <c r="H10" s="36">
        <f>if(ISNA(vlookup($A10, FantasyPro!$B$2:$E$514,4,false)),0,vlookup($A10,FantasyPro!$B$2:$E$514,4,false))</f>
        <v>45</v>
      </c>
      <c r="I10" s="36">
        <f>if(ISNA(vlookup($A10, FFToolbox!$B$2:$E$618, 4, false)), 0, vlookup($A10, FFToolbox!$B$2:$E$618, 4, false))</f>
        <v>46</v>
      </c>
      <c r="J10" s="37">
        <f t="shared" si="1"/>
        <v>40.25</v>
      </c>
      <c r="K10" s="37">
        <f t="shared" si="2"/>
        <v>18</v>
      </c>
    </row>
    <row r="11" hidden="1">
      <c r="A11" s="13" t="s">
        <v>43</v>
      </c>
      <c r="B11" s="34" t="s">
        <v>1059</v>
      </c>
      <c r="C11" s="5" t="s">
        <v>44</v>
      </c>
      <c r="D11" s="5" t="s">
        <v>25</v>
      </c>
      <c r="E11" s="35">
        <f>vlookup(C11,'Team Bye List'!$A$1:$B$33,2,False)</f>
        <v>10</v>
      </c>
      <c r="F11" s="36">
        <f>if(ISNA(vlookup($A11, ESPN!$B$2:$E$1010, 4, false)), 0, vlookup($A11, ESPN!$B$2:$E$1010, 4, false))</f>
        <v>32</v>
      </c>
      <c r="G11" s="36">
        <f>if(ISNA(vlookup($A11,'Ultimate Draft Kit'!$B$2:$E$261,4, false)), 0, vlookup($A11,'Ultimate Draft Kit'!$B$2:$E$261, 4, false))</f>
        <v>41</v>
      </c>
      <c r="H11" s="36">
        <f>if(ISNA(vlookup($A11, FantasyPro!$B$2:$E$514,4,false)),0,vlookup($A11,FantasyPro!$B$2:$E$514,4,false))</f>
        <v>36</v>
      </c>
      <c r="I11" s="36">
        <f>if(ISNA(vlookup($A11, FFToolbox!$B$2:$E$618, 4, false)), 0, vlookup($A11, FFToolbox!$B$2:$E$618, 4, false))</f>
        <v>50</v>
      </c>
      <c r="J11" s="37">
        <f t="shared" si="1"/>
        <v>39.75</v>
      </c>
      <c r="K11" s="37">
        <f t="shared" si="2"/>
        <v>18</v>
      </c>
    </row>
    <row r="12" hidden="1">
      <c r="A12" s="13" t="s">
        <v>17</v>
      </c>
      <c r="B12" s="34" t="s">
        <v>1059</v>
      </c>
      <c r="C12" s="5" t="s">
        <v>18</v>
      </c>
      <c r="D12" s="5" t="s">
        <v>7</v>
      </c>
      <c r="E12" s="35">
        <f>vlookup(C12,'Team Bye List'!$A$1:$B$33,2,False)</f>
        <v>6</v>
      </c>
      <c r="F12" s="36">
        <f>if(ISNA(vlookup($A12, ESPN!$B$2:$E$1010, 4, false)), 0, vlookup($A12, ESPN!$B$2:$E$1010, 4, false))</f>
        <v>49</v>
      </c>
      <c r="G12" s="36">
        <f>if(ISNA(vlookup($A12,'Ultimate Draft Kit'!$B$2:$E$261,4, false)), 0, vlookup($A12,'Ultimate Draft Kit'!$B$2:$E$261, 4, false))</f>
        <v>41</v>
      </c>
      <c r="H12" s="36">
        <f>if(ISNA(vlookup($A12, FantasyPro!$B$2:$E$514,4,false)),0,vlookup($A12,FantasyPro!$B$2:$E$514,4,false))</f>
        <v>34</v>
      </c>
      <c r="I12" s="36">
        <f>if(ISNA(vlookup($A12, FFToolbox!$B$2:$E$618, 4, false)), 0, vlookup($A12, FFToolbox!$B$2:$E$618, 4, false))</f>
        <v>32</v>
      </c>
      <c r="J12" s="37">
        <f t="shared" si="1"/>
        <v>39</v>
      </c>
      <c r="K12" s="37">
        <f t="shared" si="2"/>
        <v>17</v>
      </c>
    </row>
    <row r="13" hidden="1">
      <c r="A13" s="13" t="s">
        <v>8</v>
      </c>
      <c r="B13" s="34" t="s">
        <v>1059</v>
      </c>
      <c r="C13" s="5" t="s">
        <v>9</v>
      </c>
      <c r="D13" s="5" t="s">
        <v>10</v>
      </c>
      <c r="E13" s="35">
        <f>vlookup(C13,'Team Bye List'!$A$1:$B$33,2,False)</f>
        <v>10</v>
      </c>
      <c r="F13" s="36">
        <f>if(ISNA(vlookup($A13, ESPN!$B$2:$E$1010, 4, false)), 0, vlookup($A13, ESPN!$B$2:$E$1010, 4, false))</f>
        <v>57</v>
      </c>
      <c r="G13" s="36">
        <f>if(ISNA(vlookup($A13,'Ultimate Draft Kit'!$B$2:$E$261,4, false)), 0, vlookup($A13,'Ultimate Draft Kit'!$B$2:$E$261, 4, false))</f>
        <v>22</v>
      </c>
      <c r="H13" s="36">
        <f>if(ISNA(vlookup($A13, FantasyPro!$B$2:$E$514,4,false)),0,vlookup($A13,FantasyPro!$B$2:$E$514,4,false))</f>
        <v>28</v>
      </c>
      <c r="I13" s="36">
        <f>if(ISNA(vlookup($A13, FFToolbox!$B$2:$E$618, 4, false)), 0, vlookup($A13, FFToolbox!$B$2:$E$618, 4, false))</f>
        <v>46</v>
      </c>
      <c r="J13" s="37">
        <f t="shared" si="1"/>
        <v>38.25</v>
      </c>
      <c r="K13" s="37">
        <f t="shared" si="2"/>
        <v>35</v>
      </c>
    </row>
    <row r="14" hidden="1">
      <c r="A14" s="13" t="s">
        <v>30</v>
      </c>
      <c r="B14" s="34" t="s">
        <v>1059</v>
      </c>
      <c r="C14" s="5" t="s">
        <v>9</v>
      </c>
      <c r="D14" s="5" t="s">
        <v>25</v>
      </c>
      <c r="E14" s="35">
        <f>vlookup(C14,'Team Bye List'!$A$1:$B$33,2,False)</f>
        <v>10</v>
      </c>
      <c r="F14" s="36">
        <f>if(ISNA(vlookup($A14, ESPN!$B$2:$E$1010, 4, false)), 0, vlookup($A14, ESPN!$B$2:$E$1010, 4, false))</f>
        <v>39</v>
      </c>
      <c r="G14" s="36">
        <f>if(ISNA(vlookup($A14,'Ultimate Draft Kit'!$B$2:$E$261,4, false)), 0, vlookup($A14,'Ultimate Draft Kit'!$B$2:$E$261, 4, false))</f>
        <v>37</v>
      </c>
      <c r="H14" s="36">
        <f>if(ISNA(vlookup($A14, FantasyPro!$B$2:$E$514,4,false)),0,vlookup($A14,FantasyPro!$B$2:$E$514,4,false))</f>
        <v>36</v>
      </c>
      <c r="I14" s="36">
        <f>if(ISNA(vlookup($A14, FFToolbox!$B$2:$E$618, 4, false)), 0, vlookup($A14, FFToolbox!$B$2:$E$618, 4, false))</f>
        <v>40</v>
      </c>
      <c r="J14" s="37">
        <f t="shared" si="1"/>
        <v>38</v>
      </c>
      <c r="K14" s="37">
        <f t="shared" si="2"/>
        <v>4</v>
      </c>
    </row>
    <row r="15" hidden="1">
      <c r="A15" s="13" t="s">
        <v>15</v>
      </c>
      <c r="B15" s="34" t="s">
        <v>1059</v>
      </c>
      <c r="C15" s="5" t="s">
        <v>9</v>
      </c>
      <c r="D15" s="5" t="s">
        <v>16</v>
      </c>
      <c r="E15" s="35">
        <f>vlookup(C15,'Team Bye List'!$A$1:$B$33,2,False)</f>
        <v>10</v>
      </c>
      <c r="F15" s="36">
        <f>if(ISNA(vlookup($A15, ESPN!$B$2:$E$1010, 4, false)), 0, vlookup($A15, ESPN!$B$2:$E$1010, 4, false))</f>
        <v>50</v>
      </c>
      <c r="G15" s="36">
        <f>if(ISNA(vlookup($A15,'Ultimate Draft Kit'!$B$2:$E$261,4, false)), 0, vlookup($A15,'Ultimate Draft Kit'!$B$2:$E$261, 4, false))</f>
        <v>26</v>
      </c>
      <c r="H15" s="36">
        <f>if(ISNA(vlookup($A15, FantasyPro!$B$2:$E$514,4,false)),0,vlookup($A15,FantasyPro!$B$2:$E$514,4,false))</f>
        <v>34</v>
      </c>
      <c r="I15" s="36">
        <f>if(ISNA(vlookup($A15, FFToolbox!$B$2:$E$618, 4, false)), 0, vlookup($A15, FFToolbox!$B$2:$E$618, 4, false))</f>
        <v>38</v>
      </c>
      <c r="J15" s="37">
        <f t="shared" si="1"/>
        <v>37</v>
      </c>
      <c r="K15" s="37">
        <f t="shared" si="2"/>
        <v>24</v>
      </c>
    </row>
    <row r="16" hidden="1">
      <c r="A16" s="13" t="s">
        <v>31</v>
      </c>
      <c r="B16" s="34" t="s">
        <v>1059</v>
      </c>
      <c r="C16" s="5" t="s">
        <v>32</v>
      </c>
      <c r="D16" s="5" t="s">
        <v>7</v>
      </c>
      <c r="E16" s="35">
        <f>vlookup(C16,'Team Bye List'!$A$1:$B$33,2,False)</f>
        <v>9</v>
      </c>
      <c r="F16" s="36">
        <f>if(ISNA(vlookup($A16, ESPN!$B$2:$E$1010, 4, false)), 0, vlookup($A16, ESPN!$B$2:$E$1010, 4, false))</f>
        <v>37</v>
      </c>
      <c r="G16" s="36">
        <f>if(ISNA(vlookup($A16,'Ultimate Draft Kit'!$B$2:$E$261,4, false)), 0, vlookup($A16,'Ultimate Draft Kit'!$B$2:$E$261, 4, false))</f>
        <v>36</v>
      </c>
      <c r="H16" s="36">
        <f>if(ISNA(vlookup($A16, FantasyPro!$B$2:$E$514,4,false)),0,vlookup($A16,FantasyPro!$B$2:$E$514,4,false))</f>
        <v>36</v>
      </c>
      <c r="I16" s="36">
        <f>if(ISNA(vlookup($A16, FFToolbox!$B$2:$E$618, 4, false)), 0, vlookup($A16, FFToolbox!$B$2:$E$618, 4, false))</f>
        <v>30</v>
      </c>
      <c r="J16" s="37">
        <f t="shared" si="1"/>
        <v>34.75</v>
      </c>
      <c r="K16" s="37">
        <f t="shared" si="2"/>
        <v>7</v>
      </c>
    </row>
    <row r="17" hidden="1">
      <c r="A17" s="13" t="s">
        <v>11</v>
      </c>
      <c r="B17" s="34" t="s">
        <v>1059</v>
      </c>
      <c r="C17" s="5" t="s">
        <v>12</v>
      </c>
      <c r="D17" s="5" t="s">
        <v>10</v>
      </c>
      <c r="E17" s="35">
        <f>vlookup(C17,'Team Bye List'!$A$1:$B$33,2,False)</f>
        <v>8</v>
      </c>
      <c r="F17" s="36">
        <f>if(ISNA(vlookup($A17, ESPN!$B$2:$E$1010, 4, false)), 0, vlookup($A17, ESPN!$B$2:$E$1010, 4, false))</f>
        <v>52</v>
      </c>
      <c r="G17" s="36">
        <f>if(ISNA(vlookup($A17,'Ultimate Draft Kit'!$B$2:$E$261,4, false)), 0, vlookup($A17,'Ultimate Draft Kit'!$B$2:$E$261, 4, false))</f>
        <v>27</v>
      </c>
      <c r="H17" s="36">
        <f>if(ISNA(vlookup($A17, FantasyPro!$B$2:$E$514,4,false)),0,vlookup($A17,FantasyPro!$B$2:$E$514,4,false))</f>
        <v>28</v>
      </c>
      <c r="I17" s="36">
        <f>if(ISNA(vlookup($A17, FFToolbox!$B$2:$E$618, 4, false)), 0, vlookup($A17, FFToolbox!$B$2:$E$618, 4, false))</f>
        <v>30</v>
      </c>
      <c r="J17" s="37">
        <f t="shared" si="1"/>
        <v>34.25</v>
      </c>
      <c r="K17" s="37">
        <f t="shared" si="2"/>
        <v>25</v>
      </c>
    </row>
    <row r="18" hidden="1">
      <c r="A18" s="13" t="s">
        <v>51</v>
      </c>
      <c r="B18" s="34" t="s">
        <v>1059</v>
      </c>
      <c r="C18" s="5" t="s">
        <v>1007</v>
      </c>
      <c r="D18" s="5" t="s">
        <v>25</v>
      </c>
      <c r="E18" s="35">
        <f>vlookup(C18,'Team Bye List'!$A$1:$B$33,2,False)</f>
        <v>8</v>
      </c>
      <c r="F18" s="36">
        <f>if(ISNA(vlookup($A18, ESPN!$B$2:$E$1010, 4, false)), 0, vlookup($A18, ESPN!$B$2:$E$1010, 4, false))</f>
        <v>28</v>
      </c>
      <c r="G18" s="36">
        <f>if(ISNA(vlookup($A18,'Ultimate Draft Kit'!$B$2:$E$261,4, false)), 0, vlookup($A18,'Ultimate Draft Kit'!$B$2:$E$261, 4, false))</f>
        <v>33</v>
      </c>
      <c r="H18" s="36">
        <f>if(ISNA(vlookup($A18, FantasyPro!$B$2:$E$514,4,false)),0,vlookup($A18,FantasyPro!$B$2:$E$514,4,false))</f>
        <v>33</v>
      </c>
      <c r="I18" s="36">
        <f>if(ISNA(vlookup($A18, FFToolbox!$B$2:$E$618, 4, false)), 0, vlookup($A18, FFToolbox!$B$2:$E$618, 4, false))</f>
        <v>42</v>
      </c>
      <c r="J18" s="37">
        <f t="shared" si="1"/>
        <v>34</v>
      </c>
      <c r="K18" s="37">
        <f t="shared" si="2"/>
        <v>14</v>
      </c>
    </row>
    <row r="19" hidden="1">
      <c r="A19" s="13" t="s">
        <v>60</v>
      </c>
      <c r="B19" s="34" t="s">
        <v>1059</v>
      </c>
      <c r="C19" s="5" t="s">
        <v>61</v>
      </c>
      <c r="D19" s="5" t="s">
        <v>7</v>
      </c>
      <c r="E19" s="35">
        <f>vlookup(C19,'Team Bye List'!$A$1:$B$33,2,False)</f>
        <v>9</v>
      </c>
      <c r="F19" s="36">
        <f>if(ISNA(vlookup($A19, ESPN!$B$2:$E$1010, 4, false)), 0, vlookup($A19, ESPN!$B$2:$E$1010, 4, false))</f>
        <v>27</v>
      </c>
      <c r="G19" s="36">
        <f>if(ISNA(vlookup($A19,'Ultimate Draft Kit'!$B$2:$E$261,4, false)), 0, vlookup($A19,'Ultimate Draft Kit'!$B$2:$E$261, 4, false))</f>
        <v>36</v>
      </c>
      <c r="H19" s="36">
        <f>if(ISNA(vlookup($A19, FantasyPro!$B$2:$E$514,4,false)),0,vlookup($A19,FantasyPro!$B$2:$E$514,4,false))</f>
        <v>37</v>
      </c>
      <c r="I19" s="36">
        <f>if(ISNA(vlookup($A19, FFToolbox!$B$2:$E$618, 4, false)), 0, vlookup($A19, FFToolbox!$B$2:$E$618, 4, false))</f>
        <v>34</v>
      </c>
      <c r="J19" s="37">
        <f t="shared" si="1"/>
        <v>33.5</v>
      </c>
      <c r="K19" s="37">
        <f t="shared" si="2"/>
        <v>10</v>
      </c>
    </row>
    <row r="20" hidden="1">
      <c r="A20" s="13" t="s">
        <v>46</v>
      </c>
      <c r="B20" s="34" t="s">
        <v>1059</v>
      </c>
      <c r="C20" s="5" t="s">
        <v>38</v>
      </c>
      <c r="D20" s="5" t="s">
        <v>25</v>
      </c>
      <c r="E20" s="35">
        <f>vlookup(C20,'Team Bye List'!$A$1:$B$33,2,False)</f>
        <v>12</v>
      </c>
      <c r="F20" s="36">
        <f>if(ISNA(vlookup($A20, ESPN!$B$2:$E$1010, 4, false)), 0, vlookup($A20, ESPN!$B$2:$E$1010, 4, false))</f>
        <v>32</v>
      </c>
      <c r="G20" s="36">
        <f>if(ISNA(vlookup($A20,'Ultimate Draft Kit'!$B$2:$E$261,4, false)), 0, vlookup($A20,'Ultimate Draft Kit'!$B$2:$E$261, 4, false))</f>
        <v>36</v>
      </c>
      <c r="H20" s="36">
        <f>if(ISNA(vlookup($A20, FantasyPro!$B$2:$E$514,4,false)),0,vlookup($A20,FantasyPro!$B$2:$E$514,4,false))</f>
        <v>34</v>
      </c>
      <c r="I20" s="36">
        <f>if(ISNA(vlookup($A20, FFToolbox!$B$2:$E$618, 4, false)), 0, vlookup($A20, FFToolbox!$B$2:$E$618, 4, false))</f>
        <v>30</v>
      </c>
      <c r="J20" s="37">
        <f t="shared" si="1"/>
        <v>33</v>
      </c>
      <c r="K20" s="37">
        <f t="shared" si="2"/>
        <v>6</v>
      </c>
    </row>
    <row r="21" hidden="1">
      <c r="A21" s="13" t="s">
        <v>53</v>
      </c>
      <c r="B21" s="34" t="s">
        <v>1059</v>
      </c>
      <c r="C21" s="5" t="s">
        <v>54</v>
      </c>
      <c r="D21" s="5" t="s">
        <v>7</v>
      </c>
      <c r="E21" s="35">
        <f>vlookup(C21,'Team Bye List'!$A$1:$B$33,2,False)</f>
        <v>9</v>
      </c>
      <c r="F21" s="36">
        <f>if(ISNA(vlookup($A21, ESPN!$B$2:$E$1010, 4, false)), 0, vlookup($A21, ESPN!$B$2:$E$1010, 4, false))</f>
        <v>28</v>
      </c>
      <c r="G21" s="36">
        <f>if(ISNA(vlookup($A21,'Ultimate Draft Kit'!$B$2:$E$261,4, false)), 0, vlookup($A21,'Ultimate Draft Kit'!$B$2:$E$261, 4, false))</f>
        <v>37</v>
      </c>
      <c r="H21" s="36">
        <f>if(ISNA(vlookup($A21, FantasyPro!$B$2:$E$514,4,false)),0,vlookup($A21,FantasyPro!$B$2:$E$514,4,false))</f>
        <v>34</v>
      </c>
      <c r="I21" s="36">
        <f>if(ISNA(vlookup($A21, FFToolbox!$B$2:$E$618, 4, false)), 0, vlookup($A21, FFToolbox!$B$2:$E$618, 4, false))</f>
        <v>32</v>
      </c>
      <c r="J21" s="37">
        <f t="shared" si="1"/>
        <v>32.75</v>
      </c>
      <c r="K21" s="37">
        <f t="shared" si="2"/>
        <v>9</v>
      </c>
    </row>
    <row r="22" hidden="1">
      <c r="A22" s="13" t="s">
        <v>37</v>
      </c>
      <c r="B22" s="34" t="s">
        <v>1059</v>
      </c>
      <c r="C22" s="5" t="s">
        <v>38</v>
      </c>
      <c r="D22" s="5" t="s">
        <v>25</v>
      </c>
      <c r="E22" s="35">
        <f>vlookup(C22,'Team Bye List'!$A$1:$B$33,2,False)</f>
        <v>12</v>
      </c>
      <c r="F22" s="36">
        <f>if(ISNA(vlookup($A22, ESPN!$B$2:$E$1010, 4, false)), 0, vlookup($A22, ESPN!$B$2:$E$1010, 4, false))</f>
        <v>35</v>
      </c>
      <c r="G22" s="36">
        <f>if(ISNA(vlookup($A22,'Ultimate Draft Kit'!$B$2:$E$261,4, false)), 0, vlookup($A22,'Ultimate Draft Kit'!$B$2:$E$261, 4, false))</f>
        <v>29</v>
      </c>
      <c r="H22" s="36">
        <f>if(ISNA(vlookup($A22, FantasyPro!$B$2:$E$514,4,false)),0,vlookup($A22,FantasyPro!$B$2:$E$514,4,false))</f>
        <v>28</v>
      </c>
      <c r="I22" s="36">
        <f>if(ISNA(vlookup($A22, FFToolbox!$B$2:$E$618, 4, false)), 0, vlookup($A22, FFToolbox!$B$2:$E$618, 4, false))</f>
        <v>36</v>
      </c>
      <c r="J22" s="37">
        <f t="shared" si="1"/>
        <v>32</v>
      </c>
      <c r="K22" s="37">
        <f t="shared" si="2"/>
        <v>8</v>
      </c>
    </row>
    <row r="23" hidden="1">
      <c r="A23" s="13" t="s">
        <v>65</v>
      </c>
      <c r="B23" s="34" t="s">
        <v>1059</v>
      </c>
      <c r="C23" s="5" t="s">
        <v>56</v>
      </c>
      <c r="D23" s="5" t="s">
        <v>7</v>
      </c>
      <c r="E23" s="35">
        <f>vlookup(C23,'Team Bye List'!$A$1:$B$33,2,False)</f>
        <v>5</v>
      </c>
      <c r="F23" s="36">
        <f>if(ISNA(vlookup($A23, ESPN!$B$2:$E$1010, 4, false)), 0, vlookup($A23, ESPN!$B$2:$E$1010, 4, false))</f>
        <v>25</v>
      </c>
      <c r="G23" s="36">
        <f>if(ISNA(vlookup($A23,'Ultimate Draft Kit'!$B$2:$E$261,4, false)), 0, vlookup($A23,'Ultimate Draft Kit'!$B$2:$E$261, 4, false))</f>
        <v>40</v>
      </c>
      <c r="H23" s="36">
        <f>if(ISNA(vlookup($A23, FantasyPro!$B$2:$E$514,4,false)),0,vlookup($A23,FantasyPro!$B$2:$E$514,4,false))</f>
        <v>33</v>
      </c>
      <c r="I23" s="36">
        <f>if(ISNA(vlookup($A23, FFToolbox!$B$2:$E$618, 4, false)), 0, vlookup($A23, FFToolbox!$B$2:$E$618, 4, false))</f>
        <v>28</v>
      </c>
      <c r="J23" s="37">
        <f t="shared" si="1"/>
        <v>31.5</v>
      </c>
      <c r="K23" s="37">
        <f t="shared" si="2"/>
        <v>15</v>
      </c>
    </row>
    <row r="24" hidden="1">
      <c r="A24" s="13" t="s">
        <v>88</v>
      </c>
      <c r="B24" s="34" t="s">
        <v>1059</v>
      </c>
      <c r="C24" s="5" t="s">
        <v>1007</v>
      </c>
      <c r="D24" s="5" t="s">
        <v>7</v>
      </c>
      <c r="E24" s="35">
        <f>vlookup(C24,'Team Bye List'!$A$1:$B$33,2,False)</f>
        <v>8</v>
      </c>
      <c r="F24" s="36">
        <f>if(ISNA(vlookup($A24, ESPN!$B$2:$E$1010, 4, false)), 0, vlookup($A24, ESPN!$B$2:$E$1010, 4, false))</f>
        <v>20</v>
      </c>
      <c r="G24" s="36">
        <f>if(ISNA(vlookup($A24,'Ultimate Draft Kit'!$B$2:$E$261,4, false)), 0, vlookup($A24,'Ultimate Draft Kit'!$B$2:$E$261, 4, false))</f>
        <v>37</v>
      </c>
      <c r="H24" s="36">
        <f>if(ISNA(vlookup($A24, FantasyPro!$B$2:$E$514,4,false)),0,vlookup($A24,FantasyPro!$B$2:$E$514,4,false))</f>
        <v>34</v>
      </c>
      <c r="I24" s="36">
        <f>if(ISNA(vlookup($A24, FFToolbox!$B$2:$E$618, 4, false)), 0, vlookup($A24, FFToolbox!$B$2:$E$618, 4, false))</f>
        <v>34</v>
      </c>
      <c r="J24" s="37">
        <f t="shared" si="1"/>
        <v>31.25</v>
      </c>
      <c r="K24" s="37">
        <f t="shared" si="2"/>
        <v>17</v>
      </c>
    </row>
    <row r="25" hidden="1">
      <c r="A25" s="13" t="s">
        <v>26</v>
      </c>
      <c r="B25" s="34" t="s">
        <v>1059</v>
      </c>
      <c r="C25" s="5" t="s">
        <v>27</v>
      </c>
      <c r="D25" s="5" t="s">
        <v>16</v>
      </c>
      <c r="E25" s="35">
        <f>vlookup(C25,'Team Bye List'!$A$1:$B$33,2,False)</f>
        <v>11</v>
      </c>
      <c r="F25" s="36">
        <f>if(ISNA(vlookup($A25, ESPN!$B$2:$E$1010, 4, false)), 0, vlookup($A25, ESPN!$B$2:$E$1010, 4, false))</f>
        <v>42</v>
      </c>
      <c r="G25" s="36">
        <f>if(ISNA(vlookup($A25,'Ultimate Draft Kit'!$B$2:$E$261,4, false)), 0, vlookup($A25,'Ultimate Draft Kit'!$B$2:$E$261, 4, false))</f>
        <v>22</v>
      </c>
      <c r="H25" s="36">
        <f>if(ISNA(vlookup($A25, FantasyPro!$B$2:$E$514,4,false)),0,vlookup($A25,FantasyPro!$B$2:$E$514,4,false))</f>
        <v>29</v>
      </c>
      <c r="I25" s="36">
        <f>if(ISNA(vlookup($A25, FFToolbox!$B$2:$E$618, 4, false)), 0, vlookup($A25, FFToolbox!$B$2:$E$618, 4, false))</f>
        <v>30</v>
      </c>
      <c r="J25" s="37">
        <f t="shared" si="1"/>
        <v>30.75</v>
      </c>
      <c r="K25" s="37">
        <f t="shared" si="2"/>
        <v>20</v>
      </c>
    </row>
    <row r="26" hidden="1">
      <c r="A26" s="13" t="s">
        <v>95</v>
      </c>
      <c r="B26" s="34" t="s">
        <v>1059</v>
      </c>
      <c r="C26" s="5" t="s">
        <v>96</v>
      </c>
      <c r="D26" s="5" t="s">
        <v>7</v>
      </c>
      <c r="E26" s="35">
        <f>vlookup(C26,'Team Bye List'!$A$1:$B$33,2,False)</f>
        <v>10</v>
      </c>
      <c r="F26" s="36">
        <f>if(ISNA(vlookup($A26, ESPN!$B$2:$E$1010, 4, false)), 0, vlookup($A26, ESPN!$B$2:$E$1010, 4, false))</f>
        <v>18</v>
      </c>
      <c r="G26" s="36">
        <f>if(ISNA(vlookup($A26,'Ultimate Draft Kit'!$B$2:$E$261,4, false)), 0, vlookup($A26,'Ultimate Draft Kit'!$B$2:$E$261, 4, false))</f>
        <v>38</v>
      </c>
      <c r="H26" s="36">
        <f>if(ISNA(vlookup($A26, FantasyPro!$B$2:$E$514,4,false)),0,vlookup($A26,FantasyPro!$B$2:$E$514,4,false))</f>
        <v>34</v>
      </c>
      <c r="I26" s="36">
        <f>if(ISNA(vlookup($A26, FFToolbox!$B$2:$E$618, 4, false)), 0, vlookup($A26, FFToolbox!$B$2:$E$618, 4, false))</f>
        <v>32</v>
      </c>
      <c r="J26" s="37">
        <f t="shared" si="1"/>
        <v>30.5</v>
      </c>
      <c r="K26" s="37">
        <f t="shared" si="2"/>
        <v>20</v>
      </c>
    </row>
    <row r="27" hidden="1">
      <c r="A27" s="13" t="s">
        <v>41</v>
      </c>
      <c r="B27" s="34" t="s">
        <v>1059</v>
      </c>
      <c r="C27" s="5" t="s">
        <v>40</v>
      </c>
      <c r="D27" s="5" t="s">
        <v>7</v>
      </c>
      <c r="E27" s="35">
        <f>vlookup(C27,'Team Bye List'!$A$1:$B$33,2,False)</f>
        <v>6</v>
      </c>
      <c r="F27" s="36">
        <f>if(ISNA(vlookup($A27, ESPN!$B$2:$E$1010, 4, false)), 0, vlookup($A27, ESPN!$B$2:$E$1010, 4, false))</f>
        <v>33</v>
      </c>
      <c r="G27" s="36">
        <f>if(ISNA(vlookup($A27,'Ultimate Draft Kit'!$B$2:$E$261,4, false)), 0, vlookup($A27,'Ultimate Draft Kit'!$B$2:$E$261, 4, false))</f>
        <v>38</v>
      </c>
      <c r="H27" s="36">
        <f>if(ISNA(vlookup($A27, FantasyPro!$B$2:$E$514,4,false)),0,vlookup($A27,FantasyPro!$B$2:$E$514,4,false))</f>
        <v>27</v>
      </c>
      <c r="I27" s="36">
        <f>if(ISNA(vlookup($A27, FFToolbox!$B$2:$E$618, 4, false)), 0, vlookup($A27, FFToolbox!$B$2:$E$618, 4, false))</f>
        <v>24</v>
      </c>
      <c r="J27" s="37">
        <f t="shared" si="1"/>
        <v>30.5</v>
      </c>
      <c r="K27" s="37">
        <f t="shared" si="2"/>
        <v>14</v>
      </c>
    </row>
    <row r="28" hidden="1">
      <c r="A28" s="13" t="s">
        <v>66</v>
      </c>
      <c r="B28" s="34" t="s">
        <v>1059</v>
      </c>
      <c r="C28" s="5" t="s">
        <v>14</v>
      </c>
      <c r="D28" s="5" t="s">
        <v>25</v>
      </c>
      <c r="E28" s="35">
        <f>vlookup(C28,'Team Bye List'!$A$1:$B$33,2,False)</f>
        <v>10</v>
      </c>
      <c r="F28" s="36">
        <f>if(ISNA(vlookup($A28, ESPN!$B$2:$E$1010, 4, false)), 0, vlookup($A28, ESPN!$B$2:$E$1010, 4, false))</f>
        <v>25</v>
      </c>
      <c r="G28" s="36">
        <f>if(ISNA(vlookup($A28,'Ultimate Draft Kit'!$B$2:$E$261,4, false)), 0, vlookup($A28,'Ultimate Draft Kit'!$B$2:$E$261, 4, false))</f>
        <v>34</v>
      </c>
      <c r="H28" s="36">
        <f>if(ISNA(vlookup($A28, FantasyPro!$B$2:$E$514,4,false)),0,vlookup($A28,FantasyPro!$B$2:$E$514,4,false))</f>
        <v>25</v>
      </c>
      <c r="I28" s="36">
        <f>if(ISNA(vlookup($A28, FFToolbox!$B$2:$E$618, 4, false)), 0, vlookup($A28, FFToolbox!$B$2:$E$618, 4, false))</f>
        <v>30</v>
      </c>
      <c r="J28" s="37">
        <f t="shared" si="1"/>
        <v>28.5</v>
      </c>
      <c r="K28" s="37">
        <f t="shared" si="2"/>
        <v>9</v>
      </c>
    </row>
    <row r="29" hidden="1">
      <c r="A29" s="13" t="s">
        <v>68</v>
      </c>
      <c r="B29" s="34" t="s">
        <v>1059</v>
      </c>
      <c r="C29" s="5" t="s">
        <v>69</v>
      </c>
      <c r="D29" s="5" t="s">
        <v>25</v>
      </c>
      <c r="E29" s="35">
        <f>vlookup(C29,'Team Bye List'!$A$1:$B$33,2,False)</f>
        <v>5</v>
      </c>
      <c r="F29" s="36">
        <f>if(ISNA(vlookup($A29, ESPN!$B$2:$E$1010, 4, false)), 0, vlookup($A29, ESPN!$B$2:$E$1010, 4, false))</f>
        <v>24</v>
      </c>
      <c r="G29" s="36">
        <f>if(ISNA(vlookup($A29,'Ultimate Draft Kit'!$B$2:$E$261,4, false)), 0, vlookup($A29,'Ultimate Draft Kit'!$B$2:$E$261, 4, false))</f>
        <v>36</v>
      </c>
      <c r="H29" s="36">
        <f>if(ISNA(vlookup($A29, FantasyPro!$B$2:$E$514,4,false)),0,vlookup($A29,FantasyPro!$B$2:$E$514,4,false))</f>
        <v>29</v>
      </c>
      <c r="I29" s="36">
        <f>if(ISNA(vlookup($A29, FFToolbox!$B$2:$E$618, 4, false)), 0, vlookup($A29, FFToolbox!$B$2:$E$618, 4, false))</f>
        <v>24</v>
      </c>
      <c r="J29" s="37">
        <f t="shared" si="1"/>
        <v>28.25</v>
      </c>
      <c r="K29" s="37">
        <f t="shared" si="2"/>
        <v>12</v>
      </c>
    </row>
    <row r="30" hidden="1">
      <c r="A30" s="13" t="s">
        <v>57</v>
      </c>
      <c r="B30" s="34" t="s">
        <v>1059</v>
      </c>
      <c r="C30" s="5" t="s">
        <v>22</v>
      </c>
      <c r="D30" s="5" t="s">
        <v>25</v>
      </c>
      <c r="E30" s="35">
        <f>vlookup(C30,'Team Bye List'!$A$1:$B$33,2,False)</f>
        <v>7</v>
      </c>
      <c r="F30" s="36">
        <f>if(ISNA(vlookup($A30, ESPN!$B$2:$E$1010, 4, false)), 0, vlookup($A30, ESPN!$B$2:$E$1010, 4, false))</f>
        <v>28</v>
      </c>
      <c r="G30" s="36">
        <f>if(ISNA(vlookup($A30,'Ultimate Draft Kit'!$B$2:$E$261,4, false)), 0, vlookup($A30,'Ultimate Draft Kit'!$B$2:$E$261, 4, false))</f>
        <v>29</v>
      </c>
      <c r="H30" s="36">
        <f>if(ISNA(vlookup($A30, FantasyPro!$B$2:$E$514,4,false)),0,vlookup($A30,FantasyPro!$B$2:$E$514,4,false))</f>
        <v>27</v>
      </c>
      <c r="I30" s="36">
        <f>if(ISNA(vlookup($A30, FFToolbox!$B$2:$E$618, 4, false)), 0, vlookup($A30, FFToolbox!$B$2:$E$618, 4, false))</f>
        <v>28</v>
      </c>
      <c r="J30" s="37">
        <f t="shared" si="1"/>
        <v>28</v>
      </c>
      <c r="K30" s="37">
        <f t="shared" si="2"/>
        <v>2</v>
      </c>
    </row>
    <row r="31" hidden="1">
      <c r="A31" s="13" t="s">
        <v>84</v>
      </c>
      <c r="B31" s="34" t="s">
        <v>1059</v>
      </c>
      <c r="C31" s="5" t="s">
        <v>74</v>
      </c>
      <c r="D31" s="5" t="s">
        <v>7</v>
      </c>
      <c r="E31" s="35">
        <f>vlookup(C31,'Team Bye List'!$A$1:$B$33,2,False)</f>
        <v>7</v>
      </c>
      <c r="F31" s="36">
        <f>if(ISNA(vlookup($A31, ESPN!$B$2:$E$1010, 4, false)), 0, vlookup($A31, ESPN!$B$2:$E$1010, 4, false))</f>
        <v>20</v>
      </c>
      <c r="G31" s="36">
        <f>if(ISNA(vlookup($A31,'Ultimate Draft Kit'!$B$2:$E$261,4, false)), 0, vlookup($A31,'Ultimate Draft Kit'!$B$2:$E$261, 4, false))</f>
        <v>35</v>
      </c>
      <c r="H31" s="36">
        <f>if(ISNA(vlookup($A31, FantasyPro!$B$2:$E$514,4,false)),0,vlookup($A31,FantasyPro!$B$2:$E$514,4,false))</f>
        <v>25</v>
      </c>
      <c r="I31" s="36">
        <f>if(ISNA(vlookup($A31, FFToolbox!$B$2:$E$618, 4, false)), 0, vlookup($A31, FFToolbox!$B$2:$E$618, 4, false))</f>
        <v>30</v>
      </c>
      <c r="J31" s="37">
        <f t="shared" si="1"/>
        <v>27.5</v>
      </c>
      <c r="K31" s="37">
        <f t="shared" si="2"/>
        <v>15</v>
      </c>
    </row>
    <row r="32" hidden="1">
      <c r="A32" s="13" t="s">
        <v>83</v>
      </c>
      <c r="B32" s="34" t="s">
        <v>1059</v>
      </c>
      <c r="C32" s="5" t="s">
        <v>54</v>
      </c>
      <c r="D32" s="5" t="s">
        <v>25</v>
      </c>
      <c r="E32" s="35">
        <f>vlookup(C32,'Team Bye List'!$A$1:$B$33,2,False)</f>
        <v>9</v>
      </c>
      <c r="F32" s="36">
        <f>if(ISNA(vlookup($A32, ESPN!$B$2:$E$1010, 4, false)), 0, vlookup($A32, ESPN!$B$2:$E$1010, 4, false))</f>
        <v>21</v>
      </c>
      <c r="G32" s="36">
        <f>if(ISNA(vlookup($A32,'Ultimate Draft Kit'!$B$2:$E$261,4, false)), 0, vlookup($A32,'Ultimate Draft Kit'!$B$2:$E$261, 4, false))</f>
        <v>27</v>
      </c>
      <c r="H32" s="36">
        <f>if(ISNA(vlookup($A32, FantasyPro!$B$2:$E$514,4,false)),0,vlookup($A32,FantasyPro!$B$2:$E$514,4,false))</f>
        <v>26</v>
      </c>
      <c r="I32" s="36">
        <f>if(ISNA(vlookup($A32, FFToolbox!$B$2:$E$618, 4, false)), 0, vlookup($A32, FFToolbox!$B$2:$E$618, 4, false))</f>
        <v>34</v>
      </c>
      <c r="J32" s="37">
        <f t="shared" si="1"/>
        <v>27</v>
      </c>
      <c r="K32" s="37">
        <f t="shared" si="2"/>
        <v>13</v>
      </c>
    </row>
    <row r="33" hidden="1">
      <c r="A33" s="13" t="s">
        <v>76</v>
      </c>
      <c r="B33" s="34" t="s">
        <v>1059</v>
      </c>
      <c r="C33" s="5" t="s">
        <v>77</v>
      </c>
      <c r="D33" s="5" t="s">
        <v>25</v>
      </c>
      <c r="E33" s="35">
        <f>vlookup(C33,'Team Bye List'!$A$1:$B$33,2,False)</f>
        <v>11</v>
      </c>
      <c r="F33" s="36">
        <f>if(ISNA(vlookup($A33, ESPN!$B$2:$E$1010, 4, false)), 0, vlookup($A33, ESPN!$B$2:$E$1010, 4, false))</f>
        <v>23</v>
      </c>
      <c r="G33" s="36">
        <f>if(ISNA(vlookup($A33,'Ultimate Draft Kit'!$B$2:$E$261,4, false)), 0, vlookup($A33,'Ultimate Draft Kit'!$B$2:$E$261, 4, false))</f>
        <v>29</v>
      </c>
      <c r="H33" s="36">
        <f>if(ISNA(vlookup($A33, FantasyPro!$B$2:$E$514,4,false)),0,vlookup($A33,FantasyPro!$B$2:$E$514,4,false))</f>
        <v>28</v>
      </c>
      <c r="I33" s="36">
        <f>if(ISNA(vlookup($A33, FFToolbox!$B$2:$E$618, 4, false)), 0, vlookup($A33, FFToolbox!$B$2:$E$618, 4, false))</f>
        <v>28</v>
      </c>
      <c r="J33" s="37">
        <f t="shared" si="1"/>
        <v>27</v>
      </c>
      <c r="K33" s="37">
        <f t="shared" si="2"/>
        <v>6</v>
      </c>
    </row>
    <row r="34" hidden="1">
      <c r="A34" s="13" t="s">
        <v>67</v>
      </c>
      <c r="B34" s="34" t="s">
        <v>1059</v>
      </c>
      <c r="C34" s="5" t="s">
        <v>20</v>
      </c>
      <c r="D34" s="5" t="s">
        <v>7</v>
      </c>
      <c r="E34" s="35">
        <f>vlookup(C34,'Team Bye List'!$A$1:$B$33,2,False)</f>
        <v>8</v>
      </c>
      <c r="F34" s="36">
        <f>if(ISNA(vlookup($A34, ESPN!$B$2:$E$1010, 4, false)), 0, vlookup($A34, ESPN!$B$2:$E$1010, 4, false))</f>
        <v>24</v>
      </c>
      <c r="G34" s="36">
        <f>if(ISNA(vlookup($A34,'Ultimate Draft Kit'!$B$2:$E$261,4, false)), 0, vlookup($A34,'Ultimate Draft Kit'!$B$2:$E$261, 4, false))</f>
        <v>30</v>
      </c>
      <c r="H34" s="36">
        <f>if(ISNA(vlookup($A34, FantasyPro!$B$2:$E$514,4,false)),0,vlookup($A34,FantasyPro!$B$2:$E$514,4,false))</f>
        <v>24</v>
      </c>
      <c r="I34" s="36">
        <f>if(ISNA(vlookup($A34, FFToolbox!$B$2:$E$618, 4, false)), 0, vlookup($A34, FFToolbox!$B$2:$E$618, 4, false))</f>
        <v>28</v>
      </c>
      <c r="J34" s="37">
        <f t="shared" si="1"/>
        <v>26.5</v>
      </c>
      <c r="K34" s="37">
        <f t="shared" si="2"/>
        <v>6</v>
      </c>
    </row>
    <row r="35" hidden="1">
      <c r="A35" s="13" t="s">
        <v>82</v>
      </c>
      <c r="B35" s="34" t="s">
        <v>1059</v>
      </c>
      <c r="C35" s="5" t="s">
        <v>44</v>
      </c>
      <c r="D35" s="5" t="s">
        <v>7</v>
      </c>
      <c r="E35" s="35">
        <f>vlookup(C35,'Team Bye List'!$A$1:$B$33,2,False)</f>
        <v>10</v>
      </c>
      <c r="F35" s="36">
        <f>if(ISNA(vlookup($A35, ESPN!$B$2:$E$1010, 4, false)), 0, vlookup($A35, ESPN!$B$2:$E$1010, 4, false))</f>
        <v>22</v>
      </c>
      <c r="G35" s="36">
        <f>if(ISNA(vlookup($A35,'Ultimate Draft Kit'!$B$2:$E$261,4, false)), 0, vlookup($A35,'Ultimate Draft Kit'!$B$2:$E$261, 4, false))</f>
        <v>24</v>
      </c>
      <c r="H35" s="36">
        <f>if(ISNA(vlookup($A35, FantasyPro!$B$2:$E$514,4,false)),0,vlookup($A35,FantasyPro!$B$2:$E$514,4,false))</f>
        <v>27</v>
      </c>
      <c r="I35" s="36">
        <f>if(ISNA(vlookup($A35, FFToolbox!$B$2:$E$618, 4, false)), 0, vlookup($A35, FFToolbox!$B$2:$E$618, 4, false))</f>
        <v>30</v>
      </c>
      <c r="J35" s="37">
        <f t="shared" si="1"/>
        <v>25.75</v>
      </c>
      <c r="K35" s="37">
        <f t="shared" si="2"/>
        <v>8</v>
      </c>
    </row>
    <row r="36" hidden="1">
      <c r="A36" s="13" t="s">
        <v>133</v>
      </c>
      <c r="B36" s="34" t="s">
        <v>1059</v>
      </c>
      <c r="C36" s="5" t="s">
        <v>134</v>
      </c>
      <c r="D36" s="5" t="s">
        <v>7</v>
      </c>
      <c r="E36" s="35">
        <f>vlookup(C36,'Team Bye List'!$A$1:$B$33,2,False)</f>
        <v>11</v>
      </c>
      <c r="F36" s="36">
        <f>if(ISNA(vlookup($A36, ESPN!$B$2:$E$1010, 4, false)), 0, vlookup($A36, ESPN!$B$2:$E$1010, 4, false))</f>
        <v>8</v>
      </c>
      <c r="G36" s="36">
        <f>if(ISNA(vlookup($A36,'Ultimate Draft Kit'!$B$2:$E$261,4, false)), 0, vlookup($A36,'Ultimate Draft Kit'!$B$2:$E$261, 4, false))</f>
        <v>35</v>
      </c>
      <c r="H36" s="36">
        <f>if(ISNA(vlookup($A36, FantasyPro!$B$2:$E$514,4,false)),0,vlookup($A36,FantasyPro!$B$2:$E$514,4,false))</f>
        <v>24</v>
      </c>
      <c r="I36" s="36">
        <f>if(ISNA(vlookup($A36, FFToolbox!$B$2:$E$618, 4, false)), 0, vlookup($A36, FFToolbox!$B$2:$E$618, 4, false))</f>
        <v>32</v>
      </c>
      <c r="J36" s="37">
        <f t="shared" si="1"/>
        <v>24.75</v>
      </c>
      <c r="K36" s="37">
        <f t="shared" si="2"/>
        <v>27</v>
      </c>
    </row>
    <row r="37" hidden="1">
      <c r="A37" s="13" t="s">
        <v>58</v>
      </c>
      <c r="B37" s="34" t="s">
        <v>1059</v>
      </c>
      <c r="C37" s="5" t="s">
        <v>59</v>
      </c>
      <c r="D37" s="5" t="s">
        <v>25</v>
      </c>
      <c r="E37" s="35">
        <f>vlookup(C37,'Team Bye List'!$A$1:$B$33,2,False)</f>
        <v>8</v>
      </c>
      <c r="F37" s="36">
        <f>if(ISNA(vlookup($A37, ESPN!$B$2:$E$1010, 4, false)), 0, vlookup($A37, ESPN!$B$2:$E$1010, 4, false))</f>
        <v>28</v>
      </c>
      <c r="G37" s="36">
        <f>if(ISNA(vlookup($A37,'Ultimate Draft Kit'!$B$2:$E$261,4, false)), 0, vlookup($A37,'Ultimate Draft Kit'!$B$2:$E$261, 4, false))</f>
        <v>22</v>
      </c>
      <c r="H37" s="36">
        <f>if(ISNA(vlookup($A37, FantasyPro!$B$2:$E$514,4,false)),0,vlookup($A37,FantasyPro!$B$2:$E$514,4,false))</f>
        <v>26</v>
      </c>
      <c r="I37" s="36">
        <f>if(ISNA(vlookup($A37, FFToolbox!$B$2:$E$618, 4, false)), 0, vlookup($A37, FFToolbox!$B$2:$E$618, 4, false))</f>
        <v>22</v>
      </c>
      <c r="J37" s="37">
        <f t="shared" si="1"/>
        <v>24.5</v>
      </c>
      <c r="K37" s="37">
        <f t="shared" si="2"/>
        <v>6</v>
      </c>
    </row>
    <row r="38" hidden="1">
      <c r="A38" s="13" t="s">
        <v>19</v>
      </c>
      <c r="B38" s="34" t="s">
        <v>1059</v>
      </c>
      <c r="C38" s="5" t="s">
        <v>20</v>
      </c>
      <c r="D38" s="5" t="s">
        <v>10</v>
      </c>
      <c r="E38" s="35">
        <f>vlookup(C38,'Team Bye List'!$A$1:$B$33,2,False)</f>
        <v>8</v>
      </c>
      <c r="F38" s="36">
        <f>if(ISNA(vlookup($A38, ESPN!$B$2:$E$1010, 4, false)), 0, vlookup($A38, ESPN!$B$2:$E$1010, 4, false))</f>
        <v>48</v>
      </c>
      <c r="G38" s="36">
        <f>if(ISNA(vlookup($A38,'Ultimate Draft Kit'!$B$2:$E$261,4, false)), 0, vlookup($A38,'Ultimate Draft Kit'!$B$2:$E$261, 4, false))</f>
        <v>15</v>
      </c>
      <c r="H38" s="36">
        <f>if(ISNA(vlookup($A38, FantasyPro!$B$2:$E$514,4,false)),0,vlookup($A38,FantasyPro!$B$2:$E$514,4,false))</f>
        <v>14</v>
      </c>
      <c r="I38" s="36">
        <f>if(ISNA(vlookup($A38, FFToolbox!$B$2:$E$618, 4, false)), 0, vlookup($A38, FFToolbox!$B$2:$E$618, 4, false))</f>
        <v>20</v>
      </c>
      <c r="J38" s="37">
        <f t="shared" si="1"/>
        <v>24.25</v>
      </c>
      <c r="K38" s="37">
        <f t="shared" si="2"/>
        <v>34</v>
      </c>
    </row>
    <row r="39" hidden="1">
      <c r="A39" s="13" t="s">
        <v>89</v>
      </c>
      <c r="B39" s="34" t="s">
        <v>1059</v>
      </c>
      <c r="C39" s="5" t="s">
        <v>233</v>
      </c>
      <c r="D39" s="5" t="s">
        <v>25</v>
      </c>
      <c r="E39" s="35">
        <f>vlookup(C39,'Team Bye List'!$A$1:$B$33,2,False)</f>
        <v>9</v>
      </c>
      <c r="F39" s="36">
        <f>if(ISNA(vlookup($A39, ESPN!$B$2:$E$1010, 4, false)), 0, vlookup($A39, ESPN!$B$2:$E$1010, 4, false))</f>
        <v>20</v>
      </c>
      <c r="G39" s="36">
        <f>if(ISNA(vlookup($A39,'Ultimate Draft Kit'!$B$2:$E$261,4, false)), 0, vlookup($A39,'Ultimate Draft Kit'!$B$2:$E$261, 4, false))</f>
        <v>30</v>
      </c>
      <c r="H39" s="36">
        <f>if(ISNA(vlookup($A39, FantasyPro!$B$2:$E$514,4,false)),0,vlookup($A39,FantasyPro!$B$2:$E$514,4,false))</f>
        <v>25</v>
      </c>
      <c r="I39" s="36">
        <f>if(ISNA(vlookup($A39, FFToolbox!$B$2:$E$618, 4, false)), 0, vlookup($A39, FFToolbox!$B$2:$E$618, 4, false))</f>
        <v>22</v>
      </c>
      <c r="J39" s="37">
        <f t="shared" si="1"/>
        <v>24.25</v>
      </c>
      <c r="K39" s="37">
        <f t="shared" si="2"/>
        <v>10</v>
      </c>
    </row>
    <row r="40" hidden="1">
      <c r="A40" s="13" t="s">
        <v>42</v>
      </c>
      <c r="B40" s="34" t="s">
        <v>1059</v>
      </c>
      <c r="C40" s="5" t="s">
        <v>12</v>
      </c>
      <c r="D40" s="5" t="s">
        <v>16</v>
      </c>
      <c r="E40" s="35">
        <f>vlookup(C40,'Team Bye List'!$A$1:$B$33,2,False)</f>
        <v>8</v>
      </c>
      <c r="F40" s="36">
        <f>if(ISNA(vlookup($A40, ESPN!$B$2:$E$1010, 4, false)), 0, vlookup($A40, ESPN!$B$2:$E$1010, 4, false))</f>
        <v>33</v>
      </c>
      <c r="G40" s="36">
        <f>if(ISNA(vlookup($A40,'Ultimate Draft Kit'!$B$2:$E$261,4, false)), 0, vlookup($A40,'Ultimate Draft Kit'!$B$2:$E$261, 4, false))</f>
        <v>20</v>
      </c>
      <c r="H40" s="36">
        <f>if(ISNA(vlookup($A40, FantasyPro!$B$2:$E$514,4,false)),0,vlookup($A40,FantasyPro!$B$2:$E$514,4,false))</f>
        <v>23</v>
      </c>
      <c r="I40" s="36">
        <f>if(ISNA(vlookup($A40, FFToolbox!$B$2:$E$618, 4, false)), 0, vlookup($A40, FFToolbox!$B$2:$E$618, 4, false))</f>
        <v>20</v>
      </c>
      <c r="J40" s="37">
        <f t="shared" si="1"/>
        <v>24</v>
      </c>
      <c r="K40" s="37">
        <f t="shared" si="2"/>
        <v>13</v>
      </c>
    </row>
    <row r="41" hidden="1">
      <c r="A41" s="13" t="s">
        <v>79</v>
      </c>
      <c r="B41" s="34" t="s">
        <v>1059</v>
      </c>
      <c r="C41" s="5" t="s">
        <v>34</v>
      </c>
      <c r="D41" s="5" t="s">
        <v>25</v>
      </c>
      <c r="E41" s="35">
        <f>vlookup(C41,'Team Bye List'!$A$1:$B$33,2,False)</f>
        <v>7</v>
      </c>
      <c r="F41" s="36">
        <f>if(ISNA(vlookup($A41, ESPN!$B$2:$E$1010, 4, false)), 0, vlookup($A41, ESPN!$B$2:$E$1010, 4, false))</f>
        <v>22</v>
      </c>
      <c r="G41" s="36">
        <f>if(ISNA(vlookup($A41,'Ultimate Draft Kit'!$B$2:$E$261,4, false)), 0, vlookup($A41,'Ultimate Draft Kit'!$B$2:$E$261, 4, false))</f>
        <v>26</v>
      </c>
      <c r="H41" s="36">
        <f>if(ISNA(vlookup($A41, FantasyPro!$B$2:$E$514,4,false)),0,vlookup($A41,FantasyPro!$B$2:$E$514,4,false))</f>
        <v>25</v>
      </c>
      <c r="I41" s="36">
        <f>if(ISNA(vlookup($A41, FFToolbox!$B$2:$E$618, 4, false)), 0, vlookup($A41, FFToolbox!$B$2:$E$618, 4, false))</f>
        <v>20</v>
      </c>
      <c r="J41" s="37">
        <f t="shared" si="1"/>
        <v>23.25</v>
      </c>
      <c r="K41" s="37">
        <f t="shared" si="2"/>
        <v>6</v>
      </c>
    </row>
    <row r="42" hidden="1">
      <c r="A42" s="13" t="s">
        <v>80</v>
      </c>
      <c r="B42" s="34" t="s">
        <v>1059</v>
      </c>
      <c r="C42" s="5" t="s">
        <v>44</v>
      </c>
      <c r="D42" s="5" t="s">
        <v>25</v>
      </c>
      <c r="E42" s="35">
        <f>vlookup(C42,'Team Bye List'!$A$1:$B$33,2,False)</f>
        <v>10</v>
      </c>
      <c r="F42" s="36">
        <f>if(ISNA(vlookup($A42, ESPN!$B$2:$E$1010, 4, false)), 0, vlookup($A42, ESPN!$B$2:$E$1010, 4, false))</f>
        <v>22</v>
      </c>
      <c r="G42" s="36">
        <f>if(ISNA(vlookup($A42,'Ultimate Draft Kit'!$B$2:$E$261,4, false)), 0, vlookup($A42,'Ultimate Draft Kit'!$B$2:$E$261, 4, false))</f>
        <v>27</v>
      </c>
      <c r="H42" s="36">
        <f>if(ISNA(vlookup($A42, FantasyPro!$B$2:$E$514,4,false)),0,vlookup($A42,FantasyPro!$B$2:$E$514,4,false))</f>
        <v>24</v>
      </c>
      <c r="I42" s="36">
        <f>if(ISNA(vlookup($A42, FFToolbox!$B$2:$E$618, 4, false)), 0, vlookup($A42, FFToolbox!$B$2:$E$618, 4, false))</f>
        <v>20</v>
      </c>
      <c r="J42" s="37">
        <f t="shared" si="1"/>
        <v>23.25</v>
      </c>
      <c r="K42" s="37">
        <f t="shared" si="2"/>
        <v>7</v>
      </c>
    </row>
    <row r="43" hidden="1">
      <c r="A43" s="13" t="s">
        <v>97</v>
      </c>
      <c r="B43" s="34" t="s">
        <v>1059</v>
      </c>
      <c r="C43" s="5" t="s">
        <v>233</v>
      </c>
      <c r="D43" s="5" t="s">
        <v>25</v>
      </c>
      <c r="E43" s="35">
        <f>vlookup(C43,'Team Bye List'!$A$1:$B$33,2,False)</f>
        <v>9</v>
      </c>
      <c r="F43" s="36">
        <f>if(ISNA(vlookup($A43, ESPN!$B$2:$E$1010, 4, false)), 0, vlookup($A43, ESPN!$B$2:$E$1010, 4, false))</f>
        <v>17</v>
      </c>
      <c r="G43" s="36">
        <f>if(ISNA(vlookup($A43,'Ultimate Draft Kit'!$B$2:$E$261,4, false)), 0, vlookup($A43,'Ultimate Draft Kit'!$B$2:$E$261, 4, false))</f>
        <v>31</v>
      </c>
      <c r="H43" s="36">
        <f>if(ISNA(vlookup($A43, FantasyPro!$B$2:$E$514,4,false)),0,vlookup($A43,FantasyPro!$B$2:$E$514,4,false))</f>
        <v>24</v>
      </c>
      <c r="I43" s="36">
        <f>if(ISNA(vlookup($A43, FFToolbox!$B$2:$E$618, 4, false)), 0, vlookup($A43, FFToolbox!$B$2:$E$618, 4, false))</f>
        <v>20</v>
      </c>
      <c r="J43" s="37">
        <f t="shared" si="1"/>
        <v>23</v>
      </c>
      <c r="K43" s="37">
        <f t="shared" si="2"/>
        <v>14</v>
      </c>
    </row>
    <row r="44" hidden="1">
      <c r="A44" s="13" t="s">
        <v>64</v>
      </c>
      <c r="B44" s="34" t="s">
        <v>1059</v>
      </c>
      <c r="C44" s="5" t="s">
        <v>40</v>
      </c>
      <c r="D44" s="5" t="s">
        <v>25</v>
      </c>
      <c r="E44" s="35">
        <f>vlookup(C44,'Team Bye List'!$A$1:$B$33,2,False)</f>
        <v>6</v>
      </c>
      <c r="F44" s="36">
        <f>if(ISNA(vlookup($A44, ESPN!$B$2:$E$1010, 4, false)), 0, vlookup($A44, ESPN!$B$2:$E$1010, 4, false))</f>
        <v>26</v>
      </c>
      <c r="G44" s="36">
        <f>if(ISNA(vlookup($A44,'Ultimate Draft Kit'!$B$2:$E$261,4, false)), 0, vlookup($A44,'Ultimate Draft Kit'!$B$2:$E$261, 4, false))</f>
        <v>22</v>
      </c>
      <c r="H44" s="36">
        <f>if(ISNA(vlookup($A44, FantasyPro!$B$2:$E$514,4,false)),0,vlookup($A44,FantasyPro!$B$2:$E$514,4,false))</f>
        <v>22</v>
      </c>
      <c r="I44" s="36">
        <f>if(ISNA(vlookup($A44, FFToolbox!$B$2:$E$618, 4, false)), 0, vlookup($A44, FFToolbox!$B$2:$E$618, 4, false))</f>
        <v>22</v>
      </c>
      <c r="J44" s="37">
        <f t="shared" si="1"/>
        <v>23</v>
      </c>
      <c r="K44" s="37">
        <f t="shared" si="2"/>
        <v>4</v>
      </c>
    </row>
    <row r="45" hidden="1">
      <c r="A45" s="13" t="s">
        <v>118</v>
      </c>
      <c r="B45" s="34" t="s">
        <v>1059</v>
      </c>
      <c r="C45" s="5" t="s">
        <v>104</v>
      </c>
      <c r="D45" s="5" t="s">
        <v>7</v>
      </c>
      <c r="E45" s="35">
        <f>vlookup(C45,'Team Bye List'!$A$1:$B$33,2,False)</f>
        <v>7</v>
      </c>
      <c r="F45" s="36">
        <f>if(ISNA(vlookup($A45, ESPN!$B$2:$E$1010, 4, false)), 0, vlookup($A45, ESPN!$B$2:$E$1010, 4, false))</f>
        <v>11</v>
      </c>
      <c r="G45" s="36">
        <f>if(ISNA(vlookup($A45,'Ultimate Draft Kit'!$B$2:$E$261,4, false)), 0, vlookup($A45,'Ultimate Draft Kit'!$B$2:$E$261, 4, false))</f>
        <v>27</v>
      </c>
      <c r="H45" s="36">
        <f>if(ISNA(vlookup($A45, FantasyPro!$B$2:$E$514,4,false)),0,vlookup($A45,FantasyPro!$B$2:$E$514,4,false))</f>
        <v>26</v>
      </c>
      <c r="I45" s="36">
        <f>if(ISNA(vlookup($A45, FFToolbox!$B$2:$E$618, 4, false)), 0, vlookup($A45, FFToolbox!$B$2:$E$618, 4, false))</f>
        <v>26</v>
      </c>
      <c r="J45" s="37">
        <f t="shared" si="1"/>
        <v>22.5</v>
      </c>
      <c r="K45" s="37">
        <f t="shared" si="2"/>
        <v>16</v>
      </c>
    </row>
    <row r="46" hidden="1">
      <c r="A46" s="13" t="s">
        <v>112</v>
      </c>
      <c r="B46" s="34" t="s">
        <v>1059</v>
      </c>
      <c r="C46" s="5" t="s">
        <v>59</v>
      </c>
      <c r="D46" s="5" t="s">
        <v>7</v>
      </c>
      <c r="E46" s="35">
        <f>vlookup(C46,'Team Bye List'!$A$1:$B$33,2,False)</f>
        <v>8</v>
      </c>
      <c r="F46" s="36">
        <f>if(ISNA(vlookup($A46, ESPN!$B$2:$E$1010, 4, false)), 0, vlookup($A46, ESPN!$B$2:$E$1010, 4, false))</f>
        <v>12</v>
      </c>
      <c r="G46" s="36">
        <f>if(ISNA(vlookup($A46,'Ultimate Draft Kit'!$B$2:$E$261,4, false)), 0, vlookup($A46,'Ultimate Draft Kit'!$B$2:$E$261, 4, false))</f>
        <v>31</v>
      </c>
      <c r="H46" s="36">
        <f>if(ISNA(vlookup($A46, FantasyPro!$B$2:$E$514,4,false)),0,vlookup($A46,FantasyPro!$B$2:$E$514,4,false))</f>
        <v>25</v>
      </c>
      <c r="I46" s="36">
        <f>if(ISNA(vlookup($A46, FFToolbox!$B$2:$E$618, 4, false)), 0, vlookup($A46, FFToolbox!$B$2:$E$618, 4, false))</f>
        <v>22</v>
      </c>
      <c r="J46" s="37">
        <f t="shared" si="1"/>
        <v>22.5</v>
      </c>
      <c r="K46" s="37">
        <f t="shared" si="2"/>
        <v>19</v>
      </c>
    </row>
    <row r="47" hidden="1">
      <c r="A47" s="13" t="s">
        <v>45</v>
      </c>
      <c r="B47" s="34" t="s">
        <v>1059</v>
      </c>
      <c r="C47" s="5" t="s">
        <v>14</v>
      </c>
      <c r="D47" s="5" t="s">
        <v>10</v>
      </c>
      <c r="E47" s="35">
        <f>vlookup(C47,'Team Bye List'!$A$1:$B$33,2,False)</f>
        <v>10</v>
      </c>
      <c r="F47" s="36">
        <f>if(ISNA(vlookup($A47, ESPN!$B$2:$E$1010, 4, false)), 0, vlookup($A47, ESPN!$B$2:$E$1010, 4, false))</f>
        <v>32</v>
      </c>
      <c r="G47" s="36">
        <f>if(ISNA(vlookup($A47,'Ultimate Draft Kit'!$B$2:$E$261,4, false)), 0, vlookup($A47,'Ultimate Draft Kit'!$B$2:$E$261, 4, false))</f>
        <v>18</v>
      </c>
      <c r="H47" s="36">
        <f>if(ISNA(vlookup($A47, FantasyPro!$B$2:$E$514,4,false)),0,vlookup($A47,FantasyPro!$B$2:$E$514,4,false))</f>
        <v>18</v>
      </c>
      <c r="I47" s="36">
        <f>if(ISNA(vlookup($A47, FFToolbox!$B$2:$E$618, 4, false)), 0, vlookup($A47, FFToolbox!$B$2:$E$618, 4, false))</f>
        <v>20</v>
      </c>
      <c r="J47" s="37">
        <f t="shared" si="1"/>
        <v>22</v>
      </c>
      <c r="K47" s="37">
        <f t="shared" si="2"/>
        <v>14</v>
      </c>
    </row>
    <row r="48" hidden="1">
      <c r="A48" s="13" t="s">
        <v>39</v>
      </c>
      <c r="B48" s="34" t="s">
        <v>1059</v>
      </c>
      <c r="C48" s="5" t="s">
        <v>40</v>
      </c>
      <c r="D48" s="5" t="s">
        <v>10</v>
      </c>
      <c r="E48" s="35">
        <f>vlookup(C48,'Team Bye List'!$A$1:$B$33,2,False)</f>
        <v>6</v>
      </c>
      <c r="F48" s="36">
        <f>if(ISNA(vlookup($A48, ESPN!$B$2:$E$1010, 4, false)), 0, vlookup($A48, ESPN!$B$2:$E$1010, 4, false))</f>
        <v>34</v>
      </c>
      <c r="G48" s="36">
        <f>if(ISNA(vlookup($A48,'Ultimate Draft Kit'!$B$2:$E$261,4, false)), 0, vlookup($A48,'Ultimate Draft Kit'!$B$2:$E$261, 4, false))</f>
        <v>14</v>
      </c>
      <c r="H48" s="36">
        <f>if(ISNA(vlookup($A48, FantasyPro!$B$2:$E$514,4,false)),0,vlookup($A48,FantasyPro!$B$2:$E$514,4,false))</f>
        <v>14</v>
      </c>
      <c r="I48" s="36">
        <f>if(ISNA(vlookup($A48, FFToolbox!$B$2:$E$618, 4, false)), 0, vlookup($A48, FFToolbox!$B$2:$E$618, 4, false))</f>
        <v>26</v>
      </c>
      <c r="J48" s="37">
        <f t="shared" si="1"/>
        <v>22</v>
      </c>
      <c r="K48" s="37">
        <f t="shared" si="2"/>
        <v>20</v>
      </c>
    </row>
    <row r="49" hidden="1">
      <c r="A49" s="13" t="s">
        <v>62</v>
      </c>
      <c r="B49" s="34" t="s">
        <v>1059</v>
      </c>
      <c r="C49" s="5" t="s">
        <v>63</v>
      </c>
      <c r="D49" s="5" t="s">
        <v>25</v>
      </c>
      <c r="E49" s="35">
        <f>vlookup(C49,'Team Bye List'!$A$1:$B$33,2,False)</f>
        <v>8</v>
      </c>
      <c r="F49" s="36">
        <f>if(ISNA(vlookup($A49, ESPN!$B$2:$E$1010, 4, false)), 0, vlookup($A49, ESPN!$B$2:$E$1010, 4, false))</f>
        <v>26</v>
      </c>
      <c r="G49" s="36">
        <f>if(ISNA(vlookup($A49,'Ultimate Draft Kit'!$B$2:$E$261,4, false)), 0, vlookup($A49,'Ultimate Draft Kit'!$B$2:$E$261, 4, false))</f>
        <v>24</v>
      </c>
      <c r="H49" s="36">
        <f>if(ISNA(vlookup($A49, FantasyPro!$B$2:$E$514,4,false)),0,vlookup($A49,FantasyPro!$B$2:$E$514,4,false))</f>
        <v>20</v>
      </c>
      <c r="I49" s="36">
        <f>if(ISNA(vlookup($A49, FFToolbox!$B$2:$E$618, 4, false)), 0, vlookup($A49, FFToolbox!$B$2:$E$618, 4, false))</f>
        <v>16</v>
      </c>
      <c r="J49" s="37">
        <f t="shared" si="1"/>
        <v>21.5</v>
      </c>
      <c r="K49" s="37">
        <f t="shared" si="2"/>
        <v>10</v>
      </c>
    </row>
    <row r="50" hidden="1">
      <c r="A50" s="13" t="s">
        <v>50</v>
      </c>
      <c r="B50" s="34" t="s">
        <v>1059</v>
      </c>
      <c r="C50" s="5" t="s">
        <v>32</v>
      </c>
      <c r="D50" s="5" t="s">
        <v>16</v>
      </c>
      <c r="E50" s="35">
        <f>vlookup(C50,'Team Bye List'!$A$1:$B$33,2,False)</f>
        <v>9</v>
      </c>
      <c r="F50" s="36">
        <f>if(ISNA(vlookup($A50, ESPN!$B$2:$E$1010, 4, false)), 0, vlookup($A50, ESPN!$B$2:$E$1010, 4, false))</f>
        <v>29</v>
      </c>
      <c r="G50" s="36">
        <f>if(ISNA(vlookup($A50,'Ultimate Draft Kit'!$B$2:$E$261,4, false)), 0, vlookup($A50,'Ultimate Draft Kit'!$B$2:$E$261, 4, false))</f>
        <v>15</v>
      </c>
      <c r="H50" s="36">
        <f>if(ISNA(vlookup($A50, FantasyPro!$B$2:$E$514,4,false)),0,vlookup($A50,FantasyPro!$B$2:$E$514,4,false))</f>
        <v>20</v>
      </c>
      <c r="I50" s="36">
        <f>if(ISNA(vlookup($A50, FFToolbox!$B$2:$E$618, 4, false)), 0, vlookup($A50, FFToolbox!$B$2:$E$618, 4, false))</f>
        <v>20</v>
      </c>
      <c r="J50" s="37">
        <f t="shared" si="1"/>
        <v>21</v>
      </c>
      <c r="K50" s="37">
        <f t="shared" si="2"/>
        <v>14</v>
      </c>
    </row>
    <row r="51" hidden="1">
      <c r="A51" s="13" t="s">
        <v>117</v>
      </c>
      <c r="B51" s="34" t="s">
        <v>1059</v>
      </c>
      <c r="C51" s="5" t="s">
        <v>63</v>
      </c>
      <c r="D51" s="5" t="s">
        <v>7</v>
      </c>
      <c r="E51" s="35">
        <f>vlookup(C51,'Team Bye List'!$A$1:$B$33,2,False)</f>
        <v>8</v>
      </c>
      <c r="F51" s="36">
        <f>if(ISNA(vlookup($A51, ESPN!$B$2:$E$1010, 4, false)), 0, vlookup($A51, ESPN!$B$2:$E$1010, 4, false))</f>
        <v>11</v>
      </c>
      <c r="G51" s="36">
        <f>if(ISNA(vlookup($A51,'Ultimate Draft Kit'!$B$2:$E$261,4, false)), 0, vlookup($A51,'Ultimate Draft Kit'!$B$2:$E$261, 4, false))</f>
        <v>22</v>
      </c>
      <c r="H51" s="36">
        <f>if(ISNA(vlookup($A51, FantasyPro!$B$2:$E$514,4,false)),0,vlookup($A51,FantasyPro!$B$2:$E$514,4,false))</f>
        <v>25</v>
      </c>
      <c r="I51" s="36">
        <f>if(ISNA(vlookup($A51, FFToolbox!$B$2:$E$618, 4, false)), 0, vlookup($A51, FFToolbox!$B$2:$E$618, 4, false))</f>
        <v>24</v>
      </c>
      <c r="J51" s="37">
        <f t="shared" si="1"/>
        <v>20.5</v>
      </c>
      <c r="K51" s="37">
        <f t="shared" si="2"/>
        <v>14</v>
      </c>
    </row>
    <row r="52" hidden="1">
      <c r="A52" s="13" t="s">
        <v>73</v>
      </c>
      <c r="B52" s="34" t="s">
        <v>1059</v>
      </c>
      <c r="C52" s="5" t="s">
        <v>74</v>
      </c>
      <c r="D52" s="5" t="s">
        <v>25</v>
      </c>
      <c r="E52" s="35">
        <f>vlookup(C52,'Team Bye List'!$A$1:$B$33,2,False)</f>
        <v>7</v>
      </c>
      <c r="F52" s="36">
        <f>if(ISNA(vlookup($A52, ESPN!$B$2:$E$1010, 4, false)), 0, vlookup($A52, ESPN!$B$2:$E$1010, 4, false))</f>
        <v>23</v>
      </c>
      <c r="G52" s="36">
        <f>if(ISNA(vlookup($A52,'Ultimate Draft Kit'!$B$2:$E$261,4, false)), 0, vlookup($A52,'Ultimate Draft Kit'!$B$2:$E$261, 4, false))</f>
        <v>22</v>
      </c>
      <c r="H52" s="36">
        <f>if(ISNA(vlookup($A52, FantasyPro!$B$2:$E$514,4,false)),0,vlookup($A52,FantasyPro!$B$2:$E$514,4,false))</f>
        <v>14</v>
      </c>
      <c r="I52" s="36">
        <f>if(ISNA(vlookup($A52, FFToolbox!$B$2:$E$618, 4, false)), 0, vlookup($A52, FFToolbox!$B$2:$E$618, 4, false))</f>
        <v>22</v>
      </c>
      <c r="J52" s="37">
        <f t="shared" si="1"/>
        <v>20.25</v>
      </c>
      <c r="K52" s="37">
        <f t="shared" si="2"/>
        <v>9</v>
      </c>
    </row>
    <row r="53" hidden="1">
      <c r="A53" s="13" t="s">
        <v>91</v>
      </c>
      <c r="B53" s="34" t="s">
        <v>1060</v>
      </c>
      <c r="C53" s="5" t="s">
        <v>92</v>
      </c>
      <c r="D53" s="5" t="s">
        <v>25</v>
      </c>
      <c r="E53" s="35">
        <f>vlookup(C53,'Team Bye List'!$A$1:$B$33,2,False)</f>
        <v>8</v>
      </c>
      <c r="F53" s="36">
        <f>if(ISNA(vlookup($A53, ESPN!$B$2:$E$1010, 4, false)), 0, vlookup($A53, ESPN!$B$2:$E$1010, 4, false))</f>
        <v>19</v>
      </c>
      <c r="G53" s="36">
        <f>if(ISNA(vlookup($A53,'Ultimate Draft Kit'!$B$2:$E$261,4, false)), 0, vlookup($A53,'Ultimate Draft Kit'!$B$2:$E$261, 4, false))</f>
        <v>23</v>
      </c>
      <c r="H53" s="36">
        <f>if(ISNA(vlookup($A53, FantasyPro!$B$2:$E$514,4,false)),0,vlookup($A53,FantasyPro!$B$2:$E$514,4,false))</f>
        <v>20</v>
      </c>
      <c r="I53" s="36">
        <f>if(ISNA(vlookup($A53, FFToolbox!$B$2:$E$618, 4, false)), 0, vlookup($A53, FFToolbox!$B$2:$E$618, 4, false))</f>
        <v>18</v>
      </c>
      <c r="J53" s="37">
        <f t="shared" si="1"/>
        <v>20</v>
      </c>
      <c r="K53" s="37">
        <f t="shared" si="2"/>
        <v>5</v>
      </c>
    </row>
    <row r="54" hidden="1">
      <c r="A54" s="13" t="s">
        <v>152</v>
      </c>
      <c r="B54" s="34" t="s">
        <v>1059</v>
      </c>
      <c r="C54" s="5" t="s">
        <v>12</v>
      </c>
      <c r="D54" s="5" t="s">
        <v>7</v>
      </c>
      <c r="E54" s="35">
        <f>vlookup(C54,'Team Bye List'!$A$1:$B$33,2,False)</f>
        <v>8</v>
      </c>
      <c r="F54" s="36">
        <f>if(ISNA(vlookup($A54, ESPN!$B$2:$E$1010, 4, false)), 0, vlookup($A54, ESPN!$B$2:$E$1010, 4, false))</f>
        <v>5</v>
      </c>
      <c r="G54" s="36">
        <f>if(ISNA(vlookup($A54,'Ultimate Draft Kit'!$B$2:$E$261,4, false)), 0, vlookup($A54,'Ultimate Draft Kit'!$B$2:$E$261, 4, false))</f>
        <v>27</v>
      </c>
      <c r="H54" s="36">
        <f>if(ISNA(vlookup($A54, FantasyPro!$B$2:$E$514,4,false)),0,vlookup($A54,FantasyPro!$B$2:$E$514,4,false))</f>
        <v>20</v>
      </c>
      <c r="I54" s="36">
        <f>if(ISNA(vlookup($A54, FFToolbox!$B$2:$E$618, 4, false)), 0, vlookup($A54, FFToolbox!$B$2:$E$618, 4, false))</f>
        <v>26</v>
      </c>
      <c r="J54" s="37">
        <f t="shared" si="1"/>
        <v>19.5</v>
      </c>
      <c r="K54" s="37">
        <f t="shared" si="2"/>
        <v>22</v>
      </c>
    </row>
    <row r="55" hidden="1">
      <c r="A55" s="13" t="s">
        <v>116</v>
      </c>
      <c r="B55" s="34" t="s">
        <v>1059</v>
      </c>
      <c r="C55" s="5" t="s">
        <v>27</v>
      </c>
      <c r="D55" s="5" t="s">
        <v>7</v>
      </c>
      <c r="E55" s="35">
        <f>vlookup(C55,'Team Bye List'!$A$1:$B$33,2,False)</f>
        <v>11</v>
      </c>
      <c r="F55" s="36">
        <f>if(ISNA(vlookup($A55, ESPN!$B$2:$E$1010, 4, false)), 0, vlookup($A55, ESPN!$B$2:$E$1010, 4, false))</f>
        <v>11</v>
      </c>
      <c r="G55" s="36">
        <f>if(ISNA(vlookup($A55,'Ultimate Draft Kit'!$B$2:$E$261,4, false)), 0, vlookup($A55,'Ultimate Draft Kit'!$B$2:$E$261, 4, false))</f>
        <v>25</v>
      </c>
      <c r="H55" s="36">
        <f>if(ISNA(vlookup($A55, FantasyPro!$B$2:$E$514,4,false)),0,vlookup($A55,FantasyPro!$B$2:$E$514,4,false))</f>
        <v>16</v>
      </c>
      <c r="I55" s="36">
        <f>if(ISNA(vlookup($A55, FFToolbox!$B$2:$E$618, 4, false)), 0, vlookup($A55, FFToolbox!$B$2:$E$618, 4, false))</f>
        <v>24</v>
      </c>
      <c r="J55" s="37">
        <f t="shared" si="1"/>
        <v>19</v>
      </c>
      <c r="K55" s="37">
        <f t="shared" si="2"/>
        <v>14</v>
      </c>
    </row>
    <row r="56" hidden="1">
      <c r="A56" s="13" t="s">
        <v>110</v>
      </c>
      <c r="B56" s="34" t="s">
        <v>1060</v>
      </c>
      <c r="C56" s="5" t="s">
        <v>96</v>
      </c>
      <c r="D56" s="5" t="s">
        <v>25</v>
      </c>
      <c r="E56" s="35">
        <f>vlookup(C56,'Team Bye List'!$A$1:$B$33,2,False)</f>
        <v>10</v>
      </c>
      <c r="F56" s="36">
        <f>if(ISNA(vlookup($A56, ESPN!$B$2:$E$1010, 4, false)), 0, vlookup($A56, ESPN!$B$2:$E$1010, 4, false))</f>
        <v>13</v>
      </c>
      <c r="G56" s="36">
        <f>if(ISNA(vlookup($A56,'Ultimate Draft Kit'!$B$2:$E$261,4, false)), 0, vlookup($A56,'Ultimate Draft Kit'!$B$2:$E$261, 4, false))</f>
        <v>20</v>
      </c>
      <c r="H56" s="36">
        <f>if(ISNA(vlookup($A56, FantasyPro!$B$2:$E$514,4,false)),0,vlookup($A56,FantasyPro!$B$2:$E$514,4,false))</f>
        <v>19</v>
      </c>
      <c r="I56" s="36">
        <f>if(ISNA(vlookup($A56, FFToolbox!$B$2:$E$618, 4, false)), 0, vlookup($A56, FFToolbox!$B$2:$E$618, 4, false))</f>
        <v>22</v>
      </c>
      <c r="J56" s="37">
        <f t="shared" si="1"/>
        <v>18.5</v>
      </c>
      <c r="K56" s="37">
        <f t="shared" si="2"/>
        <v>9</v>
      </c>
    </row>
    <row r="57" hidden="1">
      <c r="A57" s="13" t="s">
        <v>101</v>
      </c>
      <c r="B57" s="34" t="s">
        <v>1060</v>
      </c>
      <c r="C57" s="5" t="s">
        <v>102</v>
      </c>
      <c r="D57" s="5" t="s">
        <v>25</v>
      </c>
      <c r="E57" s="35">
        <f>vlookup(C57,'Team Bye List'!$A$1:$B$33,2,False)</f>
        <v>11</v>
      </c>
      <c r="F57" s="36">
        <f>if(ISNA(vlookup($A57, ESPN!$B$2:$E$1010, 4, false)), 0, vlookup($A57, ESPN!$B$2:$E$1010, 4, false))</f>
        <v>16</v>
      </c>
      <c r="G57" s="36">
        <f>if(ISNA(vlookup($A57,'Ultimate Draft Kit'!$B$2:$E$261,4, false)), 0, vlookup($A57,'Ultimate Draft Kit'!$B$2:$E$261, 4, false))</f>
        <v>23</v>
      </c>
      <c r="H57" s="36">
        <f>if(ISNA(vlookup($A57, FantasyPro!$B$2:$E$514,4,false)),0,vlookup($A57,FantasyPro!$B$2:$E$514,4,false))</f>
        <v>17</v>
      </c>
      <c r="I57" s="36">
        <f>if(ISNA(vlookup($A57, FFToolbox!$B$2:$E$618, 4, false)), 0, vlookup($A57, FFToolbox!$B$2:$E$618, 4, false))</f>
        <v>18</v>
      </c>
      <c r="J57" s="37">
        <f t="shared" si="1"/>
        <v>18.5</v>
      </c>
      <c r="K57" s="37">
        <f t="shared" si="2"/>
        <v>7</v>
      </c>
    </row>
    <row r="58" hidden="1">
      <c r="A58" s="13" t="s">
        <v>75</v>
      </c>
      <c r="B58" s="34" t="s">
        <v>1059</v>
      </c>
      <c r="C58" s="5" t="s">
        <v>40</v>
      </c>
      <c r="D58" s="5" t="s">
        <v>25</v>
      </c>
      <c r="E58" s="35">
        <f>vlookup(C58,'Team Bye List'!$A$1:$B$33,2,False)</f>
        <v>6</v>
      </c>
      <c r="F58" s="36">
        <f>if(ISNA(vlookup($A58, ESPN!$B$2:$E$1010, 4, false)), 0, vlookup($A58, ESPN!$B$2:$E$1010, 4, false))</f>
        <v>23</v>
      </c>
      <c r="G58" s="36">
        <f>if(ISNA(vlookup($A58,'Ultimate Draft Kit'!$B$2:$E$261,4, false)), 0, vlookup($A58,'Ultimate Draft Kit'!$B$2:$E$261, 4, false))</f>
        <v>16</v>
      </c>
      <c r="H58" s="36">
        <f>if(ISNA(vlookup($A58, FantasyPro!$B$2:$E$514,4,false)),0,vlookup($A58,FantasyPro!$B$2:$E$514,4,false))</f>
        <v>19</v>
      </c>
      <c r="I58" s="36">
        <f>if(ISNA(vlookup($A58, FFToolbox!$B$2:$E$618, 4, false)), 0, vlookup($A58, FFToolbox!$B$2:$E$618, 4, false))</f>
        <v>16</v>
      </c>
      <c r="J58" s="37">
        <f t="shared" si="1"/>
        <v>18.5</v>
      </c>
      <c r="K58" s="37">
        <f t="shared" si="2"/>
        <v>7</v>
      </c>
    </row>
    <row r="59" hidden="1">
      <c r="A59" s="13" t="s">
        <v>87</v>
      </c>
      <c r="B59" s="34" t="s">
        <v>1059</v>
      </c>
      <c r="C59" s="5" t="s">
        <v>1007</v>
      </c>
      <c r="D59" s="5" t="s">
        <v>10</v>
      </c>
      <c r="E59" s="35">
        <f>vlookup(C59,'Team Bye List'!$A$1:$B$33,2,False)</f>
        <v>8</v>
      </c>
      <c r="F59" s="36">
        <f>if(ISNA(vlookup($A59, ESPN!$B$2:$E$1010, 4, false)), 0, vlookup($A59, ESPN!$B$2:$E$1010, 4, false))</f>
        <v>20</v>
      </c>
      <c r="G59" s="36">
        <f>if(ISNA(vlookup($A59,'Ultimate Draft Kit'!$B$2:$E$261,4, false)), 0, vlookup($A59,'Ultimate Draft Kit'!$B$2:$E$261, 4, false))</f>
        <v>17</v>
      </c>
      <c r="H59" s="36">
        <f>if(ISNA(vlookup($A59, FantasyPro!$B$2:$E$514,4,false)),0,vlookup($A59,FantasyPro!$B$2:$E$514,4,false))</f>
        <v>15</v>
      </c>
      <c r="I59" s="36">
        <f>if(ISNA(vlookup($A59, FFToolbox!$B$2:$E$618, 4, false)), 0, vlookup($A59, FFToolbox!$B$2:$E$618, 4, false))</f>
        <v>20</v>
      </c>
      <c r="J59" s="37">
        <f t="shared" si="1"/>
        <v>18</v>
      </c>
      <c r="K59" s="37">
        <f t="shared" si="2"/>
        <v>5</v>
      </c>
    </row>
    <row r="60" hidden="1">
      <c r="A60" s="13" t="s">
        <v>49</v>
      </c>
      <c r="B60" s="34" t="s">
        <v>1059</v>
      </c>
      <c r="C60" s="5" t="s">
        <v>18</v>
      </c>
      <c r="D60" s="5" t="s">
        <v>16</v>
      </c>
      <c r="E60" s="35">
        <f>vlookup(C60,'Team Bye List'!$A$1:$B$33,2,False)</f>
        <v>6</v>
      </c>
      <c r="F60" s="36">
        <f>if(ISNA(vlookup($A60, ESPN!$B$2:$E$1010, 4, false)), 0, vlookup($A60, ESPN!$B$2:$E$1010, 4, false))</f>
        <v>30</v>
      </c>
      <c r="G60" s="36">
        <f>if(ISNA(vlookup($A60,'Ultimate Draft Kit'!$B$2:$E$261,4, false)), 0, vlookup($A60,'Ultimate Draft Kit'!$B$2:$E$261, 4, false))</f>
        <v>14</v>
      </c>
      <c r="H60" s="36">
        <f>if(ISNA(vlookup($A60, FantasyPro!$B$2:$E$514,4,false)),0,vlookup($A60,FantasyPro!$B$2:$E$514,4,false))</f>
        <v>15</v>
      </c>
      <c r="I60" s="36">
        <f>if(ISNA(vlookup($A60, FFToolbox!$B$2:$E$618, 4, false)), 0, vlookup($A60, FFToolbox!$B$2:$E$618, 4, false))</f>
        <v>12</v>
      </c>
      <c r="J60" s="37">
        <f t="shared" si="1"/>
        <v>17.75</v>
      </c>
      <c r="K60" s="37">
        <f t="shared" si="2"/>
        <v>18</v>
      </c>
    </row>
    <row r="61" hidden="1">
      <c r="A61" s="13" t="s">
        <v>106</v>
      </c>
      <c r="B61" s="34" t="s">
        <v>1059</v>
      </c>
      <c r="C61" s="5" t="s">
        <v>48</v>
      </c>
      <c r="D61" s="5" t="s">
        <v>25</v>
      </c>
      <c r="E61" s="35">
        <f>vlookup(C61,'Team Bye List'!$A$1:$B$33,2,False)</f>
        <v>11</v>
      </c>
      <c r="F61" s="36">
        <f>if(ISNA(vlookup($A61, ESPN!$B$2:$E$1010, 4, false)), 0, vlookup($A61, ESPN!$B$2:$E$1010, 4, false))</f>
        <v>15</v>
      </c>
      <c r="G61" s="36">
        <f>if(ISNA(vlookup($A61,'Ultimate Draft Kit'!$B$2:$E$261,4, false)), 0, vlookup($A61,'Ultimate Draft Kit'!$B$2:$E$261, 4, false))</f>
        <v>19</v>
      </c>
      <c r="H61" s="36">
        <f>if(ISNA(vlookup($A61, FantasyPro!$B$2:$E$514,4,false)),0,vlookup($A61,FantasyPro!$B$2:$E$514,4,false))</f>
        <v>14</v>
      </c>
      <c r="I61" s="36">
        <f>if(ISNA(vlookup($A61, FFToolbox!$B$2:$E$618, 4, false)), 0, vlookup($A61, FFToolbox!$B$2:$E$618, 4, false))</f>
        <v>20</v>
      </c>
      <c r="J61" s="37">
        <f t="shared" si="1"/>
        <v>17</v>
      </c>
      <c r="K61" s="37">
        <f t="shared" si="2"/>
        <v>6</v>
      </c>
    </row>
    <row r="62" hidden="1">
      <c r="A62" s="13" t="s">
        <v>122</v>
      </c>
      <c r="B62" s="34" t="s">
        <v>1059</v>
      </c>
      <c r="C62" s="5" t="s">
        <v>48</v>
      </c>
      <c r="D62" s="5" t="s">
        <v>7</v>
      </c>
      <c r="E62" s="35">
        <f>vlookup(C62,'Team Bye List'!$A$1:$B$33,2,False)</f>
        <v>11</v>
      </c>
      <c r="F62" s="36">
        <f>if(ISNA(vlookup($A62, ESPN!$B$2:$E$1010, 4, false)), 0, vlookup($A62, ESPN!$B$2:$E$1010, 4, false))</f>
        <v>10</v>
      </c>
      <c r="G62" s="36">
        <f>if(ISNA(vlookup($A62,'Ultimate Draft Kit'!$B$2:$E$261,4, false)), 0, vlookup($A62,'Ultimate Draft Kit'!$B$2:$E$261, 4, false))</f>
        <v>26</v>
      </c>
      <c r="H62" s="36">
        <f>if(ISNA(vlookup($A62, FantasyPro!$B$2:$E$514,4,false)),0,vlookup($A62,FantasyPro!$B$2:$E$514,4,false))</f>
        <v>15</v>
      </c>
      <c r="I62" s="36">
        <f>if(ISNA(vlookup($A62, FFToolbox!$B$2:$E$618, 4, false)), 0, vlookup($A62, FFToolbox!$B$2:$E$618, 4, false))</f>
        <v>14</v>
      </c>
      <c r="J62" s="37">
        <f t="shared" si="1"/>
        <v>16.25</v>
      </c>
      <c r="K62" s="37">
        <f t="shared" si="2"/>
        <v>16</v>
      </c>
    </row>
    <row r="63" hidden="1">
      <c r="A63" s="13" t="s">
        <v>98</v>
      </c>
      <c r="B63" s="34" t="s">
        <v>1059</v>
      </c>
      <c r="C63" s="5" t="s">
        <v>54</v>
      </c>
      <c r="D63" s="5" t="s">
        <v>25</v>
      </c>
      <c r="E63" s="35">
        <f>vlookup(C63,'Team Bye List'!$A$1:$B$33,2,False)</f>
        <v>9</v>
      </c>
      <c r="F63" s="36">
        <f>if(ISNA(vlookup($A63, ESPN!$B$2:$E$1010, 4, false)), 0, vlookup($A63, ESPN!$B$2:$E$1010, 4, false))</f>
        <v>17</v>
      </c>
      <c r="G63" s="36">
        <f>if(ISNA(vlookup($A63,'Ultimate Draft Kit'!$B$2:$E$261,4, false)), 0, vlookup($A63,'Ultimate Draft Kit'!$B$2:$E$261, 4, false))</f>
        <v>15</v>
      </c>
      <c r="H63" s="36">
        <f>if(ISNA(vlookup($A63, FantasyPro!$B$2:$E$514,4,false)),0,vlookup($A63,FantasyPro!$B$2:$E$514,4,false))</f>
        <v>14</v>
      </c>
      <c r="I63" s="36">
        <f>if(ISNA(vlookup($A63, FFToolbox!$B$2:$E$618, 4, false)), 0, vlookup($A63, FFToolbox!$B$2:$E$618, 4, false))</f>
        <v>18</v>
      </c>
      <c r="J63" s="37">
        <f t="shared" si="1"/>
        <v>16</v>
      </c>
      <c r="K63" s="37">
        <f t="shared" si="2"/>
        <v>4</v>
      </c>
    </row>
    <row r="64" hidden="1">
      <c r="A64" s="13" t="s">
        <v>47</v>
      </c>
      <c r="B64" s="34" t="s">
        <v>1059</v>
      </c>
      <c r="C64" s="5" t="s">
        <v>48</v>
      </c>
      <c r="D64" s="5" t="s">
        <v>10</v>
      </c>
      <c r="E64" s="35">
        <f>vlookup(C64,'Team Bye List'!$A$1:$B$33,2,False)</f>
        <v>11</v>
      </c>
      <c r="F64" s="36">
        <f>if(ISNA(vlookup($A64, ESPN!$B$2:$E$1010, 4, false)), 0, vlookup($A64, ESPN!$B$2:$E$1010, 4, false))</f>
        <v>30</v>
      </c>
      <c r="G64" s="36">
        <f>if(ISNA(vlookup($A64,'Ultimate Draft Kit'!$B$2:$E$261,4, false)), 0, vlookup($A64,'Ultimate Draft Kit'!$B$2:$E$261, 4, false))</f>
        <v>11</v>
      </c>
      <c r="H64" s="36">
        <f>if(ISNA(vlookup($A64, FantasyPro!$B$2:$E$514,4,false)),0,vlookup($A64,FantasyPro!$B$2:$E$514,4,false))</f>
        <v>11</v>
      </c>
      <c r="I64" s="36">
        <f>if(ISNA(vlookup($A64, FFToolbox!$B$2:$E$618, 4, false)), 0, vlookup($A64, FFToolbox!$B$2:$E$618, 4, false))</f>
        <v>12</v>
      </c>
      <c r="J64" s="37">
        <f t="shared" si="1"/>
        <v>16</v>
      </c>
      <c r="K64" s="37">
        <f t="shared" si="2"/>
        <v>19</v>
      </c>
    </row>
    <row r="65" hidden="1">
      <c r="A65" s="13" t="s">
        <v>93</v>
      </c>
      <c r="B65" s="34" t="s">
        <v>1059</v>
      </c>
      <c r="C65" s="5" t="s">
        <v>14</v>
      </c>
      <c r="D65" s="5" t="s">
        <v>25</v>
      </c>
      <c r="E65" s="35">
        <f>vlookup(C65,'Team Bye List'!$A$1:$B$33,2,False)</f>
        <v>10</v>
      </c>
      <c r="F65" s="36">
        <f>if(ISNA(vlookup($A65, ESPN!$B$2:$E$1010, 4, false)), 0, vlookup($A65, ESPN!$B$2:$E$1010, 4, false))</f>
        <v>19</v>
      </c>
      <c r="G65" s="36">
        <f>if(ISNA(vlookup($A65,'Ultimate Draft Kit'!$B$2:$E$261,4, false)), 0, vlookup($A65,'Ultimate Draft Kit'!$B$2:$E$261, 4, false))</f>
        <v>19</v>
      </c>
      <c r="H65" s="36">
        <f>if(ISNA(vlookup($A65, FantasyPro!$B$2:$E$514,4,false)),0,vlookup($A65,FantasyPro!$B$2:$E$514,4,false))</f>
        <v>13</v>
      </c>
      <c r="I65" s="36">
        <f>if(ISNA(vlookup($A65, FFToolbox!$B$2:$E$618, 4, false)), 0, vlookup($A65, FFToolbox!$B$2:$E$618, 4, false))</f>
        <v>10</v>
      </c>
      <c r="J65" s="37">
        <f t="shared" si="1"/>
        <v>15.25</v>
      </c>
      <c r="K65" s="37">
        <f t="shared" si="2"/>
        <v>9</v>
      </c>
    </row>
    <row r="66" hidden="1">
      <c r="A66" s="13" t="s">
        <v>123</v>
      </c>
      <c r="B66" s="34" t="s">
        <v>1060</v>
      </c>
      <c r="C66" s="5" t="s">
        <v>61</v>
      </c>
      <c r="D66" s="5" t="s">
        <v>25</v>
      </c>
      <c r="E66" s="35">
        <f>vlookup(C66,'Team Bye List'!$A$1:$B$33,2,False)</f>
        <v>9</v>
      </c>
      <c r="F66" s="36">
        <f>if(ISNA(vlookup($A66, ESPN!$B$2:$E$1010, 4, false)), 0, vlookup($A66, ESPN!$B$2:$E$1010, 4, false))</f>
        <v>10</v>
      </c>
      <c r="G66" s="36">
        <f>if(ISNA(vlookup($A66,'Ultimate Draft Kit'!$B$2:$E$261,4, false)), 0, vlookup($A66,'Ultimate Draft Kit'!$B$2:$E$261, 4, false))</f>
        <v>19</v>
      </c>
      <c r="H66" s="36">
        <f>if(ISNA(vlookup($A66, FantasyPro!$B$2:$E$514,4,false)),0,vlookup($A66,FantasyPro!$B$2:$E$514,4,false))</f>
        <v>11</v>
      </c>
      <c r="I66" s="36">
        <f>if(ISNA(vlookup($A66, FFToolbox!$B$2:$E$618, 4, false)), 0, vlookup($A66, FFToolbox!$B$2:$E$618, 4, false))</f>
        <v>20</v>
      </c>
      <c r="J66" s="37">
        <f t="shared" si="1"/>
        <v>15</v>
      </c>
      <c r="K66" s="37">
        <f t="shared" si="2"/>
        <v>10</v>
      </c>
    </row>
    <row r="67" hidden="1">
      <c r="A67" s="13" t="s">
        <v>142</v>
      </c>
      <c r="B67" s="34" t="s">
        <v>1059</v>
      </c>
      <c r="C67" s="5" t="s">
        <v>77</v>
      </c>
      <c r="D67" s="5" t="s">
        <v>7</v>
      </c>
      <c r="E67" s="35">
        <f>vlookup(C67,'Team Bye List'!$A$1:$B$33,2,False)</f>
        <v>11</v>
      </c>
      <c r="F67" s="36">
        <f>if(ISNA(vlookup($A67, ESPN!$B$2:$E$1010, 4, false)), 0, vlookup($A67, ESPN!$B$2:$E$1010, 4, false))</f>
        <v>6</v>
      </c>
      <c r="G67" s="36">
        <f>if(ISNA(vlookup($A67,'Ultimate Draft Kit'!$B$2:$E$261,4, false)), 0, vlookup($A67,'Ultimate Draft Kit'!$B$2:$E$261, 4, false))</f>
        <v>23</v>
      </c>
      <c r="H67" s="36">
        <f>if(ISNA(vlookup($A67, FantasyPro!$B$2:$E$514,4,false)),0,vlookup($A67,FantasyPro!$B$2:$E$514,4,false))</f>
        <v>15</v>
      </c>
      <c r="I67" s="36">
        <f>if(ISNA(vlookup($A67, FFToolbox!$B$2:$E$618, 4, false)), 0, vlookup($A67, FFToolbox!$B$2:$E$618, 4, false))</f>
        <v>16</v>
      </c>
      <c r="J67" s="37">
        <f t="shared" si="1"/>
        <v>15</v>
      </c>
      <c r="K67" s="37">
        <f t="shared" si="2"/>
        <v>17</v>
      </c>
    </row>
    <row r="68" hidden="1">
      <c r="A68" s="13" t="s">
        <v>164</v>
      </c>
      <c r="B68" s="34" t="s">
        <v>1059</v>
      </c>
      <c r="C68" s="5" t="s">
        <v>233</v>
      </c>
      <c r="D68" s="5" t="s">
        <v>7</v>
      </c>
      <c r="E68" s="35">
        <f>vlookup(C68,'Team Bye List'!$A$1:$B$33,2,False)</f>
        <v>9</v>
      </c>
      <c r="F68" s="36">
        <f>if(ISNA(vlookup($A68, ESPN!$B$2:$E$1010, 4, false)), 0, vlookup($A68, ESPN!$B$2:$E$1010, 4, false))</f>
        <v>2</v>
      </c>
      <c r="G68" s="36">
        <f>if(ISNA(vlookup($A68,'Ultimate Draft Kit'!$B$2:$E$261,4, false)), 0, vlookup($A68,'Ultimate Draft Kit'!$B$2:$E$261, 4, false))</f>
        <v>20</v>
      </c>
      <c r="H68" s="36">
        <f>if(ISNA(vlookup($A68, FantasyPro!$B$2:$E$514,4,false)),0,vlookup($A68,FantasyPro!$B$2:$E$514,4,false))</f>
        <v>16</v>
      </c>
      <c r="I68" s="36">
        <f>if(ISNA(vlookup($A68, FFToolbox!$B$2:$E$618, 4, false)), 0, vlookup($A68, FFToolbox!$B$2:$E$618, 4, false))</f>
        <v>22</v>
      </c>
      <c r="J68" s="37">
        <f t="shared" si="1"/>
        <v>15</v>
      </c>
      <c r="K68" s="37">
        <f t="shared" si="2"/>
        <v>20</v>
      </c>
    </row>
    <row r="69" hidden="1">
      <c r="A69" s="13" t="s">
        <v>108</v>
      </c>
      <c r="B69" s="34" t="s">
        <v>1059</v>
      </c>
      <c r="C69" s="5" t="s">
        <v>12</v>
      </c>
      <c r="D69" s="5" t="s">
        <v>25</v>
      </c>
      <c r="E69" s="35">
        <f>vlookup(C69,'Team Bye List'!$A$1:$B$33,2,False)</f>
        <v>8</v>
      </c>
      <c r="F69" s="36">
        <f>if(ISNA(vlookup($A69, ESPN!$B$2:$E$1010, 4, false)), 0, vlookup($A69, ESPN!$B$2:$E$1010, 4, false))</f>
        <v>15</v>
      </c>
      <c r="G69" s="36">
        <f>if(ISNA(vlookup($A69,'Ultimate Draft Kit'!$B$2:$E$261,4, false)), 0, vlookup($A69,'Ultimate Draft Kit'!$B$2:$E$261, 4, false))</f>
        <v>19</v>
      </c>
      <c r="H69" s="36">
        <f>if(ISNA(vlookup($A69, FantasyPro!$B$2:$E$514,4,false)),0,vlookup($A69,FantasyPro!$B$2:$E$514,4,false))</f>
        <v>12</v>
      </c>
      <c r="I69" s="36">
        <f>if(ISNA(vlookup($A69, FFToolbox!$B$2:$E$618, 4, false)), 0, vlookup($A69, FFToolbox!$B$2:$E$618, 4, false))</f>
        <v>12</v>
      </c>
      <c r="J69" s="37">
        <f t="shared" si="1"/>
        <v>14.5</v>
      </c>
      <c r="K69" s="37">
        <f t="shared" si="2"/>
        <v>7</v>
      </c>
    </row>
    <row r="70" hidden="1">
      <c r="A70" s="13" t="s">
        <v>99</v>
      </c>
      <c r="B70" s="34" t="s">
        <v>1059</v>
      </c>
      <c r="C70" s="5" t="s">
        <v>24</v>
      </c>
      <c r="D70" s="5" t="s">
        <v>10</v>
      </c>
      <c r="E70" s="35">
        <f>vlookup(C70,'Team Bye List'!$A$1:$B$33,2,False)</f>
        <v>6</v>
      </c>
      <c r="F70" s="36">
        <f>if(ISNA(vlookup($A70, ESPN!$B$2:$E$1010, 4, false)), 0, vlookup($A70, ESPN!$B$2:$E$1010, 4, false))</f>
        <v>17</v>
      </c>
      <c r="G70" s="36">
        <f>if(ISNA(vlookup($A70,'Ultimate Draft Kit'!$B$2:$E$261,4, false)), 0, vlookup($A70,'Ultimate Draft Kit'!$B$2:$E$261, 4, false))</f>
        <v>12</v>
      </c>
      <c r="H70" s="36">
        <f>if(ISNA(vlookup($A70, FantasyPro!$B$2:$E$514,4,false)),0,vlookup($A70,FantasyPro!$B$2:$E$514,4,false))</f>
        <v>9</v>
      </c>
      <c r="I70" s="36">
        <f>if(ISNA(vlookup($A70, FFToolbox!$B$2:$E$618, 4, false)), 0, vlookup($A70, FFToolbox!$B$2:$E$618, 4, false))</f>
        <v>16</v>
      </c>
      <c r="J70" s="37">
        <f t="shared" si="1"/>
        <v>13.5</v>
      </c>
      <c r="K70" s="37">
        <f t="shared" si="2"/>
        <v>8</v>
      </c>
    </row>
    <row r="71" hidden="1">
      <c r="A71" s="13" t="s">
        <v>71</v>
      </c>
      <c r="B71" s="34" t="s">
        <v>1059</v>
      </c>
      <c r="C71" s="5" t="s">
        <v>6</v>
      </c>
      <c r="D71" s="5" t="s">
        <v>25</v>
      </c>
      <c r="E71" s="35">
        <f>vlookup(C71,'Team Bye List'!$A$1:$B$33,2,False)</f>
        <v>12</v>
      </c>
      <c r="F71" s="36">
        <f>if(ISNA(vlookup($A71, ESPN!$B$2:$E$1010, 4, false)), 0, vlookup($A71, ESPN!$B$2:$E$1010, 4, false))</f>
        <v>23</v>
      </c>
      <c r="G71" s="36">
        <f>if(ISNA(vlookup($A71,'Ultimate Draft Kit'!$B$2:$E$261,4, false)), 0, vlookup($A71,'Ultimate Draft Kit'!$B$2:$E$261, 4, false))</f>
        <v>0</v>
      </c>
      <c r="H71" s="36">
        <f>if(ISNA(vlookup($A71, FantasyPro!$B$2:$E$514,4,false)),0,vlookup($A71,FantasyPro!$B$2:$E$514,4,false))</f>
        <v>0</v>
      </c>
      <c r="I71" s="36">
        <f>if(ISNA(vlookup($A71, FFToolbox!$B$2:$E$618, 4, false)), 0, vlookup($A71, FFToolbox!$B$2:$E$618, 4, false))</f>
        <v>30</v>
      </c>
      <c r="J71" s="37">
        <f t="shared" si="1"/>
        <v>13.25</v>
      </c>
      <c r="K71" s="37">
        <f t="shared" si="2"/>
        <v>30</v>
      </c>
    </row>
    <row r="72" hidden="1">
      <c r="A72" s="13" t="s">
        <v>72</v>
      </c>
      <c r="B72" s="34" t="s">
        <v>1059</v>
      </c>
      <c r="C72" s="5" t="s">
        <v>32</v>
      </c>
      <c r="D72" s="5" t="s">
        <v>10</v>
      </c>
      <c r="E72" s="35">
        <f>vlookup(C72,'Team Bye List'!$A$1:$B$33,2,False)</f>
        <v>9</v>
      </c>
      <c r="F72" s="36">
        <f>if(ISNA(vlookup($A72, ESPN!$B$2:$E$1010, 4, false)), 0, vlookup($A72, ESPN!$B$2:$E$1010, 4, false))</f>
        <v>23</v>
      </c>
      <c r="G72" s="36">
        <f>if(ISNA(vlookup($A72,'Ultimate Draft Kit'!$B$2:$E$261,4, false)), 0, vlookup($A72,'Ultimate Draft Kit'!$B$2:$E$261, 4, false))</f>
        <v>9</v>
      </c>
      <c r="H72" s="36">
        <f>if(ISNA(vlookup($A72, FantasyPro!$B$2:$E$514,4,false)),0,vlookup($A72,FantasyPro!$B$2:$E$514,4,false))</f>
        <v>9</v>
      </c>
      <c r="I72" s="36">
        <f>if(ISNA(vlookup($A72, FFToolbox!$B$2:$E$618, 4, false)), 0, vlookup($A72, FFToolbox!$B$2:$E$618, 4, false))</f>
        <v>12</v>
      </c>
      <c r="J72" s="37">
        <f t="shared" si="1"/>
        <v>13.25</v>
      </c>
      <c r="K72" s="37">
        <f t="shared" si="2"/>
        <v>14</v>
      </c>
    </row>
    <row r="73" hidden="1">
      <c r="A73" s="13" t="s">
        <v>81</v>
      </c>
      <c r="B73" s="34" t="s">
        <v>1059</v>
      </c>
      <c r="C73" s="5" t="s">
        <v>44</v>
      </c>
      <c r="D73" s="5" t="s">
        <v>10</v>
      </c>
      <c r="E73" s="35">
        <f>vlookup(C73,'Team Bye List'!$A$1:$B$33,2,False)</f>
        <v>10</v>
      </c>
      <c r="F73" s="36">
        <f>if(ISNA(vlookup($A73, ESPN!$B$2:$E$1010, 4, false)), 0, vlookup($A73, ESPN!$B$2:$E$1010, 4, false))</f>
        <v>22</v>
      </c>
      <c r="G73" s="36">
        <f>if(ISNA(vlookup($A73,'Ultimate Draft Kit'!$B$2:$E$261,4, false)), 0, vlookup($A73,'Ultimate Draft Kit'!$B$2:$E$261, 4, false))</f>
        <v>3</v>
      </c>
      <c r="H73" s="36">
        <f>if(ISNA(vlookup($A73, FantasyPro!$B$2:$E$514,4,false)),0,vlookup($A73,FantasyPro!$B$2:$E$514,4,false))</f>
        <v>10</v>
      </c>
      <c r="I73" s="36">
        <f>if(ISNA(vlookup($A73, FFToolbox!$B$2:$E$618, 4, false)), 0, vlookup($A73, FFToolbox!$B$2:$E$618, 4, false))</f>
        <v>16</v>
      </c>
      <c r="J73" s="37">
        <f t="shared" si="1"/>
        <v>12.75</v>
      </c>
      <c r="K73" s="37">
        <f t="shared" si="2"/>
        <v>19</v>
      </c>
    </row>
    <row r="74" hidden="1">
      <c r="A74" s="13" t="s">
        <v>111</v>
      </c>
      <c r="B74" s="34" t="s">
        <v>1059</v>
      </c>
      <c r="C74" s="5" t="s">
        <v>69</v>
      </c>
      <c r="D74" s="5" t="s">
        <v>25</v>
      </c>
      <c r="E74" s="35">
        <f>vlookup(C74,'Team Bye List'!$A$1:$B$33,2,False)</f>
        <v>5</v>
      </c>
      <c r="F74" s="36">
        <f>if(ISNA(vlookup($A74, ESPN!$B$2:$E$1010, 4, false)), 0, vlookup($A74, ESPN!$B$2:$E$1010, 4, false))</f>
        <v>13</v>
      </c>
      <c r="G74" s="36">
        <f>if(ISNA(vlookup($A74,'Ultimate Draft Kit'!$B$2:$E$261,4, false)), 0, vlookup($A74,'Ultimate Draft Kit'!$B$2:$E$261, 4, false))</f>
        <v>19</v>
      </c>
      <c r="H74" s="36">
        <f>if(ISNA(vlookup($A74, FantasyPro!$B$2:$E$514,4,false)),0,vlookup($A74,FantasyPro!$B$2:$E$514,4,false))</f>
        <v>9</v>
      </c>
      <c r="I74" s="36">
        <f>if(ISNA(vlookup($A74, FFToolbox!$B$2:$E$618, 4, false)), 0, vlookup($A74, FFToolbox!$B$2:$E$618, 4, false))</f>
        <v>10</v>
      </c>
      <c r="J74" s="37">
        <f t="shared" si="1"/>
        <v>12.75</v>
      </c>
      <c r="K74" s="37">
        <f t="shared" si="2"/>
        <v>10</v>
      </c>
    </row>
    <row r="75" hidden="1">
      <c r="A75" s="13" t="s">
        <v>70</v>
      </c>
      <c r="B75" s="34" t="s">
        <v>1059</v>
      </c>
      <c r="C75" s="5" t="s">
        <v>38</v>
      </c>
      <c r="D75" s="5" t="s">
        <v>10</v>
      </c>
      <c r="E75" s="35">
        <f>vlookup(C75,'Team Bye List'!$A$1:$B$33,2,False)</f>
        <v>12</v>
      </c>
      <c r="F75" s="36">
        <f>if(ISNA(vlookup($A75, ESPN!$B$2:$E$1010, 4, false)), 0, vlookup($A75, ESPN!$B$2:$E$1010, 4, false))</f>
        <v>24</v>
      </c>
      <c r="G75" s="36">
        <f>if(ISNA(vlookup($A75,'Ultimate Draft Kit'!$B$2:$E$261,4, false)), 0, vlookup($A75,'Ultimate Draft Kit'!$B$2:$E$261, 4, false))</f>
        <v>4</v>
      </c>
      <c r="H75" s="36">
        <f>if(ISNA(vlookup($A75, FantasyPro!$B$2:$E$514,4,false)),0,vlookup($A75,FantasyPro!$B$2:$E$514,4,false))</f>
        <v>8</v>
      </c>
      <c r="I75" s="36">
        <f>if(ISNA(vlookup($A75, FFToolbox!$B$2:$E$618, 4, false)), 0, vlookup($A75, FFToolbox!$B$2:$E$618, 4, false))</f>
        <v>14</v>
      </c>
      <c r="J75" s="37">
        <f t="shared" si="1"/>
        <v>12.5</v>
      </c>
      <c r="K75" s="37">
        <f t="shared" si="2"/>
        <v>20</v>
      </c>
    </row>
    <row r="76" hidden="1">
      <c r="A76" s="13" t="s">
        <v>292</v>
      </c>
      <c r="B76" s="34" t="s">
        <v>1059</v>
      </c>
      <c r="C76" s="5" t="s">
        <v>54</v>
      </c>
      <c r="D76" s="5" t="s">
        <v>7</v>
      </c>
      <c r="E76" s="35">
        <f>vlookup(C76,'Team Bye List'!$A$1:$B$33,2,False)</f>
        <v>9</v>
      </c>
      <c r="F76" s="36">
        <f>if(ISNA(vlookup($A76, ESPN!$B$2:$E$1010, 4, false)), 0, vlookup($A76, ESPN!$B$2:$E$1010, 4, false))</f>
        <v>0</v>
      </c>
      <c r="G76" s="36">
        <f>if(ISNA(vlookup($A76,'Ultimate Draft Kit'!$B$2:$E$261,4, false)), 0, vlookup($A76,'Ultimate Draft Kit'!$B$2:$E$261, 4, false))</f>
        <v>14</v>
      </c>
      <c r="H76" s="36">
        <f>if(ISNA(vlookup($A76, FantasyPro!$B$2:$E$514,4,false)),0,vlookup($A76,FantasyPro!$B$2:$E$514,4,false))</f>
        <v>16</v>
      </c>
      <c r="I76" s="36">
        <f>if(ISNA(vlookup($A76, FFToolbox!$B$2:$E$618, 4, false)), 0, vlookup($A76, FFToolbox!$B$2:$E$618, 4, false))</f>
        <v>18</v>
      </c>
      <c r="J76" s="37">
        <f t="shared" si="1"/>
        <v>12</v>
      </c>
      <c r="K76" s="37">
        <f t="shared" si="2"/>
        <v>18</v>
      </c>
    </row>
    <row r="77" hidden="1">
      <c r="A77" s="13" t="s">
        <v>113</v>
      </c>
      <c r="B77" s="34" t="s">
        <v>1059</v>
      </c>
      <c r="C77" s="5" t="s">
        <v>86</v>
      </c>
      <c r="D77" s="5" t="s">
        <v>25</v>
      </c>
      <c r="E77" s="35">
        <f>vlookup(C77,'Team Bye List'!$A$1:$B$33,2,False)</f>
        <v>6</v>
      </c>
      <c r="F77" s="36">
        <f>if(ISNA(vlookup($A77, ESPN!$B$2:$E$1010, 4, false)), 0, vlookup($A77, ESPN!$B$2:$E$1010, 4, false))</f>
        <v>12</v>
      </c>
      <c r="G77" s="36">
        <f>if(ISNA(vlookup($A77,'Ultimate Draft Kit'!$B$2:$E$261,4, false)), 0, vlookup($A77,'Ultimate Draft Kit'!$B$2:$E$261, 4, false))</f>
        <v>12</v>
      </c>
      <c r="H77" s="36">
        <f>if(ISNA(vlookup($A77, FantasyPro!$B$2:$E$514,4,false)),0,vlookup($A77,FantasyPro!$B$2:$E$514,4,false))</f>
        <v>11</v>
      </c>
      <c r="I77" s="36">
        <f>if(ISNA(vlookup($A77, FFToolbox!$B$2:$E$618, 4, false)), 0, vlookup($A77, FFToolbox!$B$2:$E$618, 4, false))</f>
        <v>12</v>
      </c>
      <c r="J77" s="37">
        <f t="shared" si="1"/>
        <v>11.75</v>
      </c>
      <c r="K77" s="37">
        <f t="shared" si="2"/>
        <v>1</v>
      </c>
    </row>
    <row r="78" hidden="1">
      <c r="A78" s="13" t="s">
        <v>94</v>
      </c>
      <c r="B78" s="34" t="s">
        <v>1059</v>
      </c>
      <c r="C78" s="5" t="s">
        <v>24</v>
      </c>
      <c r="D78" s="5" t="s">
        <v>16</v>
      </c>
      <c r="E78" s="35">
        <f>vlookup(C78,'Team Bye List'!$A$1:$B$33,2,False)</f>
        <v>6</v>
      </c>
      <c r="F78" s="36">
        <f>if(ISNA(vlookup($A78, ESPN!$B$2:$E$1010, 4, false)), 0, vlookup($A78, ESPN!$B$2:$E$1010, 4, false))</f>
        <v>18</v>
      </c>
      <c r="G78" s="36">
        <f>if(ISNA(vlookup($A78,'Ultimate Draft Kit'!$B$2:$E$261,4, false)), 0, vlookup($A78,'Ultimate Draft Kit'!$B$2:$E$261, 4, false))</f>
        <v>11</v>
      </c>
      <c r="H78" s="36">
        <f>if(ISNA(vlookup($A78, FantasyPro!$B$2:$E$514,4,false)),0,vlookup($A78,FantasyPro!$B$2:$E$514,4,false))</f>
        <v>7</v>
      </c>
      <c r="I78" s="36">
        <f>if(ISNA(vlookup($A78, FFToolbox!$B$2:$E$618, 4, false)), 0, vlookup($A78, FFToolbox!$B$2:$E$618, 4, false))</f>
        <v>8</v>
      </c>
      <c r="J78" s="37">
        <f t="shared" si="1"/>
        <v>11</v>
      </c>
      <c r="K78" s="37">
        <f t="shared" si="2"/>
        <v>11</v>
      </c>
    </row>
    <row r="79" hidden="1">
      <c r="A79" s="13" t="s">
        <v>109</v>
      </c>
      <c r="B79" s="34" t="s">
        <v>1059</v>
      </c>
      <c r="C79" s="5" t="s">
        <v>20</v>
      </c>
      <c r="D79" s="5" t="s">
        <v>25</v>
      </c>
      <c r="E79" s="35">
        <f>vlookup(C79,'Team Bye List'!$A$1:$B$33,2,False)</f>
        <v>8</v>
      </c>
      <c r="F79" s="36">
        <f>if(ISNA(vlookup($A79, ESPN!$B$2:$E$1010, 4, false)), 0, vlookup($A79, ESPN!$B$2:$E$1010, 4, false))</f>
        <v>14</v>
      </c>
      <c r="G79" s="36">
        <f>if(ISNA(vlookup($A79,'Ultimate Draft Kit'!$B$2:$E$261,4, false)), 0, vlookup($A79,'Ultimate Draft Kit'!$B$2:$E$261, 4, false))</f>
        <v>6</v>
      </c>
      <c r="H79" s="36">
        <f>if(ISNA(vlookup($A79, FantasyPro!$B$2:$E$514,4,false)),0,vlookup($A79,FantasyPro!$B$2:$E$514,4,false))</f>
        <v>8</v>
      </c>
      <c r="I79" s="36">
        <f>if(ISNA(vlookup($A79, FFToolbox!$B$2:$E$618, 4, false)), 0, vlookup($A79, FFToolbox!$B$2:$E$618, 4, false))</f>
        <v>16</v>
      </c>
      <c r="J79" s="37">
        <f t="shared" si="1"/>
        <v>11</v>
      </c>
      <c r="K79" s="37">
        <f t="shared" si="2"/>
        <v>10</v>
      </c>
    </row>
    <row r="80" hidden="1">
      <c r="A80" s="13" t="s">
        <v>105</v>
      </c>
      <c r="B80" s="34" t="s">
        <v>1059</v>
      </c>
      <c r="C80" s="5" t="s">
        <v>29</v>
      </c>
      <c r="D80" s="5" t="s">
        <v>16</v>
      </c>
      <c r="E80" s="35">
        <f>vlookup(C80,'Team Bye List'!$A$1:$B$33,2,False)</f>
        <v>11</v>
      </c>
      <c r="F80" s="36">
        <f>if(ISNA(vlookup($A80, ESPN!$B$2:$E$1010, 4, false)), 0, vlookup($A80, ESPN!$B$2:$E$1010, 4, false))</f>
        <v>15</v>
      </c>
      <c r="G80" s="36">
        <f>if(ISNA(vlookup($A80,'Ultimate Draft Kit'!$B$2:$E$261,4, false)), 0, vlookup($A80,'Ultimate Draft Kit'!$B$2:$E$261, 4, false))</f>
        <v>6</v>
      </c>
      <c r="H80" s="36">
        <f>if(ISNA(vlookup($A80, FantasyPro!$B$2:$E$514,4,false)),0,vlookup($A80,FantasyPro!$B$2:$E$514,4,false))</f>
        <v>12</v>
      </c>
      <c r="I80" s="36">
        <f>if(ISNA(vlookup($A80, FFToolbox!$B$2:$E$618, 4, false)), 0, vlookup($A80, FFToolbox!$B$2:$E$618, 4, false))</f>
        <v>10</v>
      </c>
      <c r="J80" s="37">
        <f t="shared" si="1"/>
        <v>10.75</v>
      </c>
      <c r="K80" s="37">
        <f t="shared" si="2"/>
        <v>9</v>
      </c>
    </row>
    <row r="81" hidden="1">
      <c r="A81" s="13" t="s">
        <v>137</v>
      </c>
      <c r="B81" s="34" t="s">
        <v>1059</v>
      </c>
      <c r="C81" s="5" t="s">
        <v>61</v>
      </c>
      <c r="D81" s="5" t="s">
        <v>25</v>
      </c>
      <c r="E81" s="35">
        <f>vlookup(C81,'Team Bye List'!$A$1:$B$33,2,False)</f>
        <v>9</v>
      </c>
      <c r="F81" s="36">
        <f>if(ISNA(vlookup($A81, ESPN!$B$2:$E$1010, 4, false)), 0, vlookup($A81, ESPN!$B$2:$E$1010, 4, false))</f>
        <v>7</v>
      </c>
      <c r="G81" s="36">
        <f>if(ISNA(vlookup($A81,'Ultimate Draft Kit'!$B$2:$E$261,4, false)), 0, vlookup($A81,'Ultimate Draft Kit'!$B$2:$E$261, 4, false))</f>
        <v>9</v>
      </c>
      <c r="H81" s="36">
        <f>if(ISNA(vlookup($A81, FantasyPro!$B$2:$E$514,4,false)),0,vlookup($A81,FantasyPro!$B$2:$E$514,4,false))</f>
        <v>13</v>
      </c>
      <c r="I81" s="36">
        <f>if(ISNA(vlookup($A81, FFToolbox!$B$2:$E$618, 4, false)), 0, vlookup($A81, FFToolbox!$B$2:$E$618, 4, false))</f>
        <v>12</v>
      </c>
      <c r="J81" s="37">
        <f t="shared" si="1"/>
        <v>10.25</v>
      </c>
      <c r="K81" s="37">
        <f t="shared" si="2"/>
        <v>6</v>
      </c>
    </row>
    <row r="82" hidden="1">
      <c r="A82" s="13" t="s">
        <v>107</v>
      </c>
      <c r="B82" s="34" t="s">
        <v>1059</v>
      </c>
      <c r="C82" s="5" t="s">
        <v>233</v>
      </c>
      <c r="D82" s="5" t="s">
        <v>16</v>
      </c>
      <c r="E82" s="35">
        <f>vlookup(C82,'Team Bye List'!$A$1:$B$33,2,False)</f>
        <v>9</v>
      </c>
      <c r="F82" s="36">
        <f>if(ISNA(vlookup($A82, ESPN!$B$2:$E$1010, 4, false)), 0, vlookup($A82, ESPN!$B$2:$E$1010, 4, false))</f>
        <v>15</v>
      </c>
      <c r="G82" s="36">
        <f>if(ISNA(vlookup($A82,'Ultimate Draft Kit'!$B$2:$E$261,4, false)), 0, vlookup($A82,'Ultimate Draft Kit'!$B$2:$E$261, 4, false))</f>
        <v>5</v>
      </c>
      <c r="H82" s="36">
        <f>if(ISNA(vlookup($A82, FantasyPro!$B$2:$E$514,4,false)),0,vlookup($A82,FantasyPro!$B$2:$E$514,4,false))</f>
        <v>10</v>
      </c>
      <c r="I82" s="36">
        <f>if(ISNA(vlookup($A82, FFToolbox!$B$2:$E$618, 4, false)), 0, vlookup($A82, FFToolbox!$B$2:$E$618, 4, false))</f>
        <v>10</v>
      </c>
      <c r="J82" s="37">
        <f t="shared" si="1"/>
        <v>10</v>
      </c>
      <c r="K82" s="37">
        <f t="shared" si="2"/>
        <v>10</v>
      </c>
    </row>
    <row r="83" hidden="1">
      <c r="A83" s="13" t="s">
        <v>153</v>
      </c>
      <c r="B83" s="34" t="s">
        <v>1059</v>
      </c>
      <c r="C83" s="5" t="s">
        <v>69</v>
      </c>
      <c r="D83" s="5" t="s">
        <v>7</v>
      </c>
      <c r="E83" s="35">
        <f>vlookup(C83,'Team Bye List'!$A$1:$B$33,2,False)</f>
        <v>5</v>
      </c>
      <c r="F83" s="36">
        <f>if(ISNA(vlookup($A83, ESPN!$B$2:$E$1010, 4, false)), 0, vlookup($A83, ESPN!$B$2:$E$1010, 4, false))</f>
        <v>4</v>
      </c>
      <c r="G83" s="36">
        <f>if(ISNA(vlookup($A83,'Ultimate Draft Kit'!$B$2:$E$261,4, false)), 0, vlookup($A83,'Ultimate Draft Kit'!$B$2:$E$261, 4, false))</f>
        <v>0</v>
      </c>
      <c r="H83" s="36">
        <f>if(ISNA(vlookup($A83, FantasyPro!$B$2:$E$514,4,false)),0,vlookup($A83,FantasyPro!$B$2:$E$514,4,false))</f>
        <v>16</v>
      </c>
      <c r="I83" s="36">
        <f>if(ISNA(vlookup($A83, FFToolbox!$B$2:$E$618, 4, false)), 0, vlookup($A83, FFToolbox!$B$2:$E$618, 4, false))</f>
        <v>20</v>
      </c>
      <c r="J83" s="37">
        <f t="shared" si="1"/>
        <v>10</v>
      </c>
      <c r="K83" s="37">
        <f t="shared" si="2"/>
        <v>20</v>
      </c>
    </row>
    <row r="84" hidden="1">
      <c r="A84" s="13" t="s">
        <v>78</v>
      </c>
      <c r="B84" s="34" t="s">
        <v>1059</v>
      </c>
      <c r="C84" s="5" t="s">
        <v>59</v>
      </c>
      <c r="D84" s="5" t="s">
        <v>10</v>
      </c>
      <c r="E84" s="35">
        <f>vlookup(C84,'Team Bye List'!$A$1:$B$33,2,False)</f>
        <v>8</v>
      </c>
      <c r="F84" s="36">
        <f>if(ISNA(vlookup($A84, ESPN!$B$2:$E$1010, 4, false)), 0, vlookup($A84, ESPN!$B$2:$E$1010, 4, false))</f>
        <v>22</v>
      </c>
      <c r="G84" s="36">
        <f>if(ISNA(vlookup($A84,'Ultimate Draft Kit'!$B$2:$E$261,4, false)), 0, vlookup($A84,'Ultimate Draft Kit'!$B$2:$E$261, 4, false))</f>
        <v>3</v>
      </c>
      <c r="H84" s="36">
        <f>if(ISNA(vlookup($A84, FantasyPro!$B$2:$E$514,4,false)),0,vlookup($A84,FantasyPro!$B$2:$E$514,4,false))</f>
        <v>5</v>
      </c>
      <c r="I84" s="36">
        <f>if(ISNA(vlookup($A84, FFToolbox!$B$2:$E$618, 4, false)), 0, vlookup($A84, FFToolbox!$B$2:$E$618, 4, false))</f>
        <v>10</v>
      </c>
      <c r="J84" s="37">
        <f t="shared" si="1"/>
        <v>10</v>
      </c>
      <c r="K84" s="37">
        <f t="shared" si="2"/>
        <v>19</v>
      </c>
    </row>
    <row r="85" hidden="1">
      <c r="A85" s="13" t="s">
        <v>293</v>
      </c>
      <c r="B85" s="34" t="s">
        <v>1059</v>
      </c>
      <c r="C85" s="5" t="s">
        <v>102</v>
      </c>
      <c r="D85" s="5" t="s">
        <v>7</v>
      </c>
      <c r="E85" s="35">
        <f>vlookup(C85,'Team Bye List'!$A$1:$B$33,2,False)</f>
        <v>11</v>
      </c>
      <c r="F85" s="36">
        <f>if(ISNA(vlookup($A85, ESPN!$B$2:$E$1010, 4, false)), 0, vlookup($A85, ESPN!$B$2:$E$1010, 4, false))</f>
        <v>0</v>
      </c>
      <c r="G85" s="36">
        <f>if(ISNA(vlookup($A85,'Ultimate Draft Kit'!$B$2:$E$261,4, false)), 0, vlookup($A85,'Ultimate Draft Kit'!$B$2:$E$261, 4, false))</f>
        <v>15</v>
      </c>
      <c r="H85" s="36">
        <f>if(ISNA(vlookup($A85, FantasyPro!$B$2:$E$514,4,false)),0,vlookup($A85,FantasyPro!$B$2:$E$514,4,false))</f>
        <v>10</v>
      </c>
      <c r="I85" s="36">
        <f>if(ISNA(vlookup($A85, FFToolbox!$B$2:$E$618, 4, false)), 0, vlookup($A85, FFToolbox!$B$2:$E$618, 4, false))</f>
        <v>14</v>
      </c>
      <c r="J85" s="37">
        <f t="shared" si="1"/>
        <v>9.75</v>
      </c>
      <c r="K85" s="37">
        <f t="shared" si="2"/>
        <v>15</v>
      </c>
    </row>
    <row r="86" hidden="1">
      <c r="A86" s="13" t="s">
        <v>124</v>
      </c>
      <c r="B86" s="34" t="s">
        <v>1059</v>
      </c>
      <c r="C86" s="5" t="s">
        <v>20</v>
      </c>
      <c r="D86" s="5" t="s">
        <v>25</v>
      </c>
      <c r="E86" s="35">
        <f>vlookup(C86,'Team Bye List'!$A$1:$B$33,2,False)</f>
        <v>8</v>
      </c>
      <c r="F86" s="36">
        <f>if(ISNA(vlookup($A86, ESPN!$B$2:$E$1010, 4, false)), 0, vlookup($A86, ESPN!$B$2:$E$1010, 4, false))</f>
        <v>9</v>
      </c>
      <c r="G86" s="36">
        <f>if(ISNA(vlookup($A86,'Ultimate Draft Kit'!$B$2:$E$261,4, false)), 0, vlookup($A86,'Ultimate Draft Kit'!$B$2:$E$261, 4, false))</f>
        <v>9</v>
      </c>
      <c r="H86" s="36">
        <f>if(ISNA(vlookup($A86, FantasyPro!$B$2:$E$514,4,false)),0,vlookup($A86,FantasyPro!$B$2:$E$514,4,false))</f>
        <v>9</v>
      </c>
      <c r="I86" s="36">
        <f>if(ISNA(vlookup($A86, FFToolbox!$B$2:$E$618, 4, false)), 0, vlookup($A86, FFToolbox!$B$2:$E$618, 4, false))</f>
        <v>12</v>
      </c>
      <c r="J86" s="37">
        <f t="shared" si="1"/>
        <v>9.75</v>
      </c>
      <c r="K86" s="37">
        <f t="shared" si="2"/>
        <v>3</v>
      </c>
    </row>
    <row r="87" hidden="1">
      <c r="A87" s="13" t="s">
        <v>85</v>
      </c>
      <c r="B87" s="34" t="s">
        <v>1059</v>
      </c>
      <c r="C87" s="5" t="s">
        <v>86</v>
      </c>
      <c r="D87" s="5" t="s">
        <v>10</v>
      </c>
      <c r="E87" s="35">
        <f>vlookup(C87,'Team Bye List'!$A$1:$B$33,2,False)</f>
        <v>6</v>
      </c>
      <c r="F87" s="36">
        <f>if(ISNA(vlookup($A87, ESPN!$B$2:$E$1010, 4, false)), 0, vlookup($A87, ESPN!$B$2:$E$1010, 4, false))</f>
        <v>20</v>
      </c>
      <c r="G87" s="36">
        <f>if(ISNA(vlookup($A87,'Ultimate Draft Kit'!$B$2:$E$261,4, false)), 0, vlookup($A87,'Ultimate Draft Kit'!$B$2:$E$261, 4, false))</f>
        <v>5</v>
      </c>
      <c r="H87" s="36">
        <f>if(ISNA(vlookup($A87, FantasyPro!$B$2:$E$514,4,false)),0,vlookup($A87,FantasyPro!$B$2:$E$514,4,false))</f>
        <v>4</v>
      </c>
      <c r="I87" s="36">
        <f>if(ISNA(vlookup($A87, FFToolbox!$B$2:$E$618, 4, false)), 0, vlookup($A87, FFToolbox!$B$2:$E$618, 4, false))</f>
        <v>10</v>
      </c>
      <c r="J87" s="37">
        <f t="shared" si="1"/>
        <v>9.75</v>
      </c>
      <c r="K87" s="37">
        <f t="shared" si="2"/>
        <v>16</v>
      </c>
    </row>
    <row r="88" hidden="1">
      <c r="A88" s="13" t="s">
        <v>145</v>
      </c>
      <c r="B88" s="34" t="s">
        <v>1061</v>
      </c>
      <c r="C88" s="5" t="s">
        <v>69</v>
      </c>
      <c r="D88" s="5" t="s">
        <v>10</v>
      </c>
      <c r="E88" s="35">
        <f>vlookup(C88,'Team Bye List'!$A$1:$B$33,2,False)</f>
        <v>5</v>
      </c>
      <c r="F88" s="36">
        <f>if(ISNA(vlookup($A88, ESPN!$B$2:$E$1010, 4, false)), 0, vlookup($A88, ESPN!$B$2:$E$1010, 4, false))</f>
        <v>6</v>
      </c>
      <c r="G88" s="36">
        <f>if(ISNA(vlookup($A88,'Ultimate Draft Kit'!$B$2:$E$261,4, false)), 0, vlookup($A88,'Ultimate Draft Kit'!$B$2:$E$261, 4, false))</f>
        <v>7</v>
      </c>
      <c r="H88" s="36">
        <f>if(ISNA(vlookup($A88, FantasyPro!$B$2:$E$514,4,false)),0,vlookup($A88,FantasyPro!$B$2:$E$514,4,false))</f>
        <v>7</v>
      </c>
      <c r="I88" s="36">
        <f>if(ISNA(vlookup($A88, FFToolbox!$B$2:$E$618, 4, false)), 0, vlookup($A88, FFToolbox!$B$2:$E$618, 4, false))</f>
        <v>16</v>
      </c>
      <c r="J88" s="37">
        <f t="shared" si="1"/>
        <v>9</v>
      </c>
      <c r="K88" s="37">
        <f t="shared" si="2"/>
        <v>10</v>
      </c>
    </row>
    <row r="89" hidden="1">
      <c r="A89" s="13" t="s">
        <v>127</v>
      </c>
      <c r="B89" s="34" t="s">
        <v>1061</v>
      </c>
      <c r="C89" s="5" t="s">
        <v>56</v>
      </c>
      <c r="D89" s="5" t="s">
        <v>10</v>
      </c>
      <c r="E89" s="35">
        <f>vlookup(C89,'Team Bye List'!$A$1:$B$33,2,False)</f>
        <v>5</v>
      </c>
      <c r="F89" s="36">
        <f>if(ISNA(vlookup($A89, ESPN!$B$2:$E$1010, 4, false)), 0, vlookup($A89, ESPN!$B$2:$E$1010, 4, false))</f>
        <v>8</v>
      </c>
      <c r="G89" s="36">
        <f>if(ISNA(vlookup($A89,'Ultimate Draft Kit'!$B$2:$E$261,4, false)), 0, vlookup($A89,'Ultimate Draft Kit'!$B$2:$E$261, 4, false))</f>
        <v>4</v>
      </c>
      <c r="H89" s="36">
        <f>if(ISNA(vlookup($A89, FantasyPro!$B$2:$E$514,4,false)),0,vlookup($A89,FantasyPro!$B$2:$E$514,4,false))</f>
        <v>6</v>
      </c>
      <c r="I89" s="36">
        <f>if(ISNA(vlookup($A89, FFToolbox!$B$2:$E$618, 4, false)), 0, vlookup($A89, FFToolbox!$B$2:$E$618, 4, false))</f>
        <v>18</v>
      </c>
      <c r="J89" s="37">
        <f t="shared" si="1"/>
        <v>9</v>
      </c>
      <c r="K89" s="37">
        <f t="shared" si="2"/>
        <v>14</v>
      </c>
    </row>
    <row r="90" hidden="1">
      <c r="A90" s="13" t="s">
        <v>114</v>
      </c>
      <c r="B90" s="34" t="s">
        <v>1059</v>
      </c>
      <c r="C90" s="5" t="s">
        <v>38</v>
      </c>
      <c r="D90" s="5" t="s">
        <v>16</v>
      </c>
      <c r="E90" s="35">
        <f>vlookup(C90,'Team Bye List'!$A$1:$B$33,2,False)</f>
        <v>12</v>
      </c>
      <c r="F90" s="36">
        <f>if(ISNA(vlookup($A90, ESPN!$B$2:$E$1010, 4, false)), 0, vlookup($A90, ESPN!$B$2:$E$1010, 4, false))</f>
        <v>12</v>
      </c>
      <c r="G90" s="36">
        <f>if(ISNA(vlookup($A90,'Ultimate Draft Kit'!$B$2:$E$261,4, false)), 0, vlookup($A90,'Ultimate Draft Kit'!$B$2:$E$261, 4, false))</f>
        <v>2</v>
      </c>
      <c r="H90" s="36">
        <f>if(ISNA(vlookup($A90, FantasyPro!$B$2:$E$514,4,false)),0,vlookup($A90,FantasyPro!$B$2:$E$514,4,false))</f>
        <v>6</v>
      </c>
      <c r="I90" s="36">
        <f>if(ISNA(vlookup($A90, FFToolbox!$B$2:$E$618, 4, false)), 0, vlookup($A90, FFToolbox!$B$2:$E$618, 4, false))</f>
        <v>16</v>
      </c>
      <c r="J90" s="37">
        <f t="shared" si="1"/>
        <v>9</v>
      </c>
      <c r="K90" s="37">
        <f t="shared" si="2"/>
        <v>14</v>
      </c>
    </row>
    <row r="91" hidden="1">
      <c r="A91" s="13" t="s">
        <v>131</v>
      </c>
      <c r="B91" s="34" t="s">
        <v>1059</v>
      </c>
      <c r="C91" s="5" t="s">
        <v>29</v>
      </c>
      <c r="D91" s="5" t="s">
        <v>25</v>
      </c>
      <c r="E91" s="35">
        <f>vlookup(C91,'Team Bye List'!$A$1:$B$33,2,False)</f>
        <v>11</v>
      </c>
      <c r="F91" s="36">
        <f>if(ISNA(vlookup($A91, ESPN!$B$2:$E$1010, 4, false)), 0, vlookup($A91, ESPN!$B$2:$E$1010, 4, false))</f>
        <v>8</v>
      </c>
      <c r="G91" s="36">
        <f>if(ISNA(vlookup($A91,'Ultimate Draft Kit'!$B$2:$E$261,4, false)), 0, vlookup($A91,'Ultimate Draft Kit'!$B$2:$E$261, 4, false))</f>
        <v>12</v>
      </c>
      <c r="H91" s="36">
        <f>if(ISNA(vlookup($A91, FantasyPro!$B$2:$E$514,4,false)),0,vlookup($A91,FantasyPro!$B$2:$E$514,4,false))</f>
        <v>6</v>
      </c>
      <c r="I91" s="36">
        <f>if(ISNA(vlookup($A91, FFToolbox!$B$2:$E$618, 4, false)), 0, vlookup($A91, FFToolbox!$B$2:$E$618, 4, false))</f>
        <v>8</v>
      </c>
      <c r="J91" s="37">
        <f t="shared" si="1"/>
        <v>8.5</v>
      </c>
      <c r="K91" s="37">
        <f t="shared" si="2"/>
        <v>6</v>
      </c>
    </row>
    <row r="92" hidden="1">
      <c r="A92" s="13" t="s">
        <v>120</v>
      </c>
      <c r="B92" s="34" t="s">
        <v>1061</v>
      </c>
      <c r="C92" s="5" t="s">
        <v>96</v>
      </c>
      <c r="D92" s="5" t="s">
        <v>16</v>
      </c>
      <c r="E92" s="38">
        <f>vlookup(C92,'Team Bye List'!$A$1:$B$33,2,False)</f>
        <v>10</v>
      </c>
      <c r="F92" s="36">
        <f>if(ISNA(vlookup($A92, ESPN!$B$2:$E$1010, 4, false)), 0, vlookup($A92, ESPN!$B$2:$E$1010, 4, false))</f>
        <v>11</v>
      </c>
      <c r="G92" s="36">
        <f>if(ISNA(vlookup($A92,'Ultimate Draft Kit'!$B$2:$E$261,4, false)), 0, vlookup($A92,'Ultimate Draft Kit'!$B$2:$E$261, 4, false))</f>
        <v>3</v>
      </c>
      <c r="H92" s="36">
        <f>if(ISNA(vlookup($A92, FantasyPro!$B$2:$E$514,4,false)),0,vlookup($A92,FantasyPro!$B$2:$E$514,4,false))</f>
        <v>11</v>
      </c>
      <c r="I92" s="36">
        <f>if(ISNA(vlookup($A92, FFToolbox!$B$2:$E$618, 4, false)), 0, vlookup($A92, FFToolbox!$B$2:$E$618, 4, false))</f>
        <v>8</v>
      </c>
      <c r="J92" s="37">
        <f t="shared" si="1"/>
        <v>8.25</v>
      </c>
      <c r="K92" s="37">
        <f t="shared" si="2"/>
        <v>8</v>
      </c>
    </row>
    <row r="93" hidden="1">
      <c r="A93" s="13" t="s">
        <v>301</v>
      </c>
      <c r="B93" s="34" t="s">
        <v>1059</v>
      </c>
      <c r="C93" s="5" t="s">
        <v>12</v>
      </c>
      <c r="D93" s="5" t="s">
        <v>7</v>
      </c>
      <c r="E93" s="35">
        <f>vlookup(C93,'Team Bye List'!$A$1:$B$33,2,False)</f>
        <v>8</v>
      </c>
      <c r="F93" s="36">
        <f>if(ISNA(vlookup($A93, ESPN!$B$2:$E$1010, 4, false)), 0, vlookup($A93, ESPN!$B$2:$E$1010, 4, false))</f>
        <v>0</v>
      </c>
      <c r="G93" s="36">
        <f>if(ISNA(vlookup($A93,'Ultimate Draft Kit'!$B$2:$E$261,4, false)), 0, vlookup($A93,'Ultimate Draft Kit'!$B$2:$E$261, 4, false))</f>
        <v>1</v>
      </c>
      <c r="H93" s="36">
        <f>if(ISNA(vlookup($A93, FantasyPro!$B$2:$E$514,4,false)),0,vlookup($A93,FantasyPro!$B$2:$E$514,4,false))</f>
        <v>9</v>
      </c>
      <c r="I93" s="36">
        <f>if(ISNA(vlookup($A93, FFToolbox!$B$2:$E$618, 4, false)), 0, vlookup($A93, FFToolbox!$B$2:$E$618, 4, false))</f>
        <v>22</v>
      </c>
      <c r="J93" s="37">
        <f t="shared" si="1"/>
        <v>8</v>
      </c>
      <c r="K93" s="37">
        <f t="shared" si="2"/>
        <v>22</v>
      </c>
    </row>
    <row r="94" hidden="1">
      <c r="A94" s="13" t="s">
        <v>119</v>
      </c>
      <c r="B94" s="34" t="s">
        <v>1059</v>
      </c>
      <c r="C94" s="5" t="s">
        <v>44</v>
      </c>
      <c r="D94" s="5" t="s">
        <v>16</v>
      </c>
      <c r="E94" s="35">
        <f>vlookup(C94,'Team Bye List'!$A$1:$B$33,2,False)</f>
        <v>10</v>
      </c>
      <c r="F94" s="36">
        <f>if(ISNA(vlookup($A94, ESPN!$B$2:$E$1010, 4, false)), 0, vlookup($A94, ESPN!$B$2:$E$1010, 4, false))</f>
        <v>11</v>
      </c>
      <c r="G94" s="36">
        <f>if(ISNA(vlookup($A94,'Ultimate Draft Kit'!$B$2:$E$261,4, false)), 0, vlookup($A94,'Ultimate Draft Kit'!$B$2:$E$261, 4, false))</f>
        <v>1</v>
      </c>
      <c r="H94" s="36">
        <f>if(ISNA(vlookup($A94, FantasyPro!$B$2:$E$514,4,false)),0,vlookup($A94,FantasyPro!$B$2:$E$514,4,false))</f>
        <v>8</v>
      </c>
      <c r="I94" s="36">
        <f>if(ISNA(vlookup($A94, FFToolbox!$B$2:$E$618, 4, false)), 0, vlookup($A94, FFToolbox!$B$2:$E$618, 4, false))</f>
        <v>12</v>
      </c>
      <c r="J94" s="37">
        <f t="shared" si="1"/>
        <v>8</v>
      </c>
      <c r="K94" s="37">
        <f t="shared" si="2"/>
        <v>11</v>
      </c>
    </row>
    <row r="95" hidden="1">
      <c r="A95" s="13" t="s">
        <v>103</v>
      </c>
      <c r="B95" s="34" t="s">
        <v>1059</v>
      </c>
      <c r="C95" s="5" t="s">
        <v>104</v>
      </c>
      <c r="D95" s="5" t="s">
        <v>25</v>
      </c>
      <c r="E95" s="35">
        <f>vlookup(C95,'Team Bye List'!$A$1:$B$33,2,False)</f>
        <v>7</v>
      </c>
      <c r="F95" s="36">
        <f>if(ISNA(vlookup($A95, ESPN!$B$2:$E$1010, 4, false)), 0, vlookup($A95, ESPN!$B$2:$E$1010, 4, false))</f>
        <v>15</v>
      </c>
      <c r="G95" s="36">
        <f>if(ISNA(vlookup($A95,'Ultimate Draft Kit'!$B$2:$E$261,4, false)), 0, vlookup($A95,'Ultimate Draft Kit'!$B$2:$E$261, 4, false))</f>
        <v>0</v>
      </c>
      <c r="H95" s="36">
        <f>if(ISNA(vlookup($A95, FantasyPro!$B$2:$E$514,4,false)),0,vlookup($A95,FantasyPro!$B$2:$E$514,4,false))</f>
        <v>0</v>
      </c>
      <c r="I95" s="36">
        <f>if(ISNA(vlookup($A95, FFToolbox!$B$2:$E$618, 4, false)), 0, vlookup($A95, FFToolbox!$B$2:$E$618, 4, false))</f>
        <v>16</v>
      </c>
      <c r="J95" s="37">
        <f t="shared" si="1"/>
        <v>7.75</v>
      </c>
      <c r="K95" s="37">
        <f t="shared" si="2"/>
        <v>16</v>
      </c>
    </row>
    <row r="96" hidden="1">
      <c r="A96" s="13" t="s">
        <v>121</v>
      </c>
      <c r="B96" s="34" t="s">
        <v>1059</v>
      </c>
      <c r="C96" s="5" t="s">
        <v>59</v>
      </c>
      <c r="D96" s="5" t="s">
        <v>25</v>
      </c>
      <c r="E96" s="35">
        <f>vlookup(C96,'Team Bye List'!$A$1:$B$33,2,False)</f>
        <v>8</v>
      </c>
      <c r="F96" s="36">
        <f>if(ISNA(vlookup($A96, ESPN!$B$2:$E$1010, 4, false)), 0, vlookup($A96, ESPN!$B$2:$E$1010, 4, false))</f>
        <v>11</v>
      </c>
      <c r="G96" s="36">
        <f>if(ISNA(vlookup($A96,'Ultimate Draft Kit'!$B$2:$E$261,4, false)), 0, vlookup($A96,'Ultimate Draft Kit'!$B$2:$E$261, 4, false))</f>
        <v>5</v>
      </c>
      <c r="H96" s="36">
        <f>if(ISNA(vlookup($A96, FantasyPro!$B$2:$E$514,4,false)),0,vlookup($A96,FantasyPro!$B$2:$E$514,4,false))</f>
        <v>7</v>
      </c>
      <c r="I96" s="36">
        <f>if(ISNA(vlookup($A96, FFToolbox!$B$2:$E$618, 4, false)), 0, vlookup($A96, FFToolbox!$B$2:$E$618, 4, false))</f>
        <v>8</v>
      </c>
      <c r="J96" s="37">
        <f t="shared" si="1"/>
        <v>7.75</v>
      </c>
      <c r="K96" s="37">
        <f t="shared" si="2"/>
        <v>6</v>
      </c>
    </row>
    <row r="97" hidden="1">
      <c r="A97" s="13" t="s">
        <v>312</v>
      </c>
      <c r="B97" s="34" t="s">
        <v>1059</v>
      </c>
      <c r="C97" s="5" t="s">
        <v>86</v>
      </c>
      <c r="D97" s="5" t="s">
        <v>7</v>
      </c>
      <c r="E97" s="35">
        <f>vlookup(C97,'Team Bye List'!$A$1:$B$33,2,False)</f>
        <v>6</v>
      </c>
      <c r="F97" s="36">
        <f>if(ISNA(vlookup($A97, ESPN!$B$2:$E$1010, 4, false)), 0, vlookup($A97, ESPN!$B$2:$E$1010, 4, false))</f>
        <v>0</v>
      </c>
      <c r="G97" s="36">
        <f>if(ISNA(vlookup($A97,'Ultimate Draft Kit'!$B$2:$E$261,4, false)), 0, vlookup($A97,'Ultimate Draft Kit'!$B$2:$E$261, 4, false))</f>
        <v>8</v>
      </c>
      <c r="H97" s="36">
        <f>if(ISNA(vlookup($A97, FantasyPro!$B$2:$E$514,4,false)),0,vlookup($A97,FantasyPro!$B$2:$E$514,4,false))</f>
        <v>10</v>
      </c>
      <c r="I97" s="36">
        <f>if(ISNA(vlookup($A97, FFToolbox!$B$2:$E$618, 4, false)), 0, vlookup($A97, FFToolbox!$B$2:$E$618, 4, false))</f>
        <v>12</v>
      </c>
      <c r="J97" s="37">
        <f t="shared" si="1"/>
        <v>7.5</v>
      </c>
      <c r="K97" s="37">
        <f t="shared" si="2"/>
        <v>12</v>
      </c>
    </row>
    <row r="98" hidden="1">
      <c r="A98" s="13" t="s">
        <v>253</v>
      </c>
      <c r="B98" s="34" t="s">
        <v>1059</v>
      </c>
      <c r="C98" s="5" t="s">
        <v>63</v>
      </c>
      <c r="D98" s="5" t="s">
        <v>7</v>
      </c>
      <c r="E98" s="35">
        <f>vlookup(C98,'Team Bye List'!$A$1:$B$33,2,False)</f>
        <v>8</v>
      </c>
      <c r="F98" s="36">
        <f>if(ISNA(vlookup($A98, ESPN!$B$2:$E$1010, 4, false)), 0, vlookup($A98, ESPN!$B$2:$E$1010, 4, false))</f>
        <v>0</v>
      </c>
      <c r="G98" s="36">
        <f>if(ISNA(vlookup($A98,'Ultimate Draft Kit'!$B$2:$E$261,4, false)), 0, vlookup($A98,'Ultimate Draft Kit'!$B$2:$E$261, 4, false))</f>
        <v>12</v>
      </c>
      <c r="H98" s="36">
        <f>if(ISNA(vlookup($A98, FantasyPro!$B$2:$E$514,4,false)),0,vlookup($A98,FantasyPro!$B$2:$E$514,4,false))</f>
        <v>8</v>
      </c>
      <c r="I98" s="36">
        <f>if(ISNA(vlookup($A98, FFToolbox!$B$2:$E$618, 4, false)), 0, vlookup($A98, FFToolbox!$B$2:$E$618, 4, false))</f>
        <v>10</v>
      </c>
      <c r="J98" s="37">
        <f t="shared" si="1"/>
        <v>7.5</v>
      </c>
      <c r="K98" s="37">
        <f t="shared" si="2"/>
        <v>12</v>
      </c>
    </row>
    <row r="99" hidden="1">
      <c r="A99" s="13" t="s">
        <v>151</v>
      </c>
      <c r="B99" s="34" t="s">
        <v>1059</v>
      </c>
      <c r="C99" s="5" t="s">
        <v>134</v>
      </c>
      <c r="D99" s="5" t="s">
        <v>25</v>
      </c>
      <c r="E99" s="35">
        <f>vlookup(C99,'Team Bye List'!$A$1:$B$33,2,False)</f>
        <v>11</v>
      </c>
      <c r="F99" s="36">
        <f>if(ISNA(vlookup($A99, ESPN!$B$2:$E$1010, 4, false)), 0, vlookup($A99, ESPN!$B$2:$E$1010, 4, false))</f>
        <v>5</v>
      </c>
      <c r="G99" s="36">
        <f>if(ISNA(vlookup($A99,'Ultimate Draft Kit'!$B$2:$E$261,4, false)), 0, vlookup($A99,'Ultimate Draft Kit'!$B$2:$E$261, 4, false))</f>
        <v>11</v>
      </c>
      <c r="H99" s="36">
        <f>if(ISNA(vlookup($A99, FantasyPro!$B$2:$E$514,4,false)),0,vlookup($A99,FantasyPro!$B$2:$E$514,4,false))</f>
        <v>6</v>
      </c>
      <c r="I99" s="36">
        <f>if(ISNA(vlookup($A99, FFToolbox!$B$2:$E$618, 4, false)), 0, vlookup($A99, FFToolbox!$B$2:$E$618, 4, false))</f>
        <v>6</v>
      </c>
      <c r="J99" s="37">
        <f t="shared" si="1"/>
        <v>7</v>
      </c>
      <c r="K99" s="37">
        <f t="shared" si="2"/>
        <v>6</v>
      </c>
    </row>
    <row r="100" hidden="1">
      <c r="A100" s="13" t="s">
        <v>336</v>
      </c>
      <c r="B100" s="34" t="s">
        <v>1059</v>
      </c>
      <c r="C100" s="5" t="s">
        <v>102</v>
      </c>
      <c r="D100" s="5" t="s">
        <v>7</v>
      </c>
      <c r="E100" s="35">
        <f>vlookup(C100,'Team Bye List'!$A$1:$B$33,2,False)</f>
        <v>11</v>
      </c>
      <c r="F100" s="36">
        <f>if(ISNA(vlookup($A100, ESPN!$B$2:$E$1010, 4, false)), 0, vlookup($A100, ESPN!$B$2:$E$1010, 4, false))</f>
        <v>0</v>
      </c>
      <c r="G100" s="36">
        <f>if(ISNA(vlookup($A100,'Ultimate Draft Kit'!$B$2:$E$261,4, false)), 0, vlookup($A100,'Ultimate Draft Kit'!$B$2:$E$261, 4, false))</f>
        <v>11</v>
      </c>
      <c r="H100" s="36">
        <f>if(ISNA(vlookup($A100, FantasyPro!$B$2:$E$514,4,false)),0,vlookup($A100,FantasyPro!$B$2:$E$514,4,false))</f>
        <v>8</v>
      </c>
      <c r="I100" s="36">
        <f>if(ISNA(vlookup($A100, FFToolbox!$B$2:$E$618, 4, false)), 0, vlookup($A100, FFToolbox!$B$2:$E$618, 4, false))</f>
        <v>8</v>
      </c>
      <c r="J100" s="37">
        <f t="shared" si="1"/>
        <v>6.75</v>
      </c>
      <c r="K100" s="37">
        <f t="shared" si="2"/>
        <v>11</v>
      </c>
    </row>
    <row r="101" hidden="1">
      <c r="A101" s="13" t="s">
        <v>287</v>
      </c>
      <c r="B101" s="34" t="s">
        <v>1059</v>
      </c>
      <c r="C101" s="5" t="s">
        <v>27</v>
      </c>
      <c r="D101" s="5" t="s">
        <v>7</v>
      </c>
      <c r="E101" s="35">
        <f>vlookup(C101,'Team Bye List'!$A$1:$B$33,2,False)</f>
        <v>11</v>
      </c>
      <c r="F101" s="36">
        <f>if(ISNA(vlookup($A101, ESPN!$B$2:$E$1010, 4, false)), 0, vlookup($A101, ESPN!$B$2:$E$1010, 4, false))</f>
        <v>0</v>
      </c>
      <c r="G101" s="36">
        <f>if(ISNA(vlookup($A101,'Ultimate Draft Kit'!$B$2:$E$261,4, false)), 0, vlookup($A101,'Ultimate Draft Kit'!$B$2:$E$261, 4, false))</f>
        <v>11</v>
      </c>
      <c r="H101" s="36">
        <f>if(ISNA(vlookup($A101, FantasyPro!$B$2:$E$514,4,false)),0,vlookup($A101,FantasyPro!$B$2:$E$514,4,false))</f>
        <v>8</v>
      </c>
      <c r="I101" s="36">
        <f>if(ISNA(vlookup($A101, FFToolbox!$B$2:$E$618, 4, false)), 0, vlookup($A101, FFToolbox!$B$2:$E$618, 4, false))</f>
        <v>8</v>
      </c>
      <c r="J101" s="37">
        <f t="shared" si="1"/>
        <v>6.75</v>
      </c>
      <c r="K101" s="37">
        <f t="shared" si="2"/>
        <v>11</v>
      </c>
    </row>
    <row r="102" hidden="1">
      <c r="A102" s="13" t="s">
        <v>129</v>
      </c>
      <c r="B102" s="34" t="s">
        <v>1059</v>
      </c>
      <c r="C102" s="5" t="s">
        <v>102</v>
      </c>
      <c r="D102" s="5" t="s">
        <v>16</v>
      </c>
      <c r="E102" s="35">
        <f>vlookup(C102,'Team Bye List'!$A$1:$B$33,2,False)</f>
        <v>11</v>
      </c>
      <c r="F102" s="36">
        <f>if(ISNA(vlookup($A102, ESPN!$B$2:$E$1010, 4, false)), 0, vlookup($A102, ESPN!$B$2:$E$1010, 4, false))</f>
        <v>8</v>
      </c>
      <c r="G102" s="36">
        <f>if(ISNA(vlookup($A102,'Ultimate Draft Kit'!$B$2:$E$261,4, false)), 0, vlookup($A102,'Ultimate Draft Kit'!$B$2:$E$261, 4, false))</f>
        <v>7</v>
      </c>
      <c r="H102" s="36">
        <f>if(ISNA(vlookup($A102, FantasyPro!$B$2:$E$514,4,false)),0,vlookup($A102,FantasyPro!$B$2:$E$514,4,false))</f>
        <v>6</v>
      </c>
      <c r="I102" s="36">
        <f>if(ISNA(vlookup($A102, FFToolbox!$B$2:$E$618, 4, false)), 0, vlookup($A102, FFToolbox!$B$2:$E$618, 4, false))</f>
        <v>6</v>
      </c>
      <c r="J102" s="37">
        <f t="shared" si="1"/>
        <v>6.75</v>
      </c>
      <c r="K102" s="37">
        <f t="shared" si="2"/>
        <v>2</v>
      </c>
    </row>
    <row r="103" hidden="1">
      <c r="A103" s="13" t="s">
        <v>138</v>
      </c>
      <c r="B103" s="34" t="s">
        <v>1059</v>
      </c>
      <c r="C103" s="5" t="s">
        <v>24</v>
      </c>
      <c r="D103" s="5" t="s">
        <v>25</v>
      </c>
      <c r="E103" s="35">
        <f>vlookup(C103,'Team Bye List'!$A$1:$B$33,2,False)</f>
        <v>6</v>
      </c>
      <c r="F103" s="36">
        <f>if(ISNA(vlookup($A103, ESPN!$B$2:$E$1010, 4, false)), 0, vlookup($A103, ESPN!$B$2:$E$1010, 4, false))</f>
        <v>7</v>
      </c>
      <c r="G103" s="36">
        <f>if(ISNA(vlookup($A103,'Ultimate Draft Kit'!$B$2:$E$261,4, false)), 0, vlookup($A103,'Ultimate Draft Kit'!$B$2:$E$261, 4, false))</f>
        <v>7</v>
      </c>
      <c r="H103" s="36">
        <f>if(ISNA(vlookup($A103, FantasyPro!$B$2:$E$514,4,false)),0,vlookup($A103,FantasyPro!$B$2:$E$514,4,false))</f>
        <v>5</v>
      </c>
      <c r="I103" s="36">
        <f>if(ISNA(vlookup($A103, FFToolbox!$B$2:$E$618, 4, false)), 0, vlookup($A103, FFToolbox!$B$2:$E$618, 4, false))</f>
        <v>8</v>
      </c>
      <c r="J103" s="37">
        <f t="shared" si="1"/>
        <v>6.75</v>
      </c>
      <c r="K103" s="37">
        <f t="shared" si="2"/>
        <v>3</v>
      </c>
    </row>
    <row r="104" hidden="1">
      <c r="A104" s="13" t="s">
        <v>100</v>
      </c>
      <c r="B104" s="34" t="s">
        <v>1061</v>
      </c>
      <c r="C104" s="5" t="s">
        <v>18</v>
      </c>
      <c r="D104" s="5" t="s">
        <v>10</v>
      </c>
      <c r="E104" s="35">
        <f>vlookup(C104,'Team Bye List'!$A$1:$B$33,2,False)</f>
        <v>6</v>
      </c>
      <c r="F104" s="36">
        <f>if(ISNA(vlookup($A104, ESPN!$B$2:$E$1010, 4, false)), 0, vlookup($A104, ESPN!$B$2:$E$1010, 4, false))</f>
        <v>16</v>
      </c>
      <c r="G104" s="36">
        <f>if(ISNA(vlookup($A104,'Ultimate Draft Kit'!$B$2:$E$261,4, false)), 0, vlookup($A104,'Ultimate Draft Kit'!$B$2:$E$261, 4, false))</f>
        <v>2</v>
      </c>
      <c r="H104" s="36">
        <f>if(ISNA(vlookup($A104, FantasyPro!$B$2:$E$514,4,false)),0,vlookup($A104,FantasyPro!$B$2:$E$514,4,false))</f>
        <v>1</v>
      </c>
      <c r="I104" s="36">
        <f>if(ISNA(vlookup($A104, FFToolbox!$B$2:$E$618, 4, false)), 0, vlookup($A104, FFToolbox!$B$2:$E$618, 4, false))</f>
        <v>8</v>
      </c>
      <c r="J104" s="37">
        <f t="shared" si="1"/>
        <v>6.75</v>
      </c>
      <c r="K104" s="37">
        <f t="shared" si="2"/>
        <v>15</v>
      </c>
    </row>
    <row r="105" hidden="1">
      <c r="A105" s="13" t="s">
        <v>323</v>
      </c>
      <c r="B105" s="34" t="s">
        <v>1059</v>
      </c>
      <c r="C105" s="5" t="s">
        <v>77</v>
      </c>
      <c r="D105" s="5" t="s">
        <v>7</v>
      </c>
      <c r="E105" s="35">
        <f>vlookup(C105,'Team Bye List'!$A$1:$B$33,2,False)</f>
        <v>11</v>
      </c>
      <c r="F105" s="36">
        <f>if(ISNA(vlookup($A105, ESPN!$B$2:$E$1010, 4, false)), 0, vlookup($A105, ESPN!$B$2:$E$1010, 4, false))</f>
        <v>0</v>
      </c>
      <c r="G105" s="36">
        <f>if(ISNA(vlookup($A105,'Ultimate Draft Kit'!$B$2:$E$261,4, false)), 0, vlookup($A105,'Ultimate Draft Kit'!$B$2:$E$261, 4, false))</f>
        <v>9</v>
      </c>
      <c r="H105" s="36">
        <f>if(ISNA(vlookup($A105, FantasyPro!$B$2:$E$514,4,false)),0,vlookup($A105,FantasyPro!$B$2:$E$514,4,false))</f>
        <v>8</v>
      </c>
      <c r="I105" s="36">
        <f>if(ISNA(vlookup($A105, FFToolbox!$B$2:$E$618, 4, false)), 0, vlookup($A105, FFToolbox!$B$2:$E$618, 4, false))</f>
        <v>8</v>
      </c>
      <c r="J105" s="37">
        <f t="shared" si="1"/>
        <v>6.25</v>
      </c>
      <c r="K105" s="37">
        <f t="shared" si="2"/>
        <v>9</v>
      </c>
    </row>
    <row r="106" hidden="1">
      <c r="A106" s="13" t="s">
        <v>646</v>
      </c>
      <c r="B106" s="34" t="s">
        <v>1059</v>
      </c>
      <c r="C106" s="5" t="s">
        <v>27</v>
      </c>
      <c r="D106" s="5" t="s">
        <v>25</v>
      </c>
      <c r="E106" s="35">
        <f>vlookup(C106,'Team Bye List'!$A$1:$B$33,2,False)</f>
        <v>11</v>
      </c>
      <c r="F106" s="36">
        <f>if(ISNA(vlookup($A106, ESPN!$B$2:$E$1010, 4, false)), 0, vlookup($A106, ESPN!$B$2:$E$1010, 4, false))</f>
        <v>0</v>
      </c>
      <c r="G106" s="36">
        <f>if(ISNA(vlookup($A106,'Ultimate Draft Kit'!$B$2:$E$261,4, false)), 0, vlookup($A106,'Ultimate Draft Kit'!$B$2:$E$261, 4, false))</f>
        <v>11</v>
      </c>
      <c r="H106" s="36">
        <f>if(ISNA(vlookup($A106, FantasyPro!$B$2:$E$514,4,false)),0,vlookup($A106,FantasyPro!$B$2:$E$514,4,false))</f>
        <v>5</v>
      </c>
      <c r="I106" s="36">
        <f>if(ISNA(vlookup($A106, FFToolbox!$B$2:$E$618, 4, false)), 0, vlookup($A106, FFToolbox!$B$2:$E$618, 4, false))</f>
        <v>8</v>
      </c>
      <c r="J106" s="37">
        <f t="shared" si="1"/>
        <v>6</v>
      </c>
      <c r="K106" s="37">
        <f t="shared" si="2"/>
        <v>11</v>
      </c>
    </row>
    <row r="107" hidden="1">
      <c r="A107" s="13" t="s">
        <v>359</v>
      </c>
      <c r="B107" s="34" t="s">
        <v>1059</v>
      </c>
      <c r="C107" s="5" t="s">
        <v>92</v>
      </c>
      <c r="D107" s="5" t="s">
        <v>7</v>
      </c>
      <c r="E107" s="35">
        <f>vlookup(C107,'Team Bye List'!$A$1:$B$33,2,False)</f>
        <v>8</v>
      </c>
      <c r="F107" s="36">
        <f>if(ISNA(vlookup($A107, ESPN!$B$2:$E$1010, 4, false)), 0, vlookup($A107, ESPN!$B$2:$E$1010, 4, false))</f>
        <v>0</v>
      </c>
      <c r="G107" s="36">
        <f>if(ISNA(vlookup($A107,'Ultimate Draft Kit'!$B$2:$E$261,4, false)), 0, vlookup($A107,'Ultimate Draft Kit'!$B$2:$E$261, 4, false))</f>
        <v>10</v>
      </c>
      <c r="H107" s="36">
        <f>if(ISNA(vlookup($A107, FantasyPro!$B$2:$E$514,4,false)),0,vlookup($A107,FantasyPro!$B$2:$E$514,4,false))</f>
        <v>4</v>
      </c>
      <c r="I107" s="36">
        <f>if(ISNA(vlookup($A107, FFToolbox!$B$2:$E$618, 4, false)), 0, vlookup($A107, FFToolbox!$B$2:$E$618, 4, false))</f>
        <v>10</v>
      </c>
      <c r="J107" s="37">
        <f t="shared" si="1"/>
        <v>6</v>
      </c>
      <c r="K107" s="37">
        <f t="shared" si="2"/>
        <v>10</v>
      </c>
    </row>
    <row r="108" hidden="1">
      <c r="A108" s="13" t="s">
        <v>277</v>
      </c>
      <c r="B108" s="34" t="s">
        <v>1061</v>
      </c>
      <c r="C108" s="5" t="s">
        <v>48</v>
      </c>
      <c r="D108" s="5" t="s">
        <v>7</v>
      </c>
      <c r="E108" s="35">
        <f>vlookup(C108,'Team Bye List'!$A$1:$B$33,2,False)</f>
        <v>11</v>
      </c>
      <c r="F108" s="36">
        <f>if(ISNA(vlookup($A108, ESPN!$B$2:$E$1010, 4, false)), 0, vlookup($A108, ESPN!$B$2:$E$1010, 4, false))</f>
        <v>0</v>
      </c>
      <c r="G108" s="36">
        <f>if(ISNA(vlookup($A108,'Ultimate Draft Kit'!$B$2:$E$261,4, false)), 0, vlookup($A108,'Ultimate Draft Kit'!$B$2:$E$261, 4, false))</f>
        <v>7</v>
      </c>
      <c r="H108" s="36">
        <f>if(ISNA(vlookup($A108, FantasyPro!$B$2:$E$514,4,false)),0,vlookup($A108,FantasyPro!$B$2:$E$514,4,false))</f>
        <v>7</v>
      </c>
      <c r="I108" s="36">
        <f>if(ISNA(vlookup($A108, FFToolbox!$B$2:$E$618, 4, false)), 0, vlookup($A108, FFToolbox!$B$2:$E$618, 4, false))</f>
        <v>10</v>
      </c>
      <c r="J108" s="37">
        <f t="shared" si="1"/>
        <v>6</v>
      </c>
      <c r="K108" s="37">
        <f t="shared" si="2"/>
        <v>10</v>
      </c>
    </row>
    <row r="109" hidden="1">
      <c r="A109" s="13" t="s">
        <v>156</v>
      </c>
      <c r="B109" s="34" t="s">
        <v>1061</v>
      </c>
      <c r="C109" s="5" t="s">
        <v>29</v>
      </c>
      <c r="D109" s="5" t="s">
        <v>25</v>
      </c>
      <c r="E109" s="35">
        <f>vlookup(C109,'Team Bye List'!$A$1:$B$33,2,False)</f>
        <v>11</v>
      </c>
      <c r="F109" s="36">
        <f>if(ISNA(vlookup($A109, ESPN!$B$2:$E$1010, 4, false)), 0, vlookup($A109, ESPN!$B$2:$E$1010, 4, false))</f>
        <v>3</v>
      </c>
      <c r="G109" s="36">
        <f>if(ISNA(vlookup($A109,'Ultimate Draft Kit'!$B$2:$E$261,4, false)), 0, vlookup($A109,'Ultimate Draft Kit'!$B$2:$E$261, 4, false))</f>
        <v>7</v>
      </c>
      <c r="H109" s="36">
        <f>if(ISNA(vlookup($A109, FantasyPro!$B$2:$E$514,4,false)),0,vlookup($A109,FantasyPro!$B$2:$E$514,4,false))</f>
        <v>6</v>
      </c>
      <c r="I109" s="36">
        <f>if(ISNA(vlookup($A109, FFToolbox!$B$2:$E$618, 4, false)), 0, vlookup($A109, FFToolbox!$B$2:$E$618, 4, false))</f>
        <v>8</v>
      </c>
      <c r="J109" s="37">
        <f t="shared" si="1"/>
        <v>6</v>
      </c>
      <c r="K109" s="37">
        <f t="shared" si="2"/>
        <v>5</v>
      </c>
    </row>
    <row r="110" hidden="1">
      <c r="A110" s="13" t="s">
        <v>135</v>
      </c>
      <c r="B110" s="34" t="s">
        <v>1061</v>
      </c>
      <c r="C110" s="5" t="s">
        <v>48</v>
      </c>
      <c r="D110" s="5" t="s">
        <v>25</v>
      </c>
      <c r="E110" s="35">
        <f>vlookup(C110,'Team Bye List'!$A$1:$B$33,2,False)</f>
        <v>11</v>
      </c>
      <c r="F110" s="36">
        <f>if(ISNA(vlookup($A110, ESPN!$B$2:$E$1010, 4, false)), 0, vlookup($A110, ESPN!$B$2:$E$1010, 4, false))</f>
        <v>8</v>
      </c>
      <c r="G110" s="36">
        <f>if(ISNA(vlookup($A110,'Ultimate Draft Kit'!$B$2:$E$261,4, false)), 0, vlookup($A110,'Ultimate Draft Kit'!$B$2:$E$261, 4, false))</f>
        <v>2</v>
      </c>
      <c r="H110" s="36">
        <f>if(ISNA(vlookup($A110, FantasyPro!$B$2:$E$514,4,false)),0,vlookup($A110,FantasyPro!$B$2:$E$514,4,false))</f>
        <v>6</v>
      </c>
      <c r="I110" s="36">
        <f>if(ISNA(vlookup($A110, FFToolbox!$B$2:$E$618, 4, false)), 0, vlookup($A110, FFToolbox!$B$2:$E$618, 4, false))</f>
        <v>8</v>
      </c>
      <c r="J110" s="37">
        <f t="shared" si="1"/>
        <v>6</v>
      </c>
      <c r="K110" s="37">
        <f t="shared" si="2"/>
        <v>6</v>
      </c>
    </row>
    <row r="111" hidden="1">
      <c r="A111" s="13" t="s">
        <v>278</v>
      </c>
      <c r="B111" s="34" t="s">
        <v>1059</v>
      </c>
      <c r="C111" s="5" t="s">
        <v>69</v>
      </c>
      <c r="D111" s="5" t="s">
        <v>7</v>
      </c>
      <c r="E111" s="35">
        <f>vlookup(C111,'Team Bye List'!$A$1:$B$33,2,False)</f>
        <v>5</v>
      </c>
      <c r="F111" s="36">
        <f>if(ISNA(vlookup($A111, ESPN!$B$2:$E$1010, 4, false)), 0, vlookup($A111, ESPN!$B$2:$E$1010, 4, false))</f>
        <v>0</v>
      </c>
      <c r="G111" s="36">
        <f>if(ISNA(vlookup($A111,'Ultimate Draft Kit'!$B$2:$E$261,4, false)), 0, vlookup($A111,'Ultimate Draft Kit'!$B$2:$E$261, 4, false))</f>
        <v>7</v>
      </c>
      <c r="H111" s="36">
        <f>if(ISNA(vlookup($A111, FantasyPro!$B$2:$E$514,4,false)),0,vlookup($A111,FantasyPro!$B$2:$E$514,4,false))</f>
        <v>8</v>
      </c>
      <c r="I111" s="36">
        <f>if(ISNA(vlookup($A111, FFToolbox!$B$2:$E$618, 4, false)), 0, vlookup($A111, FFToolbox!$B$2:$E$618, 4, false))</f>
        <v>8</v>
      </c>
      <c r="J111" s="37">
        <f t="shared" si="1"/>
        <v>5.75</v>
      </c>
      <c r="K111" s="37">
        <f t="shared" si="2"/>
        <v>8</v>
      </c>
    </row>
    <row r="112" hidden="1">
      <c r="A112" s="13" t="s">
        <v>163</v>
      </c>
      <c r="B112" s="34" t="s">
        <v>1059</v>
      </c>
      <c r="C112" s="5" t="s">
        <v>63</v>
      </c>
      <c r="D112" s="5" t="s">
        <v>25</v>
      </c>
      <c r="E112" s="35">
        <f>vlookup(C112,'Team Bye List'!$A$1:$B$33,2,False)</f>
        <v>8</v>
      </c>
      <c r="F112" s="36">
        <f>if(ISNA(vlookup($A112, ESPN!$B$2:$E$1010, 4, false)), 0, vlookup($A112, ESPN!$B$2:$E$1010, 4, false))</f>
        <v>2</v>
      </c>
      <c r="G112" s="36">
        <f>if(ISNA(vlookup($A112,'Ultimate Draft Kit'!$B$2:$E$261,4, false)), 0, vlookup($A112,'Ultimate Draft Kit'!$B$2:$E$261, 4, false))</f>
        <v>5</v>
      </c>
      <c r="H112" s="36">
        <f>if(ISNA(vlookup($A112, FantasyPro!$B$2:$E$514,4,false)),0,vlookup($A112,FantasyPro!$B$2:$E$514,4,false))</f>
        <v>2</v>
      </c>
      <c r="I112" s="36">
        <f>if(ISNA(vlookup($A112, FFToolbox!$B$2:$E$618, 4, false)), 0, vlookup($A112, FFToolbox!$B$2:$E$618, 4, false))</f>
        <v>14</v>
      </c>
      <c r="J112" s="37">
        <f t="shared" si="1"/>
        <v>5.75</v>
      </c>
      <c r="K112" s="37">
        <f t="shared" si="2"/>
        <v>12</v>
      </c>
    </row>
    <row r="113" hidden="1">
      <c r="A113" s="13" t="s">
        <v>115</v>
      </c>
      <c r="B113" s="34" t="s">
        <v>1059</v>
      </c>
      <c r="C113" s="5" t="s">
        <v>63</v>
      </c>
      <c r="D113" s="5" t="s">
        <v>16</v>
      </c>
      <c r="E113" s="35">
        <f>vlookup(C113,'Team Bye List'!$A$1:$B$33,2,False)</f>
        <v>8</v>
      </c>
      <c r="F113" s="36">
        <f>if(ISNA(vlookup($A113, ESPN!$B$2:$E$1010, 4, false)), 0, vlookup($A113, ESPN!$B$2:$E$1010, 4, false))</f>
        <v>12</v>
      </c>
      <c r="G113" s="36">
        <f>if(ISNA(vlookup($A113,'Ultimate Draft Kit'!$B$2:$E$261,4, false)), 0, vlookup($A113,'Ultimate Draft Kit'!$B$2:$E$261, 4, false))</f>
        <v>2</v>
      </c>
      <c r="H113" s="36">
        <f>if(ISNA(vlookup($A113, FantasyPro!$B$2:$E$514,4,false)),0,vlookup($A113,FantasyPro!$B$2:$E$514,4,false))</f>
        <v>3</v>
      </c>
      <c r="I113" s="36">
        <f>if(ISNA(vlookup($A113, FFToolbox!$B$2:$E$618, 4, false)), 0, vlookup($A113, FFToolbox!$B$2:$E$618, 4, false))</f>
        <v>6</v>
      </c>
      <c r="J113" s="37">
        <f t="shared" si="1"/>
        <v>5.75</v>
      </c>
      <c r="K113" s="37">
        <f t="shared" si="2"/>
        <v>10</v>
      </c>
    </row>
    <row r="114" hidden="1">
      <c r="A114" s="13" t="s">
        <v>155</v>
      </c>
      <c r="B114" s="34" t="s">
        <v>1061</v>
      </c>
      <c r="C114" s="5" t="s">
        <v>29</v>
      </c>
      <c r="D114" s="5" t="s">
        <v>25</v>
      </c>
      <c r="E114" s="35">
        <f>vlookup(C114,'Team Bye List'!$A$1:$B$33,2,False)</f>
        <v>11</v>
      </c>
      <c r="F114" s="36">
        <f>if(ISNA(vlookup($A114, ESPN!$B$2:$E$1010, 4, false)), 0, vlookup($A114, ESPN!$B$2:$E$1010, 4, false))</f>
        <v>4</v>
      </c>
      <c r="G114" s="36">
        <f>if(ISNA(vlookup($A114,'Ultimate Draft Kit'!$B$2:$E$261,4, false)), 0, vlookup($A114,'Ultimate Draft Kit'!$B$2:$E$261, 4, false))</f>
        <v>7</v>
      </c>
      <c r="H114" s="36">
        <f>if(ISNA(vlookup($A114, FantasyPro!$B$2:$E$514,4,false)),0,vlookup($A114,FantasyPro!$B$2:$E$514,4,false))</f>
        <v>4</v>
      </c>
      <c r="I114" s="36">
        <f>if(ISNA(vlookup($A114, FFToolbox!$B$2:$E$618, 4, false)), 0, vlookup($A114, FFToolbox!$B$2:$E$618, 4, false))</f>
        <v>8</v>
      </c>
      <c r="J114" s="37">
        <f t="shared" si="1"/>
        <v>5.75</v>
      </c>
      <c r="K114" s="37">
        <f t="shared" si="2"/>
        <v>4</v>
      </c>
    </row>
    <row r="115" hidden="1">
      <c r="A115" s="13" t="s">
        <v>130</v>
      </c>
      <c r="B115" s="34" t="s">
        <v>1061</v>
      </c>
      <c r="C115" s="5" t="s">
        <v>69</v>
      </c>
      <c r="D115" s="5" t="s">
        <v>16</v>
      </c>
      <c r="E115" s="35">
        <f>vlookup(C115,'Team Bye List'!$A$1:$B$33,2,False)</f>
        <v>5</v>
      </c>
      <c r="F115" s="36">
        <f>if(ISNA(vlookup($A115, ESPN!$B$2:$E$1010, 4, false)), 0, vlookup($A115, ESPN!$B$2:$E$1010, 4, false))</f>
        <v>8</v>
      </c>
      <c r="G115" s="36">
        <f>if(ISNA(vlookup($A115,'Ultimate Draft Kit'!$B$2:$E$261,4, false)), 0, vlookup($A115,'Ultimate Draft Kit'!$B$2:$E$261, 4, false))</f>
        <v>1</v>
      </c>
      <c r="H115" s="36">
        <f>if(ISNA(vlookup($A115, FantasyPro!$B$2:$E$514,4,false)),0,vlookup($A115,FantasyPro!$B$2:$E$514,4,false))</f>
        <v>4</v>
      </c>
      <c r="I115" s="36">
        <f>if(ISNA(vlookup($A115, FFToolbox!$B$2:$E$618, 4, false)), 0, vlookup($A115, FFToolbox!$B$2:$E$618, 4, false))</f>
        <v>8</v>
      </c>
      <c r="J115" s="37">
        <f t="shared" si="1"/>
        <v>5.25</v>
      </c>
      <c r="K115" s="37">
        <f t="shared" si="2"/>
        <v>7</v>
      </c>
    </row>
    <row r="116" hidden="1">
      <c r="A116" s="13" t="s">
        <v>331</v>
      </c>
      <c r="B116" s="34" t="s">
        <v>1061</v>
      </c>
      <c r="C116" s="5" t="s">
        <v>257</v>
      </c>
      <c r="D116" s="5" t="s">
        <v>7</v>
      </c>
      <c r="E116" s="35" t="str">
        <f>vlookup(C116,'Team Bye List'!$A$1:$B$33,2,False)</f>
        <v>#N/A</v>
      </c>
      <c r="F116" s="36">
        <f>if(ISNA(vlookup($A116, ESPN!$B$2:$E$1010, 4, false)), 0, vlookup($A116, ESPN!$B$2:$E$1010, 4, false))</f>
        <v>0</v>
      </c>
      <c r="G116" s="36">
        <f>if(ISNA(vlookup($A116,'Ultimate Draft Kit'!$B$2:$E$261,4, false)), 0, vlookup($A116,'Ultimate Draft Kit'!$B$2:$E$261, 4, false))</f>
        <v>2</v>
      </c>
      <c r="H116" s="36">
        <f>if(ISNA(vlookup($A116, FantasyPro!$B$2:$E$514,4,false)),0,vlookup($A116,FantasyPro!$B$2:$E$514,4,false))</f>
        <v>4</v>
      </c>
      <c r="I116" s="36">
        <f>if(ISNA(vlookup($A116, FFToolbox!$B$2:$E$618, 4, false)), 0, vlookup($A116, FFToolbox!$B$2:$E$618, 4, false))</f>
        <v>8</v>
      </c>
      <c r="J116" s="37">
        <f t="shared" si="1"/>
        <v>3.5</v>
      </c>
      <c r="K116" s="37">
        <f t="shared" si="2"/>
        <v>8</v>
      </c>
    </row>
    <row r="117" hidden="1">
      <c r="A117" s="13" t="s">
        <v>148</v>
      </c>
      <c r="B117" s="34" t="s">
        <v>1061</v>
      </c>
      <c r="C117" s="5" t="s">
        <v>1007</v>
      </c>
      <c r="D117" s="5" t="s">
        <v>25</v>
      </c>
      <c r="E117" s="35">
        <f>vlookup(C117,'Team Bye List'!$A$1:$B$33,2,False)</f>
        <v>8</v>
      </c>
      <c r="F117" s="36">
        <f>if(ISNA(vlookup($A117, ESPN!$B$2:$E$1010, 4, false)), 0, vlookup($A117, ESPN!$B$2:$E$1010, 4, false))</f>
        <v>6</v>
      </c>
      <c r="G117" s="36">
        <f>if(ISNA(vlookup($A117,'Ultimate Draft Kit'!$B$2:$E$261,4, false)), 0, vlookup($A117,'Ultimate Draft Kit'!$B$2:$E$261, 4, false))</f>
        <v>2</v>
      </c>
      <c r="H117" s="36">
        <f>if(ISNA(vlookup($A117, FantasyPro!$B$2:$E$514,4,false)),0,vlookup($A117,FantasyPro!$B$2:$E$514,4,false))</f>
        <v>7</v>
      </c>
      <c r="I117" s="36">
        <f>if(ISNA(vlookup($A117, FFToolbox!$B$2:$E$618, 4, false)), 0, vlookup($A117, FFToolbox!$B$2:$E$618, 4, false))</f>
        <v>6</v>
      </c>
      <c r="J117" s="37">
        <f t="shared" si="1"/>
        <v>5.25</v>
      </c>
      <c r="K117" s="37">
        <f t="shared" si="2"/>
        <v>5</v>
      </c>
    </row>
    <row r="118" hidden="1">
      <c r="A118" s="13" t="s">
        <v>249</v>
      </c>
      <c r="B118" s="34" t="s">
        <v>1059</v>
      </c>
      <c r="C118" s="5" t="s">
        <v>74</v>
      </c>
      <c r="D118" s="5" t="s">
        <v>7</v>
      </c>
      <c r="E118" s="35">
        <f>vlookup(C118,'Team Bye List'!$A$1:$B$33,2,False)</f>
        <v>7</v>
      </c>
      <c r="F118" s="36">
        <f>if(ISNA(vlookup($A118, ESPN!$B$2:$E$1010, 4, false)), 0, vlookup($A118, ESPN!$B$2:$E$1010, 4, false))</f>
        <v>0</v>
      </c>
      <c r="G118" s="36">
        <f>if(ISNA(vlookup($A118,'Ultimate Draft Kit'!$B$2:$E$261,4, false)), 0, vlookup($A118,'Ultimate Draft Kit'!$B$2:$E$261, 4, false))</f>
        <v>1</v>
      </c>
      <c r="H118" s="36">
        <f>if(ISNA(vlookup($A118, FantasyPro!$B$2:$E$514,4,false)),0,vlookup($A118,FantasyPro!$B$2:$E$514,4,false))</f>
        <v>7</v>
      </c>
      <c r="I118" s="36">
        <f>if(ISNA(vlookup($A118, FFToolbox!$B$2:$E$618, 4, false)), 0, vlookup($A118, FFToolbox!$B$2:$E$618, 4, false))</f>
        <v>12</v>
      </c>
      <c r="J118" s="37">
        <f t="shared" si="1"/>
        <v>5</v>
      </c>
      <c r="K118" s="37">
        <f t="shared" si="2"/>
        <v>12</v>
      </c>
    </row>
    <row r="119" hidden="1">
      <c r="A119" s="13" t="s">
        <v>219</v>
      </c>
      <c r="B119" s="34" t="s">
        <v>1059</v>
      </c>
      <c r="C119" s="5" t="s">
        <v>14</v>
      </c>
      <c r="D119" s="5" t="s">
        <v>25</v>
      </c>
      <c r="E119" s="35">
        <f>vlookup(C119,'Team Bye List'!$A$1:$B$33,2,False)</f>
        <v>10</v>
      </c>
      <c r="F119" s="36">
        <f>if(ISNA(vlookup($A119, ESPN!$B$2:$E$1010, 4, false)), 0, vlookup($A119, ESPN!$B$2:$E$1010, 4, false))</f>
        <v>1</v>
      </c>
      <c r="G119" s="36">
        <f>if(ISNA(vlookup($A119,'Ultimate Draft Kit'!$B$2:$E$261,4, false)), 0, vlookup($A119,'Ultimate Draft Kit'!$B$2:$E$261, 4, false))</f>
        <v>1</v>
      </c>
      <c r="H119" s="36">
        <f>if(ISNA(vlookup($A119, FantasyPro!$B$2:$E$514,4,false)),0,vlookup($A119,FantasyPro!$B$2:$E$514,4,false))</f>
        <v>4</v>
      </c>
      <c r="I119" s="36">
        <f>if(ISNA(vlookup($A119, FFToolbox!$B$2:$E$618, 4, false)), 0, vlookup($A119, FFToolbox!$B$2:$E$618, 4, false))</f>
        <v>14</v>
      </c>
      <c r="J119" s="37">
        <f t="shared" si="1"/>
        <v>5</v>
      </c>
      <c r="K119" s="37">
        <f t="shared" si="2"/>
        <v>13</v>
      </c>
    </row>
    <row r="120" hidden="1">
      <c r="A120" s="13" t="s">
        <v>141</v>
      </c>
      <c r="B120" s="34" t="s">
        <v>1059</v>
      </c>
      <c r="C120" s="5" t="s">
        <v>54</v>
      </c>
      <c r="D120" s="5" t="s">
        <v>16</v>
      </c>
      <c r="E120" s="35">
        <f>vlookup(C120,'Team Bye List'!$A$1:$B$33,2,False)</f>
        <v>9</v>
      </c>
      <c r="F120" s="36">
        <f>if(ISNA(vlookup($A120, ESPN!$B$2:$E$1010, 4, false)), 0, vlookup($A120, ESPN!$B$2:$E$1010, 4, false))</f>
        <v>7</v>
      </c>
      <c r="G120" s="36">
        <f>if(ISNA(vlookup($A120,'Ultimate Draft Kit'!$B$2:$E$261,4, false)), 0, vlookup($A120,'Ultimate Draft Kit'!$B$2:$E$261, 4, false))</f>
        <v>1</v>
      </c>
      <c r="H120" s="36">
        <f>if(ISNA(vlookup($A120, FantasyPro!$B$2:$E$514,4,false)),0,vlookup($A120,FantasyPro!$B$2:$E$514,4,false))</f>
        <v>6</v>
      </c>
      <c r="I120" s="36">
        <f>if(ISNA(vlookup($A120, FFToolbox!$B$2:$E$618, 4, false)), 0, vlookup($A120, FFToolbox!$B$2:$E$618, 4, false))</f>
        <v>6</v>
      </c>
      <c r="J120" s="37">
        <f t="shared" si="1"/>
        <v>5</v>
      </c>
      <c r="K120" s="37">
        <f t="shared" si="2"/>
        <v>6</v>
      </c>
    </row>
    <row r="121" hidden="1">
      <c r="A121" s="13" t="s">
        <v>154</v>
      </c>
      <c r="B121" s="34" t="s">
        <v>1061</v>
      </c>
      <c r="C121" s="5" t="s">
        <v>96</v>
      </c>
      <c r="D121" s="5" t="s">
        <v>25</v>
      </c>
      <c r="E121" s="35">
        <f>vlookup(C121,'Team Bye List'!$A$1:$B$33,2,False)</f>
        <v>10</v>
      </c>
      <c r="F121" s="36">
        <f>if(ISNA(vlookup($A121, ESPN!$B$2:$E$1010, 4, false)), 0, vlookup($A121, ESPN!$B$2:$E$1010, 4, false))</f>
        <v>4</v>
      </c>
      <c r="G121" s="36">
        <f>if(ISNA(vlookup($A121,'Ultimate Draft Kit'!$B$2:$E$261,4, false)), 0, vlookup($A121,'Ultimate Draft Kit'!$B$2:$E$261, 4, false))</f>
        <v>3</v>
      </c>
      <c r="H121" s="36">
        <f>if(ISNA(vlookup($A121, FantasyPro!$B$2:$E$514,4,false)),0,vlookup($A121,FantasyPro!$B$2:$E$514,4,false))</f>
        <v>5</v>
      </c>
      <c r="I121" s="36">
        <f>if(ISNA(vlookup($A121, FFToolbox!$B$2:$E$618, 4, false)), 0, vlookup($A121, FFToolbox!$B$2:$E$618, 4, false))</f>
        <v>8</v>
      </c>
      <c r="J121" s="37">
        <f t="shared" si="1"/>
        <v>5</v>
      </c>
      <c r="K121" s="37">
        <f t="shared" si="2"/>
        <v>5</v>
      </c>
    </row>
    <row r="122" hidden="1">
      <c r="A122" s="13" t="s">
        <v>146</v>
      </c>
      <c r="B122" s="34" t="s">
        <v>1059</v>
      </c>
      <c r="C122" s="5" t="s">
        <v>102</v>
      </c>
      <c r="D122" s="5" t="s">
        <v>25</v>
      </c>
      <c r="E122" s="35">
        <f>vlookup(C122,'Team Bye List'!$A$1:$B$33,2,False)</f>
        <v>11</v>
      </c>
      <c r="F122" s="36">
        <f>if(ISNA(vlookup($A122, ESPN!$B$2:$E$1010, 4, false)), 0, vlookup($A122, ESPN!$B$2:$E$1010, 4, false))</f>
        <v>6</v>
      </c>
      <c r="G122" s="36">
        <f>if(ISNA(vlookup($A122,'Ultimate Draft Kit'!$B$2:$E$261,4, false)), 0, vlookup($A122,'Ultimate Draft Kit'!$B$2:$E$261, 4, false))</f>
        <v>6</v>
      </c>
      <c r="H122" s="36">
        <f>if(ISNA(vlookup($A122, FantasyPro!$B$2:$E$514,4,false)),0,vlookup($A122,FantasyPro!$B$2:$E$514,4,false))</f>
        <v>3</v>
      </c>
      <c r="I122" s="36">
        <f>if(ISNA(vlookup($A122, FFToolbox!$B$2:$E$618, 4, false)), 0, vlookup($A122, FFToolbox!$B$2:$E$618, 4, false))</f>
        <v>4</v>
      </c>
      <c r="J122" s="37">
        <f t="shared" si="1"/>
        <v>4.75</v>
      </c>
      <c r="K122" s="37">
        <f t="shared" si="2"/>
        <v>3</v>
      </c>
    </row>
    <row r="123" hidden="1">
      <c r="A123" s="13" t="s">
        <v>150</v>
      </c>
      <c r="B123" s="34" t="s">
        <v>1061</v>
      </c>
      <c r="C123" s="5" t="s">
        <v>38</v>
      </c>
      <c r="D123" s="5" t="s">
        <v>7</v>
      </c>
      <c r="E123" s="35">
        <f>vlookup(C123,'Team Bye List'!$A$1:$B$33,2,False)</f>
        <v>12</v>
      </c>
      <c r="F123" s="36">
        <f>if(ISNA(vlookup($A123, ESPN!$B$2:$E$1010, 4, false)), 0, vlookup($A123, ESPN!$B$2:$E$1010, 4, false))</f>
        <v>5</v>
      </c>
      <c r="G123" s="36">
        <f>if(ISNA(vlookup($A123,'Ultimate Draft Kit'!$B$2:$E$261,4, false)), 0, vlookup($A123,'Ultimate Draft Kit'!$B$2:$E$261, 4, false))</f>
        <v>0</v>
      </c>
      <c r="H123" s="36">
        <f>if(ISNA(vlookup($A123, FantasyPro!$B$2:$E$514,4,false)),0,vlookup($A123,FantasyPro!$B$2:$E$514,4,false))</f>
        <v>0</v>
      </c>
      <c r="I123" s="36">
        <f>if(ISNA(vlookup($A123, FFToolbox!$B$2:$E$618, 4, false)), 0, vlookup($A123, FFToolbox!$B$2:$E$618, 4, false))</f>
        <v>14</v>
      </c>
      <c r="J123" s="37">
        <f t="shared" si="1"/>
        <v>4.75</v>
      </c>
      <c r="K123" s="37">
        <f t="shared" si="2"/>
        <v>14</v>
      </c>
    </row>
    <row r="124" hidden="1">
      <c r="A124" s="13" t="s">
        <v>143</v>
      </c>
      <c r="B124" s="34" t="s">
        <v>1059</v>
      </c>
      <c r="C124" s="5" t="s">
        <v>18</v>
      </c>
      <c r="D124" s="5" t="s">
        <v>25</v>
      </c>
      <c r="E124" s="35">
        <f>vlookup(C124,'Team Bye List'!$A$1:$B$33,2,False)</f>
        <v>6</v>
      </c>
      <c r="F124" s="36">
        <f>if(ISNA(vlookup($A124, ESPN!$B$2:$E$1010, 4, false)), 0, vlookup($A124, ESPN!$B$2:$E$1010, 4, false))</f>
        <v>6</v>
      </c>
      <c r="G124" s="36">
        <f>if(ISNA(vlookup($A124,'Ultimate Draft Kit'!$B$2:$E$261,4, false)), 0, vlookup($A124,'Ultimate Draft Kit'!$B$2:$E$261, 4, false))</f>
        <v>1</v>
      </c>
      <c r="H124" s="36">
        <f>if(ISNA(vlookup($A124, FantasyPro!$B$2:$E$514,4,false)),0,vlookup($A124,FantasyPro!$B$2:$E$514,4,false))</f>
        <v>2</v>
      </c>
      <c r="I124" s="36">
        <f>if(ISNA(vlookup($A124, FFToolbox!$B$2:$E$618, 4, false)), 0, vlookup($A124, FFToolbox!$B$2:$E$618, 4, false))</f>
        <v>10</v>
      </c>
      <c r="J124" s="37">
        <f t="shared" si="1"/>
        <v>4.75</v>
      </c>
      <c r="K124" s="37">
        <f t="shared" si="2"/>
        <v>9</v>
      </c>
    </row>
    <row r="125" hidden="1">
      <c r="A125" s="13" t="s">
        <v>126</v>
      </c>
      <c r="B125" s="34" t="s">
        <v>1061</v>
      </c>
      <c r="C125" s="5" t="s">
        <v>6</v>
      </c>
      <c r="D125" s="5" t="s">
        <v>25</v>
      </c>
      <c r="E125" s="35">
        <f>vlookup(C125,'Team Bye List'!$A$1:$B$33,2,False)</f>
        <v>12</v>
      </c>
      <c r="F125" s="36">
        <f>if(ISNA(vlookup($A125, ESPN!$B$2:$E$1010, 4, false)), 0, vlookup($A125, ESPN!$B$2:$E$1010, 4, false))</f>
        <v>9</v>
      </c>
      <c r="G125" s="36">
        <f>if(ISNA(vlookup($A125,'Ultimate Draft Kit'!$B$2:$E$261,4, false)), 0, vlookup($A125,'Ultimate Draft Kit'!$B$2:$E$261, 4, false))</f>
        <v>3</v>
      </c>
      <c r="H125" s="36">
        <f>if(ISNA(vlookup($A125, FantasyPro!$B$2:$E$514,4,false)),0,vlookup($A125,FantasyPro!$B$2:$E$514,4,false))</f>
        <v>2</v>
      </c>
      <c r="I125" s="36">
        <f>if(ISNA(vlookup($A125, FFToolbox!$B$2:$E$618, 4, false)), 0, vlookup($A125, FFToolbox!$B$2:$E$618, 4, false))</f>
        <v>4</v>
      </c>
      <c r="J125" s="37">
        <f t="shared" si="1"/>
        <v>4.5</v>
      </c>
      <c r="K125" s="37">
        <f t="shared" si="2"/>
        <v>7</v>
      </c>
    </row>
    <row r="126" hidden="1">
      <c r="A126" s="13" t="s">
        <v>157</v>
      </c>
      <c r="B126" s="34" t="s">
        <v>1061</v>
      </c>
      <c r="C126" s="5" t="s">
        <v>134</v>
      </c>
      <c r="D126" s="5" t="s">
        <v>25</v>
      </c>
      <c r="E126" s="35">
        <f>vlookup(C126,'Team Bye List'!$A$1:$B$33,2,False)</f>
        <v>11</v>
      </c>
      <c r="F126" s="36">
        <f>if(ISNA(vlookup($A126, ESPN!$B$2:$E$1010, 4, false)), 0, vlookup($A126, ESPN!$B$2:$E$1010, 4, false))</f>
        <v>3</v>
      </c>
      <c r="G126" s="36">
        <f>if(ISNA(vlookup($A126,'Ultimate Draft Kit'!$B$2:$E$261,4, false)), 0, vlookup($A126,'Ultimate Draft Kit'!$B$2:$E$261, 4, false))</f>
        <v>6</v>
      </c>
      <c r="H126" s="36">
        <f>if(ISNA(vlookup($A126, FantasyPro!$B$2:$E$514,4,false)),0,vlookup($A126,FantasyPro!$B$2:$E$514,4,false))</f>
        <v>2</v>
      </c>
      <c r="I126" s="36">
        <f>if(ISNA(vlookup($A126, FFToolbox!$B$2:$E$618, 4, false)), 0, vlookup($A126, FFToolbox!$B$2:$E$618, 4, false))</f>
        <v>6</v>
      </c>
      <c r="J126" s="37">
        <f t="shared" si="1"/>
        <v>4.25</v>
      </c>
      <c r="K126" s="37">
        <f t="shared" si="2"/>
        <v>4</v>
      </c>
    </row>
    <row r="127" hidden="1">
      <c r="A127" s="13" t="s">
        <v>329</v>
      </c>
      <c r="B127" s="34" t="s">
        <v>1061</v>
      </c>
      <c r="C127" s="5" t="s">
        <v>32</v>
      </c>
      <c r="D127" s="5" t="s">
        <v>7</v>
      </c>
      <c r="E127" s="35">
        <f>vlookup(C127,'Team Bye List'!$A$1:$B$33,2,False)</f>
        <v>9</v>
      </c>
      <c r="F127" s="36">
        <f>if(ISNA(vlookup($A127, ESPN!$B$2:$E$1010, 4, false)), 0, vlookup($A127, ESPN!$B$2:$E$1010, 4, false))</f>
        <v>0</v>
      </c>
      <c r="G127" s="36">
        <f>if(ISNA(vlookup($A127,'Ultimate Draft Kit'!$B$2:$E$261,4, false)), 0, vlookup($A127,'Ultimate Draft Kit'!$B$2:$E$261, 4, false))</f>
        <v>5</v>
      </c>
      <c r="H127" s="36">
        <f>if(ISNA(vlookup($A127, FantasyPro!$B$2:$E$514,4,false)),0,vlookup($A127,FantasyPro!$B$2:$E$514,4,false))</f>
        <v>3</v>
      </c>
      <c r="I127" s="36">
        <f>if(ISNA(vlookup($A127, FFToolbox!$B$2:$E$618, 4, false)), 0, vlookup($A127, FFToolbox!$B$2:$E$618, 4, false))</f>
        <v>6</v>
      </c>
      <c r="J127" s="37">
        <f t="shared" si="1"/>
        <v>3.5</v>
      </c>
      <c r="K127" s="37">
        <f t="shared" si="2"/>
        <v>6</v>
      </c>
    </row>
    <row r="128" hidden="1">
      <c r="A128" s="13" t="s">
        <v>132</v>
      </c>
      <c r="B128" s="34" t="s">
        <v>1061</v>
      </c>
      <c r="C128" s="5" t="s">
        <v>96</v>
      </c>
      <c r="D128" s="5" t="s">
        <v>10</v>
      </c>
      <c r="E128" s="35">
        <f>vlookup(C128,'Team Bye List'!$A$1:$B$33,2,False)</f>
        <v>10</v>
      </c>
      <c r="F128" s="36">
        <f>if(ISNA(vlookup($A128, ESPN!$B$2:$E$1010, 4, false)), 0, vlookup($A128, ESPN!$B$2:$E$1010, 4, false))</f>
        <v>8</v>
      </c>
      <c r="G128" s="36">
        <f>if(ISNA(vlookup($A128,'Ultimate Draft Kit'!$B$2:$E$261,4, false)), 0, vlookup($A128,'Ultimate Draft Kit'!$B$2:$E$261, 4, false))</f>
        <v>1</v>
      </c>
      <c r="H128" s="36">
        <f>if(ISNA(vlookup($A128, FantasyPro!$B$2:$E$514,4,false)),0,vlookup($A128,FantasyPro!$B$2:$E$514,4,false))</f>
        <v>0</v>
      </c>
      <c r="I128" s="36">
        <f>if(ISNA(vlookup($A128, FFToolbox!$B$2:$E$618, 4, false)), 0, vlookup($A128, FFToolbox!$B$2:$E$618, 4, false))</f>
        <v>8</v>
      </c>
      <c r="J128" s="37">
        <f t="shared" si="1"/>
        <v>4.25</v>
      </c>
      <c r="K128" s="37">
        <f t="shared" si="2"/>
        <v>8</v>
      </c>
    </row>
    <row r="129" hidden="1">
      <c r="A129" s="13" t="s">
        <v>297</v>
      </c>
      <c r="B129" s="34" t="s">
        <v>1061</v>
      </c>
      <c r="C129" s="5" t="s">
        <v>61</v>
      </c>
      <c r="D129" s="5" t="s">
        <v>10</v>
      </c>
      <c r="E129" s="35">
        <f>vlookup(C129,'Team Bye List'!$A$1:$B$33,2,False)</f>
        <v>9</v>
      </c>
      <c r="F129" s="36">
        <f>if(ISNA(vlookup($A129, ESPN!$B$2:$E$1010, 4, false)), 0, vlookup($A129, ESPN!$B$2:$E$1010, 4, false))</f>
        <v>0</v>
      </c>
      <c r="G129" s="36">
        <f>if(ISNA(vlookup($A129,'Ultimate Draft Kit'!$B$2:$E$261,4, false)), 0, vlookup($A129,'Ultimate Draft Kit'!$B$2:$E$261, 4, false))</f>
        <v>0</v>
      </c>
      <c r="H129" s="36">
        <f>if(ISNA(vlookup($A129, FantasyPro!$B$2:$E$514,4,false)),0,vlookup($A129,FantasyPro!$B$2:$E$514,4,false))</f>
        <v>2</v>
      </c>
      <c r="I129" s="36">
        <f>if(ISNA(vlookup($A129, FFToolbox!$B$2:$E$618, 4, false)), 0, vlookup($A129, FFToolbox!$B$2:$E$618, 4, false))</f>
        <v>14</v>
      </c>
      <c r="J129" s="37">
        <f t="shared" si="1"/>
        <v>4</v>
      </c>
      <c r="K129" s="37">
        <f t="shared" si="2"/>
        <v>14</v>
      </c>
    </row>
    <row r="130" hidden="1">
      <c r="A130" s="13" t="s">
        <v>149</v>
      </c>
      <c r="B130" s="34" t="s">
        <v>1061</v>
      </c>
      <c r="C130" s="5" t="s">
        <v>74</v>
      </c>
      <c r="D130" s="5" t="s">
        <v>10</v>
      </c>
      <c r="E130" s="35">
        <f>vlookup(C130,'Team Bye List'!$A$1:$B$33,2,False)</f>
        <v>7</v>
      </c>
      <c r="F130" s="36">
        <f>if(ISNA(vlookup($A130, ESPN!$B$2:$E$1010, 4, false)), 0, vlookup($A130, ESPN!$B$2:$E$1010, 4, false))</f>
        <v>6</v>
      </c>
      <c r="G130" s="36">
        <f>if(ISNA(vlookup($A130,'Ultimate Draft Kit'!$B$2:$E$261,4, false)), 0, vlookup($A130,'Ultimate Draft Kit'!$B$2:$E$261, 4, false))</f>
        <v>1</v>
      </c>
      <c r="H130" s="36">
        <f>if(ISNA(vlookup($A130, FantasyPro!$B$2:$E$514,4,false)),0,vlookup($A130,FantasyPro!$B$2:$E$514,4,false))</f>
        <v>1</v>
      </c>
      <c r="I130" s="36">
        <f>if(ISNA(vlookup($A130, FFToolbox!$B$2:$E$618, 4, false)), 0, vlookup($A130, FFToolbox!$B$2:$E$618, 4, false))</f>
        <v>8</v>
      </c>
      <c r="J130" s="37">
        <f t="shared" si="1"/>
        <v>4</v>
      </c>
      <c r="K130" s="37">
        <f t="shared" si="2"/>
        <v>7</v>
      </c>
    </row>
    <row r="131" hidden="1">
      <c r="A131" s="13" t="s">
        <v>125</v>
      </c>
      <c r="B131" s="34" t="s">
        <v>1061</v>
      </c>
      <c r="C131" s="5" t="s">
        <v>74</v>
      </c>
      <c r="D131" s="5" t="s">
        <v>16</v>
      </c>
      <c r="E131" s="35">
        <f>vlookup(C131,'Team Bye List'!$A$1:$B$33,2,False)</f>
        <v>7</v>
      </c>
      <c r="F131" s="36">
        <f>if(ISNA(vlookup($A131, ESPN!$B$2:$E$1010, 4, false)), 0, vlookup($A131, ESPN!$B$2:$E$1010, 4, false))</f>
        <v>9</v>
      </c>
      <c r="G131" s="36">
        <f>if(ISNA(vlookup($A131,'Ultimate Draft Kit'!$B$2:$E$261,4, false)), 0, vlookup($A131,'Ultimate Draft Kit'!$B$2:$E$261, 4, false))</f>
        <v>1</v>
      </c>
      <c r="H131" s="36">
        <f>if(ISNA(vlookup($A131, FantasyPro!$B$2:$E$514,4,false)),0,vlookup($A131,FantasyPro!$B$2:$E$514,4,false))</f>
        <v>2</v>
      </c>
      <c r="I131" s="36">
        <f>if(ISNA(vlookup($A131, FFToolbox!$B$2:$E$618, 4, false)), 0, vlookup($A131, FFToolbox!$B$2:$E$618, 4, false))</f>
        <v>4</v>
      </c>
      <c r="J131" s="37">
        <f t="shared" si="1"/>
        <v>4</v>
      </c>
      <c r="K131" s="37">
        <f t="shared" si="2"/>
        <v>8</v>
      </c>
    </row>
    <row r="132" hidden="1">
      <c r="A132" s="13" t="s">
        <v>322</v>
      </c>
      <c r="B132" s="34" t="s">
        <v>1061</v>
      </c>
      <c r="C132" s="5" t="s">
        <v>24</v>
      </c>
      <c r="D132" s="5" t="s">
        <v>7</v>
      </c>
      <c r="E132" s="35">
        <f>vlookup(C132,'Team Bye List'!$A$1:$B$33,2,False)</f>
        <v>6</v>
      </c>
      <c r="F132" s="36">
        <f>if(ISNA(vlookup($A132, ESPN!$B$2:$E$1010, 4, false)), 0, vlookup($A132, ESPN!$B$2:$E$1010, 4, false))</f>
        <v>0</v>
      </c>
      <c r="G132" s="36">
        <f>if(ISNA(vlookup($A132,'Ultimate Draft Kit'!$B$2:$E$261,4, false)), 0, vlookup($A132,'Ultimate Draft Kit'!$B$2:$E$261, 4, false))</f>
        <v>1</v>
      </c>
      <c r="H132" s="36">
        <f>if(ISNA(vlookup($A132, FantasyPro!$B$2:$E$514,4,false)),0,vlookup($A132,FantasyPro!$B$2:$E$514,4,false))</f>
        <v>6</v>
      </c>
      <c r="I132" s="36">
        <f>if(ISNA(vlookup($A132, FFToolbox!$B$2:$E$618, 4, false)), 0, vlookup($A132, FFToolbox!$B$2:$E$618, 4, false))</f>
        <v>8</v>
      </c>
      <c r="J132" s="37">
        <f t="shared" si="1"/>
        <v>3.75</v>
      </c>
      <c r="K132" s="37">
        <f t="shared" si="2"/>
        <v>8</v>
      </c>
    </row>
    <row r="133" hidden="1">
      <c r="A133" s="13" t="s">
        <v>237</v>
      </c>
      <c r="B133" s="34" t="s">
        <v>1059</v>
      </c>
      <c r="C133" s="5" t="s">
        <v>22</v>
      </c>
      <c r="D133" s="5" t="s">
        <v>25</v>
      </c>
      <c r="E133" s="35">
        <f>vlookup(C133,'Team Bye List'!$A$1:$B$33,2,False)</f>
        <v>7</v>
      </c>
      <c r="F133" s="36">
        <f>if(ISNA(vlookup($A133, ESPN!$B$2:$E$1010, 4, false)), 0, vlookup($A133, ESPN!$B$2:$E$1010, 4, false))</f>
        <v>0</v>
      </c>
      <c r="G133" s="36">
        <f>if(ISNA(vlookup($A133,'Ultimate Draft Kit'!$B$2:$E$261,4, false)), 0, vlookup($A133,'Ultimate Draft Kit'!$B$2:$E$261, 4, false))</f>
        <v>1</v>
      </c>
      <c r="H133" s="36">
        <f>if(ISNA(vlookup($A133, FantasyPro!$B$2:$E$514,4,false)),0,vlookup($A133,FantasyPro!$B$2:$E$514,4,false))</f>
        <v>2</v>
      </c>
      <c r="I133" s="36">
        <f>if(ISNA(vlookup($A133, FFToolbox!$B$2:$E$618, 4, false)), 0, vlookup($A133, FFToolbox!$B$2:$E$618, 4, false))</f>
        <v>12</v>
      </c>
      <c r="J133" s="37">
        <f t="shared" si="1"/>
        <v>3.75</v>
      </c>
      <c r="K133" s="37">
        <f t="shared" si="2"/>
        <v>12</v>
      </c>
    </row>
    <row r="134" hidden="1">
      <c r="A134" s="13" t="s">
        <v>221</v>
      </c>
      <c r="B134" s="34" t="s">
        <v>1061</v>
      </c>
      <c r="C134" s="5" t="s">
        <v>32</v>
      </c>
      <c r="D134" s="5" t="s">
        <v>25</v>
      </c>
      <c r="E134" s="35">
        <f>vlookup(C134,'Team Bye List'!$A$1:$B$33,2,False)</f>
        <v>9</v>
      </c>
      <c r="F134" s="36">
        <f>if(ISNA(vlookup($A134, ESPN!$B$2:$E$1010, 4, false)), 0, vlookup($A134, ESPN!$B$2:$E$1010, 4, false))</f>
        <v>1</v>
      </c>
      <c r="G134" s="36">
        <f>if(ISNA(vlookup($A134,'Ultimate Draft Kit'!$B$2:$E$261,4, false)), 0, vlookup($A134,'Ultimate Draft Kit'!$B$2:$E$261, 4, false))</f>
        <v>1</v>
      </c>
      <c r="H134" s="36">
        <f>if(ISNA(vlookup($A134, FantasyPro!$B$2:$E$514,4,false)),0,vlookup($A134,FantasyPro!$B$2:$E$514,4,false))</f>
        <v>3</v>
      </c>
      <c r="I134" s="36">
        <f>if(ISNA(vlookup($A134, FFToolbox!$B$2:$E$618, 4, false)), 0, vlookup($A134, FFToolbox!$B$2:$E$618, 4, false))</f>
        <v>10</v>
      </c>
      <c r="J134" s="37">
        <f t="shared" si="1"/>
        <v>3.75</v>
      </c>
      <c r="K134" s="37">
        <f t="shared" si="2"/>
        <v>9</v>
      </c>
    </row>
    <row r="135" hidden="1">
      <c r="A135" s="13" t="s">
        <v>162</v>
      </c>
      <c r="B135" s="34" t="s">
        <v>1059</v>
      </c>
      <c r="C135" s="5" t="s">
        <v>34</v>
      </c>
      <c r="D135" s="5" t="s">
        <v>16</v>
      </c>
      <c r="E135" s="35">
        <f>vlookup(C135,'Team Bye List'!$A$1:$B$33,2,False)</f>
        <v>7</v>
      </c>
      <c r="F135" s="36">
        <f>if(ISNA(vlookup($A135, ESPN!$B$2:$E$1010, 4, false)), 0, vlookup($A135, ESPN!$B$2:$E$1010, 4, false))</f>
        <v>2</v>
      </c>
      <c r="G135" s="36">
        <f>if(ISNA(vlookup($A135,'Ultimate Draft Kit'!$B$2:$E$261,4, false)), 0, vlookup($A135,'Ultimate Draft Kit'!$B$2:$E$261, 4, false))</f>
        <v>3</v>
      </c>
      <c r="H135" s="36">
        <f>if(ISNA(vlookup($A135, FantasyPro!$B$2:$E$514,4,false)),0,vlookup($A135,FantasyPro!$B$2:$E$514,4,false))</f>
        <v>4</v>
      </c>
      <c r="I135" s="36">
        <f>if(ISNA(vlookup($A135, FFToolbox!$B$2:$E$618, 4, false)), 0, vlookup($A135, FFToolbox!$B$2:$E$618, 4, false))</f>
        <v>6</v>
      </c>
      <c r="J135" s="37">
        <f t="shared" si="1"/>
        <v>3.75</v>
      </c>
      <c r="K135" s="37">
        <f t="shared" si="2"/>
        <v>4</v>
      </c>
    </row>
    <row r="136" hidden="1">
      <c r="A136" s="13" t="s">
        <v>160</v>
      </c>
      <c r="B136" s="34" t="s">
        <v>1059</v>
      </c>
      <c r="C136" s="5" t="s">
        <v>14</v>
      </c>
      <c r="D136" s="5" t="s">
        <v>16</v>
      </c>
      <c r="E136" s="35">
        <f>vlookup(C136,'Team Bye List'!$A$1:$B$33,2,False)</f>
        <v>10</v>
      </c>
      <c r="F136" s="36">
        <f>if(ISNA(vlookup($A136, ESPN!$B$2:$E$1010, 4, false)), 0, vlookup($A136, ESPN!$B$2:$E$1010, 4, false))</f>
        <v>3</v>
      </c>
      <c r="G136" s="36">
        <f>if(ISNA(vlookup($A136,'Ultimate Draft Kit'!$B$2:$E$261,4, false)), 0, vlookup($A136,'Ultimate Draft Kit'!$B$2:$E$261, 4, false))</f>
        <v>3</v>
      </c>
      <c r="H136" s="36">
        <f>if(ISNA(vlookup($A136, FantasyPro!$B$2:$E$514,4,false)),0,vlookup($A136,FantasyPro!$B$2:$E$514,4,false))</f>
        <v>3</v>
      </c>
      <c r="I136" s="36">
        <f>if(ISNA(vlookup($A136, FFToolbox!$B$2:$E$618, 4, false)), 0, vlookup($A136, FFToolbox!$B$2:$E$618, 4, false))</f>
        <v>6</v>
      </c>
      <c r="J136" s="37">
        <f t="shared" si="1"/>
        <v>3.75</v>
      </c>
      <c r="K136" s="37">
        <f t="shared" si="2"/>
        <v>3</v>
      </c>
    </row>
    <row r="137" hidden="1">
      <c r="A137" s="13" t="s">
        <v>139</v>
      </c>
      <c r="B137" s="34" t="s">
        <v>1061</v>
      </c>
      <c r="C137" s="5" t="s">
        <v>27</v>
      </c>
      <c r="D137" s="5" t="s">
        <v>10</v>
      </c>
      <c r="E137" s="35">
        <f>vlookup(C137,'Team Bye List'!$A$1:$B$33,2,False)</f>
        <v>11</v>
      </c>
      <c r="F137" s="36">
        <f>if(ISNA(vlookup($A137, ESPN!$B$2:$E$1010, 4, false)), 0, vlookup($A137, ESPN!$B$2:$E$1010, 4, false))</f>
        <v>7</v>
      </c>
      <c r="G137" s="36">
        <f>if(ISNA(vlookup($A137,'Ultimate Draft Kit'!$B$2:$E$261,4, false)), 0, vlookup($A137,'Ultimate Draft Kit'!$B$2:$E$261, 4, false))</f>
        <v>1</v>
      </c>
      <c r="H137" s="36">
        <f>if(ISNA(vlookup($A137, FantasyPro!$B$2:$E$514,4,false)),0,vlookup($A137,FantasyPro!$B$2:$E$514,4,false))</f>
        <v>1</v>
      </c>
      <c r="I137" s="36">
        <f>if(ISNA(vlookup($A137, FFToolbox!$B$2:$E$618, 4, false)), 0, vlookup($A137, FFToolbox!$B$2:$E$618, 4, false))</f>
        <v>6</v>
      </c>
      <c r="J137" s="37">
        <f t="shared" si="1"/>
        <v>3.75</v>
      </c>
      <c r="K137" s="37">
        <f t="shared" si="2"/>
        <v>6</v>
      </c>
    </row>
    <row r="138" hidden="1">
      <c r="A138" s="13" t="s">
        <v>128</v>
      </c>
      <c r="B138" s="34" t="s">
        <v>1061</v>
      </c>
      <c r="C138" s="5" t="s">
        <v>6</v>
      </c>
      <c r="D138" s="5" t="s">
        <v>25</v>
      </c>
      <c r="E138" s="35">
        <f>vlookup(C138,'Team Bye List'!$A$1:$B$33,2,False)</f>
        <v>12</v>
      </c>
      <c r="F138" s="36">
        <f>if(ISNA(vlookup($A138, ESPN!$B$2:$E$1010, 4, false)), 0, vlookup($A138, ESPN!$B$2:$E$1010, 4, false))</f>
        <v>8</v>
      </c>
      <c r="G138" s="36">
        <f>if(ISNA(vlookup($A138,'Ultimate Draft Kit'!$B$2:$E$261,4, false)), 0, vlookup($A138,'Ultimate Draft Kit'!$B$2:$E$261, 4, false))</f>
        <v>1</v>
      </c>
      <c r="H138" s="36">
        <f>if(ISNA(vlookup($A138, FantasyPro!$B$2:$E$514,4,false)),0,vlookup($A138,FantasyPro!$B$2:$E$514,4,false))</f>
        <v>2</v>
      </c>
      <c r="I138" s="36">
        <f>if(ISNA(vlookup($A138, FFToolbox!$B$2:$E$618, 4, false)), 0, vlookup($A138, FFToolbox!$B$2:$E$618, 4, false))</f>
        <v>4</v>
      </c>
      <c r="J138" s="37">
        <f t="shared" si="1"/>
        <v>3.75</v>
      </c>
      <c r="K138" s="37">
        <f t="shared" si="2"/>
        <v>7</v>
      </c>
    </row>
    <row r="139" hidden="1">
      <c r="A139" s="13" t="s">
        <v>942</v>
      </c>
      <c r="B139" s="34" t="s">
        <v>1061</v>
      </c>
      <c r="C139" s="5" t="s">
        <v>69</v>
      </c>
      <c r="D139" s="5" t="s">
        <v>10</v>
      </c>
      <c r="E139" s="35">
        <f>vlookup(C139,'Team Bye List'!$A$1:$B$33,2,False)</f>
        <v>5</v>
      </c>
      <c r="F139" s="36">
        <f>if(ISNA(vlookup($A139, ESPN!$B$2:$E$1010, 4, false)), 0, vlookup($A139, ESPN!$B$2:$E$1010, 4, false))</f>
        <v>0</v>
      </c>
      <c r="G139" s="36">
        <f>if(ISNA(vlookup($A139,'Ultimate Draft Kit'!$B$2:$E$261,4, false)), 0, vlookup($A139,'Ultimate Draft Kit'!$B$2:$E$261, 4, false))</f>
        <v>0</v>
      </c>
      <c r="H139" s="36">
        <f>if(ISNA(vlookup($A139, FantasyPro!$B$2:$E$514,4,false)),0,vlookup($A139,FantasyPro!$B$2:$E$514,4,false))</f>
        <v>0</v>
      </c>
      <c r="I139" s="36">
        <f>if(ISNA(vlookup($A139, FFToolbox!$B$2:$E$618, 4, false)), 0, vlookup($A139, FFToolbox!$B$2:$E$618, 4, false))</f>
        <v>14</v>
      </c>
      <c r="J139" s="37">
        <f t="shared" si="1"/>
        <v>3.5</v>
      </c>
      <c r="K139" s="37">
        <f t="shared" si="2"/>
        <v>14</v>
      </c>
    </row>
    <row r="140" hidden="1">
      <c r="A140" s="13" t="s">
        <v>248</v>
      </c>
      <c r="B140" s="34" t="s">
        <v>1061</v>
      </c>
      <c r="C140" s="5" t="s">
        <v>29</v>
      </c>
      <c r="D140" s="5" t="s">
        <v>10</v>
      </c>
      <c r="E140" s="35">
        <f>vlookup(C140,'Team Bye List'!$A$1:$B$33,2,False)</f>
        <v>11</v>
      </c>
      <c r="F140" s="36">
        <f>if(ISNA(vlookup($A140, ESPN!$B$2:$E$1010, 4, false)), 0, vlookup($A140, ESPN!$B$2:$E$1010, 4, false))</f>
        <v>0</v>
      </c>
      <c r="G140" s="36">
        <f>if(ISNA(vlookup($A140,'Ultimate Draft Kit'!$B$2:$E$261,4, false)), 0, vlookup($A140,'Ultimate Draft Kit'!$B$2:$E$261, 4, false))</f>
        <v>2</v>
      </c>
      <c r="H140" s="36">
        <f>if(ISNA(vlookup($A140, FantasyPro!$B$2:$E$514,4,false)),0,vlookup($A140,FantasyPro!$B$2:$E$514,4,false))</f>
        <v>4</v>
      </c>
      <c r="I140" s="36">
        <f>if(ISNA(vlookup($A140, FFToolbox!$B$2:$E$618, 4, false)), 0, vlookup($A140, FFToolbox!$B$2:$E$618, 4, false))</f>
        <v>8</v>
      </c>
      <c r="J140" s="37">
        <f t="shared" si="1"/>
        <v>3.5</v>
      </c>
      <c r="K140" s="37">
        <f t="shared" si="2"/>
        <v>8</v>
      </c>
    </row>
    <row r="141" hidden="1">
      <c r="A141" s="13" t="s">
        <v>182</v>
      </c>
      <c r="B141" s="34" t="s">
        <v>1059</v>
      </c>
      <c r="C141" s="5" t="s">
        <v>233</v>
      </c>
      <c r="D141" s="5" t="s">
        <v>10</v>
      </c>
      <c r="E141" s="35">
        <f>vlookup(C141,'Team Bye List'!$A$1:$B$33,2,False)</f>
        <v>9</v>
      </c>
      <c r="F141" s="36">
        <f>if(ISNA(vlookup($A141, ESPN!$B$2:$E$1010, 4, false)), 0, vlookup($A141, ESPN!$B$2:$E$1010, 4, false))</f>
        <v>1</v>
      </c>
      <c r="G141" s="36">
        <f>if(ISNA(vlookup($A141,'Ultimate Draft Kit'!$B$2:$E$261,4, false)), 0, vlookup($A141,'Ultimate Draft Kit'!$B$2:$E$261, 4, false))</f>
        <v>1</v>
      </c>
      <c r="H141" s="36">
        <f>if(ISNA(vlookup($A141, FantasyPro!$B$2:$E$514,4,false)),0,vlookup($A141,FantasyPro!$B$2:$E$514,4,false))</f>
        <v>4</v>
      </c>
      <c r="I141" s="36">
        <f>if(ISNA(vlookup($A141, FFToolbox!$B$2:$E$618, 4, false)), 0, vlookup($A141, FFToolbox!$B$2:$E$618, 4, false))</f>
        <v>8</v>
      </c>
      <c r="J141" s="37">
        <f t="shared" si="1"/>
        <v>3.5</v>
      </c>
      <c r="K141" s="37">
        <f t="shared" si="2"/>
        <v>7</v>
      </c>
    </row>
    <row r="142" hidden="1">
      <c r="A142" s="13" t="s">
        <v>222</v>
      </c>
      <c r="B142" s="34" t="s">
        <v>1061</v>
      </c>
      <c r="C142" s="5" t="s">
        <v>27</v>
      </c>
      <c r="D142" s="5" t="s">
        <v>25</v>
      </c>
      <c r="E142" s="35">
        <f>vlookup(C142,'Team Bye List'!$A$1:$B$33,2,False)</f>
        <v>11</v>
      </c>
      <c r="F142" s="36">
        <f>if(ISNA(vlookup($A142, ESPN!$B$2:$E$1010, 4, false)), 0, vlookup($A142, ESPN!$B$2:$E$1010, 4, false))</f>
        <v>1</v>
      </c>
      <c r="G142" s="36">
        <f>if(ISNA(vlookup($A142,'Ultimate Draft Kit'!$B$2:$E$261,4, false)), 0, vlookup($A142,'Ultimate Draft Kit'!$B$2:$E$261, 4, false))</f>
        <v>1</v>
      </c>
      <c r="H142" s="36">
        <f>if(ISNA(vlookup($A142, FantasyPro!$B$2:$E$514,4,false)),0,vlookup($A142,FantasyPro!$B$2:$E$514,4,false))</f>
        <v>2</v>
      </c>
      <c r="I142" s="36">
        <f>if(ISNA(vlookup($A142, FFToolbox!$B$2:$E$618, 4, false)), 0, vlookup($A142, FFToolbox!$B$2:$E$618, 4, false))</f>
        <v>10</v>
      </c>
      <c r="J142" s="37">
        <f t="shared" si="1"/>
        <v>3.5</v>
      </c>
      <c r="K142" s="37">
        <f t="shared" si="2"/>
        <v>9</v>
      </c>
    </row>
    <row r="143" hidden="1">
      <c r="A143" s="13" t="s">
        <v>158</v>
      </c>
      <c r="B143" s="34" t="s">
        <v>1061</v>
      </c>
      <c r="C143" s="5" t="s">
        <v>32</v>
      </c>
      <c r="D143" s="5" t="s">
        <v>16</v>
      </c>
      <c r="E143" s="35">
        <f>vlookup(C143,'Team Bye List'!$A$1:$B$33,2,False)</f>
        <v>9</v>
      </c>
      <c r="F143" s="36">
        <f>if(ISNA(vlookup($A143, ESPN!$B$2:$E$1010, 4, false)), 0, vlookup($A143, ESPN!$B$2:$E$1010, 4, false))</f>
        <v>3</v>
      </c>
      <c r="G143" s="36">
        <f>if(ISNA(vlookup($A143,'Ultimate Draft Kit'!$B$2:$E$261,4, false)), 0, vlookup($A143,'Ultimate Draft Kit'!$B$2:$E$261, 4, false))</f>
        <v>1</v>
      </c>
      <c r="H143" s="36">
        <f>if(ISNA(vlookup($A143, FantasyPro!$B$2:$E$514,4,false)),0,vlookup($A143,FantasyPro!$B$2:$E$514,4,false))</f>
        <v>4</v>
      </c>
      <c r="I143" s="36">
        <f>if(ISNA(vlookup($A143, FFToolbox!$B$2:$E$618, 4, false)), 0, vlookup($A143, FFToolbox!$B$2:$E$618, 4, false))</f>
        <v>6</v>
      </c>
      <c r="J143" s="37">
        <f t="shared" si="1"/>
        <v>3.5</v>
      </c>
      <c r="K143" s="37">
        <f t="shared" si="2"/>
        <v>5</v>
      </c>
    </row>
    <row r="144" hidden="1">
      <c r="A144" s="13" t="s">
        <v>140</v>
      </c>
      <c r="B144" s="34" t="s">
        <v>1059</v>
      </c>
      <c r="C144" s="5" t="s">
        <v>9</v>
      </c>
      <c r="D144" s="5" t="s">
        <v>25</v>
      </c>
      <c r="E144" s="35">
        <f>vlookup(C144,'Team Bye List'!$A$1:$B$33,2,False)</f>
        <v>10</v>
      </c>
      <c r="F144" s="36">
        <f>if(ISNA(vlookup($A144, ESPN!$B$2:$E$1010, 4, false)), 0, vlookup($A144, ESPN!$B$2:$E$1010, 4, false))</f>
        <v>7</v>
      </c>
      <c r="G144" s="36">
        <f>if(ISNA(vlookup($A144,'Ultimate Draft Kit'!$B$2:$E$261,4, false)), 0, vlookup($A144,'Ultimate Draft Kit'!$B$2:$E$261, 4, false))</f>
        <v>1</v>
      </c>
      <c r="H144" s="36">
        <f>if(ISNA(vlookup($A144, FantasyPro!$B$2:$E$514,4,false)),0,vlookup($A144,FantasyPro!$B$2:$E$514,4,false))</f>
        <v>2</v>
      </c>
      <c r="I144" s="36">
        <f>if(ISNA(vlookup($A144, FFToolbox!$B$2:$E$618, 4, false)), 0, vlookup($A144, FFToolbox!$B$2:$E$618, 4, false))</f>
        <v>4</v>
      </c>
      <c r="J144" s="37">
        <f t="shared" si="1"/>
        <v>3.5</v>
      </c>
      <c r="K144" s="37">
        <f t="shared" si="2"/>
        <v>6</v>
      </c>
    </row>
    <row r="145" hidden="1">
      <c r="A145" s="13" t="s">
        <v>136</v>
      </c>
      <c r="B145" s="34" t="s">
        <v>1061</v>
      </c>
      <c r="C145" s="5" t="s">
        <v>59</v>
      </c>
      <c r="D145" s="5" t="s">
        <v>16</v>
      </c>
      <c r="E145" s="35">
        <f>vlookup(C145,'Team Bye List'!$A$1:$B$33,2,False)</f>
        <v>8</v>
      </c>
      <c r="F145" s="36">
        <f>if(ISNA(vlookup($A145, ESPN!$B$2:$E$1010, 4, false)), 0, vlookup($A145, ESPN!$B$2:$E$1010, 4, false))</f>
        <v>8</v>
      </c>
      <c r="G145" s="36">
        <f>if(ISNA(vlookup($A145,'Ultimate Draft Kit'!$B$2:$E$261,4, false)), 0, vlookup($A145,'Ultimate Draft Kit'!$B$2:$E$261, 4, false))</f>
        <v>1</v>
      </c>
      <c r="H145" s="36">
        <f>if(ISNA(vlookup($A145, FantasyPro!$B$2:$E$514,4,false)),0,vlookup($A145,FantasyPro!$B$2:$E$514,4,false))</f>
        <v>1</v>
      </c>
      <c r="I145" s="36">
        <f>if(ISNA(vlookup($A145, FFToolbox!$B$2:$E$618, 4, false)), 0, vlookup($A145, FFToolbox!$B$2:$E$618, 4, false))</f>
        <v>4</v>
      </c>
      <c r="J145" s="37">
        <f t="shared" si="1"/>
        <v>3.5</v>
      </c>
      <c r="K145" s="37">
        <f t="shared" si="2"/>
        <v>7</v>
      </c>
    </row>
    <row r="146" hidden="1">
      <c r="A146" s="13" t="s">
        <v>383</v>
      </c>
      <c r="B146" s="34" t="s">
        <v>1061</v>
      </c>
      <c r="C146" s="5" t="s">
        <v>86</v>
      </c>
      <c r="D146" s="5" t="s">
        <v>7</v>
      </c>
      <c r="E146" s="35">
        <f>vlookup(C146,'Team Bye List'!$A$1:$B$33,2,False)</f>
        <v>6</v>
      </c>
      <c r="F146" s="36">
        <f>if(ISNA(vlookup($A146, ESPN!$B$2:$E$1010, 4, false)), 0, vlookup($A146, ESPN!$B$2:$E$1010, 4, false))</f>
        <v>0</v>
      </c>
      <c r="G146" s="36">
        <f>if(ISNA(vlookup($A146,'Ultimate Draft Kit'!$B$2:$E$261,4, false)), 0, vlookup($A146,'Ultimate Draft Kit'!$B$2:$E$261, 4, false))</f>
        <v>3</v>
      </c>
      <c r="H146" s="36">
        <f>if(ISNA(vlookup($A146, FantasyPro!$B$2:$E$514,4,false)),0,vlookup($A146,FantasyPro!$B$2:$E$514,4,false))</f>
        <v>4</v>
      </c>
      <c r="I146" s="36">
        <f>if(ISNA(vlookup($A146, FFToolbox!$B$2:$E$618, 4, false)), 0, vlookup($A146, FFToolbox!$B$2:$E$618, 4, false))</f>
        <v>6</v>
      </c>
      <c r="J146" s="37">
        <f t="shared" si="1"/>
        <v>3.25</v>
      </c>
      <c r="K146" s="37">
        <f t="shared" si="2"/>
        <v>6</v>
      </c>
    </row>
    <row r="147" hidden="1">
      <c r="A147" s="13" t="s">
        <v>144</v>
      </c>
      <c r="B147" s="34" t="s">
        <v>1061</v>
      </c>
      <c r="C147" s="5" t="s">
        <v>32</v>
      </c>
      <c r="D147" s="5" t="s">
        <v>25</v>
      </c>
      <c r="E147" s="35">
        <f>vlookup(C147,'Team Bye List'!$A$1:$B$33,2,False)</f>
        <v>9</v>
      </c>
      <c r="F147" s="36">
        <f>if(ISNA(vlookup($A147, ESPN!$B$2:$E$1010, 4, false)), 0, vlookup($A147, ESPN!$B$2:$E$1010, 4, false))</f>
        <v>6</v>
      </c>
      <c r="G147" s="36">
        <f>if(ISNA(vlookup($A147,'Ultimate Draft Kit'!$B$2:$E$261,4, false)), 0, vlookup($A147,'Ultimate Draft Kit'!$B$2:$E$261, 4, false))</f>
        <v>2</v>
      </c>
      <c r="H147" s="36">
        <f>if(ISNA(vlookup($A147, FantasyPro!$B$2:$E$514,4,false)),0,vlookup($A147,FantasyPro!$B$2:$E$514,4,false))</f>
        <v>1</v>
      </c>
      <c r="I147" s="36">
        <f>if(ISNA(vlookup($A147, FFToolbox!$B$2:$E$618, 4, false)), 0, vlookup($A147, FFToolbox!$B$2:$E$618, 4, false))</f>
        <v>4</v>
      </c>
      <c r="J147" s="37">
        <f t="shared" si="1"/>
        <v>3.25</v>
      </c>
      <c r="K147" s="37">
        <f t="shared" si="2"/>
        <v>5</v>
      </c>
    </row>
    <row r="148" hidden="1">
      <c r="A148" s="13" t="s">
        <v>147</v>
      </c>
      <c r="B148" s="34" t="s">
        <v>1059</v>
      </c>
      <c r="C148" s="5" t="s">
        <v>134</v>
      </c>
      <c r="D148" s="5" t="s">
        <v>16</v>
      </c>
      <c r="E148" s="35">
        <f>vlookup(C148,'Team Bye List'!$A$1:$B$33,2,False)</f>
        <v>11</v>
      </c>
      <c r="F148" s="36">
        <f>if(ISNA(vlookup($A148, ESPN!$B$2:$E$1010, 4, false)), 0, vlookup($A148, ESPN!$B$2:$E$1010, 4, false))</f>
        <v>6</v>
      </c>
      <c r="G148" s="36">
        <f>if(ISNA(vlookup($A148,'Ultimate Draft Kit'!$B$2:$E$261,4, false)), 0, vlookup($A148,'Ultimate Draft Kit'!$B$2:$E$261, 4, false))</f>
        <v>1</v>
      </c>
      <c r="H148" s="36">
        <f>if(ISNA(vlookup($A148, FantasyPro!$B$2:$E$514,4,false)),0,vlookup($A148,FantasyPro!$B$2:$E$514,4,false))</f>
        <v>2</v>
      </c>
      <c r="I148" s="36">
        <f>if(ISNA(vlookup($A148, FFToolbox!$B$2:$E$618, 4, false)), 0, vlookup($A148, FFToolbox!$B$2:$E$618, 4, false))</f>
        <v>4</v>
      </c>
      <c r="J148" s="37">
        <f t="shared" si="1"/>
        <v>3.25</v>
      </c>
      <c r="K148" s="37">
        <f t="shared" si="2"/>
        <v>5</v>
      </c>
    </row>
    <row r="149" hidden="1">
      <c r="A149" s="13" t="s">
        <v>355</v>
      </c>
      <c r="B149" s="34" t="s">
        <v>1059</v>
      </c>
      <c r="C149" s="5" t="s">
        <v>22</v>
      </c>
      <c r="D149" s="5" t="s">
        <v>7</v>
      </c>
      <c r="E149" s="35">
        <f>vlookup(C149,'Team Bye List'!$A$1:$B$33,2,False)</f>
        <v>7</v>
      </c>
      <c r="F149" s="36">
        <f>if(ISNA(vlookup($A149, ESPN!$B$2:$E$1010, 4, false)), 0, vlookup($A149, ESPN!$B$2:$E$1010, 4, false))</f>
        <v>0</v>
      </c>
      <c r="G149" s="36">
        <f>if(ISNA(vlookup($A149,'Ultimate Draft Kit'!$B$2:$E$261,4, false)), 0, vlookup($A149,'Ultimate Draft Kit'!$B$2:$E$261, 4, false))</f>
        <v>2</v>
      </c>
      <c r="H149" s="36">
        <f>if(ISNA(vlookup($A149, FantasyPro!$B$2:$E$514,4,false)),0,vlookup($A149,FantasyPro!$B$2:$E$514,4,false))</f>
        <v>4</v>
      </c>
      <c r="I149" s="36">
        <f>if(ISNA(vlookup($A149, FFToolbox!$B$2:$E$618, 4, false)), 0, vlookup($A149, FFToolbox!$B$2:$E$618, 4, false))</f>
        <v>6</v>
      </c>
      <c r="J149" s="37">
        <f t="shared" si="1"/>
        <v>3</v>
      </c>
      <c r="K149" s="37">
        <f t="shared" si="2"/>
        <v>6</v>
      </c>
    </row>
    <row r="150" hidden="1">
      <c r="A150" s="13" t="s">
        <v>286</v>
      </c>
      <c r="B150" s="34" t="s">
        <v>1061</v>
      </c>
      <c r="C150" s="5" t="s">
        <v>54</v>
      </c>
      <c r="D150" s="5" t="s">
        <v>10</v>
      </c>
      <c r="E150" s="35">
        <f>vlookup(C150,'Team Bye List'!$A$1:$B$33,2,False)</f>
        <v>9</v>
      </c>
      <c r="F150" s="36">
        <f>if(ISNA(vlookup($A150, ESPN!$B$2:$E$1010, 4, false)), 0, vlookup($A150, ESPN!$B$2:$E$1010, 4, false))</f>
        <v>0</v>
      </c>
      <c r="G150" s="36">
        <f>if(ISNA(vlookup($A150,'Ultimate Draft Kit'!$B$2:$E$261,4, false)), 0, vlookup($A150,'Ultimate Draft Kit'!$B$2:$E$261, 4, false))</f>
        <v>1</v>
      </c>
      <c r="H150" s="36">
        <f>if(ISNA(vlookup($A150, FantasyPro!$B$2:$E$514,4,false)),0,vlookup($A150,FantasyPro!$B$2:$E$514,4,false))</f>
        <v>3</v>
      </c>
      <c r="I150" s="36">
        <f>if(ISNA(vlookup($A150, FFToolbox!$B$2:$E$618, 4, false)), 0, vlookup($A150, FFToolbox!$B$2:$E$618, 4, false))</f>
        <v>8</v>
      </c>
      <c r="J150" s="37">
        <f t="shared" si="1"/>
        <v>3</v>
      </c>
      <c r="K150" s="37">
        <f t="shared" si="2"/>
        <v>8</v>
      </c>
    </row>
    <row r="151" hidden="1">
      <c r="A151" s="13" t="s">
        <v>251</v>
      </c>
      <c r="B151" s="34" t="s">
        <v>1059</v>
      </c>
      <c r="C151" s="5" t="s">
        <v>77</v>
      </c>
      <c r="D151" s="5" t="s">
        <v>25</v>
      </c>
      <c r="E151" s="35">
        <f>vlookup(C151,'Team Bye List'!$A$1:$B$33,2,False)</f>
        <v>11</v>
      </c>
      <c r="F151" s="36">
        <f>if(ISNA(vlookup($A151, ESPN!$B$2:$E$1010, 4, false)), 0, vlookup($A151, ESPN!$B$2:$E$1010, 4, false))</f>
        <v>0</v>
      </c>
      <c r="G151" s="36">
        <f>if(ISNA(vlookup($A151,'Ultimate Draft Kit'!$B$2:$E$261,4, false)), 0, vlookup($A151,'Ultimate Draft Kit'!$B$2:$E$261, 4, false))</f>
        <v>4</v>
      </c>
      <c r="H151" s="36">
        <f>if(ISNA(vlookup($A151, FantasyPro!$B$2:$E$514,4,false)),0,vlookup($A151,FantasyPro!$B$2:$E$514,4,false))</f>
        <v>4</v>
      </c>
      <c r="I151" s="36">
        <f>if(ISNA(vlookup($A151, FFToolbox!$B$2:$E$618, 4, false)), 0, vlookup($A151, FFToolbox!$B$2:$E$618, 4, false))</f>
        <v>4</v>
      </c>
      <c r="J151" s="37">
        <f t="shared" si="1"/>
        <v>3</v>
      </c>
      <c r="K151" s="37">
        <f t="shared" si="2"/>
        <v>4</v>
      </c>
    </row>
    <row r="152" hidden="1">
      <c r="A152" s="13" t="s">
        <v>944</v>
      </c>
      <c r="B152" s="34" t="s">
        <v>1061</v>
      </c>
      <c r="C152" s="5" t="s">
        <v>102</v>
      </c>
      <c r="D152" s="5" t="s">
        <v>10</v>
      </c>
      <c r="E152" s="35">
        <f>vlookup(C152,'Team Bye List'!$A$1:$B$33,2,False)</f>
        <v>11</v>
      </c>
      <c r="F152" s="36">
        <f>if(ISNA(vlookup($A152, ESPN!$B$2:$E$1010, 4, false)), 0, vlookup($A152, ESPN!$B$2:$E$1010, 4, false))</f>
        <v>0</v>
      </c>
      <c r="G152" s="36">
        <f>if(ISNA(vlookup($A152,'Ultimate Draft Kit'!$B$2:$E$261,4, false)), 0, vlookup($A152,'Ultimate Draft Kit'!$B$2:$E$261, 4, false))</f>
        <v>1</v>
      </c>
      <c r="H152" s="36">
        <f>if(ISNA(vlookup($A152, FantasyPro!$B$2:$E$514,4,false)),0,vlookup($A152,FantasyPro!$B$2:$E$514,4,false))</f>
        <v>0</v>
      </c>
      <c r="I152" s="36">
        <f>if(ISNA(vlookup($A152, FFToolbox!$B$2:$E$618, 4, false)), 0, vlookup($A152, FFToolbox!$B$2:$E$618, 4, false))</f>
        <v>10</v>
      </c>
      <c r="J152" s="37">
        <f t="shared" si="1"/>
        <v>2.75</v>
      </c>
      <c r="K152" s="37">
        <f t="shared" si="2"/>
        <v>10</v>
      </c>
    </row>
    <row r="153" hidden="1">
      <c r="A153" s="13" t="s">
        <v>770</v>
      </c>
      <c r="B153" s="34" t="s">
        <v>1061</v>
      </c>
      <c r="C153" s="5" t="s">
        <v>38</v>
      </c>
      <c r="D153" s="5" t="s">
        <v>7</v>
      </c>
      <c r="E153" s="35">
        <f>vlookup(C153,'Team Bye List'!$A$1:$B$33,2,False)</f>
        <v>12</v>
      </c>
      <c r="F153" s="36">
        <f>if(ISNA(vlookup($A153, ESPN!$B$2:$E$1010, 4, false)), 0, vlookup($A153, ESPN!$B$2:$E$1010, 4, false))</f>
        <v>0</v>
      </c>
      <c r="G153" s="36">
        <f>if(ISNA(vlookup($A153,'Ultimate Draft Kit'!$B$2:$E$261,4, false)), 0, vlookup($A153,'Ultimate Draft Kit'!$B$2:$E$261, 4, false))</f>
        <v>0</v>
      </c>
      <c r="H153" s="36">
        <f>if(ISNA(vlookup($A153, FantasyPro!$B$2:$E$514,4,false)),0,vlookup($A153,FantasyPro!$B$2:$E$514,4,false))</f>
        <v>3</v>
      </c>
      <c r="I153" s="36">
        <f>if(ISNA(vlookup($A153, FFToolbox!$B$2:$E$618, 4, false)), 0, vlookup($A153, FFToolbox!$B$2:$E$618, 4, false))</f>
        <v>8</v>
      </c>
      <c r="J153" s="37">
        <f t="shared" si="1"/>
        <v>2.75</v>
      </c>
      <c r="K153" s="37">
        <f t="shared" si="2"/>
        <v>8</v>
      </c>
    </row>
    <row r="154" hidden="1">
      <c r="A154" s="13" t="s">
        <v>352</v>
      </c>
      <c r="B154" s="34" t="s">
        <v>1061</v>
      </c>
      <c r="C154" s="5" t="s">
        <v>74</v>
      </c>
      <c r="D154" s="5" t="s">
        <v>7</v>
      </c>
      <c r="E154" s="35">
        <f>vlookup(C154,'Team Bye List'!$A$1:$B$33,2,False)</f>
        <v>7</v>
      </c>
      <c r="F154" s="36">
        <f>if(ISNA(vlookup($A154, ESPN!$B$2:$E$1010, 4, false)), 0, vlookup($A154, ESPN!$B$2:$E$1010, 4, false))</f>
        <v>0</v>
      </c>
      <c r="G154" s="36">
        <f>if(ISNA(vlookup($A154,'Ultimate Draft Kit'!$B$2:$E$261,4, false)), 0, vlookup($A154,'Ultimate Draft Kit'!$B$2:$E$261, 4, false))</f>
        <v>5</v>
      </c>
      <c r="H154" s="36">
        <f>if(ISNA(vlookup($A154, FantasyPro!$B$2:$E$514,4,false)),0,vlookup($A154,FantasyPro!$B$2:$E$514,4,false))</f>
        <v>2</v>
      </c>
      <c r="I154" s="36">
        <f>if(ISNA(vlookup($A154, FFToolbox!$B$2:$E$618, 4, false)), 0, vlookup($A154, FFToolbox!$B$2:$E$618, 4, false))</f>
        <v>4</v>
      </c>
      <c r="J154" s="37">
        <f t="shared" si="1"/>
        <v>2.75</v>
      </c>
      <c r="K154" s="37">
        <f t="shared" si="2"/>
        <v>5</v>
      </c>
    </row>
    <row r="155" hidden="1">
      <c r="A155" s="13" t="s">
        <v>289</v>
      </c>
      <c r="B155" s="34" t="s">
        <v>1061</v>
      </c>
      <c r="C155" s="5" t="s">
        <v>34</v>
      </c>
      <c r="D155" s="5" t="s">
        <v>10</v>
      </c>
      <c r="E155" s="35">
        <f>vlookup(C155,'Team Bye List'!$A$1:$B$33,2,False)</f>
        <v>7</v>
      </c>
      <c r="F155" s="36">
        <f>if(ISNA(vlookup($A155, ESPN!$B$2:$E$1010, 4, false)), 0, vlookup($A155, ESPN!$B$2:$E$1010, 4, false))</f>
        <v>0</v>
      </c>
      <c r="G155" s="36">
        <f>if(ISNA(vlookup($A155,'Ultimate Draft Kit'!$B$2:$E$261,4, false)), 0, vlookup($A155,'Ultimate Draft Kit'!$B$2:$E$261, 4, false))</f>
        <v>2</v>
      </c>
      <c r="H155" s="36">
        <f>if(ISNA(vlookup($A155, FantasyPro!$B$2:$E$514,4,false)),0,vlookup($A155,FantasyPro!$B$2:$E$514,4,false))</f>
        <v>3</v>
      </c>
      <c r="I155" s="36">
        <f>if(ISNA(vlookup($A155, FFToolbox!$B$2:$E$618, 4, false)), 0, vlookup($A155, FFToolbox!$B$2:$E$618, 4, false))</f>
        <v>6</v>
      </c>
      <c r="J155" s="37">
        <f t="shared" si="1"/>
        <v>2.75</v>
      </c>
      <c r="K155" s="37">
        <f t="shared" si="2"/>
        <v>6</v>
      </c>
    </row>
    <row r="156" hidden="1">
      <c r="A156" s="13" t="s">
        <v>159</v>
      </c>
      <c r="B156" s="34" t="s">
        <v>1061</v>
      </c>
      <c r="C156" s="5" t="s">
        <v>6</v>
      </c>
      <c r="D156" s="5" t="s">
        <v>10</v>
      </c>
      <c r="E156" s="35">
        <f>vlookup(C156,'Team Bye List'!$A$1:$B$33,2,False)</f>
        <v>12</v>
      </c>
      <c r="F156" s="36">
        <f>if(ISNA(vlookup($A156, ESPN!$B$2:$E$1010, 4, false)), 0, vlookup($A156, ESPN!$B$2:$E$1010, 4, false))</f>
        <v>3</v>
      </c>
      <c r="G156" s="36">
        <f>if(ISNA(vlookup($A156,'Ultimate Draft Kit'!$B$2:$E$261,4, false)), 0, vlookup($A156,'Ultimate Draft Kit'!$B$2:$E$261, 4, false))</f>
        <v>1</v>
      </c>
      <c r="H156" s="36">
        <f>if(ISNA(vlookup($A156, FantasyPro!$B$2:$E$514,4,false)),0,vlookup($A156,FantasyPro!$B$2:$E$514,4,false))</f>
        <v>1</v>
      </c>
      <c r="I156" s="36">
        <f>if(ISNA(vlookup($A156, FFToolbox!$B$2:$E$618, 4, false)), 0, vlookup($A156, FFToolbox!$B$2:$E$618, 4, false))</f>
        <v>6</v>
      </c>
      <c r="J156" s="37">
        <f t="shared" si="1"/>
        <v>2.75</v>
      </c>
      <c r="K156" s="37">
        <f t="shared" si="2"/>
        <v>5</v>
      </c>
    </row>
    <row r="157" hidden="1">
      <c r="A157" s="13" t="s">
        <v>760</v>
      </c>
      <c r="B157" s="34" t="s">
        <v>1061</v>
      </c>
      <c r="C157" s="5" t="s">
        <v>32</v>
      </c>
      <c r="D157" s="5" t="s">
        <v>25</v>
      </c>
      <c r="E157" s="35">
        <f>vlookup(C157,'Team Bye List'!$A$1:$B$33,2,False)</f>
        <v>9</v>
      </c>
      <c r="F157" s="36">
        <f>if(ISNA(vlookup($A157, ESPN!$B$2:$E$1010, 4, false)), 0, vlookup($A157, ESPN!$B$2:$E$1010, 4, false))</f>
        <v>0</v>
      </c>
      <c r="G157" s="36">
        <f>if(ISNA(vlookup($A157,'Ultimate Draft Kit'!$B$2:$E$261,4, false)), 0, vlookup($A157,'Ultimate Draft Kit'!$B$2:$E$261, 4, false))</f>
        <v>3</v>
      </c>
      <c r="H157" s="36">
        <f>if(ISNA(vlookup($A157, FantasyPro!$B$2:$E$514,4,false)),0,vlookup($A157,FantasyPro!$B$2:$E$514,4,false))</f>
        <v>1</v>
      </c>
      <c r="I157" s="36">
        <f>if(ISNA(vlookup($A157, FFToolbox!$B$2:$E$618, 4, false)), 0, vlookup($A157, FFToolbox!$B$2:$E$618, 4, false))</f>
        <v>6</v>
      </c>
      <c r="J157" s="37">
        <f t="shared" si="1"/>
        <v>2.5</v>
      </c>
      <c r="K157" s="37">
        <f t="shared" si="2"/>
        <v>6</v>
      </c>
    </row>
    <row r="158" hidden="1">
      <c r="A158" s="13" t="s">
        <v>518</v>
      </c>
      <c r="B158" s="34" t="s">
        <v>1061</v>
      </c>
      <c r="C158" s="5" t="s">
        <v>1007</v>
      </c>
      <c r="D158" s="5" t="s">
        <v>7</v>
      </c>
      <c r="E158" s="35">
        <f>vlookup(C158,'Team Bye List'!$A$1:$B$33,2,False)</f>
        <v>8</v>
      </c>
      <c r="F158" s="36">
        <f>if(ISNA(vlookup($A158, ESPN!$B$2:$E$1010, 4, false)), 0, vlookup($A158, ESPN!$B$2:$E$1010, 4, false))</f>
        <v>0</v>
      </c>
      <c r="G158" s="36">
        <f>if(ISNA(vlookup($A158,'Ultimate Draft Kit'!$B$2:$E$261,4, false)), 0, vlookup($A158,'Ultimate Draft Kit'!$B$2:$E$261, 4, false))</f>
        <v>1</v>
      </c>
      <c r="H158" s="36">
        <f>if(ISNA(vlookup($A158, FantasyPro!$B$2:$E$514,4,false)),0,vlookup($A158,FantasyPro!$B$2:$E$514,4,false))</f>
        <v>3</v>
      </c>
      <c r="I158" s="36">
        <f>if(ISNA(vlookup($A158, FFToolbox!$B$2:$E$618, 4, false)), 0, vlookup($A158, FFToolbox!$B$2:$E$618, 4, false))</f>
        <v>6</v>
      </c>
      <c r="J158" s="37">
        <f t="shared" si="1"/>
        <v>2.5</v>
      </c>
      <c r="K158" s="37">
        <f t="shared" si="2"/>
        <v>6</v>
      </c>
    </row>
    <row r="159" hidden="1">
      <c r="A159" s="13" t="s">
        <v>385</v>
      </c>
      <c r="B159" s="34" t="s">
        <v>1061</v>
      </c>
      <c r="C159" s="5" t="s">
        <v>14</v>
      </c>
      <c r="D159" s="5" t="s">
        <v>7</v>
      </c>
      <c r="E159" s="35">
        <f>vlookup(C159,'Team Bye List'!$A$1:$B$33,2,False)</f>
        <v>10</v>
      </c>
      <c r="F159" s="36">
        <f>if(ISNA(vlookup($A159, ESPN!$B$2:$E$1010, 4, false)), 0, vlookup($A159, ESPN!$B$2:$E$1010, 4, false))</f>
        <v>0</v>
      </c>
      <c r="G159" s="36">
        <f>if(ISNA(vlookup($A159,'Ultimate Draft Kit'!$B$2:$E$261,4, false)), 0, vlookup($A159,'Ultimate Draft Kit'!$B$2:$E$261, 4, false))</f>
        <v>1</v>
      </c>
      <c r="H159" s="36">
        <f>if(ISNA(vlookup($A159, FantasyPro!$B$2:$E$514,4,false)),0,vlookup($A159,FantasyPro!$B$2:$E$514,4,false))</f>
        <v>3</v>
      </c>
      <c r="I159" s="36">
        <f>if(ISNA(vlookup($A159, FFToolbox!$B$2:$E$618, 4, false)), 0, vlookup($A159, FFToolbox!$B$2:$E$618, 4, false))</f>
        <v>6</v>
      </c>
      <c r="J159" s="37">
        <f t="shared" si="1"/>
        <v>2.5</v>
      </c>
      <c r="K159" s="37">
        <f t="shared" si="2"/>
        <v>6</v>
      </c>
    </row>
    <row r="160" hidden="1">
      <c r="A160" s="13" t="s">
        <v>294</v>
      </c>
      <c r="B160" s="34" t="s">
        <v>1061</v>
      </c>
      <c r="C160" s="5" t="s">
        <v>74</v>
      </c>
      <c r="D160" s="5" t="s">
        <v>25</v>
      </c>
      <c r="E160" s="35">
        <f>vlookup(C160,'Team Bye List'!$A$1:$B$33,2,False)</f>
        <v>7</v>
      </c>
      <c r="F160" s="36">
        <f>if(ISNA(vlookup($A160, ESPN!$B$2:$E$1010, 4, false)), 0, vlookup($A160, ESPN!$B$2:$E$1010, 4, false))</f>
        <v>0</v>
      </c>
      <c r="G160" s="36">
        <f>if(ISNA(vlookup($A160,'Ultimate Draft Kit'!$B$2:$E$261,4, false)), 0, vlookup($A160,'Ultimate Draft Kit'!$B$2:$E$261, 4, false))</f>
        <v>1</v>
      </c>
      <c r="H160" s="36">
        <f>if(ISNA(vlookup($A160, FantasyPro!$B$2:$E$514,4,false)),0,vlookup($A160,FantasyPro!$B$2:$E$514,4,false))</f>
        <v>1</v>
      </c>
      <c r="I160" s="36">
        <f>if(ISNA(vlookup($A160, FFToolbox!$B$2:$E$618, 4, false)), 0, vlookup($A160, FFToolbox!$B$2:$E$618, 4, false))</f>
        <v>8</v>
      </c>
      <c r="J160" s="37">
        <f t="shared" si="1"/>
        <v>2.5</v>
      </c>
      <c r="K160" s="37">
        <f t="shared" si="2"/>
        <v>8</v>
      </c>
    </row>
    <row r="161" hidden="1">
      <c r="A161" s="13" t="s">
        <v>180</v>
      </c>
      <c r="B161" s="34" t="s">
        <v>1061</v>
      </c>
      <c r="C161" s="5" t="s">
        <v>22</v>
      </c>
      <c r="D161" s="5" t="s">
        <v>10</v>
      </c>
      <c r="E161" s="35">
        <f>vlookup(C161,'Team Bye List'!$A$1:$B$33,2,False)</f>
        <v>7</v>
      </c>
      <c r="F161" s="36">
        <f>if(ISNA(vlookup($A161, ESPN!$B$2:$E$1010, 4, false)), 0, vlookup($A161, ESPN!$B$2:$E$1010, 4, false))</f>
        <v>1</v>
      </c>
      <c r="G161" s="36">
        <f>if(ISNA(vlookup($A161,'Ultimate Draft Kit'!$B$2:$E$261,4, false)), 0, vlookup($A161,'Ultimate Draft Kit'!$B$2:$E$261, 4, false))</f>
        <v>1</v>
      </c>
      <c r="H161" s="36">
        <f>if(ISNA(vlookup($A161, FantasyPro!$B$2:$E$514,4,false)),0,vlookup($A161,FantasyPro!$B$2:$E$514,4,false))</f>
        <v>2</v>
      </c>
      <c r="I161" s="36">
        <f>if(ISNA(vlookup($A161, FFToolbox!$B$2:$E$618, 4, false)), 0, vlookup($A161, FFToolbox!$B$2:$E$618, 4, false))</f>
        <v>6</v>
      </c>
      <c r="J161" s="37">
        <f t="shared" si="1"/>
        <v>2.5</v>
      </c>
      <c r="K161" s="37">
        <f t="shared" si="2"/>
        <v>5</v>
      </c>
    </row>
    <row r="162" hidden="1">
      <c r="A162" s="13" t="s">
        <v>604</v>
      </c>
      <c r="B162" s="34" t="s">
        <v>1061</v>
      </c>
      <c r="C162" s="5" t="s">
        <v>92</v>
      </c>
      <c r="D162" s="5" t="s">
        <v>7</v>
      </c>
      <c r="E162" s="35">
        <f>vlookup(C162,'Team Bye List'!$A$1:$B$33,2,False)</f>
        <v>8</v>
      </c>
      <c r="F162" s="36">
        <f>if(ISNA(vlookup($A162, ESPN!$B$2:$E$1010, 4, false)), 0, vlookup($A162, ESPN!$B$2:$E$1010, 4, false))</f>
        <v>0</v>
      </c>
      <c r="G162" s="36">
        <f>if(ISNA(vlookup($A162,'Ultimate Draft Kit'!$B$2:$E$261,4, false)), 0, vlookup($A162,'Ultimate Draft Kit'!$B$2:$E$261, 4, false))</f>
        <v>1</v>
      </c>
      <c r="H162" s="36">
        <f>if(ISNA(vlookup($A162, FantasyPro!$B$2:$E$514,4,false)),0,vlookup($A162,FantasyPro!$B$2:$E$514,4,false))</f>
        <v>0</v>
      </c>
      <c r="I162" s="36">
        <f>if(ISNA(vlookup($A162, FFToolbox!$B$2:$E$618, 4, false)), 0, vlookup($A162, FFToolbox!$B$2:$E$618, 4, false))</f>
        <v>8</v>
      </c>
      <c r="J162" s="37">
        <f t="shared" si="1"/>
        <v>2.25</v>
      </c>
      <c r="K162" s="37">
        <f t="shared" si="2"/>
        <v>8</v>
      </c>
    </row>
    <row r="163" hidden="1">
      <c r="A163" s="13" t="s">
        <v>531</v>
      </c>
      <c r="B163" s="34" t="s">
        <v>1061</v>
      </c>
      <c r="C163" s="5" t="s">
        <v>96</v>
      </c>
      <c r="D163" s="5" t="s">
        <v>7</v>
      </c>
      <c r="E163" s="35">
        <f>vlookup(C163,'Team Bye List'!$A$1:$B$33,2,False)</f>
        <v>10</v>
      </c>
      <c r="F163" s="36">
        <f>if(ISNA(vlookup($A163, ESPN!$B$2:$E$1010, 4, false)), 0, vlookup($A163, ESPN!$B$2:$E$1010, 4, false))</f>
        <v>0</v>
      </c>
      <c r="G163" s="36">
        <f>if(ISNA(vlookup($A163,'Ultimate Draft Kit'!$B$2:$E$261,4, false)), 0, vlookup($A163,'Ultimate Draft Kit'!$B$2:$E$261, 4, false))</f>
        <v>1</v>
      </c>
      <c r="H163" s="36">
        <f>if(ISNA(vlookup($A163, FantasyPro!$B$2:$E$514,4,false)),0,vlookup($A163,FantasyPro!$B$2:$E$514,4,false))</f>
        <v>0</v>
      </c>
      <c r="I163" s="36">
        <f>if(ISNA(vlookup($A163, FFToolbox!$B$2:$E$618, 4, false)), 0, vlookup($A163, FFToolbox!$B$2:$E$618, 4, false))</f>
        <v>8</v>
      </c>
      <c r="J163" s="37">
        <f t="shared" si="1"/>
        <v>2.25</v>
      </c>
      <c r="K163" s="37">
        <f t="shared" si="2"/>
        <v>8</v>
      </c>
    </row>
    <row r="164" hidden="1">
      <c r="A164" s="13" t="s">
        <v>348</v>
      </c>
      <c r="B164" s="34" t="s">
        <v>1061</v>
      </c>
      <c r="C164" s="5" t="s">
        <v>61</v>
      </c>
      <c r="D164" s="5" t="s">
        <v>25</v>
      </c>
      <c r="E164" s="35">
        <f>vlookup(C164,'Team Bye List'!$A$1:$B$33,2,False)</f>
        <v>9</v>
      </c>
      <c r="F164" s="36">
        <f>if(ISNA(vlookup($A164, ESPN!$B$2:$E$1010, 4, false)), 0, vlookup($A164, ESPN!$B$2:$E$1010, 4, false))</f>
        <v>0</v>
      </c>
      <c r="G164" s="36">
        <f>if(ISNA(vlookup($A164,'Ultimate Draft Kit'!$B$2:$E$261,4, false)), 0, vlookup($A164,'Ultimate Draft Kit'!$B$2:$E$261, 4, false))</f>
        <v>1</v>
      </c>
      <c r="H164" s="36">
        <f>if(ISNA(vlookup($A164, FantasyPro!$B$2:$E$514,4,false)),0,vlookup($A164,FantasyPro!$B$2:$E$514,4,false))</f>
        <v>0</v>
      </c>
      <c r="I164" s="36">
        <f>if(ISNA(vlookup($A164, FFToolbox!$B$2:$E$618, 4, false)), 0, vlookup($A164, FFToolbox!$B$2:$E$618, 4, false))</f>
        <v>8</v>
      </c>
      <c r="J164" s="37">
        <f t="shared" si="1"/>
        <v>2.25</v>
      </c>
      <c r="K164" s="37">
        <f t="shared" si="2"/>
        <v>8</v>
      </c>
    </row>
    <row r="165" hidden="1">
      <c r="A165" s="13" t="s">
        <v>534</v>
      </c>
      <c r="B165" s="34" t="s">
        <v>1061</v>
      </c>
      <c r="C165" s="5" t="s">
        <v>56</v>
      </c>
      <c r="D165" s="5" t="s">
        <v>7</v>
      </c>
      <c r="E165" s="35">
        <f>vlookup(C165,'Team Bye List'!$A$1:$B$33,2,False)</f>
        <v>5</v>
      </c>
      <c r="F165" s="36">
        <f>if(ISNA(vlookup($A165, ESPN!$B$2:$E$1010, 4, false)), 0, vlookup($A165, ESPN!$B$2:$E$1010, 4, false))</f>
        <v>0</v>
      </c>
      <c r="G165" s="36">
        <f>if(ISNA(vlookup($A165,'Ultimate Draft Kit'!$B$2:$E$261,4, false)), 0, vlookup($A165,'Ultimate Draft Kit'!$B$2:$E$261, 4, false))</f>
        <v>0</v>
      </c>
      <c r="H165" s="36">
        <f>if(ISNA(vlookup($A165, FantasyPro!$B$2:$E$514,4,false)),0,vlookup($A165,FantasyPro!$B$2:$E$514,4,false))</f>
        <v>0</v>
      </c>
      <c r="I165" s="36">
        <f>if(ISNA(vlookup($A165, FFToolbox!$B$2:$E$618, 4, false)), 0, vlookup($A165, FFToolbox!$B$2:$E$618, 4, false))</f>
        <v>8</v>
      </c>
      <c r="J165" s="37">
        <f t="shared" si="1"/>
        <v>2</v>
      </c>
      <c r="K165" s="37">
        <f t="shared" si="2"/>
        <v>8</v>
      </c>
    </row>
    <row r="166" hidden="1">
      <c r="A166" s="13" t="s">
        <v>333</v>
      </c>
      <c r="B166" s="34" t="s">
        <v>1061</v>
      </c>
      <c r="C166" s="5" t="s">
        <v>134</v>
      </c>
      <c r="D166" s="5" t="s">
        <v>10</v>
      </c>
      <c r="E166" s="35">
        <f>vlookup(C166,'Team Bye List'!$A$1:$B$33,2,False)</f>
        <v>11</v>
      </c>
      <c r="F166" s="36">
        <f>if(ISNA(vlookup($A166, ESPN!$B$2:$E$1010, 4, false)), 0, vlookup($A166, ESPN!$B$2:$E$1010, 4, false))</f>
        <v>0</v>
      </c>
      <c r="G166" s="36">
        <f>if(ISNA(vlookup($A166,'Ultimate Draft Kit'!$B$2:$E$261,4, false)), 0, vlookup($A166,'Ultimate Draft Kit'!$B$2:$E$261, 4, false))</f>
        <v>1</v>
      </c>
      <c r="H166" s="36">
        <f>if(ISNA(vlookup($A166, FantasyPro!$B$2:$E$514,4,false)),0,vlookup($A166,FantasyPro!$B$2:$E$514,4,false))</f>
        <v>1</v>
      </c>
      <c r="I166" s="36">
        <f>if(ISNA(vlookup($A166, FFToolbox!$B$2:$E$618, 4, false)), 0, vlookup($A166, FFToolbox!$B$2:$E$618, 4, false))</f>
        <v>6</v>
      </c>
      <c r="J166" s="37">
        <f t="shared" si="1"/>
        <v>2</v>
      </c>
      <c r="K166" s="37">
        <f t="shared" si="2"/>
        <v>6</v>
      </c>
    </row>
    <row r="167" hidden="1">
      <c r="A167" s="13" t="s">
        <v>328</v>
      </c>
      <c r="B167" s="34" t="s">
        <v>1061</v>
      </c>
      <c r="C167" s="5" t="s">
        <v>96</v>
      </c>
      <c r="D167" s="5" t="s">
        <v>7</v>
      </c>
      <c r="E167" s="35">
        <f>vlookup(C167,'Team Bye List'!$A$1:$B$33,2,False)</f>
        <v>10</v>
      </c>
      <c r="F167" s="36">
        <f>if(ISNA(vlookup($A167, ESPN!$B$2:$E$1010, 4, false)), 0, vlookup($A167, ESPN!$B$2:$E$1010, 4, false))</f>
        <v>0</v>
      </c>
      <c r="G167" s="36">
        <f>if(ISNA(vlookup($A167,'Ultimate Draft Kit'!$B$2:$E$261,4, false)), 0, vlookup($A167,'Ultimate Draft Kit'!$B$2:$E$261, 4, false))</f>
        <v>1</v>
      </c>
      <c r="H167" s="36">
        <f>if(ISNA(vlookup($A167, FantasyPro!$B$2:$E$514,4,false)),0,vlookup($A167,FantasyPro!$B$2:$E$514,4,false))</f>
        <v>1</v>
      </c>
      <c r="I167" s="36">
        <f>if(ISNA(vlookup($A167, FFToolbox!$B$2:$E$618, 4, false)), 0, vlookup($A167, FFToolbox!$B$2:$E$618, 4, false))</f>
        <v>6</v>
      </c>
      <c r="J167" s="37">
        <f t="shared" si="1"/>
        <v>2</v>
      </c>
      <c r="K167" s="37">
        <f t="shared" si="2"/>
        <v>6</v>
      </c>
    </row>
    <row r="168" hidden="1">
      <c r="A168" s="13" t="s">
        <v>285</v>
      </c>
      <c r="B168" s="34" t="s">
        <v>1061</v>
      </c>
      <c r="C168" s="5" t="s">
        <v>1007</v>
      </c>
      <c r="D168" s="5" t="s">
        <v>25</v>
      </c>
      <c r="E168" s="35">
        <f>vlookup(C168,'Team Bye List'!$A$1:$B$33,2,False)</f>
        <v>8</v>
      </c>
      <c r="F168" s="36">
        <f>if(ISNA(vlookup($A168, ESPN!$B$2:$E$1010, 4, false)), 0, vlookup($A168, ESPN!$B$2:$E$1010, 4, false))</f>
        <v>0</v>
      </c>
      <c r="G168" s="36">
        <f>if(ISNA(vlookup($A168,'Ultimate Draft Kit'!$B$2:$E$261,4, false)), 0, vlookup($A168,'Ultimate Draft Kit'!$B$2:$E$261, 4, false))</f>
        <v>1</v>
      </c>
      <c r="H168" s="36">
        <f>if(ISNA(vlookup($A168, FantasyPro!$B$2:$E$514,4,false)),0,vlookup($A168,FantasyPro!$B$2:$E$514,4,false))</f>
        <v>1</v>
      </c>
      <c r="I168" s="36">
        <f>if(ISNA(vlookup($A168, FFToolbox!$B$2:$E$618, 4, false)), 0, vlookup($A168, FFToolbox!$B$2:$E$618, 4, false))</f>
        <v>6</v>
      </c>
      <c r="J168" s="37">
        <f t="shared" si="1"/>
        <v>2</v>
      </c>
      <c r="K168" s="37">
        <f t="shared" si="2"/>
        <v>6</v>
      </c>
    </row>
    <row r="169" hidden="1">
      <c r="A169" s="13" t="s">
        <v>283</v>
      </c>
      <c r="B169" s="34" t="s">
        <v>1059</v>
      </c>
      <c r="C169" s="5" t="s">
        <v>56</v>
      </c>
      <c r="D169" s="5" t="s">
        <v>25</v>
      </c>
      <c r="E169" s="35">
        <f>vlookup(C169,'Team Bye List'!$A$1:$B$33,2,False)</f>
        <v>5</v>
      </c>
      <c r="F169" s="36">
        <f>if(ISNA(vlookup($A169, ESPN!$B$2:$E$1010, 4, false)), 0, vlookup($A169, ESPN!$B$2:$E$1010, 4, false))</f>
        <v>0</v>
      </c>
      <c r="G169" s="36">
        <f>if(ISNA(vlookup($A169,'Ultimate Draft Kit'!$B$2:$E$261,4, false)), 0, vlookup($A169,'Ultimate Draft Kit'!$B$2:$E$261, 4, false))</f>
        <v>1</v>
      </c>
      <c r="H169" s="36">
        <f>if(ISNA(vlookup($A169, FantasyPro!$B$2:$E$514,4,false)),0,vlookup($A169,FantasyPro!$B$2:$E$514,4,false))</f>
        <v>1</v>
      </c>
      <c r="I169" s="36">
        <f>if(ISNA(vlookup($A169, FFToolbox!$B$2:$E$618, 4, false)), 0, vlookup($A169, FFToolbox!$B$2:$E$618, 4, false))</f>
        <v>6</v>
      </c>
      <c r="J169" s="37">
        <f t="shared" si="1"/>
        <v>2</v>
      </c>
      <c r="K169" s="37">
        <f t="shared" si="2"/>
        <v>6</v>
      </c>
    </row>
    <row r="170" hidden="1">
      <c r="A170" s="13" t="s">
        <v>252</v>
      </c>
      <c r="B170" s="34" t="s">
        <v>1061</v>
      </c>
      <c r="C170" s="5" t="s">
        <v>63</v>
      </c>
      <c r="D170" s="5" t="s">
        <v>10</v>
      </c>
      <c r="E170" s="35">
        <f>vlookup(C170,'Team Bye List'!$A$1:$B$33,2,False)</f>
        <v>8</v>
      </c>
      <c r="F170" s="36">
        <f>if(ISNA(vlookup($A170, ESPN!$B$2:$E$1010, 4, false)), 0, vlookup($A170, ESPN!$B$2:$E$1010, 4, false))</f>
        <v>0</v>
      </c>
      <c r="G170" s="36">
        <f>if(ISNA(vlookup($A170,'Ultimate Draft Kit'!$B$2:$E$261,4, false)), 0, vlookup($A170,'Ultimate Draft Kit'!$B$2:$E$261, 4, false))</f>
        <v>1</v>
      </c>
      <c r="H170" s="36">
        <f>if(ISNA(vlookup($A170, FantasyPro!$B$2:$E$514,4,false)),0,vlookup($A170,FantasyPro!$B$2:$E$514,4,false))</f>
        <v>1</v>
      </c>
      <c r="I170" s="36">
        <f>if(ISNA(vlookup($A170, FFToolbox!$B$2:$E$618, 4, false)), 0, vlookup($A170, FFToolbox!$B$2:$E$618, 4, false))</f>
        <v>6</v>
      </c>
      <c r="J170" s="37">
        <f t="shared" si="1"/>
        <v>2</v>
      </c>
      <c r="K170" s="37">
        <f t="shared" si="2"/>
        <v>6</v>
      </c>
    </row>
    <row r="171" hidden="1">
      <c r="A171" s="13" t="s">
        <v>246</v>
      </c>
      <c r="B171" s="34" t="s">
        <v>1061</v>
      </c>
      <c r="C171" s="5" t="s">
        <v>104</v>
      </c>
      <c r="D171" s="5" t="s">
        <v>10</v>
      </c>
      <c r="E171" s="35">
        <f>vlookup(C171,'Team Bye List'!$A$1:$B$33,2,False)</f>
        <v>7</v>
      </c>
      <c r="F171" s="36">
        <f>if(ISNA(vlookup($A171, ESPN!$B$2:$E$1010, 4, false)), 0, vlookup($A171, ESPN!$B$2:$E$1010, 4, false))</f>
        <v>0</v>
      </c>
      <c r="G171" s="36">
        <f>if(ISNA(vlookup($A171,'Ultimate Draft Kit'!$B$2:$E$261,4, false)), 0, vlookup($A171,'Ultimate Draft Kit'!$B$2:$E$261, 4, false))</f>
        <v>0</v>
      </c>
      <c r="H171" s="36">
        <f>if(ISNA(vlookup($A171, FantasyPro!$B$2:$E$514,4,false)),0,vlookup($A171,FantasyPro!$B$2:$E$514,4,false))</f>
        <v>0</v>
      </c>
      <c r="I171" s="36">
        <f>if(ISNA(vlookup($A171, FFToolbox!$B$2:$E$618, 4, false)), 0, vlookup($A171, FFToolbox!$B$2:$E$618, 4, false))</f>
        <v>8</v>
      </c>
      <c r="J171" s="37">
        <f t="shared" si="1"/>
        <v>2</v>
      </c>
      <c r="K171" s="37">
        <f t="shared" si="2"/>
        <v>8</v>
      </c>
    </row>
    <row r="172" hidden="1">
      <c r="A172" s="13" t="s">
        <v>244</v>
      </c>
      <c r="B172" s="34" t="s">
        <v>1061</v>
      </c>
      <c r="C172" s="5" t="s">
        <v>9</v>
      </c>
      <c r="D172" s="5" t="s">
        <v>25</v>
      </c>
      <c r="E172" s="35">
        <f>vlookup(C172,'Team Bye List'!$A$1:$B$33,2,False)</f>
        <v>10</v>
      </c>
      <c r="F172" s="36">
        <f>if(ISNA(vlookup($A172, ESPN!$B$2:$E$1010, 4, false)), 0, vlookup($A172, ESPN!$B$2:$E$1010, 4, false))</f>
        <v>0</v>
      </c>
      <c r="G172" s="36">
        <f>if(ISNA(vlookup($A172,'Ultimate Draft Kit'!$B$2:$E$261,4, false)), 0, vlookup($A172,'Ultimate Draft Kit'!$B$2:$E$261, 4, false))</f>
        <v>1</v>
      </c>
      <c r="H172" s="36">
        <f>if(ISNA(vlookup($A172, FantasyPro!$B$2:$E$514,4,false)),0,vlookup($A172,FantasyPro!$B$2:$E$514,4,false))</f>
        <v>1</v>
      </c>
      <c r="I172" s="36">
        <f>if(ISNA(vlookup($A172, FFToolbox!$B$2:$E$618, 4, false)), 0, vlookup($A172, FFToolbox!$B$2:$E$618, 4, false))</f>
        <v>6</v>
      </c>
      <c r="J172" s="37">
        <f t="shared" si="1"/>
        <v>2</v>
      </c>
      <c r="K172" s="37">
        <f t="shared" si="2"/>
        <v>6</v>
      </c>
    </row>
    <row r="173" hidden="1">
      <c r="A173" s="13" t="s">
        <v>170</v>
      </c>
      <c r="B173" s="34" t="s">
        <v>1059</v>
      </c>
      <c r="C173" s="5" t="s">
        <v>9</v>
      </c>
      <c r="D173" s="5" t="s">
        <v>169</v>
      </c>
      <c r="E173" s="35">
        <f>vlookup(C173,'Team Bye List'!$A$1:$B$33,2,False)</f>
        <v>10</v>
      </c>
      <c r="F173" s="36">
        <f>if(ISNA(vlookup($A173, ESPN!$B$2:$E$1010, 4, false)), 0, vlookup($A173, ESPN!$B$2:$E$1010, 4, false))</f>
        <v>1</v>
      </c>
      <c r="G173" s="36">
        <f>if(ISNA(vlookup($A173,'Ultimate Draft Kit'!$B$2:$E$261,4, false)), 0, vlookup($A173,'Ultimate Draft Kit'!$B$2:$E$261, 4, false))</f>
        <v>0</v>
      </c>
      <c r="H173" s="36">
        <f>if(ISNA(vlookup($A173, FantasyPro!$B$2:$E$514,4,false)),0,vlookup($A173,FantasyPro!$B$2:$E$514,4,false))</f>
        <v>1</v>
      </c>
      <c r="I173" s="36">
        <f>if(ISNA(vlookup($A173, FFToolbox!$B$2:$E$618, 4, false)), 0, vlookup($A173, FFToolbox!$B$2:$E$618, 4, false))</f>
        <v>6</v>
      </c>
      <c r="J173" s="37">
        <f t="shared" si="1"/>
        <v>2</v>
      </c>
      <c r="K173" s="37">
        <f t="shared" si="2"/>
        <v>6</v>
      </c>
    </row>
    <row r="174" hidden="1">
      <c r="A174" s="13" t="s">
        <v>172</v>
      </c>
      <c r="B174" s="34" t="s">
        <v>1059</v>
      </c>
      <c r="C174" s="5" t="s">
        <v>12</v>
      </c>
      <c r="D174" s="5" t="s">
        <v>169</v>
      </c>
      <c r="E174" s="35">
        <f>vlookup(C174,'Team Bye List'!$A$1:$B$33,2,False)</f>
        <v>8</v>
      </c>
      <c r="F174" s="36">
        <f>if(ISNA(vlookup($A174, ESPN!$B$2:$E$1010, 4, false)), 0, vlookup($A174, ESPN!$B$2:$E$1010, 4, false))</f>
        <v>1</v>
      </c>
      <c r="G174" s="36">
        <f>if(ISNA(vlookup($A174,'Ultimate Draft Kit'!$B$2:$E$261,4, false)), 0, vlookup($A174,'Ultimate Draft Kit'!$B$2:$E$261, 4, false))</f>
        <v>0</v>
      </c>
      <c r="H174" s="36">
        <f>if(ISNA(vlookup($A174, FantasyPro!$B$2:$E$514,4,false)),0,vlookup($A174,FantasyPro!$B$2:$E$514,4,false))</f>
        <v>1</v>
      </c>
      <c r="I174" s="36">
        <f>if(ISNA(vlookup($A174, FFToolbox!$B$2:$E$618, 4, false)), 0, vlookup($A174, FFToolbox!$B$2:$E$618, 4, false))</f>
        <v>6</v>
      </c>
      <c r="J174" s="37">
        <f t="shared" si="1"/>
        <v>2</v>
      </c>
      <c r="K174" s="37">
        <f t="shared" si="2"/>
        <v>6</v>
      </c>
    </row>
    <row r="175" hidden="1">
      <c r="A175" s="13" t="s">
        <v>168</v>
      </c>
      <c r="B175" s="34" t="s">
        <v>1059</v>
      </c>
      <c r="C175" s="5" t="s">
        <v>24</v>
      </c>
      <c r="D175" s="5" t="s">
        <v>169</v>
      </c>
      <c r="E175" s="35">
        <f>vlookup(C175,'Team Bye List'!$A$1:$B$33,2,False)</f>
        <v>6</v>
      </c>
      <c r="F175" s="36">
        <f>if(ISNA(vlookup($A175, ESPN!$B$2:$E$1010, 4, false)), 0, vlookup($A175, ESPN!$B$2:$E$1010, 4, false))</f>
        <v>1</v>
      </c>
      <c r="G175" s="36">
        <f>if(ISNA(vlookup($A175,'Ultimate Draft Kit'!$B$2:$E$261,4, false)), 0, vlookup($A175,'Ultimate Draft Kit'!$B$2:$E$261, 4, false))</f>
        <v>0</v>
      </c>
      <c r="H175" s="36">
        <f>if(ISNA(vlookup($A175, FantasyPro!$B$2:$E$514,4,false)),0,vlookup($A175,FantasyPro!$B$2:$E$514,4,false))</f>
        <v>1</v>
      </c>
      <c r="I175" s="36">
        <f>if(ISNA(vlookup($A175, FFToolbox!$B$2:$E$618, 4, false)), 0, vlookup($A175, FFToolbox!$B$2:$E$618, 4, false))</f>
        <v>6</v>
      </c>
      <c r="J175" s="37">
        <f t="shared" si="1"/>
        <v>2</v>
      </c>
      <c r="K175" s="37">
        <f t="shared" si="2"/>
        <v>6</v>
      </c>
    </row>
    <row r="176" hidden="1">
      <c r="A176" s="13" t="s">
        <v>945</v>
      </c>
      <c r="B176" s="34" t="s">
        <v>1061</v>
      </c>
      <c r="C176" s="5" t="s">
        <v>96</v>
      </c>
      <c r="D176" s="5" t="s">
        <v>10</v>
      </c>
      <c r="E176" s="35">
        <f>vlookup(C176,'Team Bye List'!$A$1:$B$33,2,False)</f>
        <v>10</v>
      </c>
      <c r="F176" s="36">
        <f>if(ISNA(vlookup($A176, ESPN!$B$2:$E$1010, 4, false)), 0, vlookup($A176, ESPN!$B$2:$E$1010, 4, false))</f>
        <v>0</v>
      </c>
      <c r="G176" s="36">
        <f>if(ISNA(vlookup($A176,'Ultimate Draft Kit'!$B$2:$E$261,4, false)), 0, vlookup($A176,'Ultimate Draft Kit'!$B$2:$E$261, 4, false))</f>
        <v>1</v>
      </c>
      <c r="H176" s="36">
        <f>if(ISNA(vlookup($A176, FantasyPro!$B$2:$E$514,4,false)),0,vlookup($A176,FantasyPro!$B$2:$E$514,4,false))</f>
        <v>0</v>
      </c>
      <c r="I176" s="36">
        <f>if(ISNA(vlookup($A176, FFToolbox!$B$2:$E$618, 4, false)), 0, vlookup($A176, FFToolbox!$B$2:$E$618, 4, false))</f>
        <v>6</v>
      </c>
      <c r="J176" s="37">
        <f t="shared" si="1"/>
        <v>1.75</v>
      </c>
      <c r="K176" s="37">
        <f t="shared" si="2"/>
        <v>6</v>
      </c>
    </row>
    <row r="177" hidden="1">
      <c r="A177" s="13" t="s">
        <v>943</v>
      </c>
      <c r="B177" s="34" t="s">
        <v>1061</v>
      </c>
      <c r="C177" s="5" t="s">
        <v>77</v>
      </c>
      <c r="D177" s="5" t="s">
        <v>10</v>
      </c>
      <c r="E177" s="35">
        <f>vlookup(C177,'Team Bye List'!$A$1:$B$33,2,False)</f>
        <v>11</v>
      </c>
      <c r="F177" s="36">
        <f>if(ISNA(vlookup($A177, ESPN!$B$2:$E$1010, 4, false)), 0, vlookup($A177, ESPN!$B$2:$E$1010, 4, false))</f>
        <v>0</v>
      </c>
      <c r="G177" s="36">
        <f>if(ISNA(vlookup($A177,'Ultimate Draft Kit'!$B$2:$E$261,4, false)), 0, vlookup($A177,'Ultimate Draft Kit'!$B$2:$E$261, 4, false))</f>
        <v>1</v>
      </c>
      <c r="H177" s="36">
        <f>if(ISNA(vlookup($A177, FantasyPro!$B$2:$E$514,4,false)),0,vlookup($A177,FantasyPro!$B$2:$E$514,4,false))</f>
        <v>0</v>
      </c>
      <c r="I177" s="36">
        <f>if(ISNA(vlookup($A177, FFToolbox!$B$2:$E$618, 4, false)), 0, vlookup($A177, FFToolbox!$B$2:$E$618, 4, false))</f>
        <v>6</v>
      </c>
      <c r="J177" s="37">
        <f t="shared" si="1"/>
        <v>1.75</v>
      </c>
      <c r="K177" s="37">
        <f t="shared" si="2"/>
        <v>6</v>
      </c>
    </row>
    <row r="178" hidden="1">
      <c r="A178" s="13" t="s">
        <v>523</v>
      </c>
      <c r="B178" s="34" t="s">
        <v>1059</v>
      </c>
      <c r="C178" s="5" t="s">
        <v>59</v>
      </c>
      <c r="D178" s="5" t="s">
        <v>7</v>
      </c>
      <c r="E178" s="35">
        <f>vlookup(C178,'Team Bye List'!$A$1:$B$33,2,False)</f>
        <v>8</v>
      </c>
      <c r="F178" s="36">
        <f>if(ISNA(vlookup($A178, ESPN!$B$2:$E$1010, 4, false)), 0, vlookup($A178, ESPN!$B$2:$E$1010, 4, false))</f>
        <v>0</v>
      </c>
      <c r="G178" s="36">
        <f>if(ISNA(vlookup($A178,'Ultimate Draft Kit'!$B$2:$E$261,4, false)), 0, vlookup($A178,'Ultimate Draft Kit'!$B$2:$E$261, 4, false))</f>
        <v>1</v>
      </c>
      <c r="H178" s="36">
        <f>if(ISNA(vlookup($A178, FantasyPro!$B$2:$E$514,4,false)),0,vlookup($A178,FantasyPro!$B$2:$E$514,4,false))</f>
        <v>0</v>
      </c>
      <c r="I178" s="36">
        <f>if(ISNA(vlookup($A178, FFToolbox!$B$2:$E$618, 4, false)), 0, vlookup($A178, FFToolbox!$B$2:$E$618, 4, false))</f>
        <v>6</v>
      </c>
      <c r="J178" s="37">
        <f t="shared" si="1"/>
        <v>1.75</v>
      </c>
      <c r="K178" s="37">
        <f t="shared" si="2"/>
        <v>6</v>
      </c>
    </row>
    <row r="179" hidden="1">
      <c r="A179" s="13" t="s">
        <v>367</v>
      </c>
      <c r="B179" s="34" t="s">
        <v>1061</v>
      </c>
      <c r="C179" s="5" t="s">
        <v>104</v>
      </c>
      <c r="D179" s="5" t="s">
        <v>25</v>
      </c>
      <c r="E179" s="35">
        <f>vlookup(C179,'Team Bye List'!$A$1:$B$33,2,False)</f>
        <v>7</v>
      </c>
      <c r="F179" s="36">
        <f>if(ISNA(vlookup($A179, ESPN!$B$2:$E$1010, 4, false)), 0, vlookup($A179, ESPN!$B$2:$E$1010, 4, false))</f>
        <v>0</v>
      </c>
      <c r="G179" s="36">
        <f>if(ISNA(vlookup($A179,'Ultimate Draft Kit'!$B$2:$E$261,4, false)), 0, vlookup($A179,'Ultimate Draft Kit'!$B$2:$E$261, 4, false))</f>
        <v>1</v>
      </c>
      <c r="H179" s="36">
        <f>if(ISNA(vlookup($A179, FantasyPro!$B$2:$E$514,4,false)),0,vlookup($A179,FantasyPro!$B$2:$E$514,4,false))</f>
        <v>0</v>
      </c>
      <c r="I179" s="36">
        <f>if(ISNA(vlookup($A179, FFToolbox!$B$2:$E$618, 4, false)), 0, vlookup($A179, FFToolbox!$B$2:$E$618, 4, false))</f>
        <v>6</v>
      </c>
      <c r="J179" s="37">
        <f t="shared" si="1"/>
        <v>1.75</v>
      </c>
      <c r="K179" s="37">
        <f t="shared" si="2"/>
        <v>6</v>
      </c>
    </row>
    <row r="180" hidden="1">
      <c r="A180" s="13" t="s">
        <v>344</v>
      </c>
      <c r="B180" s="34" t="s">
        <v>1059</v>
      </c>
      <c r="C180" s="5" t="s">
        <v>18</v>
      </c>
      <c r="D180" s="5" t="s">
        <v>25</v>
      </c>
      <c r="E180" s="35">
        <f>vlookup(C180,'Team Bye List'!$A$1:$B$33,2,False)</f>
        <v>6</v>
      </c>
      <c r="F180" s="36">
        <f>if(ISNA(vlookup($A180, ESPN!$B$2:$E$1010, 4, false)), 0, vlookup($A180, ESPN!$B$2:$E$1010, 4, false))</f>
        <v>0</v>
      </c>
      <c r="G180" s="36">
        <f>if(ISNA(vlookup($A180,'Ultimate Draft Kit'!$B$2:$E$261,4, false)), 0, vlookup($A180,'Ultimate Draft Kit'!$B$2:$E$261, 4, false))</f>
        <v>1</v>
      </c>
      <c r="H180" s="36">
        <f>if(ISNA(vlookup($A180, FantasyPro!$B$2:$E$514,4,false)),0,vlookup($A180,FantasyPro!$B$2:$E$514,4,false))</f>
        <v>0</v>
      </c>
      <c r="I180" s="36">
        <f>if(ISNA(vlookup($A180, FFToolbox!$B$2:$E$618, 4, false)), 0, vlookup($A180, FFToolbox!$B$2:$E$618, 4, false))</f>
        <v>6</v>
      </c>
      <c r="J180" s="37">
        <f t="shared" si="1"/>
        <v>1.75</v>
      </c>
      <c r="K180" s="37">
        <f t="shared" si="2"/>
        <v>6</v>
      </c>
    </row>
    <row r="181" hidden="1">
      <c r="A181" s="13" t="s">
        <v>335</v>
      </c>
      <c r="B181" s="34" t="s">
        <v>1061</v>
      </c>
      <c r="C181" s="5" t="s">
        <v>86</v>
      </c>
      <c r="D181" s="5" t="s">
        <v>7</v>
      </c>
      <c r="E181" s="35">
        <f>vlookup(C181,'Team Bye List'!$A$1:$B$33,2,False)</f>
        <v>6</v>
      </c>
      <c r="F181" s="36">
        <f>if(ISNA(vlookup($A181, ESPN!$B$2:$E$1010, 4, false)), 0, vlookup($A181, ESPN!$B$2:$E$1010, 4, false))</f>
        <v>0</v>
      </c>
      <c r="G181" s="36">
        <f>if(ISNA(vlookup($A181,'Ultimate Draft Kit'!$B$2:$E$261,4, false)), 0, vlookup($A181,'Ultimate Draft Kit'!$B$2:$E$261, 4, false))</f>
        <v>1</v>
      </c>
      <c r="H181" s="36">
        <f>if(ISNA(vlookup($A181, FantasyPro!$B$2:$E$514,4,false)),0,vlookup($A181,FantasyPro!$B$2:$E$514,4,false))</f>
        <v>2</v>
      </c>
      <c r="I181" s="36">
        <f>if(ISNA(vlookup($A181, FFToolbox!$B$2:$E$618, 4, false)), 0, vlookup($A181, FFToolbox!$B$2:$E$618, 4, false))</f>
        <v>4</v>
      </c>
      <c r="J181" s="37">
        <f t="shared" si="1"/>
        <v>1.75</v>
      </c>
      <c r="K181" s="37">
        <f t="shared" si="2"/>
        <v>4</v>
      </c>
    </row>
    <row r="182" hidden="1">
      <c r="A182" s="13" t="s">
        <v>326</v>
      </c>
      <c r="B182" s="34" t="s">
        <v>1061</v>
      </c>
      <c r="C182" s="5" t="s">
        <v>233</v>
      </c>
      <c r="D182" s="5" t="s">
        <v>7</v>
      </c>
      <c r="E182" s="35">
        <f>vlookup(C182,'Team Bye List'!$A$1:$B$33,2,False)</f>
        <v>9</v>
      </c>
      <c r="F182" s="36">
        <f>if(ISNA(vlookup($A182, ESPN!$B$2:$E$1010, 4, false)), 0, vlookup($A182, ESPN!$B$2:$E$1010, 4, false))</f>
        <v>0</v>
      </c>
      <c r="G182" s="36">
        <f>if(ISNA(vlookup($A182,'Ultimate Draft Kit'!$B$2:$E$261,4, false)), 0, vlookup($A182,'Ultimate Draft Kit'!$B$2:$E$261, 4, false))</f>
        <v>0</v>
      </c>
      <c r="H182" s="36">
        <f>if(ISNA(vlookup($A182, FantasyPro!$B$2:$E$514,4,false)),0,vlookup($A182,FantasyPro!$B$2:$E$514,4,false))</f>
        <v>3</v>
      </c>
      <c r="I182" s="36">
        <f>if(ISNA(vlookup($A182, FFToolbox!$B$2:$E$618, 4, false)), 0, vlookup($A182, FFToolbox!$B$2:$E$618, 4, false))</f>
        <v>4</v>
      </c>
      <c r="J182" s="37">
        <f t="shared" si="1"/>
        <v>1.75</v>
      </c>
      <c r="K182" s="37">
        <f t="shared" si="2"/>
        <v>4</v>
      </c>
    </row>
    <row r="183" hidden="1">
      <c r="A183" s="13" t="s">
        <v>325</v>
      </c>
      <c r="B183" s="34" t="s">
        <v>1061</v>
      </c>
      <c r="C183" s="5" t="s">
        <v>59</v>
      </c>
      <c r="D183" s="5" t="s">
        <v>25</v>
      </c>
      <c r="E183" s="35">
        <f>vlookup(C183,'Team Bye List'!$A$1:$B$33,2,False)</f>
        <v>8</v>
      </c>
      <c r="F183" s="36">
        <f>if(ISNA(vlookup($A183, ESPN!$B$2:$E$1010, 4, false)), 0, vlookup($A183, ESPN!$B$2:$E$1010, 4, false))</f>
        <v>0</v>
      </c>
      <c r="G183" s="36">
        <f>if(ISNA(vlookup($A183,'Ultimate Draft Kit'!$B$2:$E$261,4, false)), 0, vlookup($A183,'Ultimate Draft Kit'!$B$2:$E$261, 4, false))</f>
        <v>1</v>
      </c>
      <c r="H183" s="36">
        <f>if(ISNA(vlookup($A183, FantasyPro!$B$2:$E$514,4,false)),0,vlookup($A183,FantasyPro!$B$2:$E$514,4,false))</f>
        <v>0</v>
      </c>
      <c r="I183" s="36">
        <f>if(ISNA(vlookup($A183, FFToolbox!$B$2:$E$618, 4, false)), 0, vlookup($A183, FFToolbox!$B$2:$E$618, 4, false))</f>
        <v>6</v>
      </c>
      <c r="J183" s="37">
        <f t="shared" si="1"/>
        <v>1.75</v>
      </c>
      <c r="K183" s="37">
        <f t="shared" si="2"/>
        <v>6</v>
      </c>
    </row>
    <row r="184" hidden="1">
      <c r="A184" s="13" t="s">
        <v>307</v>
      </c>
      <c r="B184" s="34" t="s">
        <v>1061</v>
      </c>
      <c r="C184" s="5" t="s">
        <v>134</v>
      </c>
      <c r="D184" s="5" t="s">
        <v>25</v>
      </c>
      <c r="E184" s="35">
        <f>vlookup(C184,'Team Bye List'!$A$1:$B$33,2,False)</f>
        <v>11</v>
      </c>
      <c r="F184" s="36">
        <f>if(ISNA(vlookup($A184, ESPN!$B$2:$E$1010, 4, false)), 0, vlookup($A184, ESPN!$B$2:$E$1010, 4, false))</f>
        <v>0</v>
      </c>
      <c r="G184" s="36">
        <f>if(ISNA(vlookup($A184,'Ultimate Draft Kit'!$B$2:$E$261,4, false)), 0, vlookup($A184,'Ultimate Draft Kit'!$B$2:$E$261, 4, false))</f>
        <v>1</v>
      </c>
      <c r="H184" s="36">
        <f>if(ISNA(vlookup($A184, FantasyPro!$B$2:$E$514,4,false)),0,vlookup($A184,FantasyPro!$B$2:$E$514,4,false))</f>
        <v>0</v>
      </c>
      <c r="I184" s="36">
        <f>if(ISNA(vlookup($A184, FFToolbox!$B$2:$E$618, 4, false)), 0, vlookup($A184, FFToolbox!$B$2:$E$618, 4, false))</f>
        <v>6</v>
      </c>
      <c r="J184" s="37">
        <f t="shared" si="1"/>
        <v>1.75</v>
      </c>
      <c r="K184" s="37">
        <f t="shared" si="2"/>
        <v>6</v>
      </c>
    </row>
    <row r="185" hidden="1">
      <c r="A185" s="13" t="s">
        <v>178</v>
      </c>
      <c r="B185" s="34" t="s">
        <v>1061</v>
      </c>
      <c r="C185" s="5" t="s">
        <v>22</v>
      </c>
      <c r="D185" s="5" t="s">
        <v>16</v>
      </c>
      <c r="E185" s="35">
        <f>vlookup(C185,'Team Bye List'!$A$1:$B$33,2,False)</f>
        <v>7</v>
      </c>
      <c r="F185" s="36">
        <f>if(ISNA(vlookup($A185, ESPN!$B$2:$E$1010, 4, false)), 0, vlookup($A185, ESPN!$B$2:$E$1010, 4, false))</f>
        <v>1</v>
      </c>
      <c r="G185" s="36">
        <f>if(ISNA(vlookup($A185,'Ultimate Draft Kit'!$B$2:$E$261,4, false)), 0, vlookup($A185,'Ultimate Draft Kit'!$B$2:$E$261, 4, false))</f>
        <v>1</v>
      </c>
      <c r="H185" s="36">
        <f>if(ISNA(vlookup($A185, FantasyPro!$B$2:$E$514,4,false)),0,vlookup($A185,FantasyPro!$B$2:$E$514,4,false))</f>
        <v>1</v>
      </c>
      <c r="I185" s="36">
        <f>if(ISNA(vlookup($A185, FFToolbox!$B$2:$E$618, 4, false)), 0, vlookup($A185, FFToolbox!$B$2:$E$618, 4, false))</f>
        <v>4</v>
      </c>
      <c r="J185" s="37">
        <f t="shared" si="1"/>
        <v>1.75</v>
      </c>
      <c r="K185" s="37">
        <f t="shared" si="2"/>
        <v>3</v>
      </c>
    </row>
    <row r="186" hidden="1">
      <c r="A186" s="13" t="s">
        <v>938</v>
      </c>
      <c r="B186" s="34" t="s">
        <v>1061</v>
      </c>
      <c r="C186" s="5" t="s">
        <v>24</v>
      </c>
      <c r="D186" s="5" t="s">
        <v>10</v>
      </c>
      <c r="E186" s="35">
        <f>vlookup(C186,'Team Bye List'!$A$1:$B$33,2,False)</f>
        <v>6</v>
      </c>
      <c r="F186" s="36">
        <f>if(ISNA(vlookup($A186, ESPN!$B$2:$E$1010, 4, false)), 0, vlookup($A186, ESPN!$B$2:$E$1010, 4, false))</f>
        <v>0</v>
      </c>
      <c r="G186" s="36">
        <f>if(ISNA(vlookup($A186,'Ultimate Draft Kit'!$B$2:$E$261,4, false)), 0, vlookup($A186,'Ultimate Draft Kit'!$B$2:$E$261, 4, false))</f>
        <v>0</v>
      </c>
      <c r="H186" s="36">
        <f>if(ISNA(vlookup($A186, FantasyPro!$B$2:$E$514,4,false)),0,vlookup($A186,FantasyPro!$B$2:$E$514,4,false))</f>
        <v>0</v>
      </c>
      <c r="I186" s="36">
        <f>if(ISNA(vlookup($A186, FFToolbox!$B$2:$E$618, 4, false)), 0, vlookup($A186, FFToolbox!$B$2:$E$618, 4, false))</f>
        <v>6</v>
      </c>
      <c r="J186" s="37">
        <f t="shared" si="1"/>
        <v>1.5</v>
      </c>
      <c r="K186" s="37">
        <f t="shared" si="2"/>
        <v>6</v>
      </c>
    </row>
    <row r="187" hidden="1">
      <c r="A187" s="13" t="s">
        <v>415</v>
      </c>
      <c r="B187" s="34" t="s">
        <v>1061</v>
      </c>
      <c r="C187" s="5" t="s">
        <v>34</v>
      </c>
      <c r="D187" s="5" t="s">
        <v>7</v>
      </c>
      <c r="E187" s="35">
        <f>vlookup(C187,'Team Bye List'!$A$1:$B$33,2,False)</f>
        <v>7</v>
      </c>
      <c r="F187" s="36">
        <f>if(ISNA(vlookup($A187, ESPN!$B$2:$E$1010, 4, false)), 0, vlookup($A187, ESPN!$B$2:$E$1010, 4, false))</f>
        <v>0</v>
      </c>
      <c r="G187" s="36">
        <f>if(ISNA(vlookup($A187,'Ultimate Draft Kit'!$B$2:$E$261,4, false)), 0, vlookup($A187,'Ultimate Draft Kit'!$B$2:$E$261, 4, false))</f>
        <v>1</v>
      </c>
      <c r="H187" s="36">
        <f>if(ISNA(vlookup($A187, FantasyPro!$B$2:$E$514,4,false)),0,vlookup($A187,FantasyPro!$B$2:$E$514,4,false))</f>
        <v>1</v>
      </c>
      <c r="I187" s="36">
        <f>if(ISNA(vlookup($A187, FFToolbox!$B$2:$E$618, 4, false)), 0, vlookup($A187, FFToolbox!$B$2:$E$618, 4, false))</f>
        <v>4</v>
      </c>
      <c r="J187" s="37">
        <f t="shared" si="1"/>
        <v>1.5</v>
      </c>
      <c r="K187" s="37">
        <f t="shared" si="2"/>
        <v>4</v>
      </c>
    </row>
    <row r="188" hidden="1">
      <c r="A188" s="13" t="s">
        <v>371</v>
      </c>
      <c r="B188" s="34" t="s">
        <v>1061</v>
      </c>
      <c r="C188" s="5" t="s">
        <v>40</v>
      </c>
      <c r="D188" s="5" t="s">
        <v>7</v>
      </c>
      <c r="E188" s="35">
        <f>vlookup(C188,'Team Bye List'!$A$1:$B$33,2,False)</f>
        <v>6</v>
      </c>
      <c r="F188" s="36">
        <f>if(ISNA(vlookup($A188, ESPN!$B$2:$E$1010, 4, false)), 0, vlookup($A188, ESPN!$B$2:$E$1010, 4, false))</f>
        <v>0</v>
      </c>
      <c r="G188" s="36">
        <f>if(ISNA(vlookup($A188,'Ultimate Draft Kit'!$B$2:$E$261,4, false)), 0, vlookup($A188,'Ultimate Draft Kit'!$B$2:$E$261, 4, false))</f>
        <v>1</v>
      </c>
      <c r="H188" s="36">
        <f>if(ISNA(vlookup($A188, FantasyPro!$B$2:$E$514,4,false)),0,vlookup($A188,FantasyPro!$B$2:$E$514,4,false))</f>
        <v>1</v>
      </c>
      <c r="I188" s="36">
        <f>if(ISNA(vlookup($A188, FFToolbox!$B$2:$E$618, 4, false)), 0, vlookup($A188, FFToolbox!$B$2:$E$618, 4, false))</f>
        <v>4</v>
      </c>
      <c r="J188" s="37">
        <f t="shared" si="1"/>
        <v>1.5</v>
      </c>
      <c r="K188" s="37">
        <f t="shared" si="2"/>
        <v>4</v>
      </c>
    </row>
    <row r="189" hidden="1">
      <c r="A189" s="13" t="s">
        <v>341</v>
      </c>
      <c r="B189" s="34" t="s">
        <v>1061</v>
      </c>
      <c r="C189" s="5" t="s">
        <v>20</v>
      </c>
      <c r="D189" s="5" t="s">
        <v>7</v>
      </c>
      <c r="E189" s="35">
        <f>vlookup(C189,'Team Bye List'!$A$1:$B$33,2,False)</f>
        <v>8</v>
      </c>
      <c r="F189" s="36">
        <f>if(ISNA(vlookup($A189, ESPN!$B$2:$E$1010, 4, false)), 0, vlookup($A189, ESPN!$B$2:$E$1010, 4, false))</f>
        <v>0</v>
      </c>
      <c r="G189" s="36">
        <f>if(ISNA(vlookup($A189,'Ultimate Draft Kit'!$B$2:$E$261,4, false)), 0, vlookup($A189,'Ultimate Draft Kit'!$B$2:$E$261, 4, false))</f>
        <v>0</v>
      </c>
      <c r="H189" s="36">
        <f>if(ISNA(vlookup($A189, FantasyPro!$B$2:$E$514,4,false)),0,vlookup($A189,FantasyPro!$B$2:$E$514,4,false))</f>
        <v>0</v>
      </c>
      <c r="I189" s="36">
        <f>if(ISNA(vlookup($A189, FFToolbox!$B$2:$E$618, 4, false)), 0, vlookup($A189, FFToolbox!$B$2:$E$618, 4, false))</f>
        <v>6</v>
      </c>
      <c r="J189" s="37">
        <f t="shared" si="1"/>
        <v>1.5</v>
      </c>
      <c r="K189" s="37">
        <f t="shared" si="2"/>
        <v>6</v>
      </c>
    </row>
    <row r="190" hidden="1">
      <c r="A190" s="13" t="s">
        <v>255</v>
      </c>
      <c r="B190" s="34" t="s">
        <v>1061</v>
      </c>
      <c r="C190" s="5" t="s">
        <v>6</v>
      </c>
      <c r="D190" s="5" t="s">
        <v>16</v>
      </c>
      <c r="E190" s="35">
        <f>vlookup(C190,'Team Bye List'!$A$1:$B$33,2,False)</f>
        <v>12</v>
      </c>
      <c r="F190" s="36">
        <f>if(ISNA(vlookup($A190, ESPN!$B$2:$E$1010, 4, false)), 0, vlookup($A190, ESPN!$B$2:$E$1010, 4, false))</f>
        <v>0</v>
      </c>
      <c r="G190" s="36">
        <f>if(ISNA(vlookup($A190,'Ultimate Draft Kit'!$B$2:$E$261,4, false)), 0, vlookup($A190,'Ultimate Draft Kit'!$B$2:$E$261, 4, false))</f>
        <v>1</v>
      </c>
      <c r="H190" s="36">
        <f>if(ISNA(vlookup($A190, FantasyPro!$B$2:$E$514,4,false)),0,vlookup($A190,FantasyPro!$B$2:$E$514,4,false))</f>
        <v>1</v>
      </c>
      <c r="I190" s="36">
        <f>if(ISNA(vlookup($A190, FFToolbox!$B$2:$E$618, 4, false)), 0, vlookup($A190, FFToolbox!$B$2:$E$618, 4, false))</f>
        <v>4</v>
      </c>
      <c r="J190" s="37">
        <f t="shared" si="1"/>
        <v>1.5</v>
      </c>
      <c r="K190" s="37">
        <f t="shared" si="2"/>
        <v>4</v>
      </c>
    </row>
    <row r="191" hidden="1">
      <c r="A191" s="13" t="s">
        <v>250</v>
      </c>
      <c r="B191" s="34" t="s">
        <v>1059</v>
      </c>
      <c r="C191" s="5" t="s">
        <v>74</v>
      </c>
      <c r="D191" s="5" t="s">
        <v>25</v>
      </c>
      <c r="E191" s="35">
        <f>vlookup(C191,'Team Bye List'!$A$1:$B$33,2,False)</f>
        <v>7</v>
      </c>
      <c r="F191" s="36">
        <f>if(ISNA(vlookup($A191, ESPN!$B$2:$E$1010, 4, false)), 0, vlookup($A191, ESPN!$B$2:$E$1010, 4, false))</f>
        <v>0</v>
      </c>
      <c r="G191" s="36">
        <f>if(ISNA(vlookup($A191,'Ultimate Draft Kit'!$B$2:$E$261,4, false)), 0, vlookup($A191,'Ultimate Draft Kit'!$B$2:$E$261, 4, false))</f>
        <v>1</v>
      </c>
      <c r="H191" s="36">
        <f>if(ISNA(vlookup($A191, FantasyPro!$B$2:$E$514,4,false)),0,vlookup($A191,FantasyPro!$B$2:$E$514,4,false))</f>
        <v>1</v>
      </c>
      <c r="I191" s="36">
        <f>if(ISNA(vlookup($A191, FFToolbox!$B$2:$E$618, 4, false)), 0, vlookup($A191, FFToolbox!$B$2:$E$618, 4, false))</f>
        <v>4</v>
      </c>
      <c r="J191" s="37">
        <f t="shared" si="1"/>
        <v>1.5</v>
      </c>
      <c r="K191" s="37">
        <f t="shared" si="2"/>
        <v>4</v>
      </c>
    </row>
    <row r="192" hidden="1">
      <c r="A192" s="13" t="s">
        <v>196</v>
      </c>
      <c r="B192" s="34" t="s">
        <v>1059</v>
      </c>
      <c r="C192" s="5" t="s">
        <v>14</v>
      </c>
      <c r="D192" s="5" t="s">
        <v>169</v>
      </c>
      <c r="E192" s="35">
        <f>vlookup(C192,'Team Bye List'!$A$1:$B$33,2,False)</f>
        <v>10</v>
      </c>
      <c r="F192" s="36">
        <f>if(ISNA(vlookup($A192, ESPN!$B$2:$E$1010, 4, false)), 0, vlookup($A192, ESPN!$B$2:$E$1010, 4, false))</f>
        <v>1</v>
      </c>
      <c r="G192" s="36">
        <f>if(ISNA(vlookup($A192,'Ultimate Draft Kit'!$B$2:$E$261,4, false)), 0, vlookup($A192,'Ultimate Draft Kit'!$B$2:$E$261, 4, false))</f>
        <v>0</v>
      </c>
      <c r="H192" s="36">
        <f>if(ISNA(vlookup($A192, FantasyPro!$B$2:$E$514,4,false)),0,vlookup($A192,FantasyPro!$B$2:$E$514,4,false))</f>
        <v>1</v>
      </c>
      <c r="I192" s="36">
        <f>if(ISNA(vlookup($A192, FFToolbox!$B$2:$E$618, 4, false)), 0, vlookup($A192, FFToolbox!$B$2:$E$618, 4, false))</f>
        <v>4</v>
      </c>
      <c r="J192" s="37">
        <f t="shared" si="1"/>
        <v>1.5</v>
      </c>
      <c r="K192" s="37">
        <f t="shared" si="2"/>
        <v>4</v>
      </c>
    </row>
    <row r="193" hidden="1">
      <c r="A193" s="13" t="s">
        <v>181</v>
      </c>
      <c r="B193" s="34" t="s">
        <v>1061</v>
      </c>
      <c r="C193" s="5" t="s">
        <v>102</v>
      </c>
      <c r="D193" s="5" t="s">
        <v>10</v>
      </c>
      <c r="E193" s="35">
        <f>vlookup(C193,'Team Bye List'!$A$1:$B$33,2,False)</f>
        <v>11</v>
      </c>
      <c r="F193" s="36">
        <f>if(ISNA(vlookup($A193, ESPN!$B$2:$E$1010, 4, false)), 0, vlookup($A193, ESPN!$B$2:$E$1010, 4, false))</f>
        <v>1</v>
      </c>
      <c r="G193" s="36">
        <f>if(ISNA(vlookup($A193,'Ultimate Draft Kit'!$B$2:$E$261,4, false)), 0, vlookup($A193,'Ultimate Draft Kit'!$B$2:$E$261, 4, false))</f>
        <v>1</v>
      </c>
      <c r="H193" s="36">
        <f>if(ISNA(vlookup($A193, FantasyPro!$B$2:$E$514,4,false)),0,vlookup($A193,FantasyPro!$B$2:$E$514,4,false))</f>
        <v>0</v>
      </c>
      <c r="I193" s="36">
        <f>if(ISNA(vlookup($A193, FFToolbox!$B$2:$E$618, 4, false)), 0, vlookup($A193, FFToolbox!$B$2:$E$618, 4, false))</f>
        <v>4</v>
      </c>
      <c r="J193" s="37">
        <f t="shared" si="1"/>
        <v>1.5</v>
      </c>
      <c r="K193" s="37">
        <f t="shared" si="2"/>
        <v>4</v>
      </c>
    </row>
    <row r="194" hidden="1">
      <c r="A194" s="13" t="s">
        <v>161</v>
      </c>
      <c r="B194" s="34" t="s">
        <v>1061</v>
      </c>
      <c r="C194" s="5" t="s">
        <v>77</v>
      </c>
      <c r="D194" s="5" t="s">
        <v>16</v>
      </c>
      <c r="E194" s="35">
        <f>vlookup(C194,'Team Bye List'!$A$1:$B$33,2,False)</f>
        <v>11</v>
      </c>
      <c r="F194" s="36">
        <f>if(ISNA(vlookup($A194, ESPN!$B$2:$E$1010, 4, false)), 0, vlookup($A194, ESPN!$B$2:$E$1010, 4, false))</f>
        <v>3</v>
      </c>
      <c r="G194" s="36">
        <f>if(ISNA(vlookup($A194,'Ultimate Draft Kit'!$B$2:$E$261,4, false)), 0, vlookup($A194,'Ultimate Draft Kit'!$B$2:$E$261, 4, false))</f>
        <v>1</v>
      </c>
      <c r="H194" s="36">
        <f>if(ISNA(vlookup($A194, FantasyPro!$B$2:$E$514,4,false)),0,vlookup($A194,FantasyPro!$B$2:$E$514,4,false))</f>
        <v>0</v>
      </c>
      <c r="I194" s="36">
        <f>if(ISNA(vlookup($A194, FFToolbox!$B$2:$E$618, 4, false)), 0, vlookup($A194, FFToolbox!$B$2:$E$618, 4, false))</f>
        <v>2</v>
      </c>
      <c r="J194" s="37">
        <f t="shared" si="1"/>
        <v>1.5</v>
      </c>
      <c r="K194" s="37">
        <f t="shared" si="2"/>
        <v>3</v>
      </c>
    </row>
    <row r="195" hidden="1">
      <c r="A195" s="13" t="s">
        <v>789</v>
      </c>
      <c r="B195" s="34" t="s">
        <v>1061</v>
      </c>
      <c r="C195" s="5" t="s">
        <v>1007</v>
      </c>
      <c r="D195" s="5" t="s">
        <v>7</v>
      </c>
      <c r="E195" s="35">
        <f>vlookup(C195,'Team Bye List'!$A$1:$B$33,2,False)</f>
        <v>8</v>
      </c>
      <c r="F195" s="36">
        <f>if(ISNA(vlookup($A195, ESPN!$B$2:$E$1010, 4, false)), 0, vlookup($A195, ESPN!$B$2:$E$1010, 4, false))</f>
        <v>0</v>
      </c>
      <c r="G195" s="36">
        <f>if(ISNA(vlookup($A195,'Ultimate Draft Kit'!$B$2:$E$261,4, false)), 0, vlookup($A195,'Ultimate Draft Kit'!$B$2:$E$261, 4, false))</f>
        <v>1</v>
      </c>
      <c r="H195" s="36">
        <f>if(ISNA(vlookup($A195, FantasyPro!$B$2:$E$514,4,false)),0,vlookup($A195,FantasyPro!$B$2:$E$514,4,false))</f>
        <v>0</v>
      </c>
      <c r="I195" s="36">
        <f>if(ISNA(vlookup($A195, FFToolbox!$B$2:$E$618, 4, false)), 0, vlookup($A195, FFToolbox!$B$2:$E$618, 4, false))</f>
        <v>4</v>
      </c>
      <c r="J195" s="37">
        <f t="shared" si="1"/>
        <v>1.25</v>
      </c>
      <c r="K195" s="37">
        <f t="shared" si="2"/>
        <v>4</v>
      </c>
    </row>
    <row r="196" hidden="1">
      <c r="A196" s="13" t="s">
        <v>778</v>
      </c>
      <c r="B196" s="34" t="s">
        <v>1061</v>
      </c>
      <c r="C196" s="5" t="s">
        <v>257</v>
      </c>
      <c r="D196" s="5" t="s">
        <v>7</v>
      </c>
      <c r="E196" s="35" t="str">
        <f>vlookup(C196,'Team Bye List'!$A$1:$B$33,2,False)</f>
        <v>#N/A</v>
      </c>
      <c r="F196" s="36">
        <f>if(ISNA(vlookup($A196, ESPN!$B$2:$E$1010, 4, false)), 0, vlookup($A196, ESPN!$B$2:$E$1010, 4, false))</f>
        <v>0</v>
      </c>
      <c r="G196" s="36">
        <f>if(ISNA(vlookup($A196,'Ultimate Draft Kit'!$B$2:$E$261,4, false)), 0, vlookup($A196,'Ultimate Draft Kit'!$B$2:$E$261, 4, false))</f>
        <v>1</v>
      </c>
      <c r="H196" s="36">
        <f>if(ISNA(vlookup($A196, FantasyPro!$B$2:$E$514,4,false)),0,vlookup($A196,FantasyPro!$B$2:$E$514,4,false))</f>
        <v>0</v>
      </c>
      <c r="I196" s="36">
        <f>if(ISNA(vlookup($A196, FFToolbox!$B$2:$E$618, 4, false)), 0, vlookup($A196, FFToolbox!$B$2:$E$618, 4, false))</f>
        <v>4</v>
      </c>
      <c r="J196" s="37">
        <f t="shared" si="1"/>
        <v>1.25</v>
      </c>
      <c r="K196" s="37">
        <f t="shared" si="2"/>
        <v>4</v>
      </c>
    </row>
    <row r="197" hidden="1">
      <c r="A197" s="13" t="s">
        <v>281</v>
      </c>
      <c r="B197" s="34" t="s">
        <v>1061</v>
      </c>
      <c r="C197" s="5" t="s">
        <v>40</v>
      </c>
      <c r="D197" s="5" t="s">
        <v>16</v>
      </c>
      <c r="E197" s="35">
        <f>vlookup(C197,'Team Bye List'!$A$1:$B$33,2,False)</f>
        <v>6</v>
      </c>
      <c r="F197" s="36">
        <f>if(ISNA(vlookup($A197, ESPN!$B$2:$E$1010, 4, false)), 0, vlookup($A197, ESPN!$B$2:$E$1010, 4, false))</f>
        <v>0</v>
      </c>
      <c r="G197" s="36">
        <f>if(ISNA(vlookup($A197,'Ultimate Draft Kit'!$B$2:$E$261,4, false)), 0, vlookup($A197,'Ultimate Draft Kit'!$B$2:$E$261, 4, false))</f>
        <v>1</v>
      </c>
      <c r="H197" s="36">
        <f>if(ISNA(vlookup($A197, FantasyPro!$B$2:$E$514,4,false)),0,vlookup($A197,FantasyPro!$B$2:$E$514,4,false))</f>
        <v>1</v>
      </c>
      <c r="I197" s="36">
        <f>if(ISNA(vlookup($A197, FFToolbox!$B$2:$E$618, 4, false)), 0, vlookup($A197, FFToolbox!$B$2:$E$618, 4, false))</f>
        <v>4</v>
      </c>
      <c r="J197" s="37">
        <f t="shared" si="1"/>
        <v>1.5</v>
      </c>
      <c r="K197" s="37">
        <f t="shared" si="2"/>
        <v>4</v>
      </c>
    </row>
    <row r="198" hidden="1">
      <c r="A198" s="13" t="s">
        <v>768</v>
      </c>
      <c r="B198" s="34" t="s">
        <v>1061</v>
      </c>
      <c r="C198" s="5" t="s">
        <v>233</v>
      </c>
      <c r="D198" s="5" t="s">
        <v>7</v>
      </c>
      <c r="E198" s="35">
        <f>vlookup(C198,'Team Bye List'!$A$1:$B$33,2,False)</f>
        <v>9</v>
      </c>
      <c r="F198" s="36">
        <f>if(ISNA(vlookup($A198, ESPN!$B$2:$E$1010, 4, false)), 0, vlookup($A198, ESPN!$B$2:$E$1010, 4, false))</f>
        <v>0</v>
      </c>
      <c r="G198" s="36">
        <f>if(ISNA(vlookup($A198,'Ultimate Draft Kit'!$B$2:$E$261,4, false)), 0, vlookup($A198,'Ultimate Draft Kit'!$B$2:$E$261, 4, false))</f>
        <v>1</v>
      </c>
      <c r="H198" s="36">
        <f>if(ISNA(vlookup($A198, FantasyPro!$B$2:$E$514,4,false)),0,vlookup($A198,FantasyPro!$B$2:$E$514,4,false))</f>
        <v>0</v>
      </c>
      <c r="I198" s="36">
        <f>if(ISNA(vlookup($A198, FFToolbox!$B$2:$E$618, 4, false)), 0, vlookup($A198, FFToolbox!$B$2:$E$618, 4, false))</f>
        <v>4</v>
      </c>
      <c r="J198" s="37">
        <f t="shared" si="1"/>
        <v>1.25</v>
      </c>
      <c r="K198" s="37">
        <f t="shared" si="2"/>
        <v>4</v>
      </c>
    </row>
    <row r="199" hidden="1">
      <c r="A199" s="13" t="s">
        <v>596</v>
      </c>
      <c r="B199" s="34" t="s">
        <v>1061</v>
      </c>
      <c r="C199" s="5" t="s">
        <v>9</v>
      </c>
      <c r="D199" s="5" t="s">
        <v>7</v>
      </c>
      <c r="E199" s="35">
        <f>vlookup(C199,'Team Bye List'!$A$1:$B$33,2,False)</f>
        <v>10</v>
      </c>
      <c r="F199" s="36">
        <f>if(ISNA(vlookup($A199, ESPN!$B$2:$E$1010, 4, false)), 0, vlookup($A199, ESPN!$B$2:$E$1010, 4, false))</f>
        <v>0</v>
      </c>
      <c r="G199" s="36">
        <f>if(ISNA(vlookup($A199,'Ultimate Draft Kit'!$B$2:$E$261,4, false)), 0, vlookup($A199,'Ultimate Draft Kit'!$B$2:$E$261, 4, false))</f>
        <v>1</v>
      </c>
      <c r="H199" s="36">
        <f>if(ISNA(vlookup($A199, FantasyPro!$B$2:$E$514,4,false)),0,vlookup($A199,FantasyPro!$B$2:$E$514,4,false))</f>
        <v>0</v>
      </c>
      <c r="I199" s="36">
        <f>if(ISNA(vlookup($A199, FFToolbox!$B$2:$E$618, 4, false)), 0, vlookup($A199, FFToolbox!$B$2:$E$618, 4, false))</f>
        <v>4</v>
      </c>
      <c r="J199" s="37">
        <f t="shared" si="1"/>
        <v>1.25</v>
      </c>
      <c r="K199" s="37">
        <f t="shared" si="2"/>
        <v>4</v>
      </c>
    </row>
    <row r="200" hidden="1">
      <c r="A200" s="13" t="s">
        <v>510</v>
      </c>
      <c r="B200" s="34" t="s">
        <v>1061</v>
      </c>
      <c r="C200" s="5" t="s">
        <v>233</v>
      </c>
      <c r="D200" s="5" t="s">
        <v>25</v>
      </c>
      <c r="E200" s="35">
        <f>vlookup(C200,'Team Bye List'!$A$1:$B$33,2,False)</f>
        <v>9</v>
      </c>
      <c r="F200" s="36">
        <f>if(ISNA(vlookup($A200, ESPN!$B$2:$E$1010, 4, false)), 0, vlookup($A200, ESPN!$B$2:$E$1010, 4, false))</f>
        <v>0</v>
      </c>
      <c r="G200" s="36">
        <f>if(ISNA(vlookup($A200,'Ultimate Draft Kit'!$B$2:$E$261,4, false)), 0, vlookup($A200,'Ultimate Draft Kit'!$B$2:$E$261, 4, false))</f>
        <v>1</v>
      </c>
      <c r="H200" s="36">
        <f>if(ISNA(vlookup($A200, FantasyPro!$B$2:$E$514,4,false)),0,vlookup($A200,FantasyPro!$B$2:$E$514,4,false))</f>
        <v>0</v>
      </c>
      <c r="I200" s="36">
        <f>if(ISNA(vlookup($A200, FFToolbox!$B$2:$E$618, 4, false)), 0, vlookup($A200, FFToolbox!$B$2:$E$618, 4, false))</f>
        <v>4</v>
      </c>
      <c r="J200" s="37">
        <f t="shared" si="1"/>
        <v>1.25</v>
      </c>
      <c r="K200" s="37">
        <f t="shared" si="2"/>
        <v>4</v>
      </c>
    </row>
    <row r="201" hidden="1">
      <c r="A201" s="13" t="s">
        <v>396</v>
      </c>
      <c r="B201" s="34" t="s">
        <v>1059</v>
      </c>
      <c r="C201" s="5" t="s">
        <v>27</v>
      </c>
      <c r="D201" s="5" t="s">
        <v>7</v>
      </c>
      <c r="E201" s="35">
        <f>vlookup(C201,'Team Bye List'!$A$1:$B$33,2,False)</f>
        <v>11</v>
      </c>
      <c r="F201" s="36">
        <f>if(ISNA(vlookup($A201, ESPN!$B$2:$E$1010, 4, false)), 0, vlookup($A201, ESPN!$B$2:$E$1010, 4, false))</f>
        <v>0</v>
      </c>
      <c r="G201" s="36">
        <f>if(ISNA(vlookup($A201,'Ultimate Draft Kit'!$B$2:$E$261,4, false)), 0, vlookup($A201,'Ultimate Draft Kit'!$B$2:$E$261, 4, false))</f>
        <v>1</v>
      </c>
      <c r="H201" s="36">
        <f>if(ISNA(vlookup($A201, FantasyPro!$B$2:$E$514,4,false)),0,vlookup($A201,FantasyPro!$B$2:$E$514,4,false))</f>
        <v>0</v>
      </c>
      <c r="I201" s="36">
        <f>if(ISNA(vlookup($A201, FFToolbox!$B$2:$E$618, 4, false)), 0, vlookup($A201, FFToolbox!$B$2:$E$618, 4, false))</f>
        <v>4</v>
      </c>
      <c r="J201" s="37">
        <f t="shared" si="1"/>
        <v>1.25</v>
      </c>
      <c r="K201" s="37">
        <f t="shared" si="2"/>
        <v>4</v>
      </c>
    </row>
    <row r="202" hidden="1">
      <c r="A202" s="13" t="s">
        <v>389</v>
      </c>
      <c r="B202" s="34" t="s">
        <v>1061</v>
      </c>
      <c r="C202" s="5" t="s">
        <v>257</v>
      </c>
      <c r="D202" s="5" t="s">
        <v>7</v>
      </c>
      <c r="E202" s="35" t="str">
        <f>vlookup(C202,'Team Bye List'!$A$1:$B$33,2,False)</f>
        <v>#N/A</v>
      </c>
      <c r="F202" s="36">
        <f>if(ISNA(vlookup($A202, ESPN!$B$2:$E$1010, 4, false)), 0, vlookup($A202, ESPN!$B$2:$E$1010, 4, false))</f>
        <v>0</v>
      </c>
      <c r="G202" s="36">
        <f>if(ISNA(vlookup($A202,'Ultimate Draft Kit'!$B$2:$E$261,4, false)), 0, vlookup($A202,'Ultimate Draft Kit'!$B$2:$E$261, 4, false))</f>
        <v>1</v>
      </c>
      <c r="H202" s="36">
        <f>if(ISNA(vlookup($A202, FantasyPro!$B$2:$E$514,4,false)),0,vlookup($A202,FantasyPro!$B$2:$E$514,4,false))</f>
        <v>0</v>
      </c>
      <c r="I202" s="36">
        <f>if(ISNA(vlookup($A202, FFToolbox!$B$2:$E$618, 4, false)), 0, vlookup($A202, FFToolbox!$B$2:$E$618, 4, false))</f>
        <v>4</v>
      </c>
      <c r="J202" s="37">
        <f t="shared" si="1"/>
        <v>1.25</v>
      </c>
      <c r="K202" s="37">
        <f t="shared" si="2"/>
        <v>4</v>
      </c>
    </row>
    <row r="203" hidden="1">
      <c r="A203" s="13" t="s">
        <v>319</v>
      </c>
      <c r="B203" s="34" t="s">
        <v>1061</v>
      </c>
      <c r="C203" s="5" t="s">
        <v>59</v>
      </c>
      <c r="D203" s="5" t="s">
        <v>16</v>
      </c>
      <c r="E203" s="35">
        <f>vlookup(C203,'Team Bye List'!$A$1:$B$33,2,False)</f>
        <v>8</v>
      </c>
      <c r="F203" s="36">
        <f>if(ISNA(vlookup($A203, ESPN!$B$2:$E$1010, 4, false)), 0, vlookup($A203, ESPN!$B$2:$E$1010, 4, false))</f>
        <v>0</v>
      </c>
      <c r="G203" s="36">
        <f>if(ISNA(vlookup($A203,'Ultimate Draft Kit'!$B$2:$E$261,4, false)), 0, vlookup($A203,'Ultimate Draft Kit'!$B$2:$E$261, 4, false))</f>
        <v>1</v>
      </c>
      <c r="H203" s="36">
        <f>if(ISNA(vlookup($A203, FantasyPro!$B$2:$E$514,4,false)),0,vlookup($A203,FantasyPro!$B$2:$E$514,4,false))</f>
        <v>0</v>
      </c>
      <c r="I203" s="36">
        <f>if(ISNA(vlookup($A203, FFToolbox!$B$2:$E$618, 4, false)), 0, vlookup($A203, FFToolbox!$B$2:$E$618, 4, false))</f>
        <v>4</v>
      </c>
      <c r="J203" s="37">
        <f t="shared" si="1"/>
        <v>1.25</v>
      </c>
      <c r="K203" s="37">
        <f t="shared" si="2"/>
        <v>4</v>
      </c>
    </row>
    <row r="204" hidden="1">
      <c r="A204" s="13" t="s">
        <v>284</v>
      </c>
      <c r="B204" s="34" t="s">
        <v>1061</v>
      </c>
      <c r="C204" s="5" t="s">
        <v>77</v>
      </c>
      <c r="D204" s="5" t="s">
        <v>10</v>
      </c>
      <c r="E204" s="35">
        <f>vlookup(C204,'Team Bye List'!$A$1:$B$33,2,False)</f>
        <v>11</v>
      </c>
      <c r="F204" s="36">
        <f>if(ISNA(vlookup($A204, ESPN!$B$2:$E$1010, 4, false)), 0, vlookup($A204, ESPN!$B$2:$E$1010, 4, false))</f>
        <v>0</v>
      </c>
      <c r="G204" s="36">
        <f>if(ISNA(vlookup($A204,'Ultimate Draft Kit'!$B$2:$E$261,4, false)), 0, vlookup($A204,'Ultimate Draft Kit'!$B$2:$E$261, 4, false))</f>
        <v>1</v>
      </c>
      <c r="H204" s="36">
        <f>if(ISNA(vlookup($A204, FantasyPro!$B$2:$E$514,4,false)),0,vlookup($A204,FantasyPro!$B$2:$E$514,4,false))</f>
        <v>0</v>
      </c>
      <c r="I204" s="36">
        <f>if(ISNA(vlookup($A204, FFToolbox!$B$2:$E$618, 4, false)), 0, vlookup($A204, FFToolbox!$B$2:$E$618, 4, false))</f>
        <v>4</v>
      </c>
      <c r="J204" s="37">
        <f t="shared" si="1"/>
        <v>1.25</v>
      </c>
      <c r="K204" s="37">
        <f t="shared" si="2"/>
        <v>4</v>
      </c>
    </row>
    <row r="205" hidden="1">
      <c r="A205" s="13" t="s">
        <v>309</v>
      </c>
      <c r="B205" s="34" t="s">
        <v>1061</v>
      </c>
      <c r="C205" s="5" t="s">
        <v>38</v>
      </c>
      <c r="D205" s="5" t="s">
        <v>16</v>
      </c>
      <c r="E205" s="35">
        <f>vlookup(C205,'Team Bye List'!$A$1:$B$33,2,False)</f>
        <v>12</v>
      </c>
      <c r="F205" s="36">
        <f>if(ISNA(vlookup($A205, ESPN!$B$2:$E$1010, 4, false)), 0, vlookup($A205, ESPN!$B$2:$E$1010, 4, false))</f>
        <v>0</v>
      </c>
      <c r="G205" s="36">
        <f>if(ISNA(vlookup($A205,'Ultimate Draft Kit'!$B$2:$E$261,4, false)), 0, vlookup($A205,'Ultimate Draft Kit'!$B$2:$E$261, 4, false))</f>
        <v>1</v>
      </c>
      <c r="H205" s="36">
        <f>if(ISNA(vlookup($A205, FantasyPro!$B$2:$E$514,4,false)),0,vlookup($A205,FantasyPro!$B$2:$E$514,4,false))</f>
        <v>0</v>
      </c>
      <c r="I205" s="36">
        <f>if(ISNA(vlookup($A205, FFToolbox!$B$2:$E$618, 4, false)), 0, vlookup($A205, FFToolbox!$B$2:$E$618, 4, false))</f>
        <v>4</v>
      </c>
      <c r="J205" s="37">
        <f t="shared" si="1"/>
        <v>1.25</v>
      </c>
      <c r="K205" s="37">
        <f t="shared" si="2"/>
        <v>4</v>
      </c>
    </row>
    <row r="206" hidden="1">
      <c r="A206" s="13" t="s">
        <v>299</v>
      </c>
      <c r="B206" s="34" t="s">
        <v>1061</v>
      </c>
      <c r="C206" s="5" t="s">
        <v>34</v>
      </c>
      <c r="D206" s="5" t="s">
        <v>25</v>
      </c>
      <c r="E206" s="35">
        <f>vlookup(C206,'Team Bye List'!$A$1:$B$33,2,False)</f>
        <v>7</v>
      </c>
      <c r="F206" s="36">
        <f>if(ISNA(vlookup($A206, ESPN!$B$2:$E$1010, 4, false)), 0, vlookup($A206, ESPN!$B$2:$E$1010, 4, false))</f>
        <v>0</v>
      </c>
      <c r="G206" s="36">
        <f>if(ISNA(vlookup($A206,'Ultimate Draft Kit'!$B$2:$E$261,4, false)), 0, vlookup($A206,'Ultimate Draft Kit'!$B$2:$E$261, 4, false))</f>
        <v>1</v>
      </c>
      <c r="H206" s="36">
        <f>if(ISNA(vlookup($A206, FantasyPro!$B$2:$E$514,4,false)),0,vlookup($A206,FantasyPro!$B$2:$E$514,4,false))</f>
        <v>0</v>
      </c>
      <c r="I206" s="36">
        <f>if(ISNA(vlookup($A206, FFToolbox!$B$2:$E$618, 4, false)), 0, vlookup($A206, FFToolbox!$B$2:$E$618, 4, false))</f>
        <v>4</v>
      </c>
      <c r="J206" s="37">
        <f t="shared" si="1"/>
        <v>1.25</v>
      </c>
      <c r="K206" s="37">
        <f t="shared" si="2"/>
        <v>4</v>
      </c>
    </row>
    <row r="207" hidden="1">
      <c r="A207" s="13" t="s">
        <v>279</v>
      </c>
      <c r="B207" s="34" t="s">
        <v>1061</v>
      </c>
      <c r="C207" s="5" t="s">
        <v>20</v>
      </c>
      <c r="D207" s="5" t="s">
        <v>25</v>
      </c>
      <c r="E207" s="35">
        <f>vlookup(C207,'Team Bye List'!$A$1:$B$33,2,False)</f>
        <v>8</v>
      </c>
      <c r="F207" s="36">
        <f>if(ISNA(vlookup($A207, ESPN!$B$2:$E$1010, 4, false)), 0, vlookup($A207, ESPN!$B$2:$E$1010, 4, false))</f>
        <v>0</v>
      </c>
      <c r="G207" s="36">
        <f>if(ISNA(vlookup($A207,'Ultimate Draft Kit'!$B$2:$E$261,4, false)), 0, vlookup($A207,'Ultimate Draft Kit'!$B$2:$E$261, 4, false))</f>
        <v>1</v>
      </c>
      <c r="H207" s="36">
        <f>if(ISNA(vlookup($A207, FantasyPro!$B$2:$E$514,4,false)),0,vlookup($A207,FantasyPro!$B$2:$E$514,4,false))</f>
        <v>0</v>
      </c>
      <c r="I207" s="36">
        <f>if(ISNA(vlookup($A207, FFToolbox!$B$2:$E$618, 4, false)), 0, vlookup($A207, FFToolbox!$B$2:$E$618, 4, false))</f>
        <v>4</v>
      </c>
      <c r="J207" s="37">
        <f t="shared" si="1"/>
        <v>1.25</v>
      </c>
      <c r="K207" s="37">
        <f t="shared" si="2"/>
        <v>4</v>
      </c>
    </row>
    <row r="208" hidden="1">
      <c r="A208" s="13" t="s">
        <v>300</v>
      </c>
      <c r="B208" s="34" t="s">
        <v>1061</v>
      </c>
      <c r="C208" s="5" t="s">
        <v>104</v>
      </c>
      <c r="D208" s="5" t="s">
        <v>25</v>
      </c>
      <c r="E208" s="35">
        <f>vlookup(C208,'Team Bye List'!$A$1:$B$33,2,False)</f>
        <v>7</v>
      </c>
      <c r="F208" s="36">
        <f>if(ISNA(vlookup($A208, ESPN!$B$2:$E$1010, 4, false)), 0, vlookup($A208, ESPN!$B$2:$E$1010, 4, false))</f>
        <v>0</v>
      </c>
      <c r="G208" s="36">
        <f>if(ISNA(vlookup($A208,'Ultimate Draft Kit'!$B$2:$E$261,4, false)), 0, vlookup($A208,'Ultimate Draft Kit'!$B$2:$E$261, 4, false))</f>
        <v>1</v>
      </c>
      <c r="H208" s="36">
        <f>if(ISNA(vlookup($A208, FantasyPro!$B$2:$E$514,4,false)),0,vlookup($A208,FantasyPro!$B$2:$E$514,4,false))</f>
        <v>0</v>
      </c>
      <c r="I208" s="36">
        <f>if(ISNA(vlookup($A208, FFToolbox!$B$2:$E$618, 4, false)), 0, vlookup($A208, FFToolbox!$B$2:$E$618, 4, false))</f>
        <v>4</v>
      </c>
      <c r="J208" s="37">
        <f t="shared" si="1"/>
        <v>1.25</v>
      </c>
      <c r="K208" s="37">
        <f t="shared" si="2"/>
        <v>4</v>
      </c>
    </row>
    <row r="209" hidden="1">
      <c r="A209" s="13" t="s">
        <v>304</v>
      </c>
      <c r="B209" s="34" t="s">
        <v>1061</v>
      </c>
      <c r="C209" s="5" t="s">
        <v>233</v>
      </c>
      <c r="D209" s="5" t="s">
        <v>16</v>
      </c>
      <c r="E209" s="35">
        <f>vlookup(C209,'Team Bye List'!$A$1:$B$33,2,False)</f>
        <v>9</v>
      </c>
      <c r="F209" s="36">
        <f>if(ISNA(vlookup($A209, ESPN!$B$2:$E$1010, 4, false)), 0, vlookup($A209, ESPN!$B$2:$E$1010, 4, false))</f>
        <v>0</v>
      </c>
      <c r="G209" s="36">
        <f>if(ISNA(vlookup($A209,'Ultimate Draft Kit'!$B$2:$E$261,4, false)), 0, vlookup($A209,'Ultimate Draft Kit'!$B$2:$E$261, 4, false))</f>
        <v>1</v>
      </c>
      <c r="H209" s="36">
        <f>if(ISNA(vlookup($A209, FantasyPro!$B$2:$E$514,4,false)),0,vlookup($A209,FantasyPro!$B$2:$E$514,4,false))</f>
        <v>0</v>
      </c>
      <c r="I209" s="36">
        <f>if(ISNA(vlookup($A209, FFToolbox!$B$2:$E$618, 4, false)), 0, vlookup($A209, FFToolbox!$B$2:$E$618, 4, false))</f>
        <v>4</v>
      </c>
      <c r="J209" s="37">
        <f t="shared" si="1"/>
        <v>1.25</v>
      </c>
      <c r="K209" s="37">
        <f t="shared" si="2"/>
        <v>4</v>
      </c>
    </row>
    <row r="210" hidden="1">
      <c r="A210" s="13" t="s">
        <v>245</v>
      </c>
      <c r="B210" s="34" t="s">
        <v>1059</v>
      </c>
      <c r="C210" s="5" t="s">
        <v>86</v>
      </c>
      <c r="D210" s="5" t="s">
        <v>25</v>
      </c>
      <c r="E210" s="35">
        <f>vlookup(C210,'Team Bye List'!$A$1:$B$33,2,False)</f>
        <v>6</v>
      </c>
      <c r="F210" s="36">
        <f>if(ISNA(vlookup($A210, ESPN!$B$2:$E$1010, 4, false)), 0, vlookup($A210, ESPN!$B$2:$E$1010, 4, false))</f>
        <v>0</v>
      </c>
      <c r="G210" s="36">
        <f>if(ISNA(vlookup($A210,'Ultimate Draft Kit'!$B$2:$E$261,4, false)), 0, vlookup($A210,'Ultimate Draft Kit'!$B$2:$E$261, 4, false))</f>
        <v>0</v>
      </c>
      <c r="H210" s="36">
        <f>if(ISNA(vlookup($A210, FantasyPro!$B$2:$E$514,4,false)),0,vlookup($A210,FantasyPro!$B$2:$E$514,4,false))</f>
        <v>1</v>
      </c>
      <c r="I210" s="36">
        <f>if(ISNA(vlookup($A210, FFToolbox!$B$2:$E$618, 4, false)), 0, vlookup($A210, FFToolbox!$B$2:$E$618, 4, false))</f>
        <v>4</v>
      </c>
      <c r="J210" s="37">
        <f t="shared" si="1"/>
        <v>1.25</v>
      </c>
      <c r="K210" s="37">
        <f t="shared" si="2"/>
        <v>4</v>
      </c>
    </row>
    <row r="211">
      <c r="A211" s="13" t="s">
        <v>194</v>
      </c>
      <c r="B211" s="34" t="s">
        <v>1061</v>
      </c>
      <c r="C211" s="5" t="s">
        <v>54</v>
      </c>
      <c r="D211" s="5" t="s">
        <v>169</v>
      </c>
      <c r="E211" s="35">
        <f>vlookup(C211,'Team Bye List'!$A$1:$B$33,2,False)</f>
        <v>9</v>
      </c>
      <c r="F211" s="36">
        <f>if(ISNA(vlookup($A211, ESPN!$B$2:$E$1010, 4, false)), 0, vlookup($A211, ESPN!$B$2:$E$1010, 4, false))</f>
        <v>1</v>
      </c>
      <c r="G211" s="36">
        <f>if(ISNA(vlookup($A211,'Ultimate Draft Kit'!$B$2:$E$261,4, false)), 0, vlookup($A211,'Ultimate Draft Kit'!$B$2:$E$261, 4, false))</f>
        <v>0</v>
      </c>
      <c r="H211" s="36">
        <f>if(ISNA(vlookup($A211, FantasyPro!$B$2:$E$514,4,false)),0,vlookup($A211,FantasyPro!$B$2:$E$514,4,false))</f>
        <v>0</v>
      </c>
      <c r="I211" s="36">
        <f>if(ISNA(vlookup($A211, FFToolbox!$B$2:$E$618, 4, false)), 0, vlookup($A211, FFToolbox!$B$2:$E$618, 4, false))</f>
        <v>4</v>
      </c>
      <c r="J211" s="37">
        <f t="shared" si="1"/>
        <v>1.25</v>
      </c>
      <c r="K211" s="37">
        <f t="shared" si="2"/>
        <v>4</v>
      </c>
    </row>
    <row r="212">
      <c r="A212" s="13" t="s">
        <v>189</v>
      </c>
      <c r="B212" s="34" t="s">
        <v>1061</v>
      </c>
      <c r="C212" s="5" t="s">
        <v>74</v>
      </c>
      <c r="D212" s="5" t="s">
        <v>169</v>
      </c>
      <c r="E212" s="35">
        <f>vlookup(C212,'Team Bye List'!$A$1:$B$33,2,False)</f>
        <v>7</v>
      </c>
      <c r="F212" s="36">
        <f>if(ISNA(vlookup($A212, ESPN!$B$2:$E$1010, 4, false)), 0, vlookup($A212, ESPN!$B$2:$E$1010, 4, false))</f>
        <v>1</v>
      </c>
      <c r="G212" s="36">
        <f>if(ISNA(vlookup($A212,'Ultimate Draft Kit'!$B$2:$E$261,4, false)), 0, vlookup($A212,'Ultimate Draft Kit'!$B$2:$E$261, 4, false))</f>
        <v>0</v>
      </c>
      <c r="H212" s="36">
        <f>if(ISNA(vlookup($A212, FantasyPro!$B$2:$E$514,4,false)),0,vlookup($A212,FantasyPro!$B$2:$E$514,4,false))</f>
        <v>0</v>
      </c>
      <c r="I212" s="36">
        <f>if(ISNA(vlookup($A212, FFToolbox!$B$2:$E$618, 4, false)), 0, vlookup($A212, FFToolbox!$B$2:$E$618, 4, false))</f>
        <v>4</v>
      </c>
      <c r="J212" s="37">
        <f t="shared" si="1"/>
        <v>1.25</v>
      </c>
      <c r="K212" s="37">
        <f t="shared" si="2"/>
        <v>4</v>
      </c>
    </row>
    <row r="213" hidden="1">
      <c r="A213" s="13" t="s">
        <v>186</v>
      </c>
      <c r="B213" s="34" t="s">
        <v>1059</v>
      </c>
      <c r="C213" s="5" t="s">
        <v>27</v>
      </c>
      <c r="D213" s="5" t="s">
        <v>169</v>
      </c>
      <c r="E213" s="35">
        <f>vlookup(C213,'Team Bye List'!$A$1:$B$33,2,False)</f>
        <v>11</v>
      </c>
      <c r="F213" s="36">
        <f>if(ISNA(vlookup($A213, ESPN!$B$2:$E$1010, 4, false)), 0, vlookup($A213, ESPN!$B$2:$E$1010, 4, false))</f>
        <v>1</v>
      </c>
      <c r="G213" s="36">
        <f>if(ISNA(vlookup($A213,'Ultimate Draft Kit'!$B$2:$E$261,4, false)), 0, vlookup($A213,'Ultimate Draft Kit'!$B$2:$E$261, 4, false))</f>
        <v>0</v>
      </c>
      <c r="H213" s="36">
        <f>if(ISNA(vlookup($A213, FantasyPro!$B$2:$E$514,4,false)),0,vlookup($A213,FantasyPro!$B$2:$E$514,4,false))</f>
        <v>0</v>
      </c>
      <c r="I213" s="36">
        <f>if(ISNA(vlookup($A213, FFToolbox!$B$2:$E$618, 4, false)), 0, vlookup($A213, FFToolbox!$B$2:$E$618, 4, false))</f>
        <v>4</v>
      </c>
      <c r="J213" s="37">
        <f t="shared" si="1"/>
        <v>1.25</v>
      </c>
      <c r="K213" s="37">
        <f t="shared" si="2"/>
        <v>4</v>
      </c>
    </row>
    <row r="214" hidden="1">
      <c r="A214" s="13" t="s">
        <v>184</v>
      </c>
      <c r="B214" s="34" t="s">
        <v>1059</v>
      </c>
      <c r="C214" s="5" t="s">
        <v>44</v>
      </c>
      <c r="D214" s="5" t="s">
        <v>169</v>
      </c>
      <c r="E214" s="35">
        <f>vlookup(C214,'Team Bye List'!$A$1:$B$33,2,False)</f>
        <v>10</v>
      </c>
      <c r="F214" s="36">
        <f>if(ISNA(vlookup($A214, ESPN!$B$2:$E$1010, 4, false)), 0, vlookup($A214, ESPN!$B$2:$E$1010, 4, false))</f>
        <v>1</v>
      </c>
      <c r="G214" s="36">
        <f>if(ISNA(vlookup($A214,'Ultimate Draft Kit'!$B$2:$E$261,4, false)), 0, vlookup($A214,'Ultimate Draft Kit'!$B$2:$E$261, 4, false))</f>
        <v>0</v>
      </c>
      <c r="H214" s="36">
        <f>if(ISNA(vlookup($A214, FantasyPro!$B$2:$E$514,4,false)),0,vlookup($A214,FantasyPro!$B$2:$E$514,4,false))</f>
        <v>0</v>
      </c>
      <c r="I214" s="36">
        <f>if(ISNA(vlookup($A214, FFToolbox!$B$2:$E$618, 4, false)), 0, vlookup($A214, FFToolbox!$B$2:$E$618, 4, false))</f>
        <v>4</v>
      </c>
      <c r="J214" s="37">
        <f t="shared" si="1"/>
        <v>1.25</v>
      </c>
      <c r="K214" s="37">
        <f t="shared" si="2"/>
        <v>4</v>
      </c>
    </row>
    <row r="215" hidden="1">
      <c r="A215" s="13" t="s">
        <v>1016</v>
      </c>
      <c r="B215" s="34" t="s">
        <v>1061</v>
      </c>
      <c r="C215" s="5" t="s">
        <v>40</v>
      </c>
      <c r="D215" s="5" t="s">
        <v>7</v>
      </c>
      <c r="E215" s="35">
        <f>vlookup(C215,'Team Bye List'!$A$1:$B$33,2,False)</f>
        <v>6</v>
      </c>
      <c r="F215" s="36">
        <f>if(ISNA(vlookup($A215, ESPN!$B$2:$E$1010, 4, false)), 0, vlookup($A215, ESPN!$B$2:$E$1010, 4, false))</f>
        <v>0</v>
      </c>
      <c r="G215" s="36">
        <f>if(ISNA(vlookup($A215,'Ultimate Draft Kit'!$B$2:$E$261,4, false)), 0, vlookup($A215,'Ultimate Draft Kit'!$B$2:$E$261, 4, false))</f>
        <v>1</v>
      </c>
      <c r="H215" s="36">
        <f>if(ISNA(vlookup($A215, FantasyPro!$B$2:$E$514,4,false)),0,vlookup($A215,FantasyPro!$B$2:$E$514,4,false))</f>
        <v>0</v>
      </c>
      <c r="I215" s="36">
        <f>if(ISNA(vlookup($A215, FFToolbox!$B$2:$E$618, 4, false)), 0, vlookup($A215, FFToolbox!$B$2:$E$618, 4, false))</f>
        <v>4</v>
      </c>
      <c r="J215" s="37">
        <f t="shared" si="1"/>
        <v>1.25</v>
      </c>
      <c r="K215" s="37">
        <f t="shared" si="2"/>
        <v>4</v>
      </c>
    </row>
    <row r="216">
      <c r="A216" s="13" t="s">
        <v>204</v>
      </c>
      <c r="B216" s="34" t="s">
        <v>1061</v>
      </c>
      <c r="C216" s="5" t="s">
        <v>18</v>
      </c>
      <c r="D216" s="5" t="s">
        <v>169</v>
      </c>
      <c r="E216" s="35">
        <f>vlookup(C216,'Team Bye List'!$A$1:$B$33,2,False)</f>
        <v>6</v>
      </c>
      <c r="F216" s="36">
        <f>if(ISNA(vlookup($A216, ESPN!$B$2:$E$1010, 4, false)), 0, vlookup($A216, ESPN!$B$2:$E$1010, 4, false))</f>
        <v>1</v>
      </c>
      <c r="G216" s="36">
        <f>if(ISNA(vlookup($A216,'Ultimate Draft Kit'!$B$2:$E$261,4, false)), 0, vlookup($A216,'Ultimate Draft Kit'!$B$2:$E$261, 4, false))</f>
        <v>0</v>
      </c>
      <c r="H216" s="36">
        <f>if(ISNA(vlookup($A216, FantasyPro!$B$2:$E$514,4,false)),0,vlookup($A216,FantasyPro!$B$2:$E$514,4,false))</f>
        <v>0</v>
      </c>
      <c r="I216" s="36">
        <f>if(ISNA(vlookup($A216, FFToolbox!$B$2:$E$618, 4, false)), 0, vlookup($A216, FFToolbox!$B$2:$E$618, 4, false))</f>
        <v>4</v>
      </c>
      <c r="J216" s="37">
        <f t="shared" si="1"/>
        <v>1.25</v>
      </c>
      <c r="K216" s="37">
        <f t="shared" si="2"/>
        <v>4</v>
      </c>
    </row>
    <row r="217">
      <c r="A217" s="13" t="s">
        <v>208</v>
      </c>
      <c r="B217" s="34" t="s">
        <v>1061</v>
      </c>
      <c r="C217" s="5" t="s">
        <v>92</v>
      </c>
      <c r="D217" s="5" t="s">
        <v>169</v>
      </c>
      <c r="E217" s="35">
        <f>vlookup(C217,'Team Bye List'!$A$1:$B$33,2,False)</f>
        <v>8</v>
      </c>
      <c r="F217" s="36">
        <f>if(ISNA(vlookup($A217, ESPN!$B$2:$E$1010, 4, false)), 0, vlookup($A217, ESPN!$B$2:$E$1010, 4, false))</f>
        <v>1</v>
      </c>
      <c r="G217" s="36">
        <f>if(ISNA(vlookup($A217,'Ultimate Draft Kit'!$B$2:$E$261,4, false)), 0, vlookup($A217,'Ultimate Draft Kit'!$B$2:$E$261, 4, false))</f>
        <v>0</v>
      </c>
      <c r="H217" s="36">
        <f>if(ISNA(vlookup($A217, FantasyPro!$B$2:$E$514,4,false)),0,vlookup($A217,FantasyPro!$B$2:$E$514,4,false))</f>
        <v>0</v>
      </c>
      <c r="I217" s="36">
        <f>if(ISNA(vlookup($A217, FFToolbox!$B$2:$E$618, 4, false)), 0, vlookup($A217, FFToolbox!$B$2:$E$618, 4, false))</f>
        <v>4</v>
      </c>
      <c r="J217" s="37">
        <f t="shared" si="1"/>
        <v>1.25</v>
      </c>
      <c r="K217" s="37">
        <f t="shared" si="2"/>
        <v>4</v>
      </c>
    </row>
    <row r="218">
      <c r="A218" s="13" t="s">
        <v>211</v>
      </c>
      <c r="B218" s="34" t="s">
        <v>1061</v>
      </c>
      <c r="C218" s="5" t="s">
        <v>34</v>
      </c>
      <c r="D218" s="5" t="s">
        <v>169</v>
      </c>
      <c r="E218" s="35">
        <f>vlookup(C218,'Team Bye List'!$A$1:$B$33,2,False)</f>
        <v>7</v>
      </c>
      <c r="F218" s="36">
        <f>if(ISNA(vlookup($A218, ESPN!$B$2:$E$1010, 4, false)), 0, vlookup($A218, ESPN!$B$2:$E$1010, 4, false))</f>
        <v>1</v>
      </c>
      <c r="G218" s="36">
        <f>if(ISNA(vlookup($A218,'Ultimate Draft Kit'!$B$2:$E$261,4, false)), 0, vlookup($A218,'Ultimate Draft Kit'!$B$2:$E$261, 4, false))</f>
        <v>0</v>
      </c>
      <c r="H218" s="36">
        <f>if(ISNA(vlookup($A218, FantasyPro!$B$2:$E$514,4,false)),0,vlookup($A218,FantasyPro!$B$2:$E$514,4,false))</f>
        <v>0</v>
      </c>
      <c r="I218" s="36">
        <f>if(ISNA(vlookup($A218, FFToolbox!$B$2:$E$618, 4, false)), 0, vlookup($A218, FFToolbox!$B$2:$E$618, 4, false))</f>
        <v>4</v>
      </c>
      <c r="J218" s="37">
        <f t="shared" si="1"/>
        <v>1.25</v>
      </c>
      <c r="K218" s="37">
        <f t="shared" si="2"/>
        <v>4</v>
      </c>
    </row>
    <row r="219">
      <c r="A219" s="13" t="s">
        <v>202</v>
      </c>
      <c r="B219" s="34" t="s">
        <v>1061</v>
      </c>
      <c r="C219" s="5" t="s">
        <v>40</v>
      </c>
      <c r="D219" s="5" t="s">
        <v>169</v>
      </c>
      <c r="E219" s="35">
        <f>vlookup(C219,'Team Bye List'!$A$1:$B$33,2,False)</f>
        <v>6</v>
      </c>
      <c r="F219" s="36">
        <f>if(ISNA(vlookup($A219, ESPN!$B$2:$E$1010, 4, false)), 0, vlookup($A219, ESPN!$B$2:$E$1010, 4, false))</f>
        <v>1</v>
      </c>
      <c r="G219" s="36">
        <f>if(ISNA(vlookup($A219,'Ultimate Draft Kit'!$B$2:$E$261,4, false)), 0, vlookup($A219,'Ultimate Draft Kit'!$B$2:$E$261, 4, false))</f>
        <v>0</v>
      </c>
      <c r="H219" s="36">
        <f>if(ISNA(vlookup($A219, FantasyPro!$B$2:$E$514,4,false)),0,vlookup($A219,FantasyPro!$B$2:$E$514,4,false))</f>
        <v>0</v>
      </c>
      <c r="I219" s="36">
        <f>if(ISNA(vlookup($A219, FFToolbox!$B$2:$E$618, 4, false)), 0, vlookup($A219, FFToolbox!$B$2:$E$618, 4, false))</f>
        <v>4</v>
      </c>
      <c r="J219" s="37">
        <f t="shared" si="1"/>
        <v>1.25</v>
      </c>
      <c r="K219" s="37">
        <f t="shared" si="2"/>
        <v>4</v>
      </c>
    </row>
    <row r="220">
      <c r="A220" s="13" t="s">
        <v>197</v>
      </c>
      <c r="B220" s="34" t="s">
        <v>1061</v>
      </c>
      <c r="C220" s="5" t="s">
        <v>6</v>
      </c>
      <c r="D220" s="5" t="s">
        <v>169</v>
      </c>
      <c r="E220" s="35">
        <f>vlookup(C220,'Team Bye List'!$A$1:$B$33,2,False)</f>
        <v>12</v>
      </c>
      <c r="F220" s="36">
        <f>if(ISNA(vlookup($A220, ESPN!$B$2:$E$1010, 4, false)), 0, vlookup($A220, ESPN!$B$2:$E$1010, 4, false))</f>
        <v>1</v>
      </c>
      <c r="G220" s="36">
        <f>if(ISNA(vlookup($A220,'Ultimate Draft Kit'!$B$2:$E$261,4, false)), 0, vlookup($A220,'Ultimate Draft Kit'!$B$2:$E$261, 4, false))</f>
        <v>0</v>
      </c>
      <c r="H220" s="36">
        <f>if(ISNA(vlookup($A220, FantasyPro!$B$2:$E$514,4,false)),0,vlookup($A220,FantasyPro!$B$2:$E$514,4,false))</f>
        <v>0</v>
      </c>
      <c r="I220" s="36">
        <f>if(ISNA(vlookup($A220, FFToolbox!$B$2:$E$618, 4, false)), 0, vlookup($A220, FFToolbox!$B$2:$E$618, 4, false))</f>
        <v>4</v>
      </c>
      <c r="J220" s="37">
        <f t="shared" si="1"/>
        <v>1.25</v>
      </c>
      <c r="K220" s="37">
        <f t="shared" si="2"/>
        <v>4</v>
      </c>
    </row>
    <row r="221" hidden="1">
      <c r="A221" s="13" t="s">
        <v>240</v>
      </c>
      <c r="B221" s="34" t="s">
        <v>1061</v>
      </c>
      <c r="C221" s="5" t="s">
        <v>40</v>
      </c>
      <c r="D221" s="5" t="s">
        <v>16</v>
      </c>
      <c r="E221" s="35">
        <f>vlookup(C221,'Team Bye List'!$A$1:$B$33,2,False)</f>
        <v>6</v>
      </c>
      <c r="F221" s="36">
        <f>if(ISNA(vlookup($A221, ESPN!$B$2:$E$1010, 4, false)), 0, vlookup($A221, ESPN!$B$2:$E$1010, 4, false))</f>
        <v>0</v>
      </c>
      <c r="G221" s="36">
        <f>if(ISNA(vlookup($A221,'Ultimate Draft Kit'!$B$2:$E$261,4, false)), 0, vlookup($A221,'Ultimate Draft Kit'!$B$2:$E$261, 4, false))</f>
        <v>1</v>
      </c>
      <c r="H221" s="36">
        <f>if(ISNA(vlookup($A221, FantasyPro!$B$2:$E$514,4,false)),0,vlookup($A221,FantasyPro!$B$2:$E$514,4,false))</f>
        <v>0</v>
      </c>
      <c r="I221" s="36">
        <f>if(ISNA(vlookup($A221, FFToolbox!$B$2:$E$618, 4, false)), 0, vlookup($A221, FFToolbox!$B$2:$E$618, 4, false))</f>
        <v>4</v>
      </c>
      <c r="J221" s="37">
        <f t="shared" si="1"/>
        <v>1.25</v>
      </c>
      <c r="K221" s="37">
        <f t="shared" si="2"/>
        <v>4</v>
      </c>
    </row>
    <row r="222" hidden="1">
      <c r="A222" s="13" t="s">
        <v>970</v>
      </c>
      <c r="B222" s="34" t="s">
        <v>1061</v>
      </c>
      <c r="C222" s="5" t="s">
        <v>86</v>
      </c>
      <c r="D222" s="5" t="s">
        <v>10</v>
      </c>
      <c r="E222" s="35">
        <f>vlookup(C222,'Team Bye List'!$A$1:$B$33,2,False)</f>
        <v>6</v>
      </c>
      <c r="F222" s="36">
        <f>if(ISNA(vlookup($A222, ESPN!$B$2:$E$1010, 4, false)), 0, vlookup($A222, ESPN!$B$2:$E$1010, 4, false))</f>
        <v>0</v>
      </c>
      <c r="G222" s="36">
        <f>if(ISNA(vlookup($A222,'Ultimate Draft Kit'!$B$2:$E$261,4, false)), 0, vlookup($A222,'Ultimate Draft Kit'!$B$2:$E$261, 4, false))</f>
        <v>0</v>
      </c>
      <c r="H222" s="36">
        <f>if(ISNA(vlookup($A222, FantasyPro!$B$2:$E$514,4,false)),0,vlookup($A222,FantasyPro!$B$2:$E$514,4,false))</f>
        <v>0</v>
      </c>
      <c r="I222" s="36">
        <f>if(ISNA(vlookup($A222, FFToolbox!$B$2:$E$618, 4, false)), 0, vlookup($A222, FFToolbox!$B$2:$E$618, 4, false))</f>
        <v>4</v>
      </c>
      <c r="J222" s="37">
        <f t="shared" si="1"/>
        <v>1</v>
      </c>
      <c r="K222" s="37">
        <f t="shared" si="2"/>
        <v>4</v>
      </c>
    </row>
    <row r="223" hidden="1">
      <c r="A223" s="13" t="s">
        <v>948</v>
      </c>
      <c r="B223" s="34" t="s">
        <v>1061</v>
      </c>
      <c r="C223" s="5" t="s">
        <v>56</v>
      </c>
      <c r="D223" s="5" t="s">
        <v>10</v>
      </c>
      <c r="E223" s="35">
        <f>vlookup(C223,'Team Bye List'!$A$1:$B$33,2,False)</f>
        <v>5</v>
      </c>
      <c r="F223" s="36">
        <f>if(ISNA(vlookup($A223, ESPN!$B$2:$E$1010, 4, false)), 0, vlookup($A223, ESPN!$B$2:$E$1010, 4, false))</f>
        <v>0</v>
      </c>
      <c r="G223" s="36">
        <f>if(ISNA(vlookup($A223,'Ultimate Draft Kit'!$B$2:$E$261,4, false)), 0, vlookup($A223,'Ultimate Draft Kit'!$B$2:$E$261, 4, false))</f>
        <v>0</v>
      </c>
      <c r="H223" s="36">
        <f>if(ISNA(vlookup($A223, FantasyPro!$B$2:$E$514,4,false)),0,vlookup($A223,FantasyPro!$B$2:$E$514,4,false))</f>
        <v>0</v>
      </c>
      <c r="I223" s="36">
        <f>if(ISNA(vlookup($A223, FFToolbox!$B$2:$E$618, 4, false)), 0, vlookup($A223, FFToolbox!$B$2:$E$618, 4, false))</f>
        <v>4</v>
      </c>
      <c r="J223" s="37">
        <f t="shared" si="1"/>
        <v>1</v>
      </c>
      <c r="K223" s="37">
        <f t="shared" si="2"/>
        <v>4</v>
      </c>
    </row>
    <row r="224" hidden="1">
      <c r="A224" s="13" t="s">
        <v>947</v>
      </c>
      <c r="B224" s="34" t="s">
        <v>1061</v>
      </c>
      <c r="C224" s="5" t="s">
        <v>61</v>
      </c>
      <c r="D224" s="5" t="s">
        <v>10</v>
      </c>
      <c r="E224" s="35">
        <f>vlookup(C224,'Team Bye List'!$A$1:$B$33,2,False)</f>
        <v>9</v>
      </c>
      <c r="F224" s="36">
        <f>if(ISNA(vlookup($A224, ESPN!$B$2:$E$1010, 4, false)), 0, vlookup($A224, ESPN!$B$2:$E$1010, 4, false))</f>
        <v>0</v>
      </c>
      <c r="G224" s="36">
        <f>if(ISNA(vlookup($A224,'Ultimate Draft Kit'!$B$2:$E$261,4, false)), 0, vlookup($A224,'Ultimate Draft Kit'!$B$2:$E$261, 4, false))</f>
        <v>0</v>
      </c>
      <c r="H224" s="36">
        <f>if(ISNA(vlookup($A224, FantasyPro!$B$2:$E$514,4,false)),0,vlookup($A224,FantasyPro!$B$2:$E$514,4,false))</f>
        <v>0</v>
      </c>
      <c r="I224" s="36">
        <f>if(ISNA(vlookup($A224, FFToolbox!$B$2:$E$618, 4, false)), 0, vlookup($A224, FFToolbox!$B$2:$E$618, 4, false))</f>
        <v>4</v>
      </c>
      <c r="J224" s="37">
        <f t="shared" si="1"/>
        <v>1</v>
      </c>
      <c r="K224" s="37">
        <f t="shared" si="2"/>
        <v>4</v>
      </c>
    </row>
    <row r="225" hidden="1">
      <c r="A225" s="13" t="s">
        <v>926</v>
      </c>
      <c r="B225" s="34" t="s">
        <v>1061</v>
      </c>
      <c r="C225" s="5" t="s">
        <v>92</v>
      </c>
      <c r="D225" s="5" t="s">
        <v>10</v>
      </c>
      <c r="E225" s="35">
        <f>vlookup(C225,'Team Bye List'!$A$1:$B$33,2,False)</f>
        <v>8</v>
      </c>
      <c r="F225" s="36">
        <f>if(ISNA(vlookup($A225, ESPN!$B$2:$E$1010, 4, false)), 0, vlookup($A225, ESPN!$B$2:$E$1010, 4, false))</f>
        <v>0</v>
      </c>
      <c r="G225" s="36">
        <f>if(ISNA(vlookup($A225,'Ultimate Draft Kit'!$B$2:$E$261,4, false)), 0, vlookup($A225,'Ultimate Draft Kit'!$B$2:$E$261, 4, false))</f>
        <v>0</v>
      </c>
      <c r="H225" s="36">
        <f>if(ISNA(vlookup($A225, FantasyPro!$B$2:$E$514,4,false)),0,vlookup($A225,FantasyPro!$B$2:$E$514,4,false))</f>
        <v>0</v>
      </c>
      <c r="I225" s="36">
        <f>if(ISNA(vlookup($A225, FFToolbox!$B$2:$E$618, 4, false)), 0, vlookup($A225, FFToolbox!$B$2:$E$618, 4, false))</f>
        <v>4</v>
      </c>
      <c r="J225" s="37">
        <f t="shared" si="1"/>
        <v>1</v>
      </c>
      <c r="K225" s="37">
        <f t="shared" si="2"/>
        <v>4</v>
      </c>
    </row>
    <row r="226" hidden="1">
      <c r="A226" s="13" t="s">
        <v>922</v>
      </c>
      <c r="B226" s="34" t="s">
        <v>1061</v>
      </c>
      <c r="C226" s="5" t="s">
        <v>32</v>
      </c>
      <c r="D226" s="5" t="s">
        <v>10</v>
      </c>
      <c r="E226" s="35">
        <f>vlookup(C226,'Team Bye List'!$A$1:$B$33,2,False)</f>
        <v>9</v>
      </c>
      <c r="F226" s="36">
        <f>if(ISNA(vlookup($A226, ESPN!$B$2:$E$1010, 4, false)), 0, vlookup($A226, ESPN!$B$2:$E$1010, 4, false))</f>
        <v>0</v>
      </c>
      <c r="G226" s="36">
        <f>if(ISNA(vlookup($A226,'Ultimate Draft Kit'!$B$2:$E$261,4, false)), 0, vlookup($A226,'Ultimate Draft Kit'!$B$2:$E$261, 4, false))</f>
        <v>0</v>
      </c>
      <c r="H226" s="36">
        <f>if(ISNA(vlookup($A226, FantasyPro!$B$2:$E$514,4,false)),0,vlookup($A226,FantasyPro!$B$2:$E$514,4,false))</f>
        <v>0</v>
      </c>
      <c r="I226" s="36">
        <f>if(ISNA(vlookup($A226, FFToolbox!$B$2:$E$618, 4, false)), 0, vlookup($A226, FFToolbox!$B$2:$E$618, 4, false))</f>
        <v>4</v>
      </c>
      <c r="J226" s="37">
        <f t="shared" si="1"/>
        <v>1</v>
      </c>
      <c r="K226" s="37">
        <f t="shared" si="2"/>
        <v>4</v>
      </c>
    </row>
    <row r="227" hidden="1">
      <c r="A227" s="13" t="s">
        <v>603</v>
      </c>
      <c r="B227" s="34" t="s">
        <v>1061</v>
      </c>
      <c r="C227" s="5" t="s">
        <v>63</v>
      </c>
      <c r="D227" s="5" t="s">
        <v>25</v>
      </c>
      <c r="E227" s="35">
        <f>vlookup(C227,'Team Bye List'!$A$1:$B$33,2,False)</f>
        <v>8</v>
      </c>
      <c r="F227" s="36">
        <f>if(ISNA(vlookup($A227, ESPN!$B$2:$E$1010, 4, false)), 0, vlookup($A227, ESPN!$B$2:$E$1010, 4, false))</f>
        <v>0</v>
      </c>
      <c r="G227" s="36">
        <f>if(ISNA(vlookup($A227,'Ultimate Draft Kit'!$B$2:$E$261,4, false)), 0, vlookup($A227,'Ultimate Draft Kit'!$B$2:$E$261, 4, false))</f>
        <v>0</v>
      </c>
      <c r="H227" s="36">
        <f>if(ISNA(vlookup($A227, FantasyPro!$B$2:$E$514,4,false)),0,vlookup($A227,FantasyPro!$B$2:$E$514,4,false))</f>
        <v>0</v>
      </c>
      <c r="I227" s="36">
        <f>if(ISNA(vlookup($A227, FFToolbox!$B$2:$E$618, 4, false)), 0, vlookup($A227, FFToolbox!$B$2:$E$618, 4, false))</f>
        <v>4</v>
      </c>
      <c r="J227" s="37">
        <f t="shared" si="1"/>
        <v>1</v>
      </c>
      <c r="K227" s="37">
        <f t="shared" si="2"/>
        <v>4</v>
      </c>
    </row>
    <row r="228" hidden="1">
      <c r="A228" s="13" t="s">
        <v>592</v>
      </c>
      <c r="B228" s="34" t="s">
        <v>1061</v>
      </c>
      <c r="C228" s="5" t="s">
        <v>134</v>
      </c>
      <c r="D228" s="5" t="s">
        <v>7</v>
      </c>
      <c r="E228" s="35">
        <f>vlookup(C228,'Team Bye List'!$A$1:$B$33,2,False)</f>
        <v>11</v>
      </c>
      <c r="F228" s="36">
        <f>if(ISNA(vlookup($A228, ESPN!$B$2:$E$1010, 4, false)), 0, vlookup($A228, ESPN!$B$2:$E$1010, 4, false))</f>
        <v>0</v>
      </c>
      <c r="G228" s="36">
        <f>if(ISNA(vlookup($A228,'Ultimate Draft Kit'!$B$2:$E$261,4, false)), 0, vlookup($A228,'Ultimate Draft Kit'!$B$2:$E$261, 4, false))</f>
        <v>0</v>
      </c>
      <c r="H228" s="36">
        <f>if(ISNA(vlookup($A228, FantasyPro!$B$2:$E$514,4,false)),0,vlookup($A228,FantasyPro!$B$2:$E$514,4,false))</f>
        <v>0</v>
      </c>
      <c r="I228" s="36">
        <f>if(ISNA(vlookup($A228, FFToolbox!$B$2:$E$618, 4, false)), 0, vlookup($A228, FFToolbox!$B$2:$E$618, 4, false))</f>
        <v>4</v>
      </c>
      <c r="J228" s="37">
        <f t="shared" si="1"/>
        <v>1</v>
      </c>
      <c r="K228" s="37">
        <f t="shared" si="2"/>
        <v>4</v>
      </c>
    </row>
    <row r="229" hidden="1">
      <c r="A229" s="13" t="s">
        <v>566</v>
      </c>
      <c r="B229" s="34" t="s">
        <v>1061</v>
      </c>
      <c r="C229" s="5" t="s">
        <v>29</v>
      </c>
      <c r="D229" s="5" t="s">
        <v>25</v>
      </c>
      <c r="E229" s="35">
        <f>vlookup(C229,'Team Bye List'!$A$1:$B$33,2,False)</f>
        <v>11</v>
      </c>
      <c r="F229" s="36">
        <f>if(ISNA(vlookup($A229, ESPN!$B$2:$E$1010, 4, false)), 0, vlookup($A229, ESPN!$B$2:$E$1010, 4, false))</f>
        <v>0</v>
      </c>
      <c r="G229" s="36">
        <f>if(ISNA(vlookup($A229,'Ultimate Draft Kit'!$B$2:$E$261,4, false)), 0, vlookup($A229,'Ultimate Draft Kit'!$B$2:$E$261, 4, false))</f>
        <v>0</v>
      </c>
      <c r="H229" s="36">
        <f>if(ISNA(vlookup($A229, FantasyPro!$B$2:$E$514,4,false)),0,vlookup($A229,FantasyPro!$B$2:$E$514,4,false))</f>
        <v>0</v>
      </c>
      <c r="I229" s="36">
        <f>if(ISNA(vlookup($A229, FFToolbox!$B$2:$E$618, 4, false)), 0, vlookup($A229, FFToolbox!$B$2:$E$618, 4, false))</f>
        <v>4</v>
      </c>
      <c r="J229" s="37">
        <f t="shared" si="1"/>
        <v>1</v>
      </c>
      <c r="K229" s="37">
        <f t="shared" si="2"/>
        <v>4</v>
      </c>
    </row>
    <row r="230" hidden="1">
      <c r="A230" s="13" t="s">
        <v>562</v>
      </c>
      <c r="B230" s="34" t="s">
        <v>1061</v>
      </c>
      <c r="C230" s="5" t="s">
        <v>134</v>
      </c>
      <c r="D230" s="5" t="s">
        <v>25</v>
      </c>
      <c r="E230" s="35">
        <f>vlookup(C230,'Team Bye List'!$A$1:$B$33,2,False)</f>
        <v>11</v>
      </c>
      <c r="F230" s="36">
        <f>if(ISNA(vlookup($A230, ESPN!$B$2:$E$1010, 4, false)), 0, vlookup($A230, ESPN!$B$2:$E$1010, 4, false))</f>
        <v>0</v>
      </c>
      <c r="G230" s="36">
        <f>if(ISNA(vlookup($A230,'Ultimate Draft Kit'!$B$2:$E$261,4, false)), 0, vlookup($A230,'Ultimate Draft Kit'!$B$2:$E$261, 4, false))</f>
        <v>0</v>
      </c>
      <c r="H230" s="36">
        <f>if(ISNA(vlookup($A230, FantasyPro!$B$2:$E$514,4,false)),0,vlookup($A230,FantasyPro!$B$2:$E$514,4,false))</f>
        <v>0</v>
      </c>
      <c r="I230" s="36">
        <f>if(ISNA(vlookup($A230, FFToolbox!$B$2:$E$618, 4, false)), 0, vlookup($A230, FFToolbox!$B$2:$E$618, 4, false))</f>
        <v>4</v>
      </c>
      <c r="J230" s="37">
        <f t="shared" si="1"/>
        <v>1</v>
      </c>
      <c r="K230" s="37">
        <f t="shared" si="2"/>
        <v>4</v>
      </c>
    </row>
    <row r="231" hidden="1">
      <c r="A231" s="13" t="s">
        <v>546</v>
      </c>
      <c r="B231" s="34" t="s">
        <v>1061</v>
      </c>
      <c r="C231" s="5" t="s">
        <v>61</v>
      </c>
      <c r="D231" s="5" t="s">
        <v>25</v>
      </c>
      <c r="E231" s="35">
        <f>vlookup(C231,'Team Bye List'!$A$1:$B$33,2,False)</f>
        <v>9</v>
      </c>
      <c r="F231" s="36">
        <f>if(ISNA(vlookup($A231, ESPN!$B$2:$E$1010, 4, false)), 0, vlookup($A231, ESPN!$B$2:$E$1010, 4, false))</f>
        <v>0</v>
      </c>
      <c r="G231" s="36">
        <f>if(ISNA(vlookup($A231,'Ultimate Draft Kit'!$B$2:$E$261,4, false)), 0, vlookup($A231,'Ultimate Draft Kit'!$B$2:$E$261, 4, false))</f>
        <v>0</v>
      </c>
      <c r="H231" s="36">
        <f>if(ISNA(vlookup($A231, FantasyPro!$B$2:$E$514,4,false)),0,vlookup($A231,FantasyPro!$B$2:$E$514,4,false))</f>
        <v>0</v>
      </c>
      <c r="I231" s="36">
        <f>if(ISNA(vlookup($A231, FFToolbox!$B$2:$E$618, 4, false)), 0, vlookup($A231, FFToolbox!$B$2:$E$618, 4, false))</f>
        <v>4</v>
      </c>
      <c r="J231" s="37">
        <f t="shared" si="1"/>
        <v>1</v>
      </c>
      <c r="K231" s="37">
        <f t="shared" si="2"/>
        <v>4</v>
      </c>
    </row>
    <row r="232" hidden="1">
      <c r="A232" s="13" t="s">
        <v>402</v>
      </c>
      <c r="B232" s="34" t="s">
        <v>1061</v>
      </c>
      <c r="C232" s="5" t="s">
        <v>56</v>
      </c>
      <c r="D232" s="5" t="s">
        <v>7</v>
      </c>
      <c r="E232" s="35">
        <f>vlookup(C232,'Team Bye List'!$A$1:$B$33,2,False)</f>
        <v>5</v>
      </c>
      <c r="F232" s="36">
        <f>if(ISNA(vlookup($A232, ESPN!$B$2:$E$1010, 4, false)), 0, vlookup($A232, ESPN!$B$2:$E$1010, 4, false))</f>
        <v>0</v>
      </c>
      <c r="G232" s="36">
        <f>if(ISNA(vlookup($A232,'Ultimate Draft Kit'!$B$2:$E$261,4, false)), 0, vlookup($A232,'Ultimate Draft Kit'!$B$2:$E$261, 4, false))</f>
        <v>1</v>
      </c>
      <c r="H232" s="36">
        <f>if(ISNA(vlookup($A232, FantasyPro!$B$2:$E$514,4,false)),0,vlookup($A232,FantasyPro!$B$2:$E$514,4,false))</f>
        <v>1</v>
      </c>
      <c r="I232" s="36">
        <f>if(ISNA(vlookup($A232, FFToolbox!$B$2:$E$618, 4, false)), 0, vlookup($A232, FFToolbox!$B$2:$E$618, 4, false))</f>
        <v>2</v>
      </c>
      <c r="J232" s="37">
        <f t="shared" si="1"/>
        <v>1</v>
      </c>
      <c r="K232" s="37">
        <f t="shared" si="2"/>
        <v>2</v>
      </c>
    </row>
    <row r="233" hidden="1">
      <c r="A233" s="13" t="s">
        <v>399</v>
      </c>
      <c r="B233" s="34" t="s">
        <v>1061</v>
      </c>
      <c r="C233" s="5" t="s">
        <v>12</v>
      </c>
      <c r="D233" s="5" t="s">
        <v>25</v>
      </c>
      <c r="E233" s="35">
        <f>vlookup(C233,'Team Bye List'!$A$1:$B$33,2,False)</f>
        <v>8</v>
      </c>
      <c r="F233" s="36">
        <f>if(ISNA(vlookup($A233, ESPN!$B$2:$E$1010, 4, false)), 0, vlookup($A233, ESPN!$B$2:$E$1010, 4, false))</f>
        <v>0</v>
      </c>
      <c r="G233" s="36">
        <f>if(ISNA(vlookup($A233,'Ultimate Draft Kit'!$B$2:$E$261,4, false)), 0, vlookup($A233,'Ultimate Draft Kit'!$B$2:$E$261, 4, false))</f>
        <v>0</v>
      </c>
      <c r="H233" s="36">
        <f>if(ISNA(vlookup($A233, FantasyPro!$B$2:$E$514,4,false)),0,vlookup($A233,FantasyPro!$B$2:$E$514,4,false))</f>
        <v>0</v>
      </c>
      <c r="I233" s="36">
        <f>if(ISNA(vlookup($A233, FFToolbox!$B$2:$E$618, 4, false)), 0, vlookup($A233, FFToolbox!$B$2:$E$618, 4, false))</f>
        <v>4</v>
      </c>
      <c r="J233" s="37">
        <f t="shared" si="1"/>
        <v>1</v>
      </c>
      <c r="K233" s="37">
        <f t="shared" si="2"/>
        <v>4</v>
      </c>
    </row>
    <row r="234" hidden="1">
      <c r="A234" s="13" t="s">
        <v>321</v>
      </c>
      <c r="B234" s="34" t="s">
        <v>1061</v>
      </c>
      <c r="C234" s="5" t="s">
        <v>18</v>
      </c>
      <c r="D234" s="5" t="s">
        <v>25</v>
      </c>
      <c r="E234" s="35">
        <f>vlookup(C234,'Team Bye List'!$A$1:$B$33,2,False)</f>
        <v>6</v>
      </c>
      <c r="F234" s="36">
        <f>if(ISNA(vlookup($A234, ESPN!$B$2:$E$1010, 4, false)), 0, vlookup($A234, ESPN!$B$2:$E$1010, 4, false))</f>
        <v>0</v>
      </c>
      <c r="G234" s="36">
        <f>if(ISNA(vlookup($A234,'Ultimate Draft Kit'!$B$2:$E$261,4, false)), 0, vlookup($A234,'Ultimate Draft Kit'!$B$2:$E$261, 4, false))</f>
        <v>1</v>
      </c>
      <c r="H234" s="36">
        <f>if(ISNA(vlookup($A234, FantasyPro!$B$2:$E$514,4,false)),0,vlookup($A234,FantasyPro!$B$2:$E$514,4,false))</f>
        <v>1</v>
      </c>
      <c r="I234" s="36">
        <f>if(ISNA(vlookup($A234, FFToolbox!$B$2:$E$618, 4, false)), 0, vlookup($A234, FFToolbox!$B$2:$E$618, 4, false))</f>
        <v>2</v>
      </c>
      <c r="J234" s="37">
        <f t="shared" si="1"/>
        <v>1</v>
      </c>
      <c r="K234" s="37">
        <f t="shared" si="2"/>
        <v>2</v>
      </c>
    </row>
    <row r="235" hidden="1">
      <c r="A235" s="13" t="s">
        <v>314</v>
      </c>
      <c r="B235" s="34" t="s">
        <v>1061</v>
      </c>
      <c r="C235" s="5" t="s">
        <v>86</v>
      </c>
      <c r="D235" s="5" t="s">
        <v>16</v>
      </c>
      <c r="E235" s="35">
        <f>vlookup(C235,'Team Bye List'!$A$1:$B$33,2,False)</f>
        <v>6</v>
      </c>
      <c r="F235" s="36">
        <f>if(ISNA(vlookup($A235, ESPN!$B$2:$E$1010, 4, false)), 0, vlookup($A235, ESPN!$B$2:$E$1010, 4, false))</f>
        <v>0</v>
      </c>
      <c r="G235" s="36">
        <f>if(ISNA(vlookup($A235,'Ultimate Draft Kit'!$B$2:$E$261,4, false)), 0, vlookup($A235,'Ultimate Draft Kit'!$B$2:$E$261, 4, false))</f>
        <v>0</v>
      </c>
      <c r="H235" s="36">
        <f>if(ISNA(vlookup($A235, FantasyPro!$B$2:$E$514,4,false)),0,vlookup($A235,FantasyPro!$B$2:$E$514,4,false))</f>
        <v>0</v>
      </c>
      <c r="I235" s="36">
        <f>if(ISNA(vlookup($A235, FFToolbox!$B$2:$E$618, 4, false)), 0, vlookup($A235, FFToolbox!$B$2:$E$618, 4, false))</f>
        <v>4</v>
      </c>
      <c r="J235" s="37">
        <f t="shared" si="1"/>
        <v>1</v>
      </c>
      <c r="K235" s="37">
        <f t="shared" si="2"/>
        <v>4</v>
      </c>
    </row>
    <row r="236" hidden="1">
      <c r="A236" s="13" t="s">
        <v>317</v>
      </c>
      <c r="B236" s="34" t="s">
        <v>1061</v>
      </c>
      <c r="C236" s="5" t="s">
        <v>233</v>
      </c>
      <c r="D236" s="5" t="s">
        <v>25</v>
      </c>
      <c r="E236" s="35">
        <f>vlookup(C236,'Team Bye List'!$A$1:$B$33,2,False)</f>
        <v>9</v>
      </c>
      <c r="F236" s="36">
        <f>if(ISNA(vlookup($A236, ESPN!$B$2:$E$1010, 4, false)), 0, vlookup($A236, ESPN!$B$2:$E$1010, 4, false))</f>
        <v>0</v>
      </c>
      <c r="G236" s="36">
        <f>if(ISNA(vlookup($A236,'Ultimate Draft Kit'!$B$2:$E$261,4, false)), 0, vlookup($A236,'Ultimate Draft Kit'!$B$2:$E$261, 4, false))</f>
        <v>0</v>
      </c>
      <c r="H236" s="36">
        <f>if(ISNA(vlookup($A236, FantasyPro!$B$2:$E$514,4,false)),0,vlookup($A236,FantasyPro!$B$2:$E$514,4,false))</f>
        <v>0</v>
      </c>
      <c r="I236" s="36">
        <f>if(ISNA(vlookup($A236, FFToolbox!$B$2:$E$618, 4, false)), 0, vlookup($A236, FFToolbox!$B$2:$E$618, 4, false))</f>
        <v>4</v>
      </c>
      <c r="J236" s="37">
        <f t="shared" si="1"/>
        <v>1</v>
      </c>
      <c r="K236" s="37">
        <f t="shared" si="2"/>
        <v>4</v>
      </c>
    </row>
    <row r="237" hidden="1">
      <c r="A237" s="13" t="s">
        <v>303</v>
      </c>
      <c r="B237" s="34" t="s">
        <v>1061</v>
      </c>
      <c r="C237" s="5" t="s">
        <v>59</v>
      </c>
      <c r="D237" s="5" t="s">
        <v>25</v>
      </c>
      <c r="E237" s="35">
        <f>vlookup(C237,'Team Bye List'!$A$1:$B$33,2,False)</f>
        <v>8</v>
      </c>
      <c r="F237" s="36">
        <f>if(ISNA(vlookup($A237, ESPN!$B$2:$E$1010, 4, false)), 0, vlookup($A237, ESPN!$B$2:$E$1010, 4, false))</f>
        <v>0</v>
      </c>
      <c r="G237" s="36">
        <f>if(ISNA(vlookup($A237,'Ultimate Draft Kit'!$B$2:$E$261,4, false)), 0, vlookup($A237,'Ultimate Draft Kit'!$B$2:$E$261, 4, false))</f>
        <v>1</v>
      </c>
      <c r="H237" s="36">
        <f>if(ISNA(vlookup($A237, FantasyPro!$B$2:$E$514,4,false)),0,vlookup($A237,FantasyPro!$B$2:$E$514,4,false))</f>
        <v>1</v>
      </c>
      <c r="I237" s="36">
        <f>if(ISNA(vlookup($A237, FFToolbox!$B$2:$E$618, 4, false)), 0, vlookup($A237, FFToolbox!$B$2:$E$618, 4, false))</f>
        <v>2</v>
      </c>
      <c r="J237" s="37">
        <f t="shared" si="1"/>
        <v>1</v>
      </c>
      <c r="K237" s="37">
        <f t="shared" si="2"/>
        <v>2</v>
      </c>
    </row>
    <row r="238" hidden="1">
      <c r="A238" s="13" t="s">
        <v>290</v>
      </c>
      <c r="B238" s="34" t="s">
        <v>1061</v>
      </c>
      <c r="C238" s="5" t="s">
        <v>92</v>
      </c>
      <c r="D238" s="5" t="s">
        <v>10</v>
      </c>
      <c r="E238" s="35">
        <f>vlookup(C238,'Team Bye List'!$A$1:$B$33,2,False)</f>
        <v>8</v>
      </c>
      <c r="F238" s="36">
        <f>if(ISNA(vlookup($A238, ESPN!$B$2:$E$1010, 4, false)), 0, vlookup($A238, ESPN!$B$2:$E$1010, 4, false))</f>
        <v>0</v>
      </c>
      <c r="G238" s="36">
        <f>if(ISNA(vlookup($A238,'Ultimate Draft Kit'!$B$2:$E$261,4, false)), 0, vlookup($A238,'Ultimate Draft Kit'!$B$2:$E$261, 4, false))</f>
        <v>0</v>
      </c>
      <c r="H238" s="36">
        <f>if(ISNA(vlookup($A238, FantasyPro!$B$2:$E$514,4,false)),0,vlookup($A238,FantasyPro!$B$2:$E$514,4,false))</f>
        <v>0</v>
      </c>
      <c r="I238" s="36">
        <f>if(ISNA(vlookup($A238, FFToolbox!$B$2:$E$618, 4, false)), 0, vlookup($A238, FFToolbox!$B$2:$E$618, 4, false))</f>
        <v>4</v>
      </c>
      <c r="J238" s="37">
        <f t="shared" si="1"/>
        <v>1</v>
      </c>
      <c r="K238" s="37">
        <f t="shared" si="2"/>
        <v>4</v>
      </c>
    </row>
    <row r="239" hidden="1">
      <c r="A239" s="13" t="s">
        <v>291</v>
      </c>
      <c r="B239" s="34" t="s">
        <v>1061</v>
      </c>
      <c r="C239" s="5" t="s">
        <v>92</v>
      </c>
      <c r="D239" s="5" t="s">
        <v>25</v>
      </c>
      <c r="E239" s="35">
        <f>vlookup(C239,'Team Bye List'!$A$1:$B$33,2,False)</f>
        <v>8</v>
      </c>
      <c r="F239" s="36">
        <f>if(ISNA(vlookup($A239, ESPN!$B$2:$E$1010, 4, false)), 0, vlookup($A239, ESPN!$B$2:$E$1010, 4, false))</f>
        <v>0</v>
      </c>
      <c r="G239" s="36">
        <f>if(ISNA(vlookup($A239,'Ultimate Draft Kit'!$B$2:$E$261,4, false)), 0, vlookup($A239,'Ultimate Draft Kit'!$B$2:$E$261, 4, false))</f>
        <v>0</v>
      </c>
      <c r="H239" s="36">
        <f>if(ISNA(vlookup($A239, FantasyPro!$B$2:$E$514,4,false)),0,vlookup($A239,FantasyPro!$B$2:$E$514,4,false))</f>
        <v>0</v>
      </c>
      <c r="I239" s="36">
        <f>if(ISNA(vlookup($A239, FFToolbox!$B$2:$E$618, 4, false)), 0, vlookup($A239, FFToolbox!$B$2:$E$618, 4, false))</f>
        <v>4</v>
      </c>
      <c r="J239" s="37">
        <f t="shared" si="1"/>
        <v>1</v>
      </c>
      <c r="K239" s="37">
        <f t="shared" si="2"/>
        <v>4</v>
      </c>
    </row>
    <row r="240" hidden="1">
      <c r="A240" s="13" t="s">
        <v>936</v>
      </c>
      <c r="B240" s="34" t="s">
        <v>1061</v>
      </c>
      <c r="C240" s="5" t="s">
        <v>86</v>
      </c>
      <c r="D240" s="5" t="s">
        <v>10</v>
      </c>
      <c r="E240" s="35">
        <f>vlookup(C240,'Team Bye List'!$A$1:$B$33,2,False)</f>
        <v>6</v>
      </c>
      <c r="F240" s="36">
        <f>if(ISNA(vlookup($A240, ESPN!$B$2:$E$1010, 4, false)), 0, vlookup($A240, ESPN!$B$2:$E$1010, 4, false))</f>
        <v>0</v>
      </c>
      <c r="G240" s="36">
        <f>if(ISNA(vlookup($A240,'Ultimate Draft Kit'!$B$2:$E$261,4, false)), 0, vlookup($A240,'Ultimate Draft Kit'!$B$2:$E$261, 4, false))</f>
        <v>1</v>
      </c>
      <c r="H240" s="36">
        <f>if(ISNA(vlookup($A240, FantasyPro!$B$2:$E$514,4,false)),0,vlookup($A240,FantasyPro!$B$2:$E$514,4,false))</f>
        <v>0</v>
      </c>
      <c r="I240" s="36">
        <f>if(ISNA(vlookup($A240, FFToolbox!$B$2:$E$618, 4, false)), 0, vlookup($A240, FFToolbox!$B$2:$E$618, 4, false))</f>
        <v>2</v>
      </c>
      <c r="J240" s="37">
        <f t="shared" si="1"/>
        <v>0.75</v>
      </c>
      <c r="K240" s="37">
        <f t="shared" si="2"/>
        <v>2</v>
      </c>
    </row>
    <row r="241" hidden="1">
      <c r="A241" s="13" t="s">
        <v>921</v>
      </c>
      <c r="B241" s="34" t="s">
        <v>1061</v>
      </c>
      <c r="C241" s="5" t="s">
        <v>24</v>
      </c>
      <c r="D241" s="5" t="s">
        <v>10</v>
      </c>
      <c r="E241" s="35">
        <f>vlookup(C241,'Team Bye List'!$A$1:$B$33,2,False)</f>
        <v>6</v>
      </c>
      <c r="F241" s="36">
        <f>if(ISNA(vlookup($A241, ESPN!$B$2:$E$1010, 4, false)), 0, vlookup($A241, ESPN!$B$2:$E$1010, 4, false))</f>
        <v>0</v>
      </c>
      <c r="G241" s="36">
        <f>if(ISNA(vlookup($A241,'Ultimate Draft Kit'!$B$2:$E$261,4, false)), 0, vlookup($A241,'Ultimate Draft Kit'!$B$2:$E$261, 4, false))</f>
        <v>1</v>
      </c>
      <c r="H241" s="36">
        <f>if(ISNA(vlookup($A241, FantasyPro!$B$2:$E$514,4,false)),0,vlookup($A241,FantasyPro!$B$2:$E$514,4,false))</f>
        <v>0</v>
      </c>
      <c r="I241" s="36">
        <f>if(ISNA(vlookup($A241, FFToolbox!$B$2:$E$618, 4, false)), 0, vlookup($A241, FFToolbox!$B$2:$E$618, 4, false))</f>
        <v>2</v>
      </c>
      <c r="J241" s="37">
        <f t="shared" si="1"/>
        <v>0.75</v>
      </c>
      <c r="K241" s="37">
        <f t="shared" si="2"/>
        <v>2</v>
      </c>
    </row>
    <row r="242" hidden="1">
      <c r="A242" s="13" t="s">
        <v>779</v>
      </c>
      <c r="B242" s="34" t="s">
        <v>1061</v>
      </c>
      <c r="C242" s="5" t="s">
        <v>6</v>
      </c>
      <c r="D242" s="5" t="s">
        <v>7</v>
      </c>
      <c r="E242" s="35">
        <f>vlookup(C242,'Team Bye List'!$A$1:$B$33,2,False)</f>
        <v>12</v>
      </c>
      <c r="F242" s="36">
        <f>if(ISNA(vlookup($A242, ESPN!$B$2:$E$1010, 4, false)), 0, vlookup($A242, ESPN!$B$2:$E$1010, 4, false))</f>
        <v>0</v>
      </c>
      <c r="G242" s="36">
        <f>if(ISNA(vlookup($A242,'Ultimate Draft Kit'!$B$2:$E$261,4, false)), 0, vlookup($A242,'Ultimate Draft Kit'!$B$2:$E$261, 4, false))</f>
        <v>1</v>
      </c>
      <c r="H242" s="36">
        <f>if(ISNA(vlookup($A242, FantasyPro!$B$2:$E$514,4,false)),0,vlookup($A242,FantasyPro!$B$2:$E$514,4,false))</f>
        <v>0</v>
      </c>
      <c r="I242" s="36">
        <f>if(ISNA(vlookup($A242, FFToolbox!$B$2:$E$618, 4, false)), 0, vlookup($A242, FFToolbox!$B$2:$E$618, 4, false))</f>
        <v>2</v>
      </c>
      <c r="J242" s="37">
        <f t="shared" si="1"/>
        <v>0.75</v>
      </c>
      <c r="K242" s="37">
        <f t="shared" si="2"/>
        <v>2</v>
      </c>
    </row>
    <row r="243" hidden="1">
      <c r="A243" s="13" t="s">
        <v>769</v>
      </c>
      <c r="B243" s="34" t="s">
        <v>1061</v>
      </c>
      <c r="C243" s="5" t="s">
        <v>92</v>
      </c>
      <c r="D243" s="5" t="s">
        <v>7</v>
      </c>
      <c r="E243" s="35">
        <f>vlookup(C243,'Team Bye List'!$A$1:$B$33,2,False)</f>
        <v>8</v>
      </c>
      <c r="F243" s="36">
        <f>if(ISNA(vlookup($A243, ESPN!$B$2:$E$1010, 4, false)), 0, vlookup($A243, ESPN!$B$2:$E$1010, 4, false))</f>
        <v>0</v>
      </c>
      <c r="G243" s="36">
        <f>if(ISNA(vlookup($A243,'Ultimate Draft Kit'!$B$2:$E$261,4, false)), 0, vlookup($A243,'Ultimate Draft Kit'!$B$2:$E$261, 4, false))</f>
        <v>1</v>
      </c>
      <c r="H243" s="36">
        <f>if(ISNA(vlookup($A243, FantasyPro!$B$2:$E$514,4,false)),0,vlookup($A243,FantasyPro!$B$2:$E$514,4,false))</f>
        <v>0</v>
      </c>
      <c r="I243" s="36">
        <f>if(ISNA(vlookup($A243, FFToolbox!$B$2:$E$618, 4, false)), 0, vlookup($A243, FFToolbox!$B$2:$E$618, 4, false))</f>
        <v>2</v>
      </c>
      <c r="J243" s="37">
        <f t="shared" si="1"/>
        <v>0.75</v>
      </c>
      <c r="K243" s="37">
        <f t="shared" si="2"/>
        <v>2</v>
      </c>
    </row>
    <row r="244" hidden="1">
      <c r="A244" s="13" t="s">
        <v>600</v>
      </c>
      <c r="B244" s="34" t="s">
        <v>1061</v>
      </c>
      <c r="C244" s="5" t="s">
        <v>44</v>
      </c>
      <c r="D244" s="5" t="s">
        <v>7</v>
      </c>
      <c r="E244" s="35">
        <f>vlookup(C244,'Team Bye List'!$A$1:$B$33,2,False)</f>
        <v>10</v>
      </c>
      <c r="F244" s="36">
        <f>if(ISNA(vlookup($A244, ESPN!$B$2:$E$1010, 4, false)), 0, vlookup($A244, ESPN!$B$2:$E$1010, 4, false))</f>
        <v>0</v>
      </c>
      <c r="G244" s="36">
        <f>if(ISNA(vlookup($A244,'Ultimate Draft Kit'!$B$2:$E$261,4, false)), 0, vlookup($A244,'Ultimate Draft Kit'!$B$2:$E$261, 4, false))</f>
        <v>1</v>
      </c>
      <c r="H244" s="36">
        <f>if(ISNA(vlookup($A244, FantasyPro!$B$2:$E$514,4,false)),0,vlookup($A244,FantasyPro!$B$2:$E$514,4,false))</f>
        <v>0</v>
      </c>
      <c r="I244" s="36">
        <f>if(ISNA(vlookup($A244, FFToolbox!$B$2:$E$618, 4, false)), 0, vlookup($A244, FFToolbox!$B$2:$E$618, 4, false))</f>
        <v>2</v>
      </c>
      <c r="J244" s="37">
        <f t="shared" si="1"/>
        <v>0.75</v>
      </c>
      <c r="K244" s="37">
        <f t="shared" si="2"/>
        <v>2</v>
      </c>
    </row>
    <row r="245" hidden="1">
      <c r="A245" s="13" t="s">
        <v>591</v>
      </c>
      <c r="B245" s="34" t="s">
        <v>1059</v>
      </c>
      <c r="C245" s="5" t="s">
        <v>104</v>
      </c>
      <c r="D245" s="5" t="s">
        <v>7</v>
      </c>
      <c r="E245" s="35">
        <f>vlookup(C245,'Team Bye List'!$A$1:$B$33,2,False)</f>
        <v>7</v>
      </c>
      <c r="F245" s="36">
        <f>if(ISNA(vlookup($A245, ESPN!$B$2:$E$1010, 4, false)), 0, vlookup($A245, ESPN!$B$2:$E$1010, 4, false))</f>
        <v>0</v>
      </c>
      <c r="G245" s="36">
        <f>if(ISNA(vlookup($A245,'Ultimate Draft Kit'!$B$2:$E$261,4, false)), 0, vlookup($A245,'Ultimate Draft Kit'!$B$2:$E$261, 4, false))</f>
        <v>1</v>
      </c>
      <c r="H245" s="36">
        <f>if(ISNA(vlookup($A245, FantasyPro!$B$2:$E$514,4,false)),0,vlookup($A245,FantasyPro!$B$2:$E$514,4,false))</f>
        <v>0</v>
      </c>
      <c r="I245" s="36">
        <f>if(ISNA(vlookup($A245, FFToolbox!$B$2:$E$618, 4, false)), 0, vlookup($A245, FFToolbox!$B$2:$E$618, 4, false))</f>
        <v>2</v>
      </c>
      <c r="J245" s="37">
        <f t="shared" si="1"/>
        <v>0.75</v>
      </c>
      <c r="K245" s="37">
        <f t="shared" si="2"/>
        <v>2</v>
      </c>
    </row>
    <row r="246" hidden="1">
      <c r="A246" s="13" t="s">
        <v>591</v>
      </c>
      <c r="B246" s="34" t="s">
        <v>1061</v>
      </c>
      <c r="C246" s="5" t="s">
        <v>27</v>
      </c>
      <c r="D246" s="5" t="s">
        <v>25</v>
      </c>
      <c r="E246" s="35">
        <f>vlookup(C246,'Team Bye List'!$A$1:$B$33,2,False)</f>
        <v>11</v>
      </c>
      <c r="F246" s="36">
        <f>if(ISNA(vlookup($A246, ESPN!$B$2:$E$1010, 4, false)), 0, vlookup($A246, ESPN!$B$2:$E$1010, 4, false))</f>
        <v>0</v>
      </c>
      <c r="G246" s="36">
        <f>if(ISNA(vlookup($A246,'Ultimate Draft Kit'!$B$2:$E$261,4, false)), 0, vlookup($A246,'Ultimate Draft Kit'!$B$2:$E$261, 4, false))</f>
        <v>1</v>
      </c>
      <c r="H246" s="36">
        <f>if(ISNA(vlookup($A246, FantasyPro!$B$2:$E$514,4,false)),0,vlookup($A246,FantasyPro!$B$2:$E$514,4,false))</f>
        <v>0</v>
      </c>
      <c r="I246" s="36">
        <f>if(ISNA(vlookup($A246, FFToolbox!$B$2:$E$618, 4, false)), 0, vlookup($A246, FFToolbox!$B$2:$E$618, 4, false))</f>
        <v>2</v>
      </c>
      <c r="J246" s="37">
        <f t="shared" si="1"/>
        <v>0.75</v>
      </c>
      <c r="K246" s="37">
        <f t="shared" si="2"/>
        <v>2</v>
      </c>
    </row>
    <row r="247" hidden="1">
      <c r="A247" s="13" t="s">
        <v>587</v>
      </c>
      <c r="B247" s="34" t="s">
        <v>1061</v>
      </c>
      <c r="C247" s="5" t="s">
        <v>54</v>
      </c>
      <c r="D247" s="5" t="s">
        <v>25</v>
      </c>
      <c r="E247" s="35">
        <f>vlookup(C247,'Team Bye List'!$A$1:$B$33,2,False)</f>
        <v>9</v>
      </c>
      <c r="F247" s="36">
        <f>if(ISNA(vlookup($A247, ESPN!$B$2:$E$1010, 4, false)), 0, vlookup($A247, ESPN!$B$2:$E$1010, 4, false))</f>
        <v>0</v>
      </c>
      <c r="G247" s="36">
        <f>if(ISNA(vlookup($A247,'Ultimate Draft Kit'!$B$2:$E$261,4, false)), 0, vlookup($A247,'Ultimate Draft Kit'!$B$2:$E$261, 4, false))</f>
        <v>1</v>
      </c>
      <c r="H247" s="36">
        <f>if(ISNA(vlookup($A247, FantasyPro!$B$2:$E$514,4,false)),0,vlookup($A247,FantasyPro!$B$2:$E$514,4,false))</f>
        <v>0</v>
      </c>
      <c r="I247" s="36">
        <f>if(ISNA(vlookup($A247, FFToolbox!$B$2:$E$618, 4, false)), 0, vlookup($A247, FFToolbox!$B$2:$E$618, 4, false))</f>
        <v>2</v>
      </c>
      <c r="J247" s="37">
        <f t="shared" si="1"/>
        <v>0.75</v>
      </c>
      <c r="K247" s="37">
        <f t="shared" si="2"/>
        <v>2</v>
      </c>
    </row>
    <row r="248" hidden="1">
      <c r="A248" s="13" t="s">
        <v>567</v>
      </c>
      <c r="B248" s="34" t="s">
        <v>1061</v>
      </c>
      <c r="C248" s="5" t="s">
        <v>134</v>
      </c>
      <c r="D248" s="5" t="s">
        <v>7</v>
      </c>
      <c r="E248" s="35">
        <f>vlookup(C248,'Team Bye List'!$A$1:$B$33,2,False)</f>
        <v>11</v>
      </c>
      <c r="F248" s="36">
        <f>if(ISNA(vlookup($A248, ESPN!$B$2:$E$1010, 4, false)), 0, vlookup($A248, ESPN!$B$2:$E$1010, 4, false))</f>
        <v>0</v>
      </c>
      <c r="G248" s="36">
        <f>if(ISNA(vlookup($A248,'Ultimate Draft Kit'!$B$2:$E$261,4, false)), 0, vlookup($A248,'Ultimate Draft Kit'!$B$2:$E$261, 4, false))</f>
        <v>1</v>
      </c>
      <c r="H248" s="36">
        <f>if(ISNA(vlookup($A248, FantasyPro!$B$2:$E$514,4,false)),0,vlookup($A248,FantasyPro!$B$2:$E$514,4,false))</f>
        <v>0</v>
      </c>
      <c r="I248" s="36">
        <f>if(ISNA(vlookup($A248, FFToolbox!$B$2:$E$618, 4, false)), 0, vlookup($A248, FFToolbox!$B$2:$E$618, 4, false))</f>
        <v>2</v>
      </c>
      <c r="J248" s="37">
        <f t="shared" si="1"/>
        <v>0.75</v>
      </c>
      <c r="K248" s="37">
        <f t="shared" si="2"/>
        <v>2</v>
      </c>
    </row>
    <row r="249" hidden="1">
      <c r="A249" s="13" t="s">
        <v>547</v>
      </c>
      <c r="B249" s="34" t="s">
        <v>1061</v>
      </c>
      <c r="C249" s="5" t="s">
        <v>12</v>
      </c>
      <c r="D249" s="5" t="s">
        <v>7</v>
      </c>
      <c r="E249" s="35">
        <f>vlookup(C249,'Team Bye List'!$A$1:$B$33,2,False)</f>
        <v>8</v>
      </c>
      <c r="F249" s="36">
        <f>if(ISNA(vlookup($A249, ESPN!$B$2:$E$1010, 4, false)), 0, vlookup($A249, ESPN!$B$2:$E$1010, 4, false))</f>
        <v>0</v>
      </c>
      <c r="G249" s="36">
        <f>if(ISNA(vlookup($A249,'Ultimate Draft Kit'!$B$2:$E$261,4, false)), 0, vlookup($A249,'Ultimate Draft Kit'!$B$2:$E$261, 4, false))</f>
        <v>1</v>
      </c>
      <c r="H249" s="36">
        <f>if(ISNA(vlookup($A249, FantasyPro!$B$2:$E$514,4,false)),0,vlookup($A249,FantasyPro!$B$2:$E$514,4,false))</f>
        <v>0</v>
      </c>
      <c r="I249" s="36">
        <f>if(ISNA(vlookup($A249, FFToolbox!$B$2:$E$618, 4, false)), 0, vlookup($A249, FFToolbox!$B$2:$E$618, 4, false))</f>
        <v>2</v>
      </c>
      <c r="J249" s="37">
        <f t="shared" si="1"/>
        <v>0.75</v>
      </c>
      <c r="K249" s="37">
        <f t="shared" si="2"/>
        <v>2</v>
      </c>
    </row>
    <row r="250" hidden="1">
      <c r="A250" s="13" t="s">
        <v>551</v>
      </c>
      <c r="B250" s="34" t="s">
        <v>1061</v>
      </c>
      <c r="C250" s="5" t="s">
        <v>59</v>
      </c>
      <c r="D250" s="5" t="s">
        <v>7</v>
      </c>
      <c r="E250" s="35">
        <f>vlookup(C250,'Team Bye List'!$A$1:$B$33,2,False)</f>
        <v>8</v>
      </c>
      <c r="F250" s="36">
        <f>if(ISNA(vlookup($A250, ESPN!$B$2:$E$1010, 4, false)), 0, vlookup($A250, ESPN!$B$2:$E$1010, 4, false))</f>
        <v>0</v>
      </c>
      <c r="G250" s="36">
        <f>if(ISNA(vlookup($A250,'Ultimate Draft Kit'!$B$2:$E$261,4, false)), 0, vlookup($A250,'Ultimate Draft Kit'!$B$2:$E$261, 4, false))</f>
        <v>1</v>
      </c>
      <c r="H250" s="36">
        <f>if(ISNA(vlookup($A250, FantasyPro!$B$2:$E$514,4,false)),0,vlookup($A250,FantasyPro!$B$2:$E$514,4,false))</f>
        <v>0</v>
      </c>
      <c r="I250" s="36">
        <f>if(ISNA(vlookup($A250, FFToolbox!$B$2:$E$618, 4, false)), 0, vlookup($A250, FFToolbox!$B$2:$E$618, 4, false))</f>
        <v>2</v>
      </c>
      <c r="J250" s="37">
        <f t="shared" si="1"/>
        <v>0.75</v>
      </c>
      <c r="K250" s="37">
        <f t="shared" si="2"/>
        <v>2</v>
      </c>
    </row>
    <row r="251" hidden="1">
      <c r="A251" s="13" t="s">
        <v>529</v>
      </c>
      <c r="B251" s="34" t="s">
        <v>1061</v>
      </c>
      <c r="C251" s="5" t="s">
        <v>44</v>
      </c>
      <c r="D251" s="5" t="s">
        <v>7</v>
      </c>
      <c r="E251" s="35">
        <f>vlookup(C251,'Team Bye List'!$A$1:$B$33,2,False)</f>
        <v>10</v>
      </c>
      <c r="F251" s="36">
        <f>if(ISNA(vlookup($A251, ESPN!$B$2:$E$1010, 4, false)), 0, vlookup($A251, ESPN!$B$2:$E$1010, 4, false))</f>
        <v>0</v>
      </c>
      <c r="G251" s="36">
        <f>if(ISNA(vlookup($A251,'Ultimate Draft Kit'!$B$2:$E$261,4, false)), 0, vlookup($A251,'Ultimate Draft Kit'!$B$2:$E$261, 4, false))</f>
        <v>1</v>
      </c>
      <c r="H251" s="36">
        <f>if(ISNA(vlookup($A251, FantasyPro!$B$2:$E$514,4,false)),0,vlookup($A251,FantasyPro!$B$2:$E$514,4,false))</f>
        <v>0</v>
      </c>
      <c r="I251" s="36">
        <f>if(ISNA(vlookup($A251, FFToolbox!$B$2:$E$618, 4, false)), 0, vlookup($A251, FFToolbox!$B$2:$E$618, 4, false))</f>
        <v>2</v>
      </c>
      <c r="J251" s="37">
        <f t="shared" si="1"/>
        <v>0.75</v>
      </c>
      <c r="K251" s="37">
        <f t="shared" si="2"/>
        <v>2</v>
      </c>
    </row>
    <row r="252" hidden="1">
      <c r="A252" s="13" t="s">
        <v>528</v>
      </c>
      <c r="B252" s="34" t="s">
        <v>1061</v>
      </c>
      <c r="C252" s="5" t="s">
        <v>18</v>
      </c>
      <c r="D252" s="5" t="s">
        <v>7</v>
      </c>
      <c r="E252" s="35">
        <f>vlookup(C252,'Team Bye List'!$A$1:$B$33,2,False)</f>
        <v>6</v>
      </c>
      <c r="F252" s="36">
        <f>if(ISNA(vlookup($A252, ESPN!$B$2:$E$1010, 4, false)), 0, vlookup($A252, ESPN!$B$2:$E$1010, 4, false))</f>
        <v>0</v>
      </c>
      <c r="G252" s="36">
        <f>if(ISNA(vlookup($A252,'Ultimate Draft Kit'!$B$2:$E$261,4, false)), 0, vlookup($A252,'Ultimate Draft Kit'!$B$2:$E$261, 4, false))</f>
        <v>1</v>
      </c>
      <c r="H252" s="36">
        <f>if(ISNA(vlookup($A252, FantasyPro!$B$2:$E$514,4,false)),0,vlookup($A252,FantasyPro!$B$2:$E$514,4,false))</f>
        <v>0</v>
      </c>
      <c r="I252" s="36">
        <f>if(ISNA(vlookup($A252, FFToolbox!$B$2:$E$618, 4, false)), 0, vlookup($A252, FFToolbox!$B$2:$E$618, 4, false))</f>
        <v>2</v>
      </c>
      <c r="J252" s="37">
        <f t="shared" si="1"/>
        <v>0.75</v>
      </c>
      <c r="K252" s="37">
        <f t="shared" si="2"/>
        <v>2</v>
      </c>
    </row>
    <row r="253" hidden="1">
      <c r="A253" s="13" t="s">
        <v>520</v>
      </c>
      <c r="B253" s="34" t="s">
        <v>1061</v>
      </c>
      <c r="C253" s="5" t="s">
        <v>61</v>
      </c>
      <c r="D253" s="5" t="s">
        <v>7</v>
      </c>
      <c r="E253" s="35">
        <f>vlookup(C253,'Team Bye List'!$A$1:$B$33,2,False)</f>
        <v>9</v>
      </c>
      <c r="F253" s="36">
        <f>if(ISNA(vlookup($A253, ESPN!$B$2:$E$1010, 4, false)), 0, vlookup($A253, ESPN!$B$2:$E$1010, 4, false))</f>
        <v>0</v>
      </c>
      <c r="G253" s="36">
        <f>if(ISNA(vlookup($A253,'Ultimate Draft Kit'!$B$2:$E$261,4, false)), 0, vlookup($A253,'Ultimate Draft Kit'!$B$2:$E$261, 4, false))</f>
        <v>1</v>
      </c>
      <c r="H253" s="36">
        <f>if(ISNA(vlookup($A253, FantasyPro!$B$2:$E$514,4,false)),0,vlookup($A253,FantasyPro!$B$2:$E$514,4,false))</f>
        <v>0</v>
      </c>
      <c r="I253" s="36">
        <f>if(ISNA(vlookup($A253, FFToolbox!$B$2:$E$618, 4, false)), 0, vlookup($A253, FFToolbox!$B$2:$E$618, 4, false))</f>
        <v>2</v>
      </c>
      <c r="J253" s="37">
        <f t="shared" si="1"/>
        <v>0.75</v>
      </c>
      <c r="K253" s="37">
        <f t="shared" si="2"/>
        <v>2</v>
      </c>
    </row>
    <row r="254" hidden="1">
      <c r="A254" s="13" t="s">
        <v>516</v>
      </c>
      <c r="B254" s="34" t="s">
        <v>1061</v>
      </c>
      <c r="C254" s="5" t="s">
        <v>18</v>
      </c>
      <c r="D254" s="5" t="s">
        <v>7</v>
      </c>
      <c r="E254" s="35">
        <f>vlookup(C254,'Team Bye List'!$A$1:$B$33,2,False)</f>
        <v>6</v>
      </c>
      <c r="F254" s="36">
        <f>if(ISNA(vlookup($A254, ESPN!$B$2:$E$1010, 4, false)), 0, vlookup($A254, ESPN!$B$2:$E$1010, 4, false))</f>
        <v>0</v>
      </c>
      <c r="G254" s="36">
        <f>if(ISNA(vlookup($A254,'Ultimate Draft Kit'!$B$2:$E$261,4, false)), 0, vlookup($A254,'Ultimate Draft Kit'!$B$2:$E$261, 4, false))</f>
        <v>1</v>
      </c>
      <c r="H254" s="36">
        <f>if(ISNA(vlookup($A254, FantasyPro!$B$2:$E$514,4,false)),0,vlookup($A254,FantasyPro!$B$2:$E$514,4,false))</f>
        <v>0</v>
      </c>
      <c r="I254" s="36">
        <f>if(ISNA(vlookup($A254, FFToolbox!$B$2:$E$618, 4, false)), 0, vlookup($A254, FFToolbox!$B$2:$E$618, 4, false))</f>
        <v>2</v>
      </c>
      <c r="J254" s="37">
        <f t="shared" si="1"/>
        <v>0.75</v>
      </c>
      <c r="K254" s="37">
        <f t="shared" si="2"/>
        <v>2</v>
      </c>
    </row>
    <row r="255" hidden="1">
      <c r="A255" s="13" t="s">
        <v>514</v>
      </c>
      <c r="B255" s="34" t="s">
        <v>1061</v>
      </c>
      <c r="C255" s="5" t="s">
        <v>1007</v>
      </c>
      <c r="D255" s="5" t="s">
        <v>25</v>
      </c>
      <c r="E255" s="35">
        <f>vlookup(C255,'Team Bye List'!$A$1:$B$33,2,False)</f>
        <v>8</v>
      </c>
      <c r="F255" s="36">
        <f>if(ISNA(vlookup($A255, ESPN!$B$2:$E$1010, 4, false)), 0, vlookup($A255, ESPN!$B$2:$E$1010, 4, false))</f>
        <v>0</v>
      </c>
      <c r="G255" s="36">
        <f>if(ISNA(vlookup($A255,'Ultimate Draft Kit'!$B$2:$E$261,4, false)), 0, vlookup($A255,'Ultimate Draft Kit'!$B$2:$E$261, 4, false))</f>
        <v>1</v>
      </c>
      <c r="H255" s="36">
        <f>if(ISNA(vlookup($A255, FantasyPro!$B$2:$E$514,4,false)),0,vlookup($A255,FantasyPro!$B$2:$E$514,4,false))</f>
        <v>0</v>
      </c>
      <c r="I255" s="36">
        <f>if(ISNA(vlookup($A255, FFToolbox!$B$2:$E$618, 4, false)), 0, vlookup($A255, FFToolbox!$B$2:$E$618, 4, false))</f>
        <v>2</v>
      </c>
      <c r="J255" s="37">
        <f t="shared" si="1"/>
        <v>0.75</v>
      </c>
      <c r="K255" s="37">
        <f t="shared" si="2"/>
        <v>2</v>
      </c>
    </row>
    <row r="256" hidden="1">
      <c r="A256" s="13" t="s">
        <v>425</v>
      </c>
      <c r="B256" s="34" t="s">
        <v>1061</v>
      </c>
      <c r="C256" s="5" t="s">
        <v>59</v>
      </c>
      <c r="D256" s="5" t="s">
        <v>7</v>
      </c>
      <c r="E256" s="35">
        <f>vlookup(C256,'Team Bye List'!$A$1:$B$33,2,False)</f>
        <v>8</v>
      </c>
      <c r="F256" s="36">
        <f>if(ISNA(vlookup($A256, ESPN!$B$2:$E$1010, 4, false)), 0, vlookup($A256, ESPN!$B$2:$E$1010, 4, false))</f>
        <v>0</v>
      </c>
      <c r="G256" s="36">
        <f>if(ISNA(vlookup($A256,'Ultimate Draft Kit'!$B$2:$E$261,4, false)), 0, vlookup($A256,'Ultimate Draft Kit'!$B$2:$E$261, 4, false))</f>
        <v>1</v>
      </c>
      <c r="H256" s="36">
        <f>if(ISNA(vlookup($A256, FantasyPro!$B$2:$E$514,4,false)),0,vlookup($A256,FantasyPro!$B$2:$E$514,4,false))</f>
        <v>0</v>
      </c>
      <c r="I256" s="36">
        <f>if(ISNA(vlookup($A256, FFToolbox!$B$2:$E$618, 4, false)), 0, vlookup($A256, FFToolbox!$B$2:$E$618, 4, false))</f>
        <v>2</v>
      </c>
      <c r="J256" s="37">
        <f t="shared" si="1"/>
        <v>0.75</v>
      </c>
      <c r="K256" s="37">
        <f t="shared" si="2"/>
        <v>2</v>
      </c>
    </row>
    <row r="257" hidden="1">
      <c r="A257" s="13" t="s">
        <v>360</v>
      </c>
      <c r="B257" s="34" t="s">
        <v>1061</v>
      </c>
      <c r="C257" s="5" t="s">
        <v>12</v>
      </c>
      <c r="D257" s="5" t="s">
        <v>25</v>
      </c>
      <c r="E257" s="35">
        <f>vlookup(C257,'Team Bye List'!$A$1:$B$33,2,False)</f>
        <v>8</v>
      </c>
      <c r="F257" s="36">
        <f>if(ISNA(vlookup($A257, ESPN!$B$2:$E$1010, 4, false)), 0, vlookup($A257, ESPN!$B$2:$E$1010, 4, false))</f>
        <v>0</v>
      </c>
      <c r="G257" s="36">
        <f>if(ISNA(vlookup($A257,'Ultimate Draft Kit'!$B$2:$E$261,4, false)), 0, vlookup($A257,'Ultimate Draft Kit'!$B$2:$E$261, 4, false))</f>
        <v>1</v>
      </c>
      <c r="H257" s="36">
        <f>if(ISNA(vlookup($A257, FantasyPro!$B$2:$E$514,4,false)),0,vlookup($A257,FantasyPro!$B$2:$E$514,4,false))</f>
        <v>0</v>
      </c>
      <c r="I257" s="36">
        <f>if(ISNA(vlookup($A257, FFToolbox!$B$2:$E$618, 4, false)), 0, vlookup($A257, FFToolbox!$B$2:$E$618, 4, false))</f>
        <v>2</v>
      </c>
      <c r="J257" s="37">
        <f t="shared" si="1"/>
        <v>0.75</v>
      </c>
      <c r="K257" s="37">
        <f t="shared" si="2"/>
        <v>2</v>
      </c>
    </row>
    <row r="258" hidden="1">
      <c r="A258" s="13" t="s">
        <v>343</v>
      </c>
      <c r="B258" s="34" t="s">
        <v>1061</v>
      </c>
      <c r="C258" s="5" t="s">
        <v>20</v>
      </c>
      <c r="D258" s="5" t="s">
        <v>25</v>
      </c>
      <c r="E258" s="35">
        <f>vlookup(C258,'Team Bye List'!$A$1:$B$33,2,False)</f>
        <v>8</v>
      </c>
      <c r="F258" s="36">
        <f>if(ISNA(vlookup($A258, ESPN!$B$2:$E$1010, 4, false)), 0, vlookup($A258, ESPN!$B$2:$E$1010, 4, false))</f>
        <v>0</v>
      </c>
      <c r="G258" s="36">
        <f>if(ISNA(vlookup($A258,'Ultimate Draft Kit'!$B$2:$E$261,4, false)), 0, vlookup($A258,'Ultimate Draft Kit'!$B$2:$E$261, 4, false))</f>
        <v>1</v>
      </c>
      <c r="H258" s="36">
        <f>if(ISNA(vlookup($A258, FantasyPro!$B$2:$E$514,4,false)),0,vlookup($A258,FantasyPro!$B$2:$E$514,4,false))</f>
        <v>0</v>
      </c>
      <c r="I258" s="36">
        <f>if(ISNA(vlookup($A258, FFToolbox!$B$2:$E$618, 4, false)), 0, vlookup($A258, FFToolbox!$B$2:$E$618, 4, false))</f>
        <v>2</v>
      </c>
      <c r="J258" s="37">
        <f t="shared" si="1"/>
        <v>0.75</v>
      </c>
      <c r="K258" s="37">
        <f t="shared" si="2"/>
        <v>2</v>
      </c>
    </row>
    <row r="259" hidden="1">
      <c r="A259" s="13" t="s">
        <v>337</v>
      </c>
      <c r="B259" s="34" t="s">
        <v>1061</v>
      </c>
      <c r="C259" s="5" t="s">
        <v>34</v>
      </c>
      <c r="D259" s="5" t="s">
        <v>25</v>
      </c>
      <c r="E259" s="35">
        <f>vlookup(C259,'Team Bye List'!$A$1:$B$33,2,False)</f>
        <v>7</v>
      </c>
      <c r="F259" s="36">
        <f>if(ISNA(vlookup($A259, ESPN!$B$2:$E$1010, 4, false)), 0, vlookup($A259, ESPN!$B$2:$E$1010, 4, false))</f>
        <v>0</v>
      </c>
      <c r="G259" s="36">
        <f>if(ISNA(vlookup($A259,'Ultimate Draft Kit'!$B$2:$E$261,4, false)), 0, vlookup($A259,'Ultimate Draft Kit'!$B$2:$E$261, 4, false))</f>
        <v>1</v>
      </c>
      <c r="H259" s="36">
        <f>if(ISNA(vlookup($A259, FantasyPro!$B$2:$E$514,4,false)),0,vlookup($A259,FantasyPro!$B$2:$E$514,4,false))</f>
        <v>0</v>
      </c>
      <c r="I259" s="36">
        <f>if(ISNA(vlookup($A259, FFToolbox!$B$2:$E$618, 4, false)), 0, vlookup($A259, FFToolbox!$B$2:$E$618, 4, false))</f>
        <v>2</v>
      </c>
      <c r="J259" s="37">
        <f t="shared" si="1"/>
        <v>0.75</v>
      </c>
      <c r="K259" s="37">
        <f t="shared" si="2"/>
        <v>2</v>
      </c>
    </row>
    <row r="260" hidden="1">
      <c r="A260" s="13" t="s">
        <v>339</v>
      </c>
      <c r="B260" s="34" t="s">
        <v>1061</v>
      </c>
      <c r="C260" s="5" t="s">
        <v>77</v>
      </c>
      <c r="D260" s="5" t="s">
        <v>16</v>
      </c>
      <c r="E260" s="35">
        <f>vlookup(C260,'Team Bye List'!$A$1:$B$33,2,False)</f>
        <v>11</v>
      </c>
      <c r="F260" s="36">
        <f>if(ISNA(vlookup($A260, ESPN!$B$2:$E$1010, 4, false)), 0, vlookup($A260, ESPN!$B$2:$E$1010, 4, false))</f>
        <v>0</v>
      </c>
      <c r="G260" s="36">
        <f>if(ISNA(vlookup($A260,'Ultimate Draft Kit'!$B$2:$E$261,4, false)), 0, vlookup($A260,'Ultimate Draft Kit'!$B$2:$E$261, 4, false))</f>
        <v>1</v>
      </c>
      <c r="H260" s="36">
        <f>if(ISNA(vlookup($A260, FantasyPro!$B$2:$E$514,4,false)),0,vlookup($A260,FantasyPro!$B$2:$E$514,4,false))</f>
        <v>0</v>
      </c>
      <c r="I260" s="36">
        <f>if(ISNA(vlookup($A260, FFToolbox!$B$2:$E$618, 4, false)), 0, vlookup($A260, FFToolbox!$B$2:$E$618, 4, false))</f>
        <v>2</v>
      </c>
      <c r="J260" s="37">
        <f t="shared" si="1"/>
        <v>0.75</v>
      </c>
      <c r="K260" s="37">
        <f t="shared" si="2"/>
        <v>2</v>
      </c>
    </row>
    <row r="261" hidden="1">
      <c r="A261" s="13" t="s">
        <v>327</v>
      </c>
      <c r="B261" s="34" t="s">
        <v>1061</v>
      </c>
      <c r="C261" s="5" t="s">
        <v>74</v>
      </c>
      <c r="D261" s="5" t="s">
        <v>16</v>
      </c>
      <c r="E261" s="35">
        <f>vlookup(C261,'Team Bye List'!$A$1:$B$33,2,False)</f>
        <v>7</v>
      </c>
      <c r="F261" s="36">
        <f>if(ISNA(vlookup($A261, ESPN!$B$2:$E$1010, 4, false)), 0, vlookup($A261, ESPN!$B$2:$E$1010, 4, false))</f>
        <v>0</v>
      </c>
      <c r="G261" s="36">
        <f>if(ISNA(vlookup($A261,'Ultimate Draft Kit'!$B$2:$E$261,4, false)), 0, vlookup($A261,'Ultimate Draft Kit'!$B$2:$E$261, 4, false))</f>
        <v>1</v>
      </c>
      <c r="H261" s="36">
        <f>if(ISNA(vlookup($A261, FantasyPro!$B$2:$E$514,4,false)),0,vlookup($A261,FantasyPro!$B$2:$E$514,4,false))</f>
        <v>0</v>
      </c>
      <c r="I261" s="36">
        <f>if(ISNA(vlookup($A261, FFToolbox!$B$2:$E$618, 4, false)), 0, vlookup($A261, FFToolbox!$B$2:$E$618, 4, false))</f>
        <v>2</v>
      </c>
      <c r="J261" s="37">
        <f t="shared" si="1"/>
        <v>0.75</v>
      </c>
      <c r="K261" s="37">
        <f t="shared" si="2"/>
        <v>2</v>
      </c>
    </row>
    <row r="262" hidden="1">
      <c r="A262" s="13" t="s">
        <v>318</v>
      </c>
      <c r="B262" s="34" t="s">
        <v>1059</v>
      </c>
      <c r="C262" s="5" t="s">
        <v>54</v>
      </c>
      <c r="D262" s="5" t="s">
        <v>16</v>
      </c>
      <c r="E262" s="35">
        <f>vlookup(C262,'Team Bye List'!$A$1:$B$33,2,False)</f>
        <v>9</v>
      </c>
      <c r="F262" s="36">
        <f>if(ISNA(vlookup($A262, ESPN!$B$2:$E$1010, 4, false)), 0, vlookup($A262, ESPN!$B$2:$E$1010, 4, false))</f>
        <v>0</v>
      </c>
      <c r="G262" s="36">
        <f>if(ISNA(vlookup($A262,'Ultimate Draft Kit'!$B$2:$E$261,4, false)), 0, vlookup($A262,'Ultimate Draft Kit'!$B$2:$E$261, 4, false))</f>
        <v>1</v>
      </c>
      <c r="H262" s="36">
        <f>if(ISNA(vlookup($A262, FantasyPro!$B$2:$E$514,4,false)),0,vlookup($A262,FantasyPro!$B$2:$E$514,4,false))</f>
        <v>0</v>
      </c>
      <c r="I262" s="36">
        <f>if(ISNA(vlookup($A262, FFToolbox!$B$2:$E$618, 4, false)), 0, vlookup($A262, FFToolbox!$B$2:$E$618, 4, false))</f>
        <v>2</v>
      </c>
      <c r="J262" s="37">
        <f t="shared" si="1"/>
        <v>0.75</v>
      </c>
      <c r="K262" s="37">
        <f t="shared" si="2"/>
        <v>2</v>
      </c>
    </row>
    <row r="263" hidden="1">
      <c r="A263" s="13" t="s">
        <v>313</v>
      </c>
      <c r="B263" s="34" t="s">
        <v>1061</v>
      </c>
      <c r="C263" s="5" t="s">
        <v>69</v>
      </c>
      <c r="D263" s="5" t="s">
        <v>25</v>
      </c>
      <c r="E263" s="35">
        <f>vlookup(C263,'Team Bye List'!$A$1:$B$33,2,False)</f>
        <v>5</v>
      </c>
      <c r="F263" s="36">
        <f>if(ISNA(vlookup($A263, ESPN!$B$2:$E$1010, 4, false)), 0, vlookup($A263, ESPN!$B$2:$E$1010, 4, false))</f>
        <v>0</v>
      </c>
      <c r="G263" s="36">
        <f>if(ISNA(vlookup($A263,'Ultimate Draft Kit'!$B$2:$E$261,4, false)), 0, vlookup($A263,'Ultimate Draft Kit'!$B$2:$E$261, 4, false))</f>
        <v>1</v>
      </c>
      <c r="H263" s="36">
        <f>if(ISNA(vlookup($A263, FantasyPro!$B$2:$E$514,4,false)),0,vlookup($A263,FantasyPro!$B$2:$E$514,4,false))</f>
        <v>0</v>
      </c>
      <c r="I263" s="36">
        <f>if(ISNA(vlookup($A263, FFToolbox!$B$2:$E$618, 4, false)), 0, vlookup($A263, FFToolbox!$B$2:$E$618, 4, false))</f>
        <v>2</v>
      </c>
      <c r="J263" s="37">
        <f t="shared" si="1"/>
        <v>0.75</v>
      </c>
      <c r="K263" s="37">
        <f t="shared" si="2"/>
        <v>2</v>
      </c>
    </row>
    <row r="264" hidden="1">
      <c r="A264" s="13" t="s">
        <v>311</v>
      </c>
      <c r="B264" s="34" t="s">
        <v>1059</v>
      </c>
      <c r="C264" s="5" t="s">
        <v>18</v>
      </c>
      <c r="D264" s="5" t="s">
        <v>25</v>
      </c>
      <c r="E264" s="35">
        <f>vlookup(C264,'Team Bye List'!$A$1:$B$33,2,False)</f>
        <v>6</v>
      </c>
      <c r="F264" s="36">
        <f>if(ISNA(vlookup($A264, ESPN!$B$2:$E$1010, 4, false)), 0, vlookup($A264, ESPN!$B$2:$E$1010, 4, false))</f>
        <v>0</v>
      </c>
      <c r="G264" s="36">
        <f>if(ISNA(vlookup($A264,'Ultimate Draft Kit'!$B$2:$E$261,4, false)), 0, vlookup($A264,'Ultimate Draft Kit'!$B$2:$E$261, 4, false))</f>
        <v>1</v>
      </c>
      <c r="H264" s="36">
        <f>if(ISNA(vlookup($A264, FantasyPro!$B$2:$E$514,4,false)),0,vlookup($A264,FantasyPro!$B$2:$E$514,4,false))</f>
        <v>0</v>
      </c>
      <c r="I264" s="36">
        <f>if(ISNA(vlookup($A264, FFToolbox!$B$2:$E$618, 4, false)), 0, vlookup($A264, FFToolbox!$B$2:$E$618, 4, false))</f>
        <v>2</v>
      </c>
      <c r="J264" s="37">
        <f t="shared" si="1"/>
        <v>0.75</v>
      </c>
      <c r="K264" s="37">
        <f t="shared" si="2"/>
        <v>2</v>
      </c>
    </row>
    <row r="265" hidden="1">
      <c r="A265" s="13" t="s">
        <v>306</v>
      </c>
      <c r="B265" s="34" t="s">
        <v>1061</v>
      </c>
      <c r="C265" s="5" t="s">
        <v>104</v>
      </c>
      <c r="D265" s="5" t="s">
        <v>25</v>
      </c>
      <c r="E265" s="35">
        <f>vlookup(C265,'Team Bye List'!$A$1:$B$33,2,False)</f>
        <v>7</v>
      </c>
      <c r="F265" s="36">
        <f>if(ISNA(vlookup($A265, ESPN!$B$2:$E$1010, 4, false)), 0, vlookup($A265, ESPN!$B$2:$E$1010, 4, false))</f>
        <v>0</v>
      </c>
      <c r="G265" s="36">
        <f>if(ISNA(vlookup($A265,'Ultimate Draft Kit'!$B$2:$E$261,4, false)), 0, vlookup($A265,'Ultimate Draft Kit'!$B$2:$E$261, 4, false))</f>
        <v>1</v>
      </c>
      <c r="H265" s="36">
        <f>if(ISNA(vlookup($A265, FantasyPro!$B$2:$E$514,4,false)),0,vlookup($A265,FantasyPro!$B$2:$E$514,4,false))</f>
        <v>0</v>
      </c>
      <c r="I265" s="36">
        <f>if(ISNA(vlookup($A265, FFToolbox!$B$2:$E$618, 4, false)), 0, vlookup($A265, FFToolbox!$B$2:$E$618, 4, false))</f>
        <v>2</v>
      </c>
      <c r="J265" s="37">
        <f t="shared" si="1"/>
        <v>0.75</v>
      </c>
      <c r="K265" s="37">
        <f t="shared" si="2"/>
        <v>2</v>
      </c>
    </row>
    <row r="266" hidden="1">
      <c r="A266" s="13" t="s">
        <v>179</v>
      </c>
      <c r="B266" s="34" t="s">
        <v>1059</v>
      </c>
      <c r="C266" s="5" t="s">
        <v>12</v>
      </c>
      <c r="D266" s="5" t="s">
        <v>166</v>
      </c>
      <c r="E266" s="35">
        <f>vlookup(C266,'Team Bye List'!$A$1:$B$33,2,False)</f>
        <v>8</v>
      </c>
      <c r="F266" s="36">
        <f>if(ISNA(vlookup($A266, ESPN!$B$2:$E$1010, 4, false)), 0, vlookup($A266, ESPN!$B$2:$E$1010, 4, false))</f>
        <v>1</v>
      </c>
      <c r="G266" s="36">
        <f>if(ISNA(vlookup($A266,'Ultimate Draft Kit'!$B$2:$E$261,4, false)), 0, vlookup($A266,'Ultimate Draft Kit'!$B$2:$E$261, 4, false))</f>
        <v>0</v>
      </c>
      <c r="H266" s="36">
        <f>if(ISNA(vlookup($A266, FantasyPro!$B$2:$E$514,4,false)),0,vlookup($A266,FantasyPro!$B$2:$E$514,4,false))</f>
        <v>1</v>
      </c>
      <c r="I266" s="36">
        <f>if(ISNA(vlookup($A266, FFToolbox!$B$2:$E$618, 4, false)), 0, vlookup($A266, FFToolbox!$B$2:$E$618, 4, false))</f>
        <v>0</v>
      </c>
      <c r="J266" s="37">
        <f t="shared" si="1"/>
        <v>0.5</v>
      </c>
      <c r="K266" s="37">
        <f t="shared" si="2"/>
        <v>1</v>
      </c>
    </row>
    <row r="267" hidden="1">
      <c r="A267" s="13" t="s">
        <v>165</v>
      </c>
      <c r="B267" s="34" t="s">
        <v>1059</v>
      </c>
      <c r="C267" s="5" t="s">
        <v>48</v>
      </c>
      <c r="D267" s="5" t="s">
        <v>166</v>
      </c>
      <c r="E267" s="35">
        <f>vlookup(C267,'Team Bye List'!$A$1:$B$33,2,False)</f>
        <v>11</v>
      </c>
      <c r="F267" s="36">
        <f>if(ISNA(vlookup($A267, ESPN!$B$2:$E$1010, 4, false)), 0, vlookup($A267, ESPN!$B$2:$E$1010, 4, false))</f>
        <v>1</v>
      </c>
      <c r="G267" s="36">
        <f>if(ISNA(vlookup($A267,'Ultimate Draft Kit'!$B$2:$E$261,4, false)), 0, vlookup($A267,'Ultimate Draft Kit'!$B$2:$E$261, 4, false))</f>
        <v>0</v>
      </c>
      <c r="H267" s="36">
        <f>if(ISNA(vlookup($A267, FantasyPro!$B$2:$E$514,4,false)),0,vlookup($A267,FantasyPro!$B$2:$E$514,4,false))</f>
        <v>1</v>
      </c>
      <c r="I267" s="36">
        <f>if(ISNA(vlookup($A267, FFToolbox!$B$2:$E$618, 4, false)), 0, vlookup($A267, FFToolbox!$B$2:$E$618, 4, false))</f>
        <v>0</v>
      </c>
      <c r="J267" s="37">
        <f t="shared" si="1"/>
        <v>0.5</v>
      </c>
      <c r="K267" s="37">
        <f t="shared" si="2"/>
        <v>1</v>
      </c>
    </row>
    <row r="268" hidden="1">
      <c r="A268" s="13" t="s">
        <v>213</v>
      </c>
      <c r="B268" s="34" t="s">
        <v>1059</v>
      </c>
      <c r="C268" s="5" t="s">
        <v>77</v>
      </c>
      <c r="D268" s="5" t="s">
        <v>166</v>
      </c>
      <c r="E268" s="35">
        <f>vlookup(C268,'Team Bye List'!$A$1:$B$33,2,False)</f>
        <v>11</v>
      </c>
      <c r="F268" s="36">
        <f>if(ISNA(vlookup($A268, ESPN!$B$2:$E$1010, 4, false)), 0, vlookup($A268, ESPN!$B$2:$E$1010, 4, false))</f>
        <v>1</v>
      </c>
      <c r="G268" s="36">
        <f>if(ISNA(vlookup($A268,'Ultimate Draft Kit'!$B$2:$E$261,4, false)), 0, vlookup($A268,'Ultimate Draft Kit'!$B$2:$E$261, 4, false))</f>
        <v>0</v>
      </c>
      <c r="H268" s="36">
        <f>if(ISNA(vlookup($A268, FantasyPro!$B$2:$E$514,4,false)),0,vlookup($A268,FantasyPro!$B$2:$E$514,4,false))</f>
        <v>1</v>
      </c>
      <c r="I268" s="36">
        <f>if(ISNA(vlookup($A268, FFToolbox!$B$2:$E$618, 4, false)), 0, vlookup($A268, FFToolbox!$B$2:$E$618, 4, false))</f>
        <v>0</v>
      </c>
      <c r="J268" s="37">
        <f t="shared" si="1"/>
        <v>0.5</v>
      </c>
      <c r="K268" s="37">
        <f t="shared" si="2"/>
        <v>1</v>
      </c>
    </row>
    <row r="269" hidden="1">
      <c r="A269" s="13" t="s">
        <v>217</v>
      </c>
      <c r="B269" s="34" t="s">
        <v>1061</v>
      </c>
      <c r="C269" s="5" t="s">
        <v>9</v>
      </c>
      <c r="D269" s="5" t="s">
        <v>166</v>
      </c>
      <c r="E269" s="35">
        <f>vlookup(C269,'Team Bye List'!$A$1:$B$33,2,False)</f>
        <v>10</v>
      </c>
      <c r="F269" s="36">
        <f>if(ISNA(vlookup($A269, ESPN!$B$2:$E$1010, 4, false)), 0, vlookup($A269, ESPN!$B$2:$E$1010, 4, false))</f>
        <v>1</v>
      </c>
      <c r="G269" s="36">
        <f>if(ISNA(vlookup($A269,'Ultimate Draft Kit'!$B$2:$E$261,4, false)), 0, vlookup($A269,'Ultimate Draft Kit'!$B$2:$E$261, 4, false))</f>
        <v>0</v>
      </c>
      <c r="H269" s="36">
        <f>if(ISNA(vlookup($A269, FantasyPro!$B$2:$E$514,4,false)),0,vlookup($A269,FantasyPro!$B$2:$E$514,4,false))</f>
        <v>1</v>
      </c>
      <c r="I269" s="36">
        <f>if(ISNA(vlookup($A269, FFToolbox!$B$2:$E$618, 4, false)), 0, vlookup($A269, FFToolbox!$B$2:$E$618, 4, false))</f>
        <v>0</v>
      </c>
      <c r="J269" s="37">
        <f t="shared" si="1"/>
        <v>0.5</v>
      </c>
      <c r="K269" s="37">
        <f t="shared" si="2"/>
        <v>1</v>
      </c>
    </row>
    <row r="270" hidden="1">
      <c r="A270" s="13" t="s">
        <v>210</v>
      </c>
      <c r="B270" s="34" t="s">
        <v>1059</v>
      </c>
      <c r="C270" s="5" t="s">
        <v>22</v>
      </c>
      <c r="D270" s="5" t="s">
        <v>166</v>
      </c>
      <c r="E270" s="35">
        <f>vlookup(C270,'Team Bye List'!$A$1:$B$33,2,False)</f>
        <v>7</v>
      </c>
      <c r="F270" s="36">
        <f>if(ISNA(vlookup($A270, ESPN!$B$2:$E$1010, 4, false)), 0, vlookup($A270, ESPN!$B$2:$E$1010, 4, false))</f>
        <v>1</v>
      </c>
      <c r="G270" s="36">
        <f>if(ISNA(vlookup($A270,'Ultimate Draft Kit'!$B$2:$E$261,4, false)), 0, vlookup($A270,'Ultimate Draft Kit'!$B$2:$E$261, 4, false))</f>
        <v>0</v>
      </c>
      <c r="H270" s="36">
        <f>if(ISNA(vlookup($A270, FantasyPro!$B$2:$E$514,4,false)),0,vlookup($A270,FantasyPro!$B$2:$E$514,4,false))</f>
        <v>1</v>
      </c>
      <c r="I270" s="36">
        <f>if(ISNA(vlookup($A270, FFToolbox!$B$2:$E$618, 4, false)), 0, vlookup($A270, FFToolbox!$B$2:$E$618, 4, false))</f>
        <v>0</v>
      </c>
      <c r="J270" s="37">
        <f t="shared" si="1"/>
        <v>0.5</v>
      </c>
      <c r="K270" s="37">
        <f t="shared" si="2"/>
        <v>1</v>
      </c>
    </row>
    <row r="271" hidden="1">
      <c r="A271" s="13" t="s">
        <v>175</v>
      </c>
      <c r="B271" s="34" t="s">
        <v>1059</v>
      </c>
      <c r="C271" s="5" t="s">
        <v>86</v>
      </c>
      <c r="D271" s="5" t="s">
        <v>166</v>
      </c>
      <c r="E271" s="35">
        <f>vlookup(C271,'Team Bye List'!$A$1:$B$33,2,False)</f>
        <v>6</v>
      </c>
      <c r="F271" s="36">
        <f>if(ISNA(vlookup($A271, ESPN!$B$2:$E$1010, 4, false)), 0, vlookup($A271, ESPN!$B$2:$E$1010, 4, false))</f>
        <v>1</v>
      </c>
      <c r="G271" s="36">
        <f>if(ISNA(vlookup($A271,'Ultimate Draft Kit'!$B$2:$E$261,4, false)), 0, vlookup($A271,'Ultimate Draft Kit'!$B$2:$E$261, 4, false))</f>
        <v>0</v>
      </c>
      <c r="H271" s="36">
        <f>if(ISNA(vlookup($A271, FantasyPro!$B$2:$E$514,4,false)),0,vlookup($A271,FantasyPro!$B$2:$E$514,4,false))</f>
        <v>1</v>
      </c>
      <c r="I271" s="36">
        <f>if(ISNA(vlookup($A271, FFToolbox!$B$2:$E$618, 4, false)), 0, vlookup($A271, FFToolbox!$B$2:$E$618, 4, false))</f>
        <v>0</v>
      </c>
      <c r="J271" s="37">
        <f t="shared" si="1"/>
        <v>0.5</v>
      </c>
      <c r="K271" s="37">
        <f t="shared" si="2"/>
        <v>1</v>
      </c>
    </row>
    <row r="272" hidden="1">
      <c r="A272" s="13" t="s">
        <v>226</v>
      </c>
      <c r="B272" s="34" t="s">
        <v>1059</v>
      </c>
      <c r="C272" s="5" t="s">
        <v>24</v>
      </c>
      <c r="D272" s="5" t="s">
        <v>166</v>
      </c>
      <c r="E272" s="35">
        <f>vlookup(C272,'Team Bye List'!$A$1:$B$33,2,False)</f>
        <v>6</v>
      </c>
      <c r="F272" s="36">
        <f>if(ISNA(vlookup($A272, ESPN!$B$2:$E$1010, 4, false)), 0, vlookup($A272, ESPN!$B$2:$E$1010, 4, false))</f>
        <v>1</v>
      </c>
      <c r="G272" s="36">
        <f>if(ISNA(vlookup($A272,'Ultimate Draft Kit'!$B$2:$E$261,4, false)), 0, vlookup($A272,'Ultimate Draft Kit'!$B$2:$E$261, 4, false))</f>
        <v>0</v>
      </c>
      <c r="H272" s="36">
        <f>if(ISNA(vlookup($A272, FantasyPro!$B$2:$E$514,4,false)),0,vlookup($A272,FantasyPro!$B$2:$E$514,4,false))</f>
        <v>1</v>
      </c>
      <c r="I272" s="36">
        <f>if(ISNA(vlookup($A272, FFToolbox!$B$2:$E$618, 4, false)), 0, vlookup($A272, FFToolbox!$B$2:$E$618, 4, false))</f>
        <v>0</v>
      </c>
      <c r="J272" s="37">
        <f t="shared" si="1"/>
        <v>0.5</v>
      </c>
      <c r="K272" s="37">
        <f t="shared" si="2"/>
        <v>1</v>
      </c>
    </row>
    <row r="273" hidden="1">
      <c r="A273" s="13" t="s">
        <v>171</v>
      </c>
      <c r="B273" s="34" t="s">
        <v>1059</v>
      </c>
      <c r="C273" s="5" t="s">
        <v>59</v>
      </c>
      <c r="D273" s="5" t="s">
        <v>166</v>
      </c>
      <c r="E273" s="35">
        <f>vlookup(C273,'Team Bye List'!$A$1:$B$33,2,False)</f>
        <v>8</v>
      </c>
      <c r="F273" s="36">
        <f>if(ISNA(vlookup($A273, ESPN!$B$2:$E$1010, 4, false)), 0, vlookup($A273, ESPN!$B$2:$E$1010, 4, false))</f>
        <v>1</v>
      </c>
      <c r="G273" s="36">
        <f>if(ISNA(vlookup($A273,'Ultimate Draft Kit'!$B$2:$E$261,4, false)), 0, vlookup($A273,'Ultimate Draft Kit'!$B$2:$E$261, 4, false))</f>
        <v>0</v>
      </c>
      <c r="H273" s="36">
        <f>if(ISNA(vlookup($A273, FantasyPro!$B$2:$E$514,4,false)),0,vlookup($A273,FantasyPro!$B$2:$E$514,4,false))</f>
        <v>1</v>
      </c>
      <c r="I273" s="36">
        <f>if(ISNA(vlookup($A273, FFToolbox!$B$2:$E$618, 4, false)), 0, vlookup($A273, FFToolbox!$B$2:$E$618, 4, false))</f>
        <v>0</v>
      </c>
      <c r="J273" s="37">
        <f t="shared" si="1"/>
        <v>0.5</v>
      </c>
      <c r="K273" s="37">
        <f t="shared" si="2"/>
        <v>1</v>
      </c>
    </row>
    <row r="274" hidden="1">
      <c r="A274" s="13" t="s">
        <v>174</v>
      </c>
      <c r="B274" s="34" t="s">
        <v>1059</v>
      </c>
      <c r="C274" s="5" t="s">
        <v>27</v>
      </c>
      <c r="D274" s="5" t="s">
        <v>166</v>
      </c>
      <c r="E274" s="35">
        <f>vlookup(C274,'Team Bye List'!$A$1:$B$33,2,False)</f>
        <v>11</v>
      </c>
      <c r="F274" s="36">
        <f>if(ISNA(vlookup($A274, ESPN!$B$2:$E$1010, 4, false)), 0, vlookup($A274, ESPN!$B$2:$E$1010, 4, false))</f>
        <v>1</v>
      </c>
      <c r="G274" s="36">
        <f>if(ISNA(vlookup($A274,'Ultimate Draft Kit'!$B$2:$E$261,4, false)), 0, vlookup($A274,'Ultimate Draft Kit'!$B$2:$E$261, 4, false))</f>
        <v>0</v>
      </c>
      <c r="H274" s="36">
        <f>if(ISNA(vlookup($A274, FantasyPro!$B$2:$E$514,4,false)),0,vlookup($A274,FantasyPro!$B$2:$E$514,4,false))</f>
        <v>1</v>
      </c>
      <c r="I274" s="36">
        <f>if(ISNA(vlookup($A274, FFToolbox!$B$2:$E$618, 4, false)), 0, vlookup($A274, FFToolbox!$B$2:$E$618, 4, false))</f>
        <v>0</v>
      </c>
      <c r="J274" s="37">
        <f t="shared" si="1"/>
        <v>0.5</v>
      </c>
      <c r="K274" s="37">
        <f t="shared" si="2"/>
        <v>1</v>
      </c>
    </row>
    <row r="275" hidden="1">
      <c r="A275" s="13" t="s">
        <v>305</v>
      </c>
      <c r="B275" s="34" t="s">
        <v>1061</v>
      </c>
      <c r="C275" s="5" t="s">
        <v>27</v>
      </c>
      <c r="D275" s="5" t="s">
        <v>25</v>
      </c>
      <c r="E275" s="35">
        <f>vlookup(C275,'Team Bye List'!$A$1:$B$33,2,False)</f>
        <v>11</v>
      </c>
      <c r="F275" s="36">
        <f>if(ISNA(vlookup($A275, ESPN!$B$2:$E$1010, 4, false)), 0, vlookup($A275, ESPN!$B$2:$E$1010, 4, false))</f>
        <v>0</v>
      </c>
      <c r="G275" s="36">
        <f>if(ISNA(vlookup($A275,'Ultimate Draft Kit'!$B$2:$E$261,4, false)), 0, vlookup($A275,'Ultimate Draft Kit'!$B$2:$E$261, 4, false))</f>
        <v>1</v>
      </c>
      <c r="H275" s="36">
        <f>if(ISNA(vlookup($A275, FantasyPro!$B$2:$E$514,4,false)),0,vlookup($A275,FantasyPro!$B$2:$E$514,4,false))</f>
        <v>0</v>
      </c>
      <c r="I275" s="36">
        <f>if(ISNA(vlookup($A275, FFToolbox!$B$2:$E$618, 4, false)), 0, vlookup($A275, FFToolbox!$B$2:$E$618, 4, false))</f>
        <v>2</v>
      </c>
      <c r="J275" s="37">
        <f t="shared" si="1"/>
        <v>0.75</v>
      </c>
      <c r="K275" s="37">
        <f t="shared" si="2"/>
        <v>2</v>
      </c>
    </row>
    <row r="276" hidden="1">
      <c r="A276" s="13" t="s">
        <v>308</v>
      </c>
      <c r="B276" s="34" t="s">
        <v>1061</v>
      </c>
      <c r="C276" s="5" t="s">
        <v>27</v>
      </c>
      <c r="D276" s="5" t="s">
        <v>25</v>
      </c>
      <c r="E276" s="35">
        <f>vlookup(C276,'Team Bye List'!$A$1:$B$33,2,False)</f>
        <v>11</v>
      </c>
      <c r="F276" s="36">
        <f>if(ISNA(vlookup($A276, ESPN!$B$2:$E$1010, 4, false)), 0, vlookup($A276, ESPN!$B$2:$E$1010, 4, false))</f>
        <v>0</v>
      </c>
      <c r="G276" s="36">
        <f>if(ISNA(vlookup($A276,'Ultimate Draft Kit'!$B$2:$E$261,4, false)), 0, vlookup($A276,'Ultimate Draft Kit'!$B$2:$E$261, 4, false))</f>
        <v>1</v>
      </c>
      <c r="H276" s="36">
        <f>if(ISNA(vlookup($A276, FantasyPro!$B$2:$E$514,4,false)),0,vlookup($A276,FantasyPro!$B$2:$E$514,4,false))</f>
        <v>0</v>
      </c>
      <c r="I276" s="36">
        <f>if(ISNA(vlookup($A276, FFToolbox!$B$2:$E$618, 4, false)), 0, vlookup($A276, FFToolbox!$B$2:$E$618, 4, false))</f>
        <v>2</v>
      </c>
      <c r="J276" s="37">
        <f t="shared" si="1"/>
        <v>0.75</v>
      </c>
      <c r="K276" s="37">
        <f t="shared" si="2"/>
        <v>2</v>
      </c>
    </row>
    <row r="277" hidden="1">
      <c r="A277" s="13" t="s">
        <v>295</v>
      </c>
      <c r="B277" s="34" t="s">
        <v>1061</v>
      </c>
      <c r="C277" s="5" t="s">
        <v>44</v>
      </c>
      <c r="D277" s="5" t="s">
        <v>25</v>
      </c>
      <c r="E277" s="35">
        <f>vlookup(C277,'Team Bye List'!$A$1:$B$33,2,False)</f>
        <v>10</v>
      </c>
      <c r="F277" s="36">
        <f>if(ISNA(vlookup($A277, ESPN!$B$2:$E$1010, 4, false)), 0, vlookup($A277, ESPN!$B$2:$E$1010, 4, false))</f>
        <v>0</v>
      </c>
      <c r="G277" s="36">
        <f>if(ISNA(vlookup($A277,'Ultimate Draft Kit'!$B$2:$E$261,4, false)), 0, vlookup($A277,'Ultimate Draft Kit'!$B$2:$E$261, 4, false))</f>
        <v>1</v>
      </c>
      <c r="H277" s="36">
        <f>if(ISNA(vlookup($A277, FantasyPro!$B$2:$E$514,4,false)),0,vlookup($A277,FantasyPro!$B$2:$E$514,4,false))</f>
        <v>0</v>
      </c>
      <c r="I277" s="36">
        <f>if(ISNA(vlookup($A277, FFToolbox!$B$2:$E$618, 4, false)), 0, vlookup($A277, FFToolbox!$B$2:$E$618, 4, false))</f>
        <v>2</v>
      </c>
      <c r="J277" s="37">
        <f t="shared" si="1"/>
        <v>0.75</v>
      </c>
      <c r="K277" s="37">
        <f t="shared" si="2"/>
        <v>2</v>
      </c>
    </row>
    <row r="278" hidden="1">
      <c r="A278" s="13" t="s">
        <v>288</v>
      </c>
      <c r="B278" s="34" t="s">
        <v>1061</v>
      </c>
      <c r="C278" s="5" t="s">
        <v>1007</v>
      </c>
      <c r="D278" s="5" t="s">
        <v>16</v>
      </c>
      <c r="E278" s="35">
        <f>vlookup(C278,'Team Bye List'!$A$1:$B$33,2,False)</f>
        <v>8</v>
      </c>
      <c r="F278" s="36">
        <f>if(ISNA(vlookup($A278, ESPN!$B$2:$E$1010, 4, false)), 0, vlookup($A278, ESPN!$B$2:$E$1010, 4, false))</f>
        <v>0</v>
      </c>
      <c r="G278" s="36">
        <f>if(ISNA(vlookup($A278,'Ultimate Draft Kit'!$B$2:$E$261,4, false)), 0, vlookup($A278,'Ultimate Draft Kit'!$B$2:$E$261, 4, false))</f>
        <v>1</v>
      </c>
      <c r="H278" s="36">
        <f>if(ISNA(vlookup($A278, FantasyPro!$B$2:$E$514,4,false)),0,vlookup($A278,FantasyPro!$B$2:$E$514,4,false))</f>
        <v>0</v>
      </c>
      <c r="I278" s="36">
        <f>if(ISNA(vlookup($A278, FFToolbox!$B$2:$E$618, 4, false)), 0, vlookup($A278, FFToolbox!$B$2:$E$618, 4, false))</f>
        <v>2</v>
      </c>
      <c r="J278" s="37">
        <f t="shared" si="1"/>
        <v>0.75</v>
      </c>
      <c r="K278" s="37">
        <f t="shared" si="2"/>
        <v>2</v>
      </c>
    </row>
    <row r="279" hidden="1">
      <c r="A279" s="13" t="s">
        <v>282</v>
      </c>
      <c r="B279" s="34" t="s">
        <v>1061</v>
      </c>
      <c r="C279" s="5" t="s">
        <v>48</v>
      </c>
      <c r="D279" s="5" t="s">
        <v>25</v>
      </c>
      <c r="E279" s="35">
        <f>vlookup(C279,'Team Bye List'!$A$1:$B$33,2,False)</f>
        <v>11</v>
      </c>
      <c r="F279" s="36">
        <f>if(ISNA(vlookup($A279, ESPN!$B$2:$E$1010, 4, false)), 0, vlookup($A279, ESPN!$B$2:$E$1010, 4, false))</f>
        <v>0</v>
      </c>
      <c r="G279" s="36">
        <f>if(ISNA(vlookup($A279,'Ultimate Draft Kit'!$B$2:$E$261,4, false)), 0, vlookup($A279,'Ultimate Draft Kit'!$B$2:$E$261, 4, false))</f>
        <v>1</v>
      </c>
      <c r="H279" s="36">
        <f>if(ISNA(vlookup($A279, FantasyPro!$B$2:$E$514,4,false)),0,vlookup($A279,FantasyPro!$B$2:$E$514,4,false))</f>
        <v>0</v>
      </c>
      <c r="I279" s="36">
        <f>if(ISNA(vlookup($A279, FFToolbox!$B$2:$E$618, 4, false)), 0, vlookup($A279, FFToolbox!$B$2:$E$618, 4, false))</f>
        <v>2</v>
      </c>
      <c r="J279" s="37">
        <f t="shared" si="1"/>
        <v>0.75</v>
      </c>
      <c r="K279" s="37">
        <f t="shared" si="2"/>
        <v>2</v>
      </c>
    </row>
    <row r="280" hidden="1">
      <c r="A280" s="13" t="s">
        <v>280</v>
      </c>
      <c r="B280" s="34" t="s">
        <v>1061</v>
      </c>
      <c r="C280" s="5" t="s">
        <v>20</v>
      </c>
      <c r="D280" s="5" t="s">
        <v>16</v>
      </c>
      <c r="E280" s="35">
        <f>vlookup(C280,'Team Bye List'!$A$1:$B$33,2,False)</f>
        <v>8</v>
      </c>
      <c r="F280" s="36">
        <f>if(ISNA(vlookup($A280, ESPN!$B$2:$E$1010, 4, false)), 0, vlookup($A280, ESPN!$B$2:$E$1010, 4, false))</f>
        <v>0</v>
      </c>
      <c r="G280" s="36">
        <f>if(ISNA(vlookup($A280,'Ultimate Draft Kit'!$B$2:$E$261,4, false)), 0, vlookup($A280,'Ultimate Draft Kit'!$B$2:$E$261, 4, false))</f>
        <v>1</v>
      </c>
      <c r="H280" s="36">
        <f>if(ISNA(vlookup($A280, FantasyPro!$B$2:$E$514,4,false)),0,vlookup($A280,FantasyPro!$B$2:$E$514,4,false))</f>
        <v>0</v>
      </c>
      <c r="I280" s="36">
        <f>if(ISNA(vlookup($A280, FFToolbox!$B$2:$E$618, 4, false)), 0, vlookup($A280, FFToolbox!$B$2:$E$618, 4, false))</f>
        <v>2</v>
      </c>
      <c r="J280" s="37">
        <f t="shared" si="1"/>
        <v>0.75</v>
      </c>
      <c r="K280" s="37">
        <f t="shared" si="2"/>
        <v>2</v>
      </c>
    </row>
    <row r="281" hidden="1">
      <c r="A281" s="13" t="s">
        <v>243</v>
      </c>
      <c r="B281" s="34" t="s">
        <v>1061</v>
      </c>
      <c r="C281" s="5" t="s">
        <v>48</v>
      </c>
      <c r="D281" s="5" t="s">
        <v>16</v>
      </c>
      <c r="E281" s="35">
        <f>vlookup(C281,'Team Bye List'!$A$1:$B$33,2,False)</f>
        <v>11</v>
      </c>
      <c r="F281" s="36">
        <f>if(ISNA(vlookup($A281, ESPN!$B$2:$E$1010, 4, false)), 0, vlookup($A281, ESPN!$B$2:$E$1010, 4, false))</f>
        <v>0</v>
      </c>
      <c r="G281" s="36">
        <f>if(ISNA(vlookup($A281,'Ultimate Draft Kit'!$B$2:$E$261,4, false)), 0, vlookup($A281,'Ultimate Draft Kit'!$B$2:$E$261, 4, false))</f>
        <v>1</v>
      </c>
      <c r="H281" s="36">
        <f>if(ISNA(vlookup($A281, FantasyPro!$B$2:$E$514,4,false)),0,vlookup($A281,FantasyPro!$B$2:$E$514,4,false))</f>
        <v>0</v>
      </c>
      <c r="I281" s="36">
        <f>if(ISNA(vlookup($A281, FFToolbox!$B$2:$E$618, 4, false)), 0, vlookup($A281, FFToolbox!$B$2:$E$618, 4, false))</f>
        <v>2</v>
      </c>
      <c r="J281" s="37">
        <f t="shared" si="1"/>
        <v>0.75</v>
      </c>
      <c r="K281" s="37">
        <f t="shared" si="2"/>
        <v>2</v>
      </c>
    </row>
    <row r="282" hidden="1">
      <c r="A282" s="13" t="s">
        <v>242</v>
      </c>
      <c r="B282" s="34" t="s">
        <v>1061</v>
      </c>
      <c r="C282" s="5" t="s">
        <v>104</v>
      </c>
      <c r="D282" s="5" t="s">
        <v>16</v>
      </c>
      <c r="E282" s="35">
        <f>vlookup(C282,'Team Bye List'!$A$1:$B$33,2,False)</f>
        <v>7</v>
      </c>
      <c r="F282" s="36">
        <f>if(ISNA(vlookup($A282, ESPN!$B$2:$E$1010, 4, false)), 0, vlookup($A282, ESPN!$B$2:$E$1010, 4, false))</f>
        <v>0</v>
      </c>
      <c r="G282" s="36">
        <f>if(ISNA(vlookup($A282,'Ultimate Draft Kit'!$B$2:$E$261,4, false)), 0, vlookup($A282,'Ultimate Draft Kit'!$B$2:$E$261, 4, false))</f>
        <v>1</v>
      </c>
      <c r="H282" s="36">
        <f>if(ISNA(vlookup($A282, FantasyPro!$B$2:$E$514,4,false)),0,vlookup($A282,FantasyPro!$B$2:$E$514,4,false))</f>
        <v>0</v>
      </c>
      <c r="I282" s="36">
        <f>if(ISNA(vlookup($A282, FFToolbox!$B$2:$E$618, 4, false)), 0, vlookup($A282, FFToolbox!$B$2:$E$618, 4, false))</f>
        <v>2</v>
      </c>
      <c r="J282" s="37">
        <f t="shared" si="1"/>
        <v>0.75</v>
      </c>
      <c r="K282" s="37">
        <f t="shared" si="2"/>
        <v>2</v>
      </c>
    </row>
    <row r="283">
      <c r="A283" s="13" t="s">
        <v>183</v>
      </c>
      <c r="B283" s="34" t="s">
        <v>1059</v>
      </c>
      <c r="C283" s="5" t="s">
        <v>69</v>
      </c>
      <c r="D283" s="5" t="s">
        <v>169</v>
      </c>
      <c r="E283" s="35">
        <f>vlookup(C283,'Team Bye List'!$A$1:$B$33,2,False)</f>
        <v>5</v>
      </c>
      <c r="F283" s="36">
        <f>if(ISNA(vlookup($A283, ESPN!$B$2:$E$1010, 4, false)), 0, vlookup($A283, ESPN!$B$2:$E$1010, 4, false))</f>
        <v>1</v>
      </c>
      <c r="G283" s="36">
        <f>if(ISNA(vlookup($A283,'Ultimate Draft Kit'!$B$2:$E$261,4, false)), 0, vlookup($A283,'Ultimate Draft Kit'!$B$2:$E$261, 4, false))</f>
        <v>0</v>
      </c>
      <c r="H283" s="36">
        <f>if(ISNA(vlookup($A283, FantasyPro!$B$2:$E$514,4,false)),0,vlookup($A283,FantasyPro!$B$2:$E$514,4,false))</f>
        <v>0</v>
      </c>
      <c r="I283" s="36">
        <f>if(ISNA(vlookup($A283, FFToolbox!$B$2:$E$618, 4, false)), 0, vlookup($A283, FFToolbox!$B$2:$E$618, 4, false))</f>
        <v>2</v>
      </c>
      <c r="J283" s="37">
        <f t="shared" si="1"/>
        <v>0.75</v>
      </c>
      <c r="K283" s="37">
        <f t="shared" si="2"/>
        <v>2</v>
      </c>
    </row>
    <row r="284" hidden="1">
      <c r="A284" s="13" t="s">
        <v>188</v>
      </c>
      <c r="B284" s="34" t="s">
        <v>1059</v>
      </c>
      <c r="C284" s="5" t="s">
        <v>59</v>
      </c>
      <c r="D284" s="5" t="s">
        <v>169</v>
      </c>
      <c r="E284" s="35">
        <f>vlookup(C284,'Team Bye List'!$A$1:$B$33,2,False)</f>
        <v>8</v>
      </c>
      <c r="F284" s="36">
        <f>if(ISNA(vlookup($A284, ESPN!$B$2:$E$1010, 4, false)), 0, vlookup($A284, ESPN!$B$2:$E$1010, 4, false))</f>
        <v>1</v>
      </c>
      <c r="G284" s="36">
        <f>if(ISNA(vlookup($A284,'Ultimate Draft Kit'!$B$2:$E$261,4, false)), 0, vlookup($A284,'Ultimate Draft Kit'!$B$2:$E$261, 4, false))</f>
        <v>0</v>
      </c>
      <c r="H284" s="36">
        <f>if(ISNA(vlookup($A284, FantasyPro!$B$2:$E$514,4,false)),0,vlookup($A284,FantasyPro!$B$2:$E$514,4,false))</f>
        <v>0</v>
      </c>
      <c r="I284" s="36">
        <f>if(ISNA(vlookup($A284, FFToolbox!$B$2:$E$618, 4, false)), 0, vlookup($A284, FFToolbox!$B$2:$E$618, 4, false))</f>
        <v>2</v>
      </c>
      <c r="J284" s="37">
        <f t="shared" si="1"/>
        <v>0.75</v>
      </c>
      <c r="K284" s="37">
        <f t="shared" si="2"/>
        <v>2</v>
      </c>
    </row>
    <row r="285">
      <c r="A285" s="13" t="s">
        <v>192</v>
      </c>
      <c r="B285" s="34" t="s">
        <v>1061</v>
      </c>
      <c r="C285" s="5" t="s">
        <v>32</v>
      </c>
      <c r="D285" s="5" t="s">
        <v>169</v>
      </c>
      <c r="E285" s="35">
        <f>vlookup(C285,'Team Bye List'!$A$1:$B$33,2,False)</f>
        <v>9</v>
      </c>
      <c r="F285" s="36">
        <f>if(ISNA(vlookup($A285, ESPN!$B$2:$E$1010, 4, false)), 0, vlookup($A285, ESPN!$B$2:$E$1010, 4, false))</f>
        <v>1</v>
      </c>
      <c r="G285" s="36">
        <f>if(ISNA(vlookup($A285,'Ultimate Draft Kit'!$B$2:$E$261,4, false)), 0, vlookup($A285,'Ultimate Draft Kit'!$B$2:$E$261, 4, false))</f>
        <v>0</v>
      </c>
      <c r="H285" s="36">
        <f>if(ISNA(vlookup($A285, FantasyPro!$B$2:$E$514,4,false)),0,vlookup($A285,FantasyPro!$B$2:$E$514,4,false))</f>
        <v>0</v>
      </c>
      <c r="I285" s="36">
        <f>if(ISNA(vlookup($A285, FFToolbox!$B$2:$E$618, 4, false)), 0, vlookup($A285, FFToolbox!$B$2:$E$618, 4, false))</f>
        <v>2</v>
      </c>
      <c r="J285" s="37">
        <f t="shared" si="1"/>
        <v>0.75</v>
      </c>
      <c r="K285" s="37">
        <f t="shared" si="2"/>
        <v>2</v>
      </c>
    </row>
    <row r="286">
      <c r="A286" s="13" t="s">
        <v>198</v>
      </c>
      <c r="B286" s="34" t="s">
        <v>1061</v>
      </c>
      <c r="C286" s="5" t="s">
        <v>20</v>
      </c>
      <c r="D286" s="5" t="s">
        <v>169</v>
      </c>
      <c r="E286" s="35">
        <f>vlookup(C286,'Team Bye List'!$A$1:$B$33,2,False)</f>
        <v>8</v>
      </c>
      <c r="F286" s="36">
        <f>if(ISNA(vlookup($A286, ESPN!$B$2:$E$1010, 4, false)), 0, vlookup($A286, ESPN!$B$2:$E$1010, 4, false))</f>
        <v>1</v>
      </c>
      <c r="G286" s="36">
        <f>if(ISNA(vlookup($A286,'Ultimate Draft Kit'!$B$2:$E$261,4, false)), 0, vlookup($A286,'Ultimate Draft Kit'!$B$2:$E$261, 4, false))</f>
        <v>0</v>
      </c>
      <c r="H286" s="36">
        <f>if(ISNA(vlookup($A286, FantasyPro!$B$2:$E$514,4,false)),0,vlookup($A286,FantasyPro!$B$2:$E$514,4,false))</f>
        <v>0</v>
      </c>
      <c r="I286" s="36">
        <f>if(ISNA(vlookup($A286, FFToolbox!$B$2:$E$618, 4, false)), 0, vlookup($A286, FFToolbox!$B$2:$E$618, 4, false))</f>
        <v>2</v>
      </c>
      <c r="J286" s="37">
        <f t="shared" si="1"/>
        <v>0.75</v>
      </c>
      <c r="K286" s="37">
        <f t="shared" si="2"/>
        <v>2</v>
      </c>
    </row>
    <row r="287">
      <c r="A287" s="13" t="s">
        <v>205</v>
      </c>
      <c r="B287" s="34" t="s">
        <v>1061</v>
      </c>
      <c r="C287" s="5" t="s">
        <v>56</v>
      </c>
      <c r="D287" s="5" t="s">
        <v>169</v>
      </c>
      <c r="E287" s="35">
        <f>vlookup(C287,'Team Bye List'!$A$1:$B$33,2,False)</f>
        <v>5</v>
      </c>
      <c r="F287" s="36">
        <f>if(ISNA(vlookup($A287, ESPN!$B$2:$E$1010, 4, false)), 0, vlookup($A287, ESPN!$B$2:$E$1010, 4, false))</f>
        <v>1</v>
      </c>
      <c r="G287" s="36">
        <f>if(ISNA(vlookup($A287,'Ultimate Draft Kit'!$B$2:$E$261,4, false)), 0, vlookup($A287,'Ultimate Draft Kit'!$B$2:$E$261, 4, false))</f>
        <v>0</v>
      </c>
      <c r="H287" s="36">
        <f>if(ISNA(vlookup($A287, FantasyPro!$B$2:$E$514,4,false)),0,vlookup($A287,FantasyPro!$B$2:$E$514,4,false))</f>
        <v>0</v>
      </c>
      <c r="I287" s="36">
        <f>if(ISNA(vlookup($A287, FFToolbox!$B$2:$E$618, 4, false)), 0, vlookup($A287, FFToolbox!$B$2:$E$618, 4, false))</f>
        <v>2</v>
      </c>
      <c r="J287" s="37">
        <f t="shared" si="1"/>
        <v>0.75</v>
      </c>
      <c r="K287" s="37">
        <f t="shared" si="2"/>
        <v>2</v>
      </c>
    </row>
    <row r="288">
      <c r="A288" s="13" t="s">
        <v>193</v>
      </c>
      <c r="B288" s="34" t="s">
        <v>1061</v>
      </c>
      <c r="C288" s="5" t="s">
        <v>38</v>
      </c>
      <c r="D288" s="5" t="s">
        <v>169</v>
      </c>
      <c r="E288" s="35">
        <f>vlookup(C288,'Team Bye List'!$A$1:$B$33,2,False)</f>
        <v>12</v>
      </c>
      <c r="F288" s="36">
        <f>if(ISNA(vlookup($A288, ESPN!$B$2:$E$1010, 4, false)), 0, vlookup($A288, ESPN!$B$2:$E$1010, 4, false))</f>
        <v>1</v>
      </c>
      <c r="G288" s="36">
        <f>if(ISNA(vlookup($A288,'Ultimate Draft Kit'!$B$2:$E$261,4, false)), 0, vlookup($A288,'Ultimate Draft Kit'!$B$2:$E$261, 4, false))</f>
        <v>0</v>
      </c>
      <c r="H288" s="36">
        <f>if(ISNA(vlookup($A288, FantasyPro!$B$2:$E$514,4,false)),0,vlookup($A288,FantasyPro!$B$2:$E$514,4,false))</f>
        <v>0</v>
      </c>
      <c r="I288" s="36">
        <f>if(ISNA(vlookup($A288, FFToolbox!$B$2:$E$618, 4, false)), 0, vlookup($A288, FFToolbox!$B$2:$E$618, 4, false))</f>
        <v>2</v>
      </c>
      <c r="J288" s="37">
        <f t="shared" si="1"/>
        <v>0.75</v>
      </c>
      <c r="K288" s="37">
        <f t="shared" si="2"/>
        <v>2</v>
      </c>
    </row>
    <row r="289" hidden="1">
      <c r="A289" s="13" t="s">
        <v>200</v>
      </c>
      <c r="B289" s="34" t="s">
        <v>1059</v>
      </c>
      <c r="C289" s="5" t="s">
        <v>1007</v>
      </c>
      <c r="D289" s="5" t="s">
        <v>169</v>
      </c>
      <c r="E289" s="35">
        <f>vlookup(C289,'Team Bye List'!$A$1:$B$33,2,False)</f>
        <v>8</v>
      </c>
      <c r="F289" s="36">
        <f>if(ISNA(vlookup($A289, ESPN!$B$2:$E$1010, 4, false)), 0, vlookup($A289, ESPN!$B$2:$E$1010, 4, false))</f>
        <v>1</v>
      </c>
      <c r="G289" s="36">
        <f>if(ISNA(vlookup($A289,'Ultimate Draft Kit'!$B$2:$E$261,4, false)), 0, vlookup($A289,'Ultimate Draft Kit'!$B$2:$E$261, 4, false))</f>
        <v>0</v>
      </c>
      <c r="H289" s="36">
        <f>if(ISNA(vlookup($A289, FantasyPro!$B$2:$E$514,4,false)),0,vlookup($A289,FantasyPro!$B$2:$E$514,4,false))</f>
        <v>0</v>
      </c>
      <c r="I289" s="36">
        <f>if(ISNA(vlookup($A289, FFToolbox!$B$2:$E$618, 4, false)), 0, vlookup($A289, FFToolbox!$B$2:$E$618, 4, false))</f>
        <v>2</v>
      </c>
      <c r="J289" s="37">
        <f t="shared" si="1"/>
        <v>0.75</v>
      </c>
      <c r="K289" s="37">
        <f t="shared" si="2"/>
        <v>2</v>
      </c>
    </row>
    <row r="290">
      <c r="A290" s="13" t="s">
        <v>190</v>
      </c>
      <c r="B290" s="34" t="s">
        <v>1061</v>
      </c>
      <c r="C290" s="5" t="s">
        <v>63</v>
      </c>
      <c r="D290" s="5" t="s">
        <v>169</v>
      </c>
      <c r="E290" s="35">
        <f>vlookup(C290,'Team Bye List'!$A$1:$B$33,2,False)</f>
        <v>8</v>
      </c>
      <c r="F290" s="36">
        <f>if(ISNA(vlookup($A290, ESPN!$B$2:$E$1010, 4, false)), 0, vlookup($A290, ESPN!$B$2:$E$1010, 4, false))</f>
        <v>1</v>
      </c>
      <c r="G290" s="36">
        <f>if(ISNA(vlookup($A290,'Ultimate Draft Kit'!$B$2:$E$261,4, false)), 0, vlookup($A290,'Ultimate Draft Kit'!$B$2:$E$261, 4, false))</f>
        <v>0</v>
      </c>
      <c r="H290" s="36">
        <f>if(ISNA(vlookup($A290, FantasyPro!$B$2:$E$514,4,false)),0,vlookup($A290,FantasyPro!$B$2:$E$514,4,false))</f>
        <v>0</v>
      </c>
      <c r="I290" s="36">
        <f>if(ISNA(vlookup($A290, FFToolbox!$B$2:$E$618, 4, false)), 0, vlookup($A290, FFToolbox!$B$2:$E$618, 4, false))</f>
        <v>2</v>
      </c>
      <c r="J290" s="37">
        <f t="shared" si="1"/>
        <v>0.75</v>
      </c>
      <c r="K290" s="37">
        <f t="shared" si="2"/>
        <v>2</v>
      </c>
    </row>
    <row r="291">
      <c r="A291" s="13" t="s">
        <v>191</v>
      </c>
      <c r="B291" s="34" t="s">
        <v>1061</v>
      </c>
      <c r="C291" s="5" t="s">
        <v>22</v>
      </c>
      <c r="D291" s="5" t="s">
        <v>169</v>
      </c>
      <c r="E291" s="35">
        <f>vlookup(C291,'Team Bye List'!$A$1:$B$33,2,False)</f>
        <v>7</v>
      </c>
      <c r="F291" s="36">
        <f>if(ISNA(vlookup($A291, ESPN!$B$2:$E$1010, 4, false)), 0, vlookup($A291, ESPN!$B$2:$E$1010, 4, false))</f>
        <v>1</v>
      </c>
      <c r="G291" s="36">
        <f>if(ISNA(vlookup($A291,'Ultimate Draft Kit'!$B$2:$E$261,4, false)), 0, vlookup($A291,'Ultimate Draft Kit'!$B$2:$E$261, 4, false))</f>
        <v>0</v>
      </c>
      <c r="H291" s="36">
        <f>if(ISNA(vlookup($A291, FantasyPro!$B$2:$E$514,4,false)),0,vlookup($A291,FantasyPro!$B$2:$E$514,4,false))</f>
        <v>0</v>
      </c>
      <c r="I291" s="36">
        <f>if(ISNA(vlookup($A291, FFToolbox!$B$2:$E$618, 4, false)), 0, vlookup($A291, FFToolbox!$B$2:$E$618, 4, false))</f>
        <v>2</v>
      </c>
      <c r="J291" s="37">
        <f t="shared" si="1"/>
        <v>0.75</v>
      </c>
      <c r="K291" s="37">
        <f t="shared" si="2"/>
        <v>2</v>
      </c>
    </row>
    <row r="292">
      <c r="A292" s="13" t="s">
        <v>199</v>
      </c>
      <c r="B292" s="34" t="s">
        <v>1061</v>
      </c>
      <c r="C292" s="5" t="s">
        <v>104</v>
      </c>
      <c r="D292" s="5" t="s">
        <v>169</v>
      </c>
      <c r="E292" s="35">
        <f>vlookup(C292,'Team Bye List'!$A$1:$B$33,2,False)</f>
        <v>7</v>
      </c>
      <c r="F292" s="36">
        <f>if(ISNA(vlookup($A292, ESPN!$B$2:$E$1010, 4, false)), 0, vlookup($A292, ESPN!$B$2:$E$1010, 4, false))</f>
        <v>1</v>
      </c>
      <c r="G292" s="36">
        <f>if(ISNA(vlookup($A292,'Ultimate Draft Kit'!$B$2:$E$261,4, false)), 0, vlookup($A292,'Ultimate Draft Kit'!$B$2:$E$261, 4, false))</f>
        <v>0</v>
      </c>
      <c r="H292" s="36">
        <f>if(ISNA(vlookup($A292, FantasyPro!$B$2:$E$514,4,false)),0,vlookup($A292,FantasyPro!$B$2:$E$514,4,false))</f>
        <v>0</v>
      </c>
      <c r="I292" s="36">
        <f>if(ISNA(vlookup($A292, FFToolbox!$B$2:$E$618, 4, false)), 0, vlookup($A292, FFToolbox!$B$2:$E$618, 4, false))</f>
        <v>2</v>
      </c>
      <c r="J292" s="37">
        <f t="shared" si="1"/>
        <v>0.75</v>
      </c>
      <c r="K292" s="37">
        <f t="shared" si="2"/>
        <v>2</v>
      </c>
    </row>
    <row r="293">
      <c r="A293" s="13" t="s">
        <v>195</v>
      </c>
      <c r="B293" s="34" t="s">
        <v>1061</v>
      </c>
      <c r="C293" s="5" t="s">
        <v>86</v>
      </c>
      <c r="D293" s="5" t="s">
        <v>169</v>
      </c>
      <c r="E293" s="35">
        <f>vlookup(C293,'Team Bye List'!$A$1:$B$33,2,False)</f>
        <v>6</v>
      </c>
      <c r="F293" s="36">
        <f>if(ISNA(vlookup($A293, ESPN!$B$2:$E$1010, 4, false)), 0, vlookup($A293, ESPN!$B$2:$E$1010, 4, false))</f>
        <v>1</v>
      </c>
      <c r="G293" s="36">
        <f>if(ISNA(vlookup($A293,'Ultimate Draft Kit'!$B$2:$E$261,4, false)), 0, vlookup($A293,'Ultimate Draft Kit'!$B$2:$E$261, 4, false))</f>
        <v>0</v>
      </c>
      <c r="H293" s="36">
        <f>if(ISNA(vlookup($A293, FantasyPro!$B$2:$E$514,4,false)),0,vlookup($A293,FantasyPro!$B$2:$E$514,4,false))</f>
        <v>0</v>
      </c>
      <c r="I293" s="36">
        <f>if(ISNA(vlookup($A293, FFToolbox!$B$2:$E$618, 4, false)), 0, vlookup($A293, FFToolbox!$B$2:$E$618, 4, false))</f>
        <v>2</v>
      </c>
      <c r="J293" s="37">
        <f t="shared" si="1"/>
        <v>0.75</v>
      </c>
      <c r="K293" s="37">
        <f t="shared" si="2"/>
        <v>2</v>
      </c>
    </row>
    <row r="294">
      <c r="A294" s="13" t="s">
        <v>207</v>
      </c>
      <c r="B294" s="34" t="s">
        <v>1061</v>
      </c>
      <c r="C294" s="5" t="s">
        <v>96</v>
      </c>
      <c r="D294" s="5" t="s">
        <v>169</v>
      </c>
      <c r="E294" s="35">
        <f>vlookup(C294,'Team Bye List'!$A$1:$B$33,2,False)</f>
        <v>10</v>
      </c>
      <c r="F294" s="36">
        <f>if(ISNA(vlookup($A294, ESPN!$B$2:$E$1010, 4, false)), 0, vlookup($A294, ESPN!$B$2:$E$1010, 4, false))</f>
        <v>1</v>
      </c>
      <c r="G294" s="36">
        <f>if(ISNA(vlookup($A294,'Ultimate Draft Kit'!$B$2:$E$261,4, false)), 0, vlookup($A294,'Ultimate Draft Kit'!$B$2:$E$261, 4, false))</f>
        <v>0</v>
      </c>
      <c r="H294" s="36">
        <f>if(ISNA(vlookup($A294, FantasyPro!$B$2:$E$514,4,false)),0,vlookup($A294,FantasyPro!$B$2:$E$514,4,false))</f>
        <v>0</v>
      </c>
      <c r="I294" s="36">
        <f>if(ISNA(vlookup($A294, FFToolbox!$B$2:$E$618, 4, false)), 0, vlookup($A294, FFToolbox!$B$2:$E$618, 4, false))</f>
        <v>2</v>
      </c>
      <c r="J294" s="37">
        <f t="shared" si="1"/>
        <v>0.75</v>
      </c>
      <c r="K294" s="37">
        <f t="shared" si="2"/>
        <v>2</v>
      </c>
    </row>
    <row r="295">
      <c r="A295" s="13" t="s">
        <v>209</v>
      </c>
      <c r="B295" s="34" t="s">
        <v>1061</v>
      </c>
      <c r="C295" s="5" t="s">
        <v>61</v>
      </c>
      <c r="D295" s="5" t="s">
        <v>169</v>
      </c>
      <c r="E295" s="35">
        <f>vlookup(C295,'Team Bye List'!$A$1:$B$33,2,False)</f>
        <v>9</v>
      </c>
      <c r="F295" s="36">
        <f>if(ISNA(vlookup($A295, ESPN!$B$2:$E$1010, 4, false)), 0, vlookup($A295, ESPN!$B$2:$E$1010, 4, false))</f>
        <v>1</v>
      </c>
      <c r="G295" s="36">
        <f>if(ISNA(vlookup($A295,'Ultimate Draft Kit'!$B$2:$E$261,4, false)), 0, vlookup($A295,'Ultimate Draft Kit'!$B$2:$E$261, 4, false))</f>
        <v>0</v>
      </c>
      <c r="H295" s="36">
        <f>if(ISNA(vlookup($A295, FantasyPro!$B$2:$E$514,4,false)),0,vlookup($A295,FantasyPro!$B$2:$E$514,4,false))</f>
        <v>0</v>
      </c>
      <c r="I295" s="36">
        <f>if(ISNA(vlookup($A295, FFToolbox!$B$2:$E$618, 4, false)), 0, vlookup($A295, FFToolbox!$B$2:$E$618, 4, false))</f>
        <v>2</v>
      </c>
      <c r="J295" s="37">
        <f t="shared" si="1"/>
        <v>0.75</v>
      </c>
      <c r="K295" s="37">
        <f t="shared" si="2"/>
        <v>2</v>
      </c>
    </row>
    <row r="296" hidden="1">
      <c r="A296" s="13" t="s">
        <v>979</v>
      </c>
      <c r="B296" s="34" t="s">
        <v>1061</v>
      </c>
      <c r="C296" s="5" t="s">
        <v>92</v>
      </c>
      <c r="D296" s="5" t="s">
        <v>10</v>
      </c>
      <c r="E296" s="35">
        <f>vlookup(C296,'Team Bye List'!$A$1:$B$33,2,False)</f>
        <v>8</v>
      </c>
      <c r="F296" s="36">
        <f>if(ISNA(vlookup($A296, ESPN!$B$2:$E$1010, 4, false)), 0, vlookup($A296, ESPN!$B$2:$E$1010, 4, false))</f>
        <v>0</v>
      </c>
      <c r="G296" s="36">
        <f>if(ISNA(vlookup($A296,'Ultimate Draft Kit'!$B$2:$E$261,4, false)), 0, vlookup($A296,'Ultimate Draft Kit'!$B$2:$E$261, 4, false))</f>
        <v>0</v>
      </c>
      <c r="H296" s="36">
        <f>if(ISNA(vlookup($A296, FantasyPro!$B$2:$E$514,4,false)),0,vlookup($A296,FantasyPro!$B$2:$E$514,4,false))</f>
        <v>0</v>
      </c>
      <c r="I296" s="36">
        <f>if(ISNA(vlookup($A296, FFToolbox!$B$2:$E$618, 4, false)), 0, vlookup($A296, FFToolbox!$B$2:$E$618, 4, false))</f>
        <v>2</v>
      </c>
      <c r="J296" s="37">
        <f t="shared" si="1"/>
        <v>0.5</v>
      </c>
      <c r="K296" s="37">
        <f t="shared" si="2"/>
        <v>2</v>
      </c>
    </row>
    <row r="297" hidden="1">
      <c r="A297" s="13" t="s">
        <v>976</v>
      </c>
      <c r="B297" s="34" t="s">
        <v>1061</v>
      </c>
      <c r="C297" s="5" t="s">
        <v>134</v>
      </c>
      <c r="D297" s="5" t="s">
        <v>10</v>
      </c>
      <c r="E297" s="35">
        <f>vlookup(C297,'Team Bye List'!$A$1:$B$33,2,False)</f>
        <v>11</v>
      </c>
      <c r="F297" s="36">
        <f>if(ISNA(vlookup($A297, ESPN!$B$2:$E$1010, 4, false)), 0, vlookup($A297, ESPN!$B$2:$E$1010, 4, false))</f>
        <v>0</v>
      </c>
      <c r="G297" s="36">
        <f>if(ISNA(vlookup($A297,'Ultimate Draft Kit'!$B$2:$E$261,4, false)), 0, vlookup($A297,'Ultimate Draft Kit'!$B$2:$E$261, 4, false))</f>
        <v>0</v>
      </c>
      <c r="H297" s="36">
        <f>if(ISNA(vlookup($A297, FantasyPro!$B$2:$E$514,4,false)),0,vlookup($A297,FantasyPro!$B$2:$E$514,4,false))</f>
        <v>0</v>
      </c>
      <c r="I297" s="36">
        <f>if(ISNA(vlookup($A297, FFToolbox!$B$2:$E$618, 4, false)), 0, vlookup($A297, FFToolbox!$B$2:$E$618, 4, false))</f>
        <v>2</v>
      </c>
      <c r="J297" s="37">
        <f t="shared" si="1"/>
        <v>0.5</v>
      </c>
      <c r="K297" s="37">
        <f t="shared" si="2"/>
        <v>2</v>
      </c>
    </row>
    <row r="298" hidden="1">
      <c r="A298" s="13" t="s">
        <v>934</v>
      </c>
      <c r="B298" s="34" t="s">
        <v>1061</v>
      </c>
      <c r="C298" s="5" t="s">
        <v>14</v>
      </c>
      <c r="D298" s="5" t="s">
        <v>10</v>
      </c>
      <c r="E298" s="35">
        <f>vlookup(C298,'Team Bye List'!$A$1:$B$33,2,False)</f>
        <v>10</v>
      </c>
      <c r="F298" s="36">
        <f>if(ISNA(vlookup($A298, ESPN!$B$2:$E$1010, 4, false)), 0, vlookup($A298, ESPN!$B$2:$E$1010, 4, false))</f>
        <v>0</v>
      </c>
      <c r="G298" s="36">
        <f>if(ISNA(vlookup($A298,'Ultimate Draft Kit'!$B$2:$E$261,4, false)), 0, vlookup($A298,'Ultimate Draft Kit'!$B$2:$E$261, 4, false))</f>
        <v>0</v>
      </c>
      <c r="H298" s="36">
        <f>if(ISNA(vlookup($A298, FantasyPro!$B$2:$E$514,4,false)),0,vlookup($A298,FantasyPro!$B$2:$E$514,4,false))</f>
        <v>0</v>
      </c>
      <c r="I298" s="36">
        <f>if(ISNA(vlookup($A298, FFToolbox!$B$2:$E$618, 4, false)), 0, vlookup($A298, FFToolbox!$B$2:$E$618, 4, false))</f>
        <v>2</v>
      </c>
      <c r="J298" s="37">
        <f t="shared" si="1"/>
        <v>0.5</v>
      </c>
      <c r="K298" s="37">
        <f t="shared" si="2"/>
        <v>2</v>
      </c>
    </row>
    <row r="299" hidden="1">
      <c r="A299" s="13" t="s">
        <v>940</v>
      </c>
      <c r="B299" s="34" t="s">
        <v>1061</v>
      </c>
      <c r="C299" s="5" t="s">
        <v>54</v>
      </c>
      <c r="D299" s="5" t="s">
        <v>10</v>
      </c>
      <c r="E299" s="35">
        <f>vlookup(C299,'Team Bye List'!$A$1:$B$33,2,False)</f>
        <v>9</v>
      </c>
      <c r="F299" s="36">
        <f>if(ISNA(vlookup($A299, ESPN!$B$2:$E$1010, 4, false)), 0, vlookup($A299, ESPN!$B$2:$E$1010, 4, false))</f>
        <v>0</v>
      </c>
      <c r="G299" s="36">
        <f>if(ISNA(vlookup($A299,'Ultimate Draft Kit'!$B$2:$E$261,4, false)), 0, vlookup($A299,'Ultimate Draft Kit'!$B$2:$E$261, 4, false))</f>
        <v>0</v>
      </c>
      <c r="H299" s="36">
        <f>if(ISNA(vlookup($A299, FantasyPro!$B$2:$E$514,4,false)),0,vlookup($A299,FantasyPro!$B$2:$E$514,4,false))</f>
        <v>0</v>
      </c>
      <c r="I299" s="36">
        <f>if(ISNA(vlookup($A299, FFToolbox!$B$2:$E$618, 4, false)), 0, vlookup($A299, FFToolbox!$B$2:$E$618, 4, false))</f>
        <v>2</v>
      </c>
      <c r="J299" s="37">
        <f t="shared" si="1"/>
        <v>0.5</v>
      </c>
      <c r="K299" s="37">
        <f t="shared" si="2"/>
        <v>2</v>
      </c>
    </row>
    <row r="300" hidden="1">
      <c r="A300" s="13" t="s">
        <v>931</v>
      </c>
      <c r="B300" s="34" t="s">
        <v>1061</v>
      </c>
      <c r="C300" s="5" t="s">
        <v>74</v>
      </c>
      <c r="D300" s="5" t="s">
        <v>10</v>
      </c>
      <c r="E300" s="35">
        <f>vlookup(C300,'Team Bye List'!$A$1:$B$33,2,False)</f>
        <v>7</v>
      </c>
      <c r="F300" s="36">
        <f>if(ISNA(vlookup($A300, ESPN!$B$2:$E$1010, 4, false)), 0, vlookup($A300, ESPN!$B$2:$E$1010, 4, false))</f>
        <v>0</v>
      </c>
      <c r="G300" s="36">
        <f>if(ISNA(vlookup($A300,'Ultimate Draft Kit'!$B$2:$E$261,4, false)), 0, vlookup($A300,'Ultimate Draft Kit'!$B$2:$E$261, 4, false))</f>
        <v>0</v>
      </c>
      <c r="H300" s="36">
        <f>if(ISNA(vlookup($A300, FantasyPro!$B$2:$E$514,4,false)),0,vlookup($A300,FantasyPro!$B$2:$E$514,4,false))</f>
        <v>0</v>
      </c>
      <c r="I300" s="36">
        <f>if(ISNA(vlookup($A300, FFToolbox!$B$2:$E$618, 4, false)), 0, vlookup($A300, FFToolbox!$B$2:$E$618, 4, false))</f>
        <v>2</v>
      </c>
      <c r="J300" s="37">
        <f t="shared" si="1"/>
        <v>0.5</v>
      </c>
      <c r="K300" s="37">
        <f t="shared" si="2"/>
        <v>2</v>
      </c>
    </row>
    <row r="301" hidden="1">
      <c r="A301" s="13" t="s">
        <v>930</v>
      </c>
      <c r="B301" s="34" t="s">
        <v>1061</v>
      </c>
      <c r="C301" s="5" t="s">
        <v>18</v>
      </c>
      <c r="D301" s="5" t="s">
        <v>10</v>
      </c>
      <c r="E301" s="35">
        <f>vlookup(C301,'Team Bye List'!$A$1:$B$33,2,False)</f>
        <v>6</v>
      </c>
      <c r="F301" s="36">
        <f>if(ISNA(vlookup($A301, ESPN!$B$2:$E$1010, 4, false)), 0, vlookup($A301, ESPN!$B$2:$E$1010, 4, false))</f>
        <v>0</v>
      </c>
      <c r="G301" s="36">
        <f>if(ISNA(vlookup($A301,'Ultimate Draft Kit'!$B$2:$E$261,4, false)), 0, vlookup($A301,'Ultimate Draft Kit'!$B$2:$E$261, 4, false))</f>
        <v>0</v>
      </c>
      <c r="H301" s="36">
        <f>if(ISNA(vlookup($A301, FantasyPro!$B$2:$E$514,4,false)),0,vlookup($A301,FantasyPro!$B$2:$E$514,4,false))</f>
        <v>0</v>
      </c>
      <c r="I301" s="36">
        <f>if(ISNA(vlookup($A301, FFToolbox!$B$2:$E$618, 4, false)), 0, vlookup($A301, FFToolbox!$B$2:$E$618, 4, false))</f>
        <v>2</v>
      </c>
      <c r="J301" s="37">
        <f t="shared" si="1"/>
        <v>0.5</v>
      </c>
      <c r="K301" s="37">
        <f t="shared" si="2"/>
        <v>2</v>
      </c>
    </row>
    <row r="302" hidden="1">
      <c r="A302" s="13" t="s">
        <v>924</v>
      </c>
      <c r="B302" s="34" t="s">
        <v>1061</v>
      </c>
      <c r="C302" s="5" t="s">
        <v>12</v>
      </c>
      <c r="D302" s="5" t="s">
        <v>10</v>
      </c>
      <c r="E302" s="35">
        <f>vlookup(C302,'Team Bye List'!$A$1:$B$33,2,False)</f>
        <v>8</v>
      </c>
      <c r="F302" s="36">
        <f>if(ISNA(vlookup($A302, ESPN!$B$2:$E$1010, 4, false)), 0, vlookup($A302, ESPN!$B$2:$E$1010, 4, false))</f>
        <v>0</v>
      </c>
      <c r="G302" s="36">
        <f>if(ISNA(vlookup($A302,'Ultimate Draft Kit'!$B$2:$E$261,4, false)), 0, vlookup($A302,'Ultimate Draft Kit'!$B$2:$E$261, 4, false))</f>
        <v>0</v>
      </c>
      <c r="H302" s="36">
        <f>if(ISNA(vlookup($A302, FantasyPro!$B$2:$E$514,4,false)),0,vlookup($A302,FantasyPro!$B$2:$E$514,4,false))</f>
        <v>0</v>
      </c>
      <c r="I302" s="36">
        <f>if(ISNA(vlookup($A302, FFToolbox!$B$2:$E$618, 4, false)), 0, vlookup($A302, FFToolbox!$B$2:$E$618, 4, false))</f>
        <v>2</v>
      </c>
      <c r="J302" s="37">
        <f t="shared" si="1"/>
        <v>0.5</v>
      </c>
      <c r="K302" s="37">
        <f t="shared" si="2"/>
        <v>2</v>
      </c>
    </row>
    <row r="303" hidden="1">
      <c r="A303" s="13" t="s">
        <v>832</v>
      </c>
      <c r="B303" s="34" t="s">
        <v>1061</v>
      </c>
      <c r="C303" s="5" t="s">
        <v>32</v>
      </c>
      <c r="D303" s="5" t="s">
        <v>7</v>
      </c>
      <c r="E303" s="35">
        <f>vlookup(C303,'Team Bye List'!$A$1:$B$33,2,False)</f>
        <v>9</v>
      </c>
      <c r="F303" s="36">
        <f>if(ISNA(vlookup($A303, ESPN!$B$2:$E$1010, 4, false)), 0, vlookup($A303, ESPN!$B$2:$E$1010, 4, false))</f>
        <v>0</v>
      </c>
      <c r="G303" s="36">
        <f>if(ISNA(vlookup($A303,'Ultimate Draft Kit'!$B$2:$E$261,4, false)), 0, vlookup($A303,'Ultimate Draft Kit'!$B$2:$E$261, 4, false))</f>
        <v>0</v>
      </c>
      <c r="H303" s="36">
        <f>if(ISNA(vlookup($A303, FantasyPro!$B$2:$E$514,4,false)),0,vlookup($A303,FantasyPro!$B$2:$E$514,4,false))</f>
        <v>0</v>
      </c>
      <c r="I303" s="36">
        <f>if(ISNA(vlookup($A303, FFToolbox!$B$2:$E$618, 4, false)), 0, vlookup($A303, FFToolbox!$B$2:$E$618, 4, false))</f>
        <v>2</v>
      </c>
      <c r="J303" s="37">
        <f t="shared" si="1"/>
        <v>0.5</v>
      </c>
      <c r="K303" s="37">
        <f t="shared" si="2"/>
        <v>2</v>
      </c>
    </row>
    <row r="304" hidden="1">
      <c r="A304" s="13" t="s">
        <v>832</v>
      </c>
      <c r="B304" s="34" t="s">
        <v>1061</v>
      </c>
      <c r="C304" s="5" t="s">
        <v>32</v>
      </c>
      <c r="D304" s="5" t="s">
        <v>7</v>
      </c>
      <c r="E304" s="35">
        <f>vlookup(C304,'Team Bye List'!$A$1:$B$33,2,False)</f>
        <v>9</v>
      </c>
      <c r="F304" s="36">
        <f>if(ISNA(vlookup($A304, ESPN!$B$2:$E$1010, 4, false)), 0, vlookup($A304, ESPN!$B$2:$E$1010, 4, false))</f>
        <v>0</v>
      </c>
      <c r="G304" s="36">
        <f>if(ISNA(vlookup($A304,'Ultimate Draft Kit'!$B$2:$E$261,4, false)), 0, vlookup($A304,'Ultimate Draft Kit'!$B$2:$E$261, 4, false))</f>
        <v>0</v>
      </c>
      <c r="H304" s="36">
        <f>if(ISNA(vlookup($A304, FantasyPro!$B$2:$E$514,4,false)),0,vlookup($A304,FantasyPro!$B$2:$E$514,4,false))</f>
        <v>0</v>
      </c>
      <c r="I304" s="36">
        <f>if(ISNA(vlookup($A304, FFToolbox!$B$2:$E$618, 4, false)), 0, vlookup($A304, FFToolbox!$B$2:$E$618, 4, false))</f>
        <v>2</v>
      </c>
      <c r="J304" s="37">
        <f t="shared" si="1"/>
        <v>0.5</v>
      </c>
      <c r="K304" s="37">
        <f t="shared" si="2"/>
        <v>2</v>
      </c>
    </row>
    <row r="305" hidden="1">
      <c r="A305" s="13" t="s">
        <v>836</v>
      </c>
      <c r="B305" s="34" t="s">
        <v>1061</v>
      </c>
      <c r="C305" s="5" t="s">
        <v>6</v>
      </c>
      <c r="D305" s="5" t="s">
        <v>7</v>
      </c>
      <c r="E305" s="35">
        <f>vlookup(C305,'Team Bye List'!$A$1:$B$33,2,False)</f>
        <v>12</v>
      </c>
      <c r="F305" s="36">
        <f>if(ISNA(vlookup($A305, ESPN!$B$2:$E$1010, 4, false)), 0, vlookup($A305, ESPN!$B$2:$E$1010, 4, false))</f>
        <v>0</v>
      </c>
      <c r="G305" s="36">
        <f>if(ISNA(vlookup($A305,'Ultimate Draft Kit'!$B$2:$E$261,4, false)), 0, vlookup($A305,'Ultimate Draft Kit'!$B$2:$E$261, 4, false))</f>
        <v>0</v>
      </c>
      <c r="H305" s="36">
        <f>if(ISNA(vlookup($A305, FantasyPro!$B$2:$E$514,4,false)),0,vlookup($A305,FantasyPro!$B$2:$E$514,4,false))</f>
        <v>0</v>
      </c>
      <c r="I305" s="36">
        <f>if(ISNA(vlookup($A305, FFToolbox!$B$2:$E$618, 4, false)), 0, vlookup($A305, FFToolbox!$B$2:$E$618, 4, false))</f>
        <v>2</v>
      </c>
      <c r="J305" s="37">
        <f t="shared" si="1"/>
        <v>0.5</v>
      </c>
      <c r="K305" s="37">
        <f t="shared" si="2"/>
        <v>2</v>
      </c>
    </row>
    <row r="306" hidden="1">
      <c r="A306" s="13" t="s">
        <v>906</v>
      </c>
      <c r="B306" s="34" t="s">
        <v>1061</v>
      </c>
      <c r="C306" s="5" t="s">
        <v>102</v>
      </c>
      <c r="D306" s="5" t="s">
        <v>7</v>
      </c>
      <c r="E306" s="35">
        <f>vlookup(C306,'Team Bye List'!$A$1:$B$33,2,False)</f>
        <v>11</v>
      </c>
      <c r="F306" s="36">
        <f>if(ISNA(vlookup($A306, ESPN!$B$2:$E$1010, 4, false)), 0, vlookup($A306, ESPN!$B$2:$E$1010, 4, false))</f>
        <v>0</v>
      </c>
      <c r="G306" s="36">
        <f>if(ISNA(vlookup($A306,'Ultimate Draft Kit'!$B$2:$E$261,4, false)), 0, vlookup($A306,'Ultimate Draft Kit'!$B$2:$E$261, 4, false))</f>
        <v>0</v>
      </c>
      <c r="H306" s="36">
        <f>if(ISNA(vlookup($A306, FantasyPro!$B$2:$E$514,4,false)),0,vlookup($A306,FantasyPro!$B$2:$E$514,4,false))</f>
        <v>0</v>
      </c>
      <c r="I306" s="36">
        <f>if(ISNA(vlookup($A306, FFToolbox!$B$2:$E$618, 4, false)), 0, vlookup($A306, FFToolbox!$B$2:$E$618, 4, false))</f>
        <v>2</v>
      </c>
      <c r="J306" s="37">
        <f t="shared" si="1"/>
        <v>0.5</v>
      </c>
      <c r="K306" s="37">
        <f t="shared" si="2"/>
        <v>2</v>
      </c>
    </row>
    <row r="307" hidden="1">
      <c r="A307" s="13" t="s">
        <v>827</v>
      </c>
      <c r="B307" s="34" t="s">
        <v>1061</v>
      </c>
      <c r="C307" s="5" t="s">
        <v>40</v>
      </c>
      <c r="D307" s="5" t="s">
        <v>7</v>
      </c>
      <c r="E307" s="35">
        <f>vlookup(C307,'Team Bye List'!$A$1:$B$33,2,False)</f>
        <v>6</v>
      </c>
      <c r="F307" s="36">
        <f>if(ISNA(vlookup($A307, ESPN!$B$2:$E$1010, 4, false)), 0, vlookup($A307, ESPN!$B$2:$E$1010, 4, false))</f>
        <v>0</v>
      </c>
      <c r="G307" s="36">
        <f>if(ISNA(vlookup($A307,'Ultimate Draft Kit'!$B$2:$E$261,4, false)), 0, vlookup($A307,'Ultimate Draft Kit'!$B$2:$E$261, 4, false))</f>
        <v>0</v>
      </c>
      <c r="H307" s="36">
        <f>if(ISNA(vlookup($A307, FantasyPro!$B$2:$E$514,4,false)),0,vlookup($A307,FantasyPro!$B$2:$E$514,4,false))</f>
        <v>0</v>
      </c>
      <c r="I307" s="36">
        <f>if(ISNA(vlookup($A307, FFToolbox!$B$2:$E$618, 4, false)), 0, vlookup($A307, FFToolbox!$B$2:$E$618, 4, false))</f>
        <v>2</v>
      </c>
      <c r="J307" s="37">
        <f t="shared" si="1"/>
        <v>0.5</v>
      </c>
      <c r="K307" s="37">
        <f t="shared" si="2"/>
        <v>2</v>
      </c>
    </row>
    <row r="308" hidden="1">
      <c r="A308" s="13" t="s">
        <v>798</v>
      </c>
      <c r="B308" s="34" t="s">
        <v>1061</v>
      </c>
      <c r="C308" s="5" t="s">
        <v>69</v>
      </c>
      <c r="D308" s="5" t="s">
        <v>7</v>
      </c>
      <c r="E308" s="35">
        <f>vlookup(C308,'Team Bye List'!$A$1:$B$33,2,False)</f>
        <v>5</v>
      </c>
      <c r="F308" s="36">
        <f>if(ISNA(vlookup($A308, ESPN!$B$2:$E$1010, 4, false)), 0, vlookup($A308, ESPN!$B$2:$E$1010, 4, false))</f>
        <v>0</v>
      </c>
      <c r="G308" s="36">
        <f>if(ISNA(vlookup($A308,'Ultimate Draft Kit'!$B$2:$E$261,4, false)), 0, vlookup($A308,'Ultimate Draft Kit'!$B$2:$E$261, 4, false))</f>
        <v>0</v>
      </c>
      <c r="H308" s="36">
        <f>if(ISNA(vlookup($A308, FantasyPro!$B$2:$E$514,4,false)),0,vlookup($A308,FantasyPro!$B$2:$E$514,4,false))</f>
        <v>0</v>
      </c>
      <c r="I308" s="36">
        <f>if(ISNA(vlookup($A308, FFToolbox!$B$2:$E$618, 4, false)), 0, vlookup($A308, FFToolbox!$B$2:$E$618, 4, false))</f>
        <v>2</v>
      </c>
      <c r="J308" s="37">
        <f t="shared" si="1"/>
        <v>0.5</v>
      </c>
      <c r="K308" s="37">
        <f t="shared" si="2"/>
        <v>2</v>
      </c>
    </row>
    <row r="309" hidden="1">
      <c r="A309" s="13" t="s">
        <v>795</v>
      </c>
      <c r="B309" s="34" t="s">
        <v>1061</v>
      </c>
      <c r="C309" s="5" t="s">
        <v>48</v>
      </c>
      <c r="D309" s="5" t="s">
        <v>7</v>
      </c>
      <c r="E309" s="35">
        <f>vlookup(C309,'Team Bye List'!$A$1:$B$33,2,False)</f>
        <v>11</v>
      </c>
      <c r="F309" s="36">
        <f>if(ISNA(vlookup($A309, ESPN!$B$2:$E$1010, 4, false)), 0, vlookup($A309, ESPN!$B$2:$E$1010, 4, false))</f>
        <v>0</v>
      </c>
      <c r="G309" s="36">
        <f>if(ISNA(vlookup($A309,'Ultimate Draft Kit'!$B$2:$E$261,4, false)), 0, vlookup($A309,'Ultimate Draft Kit'!$B$2:$E$261, 4, false))</f>
        <v>0</v>
      </c>
      <c r="H309" s="36">
        <f>if(ISNA(vlookup($A309, FantasyPro!$B$2:$E$514,4,false)),0,vlookup($A309,FantasyPro!$B$2:$E$514,4,false))</f>
        <v>0</v>
      </c>
      <c r="I309" s="36">
        <f>if(ISNA(vlookup($A309, FFToolbox!$B$2:$E$618, 4, false)), 0, vlookup($A309, FFToolbox!$B$2:$E$618, 4, false))</f>
        <v>2</v>
      </c>
      <c r="J309" s="37">
        <f t="shared" si="1"/>
        <v>0.5</v>
      </c>
      <c r="K309" s="37">
        <f t="shared" si="2"/>
        <v>2</v>
      </c>
    </row>
    <row r="310" hidden="1">
      <c r="A310" s="13" t="s">
        <v>793</v>
      </c>
      <c r="B310" s="34" t="s">
        <v>1061</v>
      </c>
      <c r="C310" s="5" t="s">
        <v>9</v>
      </c>
      <c r="D310" s="5" t="s">
        <v>7</v>
      </c>
      <c r="E310" s="35">
        <f>vlookup(C310,'Team Bye List'!$A$1:$B$33,2,False)</f>
        <v>10</v>
      </c>
      <c r="F310" s="36">
        <f>if(ISNA(vlookup($A310, ESPN!$B$2:$E$1010, 4, false)), 0, vlookup($A310, ESPN!$B$2:$E$1010, 4, false))</f>
        <v>0</v>
      </c>
      <c r="G310" s="36">
        <f>if(ISNA(vlookup($A310,'Ultimate Draft Kit'!$B$2:$E$261,4, false)), 0, vlookup($A310,'Ultimate Draft Kit'!$B$2:$E$261, 4, false))</f>
        <v>0</v>
      </c>
      <c r="H310" s="36">
        <f>if(ISNA(vlookup($A310, FantasyPro!$B$2:$E$514,4,false)),0,vlookup($A310,FantasyPro!$B$2:$E$514,4,false))</f>
        <v>0</v>
      </c>
      <c r="I310" s="36">
        <f>if(ISNA(vlookup($A310, FFToolbox!$B$2:$E$618, 4, false)), 0, vlookup($A310, FFToolbox!$B$2:$E$618, 4, false))</f>
        <v>2</v>
      </c>
      <c r="J310" s="37">
        <f t="shared" si="1"/>
        <v>0.5</v>
      </c>
      <c r="K310" s="37">
        <f t="shared" si="2"/>
        <v>2</v>
      </c>
    </row>
    <row r="311" hidden="1">
      <c r="A311" s="13" t="s">
        <v>791</v>
      </c>
      <c r="B311" s="34" t="s">
        <v>1061</v>
      </c>
      <c r="C311" s="5" t="s">
        <v>29</v>
      </c>
      <c r="D311" s="5" t="s">
        <v>7</v>
      </c>
      <c r="E311" s="35">
        <f>vlookup(C311,'Team Bye List'!$A$1:$B$33,2,False)</f>
        <v>11</v>
      </c>
      <c r="F311" s="36">
        <f>if(ISNA(vlookup($A311, ESPN!$B$2:$E$1010, 4, false)), 0, vlookup($A311, ESPN!$B$2:$E$1010, 4, false))</f>
        <v>0</v>
      </c>
      <c r="G311" s="36">
        <f>if(ISNA(vlookup($A311,'Ultimate Draft Kit'!$B$2:$E$261,4, false)), 0, vlookup($A311,'Ultimate Draft Kit'!$B$2:$E$261, 4, false))</f>
        <v>0</v>
      </c>
      <c r="H311" s="36">
        <f>if(ISNA(vlookup($A311, FantasyPro!$B$2:$E$514,4,false)),0,vlookup($A311,FantasyPro!$B$2:$E$514,4,false))</f>
        <v>0</v>
      </c>
      <c r="I311" s="36">
        <f>if(ISNA(vlookup($A311, FFToolbox!$B$2:$E$618, 4, false)), 0, vlookup($A311, FFToolbox!$B$2:$E$618, 4, false))</f>
        <v>2</v>
      </c>
      <c r="J311" s="37">
        <f t="shared" si="1"/>
        <v>0.5</v>
      </c>
      <c r="K311" s="37">
        <f t="shared" si="2"/>
        <v>2</v>
      </c>
    </row>
    <row r="312" hidden="1">
      <c r="A312" s="13" t="s">
        <v>784</v>
      </c>
      <c r="B312" s="34" t="s">
        <v>1061</v>
      </c>
      <c r="C312" s="5" t="s">
        <v>54</v>
      </c>
      <c r="D312" s="5" t="s">
        <v>7</v>
      </c>
      <c r="E312" s="35">
        <f>vlookup(C312,'Team Bye List'!$A$1:$B$33,2,False)</f>
        <v>9</v>
      </c>
      <c r="F312" s="36">
        <f>if(ISNA(vlookup($A312, ESPN!$B$2:$E$1010, 4, false)), 0, vlookup($A312, ESPN!$B$2:$E$1010, 4, false))</f>
        <v>0</v>
      </c>
      <c r="G312" s="36">
        <f>if(ISNA(vlookup($A312,'Ultimate Draft Kit'!$B$2:$E$261,4, false)), 0, vlookup($A312,'Ultimate Draft Kit'!$B$2:$E$261, 4, false))</f>
        <v>0</v>
      </c>
      <c r="H312" s="36">
        <f>if(ISNA(vlookup($A312, FantasyPro!$B$2:$E$514,4,false)),0,vlookup($A312,FantasyPro!$B$2:$E$514,4,false))</f>
        <v>0</v>
      </c>
      <c r="I312" s="36">
        <f>if(ISNA(vlookup($A312, FFToolbox!$B$2:$E$618, 4, false)), 0, vlookup($A312, FFToolbox!$B$2:$E$618, 4, false))</f>
        <v>2</v>
      </c>
      <c r="J312" s="37">
        <f t="shared" si="1"/>
        <v>0.5</v>
      </c>
      <c r="K312" s="37">
        <f t="shared" si="2"/>
        <v>2</v>
      </c>
    </row>
    <row r="313" hidden="1">
      <c r="A313" s="13" t="s">
        <v>785</v>
      </c>
      <c r="B313" s="34" t="s">
        <v>1061</v>
      </c>
      <c r="C313" s="5" t="s">
        <v>44</v>
      </c>
      <c r="D313" s="5" t="s">
        <v>7</v>
      </c>
      <c r="E313" s="35">
        <f>vlookup(C313,'Team Bye List'!$A$1:$B$33,2,False)</f>
        <v>10</v>
      </c>
      <c r="F313" s="36">
        <f>if(ISNA(vlookup($A313, ESPN!$B$2:$E$1010, 4, false)), 0, vlookup($A313, ESPN!$B$2:$E$1010, 4, false))</f>
        <v>0</v>
      </c>
      <c r="G313" s="36">
        <f>if(ISNA(vlookup($A313,'Ultimate Draft Kit'!$B$2:$E$261,4, false)), 0, vlookup($A313,'Ultimate Draft Kit'!$B$2:$E$261, 4, false))</f>
        <v>0</v>
      </c>
      <c r="H313" s="36">
        <f>if(ISNA(vlookup($A313, FantasyPro!$B$2:$E$514,4,false)),0,vlookup($A313,FantasyPro!$B$2:$E$514,4,false))</f>
        <v>0</v>
      </c>
      <c r="I313" s="36">
        <f>if(ISNA(vlookup($A313, FFToolbox!$B$2:$E$618, 4, false)), 0, vlookup($A313, FFToolbox!$B$2:$E$618, 4, false))</f>
        <v>2</v>
      </c>
      <c r="J313" s="37">
        <f t="shared" si="1"/>
        <v>0.5</v>
      </c>
      <c r="K313" s="37">
        <f t="shared" si="2"/>
        <v>2</v>
      </c>
    </row>
    <row r="314" hidden="1">
      <c r="A314" s="13" t="s">
        <v>247</v>
      </c>
      <c r="B314" s="34" t="s">
        <v>1061</v>
      </c>
      <c r="C314" s="5" t="s">
        <v>56</v>
      </c>
      <c r="D314" s="5" t="s">
        <v>16</v>
      </c>
      <c r="E314" s="35">
        <f>vlookup(C314,'Team Bye List'!$A$1:$B$33,2,False)</f>
        <v>5</v>
      </c>
      <c r="F314" s="36">
        <f>if(ISNA(vlookup($A314, ESPN!$B$2:$E$1010, 4, false)), 0, vlookup($A314, ESPN!$B$2:$E$1010, 4, false))</f>
        <v>0</v>
      </c>
      <c r="G314" s="36">
        <f>if(ISNA(vlookup($A314,'Ultimate Draft Kit'!$B$2:$E$261,4, false)), 0, vlookup($A314,'Ultimate Draft Kit'!$B$2:$E$261, 4, false))</f>
        <v>1</v>
      </c>
      <c r="H314" s="36">
        <f>if(ISNA(vlookup($A314, FantasyPro!$B$2:$E$514,4,false)),0,vlookup($A314,FantasyPro!$B$2:$E$514,4,false))</f>
        <v>0</v>
      </c>
      <c r="I314" s="36">
        <f>if(ISNA(vlookup($A314, FFToolbox!$B$2:$E$618, 4, false)), 0, vlookup($A314, FFToolbox!$B$2:$E$618, 4, false))</f>
        <v>2</v>
      </c>
      <c r="J314" s="37">
        <f t="shared" si="1"/>
        <v>0.75</v>
      </c>
      <c r="K314" s="37">
        <f t="shared" si="2"/>
        <v>2</v>
      </c>
    </row>
    <row r="315" hidden="1">
      <c r="A315" s="13" t="s">
        <v>780</v>
      </c>
      <c r="B315" s="34" t="s">
        <v>1061</v>
      </c>
      <c r="C315" s="5" t="s">
        <v>61</v>
      </c>
      <c r="D315" s="5" t="s">
        <v>7</v>
      </c>
      <c r="E315" s="35">
        <f>vlookup(C315,'Team Bye List'!$A$1:$B$33,2,False)</f>
        <v>9</v>
      </c>
      <c r="F315" s="36">
        <f>if(ISNA(vlookup($A315, ESPN!$B$2:$E$1010, 4, false)), 0, vlookup($A315, ESPN!$B$2:$E$1010, 4, false))</f>
        <v>0</v>
      </c>
      <c r="G315" s="36">
        <f>if(ISNA(vlookup($A315,'Ultimate Draft Kit'!$B$2:$E$261,4, false)), 0, vlookup($A315,'Ultimate Draft Kit'!$B$2:$E$261, 4, false))</f>
        <v>0</v>
      </c>
      <c r="H315" s="36">
        <f>if(ISNA(vlookup($A315, FantasyPro!$B$2:$E$514,4,false)),0,vlookup($A315,FantasyPro!$B$2:$E$514,4,false))</f>
        <v>0</v>
      </c>
      <c r="I315" s="36">
        <f>if(ISNA(vlookup($A315, FFToolbox!$B$2:$E$618, 4, false)), 0, vlookup($A315, FFToolbox!$B$2:$E$618, 4, false))</f>
        <v>2</v>
      </c>
      <c r="J315" s="37">
        <f t="shared" si="1"/>
        <v>0.5</v>
      </c>
      <c r="K315" s="37">
        <f t="shared" si="2"/>
        <v>2</v>
      </c>
    </row>
    <row r="316" hidden="1">
      <c r="A316" s="13" t="s">
        <v>776</v>
      </c>
      <c r="B316" s="34" t="s">
        <v>1061</v>
      </c>
      <c r="C316" s="5" t="s">
        <v>69</v>
      </c>
      <c r="D316" s="5" t="s">
        <v>7</v>
      </c>
      <c r="E316" s="35">
        <f>vlookup(C316,'Team Bye List'!$A$1:$B$33,2,False)</f>
        <v>5</v>
      </c>
      <c r="F316" s="36">
        <f>if(ISNA(vlookup($A316, ESPN!$B$2:$E$1010, 4, false)), 0, vlookup($A316, ESPN!$B$2:$E$1010, 4, false))</f>
        <v>0</v>
      </c>
      <c r="G316" s="36">
        <f>if(ISNA(vlookup($A316,'Ultimate Draft Kit'!$B$2:$E$261,4, false)), 0, vlookup($A316,'Ultimate Draft Kit'!$B$2:$E$261, 4, false))</f>
        <v>0</v>
      </c>
      <c r="H316" s="36">
        <f>if(ISNA(vlookup($A316, FantasyPro!$B$2:$E$514,4,false)),0,vlookup($A316,FantasyPro!$B$2:$E$514,4,false))</f>
        <v>0</v>
      </c>
      <c r="I316" s="36">
        <f>if(ISNA(vlookup($A316, FFToolbox!$B$2:$E$618, 4, false)), 0, vlookup($A316, FFToolbox!$B$2:$E$618, 4, false))</f>
        <v>2</v>
      </c>
      <c r="J316" s="37">
        <f t="shared" si="1"/>
        <v>0.5</v>
      </c>
      <c r="K316" s="37">
        <f t="shared" si="2"/>
        <v>2</v>
      </c>
    </row>
    <row r="317" hidden="1">
      <c r="A317" s="13" t="s">
        <v>777</v>
      </c>
      <c r="B317" s="34" t="s">
        <v>1061</v>
      </c>
      <c r="C317" s="5" t="s">
        <v>63</v>
      </c>
      <c r="D317" s="5" t="s">
        <v>7</v>
      </c>
      <c r="E317" s="35">
        <f>vlookup(C317,'Team Bye List'!$A$1:$B$33,2,False)</f>
        <v>8</v>
      </c>
      <c r="F317" s="36">
        <f>if(ISNA(vlookup($A317, ESPN!$B$2:$E$1010, 4, false)), 0, vlookup($A317, ESPN!$B$2:$E$1010, 4, false))</f>
        <v>0</v>
      </c>
      <c r="G317" s="36">
        <f>if(ISNA(vlookup($A317,'Ultimate Draft Kit'!$B$2:$E$261,4, false)), 0, vlookup($A317,'Ultimate Draft Kit'!$B$2:$E$261, 4, false))</f>
        <v>0</v>
      </c>
      <c r="H317" s="36">
        <f>if(ISNA(vlookup($A317, FantasyPro!$B$2:$E$514,4,false)),0,vlookup($A317,FantasyPro!$B$2:$E$514,4,false))</f>
        <v>0</v>
      </c>
      <c r="I317" s="36">
        <f>if(ISNA(vlookup($A317, FFToolbox!$B$2:$E$618, 4, false)), 0, vlookup($A317, FFToolbox!$B$2:$E$618, 4, false))</f>
        <v>2</v>
      </c>
      <c r="J317" s="37">
        <f t="shared" si="1"/>
        <v>0.5</v>
      </c>
      <c r="K317" s="37">
        <f t="shared" si="2"/>
        <v>2</v>
      </c>
    </row>
    <row r="318" hidden="1">
      <c r="A318" s="13" t="s">
        <v>775</v>
      </c>
      <c r="B318" s="34" t="s">
        <v>1061</v>
      </c>
      <c r="C318" s="5" t="s">
        <v>22</v>
      </c>
      <c r="D318" s="5" t="s">
        <v>7</v>
      </c>
      <c r="E318" s="35">
        <f>vlookup(C318,'Team Bye List'!$A$1:$B$33,2,False)</f>
        <v>7</v>
      </c>
      <c r="F318" s="36">
        <f>if(ISNA(vlookup($A318, ESPN!$B$2:$E$1010, 4, false)), 0, vlookup($A318, ESPN!$B$2:$E$1010, 4, false))</f>
        <v>0</v>
      </c>
      <c r="G318" s="36">
        <f>if(ISNA(vlookup($A318,'Ultimate Draft Kit'!$B$2:$E$261,4, false)), 0, vlookup($A318,'Ultimate Draft Kit'!$B$2:$E$261, 4, false))</f>
        <v>0</v>
      </c>
      <c r="H318" s="36">
        <f>if(ISNA(vlookup($A318, FantasyPro!$B$2:$E$514,4,false)),0,vlookup($A318,FantasyPro!$B$2:$E$514,4,false))</f>
        <v>0</v>
      </c>
      <c r="I318" s="36">
        <f>if(ISNA(vlookup($A318, FFToolbox!$B$2:$E$618, 4, false)), 0, vlookup($A318, FFToolbox!$B$2:$E$618, 4, false))</f>
        <v>2</v>
      </c>
      <c r="J318" s="37">
        <f t="shared" si="1"/>
        <v>0.5</v>
      </c>
      <c r="K318" s="37">
        <f t="shared" si="2"/>
        <v>2</v>
      </c>
    </row>
    <row r="319" hidden="1">
      <c r="A319" s="13" t="s">
        <v>773</v>
      </c>
      <c r="B319" s="34" t="s">
        <v>1061</v>
      </c>
      <c r="C319" s="5" t="s">
        <v>102</v>
      </c>
      <c r="D319" s="5" t="s">
        <v>7</v>
      </c>
      <c r="E319" s="35">
        <f>vlookup(C319,'Team Bye List'!$A$1:$B$33,2,False)</f>
        <v>11</v>
      </c>
      <c r="F319" s="36">
        <f>if(ISNA(vlookup($A319, ESPN!$B$2:$E$1010, 4, false)), 0, vlookup($A319, ESPN!$B$2:$E$1010, 4, false))</f>
        <v>0</v>
      </c>
      <c r="G319" s="36">
        <f>if(ISNA(vlookup($A319,'Ultimate Draft Kit'!$B$2:$E$261,4, false)), 0, vlookup($A319,'Ultimate Draft Kit'!$B$2:$E$261, 4, false))</f>
        <v>0</v>
      </c>
      <c r="H319" s="36">
        <f>if(ISNA(vlookup($A319, FantasyPro!$B$2:$E$514,4,false)),0,vlookup($A319,FantasyPro!$B$2:$E$514,4,false))</f>
        <v>0</v>
      </c>
      <c r="I319" s="36">
        <f>if(ISNA(vlookup($A319, FFToolbox!$B$2:$E$618, 4, false)), 0, vlookup($A319, FFToolbox!$B$2:$E$618, 4, false))</f>
        <v>2</v>
      </c>
      <c r="J319" s="37">
        <f t="shared" si="1"/>
        <v>0.5</v>
      </c>
      <c r="K319" s="37">
        <f t="shared" si="2"/>
        <v>2</v>
      </c>
    </row>
    <row r="320" hidden="1">
      <c r="A320" s="13" t="s">
        <v>767</v>
      </c>
      <c r="B320" s="34" t="s">
        <v>1061</v>
      </c>
      <c r="C320" s="5" t="s">
        <v>29</v>
      </c>
      <c r="D320" s="5" t="s">
        <v>7</v>
      </c>
      <c r="E320" s="35">
        <f>vlookup(C320,'Team Bye List'!$A$1:$B$33,2,False)</f>
        <v>11</v>
      </c>
      <c r="F320" s="36">
        <f>if(ISNA(vlookup($A320, ESPN!$B$2:$E$1010, 4, false)), 0, vlookup($A320, ESPN!$B$2:$E$1010, 4, false))</f>
        <v>0</v>
      </c>
      <c r="G320" s="36">
        <f>if(ISNA(vlookup($A320,'Ultimate Draft Kit'!$B$2:$E$261,4, false)), 0, vlookup($A320,'Ultimate Draft Kit'!$B$2:$E$261, 4, false))</f>
        <v>0</v>
      </c>
      <c r="H320" s="36">
        <f>if(ISNA(vlookup($A320, FantasyPro!$B$2:$E$514,4,false)),0,vlookup($A320,FantasyPro!$B$2:$E$514,4,false))</f>
        <v>0</v>
      </c>
      <c r="I320" s="36">
        <f>if(ISNA(vlookup($A320, FFToolbox!$B$2:$E$618, 4, false)), 0, vlookup($A320, FFToolbox!$B$2:$E$618, 4, false))</f>
        <v>2</v>
      </c>
      <c r="J320" s="37">
        <f t="shared" si="1"/>
        <v>0.5</v>
      </c>
      <c r="K320" s="37">
        <f t="shared" si="2"/>
        <v>2</v>
      </c>
    </row>
    <row r="321" hidden="1">
      <c r="A321" s="13" t="s">
        <v>668</v>
      </c>
      <c r="B321" s="34" t="s">
        <v>1061</v>
      </c>
      <c r="C321" s="5" t="s">
        <v>102</v>
      </c>
      <c r="D321" s="5" t="s">
        <v>25</v>
      </c>
      <c r="E321" s="35">
        <f>vlookup(C321,'Team Bye List'!$A$1:$B$33,2,False)</f>
        <v>11</v>
      </c>
      <c r="F321" s="36">
        <f>if(ISNA(vlookup($A321, ESPN!$B$2:$E$1010, 4, false)), 0, vlookup($A321, ESPN!$B$2:$E$1010, 4, false))</f>
        <v>0</v>
      </c>
      <c r="G321" s="36">
        <f>if(ISNA(vlookup($A321,'Ultimate Draft Kit'!$B$2:$E$261,4, false)), 0, vlookup($A321,'Ultimate Draft Kit'!$B$2:$E$261, 4, false))</f>
        <v>0</v>
      </c>
      <c r="H321" s="36">
        <f>if(ISNA(vlookup($A321, FantasyPro!$B$2:$E$514,4,false)),0,vlookup($A321,FantasyPro!$B$2:$E$514,4,false))</f>
        <v>0</v>
      </c>
      <c r="I321" s="36">
        <f>if(ISNA(vlookup($A321, FFToolbox!$B$2:$E$618, 4, false)), 0, vlookup($A321, FFToolbox!$B$2:$E$618, 4, false))</f>
        <v>2</v>
      </c>
      <c r="J321" s="37">
        <f t="shared" si="1"/>
        <v>0.5</v>
      </c>
      <c r="K321" s="37">
        <f t="shared" si="2"/>
        <v>2</v>
      </c>
    </row>
    <row r="322" hidden="1">
      <c r="A322" s="13" t="s">
        <v>735</v>
      </c>
      <c r="B322" s="34" t="s">
        <v>1061</v>
      </c>
      <c r="C322" s="5" t="s">
        <v>86</v>
      </c>
      <c r="D322" s="5" t="s">
        <v>25</v>
      </c>
      <c r="E322" s="35">
        <f>vlookup(C322,'Team Bye List'!$A$1:$B$33,2,False)</f>
        <v>6</v>
      </c>
      <c r="F322" s="36">
        <f>if(ISNA(vlookup($A322, ESPN!$B$2:$E$1010, 4, false)), 0, vlookup($A322, ESPN!$B$2:$E$1010, 4, false))</f>
        <v>0</v>
      </c>
      <c r="G322" s="36">
        <f>if(ISNA(vlookup($A322,'Ultimate Draft Kit'!$B$2:$E$261,4, false)), 0, vlookup($A322,'Ultimate Draft Kit'!$B$2:$E$261, 4, false))</f>
        <v>0</v>
      </c>
      <c r="H322" s="36">
        <f>if(ISNA(vlookup($A322, FantasyPro!$B$2:$E$514,4,false)),0,vlookup($A322,FantasyPro!$B$2:$E$514,4,false))</f>
        <v>0</v>
      </c>
      <c r="I322" s="36">
        <f>if(ISNA(vlookup($A322, FFToolbox!$B$2:$E$618, 4, false)), 0, vlookup($A322, FFToolbox!$B$2:$E$618, 4, false))</f>
        <v>2</v>
      </c>
      <c r="J322" s="37">
        <f t="shared" si="1"/>
        <v>0.5</v>
      </c>
      <c r="K322" s="37">
        <f t="shared" si="2"/>
        <v>2</v>
      </c>
    </row>
    <row r="323" hidden="1">
      <c r="A323" s="13" t="s">
        <v>765</v>
      </c>
      <c r="B323" s="34" t="s">
        <v>1061</v>
      </c>
      <c r="C323" s="5" t="s">
        <v>104</v>
      </c>
      <c r="D323" s="5" t="s">
        <v>7</v>
      </c>
      <c r="E323" s="35">
        <f>vlookup(C323,'Team Bye List'!$A$1:$B$33,2,False)</f>
        <v>7</v>
      </c>
      <c r="F323" s="36">
        <f>if(ISNA(vlookup($A323, ESPN!$B$2:$E$1010, 4, false)), 0, vlookup($A323, ESPN!$B$2:$E$1010, 4, false))</f>
        <v>0</v>
      </c>
      <c r="G323" s="36">
        <f>if(ISNA(vlookup($A323,'Ultimate Draft Kit'!$B$2:$E$261,4, false)), 0, vlookup($A323,'Ultimate Draft Kit'!$B$2:$E$261, 4, false))</f>
        <v>0</v>
      </c>
      <c r="H323" s="36">
        <f>if(ISNA(vlookup($A323, FantasyPro!$B$2:$E$514,4,false)),0,vlookup($A323,FantasyPro!$B$2:$E$514,4,false))</f>
        <v>0</v>
      </c>
      <c r="I323" s="36">
        <f>if(ISNA(vlookup($A323, FFToolbox!$B$2:$E$618, 4, false)), 0, vlookup($A323, FFToolbox!$B$2:$E$618, 4, false))</f>
        <v>2</v>
      </c>
      <c r="J323" s="37">
        <f t="shared" si="1"/>
        <v>0.5</v>
      </c>
      <c r="K323" s="37">
        <f t="shared" si="2"/>
        <v>2</v>
      </c>
    </row>
    <row r="324" hidden="1">
      <c r="A324" s="13" t="s">
        <v>598</v>
      </c>
      <c r="B324" s="34" t="s">
        <v>1061</v>
      </c>
      <c r="C324" s="5" t="s">
        <v>92</v>
      </c>
      <c r="D324" s="5" t="s">
        <v>7</v>
      </c>
      <c r="E324" s="35">
        <f>vlookup(C324,'Team Bye List'!$A$1:$B$33,2,False)</f>
        <v>8</v>
      </c>
      <c r="F324" s="36">
        <f>if(ISNA(vlookup($A324, ESPN!$B$2:$E$1010, 4, false)), 0, vlookup($A324, ESPN!$B$2:$E$1010, 4, false))</f>
        <v>0</v>
      </c>
      <c r="G324" s="36">
        <f>if(ISNA(vlookup($A324,'Ultimate Draft Kit'!$B$2:$E$261,4, false)), 0, vlookup($A324,'Ultimate Draft Kit'!$B$2:$E$261, 4, false))</f>
        <v>0</v>
      </c>
      <c r="H324" s="36">
        <f>if(ISNA(vlookup($A324, FantasyPro!$B$2:$E$514,4,false)),0,vlookup($A324,FantasyPro!$B$2:$E$514,4,false))</f>
        <v>0</v>
      </c>
      <c r="I324" s="36">
        <f>if(ISNA(vlookup($A324, FFToolbox!$B$2:$E$618, 4, false)), 0, vlookup($A324, FFToolbox!$B$2:$E$618, 4, false))</f>
        <v>2</v>
      </c>
      <c r="J324" s="37">
        <f t="shared" si="1"/>
        <v>0.5</v>
      </c>
      <c r="K324" s="37">
        <f t="shared" si="2"/>
        <v>2</v>
      </c>
    </row>
    <row r="325" hidden="1">
      <c r="A325" s="13" t="s">
        <v>590</v>
      </c>
      <c r="B325" s="34" t="s">
        <v>1061</v>
      </c>
      <c r="C325" s="5" t="s">
        <v>102</v>
      </c>
      <c r="D325" s="5" t="s">
        <v>25</v>
      </c>
      <c r="E325" s="35">
        <f>vlookup(C325,'Team Bye List'!$A$1:$B$33,2,False)</f>
        <v>11</v>
      </c>
      <c r="F325" s="36">
        <f>if(ISNA(vlookup($A325, ESPN!$B$2:$E$1010, 4, false)), 0, vlookup($A325, ESPN!$B$2:$E$1010, 4, false))</f>
        <v>0</v>
      </c>
      <c r="G325" s="36">
        <f>if(ISNA(vlookup($A325,'Ultimate Draft Kit'!$B$2:$E$261,4, false)), 0, vlookup($A325,'Ultimate Draft Kit'!$B$2:$E$261, 4, false))</f>
        <v>0</v>
      </c>
      <c r="H325" s="36">
        <f>if(ISNA(vlookup($A325, FantasyPro!$B$2:$E$514,4,false)),0,vlookup($A325,FantasyPro!$B$2:$E$514,4,false))</f>
        <v>0</v>
      </c>
      <c r="I325" s="36">
        <f>if(ISNA(vlookup($A325, FFToolbox!$B$2:$E$618, 4, false)), 0, vlookup($A325, FFToolbox!$B$2:$E$618, 4, false))</f>
        <v>2</v>
      </c>
      <c r="J325" s="37">
        <f t="shared" si="1"/>
        <v>0.5</v>
      </c>
      <c r="K325" s="37">
        <f t="shared" si="2"/>
        <v>2</v>
      </c>
    </row>
    <row r="326" hidden="1">
      <c r="A326" s="13" t="s">
        <v>585</v>
      </c>
      <c r="B326" s="34" t="s">
        <v>1061</v>
      </c>
      <c r="C326" s="5" t="s">
        <v>86</v>
      </c>
      <c r="D326" s="5" t="s">
        <v>7</v>
      </c>
      <c r="E326" s="35">
        <f>vlookup(C326,'Team Bye List'!$A$1:$B$33,2,False)</f>
        <v>6</v>
      </c>
      <c r="F326" s="36">
        <f>if(ISNA(vlookup($A326, ESPN!$B$2:$E$1010, 4, false)), 0, vlookup($A326, ESPN!$B$2:$E$1010, 4, false))</f>
        <v>0</v>
      </c>
      <c r="G326" s="36">
        <f>if(ISNA(vlookup($A326,'Ultimate Draft Kit'!$B$2:$E$261,4, false)), 0, vlookup($A326,'Ultimate Draft Kit'!$B$2:$E$261, 4, false))</f>
        <v>0</v>
      </c>
      <c r="H326" s="36">
        <f>if(ISNA(vlookup($A326, FantasyPro!$B$2:$E$514,4,false)),0,vlookup($A326,FantasyPro!$B$2:$E$514,4,false))</f>
        <v>0</v>
      </c>
      <c r="I326" s="36">
        <f>if(ISNA(vlookup($A326, FFToolbox!$B$2:$E$618, 4, false)), 0, vlookup($A326, FFToolbox!$B$2:$E$618, 4, false))</f>
        <v>2</v>
      </c>
      <c r="J326" s="37">
        <f t="shared" si="1"/>
        <v>0.5</v>
      </c>
      <c r="K326" s="37">
        <f t="shared" si="2"/>
        <v>2</v>
      </c>
    </row>
    <row r="327" hidden="1">
      <c r="A327" s="13" t="s">
        <v>559</v>
      </c>
      <c r="B327" s="34" t="s">
        <v>1061</v>
      </c>
      <c r="C327" s="5" t="s">
        <v>22</v>
      </c>
      <c r="D327" s="5" t="s">
        <v>25</v>
      </c>
      <c r="E327" s="35">
        <f>vlookup(C327,'Team Bye List'!$A$1:$B$33,2,False)</f>
        <v>7</v>
      </c>
      <c r="F327" s="36">
        <f>if(ISNA(vlookup($A327, ESPN!$B$2:$E$1010, 4, false)), 0, vlookup($A327, ESPN!$B$2:$E$1010, 4, false))</f>
        <v>0</v>
      </c>
      <c r="G327" s="36">
        <f>if(ISNA(vlookup($A327,'Ultimate Draft Kit'!$B$2:$E$261,4, false)), 0, vlookup($A327,'Ultimate Draft Kit'!$B$2:$E$261, 4, false))</f>
        <v>0</v>
      </c>
      <c r="H327" s="36">
        <f>if(ISNA(vlookup($A327, FantasyPro!$B$2:$E$514,4,false)),0,vlookup($A327,FantasyPro!$B$2:$E$514,4,false))</f>
        <v>0</v>
      </c>
      <c r="I327" s="36">
        <f>if(ISNA(vlookup($A327, FFToolbox!$B$2:$E$618, 4, false)), 0, vlookup($A327, FFToolbox!$B$2:$E$618, 4, false))</f>
        <v>2</v>
      </c>
      <c r="J327" s="37">
        <f t="shared" si="1"/>
        <v>0.5</v>
      </c>
      <c r="K327" s="37">
        <f t="shared" si="2"/>
        <v>2</v>
      </c>
    </row>
    <row r="328" hidden="1">
      <c r="A328" s="13" t="s">
        <v>542</v>
      </c>
      <c r="B328" s="34" t="s">
        <v>1061</v>
      </c>
      <c r="C328" s="5" t="s">
        <v>9</v>
      </c>
      <c r="D328" s="5" t="s">
        <v>7</v>
      </c>
      <c r="E328" s="35">
        <f>vlookup(C328,'Team Bye List'!$A$1:$B$33,2,False)</f>
        <v>10</v>
      </c>
      <c r="F328" s="36">
        <f>if(ISNA(vlookup($A328, ESPN!$B$2:$E$1010, 4, false)), 0, vlookup($A328, ESPN!$B$2:$E$1010, 4, false))</f>
        <v>0</v>
      </c>
      <c r="G328" s="36">
        <f>if(ISNA(vlookup($A328,'Ultimate Draft Kit'!$B$2:$E$261,4, false)), 0, vlookup($A328,'Ultimate Draft Kit'!$B$2:$E$261, 4, false))</f>
        <v>0</v>
      </c>
      <c r="H328" s="36">
        <f>if(ISNA(vlookup($A328, FantasyPro!$B$2:$E$514,4,false)),0,vlookup($A328,FantasyPro!$B$2:$E$514,4,false))</f>
        <v>0</v>
      </c>
      <c r="I328" s="36">
        <f>if(ISNA(vlookup($A328, FFToolbox!$B$2:$E$618, 4, false)), 0, vlookup($A328, FFToolbox!$B$2:$E$618, 4, false))</f>
        <v>2</v>
      </c>
      <c r="J328" s="37">
        <f t="shared" si="1"/>
        <v>0.5</v>
      </c>
      <c r="K328" s="37">
        <f t="shared" si="2"/>
        <v>2</v>
      </c>
    </row>
    <row r="329" hidden="1">
      <c r="A329" s="13" t="s">
        <v>543</v>
      </c>
      <c r="B329" s="34" t="s">
        <v>1061</v>
      </c>
      <c r="C329" s="5" t="s">
        <v>48</v>
      </c>
      <c r="D329" s="5" t="s">
        <v>25</v>
      </c>
      <c r="E329" s="35">
        <f>vlookup(C329,'Team Bye List'!$A$1:$B$33,2,False)</f>
        <v>11</v>
      </c>
      <c r="F329" s="36">
        <f>if(ISNA(vlookup($A329, ESPN!$B$2:$E$1010, 4, false)), 0, vlookup($A329, ESPN!$B$2:$E$1010, 4, false))</f>
        <v>0</v>
      </c>
      <c r="G329" s="36">
        <f>if(ISNA(vlookup($A329,'Ultimate Draft Kit'!$B$2:$E$261,4, false)), 0, vlookup($A329,'Ultimate Draft Kit'!$B$2:$E$261, 4, false))</f>
        <v>0</v>
      </c>
      <c r="H329" s="36">
        <f>if(ISNA(vlookup($A329, FantasyPro!$B$2:$E$514,4,false)),0,vlookup($A329,FantasyPro!$B$2:$E$514,4,false))</f>
        <v>0</v>
      </c>
      <c r="I329" s="36">
        <f>if(ISNA(vlookup($A329, FFToolbox!$B$2:$E$618, 4, false)), 0, vlookup($A329, FFToolbox!$B$2:$E$618, 4, false))</f>
        <v>2</v>
      </c>
      <c r="J329" s="37">
        <f t="shared" si="1"/>
        <v>0.5</v>
      </c>
      <c r="K329" s="37">
        <f t="shared" si="2"/>
        <v>2</v>
      </c>
    </row>
    <row r="330" hidden="1">
      <c r="A330" s="13" t="s">
        <v>540</v>
      </c>
      <c r="B330" s="34" t="s">
        <v>1061</v>
      </c>
      <c r="C330" s="5" t="s">
        <v>54</v>
      </c>
      <c r="D330" s="5" t="s">
        <v>25</v>
      </c>
      <c r="E330" s="35">
        <f>vlookup(C330,'Team Bye List'!$A$1:$B$33,2,False)</f>
        <v>9</v>
      </c>
      <c r="F330" s="36">
        <f>if(ISNA(vlookup($A330, ESPN!$B$2:$E$1010, 4, false)), 0, vlookup($A330, ESPN!$B$2:$E$1010, 4, false))</f>
        <v>0</v>
      </c>
      <c r="G330" s="36">
        <f>if(ISNA(vlookup($A330,'Ultimate Draft Kit'!$B$2:$E$261,4, false)), 0, vlookup($A330,'Ultimate Draft Kit'!$B$2:$E$261, 4, false))</f>
        <v>0</v>
      </c>
      <c r="H330" s="36">
        <f>if(ISNA(vlookup($A330, FantasyPro!$B$2:$E$514,4,false)),0,vlookup($A330,FantasyPro!$B$2:$E$514,4,false))</f>
        <v>0</v>
      </c>
      <c r="I330" s="36">
        <f>if(ISNA(vlookup($A330, FFToolbox!$B$2:$E$618, 4, false)), 0, vlookup($A330, FFToolbox!$B$2:$E$618, 4, false))</f>
        <v>2</v>
      </c>
      <c r="J330" s="37">
        <f t="shared" si="1"/>
        <v>0.5</v>
      </c>
      <c r="K330" s="37">
        <f t="shared" si="2"/>
        <v>2</v>
      </c>
    </row>
    <row r="331" hidden="1">
      <c r="A331" s="13" t="s">
        <v>545</v>
      </c>
      <c r="B331" s="34" t="s">
        <v>1061</v>
      </c>
      <c r="C331" s="5" t="s">
        <v>92</v>
      </c>
      <c r="D331" s="5" t="s">
        <v>25</v>
      </c>
      <c r="E331" s="35">
        <f>vlookup(C331,'Team Bye List'!$A$1:$B$33,2,False)</f>
        <v>8</v>
      </c>
      <c r="F331" s="36">
        <f>if(ISNA(vlookup($A331, ESPN!$B$2:$E$1010, 4, false)), 0, vlookup($A331, ESPN!$B$2:$E$1010, 4, false))</f>
        <v>0</v>
      </c>
      <c r="G331" s="36">
        <f>if(ISNA(vlookup($A331,'Ultimate Draft Kit'!$B$2:$E$261,4, false)), 0, vlookup($A331,'Ultimate Draft Kit'!$B$2:$E$261, 4, false))</f>
        <v>0</v>
      </c>
      <c r="H331" s="36">
        <f>if(ISNA(vlookup($A331, FantasyPro!$B$2:$E$514,4,false)),0,vlookup($A331,FantasyPro!$B$2:$E$514,4,false))</f>
        <v>0</v>
      </c>
      <c r="I331" s="36">
        <f>if(ISNA(vlookup($A331, FFToolbox!$B$2:$E$618, 4, false)), 0, vlookup($A331, FFToolbox!$B$2:$E$618, 4, false))</f>
        <v>2</v>
      </c>
      <c r="J331" s="37">
        <f t="shared" si="1"/>
        <v>0.5</v>
      </c>
      <c r="K331" s="37">
        <f t="shared" si="2"/>
        <v>2</v>
      </c>
    </row>
    <row r="332" hidden="1">
      <c r="A332" s="13" t="s">
        <v>254</v>
      </c>
      <c r="B332" s="34" t="s">
        <v>1061</v>
      </c>
      <c r="C332" s="5" t="s">
        <v>22</v>
      </c>
      <c r="D332" s="5" t="s">
        <v>16</v>
      </c>
      <c r="E332" s="35">
        <f>vlookup(C332,'Team Bye List'!$A$1:$B$33,2,False)</f>
        <v>7</v>
      </c>
      <c r="F332" s="36">
        <f>if(ISNA(vlookup($A332, ESPN!$B$2:$E$1010, 4, false)), 0, vlookup($A332, ESPN!$B$2:$E$1010, 4, false))</f>
        <v>0</v>
      </c>
      <c r="G332" s="36">
        <f>if(ISNA(vlookup($A332,'Ultimate Draft Kit'!$B$2:$E$261,4, false)), 0, vlookup($A332,'Ultimate Draft Kit'!$B$2:$E$261, 4, false))</f>
        <v>1</v>
      </c>
      <c r="H332" s="36">
        <f>if(ISNA(vlookup($A332, FantasyPro!$B$2:$E$514,4,false)),0,vlookup($A332,FantasyPro!$B$2:$E$514,4,false))</f>
        <v>0</v>
      </c>
      <c r="I332" s="36">
        <f>if(ISNA(vlookup($A332, FFToolbox!$B$2:$E$618, 4, false)), 0, vlookup($A332, FFToolbox!$B$2:$E$618, 4, false))</f>
        <v>2</v>
      </c>
      <c r="J332" s="37">
        <f t="shared" si="1"/>
        <v>0.75</v>
      </c>
      <c r="K332" s="37">
        <f t="shared" si="2"/>
        <v>2</v>
      </c>
    </row>
    <row r="333" hidden="1">
      <c r="A333" s="13" t="s">
        <v>538</v>
      </c>
      <c r="B333" s="34" t="s">
        <v>1061</v>
      </c>
      <c r="C333" s="5" t="s">
        <v>257</v>
      </c>
      <c r="D333" s="5" t="s">
        <v>25</v>
      </c>
      <c r="E333" s="35" t="str">
        <f>vlookup(C333,'Team Bye List'!$A$1:$B$33,2,False)</f>
        <v>#N/A</v>
      </c>
      <c r="F333" s="36">
        <f>if(ISNA(vlookup($A333, ESPN!$B$2:$E$1010, 4, false)), 0, vlookup($A333, ESPN!$B$2:$E$1010, 4, false))</f>
        <v>0</v>
      </c>
      <c r="G333" s="36">
        <f>if(ISNA(vlookup($A333,'Ultimate Draft Kit'!$B$2:$E$261,4, false)), 0, vlookup($A333,'Ultimate Draft Kit'!$B$2:$E$261, 4, false))</f>
        <v>0</v>
      </c>
      <c r="H333" s="36">
        <f>if(ISNA(vlookup($A333, FantasyPro!$B$2:$E$514,4,false)),0,vlookup($A333,FantasyPro!$B$2:$E$514,4,false))</f>
        <v>0</v>
      </c>
      <c r="I333" s="36">
        <f>if(ISNA(vlookup($A333, FFToolbox!$B$2:$E$618, 4, false)), 0, vlookup($A333, FFToolbox!$B$2:$E$618, 4, false))</f>
        <v>2</v>
      </c>
      <c r="J333" s="37">
        <f t="shared" si="1"/>
        <v>0.5</v>
      </c>
      <c r="K333" s="37">
        <f t="shared" si="2"/>
        <v>2</v>
      </c>
    </row>
    <row r="334" hidden="1">
      <c r="A334" s="13" t="s">
        <v>538</v>
      </c>
      <c r="B334" s="34" t="s">
        <v>1061</v>
      </c>
      <c r="C334" s="5" t="s">
        <v>257</v>
      </c>
      <c r="D334" s="5" t="s">
        <v>25</v>
      </c>
      <c r="E334" s="35" t="str">
        <f>vlookup(C334,'Team Bye List'!$A$1:$B$33,2,False)</f>
        <v>#N/A</v>
      </c>
      <c r="F334" s="36">
        <f>if(ISNA(vlookup($A334, ESPN!$B$2:$E$1010, 4, false)), 0, vlookup($A334, ESPN!$B$2:$E$1010, 4, false))</f>
        <v>0</v>
      </c>
      <c r="G334" s="36">
        <f>if(ISNA(vlookup($A334,'Ultimate Draft Kit'!$B$2:$E$261,4, false)), 0, vlookup($A334,'Ultimate Draft Kit'!$B$2:$E$261, 4, false))</f>
        <v>0</v>
      </c>
      <c r="H334" s="36">
        <f>if(ISNA(vlookup($A334, FantasyPro!$B$2:$E$514,4,false)),0,vlookup($A334,FantasyPro!$B$2:$E$514,4,false))</f>
        <v>0</v>
      </c>
      <c r="I334" s="36">
        <f>if(ISNA(vlookup($A334, FFToolbox!$B$2:$E$618, 4, false)), 0, vlookup($A334, FFToolbox!$B$2:$E$618, 4, false))</f>
        <v>2</v>
      </c>
      <c r="J334" s="37">
        <f t="shared" si="1"/>
        <v>0.5</v>
      </c>
      <c r="K334" s="37">
        <f t="shared" si="2"/>
        <v>2</v>
      </c>
    </row>
    <row r="335" hidden="1">
      <c r="A335" s="13" t="s">
        <v>532</v>
      </c>
      <c r="B335" s="34" t="s">
        <v>1061</v>
      </c>
      <c r="C335" s="5" t="s">
        <v>24</v>
      </c>
      <c r="D335" s="5" t="s">
        <v>25</v>
      </c>
      <c r="E335" s="35">
        <f>vlookup(C335,'Team Bye List'!$A$1:$B$33,2,False)</f>
        <v>6</v>
      </c>
      <c r="F335" s="36">
        <f>if(ISNA(vlookup($A335, ESPN!$B$2:$E$1010, 4, false)), 0, vlookup($A335, ESPN!$B$2:$E$1010, 4, false))</f>
        <v>0</v>
      </c>
      <c r="G335" s="36">
        <f>if(ISNA(vlookup($A335,'Ultimate Draft Kit'!$B$2:$E$261,4, false)), 0, vlookup($A335,'Ultimate Draft Kit'!$B$2:$E$261, 4, false))</f>
        <v>0</v>
      </c>
      <c r="H335" s="36">
        <f>if(ISNA(vlookup($A335, FantasyPro!$B$2:$E$514,4,false)),0,vlookup($A335,FantasyPro!$B$2:$E$514,4,false))</f>
        <v>0</v>
      </c>
      <c r="I335" s="36">
        <f>if(ISNA(vlookup($A335, FFToolbox!$B$2:$E$618, 4, false)), 0, vlookup($A335, FFToolbox!$B$2:$E$618, 4, false))</f>
        <v>2</v>
      </c>
      <c r="J335" s="37">
        <f t="shared" si="1"/>
        <v>0.5</v>
      </c>
      <c r="K335" s="37">
        <f t="shared" si="2"/>
        <v>2</v>
      </c>
    </row>
    <row r="336" hidden="1">
      <c r="A336" s="13" t="s">
        <v>536</v>
      </c>
      <c r="B336" s="34" t="s">
        <v>1061</v>
      </c>
      <c r="C336" s="5" t="s">
        <v>96</v>
      </c>
      <c r="D336" s="5" t="s">
        <v>25</v>
      </c>
      <c r="E336" s="35">
        <f>vlookup(C336,'Team Bye List'!$A$1:$B$33,2,False)</f>
        <v>10</v>
      </c>
      <c r="F336" s="36">
        <f>if(ISNA(vlookup($A336, ESPN!$B$2:$E$1010, 4, false)), 0, vlookup($A336, ESPN!$B$2:$E$1010, 4, false))</f>
        <v>0</v>
      </c>
      <c r="G336" s="36">
        <f>if(ISNA(vlookup($A336,'Ultimate Draft Kit'!$B$2:$E$261,4, false)), 0, vlookup($A336,'Ultimate Draft Kit'!$B$2:$E$261, 4, false))</f>
        <v>0</v>
      </c>
      <c r="H336" s="36">
        <f>if(ISNA(vlookup($A336, FantasyPro!$B$2:$E$514,4,false)),0,vlookup($A336,FantasyPro!$B$2:$E$514,4,false))</f>
        <v>0</v>
      </c>
      <c r="I336" s="36">
        <f>if(ISNA(vlookup($A336, FFToolbox!$B$2:$E$618, 4, false)), 0, vlookup($A336, FFToolbox!$B$2:$E$618, 4, false))</f>
        <v>2</v>
      </c>
      <c r="J336" s="37">
        <f t="shared" si="1"/>
        <v>0.5</v>
      </c>
      <c r="K336" s="37">
        <f t="shared" si="2"/>
        <v>2</v>
      </c>
    </row>
    <row r="337" hidden="1">
      <c r="A337" s="13" t="s">
        <v>527</v>
      </c>
      <c r="B337" s="34" t="s">
        <v>1061</v>
      </c>
      <c r="C337" s="5" t="s">
        <v>102</v>
      </c>
      <c r="D337" s="5" t="s">
        <v>25</v>
      </c>
      <c r="E337" s="35">
        <f>vlookup(C337,'Team Bye List'!$A$1:$B$33,2,False)</f>
        <v>11</v>
      </c>
      <c r="F337" s="36">
        <f>if(ISNA(vlookup($A337, ESPN!$B$2:$E$1010, 4, false)), 0, vlookup($A337, ESPN!$B$2:$E$1010, 4, false))</f>
        <v>0</v>
      </c>
      <c r="G337" s="36">
        <f>if(ISNA(vlookup($A337,'Ultimate Draft Kit'!$B$2:$E$261,4, false)), 0, vlookup($A337,'Ultimate Draft Kit'!$B$2:$E$261, 4, false))</f>
        <v>0</v>
      </c>
      <c r="H337" s="36">
        <f>if(ISNA(vlookup($A337, FantasyPro!$B$2:$E$514,4,false)),0,vlookup($A337,FantasyPro!$B$2:$E$514,4,false))</f>
        <v>0</v>
      </c>
      <c r="I337" s="36">
        <f>if(ISNA(vlookup($A337, FFToolbox!$B$2:$E$618, 4, false)), 0, vlookup($A337, FFToolbox!$B$2:$E$618, 4, false))</f>
        <v>2</v>
      </c>
      <c r="J337" s="37">
        <f t="shared" si="1"/>
        <v>0.5</v>
      </c>
      <c r="K337" s="37">
        <f t="shared" si="2"/>
        <v>2</v>
      </c>
    </row>
    <row r="338" hidden="1">
      <c r="A338" s="13" t="s">
        <v>522</v>
      </c>
      <c r="B338" s="34" t="s">
        <v>1061</v>
      </c>
      <c r="C338" s="5" t="s">
        <v>22</v>
      </c>
      <c r="D338" s="5" t="s">
        <v>25</v>
      </c>
      <c r="E338" s="35">
        <f>vlookup(C338,'Team Bye List'!$A$1:$B$33,2,False)</f>
        <v>7</v>
      </c>
      <c r="F338" s="36">
        <f>if(ISNA(vlookup($A338, ESPN!$B$2:$E$1010, 4, false)), 0, vlookup($A338, ESPN!$B$2:$E$1010, 4, false))</f>
        <v>0</v>
      </c>
      <c r="G338" s="36">
        <f>if(ISNA(vlookup($A338,'Ultimate Draft Kit'!$B$2:$E$261,4, false)), 0, vlookup($A338,'Ultimate Draft Kit'!$B$2:$E$261, 4, false))</f>
        <v>0</v>
      </c>
      <c r="H338" s="36">
        <f>if(ISNA(vlookup($A338, FantasyPro!$B$2:$E$514,4,false)),0,vlookup($A338,FantasyPro!$B$2:$E$514,4,false))</f>
        <v>0</v>
      </c>
      <c r="I338" s="36">
        <f>if(ISNA(vlookup($A338, FFToolbox!$B$2:$E$618, 4, false)), 0, vlookup($A338, FFToolbox!$B$2:$E$618, 4, false))</f>
        <v>2</v>
      </c>
      <c r="J338" s="37">
        <f t="shared" si="1"/>
        <v>0.5</v>
      </c>
      <c r="K338" s="37">
        <f t="shared" si="2"/>
        <v>2</v>
      </c>
    </row>
    <row r="339" hidden="1">
      <c r="A339" s="13" t="s">
        <v>511</v>
      </c>
      <c r="B339" s="34" t="s">
        <v>1061</v>
      </c>
      <c r="C339" s="5" t="s">
        <v>77</v>
      </c>
      <c r="D339" s="5" t="s">
        <v>25</v>
      </c>
      <c r="E339" s="35">
        <f>vlookup(C339,'Team Bye List'!$A$1:$B$33,2,False)</f>
        <v>11</v>
      </c>
      <c r="F339" s="36">
        <f>if(ISNA(vlookup($A339, ESPN!$B$2:$E$1010, 4, false)), 0, vlookup($A339, ESPN!$B$2:$E$1010, 4, false))</f>
        <v>0</v>
      </c>
      <c r="G339" s="36">
        <f>if(ISNA(vlookup($A339,'Ultimate Draft Kit'!$B$2:$E$261,4, false)), 0, vlookup($A339,'Ultimate Draft Kit'!$B$2:$E$261, 4, false))</f>
        <v>0</v>
      </c>
      <c r="H339" s="36">
        <f>if(ISNA(vlookup($A339, FantasyPro!$B$2:$E$514,4,false)),0,vlookup($A339,FantasyPro!$B$2:$E$514,4,false))</f>
        <v>0</v>
      </c>
      <c r="I339" s="36">
        <f>if(ISNA(vlookup($A339, FFToolbox!$B$2:$E$618, 4, false)), 0, vlookup($A339, FFToolbox!$B$2:$E$618, 4, false))</f>
        <v>2</v>
      </c>
      <c r="J339" s="37">
        <f t="shared" si="1"/>
        <v>0.5</v>
      </c>
      <c r="K339" s="37">
        <f t="shared" si="2"/>
        <v>2</v>
      </c>
    </row>
    <row r="340" hidden="1">
      <c r="A340" s="13" t="s">
        <v>513</v>
      </c>
      <c r="B340" s="34" t="s">
        <v>1061</v>
      </c>
      <c r="C340" s="5" t="s">
        <v>9</v>
      </c>
      <c r="D340" s="5" t="s">
        <v>25</v>
      </c>
      <c r="E340" s="35">
        <f>vlookup(C340,'Team Bye List'!$A$1:$B$33,2,False)</f>
        <v>10</v>
      </c>
      <c r="F340" s="36">
        <f>if(ISNA(vlookup($A340, ESPN!$B$2:$E$1010, 4, false)), 0, vlookup($A340, ESPN!$B$2:$E$1010, 4, false))</f>
        <v>0</v>
      </c>
      <c r="G340" s="36">
        <f>if(ISNA(vlookup($A340,'Ultimate Draft Kit'!$B$2:$E$261,4, false)), 0, vlookup($A340,'Ultimate Draft Kit'!$B$2:$E$261, 4, false))</f>
        <v>0</v>
      </c>
      <c r="H340" s="36">
        <f>if(ISNA(vlookup($A340, FantasyPro!$B$2:$E$514,4,false)),0,vlookup($A340,FantasyPro!$B$2:$E$514,4,false))</f>
        <v>0</v>
      </c>
      <c r="I340" s="36">
        <f>if(ISNA(vlookup($A340, FFToolbox!$B$2:$E$618, 4, false)), 0, vlookup($A340, FFToolbox!$B$2:$E$618, 4, false))</f>
        <v>2</v>
      </c>
      <c r="J340" s="37">
        <f t="shared" si="1"/>
        <v>0.5</v>
      </c>
      <c r="K340" s="37">
        <f t="shared" si="2"/>
        <v>2</v>
      </c>
    </row>
    <row r="341" hidden="1">
      <c r="A341" s="13" t="s">
        <v>509</v>
      </c>
      <c r="B341" s="34" t="s">
        <v>1061</v>
      </c>
      <c r="C341" s="5" t="s">
        <v>32</v>
      </c>
      <c r="D341" s="5" t="s">
        <v>25</v>
      </c>
      <c r="E341" s="35">
        <f>vlookup(C341,'Team Bye List'!$A$1:$B$33,2,False)</f>
        <v>9</v>
      </c>
      <c r="F341" s="36">
        <f>if(ISNA(vlookup($A341, ESPN!$B$2:$E$1010, 4, false)), 0, vlookup($A341, ESPN!$B$2:$E$1010, 4, false))</f>
        <v>0</v>
      </c>
      <c r="G341" s="36">
        <f>if(ISNA(vlookup($A341,'Ultimate Draft Kit'!$B$2:$E$261,4, false)), 0, vlookup($A341,'Ultimate Draft Kit'!$B$2:$E$261, 4, false))</f>
        <v>0</v>
      </c>
      <c r="H341" s="36">
        <f>if(ISNA(vlookup($A341, FantasyPro!$B$2:$E$514,4,false)),0,vlookup($A341,FantasyPro!$B$2:$E$514,4,false))</f>
        <v>0</v>
      </c>
      <c r="I341" s="36">
        <f>if(ISNA(vlookup($A341, FFToolbox!$B$2:$E$618, 4, false)), 0, vlookup($A341, FFToolbox!$B$2:$E$618, 4, false))</f>
        <v>2</v>
      </c>
      <c r="J341" s="37">
        <f t="shared" si="1"/>
        <v>0.5</v>
      </c>
      <c r="K341" s="37">
        <f t="shared" si="2"/>
        <v>2</v>
      </c>
    </row>
    <row r="342" hidden="1">
      <c r="A342" s="13" t="s">
        <v>431</v>
      </c>
      <c r="B342" s="34" t="s">
        <v>1061</v>
      </c>
      <c r="C342" s="5" t="s">
        <v>38</v>
      </c>
      <c r="D342" s="5" t="s">
        <v>25</v>
      </c>
      <c r="E342" s="35">
        <f>vlookup(C342,'Team Bye List'!$A$1:$B$33,2,False)</f>
        <v>12</v>
      </c>
      <c r="F342" s="36">
        <f>if(ISNA(vlookup($A342, ESPN!$B$2:$E$1010, 4, false)), 0, vlookup($A342, ESPN!$B$2:$E$1010, 4, false))</f>
        <v>0</v>
      </c>
      <c r="G342" s="36">
        <f>if(ISNA(vlookup($A342,'Ultimate Draft Kit'!$B$2:$E$261,4, false)), 0, vlookup($A342,'Ultimate Draft Kit'!$B$2:$E$261, 4, false))</f>
        <v>0</v>
      </c>
      <c r="H342" s="36">
        <f>if(ISNA(vlookup($A342, FantasyPro!$B$2:$E$514,4,false)),0,vlookup($A342,FantasyPro!$B$2:$E$514,4,false))</f>
        <v>0</v>
      </c>
      <c r="I342" s="36">
        <f>if(ISNA(vlookup($A342, FFToolbox!$B$2:$E$618, 4, false)), 0, vlookup($A342, FFToolbox!$B$2:$E$618, 4, false))</f>
        <v>2</v>
      </c>
      <c r="J342" s="37">
        <f t="shared" si="1"/>
        <v>0.5</v>
      </c>
      <c r="K342" s="37">
        <f t="shared" si="2"/>
        <v>2</v>
      </c>
    </row>
    <row r="343" hidden="1">
      <c r="A343" s="13" t="s">
        <v>430</v>
      </c>
      <c r="B343" s="34" t="s">
        <v>1061</v>
      </c>
      <c r="C343" s="5" t="s">
        <v>74</v>
      </c>
      <c r="D343" s="5" t="s">
        <v>25</v>
      </c>
      <c r="E343" s="35">
        <f>vlookup(C343,'Team Bye List'!$A$1:$B$33,2,False)</f>
        <v>7</v>
      </c>
      <c r="F343" s="36">
        <f>if(ISNA(vlookup($A343, ESPN!$B$2:$E$1010, 4, false)), 0, vlookup($A343, ESPN!$B$2:$E$1010, 4, false))</f>
        <v>0</v>
      </c>
      <c r="G343" s="36">
        <f>if(ISNA(vlookup($A343,'Ultimate Draft Kit'!$B$2:$E$261,4, false)), 0, vlookup($A343,'Ultimate Draft Kit'!$B$2:$E$261, 4, false))</f>
        <v>0</v>
      </c>
      <c r="H343" s="36">
        <f>if(ISNA(vlookup($A343, FantasyPro!$B$2:$E$514,4,false)),0,vlookup($A343,FantasyPro!$B$2:$E$514,4,false))</f>
        <v>0</v>
      </c>
      <c r="I343" s="36">
        <f>if(ISNA(vlookup($A343, FFToolbox!$B$2:$E$618, 4, false)), 0, vlookup($A343, FFToolbox!$B$2:$E$618, 4, false))</f>
        <v>2</v>
      </c>
      <c r="J343" s="37">
        <f t="shared" si="1"/>
        <v>0.5</v>
      </c>
      <c r="K343" s="37">
        <f t="shared" si="2"/>
        <v>2</v>
      </c>
    </row>
    <row r="344" hidden="1">
      <c r="A344" s="13" t="s">
        <v>417</v>
      </c>
      <c r="B344" s="34" t="s">
        <v>1061</v>
      </c>
      <c r="C344" s="5" t="s">
        <v>63</v>
      </c>
      <c r="D344" s="5" t="s">
        <v>16</v>
      </c>
      <c r="E344" s="35">
        <f>vlookup(C344,'Team Bye List'!$A$1:$B$33,2,False)</f>
        <v>8</v>
      </c>
      <c r="F344" s="36">
        <f>if(ISNA(vlookup($A344, ESPN!$B$2:$E$1010, 4, false)), 0, vlookup($A344, ESPN!$B$2:$E$1010, 4, false))</f>
        <v>0</v>
      </c>
      <c r="G344" s="36">
        <f>if(ISNA(vlookup($A344,'Ultimate Draft Kit'!$B$2:$E$261,4, false)), 0, vlookup($A344,'Ultimate Draft Kit'!$B$2:$E$261, 4, false))</f>
        <v>0</v>
      </c>
      <c r="H344" s="36">
        <f>if(ISNA(vlookup($A344, FantasyPro!$B$2:$E$514,4,false)),0,vlookup($A344,FantasyPro!$B$2:$E$514,4,false))</f>
        <v>0</v>
      </c>
      <c r="I344" s="36">
        <f>if(ISNA(vlookup($A344, FFToolbox!$B$2:$E$618, 4, false)), 0, vlookup($A344, FFToolbox!$B$2:$E$618, 4, false))</f>
        <v>2</v>
      </c>
      <c r="J344" s="37">
        <f t="shared" si="1"/>
        <v>0.5</v>
      </c>
      <c r="K344" s="37">
        <f t="shared" si="2"/>
        <v>2</v>
      </c>
    </row>
    <row r="345" hidden="1">
      <c r="A345" s="13" t="s">
        <v>422</v>
      </c>
      <c r="B345" s="34" t="s">
        <v>1061</v>
      </c>
      <c r="C345" s="5" t="s">
        <v>56</v>
      </c>
      <c r="D345" s="5" t="s">
        <v>25</v>
      </c>
      <c r="E345" s="35">
        <f>vlookup(C345,'Team Bye List'!$A$1:$B$33,2,False)</f>
        <v>5</v>
      </c>
      <c r="F345" s="36">
        <f>if(ISNA(vlookup($A345, ESPN!$B$2:$E$1010, 4, false)), 0, vlookup($A345, ESPN!$B$2:$E$1010, 4, false))</f>
        <v>0</v>
      </c>
      <c r="G345" s="36">
        <f>if(ISNA(vlookup($A345,'Ultimate Draft Kit'!$B$2:$E$261,4, false)), 0, vlookup($A345,'Ultimate Draft Kit'!$B$2:$E$261, 4, false))</f>
        <v>0</v>
      </c>
      <c r="H345" s="36">
        <f>if(ISNA(vlookup($A345, FantasyPro!$B$2:$E$514,4,false)),0,vlookup($A345,FantasyPro!$B$2:$E$514,4,false))</f>
        <v>0</v>
      </c>
      <c r="I345" s="36">
        <f>if(ISNA(vlookup($A345, FFToolbox!$B$2:$E$618, 4, false)), 0, vlookup($A345, FFToolbox!$B$2:$E$618, 4, false))</f>
        <v>2</v>
      </c>
      <c r="J345" s="37">
        <f t="shared" si="1"/>
        <v>0.5</v>
      </c>
      <c r="K345" s="37">
        <f t="shared" si="2"/>
        <v>2</v>
      </c>
    </row>
    <row r="346" hidden="1">
      <c r="A346" s="13" t="s">
        <v>418</v>
      </c>
      <c r="B346" s="34" t="s">
        <v>1061</v>
      </c>
      <c r="C346" s="5" t="s">
        <v>24</v>
      </c>
      <c r="D346" s="5" t="s">
        <v>25</v>
      </c>
      <c r="E346" s="35">
        <f>vlookup(C346,'Team Bye List'!$A$1:$B$33,2,False)</f>
        <v>6</v>
      </c>
      <c r="F346" s="36">
        <f>if(ISNA(vlookup($A346, ESPN!$B$2:$E$1010, 4, false)), 0, vlookup($A346, ESPN!$B$2:$E$1010, 4, false))</f>
        <v>0</v>
      </c>
      <c r="G346" s="36">
        <f>if(ISNA(vlookup($A346,'Ultimate Draft Kit'!$B$2:$E$261,4, false)), 0, vlookup($A346,'Ultimate Draft Kit'!$B$2:$E$261, 4, false))</f>
        <v>0</v>
      </c>
      <c r="H346" s="36">
        <f>if(ISNA(vlookup($A346, FantasyPro!$B$2:$E$514,4,false)),0,vlookup($A346,FantasyPro!$B$2:$E$514,4,false))</f>
        <v>0</v>
      </c>
      <c r="I346" s="36">
        <f>if(ISNA(vlookup($A346, FFToolbox!$B$2:$E$618, 4, false)), 0, vlookup($A346, FFToolbox!$B$2:$E$618, 4, false))</f>
        <v>2</v>
      </c>
      <c r="J346" s="37">
        <f t="shared" si="1"/>
        <v>0.5</v>
      </c>
      <c r="K346" s="37">
        <f t="shared" si="2"/>
        <v>2</v>
      </c>
    </row>
    <row r="347" hidden="1">
      <c r="A347" s="13" t="s">
        <v>400</v>
      </c>
      <c r="B347" s="34" t="s">
        <v>1061</v>
      </c>
      <c r="C347" s="5" t="s">
        <v>24</v>
      </c>
      <c r="D347" s="5" t="s">
        <v>16</v>
      </c>
      <c r="E347" s="35">
        <f>vlookup(C347,'Team Bye List'!$A$1:$B$33,2,False)</f>
        <v>6</v>
      </c>
      <c r="F347" s="36">
        <f>if(ISNA(vlookup($A347, ESPN!$B$2:$E$1010, 4, false)), 0, vlookup($A347, ESPN!$B$2:$E$1010, 4, false))</f>
        <v>0</v>
      </c>
      <c r="G347" s="36">
        <f>if(ISNA(vlookup($A347,'Ultimate Draft Kit'!$B$2:$E$261,4, false)), 0, vlookup($A347,'Ultimate Draft Kit'!$B$2:$E$261, 4, false))</f>
        <v>0</v>
      </c>
      <c r="H347" s="36">
        <f>if(ISNA(vlookup($A347, FantasyPro!$B$2:$E$514,4,false)),0,vlookup($A347,FantasyPro!$B$2:$E$514,4,false))</f>
        <v>0</v>
      </c>
      <c r="I347" s="36">
        <f>if(ISNA(vlookup($A347, FFToolbox!$B$2:$E$618, 4, false)), 0, vlookup($A347, FFToolbox!$B$2:$E$618, 4, false))</f>
        <v>2</v>
      </c>
      <c r="J347" s="37">
        <f t="shared" si="1"/>
        <v>0.5</v>
      </c>
      <c r="K347" s="37">
        <f t="shared" si="2"/>
        <v>2</v>
      </c>
    </row>
    <row r="348" hidden="1">
      <c r="A348" s="13" t="s">
        <v>384</v>
      </c>
      <c r="B348" s="34" t="s">
        <v>1061</v>
      </c>
      <c r="C348" s="5" t="s">
        <v>40</v>
      </c>
      <c r="D348" s="5" t="s">
        <v>25</v>
      </c>
      <c r="E348" s="35">
        <f>vlookup(C348,'Team Bye List'!$A$1:$B$33,2,False)</f>
        <v>6</v>
      </c>
      <c r="F348" s="36">
        <f>if(ISNA(vlookup($A348, ESPN!$B$2:$E$1010, 4, false)), 0, vlookup($A348, ESPN!$B$2:$E$1010, 4, false))</f>
        <v>0</v>
      </c>
      <c r="G348" s="36">
        <f>if(ISNA(vlookup($A348,'Ultimate Draft Kit'!$B$2:$E$261,4, false)), 0, vlookup($A348,'Ultimate Draft Kit'!$B$2:$E$261, 4, false))</f>
        <v>0</v>
      </c>
      <c r="H348" s="36">
        <f>if(ISNA(vlookup($A348, FantasyPro!$B$2:$E$514,4,false)),0,vlookup($A348,FantasyPro!$B$2:$E$514,4,false))</f>
        <v>0</v>
      </c>
      <c r="I348" s="36">
        <f>if(ISNA(vlookup($A348, FFToolbox!$B$2:$E$618, 4, false)), 0, vlookup($A348, FFToolbox!$B$2:$E$618, 4, false))</f>
        <v>2</v>
      </c>
      <c r="J348" s="37">
        <f t="shared" si="1"/>
        <v>0.5</v>
      </c>
      <c r="K348" s="37">
        <f t="shared" si="2"/>
        <v>2</v>
      </c>
    </row>
    <row r="349" hidden="1">
      <c r="A349" s="13" t="s">
        <v>379</v>
      </c>
      <c r="B349" s="34" t="s">
        <v>1061</v>
      </c>
      <c r="C349" s="5" t="s">
        <v>61</v>
      </c>
      <c r="D349" s="5" t="s">
        <v>25</v>
      </c>
      <c r="E349" s="35">
        <f>vlookup(C349,'Team Bye List'!$A$1:$B$33,2,False)</f>
        <v>9</v>
      </c>
      <c r="F349" s="36">
        <f>if(ISNA(vlookup($A349, ESPN!$B$2:$E$1010, 4, false)), 0, vlookup($A349, ESPN!$B$2:$E$1010, 4, false))</f>
        <v>0</v>
      </c>
      <c r="G349" s="36">
        <f>if(ISNA(vlookup($A349,'Ultimate Draft Kit'!$B$2:$E$261,4, false)), 0, vlookup($A349,'Ultimate Draft Kit'!$B$2:$E$261, 4, false))</f>
        <v>0</v>
      </c>
      <c r="H349" s="36">
        <f>if(ISNA(vlookup($A349, FantasyPro!$B$2:$E$514,4,false)),0,vlookup($A349,FantasyPro!$B$2:$E$514,4,false))</f>
        <v>0</v>
      </c>
      <c r="I349" s="36">
        <f>if(ISNA(vlookup($A349, FFToolbox!$B$2:$E$618, 4, false)), 0, vlookup($A349, FFToolbox!$B$2:$E$618, 4, false))</f>
        <v>2</v>
      </c>
      <c r="J349" s="37">
        <f t="shared" si="1"/>
        <v>0.5</v>
      </c>
      <c r="K349" s="37">
        <f t="shared" si="2"/>
        <v>2</v>
      </c>
    </row>
    <row r="350" hidden="1">
      <c r="A350" s="13" t="s">
        <v>372</v>
      </c>
      <c r="B350" s="34" t="s">
        <v>1061</v>
      </c>
      <c r="C350" s="5" t="s">
        <v>86</v>
      </c>
      <c r="D350" s="5" t="s">
        <v>16</v>
      </c>
      <c r="E350" s="35">
        <f>vlookup(C350,'Team Bye List'!$A$1:$B$33,2,False)</f>
        <v>6</v>
      </c>
      <c r="F350" s="36">
        <f>if(ISNA(vlookup($A350, ESPN!$B$2:$E$1010, 4, false)), 0, vlookup($A350, ESPN!$B$2:$E$1010, 4, false))</f>
        <v>0</v>
      </c>
      <c r="G350" s="36">
        <f>if(ISNA(vlookup($A350,'Ultimate Draft Kit'!$B$2:$E$261,4, false)), 0, vlookup($A350,'Ultimate Draft Kit'!$B$2:$E$261, 4, false))</f>
        <v>0</v>
      </c>
      <c r="H350" s="36">
        <f>if(ISNA(vlookup($A350, FantasyPro!$B$2:$E$514,4,false)),0,vlookup($A350,FantasyPro!$B$2:$E$514,4,false))</f>
        <v>0</v>
      </c>
      <c r="I350" s="36">
        <f>if(ISNA(vlookup($A350, FFToolbox!$B$2:$E$618, 4, false)), 0, vlookup($A350, FFToolbox!$B$2:$E$618, 4, false))</f>
        <v>2</v>
      </c>
      <c r="J350" s="37">
        <f t="shared" si="1"/>
        <v>0.5</v>
      </c>
      <c r="K350" s="37">
        <f t="shared" si="2"/>
        <v>2</v>
      </c>
    </row>
    <row r="351" hidden="1">
      <c r="A351" s="13" t="s">
        <v>374</v>
      </c>
      <c r="B351" s="34" t="s">
        <v>1061</v>
      </c>
      <c r="C351" s="5" t="s">
        <v>56</v>
      </c>
      <c r="D351" s="5" t="s">
        <v>16</v>
      </c>
      <c r="E351" s="35">
        <f>vlookup(C351,'Team Bye List'!$A$1:$B$33,2,False)</f>
        <v>5</v>
      </c>
      <c r="F351" s="36">
        <f>if(ISNA(vlookup($A351, ESPN!$B$2:$E$1010, 4, false)), 0, vlookup($A351, ESPN!$B$2:$E$1010, 4, false))</f>
        <v>0</v>
      </c>
      <c r="G351" s="36">
        <f>if(ISNA(vlookup($A351,'Ultimate Draft Kit'!$B$2:$E$261,4, false)), 0, vlookup($A351,'Ultimate Draft Kit'!$B$2:$E$261, 4, false))</f>
        <v>0</v>
      </c>
      <c r="H351" s="36">
        <f>if(ISNA(vlookup($A351, FantasyPro!$B$2:$E$514,4,false)),0,vlookup($A351,FantasyPro!$B$2:$E$514,4,false))</f>
        <v>0</v>
      </c>
      <c r="I351" s="36">
        <f>if(ISNA(vlookup($A351, FFToolbox!$B$2:$E$618, 4, false)), 0, vlookup($A351, FFToolbox!$B$2:$E$618, 4, false))</f>
        <v>2</v>
      </c>
      <c r="J351" s="37">
        <f t="shared" si="1"/>
        <v>0.5</v>
      </c>
      <c r="K351" s="37">
        <f t="shared" si="2"/>
        <v>2</v>
      </c>
    </row>
    <row r="352" hidden="1">
      <c r="A352" s="13" t="s">
        <v>373</v>
      </c>
      <c r="B352" s="34" t="s">
        <v>1061</v>
      </c>
      <c r="C352" s="5" t="s">
        <v>12</v>
      </c>
      <c r="D352" s="5" t="s">
        <v>25</v>
      </c>
      <c r="E352" s="35">
        <f>vlookup(C352,'Team Bye List'!$A$1:$B$33,2,False)</f>
        <v>8</v>
      </c>
      <c r="F352" s="36">
        <f>if(ISNA(vlookup($A352, ESPN!$B$2:$E$1010, 4, false)), 0, vlookup($A352, ESPN!$B$2:$E$1010, 4, false))</f>
        <v>0</v>
      </c>
      <c r="G352" s="36">
        <f>if(ISNA(vlookup($A352,'Ultimate Draft Kit'!$B$2:$E$261,4, false)), 0, vlookup($A352,'Ultimate Draft Kit'!$B$2:$E$261, 4, false))</f>
        <v>0</v>
      </c>
      <c r="H352" s="36">
        <f>if(ISNA(vlookup($A352, FantasyPro!$B$2:$E$514,4,false)),0,vlookup($A352,FantasyPro!$B$2:$E$514,4,false))</f>
        <v>0</v>
      </c>
      <c r="I352" s="36">
        <f>if(ISNA(vlookup($A352, FFToolbox!$B$2:$E$618, 4, false)), 0, vlookup($A352, FFToolbox!$B$2:$E$618, 4, false))</f>
        <v>2</v>
      </c>
      <c r="J352" s="37">
        <f t="shared" si="1"/>
        <v>0.5</v>
      </c>
      <c r="K352" s="37">
        <f t="shared" si="2"/>
        <v>2</v>
      </c>
    </row>
    <row r="353" hidden="1">
      <c r="A353" s="13" t="s">
        <v>369</v>
      </c>
      <c r="B353" s="34" t="s">
        <v>1061</v>
      </c>
      <c r="C353" s="5" t="s">
        <v>1007</v>
      </c>
      <c r="D353" s="5" t="s">
        <v>16</v>
      </c>
      <c r="E353" s="35">
        <f>vlookup(C353,'Team Bye List'!$A$1:$B$33,2,False)</f>
        <v>8</v>
      </c>
      <c r="F353" s="36">
        <f>if(ISNA(vlookup($A353, ESPN!$B$2:$E$1010, 4, false)), 0, vlookup($A353, ESPN!$B$2:$E$1010, 4, false))</f>
        <v>0</v>
      </c>
      <c r="G353" s="36">
        <f>if(ISNA(vlookup($A353,'Ultimate Draft Kit'!$B$2:$E$261,4, false)), 0, vlookup($A353,'Ultimate Draft Kit'!$B$2:$E$261, 4, false))</f>
        <v>0</v>
      </c>
      <c r="H353" s="36">
        <f>if(ISNA(vlookup($A353, FantasyPro!$B$2:$E$514,4,false)),0,vlookup($A353,FantasyPro!$B$2:$E$514,4,false))</f>
        <v>0</v>
      </c>
      <c r="I353" s="36">
        <f>if(ISNA(vlookup($A353, FFToolbox!$B$2:$E$618, 4, false)), 0, vlookup($A353, FFToolbox!$B$2:$E$618, 4, false))</f>
        <v>2</v>
      </c>
      <c r="J353" s="37">
        <f t="shared" si="1"/>
        <v>0.5</v>
      </c>
      <c r="K353" s="37">
        <f t="shared" si="2"/>
        <v>2</v>
      </c>
    </row>
    <row r="354" hidden="1">
      <c r="A354" s="13" t="s">
        <v>357</v>
      </c>
      <c r="B354" s="34" t="s">
        <v>1061</v>
      </c>
      <c r="C354" s="5" t="s">
        <v>29</v>
      </c>
      <c r="D354" s="5" t="s">
        <v>16</v>
      </c>
      <c r="E354" s="35">
        <f>vlookup(C354,'Team Bye List'!$A$1:$B$33,2,False)</f>
        <v>11</v>
      </c>
      <c r="F354" s="36">
        <f>if(ISNA(vlookup($A354, ESPN!$B$2:$E$1010, 4, false)), 0, vlookup($A354, ESPN!$B$2:$E$1010, 4, false))</f>
        <v>0</v>
      </c>
      <c r="G354" s="36">
        <f>if(ISNA(vlookup($A354,'Ultimate Draft Kit'!$B$2:$E$261,4, false)), 0, vlookup($A354,'Ultimate Draft Kit'!$B$2:$E$261, 4, false))</f>
        <v>0</v>
      </c>
      <c r="H354" s="36">
        <f>if(ISNA(vlookup($A354, FantasyPro!$B$2:$E$514,4,false)),0,vlookup($A354,FantasyPro!$B$2:$E$514,4,false))</f>
        <v>0</v>
      </c>
      <c r="I354" s="36">
        <f>if(ISNA(vlookup($A354, FFToolbox!$B$2:$E$618, 4, false)), 0, vlookup($A354, FFToolbox!$B$2:$E$618, 4, false))</f>
        <v>2</v>
      </c>
      <c r="J354" s="37">
        <f t="shared" si="1"/>
        <v>0.5</v>
      </c>
      <c r="K354" s="37">
        <f t="shared" si="2"/>
        <v>2</v>
      </c>
    </row>
    <row r="355" hidden="1">
      <c r="A355" s="13" t="s">
        <v>350</v>
      </c>
      <c r="B355" s="34" t="s">
        <v>1061</v>
      </c>
      <c r="C355" s="5" t="s">
        <v>18</v>
      </c>
      <c r="D355" s="5" t="s">
        <v>16</v>
      </c>
      <c r="E355" s="35">
        <f>vlookup(C355,'Team Bye List'!$A$1:$B$33,2,False)</f>
        <v>6</v>
      </c>
      <c r="F355" s="36">
        <f>if(ISNA(vlookup($A355, ESPN!$B$2:$E$1010, 4, false)), 0, vlookup($A355, ESPN!$B$2:$E$1010, 4, false))</f>
        <v>0</v>
      </c>
      <c r="G355" s="36">
        <f>if(ISNA(vlookup($A355,'Ultimate Draft Kit'!$B$2:$E$261,4, false)), 0, vlookup($A355,'Ultimate Draft Kit'!$B$2:$E$261, 4, false))</f>
        <v>0</v>
      </c>
      <c r="H355" s="36">
        <f>if(ISNA(vlookup($A355, FantasyPro!$B$2:$E$514,4,false)),0,vlookup($A355,FantasyPro!$B$2:$E$514,4,false))</f>
        <v>0</v>
      </c>
      <c r="I355" s="36">
        <f>if(ISNA(vlookup($A355, FFToolbox!$B$2:$E$618, 4, false)), 0, vlookup($A355, FFToolbox!$B$2:$E$618, 4, false))</f>
        <v>2</v>
      </c>
      <c r="J355" s="37">
        <f t="shared" si="1"/>
        <v>0.5</v>
      </c>
      <c r="K355" s="37">
        <f t="shared" si="2"/>
        <v>2</v>
      </c>
    </row>
    <row r="356" hidden="1">
      <c r="A356" s="13" t="s">
        <v>351</v>
      </c>
      <c r="B356" s="34" t="s">
        <v>1061</v>
      </c>
      <c r="C356" s="5" t="s">
        <v>38</v>
      </c>
      <c r="D356" s="5" t="s">
        <v>25</v>
      </c>
      <c r="E356" s="35">
        <f>vlookup(C356,'Team Bye List'!$A$1:$B$33,2,False)</f>
        <v>12</v>
      </c>
      <c r="F356" s="36">
        <f>if(ISNA(vlookup($A356, ESPN!$B$2:$E$1010, 4, false)), 0, vlookup($A356, ESPN!$B$2:$E$1010, 4, false))</f>
        <v>0</v>
      </c>
      <c r="G356" s="36">
        <f>if(ISNA(vlookup($A356,'Ultimate Draft Kit'!$B$2:$E$261,4, false)), 0, vlookup($A356,'Ultimate Draft Kit'!$B$2:$E$261, 4, false))</f>
        <v>0</v>
      </c>
      <c r="H356" s="36">
        <f>if(ISNA(vlookup($A356, FantasyPro!$B$2:$E$514,4,false)),0,vlookup($A356,FantasyPro!$B$2:$E$514,4,false))</f>
        <v>0</v>
      </c>
      <c r="I356" s="36">
        <f>if(ISNA(vlookup($A356, FFToolbox!$B$2:$E$618, 4, false)), 0, vlookup($A356, FFToolbox!$B$2:$E$618, 4, false))</f>
        <v>2</v>
      </c>
      <c r="J356" s="37">
        <f t="shared" si="1"/>
        <v>0.5</v>
      </c>
      <c r="K356" s="37">
        <f t="shared" si="2"/>
        <v>2</v>
      </c>
    </row>
    <row r="357" hidden="1">
      <c r="A357" s="13" t="s">
        <v>346</v>
      </c>
      <c r="B357" s="34" t="s">
        <v>1061</v>
      </c>
      <c r="C357" s="5" t="s">
        <v>69</v>
      </c>
      <c r="D357" s="5" t="s">
        <v>16</v>
      </c>
      <c r="E357" s="35">
        <f>vlookup(C357,'Team Bye List'!$A$1:$B$33,2,False)</f>
        <v>5</v>
      </c>
      <c r="F357" s="36">
        <f>if(ISNA(vlookup($A357, ESPN!$B$2:$E$1010, 4, false)), 0, vlookup($A357, ESPN!$B$2:$E$1010, 4, false))</f>
        <v>0</v>
      </c>
      <c r="G357" s="36">
        <f>if(ISNA(vlookup($A357,'Ultimate Draft Kit'!$B$2:$E$261,4, false)), 0, vlookup($A357,'Ultimate Draft Kit'!$B$2:$E$261, 4, false))</f>
        <v>0</v>
      </c>
      <c r="H357" s="36">
        <f>if(ISNA(vlookup($A357, FantasyPro!$B$2:$E$514,4,false)),0,vlookup($A357,FantasyPro!$B$2:$E$514,4,false))</f>
        <v>0</v>
      </c>
      <c r="I357" s="36">
        <f>if(ISNA(vlookup($A357, FFToolbox!$B$2:$E$618, 4, false)), 0, vlookup($A357, FFToolbox!$B$2:$E$618, 4, false))</f>
        <v>2</v>
      </c>
      <c r="J357" s="37">
        <f t="shared" si="1"/>
        <v>0.5</v>
      </c>
      <c r="K357" s="37">
        <f t="shared" si="2"/>
        <v>2</v>
      </c>
    </row>
    <row r="358" hidden="1">
      <c r="A358" s="13" t="s">
        <v>330</v>
      </c>
      <c r="B358" s="34" t="s">
        <v>1061</v>
      </c>
      <c r="C358" s="5" t="s">
        <v>40</v>
      </c>
      <c r="D358" s="5" t="s">
        <v>25</v>
      </c>
      <c r="E358" s="35">
        <f>vlookup(C358,'Team Bye List'!$A$1:$B$33,2,False)</f>
        <v>6</v>
      </c>
      <c r="F358" s="36">
        <f>if(ISNA(vlookup($A358, ESPN!$B$2:$E$1010, 4, false)), 0, vlookup($A358, ESPN!$B$2:$E$1010, 4, false))</f>
        <v>0</v>
      </c>
      <c r="G358" s="36">
        <f>if(ISNA(vlookup($A358,'Ultimate Draft Kit'!$B$2:$E$261,4, false)), 0, vlookup($A358,'Ultimate Draft Kit'!$B$2:$E$261, 4, false))</f>
        <v>0</v>
      </c>
      <c r="H358" s="36">
        <f>if(ISNA(vlookup($A358, FantasyPro!$B$2:$E$514,4,false)),0,vlookup($A358,FantasyPro!$B$2:$E$514,4,false))</f>
        <v>0</v>
      </c>
      <c r="I358" s="36">
        <f>if(ISNA(vlookup($A358, FFToolbox!$B$2:$E$618, 4, false)), 0, vlookup($A358, FFToolbox!$B$2:$E$618, 4, false))</f>
        <v>2</v>
      </c>
      <c r="J358" s="37">
        <f t="shared" si="1"/>
        <v>0.5</v>
      </c>
      <c r="K358" s="37">
        <f t="shared" si="2"/>
        <v>2</v>
      </c>
    </row>
    <row r="359" hidden="1">
      <c r="A359" s="13" t="s">
        <v>316</v>
      </c>
      <c r="B359" s="34" t="s">
        <v>1061</v>
      </c>
      <c r="C359" s="5" t="s">
        <v>20</v>
      </c>
      <c r="D359" s="5" t="s">
        <v>16</v>
      </c>
      <c r="E359" s="35">
        <f>vlookup(C359,'Team Bye List'!$A$1:$B$33,2,False)</f>
        <v>8</v>
      </c>
      <c r="F359" s="36">
        <f>if(ISNA(vlookup($A359, ESPN!$B$2:$E$1010, 4, false)), 0, vlookup($A359, ESPN!$B$2:$E$1010, 4, false))</f>
        <v>0</v>
      </c>
      <c r="G359" s="36">
        <f>if(ISNA(vlookup($A359,'Ultimate Draft Kit'!$B$2:$E$261,4, false)), 0, vlookup($A359,'Ultimate Draft Kit'!$B$2:$E$261, 4, false))</f>
        <v>0</v>
      </c>
      <c r="H359" s="36">
        <f>if(ISNA(vlookup($A359, FantasyPro!$B$2:$E$514,4,false)),0,vlookup($A359,FantasyPro!$B$2:$E$514,4,false))</f>
        <v>0</v>
      </c>
      <c r="I359" s="36">
        <f>if(ISNA(vlookup($A359, FFToolbox!$B$2:$E$618, 4, false)), 0, vlookup($A359, FFToolbox!$B$2:$E$618, 4, false))</f>
        <v>2</v>
      </c>
      <c r="J359" s="37">
        <f t="shared" si="1"/>
        <v>0.5</v>
      </c>
      <c r="K359" s="37">
        <f t="shared" si="2"/>
        <v>2</v>
      </c>
    </row>
    <row r="360" hidden="1">
      <c r="A360" s="13" t="s">
        <v>310</v>
      </c>
      <c r="B360" s="34" t="s">
        <v>1061</v>
      </c>
      <c r="C360" s="5" t="s">
        <v>92</v>
      </c>
      <c r="D360" s="5" t="s">
        <v>16</v>
      </c>
      <c r="E360" s="35">
        <f>vlookup(C360,'Team Bye List'!$A$1:$B$33,2,False)</f>
        <v>8</v>
      </c>
      <c r="F360" s="36">
        <f>if(ISNA(vlookup($A360, ESPN!$B$2:$E$1010, 4, false)), 0, vlookup($A360, ESPN!$B$2:$E$1010, 4, false))</f>
        <v>0</v>
      </c>
      <c r="G360" s="36">
        <f>if(ISNA(vlookup($A360,'Ultimate Draft Kit'!$B$2:$E$261,4, false)), 0, vlookup($A360,'Ultimate Draft Kit'!$B$2:$E$261, 4, false))</f>
        <v>0</v>
      </c>
      <c r="H360" s="36">
        <f>if(ISNA(vlookup($A360, FantasyPro!$B$2:$E$514,4,false)),0,vlookup($A360,FantasyPro!$B$2:$E$514,4,false))</f>
        <v>0</v>
      </c>
      <c r="I360" s="36">
        <f>if(ISNA(vlookup($A360, FFToolbox!$B$2:$E$618, 4, false)), 0, vlookup($A360, FFToolbox!$B$2:$E$618, 4, false))</f>
        <v>2</v>
      </c>
      <c r="J360" s="37">
        <f t="shared" si="1"/>
        <v>0.5</v>
      </c>
      <c r="K360" s="37">
        <f t="shared" si="2"/>
        <v>2</v>
      </c>
    </row>
    <row r="361" hidden="1">
      <c r="A361" s="13" t="s">
        <v>302</v>
      </c>
      <c r="B361" s="34" t="s">
        <v>1061</v>
      </c>
      <c r="C361" s="5" t="s">
        <v>86</v>
      </c>
      <c r="D361" s="5" t="s">
        <v>25</v>
      </c>
      <c r="E361" s="35">
        <f>vlookup(C361,'Team Bye List'!$A$1:$B$33,2,False)</f>
        <v>6</v>
      </c>
      <c r="F361" s="36">
        <f>if(ISNA(vlookup($A361, ESPN!$B$2:$E$1010, 4, false)), 0, vlookup($A361, ESPN!$B$2:$E$1010, 4, false))</f>
        <v>0</v>
      </c>
      <c r="G361" s="36">
        <f>if(ISNA(vlookup($A361,'Ultimate Draft Kit'!$B$2:$E$261,4, false)), 0, vlookup($A361,'Ultimate Draft Kit'!$B$2:$E$261, 4, false))</f>
        <v>0</v>
      </c>
      <c r="H361" s="36">
        <f>if(ISNA(vlookup($A361, FantasyPro!$B$2:$E$514,4,false)),0,vlookup($A361,FantasyPro!$B$2:$E$514,4,false))</f>
        <v>0</v>
      </c>
      <c r="I361" s="36">
        <f>if(ISNA(vlookup($A361, FFToolbox!$B$2:$E$618, 4, false)), 0, vlookup($A361, FFToolbox!$B$2:$E$618, 4, false))</f>
        <v>2</v>
      </c>
      <c r="J361" s="37">
        <f t="shared" si="1"/>
        <v>0.5</v>
      </c>
      <c r="K361" s="37">
        <f t="shared" si="2"/>
        <v>2</v>
      </c>
    </row>
    <row r="362" hidden="1">
      <c r="A362" s="13" t="s">
        <v>298</v>
      </c>
      <c r="B362" s="34" t="s">
        <v>1061</v>
      </c>
      <c r="C362" s="5" t="s">
        <v>61</v>
      </c>
      <c r="D362" s="5" t="s">
        <v>16</v>
      </c>
      <c r="E362" s="35">
        <f>vlookup(C362,'Team Bye List'!$A$1:$B$33,2,False)</f>
        <v>9</v>
      </c>
      <c r="F362" s="36">
        <f>if(ISNA(vlookup($A362, ESPN!$B$2:$E$1010, 4, false)), 0, vlookup($A362, ESPN!$B$2:$E$1010, 4, false))</f>
        <v>0</v>
      </c>
      <c r="G362" s="36">
        <f>if(ISNA(vlookup($A362,'Ultimate Draft Kit'!$B$2:$E$261,4, false)), 0, vlookup($A362,'Ultimate Draft Kit'!$B$2:$E$261, 4, false))</f>
        <v>0</v>
      </c>
      <c r="H362" s="36">
        <f>if(ISNA(vlookup($A362, FantasyPro!$B$2:$E$514,4,false)),0,vlookup($A362,FantasyPro!$B$2:$E$514,4,false))</f>
        <v>0</v>
      </c>
      <c r="I362" s="36">
        <f>if(ISNA(vlookup($A362, FFToolbox!$B$2:$E$618, 4, false)), 0, vlookup($A362, FFToolbox!$B$2:$E$618, 4, false))</f>
        <v>2</v>
      </c>
      <c r="J362" s="37">
        <f t="shared" si="1"/>
        <v>0.5</v>
      </c>
      <c r="K362" s="37">
        <f t="shared" si="2"/>
        <v>2</v>
      </c>
    </row>
    <row r="363">
      <c r="A363" s="13" t="s">
        <v>276</v>
      </c>
      <c r="B363" s="34" t="s">
        <v>1061</v>
      </c>
      <c r="C363" s="5" t="s">
        <v>29</v>
      </c>
      <c r="D363" s="5" t="s">
        <v>169</v>
      </c>
      <c r="E363" s="35">
        <f>vlookup(C363,'Team Bye List'!$A$1:$B$33,2,False)</f>
        <v>11</v>
      </c>
      <c r="F363" s="36">
        <f>if(ISNA(vlookup($A363, ESPN!$B$2:$E$1010, 4, false)), 0, vlookup($A363, ESPN!$B$2:$E$1010, 4, false))</f>
        <v>0</v>
      </c>
      <c r="G363" s="36">
        <f>if(ISNA(vlookup($A363,'Ultimate Draft Kit'!$B$2:$E$261,4, false)), 0, vlookup($A363,'Ultimate Draft Kit'!$B$2:$E$261, 4, false))</f>
        <v>0</v>
      </c>
      <c r="H363" s="36">
        <f>if(ISNA(vlookup($A363, FantasyPro!$B$2:$E$514,4,false)),0,vlookup($A363,FantasyPro!$B$2:$E$514,4,false))</f>
        <v>0</v>
      </c>
      <c r="I363" s="36">
        <f>if(ISNA(vlookup($A363, FFToolbox!$B$2:$E$618, 4, false)), 0, vlookup($A363, FFToolbox!$B$2:$E$618, 4, false))</f>
        <v>2</v>
      </c>
      <c r="J363" s="37">
        <f t="shared" si="1"/>
        <v>0.5</v>
      </c>
      <c r="K363" s="37">
        <f t="shared" si="2"/>
        <v>2</v>
      </c>
    </row>
    <row r="364">
      <c r="A364" s="13" t="s">
        <v>268</v>
      </c>
      <c r="B364" s="34" t="s">
        <v>1061</v>
      </c>
      <c r="C364" s="5" t="s">
        <v>134</v>
      </c>
      <c r="D364" s="5" t="s">
        <v>169</v>
      </c>
      <c r="E364" s="35">
        <f>vlookup(C364,'Team Bye List'!$A$1:$B$33,2,False)</f>
        <v>11</v>
      </c>
      <c r="F364" s="36">
        <f>if(ISNA(vlookup($A364, ESPN!$B$2:$E$1010, 4, false)), 0, vlookup($A364, ESPN!$B$2:$E$1010, 4, false))</f>
        <v>0</v>
      </c>
      <c r="G364" s="36">
        <f>if(ISNA(vlookup($A364,'Ultimate Draft Kit'!$B$2:$E$261,4, false)), 0, vlookup($A364,'Ultimate Draft Kit'!$B$2:$E$261, 4, false))</f>
        <v>0</v>
      </c>
      <c r="H364" s="36">
        <f>if(ISNA(vlookup($A364, FantasyPro!$B$2:$E$514,4,false)),0,vlookup($A364,FantasyPro!$B$2:$E$514,4,false))</f>
        <v>0</v>
      </c>
      <c r="I364" s="36">
        <f>if(ISNA(vlookup($A364, FFToolbox!$B$2:$E$618, 4, false)), 0, vlookup($A364, FFToolbox!$B$2:$E$618, 4, false))</f>
        <v>2</v>
      </c>
      <c r="J364" s="37">
        <f t="shared" si="1"/>
        <v>0.5</v>
      </c>
      <c r="K364" s="37">
        <f t="shared" si="2"/>
        <v>2</v>
      </c>
    </row>
    <row r="365">
      <c r="A365" s="13" t="s">
        <v>258</v>
      </c>
      <c r="B365" s="34" t="s">
        <v>1061</v>
      </c>
      <c r="C365" s="5" t="s">
        <v>48</v>
      </c>
      <c r="D365" s="5" t="s">
        <v>169</v>
      </c>
      <c r="E365" s="35">
        <f>vlookup(C365,'Team Bye List'!$A$1:$B$33,2,False)</f>
        <v>11</v>
      </c>
      <c r="F365" s="36">
        <f>if(ISNA(vlookup($A365, ESPN!$B$2:$E$1010, 4, false)), 0, vlookup($A365, ESPN!$B$2:$E$1010, 4, false))</f>
        <v>0</v>
      </c>
      <c r="G365" s="36">
        <f>if(ISNA(vlookup($A365,'Ultimate Draft Kit'!$B$2:$E$261,4, false)), 0, vlookup($A365,'Ultimate Draft Kit'!$B$2:$E$261, 4, false))</f>
        <v>0</v>
      </c>
      <c r="H365" s="36">
        <f>if(ISNA(vlookup($A365, FantasyPro!$B$2:$E$514,4,false)),0,vlookup($A365,FantasyPro!$B$2:$E$514,4,false))</f>
        <v>0</v>
      </c>
      <c r="I365" s="36">
        <f>if(ISNA(vlookup($A365, FFToolbox!$B$2:$E$618, 4, false)), 0, vlookup($A365, FFToolbox!$B$2:$E$618, 4, false))</f>
        <v>2</v>
      </c>
      <c r="J365" s="37">
        <f t="shared" si="1"/>
        <v>0.5</v>
      </c>
      <c r="K365" s="37">
        <f t="shared" si="2"/>
        <v>2</v>
      </c>
    </row>
    <row r="366" hidden="1">
      <c r="A366" s="13" t="s">
        <v>1046</v>
      </c>
      <c r="B366" s="34" t="s">
        <v>1061</v>
      </c>
      <c r="C366" s="5" t="s">
        <v>40</v>
      </c>
      <c r="D366" s="5" t="s">
        <v>10</v>
      </c>
      <c r="E366" s="35">
        <f>vlookup(C366,'Team Bye List'!$A$1:$B$33,2,False)</f>
        <v>6</v>
      </c>
      <c r="F366" s="36">
        <f>if(ISNA(vlookup($A366, ESPN!$B$2:$E$1010, 4, false)), 0, vlookup($A366, ESPN!$B$2:$E$1010, 4, false))</f>
        <v>0</v>
      </c>
      <c r="G366" s="36">
        <f>if(ISNA(vlookup($A366,'Ultimate Draft Kit'!$B$2:$E$261,4, false)), 0, vlookup($A366,'Ultimate Draft Kit'!$B$2:$E$261, 4, false))</f>
        <v>0</v>
      </c>
      <c r="H366" s="36">
        <f>if(ISNA(vlookup($A366, FantasyPro!$B$2:$E$514,4,false)),0,vlookup($A366,FantasyPro!$B$2:$E$514,4,false))</f>
        <v>0</v>
      </c>
      <c r="I366" s="36">
        <f>if(ISNA(vlookup($A366, FFToolbox!$B$2:$E$618, 4, false)), 0, vlookup($A366, FFToolbox!$B$2:$E$618, 4, false))</f>
        <v>2</v>
      </c>
      <c r="J366" s="37">
        <f t="shared" si="1"/>
        <v>0.5</v>
      </c>
      <c r="K366" s="37">
        <f t="shared" si="2"/>
        <v>2</v>
      </c>
    </row>
    <row r="367">
      <c r="A367" s="13" t="s">
        <v>238</v>
      </c>
      <c r="B367" s="34" t="s">
        <v>1061</v>
      </c>
      <c r="C367" s="5" t="s">
        <v>102</v>
      </c>
      <c r="D367" s="5" t="s">
        <v>169</v>
      </c>
      <c r="E367" s="35">
        <f>vlookup(C367,'Team Bye List'!$A$1:$B$33,2,False)</f>
        <v>11</v>
      </c>
      <c r="F367" s="36">
        <f>if(ISNA(vlookup($A367, ESPN!$B$2:$E$1010, 4, false)), 0, vlookup($A367, ESPN!$B$2:$E$1010, 4, false))</f>
        <v>0</v>
      </c>
      <c r="G367" s="36">
        <f>if(ISNA(vlookup($A367,'Ultimate Draft Kit'!$B$2:$E$261,4, false)), 0, vlookup($A367,'Ultimate Draft Kit'!$B$2:$E$261, 4, false))</f>
        <v>0</v>
      </c>
      <c r="H367" s="36">
        <f>if(ISNA(vlookup($A367, FantasyPro!$B$2:$E$514,4,false)),0,vlookup($A367,FantasyPro!$B$2:$E$514,4,false))</f>
        <v>0</v>
      </c>
      <c r="I367" s="36">
        <f>if(ISNA(vlookup($A367, FFToolbox!$B$2:$E$618, 4, false)), 0, vlookup($A367, FFToolbox!$B$2:$E$618, 4, false))</f>
        <v>2</v>
      </c>
      <c r="J367" s="37">
        <f t="shared" si="1"/>
        <v>0.5</v>
      </c>
      <c r="K367" s="37">
        <f t="shared" si="2"/>
        <v>2</v>
      </c>
    </row>
    <row r="368" hidden="1">
      <c r="A368" s="13" t="s">
        <v>225</v>
      </c>
      <c r="B368" s="34" t="s">
        <v>1061</v>
      </c>
      <c r="C368" s="5" t="s">
        <v>1007</v>
      </c>
      <c r="D368" s="5" t="s">
        <v>166</v>
      </c>
      <c r="E368" s="35">
        <f>vlookup(C368,'Team Bye List'!$A$1:$B$33,2,False)</f>
        <v>8</v>
      </c>
      <c r="F368" s="36">
        <f>if(ISNA(vlookup($A368, ESPN!$B$2:$E$1010, 4, false)), 0, vlookup($A368, ESPN!$B$2:$E$1010, 4, false))</f>
        <v>1</v>
      </c>
      <c r="G368" s="36">
        <f>if(ISNA(vlookup($A368,'Ultimate Draft Kit'!$B$2:$E$201,4, false)), 0, vlookup($A368,'Ultimate Draft Kit'!$B$2:$E$201, 4, false))</f>
        <v>0</v>
      </c>
      <c r="H368" s="36">
        <f>if(ISNA(vlookup($A368, FantasyPro!$B$2:$E$514,4,false)),0,vlookup($A368,FantasyPro!$B$2:$E$514,4,false))</f>
        <v>0</v>
      </c>
      <c r="I368" s="36">
        <f>if(ISNA(vlookup($A368, FFToolbox!$B$2:$E$618, 4, false)), 0, vlookup($A368, FFToolbox!$B$2:$E$618, 4, false))</f>
        <v>0</v>
      </c>
      <c r="J368" s="37">
        <f t="shared" si="1"/>
        <v>0.25</v>
      </c>
      <c r="K368" s="37">
        <f t="shared" si="2"/>
        <v>1</v>
      </c>
    </row>
    <row r="369" hidden="1">
      <c r="A369" s="13" t="s">
        <v>228</v>
      </c>
      <c r="B369" s="34" t="s">
        <v>1061</v>
      </c>
      <c r="C369" s="5" t="s">
        <v>44</v>
      </c>
      <c r="D369" s="5" t="s">
        <v>166</v>
      </c>
      <c r="E369" s="35">
        <f>vlookup(C369,'Team Bye List'!$A$1:$B$33,2,False)</f>
        <v>10</v>
      </c>
      <c r="F369" s="36">
        <f>if(ISNA(vlookup($A369, ESPN!$B$2:$E$1010, 4, false)), 0, vlookup($A369, ESPN!$B$2:$E$1010, 4, false))</f>
        <v>1</v>
      </c>
      <c r="G369" s="36">
        <f>if(ISNA(vlookup($A369,'Ultimate Draft Kit'!$B$2:$E$201,4, false)), 0, vlookup($A369,'Ultimate Draft Kit'!$B$2:$E$201, 4, false))</f>
        <v>0</v>
      </c>
      <c r="H369" s="36">
        <f>if(ISNA(vlookup($A369, FantasyPro!$B$2:$E$514,4,false)),0,vlookup($A369,FantasyPro!$B$2:$E$514,4,false))</f>
        <v>0</v>
      </c>
      <c r="I369" s="36">
        <f>if(ISNA(vlookup($A369, FFToolbox!$B$2:$E$618, 4, false)), 0, vlookup($A369, FFToolbox!$B$2:$E$618, 4, false))</f>
        <v>0</v>
      </c>
      <c r="J369" s="37">
        <f t="shared" si="1"/>
        <v>0.25</v>
      </c>
      <c r="K369" s="37">
        <f t="shared" si="2"/>
        <v>1</v>
      </c>
    </row>
    <row r="370" hidden="1">
      <c r="A370" s="13" t="s">
        <v>231</v>
      </c>
      <c r="B370" s="34" t="s">
        <v>1061</v>
      </c>
      <c r="C370" s="5" t="s">
        <v>6</v>
      </c>
      <c r="D370" s="5" t="s">
        <v>166</v>
      </c>
      <c r="E370" s="35">
        <f>vlookup(C370,'Team Bye List'!$A$1:$B$33,2,False)</f>
        <v>12</v>
      </c>
      <c r="F370" s="36">
        <f>if(ISNA(vlookup($A370, ESPN!$B$2:$E$1010, 4, false)), 0, vlookup($A370, ESPN!$B$2:$E$1010, 4, false))</f>
        <v>1</v>
      </c>
      <c r="G370" s="36">
        <f>if(ISNA(vlookup($A370,'Ultimate Draft Kit'!$B$2:$E$201,4, false)), 0, vlookup($A370,'Ultimate Draft Kit'!$B$2:$E$201, 4, false))</f>
        <v>0</v>
      </c>
      <c r="H370" s="36">
        <f>if(ISNA(vlookup($A370, FantasyPro!$B$2:$E$514,4,false)),0,vlookup($A370,FantasyPro!$B$2:$E$514,4,false))</f>
        <v>0</v>
      </c>
      <c r="I370" s="36">
        <f>if(ISNA(vlookup($A370, FFToolbox!$B$2:$E$618, 4, false)), 0, vlookup($A370, FFToolbox!$B$2:$E$618, 4, false))</f>
        <v>0</v>
      </c>
      <c r="J370" s="37">
        <f t="shared" si="1"/>
        <v>0.25</v>
      </c>
      <c r="K370" s="37">
        <f t="shared" si="2"/>
        <v>1</v>
      </c>
    </row>
    <row r="371" hidden="1">
      <c r="A371" s="13" t="s">
        <v>201</v>
      </c>
      <c r="B371" s="34" t="s">
        <v>1061</v>
      </c>
      <c r="C371" s="5" t="s">
        <v>61</v>
      </c>
      <c r="D371" s="5" t="s">
        <v>166</v>
      </c>
      <c r="E371" s="35">
        <f>vlookup(C371,'Team Bye List'!$A$1:$B$33,2,False)</f>
        <v>9</v>
      </c>
      <c r="F371" s="36">
        <f>if(ISNA(vlookup($A371, ESPN!$B$2:$E$1010, 4, false)), 0, vlookup($A371, ESPN!$B$2:$E$1010, 4, false))</f>
        <v>1</v>
      </c>
      <c r="G371" s="36">
        <f>if(ISNA(vlookup($A371,'Ultimate Draft Kit'!$B$2:$E$201,4, false)), 0, vlookup($A371,'Ultimate Draft Kit'!$B$2:$E$201, 4, false))</f>
        <v>0</v>
      </c>
      <c r="H371" s="36">
        <f>if(ISNA(vlookup($A371, FantasyPro!$B$2:$E$514,4,false)),0,vlookup($A371,FantasyPro!$B$2:$E$514,4,false))</f>
        <v>0</v>
      </c>
      <c r="I371" s="36">
        <f>if(ISNA(vlookup($A371, FFToolbox!$B$2:$E$618, 4, false)), 0, vlookup($A371, FFToolbox!$B$2:$E$618, 4, false))</f>
        <v>0</v>
      </c>
      <c r="J371" s="37">
        <f t="shared" si="1"/>
        <v>0.25</v>
      </c>
      <c r="K371" s="37">
        <f t="shared" si="2"/>
        <v>1</v>
      </c>
    </row>
    <row r="372" hidden="1">
      <c r="A372" s="13" t="s">
        <v>234</v>
      </c>
      <c r="B372" s="34" t="s">
        <v>1061</v>
      </c>
      <c r="C372" s="5" t="s">
        <v>54</v>
      </c>
      <c r="D372" s="5" t="s">
        <v>166</v>
      </c>
      <c r="E372" s="35">
        <f>vlookup(C372,'Team Bye List'!$A$1:$B$33,2,False)</f>
        <v>9</v>
      </c>
      <c r="F372" s="36">
        <f>if(ISNA(vlookup($A372, ESPN!$B$2:$E$1010, 4, false)), 0, vlookup($A372, ESPN!$B$2:$E$1010, 4, false))</f>
        <v>1</v>
      </c>
      <c r="G372" s="36">
        <f>if(ISNA(vlookup($A372,'Ultimate Draft Kit'!$B$2:$E$201,4, false)), 0, vlookup($A372,'Ultimate Draft Kit'!$B$2:$E$201, 4, false))</f>
        <v>0</v>
      </c>
      <c r="H372" s="36">
        <f>if(ISNA(vlookup($A372, FantasyPro!$B$2:$E$514,4,false)),0,vlookup($A372,FantasyPro!$B$2:$E$514,4,false))</f>
        <v>0</v>
      </c>
      <c r="I372" s="36">
        <f>if(ISNA(vlookup($A372, FFToolbox!$B$2:$E$618, 4, false)), 0, vlookup($A372, FFToolbox!$B$2:$E$618, 4, false))</f>
        <v>0</v>
      </c>
      <c r="J372" s="37">
        <f t="shared" si="1"/>
        <v>0.25</v>
      </c>
      <c r="K372" s="37">
        <f t="shared" si="2"/>
        <v>1</v>
      </c>
    </row>
    <row r="373" hidden="1">
      <c r="A373" s="13" t="s">
        <v>218</v>
      </c>
      <c r="B373" s="34" t="s">
        <v>1061</v>
      </c>
      <c r="C373" s="5" t="s">
        <v>14</v>
      </c>
      <c r="D373" s="5" t="s">
        <v>166</v>
      </c>
      <c r="E373" s="35">
        <f>vlookup(C373,'Team Bye List'!$A$1:$B$33,2,False)</f>
        <v>10</v>
      </c>
      <c r="F373" s="36">
        <f>if(ISNA(vlookup($A373, ESPN!$B$2:$E$1010, 4, false)), 0, vlookup($A373, ESPN!$B$2:$E$1010, 4, false))</f>
        <v>1</v>
      </c>
      <c r="G373" s="36">
        <f>if(ISNA(vlookup($A373,'Ultimate Draft Kit'!$B$2:$E$201,4, false)), 0, vlookup($A373,'Ultimate Draft Kit'!$B$2:$E$201, 4, false))</f>
        <v>0</v>
      </c>
      <c r="H373" s="36">
        <f>if(ISNA(vlookup($A373, FantasyPro!$B$2:$E$514,4,false)),0,vlookup($A373,FantasyPro!$B$2:$E$514,4,false))</f>
        <v>0</v>
      </c>
      <c r="I373" s="36">
        <f>if(ISNA(vlookup($A373, FFToolbox!$B$2:$E$618, 4, false)), 0, vlookup($A373, FFToolbox!$B$2:$E$618, 4, false))</f>
        <v>0</v>
      </c>
      <c r="J373" s="37">
        <f t="shared" si="1"/>
        <v>0.25</v>
      </c>
      <c r="K373" s="37">
        <f t="shared" si="2"/>
        <v>1</v>
      </c>
    </row>
    <row r="374" hidden="1">
      <c r="A374" s="13" t="s">
        <v>177</v>
      </c>
      <c r="B374" s="34" t="s">
        <v>1061</v>
      </c>
      <c r="C374" s="5" t="s">
        <v>63</v>
      </c>
      <c r="D374" s="5" t="s">
        <v>166</v>
      </c>
      <c r="E374" s="35">
        <f>vlookup(C374,'Team Bye List'!$A$1:$B$33,2,False)</f>
        <v>8</v>
      </c>
      <c r="F374" s="36">
        <f>if(ISNA(vlookup($A374, ESPN!$B$2:$E$1010, 4, false)), 0, vlookup($A374, ESPN!$B$2:$E$1010, 4, false))</f>
        <v>1</v>
      </c>
      <c r="G374" s="36">
        <f>if(ISNA(vlookup($A374,'Ultimate Draft Kit'!$B$2:$E$201,4, false)), 0, vlookup($A374,'Ultimate Draft Kit'!$B$2:$E$201, 4, false))</f>
        <v>0</v>
      </c>
      <c r="H374" s="36">
        <f>if(ISNA(vlookup($A374, FantasyPro!$B$2:$E$514,4,false)),0,vlookup($A374,FantasyPro!$B$2:$E$514,4,false))</f>
        <v>0</v>
      </c>
      <c r="I374" s="36">
        <f>if(ISNA(vlookup($A374, FFToolbox!$B$2:$E$618, 4, false)), 0, vlookup($A374, FFToolbox!$B$2:$E$618, 4, false))</f>
        <v>0</v>
      </c>
      <c r="J374" s="37">
        <f t="shared" si="1"/>
        <v>0.25</v>
      </c>
      <c r="K374" s="37">
        <f t="shared" si="2"/>
        <v>1</v>
      </c>
    </row>
    <row r="375" hidden="1">
      <c r="A375" s="13" t="s">
        <v>206</v>
      </c>
      <c r="B375" s="34" t="s">
        <v>1061</v>
      </c>
      <c r="C375" s="5" t="s">
        <v>69</v>
      </c>
      <c r="D375" s="5" t="s">
        <v>166</v>
      </c>
      <c r="E375" s="35">
        <f>vlookup(C375,'Team Bye List'!$A$1:$B$33,2,False)</f>
        <v>5</v>
      </c>
      <c r="F375" s="36">
        <f>if(ISNA(vlookup($A375, ESPN!$B$2:$E$1010, 4, false)), 0, vlookup($A375, ESPN!$B$2:$E$1010, 4, false))</f>
        <v>1</v>
      </c>
      <c r="G375" s="36">
        <f>if(ISNA(vlookup($A375,'Ultimate Draft Kit'!$B$2:$E$201,4, false)), 0, vlookup($A375,'Ultimate Draft Kit'!$B$2:$E$201, 4, false))</f>
        <v>0</v>
      </c>
      <c r="H375" s="36">
        <f>if(ISNA(vlookup($A375, FantasyPro!$B$2:$E$514,4,false)),0,vlookup($A375,FantasyPro!$B$2:$E$514,4,false))</f>
        <v>0</v>
      </c>
      <c r="I375" s="36">
        <f>if(ISNA(vlookup($A375, FFToolbox!$B$2:$E$618, 4, false)), 0, vlookup($A375, FFToolbox!$B$2:$E$618, 4, false))</f>
        <v>0</v>
      </c>
      <c r="J375" s="37">
        <f t="shared" si="1"/>
        <v>0.25</v>
      </c>
      <c r="K375" s="37">
        <f t="shared" si="2"/>
        <v>1</v>
      </c>
    </row>
    <row r="376" hidden="1">
      <c r="A376" s="13" t="s">
        <v>224</v>
      </c>
      <c r="B376" s="34" t="s">
        <v>1061</v>
      </c>
      <c r="C376" s="5" t="s">
        <v>56</v>
      </c>
      <c r="D376" s="5" t="s">
        <v>166</v>
      </c>
      <c r="E376" s="35">
        <f>vlookup(C376,'Team Bye List'!$A$1:$B$33,2,False)</f>
        <v>5</v>
      </c>
      <c r="F376" s="36">
        <f>if(ISNA(vlookup($A376, ESPN!$B$2:$E$1010, 4, false)), 0, vlookup($A376, ESPN!$B$2:$E$1010, 4, false))</f>
        <v>1</v>
      </c>
      <c r="G376" s="36">
        <f>if(ISNA(vlookup($A376,'Ultimate Draft Kit'!$B$2:$E$201,4, false)), 0, vlookup($A376,'Ultimate Draft Kit'!$B$2:$E$201, 4, false))</f>
        <v>0</v>
      </c>
      <c r="H376" s="36">
        <f>if(ISNA(vlookup($A376, FantasyPro!$B$2:$E$514,4,false)),0,vlookup($A376,FantasyPro!$B$2:$E$514,4,false))</f>
        <v>0</v>
      </c>
      <c r="I376" s="36">
        <f>if(ISNA(vlookup($A376, FFToolbox!$B$2:$E$618, 4, false)), 0, vlookup($A376, FFToolbox!$B$2:$E$618, 4, false))</f>
        <v>0</v>
      </c>
      <c r="J376" s="37">
        <f t="shared" si="1"/>
        <v>0.25</v>
      </c>
      <c r="K376" s="37">
        <f t="shared" si="2"/>
        <v>1</v>
      </c>
    </row>
    <row r="377" hidden="1">
      <c r="A377" s="13" t="s">
        <v>236</v>
      </c>
      <c r="B377" s="34" t="s">
        <v>1061</v>
      </c>
      <c r="C377" s="5" t="s">
        <v>20</v>
      </c>
      <c r="D377" s="5" t="s">
        <v>166</v>
      </c>
      <c r="E377" s="35">
        <f>vlookup(C377,'Team Bye List'!$A$1:$B$33,2,False)</f>
        <v>8</v>
      </c>
      <c r="F377" s="36">
        <f>if(ISNA(vlookup($A377, ESPN!$B$2:$E$1010, 4, false)), 0, vlookup($A377, ESPN!$B$2:$E$1010, 4, false))</f>
        <v>1</v>
      </c>
      <c r="G377" s="36">
        <f>if(ISNA(vlookup($A377,'Ultimate Draft Kit'!$B$2:$E$201,4, false)), 0, vlookup($A377,'Ultimate Draft Kit'!$B$2:$E$201, 4, false))</f>
        <v>0</v>
      </c>
      <c r="H377" s="36">
        <f>if(ISNA(vlookup($A377, FantasyPro!$B$2:$E$514,4,false)),0,vlookup($A377,FantasyPro!$B$2:$E$514,4,false))</f>
        <v>0</v>
      </c>
      <c r="I377" s="36">
        <f>if(ISNA(vlookup($A377, FFToolbox!$B$2:$E$618, 4, false)), 0, vlookup($A377, FFToolbox!$B$2:$E$618, 4, false))</f>
        <v>0</v>
      </c>
      <c r="J377" s="37">
        <f t="shared" si="1"/>
        <v>0.25</v>
      </c>
      <c r="K377" s="37">
        <f t="shared" si="2"/>
        <v>1</v>
      </c>
    </row>
    <row r="378" hidden="1">
      <c r="A378" s="13" t="s">
        <v>173</v>
      </c>
      <c r="B378" s="34" t="s">
        <v>1059</v>
      </c>
      <c r="C378" s="5" t="s">
        <v>74</v>
      </c>
      <c r="D378" s="5" t="s">
        <v>166</v>
      </c>
      <c r="E378" s="35">
        <f>vlookup(C378,'Team Bye List'!$A$1:$B$33,2,False)</f>
        <v>7</v>
      </c>
      <c r="F378" s="36">
        <f>if(ISNA(vlookup($A378, ESPN!$B$2:$E$1010, 4, false)), 0, vlookup($A378, ESPN!$B$2:$E$1010, 4, false))</f>
        <v>1</v>
      </c>
      <c r="G378" s="36">
        <f>if(ISNA(vlookup($A378,'Ultimate Draft Kit'!$B$2:$E$201,4, false)), 0, vlookup($A378,'Ultimate Draft Kit'!$B$2:$E$201, 4, false))</f>
        <v>0</v>
      </c>
      <c r="H378" s="36">
        <f>if(ISNA(vlookup($A378, FantasyPro!$B$2:$E$514,4,false)),0,vlookup($A378,FantasyPro!$B$2:$E$514,4,false))</f>
        <v>0</v>
      </c>
      <c r="I378" s="36">
        <f>if(ISNA(vlookup($A378, FFToolbox!$B$2:$E$618, 4, false)), 0, vlookup($A378, FFToolbox!$B$2:$E$618, 4, false))</f>
        <v>0</v>
      </c>
      <c r="J378" s="37">
        <f t="shared" si="1"/>
        <v>0.25</v>
      </c>
      <c r="K378" s="37">
        <f t="shared" si="2"/>
        <v>1</v>
      </c>
    </row>
    <row r="379" hidden="1">
      <c r="A379" s="13" t="s">
        <v>227</v>
      </c>
      <c r="B379" s="34" t="s">
        <v>1061</v>
      </c>
      <c r="C379" s="5" t="s">
        <v>104</v>
      </c>
      <c r="D379" s="5" t="s">
        <v>166</v>
      </c>
      <c r="E379" s="35">
        <f>vlookup(C379,'Team Bye List'!$A$1:$B$33,2,False)</f>
        <v>7</v>
      </c>
      <c r="F379" s="36">
        <f>if(ISNA(vlookup($A379, ESPN!$B$2:$E$1010, 4, false)), 0, vlookup($A379, ESPN!$B$2:$E$1010, 4, false))</f>
        <v>1</v>
      </c>
      <c r="G379" s="36">
        <f>if(ISNA(vlookup($A379,'Ultimate Draft Kit'!$B$2:$E$201,4, false)), 0, vlookup($A379,'Ultimate Draft Kit'!$B$2:$E$201, 4, false))</f>
        <v>0</v>
      </c>
      <c r="H379" s="36">
        <f>if(ISNA(vlookup($A379, FantasyPro!$B$2:$E$514,4,false)),0,vlookup($A379,FantasyPro!$B$2:$E$514,4,false))</f>
        <v>0</v>
      </c>
      <c r="I379" s="36">
        <f>if(ISNA(vlookup($A379, FFToolbox!$B$2:$E$618, 4, false)), 0, vlookup($A379, FFToolbox!$B$2:$E$618, 4, false))</f>
        <v>0</v>
      </c>
      <c r="J379" s="37">
        <f t="shared" si="1"/>
        <v>0.25</v>
      </c>
      <c r="K379" s="37">
        <f t="shared" si="2"/>
        <v>1</v>
      </c>
    </row>
    <row r="380" hidden="1">
      <c r="A380" s="13" t="s">
        <v>214</v>
      </c>
      <c r="B380" s="34" t="s">
        <v>1061</v>
      </c>
      <c r="C380" s="5" t="s">
        <v>18</v>
      </c>
      <c r="D380" s="5" t="s">
        <v>166</v>
      </c>
      <c r="E380" s="35">
        <f>vlookup(C380,'Team Bye List'!$A$1:$B$33,2,False)</f>
        <v>6</v>
      </c>
      <c r="F380" s="36">
        <f>if(ISNA(vlookup($A380, ESPN!$B$2:$E$1010, 4, false)), 0, vlookup($A380, ESPN!$B$2:$E$1010, 4, false))</f>
        <v>1</v>
      </c>
      <c r="G380" s="36">
        <f>if(ISNA(vlookup($A380,'Ultimate Draft Kit'!$B$2:$E$201,4, false)), 0, vlookup($A380,'Ultimate Draft Kit'!$B$2:$E$201, 4, false))</f>
        <v>0</v>
      </c>
      <c r="H380" s="36">
        <f>if(ISNA(vlookup($A380, FantasyPro!$B$2:$E$514,4,false)),0,vlookup($A380,FantasyPro!$B$2:$E$514,4,false))</f>
        <v>0</v>
      </c>
      <c r="I380" s="36">
        <f>if(ISNA(vlookup($A380, FFToolbox!$B$2:$E$618, 4, false)), 0, vlookup($A380, FFToolbox!$B$2:$E$618, 4, false))</f>
        <v>0</v>
      </c>
      <c r="J380" s="37">
        <f t="shared" si="1"/>
        <v>0.25</v>
      </c>
      <c r="K380" s="37">
        <f t="shared" si="2"/>
        <v>1</v>
      </c>
    </row>
    <row r="381" hidden="1">
      <c r="A381" s="13" t="s">
        <v>176</v>
      </c>
      <c r="B381" s="34" t="s">
        <v>1061</v>
      </c>
      <c r="C381" s="5" t="s">
        <v>96</v>
      </c>
      <c r="D381" s="5" t="s">
        <v>166</v>
      </c>
      <c r="E381" s="35">
        <f>vlookup(C381,'Team Bye List'!$A$1:$B$33,2,False)</f>
        <v>10</v>
      </c>
      <c r="F381" s="36">
        <f>if(ISNA(vlookup($A381, ESPN!$B$2:$E$1010, 4, false)), 0, vlookup($A381, ESPN!$B$2:$E$1010, 4, false))</f>
        <v>1</v>
      </c>
      <c r="G381" s="36">
        <f>if(ISNA(vlookup($A381,'Ultimate Draft Kit'!$B$2:$E$201,4, false)), 0, vlookup($A381,'Ultimate Draft Kit'!$B$2:$E$201, 4, false))</f>
        <v>0</v>
      </c>
      <c r="H381" s="36">
        <f>if(ISNA(vlookup($A381, FantasyPro!$B$2:$E$514,4,false)),0,vlookup($A381,FantasyPro!$B$2:$E$514,4,false))</f>
        <v>0</v>
      </c>
      <c r="I381" s="36">
        <f>if(ISNA(vlookup($A381, FFToolbox!$B$2:$E$618, 4, false)), 0, vlookup($A381, FFToolbox!$B$2:$E$618, 4, false))</f>
        <v>0</v>
      </c>
      <c r="J381" s="37">
        <f t="shared" si="1"/>
        <v>0.25</v>
      </c>
      <c r="K381" s="37">
        <f t="shared" si="2"/>
        <v>1</v>
      </c>
    </row>
    <row r="382" hidden="1">
      <c r="A382" s="13" t="s">
        <v>232</v>
      </c>
      <c r="B382" s="34" t="s">
        <v>1059</v>
      </c>
      <c r="C382" s="5" t="s">
        <v>233</v>
      </c>
      <c r="D382" s="5" t="s">
        <v>166</v>
      </c>
      <c r="E382" s="35">
        <f>vlookup(C382,'Team Bye List'!$A$1:$B$33,2,False)</f>
        <v>9</v>
      </c>
      <c r="F382" s="36">
        <f>if(ISNA(vlookup($A382, ESPN!$B$2:$E$1010, 4, false)), 0, vlookup($A382, ESPN!$B$2:$E$1010, 4, false))</f>
        <v>1</v>
      </c>
      <c r="G382" s="36">
        <f>if(ISNA(vlookup($A382,'Ultimate Draft Kit'!$B$2:$E$201,4, false)), 0, vlookup($A382,'Ultimate Draft Kit'!$B$2:$E$201, 4, false))</f>
        <v>0</v>
      </c>
      <c r="H382" s="36">
        <f>if(ISNA(vlookup($A382, FantasyPro!$B$2:$E$514,4,false)),0,vlookup($A382,FantasyPro!$B$2:$E$514,4,false))</f>
        <v>0</v>
      </c>
      <c r="I382" s="36">
        <f>if(ISNA(vlookup($A382, FFToolbox!$B$2:$E$618, 4, false)), 0, vlookup($A382, FFToolbox!$B$2:$E$618, 4, false))</f>
        <v>0</v>
      </c>
      <c r="J382" s="37">
        <f t="shared" si="1"/>
        <v>0.25</v>
      </c>
      <c r="K382" s="37">
        <f t="shared" si="2"/>
        <v>1</v>
      </c>
    </row>
    <row r="383" hidden="1">
      <c r="A383" s="13" t="s">
        <v>216</v>
      </c>
      <c r="B383" s="34" t="s">
        <v>1061</v>
      </c>
      <c r="C383" s="5" t="s">
        <v>102</v>
      </c>
      <c r="D383" s="5" t="s">
        <v>166</v>
      </c>
      <c r="E383" s="35">
        <f>vlookup(C383,'Team Bye List'!$A$1:$B$33,2,False)</f>
        <v>11</v>
      </c>
      <c r="F383" s="36">
        <f>if(ISNA(vlookup($A383, ESPN!$B$2:$E$1010, 4, false)), 0, vlookup($A383, ESPN!$B$2:$E$1010, 4, false))</f>
        <v>1</v>
      </c>
      <c r="G383" s="36">
        <f>if(ISNA(vlookup($A383,'Ultimate Draft Kit'!$B$2:$E$201,4, false)), 0, vlookup($A383,'Ultimate Draft Kit'!$B$2:$E$201, 4, false))</f>
        <v>0</v>
      </c>
      <c r="H383" s="36">
        <f>if(ISNA(vlookup($A383, FantasyPro!$B$2:$E$514,4,false)),0,vlookup($A383,FantasyPro!$B$2:$E$514,4,false))</f>
        <v>0</v>
      </c>
      <c r="I383" s="36">
        <f>if(ISNA(vlookup($A383, FFToolbox!$B$2:$E$618, 4, false)), 0, vlookup($A383, FFToolbox!$B$2:$E$618, 4, false))</f>
        <v>0</v>
      </c>
      <c r="J383" s="37">
        <f t="shared" si="1"/>
        <v>0.25</v>
      </c>
      <c r="K383" s="37">
        <f t="shared" si="2"/>
        <v>1</v>
      </c>
    </row>
    <row r="384" hidden="1">
      <c r="A384" s="13" t="s">
        <v>235</v>
      </c>
      <c r="B384" s="34" t="s">
        <v>1061</v>
      </c>
      <c r="C384" s="5" t="s">
        <v>29</v>
      </c>
      <c r="D384" s="5" t="s">
        <v>166</v>
      </c>
      <c r="E384" s="35">
        <f>vlookup(C384,'Team Bye List'!$A$1:$B$33,2,False)</f>
        <v>11</v>
      </c>
      <c r="F384" s="36">
        <f>if(ISNA(vlookup($A384, ESPN!$B$2:$E$1010, 4, false)), 0, vlookup($A384, ESPN!$B$2:$E$1010, 4, false))</f>
        <v>1</v>
      </c>
      <c r="G384" s="36">
        <f>if(ISNA(vlookup($A384,'Ultimate Draft Kit'!$B$2:$E$201,4, false)), 0, vlookup($A384,'Ultimate Draft Kit'!$B$2:$E$201, 4, false))</f>
        <v>0</v>
      </c>
      <c r="H384" s="36">
        <f>if(ISNA(vlookup($A384, FantasyPro!$B$2:$E$514,4,false)),0,vlookup($A384,FantasyPro!$B$2:$E$514,4,false))</f>
        <v>0</v>
      </c>
      <c r="I384" s="36">
        <f>if(ISNA(vlookup($A384, FFToolbox!$B$2:$E$618, 4, false)), 0, vlookup($A384, FFToolbox!$B$2:$E$618, 4, false))</f>
        <v>0</v>
      </c>
      <c r="J384" s="37">
        <f t="shared" si="1"/>
        <v>0.25</v>
      </c>
      <c r="K384" s="37">
        <f t="shared" si="2"/>
        <v>1</v>
      </c>
    </row>
    <row r="385" hidden="1">
      <c r="A385" s="13" t="s">
        <v>223</v>
      </c>
      <c r="B385" s="34" t="s">
        <v>1061</v>
      </c>
      <c r="C385" s="5" t="s">
        <v>134</v>
      </c>
      <c r="D385" s="5" t="s">
        <v>166</v>
      </c>
      <c r="E385" s="35">
        <f>vlookup(C385,'Team Bye List'!$A$1:$B$33,2,False)</f>
        <v>11</v>
      </c>
      <c r="F385" s="36">
        <f>if(ISNA(vlookup($A385, ESPN!$B$2:$E$1010, 4, false)), 0, vlookup($A385, ESPN!$B$2:$E$1010, 4, false))</f>
        <v>1</v>
      </c>
      <c r="G385" s="36">
        <f>if(ISNA(vlookup($A385,'Ultimate Draft Kit'!$B$2:$E$201,4, false)), 0, vlookup($A385,'Ultimate Draft Kit'!$B$2:$E$201, 4, false))</f>
        <v>0</v>
      </c>
      <c r="H385" s="36">
        <f>if(ISNA(vlookup($A385, FantasyPro!$B$2:$E$514,4,false)),0,vlookup($A385,FantasyPro!$B$2:$E$514,4,false))</f>
        <v>0</v>
      </c>
      <c r="I385" s="36">
        <f>if(ISNA(vlookup($A385, FFToolbox!$B$2:$E$618, 4, false)), 0, vlookup($A385, FFToolbox!$B$2:$E$618, 4, false))</f>
        <v>0</v>
      </c>
      <c r="J385" s="37">
        <f t="shared" si="1"/>
        <v>0.25</v>
      </c>
      <c r="K385" s="37">
        <f t="shared" si="2"/>
        <v>1</v>
      </c>
    </row>
    <row r="386" hidden="1">
      <c r="A386" s="13" t="s">
        <v>167</v>
      </c>
      <c r="B386" s="34" t="s">
        <v>1061</v>
      </c>
      <c r="C386" s="5" t="s">
        <v>32</v>
      </c>
      <c r="D386" s="5" t="s">
        <v>166</v>
      </c>
      <c r="E386" s="35">
        <f>vlookup(C386,'Team Bye List'!$A$1:$B$33,2,False)</f>
        <v>9</v>
      </c>
      <c r="F386" s="36">
        <f>if(ISNA(vlookup($A386, ESPN!$B$2:$E$1010, 4, false)), 0, vlookup($A386, ESPN!$B$2:$E$1010, 4, false))</f>
        <v>1</v>
      </c>
      <c r="G386" s="36">
        <f>if(ISNA(vlookup($A386,'Ultimate Draft Kit'!$B$2:$E$201,4, false)), 0, vlookup($A386,'Ultimate Draft Kit'!$B$2:$E$201, 4, false))</f>
        <v>0</v>
      </c>
      <c r="H386" s="36">
        <f>if(ISNA(vlookup($A386, FantasyPro!$B$2:$E$514,4,false)),0,vlookup($A386,FantasyPro!$B$2:$E$514,4,false))</f>
        <v>0</v>
      </c>
      <c r="I386" s="36">
        <f>if(ISNA(vlookup($A386, FFToolbox!$B$2:$E$618, 4, false)), 0, vlookup($A386, FFToolbox!$B$2:$E$618, 4, false))</f>
        <v>0</v>
      </c>
      <c r="J386" s="37">
        <f t="shared" si="1"/>
        <v>0.25</v>
      </c>
      <c r="K386" s="37">
        <f t="shared" si="2"/>
        <v>1</v>
      </c>
    </row>
    <row r="387">
      <c r="A387" s="13" t="s">
        <v>187</v>
      </c>
      <c r="B387" s="34" t="s">
        <v>1061</v>
      </c>
      <c r="C387" s="5" t="s">
        <v>233</v>
      </c>
      <c r="D387" s="5" t="s">
        <v>169</v>
      </c>
      <c r="E387" s="35">
        <f>vlookup(C387,'Team Bye List'!$A$1:$B$33,2,False)</f>
        <v>9</v>
      </c>
      <c r="F387" s="36">
        <f>if(ISNA(vlookup($A387, ESPN!$B$2:$E$1010, 4, false)), 0, vlookup($A387, ESPN!$B$2:$E$1010, 4, false))</f>
        <v>1</v>
      </c>
      <c r="G387" s="36">
        <f>if(ISNA(vlookup($A387,'Ultimate Draft Kit'!$B$2:$E$201,4, false)), 0, vlookup($A387,'Ultimate Draft Kit'!$B$2:$E$201, 4, false))</f>
        <v>0</v>
      </c>
      <c r="H387" s="36">
        <f>if(ISNA(vlookup($A387, FantasyPro!$B$2:$E$514,4,false)),0,vlookup($A387,FantasyPro!$B$2:$E$514,4,false))</f>
        <v>0</v>
      </c>
      <c r="I387" s="36">
        <f>if(ISNA(vlookup($A387, FFToolbox!$B$2:$E$618, 4, false)), 0, vlookup($A387, FFToolbox!$B$2:$E$618, 4, false))</f>
        <v>0</v>
      </c>
      <c r="J387" s="37">
        <f t="shared" si="1"/>
        <v>0.25</v>
      </c>
      <c r="K387" s="37">
        <f t="shared" si="2"/>
        <v>1</v>
      </c>
    </row>
    <row r="388" hidden="1">
      <c r="A388" s="13" t="s">
        <v>220</v>
      </c>
      <c r="B388" s="34" t="s">
        <v>1061</v>
      </c>
      <c r="C388" s="5" t="s">
        <v>40</v>
      </c>
      <c r="D388" s="5" t="s">
        <v>166</v>
      </c>
      <c r="E388" s="35">
        <f>vlookup(C388,'Team Bye List'!$A$1:$B$33,2,False)</f>
        <v>6</v>
      </c>
      <c r="F388" s="36">
        <f>if(ISNA(vlookup($A388, ESPN!$B$2:$E$1010, 4, false)), 0, vlookup($A388, ESPN!$B$2:$E$1010, 4, false))</f>
        <v>1</v>
      </c>
      <c r="G388" s="36">
        <f>if(ISNA(vlookup($A388,'Ultimate Draft Kit'!$B$2:$E$201,4, false)), 0, vlookup($A388,'Ultimate Draft Kit'!$B$2:$E$201, 4, false))</f>
        <v>0</v>
      </c>
      <c r="H388" s="36">
        <f>if(ISNA(vlookup($A388, FantasyPro!$B$2:$E$514,4,false)),0,vlookup($A388,FantasyPro!$B$2:$E$514,4,false))</f>
        <v>0</v>
      </c>
      <c r="I388" s="36">
        <f>if(ISNA(vlookup($A388, FFToolbox!$B$2:$E$618, 4, false)), 0, vlookup($A388, FFToolbox!$B$2:$E$618, 4, false))</f>
        <v>0</v>
      </c>
      <c r="J388" s="37">
        <f t="shared" si="1"/>
        <v>0.25</v>
      </c>
      <c r="K388" s="37">
        <f t="shared" si="2"/>
        <v>1</v>
      </c>
    </row>
    <row r="389" hidden="1">
      <c r="A389" s="13" t="s">
        <v>229</v>
      </c>
      <c r="B389" s="34" t="s">
        <v>1060</v>
      </c>
      <c r="C389" s="5" t="s">
        <v>38</v>
      </c>
      <c r="D389" s="5" t="s">
        <v>166</v>
      </c>
      <c r="E389" s="35">
        <f>vlookup(C389,'Team Bye List'!$A$1:$B$33,2,False)</f>
        <v>12</v>
      </c>
      <c r="F389" s="36">
        <f>if(ISNA(vlookup($A389, ESPN!$B$2:$E$1010, 4, false)), 0, vlookup($A389, ESPN!$B$2:$E$1010, 4, false))</f>
        <v>1</v>
      </c>
      <c r="G389" s="36">
        <f>if(ISNA(vlookup($A389,'Ultimate Draft Kit'!$B$2:$E$201,4, false)), 0, vlookup($A389,'Ultimate Draft Kit'!$B$2:$E$201, 4, false))</f>
        <v>0</v>
      </c>
      <c r="H389" s="36">
        <f>if(ISNA(vlookup($A389, FantasyPro!$B$2:$E$514,4,false)),0,vlookup($A389,FantasyPro!$B$2:$E$514,4,false))</f>
        <v>0</v>
      </c>
      <c r="I389" s="36">
        <f>if(ISNA(vlookup($A389, FFToolbox!$B$2:$E$618, 4, false)), 0, vlookup($A389, FFToolbox!$B$2:$E$618, 4, false))</f>
        <v>0</v>
      </c>
      <c r="J389" s="37">
        <f t="shared" si="1"/>
        <v>0.25</v>
      </c>
      <c r="K389" s="37">
        <f t="shared" si="2"/>
        <v>1</v>
      </c>
    </row>
    <row r="390" hidden="1">
      <c r="A390" s="13" t="s">
        <v>212</v>
      </c>
      <c r="B390" s="34" t="s">
        <v>1061</v>
      </c>
      <c r="C390" s="5" t="s">
        <v>34</v>
      </c>
      <c r="D390" s="5" t="s">
        <v>166</v>
      </c>
      <c r="E390" s="35">
        <f>vlookup(C390,'Team Bye List'!$A$1:$B$33,2,False)</f>
        <v>7</v>
      </c>
      <c r="F390" s="36">
        <f>if(ISNA(vlookup($A390, ESPN!$B$2:$E$1010, 4, false)), 0, vlookup($A390, ESPN!$B$2:$E$1010, 4, false))</f>
        <v>1</v>
      </c>
      <c r="G390" s="36">
        <f>if(ISNA(vlookup($A390,'Ultimate Draft Kit'!$B$2:$E$201,4, false)), 0, vlookup($A390,'Ultimate Draft Kit'!$B$2:$E$201, 4, false))</f>
        <v>0</v>
      </c>
      <c r="H390" s="36">
        <f>if(ISNA(vlookup($A390, FantasyPro!$B$2:$E$514,4,false)),0,vlookup($A390,FantasyPro!$B$2:$E$514,4,false))</f>
        <v>0</v>
      </c>
      <c r="I390" s="36">
        <f>if(ISNA(vlookup($A390, FFToolbox!$B$2:$E$618, 4, false)), 0, vlookup($A390, FFToolbox!$B$2:$E$618, 4, false))</f>
        <v>0</v>
      </c>
      <c r="J390" s="37">
        <f t="shared" si="1"/>
        <v>0.25</v>
      </c>
      <c r="K390" s="37">
        <f t="shared" si="2"/>
        <v>1</v>
      </c>
    </row>
    <row r="391" hidden="1">
      <c r="A391" s="13" t="s">
        <v>230</v>
      </c>
      <c r="B391" s="34" t="s">
        <v>1061</v>
      </c>
      <c r="C391" s="5" t="s">
        <v>92</v>
      </c>
      <c r="D391" s="5" t="s">
        <v>166</v>
      </c>
      <c r="E391" s="35">
        <f>vlookup(C391,'Team Bye List'!$A$1:$B$33,2,False)</f>
        <v>8</v>
      </c>
      <c r="F391" s="36">
        <f>if(ISNA(vlookup($A391, ESPN!$B$2:$E$1010, 4, false)), 0, vlookup($A391, ESPN!$B$2:$E$1010, 4, false))</f>
        <v>1</v>
      </c>
      <c r="G391" s="36">
        <f>if(ISNA(vlookup($A391,'Ultimate Draft Kit'!$B$2:$E$201,4, false)), 0, vlookup($A391,'Ultimate Draft Kit'!$B$2:$E$201, 4, false))</f>
        <v>0</v>
      </c>
      <c r="H391" s="36">
        <f>if(ISNA(vlookup($A391, FantasyPro!$B$2:$E$514,4,false)),0,vlookup($A391,FantasyPro!$B$2:$E$514,4,false))</f>
        <v>0</v>
      </c>
      <c r="I391" s="36">
        <f>if(ISNA(vlookup($A391, FFToolbox!$B$2:$E$618, 4, false)), 0, vlookup($A391, FFToolbox!$B$2:$E$618, 4, false))</f>
        <v>0</v>
      </c>
      <c r="J391" s="37">
        <f t="shared" si="1"/>
        <v>0.25</v>
      </c>
      <c r="K391" s="37">
        <f t="shared" si="2"/>
        <v>1</v>
      </c>
    </row>
    <row r="392" hidden="1">
      <c r="A392" s="13" t="s">
        <v>548</v>
      </c>
      <c r="B392" s="34" t="s">
        <v>1061</v>
      </c>
      <c r="C392" s="5" t="s">
        <v>104</v>
      </c>
      <c r="D392" s="5" t="s">
        <v>25</v>
      </c>
      <c r="E392" s="35">
        <f>vlookup(C392,'Team Bye List'!$A$1:$B$33,2,False)</f>
        <v>7</v>
      </c>
      <c r="F392" s="36">
        <f>if(ISNA(vlookup($A392, ESPN!$B$2:$E$1010, 4, false)), 0, vlookup($A392, ESPN!$B$2:$E$1010, 4, false))</f>
        <v>0</v>
      </c>
      <c r="G392" s="36">
        <f>if(ISNA(vlookup($A392,'Ultimate Draft Kit'!$B$2:$E$201,4, false)), 0, vlookup($A392,'Ultimate Draft Kit'!$B$2:$E$201, 4, false))</f>
        <v>1</v>
      </c>
      <c r="H392" s="36">
        <f>if(ISNA(vlookup($A392, FantasyPro!$B$2:$E$514,4,false)),0,vlookup($A392,FantasyPro!$B$2:$E$514,4,false))</f>
        <v>0</v>
      </c>
      <c r="I392" s="36">
        <f>if(ISNA(vlookup($A392, FFToolbox!$B$2:$E$618, 4, false)), 0, vlookup($A392, FFToolbox!$B$2:$E$618, 4, false))</f>
        <v>0</v>
      </c>
      <c r="J392" s="37">
        <f t="shared" si="1"/>
        <v>0.25</v>
      </c>
      <c r="K392" s="37">
        <f t="shared" si="2"/>
        <v>1</v>
      </c>
    </row>
    <row r="393" hidden="1">
      <c r="A393" s="13" t="s">
        <v>526</v>
      </c>
      <c r="B393" s="34" t="s">
        <v>1061</v>
      </c>
      <c r="C393" s="5" t="s">
        <v>1007</v>
      </c>
      <c r="D393" s="5" t="s">
        <v>25</v>
      </c>
      <c r="E393" s="35">
        <f>vlookup(C393,'Team Bye List'!$A$1:$B$33,2,False)</f>
        <v>8</v>
      </c>
      <c r="F393" s="36">
        <f>if(ISNA(vlookup($A393, ESPN!$B$2:$E$1010, 4, false)), 0, vlookup($A393, ESPN!$B$2:$E$1010, 4, false))</f>
        <v>0</v>
      </c>
      <c r="G393" s="36">
        <f>if(ISNA(vlookup($A393,'Ultimate Draft Kit'!$B$2:$E$201,4, false)), 0, vlookup($A393,'Ultimate Draft Kit'!$B$2:$E$201, 4, false))</f>
        <v>1</v>
      </c>
      <c r="H393" s="36">
        <f>if(ISNA(vlookup($A393, FantasyPro!$B$2:$E$514,4,false)),0,vlookup($A393,FantasyPro!$B$2:$E$514,4,false))</f>
        <v>0</v>
      </c>
      <c r="I393" s="36">
        <f>if(ISNA(vlookup($A393, FFToolbox!$B$2:$E$618, 4, false)), 0, vlookup($A393, FFToolbox!$B$2:$E$618, 4, false))</f>
        <v>0</v>
      </c>
      <c r="J393" s="37">
        <f t="shared" si="1"/>
        <v>0.25</v>
      </c>
      <c r="K393" s="37">
        <f t="shared" si="2"/>
        <v>1</v>
      </c>
    </row>
    <row r="394" hidden="1">
      <c r="A394" s="13" t="s">
        <v>342</v>
      </c>
      <c r="B394" s="34" t="s">
        <v>1061</v>
      </c>
      <c r="C394" s="5" t="s">
        <v>77</v>
      </c>
      <c r="D394" s="5" t="s">
        <v>25</v>
      </c>
      <c r="E394" s="35">
        <f>vlookup(C394,'Team Bye List'!$A$1:$B$33,2,False)</f>
        <v>11</v>
      </c>
      <c r="F394" s="36">
        <f>if(ISNA(vlookup($A394, ESPN!$B$2:$E$1010, 4, false)), 0, vlookup($A394, ESPN!$B$2:$E$1010, 4, false))</f>
        <v>0</v>
      </c>
      <c r="G394" s="36">
        <f>if(ISNA(vlookup($A394,'Ultimate Draft Kit'!$B$2:$E$201,4, false)), 0, vlookup($A394,'Ultimate Draft Kit'!$B$2:$E$201, 4, false))</f>
        <v>1</v>
      </c>
      <c r="H394" s="36">
        <f>if(ISNA(vlookup($A394, FantasyPro!$B$2:$E$514,4,false)),0,vlookup($A394,FantasyPro!$B$2:$E$514,4,false))</f>
        <v>0</v>
      </c>
      <c r="I394" s="36">
        <f>if(ISNA(vlookup($A394, FFToolbox!$B$2:$E$618, 4, false)), 0, vlookup($A394, FFToolbox!$B$2:$E$618, 4, false))</f>
        <v>0</v>
      </c>
      <c r="J394" s="37">
        <f t="shared" si="1"/>
        <v>0.25</v>
      </c>
      <c r="K394" s="37">
        <f t="shared" si="2"/>
        <v>1</v>
      </c>
    </row>
    <row r="395" hidden="1">
      <c r="A395" s="13" t="s">
        <v>332</v>
      </c>
      <c r="B395" s="34" t="s">
        <v>1061</v>
      </c>
      <c r="C395" s="5" t="s">
        <v>92</v>
      </c>
      <c r="D395" s="5" t="s">
        <v>25</v>
      </c>
      <c r="E395" s="35">
        <f>vlookup(C395,'Team Bye List'!$A$1:$B$33,2,False)</f>
        <v>8</v>
      </c>
      <c r="F395" s="36">
        <f>if(ISNA(vlookup($A395, ESPN!$B$2:$E$1010, 4, false)), 0, vlookup($A395, ESPN!$B$2:$E$1010, 4, false))</f>
        <v>0</v>
      </c>
      <c r="G395" s="36">
        <f>if(ISNA(vlookup($A395,'Ultimate Draft Kit'!$B$2:$E$201,4, false)), 0, vlookup($A395,'Ultimate Draft Kit'!$B$2:$E$201, 4, false))</f>
        <v>1</v>
      </c>
      <c r="H395" s="36">
        <f>if(ISNA(vlookup($A395, FantasyPro!$B$2:$E$514,4,false)),0,vlookup($A395,FantasyPro!$B$2:$E$514,4,false))</f>
        <v>0</v>
      </c>
      <c r="I395" s="36">
        <f>if(ISNA(vlookup($A395, FFToolbox!$B$2:$E$618, 4, false)), 0, vlookup($A395, FFToolbox!$B$2:$E$618, 4, false))</f>
        <v>0</v>
      </c>
      <c r="J395" s="37">
        <f t="shared" si="1"/>
        <v>0.25</v>
      </c>
      <c r="K395" s="37">
        <f t="shared" si="2"/>
        <v>1</v>
      </c>
    </row>
    <row r="396" hidden="1">
      <c r="A396" s="13" t="s">
        <v>986</v>
      </c>
      <c r="B396" s="34" t="s">
        <v>1061</v>
      </c>
      <c r="C396" s="5" t="s">
        <v>257</v>
      </c>
      <c r="D396" s="5" t="s">
        <v>10</v>
      </c>
      <c r="E396" s="35" t="str">
        <f>vlookup(C396,'Team Bye List'!$A$1:$B$33,2,False)</f>
        <v>#N/A</v>
      </c>
      <c r="F396" s="36">
        <f>if(ISNA(vlookup($A396, ESPN!$B$2:$E$1010, 4, false)), 0, vlookup($A396, ESPN!$B$2:$E$1010, 4, false))</f>
        <v>0</v>
      </c>
      <c r="G396" s="36">
        <f>if(ISNA(vlookup($A396,'Ultimate Draft Kit'!$B$2:$E$201,4, false)), 0, vlookup($A396,'Ultimate Draft Kit'!$B$2:$E$201, 4, false))</f>
        <v>0</v>
      </c>
      <c r="H396" s="36">
        <f>if(ISNA(vlookup($A396, FantasyPro!$B$2:$E$514,4,false)),0,vlookup($A396,FantasyPro!$B$2:$E$514,4,false))</f>
        <v>0</v>
      </c>
      <c r="I396" s="36">
        <f>if(ISNA(vlookup($A396, FFToolbox!$B$2:$E$618, 4, false)), 0, vlookup($A396, FFToolbox!$B$2:$E$618, 4, false))</f>
        <v>0</v>
      </c>
      <c r="J396" s="37">
        <f t="shared" si="1"/>
        <v>0</v>
      </c>
      <c r="K396" s="37">
        <f t="shared" si="2"/>
        <v>0</v>
      </c>
    </row>
    <row r="397" hidden="1">
      <c r="A397" s="13" t="s">
        <v>954</v>
      </c>
      <c r="B397" s="34" t="s">
        <v>1061</v>
      </c>
      <c r="C397" s="5" t="s">
        <v>257</v>
      </c>
      <c r="D397" s="5" t="s">
        <v>10</v>
      </c>
      <c r="E397" s="35" t="str">
        <f>vlookup(C397,'Team Bye List'!$A$1:$B$33,2,False)</f>
        <v>#N/A</v>
      </c>
      <c r="F397" s="36">
        <f>if(ISNA(vlookup($A397, ESPN!$B$2:$E$1010, 4, false)), 0, vlookup($A397, ESPN!$B$2:$E$1010, 4, false))</f>
        <v>0</v>
      </c>
      <c r="G397" s="36">
        <f>if(ISNA(vlookup($A397,'Ultimate Draft Kit'!$B$2:$E$201,4, false)), 0, vlookup($A397,'Ultimate Draft Kit'!$B$2:$E$201, 4, false))</f>
        <v>0</v>
      </c>
      <c r="H397" s="36">
        <f>if(ISNA(vlookup($A397, FantasyPro!$B$2:$E$514,4,false)),0,vlookup($A397,FantasyPro!$B$2:$E$514,4,false))</f>
        <v>0</v>
      </c>
      <c r="I397" s="36">
        <f>if(ISNA(vlookup($A397, FFToolbox!$B$2:$E$618, 4, false)), 0, vlookup($A397, FFToolbox!$B$2:$E$618, 4, false))</f>
        <v>0</v>
      </c>
      <c r="J397" s="37">
        <f t="shared" si="1"/>
        <v>0</v>
      </c>
      <c r="K397" s="37">
        <f t="shared" si="2"/>
        <v>0</v>
      </c>
    </row>
    <row r="398" hidden="1">
      <c r="A398" s="13" t="s">
        <v>984</v>
      </c>
      <c r="B398" s="34" t="s">
        <v>1061</v>
      </c>
      <c r="C398" s="5" t="s">
        <v>257</v>
      </c>
      <c r="D398" s="5" t="s">
        <v>10</v>
      </c>
      <c r="E398" s="35" t="str">
        <f>vlookup(C398,'Team Bye List'!$A$1:$B$33,2,False)</f>
        <v>#N/A</v>
      </c>
      <c r="F398" s="36">
        <f>if(ISNA(vlookup($A398, ESPN!$B$2:$E$1010, 4, false)), 0, vlookup($A398, ESPN!$B$2:$E$1010, 4, false))</f>
        <v>0</v>
      </c>
      <c r="G398" s="36">
        <f>if(ISNA(vlookup($A398,'Ultimate Draft Kit'!$B$2:$E$201,4, false)), 0, vlookup($A398,'Ultimate Draft Kit'!$B$2:$E$201, 4, false))</f>
        <v>0</v>
      </c>
      <c r="H398" s="36">
        <f>if(ISNA(vlookup($A398, FantasyPro!$B$2:$E$514,4,false)),0,vlookup($A398,FantasyPro!$B$2:$E$514,4,false))</f>
        <v>0</v>
      </c>
      <c r="I398" s="36">
        <f>if(ISNA(vlookup($A398, FFToolbox!$B$2:$E$618, 4, false)), 0, vlookup($A398, FFToolbox!$B$2:$E$618, 4, false))</f>
        <v>0</v>
      </c>
      <c r="J398" s="37">
        <f t="shared" si="1"/>
        <v>0</v>
      </c>
      <c r="K398" s="37">
        <f t="shared" si="2"/>
        <v>0</v>
      </c>
    </row>
    <row r="399" hidden="1">
      <c r="A399" s="13" t="s">
        <v>985</v>
      </c>
      <c r="B399" s="34" t="s">
        <v>1061</v>
      </c>
      <c r="C399" s="5" t="s">
        <v>257</v>
      </c>
      <c r="D399" s="5" t="s">
        <v>10</v>
      </c>
      <c r="E399" s="35" t="str">
        <f>vlookup(C399,'Team Bye List'!$A$1:$B$33,2,False)</f>
        <v>#N/A</v>
      </c>
      <c r="F399" s="36">
        <f>if(ISNA(vlookup($A399, ESPN!$B$2:$E$1010, 4, false)), 0, vlookup($A399, ESPN!$B$2:$E$1010, 4, false))</f>
        <v>0</v>
      </c>
      <c r="G399" s="36">
        <f>if(ISNA(vlookup($A399,'Ultimate Draft Kit'!$B$2:$E$201,4, false)), 0, vlookup($A399,'Ultimate Draft Kit'!$B$2:$E$201, 4, false))</f>
        <v>0</v>
      </c>
      <c r="H399" s="36">
        <f>if(ISNA(vlookup($A399, FantasyPro!$B$2:$E$514,4,false)),0,vlookup($A399,FantasyPro!$B$2:$E$514,4,false))</f>
        <v>0</v>
      </c>
      <c r="I399" s="36">
        <f>if(ISNA(vlookup($A399, FFToolbox!$B$2:$E$618, 4, false)), 0, vlookup($A399, FFToolbox!$B$2:$E$618, 4, false))</f>
        <v>0</v>
      </c>
      <c r="J399" s="37">
        <f t="shared" si="1"/>
        <v>0</v>
      </c>
      <c r="K399" s="37">
        <f t="shared" si="2"/>
        <v>0</v>
      </c>
    </row>
    <row r="400" hidden="1">
      <c r="A400" s="13" t="s">
        <v>964</v>
      </c>
      <c r="B400" s="34" t="s">
        <v>1061</v>
      </c>
      <c r="C400" s="5" t="s">
        <v>27</v>
      </c>
      <c r="D400" s="5" t="s">
        <v>10</v>
      </c>
      <c r="E400" s="35">
        <f>vlookup(C400,'Team Bye List'!$A$1:$B$33,2,False)</f>
        <v>11</v>
      </c>
      <c r="F400" s="36">
        <f>if(ISNA(vlookup($A400, ESPN!$B$2:$E$1010, 4, false)), 0, vlookup($A400, ESPN!$B$2:$E$1010, 4, false))</f>
        <v>0</v>
      </c>
      <c r="G400" s="36">
        <f>if(ISNA(vlookup($A400,'Ultimate Draft Kit'!$B$2:$E$201,4, false)), 0, vlookup($A400,'Ultimate Draft Kit'!$B$2:$E$201, 4, false))</f>
        <v>0</v>
      </c>
      <c r="H400" s="36">
        <f>if(ISNA(vlookup($A400, FantasyPro!$B$2:$E$514,4,false)),0,vlookup($A400,FantasyPro!$B$2:$E$514,4,false))</f>
        <v>0</v>
      </c>
      <c r="I400" s="36">
        <f>if(ISNA(vlookup($A400, FFToolbox!$B$2:$E$618, 4, false)), 0, vlookup($A400, FFToolbox!$B$2:$E$618, 4, false))</f>
        <v>0</v>
      </c>
      <c r="J400" s="37">
        <f t="shared" si="1"/>
        <v>0</v>
      </c>
      <c r="K400" s="37">
        <f t="shared" si="2"/>
        <v>0</v>
      </c>
    </row>
    <row r="401" hidden="1">
      <c r="A401" s="13" t="s">
        <v>966</v>
      </c>
      <c r="B401" s="34" t="s">
        <v>1061</v>
      </c>
      <c r="C401" s="5" t="s">
        <v>74</v>
      </c>
      <c r="D401" s="5" t="s">
        <v>10</v>
      </c>
      <c r="E401" s="35">
        <f>vlookup(C401,'Team Bye List'!$A$1:$B$33,2,False)</f>
        <v>7</v>
      </c>
      <c r="F401" s="36">
        <f>if(ISNA(vlookup($A401, ESPN!$B$2:$E$1010, 4, false)), 0, vlookup($A401, ESPN!$B$2:$E$1010, 4, false))</f>
        <v>0</v>
      </c>
      <c r="G401" s="36">
        <f>if(ISNA(vlookup($A401,'Ultimate Draft Kit'!$B$2:$E$201,4, false)), 0, vlookup($A401,'Ultimate Draft Kit'!$B$2:$E$201, 4, false))</f>
        <v>0</v>
      </c>
      <c r="H401" s="36">
        <f>if(ISNA(vlookup($A401, FantasyPro!$B$2:$E$514,4,false)),0,vlookup($A401,FantasyPro!$B$2:$E$514,4,false))</f>
        <v>0</v>
      </c>
      <c r="I401" s="36">
        <f>if(ISNA(vlookup($A401, FFToolbox!$B$2:$E$618, 4, false)), 0, vlookup($A401, FFToolbox!$B$2:$E$618, 4, false))</f>
        <v>0</v>
      </c>
      <c r="J401" s="37">
        <f t="shared" si="1"/>
        <v>0</v>
      </c>
      <c r="K401" s="37">
        <f t="shared" si="2"/>
        <v>0</v>
      </c>
    </row>
    <row r="402" hidden="1">
      <c r="A402" s="13" t="s">
        <v>956</v>
      </c>
      <c r="B402" s="34" t="s">
        <v>1061</v>
      </c>
      <c r="C402" s="5" t="s">
        <v>257</v>
      </c>
      <c r="D402" s="5" t="s">
        <v>10</v>
      </c>
      <c r="E402" s="35" t="str">
        <f>vlookup(C402,'Team Bye List'!$A$1:$B$33,2,False)</f>
        <v>#N/A</v>
      </c>
      <c r="F402" s="36">
        <f>if(ISNA(vlookup($A402, ESPN!$B$2:$E$1010, 4, false)), 0, vlookup($A402, ESPN!$B$2:$E$1010, 4, false))</f>
        <v>0</v>
      </c>
      <c r="G402" s="36">
        <f>if(ISNA(vlookup($A402,'Ultimate Draft Kit'!$B$2:$E$201,4, false)), 0, vlookup($A402,'Ultimate Draft Kit'!$B$2:$E$201, 4, false))</f>
        <v>0</v>
      </c>
      <c r="H402" s="36">
        <f>if(ISNA(vlookup($A402, FantasyPro!$B$2:$E$514,4,false)),0,vlookup($A402,FantasyPro!$B$2:$E$514,4,false))</f>
        <v>0</v>
      </c>
      <c r="I402" s="36">
        <f>if(ISNA(vlookup($A402, FFToolbox!$B$2:$E$618, 4, false)), 0, vlookup($A402, FFToolbox!$B$2:$E$618, 4, false))</f>
        <v>0</v>
      </c>
      <c r="J402" s="37">
        <f t="shared" si="1"/>
        <v>0</v>
      </c>
      <c r="K402" s="37">
        <f t="shared" si="2"/>
        <v>0</v>
      </c>
    </row>
    <row r="403" hidden="1">
      <c r="A403" s="13" t="s">
        <v>975</v>
      </c>
      <c r="B403" s="34" t="s">
        <v>1061</v>
      </c>
      <c r="C403" s="5" t="s">
        <v>257</v>
      </c>
      <c r="D403" s="5" t="s">
        <v>10</v>
      </c>
      <c r="E403" s="35" t="str">
        <f>vlookup(C403,'Team Bye List'!$A$1:$B$33,2,False)</f>
        <v>#N/A</v>
      </c>
      <c r="F403" s="36">
        <f>if(ISNA(vlookup($A403, ESPN!$B$2:$E$1010, 4, false)), 0, vlookup($A403, ESPN!$B$2:$E$1010, 4, false))</f>
        <v>0</v>
      </c>
      <c r="G403" s="36">
        <f>if(ISNA(vlookup($A403,'Ultimate Draft Kit'!$B$2:$E$201,4, false)), 0, vlookup($A403,'Ultimate Draft Kit'!$B$2:$E$201, 4, false))</f>
        <v>0</v>
      </c>
      <c r="H403" s="36">
        <f>if(ISNA(vlookup($A403, FantasyPro!$B$2:$E$514,4,false)),0,vlookup($A403,FantasyPro!$B$2:$E$514,4,false))</f>
        <v>0</v>
      </c>
      <c r="I403" s="36">
        <f>if(ISNA(vlookup($A403, FFToolbox!$B$2:$E$618, 4, false)), 0, vlookup($A403, FFToolbox!$B$2:$E$618, 4, false))</f>
        <v>0</v>
      </c>
      <c r="J403" s="37">
        <f t="shared" si="1"/>
        <v>0</v>
      </c>
      <c r="K403" s="37">
        <f t="shared" si="2"/>
        <v>0</v>
      </c>
    </row>
    <row r="404" hidden="1">
      <c r="A404" s="13" t="s">
        <v>967</v>
      </c>
      <c r="B404" s="34" t="s">
        <v>1061</v>
      </c>
      <c r="C404" s="5" t="s">
        <v>29</v>
      </c>
      <c r="D404" s="5" t="s">
        <v>10</v>
      </c>
      <c r="E404" s="35">
        <f>vlookup(C404,'Team Bye List'!$A$1:$B$33,2,False)</f>
        <v>11</v>
      </c>
      <c r="F404" s="36">
        <f>if(ISNA(vlookup($A404, ESPN!$B$2:$E$1010, 4, false)), 0, vlookup($A404, ESPN!$B$2:$E$1010, 4, false))</f>
        <v>0</v>
      </c>
      <c r="G404" s="36">
        <f>if(ISNA(vlookup($A404,'Ultimate Draft Kit'!$B$2:$E$201,4, false)), 0, vlookup($A404,'Ultimate Draft Kit'!$B$2:$E$201, 4, false))</f>
        <v>0</v>
      </c>
      <c r="H404" s="36">
        <f>if(ISNA(vlookup($A404, FantasyPro!$B$2:$E$514,4,false)),0,vlookup($A404,FantasyPro!$B$2:$E$514,4,false))</f>
        <v>0</v>
      </c>
      <c r="I404" s="36">
        <f>if(ISNA(vlookup($A404, FFToolbox!$B$2:$E$618, 4, false)), 0, vlookup($A404, FFToolbox!$B$2:$E$618, 4, false))</f>
        <v>0</v>
      </c>
      <c r="J404" s="37">
        <f t="shared" si="1"/>
        <v>0</v>
      </c>
      <c r="K404" s="37">
        <f t="shared" si="2"/>
        <v>0</v>
      </c>
    </row>
    <row r="405" hidden="1">
      <c r="A405" s="13" t="s">
        <v>981</v>
      </c>
      <c r="B405" s="34" t="s">
        <v>1061</v>
      </c>
      <c r="C405" s="5" t="s">
        <v>257</v>
      </c>
      <c r="D405" s="5" t="s">
        <v>10</v>
      </c>
      <c r="E405" s="35" t="str">
        <f>vlookup(C405,'Team Bye List'!$A$1:$B$33,2,False)</f>
        <v>#N/A</v>
      </c>
      <c r="F405" s="36">
        <f>if(ISNA(vlookup($A405, ESPN!$B$2:$E$1010, 4, false)), 0, vlookup($A405, ESPN!$B$2:$E$1010, 4, false))</f>
        <v>0</v>
      </c>
      <c r="G405" s="36">
        <f>if(ISNA(vlookup($A405,'Ultimate Draft Kit'!$B$2:$E$201,4, false)), 0, vlookup($A405,'Ultimate Draft Kit'!$B$2:$E$201, 4, false))</f>
        <v>0</v>
      </c>
      <c r="H405" s="36">
        <f>if(ISNA(vlookup($A405, FantasyPro!$B$2:$E$514,4,false)),0,vlookup($A405,FantasyPro!$B$2:$E$514,4,false))</f>
        <v>0</v>
      </c>
      <c r="I405" s="36">
        <f>if(ISNA(vlookup($A405, FFToolbox!$B$2:$E$618, 4, false)), 0, vlookup($A405, FFToolbox!$B$2:$E$618, 4, false))</f>
        <v>0</v>
      </c>
      <c r="J405" s="37">
        <f t="shared" si="1"/>
        <v>0</v>
      </c>
      <c r="K405" s="37">
        <f t="shared" si="2"/>
        <v>0</v>
      </c>
    </row>
    <row r="406" hidden="1">
      <c r="A406" s="13" t="s">
        <v>978</v>
      </c>
      <c r="B406" s="34" t="s">
        <v>1061</v>
      </c>
      <c r="C406" s="5" t="s">
        <v>257</v>
      </c>
      <c r="D406" s="5" t="s">
        <v>10</v>
      </c>
      <c r="E406" s="35" t="str">
        <f>vlookup(C406,'Team Bye List'!$A$1:$B$33,2,False)</f>
        <v>#N/A</v>
      </c>
      <c r="F406" s="36">
        <f>if(ISNA(vlookup($A406, ESPN!$B$2:$E$1010, 4, false)), 0, vlookup($A406, ESPN!$B$2:$E$1010, 4, false))</f>
        <v>0</v>
      </c>
      <c r="G406" s="36">
        <f>if(ISNA(vlookup($A406,'Ultimate Draft Kit'!$B$2:$E$201,4, false)), 0, vlookup($A406,'Ultimate Draft Kit'!$B$2:$E$201, 4, false))</f>
        <v>0</v>
      </c>
      <c r="H406" s="36">
        <f>if(ISNA(vlookup($A406, FantasyPro!$B$2:$E$514,4,false)),0,vlookup($A406,FantasyPro!$B$2:$E$514,4,false))</f>
        <v>0</v>
      </c>
      <c r="I406" s="36">
        <f>if(ISNA(vlookup($A406, FFToolbox!$B$2:$E$618, 4, false)), 0, vlookup($A406, FFToolbox!$B$2:$E$618, 4, false))</f>
        <v>0</v>
      </c>
      <c r="J406" s="37">
        <f t="shared" si="1"/>
        <v>0</v>
      </c>
      <c r="K406" s="37">
        <f t="shared" si="2"/>
        <v>0</v>
      </c>
    </row>
    <row r="407" hidden="1">
      <c r="A407" s="13" t="s">
        <v>980</v>
      </c>
      <c r="B407" s="34" t="s">
        <v>1061</v>
      </c>
      <c r="C407" s="5" t="s">
        <v>257</v>
      </c>
      <c r="D407" s="5" t="s">
        <v>10</v>
      </c>
      <c r="E407" s="35" t="str">
        <f>vlookup(C407,'Team Bye List'!$A$1:$B$33,2,False)</f>
        <v>#N/A</v>
      </c>
      <c r="F407" s="36">
        <f>if(ISNA(vlookup($A407, ESPN!$B$2:$E$1010, 4, false)), 0, vlookup($A407, ESPN!$B$2:$E$1010, 4, false))</f>
        <v>0</v>
      </c>
      <c r="G407" s="36">
        <f>if(ISNA(vlookup($A407,'Ultimate Draft Kit'!$B$2:$E$201,4, false)), 0, vlookup($A407,'Ultimate Draft Kit'!$B$2:$E$201, 4, false))</f>
        <v>0</v>
      </c>
      <c r="H407" s="36">
        <f>if(ISNA(vlookup($A407, FantasyPro!$B$2:$E$514,4,false)),0,vlookup($A407,FantasyPro!$B$2:$E$514,4,false))</f>
        <v>0</v>
      </c>
      <c r="I407" s="36">
        <f>if(ISNA(vlookup($A407, FFToolbox!$B$2:$E$618, 4, false)), 0, vlookup($A407, FFToolbox!$B$2:$E$618, 4, false))</f>
        <v>0</v>
      </c>
      <c r="J407" s="37">
        <f t="shared" si="1"/>
        <v>0</v>
      </c>
      <c r="K407" s="37">
        <f t="shared" si="2"/>
        <v>0</v>
      </c>
    </row>
    <row r="408" hidden="1">
      <c r="A408" s="13" t="s">
        <v>958</v>
      </c>
      <c r="B408" s="34" t="s">
        <v>1061</v>
      </c>
      <c r="C408" s="5" t="s">
        <v>59</v>
      </c>
      <c r="D408" s="5" t="s">
        <v>10</v>
      </c>
      <c r="E408" s="35">
        <f>vlookup(C408,'Team Bye List'!$A$1:$B$33,2,False)</f>
        <v>8</v>
      </c>
      <c r="F408" s="36">
        <f>if(ISNA(vlookup($A408, ESPN!$B$2:$E$1010, 4, false)), 0, vlookup($A408, ESPN!$B$2:$E$1010, 4, false))</f>
        <v>0</v>
      </c>
      <c r="G408" s="36">
        <f>if(ISNA(vlookup($A408,'Ultimate Draft Kit'!$B$2:$E$201,4, false)), 0, vlookup($A408,'Ultimate Draft Kit'!$B$2:$E$201, 4, false))</f>
        <v>0</v>
      </c>
      <c r="H408" s="36">
        <f>if(ISNA(vlookup($A408, FantasyPro!$B$2:$E$514,4,false)),0,vlookup($A408,FantasyPro!$B$2:$E$514,4,false))</f>
        <v>0</v>
      </c>
      <c r="I408" s="36">
        <f>if(ISNA(vlookup($A408, FFToolbox!$B$2:$E$618, 4, false)), 0, vlookup($A408, FFToolbox!$B$2:$E$618, 4, false))</f>
        <v>0</v>
      </c>
      <c r="J408" s="37">
        <f t="shared" si="1"/>
        <v>0</v>
      </c>
      <c r="K408" s="37">
        <f t="shared" si="2"/>
        <v>0</v>
      </c>
    </row>
    <row r="409" hidden="1">
      <c r="A409" s="13" t="s">
        <v>955</v>
      </c>
      <c r="B409" s="34" t="s">
        <v>1061</v>
      </c>
      <c r="C409" s="5" t="s">
        <v>102</v>
      </c>
      <c r="D409" s="5" t="s">
        <v>10</v>
      </c>
      <c r="E409" s="35">
        <f>vlookup(C409,'Team Bye List'!$A$1:$B$33,2,False)</f>
        <v>11</v>
      </c>
      <c r="F409" s="36">
        <f>if(ISNA(vlookup($A409, ESPN!$B$2:$E$1010, 4, false)), 0, vlookup($A409, ESPN!$B$2:$E$1010, 4, false))</f>
        <v>0</v>
      </c>
      <c r="G409" s="36">
        <f>if(ISNA(vlookup($A409,'Ultimate Draft Kit'!$B$2:$E$201,4, false)), 0, vlookup($A409,'Ultimate Draft Kit'!$B$2:$E$201, 4, false))</f>
        <v>0</v>
      </c>
      <c r="H409" s="36">
        <f>if(ISNA(vlookup($A409, FantasyPro!$B$2:$E$514,4,false)),0,vlookup($A409,FantasyPro!$B$2:$E$514,4,false))</f>
        <v>0</v>
      </c>
      <c r="I409" s="36">
        <f>if(ISNA(vlookup($A409, FFToolbox!$B$2:$E$618, 4, false)), 0, vlookup($A409, FFToolbox!$B$2:$E$618, 4, false))</f>
        <v>0</v>
      </c>
      <c r="J409" s="37">
        <f t="shared" si="1"/>
        <v>0</v>
      </c>
      <c r="K409" s="37">
        <f t="shared" si="2"/>
        <v>0</v>
      </c>
    </row>
    <row r="410" hidden="1">
      <c r="A410" s="13" t="s">
        <v>995</v>
      </c>
      <c r="B410" s="34" t="s">
        <v>1061</v>
      </c>
      <c r="C410" s="5" t="s">
        <v>20</v>
      </c>
      <c r="D410" s="5" t="s">
        <v>10</v>
      </c>
      <c r="E410" s="35">
        <f>vlookup(C410,'Team Bye List'!$A$1:$B$33,2,False)</f>
        <v>8</v>
      </c>
      <c r="F410" s="36">
        <f>if(ISNA(vlookup($A410, ESPN!$B$2:$E$1010, 4, false)), 0, vlookup($A410, ESPN!$B$2:$E$1010, 4, false))</f>
        <v>0</v>
      </c>
      <c r="G410" s="36">
        <f>if(ISNA(vlookup($A410,'Ultimate Draft Kit'!$B$2:$E$201,4, false)), 0, vlookup($A410,'Ultimate Draft Kit'!$B$2:$E$201, 4, false))</f>
        <v>0</v>
      </c>
      <c r="H410" s="36">
        <f>if(ISNA(vlookup($A410, FantasyPro!$B$2:$E$514,4,false)),0,vlookup($A410,FantasyPro!$B$2:$E$514,4,false))</f>
        <v>0</v>
      </c>
      <c r="I410" s="36">
        <f>if(ISNA(vlookup($A410, FFToolbox!$B$2:$E$618, 4, false)), 0, vlookup($A410, FFToolbox!$B$2:$E$618, 4, false))</f>
        <v>0</v>
      </c>
      <c r="J410" s="37">
        <f t="shared" si="1"/>
        <v>0</v>
      </c>
      <c r="K410" s="37">
        <f t="shared" si="2"/>
        <v>0</v>
      </c>
    </row>
    <row r="411" hidden="1">
      <c r="A411" s="13" t="s">
        <v>988</v>
      </c>
      <c r="B411" s="34" t="s">
        <v>1061</v>
      </c>
      <c r="C411" s="5" t="s">
        <v>29</v>
      </c>
      <c r="D411" s="5" t="s">
        <v>10</v>
      </c>
      <c r="E411" s="35">
        <f>vlookup(C411,'Team Bye List'!$A$1:$B$33,2,False)</f>
        <v>11</v>
      </c>
      <c r="F411" s="36">
        <f>if(ISNA(vlookup($A411, ESPN!$B$2:$E$1010, 4, false)), 0, vlookup($A411, ESPN!$B$2:$E$1010, 4, false))</f>
        <v>0</v>
      </c>
      <c r="G411" s="36">
        <f>if(ISNA(vlookup($A411,'Ultimate Draft Kit'!$B$2:$E$201,4, false)), 0, vlookup($A411,'Ultimate Draft Kit'!$B$2:$E$201, 4, false))</f>
        <v>0</v>
      </c>
      <c r="H411" s="36">
        <f>if(ISNA(vlookup($A411, FantasyPro!$B$2:$E$514,4,false)),0,vlookup($A411,FantasyPro!$B$2:$E$514,4,false))</f>
        <v>0</v>
      </c>
      <c r="I411" s="36">
        <f>if(ISNA(vlookup($A411, FFToolbox!$B$2:$E$618, 4, false)), 0, vlookup($A411, FFToolbox!$B$2:$E$618, 4, false))</f>
        <v>0</v>
      </c>
      <c r="J411" s="37">
        <f t="shared" si="1"/>
        <v>0</v>
      </c>
      <c r="K411" s="37">
        <f t="shared" si="2"/>
        <v>0</v>
      </c>
    </row>
    <row r="412" hidden="1">
      <c r="A412" s="13" t="s">
        <v>1062</v>
      </c>
      <c r="B412" s="34" t="s">
        <v>1061</v>
      </c>
      <c r="C412" s="5" t="s">
        <v>22</v>
      </c>
      <c r="D412" s="5" t="s">
        <v>25</v>
      </c>
      <c r="E412" s="35">
        <f>vlookup(C412,'Team Bye List'!$A$1:$B$33,2,False)</f>
        <v>7</v>
      </c>
      <c r="F412" s="36">
        <f>if(ISNA(vlookup($A412, ESPN!$B$2:$E$1010, 4, false)), 0, vlookup($A412, ESPN!$B$2:$E$1010, 4, false))</f>
        <v>0</v>
      </c>
      <c r="G412" s="36">
        <f>if(ISNA(vlookup($A412,'Ultimate Draft Kit'!$B$2:$E$201,4, false)), 0, vlookup($A412,'Ultimate Draft Kit'!$B$2:$E$201, 4, false))</f>
        <v>0</v>
      </c>
      <c r="H412" s="36">
        <f>if(ISNA(vlookup($A412, FantasyPro!$B$2:$E$514,4,false)),0,vlookup($A412,FantasyPro!$B$2:$E$514,4,false))</f>
        <v>0</v>
      </c>
      <c r="I412" s="36">
        <f>if(ISNA(vlookup($A412, FFToolbox!$B$2:$E$618, 4, false)), 0, vlookup($A412, FFToolbox!$B$2:$E$618, 4, false))</f>
        <v>0</v>
      </c>
      <c r="J412" s="37">
        <f t="shared" si="1"/>
        <v>0</v>
      </c>
      <c r="K412" s="37">
        <f t="shared" si="2"/>
        <v>0</v>
      </c>
    </row>
    <row r="413" hidden="1">
      <c r="A413" s="13" t="s">
        <v>1063</v>
      </c>
      <c r="B413" s="34" t="s">
        <v>1061</v>
      </c>
      <c r="C413" s="5" t="s">
        <v>257</v>
      </c>
      <c r="D413" s="5" t="s">
        <v>7</v>
      </c>
      <c r="E413" s="35" t="str">
        <f>vlookup(C413,'Team Bye List'!$A$1:$B$33,2,False)</f>
        <v>#N/A</v>
      </c>
      <c r="F413" s="36">
        <f>if(ISNA(vlookup($A413, ESPN!$B$2:$E$1010, 4, false)), 0, vlookup($A413, ESPN!$B$2:$E$1010, 4, false))</f>
        <v>0</v>
      </c>
      <c r="G413" s="36">
        <f>if(ISNA(vlookup($A413,'Ultimate Draft Kit'!$B$2:$E$201,4, false)), 0, vlookup($A413,'Ultimate Draft Kit'!$B$2:$E$201, 4, false))</f>
        <v>0</v>
      </c>
      <c r="H413" s="36">
        <f>if(ISNA(vlookup($A413, FantasyPro!$B$2:$E$514,4,false)),0,vlookup($A413,FantasyPro!$B$2:$E$514,4,false))</f>
        <v>0</v>
      </c>
      <c r="I413" s="36">
        <f>if(ISNA(vlookup($A413, FFToolbox!$B$2:$E$618, 4, false)), 0, vlookup($A413, FFToolbox!$B$2:$E$618, 4, false))</f>
        <v>0</v>
      </c>
      <c r="J413" s="37">
        <f t="shared" si="1"/>
        <v>0</v>
      </c>
      <c r="K413" s="37">
        <f t="shared" si="2"/>
        <v>0</v>
      </c>
    </row>
    <row r="414" hidden="1">
      <c r="A414" s="13" t="s">
        <v>974</v>
      </c>
      <c r="B414" s="34" t="s">
        <v>1061</v>
      </c>
      <c r="C414" s="5" t="s">
        <v>257</v>
      </c>
      <c r="D414" s="5" t="s">
        <v>10</v>
      </c>
      <c r="E414" s="35" t="str">
        <f>vlookup(C414,'Team Bye List'!$A$1:$B$33,2,False)</f>
        <v>#N/A</v>
      </c>
      <c r="F414" s="36">
        <f>if(ISNA(vlookup($A414, ESPN!$B$2:$E$1010, 4, false)), 0, vlookup($A414, ESPN!$B$2:$E$1010, 4, false))</f>
        <v>0</v>
      </c>
      <c r="G414" s="36">
        <f>if(ISNA(vlookup($A414,'Ultimate Draft Kit'!$B$2:$E$201,4, false)), 0, vlookup($A414,'Ultimate Draft Kit'!$B$2:$E$201, 4, false))</f>
        <v>0</v>
      </c>
      <c r="H414" s="36">
        <f>if(ISNA(vlookup($A414, FantasyPro!$B$2:$E$514,4,false)),0,vlookup($A414,FantasyPro!$B$2:$E$514,4,false))</f>
        <v>0</v>
      </c>
      <c r="I414" s="36">
        <f>if(ISNA(vlookup($A414, FFToolbox!$B$2:$E$618, 4, false)), 0, vlookup($A414, FFToolbox!$B$2:$E$618, 4, false))</f>
        <v>0</v>
      </c>
      <c r="J414" s="37">
        <f t="shared" si="1"/>
        <v>0</v>
      </c>
      <c r="K414" s="37">
        <f t="shared" si="2"/>
        <v>0</v>
      </c>
    </row>
    <row r="415" hidden="1">
      <c r="A415" s="13" t="s">
        <v>972</v>
      </c>
      <c r="B415" s="34" t="s">
        <v>1061</v>
      </c>
      <c r="C415" s="5" t="s">
        <v>257</v>
      </c>
      <c r="D415" s="5" t="s">
        <v>10</v>
      </c>
      <c r="E415" s="35" t="str">
        <f>vlookup(C415,'Team Bye List'!$A$1:$B$33,2,False)</f>
        <v>#N/A</v>
      </c>
      <c r="F415" s="36">
        <f>if(ISNA(vlookup($A415, ESPN!$B$2:$E$1010, 4, false)), 0, vlookup($A415, ESPN!$B$2:$E$1010, 4, false))</f>
        <v>0</v>
      </c>
      <c r="G415" s="36">
        <f>if(ISNA(vlookup($A415,'Ultimate Draft Kit'!$B$2:$E$201,4, false)), 0, vlookup($A415,'Ultimate Draft Kit'!$B$2:$E$201, 4, false))</f>
        <v>0</v>
      </c>
      <c r="H415" s="36">
        <f>if(ISNA(vlookup($A415, FantasyPro!$B$2:$E$514,4,false)),0,vlookup($A415,FantasyPro!$B$2:$E$514,4,false))</f>
        <v>0</v>
      </c>
      <c r="I415" s="36">
        <f>if(ISNA(vlookup($A415, FFToolbox!$B$2:$E$618, 4, false)), 0, vlookup($A415, FFToolbox!$B$2:$E$618, 4, false))</f>
        <v>0</v>
      </c>
      <c r="J415" s="37">
        <f t="shared" si="1"/>
        <v>0</v>
      </c>
      <c r="K415" s="37">
        <f t="shared" si="2"/>
        <v>0</v>
      </c>
    </row>
    <row r="416" hidden="1">
      <c r="A416" s="13" t="s">
        <v>983</v>
      </c>
      <c r="B416" s="34" t="s">
        <v>1061</v>
      </c>
      <c r="C416" s="5" t="s">
        <v>257</v>
      </c>
      <c r="D416" s="5" t="s">
        <v>10</v>
      </c>
      <c r="E416" s="35" t="str">
        <f>vlookup(C416,'Team Bye List'!$A$1:$B$33,2,False)</f>
        <v>#N/A</v>
      </c>
      <c r="F416" s="36">
        <f>if(ISNA(vlookup($A416, ESPN!$B$2:$E$1010, 4, false)), 0, vlookup($A416, ESPN!$B$2:$E$1010, 4, false))</f>
        <v>0</v>
      </c>
      <c r="G416" s="36">
        <f>if(ISNA(vlookup($A416,'Ultimate Draft Kit'!$B$2:$E$201,4, false)), 0, vlookup($A416,'Ultimate Draft Kit'!$B$2:$E$201, 4, false))</f>
        <v>0</v>
      </c>
      <c r="H416" s="36">
        <f>if(ISNA(vlookup($A416, FantasyPro!$B$2:$E$514,4,false)),0,vlookup($A416,FantasyPro!$B$2:$E$514,4,false))</f>
        <v>0</v>
      </c>
      <c r="I416" s="36">
        <f>if(ISNA(vlookup($A416, FFToolbox!$B$2:$E$618, 4, false)), 0, vlookup($A416, FFToolbox!$B$2:$E$618, 4, false))</f>
        <v>0</v>
      </c>
      <c r="J416" s="37">
        <f t="shared" si="1"/>
        <v>0</v>
      </c>
      <c r="K416" s="37">
        <f t="shared" si="2"/>
        <v>0</v>
      </c>
    </row>
    <row r="417" hidden="1">
      <c r="A417" s="13" t="s">
        <v>961</v>
      </c>
      <c r="B417" s="34" t="s">
        <v>1061</v>
      </c>
      <c r="C417" s="5" t="s">
        <v>32</v>
      </c>
      <c r="D417" s="5" t="s">
        <v>10</v>
      </c>
      <c r="E417" s="35">
        <f>vlookup(C417,'Team Bye List'!$A$1:$B$33,2,False)</f>
        <v>9</v>
      </c>
      <c r="F417" s="36">
        <f>if(ISNA(vlookup($A417, ESPN!$B$2:$E$1010, 4, false)), 0, vlookup($A417, ESPN!$B$2:$E$1010, 4, false))</f>
        <v>0</v>
      </c>
      <c r="G417" s="36">
        <f>if(ISNA(vlookup($A417,'Ultimate Draft Kit'!$B$2:$E$201,4, false)), 0, vlookup($A417,'Ultimate Draft Kit'!$B$2:$E$201, 4, false))</f>
        <v>0</v>
      </c>
      <c r="H417" s="36">
        <f>if(ISNA(vlookup($A417, FantasyPro!$B$2:$E$514,4,false)),0,vlookup($A417,FantasyPro!$B$2:$E$514,4,false))</f>
        <v>0</v>
      </c>
      <c r="I417" s="36">
        <f>if(ISNA(vlookup($A417, FFToolbox!$B$2:$E$618, 4, false)), 0, vlookup($A417, FFToolbox!$B$2:$E$618, 4, false))</f>
        <v>0</v>
      </c>
      <c r="J417" s="37">
        <f t="shared" si="1"/>
        <v>0</v>
      </c>
      <c r="K417" s="37">
        <f t="shared" si="2"/>
        <v>0</v>
      </c>
    </row>
    <row r="418" hidden="1">
      <c r="A418" s="13" t="s">
        <v>968</v>
      </c>
      <c r="B418" s="34" t="s">
        <v>1061</v>
      </c>
      <c r="C418" s="5" t="s">
        <v>257</v>
      </c>
      <c r="D418" s="5" t="s">
        <v>10</v>
      </c>
      <c r="E418" s="35" t="str">
        <f>vlookup(C418,'Team Bye List'!$A$1:$B$33,2,False)</f>
        <v>#N/A</v>
      </c>
      <c r="F418" s="36">
        <f>if(ISNA(vlookup($A418, ESPN!$B$2:$E$1010, 4, false)), 0, vlookup($A418, ESPN!$B$2:$E$1010, 4, false))</f>
        <v>0</v>
      </c>
      <c r="G418" s="36">
        <f>if(ISNA(vlookup($A418,'Ultimate Draft Kit'!$B$2:$E$201,4, false)), 0, vlookup($A418,'Ultimate Draft Kit'!$B$2:$E$201, 4, false))</f>
        <v>0</v>
      </c>
      <c r="H418" s="36">
        <f>if(ISNA(vlookup($A418, FantasyPro!$B$2:$E$514,4,false)),0,vlookup($A418,FantasyPro!$B$2:$E$514,4,false))</f>
        <v>0</v>
      </c>
      <c r="I418" s="36">
        <f>if(ISNA(vlookup($A418, FFToolbox!$B$2:$E$618, 4, false)), 0, vlookup($A418, FFToolbox!$B$2:$E$618, 4, false))</f>
        <v>0</v>
      </c>
      <c r="J418" s="37">
        <f t="shared" si="1"/>
        <v>0</v>
      </c>
      <c r="K418" s="37">
        <f t="shared" si="2"/>
        <v>0</v>
      </c>
    </row>
    <row r="419" hidden="1">
      <c r="A419" s="13" t="s">
        <v>957</v>
      </c>
      <c r="B419" s="34" t="s">
        <v>1061</v>
      </c>
      <c r="C419" s="5" t="s">
        <v>34</v>
      </c>
      <c r="D419" s="5" t="s">
        <v>10</v>
      </c>
      <c r="E419" s="35">
        <f>vlookup(C419,'Team Bye List'!$A$1:$B$33,2,False)</f>
        <v>7</v>
      </c>
      <c r="F419" s="36">
        <f>if(ISNA(vlookup($A419, ESPN!$B$2:$E$1010, 4, false)), 0, vlookup($A419, ESPN!$B$2:$E$1010, 4, false))</f>
        <v>0</v>
      </c>
      <c r="G419" s="36">
        <f>if(ISNA(vlookup($A419,'Ultimate Draft Kit'!$B$2:$E$201,4, false)), 0, vlookup($A419,'Ultimate Draft Kit'!$B$2:$E$201, 4, false))</f>
        <v>0</v>
      </c>
      <c r="H419" s="36">
        <f>if(ISNA(vlookup($A419, FantasyPro!$B$2:$E$514,4,false)),0,vlookup($A419,FantasyPro!$B$2:$E$514,4,false))</f>
        <v>0</v>
      </c>
      <c r="I419" s="36">
        <f>if(ISNA(vlookup($A419, FFToolbox!$B$2:$E$618, 4, false)), 0, vlookup($A419, FFToolbox!$B$2:$E$618, 4, false))</f>
        <v>0</v>
      </c>
      <c r="J419" s="37">
        <f t="shared" si="1"/>
        <v>0</v>
      </c>
      <c r="K419" s="37">
        <f t="shared" si="2"/>
        <v>0</v>
      </c>
    </row>
    <row r="420" hidden="1">
      <c r="A420" s="13" t="s">
        <v>971</v>
      </c>
      <c r="B420" s="34" t="s">
        <v>1061</v>
      </c>
      <c r="C420" s="5" t="s">
        <v>257</v>
      </c>
      <c r="D420" s="5" t="s">
        <v>10</v>
      </c>
      <c r="E420" s="35" t="str">
        <f>vlookup(C420,'Team Bye List'!$A$1:$B$33,2,False)</f>
        <v>#N/A</v>
      </c>
      <c r="F420" s="36">
        <f>if(ISNA(vlookup($A420, ESPN!$B$2:$E$1010, 4, false)), 0, vlookup($A420, ESPN!$B$2:$E$1010, 4, false))</f>
        <v>0</v>
      </c>
      <c r="G420" s="36">
        <f>if(ISNA(vlookup($A420,'Ultimate Draft Kit'!$B$2:$E$201,4, false)), 0, vlookup($A420,'Ultimate Draft Kit'!$B$2:$E$201, 4, false))</f>
        <v>0</v>
      </c>
      <c r="H420" s="36">
        <f>if(ISNA(vlookup($A420, FantasyPro!$B$2:$E$514,4,false)),0,vlookup($A420,FantasyPro!$B$2:$E$514,4,false))</f>
        <v>0</v>
      </c>
      <c r="I420" s="36">
        <f>if(ISNA(vlookup($A420, FFToolbox!$B$2:$E$618, 4, false)), 0, vlookup($A420, FFToolbox!$B$2:$E$618, 4, false))</f>
        <v>0</v>
      </c>
      <c r="J420" s="37">
        <f t="shared" si="1"/>
        <v>0</v>
      </c>
      <c r="K420" s="37">
        <f t="shared" si="2"/>
        <v>0</v>
      </c>
    </row>
    <row r="421" hidden="1">
      <c r="A421" s="13" t="s">
        <v>982</v>
      </c>
      <c r="B421" s="34" t="s">
        <v>1061</v>
      </c>
      <c r="C421" s="5" t="s">
        <v>257</v>
      </c>
      <c r="D421" s="5" t="s">
        <v>10</v>
      </c>
      <c r="E421" s="35" t="str">
        <f>vlookup(C421,'Team Bye List'!$A$1:$B$33,2,False)</f>
        <v>#N/A</v>
      </c>
      <c r="F421" s="36">
        <f>if(ISNA(vlookup($A421, ESPN!$B$2:$E$1010, 4, false)), 0, vlookup($A421, ESPN!$B$2:$E$1010, 4, false))</f>
        <v>0</v>
      </c>
      <c r="G421" s="36">
        <f>if(ISNA(vlookup($A421,'Ultimate Draft Kit'!$B$2:$E$201,4, false)), 0, vlookup($A421,'Ultimate Draft Kit'!$B$2:$E$201, 4, false))</f>
        <v>0</v>
      </c>
      <c r="H421" s="36">
        <f>if(ISNA(vlookup($A421, FantasyPro!$B$2:$E$514,4,false)),0,vlookup($A421,FantasyPro!$B$2:$E$514,4,false))</f>
        <v>0</v>
      </c>
      <c r="I421" s="36">
        <f>if(ISNA(vlookup($A421, FFToolbox!$B$2:$E$618, 4, false)), 0, vlookup($A421, FFToolbox!$B$2:$E$618, 4, false))</f>
        <v>0</v>
      </c>
      <c r="J421" s="37">
        <f t="shared" si="1"/>
        <v>0</v>
      </c>
      <c r="K421" s="37">
        <f t="shared" si="2"/>
        <v>0</v>
      </c>
    </row>
    <row r="422" hidden="1">
      <c r="A422" s="13" t="s">
        <v>977</v>
      </c>
      <c r="B422" s="34" t="s">
        <v>1061</v>
      </c>
      <c r="C422" s="5" t="s">
        <v>257</v>
      </c>
      <c r="D422" s="5" t="s">
        <v>10</v>
      </c>
      <c r="E422" s="35" t="str">
        <f>vlookup(C422,'Team Bye List'!$A$1:$B$33,2,False)</f>
        <v>#N/A</v>
      </c>
      <c r="F422" s="36">
        <f>if(ISNA(vlookup($A422, ESPN!$B$2:$E$1010, 4, false)), 0, vlookup($A422, ESPN!$B$2:$E$1010, 4, false))</f>
        <v>0</v>
      </c>
      <c r="G422" s="36">
        <f>if(ISNA(vlookup($A422,'Ultimate Draft Kit'!$B$2:$E$201,4, false)), 0, vlookup($A422,'Ultimate Draft Kit'!$B$2:$E$201, 4, false))</f>
        <v>0</v>
      </c>
      <c r="H422" s="36">
        <f>if(ISNA(vlookup($A422, FantasyPro!$B$2:$E$514,4,false)),0,vlookup($A422,FantasyPro!$B$2:$E$514,4,false))</f>
        <v>0</v>
      </c>
      <c r="I422" s="36">
        <f>if(ISNA(vlookup($A422, FFToolbox!$B$2:$E$618, 4, false)), 0, vlookup($A422, FFToolbox!$B$2:$E$618, 4, false))</f>
        <v>0</v>
      </c>
      <c r="J422" s="37">
        <f t="shared" si="1"/>
        <v>0</v>
      </c>
      <c r="K422" s="37">
        <f t="shared" si="2"/>
        <v>0</v>
      </c>
    </row>
    <row r="423" hidden="1">
      <c r="A423" s="13" t="s">
        <v>960</v>
      </c>
      <c r="B423" s="34" t="s">
        <v>1061</v>
      </c>
      <c r="C423" s="5" t="s">
        <v>134</v>
      </c>
      <c r="D423" s="5" t="s">
        <v>10</v>
      </c>
      <c r="E423" s="35">
        <f>vlookup(C423,'Team Bye List'!$A$1:$B$33,2,False)</f>
        <v>11</v>
      </c>
      <c r="F423" s="36">
        <f>if(ISNA(vlookup($A423, ESPN!$B$2:$E$1010, 4, false)), 0, vlookup($A423, ESPN!$B$2:$E$1010, 4, false))</f>
        <v>0</v>
      </c>
      <c r="G423" s="36">
        <f>if(ISNA(vlookup($A423,'Ultimate Draft Kit'!$B$2:$E$201,4, false)), 0, vlookup($A423,'Ultimate Draft Kit'!$B$2:$E$201, 4, false))</f>
        <v>0</v>
      </c>
      <c r="H423" s="36">
        <f>if(ISNA(vlookup($A423, FantasyPro!$B$2:$E$514,4,false)),0,vlookup($A423,FantasyPro!$B$2:$E$514,4,false))</f>
        <v>0</v>
      </c>
      <c r="I423" s="36">
        <f>if(ISNA(vlookup($A423, FFToolbox!$B$2:$E$618, 4, false)), 0, vlookup($A423, FFToolbox!$B$2:$E$618, 4, false))</f>
        <v>0</v>
      </c>
      <c r="J423" s="37">
        <f t="shared" si="1"/>
        <v>0</v>
      </c>
      <c r="K423" s="37">
        <f t="shared" si="2"/>
        <v>0</v>
      </c>
    </row>
    <row r="424" hidden="1">
      <c r="A424" s="13" t="s">
        <v>963</v>
      </c>
      <c r="B424" s="34" t="s">
        <v>1061</v>
      </c>
      <c r="C424" s="5" t="s">
        <v>32</v>
      </c>
      <c r="D424" s="5" t="s">
        <v>10</v>
      </c>
      <c r="E424" s="35">
        <f>vlookup(C424,'Team Bye List'!$A$1:$B$33,2,False)</f>
        <v>9</v>
      </c>
      <c r="F424" s="36">
        <f>if(ISNA(vlookup($A424, ESPN!$B$2:$E$1010, 4, false)), 0, vlookup($A424, ESPN!$B$2:$E$1010, 4, false))</f>
        <v>0</v>
      </c>
      <c r="G424" s="36">
        <f>if(ISNA(vlookup($A424,'Ultimate Draft Kit'!$B$2:$E$201,4, false)), 0, vlookup($A424,'Ultimate Draft Kit'!$B$2:$E$201, 4, false))</f>
        <v>0</v>
      </c>
      <c r="H424" s="36">
        <f>if(ISNA(vlookup($A424, FantasyPro!$B$2:$E$514,4,false)),0,vlookup($A424,FantasyPro!$B$2:$E$514,4,false))</f>
        <v>0</v>
      </c>
      <c r="I424" s="36">
        <f>if(ISNA(vlookup($A424, FFToolbox!$B$2:$E$618, 4, false)), 0, vlookup($A424, FFToolbox!$B$2:$E$618, 4, false))</f>
        <v>0</v>
      </c>
      <c r="J424" s="37">
        <f t="shared" si="1"/>
        <v>0</v>
      </c>
      <c r="K424" s="37">
        <f t="shared" si="2"/>
        <v>0</v>
      </c>
    </row>
    <row r="425" hidden="1">
      <c r="A425" s="13" t="s">
        <v>969</v>
      </c>
      <c r="B425" s="34" t="s">
        <v>1061</v>
      </c>
      <c r="C425" s="5" t="s">
        <v>18</v>
      </c>
      <c r="D425" s="5" t="s">
        <v>10</v>
      </c>
      <c r="E425" s="35">
        <f>vlookup(C425,'Team Bye List'!$A$1:$B$33,2,False)</f>
        <v>6</v>
      </c>
      <c r="F425" s="36">
        <f>if(ISNA(vlookup($A425, ESPN!$B$2:$E$1010, 4, false)), 0, vlookup($A425, ESPN!$B$2:$E$1010, 4, false))</f>
        <v>0</v>
      </c>
      <c r="G425" s="36">
        <f>if(ISNA(vlookup($A425,'Ultimate Draft Kit'!$B$2:$E$201,4, false)), 0, vlookup($A425,'Ultimate Draft Kit'!$B$2:$E$201, 4, false))</f>
        <v>0</v>
      </c>
      <c r="H425" s="36">
        <f>if(ISNA(vlookup($A425, FantasyPro!$B$2:$E$514,4,false)),0,vlookup($A425,FantasyPro!$B$2:$E$514,4,false))</f>
        <v>0</v>
      </c>
      <c r="I425" s="36">
        <f>if(ISNA(vlookup($A425, FFToolbox!$B$2:$E$618, 4, false)), 0, vlookup($A425, FFToolbox!$B$2:$E$618, 4, false))</f>
        <v>0</v>
      </c>
      <c r="J425" s="37">
        <f t="shared" si="1"/>
        <v>0</v>
      </c>
      <c r="K425" s="37">
        <f t="shared" si="2"/>
        <v>0</v>
      </c>
    </row>
    <row r="426" hidden="1">
      <c r="A426" s="13" t="s">
        <v>965</v>
      </c>
      <c r="B426" s="34" t="s">
        <v>1061</v>
      </c>
      <c r="C426" s="5" t="s">
        <v>59</v>
      </c>
      <c r="D426" s="5" t="s">
        <v>10</v>
      </c>
      <c r="E426" s="35">
        <f>vlookup(C426,'Team Bye List'!$A$1:$B$33,2,False)</f>
        <v>8</v>
      </c>
      <c r="F426" s="36">
        <f>if(ISNA(vlookup($A426, ESPN!$B$2:$E$1010, 4, false)), 0, vlookup($A426, ESPN!$B$2:$E$1010, 4, false))</f>
        <v>0</v>
      </c>
      <c r="G426" s="36">
        <f>if(ISNA(vlookup($A426,'Ultimate Draft Kit'!$B$2:$E$201,4, false)), 0, vlookup($A426,'Ultimate Draft Kit'!$B$2:$E$201, 4, false))</f>
        <v>0</v>
      </c>
      <c r="H426" s="36">
        <f>if(ISNA(vlookup($A426, FantasyPro!$B$2:$E$514,4,false)),0,vlookup($A426,FantasyPro!$B$2:$E$514,4,false))</f>
        <v>0</v>
      </c>
      <c r="I426" s="36">
        <f>if(ISNA(vlookup($A426, FFToolbox!$B$2:$E$618, 4, false)), 0, vlookup($A426, FFToolbox!$B$2:$E$618, 4, false))</f>
        <v>0</v>
      </c>
      <c r="J426" s="37">
        <f t="shared" si="1"/>
        <v>0</v>
      </c>
      <c r="K426" s="37">
        <f t="shared" si="2"/>
        <v>0</v>
      </c>
    </row>
    <row r="427" hidden="1">
      <c r="A427" s="13" t="s">
        <v>973</v>
      </c>
      <c r="B427" s="34" t="s">
        <v>1061</v>
      </c>
      <c r="C427" s="5" t="s">
        <v>257</v>
      </c>
      <c r="D427" s="5" t="s">
        <v>10</v>
      </c>
      <c r="E427" s="35" t="str">
        <f>vlookup(C427,'Team Bye List'!$A$1:$B$33,2,False)</f>
        <v>#N/A</v>
      </c>
      <c r="F427" s="36">
        <f>if(ISNA(vlookup($A427, ESPN!$B$2:$E$1010, 4, false)), 0, vlookup($A427, ESPN!$B$2:$E$1010, 4, false))</f>
        <v>0</v>
      </c>
      <c r="G427" s="36">
        <f>if(ISNA(vlookup($A427,'Ultimate Draft Kit'!$B$2:$E$201,4, false)), 0, vlookup($A427,'Ultimate Draft Kit'!$B$2:$E$201, 4, false))</f>
        <v>0</v>
      </c>
      <c r="H427" s="36">
        <f>if(ISNA(vlookup($A427, FantasyPro!$B$2:$E$514,4,false)),0,vlookup($A427,FantasyPro!$B$2:$E$514,4,false))</f>
        <v>0</v>
      </c>
      <c r="I427" s="36">
        <f>if(ISNA(vlookup($A427, FFToolbox!$B$2:$E$618, 4, false)), 0, vlookup($A427, FFToolbox!$B$2:$E$618, 4, false))</f>
        <v>0</v>
      </c>
      <c r="J427" s="37">
        <f t="shared" si="1"/>
        <v>0</v>
      </c>
      <c r="K427" s="37">
        <f t="shared" si="2"/>
        <v>0</v>
      </c>
    </row>
    <row r="428" hidden="1">
      <c r="A428" s="13" t="s">
        <v>959</v>
      </c>
      <c r="B428" s="34" t="s">
        <v>1061</v>
      </c>
      <c r="C428" s="5" t="s">
        <v>257</v>
      </c>
      <c r="D428" s="5" t="s">
        <v>10</v>
      </c>
      <c r="E428" s="35" t="str">
        <f>vlookup(C428,'Team Bye List'!$A$1:$B$33,2,False)</f>
        <v>#N/A</v>
      </c>
      <c r="F428" s="36">
        <f>if(ISNA(vlookup($A428, ESPN!$B$2:$E$1010, 4, false)), 0, vlookup($A428, ESPN!$B$2:$E$1010, 4, false))</f>
        <v>0</v>
      </c>
      <c r="G428" s="36">
        <f>if(ISNA(vlookup($A428,'Ultimate Draft Kit'!$B$2:$E$201,4, false)), 0, vlookup($A428,'Ultimate Draft Kit'!$B$2:$E$201, 4, false))</f>
        <v>0</v>
      </c>
      <c r="H428" s="36">
        <f>if(ISNA(vlookup($A428, FantasyPro!$B$2:$E$514,4,false)),0,vlookup($A428,FantasyPro!$B$2:$E$514,4,false))</f>
        <v>0</v>
      </c>
      <c r="I428" s="36">
        <f>if(ISNA(vlookup($A428, FFToolbox!$B$2:$E$618, 4, false)), 0, vlookup($A428, FFToolbox!$B$2:$E$618, 4, false))</f>
        <v>0</v>
      </c>
      <c r="J428" s="37">
        <f t="shared" si="1"/>
        <v>0</v>
      </c>
      <c r="K428" s="37">
        <f t="shared" si="2"/>
        <v>0</v>
      </c>
    </row>
    <row r="429" hidden="1">
      <c r="A429" s="13" t="s">
        <v>953</v>
      </c>
      <c r="B429" s="34" t="s">
        <v>1061</v>
      </c>
      <c r="C429" s="5" t="s">
        <v>257</v>
      </c>
      <c r="D429" s="5" t="s">
        <v>10</v>
      </c>
      <c r="E429" s="35" t="str">
        <f>vlookup(C429,'Team Bye List'!$A$1:$B$33,2,False)</f>
        <v>#N/A</v>
      </c>
      <c r="F429" s="36">
        <f>if(ISNA(vlookup($A429, ESPN!$B$2:$E$1010, 4, false)), 0, vlookup($A429, ESPN!$B$2:$E$1010, 4, false))</f>
        <v>0</v>
      </c>
      <c r="G429" s="36">
        <f>if(ISNA(vlookup($A429,'Ultimate Draft Kit'!$B$2:$E$201,4, false)), 0, vlookup($A429,'Ultimate Draft Kit'!$B$2:$E$201, 4, false))</f>
        <v>0</v>
      </c>
      <c r="H429" s="36">
        <f>if(ISNA(vlookup($A429, FantasyPro!$B$2:$E$514,4,false)),0,vlookup($A429,FantasyPro!$B$2:$E$514,4,false))</f>
        <v>0</v>
      </c>
      <c r="I429" s="36">
        <f>if(ISNA(vlookup($A429, FFToolbox!$B$2:$E$618, 4, false)), 0, vlookup($A429, FFToolbox!$B$2:$E$618, 4, false))</f>
        <v>0</v>
      </c>
      <c r="J429" s="37">
        <f t="shared" si="1"/>
        <v>0</v>
      </c>
      <c r="K429" s="37">
        <f t="shared" si="2"/>
        <v>0</v>
      </c>
    </row>
    <row r="430" hidden="1">
      <c r="A430" s="13" t="s">
        <v>1064</v>
      </c>
      <c r="B430" s="34" t="s">
        <v>1061</v>
      </c>
      <c r="C430" s="5" t="s">
        <v>257</v>
      </c>
      <c r="D430" s="5" t="s">
        <v>25</v>
      </c>
      <c r="E430" s="35" t="str">
        <f>vlookup(C430,'Team Bye List'!$A$1:$B$33,2,False)</f>
        <v>#N/A</v>
      </c>
      <c r="F430" s="36">
        <f>if(ISNA(vlookup($A430, ESPN!$B$2:$E$1010, 4, false)), 0, vlookup($A430, ESPN!$B$2:$E$1010, 4, false))</f>
        <v>0</v>
      </c>
      <c r="G430" s="36">
        <f>if(ISNA(vlookup($A430,'Ultimate Draft Kit'!$B$2:$E$201,4, false)), 0, vlookup($A430,'Ultimate Draft Kit'!$B$2:$E$201, 4, false))</f>
        <v>0</v>
      </c>
      <c r="H430" s="36">
        <f>if(ISNA(vlookup($A430, FantasyPro!$B$2:$E$514,4,false)),0,vlookup($A430,FantasyPro!$B$2:$E$514,4,false))</f>
        <v>0</v>
      </c>
      <c r="I430" s="36">
        <f>if(ISNA(vlookup($A430, FFToolbox!$B$2:$E$618, 4, false)), 0, vlookup($A430, FFToolbox!$B$2:$E$618, 4, false))</f>
        <v>0</v>
      </c>
      <c r="J430" s="37">
        <f t="shared" si="1"/>
        <v>0</v>
      </c>
      <c r="K430" s="37">
        <f t="shared" si="2"/>
        <v>0</v>
      </c>
    </row>
    <row r="431" hidden="1">
      <c r="A431" s="13" t="s">
        <v>962</v>
      </c>
      <c r="B431" s="34" t="s">
        <v>1061</v>
      </c>
      <c r="C431" s="5" t="s">
        <v>56</v>
      </c>
      <c r="D431" s="5" t="s">
        <v>10</v>
      </c>
      <c r="E431" s="35">
        <f>vlookup(C431,'Team Bye List'!$A$1:$B$33,2,False)</f>
        <v>5</v>
      </c>
      <c r="F431" s="36">
        <f>if(ISNA(vlookup($A431, ESPN!$B$2:$E$1010, 4, false)), 0, vlookup($A431, ESPN!$B$2:$E$1010, 4, false))</f>
        <v>0</v>
      </c>
      <c r="G431" s="36">
        <f>if(ISNA(vlookup($A431,'Ultimate Draft Kit'!$B$2:$E$201,4, false)), 0, vlookup($A431,'Ultimate Draft Kit'!$B$2:$E$201, 4, false))</f>
        <v>0</v>
      </c>
      <c r="H431" s="36">
        <f>if(ISNA(vlookup($A431, FantasyPro!$B$2:$E$514,4,false)),0,vlookup($A431,FantasyPro!$B$2:$E$514,4,false))</f>
        <v>0</v>
      </c>
      <c r="I431" s="36">
        <f>if(ISNA(vlookup($A431, FFToolbox!$B$2:$E$618, 4, false)), 0, vlookup($A431, FFToolbox!$B$2:$E$618, 4, false))</f>
        <v>0</v>
      </c>
      <c r="J431" s="37">
        <f t="shared" si="1"/>
        <v>0</v>
      </c>
      <c r="K431" s="37">
        <f t="shared" si="2"/>
        <v>0</v>
      </c>
    </row>
    <row r="432" hidden="1">
      <c r="A432" s="13" t="s">
        <v>952</v>
      </c>
      <c r="B432" s="34" t="s">
        <v>1061</v>
      </c>
      <c r="C432" s="5" t="s">
        <v>22</v>
      </c>
      <c r="D432" s="5" t="s">
        <v>10</v>
      </c>
      <c r="E432" s="35">
        <f>vlookup(C432,'Team Bye List'!$A$1:$B$33,2,False)</f>
        <v>7</v>
      </c>
      <c r="F432" s="36">
        <f>if(ISNA(vlookup($A432, ESPN!$B$2:$E$1010, 4, false)), 0, vlookup($A432, ESPN!$B$2:$E$1010, 4, false))</f>
        <v>0</v>
      </c>
      <c r="G432" s="36">
        <f>if(ISNA(vlookup($A432,'Ultimate Draft Kit'!$B$2:$E$201,4, false)), 0, vlookup($A432,'Ultimate Draft Kit'!$B$2:$E$201, 4, false))</f>
        <v>0</v>
      </c>
      <c r="H432" s="36">
        <f>if(ISNA(vlookup($A432, FantasyPro!$B$2:$E$514,4,false)),0,vlookup($A432,FantasyPro!$B$2:$E$514,4,false))</f>
        <v>0</v>
      </c>
      <c r="I432" s="36">
        <f>if(ISNA(vlookup($A432, FFToolbox!$B$2:$E$618, 4, false)), 0, vlookup($A432, FFToolbox!$B$2:$E$618, 4, false))</f>
        <v>0</v>
      </c>
      <c r="J432" s="37">
        <f t="shared" si="1"/>
        <v>0</v>
      </c>
      <c r="K432" s="37">
        <f t="shared" si="2"/>
        <v>0</v>
      </c>
    </row>
    <row r="433" hidden="1">
      <c r="A433" s="13" t="s">
        <v>951</v>
      </c>
      <c r="B433" s="34" t="s">
        <v>1061</v>
      </c>
      <c r="C433" s="5" t="s">
        <v>134</v>
      </c>
      <c r="D433" s="5" t="s">
        <v>10</v>
      </c>
      <c r="E433" s="35">
        <f>vlookup(C433,'Team Bye List'!$A$1:$B$33,2,False)</f>
        <v>11</v>
      </c>
      <c r="F433" s="36">
        <f>if(ISNA(vlookup($A433, ESPN!$B$2:$E$1010, 4, false)), 0, vlookup($A433, ESPN!$B$2:$E$1010, 4, false))</f>
        <v>0</v>
      </c>
      <c r="G433" s="36">
        <f>if(ISNA(vlookup($A433,'Ultimate Draft Kit'!$B$2:$E$201,4, false)), 0, vlookup($A433,'Ultimate Draft Kit'!$B$2:$E$201, 4, false))</f>
        <v>0</v>
      </c>
      <c r="H433" s="36">
        <f>if(ISNA(vlookup($A433, FantasyPro!$B$2:$E$514,4,false)),0,vlookup($A433,FantasyPro!$B$2:$E$514,4,false))</f>
        <v>0</v>
      </c>
      <c r="I433" s="36">
        <f>if(ISNA(vlookup($A433, FFToolbox!$B$2:$E$618, 4, false)), 0, vlookup($A433, FFToolbox!$B$2:$E$618, 4, false))</f>
        <v>0</v>
      </c>
      <c r="J433" s="37">
        <f t="shared" si="1"/>
        <v>0</v>
      </c>
      <c r="K433" s="37">
        <f t="shared" si="2"/>
        <v>0</v>
      </c>
    </row>
    <row r="434" hidden="1">
      <c r="A434" s="13" t="s">
        <v>950</v>
      </c>
      <c r="B434" s="34" t="s">
        <v>1061</v>
      </c>
      <c r="C434" s="5" t="s">
        <v>104</v>
      </c>
      <c r="D434" s="5" t="s">
        <v>10</v>
      </c>
      <c r="E434" s="35">
        <f>vlookup(C434,'Team Bye List'!$A$1:$B$33,2,False)</f>
        <v>7</v>
      </c>
      <c r="F434" s="36">
        <f>if(ISNA(vlookup($A434, ESPN!$B$2:$E$1010, 4, false)), 0, vlookup($A434, ESPN!$B$2:$E$1010, 4, false))</f>
        <v>0</v>
      </c>
      <c r="G434" s="36">
        <f>if(ISNA(vlookup($A434,'Ultimate Draft Kit'!$B$2:$E$201,4, false)), 0, vlookup($A434,'Ultimate Draft Kit'!$B$2:$E$201, 4, false))</f>
        <v>0</v>
      </c>
      <c r="H434" s="36">
        <f>if(ISNA(vlookup($A434, FantasyPro!$B$2:$E$514,4,false)),0,vlookup($A434,FantasyPro!$B$2:$E$514,4,false))</f>
        <v>0</v>
      </c>
      <c r="I434" s="36">
        <f>if(ISNA(vlookup($A434, FFToolbox!$B$2:$E$618, 4, false)), 0, vlookup($A434, FFToolbox!$B$2:$E$618, 4, false))</f>
        <v>0</v>
      </c>
      <c r="J434" s="37">
        <f t="shared" si="1"/>
        <v>0</v>
      </c>
      <c r="K434" s="37">
        <f t="shared" si="2"/>
        <v>0</v>
      </c>
    </row>
    <row r="435" hidden="1">
      <c r="A435" s="13" t="s">
        <v>946</v>
      </c>
      <c r="B435" s="34" t="s">
        <v>1061</v>
      </c>
      <c r="C435" s="5" t="s">
        <v>6</v>
      </c>
      <c r="D435" s="5" t="s">
        <v>10</v>
      </c>
      <c r="E435" s="35">
        <f>vlookup(C435,'Team Bye List'!$A$1:$B$33,2,False)</f>
        <v>12</v>
      </c>
      <c r="F435" s="36">
        <f>if(ISNA(vlookup($A435, ESPN!$B$2:$E$1010, 4, false)), 0, vlookup($A435, ESPN!$B$2:$E$1010, 4, false))</f>
        <v>0</v>
      </c>
      <c r="G435" s="36">
        <f>if(ISNA(vlookup($A435,'Ultimate Draft Kit'!$B$2:$E$201,4, false)), 0, vlookup($A435,'Ultimate Draft Kit'!$B$2:$E$201, 4, false))</f>
        <v>0</v>
      </c>
      <c r="H435" s="36">
        <f>if(ISNA(vlookup($A435, FantasyPro!$B$2:$E$514,4,false)),0,vlookup($A435,FantasyPro!$B$2:$E$514,4,false))</f>
        <v>0</v>
      </c>
      <c r="I435" s="36">
        <f>if(ISNA(vlookup($A435, FFToolbox!$B$2:$E$618, 4, false)), 0, vlookup($A435, FFToolbox!$B$2:$E$618, 4, false))</f>
        <v>0</v>
      </c>
      <c r="J435" s="37">
        <f t="shared" si="1"/>
        <v>0</v>
      </c>
      <c r="K435" s="37">
        <f t="shared" si="2"/>
        <v>0</v>
      </c>
    </row>
    <row r="436" hidden="1">
      <c r="A436" s="13" t="s">
        <v>949</v>
      </c>
      <c r="B436" s="34" t="s">
        <v>1061</v>
      </c>
      <c r="C436" s="5" t="s">
        <v>257</v>
      </c>
      <c r="D436" s="5" t="s">
        <v>10</v>
      </c>
      <c r="E436" s="35" t="str">
        <f>vlookup(C436,'Team Bye List'!$A$1:$B$33,2,False)</f>
        <v>#N/A</v>
      </c>
      <c r="F436" s="36">
        <f>if(ISNA(vlookup($A436, ESPN!$B$2:$E$1010, 4, false)), 0, vlookup($A436, ESPN!$B$2:$E$1010, 4, false))</f>
        <v>0</v>
      </c>
      <c r="G436" s="36">
        <f>if(ISNA(vlookup($A436,'Ultimate Draft Kit'!$B$2:$E$201,4, false)), 0, vlookup($A436,'Ultimate Draft Kit'!$B$2:$E$201, 4, false))</f>
        <v>0</v>
      </c>
      <c r="H436" s="36">
        <f>if(ISNA(vlookup($A436, FantasyPro!$B$2:$E$514,4,false)),0,vlookup($A436,FantasyPro!$B$2:$E$514,4,false))</f>
        <v>0</v>
      </c>
      <c r="I436" s="36">
        <f>if(ISNA(vlookup($A436, FFToolbox!$B$2:$E$618, 4, false)), 0, vlookup($A436, FFToolbox!$B$2:$E$618, 4, false))</f>
        <v>0</v>
      </c>
      <c r="J436" s="37">
        <f t="shared" si="1"/>
        <v>0</v>
      </c>
      <c r="K436" s="37">
        <f t="shared" si="2"/>
        <v>0</v>
      </c>
    </row>
    <row r="437" hidden="1">
      <c r="A437" s="13" t="s">
        <v>932</v>
      </c>
      <c r="B437" s="34" t="s">
        <v>1061</v>
      </c>
      <c r="C437" s="5" t="s">
        <v>20</v>
      </c>
      <c r="D437" s="5" t="s">
        <v>10</v>
      </c>
      <c r="E437" s="35">
        <f>vlookup(C437,'Team Bye List'!$A$1:$B$33,2,False)</f>
        <v>8</v>
      </c>
      <c r="F437" s="36">
        <f>if(ISNA(vlookup($A437, ESPN!$B$2:$E$1010, 4, false)), 0, vlookup($A437, ESPN!$B$2:$E$1010, 4, false))</f>
        <v>0</v>
      </c>
      <c r="G437" s="36">
        <f>if(ISNA(vlookup($A437,'Ultimate Draft Kit'!$B$2:$E$201,4, false)), 0, vlookup($A437,'Ultimate Draft Kit'!$B$2:$E$201, 4, false))</f>
        <v>0</v>
      </c>
      <c r="H437" s="36">
        <f>if(ISNA(vlookup($A437, FantasyPro!$B$2:$E$514,4,false)),0,vlookup($A437,FantasyPro!$B$2:$E$514,4,false))</f>
        <v>0</v>
      </c>
      <c r="I437" s="36">
        <f>if(ISNA(vlookup($A437, FFToolbox!$B$2:$E$618, 4, false)), 0, vlookup($A437, FFToolbox!$B$2:$E$618, 4, false))</f>
        <v>0</v>
      </c>
      <c r="J437" s="37">
        <f t="shared" si="1"/>
        <v>0</v>
      </c>
      <c r="K437" s="37">
        <f t="shared" si="2"/>
        <v>0</v>
      </c>
    </row>
    <row r="438" hidden="1">
      <c r="A438" s="13" t="s">
        <v>933</v>
      </c>
      <c r="B438" s="34" t="s">
        <v>1061</v>
      </c>
      <c r="C438" s="5" t="s">
        <v>38</v>
      </c>
      <c r="D438" s="5" t="s">
        <v>10</v>
      </c>
      <c r="E438" s="35">
        <f>vlookup(C438,'Team Bye List'!$A$1:$B$33,2,False)</f>
        <v>12</v>
      </c>
      <c r="F438" s="36">
        <f>if(ISNA(vlookup($A438, ESPN!$B$2:$E$1010, 4, false)), 0, vlookup($A438, ESPN!$B$2:$E$1010, 4, false))</f>
        <v>0</v>
      </c>
      <c r="G438" s="36">
        <f>if(ISNA(vlookup($A438,'Ultimate Draft Kit'!$B$2:$E$201,4, false)), 0, vlookup($A438,'Ultimate Draft Kit'!$B$2:$E$201, 4, false))</f>
        <v>0</v>
      </c>
      <c r="H438" s="36">
        <f>if(ISNA(vlookup($A438, FantasyPro!$B$2:$E$514,4,false)),0,vlookup($A438,FantasyPro!$B$2:$E$514,4,false))</f>
        <v>0</v>
      </c>
      <c r="I438" s="36">
        <f>if(ISNA(vlookup($A438, FFToolbox!$B$2:$E$618, 4, false)), 0, vlookup($A438, FFToolbox!$B$2:$E$618, 4, false))</f>
        <v>0</v>
      </c>
      <c r="J438" s="37">
        <f t="shared" si="1"/>
        <v>0</v>
      </c>
      <c r="K438" s="37">
        <f t="shared" si="2"/>
        <v>0</v>
      </c>
    </row>
    <row r="439" hidden="1">
      <c r="A439" s="13" t="s">
        <v>998</v>
      </c>
      <c r="B439" s="34" t="s">
        <v>1061</v>
      </c>
      <c r="C439" s="5" t="s">
        <v>14</v>
      </c>
      <c r="D439" s="5" t="s">
        <v>10</v>
      </c>
      <c r="E439" s="35">
        <f>vlookup(C439,'Team Bye List'!$A$1:$B$33,2,False)</f>
        <v>10</v>
      </c>
      <c r="F439" s="36">
        <f>if(ISNA(vlookup($A439, ESPN!$B$2:$E$1010, 4, false)), 0, vlookup($A439, ESPN!$B$2:$E$1010, 4, false))</f>
        <v>0</v>
      </c>
      <c r="G439" s="36">
        <f>if(ISNA(vlookup($A439,'Ultimate Draft Kit'!$B$2:$E$201,4, false)), 0, vlookup($A439,'Ultimate Draft Kit'!$B$2:$E$201, 4, false))</f>
        <v>0</v>
      </c>
      <c r="H439" s="36">
        <f>if(ISNA(vlookup($A439, FantasyPro!$B$2:$E$514,4,false)),0,vlookup($A439,FantasyPro!$B$2:$E$514,4,false))</f>
        <v>0</v>
      </c>
      <c r="I439" s="36">
        <f>if(ISNA(vlookup($A439, FFToolbox!$B$2:$E$618, 4, false)), 0, vlookup($A439, FFToolbox!$B$2:$E$618, 4, false))</f>
        <v>0</v>
      </c>
      <c r="J439" s="37">
        <f t="shared" si="1"/>
        <v>0</v>
      </c>
      <c r="K439" s="37">
        <f t="shared" si="2"/>
        <v>0</v>
      </c>
    </row>
    <row r="440" hidden="1">
      <c r="A440" s="13" t="s">
        <v>937</v>
      </c>
      <c r="B440" s="34" t="s">
        <v>1061</v>
      </c>
      <c r="C440" s="5" t="s">
        <v>1007</v>
      </c>
      <c r="D440" s="5" t="s">
        <v>10</v>
      </c>
      <c r="E440" s="35">
        <f>vlookup(C440,'Team Bye List'!$A$1:$B$33,2,False)</f>
        <v>8</v>
      </c>
      <c r="F440" s="36">
        <f>if(ISNA(vlookup($A440, ESPN!$B$2:$E$1010, 4, false)), 0, vlookup($A440, ESPN!$B$2:$E$1010, 4, false))</f>
        <v>0</v>
      </c>
      <c r="G440" s="36">
        <f>if(ISNA(vlookup($A440,'Ultimate Draft Kit'!$B$2:$E$201,4, false)), 0, vlookup($A440,'Ultimate Draft Kit'!$B$2:$E$201, 4, false))</f>
        <v>0</v>
      </c>
      <c r="H440" s="36">
        <f>if(ISNA(vlookup($A440, FantasyPro!$B$2:$E$514,4,false)),0,vlookup($A440,FantasyPro!$B$2:$E$514,4,false))</f>
        <v>0</v>
      </c>
      <c r="I440" s="36">
        <f>if(ISNA(vlookup($A440, FFToolbox!$B$2:$E$618, 4, false)), 0, vlookup($A440, FFToolbox!$B$2:$E$618, 4, false))</f>
        <v>0</v>
      </c>
      <c r="J440" s="37">
        <f t="shared" si="1"/>
        <v>0</v>
      </c>
      <c r="K440" s="37">
        <f t="shared" si="2"/>
        <v>0</v>
      </c>
    </row>
    <row r="441" hidden="1">
      <c r="A441" s="13" t="s">
        <v>929</v>
      </c>
      <c r="B441" s="34" t="s">
        <v>1061</v>
      </c>
      <c r="C441" s="5" t="s">
        <v>9</v>
      </c>
      <c r="D441" s="5" t="s">
        <v>10</v>
      </c>
      <c r="E441" s="35">
        <f>vlookup(C441,'Team Bye List'!$A$1:$B$33,2,False)</f>
        <v>10</v>
      </c>
      <c r="F441" s="36">
        <f>if(ISNA(vlookup($A441, ESPN!$B$2:$E$1010, 4, false)), 0, vlookup($A441, ESPN!$B$2:$E$1010, 4, false))</f>
        <v>0</v>
      </c>
      <c r="G441" s="36">
        <f>if(ISNA(vlookup($A441,'Ultimate Draft Kit'!$B$2:$E$201,4, false)), 0, vlookup($A441,'Ultimate Draft Kit'!$B$2:$E$201, 4, false))</f>
        <v>0</v>
      </c>
      <c r="H441" s="36">
        <f>if(ISNA(vlookup($A441, FantasyPro!$B$2:$E$514,4,false)),0,vlookup($A441,FantasyPro!$B$2:$E$514,4,false))</f>
        <v>0</v>
      </c>
      <c r="I441" s="36">
        <f>if(ISNA(vlookup($A441, FFToolbox!$B$2:$E$618, 4, false)), 0, vlookup($A441, FFToolbox!$B$2:$E$618, 4, false))</f>
        <v>0</v>
      </c>
      <c r="J441" s="37">
        <f t="shared" si="1"/>
        <v>0</v>
      </c>
      <c r="K441" s="37">
        <f t="shared" si="2"/>
        <v>0</v>
      </c>
    </row>
    <row r="442" hidden="1">
      <c r="A442" s="13" t="s">
        <v>941</v>
      </c>
      <c r="B442" s="34" t="s">
        <v>1061</v>
      </c>
      <c r="C442" s="5" t="s">
        <v>29</v>
      </c>
      <c r="D442" s="5" t="s">
        <v>10</v>
      </c>
      <c r="E442" s="35">
        <f>vlookup(C442,'Team Bye List'!$A$1:$B$33,2,False)</f>
        <v>11</v>
      </c>
      <c r="F442" s="36">
        <f>if(ISNA(vlookup($A442, ESPN!$B$2:$E$1010, 4, false)), 0, vlookup($A442, ESPN!$B$2:$E$1010, 4, false))</f>
        <v>0</v>
      </c>
      <c r="G442" s="36">
        <f>if(ISNA(vlookup($A442,'Ultimate Draft Kit'!$B$2:$E$201,4, false)), 0, vlookup($A442,'Ultimate Draft Kit'!$B$2:$E$201, 4, false))</f>
        <v>0</v>
      </c>
      <c r="H442" s="36">
        <f>if(ISNA(vlookup($A442, FantasyPro!$B$2:$E$514,4,false)),0,vlookup($A442,FantasyPro!$B$2:$E$514,4,false))</f>
        <v>0</v>
      </c>
      <c r="I442" s="36">
        <f>if(ISNA(vlookup($A442, FFToolbox!$B$2:$E$618, 4, false)), 0, vlookup($A442, FFToolbox!$B$2:$E$618, 4, false))</f>
        <v>0</v>
      </c>
      <c r="J442" s="37">
        <f t="shared" si="1"/>
        <v>0</v>
      </c>
      <c r="K442" s="37">
        <f t="shared" si="2"/>
        <v>0</v>
      </c>
    </row>
    <row r="443" hidden="1">
      <c r="A443" s="13" t="s">
        <v>1065</v>
      </c>
      <c r="B443" s="34" t="s">
        <v>1061</v>
      </c>
      <c r="C443" s="5" t="s">
        <v>257</v>
      </c>
      <c r="D443" s="5" t="s">
        <v>7</v>
      </c>
      <c r="E443" s="35" t="str">
        <f>vlookup(C443,'Team Bye List'!$A$1:$B$33,2,False)</f>
        <v>#N/A</v>
      </c>
      <c r="F443" s="36">
        <f>if(ISNA(vlookup($A443, ESPN!$B$2:$E$1010, 4, false)), 0, vlookup($A443, ESPN!$B$2:$E$1010, 4, false))</f>
        <v>0</v>
      </c>
      <c r="G443" s="36">
        <f>if(ISNA(vlookup($A443,'Ultimate Draft Kit'!$B$2:$E$201,4, false)), 0, vlookup($A443,'Ultimate Draft Kit'!$B$2:$E$201, 4, false))</f>
        <v>0</v>
      </c>
      <c r="H443" s="36">
        <f>if(ISNA(vlookup($A443, FantasyPro!$B$2:$E$514,4,false)),0,vlookup($A443,FantasyPro!$B$2:$E$514,4,false))</f>
        <v>0</v>
      </c>
      <c r="I443" s="36">
        <f>if(ISNA(vlookup($A443, FFToolbox!$B$2:$E$618, 4, false)), 0, vlookup($A443, FFToolbox!$B$2:$E$618, 4, false))</f>
        <v>0</v>
      </c>
      <c r="J443" s="37">
        <f t="shared" si="1"/>
        <v>0</v>
      </c>
      <c r="K443" s="37">
        <f t="shared" si="2"/>
        <v>0</v>
      </c>
    </row>
    <row r="444" hidden="1">
      <c r="A444" s="13" t="s">
        <v>1026</v>
      </c>
      <c r="B444" s="34" t="s">
        <v>1061</v>
      </c>
      <c r="C444" s="5" t="s">
        <v>257</v>
      </c>
      <c r="D444" s="5" t="s">
        <v>7</v>
      </c>
      <c r="E444" s="35" t="str">
        <f>vlookup(C444,'Team Bye List'!$A$1:$B$33,2,False)</f>
        <v>#N/A</v>
      </c>
      <c r="F444" s="36">
        <f>if(ISNA(vlookup($A444, ESPN!$B$2:$E$1010, 4, false)), 0, vlookup($A444, ESPN!$B$2:$E$1010, 4, false))</f>
        <v>0</v>
      </c>
      <c r="G444" s="36">
        <f>if(ISNA(vlookup($A444,'Ultimate Draft Kit'!$B$2:$E$201,4, false)), 0, vlookup($A444,'Ultimate Draft Kit'!$B$2:$E$201, 4, false))</f>
        <v>0</v>
      </c>
      <c r="H444" s="36">
        <f>if(ISNA(vlookup($A444, FantasyPro!$B$2:$E$514,4,false)),0,vlookup($A444,FantasyPro!$B$2:$E$514,4,false))</f>
        <v>0</v>
      </c>
      <c r="I444" s="36">
        <f>if(ISNA(vlookup($A444, FFToolbox!$B$2:$E$618, 4, false)), 0, vlookup($A444, FFToolbox!$B$2:$E$618, 4, false))</f>
        <v>0</v>
      </c>
      <c r="J444" s="37">
        <f t="shared" si="1"/>
        <v>0</v>
      </c>
      <c r="K444" s="37">
        <f t="shared" si="2"/>
        <v>0</v>
      </c>
    </row>
    <row r="445" hidden="1">
      <c r="A445" s="13" t="s">
        <v>928</v>
      </c>
      <c r="B445" s="34" t="s">
        <v>1061</v>
      </c>
      <c r="C445" s="5" t="s">
        <v>40</v>
      </c>
      <c r="D445" s="5" t="s">
        <v>10</v>
      </c>
      <c r="E445" s="35">
        <f>vlookup(C445,'Team Bye List'!$A$1:$B$33,2,False)</f>
        <v>6</v>
      </c>
      <c r="F445" s="36">
        <f>if(ISNA(vlookup($A445, ESPN!$B$2:$E$1010, 4, false)), 0, vlookup($A445, ESPN!$B$2:$E$1010, 4, false))</f>
        <v>0</v>
      </c>
      <c r="G445" s="36">
        <f>if(ISNA(vlookup($A445,'Ultimate Draft Kit'!$B$2:$E$201,4, false)), 0, vlookup($A445,'Ultimate Draft Kit'!$B$2:$E$201, 4, false))</f>
        <v>0</v>
      </c>
      <c r="H445" s="36">
        <f>if(ISNA(vlookup($A445, FantasyPro!$B$2:$E$514,4,false)),0,vlookup($A445,FantasyPro!$B$2:$E$514,4,false))</f>
        <v>0</v>
      </c>
      <c r="I445" s="36">
        <f>if(ISNA(vlookup($A445, FFToolbox!$B$2:$E$618, 4, false)), 0, vlookup($A445, FFToolbox!$B$2:$E$618, 4, false))</f>
        <v>0</v>
      </c>
      <c r="J445" s="37">
        <f t="shared" si="1"/>
        <v>0</v>
      </c>
      <c r="K445" s="37">
        <f t="shared" si="2"/>
        <v>0</v>
      </c>
    </row>
    <row r="446" hidden="1">
      <c r="A446" s="13" t="s">
        <v>939</v>
      </c>
      <c r="B446" s="34" t="s">
        <v>1061</v>
      </c>
      <c r="C446" s="5" t="s">
        <v>63</v>
      </c>
      <c r="D446" s="5" t="s">
        <v>10</v>
      </c>
      <c r="E446" s="35">
        <f>vlookup(C446,'Team Bye List'!$A$1:$B$33,2,False)</f>
        <v>8</v>
      </c>
      <c r="F446" s="36">
        <f>if(ISNA(vlookup($A446, ESPN!$B$2:$E$1010, 4, false)), 0, vlookup($A446, ESPN!$B$2:$E$1010, 4, false))</f>
        <v>0</v>
      </c>
      <c r="G446" s="36">
        <f>if(ISNA(vlookup($A446,'Ultimate Draft Kit'!$B$2:$E$201,4, false)), 0, vlookup($A446,'Ultimate Draft Kit'!$B$2:$E$201, 4, false))</f>
        <v>0</v>
      </c>
      <c r="H446" s="36">
        <f>if(ISNA(vlookup($A446, FantasyPro!$B$2:$E$514,4,false)),0,vlookup($A446,FantasyPro!$B$2:$E$514,4,false))</f>
        <v>0</v>
      </c>
      <c r="I446" s="36">
        <f>if(ISNA(vlookup($A446, FFToolbox!$B$2:$E$618, 4, false)), 0, vlookup($A446, FFToolbox!$B$2:$E$618, 4, false))</f>
        <v>0</v>
      </c>
      <c r="J446" s="37">
        <f t="shared" si="1"/>
        <v>0</v>
      </c>
      <c r="K446" s="37">
        <f t="shared" si="2"/>
        <v>0</v>
      </c>
    </row>
    <row r="447" hidden="1">
      <c r="A447" s="13" t="s">
        <v>991</v>
      </c>
      <c r="B447" s="34" t="s">
        <v>1061</v>
      </c>
      <c r="C447" s="5" t="s">
        <v>257</v>
      </c>
      <c r="D447" s="5" t="s">
        <v>10</v>
      </c>
      <c r="E447" s="35" t="str">
        <f>vlookup(C447,'Team Bye List'!$A$1:$B$33,2,False)</f>
        <v>#N/A</v>
      </c>
      <c r="F447" s="36">
        <f>if(ISNA(vlookup($A447, ESPN!$B$2:$E$1010, 4, false)), 0, vlookup($A447, ESPN!$B$2:$E$1010, 4, false))</f>
        <v>0</v>
      </c>
      <c r="G447" s="36">
        <f>if(ISNA(vlookup($A447,'Ultimate Draft Kit'!$B$2:$E$201,4, false)), 0, vlookup($A447,'Ultimate Draft Kit'!$B$2:$E$201, 4, false))</f>
        <v>0</v>
      </c>
      <c r="H447" s="36">
        <f>if(ISNA(vlookup($A447, FantasyPro!$B$2:$E$514,4,false)),0,vlookup($A447,FantasyPro!$B$2:$E$514,4,false))</f>
        <v>0</v>
      </c>
      <c r="I447" s="36">
        <f>if(ISNA(vlookup($A447, FFToolbox!$B$2:$E$618, 4, false)), 0, vlookup($A447, FFToolbox!$B$2:$E$618, 4, false))</f>
        <v>0</v>
      </c>
      <c r="J447" s="37">
        <f t="shared" si="1"/>
        <v>0</v>
      </c>
      <c r="K447" s="37">
        <f t="shared" si="2"/>
        <v>0</v>
      </c>
    </row>
    <row r="448" hidden="1">
      <c r="A448" s="13" t="s">
        <v>935</v>
      </c>
      <c r="B448" s="34" t="s">
        <v>1061</v>
      </c>
      <c r="C448" s="5" t="s">
        <v>27</v>
      </c>
      <c r="D448" s="5" t="s">
        <v>10</v>
      </c>
      <c r="E448" s="35">
        <f>vlookup(C448,'Team Bye List'!$A$1:$B$33,2,False)</f>
        <v>11</v>
      </c>
      <c r="F448" s="36">
        <f>if(ISNA(vlookup($A448, ESPN!$B$2:$E$1010, 4, false)), 0, vlookup($A448, ESPN!$B$2:$E$1010, 4, false))</f>
        <v>0</v>
      </c>
      <c r="G448" s="36">
        <f>if(ISNA(vlookup($A448,'Ultimate Draft Kit'!$B$2:$E$201,4, false)), 0, vlookup($A448,'Ultimate Draft Kit'!$B$2:$E$201, 4, false))</f>
        <v>0</v>
      </c>
      <c r="H448" s="36">
        <f>if(ISNA(vlookup($A448, FantasyPro!$B$2:$E$514,4,false)),0,vlookup($A448,FantasyPro!$B$2:$E$514,4,false))</f>
        <v>0</v>
      </c>
      <c r="I448" s="36">
        <f>if(ISNA(vlookup($A448, FFToolbox!$B$2:$E$618, 4, false)), 0, vlookup($A448, FFToolbox!$B$2:$E$618, 4, false))</f>
        <v>0</v>
      </c>
      <c r="J448" s="37">
        <f t="shared" si="1"/>
        <v>0</v>
      </c>
      <c r="K448" s="37">
        <f t="shared" si="2"/>
        <v>0</v>
      </c>
    </row>
    <row r="449" hidden="1">
      <c r="A449" s="13" t="s">
        <v>923</v>
      </c>
      <c r="B449" s="34" t="s">
        <v>1061</v>
      </c>
      <c r="C449" s="5" t="s">
        <v>59</v>
      </c>
      <c r="D449" s="5" t="s">
        <v>10</v>
      </c>
      <c r="E449" s="35">
        <f>vlookup(C449,'Team Bye List'!$A$1:$B$33,2,False)</f>
        <v>8</v>
      </c>
      <c r="F449" s="36">
        <f>if(ISNA(vlookup($A449, ESPN!$B$2:$E$1010, 4, false)), 0, vlookup($A449, ESPN!$B$2:$E$1010, 4, false))</f>
        <v>0</v>
      </c>
      <c r="G449" s="36">
        <f>if(ISNA(vlookup($A449,'Ultimate Draft Kit'!$B$2:$E$201,4, false)), 0, vlookup($A449,'Ultimate Draft Kit'!$B$2:$E$201, 4, false))</f>
        <v>0</v>
      </c>
      <c r="H449" s="36">
        <f>if(ISNA(vlookup($A449, FantasyPro!$B$2:$E$514,4,false)),0,vlookup($A449,FantasyPro!$B$2:$E$514,4,false))</f>
        <v>0</v>
      </c>
      <c r="I449" s="36">
        <f>if(ISNA(vlookup($A449, FFToolbox!$B$2:$E$618, 4, false)), 0, vlookup($A449, FFToolbox!$B$2:$E$618, 4, false))</f>
        <v>0</v>
      </c>
      <c r="J449" s="37">
        <f t="shared" si="1"/>
        <v>0</v>
      </c>
      <c r="K449" s="37">
        <f t="shared" si="2"/>
        <v>0</v>
      </c>
    </row>
    <row r="450" hidden="1">
      <c r="A450" s="13" t="s">
        <v>927</v>
      </c>
      <c r="B450" s="34" t="s">
        <v>1061</v>
      </c>
      <c r="C450" s="5" t="s">
        <v>48</v>
      </c>
      <c r="D450" s="5" t="s">
        <v>10</v>
      </c>
      <c r="E450" s="35">
        <f>vlookup(C450,'Team Bye List'!$A$1:$B$33,2,False)</f>
        <v>11</v>
      </c>
      <c r="F450" s="36">
        <f>if(ISNA(vlookup($A450, ESPN!$B$2:$E$1010, 4, false)), 0, vlookup($A450, ESPN!$B$2:$E$1010, 4, false))</f>
        <v>0</v>
      </c>
      <c r="G450" s="36">
        <f>if(ISNA(vlookup($A450,'Ultimate Draft Kit'!$B$2:$E$201,4, false)), 0, vlookup($A450,'Ultimate Draft Kit'!$B$2:$E$201, 4, false))</f>
        <v>0</v>
      </c>
      <c r="H450" s="36">
        <f>if(ISNA(vlookup($A450, FantasyPro!$B$2:$E$514,4,false)),0,vlookup($A450,FantasyPro!$B$2:$E$514,4,false))</f>
        <v>0</v>
      </c>
      <c r="I450" s="36">
        <f>if(ISNA(vlookup($A450, FFToolbox!$B$2:$E$618, 4, false)), 0, vlookup($A450, FFToolbox!$B$2:$E$618, 4, false))</f>
        <v>0</v>
      </c>
      <c r="J450" s="37">
        <f t="shared" si="1"/>
        <v>0</v>
      </c>
      <c r="K450" s="37">
        <f t="shared" si="2"/>
        <v>0</v>
      </c>
    </row>
    <row r="451" hidden="1">
      <c r="A451" s="13" t="s">
        <v>925</v>
      </c>
      <c r="B451" s="34" t="s">
        <v>1061</v>
      </c>
      <c r="C451" s="5" t="s">
        <v>44</v>
      </c>
      <c r="D451" s="5" t="s">
        <v>10</v>
      </c>
      <c r="E451" s="35">
        <f>vlookup(C451,'Team Bye List'!$A$1:$B$33,2,False)</f>
        <v>10</v>
      </c>
      <c r="F451" s="36">
        <f>if(ISNA(vlookup($A451, ESPN!$B$2:$E$1010, 4, false)), 0, vlookup($A451, ESPN!$B$2:$E$1010, 4, false))</f>
        <v>0</v>
      </c>
      <c r="G451" s="36">
        <f>if(ISNA(vlookup($A451,'Ultimate Draft Kit'!$B$2:$E$201,4, false)), 0, vlookup($A451,'Ultimate Draft Kit'!$B$2:$E$201, 4, false))</f>
        <v>0</v>
      </c>
      <c r="H451" s="36">
        <f>if(ISNA(vlookup($A451, FantasyPro!$B$2:$E$514,4,false)),0,vlookup($A451,FantasyPro!$B$2:$E$514,4,false))</f>
        <v>0</v>
      </c>
      <c r="I451" s="36">
        <f>if(ISNA(vlookup($A451, FFToolbox!$B$2:$E$618, 4, false)), 0, vlookup($A451, FFToolbox!$B$2:$E$618, 4, false))</f>
        <v>0</v>
      </c>
      <c r="J451" s="37">
        <f t="shared" si="1"/>
        <v>0</v>
      </c>
      <c r="K451" s="37">
        <f t="shared" si="2"/>
        <v>0</v>
      </c>
    </row>
    <row r="452" hidden="1">
      <c r="A452" s="13" t="s">
        <v>864</v>
      </c>
      <c r="B452" s="34" t="s">
        <v>1061</v>
      </c>
      <c r="C452" s="5" t="s">
        <v>257</v>
      </c>
      <c r="D452" s="5" t="s">
        <v>7</v>
      </c>
      <c r="E452" s="35" t="str">
        <f>vlookup(C452,'Team Bye List'!$A$1:$B$33,2,False)</f>
        <v>#N/A</v>
      </c>
      <c r="F452" s="36">
        <f>if(ISNA(vlookup($A452, ESPN!$B$2:$E$1010, 4, false)), 0, vlookup($A452, ESPN!$B$2:$E$1010, 4, false))</f>
        <v>0</v>
      </c>
      <c r="G452" s="36">
        <f>if(ISNA(vlookup($A452,'Ultimate Draft Kit'!$B$2:$E$201,4, false)), 0, vlookup($A452,'Ultimate Draft Kit'!$B$2:$E$201, 4, false))</f>
        <v>0</v>
      </c>
      <c r="H452" s="36">
        <f>if(ISNA(vlookup($A452, FantasyPro!$B$2:$E$514,4,false)),0,vlookup($A452,FantasyPro!$B$2:$E$514,4,false))</f>
        <v>0</v>
      </c>
      <c r="I452" s="36">
        <f>if(ISNA(vlookup($A452, FFToolbox!$B$2:$E$618, 4, false)), 0, vlookup($A452, FFToolbox!$B$2:$E$618, 4, false))</f>
        <v>0</v>
      </c>
      <c r="J452" s="37">
        <f t="shared" si="1"/>
        <v>0</v>
      </c>
      <c r="K452" s="37">
        <f t="shared" si="2"/>
        <v>0</v>
      </c>
    </row>
    <row r="453" hidden="1">
      <c r="A453" s="13" t="s">
        <v>866</v>
      </c>
      <c r="B453" s="34" t="s">
        <v>1061</v>
      </c>
      <c r="C453" s="5" t="s">
        <v>257</v>
      </c>
      <c r="D453" s="5" t="s">
        <v>7</v>
      </c>
      <c r="E453" s="35" t="str">
        <f>vlookup(C453,'Team Bye List'!$A$1:$B$33,2,False)</f>
        <v>#N/A</v>
      </c>
      <c r="F453" s="36">
        <f>if(ISNA(vlookup($A453, ESPN!$B$2:$E$1010, 4, false)), 0, vlookup($A453, ESPN!$B$2:$E$1010, 4, false))</f>
        <v>0</v>
      </c>
      <c r="G453" s="36">
        <f>if(ISNA(vlookup($A453,'Ultimate Draft Kit'!$B$2:$E$201,4, false)), 0, vlookup($A453,'Ultimate Draft Kit'!$B$2:$E$201, 4, false))</f>
        <v>0</v>
      </c>
      <c r="H453" s="36">
        <f>if(ISNA(vlookup($A453, FantasyPro!$B$2:$E$514,4,false)),0,vlookup($A453,FantasyPro!$B$2:$E$514,4,false))</f>
        <v>0</v>
      </c>
      <c r="I453" s="36">
        <f>if(ISNA(vlookup($A453, FFToolbox!$B$2:$E$618, 4, false)), 0, vlookup($A453, FFToolbox!$B$2:$E$618, 4, false))</f>
        <v>0</v>
      </c>
      <c r="J453" s="37">
        <f t="shared" si="1"/>
        <v>0</v>
      </c>
      <c r="K453" s="37">
        <f t="shared" si="2"/>
        <v>0</v>
      </c>
    </row>
    <row r="454" hidden="1">
      <c r="A454" s="13" t="s">
        <v>891</v>
      </c>
      <c r="B454" s="34" t="s">
        <v>1061</v>
      </c>
      <c r="C454" s="5" t="s">
        <v>86</v>
      </c>
      <c r="D454" s="5" t="s">
        <v>7</v>
      </c>
      <c r="E454" s="35">
        <f>vlookup(C454,'Team Bye List'!$A$1:$B$33,2,False)</f>
        <v>6</v>
      </c>
      <c r="F454" s="36">
        <f>if(ISNA(vlookup($A454, ESPN!$B$2:$E$1010, 4, false)), 0, vlookup($A454, ESPN!$B$2:$E$1010, 4, false))</f>
        <v>0</v>
      </c>
      <c r="G454" s="36">
        <f>if(ISNA(vlookup($A454,'Ultimate Draft Kit'!$B$2:$E$201,4, false)), 0, vlookup($A454,'Ultimate Draft Kit'!$B$2:$E$201, 4, false))</f>
        <v>0</v>
      </c>
      <c r="H454" s="36">
        <f>if(ISNA(vlookup($A454, FantasyPro!$B$2:$E$514,4,false)),0,vlookup($A454,FantasyPro!$B$2:$E$514,4,false))</f>
        <v>0</v>
      </c>
      <c r="I454" s="36">
        <f>if(ISNA(vlookup($A454, FFToolbox!$B$2:$E$618, 4, false)), 0, vlookup($A454, FFToolbox!$B$2:$E$618, 4, false))</f>
        <v>0</v>
      </c>
      <c r="J454" s="37">
        <f t="shared" si="1"/>
        <v>0</v>
      </c>
      <c r="K454" s="37">
        <f t="shared" si="2"/>
        <v>0</v>
      </c>
    </row>
    <row r="455" hidden="1">
      <c r="A455" s="13" t="s">
        <v>884</v>
      </c>
      <c r="B455" s="34" t="s">
        <v>1061</v>
      </c>
      <c r="C455" s="5" t="s">
        <v>257</v>
      </c>
      <c r="D455" s="5" t="s">
        <v>7</v>
      </c>
      <c r="E455" s="35" t="str">
        <f>vlookup(C455,'Team Bye List'!$A$1:$B$33,2,False)</f>
        <v>#N/A</v>
      </c>
      <c r="F455" s="36">
        <f>if(ISNA(vlookup($A455, ESPN!$B$2:$E$1010, 4, false)), 0, vlookup($A455, ESPN!$B$2:$E$1010, 4, false))</f>
        <v>0</v>
      </c>
      <c r="G455" s="36">
        <f>if(ISNA(vlookup($A455,'Ultimate Draft Kit'!$B$2:$E$201,4, false)), 0, vlookup($A455,'Ultimate Draft Kit'!$B$2:$E$201, 4, false))</f>
        <v>0</v>
      </c>
      <c r="H455" s="36">
        <f>if(ISNA(vlookup($A455, FantasyPro!$B$2:$E$514,4,false)),0,vlookup($A455,FantasyPro!$B$2:$E$514,4,false))</f>
        <v>0</v>
      </c>
      <c r="I455" s="36">
        <f>if(ISNA(vlookup($A455, FFToolbox!$B$2:$E$618, 4, false)), 0, vlookup($A455, FFToolbox!$B$2:$E$618, 4, false))</f>
        <v>0</v>
      </c>
      <c r="J455" s="37">
        <f t="shared" si="1"/>
        <v>0</v>
      </c>
      <c r="K455" s="37">
        <f t="shared" si="2"/>
        <v>0</v>
      </c>
    </row>
    <row r="456" hidden="1">
      <c r="A456" s="13" t="s">
        <v>840</v>
      </c>
      <c r="B456" s="34" t="s">
        <v>1061</v>
      </c>
      <c r="C456" s="5" t="s">
        <v>74</v>
      </c>
      <c r="D456" s="5" t="s">
        <v>7</v>
      </c>
      <c r="E456" s="35">
        <f>vlookup(C456,'Team Bye List'!$A$1:$B$33,2,False)</f>
        <v>7</v>
      </c>
      <c r="F456" s="36">
        <f>if(ISNA(vlookup($A456, ESPN!$B$2:$E$1010, 4, false)), 0, vlookup($A456, ESPN!$B$2:$E$1010, 4, false))</f>
        <v>0</v>
      </c>
      <c r="G456" s="36">
        <f>if(ISNA(vlookup($A456,'Ultimate Draft Kit'!$B$2:$E$201,4, false)), 0, vlookup($A456,'Ultimate Draft Kit'!$B$2:$E$201, 4, false))</f>
        <v>0</v>
      </c>
      <c r="H456" s="36">
        <f>if(ISNA(vlookup($A456, FantasyPro!$B$2:$E$514,4,false)),0,vlookup($A456,FantasyPro!$B$2:$E$514,4,false))</f>
        <v>0</v>
      </c>
      <c r="I456" s="36">
        <f>if(ISNA(vlookup($A456, FFToolbox!$B$2:$E$618, 4, false)), 0, vlookup($A456, FFToolbox!$B$2:$E$618, 4, false))</f>
        <v>0</v>
      </c>
      <c r="J456" s="37">
        <f t="shared" si="1"/>
        <v>0</v>
      </c>
      <c r="K456" s="37">
        <f t="shared" si="2"/>
        <v>0</v>
      </c>
    </row>
    <row r="457" hidden="1">
      <c r="A457" s="13" t="s">
        <v>840</v>
      </c>
      <c r="B457" s="34" t="s">
        <v>1061</v>
      </c>
      <c r="C457" s="5" t="s">
        <v>74</v>
      </c>
      <c r="D457" s="5" t="s">
        <v>7</v>
      </c>
      <c r="E457" s="35">
        <f>vlookup(C457,'Team Bye List'!$A$1:$B$33,2,False)</f>
        <v>7</v>
      </c>
      <c r="F457" s="36">
        <f>if(ISNA(vlookup($A457, ESPN!$B$2:$E$1010, 4, false)), 0, vlookup($A457, ESPN!$B$2:$E$1010, 4, false))</f>
        <v>0</v>
      </c>
      <c r="G457" s="36">
        <f>if(ISNA(vlookup($A457,'Ultimate Draft Kit'!$B$2:$E$201,4, false)), 0, vlookup($A457,'Ultimate Draft Kit'!$B$2:$E$201, 4, false))</f>
        <v>0</v>
      </c>
      <c r="H457" s="36">
        <f>if(ISNA(vlookup($A457, FantasyPro!$B$2:$E$514,4,false)),0,vlookup($A457,FantasyPro!$B$2:$E$514,4,false))</f>
        <v>0</v>
      </c>
      <c r="I457" s="36">
        <f>if(ISNA(vlookup($A457, FFToolbox!$B$2:$E$618, 4, false)), 0, vlookup($A457, FFToolbox!$B$2:$E$618, 4, false))</f>
        <v>0</v>
      </c>
      <c r="J457" s="37">
        <f t="shared" si="1"/>
        <v>0</v>
      </c>
      <c r="K457" s="37">
        <f t="shared" si="2"/>
        <v>0</v>
      </c>
    </row>
    <row r="458" hidden="1">
      <c r="A458" s="13" t="s">
        <v>879</v>
      </c>
      <c r="B458" s="34" t="s">
        <v>1061</v>
      </c>
      <c r="C458" s="5" t="s">
        <v>257</v>
      </c>
      <c r="D458" s="5" t="s">
        <v>7</v>
      </c>
      <c r="E458" s="35" t="str">
        <f>vlookup(C458,'Team Bye List'!$A$1:$B$33,2,False)</f>
        <v>#N/A</v>
      </c>
      <c r="F458" s="36">
        <f>if(ISNA(vlookup($A458, ESPN!$B$2:$E$1010, 4, false)), 0, vlookup($A458, ESPN!$B$2:$E$1010, 4, false))</f>
        <v>0</v>
      </c>
      <c r="G458" s="36">
        <f>if(ISNA(vlookup($A458,'Ultimate Draft Kit'!$B$2:$E$201,4, false)), 0, vlookup($A458,'Ultimate Draft Kit'!$B$2:$E$201, 4, false))</f>
        <v>0</v>
      </c>
      <c r="H458" s="36">
        <f>if(ISNA(vlookup($A458, FantasyPro!$B$2:$E$514,4,false)),0,vlookup($A458,FantasyPro!$B$2:$E$514,4,false))</f>
        <v>0</v>
      </c>
      <c r="I458" s="36">
        <f>if(ISNA(vlookup($A458, FFToolbox!$B$2:$E$618, 4, false)), 0, vlookup($A458, FFToolbox!$B$2:$E$618, 4, false))</f>
        <v>0</v>
      </c>
      <c r="J458" s="37">
        <f t="shared" si="1"/>
        <v>0</v>
      </c>
      <c r="K458" s="37">
        <f t="shared" si="2"/>
        <v>0</v>
      </c>
    </row>
    <row r="459" hidden="1">
      <c r="A459" s="13" t="s">
        <v>900</v>
      </c>
      <c r="B459" s="34" t="s">
        <v>1061</v>
      </c>
      <c r="C459" s="5" t="s">
        <v>257</v>
      </c>
      <c r="D459" s="5" t="s">
        <v>7</v>
      </c>
      <c r="E459" s="35" t="str">
        <f>vlookup(C459,'Team Bye List'!$A$1:$B$33,2,False)</f>
        <v>#N/A</v>
      </c>
      <c r="F459" s="36">
        <f>if(ISNA(vlookup($A459, ESPN!$B$2:$E$1010, 4, false)), 0, vlookup($A459, ESPN!$B$2:$E$1010, 4, false))</f>
        <v>0</v>
      </c>
      <c r="G459" s="36">
        <f>if(ISNA(vlookup($A459,'Ultimate Draft Kit'!$B$2:$E$201,4, false)), 0, vlookup($A459,'Ultimate Draft Kit'!$B$2:$E$201, 4, false))</f>
        <v>0</v>
      </c>
      <c r="H459" s="36">
        <f>if(ISNA(vlookup($A459, FantasyPro!$B$2:$E$514,4,false)),0,vlookup($A459,FantasyPro!$B$2:$E$514,4,false))</f>
        <v>0</v>
      </c>
      <c r="I459" s="36">
        <f>if(ISNA(vlookup($A459, FFToolbox!$B$2:$E$618, 4, false)), 0, vlookup($A459, FFToolbox!$B$2:$E$618, 4, false))</f>
        <v>0</v>
      </c>
      <c r="J459" s="37">
        <f t="shared" si="1"/>
        <v>0</v>
      </c>
      <c r="K459" s="37">
        <f t="shared" si="2"/>
        <v>0</v>
      </c>
    </row>
    <row r="460" hidden="1">
      <c r="A460" s="13" t="s">
        <v>858</v>
      </c>
      <c r="B460" s="34" t="s">
        <v>1061</v>
      </c>
      <c r="C460" s="5" t="s">
        <v>257</v>
      </c>
      <c r="D460" s="5" t="s">
        <v>7</v>
      </c>
      <c r="E460" s="35" t="str">
        <f>vlookup(C460,'Team Bye List'!$A$1:$B$33,2,False)</f>
        <v>#N/A</v>
      </c>
      <c r="F460" s="36">
        <f>if(ISNA(vlookup($A460, ESPN!$B$2:$E$1010, 4, false)), 0, vlookup($A460, ESPN!$B$2:$E$1010, 4, false))</f>
        <v>0</v>
      </c>
      <c r="G460" s="36">
        <f>if(ISNA(vlookup($A460,'Ultimate Draft Kit'!$B$2:$E$201,4, false)), 0, vlookup($A460,'Ultimate Draft Kit'!$B$2:$E$201, 4, false))</f>
        <v>0</v>
      </c>
      <c r="H460" s="36">
        <f>if(ISNA(vlookup($A460, FantasyPro!$B$2:$E$514,4,false)),0,vlookup($A460,FantasyPro!$B$2:$E$514,4,false))</f>
        <v>0</v>
      </c>
      <c r="I460" s="36">
        <f>if(ISNA(vlookup($A460, FFToolbox!$B$2:$E$618, 4, false)), 0, vlookup($A460, FFToolbox!$B$2:$E$618, 4, false))</f>
        <v>0</v>
      </c>
      <c r="J460" s="37">
        <f t="shared" si="1"/>
        <v>0</v>
      </c>
      <c r="K460" s="37">
        <f t="shared" si="2"/>
        <v>0</v>
      </c>
    </row>
    <row r="461" hidden="1">
      <c r="A461" s="13" t="s">
        <v>1066</v>
      </c>
      <c r="B461" s="34" t="s">
        <v>1061</v>
      </c>
      <c r="C461" s="5" t="s">
        <v>6</v>
      </c>
      <c r="D461" s="5" t="s">
        <v>25</v>
      </c>
      <c r="E461" s="35">
        <f>vlookup(C461,'Team Bye List'!$A$1:$B$33,2,False)</f>
        <v>12</v>
      </c>
      <c r="F461" s="36">
        <f>if(ISNA(vlookup($A461, ESPN!$B$2:$E$1010, 4, false)), 0, vlookup($A461, ESPN!$B$2:$E$1010, 4, false))</f>
        <v>0</v>
      </c>
      <c r="G461" s="36">
        <f>if(ISNA(vlookup($A461,'Ultimate Draft Kit'!$B$2:$E$201,4, false)), 0, vlookup($A461,'Ultimate Draft Kit'!$B$2:$E$201, 4, false))</f>
        <v>0</v>
      </c>
      <c r="H461" s="36">
        <f>if(ISNA(vlookup($A461, FantasyPro!$B$2:$E$514,4,false)),0,vlookup($A461,FantasyPro!$B$2:$E$514,4,false))</f>
        <v>0</v>
      </c>
      <c r="I461" s="36">
        <f>if(ISNA(vlookup($A461, FFToolbox!$B$2:$E$618, 4, false)), 0, vlookup($A461, FFToolbox!$B$2:$E$618, 4, false))</f>
        <v>0</v>
      </c>
      <c r="J461" s="37">
        <f t="shared" si="1"/>
        <v>0</v>
      </c>
      <c r="K461" s="37">
        <f t="shared" si="2"/>
        <v>0</v>
      </c>
    </row>
    <row r="462" hidden="1">
      <c r="A462" s="13" t="s">
        <v>861</v>
      </c>
      <c r="B462" s="34" t="s">
        <v>1061</v>
      </c>
      <c r="C462" s="5" t="s">
        <v>257</v>
      </c>
      <c r="D462" s="5" t="s">
        <v>7</v>
      </c>
      <c r="E462" s="35" t="str">
        <f>vlookup(C462,'Team Bye List'!$A$1:$B$33,2,False)</f>
        <v>#N/A</v>
      </c>
      <c r="F462" s="36">
        <f>if(ISNA(vlookup($A462, ESPN!$B$2:$E$1010, 4, false)), 0, vlookup($A462, ESPN!$B$2:$E$1010, 4, false))</f>
        <v>0</v>
      </c>
      <c r="G462" s="36">
        <f>if(ISNA(vlookup($A462,'Ultimate Draft Kit'!$B$2:$E$201,4, false)), 0, vlookup($A462,'Ultimate Draft Kit'!$B$2:$E$201, 4, false))</f>
        <v>0</v>
      </c>
      <c r="H462" s="36">
        <f>if(ISNA(vlookup($A462, FantasyPro!$B$2:$E$514,4,false)),0,vlookup($A462,FantasyPro!$B$2:$E$514,4,false))</f>
        <v>0</v>
      </c>
      <c r="I462" s="36">
        <f>if(ISNA(vlookup($A462, FFToolbox!$B$2:$E$618, 4, false)), 0, vlookup($A462, FFToolbox!$B$2:$E$618, 4, false))</f>
        <v>0</v>
      </c>
      <c r="J462" s="37">
        <f t="shared" si="1"/>
        <v>0</v>
      </c>
      <c r="K462" s="37">
        <f t="shared" si="2"/>
        <v>0</v>
      </c>
    </row>
    <row r="463" hidden="1">
      <c r="A463" s="13" t="s">
        <v>993</v>
      </c>
      <c r="B463" s="34" t="s">
        <v>1061</v>
      </c>
      <c r="C463" s="5" t="s">
        <v>63</v>
      </c>
      <c r="D463" s="5" t="s">
        <v>10</v>
      </c>
      <c r="E463" s="35">
        <f>vlookup(C463,'Team Bye List'!$A$1:$B$33,2,False)</f>
        <v>8</v>
      </c>
      <c r="F463" s="36">
        <f>if(ISNA(vlookup($A463, ESPN!$B$2:$E$1010, 4, false)), 0, vlookup($A463, ESPN!$B$2:$E$1010, 4, false))</f>
        <v>0</v>
      </c>
      <c r="G463" s="36">
        <f>if(ISNA(vlookup($A463,'Ultimate Draft Kit'!$B$2:$E$201,4, false)), 0, vlookup($A463,'Ultimate Draft Kit'!$B$2:$E$201, 4, false))</f>
        <v>0</v>
      </c>
      <c r="H463" s="36">
        <f>if(ISNA(vlookup($A463, FantasyPro!$B$2:$E$514,4,false)),0,vlookup($A463,FantasyPro!$B$2:$E$514,4,false))</f>
        <v>0</v>
      </c>
      <c r="I463" s="36">
        <f>if(ISNA(vlookup($A463, FFToolbox!$B$2:$E$618, 4, false)), 0, vlookup($A463, FFToolbox!$B$2:$E$618, 4, false))</f>
        <v>0</v>
      </c>
      <c r="J463" s="37">
        <f t="shared" si="1"/>
        <v>0</v>
      </c>
      <c r="K463" s="37">
        <f t="shared" si="2"/>
        <v>0</v>
      </c>
    </row>
    <row r="464" hidden="1">
      <c r="A464" s="13" t="s">
        <v>1067</v>
      </c>
      <c r="B464" s="34" t="s">
        <v>1061</v>
      </c>
      <c r="C464" s="5" t="s">
        <v>257</v>
      </c>
      <c r="D464" s="5" t="s">
        <v>16</v>
      </c>
      <c r="E464" s="35" t="str">
        <f>vlookup(C464,'Team Bye List'!$A$1:$B$33,2,False)</f>
        <v>#N/A</v>
      </c>
      <c r="F464" s="36">
        <f>if(ISNA(vlookup($A464, ESPN!$B$2:$E$1010, 4, false)), 0, vlookup($A464, ESPN!$B$2:$E$1010, 4, false))</f>
        <v>0</v>
      </c>
      <c r="G464" s="36">
        <f>if(ISNA(vlookup($A464,'Ultimate Draft Kit'!$B$2:$E$201,4, false)), 0, vlookup($A464,'Ultimate Draft Kit'!$B$2:$E$201, 4, false))</f>
        <v>0</v>
      </c>
      <c r="H464" s="36">
        <f>if(ISNA(vlookup($A464, FantasyPro!$B$2:$E$514,4,false)),0,vlookup($A464,FantasyPro!$B$2:$E$514,4,false))</f>
        <v>0</v>
      </c>
      <c r="I464" s="36">
        <f>if(ISNA(vlookup($A464, FFToolbox!$B$2:$E$618, 4, false)), 0, vlookup($A464, FFToolbox!$B$2:$E$618, 4, false))</f>
        <v>0</v>
      </c>
      <c r="J464" s="37">
        <f t="shared" si="1"/>
        <v>0</v>
      </c>
      <c r="K464" s="37">
        <f t="shared" si="2"/>
        <v>0</v>
      </c>
    </row>
    <row r="465" hidden="1">
      <c r="A465" s="13" t="s">
        <v>869</v>
      </c>
      <c r="B465" s="34" t="s">
        <v>1061</v>
      </c>
      <c r="C465" s="5" t="s">
        <v>257</v>
      </c>
      <c r="D465" s="5" t="s">
        <v>7</v>
      </c>
      <c r="E465" s="35" t="str">
        <f>vlookup(C465,'Team Bye List'!$A$1:$B$33,2,False)</f>
        <v>#N/A</v>
      </c>
      <c r="F465" s="36">
        <f>if(ISNA(vlookup($A465, ESPN!$B$2:$E$1010, 4, false)), 0, vlookup($A465, ESPN!$B$2:$E$1010, 4, false))</f>
        <v>0</v>
      </c>
      <c r="G465" s="36">
        <f>if(ISNA(vlookup($A465,'Ultimate Draft Kit'!$B$2:$E$201,4, false)), 0, vlookup($A465,'Ultimate Draft Kit'!$B$2:$E$201, 4, false))</f>
        <v>0</v>
      </c>
      <c r="H465" s="36">
        <f>if(ISNA(vlookup($A465, FantasyPro!$B$2:$E$514,4,false)),0,vlookup($A465,FantasyPro!$B$2:$E$514,4,false))</f>
        <v>0</v>
      </c>
      <c r="I465" s="36">
        <f>if(ISNA(vlookup($A465, FFToolbox!$B$2:$E$618, 4, false)), 0, vlookup($A465, FFToolbox!$B$2:$E$618, 4, false))</f>
        <v>0</v>
      </c>
      <c r="J465" s="37">
        <f t="shared" si="1"/>
        <v>0</v>
      </c>
      <c r="K465" s="37">
        <f t="shared" si="2"/>
        <v>0</v>
      </c>
    </row>
    <row r="466" hidden="1">
      <c r="A466" s="13" t="s">
        <v>837</v>
      </c>
      <c r="B466" s="34" t="s">
        <v>1061</v>
      </c>
      <c r="C466" s="5" t="s">
        <v>257</v>
      </c>
      <c r="D466" s="5" t="s">
        <v>7</v>
      </c>
      <c r="E466" s="35" t="str">
        <f>vlookup(C466,'Team Bye List'!$A$1:$B$33,2,False)</f>
        <v>#N/A</v>
      </c>
      <c r="F466" s="36">
        <f>if(ISNA(vlookup($A466, ESPN!$B$2:$E$1010, 4, false)), 0, vlookup($A466, ESPN!$B$2:$E$1010, 4, false))</f>
        <v>0</v>
      </c>
      <c r="G466" s="36">
        <f>if(ISNA(vlookup($A466,'Ultimate Draft Kit'!$B$2:$E$201,4, false)), 0, vlookup($A466,'Ultimate Draft Kit'!$B$2:$E$201, 4, false))</f>
        <v>0</v>
      </c>
      <c r="H466" s="36">
        <f>if(ISNA(vlookup($A466, FantasyPro!$B$2:$E$514,4,false)),0,vlookup($A466,FantasyPro!$B$2:$E$514,4,false))</f>
        <v>0</v>
      </c>
      <c r="I466" s="36">
        <f>if(ISNA(vlookup($A466, FFToolbox!$B$2:$E$618, 4, false)), 0, vlookup($A466, FFToolbox!$B$2:$E$618, 4, false))</f>
        <v>0</v>
      </c>
      <c r="J466" s="37">
        <f t="shared" si="1"/>
        <v>0</v>
      </c>
      <c r="K466" s="37">
        <f t="shared" si="2"/>
        <v>0</v>
      </c>
    </row>
    <row r="467" hidden="1">
      <c r="A467" s="13" t="s">
        <v>837</v>
      </c>
      <c r="B467" s="34" t="s">
        <v>1061</v>
      </c>
      <c r="C467" s="5" t="s">
        <v>257</v>
      </c>
      <c r="D467" s="5" t="s">
        <v>7</v>
      </c>
      <c r="E467" s="35" t="str">
        <f>vlookup(C467,'Team Bye List'!$A$1:$B$33,2,False)</f>
        <v>#N/A</v>
      </c>
      <c r="F467" s="36">
        <f>if(ISNA(vlookup($A467, ESPN!$B$2:$E$1010, 4, false)), 0, vlookup($A467, ESPN!$B$2:$E$1010, 4, false))</f>
        <v>0</v>
      </c>
      <c r="G467" s="36">
        <f>if(ISNA(vlookup($A467,'Ultimate Draft Kit'!$B$2:$E$201,4, false)), 0, vlookup($A467,'Ultimate Draft Kit'!$B$2:$E$201, 4, false))</f>
        <v>0</v>
      </c>
      <c r="H467" s="36">
        <f>if(ISNA(vlookup($A467, FantasyPro!$B$2:$E$514,4,false)),0,vlookup($A467,FantasyPro!$B$2:$E$514,4,false))</f>
        <v>0</v>
      </c>
      <c r="I467" s="36">
        <f>if(ISNA(vlookup($A467, FFToolbox!$B$2:$E$618, 4, false)), 0, vlookup($A467, FFToolbox!$B$2:$E$618, 4, false))</f>
        <v>0</v>
      </c>
      <c r="J467" s="37">
        <f t="shared" si="1"/>
        <v>0</v>
      </c>
      <c r="K467" s="37">
        <f t="shared" si="2"/>
        <v>0</v>
      </c>
    </row>
    <row r="468" hidden="1">
      <c r="A468" s="13" t="s">
        <v>849</v>
      </c>
      <c r="B468" s="34" t="s">
        <v>1061</v>
      </c>
      <c r="C468" s="5" t="s">
        <v>48</v>
      </c>
      <c r="D468" s="5" t="s">
        <v>7</v>
      </c>
      <c r="E468" s="35">
        <f>vlookup(C468,'Team Bye List'!$A$1:$B$33,2,False)</f>
        <v>11</v>
      </c>
      <c r="F468" s="36">
        <f>if(ISNA(vlookup($A468, ESPN!$B$2:$E$1010, 4, false)), 0, vlookup($A468, ESPN!$B$2:$E$1010, 4, false))</f>
        <v>0</v>
      </c>
      <c r="G468" s="36">
        <f>if(ISNA(vlookup($A468,'Ultimate Draft Kit'!$B$2:$E$201,4, false)), 0, vlookup($A468,'Ultimate Draft Kit'!$B$2:$E$201, 4, false))</f>
        <v>0</v>
      </c>
      <c r="H468" s="36">
        <f>if(ISNA(vlookup($A468, FantasyPro!$B$2:$E$514,4,false)),0,vlookup($A468,FantasyPro!$B$2:$E$514,4,false))</f>
        <v>0</v>
      </c>
      <c r="I468" s="36">
        <f>if(ISNA(vlookup($A468, FFToolbox!$B$2:$E$618, 4, false)), 0, vlookup($A468, FFToolbox!$B$2:$E$618, 4, false))</f>
        <v>0</v>
      </c>
      <c r="J468" s="37">
        <f t="shared" si="1"/>
        <v>0</v>
      </c>
      <c r="K468" s="37">
        <f t="shared" si="2"/>
        <v>0</v>
      </c>
    </row>
    <row r="469" hidden="1">
      <c r="A469" s="13" t="s">
        <v>849</v>
      </c>
      <c r="B469" s="34" t="s">
        <v>1061</v>
      </c>
      <c r="C469" s="5" t="s">
        <v>48</v>
      </c>
      <c r="D469" s="5" t="s">
        <v>7</v>
      </c>
      <c r="E469" s="35">
        <f>vlookup(C469,'Team Bye List'!$A$1:$B$33,2,False)</f>
        <v>11</v>
      </c>
      <c r="F469" s="36">
        <f>if(ISNA(vlookup($A469, ESPN!$B$2:$E$1010, 4, false)), 0, vlookup($A469, ESPN!$B$2:$E$1010, 4, false))</f>
        <v>0</v>
      </c>
      <c r="G469" s="36">
        <f>if(ISNA(vlookup($A469,'Ultimate Draft Kit'!$B$2:$E$201,4, false)), 0, vlookup($A469,'Ultimate Draft Kit'!$B$2:$E$201, 4, false))</f>
        <v>0</v>
      </c>
      <c r="H469" s="36">
        <f>if(ISNA(vlookup($A469, FantasyPro!$B$2:$E$514,4,false)),0,vlookup($A469,FantasyPro!$B$2:$E$514,4,false))</f>
        <v>0</v>
      </c>
      <c r="I469" s="36">
        <f>if(ISNA(vlookup($A469, FFToolbox!$B$2:$E$618, 4, false)), 0, vlookup($A469, FFToolbox!$B$2:$E$618, 4, false))</f>
        <v>0</v>
      </c>
      <c r="J469" s="37">
        <f t="shared" si="1"/>
        <v>0</v>
      </c>
      <c r="K469" s="37">
        <f t="shared" si="2"/>
        <v>0</v>
      </c>
    </row>
    <row r="470" hidden="1">
      <c r="A470" s="13" t="s">
        <v>889</v>
      </c>
      <c r="B470" s="34" t="s">
        <v>1061</v>
      </c>
      <c r="C470" s="5" t="s">
        <v>257</v>
      </c>
      <c r="D470" s="5" t="s">
        <v>7</v>
      </c>
      <c r="E470" s="35" t="str">
        <f>vlookup(C470,'Team Bye List'!$A$1:$B$33,2,False)</f>
        <v>#N/A</v>
      </c>
      <c r="F470" s="36">
        <f>if(ISNA(vlookup($A470, ESPN!$B$2:$E$1010, 4, false)), 0, vlookup($A470, ESPN!$B$2:$E$1010, 4, false))</f>
        <v>0</v>
      </c>
      <c r="G470" s="36">
        <f>if(ISNA(vlookup($A470,'Ultimate Draft Kit'!$B$2:$E$201,4, false)), 0, vlookup($A470,'Ultimate Draft Kit'!$B$2:$E$201, 4, false))</f>
        <v>0</v>
      </c>
      <c r="H470" s="36">
        <f>if(ISNA(vlookup($A470, FantasyPro!$B$2:$E$514,4,false)),0,vlookup($A470,FantasyPro!$B$2:$E$514,4,false))</f>
        <v>0</v>
      </c>
      <c r="I470" s="36">
        <f>if(ISNA(vlookup($A470, FFToolbox!$B$2:$E$618, 4, false)), 0, vlookup($A470, FFToolbox!$B$2:$E$618, 4, false))</f>
        <v>0</v>
      </c>
      <c r="J470" s="37">
        <f t="shared" si="1"/>
        <v>0</v>
      </c>
      <c r="K470" s="37">
        <f t="shared" si="2"/>
        <v>0</v>
      </c>
    </row>
    <row r="471" hidden="1">
      <c r="A471" s="13" t="s">
        <v>875</v>
      </c>
      <c r="B471" s="34" t="s">
        <v>1061</v>
      </c>
      <c r="C471" s="5" t="s">
        <v>257</v>
      </c>
      <c r="D471" s="5" t="s">
        <v>7</v>
      </c>
      <c r="E471" s="35" t="str">
        <f>vlookup(C471,'Team Bye List'!$A$1:$B$33,2,False)</f>
        <v>#N/A</v>
      </c>
      <c r="F471" s="36">
        <f>if(ISNA(vlookup($A471, ESPN!$B$2:$E$1010, 4, false)), 0, vlookup($A471, ESPN!$B$2:$E$1010, 4, false))</f>
        <v>0</v>
      </c>
      <c r="G471" s="36">
        <f>if(ISNA(vlookup($A471,'Ultimate Draft Kit'!$B$2:$E$201,4, false)), 0, vlookup($A471,'Ultimate Draft Kit'!$B$2:$E$201, 4, false))</f>
        <v>0</v>
      </c>
      <c r="H471" s="36">
        <f>if(ISNA(vlookup($A471, FantasyPro!$B$2:$E$514,4,false)),0,vlookup($A471,FantasyPro!$B$2:$E$514,4,false))</f>
        <v>0</v>
      </c>
      <c r="I471" s="36">
        <f>if(ISNA(vlookup($A471, FFToolbox!$B$2:$E$618, 4, false)), 0, vlookup($A471, FFToolbox!$B$2:$E$618, 4, false))</f>
        <v>0</v>
      </c>
      <c r="J471" s="37">
        <f t="shared" si="1"/>
        <v>0</v>
      </c>
      <c r="K471" s="37">
        <f t="shared" si="2"/>
        <v>0</v>
      </c>
    </row>
    <row r="472" hidden="1">
      <c r="A472" s="13" t="s">
        <v>850</v>
      </c>
      <c r="B472" s="34" t="s">
        <v>1061</v>
      </c>
      <c r="C472" s="5" t="s">
        <v>44</v>
      </c>
      <c r="D472" s="5" t="s">
        <v>7</v>
      </c>
      <c r="E472" s="35">
        <f>vlookup(C472,'Team Bye List'!$A$1:$B$33,2,False)</f>
        <v>10</v>
      </c>
      <c r="F472" s="36">
        <f>if(ISNA(vlookup($A472, ESPN!$B$2:$E$1010, 4, false)), 0, vlookup($A472, ESPN!$B$2:$E$1010, 4, false))</f>
        <v>0</v>
      </c>
      <c r="G472" s="36">
        <f>if(ISNA(vlookup($A472,'Ultimate Draft Kit'!$B$2:$E$201,4, false)), 0, vlookup($A472,'Ultimate Draft Kit'!$B$2:$E$201, 4, false))</f>
        <v>0</v>
      </c>
      <c r="H472" s="36">
        <f>if(ISNA(vlookup($A472, FantasyPro!$B$2:$E$514,4,false)),0,vlookup($A472,FantasyPro!$B$2:$E$514,4,false))</f>
        <v>0</v>
      </c>
      <c r="I472" s="36">
        <f>if(ISNA(vlookup($A472, FFToolbox!$B$2:$E$618, 4, false)), 0, vlookup($A472, FFToolbox!$B$2:$E$618, 4, false))</f>
        <v>0</v>
      </c>
      <c r="J472" s="37">
        <f t="shared" si="1"/>
        <v>0</v>
      </c>
      <c r="K472" s="37">
        <f t="shared" si="2"/>
        <v>0</v>
      </c>
    </row>
    <row r="473" hidden="1">
      <c r="A473" s="13" t="s">
        <v>850</v>
      </c>
      <c r="B473" s="34" t="s">
        <v>1061</v>
      </c>
      <c r="C473" s="5" t="s">
        <v>44</v>
      </c>
      <c r="D473" s="5" t="s">
        <v>7</v>
      </c>
      <c r="E473" s="35">
        <f>vlookup(C473,'Team Bye List'!$A$1:$B$33,2,False)</f>
        <v>10</v>
      </c>
      <c r="F473" s="36">
        <f>if(ISNA(vlookup($A473, ESPN!$B$2:$E$1010, 4, false)), 0, vlookup($A473, ESPN!$B$2:$E$1010, 4, false))</f>
        <v>0</v>
      </c>
      <c r="G473" s="36">
        <f>if(ISNA(vlookup($A473,'Ultimate Draft Kit'!$B$2:$E$201,4, false)), 0, vlookup($A473,'Ultimate Draft Kit'!$B$2:$E$201, 4, false))</f>
        <v>0</v>
      </c>
      <c r="H473" s="36">
        <f>if(ISNA(vlookup($A473, FantasyPro!$B$2:$E$514,4,false)),0,vlookup($A473,FantasyPro!$B$2:$E$514,4,false))</f>
        <v>0</v>
      </c>
      <c r="I473" s="36">
        <f>if(ISNA(vlookup($A473, FFToolbox!$B$2:$E$618, 4, false)), 0, vlookup($A473, FFToolbox!$B$2:$E$618, 4, false))</f>
        <v>0</v>
      </c>
      <c r="J473" s="37">
        <f t="shared" si="1"/>
        <v>0</v>
      </c>
      <c r="K473" s="37">
        <f t="shared" si="2"/>
        <v>0</v>
      </c>
    </row>
    <row r="474" hidden="1">
      <c r="A474" s="13" t="s">
        <v>913</v>
      </c>
      <c r="B474" s="34" t="s">
        <v>1061</v>
      </c>
      <c r="C474" s="5" t="s">
        <v>34</v>
      </c>
      <c r="D474" s="5" t="s">
        <v>7</v>
      </c>
      <c r="E474" s="35">
        <f>vlookup(C474,'Team Bye List'!$A$1:$B$33,2,False)</f>
        <v>7</v>
      </c>
      <c r="F474" s="36">
        <f>if(ISNA(vlookup($A474, ESPN!$B$2:$E$1010, 4, false)), 0, vlookup($A474, ESPN!$B$2:$E$1010, 4, false))</f>
        <v>0</v>
      </c>
      <c r="G474" s="36">
        <f>if(ISNA(vlookup($A474,'Ultimate Draft Kit'!$B$2:$E$201,4, false)), 0, vlookup($A474,'Ultimate Draft Kit'!$B$2:$E$201, 4, false))</f>
        <v>0</v>
      </c>
      <c r="H474" s="36">
        <f>if(ISNA(vlookup($A474, FantasyPro!$B$2:$E$514,4,false)),0,vlookup($A474,FantasyPro!$B$2:$E$514,4,false))</f>
        <v>0</v>
      </c>
      <c r="I474" s="36">
        <f>if(ISNA(vlookup($A474, FFToolbox!$B$2:$E$618, 4, false)), 0, vlookup($A474, FFToolbox!$B$2:$E$618, 4, false))</f>
        <v>0</v>
      </c>
      <c r="J474" s="37">
        <f t="shared" si="1"/>
        <v>0</v>
      </c>
      <c r="K474" s="37">
        <f t="shared" si="2"/>
        <v>0</v>
      </c>
    </row>
    <row r="475" hidden="1">
      <c r="A475" s="13" t="s">
        <v>870</v>
      </c>
      <c r="B475" s="34" t="s">
        <v>1061</v>
      </c>
      <c r="C475" s="5" t="s">
        <v>9</v>
      </c>
      <c r="D475" s="5" t="s">
        <v>7</v>
      </c>
      <c r="E475" s="35">
        <f>vlookup(C475,'Team Bye List'!$A$1:$B$33,2,False)</f>
        <v>10</v>
      </c>
      <c r="F475" s="36">
        <f>if(ISNA(vlookup($A475, ESPN!$B$2:$E$1010, 4, false)), 0, vlookup($A475, ESPN!$B$2:$E$1010, 4, false))</f>
        <v>0</v>
      </c>
      <c r="G475" s="36">
        <f>if(ISNA(vlookup($A475,'Ultimate Draft Kit'!$B$2:$E$201,4, false)), 0, vlookup($A475,'Ultimate Draft Kit'!$B$2:$E$201, 4, false))</f>
        <v>0</v>
      </c>
      <c r="H475" s="36">
        <f>if(ISNA(vlookup($A475, FantasyPro!$B$2:$E$514,4,false)),0,vlookup($A475,FantasyPro!$B$2:$E$514,4,false))</f>
        <v>0</v>
      </c>
      <c r="I475" s="36">
        <f>if(ISNA(vlookup($A475, FFToolbox!$B$2:$E$618, 4, false)), 0, vlookup($A475, FFToolbox!$B$2:$E$618, 4, false))</f>
        <v>0</v>
      </c>
      <c r="J475" s="37">
        <f t="shared" si="1"/>
        <v>0</v>
      </c>
      <c r="K475" s="37">
        <f t="shared" si="2"/>
        <v>0</v>
      </c>
    </row>
    <row r="476" hidden="1">
      <c r="A476" s="13" t="s">
        <v>851</v>
      </c>
      <c r="B476" s="34" t="s">
        <v>1061</v>
      </c>
      <c r="C476" s="5" t="s">
        <v>86</v>
      </c>
      <c r="D476" s="5" t="s">
        <v>7</v>
      </c>
      <c r="E476" s="35">
        <f>vlookup(C476,'Team Bye List'!$A$1:$B$33,2,False)</f>
        <v>6</v>
      </c>
      <c r="F476" s="36">
        <f>if(ISNA(vlookup($A476, ESPN!$B$2:$E$1010, 4, false)), 0, vlookup($A476, ESPN!$B$2:$E$1010, 4, false))</f>
        <v>0</v>
      </c>
      <c r="G476" s="36">
        <f>if(ISNA(vlookup($A476,'Ultimate Draft Kit'!$B$2:$E$201,4, false)), 0, vlookup($A476,'Ultimate Draft Kit'!$B$2:$E$201, 4, false))</f>
        <v>0</v>
      </c>
      <c r="H476" s="36">
        <f>if(ISNA(vlookup($A476, FantasyPro!$B$2:$E$514,4,false)),0,vlookup($A476,FantasyPro!$B$2:$E$514,4,false))</f>
        <v>0</v>
      </c>
      <c r="I476" s="36">
        <f>if(ISNA(vlookup($A476, FFToolbox!$B$2:$E$618, 4, false)), 0, vlookup($A476, FFToolbox!$B$2:$E$618, 4, false))</f>
        <v>0</v>
      </c>
      <c r="J476" s="37">
        <f t="shared" si="1"/>
        <v>0</v>
      </c>
      <c r="K476" s="37">
        <f t="shared" si="2"/>
        <v>0</v>
      </c>
    </row>
    <row r="477" hidden="1">
      <c r="A477" s="13" t="s">
        <v>859</v>
      </c>
      <c r="B477" s="34" t="s">
        <v>1061</v>
      </c>
      <c r="C477" s="5" t="s">
        <v>74</v>
      </c>
      <c r="D477" s="5" t="s">
        <v>7</v>
      </c>
      <c r="E477" s="35">
        <f>vlookup(C477,'Team Bye List'!$A$1:$B$33,2,False)</f>
        <v>7</v>
      </c>
      <c r="F477" s="36">
        <f>if(ISNA(vlookup($A477, ESPN!$B$2:$E$1010, 4, false)), 0, vlookup($A477, ESPN!$B$2:$E$1010, 4, false))</f>
        <v>0</v>
      </c>
      <c r="G477" s="36">
        <f>if(ISNA(vlookup($A477,'Ultimate Draft Kit'!$B$2:$E$201,4, false)), 0, vlookup($A477,'Ultimate Draft Kit'!$B$2:$E$201, 4, false))</f>
        <v>0</v>
      </c>
      <c r="H477" s="36">
        <f>if(ISNA(vlookup($A477, FantasyPro!$B$2:$E$514,4,false)),0,vlookup($A477,FantasyPro!$B$2:$E$514,4,false))</f>
        <v>0</v>
      </c>
      <c r="I477" s="36">
        <f>if(ISNA(vlookup($A477, FFToolbox!$B$2:$E$618, 4, false)), 0, vlookup($A477, FFToolbox!$B$2:$E$618, 4, false))</f>
        <v>0</v>
      </c>
      <c r="J477" s="37">
        <f t="shared" si="1"/>
        <v>0</v>
      </c>
      <c r="K477" s="37">
        <f t="shared" si="2"/>
        <v>0</v>
      </c>
    </row>
    <row r="478" hidden="1">
      <c r="A478" s="13" t="s">
        <v>867</v>
      </c>
      <c r="B478" s="34" t="s">
        <v>1061</v>
      </c>
      <c r="C478" s="5" t="s">
        <v>257</v>
      </c>
      <c r="D478" s="5" t="s">
        <v>7</v>
      </c>
      <c r="E478" s="35" t="str">
        <f>vlookup(C478,'Team Bye List'!$A$1:$B$33,2,False)</f>
        <v>#N/A</v>
      </c>
      <c r="F478" s="36">
        <f>if(ISNA(vlookup($A478, ESPN!$B$2:$E$1010, 4, false)), 0, vlookup($A478, ESPN!$B$2:$E$1010, 4, false))</f>
        <v>0</v>
      </c>
      <c r="G478" s="36">
        <f>if(ISNA(vlookup($A478,'Ultimate Draft Kit'!$B$2:$E$201,4, false)), 0, vlookup($A478,'Ultimate Draft Kit'!$B$2:$E$201, 4, false))</f>
        <v>0</v>
      </c>
      <c r="H478" s="36">
        <f>if(ISNA(vlookup($A478, FantasyPro!$B$2:$E$514,4,false)),0,vlookup($A478,FantasyPro!$B$2:$E$514,4,false))</f>
        <v>0</v>
      </c>
      <c r="I478" s="36">
        <f>if(ISNA(vlookup($A478, FFToolbox!$B$2:$E$618, 4, false)), 0, vlookup($A478, FFToolbox!$B$2:$E$618, 4, false))</f>
        <v>0</v>
      </c>
      <c r="J478" s="37">
        <f t="shared" si="1"/>
        <v>0</v>
      </c>
      <c r="K478" s="37">
        <f t="shared" si="2"/>
        <v>0</v>
      </c>
    </row>
    <row r="479" hidden="1">
      <c r="A479" s="13" t="s">
        <v>838</v>
      </c>
      <c r="B479" s="34" t="s">
        <v>1061</v>
      </c>
      <c r="C479" s="5" t="s">
        <v>257</v>
      </c>
      <c r="D479" s="5" t="s">
        <v>7</v>
      </c>
      <c r="E479" s="35" t="str">
        <f>vlookup(C479,'Team Bye List'!$A$1:$B$33,2,False)</f>
        <v>#N/A</v>
      </c>
      <c r="F479" s="36">
        <f>if(ISNA(vlookup($A479, ESPN!$B$2:$E$1010, 4, false)), 0, vlookup($A479, ESPN!$B$2:$E$1010, 4, false))</f>
        <v>0</v>
      </c>
      <c r="G479" s="36">
        <f>if(ISNA(vlookup($A479,'Ultimate Draft Kit'!$B$2:$E$201,4, false)), 0, vlookup($A479,'Ultimate Draft Kit'!$B$2:$E$201, 4, false))</f>
        <v>0</v>
      </c>
      <c r="H479" s="36">
        <f>if(ISNA(vlookup($A479, FantasyPro!$B$2:$E$514,4,false)),0,vlookup($A479,FantasyPro!$B$2:$E$514,4,false))</f>
        <v>0</v>
      </c>
      <c r="I479" s="36">
        <f>if(ISNA(vlookup($A479, FFToolbox!$B$2:$E$618, 4, false)), 0, vlookup($A479, FFToolbox!$B$2:$E$618, 4, false))</f>
        <v>0</v>
      </c>
      <c r="J479" s="37">
        <f t="shared" si="1"/>
        <v>0</v>
      </c>
      <c r="K479" s="37">
        <f t="shared" si="2"/>
        <v>0</v>
      </c>
    </row>
    <row r="480" hidden="1">
      <c r="A480" s="13" t="s">
        <v>838</v>
      </c>
      <c r="B480" s="34" t="s">
        <v>1061</v>
      </c>
      <c r="C480" s="5" t="s">
        <v>257</v>
      </c>
      <c r="D480" s="5" t="s">
        <v>7</v>
      </c>
      <c r="E480" s="35" t="str">
        <f>vlookup(C480,'Team Bye List'!$A$1:$B$33,2,False)</f>
        <v>#N/A</v>
      </c>
      <c r="F480" s="36">
        <f>if(ISNA(vlookup($A480, ESPN!$B$2:$E$1010, 4, false)), 0, vlookup($A480, ESPN!$B$2:$E$1010, 4, false))</f>
        <v>0</v>
      </c>
      <c r="G480" s="36">
        <f>if(ISNA(vlookup($A480,'Ultimate Draft Kit'!$B$2:$E$201,4, false)), 0, vlookup($A480,'Ultimate Draft Kit'!$B$2:$E$201, 4, false))</f>
        <v>0</v>
      </c>
      <c r="H480" s="36">
        <f>if(ISNA(vlookup($A480, FantasyPro!$B$2:$E$514,4,false)),0,vlookup($A480,FantasyPro!$B$2:$E$514,4,false))</f>
        <v>0</v>
      </c>
      <c r="I480" s="36">
        <f>if(ISNA(vlookup($A480, FFToolbox!$B$2:$E$618, 4, false)), 0, vlookup($A480, FFToolbox!$B$2:$E$618, 4, false))</f>
        <v>0</v>
      </c>
      <c r="J480" s="37">
        <f t="shared" si="1"/>
        <v>0</v>
      </c>
      <c r="K480" s="37">
        <f t="shared" si="2"/>
        <v>0</v>
      </c>
    </row>
    <row r="481" hidden="1">
      <c r="A481" s="13" t="s">
        <v>903</v>
      </c>
      <c r="B481" s="34" t="s">
        <v>1061</v>
      </c>
      <c r="C481" s="5" t="s">
        <v>92</v>
      </c>
      <c r="D481" s="5" t="s">
        <v>7</v>
      </c>
      <c r="E481" s="35">
        <f>vlookup(C481,'Team Bye List'!$A$1:$B$33,2,False)</f>
        <v>8</v>
      </c>
      <c r="F481" s="36">
        <f>if(ISNA(vlookup($A481, ESPN!$B$2:$E$1010, 4, false)), 0, vlookup($A481, ESPN!$B$2:$E$1010, 4, false))</f>
        <v>0</v>
      </c>
      <c r="G481" s="36">
        <f>if(ISNA(vlookup($A481,'Ultimate Draft Kit'!$B$2:$E$201,4, false)), 0, vlookup($A481,'Ultimate Draft Kit'!$B$2:$E$201, 4, false))</f>
        <v>0</v>
      </c>
      <c r="H481" s="36">
        <f>if(ISNA(vlookup($A481, FantasyPro!$B$2:$E$514,4,false)),0,vlookup($A481,FantasyPro!$B$2:$E$514,4,false))</f>
        <v>0</v>
      </c>
      <c r="I481" s="36">
        <f>if(ISNA(vlookup($A481, FFToolbox!$B$2:$E$618, 4, false)), 0, vlookup($A481, FFToolbox!$B$2:$E$618, 4, false))</f>
        <v>0</v>
      </c>
      <c r="J481" s="37">
        <f t="shared" si="1"/>
        <v>0</v>
      </c>
      <c r="K481" s="37">
        <f t="shared" si="2"/>
        <v>0</v>
      </c>
    </row>
    <row r="482" hidden="1">
      <c r="A482" s="13" t="s">
        <v>844</v>
      </c>
      <c r="B482" s="34" t="s">
        <v>1061</v>
      </c>
      <c r="C482" s="5" t="s">
        <v>257</v>
      </c>
      <c r="D482" s="5" t="s">
        <v>7</v>
      </c>
      <c r="E482" s="35" t="str">
        <f>vlookup(C482,'Team Bye List'!$A$1:$B$33,2,False)</f>
        <v>#N/A</v>
      </c>
      <c r="F482" s="36">
        <f>if(ISNA(vlookup($A482, ESPN!$B$2:$E$1010, 4, false)), 0, vlookup($A482, ESPN!$B$2:$E$1010, 4, false))</f>
        <v>0</v>
      </c>
      <c r="G482" s="36">
        <f>if(ISNA(vlookup($A482,'Ultimate Draft Kit'!$B$2:$E$201,4, false)), 0, vlookup($A482,'Ultimate Draft Kit'!$B$2:$E$201, 4, false))</f>
        <v>0</v>
      </c>
      <c r="H482" s="36">
        <f>if(ISNA(vlookup($A482, FantasyPro!$B$2:$E$514,4,false)),0,vlookup($A482,FantasyPro!$B$2:$E$514,4,false))</f>
        <v>0</v>
      </c>
      <c r="I482" s="36">
        <f>if(ISNA(vlookup($A482, FFToolbox!$B$2:$E$618, 4, false)), 0, vlookup($A482, FFToolbox!$B$2:$E$618, 4, false))</f>
        <v>0</v>
      </c>
      <c r="J482" s="37">
        <f t="shared" si="1"/>
        <v>0</v>
      </c>
      <c r="K482" s="37">
        <f t="shared" si="2"/>
        <v>0</v>
      </c>
    </row>
    <row r="483" hidden="1">
      <c r="A483" s="13" t="s">
        <v>844</v>
      </c>
      <c r="B483" s="34" t="s">
        <v>1061</v>
      </c>
      <c r="C483" s="5" t="s">
        <v>257</v>
      </c>
      <c r="D483" s="5" t="s">
        <v>7</v>
      </c>
      <c r="E483" s="35" t="str">
        <f>vlookup(C483,'Team Bye List'!$A$1:$B$33,2,False)</f>
        <v>#N/A</v>
      </c>
      <c r="F483" s="36">
        <f>if(ISNA(vlookup($A483, ESPN!$B$2:$E$1010, 4, false)), 0, vlookup($A483, ESPN!$B$2:$E$1010, 4, false))</f>
        <v>0</v>
      </c>
      <c r="G483" s="36">
        <f>if(ISNA(vlookup($A483,'Ultimate Draft Kit'!$B$2:$E$201,4, false)), 0, vlookup($A483,'Ultimate Draft Kit'!$B$2:$E$201, 4, false))</f>
        <v>0</v>
      </c>
      <c r="H483" s="36">
        <f>if(ISNA(vlookup($A483, FantasyPro!$B$2:$E$514,4,false)),0,vlookup($A483,FantasyPro!$B$2:$E$514,4,false))</f>
        <v>0</v>
      </c>
      <c r="I483" s="36">
        <f>if(ISNA(vlookup($A483, FFToolbox!$B$2:$E$618, 4, false)), 0, vlookup($A483, FFToolbox!$B$2:$E$618, 4, false))</f>
        <v>0</v>
      </c>
      <c r="J483" s="37">
        <f t="shared" si="1"/>
        <v>0</v>
      </c>
      <c r="K483" s="37">
        <f t="shared" si="2"/>
        <v>0</v>
      </c>
    </row>
    <row r="484" hidden="1">
      <c r="A484" s="13" t="s">
        <v>833</v>
      </c>
      <c r="B484" s="34" t="s">
        <v>1061</v>
      </c>
      <c r="C484" s="5" t="s">
        <v>56</v>
      </c>
      <c r="D484" s="5" t="s">
        <v>7</v>
      </c>
      <c r="E484" s="35">
        <f>vlookup(C484,'Team Bye List'!$A$1:$B$33,2,False)</f>
        <v>5</v>
      </c>
      <c r="F484" s="36">
        <f>if(ISNA(vlookup($A484, ESPN!$B$2:$E$1010, 4, false)), 0, vlookup($A484, ESPN!$B$2:$E$1010, 4, false))</f>
        <v>0</v>
      </c>
      <c r="G484" s="36">
        <f>if(ISNA(vlookup($A484,'Ultimate Draft Kit'!$B$2:$E$201,4, false)), 0, vlookup($A484,'Ultimate Draft Kit'!$B$2:$E$201, 4, false))</f>
        <v>0</v>
      </c>
      <c r="H484" s="36">
        <f>if(ISNA(vlookup($A484, FantasyPro!$B$2:$E$514,4,false)),0,vlookup($A484,FantasyPro!$B$2:$E$514,4,false))</f>
        <v>0</v>
      </c>
      <c r="I484" s="36">
        <f>if(ISNA(vlookup($A484, FFToolbox!$B$2:$E$618, 4, false)), 0, vlookup($A484, FFToolbox!$B$2:$E$618, 4, false))</f>
        <v>0</v>
      </c>
      <c r="J484" s="37">
        <f t="shared" si="1"/>
        <v>0</v>
      </c>
      <c r="K484" s="37">
        <f t="shared" si="2"/>
        <v>0</v>
      </c>
    </row>
    <row r="485" hidden="1">
      <c r="A485" s="13" t="s">
        <v>887</v>
      </c>
      <c r="B485" s="34" t="s">
        <v>1061</v>
      </c>
      <c r="C485" s="5" t="s">
        <v>257</v>
      </c>
      <c r="D485" s="5" t="s">
        <v>7</v>
      </c>
      <c r="E485" s="35" t="str">
        <f>vlookup(C485,'Team Bye List'!$A$1:$B$33,2,False)</f>
        <v>#N/A</v>
      </c>
      <c r="F485" s="36">
        <f>if(ISNA(vlookup($A485, ESPN!$B$2:$E$1010, 4, false)), 0, vlookup($A485, ESPN!$B$2:$E$1010, 4, false))</f>
        <v>0</v>
      </c>
      <c r="G485" s="36">
        <f>if(ISNA(vlookup($A485,'Ultimate Draft Kit'!$B$2:$E$201,4, false)), 0, vlookup($A485,'Ultimate Draft Kit'!$B$2:$E$201, 4, false))</f>
        <v>0</v>
      </c>
      <c r="H485" s="36">
        <f>if(ISNA(vlookup($A485, FantasyPro!$B$2:$E$514,4,false)),0,vlookup($A485,FantasyPro!$B$2:$E$514,4,false))</f>
        <v>0</v>
      </c>
      <c r="I485" s="36">
        <f>if(ISNA(vlookup($A485, FFToolbox!$B$2:$E$618, 4, false)), 0, vlookup($A485, FFToolbox!$B$2:$E$618, 4, false))</f>
        <v>0</v>
      </c>
      <c r="J485" s="37">
        <f t="shared" si="1"/>
        <v>0</v>
      </c>
      <c r="K485" s="37">
        <f t="shared" si="2"/>
        <v>0</v>
      </c>
    </row>
    <row r="486" hidden="1">
      <c r="A486" s="13" t="s">
        <v>862</v>
      </c>
      <c r="B486" s="34" t="s">
        <v>1061</v>
      </c>
      <c r="C486" s="5" t="s">
        <v>9</v>
      </c>
      <c r="D486" s="5" t="s">
        <v>7</v>
      </c>
      <c r="E486" s="35">
        <f>vlookup(C486,'Team Bye List'!$A$1:$B$33,2,False)</f>
        <v>10</v>
      </c>
      <c r="F486" s="36">
        <f>if(ISNA(vlookup($A486, ESPN!$B$2:$E$1010, 4, false)), 0, vlookup($A486, ESPN!$B$2:$E$1010, 4, false))</f>
        <v>0</v>
      </c>
      <c r="G486" s="36">
        <f>if(ISNA(vlookup($A486,'Ultimate Draft Kit'!$B$2:$E$201,4, false)), 0, vlookup($A486,'Ultimate Draft Kit'!$B$2:$E$201, 4, false))</f>
        <v>0</v>
      </c>
      <c r="H486" s="36">
        <f>if(ISNA(vlookup($A486, FantasyPro!$B$2:$E$514,4,false)),0,vlookup($A486,FantasyPro!$B$2:$E$514,4,false))</f>
        <v>0</v>
      </c>
      <c r="I486" s="36">
        <f>if(ISNA(vlookup($A486, FFToolbox!$B$2:$E$618, 4, false)), 0, vlookup($A486, FFToolbox!$B$2:$E$618, 4, false))</f>
        <v>0</v>
      </c>
      <c r="J486" s="37">
        <f t="shared" si="1"/>
        <v>0</v>
      </c>
      <c r="K486" s="37">
        <f t="shared" si="2"/>
        <v>0</v>
      </c>
    </row>
    <row r="487" hidden="1">
      <c r="A487" s="13" t="s">
        <v>868</v>
      </c>
      <c r="B487" s="34" t="s">
        <v>1061</v>
      </c>
      <c r="C487" s="5" t="s">
        <v>257</v>
      </c>
      <c r="D487" s="5" t="s">
        <v>7</v>
      </c>
      <c r="E487" s="35" t="str">
        <f>vlookup(C487,'Team Bye List'!$A$1:$B$33,2,False)</f>
        <v>#N/A</v>
      </c>
      <c r="F487" s="36">
        <f>if(ISNA(vlookup($A487, ESPN!$B$2:$E$1010, 4, false)), 0, vlookup($A487, ESPN!$B$2:$E$1010, 4, false))</f>
        <v>0</v>
      </c>
      <c r="G487" s="36">
        <f>if(ISNA(vlookup($A487,'Ultimate Draft Kit'!$B$2:$E$201,4, false)), 0, vlookup($A487,'Ultimate Draft Kit'!$B$2:$E$201, 4, false))</f>
        <v>0</v>
      </c>
      <c r="H487" s="36">
        <f>if(ISNA(vlookup($A487, FantasyPro!$B$2:$E$514,4,false)),0,vlookup($A487,FantasyPro!$B$2:$E$514,4,false))</f>
        <v>0</v>
      </c>
      <c r="I487" s="36">
        <f>if(ISNA(vlookup($A487, FFToolbox!$B$2:$E$618, 4, false)), 0, vlookup($A487, FFToolbox!$B$2:$E$618, 4, false))</f>
        <v>0</v>
      </c>
      <c r="J487" s="37">
        <f t="shared" si="1"/>
        <v>0</v>
      </c>
      <c r="K487" s="37">
        <f t="shared" si="2"/>
        <v>0</v>
      </c>
    </row>
    <row r="488" hidden="1">
      <c r="A488" s="13" t="s">
        <v>893</v>
      </c>
      <c r="B488" s="34" t="s">
        <v>1061</v>
      </c>
      <c r="C488" s="5" t="s">
        <v>14</v>
      </c>
      <c r="D488" s="5" t="s">
        <v>7</v>
      </c>
      <c r="E488" s="35">
        <f>vlookup(C488,'Team Bye List'!$A$1:$B$33,2,False)</f>
        <v>10</v>
      </c>
      <c r="F488" s="36">
        <f>if(ISNA(vlookup($A488, ESPN!$B$2:$E$1010, 4, false)), 0, vlookup($A488, ESPN!$B$2:$E$1010, 4, false))</f>
        <v>0</v>
      </c>
      <c r="G488" s="36">
        <f>if(ISNA(vlookup($A488,'Ultimate Draft Kit'!$B$2:$E$201,4, false)), 0, vlookup($A488,'Ultimate Draft Kit'!$B$2:$E$201, 4, false))</f>
        <v>0</v>
      </c>
      <c r="H488" s="36">
        <f>if(ISNA(vlookup($A488, FantasyPro!$B$2:$E$514,4,false)),0,vlookup($A488,FantasyPro!$B$2:$E$514,4,false))</f>
        <v>0</v>
      </c>
      <c r="I488" s="36">
        <f>if(ISNA(vlookup($A488, FFToolbox!$B$2:$E$618, 4, false)), 0, vlookup($A488, FFToolbox!$B$2:$E$618, 4, false))</f>
        <v>0</v>
      </c>
      <c r="J488" s="37">
        <f t="shared" si="1"/>
        <v>0</v>
      </c>
      <c r="K488" s="37">
        <f t="shared" si="2"/>
        <v>0</v>
      </c>
    </row>
    <row r="489" hidden="1">
      <c r="A489" s="13" t="s">
        <v>839</v>
      </c>
      <c r="B489" s="34" t="s">
        <v>1061</v>
      </c>
      <c r="C489" s="5" t="s">
        <v>27</v>
      </c>
      <c r="D489" s="5" t="s">
        <v>7</v>
      </c>
      <c r="E489" s="35">
        <f>vlookup(C489,'Team Bye List'!$A$1:$B$33,2,False)</f>
        <v>11</v>
      </c>
      <c r="F489" s="36">
        <f>if(ISNA(vlookup($A489, ESPN!$B$2:$E$1010, 4, false)), 0, vlookup($A489, ESPN!$B$2:$E$1010, 4, false))</f>
        <v>0</v>
      </c>
      <c r="G489" s="36">
        <f>if(ISNA(vlookup($A489,'Ultimate Draft Kit'!$B$2:$E$201,4, false)), 0, vlookup($A489,'Ultimate Draft Kit'!$B$2:$E$201, 4, false))</f>
        <v>0</v>
      </c>
      <c r="H489" s="36">
        <f>if(ISNA(vlookup($A489, FantasyPro!$B$2:$E$514,4,false)),0,vlookup($A489,FantasyPro!$B$2:$E$514,4,false))</f>
        <v>0</v>
      </c>
      <c r="I489" s="36">
        <f>if(ISNA(vlookup($A489, FFToolbox!$B$2:$E$618, 4, false)), 0, vlookup($A489, FFToolbox!$B$2:$E$618, 4, false))</f>
        <v>0</v>
      </c>
      <c r="J489" s="37">
        <f t="shared" si="1"/>
        <v>0</v>
      </c>
      <c r="K489" s="37">
        <f t="shared" si="2"/>
        <v>0</v>
      </c>
    </row>
    <row r="490" hidden="1">
      <c r="A490" s="13" t="s">
        <v>839</v>
      </c>
      <c r="B490" s="34" t="s">
        <v>1061</v>
      </c>
      <c r="C490" s="5" t="s">
        <v>27</v>
      </c>
      <c r="D490" s="5" t="s">
        <v>7</v>
      </c>
      <c r="E490" s="35">
        <f>vlookup(C490,'Team Bye List'!$A$1:$B$33,2,False)</f>
        <v>11</v>
      </c>
      <c r="F490" s="36">
        <f>if(ISNA(vlookup($A490, ESPN!$B$2:$E$1010, 4, false)), 0, vlookup($A490, ESPN!$B$2:$E$1010, 4, false))</f>
        <v>0</v>
      </c>
      <c r="G490" s="36">
        <f>if(ISNA(vlookup($A490,'Ultimate Draft Kit'!$B$2:$E$201,4, false)), 0, vlookup($A490,'Ultimate Draft Kit'!$B$2:$E$201, 4, false))</f>
        <v>0</v>
      </c>
      <c r="H490" s="36">
        <f>if(ISNA(vlookup($A490, FantasyPro!$B$2:$E$514,4,false)),0,vlookup($A490,FantasyPro!$B$2:$E$514,4,false))</f>
        <v>0</v>
      </c>
      <c r="I490" s="36">
        <f>if(ISNA(vlookup($A490, FFToolbox!$B$2:$E$618, 4, false)), 0, vlookup($A490, FFToolbox!$B$2:$E$618, 4, false))</f>
        <v>0</v>
      </c>
      <c r="J490" s="37">
        <f t="shared" si="1"/>
        <v>0</v>
      </c>
      <c r="K490" s="37">
        <f t="shared" si="2"/>
        <v>0</v>
      </c>
    </row>
    <row r="491" hidden="1">
      <c r="A491" s="13" t="s">
        <v>883</v>
      </c>
      <c r="B491" s="34" t="s">
        <v>1061</v>
      </c>
      <c r="C491" s="5" t="s">
        <v>257</v>
      </c>
      <c r="D491" s="5" t="s">
        <v>7</v>
      </c>
      <c r="E491" s="35" t="str">
        <f>vlookup(C491,'Team Bye List'!$A$1:$B$33,2,False)</f>
        <v>#N/A</v>
      </c>
      <c r="F491" s="36">
        <f>if(ISNA(vlookup($A491, ESPN!$B$2:$E$1010, 4, false)), 0, vlookup($A491, ESPN!$B$2:$E$1010, 4, false))</f>
        <v>0</v>
      </c>
      <c r="G491" s="36">
        <f>if(ISNA(vlookup($A491,'Ultimate Draft Kit'!$B$2:$E$201,4, false)), 0, vlookup($A491,'Ultimate Draft Kit'!$B$2:$E$201, 4, false))</f>
        <v>0</v>
      </c>
      <c r="H491" s="36">
        <f>if(ISNA(vlookup($A491, FantasyPro!$B$2:$E$514,4,false)),0,vlookup($A491,FantasyPro!$B$2:$E$514,4,false))</f>
        <v>0</v>
      </c>
      <c r="I491" s="36">
        <f>if(ISNA(vlookup($A491, FFToolbox!$B$2:$E$618, 4, false)), 0, vlookup($A491, FFToolbox!$B$2:$E$618, 4, false))</f>
        <v>0</v>
      </c>
      <c r="J491" s="37">
        <f t="shared" si="1"/>
        <v>0</v>
      </c>
      <c r="K491" s="37">
        <f t="shared" si="2"/>
        <v>0</v>
      </c>
    </row>
    <row r="492" hidden="1">
      <c r="A492" s="13" t="s">
        <v>877</v>
      </c>
      <c r="B492" s="34" t="s">
        <v>1061</v>
      </c>
      <c r="C492" s="5" t="s">
        <v>257</v>
      </c>
      <c r="D492" s="5" t="s">
        <v>7</v>
      </c>
      <c r="E492" s="35" t="str">
        <f>vlookup(C492,'Team Bye List'!$A$1:$B$33,2,False)</f>
        <v>#N/A</v>
      </c>
      <c r="F492" s="36">
        <f>if(ISNA(vlookup($A492, ESPN!$B$2:$E$1010, 4, false)), 0, vlookup($A492, ESPN!$B$2:$E$1010, 4, false))</f>
        <v>0</v>
      </c>
      <c r="G492" s="36">
        <f>if(ISNA(vlookup($A492,'Ultimate Draft Kit'!$B$2:$E$201,4, false)), 0, vlookup($A492,'Ultimate Draft Kit'!$B$2:$E$201, 4, false))</f>
        <v>0</v>
      </c>
      <c r="H492" s="36">
        <f>if(ISNA(vlookup($A492, FantasyPro!$B$2:$E$514,4,false)),0,vlookup($A492,FantasyPro!$B$2:$E$514,4,false))</f>
        <v>0</v>
      </c>
      <c r="I492" s="36">
        <f>if(ISNA(vlookup($A492, FFToolbox!$B$2:$E$618, 4, false)), 0, vlookup($A492, FFToolbox!$B$2:$E$618, 4, false))</f>
        <v>0</v>
      </c>
      <c r="J492" s="37">
        <f t="shared" si="1"/>
        <v>0</v>
      </c>
      <c r="K492" s="37">
        <f t="shared" si="2"/>
        <v>0</v>
      </c>
    </row>
    <row r="493" hidden="1">
      <c r="A493" s="13" t="s">
        <v>871</v>
      </c>
      <c r="B493" s="34" t="s">
        <v>1061</v>
      </c>
      <c r="C493" s="5" t="s">
        <v>257</v>
      </c>
      <c r="D493" s="5" t="s">
        <v>7</v>
      </c>
      <c r="E493" s="35" t="str">
        <f>vlookup(C493,'Team Bye List'!$A$1:$B$33,2,False)</f>
        <v>#N/A</v>
      </c>
      <c r="F493" s="36">
        <f>if(ISNA(vlookup($A493, ESPN!$B$2:$E$1010, 4, false)), 0, vlookup($A493, ESPN!$B$2:$E$1010, 4, false))</f>
        <v>0</v>
      </c>
      <c r="G493" s="36">
        <f>if(ISNA(vlookup($A493,'Ultimate Draft Kit'!$B$2:$E$201,4, false)), 0, vlookup($A493,'Ultimate Draft Kit'!$B$2:$E$201, 4, false))</f>
        <v>0</v>
      </c>
      <c r="H493" s="36">
        <f>if(ISNA(vlookup($A493, FantasyPro!$B$2:$E$514,4,false)),0,vlookup($A493,FantasyPro!$B$2:$E$514,4,false))</f>
        <v>0</v>
      </c>
      <c r="I493" s="36">
        <f>if(ISNA(vlookup($A493, FFToolbox!$B$2:$E$618, 4, false)), 0, vlookup($A493, FFToolbox!$B$2:$E$618, 4, false))</f>
        <v>0</v>
      </c>
      <c r="J493" s="37">
        <f t="shared" si="1"/>
        <v>0</v>
      </c>
      <c r="K493" s="37">
        <f t="shared" si="2"/>
        <v>0</v>
      </c>
    </row>
    <row r="494" hidden="1">
      <c r="A494" s="13" t="s">
        <v>905</v>
      </c>
      <c r="B494" s="34" t="s">
        <v>1061</v>
      </c>
      <c r="C494" s="5" t="s">
        <v>257</v>
      </c>
      <c r="D494" s="5" t="s">
        <v>7</v>
      </c>
      <c r="E494" s="35" t="str">
        <f>vlookup(C494,'Team Bye List'!$A$1:$B$33,2,False)</f>
        <v>#N/A</v>
      </c>
      <c r="F494" s="36">
        <f>if(ISNA(vlookup($A494, ESPN!$B$2:$E$1010, 4, false)), 0, vlookup($A494, ESPN!$B$2:$E$1010, 4, false))</f>
        <v>0</v>
      </c>
      <c r="G494" s="36">
        <f>if(ISNA(vlookup($A494,'Ultimate Draft Kit'!$B$2:$E$201,4, false)), 0, vlookup($A494,'Ultimate Draft Kit'!$B$2:$E$201, 4, false))</f>
        <v>0</v>
      </c>
      <c r="H494" s="36">
        <f>if(ISNA(vlookup($A494, FantasyPro!$B$2:$E$514,4,false)),0,vlookup($A494,FantasyPro!$B$2:$E$514,4,false))</f>
        <v>0</v>
      </c>
      <c r="I494" s="36">
        <f>if(ISNA(vlookup($A494, FFToolbox!$B$2:$E$618, 4, false)), 0, vlookup($A494, FFToolbox!$B$2:$E$618, 4, false))</f>
        <v>0</v>
      </c>
      <c r="J494" s="37">
        <f t="shared" si="1"/>
        <v>0</v>
      </c>
      <c r="K494" s="37">
        <f t="shared" si="2"/>
        <v>0</v>
      </c>
    </row>
    <row r="495" hidden="1">
      <c r="A495" s="13" t="s">
        <v>857</v>
      </c>
      <c r="B495" s="34" t="s">
        <v>1061</v>
      </c>
      <c r="C495" s="5" t="s">
        <v>257</v>
      </c>
      <c r="D495" s="5" t="s">
        <v>7</v>
      </c>
      <c r="E495" s="35" t="str">
        <f>vlookup(C495,'Team Bye List'!$A$1:$B$33,2,False)</f>
        <v>#N/A</v>
      </c>
      <c r="F495" s="36">
        <f>if(ISNA(vlookup($A495, ESPN!$B$2:$E$1010, 4, false)), 0, vlookup($A495, ESPN!$B$2:$E$1010, 4, false))</f>
        <v>0</v>
      </c>
      <c r="G495" s="36">
        <f>if(ISNA(vlookup($A495,'Ultimate Draft Kit'!$B$2:$E$201,4, false)), 0, vlookup($A495,'Ultimate Draft Kit'!$B$2:$E$201, 4, false))</f>
        <v>0</v>
      </c>
      <c r="H495" s="36">
        <f>if(ISNA(vlookup($A495, FantasyPro!$B$2:$E$514,4,false)),0,vlookup($A495,FantasyPro!$B$2:$E$514,4,false))</f>
        <v>0</v>
      </c>
      <c r="I495" s="36">
        <f>if(ISNA(vlookup($A495, FFToolbox!$B$2:$E$618, 4, false)), 0, vlookup($A495, FFToolbox!$B$2:$E$618, 4, false))</f>
        <v>0</v>
      </c>
      <c r="J495" s="37">
        <f t="shared" si="1"/>
        <v>0</v>
      </c>
      <c r="K495" s="37">
        <f t="shared" si="2"/>
        <v>0</v>
      </c>
    </row>
    <row r="496" hidden="1">
      <c r="A496" s="13" t="s">
        <v>912</v>
      </c>
      <c r="B496" s="34" t="s">
        <v>1061</v>
      </c>
      <c r="C496" s="5" t="s">
        <v>14</v>
      </c>
      <c r="D496" s="5" t="s">
        <v>7</v>
      </c>
      <c r="E496" s="35">
        <f>vlookup(C496,'Team Bye List'!$A$1:$B$33,2,False)</f>
        <v>10</v>
      </c>
      <c r="F496" s="36">
        <f>if(ISNA(vlookup($A496, ESPN!$B$2:$E$1010, 4, false)), 0, vlookup($A496, ESPN!$B$2:$E$1010, 4, false))</f>
        <v>0</v>
      </c>
      <c r="G496" s="36">
        <f>if(ISNA(vlookup($A496,'Ultimate Draft Kit'!$B$2:$E$201,4, false)), 0, vlookup($A496,'Ultimate Draft Kit'!$B$2:$E$201, 4, false))</f>
        <v>0</v>
      </c>
      <c r="H496" s="36">
        <f>if(ISNA(vlookup($A496, FantasyPro!$B$2:$E$514,4,false)),0,vlookup($A496,FantasyPro!$B$2:$E$514,4,false))</f>
        <v>0</v>
      </c>
      <c r="I496" s="36">
        <f>if(ISNA(vlookup($A496, FFToolbox!$B$2:$E$618, 4, false)), 0, vlookup($A496, FFToolbox!$B$2:$E$618, 4, false))</f>
        <v>0</v>
      </c>
      <c r="J496" s="37">
        <f t="shared" si="1"/>
        <v>0</v>
      </c>
      <c r="K496" s="37">
        <f t="shared" si="2"/>
        <v>0</v>
      </c>
    </row>
    <row r="497" hidden="1">
      <c r="A497" s="13" t="s">
        <v>841</v>
      </c>
      <c r="B497" s="34" t="s">
        <v>1061</v>
      </c>
      <c r="C497" s="5" t="s">
        <v>134</v>
      </c>
      <c r="D497" s="5" t="s">
        <v>7</v>
      </c>
      <c r="E497" s="35">
        <f>vlookup(C497,'Team Bye List'!$A$1:$B$33,2,False)</f>
        <v>11</v>
      </c>
      <c r="F497" s="36">
        <f>if(ISNA(vlookup($A497, ESPN!$B$2:$E$1010, 4, false)), 0, vlookup($A497, ESPN!$B$2:$E$1010, 4, false))</f>
        <v>0</v>
      </c>
      <c r="G497" s="36">
        <f>if(ISNA(vlookup($A497,'Ultimate Draft Kit'!$B$2:$E$201,4, false)), 0, vlookup($A497,'Ultimate Draft Kit'!$B$2:$E$201, 4, false))</f>
        <v>0</v>
      </c>
      <c r="H497" s="36">
        <f>if(ISNA(vlookup($A497, FantasyPro!$B$2:$E$514,4,false)),0,vlookup($A497,FantasyPro!$B$2:$E$514,4,false))</f>
        <v>0</v>
      </c>
      <c r="I497" s="36">
        <f>if(ISNA(vlookup($A497, FFToolbox!$B$2:$E$618, 4, false)), 0, vlookup($A497, FFToolbox!$B$2:$E$618, 4, false))</f>
        <v>0</v>
      </c>
      <c r="J497" s="37">
        <f t="shared" si="1"/>
        <v>0</v>
      </c>
      <c r="K497" s="37">
        <f t="shared" si="2"/>
        <v>0</v>
      </c>
    </row>
    <row r="498" hidden="1">
      <c r="A498" s="13" t="s">
        <v>881</v>
      </c>
      <c r="B498" s="34" t="s">
        <v>1061</v>
      </c>
      <c r="C498" s="5" t="s">
        <v>92</v>
      </c>
      <c r="D498" s="5" t="s">
        <v>7</v>
      </c>
      <c r="E498" s="35">
        <f>vlookup(C498,'Team Bye List'!$A$1:$B$33,2,False)</f>
        <v>8</v>
      </c>
      <c r="F498" s="36">
        <f>if(ISNA(vlookup($A498, ESPN!$B$2:$E$1010, 4, false)), 0, vlookup($A498, ESPN!$B$2:$E$1010, 4, false))</f>
        <v>0</v>
      </c>
      <c r="G498" s="36">
        <f>if(ISNA(vlookup($A498,'Ultimate Draft Kit'!$B$2:$E$201,4, false)), 0, vlookup($A498,'Ultimate Draft Kit'!$B$2:$E$201, 4, false))</f>
        <v>0</v>
      </c>
      <c r="H498" s="36">
        <f>if(ISNA(vlookup($A498, FantasyPro!$B$2:$E$514,4,false)),0,vlookup($A498,FantasyPro!$B$2:$E$514,4,false))</f>
        <v>0</v>
      </c>
      <c r="I498" s="36">
        <f>if(ISNA(vlookup($A498, FFToolbox!$B$2:$E$618, 4, false)), 0, vlookup($A498, FFToolbox!$B$2:$E$618, 4, false))</f>
        <v>0</v>
      </c>
      <c r="J498" s="37">
        <f t="shared" si="1"/>
        <v>0</v>
      </c>
      <c r="K498" s="37">
        <f t="shared" si="2"/>
        <v>0</v>
      </c>
    </row>
    <row r="499" hidden="1">
      <c r="A499" s="13" t="s">
        <v>860</v>
      </c>
      <c r="B499" s="34" t="s">
        <v>1061</v>
      </c>
      <c r="C499" s="5" t="s">
        <v>257</v>
      </c>
      <c r="D499" s="5" t="s">
        <v>7</v>
      </c>
      <c r="E499" s="35" t="str">
        <f>vlookup(C499,'Team Bye List'!$A$1:$B$33,2,False)</f>
        <v>#N/A</v>
      </c>
      <c r="F499" s="36">
        <f>if(ISNA(vlookup($A499, ESPN!$B$2:$E$1010, 4, false)), 0, vlookup($A499, ESPN!$B$2:$E$1010, 4, false))</f>
        <v>0</v>
      </c>
      <c r="G499" s="36">
        <f>if(ISNA(vlookup($A499,'Ultimate Draft Kit'!$B$2:$E$201,4, false)), 0, vlookup($A499,'Ultimate Draft Kit'!$B$2:$E$201, 4, false))</f>
        <v>0</v>
      </c>
      <c r="H499" s="36">
        <f>if(ISNA(vlookup($A499, FantasyPro!$B$2:$E$514,4,false)),0,vlookup($A499,FantasyPro!$B$2:$E$514,4,false))</f>
        <v>0</v>
      </c>
      <c r="I499" s="36">
        <f>if(ISNA(vlookup($A499, FFToolbox!$B$2:$E$618, 4, false)), 0, vlookup($A499, FFToolbox!$B$2:$E$618, 4, false))</f>
        <v>0</v>
      </c>
      <c r="J499" s="37">
        <f t="shared" si="1"/>
        <v>0</v>
      </c>
      <c r="K499" s="37">
        <f t="shared" si="2"/>
        <v>0</v>
      </c>
    </row>
    <row r="500" hidden="1">
      <c r="A500" s="13" t="s">
        <v>896</v>
      </c>
      <c r="B500" s="34" t="s">
        <v>1061</v>
      </c>
      <c r="C500" s="5" t="s">
        <v>257</v>
      </c>
      <c r="D500" s="5" t="s">
        <v>7</v>
      </c>
      <c r="E500" s="35" t="str">
        <f>vlookup(C500,'Team Bye List'!$A$1:$B$33,2,False)</f>
        <v>#N/A</v>
      </c>
      <c r="F500" s="36">
        <f>if(ISNA(vlookup($A500, ESPN!$B$2:$E$1010, 4, false)), 0, vlookup($A500, ESPN!$B$2:$E$1010, 4, false))</f>
        <v>0</v>
      </c>
      <c r="G500" s="36">
        <f>if(ISNA(vlookup($A500,'Ultimate Draft Kit'!$B$2:$E$201,4, false)), 0, vlookup($A500,'Ultimate Draft Kit'!$B$2:$E$201, 4, false))</f>
        <v>0</v>
      </c>
      <c r="H500" s="36">
        <f>if(ISNA(vlookup($A500, FantasyPro!$B$2:$E$514,4,false)),0,vlookup($A500,FantasyPro!$B$2:$E$514,4,false))</f>
        <v>0</v>
      </c>
      <c r="I500" s="36">
        <f>if(ISNA(vlookup($A500, FFToolbox!$B$2:$E$618, 4, false)), 0, vlookup($A500, FFToolbox!$B$2:$E$618, 4, false))</f>
        <v>0</v>
      </c>
      <c r="J500" s="37">
        <f t="shared" si="1"/>
        <v>0</v>
      </c>
      <c r="K500" s="37">
        <f t="shared" si="2"/>
        <v>0</v>
      </c>
    </row>
    <row r="501" hidden="1">
      <c r="A501" s="13" t="s">
        <v>852</v>
      </c>
      <c r="B501" s="34" t="s">
        <v>1061</v>
      </c>
      <c r="C501" s="5" t="s">
        <v>134</v>
      </c>
      <c r="D501" s="5" t="s">
        <v>7</v>
      </c>
      <c r="E501" s="35">
        <f>vlookup(C501,'Team Bye List'!$A$1:$B$33,2,False)</f>
        <v>11</v>
      </c>
      <c r="F501" s="36">
        <f>if(ISNA(vlookup($A501, ESPN!$B$2:$E$1010, 4, false)), 0, vlookup($A501, ESPN!$B$2:$E$1010, 4, false))</f>
        <v>0</v>
      </c>
      <c r="G501" s="36">
        <f>if(ISNA(vlookup($A501,'Ultimate Draft Kit'!$B$2:$E$201,4, false)), 0, vlookup($A501,'Ultimate Draft Kit'!$B$2:$E$201, 4, false))</f>
        <v>0</v>
      </c>
      <c r="H501" s="36">
        <f>if(ISNA(vlookup($A501, FantasyPro!$B$2:$E$514,4,false)),0,vlookup($A501,FantasyPro!$B$2:$E$514,4,false))</f>
        <v>0</v>
      </c>
      <c r="I501" s="36">
        <f>if(ISNA(vlookup($A501, FFToolbox!$B$2:$E$618, 4, false)), 0, vlookup($A501, FFToolbox!$B$2:$E$618, 4, false))</f>
        <v>0</v>
      </c>
      <c r="J501" s="37">
        <f t="shared" si="1"/>
        <v>0</v>
      </c>
      <c r="K501" s="37">
        <f t="shared" si="2"/>
        <v>0</v>
      </c>
    </row>
    <row r="502" hidden="1">
      <c r="A502" s="13" t="s">
        <v>1068</v>
      </c>
      <c r="B502" s="34" t="s">
        <v>1061</v>
      </c>
      <c r="C502" s="5" t="s">
        <v>257</v>
      </c>
      <c r="D502" s="5" t="s">
        <v>7</v>
      </c>
      <c r="E502" s="35" t="str">
        <f>vlookup(C502,'Team Bye List'!$A$1:$B$33,2,False)</f>
        <v>#N/A</v>
      </c>
      <c r="F502" s="36">
        <f>if(ISNA(vlookup($A502, ESPN!$B$2:$E$1010, 4, false)), 0, vlookup($A502, ESPN!$B$2:$E$1010, 4, false))</f>
        <v>0</v>
      </c>
      <c r="G502" s="36">
        <f>if(ISNA(vlookup($A502,'Ultimate Draft Kit'!$B$2:$E$201,4, false)), 0, vlookup($A502,'Ultimate Draft Kit'!$B$2:$E$201, 4, false))</f>
        <v>0</v>
      </c>
      <c r="H502" s="36">
        <f>if(ISNA(vlookup($A502, FantasyPro!$B$2:$E$514,4,false)),0,vlookup($A502,FantasyPro!$B$2:$E$514,4,false))</f>
        <v>0</v>
      </c>
      <c r="I502" s="36">
        <f>if(ISNA(vlookup($A502, FFToolbox!$B$2:$E$618, 4, false)), 0, vlookup($A502, FFToolbox!$B$2:$E$618, 4, false))</f>
        <v>0</v>
      </c>
      <c r="J502" s="37">
        <f t="shared" si="1"/>
        <v>0</v>
      </c>
      <c r="K502" s="37">
        <f t="shared" si="2"/>
        <v>0</v>
      </c>
    </row>
    <row r="503" hidden="1">
      <c r="A503" s="13" t="s">
        <v>842</v>
      </c>
      <c r="B503" s="34" t="s">
        <v>1061</v>
      </c>
      <c r="C503" s="5" t="s">
        <v>59</v>
      </c>
      <c r="D503" s="5" t="s">
        <v>7</v>
      </c>
      <c r="E503" s="35">
        <f>vlookup(C503,'Team Bye List'!$A$1:$B$33,2,False)</f>
        <v>8</v>
      </c>
      <c r="F503" s="36">
        <f>if(ISNA(vlookup($A503, ESPN!$B$2:$E$1010, 4, false)), 0, vlookup($A503, ESPN!$B$2:$E$1010, 4, false))</f>
        <v>0</v>
      </c>
      <c r="G503" s="36">
        <f>if(ISNA(vlookup($A503,'Ultimate Draft Kit'!$B$2:$E$201,4, false)), 0, vlookup($A503,'Ultimate Draft Kit'!$B$2:$E$201, 4, false))</f>
        <v>0</v>
      </c>
      <c r="H503" s="36">
        <f>if(ISNA(vlookup($A503, FantasyPro!$B$2:$E$514,4,false)),0,vlookup($A503,FantasyPro!$B$2:$E$514,4,false))</f>
        <v>0</v>
      </c>
      <c r="I503" s="36">
        <f>if(ISNA(vlookup($A503, FFToolbox!$B$2:$E$618, 4, false)), 0, vlookup($A503, FFToolbox!$B$2:$E$618, 4, false))</f>
        <v>0</v>
      </c>
      <c r="J503" s="37">
        <f t="shared" si="1"/>
        <v>0</v>
      </c>
      <c r="K503" s="37">
        <f t="shared" si="2"/>
        <v>0</v>
      </c>
    </row>
    <row r="504" hidden="1">
      <c r="A504" s="13" t="s">
        <v>911</v>
      </c>
      <c r="B504" s="34" t="s">
        <v>1061</v>
      </c>
      <c r="C504" s="5" t="s">
        <v>63</v>
      </c>
      <c r="D504" s="5" t="s">
        <v>7</v>
      </c>
      <c r="E504" s="35">
        <f>vlookup(C504,'Team Bye List'!$A$1:$B$33,2,False)</f>
        <v>8</v>
      </c>
      <c r="F504" s="36">
        <f>if(ISNA(vlookup($A504, ESPN!$B$2:$E$1010, 4, false)), 0, vlookup($A504, ESPN!$B$2:$E$1010, 4, false))</f>
        <v>0</v>
      </c>
      <c r="G504" s="36">
        <f>if(ISNA(vlookup($A504,'Ultimate Draft Kit'!$B$2:$E$201,4, false)), 0, vlookup($A504,'Ultimate Draft Kit'!$B$2:$E$201, 4, false))</f>
        <v>0</v>
      </c>
      <c r="H504" s="36">
        <f>if(ISNA(vlookup($A504, FantasyPro!$B$2:$E$514,4,false)),0,vlookup($A504,FantasyPro!$B$2:$E$514,4,false))</f>
        <v>0</v>
      </c>
      <c r="I504" s="36">
        <f>if(ISNA(vlookup($A504, FFToolbox!$B$2:$E$618, 4, false)), 0, vlookup($A504, FFToolbox!$B$2:$E$618, 4, false))</f>
        <v>0</v>
      </c>
      <c r="J504" s="37">
        <f t="shared" si="1"/>
        <v>0</v>
      </c>
      <c r="K504" s="37">
        <f t="shared" si="2"/>
        <v>0</v>
      </c>
    </row>
    <row r="505" hidden="1">
      <c r="A505" s="13" t="s">
        <v>876</v>
      </c>
      <c r="B505" s="34" t="s">
        <v>1061</v>
      </c>
      <c r="C505" s="5" t="s">
        <v>257</v>
      </c>
      <c r="D505" s="5" t="s">
        <v>7</v>
      </c>
      <c r="E505" s="35" t="str">
        <f>vlookup(C505,'Team Bye List'!$A$1:$B$33,2,False)</f>
        <v>#N/A</v>
      </c>
      <c r="F505" s="36">
        <f>if(ISNA(vlookup($A505, ESPN!$B$2:$E$1010, 4, false)), 0, vlookup($A505, ESPN!$B$2:$E$1010, 4, false))</f>
        <v>0</v>
      </c>
      <c r="G505" s="36">
        <f>if(ISNA(vlookup($A505,'Ultimate Draft Kit'!$B$2:$E$201,4, false)), 0, vlookup($A505,'Ultimate Draft Kit'!$B$2:$E$201, 4, false))</f>
        <v>0</v>
      </c>
      <c r="H505" s="36">
        <f>if(ISNA(vlookup($A505, FantasyPro!$B$2:$E$514,4,false)),0,vlookup($A505,FantasyPro!$B$2:$E$514,4,false))</f>
        <v>0</v>
      </c>
      <c r="I505" s="36">
        <f>if(ISNA(vlookup($A505, FFToolbox!$B$2:$E$618, 4, false)), 0, vlookup($A505, FFToolbox!$B$2:$E$618, 4, false))</f>
        <v>0</v>
      </c>
      <c r="J505" s="37">
        <f t="shared" si="1"/>
        <v>0</v>
      </c>
      <c r="K505" s="37">
        <f t="shared" si="2"/>
        <v>0</v>
      </c>
    </row>
    <row r="506" hidden="1">
      <c r="A506" s="13" t="s">
        <v>872</v>
      </c>
      <c r="B506" s="34" t="s">
        <v>1061</v>
      </c>
      <c r="C506" s="5" t="s">
        <v>257</v>
      </c>
      <c r="D506" s="5" t="s">
        <v>7</v>
      </c>
      <c r="E506" s="35" t="str">
        <f>vlookup(C506,'Team Bye List'!$A$1:$B$33,2,False)</f>
        <v>#N/A</v>
      </c>
      <c r="F506" s="36">
        <f>if(ISNA(vlookup($A506, ESPN!$B$2:$E$1010, 4, false)), 0, vlookup($A506, ESPN!$B$2:$E$1010, 4, false))</f>
        <v>0</v>
      </c>
      <c r="G506" s="36">
        <f>if(ISNA(vlookup($A506,'Ultimate Draft Kit'!$B$2:$E$201,4, false)), 0, vlookup($A506,'Ultimate Draft Kit'!$B$2:$E$201, 4, false))</f>
        <v>0</v>
      </c>
      <c r="H506" s="36">
        <f>if(ISNA(vlookup($A506, FantasyPro!$B$2:$E$514,4,false)),0,vlookup($A506,FantasyPro!$B$2:$E$514,4,false))</f>
        <v>0</v>
      </c>
      <c r="I506" s="36">
        <f>if(ISNA(vlookup($A506, FFToolbox!$B$2:$E$618, 4, false)), 0, vlookup($A506, FFToolbox!$B$2:$E$618, 4, false))</f>
        <v>0</v>
      </c>
      <c r="J506" s="37">
        <f t="shared" si="1"/>
        <v>0</v>
      </c>
      <c r="K506" s="37">
        <f t="shared" si="2"/>
        <v>0</v>
      </c>
    </row>
    <row r="507" hidden="1">
      <c r="A507" s="13" t="s">
        <v>846</v>
      </c>
      <c r="B507" s="34" t="s">
        <v>1061</v>
      </c>
      <c r="C507" s="5" t="s">
        <v>257</v>
      </c>
      <c r="D507" s="5" t="s">
        <v>7</v>
      </c>
      <c r="E507" s="35" t="str">
        <f>vlookup(C507,'Team Bye List'!$A$1:$B$33,2,False)</f>
        <v>#N/A</v>
      </c>
      <c r="F507" s="36">
        <f>if(ISNA(vlookup($A507, ESPN!$B$2:$E$1010, 4, false)), 0, vlookup($A507, ESPN!$B$2:$E$1010, 4, false))</f>
        <v>0</v>
      </c>
      <c r="G507" s="36">
        <f>if(ISNA(vlookup($A507,'Ultimate Draft Kit'!$B$2:$E$201,4, false)), 0, vlookup($A507,'Ultimate Draft Kit'!$B$2:$E$201, 4, false))</f>
        <v>0</v>
      </c>
      <c r="H507" s="36">
        <f>if(ISNA(vlookup($A507, FantasyPro!$B$2:$E$514,4,false)),0,vlookup($A507,FantasyPro!$B$2:$E$514,4,false))</f>
        <v>0</v>
      </c>
      <c r="I507" s="36">
        <f>if(ISNA(vlookup($A507, FFToolbox!$B$2:$E$618, 4, false)), 0, vlookup($A507, FFToolbox!$B$2:$E$618, 4, false))</f>
        <v>0</v>
      </c>
      <c r="J507" s="37">
        <f t="shared" si="1"/>
        <v>0</v>
      </c>
      <c r="K507" s="37">
        <f t="shared" si="2"/>
        <v>0</v>
      </c>
    </row>
    <row r="508" hidden="1">
      <c r="A508" s="13" t="s">
        <v>846</v>
      </c>
      <c r="B508" s="34" t="s">
        <v>1061</v>
      </c>
      <c r="C508" s="5" t="s">
        <v>257</v>
      </c>
      <c r="D508" s="5" t="s">
        <v>7</v>
      </c>
      <c r="E508" s="35" t="str">
        <f>vlookup(C508,'Team Bye List'!$A$1:$B$33,2,False)</f>
        <v>#N/A</v>
      </c>
      <c r="F508" s="36">
        <f>if(ISNA(vlookup($A508, ESPN!$B$2:$E$1010, 4, false)), 0, vlookup($A508, ESPN!$B$2:$E$1010, 4, false))</f>
        <v>0</v>
      </c>
      <c r="G508" s="36">
        <f>if(ISNA(vlookup($A508,'Ultimate Draft Kit'!$B$2:$E$201,4, false)), 0, vlookup($A508,'Ultimate Draft Kit'!$B$2:$E$201, 4, false))</f>
        <v>0</v>
      </c>
      <c r="H508" s="36">
        <f>if(ISNA(vlookup($A508, FantasyPro!$B$2:$E$514,4,false)),0,vlookup($A508,FantasyPro!$B$2:$E$514,4,false))</f>
        <v>0</v>
      </c>
      <c r="I508" s="36">
        <f>if(ISNA(vlookup($A508, FFToolbox!$B$2:$E$618, 4, false)), 0, vlookup($A508, FFToolbox!$B$2:$E$618, 4, false))</f>
        <v>0</v>
      </c>
      <c r="J508" s="37">
        <f t="shared" si="1"/>
        <v>0</v>
      </c>
      <c r="K508" s="37">
        <f t="shared" si="2"/>
        <v>0</v>
      </c>
    </row>
    <row r="509" hidden="1">
      <c r="A509" s="13" t="s">
        <v>843</v>
      </c>
      <c r="B509" s="34" t="s">
        <v>1061</v>
      </c>
      <c r="C509" s="5" t="s">
        <v>257</v>
      </c>
      <c r="D509" s="5" t="s">
        <v>7</v>
      </c>
      <c r="E509" s="35" t="str">
        <f>vlookup(C509,'Team Bye List'!$A$1:$B$33,2,False)</f>
        <v>#N/A</v>
      </c>
      <c r="F509" s="36">
        <f>if(ISNA(vlookup($A509, ESPN!$B$2:$E$1010, 4, false)), 0, vlookup($A509, ESPN!$B$2:$E$1010, 4, false))</f>
        <v>0</v>
      </c>
      <c r="G509" s="36">
        <f>if(ISNA(vlookup($A509,'Ultimate Draft Kit'!$B$2:$E$201,4, false)), 0, vlookup($A509,'Ultimate Draft Kit'!$B$2:$E$201, 4, false))</f>
        <v>0</v>
      </c>
      <c r="H509" s="36">
        <f>if(ISNA(vlookup($A509, FantasyPro!$B$2:$E$514,4,false)),0,vlookup($A509,FantasyPro!$B$2:$E$514,4,false))</f>
        <v>0</v>
      </c>
      <c r="I509" s="36">
        <f>if(ISNA(vlookup($A509, FFToolbox!$B$2:$E$618, 4, false)), 0, vlookup($A509, FFToolbox!$B$2:$E$618, 4, false))</f>
        <v>0</v>
      </c>
      <c r="J509" s="37">
        <f t="shared" si="1"/>
        <v>0</v>
      </c>
      <c r="K509" s="37">
        <f t="shared" si="2"/>
        <v>0</v>
      </c>
    </row>
    <row r="510" hidden="1">
      <c r="A510" s="13" t="s">
        <v>843</v>
      </c>
      <c r="B510" s="34" t="s">
        <v>1061</v>
      </c>
      <c r="C510" s="5" t="s">
        <v>257</v>
      </c>
      <c r="D510" s="5" t="s">
        <v>7</v>
      </c>
      <c r="E510" s="35" t="str">
        <f>vlookup(C510,'Team Bye List'!$A$1:$B$33,2,False)</f>
        <v>#N/A</v>
      </c>
      <c r="F510" s="36">
        <f>if(ISNA(vlookup($A510, ESPN!$B$2:$E$1010, 4, false)), 0, vlookup($A510, ESPN!$B$2:$E$1010, 4, false))</f>
        <v>0</v>
      </c>
      <c r="G510" s="36">
        <f>if(ISNA(vlookup($A510,'Ultimate Draft Kit'!$B$2:$E$201,4, false)), 0, vlookup($A510,'Ultimate Draft Kit'!$B$2:$E$201, 4, false))</f>
        <v>0</v>
      </c>
      <c r="H510" s="36">
        <f>if(ISNA(vlookup($A510, FantasyPro!$B$2:$E$514,4,false)),0,vlookup($A510,FantasyPro!$B$2:$E$514,4,false))</f>
        <v>0</v>
      </c>
      <c r="I510" s="36">
        <f>if(ISNA(vlookup($A510, FFToolbox!$B$2:$E$618, 4, false)), 0, vlookup($A510, FFToolbox!$B$2:$E$618, 4, false))</f>
        <v>0</v>
      </c>
      <c r="J510" s="37">
        <f t="shared" si="1"/>
        <v>0</v>
      </c>
      <c r="K510" s="37">
        <f t="shared" si="2"/>
        <v>0</v>
      </c>
    </row>
    <row r="511" hidden="1">
      <c r="A511" s="13" t="s">
        <v>910</v>
      </c>
      <c r="B511" s="34" t="s">
        <v>1061</v>
      </c>
      <c r="C511" s="5" t="s">
        <v>257</v>
      </c>
      <c r="D511" s="5" t="s">
        <v>7</v>
      </c>
      <c r="E511" s="35" t="str">
        <f>vlookup(C511,'Team Bye List'!$A$1:$B$33,2,False)</f>
        <v>#N/A</v>
      </c>
      <c r="F511" s="36">
        <f>if(ISNA(vlookup($A511, ESPN!$B$2:$E$1010, 4, false)), 0, vlookup($A511, ESPN!$B$2:$E$1010, 4, false))</f>
        <v>0</v>
      </c>
      <c r="G511" s="36">
        <f>if(ISNA(vlookup($A511,'Ultimate Draft Kit'!$B$2:$E$201,4, false)), 0, vlookup($A511,'Ultimate Draft Kit'!$B$2:$E$201, 4, false))</f>
        <v>0</v>
      </c>
      <c r="H511" s="36">
        <f>if(ISNA(vlookup($A511, FantasyPro!$B$2:$E$514,4,false)),0,vlookup($A511,FantasyPro!$B$2:$E$514,4,false))</f>
        <v>0</v>
      </c>
      <c r="I511" s="36">
        <f>if(ISNA(vlookup($A511, FFToolbox!$B$2:$E$618, 4, false)), 0, vlookup($A511, FFToolbox!$B$2:$E$618, 4, false))</f>
        <v>0</v>
      </c>
      <c r="J511" s="37">
        <f t="shared" si="1"/>
        <v>0</v>
      </c>
      <c r="K511" s="37">
        <f t="shared" si="2"/>
        <v>0</v>
      </c>
    </row>
    <row r="512" hidden="1">
      <c r="A512" s="13" t="s">
        <v>897</v>
      </c>
      <c r="B512" s="34" t="s">
        <v>1061</v>
      </c>
      <c r="C512" s="5" t="s">
        <v>257</v>
      </c>
      <c r="D512" s="5" t="s">
        <v>7</v>
      </c>
      <c r="E512" s="35" t="str">
        <f>vlookup(C512,'Team Bye List'!$A$1:$B$33,2,False)</f>
        <v>#N/A</v>
      </c>
      <c r="F512" s="36">
        <f>if(ISNA(vlookup($A512, ESPN!$B$2:$E$1010, 4, false)), 0, vlookup($A512, ESPN!$B$2:$E$1010, 4, false))</f>
        <v>0</v>
      </c>
      <c r="G512" s="36">
        <f>if(ISNA(vlookup($A512,'Ultimate Draft Kit'!$B$2:$E$201,4, false)), 0, vlookup($A512,'Ultimate Draft Kit'!$B$2:$E$201, 4, false))</f>
        <v>0</v>
      </c>
      <c r="H512" s="36">
        <f>if(ISNA(vlookup($A512, FantasyPro!$B$2:$E$514,4,false)),0,vlookup($A512,FantasyPro!$B$2:$E$514,4,false))</f>
        <v>0</v>
      </c>
      <c r="I512" s="36">
        <f>if(ISNA(vlookup($A512, FFToolbox!$B$2:$E$618, 4, false)), 0, vlookup($A512, FFToolbox!$B$2:$E$618, 4, false))</f>
        <v>0</v>
      </c>
      <c r="J512" s="37">
        <f t="shared" si="1"/>
        <v>0</v>
      </c>
      <c r="K512" s="37">
        <f t="shared" si="2"/>
        <v>0</v>
      </c>
    </row>
    <row r="513" hidden="1">
      <c r="A513" s="13" t="s">
        <v>1006</v>
      </c>
      <c r="B513" s="34" t="s">
        <v>1061</v>
      </c>
      <c r="C513" s="5" t="s">
        <v>14</v>
      </c>
      <c r="D513" s="5" t="s">
        <v>10</v>
      </c>
      <c r="E513" s="35">
        <f>vlookup(C513,'Team Bye List'!$A$1:$B$33,2,False)</f>
        <v>10</v>
      </c>
      <c r="F513" s="36">
        <f>if(ISNA(vlookup($A513, ESPN!$B$2:$E$1010, 4, false)), 0, vlookup($A513, ESPN!$B$2:$E$1010, 4, false))</f>
        <v>0</v>
      </c>
      <c r="G513" s="36">
        <f>if(ISNA(vlookup($A513,'Ultimate Draft Kit'!$B$2:$E$201,4, false)), 0, vlookup($A513,'Ultimate Draft Kit'!$B$2:$E$201, 4, false))</f>
        <v>0</v>
      </c>
      <c r="H513" s="36">
        <f>if(ISNA(vlookup($A513, FantasyPro!$B$2:$E$514,4,false)),0,vlookup($A513,FantasyPro!$B$2:$E$514,4,false))</f>
        <v>0</v>
      </c>
      <c r="I513" s="36">
        <f>if(ISNA(vlookup($A513, FFToolbox!$B$2:$E$618, 4, false)), 0, vlookup($A513, FFToolbox!$B$2:$E$618, 4, false))</f>
        <v>0</v>
      </c>
      <c r="J513" s="37">
        <f t="shared" si="1"/>
        <v>0</v>
      </c>
      <c r="K513" s="37">
        <f t="shared" si="2"/>
        <v>0</v>
      </c>
    </row>
    <row r="514" hidden="1">
      <c r="A514" s="13" t="s">
        <v>1069</v>
      </c>
      <c r="B514" s="34" t="s">
        <v>1061</v>
      </c>
      <c r="C514" s="5" t="s">
        <v>257</v>
      </c>
      <c r="D514" s="5" t="s">
        <v>16</v>
      </c>
      <c r="E514" s="35" t="str">
        <f>vlookup(C514,'Team Bye List'!$A$1:$B$33,2,False)</f>
        <v>#N/A</v>
      </c>
      <c r="F514" s="36">
        <f>if(ISNA(vlookup($A514, ESPN!$B$2:$E$1010, 4, false)), 0, vlookup($A514, ESPN!$B$2:$E$1010, 4, false))</f>
        <v>0</v>
      </c>
      <c r="G514" s="36">
        <f>if(ISNA(vlookup($A514,'Ultimate Draft Kit'!$B$2:$E$201,4, false)), 0, vlookup($A514,'Ultimate Draft Kit'!$B$2:$E$201, 4, false))</f>
        <v>0</v>
      </c>
      <c r="H514" s="36">
        <f>if(ISNA(vlookup($A514, FantasyPro!$B$2:$E$514,4,false)),0,vlookup($A514,FantasyPro!$B$2:$E$514,4,false))</f>
        <v>0</v>
      </c>
      <c r="I514" s="36">
        <f>if(ISNA(vlookup($A514, FFToolbox!$B$2:$E$618, 4, false)), 0, vlookup($A514, FFToolbox!$B$2:$E$618, 4, false))</f>
        <v>0</v>
      </c>
      <c r="J514" s="37">
        <f t="shared" si="1"/>
        <v>0</v>
      </c>
      <c r="K514" s="37">
        <f t="shared" si="2"/>
        <v>0</v>
      </c>
    </row>
    <row r="515" hidden="1">
      <c r="A515" s="13" t="s">
        <v>835</v>
      </c>
      <c r="B515" s="34" t="s">
        <v>1061</v>
      </c>
      <c r="C515" s="5" t="s">
        <v>257</v>
      </c>
      <c r="D515" s="5" t="s">
        <v>7</v>
      </c>
      <c r="E515" s="35" t="str">
        <f>vlookup(C515,'Team Bye List'!$A$1:$B$33,2,False)</f>
        <v>#N/A</v>
      </c>
      <c r="F515" s="36">
        <f>if(ISNA(vlookup($A515, ESPN!$B$2:$E$1010, 4, false)), 0, vlookup($A515, ESPN!$B$2:$E$1010, 4, false))</f>
        <v>0</v>
      </c>
      <c r="G515" s="36">
        <f>if(ISNA(vlookup($A515,'Ultimate Draft Kit'!$B$2:$E$201,4, false)), 0, vlookup($A515,'Ultimate Draft Kit'!$B$2:$E$201, 4, false))</f>
        <v>0</v>
      </c>
      <c r="H515" s="36">
        <f>if(ISNA(vlookup($A515, FantasyPro!$B$2:$E$514,4,false)),0,vlookup($A515,FantasyPro!$B$2:$E$514,4,false))</f>
        <v>0</v>
      </c>
      <c r="I515" s="36">
        <f>if(ISNA(vlookup($A515, FFToolbox!$B$2:$E$618, 4, false)), 0, vlookup($A515, FFToolbox!$B$2:$E$618, 4, false))</f>
        <v>0</v>
      </c>
      <c r="J515" s="37">
        <f t="shared" si="1"/>
        <v>0</v>
      </c>
      <c r="K515" s="37">
        <f t="shared" si="2"/>
        <v>0</v>
      </c>
    </row>
    <row r="516" hidden="1">
      <c r="A516" s="13" t="s">
        <v>835</v>
      </c>
      <c r="B516" s="34" t="s">
        <v>1061</v>
      </c>
      <c r="C516" s="5" t="s">
        <v>257</v>
      </c>
      <c r="D516" s="5" t="s">
        <v>7</v>
      </c>
      <c r="E516" s="35" t="str">
        <f>vlookup(C516,'Team Bye List'!$A$1:$B$33,2,False)</f>
        <v>#N/A</v>
      </c>
      <c r="F516" s="36">
        <f>if(ISNA(vlookup($A516, ESPN!$B$2:$E$1010, 4, false)), 0, vlookup($A516, ESPN!$B$2:$E$1010, 4, false))</f>
        <v>0</v>
      </c>
      <c r="G516" s="36">
        <f>if(ISNA(vlookup($A516,'Ultimate Draft Kit'!$B$2:$E$201,4, false)), 0, vlookup($A516,'Ultimate Draft Kit'!$B$2:$E$201, 4, false))</f>
        <v>0</v>
      </c>
      <c r="H516" s="36">
        <f>if(ISNA(vlookup($A516, FantasyPro!$B$2:$E$514,4,false)),0,vlookup($A516,FantasyPro!$B$2:$E$514,4,false))</f>
        <v>0</v>
      </c>
      <c r="I516" s="36">
        <f>if(ISNA(vlookup($A516, FFToolbox!$B$2:$E$618, 4, false)), 0, vlookup($A516, FFToolbox!$B$2:$E$618, 4, false))</f>
        <v>0</v>
      </c>
      <c r="J516" s="37">
        <f t="shared" si="1"/>
        <v>0</v>
      </c>
      <c r="K516" s="37">
        <f t="shared" si="2"/>
        <v>0</v>
      </c>
    </row>
    <row r="517" hidden="1">
      <c r="A517" s="13" t="s">
        <v>886</v>
      </c>
      <c r="B517" s="34" t="s">
        <v>1061</v>
      </c>
      <c r="C517" s="5" t="s">
        <v>257</v>
      </c>
      <c r="D517" s="5" t="s">
        <v>7</v>
      </c>
      <c r="E517" s="35" t="str">
        <f>vlookup(C517,'Team Bye List'!$A$1:$B$33,2,False)</f>
        <v>#N/A</v>
      </c>
      <c r="F517" s="36">
        <f>if(ISNA(vlookup($A517, ESPN!$B$2:$E$1010, 4, false)), 0, vlookup($A517, ESPN!$B$2:$E$1010, 4, false))</f>
        <v>0</v>
      </c>
      <c r="G517" s="36">
        <f>if(ISNA(vlookup($A517,'Ultimate Draft Kit'!$B$2:$E$201,4, false)), 0, vlookup($A517,'Ultimate Draft Kit'!$B$2:$E$201, 4, false))</f>
        <v>0</v>
      </c>
      <c r="H517" s="36">
        <f>if(ISNA(vlookup($A517, FantasyPro!$B$2:$E$514,4,false)),0,vlookup($A517,FantasyPro!$B$2:$E$514,4,false))</f>
        <v>0</v>
      </c>
      <c r="I517" s="36">
        <f>if(ISNA(vlookup($A517, FFToolbox!$B$2:$E$618, 4, false)), 0, vlookup($A517, FFToolbox!$B$2:$E$618, 4, false))</f>
        <v>0</v>
      </c>
      <c r="J517" s="37">
        <f t="shared" si="1"/>
        <v>0</v>
      </c>
      <c r="K517" s="37">
        <f t="shared" si="2"/>
        <v>0</v>
      </c>
    </row>
    <row r="518" hidden="1">
      <c r="A518" s="13" t="s">
        <v>828</v>
      </c>
      <c r="B518" s="34" t="s">
        <v>1061</v>
      </c>
      <c r="C518" s="5" t="s">
        <v>12</v>
      </c>
      <c r="D518" s="5" t="s">
        <v>7</v>
      </c>
      <c r="E518" s="35">
        <f>vlookup(C518,'Team Bye List'!$A$1:$B$33,2,False)</f>
        <v>8</v>
      </c>
      <c r="F518" s="36">
        <f>if(ISNA(vlookup($A518, ESPN!$B$2:$E$1010, 4, false)), 0, vlookup($A518, ESPN!$B$2:$E$1010, 4, false))</f>
        <v>0</v>
      </c>
      <c r="G518" s="36">
        <f>if(ISNA(vlookup($A518,'Ultimate Draft Kit'!$B$2:$E$201,4, false)), 0, vlookup($A518,'Ultimate Draft Kit'!$B$2:$E$201, 4, false))</f>
        <v>0</v>
      </c>
      <c r="H518" s="36">
        <f>if(ISNA(vlookup($A518, FantasyPro!$B$2:$E$514,4,false)),0,vlookup($A518,FantasyPro!$B$2:$E$514,4,false))</f>
        <v>0</v>
      </c>
      <c r="I518" s="36">
        <f>if(ISNA(vlookup($A518, FFToolbox!$B$2:$E$618, 4, false)), 0, vlookup($A518, FFToolbox!$B$2:$E$618, 4, false))</f>
        <v>0</v>
      </c>
      <c r="J518" s="37">
        <f t="shared" si="1"/>
        <v>0</v>
      </c>
      <c r="K518" s="37">
        <f t="shared" si="2"/>
        <v>0</v>
      </c>
    </row>
    <row r="519" hidden="1">
      <c r="A519" s="13" t="s">
        <v>880</v>
      </c>
      <c r="B519" s="34" t="s">
        <v>1061</v>
      </c>
      <c r="C519" s="5" t="s">
        <v>257</v>
      </c>
      <c r="D519" s="5" t="s">
        <v>7</v>
      </c>
      <c r="E519" s="35" t="str">
        <f>vlookup(C519,'Team Bye List'!$A$1:$B$33,2,False)</f>
        <v>#N/A</v>
      </c>
      <c r="F519" s="36">
        <f>if(ISNA(vlookup($A519, ESPN!$B$2:$E$1010, 4, false)), 0, vlookup($A519, ESPN!$B$2:$E$1010, 4, false))</f>
        <v>0</v>
      </c>
      <c r="G519" s="36">
        <f>if(ISNA(vlookup($A519,'Ultimate Draft Kit'!$B$2:$E$201,4, false)), 0, vlookup($A519,'Ultimate Draft Kit'!$B$2:$E$201, 4, false))</f>
        <v>0</v>
      </c>
      <c r="H519" s="36">
        <f>if(ISNA(vlookup($A519, FantasyPro!$B$2:$E$514,4,false)),0,vlookup($A519,FantasyPro!$B$2:$E$514,4,false))</f>
        <v>0</v>
      </c>
      <c r="I519" s="36">
        <f>if(ISNA(vlookup($A519, FFToolbox!$B$2:$E$618, 4, false)), 0, vlookup($A519, FFToolbox!$B$2:$E$618, 4, false))</f>
        <v>0</v>
      </c>
      <c r="J519" s="37">
        <f t="shared" si="1"/>
        <v>0</v>
      </c>
      <c r="K519" s="37">
        <f t="shared" si="2"/>
        <v>0</v>
      </c>
    </row>
    <row r="520" hidden="1">
      <c r="A520" s="13" t="s">
        <v>830</v>
      </c>
      <c r="B520" s="34" t="s">
        <v>1061</v>
      </c>
      <c r="C520" s="5" t="s">
        <v>38</v>
      </c>
      <c r="D520" s="5" t="s">
        <v>7</v>
      </c>
      <c r="E520" s="35">
        <f>vlookup(C520,'Team Bye List'!$A$1:$B$33,2,False)</f>
        <v>12</v>
      </c>
      <c r="F520" s="36">
        <f>if(ISNA(vlookup($A520, ESPN!$B$2:$E$1010, 4, false)), 0, vlookup($A520, ESPN!$B$2:$E$1010, 4, false))</f>
        <v>0</v>
      </c>
      <c r="G520" s="36">
        <f>if(ISNA(vlookup($A520,'Ultimate Draft Kit'!$B$2:$E$201,4, false)), 0, vlookup($A520,'Ultimate Draft Kit'!$B$2:$E$201, 4, false))</f>
        <v>0</v>
      </c>
      <c r="H520" s="36">
        <f>if(ISNA(vlookup($A520, FantasyPro!$B$2:$E$514,4,false)),0,vlookup($A520,FantasyPro!$B$2:$E$514,4,false))</f>
        <v>0</v>
      </c>
      <c r="I520" s="36">
        <f>if(ISNA(vlookup($A520, FFToolbox!$B$2:$E$618, 4, false)), 0, vlookup($A520, FFToolbox!$B$2:$E$618, 4, false))</f>
        <v>0</v>
      </c>
      <c r="J520" s="37">
        <f t="shared" si="1"/>
        <v>0</v>
      </c>
      <c r="K520" s="37">
        <f t="shared" si="2"/>
        <v>0</v>
      </c>
    </row>
    <row r="521" hidden="1">
      <c r="A521" s="13" t="s">
        <v>854</v>
      </c>
      <c r="B521" s="34" t="s">
        <v>1061</v>
      </c>
      <c r="C521" s="5" t="s">
        <v>24</v>
      </c>
      <c r="D521" s="5" t="s">
        <v>7</v>
      </c>
      <c r="E521" s="35">
        <f>vlookup(C521,'Team Bye List'!$A$1:$B$33,2,False)</f>
        <v>6</v>
      </c>
      <c r="F521" s="36">
        <f>if(ISNA(vlookup($A521, ESPN!$B$2:$E$1010, 4, false)), 0, vlookup($A521, ESPN!$B$2:$E$1010, 4, false))</f>
        <v>0</v>
      </c>
      <c r="G521" s="36">
        <f>if(ISNA(vlookup($A521,'Ultimate Draft Kit'!$B$2:$E$201,4, false)), 0, vlookup($A521,'Ultimate Draft Kit'!$B$2:$E$201, 4, false))</f>
        <v>0</v>
      </c>
      <c r="H521" s="36">
        <f>if(ISNA(vlookup($A521, FantasyPro!$B$2:$E$514,4,false)),0,vlookup($A521,FantasyPro!$B$2:$E$514,4,false))</f>
        <v>0</v>
      </c>
      <c r="I521" s="36">
        <f>if(ISNA(vlookup($A521, FFToolbox!$B$2:$E$618, 4, false)), 0, vlookup($A521, FFToolbox!$B$2:$E$618, 4, false))</f>
        <v>0</v>
      </c>
      <c r="J521" s="37">
        <f t="shared" si="1"/>
        <v>0</v>
      </c>
      <c r="K521" s="37">
        <f t="shared" si="2"/>
        <v>0</v>
      </c>
    </row>
    <row r="522" hidden="1">
      <c r="A522" s="13" t="s">
        <v>878</v>
      </c>
      <c r="B522" s="34" t="s">
        <v>1061</v>
      </c>
      <c r="C522" s="5" t="s">
        <v>257</v>
      </c>
      <c r="D522" s="5" t="s">
        <v>7</v>
      </c>
      <c r="E522" s="35" t="str">
        <f>vlookup(C522,'Team Bye List'!$A$1:$B$33,2,False)</f>
        <v>#N/A</v>
      </c>
      <c r="F522" s="36">
        <f>if(ISNA(vlookup($A522, ESPN!$B$2:$E$1010, 4, false)), 0, vlookup($A522, ESPN!$B$2:$E$1010, 4, false))</f>
        <v>0</v>
      </c>
      <c r="G522" s="36">
        <f>if(ISNA(vlookup($A522,'Ultimate Draft Kit'!$B$2:$E$201,4, false)), 0, vlookup($A522,'Ultimate Draft Kit'!$B$2:$E$201, 4, false))</f>
        <v>0</v>
      </c>
      <c r="H522" s="36">
        <f>if(ISNA(vlookup($A522, FantasyPro!$B$2:$E$514,4,false)),0,vlookup($A522,FantasyPro!$B$2:$E$514,4,false))</f>
        <v>0</v>
      </c>
      <c r="I522" s="36">
        <f>if(ISNA(vlookup($A522, FFToolbox!$B$2:$E$618, 4, false)), 0, vlookup($A522, FFToolbox!$B$2:$E$618, 4, false))</f>
        <v>0</v>
      </c>
      <c r="J522" s="37">
        <f t="shared" si="1"/>
        <v>0</v>
      </c>
      <c r="K522" s="37">
        <f t="shared" si="2"/>
        <v>0</v>
      </c>
    </row>
    <row r="523" hidden="1">
      <c r="A523" s="13" t="s">
        <v>1070</v>
      </c>
      <c r="B523" s="34" t="s">
        <v>1061</v>
      </c>
      <c r="C523" s="5" t="s">
        <v>34</v>
      </c>
      <c r="D523" s="5" t="s">
        <v>10</v>
      </c>
      <c r="E523" s="35">
        <f>vlookup(C523,'Team Bye List'!$A$1:$B$33,2,False)</f>
        <v>7</v>
      </c>
      <c r="F523" s="36">
        <f>if(ISNA(vlookup($A523, ESPN!$B$2:$E$1010, 4, false)), 0, vlookup($A523, ESPN!$B$2:$E$1010, 4, false))</f>
        <v>0</v>
      </c>
      <c r="G523" s="36">
        <f>if(ISNA(vlookup($A523,'Ultimate Draft Kit'!$B$2:$E$201,4, false)), 0, vlookup($A523,'Ultimate Draft Kit'!$B$2:$E$201, 4, false))</f>
        <v>0</v>
      </c>
      <c r="H523" s="36">
        <f>if(ISNA(vlookup($A523, FantasyPro!$B$2:$E$514,4,false)),0,vlookup($A523,FantasyPro!$B$2:$E$514,4,false))</f>
        <v>0</v>
      </c>
      <c r="I523" s="36">
        <f>if(ISNA(vlookup($A523, FFToolbox!$B$2:$E$618, 4, false)), 0, vlookup($A523, FFToolbox!$B$2:$E$618, 4, false))</f>
        <v>0</v>
      </c>
      <c r="J523" s="37">
        <f t="shared" si="1"/>
        <v>0</v>
      </c>
      <c r="K523" s="37">
        <f t="shared" si="2"/>
        <v>0</v>
      </c>
    </row>
    <row r="524" hidden="1">
      <c r="A524" s="13" t="s">
        <v>873</v>
      </c>
      <c r="B524" s="34" t="s">
        <v>1061</v>
      </c>
      <c r="C524" s="5" t="s">
        <v>18</v>
      </c>
      <c r="D524" s="5" t="s">
        <v>7</v>
      </c>
      <c r="E524" s="35">
        <f>vlookup(C524,'Team Bye List'!$A$1:$B$33,2,False)</f>
        <v>6</v>
      </c>
      <c r="F524" s="36">
        <f>if(ISNA(vlookup($A524, ESPN!$B$2:$E$1010, 4, false)), 0, vlookup($A524, ESPN!$B$2:$E$1010, 4, false))</f>
        <v>0</v>
      </c>
      <c r="G524" s="36">
        <f>if(ISNA(vlookup($A524,'Ultimate Draft Kit'!$B$2:$E$201,4, false)), 0, vlookup($A524,'Ultimate Draft Kit'!$B$2:$E$201, 4, false))</f>
        <v>0</v>
      </c>
      <c r="H524" s="36">
        <f>if(ISNA(vlookup($A524, FantasyPro!$B$2:$E$514,4,false)),0,vlookup($A524,FantasyPro!$B$2:$E$514,4,false))</f>
        <v>0</v>
      </c>
      <c r="I524" s="36">
        <f>if(ISNA(vlookup($A524, FFToolbox!$B$2:$E$618, 4, false)), 0, vlookup($A524, FFToolbox!$B$2:$E$618, 4, false))</f>
        <v>0</v>
      </c>
      <c r="J524" s="37">
        <f t="shared" si="1"/>
        <v>0</v>
      </c>
      <c r="K524" s="37">
        <f t="shared" si="2"/>
        <v>0</v>
      </c>
    </row>
    <row r="525" hidden="1">
      <c r="A525" s="13" t="s">
        <v>856</v>
      </c>
      <c r="B525" s="34" t="s">
        <v>1061</v>
      </c>
      <c r="C525" s="5" t="s">
        <v>257</v>
      </c>
      <c r="D525" s="5" t="s">
        <v>7</v>
      </c>
      <c r="E525" s="35" t="str">
        <f>vlookup(C525,'Team Bye List'!$A$1:$B$33,2,False)</f>
        <v>#N/A</v>
      </c>
      <c r="F525" s="36">
        <f>if(ISNA(vlookup($A525, ESPN!$B$2:$E$1010, 4, false)), 0, vlookup($A525, ESPN!$B$2:$E$1010, 4, false))</f>
        <v>0</v>
      </c>
      <c r="G525" s="36">
        <f>if(ISNA(vlookup($A525,'Ultimate Draft Kit'!$B$2:$E$201,4, false)), 0, vlookup($A525,'Ultimate Draft Kit'!$B$2:$E$201, 4, false))</f>
        <v>0</v>
      </c>
      <c r="H525" s="36">
        <f>if(ISNA(vlookup($A525, FantasyPro!$B$2:$E$514,4,false)),0,vlookup($A525,FantasyPro!$B$2:$E$514,4,false))</f>
        <v>0</v>
      </c>
      <c r="I525" s="36">
        <f>if(ISNA(vlookup($A525, FFToolbox!$B$2:$E$618, 4, false)), 0, vlookup($A525, FFToolbox!$B$2:$E$618, 4, false))</f>
        <v>0</v>
      </c>
      <c r="J525" s="37">
        <f t="shared" si="1"/>
        <v>0</v>
      </c>
      <c r="K525" s="37">
        <f t="shared" si="2"/>
        <v>0</v>
      </c>
    </row>
    <row r="526" hidden="1">
      <c r="A526" s="13" t="s">
        <v>899</v>
      </c>
      <c r="B526" s="34" t="s">
        <v>1061</v>
      </c>
      <c r="C526" s="5" t="s">
        <v>257</v>
      </c>
      <c r="D526" s="5" t="s">
        <v>7</v>
      </c>
      <c r="E526" s="35" t="str">
        <f>vlookup(C526,'Team Bye List'!$A$1:$B$33,2,False)</f>
        <v>#N/A</v>
      </c>
      <c r="F526" s="36">
        <f>if(ISNA(vlookup($A526, ESPN!$B$2:$E$1010, 4, false)), 0, vlookup($A526, ESPN!$B$2:$E$1010, 4, false))</f>
        <v>0</v>
      </c>
      <c r="G526" s="36">
        <f>if(ISNA(vlookup($A526,'Ultimate Draft Kit'!$B$2:$E$201,4, false)), 0, vlookup($A526,'Ultimate Draft Kit'!$B$2:$E$201, 4, false))</f>
        <v>0</v>
      </c>
      <c r="H526" s="36">
        <f>if(ISNA(vlookup($A526, FantasyPro!$B$2:$E$514,4,false)),0,vlookup($A526,FantasyPro!$B$2:$E$514,4,false))</f>
        <v>0</v>
      </c>
      <c r="I526" s="36">
        <f>if(ISNA(vlookup($A526, FFToolbox!$B$2:$E$618, 4, false)), 0, vlookup($A526, FFToolbox!$B$2:$E$618, 4, false))</f>
        <v>0</v>
      </c>
      <c r="J526" s="37">
        <f t="shared" si="1"/>
        <v>0</v>
      </c>
      <c r="K526" s="37">
        <f t="shared" si="2"/>
        <v>0</v>
      </c>
    </row>
    <row r="527" hidden="1">
      <c r="A527" s="13" t="s">
        <v>865</v>
      </c>
      <c r="B527" s="34" t="s">
        <v>1061</v>
      </c>
      <c r="C527" s="5" t="s">
        <v>38</v>
      </c>
      <c r="D527" s="5" t="s">
        <v>7</v>
      </c>
      <c r="E527" s="35">
        <f>vlookup(C527,'Team Bye List'!$A$1:$B$33,2,False)</f>
        <v>12</v>
      </c>
      <c r="F527" s="36">
        <f>if(ISNA(vlookup($A527, ESPN!$B$2:$E$1010, 4, false)), 0, vlookup($A527, ESPN!$B$2:$E$1010, 4, false))</f>
        <v>0</v>
      </c>
      <c r="G527" s="36">
        <f>if(ISNA(vlookup($A527,'Ultimate Draft Kit'!$B$2:$E$201,4, false)), 0, vlookup($A527,'Ultimate Draft Kit'!$B$2:$E$201, 4, false))</f>
        <v>0</v>
      </c>
      <c r="H527" s="36">
        <f>if(ISNA(vlookup($A527, FantasyPro!$B$2:$E$514,4,false)),0,vlookup($A527,FantasyPro!$B$2:$E$514,4,false))</f>
        <v>0</v>
      </c>
      <c r="I527" s="36">
        <f>if(ISNA(vlookup($A527, FFToolbox!$B$2:$E$618, 4, false)), 0, vlookup($A527, FFToolbox!$B$2:$E$618, 4, false))</f>
        <v>0</v>
      </c>
      <c r="J527" s="37">
        <f t="shared" si="1"/>
        <v>0</v>
      </c>
      <c r="K527" s="37">
        <f t="shared" si="2"/>
        <v>0</v>
      </c>
    </row>
    <row r="528" hidden="1">
      <c r="A528" s="13" t="s">
        <v>898</v>
      </c>
      <c r="B528" s="34" t="s">
        <v>1061</v>
      </c>
      <c r="C528" s="5" t="s">
        <v>257</v>
      </c>
      <c r="D528" s="5" t="s">
        <v>7</v>
      </c>
      <c r="E528" s="35" t="str">
        <f>vlookup(C528,'Team Bye List'!$A$1:$B$33,2,False)</f>
        <v>#N/A</v>
      </c>
      <c r="F528" s="36">
        <f>if(ISNA(vlookup($A528, ESPN!$B$2:$E$1010, 4, false)), 0, vlookup($A528, ESPN!$B$2:$E$1010, 4, false))</f>
        <v>0</v>
      </c>
      <c r="G528" s="36">
        <f>if(ISNA(vlookup($A528,'Ultimate Draft Kit'!$B$2:$E$201,4, false)), 0, vlookup($A528,'Ultimate Draft Kit'!$B$2:$E$201, 4, false))</f>
        <v>0</v>
      </c>
      <c r="H528" s="36">
        <f>if(ISNA(vlookup($A528, FantasyPro!$B$2:$E$514,4,false)),0,vlookup($A528,FantasyPro!$B$2:$E$514,4,false))</f>
        <v>0</v>
      </c>
      <c r="I528" s="36">
        <f>if(ISNA(vlookup($A528, FFToolbox!$B$2:$E$618, 4, false)), 0, vlookup($A528, FFToolbox!$B$2:$E$618, 4, false))</f>
        <v>0</v>
      </c>
      <c r="J528" s="37">
        <f t="shared" si="1"/>
        <v>0</v>
      </c>
      <c r="K528" s="37">
        <f t="shared" si="2"/>
        <v>0</v>
      </c>
    </row>
    <row r="529" hidden="1">
      <c r="A529" s="13" t="s">
        <v>895</v>
      </c>
      <c r="B529" s="34" t="s">
        <v>1061</v>
      </c>
      <c r="C529" s="5" t="s">
        <v>257</v>
      </c>
      <c r="D529" s="5" t="s">
        <v>7</v>
      </c>
      <c r="E529" s="35" t="str">
        <f>vlookup(C529,'Team Bye List'!$A$1:$B$33,2,False)</f>
        <v>#N/A</v>
      </c>
      <c r="F529" s="36">
        <f>if(ISNA(vlookup($A529, ESPN!$B$2:$E$1010, 4, false)), 0, vlookup($A529, ESPN!$B$2:$E$1010, 4, false))</f>
        <v>0</v>
      </c>
      <c r="G529" s="36">
        <f>if(ISNA(vlookup($A529,'Ultimate Draft Kit'!$B$2:$E$201,4, false)), 0, vlookup($A529,'Ultimate Draft Kit'!$B$2:$E$201, 4, false))</f>
        <v>0</v>
      </c>
      <c r="H529" s="36">
        <f>if(ISNA(vlookup($A529, FantasyPro!$B$2:$E$514,4,false)),0,vlookup($A529,FantasyPro!$B$2:$E$514,4,false))</f>
        <v>0</v>
      </c>
      <c r="I529" s="36">
        <f>if(ISNA(vlookup($A529, FFToolbox!$B$2:$E$618, 4, false)), 0, vlookup($A529, FFToolbox!$B$2:$E$618, 4, false))</f>
        <v>0</v>
      </c>
      <c r="J529" s="37">
        <f t="shared" si="1"/>
        <v>0</v>
      </c>
      <c r="K529" s="37">
        <f t="shared" si="2"/>
        <v>0</v>
      </c>
    </row>
    <row r="530" hidden="1">
      <c r="A530" s="13" t="s">
        <v>902</v>
      </c>
      <c r="B530" s="34" t="s">
        <v>1061</v>
      </c>
      <c r="C530" s="5" t="s">
        <v>22</v>
      </c>
      <c r="D530" s="5" t="s">
        <v>7</v>
      </c>
      <c r="E530" s="35">
        <f>vlookup(C530,'Team Bye List'!$A$1:$B$33,2,False)</f>
        <v>7</v>
      </c>
      <c r="F530" s="36">
        <f>if(ISNA(vlookup($A530, ESPN!$B$2:$E$1010, 4, false)), 0, vlookup($A530, ESPN!$B$2:$E$1010, 4, false))</f>
        <v>0</v>
      </c>
      <c r="G530" s="36">
        <f>if(ISNA(vlookup($A530,'Ultimate Draft Kit'!$B$2:$E$201,4, false)), 0, vlookup($A530,'Ultimate Draft Kit'!$B$2:$E$201, 4, false))</f>
        <v>0</v>
      </c>
      <c r="H530" s="36">
        <f>if(ISNA(vlookup($A530, FantasyPro!$B$2:$E$514,4,false)),0,vlookup($A530,FantasyPro!$B$2:$E$514,4,false))</f>
        <v>0</v>
      </c>
      <c r="I530" s="36">
        <f>if(ISNA(vlookup($A530, FFToolbox!$B$2:$E$618, 4, false)), 0, vlookup($A530, FFToolbox!$B$2:$E$618, 4, false))</f>
        <v>0</v>
      </c>
      <c r="J530" s="37">
        <f t="shared" si="1"/>
        <v>0</v>
      </c>
      <c r="K530" s="37">
        <f t="shared" si="2"/>
        <v>0</v>
      </c>
    </row>
    <row r="531" hidden="1">
      <c r="A531" s="13" t="s">
        <v>853</v>
      </c>
      <c r="B531" s="34" t="s">
        <v>1061</v>
      </c>
      <c r="C531" s="5" t="s">
        <v>257</v>
      </c>
      <c r="D531" s="5" t="s">
        <v>7</v>
      </c>
      <c r="E531" s="35" t="str">
        <f>vlookup(C531,'Team Bye List'!$A$1:$B$33,2,False)</f>
        <v>#N/A</v>
      </c>
      <c r="F531" s="36">
        <f>if(ISNA(vlookup($A531, ESPN!$B$2:$E$1010, 4, false)), 0, vlookup($A531, ESPN!$B$2:$E$1010, 4, false))</f>
        <v>0</v>
      </c>
      <c r="G531" s="36">
        <f>if(ISNA(vlookup($A531,'Ultimate Draft Kit'!$B$2:$E$201,4, false)), 0, vlookup($A531,'Ultimate Draft Kit'!$B$2:$E$201, 4, false))</f>
        <v>0</v>
      </c>
      <c r="H531" s="36">
        <f>if(ISNA(vlookup($A531, FantasyPro!$B$2:$E$514,4,false)),0,vlookup($A531,FantasyPro!$B$2:$E$514,4,false))</f>
        <v>0</v>
      </c>
      <c r="I531" s="36">
        <f>if(ISNA(vlookup($A531, FFToolbox!$B$2:$E$618, 4, false)), 0, vlookup($A531, FFToolbox!$B$2:$E$618, 4, false))</f>
        <v>0</v>
      </c>
      <c r="J531" s="37">
        <f t="shared" si="1"/>
        <v>0</v>
      </c>
      <c r="K531" s="37">
        <f t="shared" si="2"/>
        <v>0</v>
      </c>
    </row>
    <row r="532" hidden="1">
      <c r="A532" s="13" t="s">
        <v>890</v>
      </c>
      <c r="B532" s="34" t="s">
        <v>1061</v>
      </c>
      <c r="C532" s="5" t="s">
        <v>257</v>
      </c>
      <c r="D532" s="5" t="s">
        <v>7</v>
      </c>
      <c r="E532" s="35" t="str">
        <f>vlookup(C532,'Team Bye List'!$A$1:$B$33,2,False)</f>
        <v>#N/A</v>
      </c>
      <c r="F532" s="36">
        <f>if(ISNA(vlookup($A532, ESPN!$B$2:$E$1010, 4, false)), 0, vlookup($A532, ESPN!$B$2:$E$1010, 4, false))</f>
        <v>0</v>
      </c>
      <c r="G532" s="36">
        <f>if(ISNA(vlookup($A532,'Ultimate Draft Kit'!$B$2:$E$201,4, false)), 0, vlookup($A532,'Ultimate Draft Kit'!$B$2:$E$201, 4, false))</f>
        <v>0</v>
      </c>
      <c r="H532" s="36">
        <f>if(ISNA(vlookup($A532, FantasyPro!$B$2:$E$514,4,false)),0,vlookup($A532,FantasyPro!$B$2:$E$514,4,false))</f>
        <v>0</v>
      </c>
      <c r="I532" s="36">
        <f>if(ISNA(vlookup($A532, FFToolbox!$B$2:$E$618, 4, false)), 0, vlookup($A532, FFToolbox!$B$2:$E$618, 4, false))</f>
        <v>0</v>
      </c>
      <c r="J532" s="37">
        <f t="shared" si="1"/>
        <v>0</v>
      </c>
      <c r="K532" s="37">
        <f t="shared" si="2"/>
        <v>0</v>
      </c>
    </row>
    <row r="533" hidden="1">
      <c r="A533" s="13" t="s">
        <v>1071</v>
      </c>
      <c r="B533" s="34" t="s">
        <v>1061</v>
      </c>
      <c r="C533" s="5" t="s">
        <v>38</v>
      </c>
      <c r="D533" s="5" t="s">
        <v>25</v>
      </c>
      <c r="E533" s="35">
        <f>vlookup(C533,'Team Bye List'!$A$1:$B$33,2,False)</f>
        <v>12</v>
      </c>
      <c r="F533" s="36">
        <f>if(ISNA(vlookup($A533, ESPN!$B$2:$E$1010, 4, false)), 0, vlookup($A533, ESPN!$B$2:$E$1010, 4, false))</f>
        <v>0</v>
      </c>
      <c r="G533" s="36">
        <f>if(ISNA(vlookup($A533,'Ultimate Draft Kit'!$B$2:$E$201,4, false)), 0, vlookup($A533,'Ultimate Draft Kit'!$B$2:$E$201, 4, false))</f>
        <v>0</v>
      </c>
      <c r="H533" s="36">
        <f>if(ISNA(vlookup($A533, FantasyPro!$B$2:$E$514,4,false)),0,vlookup($A533,FantasyPro!$B$2:$E$514,4,false))</f>
        <v>0</v>
      </c>
      <c r="I533" s="36">
        <f>if(ISNA(vlookup($A533, FFToolbox!$B$2:$E$618, 4, false)), 0, vlookup($A533, FFToolbox!$B$2:$E$618, 4, false))</f>
        <v>0</v>
      </c>
      <c r="J533" s="37">
        <f t="shared" si="1"/>
        <v>0</v>
      </c>
      <c r="K533" s="37">
        <f t="shared" si="2"/>
        <v>0</v>
      </c>
    </row>
    <row r="534" hidden="1">
      <c r="A534" s="13" t="s">
        <v>882</v>
      </c>
      <c r="B534" s="34" t="s">
        <v>1061</v>
      </c>
      <c r="C534" s="5" t="s">
        <v>257</v>
      </c>
      <c r="D534" s="5" t="s">
        <v>7</v>
      </c>
      <c r="E534" s="35" t="str">
        <f>vlookup(C534,'Team Bye List'!$A$1:$B$33,2,False)</f>
        <v>#N/A</v>
      </c>
      <c r="F534" s="36">
        <f>if(ISNA(vlookup($A534, ESPN!$B$2:$E$1010, 4, false)), 0, vlookup($A534, ESPN!$B$2:$E$1010, 4, false))</f>
        <v>0</v>
      </c>
      <c r="G534" s="36">
        <f>if(ISNA(vlookup($A534,'Ultimate Draft Kit'!$B$2:$E$201,4, false)), 0, vlookup($A534,'Ultimate Draft Kit'!$B$2:$E$201, 4, false))</f>
        <v>0</v>
      </c>
      <c r="H534" s="36">
        <f>if(ISNA(vlookup($A534, FantasyPro!$B$2:$E$514,4,false)),0,vlookup($A534,FantasyPro!$B$2:$E$514,4,false))</f>
        <v>0</v>
      </c>
      <c r="I534" s="36">
        <f>if(ISNA(vlookup($A534, FFToolbox!$B$2:$E$618, 4, false)), 0, vlookup($A534, FFToolbox!$B$2:$E$618, 4, false))</f>
        <v>0</v>
      </c>
      <c r="J534" s="37">
        <f t="shared" si="1"/>
        <v>0</v>
      </c>
      <c r="K534" s="37">
        <f t="shared" si="2"/>
        <v>0</v>
      </c>
    </row>
    <row r="535" hidden="1">
      <c r="A535" s="13" t="s">
        <v>855</v>
      </c>
      <c r="B535" s="34" t="s">
        <v>1061</v>
      </c>
      <c r="C535" s="5" t="s">
        <v>257</v>
      </c>
      <c r="D535" s="5" t="s">
        <v>7</v>
      </c>
      <c r="E535" s="35" t="str">
        <f>vlookup(C535,'Team Bye List'!$A$1:$B$33,2,False)</f>
        <v>#N/A</v>
      </c>
      <c r="F535" s="36">
        <f>if(ISNA(vlookup($A535, ESPN!$B$2:$E$1010, 4, false)), 0, vlookup($A535, ESPN!$B$2:$E$1010, 4, false))</f>
        <v>0</v>
      </c>
      <c r="G535" s="36">
        <f>if(ISNA(vlookup($A535,'Ultimate Draft Kit'!$B$2:$E$201,4, false)), 0, vlookup($A535,'Ultimate Draft Kit'!$B$2:$E$201, 4, false))</f>
        <v>0</v>
      </c>
      <c r="H535" s="36">
        <f>if(ISNA(vlookup($A535, FantasyPro!$B$2:$E$514,4,false)),0,vlookup($A535,FantasyPro!$B$2:$E$514,4,false))</f>
        <v>0</v>
      </c>
      <c r="I535" s="36">
        <f>if(ISNA(vlookup($A535, FFToolbox!$B$2:$E$618, 4, false)), 0, vlookup($A535, FFToolbox!$B$2:$E$618, 4, false))</f>
        <v>0</v>
      </c>
      <c r="J535" s="37">
        <f t="shared" si="1"/>
        <v>0</v>
      </c>
      <c r="K535" s="37">
        <f t="shared" si="2"/>
        <v>0</v>
      </c>
    </row>
    <row r="536" hidden="1">
      <c r="A536" s="13" t="s">
        <v>834</v>
      </c>
      <c r="B536" s="34" t="s">
        <v>1061</v>
      </c>
      <c r="C536" s="5" t="s">
        <v>69</v>
      </c>
      <c r="D536" s="5" t="s">
        <v>7</v>
      </c>
      <c r="E536" s="35">
        <f>vlookup(C536,'Team Bye List'!$A$1:$B$33,2,False)</f>
        <v>5</v>
      </c>
      <c r="F536" s="36">
        <f>if(ISNA(vlookup($A536, ESPN!$B$2:$E$1010, 4, false)), 0, vlookup($A536, ESPN!$B$2:$E$1010, 4, false))</f>
        <v>0</v>
      </c>
      <c r="G536" s="36">
        <f>if(ISNA(vlookup($A536,'Ultimate Draft Kit'!$B$2:$E$201,4, false)), 0, vlookup($A536,'Ultimate Draft Kit'!$B$2:$E$201, 4, false))</f>
        <v>0</v>
      </c>
      <c r="H536" s="36">
        <f>if(ISNA(vlookup($A536, FantasyPro!$B$2:$E$514,4,false)),0,vlookup($A536,FantasyPro!$B$2:$E$514,4,false))</f>
        <v>0</v>
      </c>
      <c r="I536" s="36">
        <f>if(ISNA(vlookup($A536, FFToolbox!$B$2:$E$618, 4, false)), 0, vlookup($A536, FFToolbox!$B$2:$E$618, 4, false))</f>
        <v>0</v>
      </c>
      <c r="J536" s="37">
        <f t="shared" si="1"/>
        <v>0</v>
      </c>
      <c r="K536" s="37">
        <f t="shared" si="2"/>
        <v>0</v>
      </c>
    </row>
    <row r="537" hidden="1">
      <c r="A537" s="13" t="s">
        <v>834</v>
      </c>
      <c r="B537" s="34" t="s">
        <v>1061</v>
      </c>
      <c r="C537" s="5" t="s">
        <v>69</v>
      </c>
      <c r="D537" s="5" t="s">
        <v>7</v>
      </c>
      <c r="E537" s="35">
        <f>vlookup(C537,'Team Bye List'!$A$1:$B$33,2,False)</f>
        <v>5</v>
      </c>
      <c r="F537" s="36">
        <f>if(ISNA(vlookup($A537, ESPN!$B$2:$E$1010, 4, false)), 0, vlookup($A537, ESPN!$B$2:$E$1010, 4, false))</f>
        <v>0</v>
      </c>
      <c r="G537" s="36">
        <f>if(ISNA(vlookup($A537,'Ultimate Draft Kit'!$B$2:$E$201,4, false)), 0, vlookup($A537,'Ultimate Draft Kit'!$B$2:$E$201, 4, false))</f>
        <v>0</v>
      </c>
      <c r="H537" s="36">
        <f>if(ISNA(vlookup($A537, FantasyPro!$B$2:$E$514,4,false)),0,vlookup($A537,FantasyPro!$B$2:$E$514,4,false))</f>
        <v>0</v>
      </c>
      <c r="I537" s="36">
        <f>if(ISNA(vlookup($A537, FFToolbox!$B$2:$E$618, 4, false)), 0, vlookup($A537, FFToolbox!$B$2:$E$618, 4, false))</f>
        <v>0</v>
      </c>
      <c r="J537" s="37">
        <f t="shared" si="1"/>
        <v>0</v>
      </c>
      <c r="K537" s="37">
        <f t="shared" si="2"/>
        <v>0</v>
      </c>
    </row>
    <row r="538" hidden="1">
      <c r="A538" s="13" t="s">
        <v>863</v>
      </c>
      <c r="B538" s="34" t="s">
        <v>1061</v>
      </c>
      <c r="C538" s="5" t="s">
        <v>257</v>
      </c>
      <c r="D538" s="5" t="s">
        <v>7</v>
      </c>
      <c r="E538" s="35" t="str">
        <f>vlookup(C538,'Team Bye List'!$A$1:$B$33,2,False)</f>
        <v>#N/A</v>
      </c>
      <c r="F538" s="36">
        <f>if(ISNA(vlookup($A538, ESPN!$B$2:$E$1010, 4, false)), 0, vlookup($A538, ESPN!$B$2:$E$1010, 4, false))</f>
        <v>0</v>
      </c>
      <c r="G538" s="36">
        <f>if(ISNA(vlookup($A538,'Ultimate Draft Kit'!$B$2:$E$201,4, false)), 0, vlookup($A538,'Ultimate Draft Kit'!$B$2:$E$201, 4, false))</f>
        <v>0</v>
      </c>
      <c r="H538" s="36">
        <f>if(ISNA(vlookup($A538, FantasyPro!$B$2:$E$514,4,false)),0,vlookup($A538,FantasyPro!$B$2:$E$514,4,false))</f>
        <v>0</v>
      </c>
      <c r="I538" s="36">
        <f>if(ISNA(vlookup($A538, FFToolbox!$B$2:$E$618, 4, false)), 0, vlookup($A538, FFToolbox!$B$2:$E$618, 4, false))</f>
        <v>0</v>
      </c>
      <c r="J538" s="37">
        <f t="shared" si="1"/>
        <v>0</v>
      </c>
      <c r="K538" s="37">
        <f t="shared" si="2"/>
        <v>0</v>
      </c>
    </row>
    <row r="539" hidden="1">
      <c r="A539" s="13" t="s">
        <v>894</v>
      </c>
      <c r="B539" s="34" t="s">
        <v>1061</v>
      </c>
      <c r="C539" s="5" t="s">
        <v>257</v>
      </c>
      <c r="D539" s="5" t="s">
        <v>7</v>
      </c>
      <c r="E539" s="35" t="str">
        <f>vlookup(C539,'Team Bye List'!$A$1:$B$33,2,False)</f>
        <v>#N/A</v>
      </c>
      <c r="F539" s="36">
        <f>if(ISNA(vlookup($A539, ESPN!$B$2:$E$1010, 4, false)), 0, vlookup($A539, ESPN!$B$2:$E$1010, 4, false))</f>
        <v>0</v>
      </c>
      <c r="G539" s="36">
        <f>if(ISNA(vlookup($A539,'Ultimate Draft Kit'!$B$2:$E$201,4, false)), 0, vlookup($A539,'Ultimate Draft Kit'!$B$2:$E$201, 4, false))</f>
        <v>0</v>
      </c>
      <c r="H539" s="36">
        <f>if(ISNA(vlookup($A539, FantasyPro!$B$2:$E$514,4,false)),0,vlookup($A539,FantasyPro!$B$2:$E$514,4,false))</f>
        <v>0</v>
      </c>
      <c r="I539" s="36">
        <f>if(ISNA(vlookup($A539, FFToolbox!$B$2:$E$618, 4, false)), 0, vlookup($A539, FFToolbox!$B$2:$E$618, 4, false))</f>
        <v>0</v>
      </c>
      <c r="J539" s="37">
        <f t="shared" si="1"/>
        <v>0</v>
      </c>
      <c r="K539" s="37">
        <f t="shared" si="2"/>
        <v>0</v>
      </c>
    </row>
    <row r="540" hidden="1">
      <c r="A540" s="13" t="s">
        <v>874</v>
      </c>
      <c r="B540" s="34" t="s">
        <v>1061</v>
      </c>
      <c r="C540" s="5" t="s">
        <v>257</v>
      </c>
      <c r="D540" s="5" t="s">
        <v>7</v>
      </c>
      <c r="E540" s="35" t="str">
        <f>vlookup(C540,'Team Bye List'!$A$1:$B$33,2,False)</f>
        <v>#N/A</v>
      </c>
      <c r="F540" s="36">
        <f>if(ISNA(vlookup($A540, ESPN!$B$2:$E$1010, 4, false)), 0, vlookup($A540, ESPN!$B$2:$E$1010, 4, false))</f>
        <v>0</v>
      </c>
      <c r="G540" s="36">
        <f>if(ISNA(vlookup($A540,'Ultimate Draft Kit'!$B$2:$E$201,4, false)), 0, vlookup($A540,'Ultimate Draft Kit'!$B$2:$E$201, 4, false))</f>
        <v>0</v>
      </c>
      <c r="H540" s="36">
        <f>if(ISNA(vlookup($A540, FantasyPro!$B$2:$E$514,4,false)),0,vlookup($A540,FantasyPro!$B$2:$E$514,4,false))</f>
        <v>0</v>
      </c>
      <c r="I540" s="36">
        <f>if(ISNA(vlookup($A540, FFToolbox!$B$2:$E$618, 4, false)), 0, vlookup($A540, FFToolbox!$B$2:$E$618, 4, false))</f>
        <v>0</v>
      </c>
      <c r="J540" s="37">
        <f t="shared" si="1"/>
        <v>0</v>
      </c>
      <c r="K540" s="37">
        <f t="shared" si="2"/>
        <v>0</v>
      </c>
    </row>
    <row r="541" hidden="1">
      <c r="A541" s="13" t="s">
        <v>825</v>
      </c>
      <c r="B541" s="34" t="s">
        <v>1061</v>
      </c>
      <c r="C541" s="5" t="s">
        <v>1007</v>
      </c>
      <c r="D541" s="5" t="s">
        <v>7</v>
      </c>
      <c r="E541" s="35">
        <f>vlookup(C541,'Team Bye List'!$A$1:$B$33,2,False)</f>
        <v>8</v>
      </c>
      <c r="F541" s="36">
        <f>if(ISNA(vlookup($A541, ESPN!$B$2:$E$1010, 4, false)), 0, vlookup($A541, ESPN!$B$2:$E$1010, 4, false))</f>
        <v>0</v>
      </c>
      <c r="G541" s="36">
        <f>if(ISNA(vlookup($A541,'Ultimate Draft Kit'!$B$2:$E$201,4, false)), 0, vlookup($A541,'Ultimate Draft Kit'!$B$2:$E$201, 4, false))</f>
        <v>0</v>
      </c>
      <c r="H541" s="36">
        <f>if(ISNA(vlookup($A541, FantasyPro!$B$2:$E$514,4,false)),0,vlookup($A541,FantasyPro!$B$2:$E$514,4,false))</f>
        <v>0</v>
      </c>
      <c r="I541" s="36">
        <f>if(ISNA(vlookup($A541, FFToolbox!$B$2:$E$618, 4, false)), 0, vlookup($A541, FFToolbox!$B$2:$E$618, 4, false))</f>
        <v>0</v>
      </c>
      <c r="J541" s="37">
        <f t="shared" si="1"/>
        <v>0</v>
      </c>
      <c r="K541" s="37">
        <f t="shared" si="2"/>
        <v>0</v>
      </c>
    </row>
    <row r="542" hidden="1">
      <c r="A542" s="13" t="s">
        <v>1072</v>
      </c>
      <c r="B542" s="34" t="s">
        <v>1061</v>
      </c>
      <c r="C542" s="5" t="s">
        <v>61</v>
      </c>
      <c r="D542" s="5" t="s">
        <v>25</v>
      </c>
      <c r="E542" s="35">
        <f>vlookup(C542,'Team Bye List'!$A$1:$B$33,2,False)</f>
        <v>9</v>
      </c>
      <c r="F542" s="36">
        <f>if(ISNA(vlookup($A542, ESPN!$B$2:$E$1010, 4, false)), 0, vlookup($A542, ESPN!$B$2:$E$1010, 4, false))</f>
        <v>0</v>
      </c>
      <c r="G542" s="36">
        <f>if(ISNA(vlookup($A542,'Ultimate Draft Kit'!$B$2:$E$201,4, false)), 0, vlookup($A542,'Ultimate Draft Kit'!$B$2:$E$201, 4, false))</f>
        <v>0</v>
      </c>
      <c r="H542" s="36">
        <f>if(ISNA(vlookup($A542, FantasyPro!$B$2:$E$514,4,false)),0,vlookup($A542,FantasyPro!$B$2:$E$514,4,false))</f>
        <v>0</v>
      </c>
      <c r="I542" s="36">
        <f>if(ISNA(vlookup($A542, FFToolbox!$B$2:$E$618, 4, false)), 0, vlookup($A542, FFToolbox!$B$2:$E$618, 4, false))</f>
        <v>0</v>
      </c>
      <c r="J542" s="37">
        <f t="shared" si="1"/>
        <v>0</v>
      </c>
      <c r="K542" s="37">
        <f t="shared" si="2"/>
        <v>0</v>
      </c>
    </row>
    <row r="543" hidden="1">
      <c r="A543" s="13" t="s">
        <v>819</v>
      </c>
      <c r="B543" s="34" t="s">
        <v>1061</v>
      </c>
      <c r="C543" s="5" t="s">
        <v>104</v>
      </c>
      <c r="D543" s="5" t="s">
        <v>7</v>
      </c>
      <c r="E543" s="35">
        <f>vlookup(C543,'Team Bye List'!$A$1:$B$33,2,False)</f>
        <v>7</v>
      </c>
      <c r="F543" s="36">
        <f>if(ISNA(vlookup($A543, ESPN!$B$2:$E$1010, 4, false)), 0, vlookup($A543, ESPN!$B$2:$E$1010, 4, false))</f>
        <v>0</v>
      </c>
      <c r="G543" s="36">
        <f>if(ISNA(vlookup($A543,'Ultimate Draft Kit'!$B$2:$E$201,4, false)), 0, vlookup($A543,'Ultimate Draft Kit'!$B$2:$E$201, 4, false))</f>
        <v>0</v>
      </c>
      <c r="H543" s="36">
        <f>if(ISNA(vlookup($A543, FantasyPro!$B$2:$E$514,4,false)),0,vlookup($A543,FantasyPro!$B$2:$E$514,4,false))</f>
        <v>0</v>
      </c>
      <c r="I543" s="36">
        <f>if(ISNA(vlookup($A543, FFToolbox!$B$2:$E$618, 4, false)), 0, vlookup($A543, FFToolbox!$B$2:$E$618, 4, false))</f>
        <v>0</v>
      </c>
      <c r="J543" s="37">
        <f t="shared" si="1"/>
        <v>0</v>
      </c>
      <c r="K543" s="37">
        <f t="shared" si="2"/>
        <v>0</v>
      </c>
    </row>
    <row r="544" hidden="1">
      <c r="A544" s="13" t="s">
        <v>1000</v>
      </c>
      <c r="B544" s="34" t="s">
        <v>1061</v>
      </c>
      <c r="C544" s="5" t="s">
        <v>44</v>
      </c>
      <c r="D544" s="5" t="s">
        <v>10</v>
      </c>
      <c r="E544" s="35">
        <f>vlookup(C544,'Team Bye List'!$A$1:$B$33,2,False)</f>
        <v>10</v>
      </c>
      <c r="F544" s="36">
        <f>if(ISNA(vlookup($A544, ESPN!$B$2:$E$1010, 4, false)), 0, vlookup($A544, ESPN!$B$2:$E$1010, 4, false))</f>
        <v>0</v>
      </c>
      <c r="G544" s="36">
        <f>if(ISNA(vlookup($A544,'Ultimate Draft Kit'!$B$2:$E$201,4, false)), 0, vlookup($A544,'Ultimate Draft Kit'!$B$2:$E$201, 4, false))</f>
        <v>0</v>
      </c>
      <c r="H544" s="36">
        <f>if(ISNA(vlookup($A544, FantasyPro!$B$2:$E$514,4,false)),0,vlookup($A544,FantasyPro!$B$2:$E$514,4,false))</f>
        <v>0</v>
      </c>
      <c r="I544" s="36">
        <f>if(ISNA(vlookup($A544, FFToolbox!$B$2:$E$618, 4, false)), 0, vlookup($A544, FFToolbox!$B$2:$E$618, 4, false))</f>
        <v>0</v>
      </c>
      <c r="J544" s="37">
        <f t="shared" si="1"/>
        <v>0</v>
      </c>
      <c r="K544" s="37">
        <f t="shared" si="2"/>
        <v>0</v>
      </c>
    </row>
    <row r="545" hidden="1">
      <c r="A545" s="13" t="s">
        <v>822</v>
      </c>
      <c r="B545" s="34" t="s">
        <v>1061</v>
      </c>
      <c r="C545" s="5" t="s">
        <v>24</v>
      </c>
      <c r="D545" s="5" t="s">
        <v>7</v>
      </c>
      <c r="E545" s="35">
        <f>vlookup(C545,'Team Bye List'!$A$1:$B$33,2,False)</f>
        <v>6</v>
      </c>
      <c r="F545" s="36">
        <f>if(ISNA(vlookup($A545, ESPN!$B$2:$E$1010, 4, false)), 0, vlookup($A545, ESPN!$B$2:$E$1010, 4, false))</f>
        <v>0</v>
      </c>
      <c r="G545" s="36">
        <f>if(ISNA(vlookup($A545,'Ultimate Draft Kit'!$B$2:$E$201,4, false)), 0, vlookup($A545,'Ultimate Draft Kit'!$B$2:$E$201, 4, false))</f>
        <v>0</v>
      </c>
      <c r="H545" s="36">
        <f>if(ISNA(vlookup($A545, FantasyPro!$B$2:$E$514,4,false)),0,vlookup($A545,FantasyPro!$B$2:$E$514,4,false))</f>
        <v>0</v>
      </c>
      <c r="I545" s="36">
        <f>if(ISNA(vlookup($A545, FFToolbox!$B$2:$E$618, 4, false)), 0, vlookup($A545, FFToolbox!$B$2:$E$618, 4, false))</f>
        <v>0</v>
      </c>
      <c r="J545" s="37">
        <f t="shared" si="1"/>
        <v>0</v>
      </c>
      <c r="K545" s="37">
        <f t="shared" si="2"/>
        <v>0</v>
      </c>
    </row>
    <row r="546" hidden="1">
      <c r="A546" s="13" t="s">
        <v>823</v>
      </c>
      <c r="B546" s="34" t="s">
        <v>1061</v>
      </c>
      <c r="C546" s="5" t="s">
        <v>40</v>
      </c>
      <c r="D546" s="5" t="s">
        <v>7</v>
      </c>
      <c r="E546" s="35">
        <f>vlookup(C546,'Team Bye List'!$A$1:$B$33,2,False)</f>
        <v>6</v>
      </c>
      <c r="F546" s="36">
        <f>if(ISNA(vlookup($A546, ESPN!$B$2:$E$1010, 4, false)), 0, vlookup($A546, ESPN!$B$2:$E$1010, 4, false))</f>
        <v>0</v>
      </c>
      <c r="G546" s="36">
        <f>if(ISNA(vlookup($A546,'Ultimate Draft Kit'!$B$2:$E$201,4, false)), 0, vlookup($A546,'Ultimate Draft Kit'!$B$2:$E$201, 4, false))</f>
        <v>0</v>
      </c>
      <c r="H546" s="36">
        <f>if(ISNA(vlookup($A546, FantasyPro!$B$2:$E$514,4,false)),0,vlookup($A546,FantasyPro!$B$2:$E$514,4,false))</f>
        <v>0</v>
      </c>
      <c r="I546" s="36">
        <f>if(ISNA(vlookup($A546, FFToolbox!$B$2:$E$618, 4, false)), 0, vlookup($A546, FFToolbox!$B$2:$E$618, 4, false))</f>
        <v>0</v>
      </c>
      <c r="J546" s="37">
        <f t="shared" si="1"/>
        <v>0</v>
      </c>
      <c r="K546" s="37">
        <f t="shared" si="2"/>
        <v>0</v>
      </c>
    </row>
    <row r="547" hidden="1">
      <c r="A547" s="13" t="s">
        <v>821</v>
      </c>
      <c r="B547" s="34" t="s">
        <v>1061</v>
      </c>
      <c r="C547" s="5" t="s">
        <v>74</v>
      </c>
      <c r="D547" s="5" t="s">
        <v>7</v>
      </c>
      <c r="E547" s="35">
        <f>vlookup(C547,'Team Bye List'!$A$1:$B$33,2,False)</f>
        <v>7</v>
      </c>
      <c r="F547" s="36">
        <f>if(ISNA(vlookup($A547, ESPN!$B$2:$E$1010, 4, false)), 0, vlookup($A547, ESPN!$B$2:$E$1010, 4, false))</f>
        <v>0</v>
      </c>
      <c r="G547" s="36">
        <f>if(ISNA(vlookup($A547,'Ultimate Draft Kit'!$B$2:$E$201,4, false)), 0, vlookup($A547,'Ultimate Draft Kit'!$B$2:$E$201, 4, false))</f>
        <v>0</v>
      </c>
      <c r="H547" s="36">
        <f>if(ISNA(vlookup($A547, FantasyPro!$B$2:$E$514,4,false)),0,vlookup($A547,FantasyPro!$B$2:$E$514,4,false))</f>
        <v>0</v>
      </c>
      <c r="I547" s="36">
        <f>if(ISNA(vlookup($A547, FFToolbox!$B$2:$E$618, 4, false)), 0, vlookup($A547, FFToolbox!$B$2:$E$618, 4, false))</f>
        <v>0</v>
      </c>
      <c r="J547" s="37">
        <f t="shared" si="1"/>
        <v>0</v>
      </c>
      <c r="K547" s="37">
        <f t="shared" si="2"/>
        <v>0</v>
      </c>
    </row>
    <row r="548" hidden="1">
      <c r="A548" s="13" t="s">
        <v>820</v>
      </c>
      <c r="B548" s="34" t="s">
        <v>1061</v>
      </c>
      <c r="C548" s="5" t="s">
        <v>59</v>
      </c>
      <c r="D548" s="5" t="s">
        <v>7</v>
      </c>
      <c r="E548" s="35">
        <f>vlookup(C548,'Team Bye List'!$A$1:$B$33,2,False)</f>
        <v>8</v>
      </c>
      <c r="F548" s="36">
        <f>if(ISNA(vlookup($A548, ESPN!$B$2:$E$1010, 4, false)), 0, vlookup($A548, ESPN!$B$2:$E$1010, 4, false))</f>
        <v>0</v>
      </c>
      <c r="G548" s="36">
        <f>if(ISNA(vlookup($A548,'Ultimate Draft Kit'!$B$2:$E$201,4, false)), 0, vlookup($A548,'Ultimate Draft Kit'!$B$2:$E$201, 4, false))</f>
        <v>0</v>
      </c>
      <c r="H548" s="36">
        <f>if(ISNA(vlookup($A548, FantasyPro!$B$2:$E$514,4,false)),0,vlookup($A548,FantasyPro!$B$2:$E$514,4,false))</f>
        <v>0</v>
      </c>
      <c r="I548" s="36">
        <f>if(ISNA(vlookup($A548, FFToolbox!$B$2:$E$618, 4, false)), 0, vlookup($A548, FFToolbox!$B$2:$E$618, 4, false))</f>
        <v>0</v>
      </c>
      <c r="J548" s="37">
        <f t="shared" si="1"/>
        <v>0</v>
      </c>
      <c r="K548" s="37">
        <f t="shared" si="2"/>
        <v>0</v>
      </c>
    </row>
    <row r="549" hidden="1">
      <c r="A549" s="13" t="s">
        <v>818</v>
      </c>
      <c r="B549" s="34" t="s">
        <v>1061</v>
      </c>
      <c r="C549" s="5" t="s">
        <v>6</v>
      </c>
      <c r="D549" s="5" t="s">
        <v>7</v>
      </c>
      <c r="E549" s="35">
        <f>vlookup(C549,'Team Bye List'!$A$1:$B$33,2,False)</f>
        <v>12</v>
      </c>
      <c r="F549" s="36">
        <f>if(ISNA(vlookup($A549, ESPN!$B$2:$E$1010, 4, false)), 0, vlookup($A549, ESPN!$B$2:$E$1010, 4, false))</f>
        <v>0</v>
      </c>
      <c r="G549" s="36">
        <f>if(ISNA(vlookup($A549,'Ultimate Draft Kit'!$B$2:$E$201,4, false)), 0, vlookup($A549,'Ultimate Draft Kit'!$B$2:$E$201, 4, false))</f>
        <v>0</v>
      </c>
      <c r="H549" s="36">
        <f>if(ISNA(vlookup($A549, FantasyPro!$B$2:$E$514,4,false)),0,vlookup($A549,FantasyPro!$B$2:$E$514,4,false))</f>
        <v>0</v>
      </c>
      <c r="I549" s="36">
        <f>if(ISNA(vlookup($A549, FFToolbox!$B$2:$E$618, 4, false)), 0, vlookup($A549, FFToolbox!$B$2:$E$618, 4, false))</f>
        <v>0</v>
      </c>
      <c r="J549" s="37">
        <f t="shared" si="1"/>
        <v>0</v>
      </c>
      <c r="K549" s="37">
        <f t="shared" si="2"/>
        <v>0</v>
      </c>
    </row>
    <row r="550" hidden="1">
      <c r="A550" s="13" t="s">
        <v>816</v>
      </c>
      <c r="B550" s="34" t="s">
        <v>1061</v>
      </c>
      <c r="C550" s="5" t="s">
        <v>20</v>
      </c>
      <c r="D550" s="5" t="s">
        <v>7</v>
      </c>
      <c r="E550" s="35">
        <f>vlookup(C550,'Team Bye List'!$A$1:$B$33,2,False)</f>
        <v>8</v>
      </c>
      <c r="F550" s="36">
        <f>if(ISNA(vlookup($A550, ESPN!$B$2:$E$1010, 4, false)), 0, vlookup($A550, ESPN!$B$2:$E$1010, 4, false))</f>
        <v>0</v>
      </c>
      <c r="G550" s="36">
        <f>if(ISNA(vlookup($A550,'Ultimate Draft Kit'!$B$2:$E$201,4, false)), 0, vlookup($A550,'Ultimate Draft Kit'!$B$2:$E$201, 4, false))</f>
        <v>0</v>
      </c>
      <c r="H550" s="36">
        <f>if(ISNA(vlookup($A550, FantasyPro!$B$2:$E$514,4,false)),0,vlookup($A550,FantasyPro!$B$2:$E$514,4,false))</f>
        <v>0</v>
      </c>
      <c r="I550" s="36">
        <f>if(ISNA(vlookup($A550, FFToolbox!$B$2:$E$618, 4, false)), 0, vlookup($A550, FFToolbox!$B$2:$E$618, 4, false))</f>
        <v>0</v>
      </c>
      <c r="J550" s="37">
        <f t="shared" si="1"/>
        <v>0</v>
      </c>
      <c r="K550" s="37">
        <f t="shared" si="2"/>
        <v>0</v>
      </c>
    </row>
    <row r="551" hidden="1">
      <c r="A551" s="13" t="s">
        <v>813</v>
      </c>
      <c r="B551" s="34" t="s">
        <v>1061</v>
      </c>
      <c r="C551" s="5" t="s">
        <v>54</v>
      </c>
      <c r="D551" s="5" t="s">
        <v>7</v>
      </c>
      <c r="E551" s="35">
        <f>vlookup(C551,'Team Bye List'!$A$1:$B$33,2,False)</f>
        <v>9</v>
      </c>
      <c r="F551" s="36">
        <f>if(ISNA(vlookup($A551, ESPN!$B$2:$E$1010, 4, false)), 0, vlookup($A551, ESPN!$B$2:$E$1010, 4, false))</f>
        <v>0</v>
      </c>
      <c r="G551" s="36">
        <f>if(ISNA(vlookup($A551,'Ultimate Draft Kit'!$B$2:$E$201,4, false)), 0, vlookup($A551,'Ultimate Draft Kit'!$B$2:$E$201, 4, false))</f>
        <v>0</v>
      </c>
      <c r="H551" s="36">
        <f>if(ISNA(vlookup($A551, FantasyPro!$B$2:$E$514,4,false)),0,vlookup($A551,FantasyPro!$B$2:$E$514,4,false))</f>
        <v>0</v>
      </c>
      <c r="I551" s="36">
        <f>if(ISNA(vlookup($A551, FFToolbox!$B$2:$E$618, 4, false)), 0, vlookup($A551, FFToolbox!$B$2:$E$618, 4, false))</f>
        <v>0</v>
      </c>
      <c r="J551" s="37">
        <f t="shared" si="1"/>
        <v>0</v>
      </c>
      <c r="K551" s="37">
        <f t="shared" si="2"/>
        <v>0</v>
      </c>
    </row>
    <row r="552" hidden="1">
      <c r="A552" s="13" t="s">
        <v>817</v>
      </c>
      <c r="B552" s="34" t="s">
        <v>1061</v>
      </c>
      <c r="C552" s="5" t="s">
        <v>86</v>
      </c>
      <c r="D552" s="5" t="s">
        <v>7</v>
      </c>
      <c r="E552" s="35">
        <f>vlookup(C552,'Team Bye List'!$A$1:$B$33,2,False)</f>
        <v>6</v>
      </c>
      <c r="F552" s="36">
        <f>if(ISNA(vlookup($A552, ESPN!$B$2:$E$1010, 4, false)), 0, vlookup($A552, ESPN!$B$2:$E$1010, 4, false))</f>
        <v>0</v>
      </c>
      <c r="G552" s="36">
        <f>if(ISNA(vlookup($A552,'Ultimate Draft Kit'!$B$2:$E$201,4, false)), 0, vlookup($A552,'Ultimate Draft Kit'!$B$2:$E$201, 4, false))</f>
        <v>0</v>
      </c>
      <c r="H552" s="36">
        <f>if(ISNA(vlookup($A552, FantasyPro!$B$2:$E$514,4,false)),0,vlookup($A552,FantasyPro!$B$2:$E$514,4,false))</f>
        <v>0</v>
      </c>
      <c r="I552" s="36">
        <f>if(ISNA(vlookup($A552, FFToolbox!$B$2:$E$618, 4, false)), 0, vlookup($A552, FFToolbox!$B$2:$E$618, 4, false))</f>
        <v>0</v>
      </c>
      <c r="J552" s="37">
        <f t="shared" si="1"/>
        <v>0</v>
      </c>
      <c r="K552" s="37">
        <f t="shared" si="2"/>
        <v>0</v>
      </c>
    </row>
    <row r="553" hidden="1">
      <c r="A553" s="13" t="s">
        <v>1073</v>
      </c>
      <c r="B553" s="34" t="s">
        <v>1061</v>
      </c>
      <c r="C553" s="5" t="s">
        <v>257</v>
      </c>
      <c r="D553" s="5" t="s">
        <v>7</v>
      </c>
      <c r="E553" s="35" t="str">
        <f>vlookup(C553,'Team Bye List'!$A$1:$B$33,2,False)</f>
        <v>#N/A</v>
      </c>
      <c r="F553" s="36">
        <f>if(ISNA(vlookup($A553, ESPN!$B$2:$E$1010, 4, false)), 0, vlookup($A553, ESPN!$B$2:$E$1010, 4, false))</f>
        <v>0</v>
      </c>
      <c r="G553" s="36">
        <f>if(ISNA(vlookup($A553,'Ultimate Draft Kit'!$B$2:$E$201,4, false)), 0, vlookup($A553,'Ultimate Draft Kit'!$B$2:$E$201, 4, false))</f>
        <v>0</v>
      </c>
      <c r="H553" s="36">
        <f>if(ISNA(vlookup($A553, FantasyPro!$B$2:$E$514,4,false)),0,vlookup($A553,FantasyPro!$B$2:$E$514,4,false))</f>
        <v>0</v>
      </c>
      <c r="I553" s="36">
        <f>if(ISNA(vlookup($A553, FFToolbox!$B$2:$E$618, 4, false)), 0, vlookup($A553, FFToolbox!$B$2:$E$618, 4, false))</f>
        <v>0</v>
      </c>
      <c r="J553" s="37">
        <f t="shared" si="1"/>
        <v>0</v>
      </c>
      <c r="K553" s="37">
        <f t="shared" si="2"/>
        <v>0</v>
      </c>
    </row>
    <row r="554" hidden="1">
      <c r="A554" s="13" t="s">
        <v>814</v>
      </c>
      <c r="B554" s="34" t="s">
        <v>1061</v>
      </c>
      <c r="C554" s="5" t="s">
        <v>44</v>
      </c>
      <c r="D554" s="5" t="s">
        <v>7</v>
      </c>
      <c r="E554" s="35">
        <f>vlookup(C554,'Team Bye List'!$A$1:$B$33,2,False)</f>
        <v>10</v>
      </c>
      <c r="F554" s="36">
        <f>if(ISNA(vlookup($A554, ESPN!$B$2:$E$1010, 4, false)), 0, vlookup($A554, ESPN!$B$2:$E$1010, 4, false))</f>
        <v>0</v>
      </c>
      <c r="G554" s="36">
        <f>if(ISNA(vlookup($A554,'Ultimate Draft Kit'!$B$2:$E$201,4, false)), 0, vlookup($A554,'Ultimate Draft Kit'!$B$2:$E$201, 4, false))</f>
        <v>0</v>
      </c>
      <c r="H554" s="36">
        <f>if(ISNA(vlookup($A554, FantasyPro!$B$2:$E$514,4,false)),0,vlookup($A554,FantasyPro!$B$2:$E$514,4,false))</f>
        <v>0</v>
      </c>
      <c r="I554" s="36">
        <f>if(ISNA(vlookup($A554, FFToolbox!$B$2:$E$618, 4, false)), 0, vlookup($A554, FFToolbox!$B$2:$E$618, 4, false))</f>
        <v>0</v>
      </c>
      <c r="J554" s="37">
        <f t="shared" si="1"/>
        <v>0</v>
      </c>
      <c r="K554" s="37">
        <f t="shared" si="2"/>
        <v>0</v>
      </c>
    </row>
    <row r="555" hidden="1">
      <c r="A555" s="13" t="s">
        <v>812</v>
      </c>
      <c r="B555" s="34" t="s">
        <v>1061</v>
      </c>
      <c r="C555" s="5" t="s">
        <v>24</v>
      </c>
      <c r="D555" s="5" t="s">
        <v>7</v>
      </c>
      <c r="E555" s="35">
        <f>vlookup(C555,'Team Bye List'!$A$1:$B$33,2,False)</f>
        <v>6</v>
      </c>
      <c r="F555" s="36">
        <f>if(ISNA(vlookup($A555, ESPN!$B$2:$E$1010, 4, false)), 0, vlookup($A555, ESPN!$B$2:$E$1010, 4, false))</f>
        <v>0</v>
      </c>
      <c r="G555" s="36">
        <f>if(ISNA(vlookup($A555,'Ultimate Draft Kit'!$B$2:$E$201,4, false)), 0, vlookup($A555,'Ultimate Draft Kit'!$B$2:$E$201, 4, false))</f>
        <v>0</v>
      </c>
      <c r="H555" s="36">
        <f>if(ISNA(vlookup($A555, FantasyPro!$B$2:$E$514,4,false)),0,vlookup($A555,FantasyPro!$B$2:$E$514,4,false))</f>
        <v>0</v>
      </c>
      <c r="I555" s="36">
        <f>if(ISNA(vlookup($A555, FFToolbox!$B$2:$E$618, 4, false)), 0, vlookup($A555, FFToolbox!$B$2:$E$618, 4, false))</f>
        <v>0</v>
      </c>
      <c r="J555" s="37">
        <f t="shared" si="1"/>
        <v>0</v>
      </c>
      <c r="K555" s="37">
        <f t="shared" si="2"/>
        <v>0</v>
      </c>
    </row>
    <row r="556" hidden="1">
      <c r="A556" s="13" t="s">
        <v>815</v>
      </c>
      <c r="B556" s="34" t="s">
        <v>1061</v>
      </c>
      <c r="C556" s="5" t="s">
        <v>134</v>
      </c>
      <c r="D556" s="5" t="s">
        <v>7</v>
      </c>
      <c r="E556" s="35">
        <f>vlookup(C556,'Team Bye List'!$A$1:$B$33,2,False)</f>
        <v>11</v>
      </c>
      <c r="F556" s="36">
        <f>if(ISNA(vlookup($A556, ESPN!$B$2:$E$1010, 4, false)), 0, vlookup($A556, ESPN!$B$2:$E$1010, 4, false))</f>
        <v>0</v>
      </c>
      <c r="G556" s="36">
        <f>if(ISNA(vlookup($A556,'Ultimate Draft Kit'!$B$2:$E$201,4, false)), 0, vlookup($A556,'Ultimate Draft Kit'!$B$2:$E$201, 4, false))</f>
        <v>0</v>
      </c>
      <c r="H556" s="36">
        <f>if(ISNA(vlookup($A556, FantasyPro!$B$2:$E$514,4,false)),0,vlookup($A556,FantasyPro!$B$2:$E$514,4,false))</f>
        <v>0</v>
      </c>
      <c r="I556" s="36">
        <f>if(ISNA(vlookup($A556, FFToolbox!$B$2:$E$618, 4, false)), 0, vlookup($A556, FFToolbox!$B$2:$E$618, 4, false))</f>
        <v>0</v>
      </c>
      <c r="J556" s="37">
        <f t="shared" si="1"/>
        <v>0</v>
      </c>
      <c r="K556" s="37">
        <f t="shared" si="2"/>
        <v>0</v>
      </c>
    </row>
    <row r="557" hidden="1">
      <c r="A557" s="13" t="s">
        <v>1005</v>
      </c>
      <c r="B557" s="34" t="s">
        <v>1061</v>
      </c>
      <c r="C557" s="5" t="s">
        <v>69</v>
      </c>
      <c r="D557" s="5" t="s">
        <v>10</v>
      </c>
      <c r="E557" s="35">
        <f>vlookup(C557,'Team Bye List'!$A$1:$B$33,2,False)</f>
        <v>5</v>
      </c>
      <c r="F557" s="36">
        <f>if(ISNA(vlookup($A557, ESPN!$B$2:$E$1010, 4, false)), 0, vlookup($A557, ESPN!$B$2:$E$1010, 4, false))</f>
        <v>0</v>
      </c>
      <c r="G557" s="36">
        <f>if(ISNA(vlookup($A557,'Ultimate Draft Kit'!$B$2:$E$201,4, false)), 0, vlookup($A557,'Ultimate Draft Kit'!$B$2:$E$201, 4, false))</f>
        <v>0</v>
      </c>
      <c r="H557" s="36">
        <f>if(ISNA(vlookup($A557, FantasyPro!$B$2:$E$514,4,false)),0,vlookup($A557,FantasyPro!$B$2:$E$514,4,false))</f>
        <v>0</v>
      </c>
      <c r="I557" s="36">
        <f>if(ISNA(vlookup($A557, FFToolbox!$B$2:$E$618, 4, false)), 0, vlookup($A557, FFToolbox!$B$2:$E$618, 4, false))</f>
        <v>0</v>
      </c>
      <c r="J557" s="37">
        <f t="shared" si="1"/>
        <v>0</v>
      </c>
      <c r="K557" s="37">
        <f t="shared" si="2"/>
        <v>0</v>
      </c>
    </row>
    <row r="558" hidden="1">
      <c r="A558" s="13" t="s">
        <v>990</v>
      </c>
      <c r="B558" s="34" t="s">
        <v>1061</v>
      </c>
      <c r="C558" s="5" t="s">
        <v>134</v>
      </c>
      <c r="D558" s="5" t="s">
        <v>10</v>
      </c>
      <c r="E558" s="35">
        <f>vlookup(C558,'Team Bye List'!$A$1:$B$33,2,False)</f>
        <v>11</v>
      </c>
      <c r="F558" s="36">
        <f>if(ISNA(vlookup($A558, ESPN!$B$2:$E$1010, 4, false)), 0, vlookup($A558, ESPN!$B$2:$E$1010, 4, false))</f>
        <v>0</v>
      </c>
      <c r="G558" s="36">
        <f>if(ISNA(vlookup($A558,'Ultimate Draft Kit'!$B$2:$E$201,4, false)), 0, vlookup($A558,'Ultimate Draft Kit'!$B$2:$E$201, 4, false))</f>
        <v>0</v>
      </c>
      <c r="H558" s="36">
        <f>if(ISNA(vlookup($A558, FantasyPro!$B$2:$E$514,4,false)),0,vlookup($A558,FantasyPro!$B$2:$E$514,4,false))</f>
        <v>0</v>
      </c>
      <c r="I558" s="36">
        <f>if(ISNA(vlookup($A558, FFToolbox!$B$2:$E$618, 4, false)), 0, vlookup($A558, FFToolbox!$B$2:$E$618, 4, false))</f>
        <v>0</v>
      </c>
      <c r="J558" s="37">
        <f t="shared" si="1"/>
        <v>0</v>
      </c>
      <c r="K558" s="37">
        <f t="shared" si="2"/>
        <v>0</v>
      </c>
    </row>
    <row r="559" hidden="1">
      <c r="A559" s="13" t="s">
        <v>1030</v>
      </c>
      <c r="B559" s="34" t="s">
        <v>1061</v>
      </c>
      <c r="C559" s="5" t="s">
        <v>257</v>
      </c>
      <c r="D559" s="5" t="s">
        <v>7</v>
      </c>
      <c r="E559" s="35" t="str">
        <f>vlookup(C559,'Team Bye List'!$A$1:$B$33,2,False)</f>
        <v>#N/A</v>
      </c>
      <c r="F559" s="36">
        <f>if(ISNA(vlookup($A559, ESPN!$B$2:$E$1010, 4, false)), 0, vlookup($A559, ESPN!$B$2:$E$1010, 4, false))</f>
        <v>0</v>
      </c>
      <c r="G559" s="36">
        <f>if(ISNA(vlookup($A559,'Ultimate Draft Kit'!$B$2:$E$201,4, false)), 0, vlookup($A559,'Ultimate Draft Kit'!$B$2:$E$201, 4, false))</f>
        <v>0</v>
      </c>
      <c r="H559" s="36">
        <f>if(ISNA(vlookup($A559, FantasyPro!$B$2:$E$514,4,false)),0,vlookup($A559,FantasyPro!$B$2:$E$514,4,false))</f>
        <v>0</v>
      </c>
      <c r="I559" s="36">
        <f>if(ISNA(vlookup($A559, FFToolbox!$B$2:$E$618, 4, false)), 0, vlookup($A559, FFToolbox!$B$2:$E$618, 4, false))</f>
        <v>0</v>
      </c>
      <c r="J559" s="37">
        <f t="shared" si="1"/>
        <v>0</v>
      </c>
      <c r="K559" s="37">
        <f t="shared" si="2"/>
        <v>0</v>
      </c>
    </row>
    <row r="560" hidden="1">
      <c r="A560" s="13" t="s">
        <v>815</v>
      </c>
      <c r="B560" s="34" t="s">
        <v>1061</v>
      </c>
      <c r="C560" s="5" t="s">
        <v>134</v>
      </c>
      <c r="D560" s="5" t="s">
        <v>7</v>
      </c>
      <c r="E560" s="35">
        <f>vlookup(C560,'Team Bye List'!$A$1:$B$33,2,False)</f>
        <v>11</v>
      </c>
      <c r="F560" s="36">
        <f>if(ISNA(vlookup($A560, ESPN!$B$2:$E$1010, 4, false)), 0, vlookup($A560, ESPN!$B$2:$E$1010, 4, false))</f>
        <v>0</v>
      </c>
      <c r="G560" s="36">
        <f>if(ISNA(vlookup($A560,'Ultimate Draft Kit'!$B$2:$E$201,4, false)), 0, vlookup($A560,'Ultimate Draft Kit'!$B$2:$E$201, 4, false))</f>
        <v>0</v>
      </c>
      <c r="H560" s="36">
        <f>if(ISNA(vlookup($A560, FantasyPro!$B$2:$E$514,4,false)),0,vlookup($A560,FantasyPro!$B$2:$E$514,4,false))</f>
        <v>0</v>
      </c>
      <c r="I560" s="36">
        <f>if(ISNA(vlookup($A560, FFToolbox!$B$2:$E$618, 4, false)), 0, vlookup($A560, FFToolbox!$B$2:$E$618, 4, false))</f>
        <v>0</v>
      </c>
      <c r="J560" s="37">
        <f t="shared" si="1"/>
        <v>0</v>
      </c>
      <c r="K560" s="37">
        <f t="shared" si="2"/>
        <v>0</v>
      </c>
    </row>
    <row r="561" hidden="1">
      <c r="A561" s="13" t="s">
        <v>806</v>
      </c>
      <c r="B561" s="34" t="s">
        <v>1061</v>
      </c>
      <c r="C561" s="5" t="s">
        <v>54</v>
      </c>
      <c r="D561" s="5" t="s">
        <v>7</v>
      </c>
      <c r="E561" s="35">
        <f>vlookup(C561,'Team Bye List'!$A$1:$B$33,2,False)</f>
        <v>9</v>
      </c>
      <c r="F561" s="36">
        <f>if(ISNA(vlookup($A561, ESPN!$B$2:$E$1010, 4, false)), 0, vlookup($A561, ESPN!$B$2:$E$1010, 4, false))</f>
        <v>0</v>
      </c>
      <c r="G561" s="36">
        <f>if(ISNA(vlookup($A561,'Ultimate Draft Kit'!$B$2:$E$201,4, false)), 0, vlookup($A561,'Ultimate Draft Kit'!$B$2:$E$201, 4, false))</f>
        <v>0</v>
      </c>
      <c r="H561" s="36">
        <f>if(ISNA(vlookup($A561, FantasyPro!$B$2:$E$514,4,false)),0,vlookup($A561,FantasyPro!$B$2:$E$514,4,false))</f>
        <v>0</v>
      </c>
      <c r="I561" s="36">
        <f>if(ISNA(vlookup($A561, FFToolbox!$B$2:$E$618, 4, false)), 0, vlookup($A561, FFToolbox!$B$2:$E$618, 4, false))</f>
        <v>0</v>
      </c>
      <c r="J561" s="37">
        <f t="shared" si="1"/>
        <v>0</v>
      </c>
      <c r="K561" s="37">
        <f t="shared" si="2"/>
        <v>0</v>
      </c>
    </row>
    <row r="562" hidden="1">
      <c r="A562" s="13" t="s">
        <v>810</v>
      </c>
      <c r="B562" s="34" t="s">
        <v>1061</v>
      </c>
      <c r="C562" s="5" t="s">
        <v>59</v>
      </c>
      <c r="D562" s="5" t="s">
        <v>7</v>
      </c>
      <c r="E562" s="35">
        <f>vlookup(C562,'Team Bye List'!$A$1:$B$33,2,False)</f>
        <v>8</v>
      </c>
      <c r="F562" s="36">
        <f>if(ISNA(vlookup($A562, ESPN!$B$2:$E$1010, 4, false)), 0, vlookup($A562, ESPN!$B$2:$E$1010, 4, false))</f>
        <v>0</v>
      </c>
      <c r="G562" s="36">
        <f>if(ISNA(vlookup($A562,'Ultimate Draft Kit'!$B$2:$E$201,4, false)), 0, vlookup($A562,'Ultimate Draft Kit'!$B$2:$E$201, 4, false))</f>
        <v>0</v>
      </c>
      <c r="H562" s="36">
        <f>if(ISNA(vlookup($A562, FantasyPro!$B$2:$E$514,4,false)),0,vlookup($A562,FantasyPro!$B$2:$E$514,4,false))</f>
        <v>0</v>
      </c>
      <c r="I562" s="36">
        <f>if(ISNA(vlookup($A562, FFToolbox!$B$2:$E$618, 4, false)), 0, vlookup($A562, FFToolbox!$B$2:$E$618, 4, false))</f>
        <v>0</v>
      </c>
      <c r="J562" s="37">
        <f t="shared" si="1"/>
        <v>0</v>
      </c>
      <c r="K562" s="37">
        <f t="shared" si="2"/>
        <v>0</v>
      </c>
    </row>
    <row r="563" hidden="1">
      <c r="A563" s="13" t="s">
        <v>1001</v>
      </c>
      <c r="B563" s="34" t="s">
        <v>1061</v>
      </c>
      <c r="C563" s="5" t="s">
        <v>48</v>
      </c>
      <c r="D563" s="5" t="s">
        <v>10</v>
      </c>
      <c r="E563" s="35">
        <f>vlookup(C563,'Team Bye List'!$A$1:$B$33,2,False)</f>
        <v>11</v>
      </c>
      <c r="F563" s="36">
        <f>if(ISNA(vlookup($A563, ESPN!$B$2:$E$1010, 4, false)), 0, vlookup($A563, ESPN!$B$2:$E$1010, 4, false))</f>
        <v>0</v>
      </c>
      <c r="G563" s="36">
        <f>if(ISNA(vlookup($A563,'Ultimate Draft Kit'!$B$2:$E$201,4, false)), 0, vlookup($A563,'Ultimate Draft Kit'!$B$2:$E$201, 4, false))</f>
        <v>0</v>
      </c>
      <c r="H563" s="36">
        <f>if(ISNA(vlookup($A563, FantasyPro!$B$2:$E$514,4,false)),0,vlookup($A563,FantasyPro!$B$2:$E$514,4,false))</f>
        <v>0</v>
      </c>
      <c r="I563" s="36">
        <f>if(ISNA(vlookup($A563, FFToolbox!$B$2:$E$618, 4, false)), 0, vlookup($A563, FFToolbox!$B$2:$E$618, 4, false))</f>
        <v>0</v>
      </c>
      <c r="J563" s="37">
        <f t="shared" si="1"/>
        <v>0</v>
      </c>
      <c r="K563" s="37">
        <f t="shared" si="2"/>
        <v>0</v>
      </c>
    </row>
    <row r="564" hidden="1">
      <c r="A564" s="13" t="s">
        <v>805</v>
      </c>
      <c r="B564" s="34" t="s">
        <v>1061</v>
      </c>
      <c r="C564" s="5" t="s">
        <v>233</v>
      </c>
      <c r="D564" s="5" t="s">
        <v>7</v>
      </c>
      <c r="E564" s="35">
        <f>vlookup(C564,'Team Bye List'!$A$1:$B$33,2,False)</f>
        <v>9</v>
      </c>
      <c r="F564" s="36">
        <f>if(ISNA(vlookup($A564, ESPN!$B$2:$E$1010, 4, false)), 0, vlookup($A564, ESPN!$B$2:$E$1010, 4, false))</f>
        <v>0</v>
      </c>
      <c r="G564" s="36">
        <f>if(ISNA(vlookup($A564,'Ultimate Draft Kit'!$B$2:$E$201,4, false)), 0, vlookup($A564,'Ultimate Draft Kit'!$B$2:$E$201, 4, false))</f>
        <v>0</v>
      </c>
      <c r="H564" s="36">
        <f>if(ISNA(vlookup($A564, FantasyPro!$B$2:$E$514,4,false)),0,vlookup($A564,FantasyPro!$B$2:$E$514,4,false))</f>
        <v>0</v>
      </c>
      <c r="I564" s="36">
        <f>if(ISNA(vlookup($A564, FFToolbox!$B$2:$E$618, 4, false)), 0, vlookup($A564, FFToolbox!$B$2:$E$618, 4, false))</f>
        <v>0</v>
      </c>
      <c r="J564" s="37">
        <f t="shared" si="1"/>
        <v>0</v>
      </c>
      <c r="K564" s="37">
        <f t="shared" si="2"/>
        <v>0</v>
      </c>
    </row>
    <row r="565" hidden="1">
      <c r="A565" s="13" t="s">
        <v>805</v>
      </c>
      <c r="B565" s="34" t="s">
        <v>1061</v>
      </c>
      <c r="C565" s="5" t="s">
        <v>233</v>
      </c>
      <c r="D565" s="5" t="s">
        <v>7</v>
      </c>
      <c r="E565" s="35">
        <f>vlookup(C565,'Team Bye List'!$A$1:$B$33,2,False)</f>
        <v>9</v>
      </c>
      <c r="F565" s="36">
        <f>if(ISNA(vlookup($A565, ESPN!$B$2:$E$1010, 4, false)), 0, vlookup($A565, ESPN!$B$2:$E$1010, 4, false))</f>
        <v>0</v>
      </c>
      <c r="G565" s="36">
        <f>if(ISNA(vlookup($A565,'Ultimate Draft Kit'!$B$2:$E$201,4, false)), 0, vlookup($A565,'Ultimate Draft Kit'!$B$2:$E$201, 4, false))</f>
        <v>0</v>
      </c>
      <c r="H565" s="36">
        <f>if(ISNA(vlookup($A565, FantasyPro!$B$2:$E$514,4,false)),0,vlookup($A565,FantasyPro!$B$2:$E$514,4,false))</f>
        <v>0</v>
      </c>
      <c r="I565" s="36">
        <f>if(ISNA(vlookup($A565, FFToolbox!$B$2:$E$618, 4, false)), 0, vlookup($A565, FFToolbox!$B$2:$E$618, 4, false))</f>
        <v>0</v>
      </c>
      <c r="J565" s="37">
        <f t="shared" si="1"/>
        <v>0</v>
      </c>
      <c r="K565" s="37">
        <f t="shared" si="2"/>
        <v>0</v>
      </c>
    </row>
    <row r="566" hidden="1">
      <c r="A566" s="13" t="s">
        <v>809</v>
      </c>
      <c r="B566" s="34" t="s">
        <v>1061</v>
      </c>
      <c r="C566" s="5" t="s">
        <v>32</v>
      </c>
      <c r="D566" s="5" t="s">
        <v>7</v>
      </c>
      <c r="E566" s="35">
        <f>vlookup(C566,'Team Bye List'!$A$1:$B$33,2,False)</f>
        <v>9</v>
      </c>
      <c r="F566" s="36">
        <f>if(ISNA(vlookup($A566, ESPN!$B$2:$E$1010, 4, false)), 0, vlookup($A566, ESPN!$B$2:$E$1010, 4, false))</f>
        <v>0</v>
      </c>
      <c r="G566" s="36">
        <f>if(ISNA(vlookup($A566,'Ultimate Draft Kit'!$B$2:$E$201,4, false)), 0, vlookup($A566,'Ultimate Draft Kit'!$B$2:$E$201, 4, false))</f>
        <v>0</v>
      </c>
      <c r="H566" s="36">
        <f>if(ISNA(vlookup($A566, FantasyPro!$B$2:$E$514,4,false)),0,vlookup($A566,FantasyPro!$B$2:$E$514,4,false))</f>
        <v>0</v>
      </c>
      <c r="I566" s="36">
        <f>if(ISNA(vlookup($A566, FFToolbox!$B$2:$E$618, 4, false)), 0, vlookup($A566, FFToolbox!$B$2:$E$618, 4, false))</f>
        <v>0</v>
      </c>
      <c r="J566" s="37">
        <f t="shared" si="1"/>
        <v>0</v>
      </c>
      <c r="K566" s="37">
        <f t="shared" si="2"/>
        <v>0</v>
      </c>
    </row>
    <row r="567" hidden="1">
      <c r="A567" s="13" t="s">
        <v>811</v>
      </c>
      <c r="B567" s="34" t="s">
        <v>1061</v>
      </c>
      <c r="C567" s="5" t="s">
        <v>48</v>
      </c>
      <c r="D567" s="5" t="s">
        <v>7</v>
      </c>
      <c r="E567" s="35">
        <f>vlookup(C567,'Team Bye List'!$A$1:$B$33,2,False)</f>
        <v>11</v>
      </c>
      <c r="F567" s="36">
        <f>if(ISNA(vlookup($A567, ESPN!$B$2:$E$1010, 4, false)), 0, vlookup($A567, ESPN!$B$2:$E$1010, 4, false))</f>
        <v>0</v>
      </c>
      <c r="G567" s="36">
        <f>if(ISNA(vlookup($A567,'Ultimate Draft Kit'!$B$2:$E$201,4, false)), 0, vlookup($A567,'Ultimate Draft Kit'!$B$2:$E$201, 4, false))</f>
        <v>0</v>
      </c>
      <c r="H567" s="36">
        <f>if(ISNA(vlookup($A567, FantasyPro!$B$2:$E$514,4,false)),0,vlookup($A567,FantasyPro!$B$2:$E$514,4,false))</f>
        <v>0</v>
      </c>
      <c r="I567" s="36">
        <f>if(ISNA(vlookup($A567, FFToolbox!$B$2:$E$618, 4, false)), 0, vlookup($A567, FFToolbox!$B$2:$E$618, 4, false))</f>
        <v>0</v>
      </c>
      <c r="J567" s="37">
        <f t="shared" si="1"/>
        <v>0</v>
      </c>
      <c r="K567" s="37">
        <f t="shared" si="2"/>
        <v>0</v>
      </c>
    </row>
    <row r="568" hidden="1">
      <c r="A568" s="13" t="s">
        <v>807</v>
      </c>
      <c r="B568" s="34" t="s">
        <v>1061</v>
      </c>
      <c r="C568" s="5" t="s">
        <v>77</v>
      </c>
      <c r="D568" s="5" t="s">
        <v>7</v>
      </c>
      <c r="E568" s="35">
        <f>vlookup(C568,'Team Bye List'!$A$1:$B$33,2,False)</f>
        <v>11</v>
      </c>
      <c r="F568" s="36">
        <f>if(ISNA(vlookup($A568, ESPN!$B$2:$E$1010, 4, false)), 0, vlookup($A568, ESPN!$B$2:$E$1010, 4, false))</f>
        <v>0</v>
      </c>
      <c r="G568" s="36">
        <f>if(ISNA(vlookup($A568,'Ultimate Draft Kit'!$B$2:$E$201,4, false)), 0, vlookup($A568,'Ultimate Draft Kit'!$B$2:$E$201, 4, false))</f>
        <v>0</v>
      </c>
      <c r="H568" s="36">
        <f>if(ISNA(vlookup($A568, FantasyPro!$B$2:$E$514,4,false)),0,vlookup($A568,FantasyPro!$B$2:$E$514,4,false))</f>
        <v>0</v>
      </c>
      <c r="I568" s="36">
        <f>if(ISNA(vlookup($A568, FFToolbox!$B$2:$E$618, 4, false)), 0, vlookup($A568, FFToolbox!$B$2:$E$618, 4, false))</f>
        <v>0</v>
      </c>
      <c r="J568" s="37">
        <f t="shared" si="1"/>
        <v>0</v>
      </c>
      <c r="K568" s="37">
        <f t="shared" si="2"/>
        <v>0</v>
      </c>
    </row>
    <row r="569" hidden="1">
      <c r="A569" s="13" t="s">
        <v>808</v>
      </c>
      <c r="B569" s="34" t="s">
        <v>1061</v>
      </c>
      <c r="C569" s="5" t="s">
        <v>48</v>
      </c>
      <c r="D569" s="5" t="s">
        <v>7</v>
      </c>
      <c r="E569" s="35">
        <f>vlookup(C569,'Team Bye List'!$A$1:$B$33,2,False)</f>
        <v>11</v>
      </c>
      <c r="F569" s="36">
        <f>if(ISNA(vlookup($A569, ESPN!$B$2:$E$1010, 4, false)), 0, vlookup($A569, ESPN!$B$2:$E$1010, 4, false))</f>
        <v>0</v>
      </c>
      <c r="G569" s="36">
        <f>if(ISNA(vlookup($A569,'Ultimate Draft Kit'!$B$2:$E$201,4, false)), 0, vlookup($A569,'Ultimate Draft Kit'!$B$2:$E$201, 4, false))</f>
        <v>0</v>
      </c>
      <c r="H569" s="36">
        <f>if(ISNA(vlookup($A569, FantasyPro!$B$2:$E$514,4,false)),0,vlookup($A569,FantasyPro!$B$2:$E$514,4,false))</f>
        <v>0</v>
      </c>
      <c r="I569" s="36">
        <f>if(ISNA(vlookup($A569, FFToolbox!$B$2:$E$618, 4, false)), 0, vlookup($A569, FFToolbox!$B$2:$E$618, 4, false))</f>
        <v>0</v>
      </c>
      <c r="J569" s="37">
        <f t="shared" si="1"/>
        <v>0</v>
      </c>
      <c r="K569" s="37">
        <f t="shared" si="2"/>
        <v>0</v>
      </c>
    </row>
    <row r="570" hidden="1">
      <c r="A570" s="13" t="s">
        <v>803</v>
      </c>
      <c r="B570" s="34" t="s">
        <v>1061</v>
      </c>
      <c r="C570" s="5" t="s">
        <v>9</v>
      </c>
      <c r="D570" s="5" t="s">
        <v>7</v>
      </c>
      <c r="E570" s="35">
        <f>vlookup(C570,'Team Bye List'!$A$1:$B$33,2,False)</f>
        <v>10</v>
      </c>
      <c r="F570" s="36">
        <f>if(ISNA(vlookup($A570, ESPN!$B$2:$E$1010, 4, false)), 0, vlookup($A570, ESPN!$B$2:$E$1010, 4, false))</f>
        <v>0</v>
      </c>
      <c r="G570" s="36">
        <f>if(ISNA(vlookup($A570,'Ultimate Draft Kit'!$B$2:$E$201,4, false)), 0, vlookup($A570,'Ultimate Draft Kit'!$B$2:$E$201, 4, false))</f>
        <v>0</v>
      </c>
      <c r="H570" s="36">
        <f>if(ISNA(vlookup($A570, FantasyPro!$B$2:$E$514,4,false)),0,vlookup($A570,FantasyPro!$B$2:$E$514,4,false))</f>
        <v>0</v>
      </c>
      <c r="I570" s="36">
        <f>if(ISNA(vlookup($A570, FFToolbox!$B$2:$E$618, 4, false)), 0, vlookup($A570, FFToolbox!$B$2:$E$618, 4, false))</f>
        <v>0</v>
      </c>
      <c r="J570" s="37">
        <f t="shared" si="1"/>
        <v>0</v>
      </c>
      <c r="K570" s="37">
        <f t="shared" si="2"/>
        <v>0</v>
      </c>
    </row>
    <row r="571" hidden="1">
      <c r="A571" s="13" t="s">
        <v>800</v>
      </c>
      <c r="B571" s="34" t="s">
        <v>1061</v>
      </c>
      <c r="C571" s="5" t="s">
        <v>29</v>
      </c>
      <c r="D571" s="5" t="s">
        <v>7</v>
      </c>
      <c r="E571" s="35">
        <f>vlookup(C571,'Team Bye List'!$A$1:$B$33,2,False)</f>
        <v>11</v>
      </c>
      <c r="F571" s="36">
        <f>if(ISNA(vlookup($A571, ESPN!$B$2:$E$1010, 4, false)), 0, vlookup($A571, ESPN!$B$2:$E$1010, 4, false))</f>
        <v>0</v>
      </c>
      <c r="G571" s="36">
        <f>if(ISNA(vlookup($A571,'Ultimate Draft Kit'!$B$2:$E$201,4, false)), 0, vlookup($A571,'Ultimate Draft Kit'!$B$2:$E$201, 4, false))</f>
        <v>0</v>
      </c>
      <c r="H571" s="36">
        <f>if(ISNA(vlookup($A571, FantasyPro!$B$2:$E$514,4,false)),0,vlookup($A571,FantasyPro!$B$2:$E$514,4,false))</f>
        <v>0</v>
      </c>
      <c r="I571" s="36">
        <f>if(ISNA(vlookup($A571, FFToolbox!$B$2:$E$618, 4, false)), 0, vlookup($A571, FFToolbox!$B$2:$E$618, 4, false))</f>
        <v>0</v>
      </c>
      <c r="J571" s="37">
        <f t="shared" si="1"/>
        <v>0</v>
      </c>
      <c r="K571" s="37">
        <f t="shared" si="2"/>
        <v>0</v>
      </c>
    </row>
    <row r="572" hidden="1">
      <c r="A572" s="13" t="s">
        <v>802</v>
      </c>
      <c r="B572" s="34" t="s">
        <v>1061</v>
      </c>
      <c r="C572" s="5" t="s">
        <v>34</v>
      </c>
      <c r="D572" s="5" t="s">
        <v>7</v>
      </c>
      <c r="E572" s="35">
        <f>vlookup(C572,'Team Bye List'!$A$1:$B$33,2,False)</f>
        <v>7</v>
      </c>
      <c r="F572" s="36">
        <f>if(ISNA(vlookup($A572, ESPN!$B$2:$E$1010, 4, false)), 0, vlookup($A572, ESPN!$B$2:$E$1010, 4, false))</f>
        <v>0</v>
      </c>
      <c r="G572" s="36">
        <f>if(ISNA(vlookup($A572,'Ultimate Draft Kit'!$B$2:$E$201,4, false)), 0, vlookup($A572,'Ultimate Draft Kit'!$B$2:$E$201, 4, false))</f>
        <v>0</v>
      </c>
      <c r="H572" s="36">
        <f>if(ISNA(vlookup($A572, FantasyPro!$B$2:$E$514,4,false)),0,vlookup($A572,FantasyPro!$B$2:$E$514,4,false))</f>
        <v>0</v>
      </c>
      <c r="I572" s="36">
        <f>if(ISNA(vlookup($A572, FFToolbox!$B$2:$E$618, 4, false)), 0, vlookup($A572, FFToolbox!$B$2:$E$618, 4, false))</f>
        <v>0</v>
      </c>
      <c r="J572" s="37">
        <f t="shared" si="1"/>
        <v>0</v>
      </c>
      <c r="K572" s="37">
        <f t="shared" si="2"/>
        <v>0</v>
      </c>
    </row>
    <row r="573" hidden="1">
      <c r="A573" s="13" t="s">
        <v>804</v>
      </c>
      <c r="B573" s="34" t="s">
        <v>1061</v>
      </c>
      <c r="C573" s="5" t="s">
        <v>102</v>
      </c>
      <c r="D573" s="5" t="s">
        <v>7</v>
      </c>
      <c r="E573" s="35">
        <f>vlookup(C573,'Team Bye List'!$A$1:$B$33,2,False)</f>
        <v>11</v>
      </c>
      <c r="F573" s="36">
        <f>if(ISNA(vlookup($A573, ESPN!$B$2:$E$1010, 4, false)), 0, vlookup($A573, ESPN!$B$2:$E$1010, 4, false))</f>
        <v>0</v>
      </c>
      <c r="G573" s="36">
        <f>if(ISNA(vlookup($A573,'Ultimate Draft Kit'!$B$2:$E$201,4, false)), 0, vlookup($A573,'Ultimate Draft Kit'!$B$2:$E$201, 4, false))</f>
        <v>0</v>
      </c>
      <c r="H573" s="36">
        <f>if(ISNA(vlookup($A573, FantasyPro!$B$2:$E$514,4,false)),0,vlookup($A573,FantasyPro!$B$2:$E$514,4,false))</f>
        <v>0</v>
      </c>
      <c r="I573" s="36">
        <f>if(ISNA(vlookup($A573, FFToolbox!$B$2:$E$618, 4, false)), 0, vlookup($A573, FFToolbox!$B$2:$E$618, 4, false))</f>
        <v>0</v>
      </c>
      <c r="J573" s="37">
        <f t="shared" si="1"/>
        <v>0</v>
      </c>
      <c r="K573" s="37">
        <f t="shared" si="2"/>
        <v>0</v>
      </c>
    </row>
    <row r="574" hidden="1">
      <c r="A574" s="13" t="s">
        <v>804</v>
      </c>
      <c r="B574" s="34" t="s">
        <v>1061</v>
      </c>
      <c r="C574" s="5" t="s">
        <v>102</v>
      </c>
      <c r="D574" s="5" t="s">
        <v>7</v>
      </c>
      <c r="E574" s="35">
        <f>vlookup(C574,'Team Bye List'!$A$1:$B$33,2,False)</f>
        <v>11</v>
      </c>
      <c r="F574" s="36">
        <f>if(ISNA(vlookup($A574, ESPN!$B$2:$E$1010, 4, false)), 0, vlookup($A574, ESPN!$B$2:$E$1010, 4, false))</f>
        <v>0</v>
      </c>
      <c r="G574" s="36">
        <f>if(ISNA(vlookup($A574,'Ultimate Draft Kit'!$B$2:$E$201,4, false)), 0, vlookup($A574,'Ultimate Draft Kit'!$B$2:$E$201, 4, false))</f>
        <v>0</v>
      </c>
      <c r="H574" s="36">
        <f>if(ISNA(vlookup($A574, FantasyPro!$B$2:$E$514,4,false)),0,vlookup($A574,FantasyPro!$B$2:$E$514,4,false))</f>
        <v>0</v>
      </c>
      <c r="I574" s="36">
        <f>if(ISNA(vlookup($A574, FFToolbox!$B$2:$E$618, 4, false)), 0, vlookup($A574, FFToolbox!$B$2:$E$618, 4, false))</f>
        <v>0</v>
      </c>
      <c r="J574" s="37">
        <f t="shared" si="1"/>
        <v>0</v>
      </c>
      <c r="K574" s="37">
        <f t="shared" si="2"/>
        <v>0</v>
      </c>
    </row>
    <row r="575" hidden="1">
      <c r="A575" s="13" t="s">
        <v>1074</v>
      </c>
      <c r="B575" s="34" t="s">
        <v>1061</v>
      </c>
      <c r="C575" s="5" t="s">
        <v>32</v>
      </c>
      <c r="D575" s="5" t="s">
        <v>25</v>
      </c>
      <c r="E575" s="35">
        <f>vlookup(C575,'Team Bye List'!$A$1:$B$33,2,False)</f>
        <v>9</v>
      </c>
      <c r="F575" s="36">
        <f>if(ISNA(vlookup($A575, ESPN!$B$2:$E$1010, 4, false)), 0, vlookup($A575, ESPN!$B$2:$E$1010, 4, false))</f>
        <v>0</v>
      </c>
      <c r="G575" s="36">
        <f>if(ISNA(vlookup($A575,'Ultimate Draft Kit'!$B$2:$E$201,4, false)), 0, vlookup($A575,'Ultimate Draft Kit'!$B$2:$E$201, 4, false))</f>
        <v>0</v>
      </c>
      <c r="H575" s="36">
        <f>if(ISNA(vlookup($A575, FantasyPro!$B$2:$E$514,4,false)),0,vlookup($A575,FantasyPro!$B$2:$E$514,4,false))</f>
        <v>0</v>
      </c>
      <c r="I575" s="36">
        <f>if(ISNA(vlookup($A575, FFToolbox!$B$2:$E$618, 4, false)), 0, vlookup($A575, FFToolbox!$B$2:$E$618, 4, false))</f>
        <v>0</v>
      </c>
      <c r="J575" s="37">
        <f t="shared" si="1"/>
        <v>0</v>
      </c>
      <c r="K575" s="37">
        <f t="shared" si="2"/>
        <v>0</v>
      </c>
    </row>
    <row r="576" hidden="1">
      <c r="A576" s="13" t="s">
        <v>799</v>
      </c>
      <c r="B576" s="34" t="s">
        <v>1061</v>
      </c>
      <c r="C576" s="5" t="s">
        <v>69</v>
      </c>
      <c r="D576" s="5" t="s">
        <v>7</v>
      </c>
      <c r="E576" s="35">
        <f>vlookup(C576,'Team Bye List'!$A$1:$B$33,2,False)</f>
        <v>5</v>
      </c>
      <c r="F576" s="36">
        <f>if(ISNA(vlookup($A576, ESPN!$B$2:$E$1010, 4, false)), 0, vlookup($A576, ESPN!$B$2:$E$1010, 4, false))</f>
        <v>0</v>
      </c>
      <c r="G576" s="36">
        <f>if(ISNA(vlookup($A576,'Ultimate Draft Kit'!$B$2:$E$201,4, false)), 0, vlookup($A576,'Ultimate Draft Kit'!$B$2:$E$201, 4, false))</f>
        <v>0</v>
      </c>
      <c r="H576" s="36">
        <f>if(ISNA(vlookup($A576, FantasyPro!$B$2:$E$514,4,false)),0,vlookup($A576,FantasyPro!$B$2:$E$514,4,false))</f>
        <v>0</v>
      </c>
      <c r="I576" s="36">
        <f>if(ISNA(vlookup($A576, FFToolbox!$B$2:$E$618, 4, false)), 0, vlookup($A576, FFToolbox!$B$2:$E$618, 4, false))</f>
        <v>0</v>
      </c>
      <c r="J576" s="37">
        <f t="shared" si="1"/>
        <v>0</v>
      </c>
      <c r="K576" s="37">
        <f t="shared" si="2"/>
        <v>0</v>
      </c>
    </row>
    <row r="577" hidden="1">
      <c r="A577" s="13" t="s">
        <v>801</v>
      </c>
      <c r="B577" s="34" t="s">
        <v>1061</v>
      </c>
      <c r="C577" s="5" t="s">
        <v>56</v>
      </c>
      <c r="D577" s="5" t="s">
        <v>7</v>
      </c>
      <c r="E577" s="35">
        <f>vlookup(C577,'Team Bye List'!$A$1:$B$33,2,False)</f>
        <v>5</v>
      </c>
      <c r="F577" s="36">
        <f>if(ISNA(vlookup($A577, ESPN!$B$2:$E$1010, 4, false)), 0, vlookup($A577, ESPN!$B$2:$E$1010, 4, false))</f>
        <v>0</v>
      </c>
      <c r="G577" s="36">
        <f>if(ISNA(vlookup($A577,'Ultimate Draft Kit'!$B$2:$E$201,4, false)), 0, vlookup($A577,'Ultimate Draft Kit'!$B$2:$E$201, 4, false))</f>
        <v>0</v>
      </c>
      <c r="H577" s="36">
        <f>if(ISNA(vlookup($A577, FantasyPro!$B$2:$E$514,4,false)),0,vlookup($A577,FantasyPro!$B$2:$E$514,4,false))</f>
        <v>0</v>
      </c>
      <c r="I577" s="36">
        <f>if(ISNA(vlookup($A577, FFToolbox!$B$2:$E$618, 4, false)), 0, vlookup($A577, FFToolbox!$B$2:$E$618, 4, false))</f>
        <v>0</v>
      </c>
      <c r="J577" s="37">
        <f t="shared" si="1"/>
        <v>0</v>
      </c>
      <c r="K577" s="37">
        <f t="shared" si="2"/>
        <v>0</v>
      </c>
    </row>
    <row r="578" hidden="1">
      <c r="A578" s="13" t="s">
        <v>797</v>
      </c>
      <c r="B578" s="34" t="s">
        <v>1061</v>
      </c>
      <c r="C578" s="5" t="s">
        <v>12</v>
      </c>
      <c r="D578" s="5" t="s">
        <v>7</v>
      </c>
      <c r="E578" s="35">
        <f>vlookup(C578,'Team Bye List'!$A$1:$B$33,2,False)</f>
        <v>8</v>
      </c>
      <c r="F578" s="36">
        <f>if(ISNA(vlookup($A578, ESPN!$B$2:$E$1010, 4, false)), 0, vlookup($A578, ESPN!$B$2:$E$1010, 4, false))</f>
        <v>0</v>
      </c>
      <c r="G578" s="36">
        <f>if(ISNA(vlookup($A578,'Ultimate Draft Kit'!$B$2:$E$201,4, false)), 0, vlookup($A578,'Ultimate Draft Kit'!$B$2:$E$201, 4, false))</f>
        <v>0</v>
      </c>
      <c r="H578" s="36">
        <f>if(ISNA(vlookup($A578, FantasyPro!$B$2:$E$514,4,false)),0,vlookup($A578,FantasyPro!$B$2:$E$514,4,false))</f>
        <v>0</v>
      </c>
      <c r="I578" s="36">
        <f>if(ISNA(vlookup($A578, FFToolbox!$B$2:$E$618, 4, false)), 0, vlookup($A578, FFToolbox!$B$2:$E$618, 4, false))</f>
        <v>0</v>
      </c>
      <c r="J578" s="37">
        <f t="shared" si="1"/>
        <v>0</v>
      </c>
      <c r="K578" s="37">
        <f t="shared" si="2"/>
        <v>0</v>
      </c>
    </row>
    <row r="579" hidden="1">
      <c r="A579" s="13" t="s">
        <v>796</v>
      </c>
      <c r="B579" s="34" t="s">
        <v>1061</v>
      </c>
      <c r="C579" s="5" t="s">
        <v>18</v>
      </c>
      <c r="D579" s="5" t="s">
        <v>7</v>
      </c>
      <c r="E579" s="35">
        <f>vlookup(C579,'Team Bye List'!$A$1:$B$33,2,False)</f>
        <v>6</v>
      </c>
      <c r="F579" s="36">
        <f>if(ISNA(vlookup($A579, ESPN!$B$2:$E$1010, 4, false)), 0, vlookup($A579, ESPN!$B$2:$E$1010, 4, false))</f>
        <v>0</v>
      </c>
      <c r="G579" s="36">
        <f>if(ISNA(vlookup($A579,'Ultimate Draft Kit'!$B$2:$E$201,4, false)), 0, vlookup($A579,'Ultimate Draft Kit'!$B$2:$E$201, 4, false))</f>
        <v>0</v>
      </c>
      <c r="H579" s="36">
        <f>if(ISNA(vlookup($A579, FantasyPro!$B$2:$E$514,4,false)),0,vlookup($A579,FantasyPro!$B$2:$E$514,4,false))</f>
        <v>0</v>
      </c>
      <c r="I579" s="36">
        <f>if(ISNA(vlookup($A579, FFToolbox!$B$2:$E$618, 4, false)), 0, vlookup($A579, FFToolbox!$B$2:$E$618, 4, false))</f>
        <v>0</v>
      </c>
      <c r="J579" s="37">
        <f t="shared" si="1"/>
        <v>0</v>
      </c>
      <c r="K579" s="37">
        <f t="shared" si="2"/>
        <v>0</v>
      </c>
    </row>
    <row r="580" hidden="1">
      <c r="A580" s="13" t="s">
        <v>794</v>
      </c>
      <c r="B580" s="34" t="s">
        <v>1061</v>
      </c>
      <c r="C580" s="5" t="s">
        <v>22</v>
      </c>
      <c r="D580" s="5" t="s">
        <v>7</v>
      </c>
      <c r="E580" s="35">
        <f>vlookup(C580,'Team Bye List'!$A$1:$B$33,2,False)</f>
        <v>7</v>
      </c>
      <c r="F580" s="36">
        <f>if(ISNA(vlookup($A580, ESPN!$B$2:$E$1010, 4, false)), 0, vlookup($A580, ESPN!$B$2:$E$1010, 4, false))</f>
        <v>0</v>
      </c>
      <c r="G580" s="36">
        <f>if(ISNA(vlookup($A580,'Ultimate Draft Kit'!$B$2:$E$201,4, false)), 0, vlookup($A580,'Ultimate Draft Kit'!$B$2:$E$201, 4, false))</f>
        <v>0</v>
      </c>
      <c r="H580" s="36">
        <f>if(ISNA(vlookup($A580, FantasyPro!$B$2:$E$514,4,false)),0,vlookup($A580,FantasyPro!$B$2:$E$514,4,false))</f>
        <v>0</v>
      </c>
      <c r="I580" s="36">
        <f>if(ISNA(vlookup($A580, FFToolbox!$B$2:$E$618, 4, false)), 0, vlookup($A580, FFToolbox!$B$2:$E$618, 4, false))</f>
        <v>0</v>
      </c>
      <c r="J580" s="37">
        <f t="shared" si="1"/>
        <v>0</v>
      </c>
      <c r="K580" s="37">
        <f t="shared" si="2"/>
        <v>0</v>
      </c>
    </row>
    <row r="581" hidden="1">
      <c r="A581" s="13" t="s">
        <v>792</v>
      </c>
      <c r="B581" s="34" t="s">
        <v>1061</v>
      </c>
      <c r="C581" s="5" t="s">
        <v>14</v>
      </c>
      <c r="D581" s="5" t="s">
        <v>7</v>
      </c>
      <c r="E581" s="35">
        <f>vlookup(C581,'Team Bye List'!$A$1:$B$33,2,False)</f>
        <v>10</v>
      </c>
      <c r="F581" s="36">
        <f>if(ISNA(vlookup($A581, ESPN!$B$2:$E$1010, 4, false)), 0, vlookup($A581, ESPN!$B$2:$E$1010, 4, false))</f>
        <v>0</v>
      </c>
      <c r="G581" s="36">
        <f>if(ISNA(vlookup($A581,'Ultimate Draft Kit'!$B$2:$E$201,4, false)), 0, vlookup($A581,'Ultimate Draft Kit'!$B$2:$E$201, 4, false))</f>
        <v>0</v>
      </c>
      <c r="H581" s="36">
        <f>if(ISNA(vlookup($A581, FantasyPro!$B$2:$E$514,4,false)),0,vlookup($A581,FantasyPro!$B$2:$E$514,4,false))</f>
        <v>0</v>
      </c>
      <c r="I581" s="36">
        <f>if(ISNA(vlookup($A581, FFToolbox!$B$2:$E$618, 4, false)), 0, vlookup($A581, FFToolbox!$B$2:$E$618, 4, false))</f>
        <v>0</v>
      </c>
      <c r="J581" s="37">
        <f t="shared" si="1"/>
        <v>0</v>
      </c>
      <c r="K581" s="37">
        <f t="shared" si="2"/>
        <v>0</v>
      </c>
    </row>
    <row r="582" hidden="1">
      <c r="A582" s="13" t="s">
        <v>792</v>
      </c>
      <c r="B582" s="34" t="s">
        <v>1061</v>
      </c>
      <c r="C582" s="5" t="s">
        <v>14</v>
      </c>
      <c r="D582" s="5" t="s">
        <v>7</v>
      </c>
      <c r="E582" s="35">
        <f>vlookup(C582,'Team Bye List'!$A$1:$B$33,2,False)</f>
        <v>10</v>
      </c>
      <c r="F582" s="36">
        <f>if(ISNA(vlookup($A582, ESPN!$B$2:$E$1010, 4, false)), 0, vlookup($A582, ESPN!$B$2:$E$1010, 4, false))</f>
        <v>0</v>
      </c>
      <c r="G582" s="36">
        <f>if(ISNA(vlookup($A582,'Ultimate Draft Kit'!$B$2:$E$201,4, false)), 0, vlookup($A582,'Ultimate Draft Kit'!$B$2:$E$201, 4, false))</f>
        <v>0</v>
      </c>
      <c r="H582" s="36">
        <f>if(ISNA(vlookup($A582, FantasyPro!$B$2:$E$514,4,false)),0,vlookup($A582,FantasyPro!$B$2:$E$514,4,false))</f>
        <v>0</v>
      </c>
      <c r="I582" s="36">
        <f>if(ISNA(vlookup($A582, FFToolbox!$B$2:$E$618, 4, false)), 0, vlookup($A582, FFToolbox!$B$2:$E$618, 4, false))</f>
        <v>0</v>
      </c>
      <c r="J582" s="37">
        <f t="shared" si="1"/>
        <v>0</v>
      </c>
      <c r="K582" s="37">
        <f t="shared" si="2"/>
        <v>0</v>
      </c>
    </row>
    <row r="583" hidden="1">
      <c r="A583" s="13" t="s">
        <v>996</v>
      </c>
      <c r="B583" s="34" t="s">
        <v>1061</v>
      </c>
      <c r="C583" s="5" t="s">
        <v>257</v>
      </c>
      <c r="D583" s="5" t="s">
        <v>10</v>
      </c>
      <c r="E583" s="35" t="str">
        <f>vlookup(C583,'Team Bye List'!$A$1:$B$33,2,False)</f>
        <v>#N/A</v>
      </c>
      <c r="F583" s="36">
        <f>if(ISNA(vlookup($A583, ESPN!$B$2:$E$1010, 4, false)), 0, vlookup($A583, ESPN!$B$2:$E$1010, 4, false))</f>
        <v>0</v>
      </c>
      <c r="G583" s="36">
        <f>if(ISNA(vlookup($A583,'Ultimate Draft Kit'!$B$2:$E$201,4, false)), 0, vlookup($A583,'Ultimate Draft Kit'!$B$2:$E$201, 4, false))</f>
        <v>0</v>
      </c>
      <c r="H583" s="36">
        <f>if(ISNA(vlookup($A583, FantasyPro!$B$2:$E$514,4,false)),0,vlookup($A583,FantasyPro!$B$2:$E$514,4,false))</f>
        <v>0</v>
      </c>
      <c r="I583" s="36">
        <f>if(ISNA(vlookup($A583, FFToolbox!$B$2:$E$618, 4, false)), 0, vlookup($A583, FFToolbox!$B$2:$E$618, 4, false))</f>
        <v>0</v>
      </c>
      <c r="J583" s="37">
        <f t="shared" si="1"/>
        <v>0</v>
      </c>
      <c r="K583" s="37">
        <f t="shared" si="2"/>
        <v>0</v>
      </c>
    </row>
    <row r="584" hidden="1">
      <c r="A584" s="13" t="s">
        <v>787</v>
      </c>
      <c r="B584" s="34" t="s">
        <v>1061</v>
      </c>
      <c r="C584" s="5" t="s">
        <v>18</v>
      </c>
      <c r="D584" s="5" t="s">
        <v>7</v>
      </c>
      <c r="E584" s="35">
        <f>vlookup(C584,'Team Bye List'!$A$1:$B$33,2,False)</f>
        <v>6</v>
      </c>
      <c r="F584" s="36">
        <f>if(ISNA(vlookup($A584, ESPN!$B$2:$E$1010, 4, false)), 0, vlookup($A584, ESPN!$B$2:$E$1010, 4, false))</f>
        <v>0</v>
      </c>
      <c r="G584" s="36">
        <f>if(ISNA(vlookup($A584,'Ultimate Draft Kit'!$B$2:$E$201,4, false)), 0, vlookup($A584,'Ultimate Draft Kit'!$B$2:$E$201, 4, false))</f>
        <v>0</v>
      </c>
      <c r="H584" s="36">
        <f>if(ISNA(vlookup($A584, FantasyPro!$B$2:$E$514,4,false)),0,vlookup($A584,FantasyPro!$B$2:$E$514,4,false))</f>
        <v>0</v>
      </c>
      <c r="I584" s="36">
        <f>if(ISNA(vlookup($A584, FFToolbox!$B$2:$E$618, 4, false)), 0, vlookup($A584, FFToolbox!$B$2:$E$618, 4, false))</f>
        <v>0</v>
      </c>
      <c r="J584" s="37">
        <f t="shared" si="1"/>
        <v>0</v>
      </c>
      <c r="K584" s="37">
        <f t="shared" si="2"/>
        <v>0</v>
      </c>
    </row>
    <row r="585" hidden="1">
      <c r="A585" s="13" t="s">
        <v>790</v>
      </c>
      <c r="B585" s="34" t="s">
        <v>1061</v>
      </c>
      <c r="C585" s="5" t="s">
        <v>74</v>
      </c>
      <c r="D585" s="5" t="s">
        <v>7</v>
      </c>
      <c r="E585" s="35">
        <f>vlookup(C585,'Team Bye List'!$A$1:$B$33,2,False)</f>
        <v>7</v>
      </c>
      <c r="F585" s="36">
        <f>if(ISNA(vlookup($A585, ESPN!$B$2:$E$1010, 4, false)), 0, vlookup($A585, ESPN!$B$2:$E$1010, 4, false))</f>
        <v>0</v>
      </c>
      <c r="G585" s="36">
        <f>if(ISNA(vlookup($A585,'Ultimate Draft Kit'!$B$2:$E$201,4, false)), 0, vlookup($A585,'Ultimate Draft Kit'!$B$2:$E$201, 4, false))</f>
        <v>0</v>
      </c>
      <c r="H585" s="36">
        <f>if(ISNA(vlookup($A585, FantasyPro!$B$2:$E$514,4,false)),0,vlookup($A585,FantasyPro!$B$2:$E$514,4,false))</f>
        <v>0</v>
      </c>
      <c r="I585" s="36">
        <f>if(ISNA(vlookup($A585, FFToolbox!$B$2:$E$618, 4, false)), 0, vlookup($A585, FFToolbox!$B$2:$E$618, 4, false))</f>
        <v>0</v>
      </c>
      <c r="J585" s="37">
        <f t="shared" si="1"/>
        <v>0</v>
      </c>
      <c r="K585" s="37">
        <f t="shared" si="2"/>
        <v>0</v>
      </c>
    </row>
    <row r="586" hidden="1">
      <c r="A586" s="13" t="s">
        <v>788</v>
      </c>
      <c r="B586" s="34" t="s">
        <v>1061</v>
      </c>
      <c r="C586" s="5" t="s">
        <v>34</v>
      </c>
      <c r="D586" s="5" t="s">
        <v>7</v>
      </c>
      <c r="E586" s="35">
        <f>vlookup(C586,'Team Bye List'!$A$1:$B$33,2,False)</f>
        <v>7</v>
      </c>
      <c r="F586" s="36">
        <f>if(ISNA(vlookup($A586, ESPN!$B$2:$E$1010, 4, false)), 0, vlookup($A586, ESPN!$B$2:$E$1010, 4, false))</f>
        <v>0</v>
      </c>
      <c r="G586" s="36">
        <f>if(ISNA(vlookup($A586,'Ultimate Draft Kit'!$B$2:$E$201,4, false)), 0, vlookup($A586,'Ultimate Draft Kit'!$B$2:$E$201, 4, false))</f>
        <v>0</v>
      </c>
      <c r="H586" s="36">
        <f>if(ISNA(vlookup($A586, FantasyPro!$B$2:$E$514,4,false)),0,vlookup($A586,FantasyPro!$B$2:$E$514,4,false))</f>
        <v>0</v>
      </c>
      <c r="I586" s="36">
        <f>if(ISNA(vlookup($A586, FFToolbox!$B$2:$E$618, 4, false)), 0, vlookup($A586, FFToolbox!$B$2:$E$618, 4, false))</f>
        <v>0</v>
      </c>
      <c r="J586" s="37">
        <f t="shared" si="1"/>
        <v>0</v>
      </c>
      <c r="K586" s="37">
        <f t="shared" si="2"/>
        <v>0</v>
      </c>
    </row>
    <row r="587" hidden="1">
      <c r="A587" s="13" t="s">
        <v>786</v>
      </c>
      <c r="B587" s="34" t="s">
        <v>1061</v>
      </c>
      <c r="C587" s="5" t="s">
        <v>40</v>
      </c>
      <c r="D587" s="5" t="s">
        <v>7</v>
      </c>
      <c r="E587" s="35">
        <f>vlookup(C587,'Team Bye List'!$A$1:$B$33,2,False)</f>
        <v>6</v>
      </c>
      <c r="F587" s="36">
        <f>if(ISNA(vlookup($A587, ESPN!$B$2:$E$1010, 4, false)), 0, vlookup($A587, ESPN!$B$2:$E$1010, 4, false))</f>
        <v>0</v>
      </c>
      <c r="G587" s="36">
        <f>if(ISNA(vlookup($A587,'Ultimate Draft Kit'!$B$2:$E$201,4, false)), 0, vlookup($A587,'Ultimate Draft Kit'!$B$2:$E$201, 4, false))</f>
        <v>0</v>
      </c>
      <c r="H587" s="36">
        <f>if(ISNA(vlookup($A587, FantasyPro!$B$2:$E$514,4,false)),0,vlookup($A587,FantasyPro!$B$2:$E$514,4,false))</f>
        <v>0</v>
      </c>
      <c r="I587" s="36">
        <f>if(ISNA(vlookup($A587, FFToolbox!$B$2:$E$618, 4, false)), 0, vlookup($A587, FFToolbox!$B$2:$E$618, 4, false))</f>
        <v>0</v>
      </c>
      <c r="J587" s="37">
        <f t="shared" si="1"/>
        <v>0</v>
      </c>
      <c r="K587" s="37">
        <f t="shared" si="2"/>
        <v>0</v>
      </c>
    </row>
    <row r="588" hidden="1">
      <c r="A588" s="13" t="s">
        <v>781</v>
      </c>
      <c r="B588" s="34" t="s">
        <v>1061</v>
      </c>
      <c r="C588" s="5" t="s">
        <v>24</v>
      </c>
      <c r="D588" s="5" t="s">
        <v>7</v>
      </c>
      <c r="E588" s="35">
        <f>vlookup(C588,'Team Bye List'!$A$1:$B$33,2,False)</f>
        <v>6</v>
      </c>
      <c r="F588" s="36">
        <f>if(ISNA(vlookup($A588, ESPN!$B$2:$E$1010, 4, false)), 0, vlookup($A588, ESPN!$B$2:$E$1010, 4, false))</f>
        <v>0</v>
      </c>
      <c r="G588" s="36">
        <f>if(ISNA(vlookup($A588,'Ultimate Draft Kit'!$B$2:$E$201,4, false)), 0, vlookup($A588,'Ultimate Draft Kit'!$B$2:$E$201, 4, false))</f>
        <v>0</v>
      </c>
      <c r="H588" s="36">
        <f>if(ISNA(vlookup($A588, FantasyPro!$B$2:$E$514,4,false)),0,vlookup($A588,FantasyPro!$B$2:$E$514,4,false))</f>
        <v>0</v>
      </c>
      <c r="I588" s="36">
        <f>if(ISNA(vlookup($A588, FFToolbox!$B$2:$E$618, 4, false)), 0, vlookup($A588, FFToolbox!$B$2:$E$618, 4, false))</f>
        <v>0</v>
      </c>
      <c r="J588" s="37">
        <f t="shared" si="1"/>
        <v>0</v>
      </c>
      <c r="K588" s="37">
        <f t="shared" si="2"/>
        <v>0</v>
      </c>
    </row>
    <row r="589" hidden="1">
      <c r="A589" s="13" t="s">
        <v>997</v>
      </c>
      <c r="B589" s="34" t="s">
        <v>1061</v>
      </c>
      <c r="C589" s="5" t="s">
        <v>59</v>
      </c>
      <c r="D589" s="5" t="s">
        <v>10</v>
      </c>
      <c r="E589" s="35">
        <f>vlookup(C589,'Team Bye List'!$A$1:$B$33,2,False)</f>
        <v>8</v>
      </c>
      <c r="F589" s="36">
        <f>if(ISNA(vlookup($A589, ESPN!$B$2:$E$1010, 4, false)), 0, vlookup($A589, ESPN!$B$2:$E$1010, 4, false))</f>
        <v>0</v>
      </c>
      <c r="G589" s="36">
        <f>if(ISNA(vlookup($A589,'Ultimate Draft Kit'!$B$2:$E$201,4, false)), 0, vlookup($A589,'Ultimate Draft Kit'!$B$2:$E$201, 4, false))</f>
        <v>0</v>
      </c>
      <c r="H589" s="36">
        <f>if(ISNA(vlookup($A589, FantasyPro!$B$2:$E$514,4,false)),0,vlookup($A589,FantasyPro!$B$2:$E$514,4,false))</f>
        <v>0</v>
      </c>
      <c r="I589" s="36">
        <f>if(ISNA(vlookup($A589, FFToolbox!$B$2:$E$618, 4, false)), 0, vlookup($A589, FFToolbox!$B$2:$E$618, 4, false))</f>
        <v>0</v>
      </c>
      <c r="J589" s="37">
        <f t="shared" si="1"/>
        <v>0</v>
      </c>
      <c r="K589" s="37">
        <f t="shared" si="2"/>
        <v>0</v>
      </c>
    </row>
    <row r="590" hidden="1">
      <c r="A590" s="13" t="s">
        <v>1018</v>
      </c>
      <c r="B590" s="34" t="s">
        <v>1061</v>
      </c>
      <c r="C590" s="5" t="s">
        <v>257</v>
      </c>
      <c r="D590" s="5" t="s">
        <v>7</v>
      </c>
      <c r="E590" s="35" t="str">
        <f>vlookup(C590,'Team Bye List'!$A$1:$B$33,2,False)</f>
        <v>#N/A</v>
      </c>
      <c r="F590" s="36">
        <f>if(ISNA(vlookup($A590, ESPN!$B$2:$E$1010, 4, false)), 0, vlookup($A590, ESPN!$B$2:$E$1010, 4, false))</f>
        <v>0</v>
      </c>
      <c r="G590" s="36">
        <f>if(ISNA(vlookup($A590,'Ultimate Draft Kit'!$B$2:$E$201,4, false)), 0, vlookup($A590,'Ultimate Draft Kit'!$B$2:$E$201, 4, false))</f>
        <v>0</v>
      </c>
      <c r="H590" s="36">
        <f>if(ISNA(vlookup($A590, FantasyPro!$B$2:$E$514,4,false)),0,vlookup($A590,FantasyPro!$B$2:$E$514,4,false))</f>
        <v>0</v>
      </c>
      <c r="I590" s="36">
        <f>if(ISNA(vlookup($A590, FFToolbox!$B$2:$E$618, 4, false)), 0, vlookup($A590, FFToolbox!$B$2:$E$618, 4, false))</f>
        <v>0</v>
      </c>
      <c r="J590" s="37">
        <f t="shared" si="1"/>
        <v>0</v>
      </c>
      <c r="K590" s="37">
        <f t="shared" si="2"/>
        <v>0</v>
      </c>
    </row>
    <row r="591" hidden="1">
      <c r="A591" s="13" t="s">
        <v>783</v>
      </c>
      <c r="B591" s="34" t="s">
        <v>1061</v>
      </c>
      <c r="C591" s="5" t="s">
        <v>27</v>
      </c>
      <c r="D591" s="5" t="s">
        <v>7</v>
      </c>
      <c r="E591" s="35">
        <f>vlookup(C591,'Team Bye List'!$A$1:$B$33,2,False)</f>
        <v>11</v>
      </c>
      <c r="F591" s="36">
        <f>if(ISNA(vlookup($A591, ESPN!$B$2:$E$1010, 4, false)), 0, vlookup($A591, ESPN!$B$2:$E$1010, 4, false))</f>
        <v>0</v>
      </c>
      <c r="G591" s="36">
        <f>if(ISNA(vlookup($A591,'Ultimate Draft Kit'!$B$2:$E$201,4, false)), 0, vlookup($A591,'Ultimate Draft Kit'!$B$2:$E$201, 4, false))</f>
        <v>0</v>
      </c>
      <c r="H591" s="36">
        <f>if(ISNA(vlookup($A591, FantasyPro!$B$2:$E$514,4,false)),0,vlookup($A591,FantasyPro!$B$2:$E$514,4,false))</f>
        <v>0</v>
      </c>
      <c r="I591" s="36">
        <f>if(ISNA(vlookup($A591, FFToolbox!$B$2:$E$618, 4, false)), 0, vlookup($A591, FFToolbox!$B$2:$E$618, 4, false))</f>
        <v>0</v>
      </c>
      <c r="J591" s="37">
        <f t="shared" si="1"/>
        <v>0</v>
      </c>
      <c r="K591" s="37">
        <f t="shared" si="2"/>
        <v>0</v>
      </c>
    </row>
    <row r="592" hidden="1">
      <c r="A592" s="13" t="s">
        <v>782</v>
      </c>
      <c r="B592" s="34" t="s">
        <v>1061</v>
      </c>
      <c r="C592" s="5" t="s">
        <v>20</v>
      </c>
      <c r="D592" s="5" t="s">
        <v>7</v>
      </c>
      <c r="E592" s="35">
        <f>vlookup(C592,'Team Bye List'!$A$1:$B$33,2,False)</f>
        <v>8</v>
      </c>
      <c r="F592" s="36">
        <f>if(ISNA(vlookup($A592, ESPN!$B$2:$E$1010, 4, false)), 0, vlookup($A592, ESPN!$B$2:$E$1010, 4, false))</f>
        <v>0</v>
      </c>
      <c r="G592" s="36">
        <f>if(ISNA(vlookup($A592,'Ultimate Draft Kit'!$B$2:$E$201,4, false)), 0, vlookup($A592,'Ultimate Draft Kit'!$B$2:$E$201, 4, false))</f>
        <v>0</v>
      </c>
      <c r="H592" s="36">
        <f>if(ISNA(vlookup($A592, FantasyPro!$B$2:$E$514,4,false)),0,vlookup($A592,FantasyPro!$B$2:$E$514,4,false))</f>
        <v>0</v>
      </c>
      <c r="I592" s="36">
        <f>if(ISNA(vlookup($A592, FFToolbox!$B$2:$E$618, 4, false)), 0, vlookup($A592, FFToolbox!$B$2:$E$618, 4, false))</f>
        <v>0</v>
      </c>
      <c r="J592" s="37">
        <f t="shared" si="1"/>
        <v>0</v>
      </c>
      <c r="K592" s="37">
        <f t="shared" si="2"/>
        <v>0</v>
      </c>
    </row>
    <row r="593" hidden="1">
      <c r="A593" s="13" t="s">
        <v>774</v>
      </c>
      <c r="B593" s="34" t="s">
        <v>1061</v>
      </c>
      <c r="C593" s="5" t="s">
        <v>22</v>
      </c>
      <c r="D593" s="5" t="s">
        <v>7</v>
      </c>
      <c r="E593" s="35">
        <f>vlookup(C593,'Team Bye List'!$A$1:$B$33,2,False)</f>
        <v>7</v>
      </c>
      <c r="F593" s="36">
        <f>if(ISNA(vlookup($A593, ESPN!$B$2:$E$1010, 4, false)), 0, vlookup($A593, ESPN!$B$2:$E$1010, 4, false))</f>
        <v>0</v>
      </c>
      <c r="G593" s="36">
        <f>if(ISNA(vlookup($A593,'Ultimate Draft Kit'!$B$2:$E$201,4, false)), 0, vlookup($A593,'Ultimate Draft Kit'!$B$2:$E$201, 4, false))</f>
        <v>0</v>
      </c>
      <c r="H593" s="36">
        <f>if(ISNA(vlookup($A593, FantasyPro!$B$2:$E$514,4,false)),0,vlookup($A593,FantasyPro!$B$2:$E$514,4,false))</f>
        <v>0</v>
      </c>
      <c r="I593" s="36">
        <f>if(ISNA(vlookup($A593, FFToolbox!$B$2:$E$618, 4, false)), 0, vlookup($A593, FFToolbox!$B$2:$E$618, 4, false))</f>
        <v>0</v>
      </c>
      <c r="J593" s="37">
        <f t="shared" si="1"/>
        <v>0</v>
      </c>
      <c r="K593" s="37">
        <f t="shared" si="2"/>
        <v>0</v>
      </c>
    </row>
    <row r="594" hidden="1">
      <c r="A594" s="13" t="s">
        <v>772</v>
      </c>
      <c r="B594" s="34" t="s">
        <v>1061</v>
      </c>
      <c r="C594" s="5" t="s">
        <v>32</v>
      </c>
      <c r="D594" s="5" t="s">
        <v>7</v>
      </c>
      <c r="E594" s="35">
        <f>vlookup(C594,'Team Bye List'!$A$1:$B$33,2,False)</f>
        <v>9</v>
      </c>
      <c r="F594" s="36">
        <f>if(ISNA(vlookup($A594, ESPN!$B$2:$E$1010, 4, false)), 0, vlookup($A594, ESPN!$B$2:$E$1010, 4, false))</f>
        <v>0</v>
      </c>
      <c r="G594" s="36">
        <f>if(ISNA(vlookup($A594,'Ultimate Draft Kit'!$B$2:$E$201,4, false)), 0, vlookup($A594,'Ultimate Draft Kit'!$B$2:$E$201, 4, false))</f>
        <v>0</v>
      </c>
      <c r="H594" s="36">
        <f>if(ISNA(vlookup($A594, FantasyPro!$B$2:$E$514,4,false)),0,vlookup($A594,FantasyPro!$B$2:$E$514,4,false))</f>
        <v>0</v>
      </c>
      <c r="I594" s="36">
        <f>if(ISNA(vlookup($A594, FFToolbox!$B$2:$E$618, 4, false)), 0, vlookup($A594, FFToolbox!$B$2:$E$618, 4, false))</f>
        <v>0</v>
      </c>
      <c r="J594" s="37">
        <f t="shared" si="1"/>
        <v>0</v>
      </c>
      <c r="K594" s="37">
        <f t="shared" si="2"/>
        <v>0</v>
      </c>
    </row>
    <row r="595" hidden="1">
      <c r="A595" s="13" t="s">
        <v>771</v>
      </c>
      <c r="B595" s="34" t="s">
        <v>1061</v>
      </c>
      <c r="C595" s="5" t="s">
        <v>27</v>
      </c>
      <c r="D595" s="5" t="s">
        <v>7</v>
      </c>
      <c r="E595" s="35">
        <f>vlookup(C595,'Team Bye List'!$A$1:$B$33,2,False)</f>
        <v>11</v>
      </c>
      <c r="F595" s="36">
        <f>if(ISNA(vlookup($A595, ESPN!$B$2:$E$1010, 4, false)), 0, vlookup($A595, ESPN!$B$2:$E$1010, 4, false))</f>
        <v>0</v>
      </c>
      <c r="G595" s="36">
        <f>if(ISNA(vlookup($A595,'Ultimate Draft Kit'!$B$2:$E$201,4, false)), 0, vlookup($A595,'Ultimate Draft Kit'!$B$2:$E$201, 4, false))</f>
        <v>0</v>
      </c>
      <c r="H595" s="36">
        <f>if(ISNA(vlookup($A595, FantasyPro!$B$2:$E$514,4,false)),0,vlookup($A595,FantasyPro!$B$2:$E$514,4,false))</f>
        <v>0</v>
      </c>
      <c r="I595" s="36">
        <f>if(ISNA(vlookup($A595, FFToolbox!$B$2:$E$618, 4, false)), 0, vlookup($A595, FFToolbox!$B$2:$E$618, 4, false))</f>
        <v>0</v>
      </c>
      <c r="J595" s="37">
        <f t="shared" si="1"/>
        <v>0</v>
      </c>
      <c r="K595" s="37">
        <f t="shared" si="2"/>
        <v>0</v>
      </c>
    </row>
    <row r="596" hidden="1">
      <c r="A596" s="13" t="s">
        <v>1075</v>
      </c>
      <c r="B596" s="34" t="s">
        <v>1061</v>
      </c>
      <c r="C596" s="5" t="s">
        <v>22</v>
      </c>
      <c r="D596" s="5" t="s">
        <v>25</v>
      </c>
      <c r="E596" s="35">
        <f>vlookup(C596,'Team Bye List'!$A$1:$B$33,2,False)</f>
        <v>7</v>
      </c>
      <c r="F596" s="36">
        <f>if(ISNA(vlookup($A596, ESPN!$B$2:$E$1010, 4, false)), 0, vlookup($A596, ESPN!$B$2:$E$1010, 4, false))</f>
        <v>0</v>
      </c>
      <c r="G596" s="36">
        <f>if(ISNA(vlookup($A596,'Ultimate Draft Kit'!$B$2:$E$201,4, false)), 0, vlookup($A596,'Ultimate Draft Kit'!$B$2:$E$201, 4, false))</f>
        <v>0</v>
      </c>
      <c r="H596" s="36">
        <f>if(ISNA(vlookup($A596, FantasyPro!$B$2:$E$514,4,false)),0,vlookup($A596,FantasyPro!$B$2:$E$514,4,false))</f>
        <v>0</v>
      </c>
      <c r="I596" s="36">
        <f>if(ISNA(vlookup($A596, FFToolbox!$B$2:$E$618, 4, false)), 0, vlookup($A596, FFToolbox!$B$2:$E$618, 4, false))</f>
        <v>0</v>
      </c>
      <c r="J596" s="37">
        <f t="shared" si="1"/>
        <v>0</v>
      </c>
      <c r="K596" s="37">
        <f t="shared" si="2"/>
        <v>0</v>
      </c>
    </row>
    <row r="597" hidden="1">
      <c r="A597" s="13" t="s">
        <v>671</v>
      </c>
      <c r="B597" s="34" t="s">
        <v>1061</v>
      </c>
      <c r="C597" s="5" t="s">
        <v>102</v>
      </c>
      <c r="D597" s="5" t="s">
        <v>25</v>
      </c>
      <c r="E597" s="35">
        <f>vlookup(C597,'Team Bye List'!$A$1:$B$33,2,False)</f>
        <v>11</v>
      </c>
      <c r="F597" s="36">
        <f>if(ISNA(vlookup($A597, ESPN!$B$2:$E$1010, 4, false)), 0, vlookup($A597, ESPN!$B$2:$E$1010, 4, false))</f>
        <v>0</v>
      </c>
      <c r="G597" s="36">
        <f>if(ISNA(vlookup($A597,'Ultimate Draft Kit'!$B$2:$E$201,4, false)), 0, vlookup($A597,'Ultimate Draft Kit'!$B$2:$E$201, 4, false))</f>
        <v>0</v>
      </c>
      <c r="H597" s="36">
        <f>if(ISNA(vlookup($A597, FantasyPro!$B$2:$E$514,4,false)),0,vlookup($A597,FantasyPro!$B$2:$E$514,4,false))</f>
        <v>0</v>
      </c>
      <c r="I597" s="36">
        <f>if(ISNA(vlookup($A597, FFToolbox!$B$2:$E$618, 4, false)), 0, vlookup($A597, FFToolbox!$B$2:$E$618, 4, false))</f>
        <v>0</v>
      </c>
      <c r="J597" s="37">
        <f t="shared" si="1"/>
        <v>0</v>
      </c>
      <c r="K597" s="37">
        <f t="shared" si="2"/>
        <v>0</v>
      </c>
    </row>
    <row r="598" hidden="1">
      <c r="A598" s="13" t="s">
        <v>728</v>
      </c>
      <c r="B598" s="34" t="s">
        <v>1061</v>
      </c>
      <c r="C598" s="5" t="s">
        <v>257</v>
      </c>
      <c r="D598" s="5" t="s">
        <v>25</v>
      </c>
      <c r="E598" s="35" t="str">
        <f>vlookup(C598,'Team Bye List'!$A$1:$B$33,2,False)</f>
        <v>#N/A</v>
      </c>
      <c r="F598" s="36">
        <f>if(ISNA(vlookup($A598, ESPN!$B$2:$E$1010, 4, false)), 0, vlookup($A598, ESPN!$B$2:$E$1010, 4, false))</f>
        <v>0</v>
      </c>
      <c r="G598" s="36">
        <f>if(ISNA(vlookup($A598,'Ultimate Draft Kit'!$B$2:$E$201,4, false)), 0, vlookup($A598,'Ultimate Draft Kit'!$B$2:$E$201, 4, false))</f>
        <v>0</v>
      </c>
      <c r="H598" s="36">
        <f>if(ISNA(vlookup($A598, FantasyPro!$B$2:$E$514,4,false)),0,vlookup($A598,FantasyPro!$B$2:$E$514,4,false))</f>
        <v>0</v>
      </c>
      <c r="I598" s="36">
        <f>if(ISNA(vlookup($A598, FFToolbox!$B$2:$E$618, 4, false)), 0, vlookup($A598, FFToolbox!$B$2:$E$618, 4, false))</f>
        <v>0</v>
      </c>
      <c r="J598" s="37">
        <f t="shared" si="1"/>
        <v>0</v>
      </c>
      <c r="K598" s="37">
        <f t="shared" si="2"/>
        <v>0</v>
      </c>
    </row>
    <row r="599" hidden="1">
      <c r="A599" s="13" t="s">
        <v>728</v>
      </c>
      <c r="B599" s="34" t="s">
        <v>1061</v>
      </c>
      <c r="C599" s="5" t="s">
        <v>257</v>
      </c>
      <c r="D599" s="5" t="s">
        <v>25</v>
      </c>
      <c r="E599" s="35" t="str">
        <f>vlookup(C599,'Team Bye List'!$A$1:$B$33,2,False)</f>
        <v>#N/A</v>
      </c>
      <c r="F599" s="36">
        <f>if(ISNA(vlookup($A599, ESPN!$B$2:$E$1010, 4, false)), 0, vlookup($A599, ESPN!$B$2:$E$1010, 4, false))</f>
        <v>0</v>
      </c>
      <c r="G599" s="36">
        <f>if(ISNA(vlookup($A599,'Ultimate Draft Kit'!$B$2:$E$201,4, false)), 0, vlookup($A599,'Ultimate Draft Kit'!$B$2:$E$201, 4, false))</f>
        <v>0</v>
      </c>
      <c r="H599" s="36">
        <f>if(ISNA(vlookup($A599, FantasyPro!$B$2:$E$514,4,false)),0,vlookup($A599,FantasyPro!$B$2:$E$514,4,false))</f>
        <v>0</v>
      </c>
      <c r="I599" s="36">
        <f>if(ISNA(vlookup($A599, FFToolbox!$B$2:$E$618, 4, false)), 0, vlookup($A599, FFToolbox!$B$2:$E$618, 4, false))</f>
        <v>0</v>
      </c>
      <c r="J599" s="37">
        <f t="shared" si="1"/>
        <v>0</v>
      </c>
      <c r="K599" s="37">
        <f t="shared" si="2"/>
        <v>0</v>
      </c>
    </row>
    <row r="600" hidden="1">
      <c r="A600" s="13" t="s">
        <v>699</v>
      </c>
      <c r="B600" s="34" t="s">
        <v>1061</v>
      </c>
      <c r="C600" s="5" t="s">
        <v>257</v>
      </c>
      <c r="D600" s="5" t="s">
        <v>25</v>
      </c>
      <c r="E600" s="35" t="str">
        <f>vlookup(C600,'Team Bye List'!$A$1:$B$33,2,False)</f>
        <v>#N/A</v>
      </c>
      <c r="F600" s="36">
        <f>if(ISNA(vlookup($A600, ESPN!$B$2:$E$1010, 4, false)), 0, vlookup($A600, ESPN!$B$2:$E$1010, 4, false))</f>
        <v>0</v>
      </c>
      <c r="G600" s="36">
        <f>if(ISNA(vlookup($A600,'Ultimate Draft Kit'!$B$2:$E$201,4, false)), 0, vlookup($A600,'Ultimate Draft Kit'!$B$2:$E$201, 4, false))</f>
        <v>0</v>
      </c>
      <c r="H600" s="36">
        <f>if(ISNA(vlookup($A600, FantasyPro!$B$2:$E$514,4,false)),0,vlookup($A600,FantasyPro!$B$2:$E$514,4,false))</f>
        <v>0</v>
      </c>
      <c r="I600" s="36">
        <f>if(ISNA(vlookup($A600, FFToolbox!$B$2:$E$618, 4, false)), 0, vlookup($A600, FFToolbox!$B$2:$E$618, 4, false))</f>
        <v>0</v>
      </c>
      <c r="J600" s="37">
        <f t="shared" si="1"/>
        <v>0</v>
      </c>
      <c r="K600" s="37">
        <f t="shared" si="2"/>
        <v>0</v>
      </c>
    </row>
    <row r="601" hidden="1">
      <c r="A601" s="13" t="s">
        <v>690</v>
      </c>
      <c r="B601" s="34" t="s">
        <v>1061</v>
      </c>
      <c r="C601" s="5" t="s">
        <v>59</v>
      </c>
      <c r="D601" s="5" t="s">
        <v>25</v>
      </c>
      <c r="E601" s="35">
        <f>vlookup(C601,'Team Bye List'!$A$1:$B$33,2,False)</f>
        <v>8</v>
      </c>
      <c r="F601" s="36">
        <f>if(ISNA(vlookup($A601, ESPN!$B$2:$E$1010, 4, false)), 0, vlookup($A601, ESPN!$B$2:$E$1010, 4, false))</f>
        <v>0</v>
      </c>
      <c r="G601" s="36">
        <f>if(ISNA(vlookup($A601,'Ultimate Draft Kit'!$B$2:$E$201,4, false)), 0, vlookup($A601,'Ultimate Draft Kit'!$B$2:$E$201, 4, false))</f>
        <v>0</v>
      </c>
      <c r="H601" s="36">
        <f>if(ISNA(vlookup($A601, FantasyPro!$B$2:$E$514,4,false)),0,vlookup($A601,FantasyPro!$B$2:$E$514,4,false))</f>
        <v>0</v>
      </c>
      <c r="I601" s="36">
        <f>if(ISNA(vlookup($A601, FFToolbox!$B$2:$E$618, 4, false)), 0, vlookup($A601, FFToolbox!$B$2:$E$618, 4, false))</f>
        <v>0</v>
      </c>
      <c r="J601" s="37">
        <f t="shared" si="1"/>
        <v>0</v>
      </c>
      <c r="K601" s="37">
        <f t="shared" si="2"/>
        <v>0</v>
      </c>
    </row>
    <row r="602" hidden="1">
      <c r="A602" s="13" t="s">
        <v>756</v>
      </c>
      <c r="B602" s="34" t="s">
        <v>1061</v>
      </c>
      <c r="C602" s="5" t="s">
        <v>257</v>
      </c>
      <c r="D602" s="5" t="s">
        <v>25</v>
      </c>
      <c r="E602" s="35" t="str">
        <f>vlookup(C602,'Team Bye List'!$A$1:$B$33,2,False)</f>
        <v>#N/A</v>
      </c>
      <c r="F602" s="36">
        <f>if(ISNA(vlookup($A602, ESPN!$B$2:$E$1010, 4, false)), 0, vlookup($A602, ESPN!$B$2:$E$1010, 4, false))</f>
        <v>0</v>
      </c>
      <c r="G602" s="36">
        <f>if(ISNA(vlookup($A602,'Ultimate Draft Kit'!$B$2:$E$201,4, false)), 0, vlookup($A602,'Ultimate Draft Kit'!$B$2:$E$201, 4, false))</f>
        <v>0</v>
      </c>
      <c r="H602" s="36">
        <f>if(ISNA(vlookup($A602, FantasyPro!$B$2:$E$514,4,false)),0,vlookup($A602,FantasyPro!$B$2:$E$514,4,false))</f>
        <v>0</v>
      </c>
      <c r="I602" s="36">
        <f>if(ISNA(vlookup($A602, FFToolbox!$B$2:$E$618, 4, false)), 0, vlookup($A602, FFToolbox!$B$2:$E$618, 4, false))</f>
        <v>0</v>
      </c>
      <c r="J602" s="37">
        <f t="shared" si="1"/>
        <v>0</v>
      </c>
      <c r="K602" s="37">
        <f t="shared" si="2"/>
        <v>0</v>
      </c>
    </row>
    <row r="603" hidden="1">
      <c r="A603" s="13" t="s">
        <v>756</v>
      </c>
      <c r="B603" s="34" t="s">
        <v>1061</v>
      </c>
      <c r="C603" s="5" t="s">
        <v>257</v>
      </c>
      <c r="D603" s="5" t="s">
        <v>25</v>
      </c>
      <c r="E603" s="35" t="str">
        <f>vlookup(C603,'Team Bye List'!$A$1:$B$33,2,False)</f>
        <v>#N/A</v>
      </c>
      <c r="F603" s="36">
        <f>if(ISNA(vlookup($A603, ESPN!$B$2:$E$1010, 4, false)), 0, vlookup($A603, ESPN!$B$2:$E$1010, 4, false))</f>
        <v>0</v>
      </c>
      <c r="G603" s="36">
        <f>if(ISNA(vlookup($A603,'Ultimate Draft Kit'!$B$2:$E$201,4, false)), 0, vlookup($A603,'Ultimate Draft Kit'!$B$2:$E$201, 4, false))</f>
        <v>0</v>
      </c>
      <c r="H603" s="36">
        <f>if(ISNA(vlookup($A603, FantasyPro!$B$2:$E$514,4,false)),0,vlookup($A603,FantasyPro!$B$2:$E$514,4,false))</f>
        <v>0</v>
      </c>
      <c r="I603" s="36">
        <f>if(ISNA(vlookup($A603, FFToolbox!$B$2:$E$618, 4, false)), 0, vlookup($A603, FFToolbox!$B$2:$E$618, 4, false))</f>
        <v>0</v>
      </c>
      <c r="J603" s="37">
        <f t="shared" si="1"/>
        <v>0</v>
      </c>
      <c r="K603" s="37">
        <f t="shared" si="2"/>
        <v>0</v>
      </c>
    </row>
    <row r="604" hidden="1">
      <c r="A604" s="13" t="s">
        <v>710</v>
      </c>
      <c r="B604" s="34" t="s">
        <v>1061</v>
      </c>
      <c r="C604" s="5" t="s">
        <v>96</v>
      </c>
      <c r="D604" s="5" t="s">
        <v>25</v>
      </c>
      <c r="E604" s="35">
        <f>vlookup(C604,'Team Bye List'!$A$1:$B$33,2,False)</f>
        <v>10</v>
      </c>
      <c r="F604" s="36">
        <f>if(ISNA(vlookup($A604, ESPN!$B$2:$E$1010, 4, false)), 0, vlookup($A604, ESPN!$B$2:$E$1010, 4, false))</f>
        <v>0</v>
      </c>
      <c r="G604" s="36">
        <f>if(ISNA(vlookup($A604,'Ultimate Draft Kit'!$B$2:$E$201,4, false)), 0, vlookup($A604,'Ultimate Draft Kit'!$B$2:$E$201, 4, false))</f>
        <v>0</v>
      </c>
      <c r="H604" s="36">
        <f>if(ISNA(vlookup($A604, FantasyPro!$B$2:$E$514,4,false)),0,vlookup($A604,FantasyPro!$B$2:$E$514,4,false))</f>
        <v>0</v>
      </c>
      <c r="I604" s="36">
        <f>if(ISNA(vlookup($A604, FFToolbox!$B$2:$E$618, 4, false)), 0, vlookup($A604, FFToolbox!$B$2:$E$618, 4, false))</f>
        <v>0</v>
      </c>
      <c r="J604" s="37">
        <f t="shared" si="1"/>
        <v>0</v>
      </c>
      <c r="K604" s="37">
        <f t="shared" si="2"/>
        <v>0</v>
      </c>
    </row>
    <row r="605" hidden="1">
      <c r="A605" s="13" t="s">
        <v>694</v>
      </c>
      <c r="B605" s="34" t="s">
        <v>1061</v>
      </c>
      <c r="C605" s="5" t="s">
        <v>257</v>
      </c>
      <c r="D605" s="5" t="s">
        <v>25</v>
      </c>
      <c r="E605" s="35" t="str">
        <f>vlookup(C605,'Team Bye List'!$A$1:$B$33,2,False)</f>
        <v>#N/A</v>
      </c>
      <c r="F605" s="36">
        <f>if(ISNA(vlookup($A605, ESPN!$B$2:$E$1010, 4, false)), 0, vlookup($A605, ESPN!$B$2:$E$1010, 4, false))</f>
        <v>0</v>
      </c>
      <c r="G605" s="36">
        <f>if(ISNA(vlookup($A605,'Ultimate Draft Kit'!$B$2:$E$201,4, false)), 0, vlookup($A605,'Ultimate Draft Kit'!$B$2:$E$201, 4, false))</f>
        <v>0</v>
      </c>
      <c r="H605" s="36">
        <f>if(ISNA(vlookup($A605, FantasyPro!$B$2:$E$514,4,false)),0,vlookup($A605,FantasyPro!$B$2:$E$514,4,false))</f>
        <v>0</v>
      </c>
      <c r="I605" s="36">
        <f>if(ISNA(vlookup($A605, FFToolbox!$B$2:$E$618, 4, false)), 0, vlookup($A605, FFToolbox!$B$2:$E$618, 4, false))</f>
        <v>0</v>
      </c>
      <c r="J605" s="37">
        <f t="shared" si="1"/>
        <v>0</v>
      </c>
      <c r="K605" s="37">
        <f t="shared" si="2"/>
        <v>0</v>
      </c>
    </row>
    <row r="606" hidden="1">
      <c r="A606" s="13" t="s">
        <v>724</v>
      </c>
      <c r="B606" s="34" t="s">
        <v>1061</v>
      </c>
      <c r="C606" s="5" t="s">
        <v>257</v>
      </c>
      <c r="D606" s="5" t="s">
        <v>25</v>
      </c>
      <c r="E606" s="35" t="str">
        <f>vlookup(C606,'Team Bye List'!$A$1:$B$33,2,False)</f>
        <v>#N/A</v>
      </c>
      <c r="F606" s="36">
        <f>if(ISNA(vlookup($A606, ESPN!$B$2:$E$1010, 4, false)), 0, vlookup($A606, ESPN!$B$2:$E$1010, 4, false))</f>
        <v>0</v>
      </c>
      <c r="G606" s="36">
        <f>if(ISNA(vlookup($A606,'Ultimate Draft Kit'!$B$2:$E$201,4, false)), 0, vlookup($A606,'Ultimate Draft Kit'!$B$2:$E$201, 4, false))</f>
        <v>0</v>
      </c>
      <c r="H606" s="36">
        <f>if(ISNA(vlookup($A606, FantasyPro!$B$2:$E$514,4,false)),0,vlookup($A606,FantasyPro!$B$2:$E$514,4,false))</f>
        <v>0</v>
      </c>
      <c r="I606" s="36">
        <f>if(ISNA(vlookup($A606, FFToolbox!$B$2:$E$618, 4, false)), 0, vlookup($A606, FFToolbox!$B$2:$E$618, 4, false))</f>
        <v>0</v>
      </c>
      <c r="J606" s="37">
        <f t="shared" si="1"/>
        <v>0</v>
      </c>
      <c r="K606" s="37">
        <f t="shared" si="2"/>
        <v>0</v>
      </c>
    </row>
    <row r="607" hidden="1">
      <c r="A607" s="13" t="s">
        <v>724</v>
      </c>
      <c r="B607" s="34" t="s">
        <v>1061</v>
      </c>
      <c r="C607" s="5" t="s">
        <v>257</v>
      </c>
      <c r="D607" s="5" t="s">
        <v>25</v>
      </c>
      <c r="E607" s="35" t="str">
        <f>vlookup(C607,'Team Bye List'!$A$1:$B$33,2,False)</f>
        <v>#N/A</v>
      </c>
      <c r="F607" s="36">
        <f>if(ISNA(vlookup($A607, ESPN!$B$2:$E$1010, 4, false)), 0, vlookup($A607, ESPN!$B$2:$E$1010, 4, false))</f>
        <v>0</v>
      </c>
      <c r="G607" s="36">
        <f>if(ISNA(vlookup($A607,'Ultimate Draft Kit'!$B$2:$E$201,4, false)), 0, vlookup($A607,'Ultimate Draft Kit'!$B$2:$E$201, 4, false))</f>
        <v>0</v>
      </c>
      <c r="H607" s="36">
        <f>if(ISNA(vlookup($A607, FantasyPro!$B$2:$E$514,4,false)),0,vlookup($A607,FantasyPro!$B$2:$E$514,4,false))</f>
        <v>0</v>
      </c>
      <c r="I607" s="36">
        <f>if(ISNA(vlookup($A607, FFToolbox!$B$2:$E$618, 4, false)), 0, vlookup($A607, FFToolbox!$B$2:$E$618, 4, false))</f>
        <v>0</v>
      </c>
      <c r="J607" s="37">
        <f t="shared" si="1"/>
        <v>0</v>
      </c>
      <c r="K607" s="37">
        <f t="shared" si="2"/>
        <v>0</v>
      </c>
    </row>
    <row r="608" hidden="1">
      <c r="A608" s="13" t="s">
        <v>687</v>
      </c>
      <c r="B608" s="34" t="s">
        <v>1061</v>
      </c>
      <c r="C608" s="5" t="s">
        <v>24</v>
      </c>
      <c r="D608" s="5" t="s">
        <v>25</v>
      </c>
      <c r="E608" s="35">
        <f>vlookup(C608,'Team Bye List'!$A$1:$B$33,2,False)</f>
        <v>6</v>
      </c>
      <c r="F608" s="36">
        <f>if(ISNA(vlookup($A608, ESPN!$B$2:$E$1010, 4, false)), 0, vlookup($A608, ESPN!$B$2:$E$1010, 4, false))</f>
        <v>0</v>
      </c>
      <c r="G608" s="36">
        <f>if(ISNA(vlookup($A608,'Ultimate Draft Kit'!$B$2:$E$201,4, false)), 0, vlookup($A608,'Ultimate Draft Kit'!$B$2:$E$201, 4, false))</f>
        <v>0</v>
      </c>
      <c r="H608" s="36">
        <f>if(ISNA(vlookup($A608, FantasyPro!$B$2:$E$514,4,false)),0,vlookup($A608,FantasyPro!$B$2:$E$514,4,false))</f>
        <v>0</v>
      </c>
      <c r="I608" s="36">
        <f>if(ISNA(vlookup($A608, FFToolbox!$B$2:$E$618, 4, false)), 0, vlookup($A608, FFToolbox!$B$2:$E$618, 4, false))</f>
        <v>0</v>
      </c>
      <c r="J608" s="37">
        <f t="shared" si="1"/>
        <v>0</v>
      </c>
      <c r="K608" s="37">
        <f t="shared" si="2"/>
        <v>0</v>
      </c>
    </row>
    <row r="609" hidden="1">
      <c r="A609" s="13" t="s">
        <v>640</v>
      </c>
      <c r="B609" s="34" t="s">
        <v>1061</v>
      </c>
      <c r="C609" s="5" t="s">
        <v>257</v>
      </c>
      <c r="D609" s="5" t="s">
        <v>25</v>
      </c>
      <c r="E609" s="35" t="str">
        <f>vlookup(C609,'Team Bye List'!$A$1:$B$33,2,False)</f>
        <v>#N/A</v>
      </c>
      <c r="F609" s="36">
        <f>if(ISNA(vlookup($A609, ESPN!$B$2:$E$1010, 4, false)), 0, vlookup($A609, ESPN!$B$2:$E$1010, 4, false))</f>
        <v>0</v>
      </c>
      <c r="G609" s="36">
        <f>if(ISNA(vlookup($A609,'Ultimate Draft Kit'!$B$2:$E$201,4, false)), 0, vlookup($A609,'Ultimate Draft Kit'!$B$2:$E$201, 4, false))</f>
        <v>0</v>
      </c>
      <c r="H609" s="36">
        <f>if(ISNA(vlookup($A609, FantasyPro!$B$2:$E$514,4,false)),0,vlookup($A609,FantasyPro!$B$2:$E$514,4,false))</f>
        <v>0</v>
      </c>
      <c r="I609" s="36">
        <f>if(ISNA(vlookup($A609, FFToolbox!$B$2:$E$618, 4, false)), 0, vlookup($A609, FFToolbox!$B$2:$E$618, 4, false))</f>
        <v>0</v>
      </c>
      <c r="J609" s="37">
        <f t="shared" si="1"/>
        <v>0</v>
      </c>
      <c r="K609" s="37">
        <f t="shared" si="2"/>
        <v>0</v>
      </c>
    </row>
    <row r="610" hidden="1">
      <c r="A610" s="13" t="s">
        <v>670</v>
      </c>
      <c r="B610" s="34" t="s">
        <v>1061</v>
      </c>
      <c r="C610" s="5" t="s">
        <v>257</v>
      </c>
      <c r="D610" s="5" t="s">
        <v>25</v>
      </c>
      <c r="E610" s="35" t="str">
        <f>vlookup(C610,'Team Bye List'!$A$1:$B$33,2,False)</f>
        <v>#N/A</v>
      </c>
      <c r="F610" s="36">
        <f>if(ISNA(vlookup($A610, ESPN!$B$2:$E$1010, 4, false)), 0, vlookup($A610, ESPN!$B$2:$E$1010, 4, false))</f>
        <v>0</v>
      </c>
      <c r="G610" s="36">
        <f>if(ISNA(vlookup($A610,'Ultimate Draft Kit'!$B$2:$E$201,4, false)), 0, vlookup($A610,'Ultimate Draft Kit'!$B$2:$E$201, 4, false))</f>
        <v>0</v>
      </c>
      <c r="H610" s="36">
        <f>if(ISNA(vlookup($A610, FantasyPro!$B$2:$E$514,4,false)),0,vlookup($A610,FantasyPro!$B$2:$E$514,4,false))</f>
        <v>0</v>
      </c>
      <c r="I610" s="36">
        <f>if(ISNA(vlookup($A610, FFToolbox!$B$2:$E$618, 4, false)), 0, vlookup($A610, FFToolbox!$B$2:$E$618, 4, false))</f>
        <v>0</v>
      </c>
      <c r="J610" s="37">
        <f t="shared" si="1"/>
        <v>0</v>
      </c>
      <c r="K610" s="37">
        <f t="shared" si="2"/>
        <v>0</v>
      </c>
    </row>
    <row r="611" hidden="1">
      <c r="A611" s="13" t="s">
        <v>712</v>
      </c>
      <c r="B611" s="34" t="s">
        <v>1061</v>
      </c>
      <c r="C611" s="5" t="s">
        <v>257</v>
      </c>
      <c r="D611" s="5" t="s">
        <v>25</v>
      </c>
      <c r="E611" s="35" t="str">
        <f>vlookup(C611,'Team Bye List'!$A$1:$B$33,2,False)</f>
        <v>#N/A</v>
      </c>
      <c r="F611" s="36">
        <f>if(ISNA(vlookup($A611, ESPN!$B$2:$E$1010, 4, false)), 0, vlookup($A611, ESPN!$B$2:$E$1010, 4, false))</f>
        <v>0</v>
      </c>
      <c r="G611" s="36">
        <f>if(ISNA(vlookup($A611,'Ultimate Draft Kit'!$B$2:$E$201,4, false)), 0, vlookup($A611,'Ultimate Draft Kit'!$B$2:$E$201, 4, false))</f>
        <v>0</v>
      </c>
      <c r="H611" s="36">
        <f>if(ISNA(vlookup($A611, FantasyPro!$B$2:$E$514,4,false)),0,vlookup($A611,FantasyPro!$B$2:$E$514,4,false))</f>
        <v>0</v>
      </c>
      <c r="I611" s="36">
        <f>if(ISNA(vlookup($A611, FFToolbox!$B$2:$E$618, 4, false)), 0, vlookup($A611, FFToolbox!$B$2:$E$618, 4, false))</f>
        <v>0</v>
      </c>
      <c r="J611" s="37">
        <f t="shared" si="1"/>
        <v>0</v>
      </c>
      <c r="K611" s="37">
        <f t="shared" si="2"/>
        <v>0</v>
      </c>
    </row>
    <row r="612" hidden="1">
      <c r="A612" s="13" t="s">
        <v>672</v>
      </c>
      <c r="B612" s="34" t="s">
        <v>1061</v>
      </c>
      <c r="C612" s="5" t="s">
        <v>257</v>
      </c>
      <c r="D612" s="5" t="s">
        <v>25</v>
      </c>
      <c r="E612" s="35" t="str">
        <f>vlookup(C612,'Team Bye List'!$A$1:$B$33,2,False)</f>
        <v>#N/A</v>
      </c>
      <c r="F612" s="36">
        <f>if(ISNA(vlookup($A612, ESPN!$B$2:$E$1010, 4, false)), 0, vlookup($A612, ESPN!$B$2:$E$1010, 4, false))</f>
        <v>0</v>
      </c>
      <c r="G612" s="36">
        <f>if(ISNA(vlookup($A612,'Ultimate Draft Kit'!$B$2:$E$201,4, false)), 0, vlookup($A612,'Ultimate Draft Kit'!$B$2:$E$201, 4, false))</f>
        <v>0</v>
      </c>
      <c r="H612" s="36">
        <f>if(ISNA(vlookup($A612, FantasyPro!$B$2:$E$514,4,false)),0,vlookup($A612,FantasyPro!$B$2:$E$514,4,false))</f>
        <v>0</v>
      </c>
      <c r="I612" s="36">
        <f>if(ISNA(vlookup($A612, FFToolbox!$B$2:$E$618, 4, false)), 0, vlookup($A612, FFToolbox!$B$2:$E$618, 4, false))</f>
        <v>0</v>
      </c>
      <c r="J612" s="37">
        <f t="shared" si="1"/>
        <v>0</v>
      </c>
      <c r="K612" s="37">
        <f t="shared" si="2"/>
        <v>0</v>
      </c>
    </row>
    <row r="613" hidden="1">
      <c r="A613" s="13" t="s">
        <v>719</v>
      </c>
      <c r="B613" s="34" t="s">
        <v>1061</v>
      </c>
      <c r="C613" s="5" t="s">
        <v>257</v>
      </c>
      <c r="D613" s="5" t="s">
        <v>25</v>
      </c>
      <c r="E613" s="35" t="str">
        <f>vlookup(C613,'Team Bye List'!$A$1:$B$33,2,False)</f>
        <v>#N/A</v>
      </c>
      <c r="F613" s="36">
        <f>if(ISNA(vlookup($A613, ESPN!$B$2:$E$1010, 4, false)), 0, vlookup($A613, ESPN!$B$2:$E$1010, 4, false))</f>
        <v>0</v>
      </c>
      <c r="G613" s="36">
        <f>if(ISNA(vlookup($A613,'Ultimate Draft Kit'!$B$2:$E$201,4, false)), 0, vlookup($A613,'Ultimate Draft Kit'!$B$2:$E$201, 4, false))</f>
        <v>0</v>
      </c>
      <c r="H613" s="36">
        <f>if(ISNA(vlookup($A613, FantasyPro!$B$2:$E$514,4,false)),0,vlookup($A613,FantasyPro!$B$2:$E$514,4,false))</f>
        <v>0</v>
      </c>
      <c r="I613" s="36">
        <f>if(ISNA(vlookup($A613, FFToolbox!$B$2:$E$618, 4, false)), 0, vlookup($A613, FFToolbox!$B$2:$E$618, 4, false))</f>
        <v>0</v>
      </c>
      <c r="J613" s="37">
        <f t="shared" si="1"/>
        <v>0</v>
      </c>
      <c r="K613" s="37">
        <f t="shared" si="2"/>
        <v>0</v>
      </c>
    </row>
    <row r="614" hidden="1">
      <c r="A614" s="13" t="s">
        <v>719</v>
      </c>
      <c r="B614" s="34" t="s">
        <v>1061</v>
      </c>
      <c r="C614" s="5" t="s">
        <v>257</v>
      </c>
      <c r="D614" s="5" t="s">
        <v>25</v>
      </c>
      <c r="E614" s="35" t="str">
        <f>vlookup(C614,'Team Bye List'!$A$1:$B$33,2,False)</f>
        <v>#N/A</v>
      </c>
      <c r="F614" s="36">
        <f>if(ISNA(vlookup($A614, ESPN!$B$2:$E$1010, 4, false)), 0, vlookup($A614, ESPN!$B$2:$E$1010, 4, false))</f>
        <v>0</v>
      </c>
      <c r="G614" s="36">
        <f>if(ISNA(vlookup($A614,'Ultimate Draft Kit'!$B$2:$E$201,4, false)), 0, vlookup($A614,'Ultimate Draft Kit'!$B$2:$E$201, 4, false))</f>
        <v>0</v>
      </c>
      <c r="H614" s="36">
        <f>if(ISNA(vlookup($A614, FantasyPro!$B$2:$E$514,4,false)),0,vlookup($A614,FantasyPro!$B$2:$E$514,4,false))</f>
        <v>0</v>
      </c>
      <c r="I614" s="36">
        <f>if(ISNA(vlookup($A614, FFToolbox!$B$2:$E$618, 4, false)), 0, vlookup($A614, FFToolbox!$B$2:$E$618, 4, false))</f>
        <v>0</v>
      </c>
      <c r="J614" s="37">
        <f t="shared" si="1"/>
        <v>0</v>
      </c>
      <c r="K614" s="37">
        <f t="shared" si="2"/>
        <v>0</v>
      </c>
    </row>
    <row r="615" hidden="1">
      <c r="A615" s="13" t="s">
        <v>730</v>
      </c>
      <c r="B615" s="34" t="s">
        <v>1061</v>
      </c>
      <c r="C615" s="5" t="s">
        <v>257</v>
      </c>
      <c r="D615" s="5" t="s">
        <v>25</v>
      </c>
      <c r="E615" s="35" t="str">
        <f>vlookup(C615,'Team Bye List'!$A$1:$B$33,2,False)</f>
        <v>#N/A</v>
      </c>
      <c r="F615" s="36">
        <f>if(ISNA(vlookup($A615, ESPN!$B$2:$E$1010, 4, false)), 0, vlookup($A615, ESPN!$B$2:$E$1010, 4, false))</f>
        <v>0</v>
      </c>
      <c r="G615" s="36">
        <f>if(ISNA(vlookup($A615,'Ultimate Draft Kit'!$B$2:$E$201,4, false)), 0, vlookup($A615,'Ultimate Draft Kit'!$B$2:$E$201, 4, false))</f>
        <v>0</v>
      </c>
      <c r="H615" s="36">
        <f>if(ISNA(vlookup($A615, FantasyPro!$B$2:$E$514,4,false)),0,vlookup($A615,FantasyPro!$B$2:$E$514,4,false))</f>
        <v>0</v>
      </c>
      <c r="I615" s="36">
        <f>if(ISNA(vlookup($A615, FFToolbox!$B$2:$E$618, 4, false)), 0, vlookup($A615, FFToolbox!$B$2:$E$618, 4, false))</f>
        <v>0</v>
      </c>
      <c r="J615" s="37">
        <f t="shared" si="1"/>
        <v>0</v>
      </c>
      <c r="K615" s="37">
        <f t="shared" si="2"/>
        <v>0</v>
      </c>
    </row>
    <row r="616" hidden="1">
      <c r="A616" s="13" t="s">
        <v>1003</v>
      </c>
      <c r="B616" s="34" t="s">
        <v>1061</v>
      </c>
      <c r="C616" s="5" t="s">
        <v>96</v>
      </c>
      <c r="D616" s="5" t="s">
        <v>10</v>
      </c>
      <c r="E616" s="35">
        <f>vlookup(C616,'Team Bye List'!$A$1:$B$33,2,False)</f>
        <v>10</v>
      </c>
      <c r="F616" s="36">
        <f>if(ISNA(vlookup($A616, ESPN!$B$2:$E$1010, 4, false)), 0, vlookup($A616, ESPN!$B$2:$E$1010, 4, false))</f>
        <v>0</v>
      </c>
      <c r="G616" s="36">
        <f>if(ISNA(vlookup($A616,'Ultimate Draft Kit'!$B$2:$E$201,4, false)), 0, vlookup($A616,'Ultimate Draft Kit'!$B$2:$E$201, 4, false))</f>
        <v>0</v>
      </c>
      <c r="H616" s="36">
        <f>if(ISNA(vlookup($A616, FantasyPro!$B$2:$E$514,4,false)),0,vlookup($A616,FantasyPro!$B$2:$E$514,4,false))</f>
        <v>0</v>
      </c>
      <c r="I616" s="36">
        <f>if(ISNA(vlookup($A616, FFToolbox!$B$2:$E$618, 4, false)), 0, vlookup($A616, FFToolbox!$B$2:$E$618, 4, false))</f>
        <v>0</v>
      </c>
      <c r="J616" s="37">
        <f t="shared" si="1"/>
        <v>0</v>
      </c>
      <c r="K616" s="37">
        <f t="shared" si="2"/>
        <v>0</v>
      </c>
    </row>
    <row r="617" hidden="1">
      <c r="A617" s="13" t="s">
        <v>730</v>
      </c>
      <c r="B617" s="34" t="s">
        <v>1061</v>
      </c>
      <c r="C617" s="5" t="s">
        <v>257</v>
      </c>
      <c r="D617" s="5" t="s">
        <v>25</v>
      </c>
      <c r="E617" s="35" t="str">
        <f>vlookup(C617,'Team Bye List'!$A$1:$B$33,2,False)</f>
        <v>#N/A</v>
      </c>
      <c r="F617" s="36">
        <f>if(ISNA(vlookup($A617, ESPN!$B$2:$E$1010, 4, false)), 0, vlookup($A617, ESPN!$B$2:$E$1010, 4, false))</f>
        <v>0</v>
      </c>
      <c r="G617" s="36">
        <f>if(ISNA(vlookup($A617,'Ultimate Draft Kit'!$B$2:$E$201,4, false)), 0, vlookup($A617,'Ultimate Draft Kit'!$B$2:$E$201, 4, false))</f>
        <v>0</v>
      </c>
      <c r="H617" s="36">
        <f>if(ISNA(vlookup($A617, FantasyPro!$B$2:$E$514,4,false)),0,vlookup($A617,FantasyPro!$B$2:$E$514,4,false))</f>
        <v>0</v>
      </c>
      <c r="I617" s="36">
        <f>if(ISNA(vlookup($A617, FFToolbox!$B$2:$E$618, 4, false)), 0, vlookup($A617, FFToolbox!$B$2:$E$618, 4, false))</f>
        <v>0</v>
      </c>
      <c r="J617" s="37">
        <f t="shared" si="1"/>
        <v>0</v>
      </c>
      <c r="K617" s="37">
        <f t="shared" si="2"/>
        <v>0</v>
      </c>
    </row>
    <row r="618">
      <c r="A618" s="13" t="s">
        <v>239</v>
      </c>
      <c r="B618" s="34" t="s">
        <v>1061</v>
      </c>
      <c r="C618" s="5" t="s">
        <v>77</v>
      </c>
      <c r="D618" s="5" t="s">
        <v>169</v>
      </c>
      <c r="E618" s="35">
        <f>vlookup(C618,'Team Bye List'!$A$1:$B$33,2,False)</f>
        <v>11</v>
      </c>
      <c r="F618" s="36">
        <f>if(ISNA(vlookup($A618, ESPN!$B$2:$E$1010, 4, false)), 0, vlookup($A618, ESPN!$B$2:$E$1010, 4, false))</f>
        <v>0</v>
      </c>
      <c r="G618" s="36">
        <f>if(ISNA(vlookup($A618,'Ultimate Draft Kit'!$B$2:$E$201,4, false)), 0, vlookup($A618,'Ultimate Draft Kit'!$B$2:$E$201, 4, false))</f>
        <v>0</v>
      </c>
      <c r="H618" s="36">
        <f>if(ISNA(vlookup($A618, FantasyPro!$B$2:$E$514,4,false)),0,vlookup($A618,FantasyPro!$B$2:$E$514,4,false))</f>
        <v>0</v>
      </c>
      <c r="I618" s="36">
        <f>if(ISNA(vlookup($A618, FFToolbox!$B$2:$E$618, 4, false)), 0, vlookup($A618, FFToolbox!$B$2:$E$618, 4, false))</f>
        <v>0</v>
      </c>
      <c r="J618" s="37">
        <f t="shared" si="1"/>
        <v>0</v>
      </c>
      <c r="K618" s="37">
        <f t="shared" si="2"/>
        <v>0</v>
      </c>
    </row>
    <row r="619" hidden="1">
      <c r="A619" s="13" t="s">
        <v>619</v>
      </c>
      <c r="B619" s="34" t="s">
        <v>1061</v>
      </c>
      <c r="C619" s="5" t="s">
        <v>44</v>
      </c>
      <c r="D619" s="5" t="s">
        <v>25</v>
      </c>
      <c r="E619" s="35">
        <f>vlookup(C619,'Team Bye List'!$A$1:$B$33,2,False)</f>
        <v>10</v>
      </c>
      <c r="F619" s="36">
        <f>if(ISNA(vlookup($A619, ESPN!$B$2:$E$1010, 4, false)), 0, vlookup($A619, ESPN!$B$2:$E$1010, 4, false))</f>
        <v>0</v>
      </c>
      <c r="G619" s="36">
        <f>if(ISNA(vlookup($A619,'Ultimate Draft Kit'!$B$2:$E$201,4, false)), 0, vlookup($A619,'Ultimate Draft Kit'!$B$2:$E$201, 4, false))</f>
        <v>0</v>
      </c>
      <c r="H619" s="36">
        <f>if(ISNA(vlookup($A619, FantasyPro!$B$2:$E$514,4,false)),0,vlookup($A619,FantasyPro!$B$2:$E$514,4,false))</f>
        <v>0</v>
      </c>
      <c r="I619" s="36">
        <f>if(ISNA(vlookup($A619, FFToolbox!$B$2:$E$618, 4, false)), 0, vlookup($A619, FFToolbox!$B$2:$E$618, 4, false))</f>
        <v>0</v>
      </c>
      <c r="J619" s="37">
        <f t="shared" si="1"/>
        <v>0</v>
      </c>
      <c r="K619" s="37">
        <f t="shared" si="2"/>
        <v>0</v>
      </c>
    </row>
    <row r="620" hidden="1">
      <c r="A620" s="13" t="s">
        <v>761</v>
      </c>
      <c r="B620" s="34" t="s">
        <v>1061</v>
      </c>
      <c r="C620" s="5" t="s">
        <v>257</v>
      </c>
      <c r="D620" s="5" t="s">
        <v>25</v>
      </c>
      <c r="E620" s="35" t="str">
        <f>vlookup(C620,'Team Bye List'!$A$1:$B$33,2,False)</f>
        <v>#N/A</v>
      </c>
      <c r="F620" s="36">
        <f>if(ISNA(vlookup($A620, ESPN!$B$2:$E$1010, 4, false)), 0, vlookup($A620, ESPN!$B$2:$E$1010, 4, false))</f>
        <v>0</v>
      </c>
      <c r="G620" s="36">
        <f>if(ISNA(vlookup($A620,'Ultimate Draft Kit'!$B$2:$E$201,4, false)), 0, vlookup($A620,'Ultimate Draft Kit'!$B$2:$E$201, 4, false))</f>
        <v>0</v>
      </c>
      <c r="H620" s="36">
        <f>if(ISNA(vlookup($A620, FantasyPro!$B$2:$E$514,4,false)),0,vlookup($A620,FantasyPro!$B$2:$E$514,4,false))</f>
        <v>0</v>
      </c>
      <c r="I620" s="36">
        <f>if(ISNA(vlookup($A620, FFToolbox!$B$2:$E$618, 4, false)), 0, vlookup($A620, FFToolbox!$B$2:$E$618, 4, false))</f>
        <v>0</v>
      </c>
      <c r="J620" s="37">
        <f t="shared" si="1"/>
        <v>0</v>
      </c>
      <c r="K620" s="37">
        <f t="shared" si="2"/>
        <v>0</v>
      </c>
    </row>
    <row r="621" hidden="1">
      <c r="A621" s="13" t="s">
        <v>761</v>
      </c>
      <c r="B621" s="34" t="s">
        <v>1061</v>
      </c>
      <c r="C621" s="5" t="s">
        <v>257</v>
      </c>
      <c r="D621" s="5" t="s">
        <v>25</v>
      </c>
      <c r="E621" s="35" t="str">
        <f>vlookup(C621,'Team Bye List'!$A$1:$B$33,2,False)</f>
        <v>#N/A</v>
      </c>
      <c r="F621" s="36">
        <f>if(ISNA(vlookup($A621, ESPN!$B$2:$E$1010, 4, false)), 0, vlookup($A621, ESPN!$B$2:$E$1010, 4, false))</f>
        <v>0</v>
      </c>
      <c r="G621" s="36">
        <f>if(ISNA(vlookup($A621,'Ultimate Draft Kit'!$B$2:$E$201,4, false)), 0, vlookup($A621,'Ultimate Draft Kit'!$B$2:$E$201, 4, false))</f>
        <v>0</v>
      </c>
      <c r="H621" s="36">
        <f>if(ISNA(vlookup($A621, FantasyPro!$B$2:$E$514,4,false)),0,vlookup($A621,FantasyPro!$B$2:$E$514,4,false))</f>
        <v>0</v>
      </c>
      <c r="I621" s="36">
        <f>if(ISNA(vlookup($A621, FFToolbox!$B$2:$E$618, 4, false)), 0, vlookup($A621, FFToolbox!$B$2:$E$618, 4, false))</f>
        <v>0</v>
      </c>
      <c r="J621" s="37">
        <f t="shared" si="1"/>
        <v>0</v>
      </c>
      <c r="K621" s="37">
        <f t="shared" si="2"/>
        <v>0</v>
      </c>
    </row>
    <row r="622" hidden="1">
      <c r="A622" s="13" t="s">
        <v>753</v>
      </c>
      <c r="B622" s="34" t="s">
        <v>1061</v>
      </c>
      <c r="C622" s="5" t="s">
        <v>257</v>
      </c>
      <c r="D622" s="5" t="s">
        <v>25</v>
      </c>
      <c r="E622" s="35" t="str">
        <f>vlookup(C622,'Team Bye List'!$A$1:$B$33,2,False)</f>
        <v>#N/A</v>
      </c>
      <c r="F622" s="36">
        <f>if(ISNA(vlookup($A622, ESPN!$B$2:$E$1010, 4, false)), 0, vlookup($A622, ESPN!$B$2:$E$1010, 4, false))</f>
        <v>0</v>
      </c>
      <c r="G622" s="36">
        <f>if(ISNA(vlookup($A622,'Ultimate Draft Kit'!$B$2:$E$201,4, false)), 0, vlookup($A622,'Ultimate Draft Kit'!$B$2:$E$201, 4, false))</f>
        <v>0</v>
      </c>
      <c r="H622" s="36">
        <f>if(ISNA(vlookup($A622, FantasyPro!$B$2:$E$514,4,false)),0,vlookup($A622,FantasyPro!$B$2:$E$514,4,false))</f>
        <v>0</v>
      </c>
      <c r="I622" s="36">
        <f>if(ISNA(vlookup($A622, FFToolbox!$B$2:$E$618, 4, false)), 0, vlookup($A622, FFToolbox!$B$2:$E$618, 4, false))</f>
        <v>0</v>
      </c>
      <c r="J622" s="37">
        <f t="shared" si="1"/>
        <v>0</v>
      </c>
      <c r="K622" s="37">
        <f t="shared" si="2"/>
        <v>0</v>
      </c>
    </row>
    <row r="623" hidden="1">
      <c r="A623" s="13" t="s">
        <v>1076</v>
      </c>
      <c r="B623" s="34" t="s">
        <v>1061</v>
      </c>
      <c r="C623" s="5" t="s">
        <v>92</v>
      </c>
      <c r="D623" s="5" t="s">
        <v>25</v>
      </c>
      <c r="E623" s="35">
        <f>vlookup(C623,'Team Bye List'!$A$1:$B$33,2,False)</f>
        <v>8</v>
      </c>
      <c r="F623" s="36">
        <f>if(ISNA(vlookup($A623, ESPN!$B$2:$E$1010, 4, false)), 0, vlookup($A623, ESPN!$B$2:$E$1010, 4, false))</f>
        <v>0</v>
      </c>
      <c r="G623" s="36">
        <f>if(ISNA(vlookup($A623,'Ultimate Draft Kit'!$B$2:$E$201,4, false)), 0, vlookup($A623,'Ultimate Draft Kit'!$B$2:$E$201, 4, false))</f>
        <v>0</v>
      </c>
      <c r="H623" s="36">
        <f>if(ISNA(vlookup($A623, FantasyPro!$B$2:$E$514,4,false)),0,vlookup($A623,FantasyPro!$B$2:$E$514,4,false))</f>
        <v>0</v>
      </c>
      <c r="I623" s="36">
        <f>if(ISNA(vlookup($A623, FFToolbox!$B$2:$E$618, 4, false)), 0, vlookup($A623, FFToolbox!$B$2:$E$618, 4, false))</f>
        <v>0</v>
      </c>
      <c r="J623" s="37">
        <f t="shared" si="1"/>
        <v>0</v>
      </c>
      <c r="K623" s="37">
        <f t="shared" si="2"/>
        <v>0</v>
      </c>
    </row>
    <row r="624" hidden="1">
      <c r="A624" s="13" t="s">
        <v>741</v>
      </c>
      <c r="B624" s="34" t="s">
        <v>1061</v>
      </c>
      <c r="C624" s="5" t="s">
        <v>257</v>
      </c>
      <c r="D624" s="5" t="s">
        <v>25</v>
      </c>
      <c r="E624" s="35" t="str">
        <f>vlookup(C624,'Team Bye List'!$A$1:$B$33,2,False)</f>
        <v>#N/A</v>
      </c>
      <c r="F624" s="36">
        <f>if(ISNA(vlookup($A624, ESPN!$B$2:$E$1010, 4, false)), 0, vlookup($A624, ESPN!$B$2:$E$1010, 4, false))</f>
        <v>0</v>
      </c>
      <c r="G624" s="36">
        <f>if(ISNA(vlookup($A624,'Ultimate Draft Kit'!$B$2:$E$201,4, false)), 0, vlookup($A624,'Ultimate Draft Kit'!$B$2:$E$201, 4, false))</f>
        <v>0</v>
      </c>
      <c r="H624" s="36">
        <f>if(ISNA(vlookup($A624, FantasyPro!$B$2:$E$514,4,false)),0,vlookup($A624,FantasyPro!$B$2:$E$514,4,false))</f>
        <v>0</v>
      </c>
      <c r="I624" s="36">
        <f>if(ISNA(vlookup($A624, FFToolbox!$B$2:$E$618, 4, false)), 0, vlookup($A624, FFToolbox!$B$2:$E$618, 4, false))</f>
        <v>0</v>
      </c>
      <c r="J624" s="37">
        <f t="shared" si="1"/>
        <v>0</v>
      </c>
      <c r="K624" s="37">
        <f t="shared" si="2"/>
        <v>0</v>
      </c>
    </row>
    <row r="625" hidden="1">
      <c r="A625" s="13" t="s">
        <v>686</v>
      </c>
      <c r="B625" s="34" t="s">
        <v>1061</v>
      </c>
      <c r="C625" s="5" t="s">
        <v>104</v>
      </c>
      <c r="D625" s="5" t="s">
        <v>25</v>
      </c>
      <c r="E625" s="35">
        <f>vlookup(C625,'Team Bye List'!$A$1:$B$33,2,False)</f>
        <v>7</v>
      </c>
      <c r="F625" s="36">
        <f>if(ISNA(vlookup($A625, ESPN!$B$2:$E$1010, 4, false)), 0, vlookup($A625, ESPN!$B$2:$E$1010, 4, false))</f>
        <v>0</v>
      </c>
      <c r="G625" s="36">
        <f>if(ISNA(vlookup($A625,'Ultimate Draft Kit'!$B$2:$E$201,4, false)), 0, vlookup($A625,'Ultimate Draft Kit'!$B$2:$E$201, 4, false))</f>
        <v>0</v>
      </c>
      <c r="H625" s="36">
        <f>if(ISNA(vlookup($A625, FantasyPro!$B$2:$E$514,4,false)),0,vlookup($A625,FantasyPro!$B$2:$E$514,4,false))</f>
        <v>0</v>
      </c>
      <c r="I625" s="36">
        <f>if(ISNA(vlookup($A625, FFToolbox!$B$2:$E$618, 4, false)), 0, vlookup($A625, FFToolbox!$B$2:$E$618, 4, false))</f>
        <v>0</v>
      </c>
      <c r="J625" s="37">
        <f t="shared" si="1"/>
        <v>0</v>
      </c>
      <c r="K625" s="37">
        <f t="shared" si="2"/>
        <v>0</v>
      </c>
    </row>
    <row r="626" hidden="1">
      <c r="A626" s="13" t="s">
        <v>1077</v>
      </c>
      <c r="B626" s="34" t="s">
        <v>1061</v>
      </c>
      <c r="C626" s="5" t="s">
        <v>29</v>
      </c>
      <c r="D626" s="5" t="s">
        <v>16</v>
      </c>
      <c r="E626" s="35">
        <f>vlookup(C626,'Team Bye List'!$A$1:$B$33,2,False)</f>
        <v>11</v>
      </c>
      <c r="F626" s="36">
        <f>if(ISNA(vlookup($A626, ESPN!$B$2:$E$1010, 4, false)), 0, vlookup($A626, ESPN!$B$2:$E$1010, 4, false))</f>
        <v>0</v>
      </c>
      <c r="G626" s="36">
        <f>if(ISNA(vlookup($A626,'Ultimate Draft Kit'!$B$2:$E$201,4, false)), 0, vlookup($A626,'Ultimate Draft Kit'!$B$2:$E$201, 4, false))</f>
        <v>0</v>
      </c>
      <c r="H626" s="36">
        <f>if(ISNA(vlookup($A626, FantasyPro!$B$2:$E$514,4,false)),0,vlookup($A626,FantasyPro!$B$2:$E$514,4,false))</f>
        <v>0</v>
      </c>
      <c r="I626" s="36">
        <f>if(ISNA(vlookup($A626, FFToolbox!$B$2:$E$618, 4, false)), 0, vlookup($A626, FFToolbox!$B$2:$E$618, 4, false))</f>
        <v>0</v>
      </c>
      <c r="J626" s="37">
        <f t="shared" si="1"/>
        <v>0</v>
      </c>
      <c r="K626" s="37">
        <f t="shared" si="2"/>
        <v>0</v>
      </c>
    </row>
    <row r="627" hidden="1">
      <c r="A627" s="13" t="s">
        <v>1078</v>
      </c>
      <c r="B627" s="34" t="s">
        <v>1061</v>
      </c>
      <c r="C627" s="5" t="s">
        <v>257</v>
      </c>
      <c r="D627" s="5" t="s">
        <v>16</v>
      </c>
      <c r="E627" s="35" t="str">
        <f>vlookup(C627,'Team Bye List'!$A$1:$B$33,2,False)</f>
        <v>#N/A</v>
      </c>
      <c r="F627" s="36">
        <f>if(ISNA(vlookup($A627, ESPN!$B$2:$E$1010, 4, false)), 0, vlookup($A627, ESPN!$B$2:$E$1010, 4, false))</f>
        <v>0</v>
      </c>
      <c r="G627" s="36">
        <f>if(ISNA(vlookup($A627,'Ultimate Draft Kit'!$B$2:$E$201,4, false)), 0, vlookup($A627,'Ultimate Draft Kit'!$B$2:$E$201, 4, false))</f>
        <v>0</v>
      </c>
      <c r="H627" s="36">
        <f>if(ISNA(vlookup($A627, FantasyPro!$B$2:$E$514,4,false)),0,vlookup($A627,FantasyPro!$B$2:$E$514,4,false))</f>
        <v>0</v>
      </c>
      <c r="I627" s="36">
        <f>if(ISNA(vlookup($A627, FFToolbox!$B$2:$E$618, 4, false)), 0, vlookup($A627, FFToolbox!$B$2:$E$618, 4, false))</f>
        <v>0</v>
      </c>
      <c r="J627" s="37">
        <f t="shared" si="1"/>
        <v>0</v>
      </c>
      <c r="K627" s="37">
        <f t="shared" si="2"/>
        <v>0</v>
      </c>
    </row>
    <row r="628" hidden="1">
      <c r="A628" s="13" t="s">
        <v>620</v>
      </c>
      <c r="B628" s="34" t="s">
        <v>1061</v>
      </c>
      <c r="C628" s="5" t="s">
        <v>92</v>
      </c>
      <c r="D628" s="5" t="s">
        <v>25</v>
      </c>
      <c r="E628" s="35">
        <f>vlookup(C628,'Team Bye List'!$A$1:$B$33,2,False)</f>
        <v>8</v>
      </c>
      <c r="F628" s="36">
        <f>if(ISNA(vlookup($A628, ESPN!$B$2:$E$1010, 4, false)), 0, vlookup($A628, ESPN!$B$2:$E$1010, 4, false))</f>
        <v>0</v>
      </c>
      <c r="G628" s="36">
        <f>if(ISNA(vlookup($A628,'Ultimate Draft Kit'!$B$2:$E$201,4, false)), 0, vlookup($A628,'Ultimate Draft Kit'!$B$2:$E$201, 4, false))</f>
        <v>0</v>
      </c>
      <c r="H628" s="36">
        <f>if(ISNA(vlookup($A628, FantasyPro!$B$2:$E$514,4,false)),0,vlookup($A628,FantasyPro!$B$2:$E$514,4,false))</f>
        <v>0</v>
      </c>
      <c r="I628" s="36">
        <f>if(ISNA(vlookup($A628, FFToolbox!$B$2:$E$618, 4, false)), 0, vlookup($A628, FFToolbox!$B$2:$E$618, 4, false))</f>
        <v>0</v>
      </c>
      <c r="J628" s="37">
        <f t="shared" si="1"/>
        <v>0</v>
      </c>
      <c r="K628" s="37">
        <f t="shared" si="2"/>
        <v>0</v>
      </c>
    </row>
    <row r="629" hidden="1">
      <c r="A629" s="13" t="s">
        <v>662</v>
      </c>
      <c r="B629" s="34" t="s">
        <v>1061</v>
      </c>
      <c r="C629" s="5" t="s">
        <v>257</v>
      </c>
      <c r="D629" s="5" t="s">
        <v>25</v>
      </c>
      <c r="E629" s="35" t="str">
        <f>vlookup(C629,'Team Bye List'!$A$1:$B$33,2,False)</f>
        <v>#N/A</v>
      </c>
      <c r="F629" s="36">
        <f>if(ISNA(vlookup($A629, ESPN!$B$2:$E$1010, 4, false)), 0, vlookup($A629, ESPN!$B$2:$E$1010, 4, false))</f>
        <v>0</v>
      </c>
      <c r="G629" s="36">
        <f>if(ISNA(vlookup($A629,'Ultimate Draft Kit'!$B$2:$E$201,4, false)), 0, vlookup($A629,'Ultimate Draft Kit'!$B$2:$E$201, 4, false))</f>
        <v>0</v>
      </c>
      <c r="H629" s="36">
        <f>if(ISNA(vlookup($A629, FantasyPro!$B$2:$E$514,4,false)),0,vlookup($A629,FantasyPro!$B$2:$E$514,4,false))</f>
        <v>0</v>
      </c>
      <c r="I629" s="36">
        <f>if(ISNA(vlookup($A629, FFToolbox!$B$2:$E$618, 4, false)), 0, vlookup($A629, FFToolbox!$B$2:$E$618, 4, false))</f>
        <v>0</v>
      </c>
      <c r="J629" s="37">
        <f t="shared" si="1"/>
        <v>0</v>
      </c>
      <c r="K629" s="37">
        <f t="shared" si="2"/>
        <v>0</v>
      </c>
    </row>
    <row r="630" hidden="1">
      <c r="A630" s="13" t="s">
        <v>616</v>
      </c>
      <c r="B630" s="34" t="s">
        <v>1061</v>
      </c>
      <c r="C630" s="5" t="s">
        <v>20</v>
      </c>
      <c r="D630" s="5" t="s">
        <v>25</v>
      </c>
      <c r="E630" s="35">
        <f>vlookup(C630,'Team Bye List'!$A$1:$B$33,2,False)</f>
        <v>8</v>
      </c>
      <c r="F630" s="36">
        <f>if(ISNA(vlookup($A630, ESPN!$B$2:$E$1010, 4, false)), 0, vlookup($A630, ESPN!$B$2:$E$1010, 4, false))</f>
        <v>0</v>
      </c>
      <c r="G630" s="36">
        <f>if(ISNA(vlookup($A630,'Ultimate Draft Kit'!$B$2:$E$201,4, false)), 0, vlookup($A630,'Ultimate Draft Kit'!$B$2:$E$201, 4, false))</f>
        <v>0</v>
      </c>
      <c r="H630" s="36">
        <f>if(ISNA(vlookup($A630, FantasyPro!$B$2:$E$514,4,false)),0,vlookup($A630,FantasyPro!$B$2:$E$514,4,false))</f>
        <v>0</v>
      </c>
      <c r="I630" s="36">
        <f>if(ISNA(vlookup($A630, FFToolbox!$B$2:$E$618, 4, false)), 0, vlookup($A630, FFToolbox!$B$2:$E$618, 4, false))</f>
        <v>0</v>
      </c>
      <c r="J630" s="37">
        <f t="shared" si="1"/>
        <v>0</v>
      </c>
      <c r="K630" s="37">
        <f t="shared" si="2"/>
        <v>0</v>
      </c>
    </row>
    <row r="631" hidden="1">
      <c r="A631" s="13" t="s">
        <v>615</v>
      </c>
      <c r="B631" s="34" t="s">
        <v>1061</v>
      </c>
      <c r="C631" s="5" t="s">
        <v>74</v>
      </c>
      <c r="D631" s="5" t="s">
        <v>25</v>
      </c>
      <c r="E631" s="35">
        <f>vlookup(C631,'Team Bye List'!$A$1:$B$33,2,False)</f>
        <v>7</v>
      </c>
      <c r="F631" s="36">
        <f>if(ISNA(vlookup($A631, ESPN!$B$2:$E$1010, 4, false)), 0, vlookup($A631, ESPN!$B$2:$E$1010, 4, false))</f>
        <v>0</v>
      </c>
      <c r="G631" s="36">
        <f>if(ISNA(vlookup($A631,'Ultimate Draft Kit'!$B$2:$E$201,4, false)), 0, vlookup($A631,'Ultimate Draft Kit'!$B$2:$E$201, 4, false))</f>
        <v>0</v>
      </c>
      <c r="H631" s="36">
        <f>if(ISNA(vlookup($A631, FantasyPro!$B$2:$E$514,4,false)),0,vlookup($A631,FantasyPro!$B$2:$E$514,4,false))</f>
        <v>0</v>
      </c>
      <c r="I631" s="36">
        <f>if(ISNA(vlookup($A631, FFToolbox!$B$2:$E$618, 4, false)), 0, vlookup($A631, FFToolbox!$B$2:$E$618, 4, false))</f>
        <v>0</v>
      </c>
      <c r="J631" s="37">
        <f t="shared" si="1"/>
        <v>0</v>
      </c>
      <c r="K631" s="37">
        <f t="shared" si="2"/>
        <v>0</v>
      </c>
    </row>
    <row r="632" hidden="1">
      <c r="A632" s="13" t="s">
        <v>1079</v>
      </c>
      <c r="B632" s="34" t="s">
        <v>1061</v>
      </c>
      <c r="C632" s="5" t="s">
        <v>257</v>
      </c>
      <c r="D632" s="5" t="s">
        <v>16</v>
      </c>
      <c r="E632" s="35" t="str">
        <f>vlookup(C632,'Team Bye List'!$A$1:$B$33,2,False)</f>
        <v>#N/A</v>
      </c>
      <c r="F632" s="36">
        <f>if(ISNA(vlookup($A632, ESPN!$B$2:$E$1010, 4, false)), 0, vlookup($A632, ESPN!$B$2:$E$1010, 4, false))</f>
        <v>0</v>
      </c>
      <c r="G632" s="36">
        <f>if(ISNA(vlookup($A632,'Ultimate Draft Kit'!$B$2:$E$201,4, false)), 0, vlookup($A632,'Ultimate Draft Kit'!$B$2:$E$201, 4, false))</f>
        <v>0</v>
      </c>
      <c r="H632" s="36">
        <f>if(ISNA(vlookup($A632, FantasyPro!$B$2:$E$514,4,false)),0,vlookup($A632,FantasyPro!$B$2:$E$514,4,false))</f>
        <v>0</v>
      </c>
      <c r="I632" s="36">
        <f>if(ISNA(vlookup($A632, FFToolbox!$B$2:$E$618, 4, false)), 0, vlookup($A632, FFToolbox!$B$2:$E$618, 4, false))</f>
        <v>0</v>
      </c>
      <c r="J632" s="37">
        <f t="shared" si="1"/>
        <v>0</v>
      </c>
      <c r="K632" s="37">
        <f t="shared" si="2"/>
        <v>0</v>
      </c>
    </row>
    <row r="633" hidden="1">
      <c r="A633" s="13" t="s">
        <v>675</v>
      </c>
      <c r="B633" s="34" t="s">
        <v>1061</v>
      </c>
      <c r="C633" s="5" t="s">
        <v>257</v>
      </c>
      <c r="D633" s="5" t="s">
        <v>25</v>
      </c>
      <c r="E633" s="35" t="str">
        <f>vlookup(C633,'Team Bye List'!$A$1:$B$33,2,False)</f>
        <v>#N/A</v>
      </c>
      <c r="F633" s="36">
        <f>if(ISNA(vlookup($A633, ESPN!$B$2:$E$1010, 4, false)), 0, vlookup($A633, ESPN!$B$2:$E$1010, 4, false))</f>
        <v>0</v>
      </c>
      <c r="G633" s="36">
        <f>if(ISNA(vlookup($A633,'Ultimate Draft Kit'!$B$2:$E$201,4, false)), 0, vlookup($A633,'Ultimate Draft Kit'!$B$2:$E$201, 4, false))</f>
        <v>0</v>
      </c>
      <c r="H633" s="36">
        <f>if(ISNA(vlookup($A633, FantasyPro!$B$2:$E$514,4,false)),0,vlookup($A633,FantasyPro!$B$2:$E$514,4,false))</f>
        <v>0</v>
      </c>
      <c r="I633" s="36">
        <f>if(ISNA(vlookup($A633, FFToolbox!$B$2:$E$618, 4, false)), 0, vlookup($A633, FFToolbox!$B$2:$E$618, 4, false))</f>
        <v>0</v>
      </c>
      <c r="J633" s="37">
        <f t="shared" si="1"/>
        <v>0</v>
      </c>
      <c r="K633" s="37">
        <f t="shared" si="2"/>
        <v>0</v>
      </c>
    </row>
    <row r="634" hidden="1">
      <c r="A634" s="13" t="s">
        <v>631</v>
      </c>
      <c r="B634" s="34" t="s">
        <v>1061</v>
      </c>
      <c r="C634" s="5" t="s">
        <v>69</v>
      </c>
      <c r="D634" s="5" t="s">
        <v>25</v>
      </c>
      <c r="E634" s="35">
        <f>vlookup(C634,'Team Bye List'!$A$1:$B$33,2,False)</f>
        <v>5</v>
      </c>
      <c r="F634" s="36">
        <f>if(ISNA(vlookup($A634, ESPN!$B$2:$E$1010, 4, false)), 0, vlookup($A634, ESPN!$B$2:$E$1010, 4, false))</f>
        <v>0</v>
      </c>
      <c r="G634" s="36">
        <f>if(ISNA(vlookup($A634,'Ultimate Draft Kit'!$B$2:$E$201,4, false)), 0, vlookup($A634,'Ultimate Draft Kit'!$B$2:$E$201, 4, false))</f>
        <v>0</v>
      </c>
      <c r="H634" s="36">
        <f>if(ISNA(vlookup($A634, FantasyPro!$B$2:$E$514,4,false)),0,vlookup($A634,FantasyPro!$B$2:$E$514,4,false))</f>
        <v>0</v>
      </c>
      <c r="I634" s="36">
        <f>if(ISNA(vlookup($A634, FFToolbox!$B$2:$E$618, 4, false)), 0, vlookup($A634, FFToolbox!$B$2:$E$618, 4, false))</f>
        <v>0</v>
      </c>
      <c r="J634" s="37">
        <f t="shared" si="1"/>
        <v>0</v>
      </c>
      <c r="K634" s="37">
        <f t="shared" si="2"/>
        <v>0</v>
      </c>
    </row>
    <row r="635" hidden="1">
      <c r="A635" s="13" t="s">
        <v>989</v>
      </c>
      <c r="B635" s="34" t="s">
        <v>1061</v>
      </c>
      <c r="C635" s="5" t="s">
        <v>54</v>
      </c>
      <c r="D635" s="5" t="s">
        <v>10</v>
      </c>
      <c r="E635" s="35">
        <f>vlookup(C635,'Team Bye List'!$A$1:$B$33,2,False)</f>
        <v>9</v>
      </c>
      <c r="F635" s="36">
        <f>if(ISNA(vlookup($A635, ESPN!$B$2:$E$1010, 4, false)), 0, vlookup($A635, ESPN!$B$2:$E$1010, 4, false))</f>
        <v>0</v>
      </c>
      <c r="G635" s="36">
        <f>if(ISNA(vlookup($A635,'Ultimate Draft Kit'!$B$2:$E$201,4, false)), 0, vlookup($A635,'Ultimate Draft Kit'!$B$2:$E$201, 4, false))</f>
        <v>0</v>
      </c>
      <c r="H635" s="36">
        <f>if(ISNA(vlookup($A635, FantasyPro!$B$2:$E$514,4,false)),0,vlookup($A635,FantasyPro!$B$2:$E$514,4,false))</f>
        <v>0</v>
      </c>
      <c r="I635" s="36">
        <f>if(ISNA(vlookup($A635, FFToolbox!$B$2:$E$618, 4, false)), 0, vlookup($A635, FFToolbox!$B$2:$E$618, 4, false))</f>
        <v>0</v>
      </c>
      <c r="J635" s="37">
        <f t="shared" si="1"/>
        <v>0</v>
      </c>
      <c r="K635" s="37">
        <f t="shared" si="2"/>
        <v>0</v>
      </c>
    </row>
    <row r="636" hidden="1">
      <c r="A636" s="13" t="s">
        <v>700</v>
      </c>
      <c r="B636" s="34" t="s">
        <v>1061</v>
      </c>
      <c r="C636" s="5" t="s">
        <v>29</v>
      </c>
      <c r="D636" s="5" t="s">
        <v>25</v>
      </c>
      <c r="E636" s="35">
        <f>vlookup(C636,'Team Bye List'!$A$1:$B$33,2,False)</f>
        <v>11</v>
      </c>
      <c r="F636" s="36">
        <f>if(ISNA(vlookup($A636, ESPN!$B$2:$E$1010, 4, false)), 0, vlookup($A636, ESPN!$B$2:$E$1010, 4, false))</f>
        <v>0</v>
      </c>
      <c r="G636" s="36">
        <f>if(ISNA(vlookup($A636,'Ultimate Draft Kit'!$B$2:$E$201,4, false)), 0, vlookup($A636,'Ultimate Draft Kit'!$B$2:$E$201, 4, false))</f>
        <v>0</v>
      </c>
      <c r="H636" s="36">
        <f>if(ISNA(vlookup($A636, FantasyPro!$B$2:$E$514,4,false)),0,vlookup($A636,FantasyPro!$B$2:$E$514,4,false))</f>
        <v>0</v>
      </c>
      <c r="I636" s="36">
        <f>if(ISNA(vlookup($A636, FFToolbox!$B$2:$E$618, 4, false)), 0, vlookup($A636, FFToolbox!$B$2:$E$618, 4, false))</f>
        <v>0</v>
      </c>
      <c r="J636" s="37">
        <f t="shared" si="1"/>
        <v>0</v>
      </c>
      <c r="K636" s="37">
        <f t="shared" si="2"/>
        <v>0</v>
      </c>
    </row>
    <row r="637" hidden="1">
      <c r="A637" s="13" t="s">
        <v>641</v>
      </c>
      <c r="B637" s="34" t="s">
        <v>1061</v>
      </c>
      <c r="C637" s="5" t="s">
        <v>34</v>
      </c>
      <c r="D637" s="5" t="s">
        <v>25</v>
      </c>
      <c r="E637" s="35">
        <f>vlookup(C637,'Team Bye List'!$A$1:$B$33,2,False)</f>
        <v>7</v>
      </c>
      <c r="F637" s="36">
        <f>if(ISNA(vlookup($A637, ESPN!$B$2:$E$1010, 4, false)), 0, vlookup($A637, ESPN!$B$2:$E$1010, 4, false))</f>
        <v>0</v>
      </c>
      <c r="G637" s="36">
        <f>if(ISNA(vlookup($A637,'Ultimate Draft Kit'!$B$2:$E$201,4, false)), 0, vlookup($A637,'Ultimate Draft Kit'!$B$2:$E$201, 4, false))</f>
        <v>0</v>
      </c>
      <c r="H637" s="36">
        <f>if(ISNA(vlookup($A637, FantasyPro!$B$2:$E$514,4,false)),0,vlookup($A637,FantasyPro!$B$2:$E$514,4,false))</f>
        <v>0</v>
      </c>
      <c r="I637" s="36">
        <f>if(ISNA(vlookup($A637, FFToolbox!$B$2:$E$618, 4, false)), 0, vlookup($A637, FFToolbox!$B$2:$E$618, 4, false))</f>
        <v>0</v>
      </c>
      <c r="J637" s="37">
        <f t="shared" si="1"/>
        <v>0</v>
      </c>
      <c r="K637" s="37">
        <f t="shared" si="2"/>
        <v>0</v>
      </c>
    </row>
    <row r="638" hidden="1">
      <c r="A638" s="13" t="s">
        <v>737</v>
      </c>
      <c r="B638" s="34" t="s">
        <v>1061</v>
      </c>
      <c r="C638" s="5" t="s">
        <v>92</v>
      </c>
      <c r="D638" s="5" t="s">
        <v>25</v>
      </c>
      <c r="E638" s="35">
        <f>vlookup(C638,'Team Bye List'!$A$1:$B$33,2,False)</f>
        <v>8</v>
      </c>
      <c r="F638" s="36">
        <f>if(ISNA(vlookup($A638, ESPN!$B$2:$E$1010, 4, false)), 0, vlookup($A638, ESPN!$B$2:$E$1010, 4, false))</f>
        <v>0</v>
      </c>
      <c r="G638" s="36">
        <f>if(ISNA(vlookup($A638,'Ultimate Draft Kit'!$B$2:$E$201,4, false)), 0, vlookup($A638,'Ultimate Draft Kit'!$B$2:$E$201, 4, false))</f>
        <v>0</v>
      </c>
      <c r="H638" s="36">
        <f>if(ISNA(vlookup($A638, FantasyPro!$B$2:$E$514,4,false)),0,vlookup($A638,FantasyPro!$B$2:$E$514,4,false))</f>
        <v>0</v>
      </c>
      <c r="I638" s="36">
        <f>if(ISNA(vlookup($A638, FFToolbox!$B$2:$E$618, 4, false)), 0, vlookup($A638, FFToolbox!$B$2:$E$618, 4, false))</f>
        <v>0</v>
      </c>
      <c r="J638" s="37">
        <f t="shared" si="1"/>
        <v>0</v>
      </c>
      <c r="K638" s="37">
        <f t="shared" si="2"/>
        <v>0</v>
      </c>
    </row>
    <row r="639" hidden="1">
      <c r="A639" s="13" t="s">
        <v>611</v>
      </c>
      <c r="B639" s="34" t="s">
        <v>1061</v>
      </c>
      <c r="C639" s="5" t="s">
        <v>29</v>
      </c>
      <c r="D639" s="5" t="s">
        <v>25</v>
      </c>
      <c r="E639" s="35">
        <f>vlookup(C639,'Team Bye List'!$A$1:$B$33,2,False)</f>
        <v>11</v>
      </c>
      <c r="F639" s="36">
        <f>if(ISNA(vlookup($A639, ESPN!$B$2:$E$1010, 4, false)), 0, vlookup($A639, ESPN!$B$2:$E$1010, 4, false))</f>
        <v>0</v>
      </c>
      <c r="G639" s="36">
        <f>if(ISNA(vlookup($A639,'Ultimate Draft Kit'!$B$2:$E$201,4, false)), 0, vlookup($A639,'Ultimate Draft Kit'!$B$2:$E$201, 4, false))</f>
        <v>0</v>
      </c>
      <c r="H639" s="36">
        <f>if(ISNA(vlookup($A639, FantasyPro!$B$2:$E$514,4,false)),0,vlookup($A639,FantasyPro!$B$2:$E$514,4,false))</f>
        <v>0</v>
      </c>
      <c r="I639" s="36">
        <f>if(ISNA(vlookup($A639, FFToolbox!$B$2:$E$618, 4, false)), 0, vlookup($A639, FFToolbox!$B$2:$E$618, 4, false))</f>
        <v>0</v>
      </c>
      <c r="J639" s="37">
        <f t="shared" si="1"/>
        <v>0</v>
      </c>
      <c r="K639" s="37">
        <f t="shared" si="2"/>
        <v>0</v>
      </c>
    </row>
    <row r="640" hidden="1">
      <c r="A640" s="13" t="s">
        <v>660</v>
      </c>
      <c r="B640" s="34" t="s">
        <v>1061</v>
      </c>
      <c r="C640" s="5" t="s">
        <v>54</v>
      </c>
      <c r="D640" s="5" t="s">
        <v>25</v>
      </c>
      <c r="E640" s="35">
        <f>vlookup(C640,'Team Bye List'!$A$1:$B$33,2,False)</f>
        <v>9</v>
      </c>
      <c r="F640" s="36">
        <f>if(ISNA(vlookup($A640, ESPN!$B$2:$E$1010, 4, false)), 0, vlookup($A640, ESPN!$B$2:$E$1010, 4, false))</f>
        <v>0</v>
      </c>
      <c r="G640" s="36">
        <f>if(ISNA(vlookup($A640,'Ultimate Draft Kit'!$B$2:$E$201,4, false)), 0, vlookup($A640,'Ultimate Draft Kit'!$B$2:$E$201, 4, false))</f>
        <v>0</v>
      </c>
      <c r="H640" s="36">
        <f>if(ISNA(vlookup($A640, FantasyPro!$B$2:$E$514,4,false)),0,vlookup($A640,FantasyPro!$B$2:$E$514,4,false))</f>
        <v>0</v>
      </c>
      <c r="I640" s="36">
        <f>if(ISNA(vlookup($A640, FFToolbox!$B$2:$E$618, 4, false)), 0, vlookup($A640, FFToolbox!$B$2:$E$618, 4, false))</f>
        <v>0</v>
      </c>
      <c r="J640" s="37">
        <f t="shared" si="1"/>
        <v>0</v>
      </c>
      <c r="K640" s="37">
        <f t="shared" si="2"/>
        <v>0</v>
      </c>
    </row>
    <row r="641" hidden="1">
      <c r="A641" s="13" t="s">
        <v>766</v>
      </c>
      <c r="B641" s="34" t="s">
        <v>1061</v>
      </c>
      <c r="C641" s="5" t="s">
        <v>38</v>
      </c>
      <c r="D641" s="5" t="s">
        <v>7</v>
      </c>
      <c r="E641" s="35">
        <f>vlookup(C641,'Team Bye List'!$A$1:$B$33,2,False)</f>
        <v>12</v>
      </c>
      <c r="F641" s="36">
        <f>if(ISNA(vlookup($A641, ESPN!$B$2:$E$1010, 4, false)), 0, vlookup($A641, ESPN!$B$2:$E$1010, 4, false))</f>
        <v>0</v>
      </c>
      <c r="G641" s="36">
        <f>if(ISNA(vlookup($A641,'Ultimate Draft Kit'!$B$2:$E$201,4, false)), 0, vlookup($A641,'Ultimate Draft Kit'!$B$2:$E$201, 4, false))</f>
        <v>0</v>
      </c>
      <c r="H641" s="36">
        <f>if(ISNA(vlookup($A641, FantasyPro!$B$2:$E$514,4,false)),0,vlookup($A641,FantasyPro!$B$2:$E$514,4,false))</f>
        <v>0</v>
      </c>
      <c r="I641" s="36">
        <f>if(ISNA(vlookup($A641, FFToolbox!$B$2:$E$618, 4, false)), 0, vlookup($A641, FFToolbox!$B$2:$E$618, 4, false))</f>
        <v>0</v>
      </c>
      <c r="J641" s="37">
        <f t="shared" si="1"/>
        <v>0</v>
      </c>
      <c r="K641" s="37">
        <f t="shared" si="2"/>
        <v>0</v>
      </c>
    </row>
    <row r="642" hidden="1">
      <c r="A642" s="13" t="s">
        <v>718</v>
      </c>
      <c r="B642" s="34" t="s">
        <v>1061</v>
      </c>
      <c r="C642" s="5" t="s">
        <v>257</v>
      </c>
      <c r="D642" s="5" t="s">
        <v>25</v>
      </c>
      <c r="E642" s="35" t="str">
        <f>vlookup(C642,'Team Bye List'!$A$1:$B$33,2,False)</f>
        <v>#N/A</v>
      </c>
      <c r="F642" s="36">
        <f>if(ISNA(vlookup($A642, ESPN!$B$2:$E$1010, 4, false)), 0, vlookup($A642, ESPN!$B$2:$E$1010, 4, false))</f>
        <v>0</v>
      </c>
      <c r="G642" s="36">
        <f>if(ISNA(vlookup($A642,'Ultimate Draft Kit'!$B$2:$E$201,4, false)), 0, vlookup($A642,'Ultimate Draft Kit'!$B$2:$E$201, 4, false))</f>
        <v>0</v>
      </c>
      <c r="H642" s="36">
        <f>if(ISNA(vlookup($A642, FantasyPro!$B$2:$E$514,4,false)),0,vlookup($A642,FantasyPro!$B$2:$E$514,4,false))</f>
        <v>0</v>
      </c>
      <c r="I642" s="36">
        <f>if(ISNA(vlookup($A642, FFToolbox!$B$2:$E$618, 4, false)), 0, vlookup($A642, FFToolbox!$B$2:$E$618, 4, false))</f>
        <v>0</v>
      </c>
      <c r="J642" s="37">
        <f t="shared" si="1"/>
        <v>0</v>
      </c>
      <c r="K642" s="37">
        <f t="shared" si="2"/>
        <v>0</v>
      </c>
    </row>
    <row r="643">
      <c r="A643" s="13" t="s">
        <v>203</v>
      </c>
      <c r="B643" s="34" t="s">
        <v>1061</v>
      </c>
      <c r="C643" s="5" t="s">
        <v>6</v>
      </c>
      <c r="D643" s="5" t="s">
        <v>169</v>
      </c>
      <c r="E643" s="35">
        <f>vlookup(C643,'Team Bye List'!$A$1:$B$33,2,False)</f>
        <v>12</v>
      </c>
      <c r="F643" s="36">
        <f>if(ISNA(vlookup($A643, ESPN!$B$2:$E$1010, 4, false)), 0, vlookup($A643, ESPN!$B$2:$E$1010, 4, false))</f>
        <v>1</v>
      </c>
      <c r="G643" s="36">
        <f>if(ISNA(vlookup($A643,'Ultimate Draft Kit'!$B$2:$E$201,4, false)), 0, vlookup($A643,'Ultimate Draft Kit'!$B$2:$E$201, 4, false))</f>
        <v>0</v>
      </c>
      <c r="H643" s="36">
        <f>if(ISNA(vlookup($A643, FantasyPro!$B$2:$E$514,4,false)),0,vlookup($A643,FantasyPro!$B$2:$E$514,4,false))</f>
        <v>0</v>
      </c>
      <c r="I643" s="36">
        <f>if(ISNA(vlookup($A643, FFToolbox!$B$2:$E$618, 4, false)), 0, vlookup($A643, FFToolbox!$B$2:$E$618, 4, false))</f>
        <v>0</v>
      </c>
      <c r="J643" s="37">
        <f t="shared" si="1"/>
        <v>0.25</v>
      </c>
      <c r="K643" s="37">
        <f t="shared" si="2"/>
        <v>1</v>
      </c>
    </row>
    <row r="644" hidden="1">
      <c r="A644" s="13" t="s">
        <v>1080</v>
      </c>
      <c r="B644" s="34" t="s">
        <v>1061</v>
      </c>
      <c r="C644" s="5" t="s">
        <v>233</v>
      </c>
      <c r="D644" s="5" t="s">
        <v>25</v>
      </c>
      <c r="E644" s="35">
        <f>vlookup(C644,'Team Bye List'!$A$1:$B$33,2,False)</f>
        <v>9</v>
      </c>
      <c r="F644" s="36">
        <f>if(ISNA(vlookup($A644, ESPN!$B$2:$E$1010, 4, false)), 0, vlookup($A644, ESPN!$B$2:$E$1010, 4, false))</f>
        <v>0</v>
      </c>
      <c r="G644" s="36">
        <f>if(ISNA(vlookup($A644,'Ultimate Draft Kit'!$B$2:$E$201,4, false)), 0, vlookup($A644,'Ultimate Draft Kit'!$B$2:$E$201, 4, false))</f>
        <v>0</v>
      </c>
      <c r="H644" s="36">
        <f>if(ISNA(vlookup($A644, FantasyPro!$B$2:$E$514,4,false)),0,vlookup($A644,FantasyPro!$B$2:$E$514,4,false))</f>
        <v>0</v>
      </c>
      <c r="I644" s="36">
        <f>if(ISNA(vlookup($A644, FFToolbox!$B$2:$E$618, 4, false)), 0, vlookup($A644, FFToolbox!$B$2:$E$618, 4, false))</f>
        <v>0</v>
      </c>
      <c r="J644" s="37">
        <f t="shared" si="1"/>
        <v>0</v>
      </c>
      <c r="K644" s="37">
        <f t="shared" si="2"/>
        <v>0</v>
      </c>
    </row>
    <row r="645" hidden="1">
      <c r="A645" s="13" t="s">
        <v>718</v>
      </c>
      <c r="B645" s="34" t="s">
        <v>1061</v>
      </c>
      <c r="C645" s="5" t="s">
        <v>257</v>
      </c>
      <c r="D645" s="5" t="s">
        <v>25</v>
      </c>
      <c r="E645" s="35" t="str">
        <f>vlookup(C645,'Team Bye List'!$A$1:$B$33,2,False)</f>
        <v>#N/A</v>
      </c>
      <c r="F645" s="36">
        <f>if(ISNA(vlookup($A645, ESPN!$B$2:$E$1010, 4, false)), 0, vlookup($A645, ESPN!$B$2:$E$1010, 4, false))</f>
        <v>0</v>
      </c>
      <c r="G645" s="36">
        <f>if(ISNA(vlookup($A645,'Ultimate Draft Kit'!$B$2:$E$201,4, false)), 0, vlookup($A645,'Ultimate Draft Kit'!$B$2:$E$201, 4, false))</f>
        <v>0</v>
      </c>
      <c r="H645" s="36">
        <f>if(ISNA(vlookup($A645, FantasyPro!$B$2:$E$514,4,false)),0,vlookup($A645,FantasyPro!$B$2:$E$514,4,false))</f>
        <v>0</v>
      </c>
      <c r="I645" s="36">
        <f>if(ISNA(vlookup($A645, FFToolbox!$B$2:$E$618, 4, false)), 0, vlookup($A645, FFToolbox!$B$2:$E$618, 4, false))</f>
        <v>0</v>
      </c>
      <c r="J645" s="37">
        <f t="shared" si="1"/>
        <v>0</v>
      </c>
      <c r="K645" s="37">
        <f t="shared" si="2"/>
        <v>0</v>
      </c>
    </row>
    <row r="646" hidden="1">
      <c r="A646" s="13" t="s">
        <v>626</v>
      </c>
      <c r="B646" s="34" t="s">
        <v>1061</v>
      </c>
      <c r="C646" s="5" t="s">
        <v>92</v>
      </c>
      <c r="D646" s="5" t="s">
        <v>25</v>
      </c>
      <c r="E646" s="35">
        <f>vlookup(C646,'Team Bye List'!$A$1:$B$33,2,False)</f>
        <v>8</v>
      </c>
      <c r="F646" s="36">
        <f>if(ISNA(vlookup($A646, ESPN!$B$2:$E$1010, 4, false)), 0, vlookup($A646, ESPN!$B$2:$E$1010, 4, false))</f>
        <v>0</v>
      </c>
      <c r="G646" s="36">
        <f>if(ISNA(vlookup($A646,'Ultimate Draft Kit'!$B$2:$E$201,4, false)), 0, vlookup($A646,'Ultimate Draft Kit'!$B$2:$E$201, 4, false))</f>
        <v>0</v>
      </c>
      <c r="H646" s="36">
        <f>if(ISNA(vlookup($A646, FantasyPro!$B$2:$E$514,4,false)),0,vlookup($A646,FantasyPro!$B$2:$E$514,4,false))</f>
        <v>0</v>
      </c>
      <c r="I646" s="36">
        <f>if(ISNA(vlookup($A646, FFToolbox!$B$2:$E$618, 4, false)), 0, vlookup($A646, FFToolbox!$B$2:$E$618, 4, false))</f>
        <v>0</v>
      </c>
      <c r="J646" s="37">
        <f t="shared" si="1"/>
        <v>0</v>
      </c>
      <c r="K646" s="37">
        <f t="shared" si="2"/>
        <v>0</v>
      </c>
    </row>
    <row r="647" hidden="1">
      <c r="A647" s="13" t="s">
        <v>740</v>
      </c>
      <c r="B647" s="34" t="s">
        <v>1061</v>
      </c>
      <c r="C647" s="5" t="s">
        <v>12</v>
      </c>
      <c r="D647" s="5" t="s">
        <v>25</v>
      </c>
      <c r="E647" s="35">
        <f>vlookup(C647,'Team Bye List'!$A$1:$B$33,2,False)</f>
        <v>8</v>
      </c>
      <c r="F647" s="36">
        <f>if(ISNA(vlookup($A647, ESPN!$B$2:$E$1010, 4, false)), 0, vlookup($A647, ESPN!$B$2:$E$1010, 4, false))</f>
        <v>0</v>
      </c>
      <c r="G647" s="36">
        <f>if(ISNA(vlookup($A647,'Ultimate Draft Kit'!$B$2:$E$201,4, false)), 0, vlookup($A647,'Ultimate Draft Kit'!$B$2:$E$201, 4, false))</f>
        <v>0</v>
      </c>
      <c r="H647" s="36">
        <f>if(ISNA(vlookup($A647, FantasyPro!$B$2:$E$514,4,false)),0,vlookup($A647,FantasyPro!$B$2:$E$514,4,false))</f>
        <v>0</v>
      </c>
      <c r="I647" s="36">
        <f>if(ISNA(vlookup($A647, FFToolbox!$B$2:$E$618, 4, false)), 0, vlookup($A647, FFToolbox!$B$2:$E$618, 4, false))</f>
        <v>0</v>
      </c>
      <c r="J647" s="37">
        <f t="shared" si="1"/>
        <v>0</v>
      </c>
      <c r="K647" s="37">
        <f t="shared" si="2"/>
        <v>0</v>
      </c>
    </row>
    <row r="648" hidden="1">
      <c r="A648" s="13" t="s">
        <v>716</v>
      </c>
      <c r="B648" s="34" t="s">
        <v>1061</v>
      </c>
      <c r="C648" s="5" t="s">
        <v>257</v>
      </c>
      <c r="D648" s="5" t="s">
        <v>25</v>
      </c>
      <c r="E648" s="35" t="str">
        <f>vlookup(C648,'Team Bye List'!$A$1:$B$33,2,False)</f>
        <v>#N/A</v>
      </c>
      <c r="F648" s="36">
        <f>if(ISNA(vlookup($A648, ESPN!$B$2:$E$1010, 4, false)), 0, vlookup($A648, ESPN!$B$2:$E$1010, 4, false))</f>
        <v>0</v>
      </c>
      <c r="G648" s="36">
        <f>if(ISNA(vlookup($A648,'Ultimate Draft Kit'!$B$2:$E$201,4, false)), 0, vlookup($A648,'Ultimate Draft Kit'!$B$2:$E$201, 4, false))</f>
        <v>0</v>
      </c>
      <c r="H648" s="36">
        <f>if(ISNA(vlookup($A648, FantasyPro!$B$2:$E$514,4,false)),0,vlookup($A648,FantasyPro!$B$2:$E$514,4,false))</f>
        <v>0</v>
      </c>
      <c r="I648" s="36">
        <f>if(ISNA(vlookup($A648, FFToolbox!$B$2:$E$618, 4, false)), 0, vlookup($A648, FFToolbox!$B$2:$E$618, 4, false))</f>
        <v>0</v>
      </c>
      <c r="J648" s="37">
        <f t="shared" si="1"/>
        <v>0</v>
      </c>
      <c r="K648" s="37">
        <f t="shared" si="2"/>
        <v>0</v>
      </c>
    </row>
    <row r="649" hidden="1">
      <c r="A649" s="13" t="s">
        <v>716</v>
      </c>
      <c r="B649" s="34" t="s">
        <v>1061</v>
      </c>
      <c r="C649" s="5" t="s">
        <v>257</v>
      </c>
      <c r="D649" s="5" t="s">
        <v>25</v>
      </c>
      <c r="E649" s="35" t="str">
        <f>vlookup(C649,'Team Bye List'!$A$1:$B$33,2,False)</f>
        <v>#N/A</v>
      </c>
      <c r="F649" s="36">
        <f>if(ISNA(vlookup($A649, ESPN!$B$2:$E$1010, 4, false)), 0, vlookup($A649, ESPN!$B$2:$E$1010, 4, false))</f>
        <v>0</v>
      </c>
      <c r="G649" s="36">
        <f>if(ISNA(vlookup($A649,'Ultimate Draft Kit'!$B$2:$E$201,4, false)), 0, vlookup($A649,'Ultimate Draft Kit'!$B$2:$E$201, 4, false))</f>
        <v>0</v>
      </c>
      <c r="H649" s="36">
        <f>if(ISNA(vlookup($A649, FantasyPro!$B$2:$E$514,4,false)),0,vlookup($A649,FantasyPro!$B$2:$E$514,4,false))</f>
        <v>0</v>
      </c>
      <c r="I649" s="36">
        <f>if(ISNA(vlookup($A649, FFToolbox!$B$2:$E$618, 4, false)), 0, vlookup($A649, FFToolbox!$B$2:$E$618, 4, false))</f>
        <v>0</v>
      </c>
      <c r="J649" s="37">
        <f t="shared" si="1"/>
        <v>0</v>
      </c>
      <c r="K649" s="37">
        <f t="shared" si="2"/>
        <v>0</v>
      </c>
    </row>
    <row r="650" hidden="1">
      <c r="A650" s="13" t="s">
        <v>656</v>
      </c>
      <c r="B650" s="34" t="s">
        <v>1061</v>
      </c>
      <c r="C650" s="5" t="s">
        <v>59</v>
      </c>
      <c r="D650" s="5" t="s">
        <v>25</v>
      </c>
      <c r="E650" s="35">
        <f>vlookup(C650,'Team Bye List'!$A$1:$B$33,2,False)</f>
        <v>8</v>
      </c>
      <c r="F650" s="36">
        <f>if(ISNA(vlookup($A650, ESPN!$B$2:$E$1010, 4, false)), 0, vlookup($A650, ESPN!$B$2:$E$1010, 4, false))</f>
        <v>0</v>
      </c>
      <c r="G650" s="36">
        <f>if(ISNA(vlookup($A650,'Ultimate Draft Kit'!$B$2:$E$201,4, false)), 0, vlookup($A650,'Ultimate Draft Kit'!$B$2:$E$201, 4, false))</f>
        <v>0</v>
      </c>
      <c r="H650" s="36">
        <f>if(ISNA(vlookup($A650, FantasyPro!$B$2:$E$514,4,false)),0,vlookup($A650,FantasyPro!$B$2:$E$514,4,false))</f>
        <v>0</v>
      </c>
      <c r="I650" s="36">
        <f>if(ISNA(vlookup($A650, FFToolbox!$B$2:$E$618, 4, false)), 0, vlookup($A650, FFToolbox!$B$2:$E$618, 4, false))</f>
        <v>0</v>
      </c>
      <c r="J650" s="37">
        <f t="shared" si="1"/>
        <v>0</v>
      </c>
      <c r="K650" s="37">
        <f t="shared" si="2"/>
        <v>0</v>
      </c>
    </row>
    <row r="651" hidden="1">
      <c r="A651" s="13" t="s">
        <v>747</v>
      </c>
      <c r="B651" s="34" t="s">
        <v>1061</v>
      </c>
      <c r="C651" s="5" t="s">
        <v>257</v>
      </c>
      <c r="D651" s="5" t="s">
        <v>25</v>
      </c>
      <c r="E651" s="35" t="str">
        <f>vlookup(C651,'Team Bye List'!$A$1:$B$33,2,False)</f>
        <v>#N/A</v>
      </c>
      <c r="F651" s="36">
        <f>if(ISNA(vlookup($A651, ESPN!$B$2:$E$1010, 4, false)), 0, vlookup($A651, ESPN!$B$2:$E$1010, 4, false))</f>
        <v>0</v>
      </c>
      <c r="G651" s="36">
        <f>if(ISNA(vlookup($A651,'Ultimate Draft Kit'!$B$2:$E$201,4, false)), 0, vlookup($A651,'Ultimate Draft Kit'!$B$2:$E$201, 4, false))</f>
        <v>0</v>
      </c>
      <c r="H651" s="36">
        <f>if(ISNA(vlookup($A651, FantasyPro!$B$2:$E$514,4,false)),0,vlookup($A651,FantasyPro!$B$2:$E$514,4,false))</f>
        <v>0</v>
      </c>
      <c r="I651" s="36">
        <f>if(ISNA(vlookup($A651, FFToolbox!$B$2:$E$618, 4, false)), 0, vlookup($A651, FFToolbox!$B$2:$E$618, 4, false))</f>
        <v>0</v>
      </c>
      <c r="J651" s="37">
        <f t="shared" si="1"/>
        <v>0</v>
      </c>
      <c r="K651" s="37">
        <f t="shared" si="2"/>
        <v>0</v>
      </c>
    </row>
    <row r="652" hidden="1">
      <c r="A652" s="13" t="s">
        <v>702</v>
      </c>
      <c r="B652" s="34" t="s">
        <v>1061</v>
      </c>
      <c r="C652" s="5" t="s">
        <v>257</v>
      </c>
      <c r="D652" s="5" t="s">
        <v>25</v>
      </c>
      <c r="E652" s="35" t="str">
        <f>vlookup(C652,'Team Bye List'!$A$1:$B$33,2,False)</f>
        <v>#N/A</v>
      </c>
      <c r="F652" s="36">
        <f>if(ISNA(vlookup($A652, ESPN!$B$2:$E$1010, 4, false)), 0, vlookup($A652, ESPN!$B$2:$E$1010, 4, false))</f>
        <v>0</v>
      </c>
      <c r="G652" s="36">
        <f>if(ISNA(vlookup($A652,'Ultimate Draft Kit'!$B$2:$E$201,4, false)), 0, vlookup($A652,'Ultimate Draft Kit'!$B$2:$E$201, 4, false))</f>
        <v>0</v>
      </c>
      <c r="H652" s="36">
        <f>if(ISNA(vlookup($A652, FantasyPro!$B$2:$E$514,4,false)),0,vlookup($A652,FantasyPro!$B$2:$E$514,4,false))</f>
        <v>0</v>
      </c>
      <c r="I652" s="36">
        <f>if(ISNA(vlookup($A652, FFToolbox!$B$2:$E$618, 4, false)), 0, vlookup($A652, FFToolbox!$B$2:$E$618, 4, false))</f>
        <v>0</v>
      </c>
      <c r="J652" s="37">
        <f t="shared" si="1"/>
        <v>0</v>
      </c>
      <c r="K652" s="37">
        <f t="shared" si="2"/>
        <v>0</v>
      </c>
    </row>
    <row r="653" hidden="1">
      <c r="A653" s="13" t="s">
        <v>689</v>
      </c>
      <c r="B653" s="34" t="s">
        <v>1061</v>
      </c>
      <c r="C653" s="5" t="s">
        <v>56</v>
      </c>
      <c r="D653" s="5" t="s">
        <v>25</v>
      </c>
      <c r="E653" s="35">
        <f>vlookup(C653,'Team Bye List'!$A$1:$B$33,2,False)</f>
        <v>5</v>
      </c>
      <c r="F653" s="36">
        <f>if(ISNA(vlookup($A653, ESPN!$B$2:$E$1010, 4, false)), 0, vlookup($A653, ESPN!$B$2:$E$1010, 4, false))</f>
        <v>0</v>
      </c>
      <c r="G653" s="36">
        <f>if(ISNA(vlookup($A653,'Ultimate Draft Kit'!$B$2:$E$201,4, false)), 0, vlookup($A653,'Ultimate Draft Kit'!$B$2:$E$201, 4, false))</f>
        <v>0</v>
      </c>
      <c r="H653" s="36">
        <f>if(ISNA(vlookup($A653, FantasyPro!$B$2:$E$514,4,false)),0,vlookup($A653,FantasyPro!$B$2:$E$514,4,false))</f>
        <v>0</v>
      </c>
      <c r="I653" s="36">
        <f>if(ISNA(vlookup($A653, FFToolbox!$B$2:$E$618, 4, false)), 0, vlookup($A653, FFToolbox!$B$2:$E$618, 4, false))</f>
        <v>0</v>
      </c>
      <c r="J653" s="37">
        <f t="shared" si="1"/>
        <v>0</v>
      </c>
      <c r="K653" s="37">
        <f t="shared" si="2"/>
        <v>0</v>
      </c>
    </row>
    <row r="654" hidden="1">
      <c r="A654" s="13" t="s">
        <v>715</v>
      </c>
      <c r="B654" s="34" t="s">
        <v>1061</v>
      </c>
      <c r="C654" s="5" t="s">
        <v>257</v>
      </c>
      <c r="D654" s="5" t="s">
        <v>25</v>
      </c>
      <c r="E654" s="35" t="str">
        <f>vlookup(C654,'Team Bye List'!$A$1:$B$33,2,False)</f>
        <v>#N/A</v>
      </c>
      <c r="F654" s="36">
        <f>if(ISNA(vlookup($A654, ESPN!$B$2:$E$1010, 4, false)), 0, vlookup($A654, ESPN!$B$2:$E$1010, 4, false))</f>
        <v>0</v>
      </c>
      <c r="G654" s="36">
        <f>if(ISNA(vlookup($A654,'Ultimate Draft Kit'!$B$2:$E$201,4, false)), 0, vlookup($A654,'Ultimate Draft Kit'!$B$2:$E$201, 4, false))</f>
        <v>0</v>
      </c>
      <c r="H654" s="36">
        <f>if(ISNA(vlookup($A654, FantasyPro!$B$2:$E$514,4,false)),0,vlookup($A654,FantasyPro!$B$2:$E$514,4,false))</f>
        <v>0</v>
      </c>
      <c r="I654" s="36">
        <f>if(ISNA(vlookup($A654, FFToolbox!$B$2:$E$618, 4, false)), 0, vlookup($A654, FFToolbox!$B$2:$E$618, 4, false))</f>
        <v>0</v>
      </c>
      <c r="J654" s="37">
        <f t="shared" si="1"/>
        <v>0</v>
      </c>
      <c r="K654" s="37">
        <f t="shared" si="2"/>
        <v>0</v>
      </c>
    </row>
    <row r="655" hidden="1">
      <c r="A655" s="13" t="s">
        <v>715</v>
      </c>
      <c r="B655" s="34" t="s">
        <v>1061</v>
      </c>
      <c r="C655" s="5" t="s">
        <v>257</v>
      </c>
      <c r="D655" s="5" t="s">
        <v>25</v>
      </c>
      <c r="E655" s="35" t="str">
        <f>vlookup(C655,'Team Bye List'!$A$1:$B$33,2,False)</f>
        <v>#N/A</v>
      </c>
      <c r="F655" s="36">
        <f>if(ISNA(vlookup($A655, ESPN!$B$2:$E$1010, 4, false)), 0, vlookup($A655, ESPN!$B$2:$E$1010, 4, false))</f>
        <v>0</v>
      </c>
      <c r="G655" s="36">
        <f>if(ISNA(vlookup($A655,'Ultimate Draft Kit'!$B$2:$E$201,4, false)), 0, vlookup($A655,'Ultimate Draft Kit'!$B$2:$E$201, 4, false))</f>
        <v>0</v>
      </c>
      <c r="H655" s="36">
        <f>if(ISNA(vlookup($A655, FantasyPro!$B$2:$E$514,4,false)),0,vlookup($A655,FantasyPro!$B$2:$E$514,4,false))</f>
        <v>0</v>
      </c>
      <c r="I655" s="36">
        <f>if(ISNA(vlookup($A655, FFToolbox!$B$2:$E$618, 4, false)), 0, vlookup($A655, FFToolbox!$B$2:$E$618, 4, false))</f>
        <v>0</v>
      </c>
      <c r="J655" s="37">
        <f t="shared" si="1"/>
        <v>0</v>
      </c>
      <c r="K655" s="37">
        <f t="shared" si="2"/>
        <v>0</v>
      </c>
    </row>
    <row r="656" hidden="1">
      <c r="A656" s="13" t="s">
        <v>736</v>
      </c>
      <c r="B656" s="34" t="s">
        <v>1061</v>
      </c>
      <c r="C656" s="5" t="s">
        <v>257</v>
      </c>
      <c r="D656" s="5" t="s">
        <v>25</v>
      </c>
      <c r="E656" s="35" t="str">
        <f>vlookup(C656,'Team Bye List'!$A$1:$B$33,2,False)</f>
        <v>#N/A</v>
      </c>
      <c r="F656" s="36">
        <f>if(ISNA(vlookup($A656, ESPN!$B$2:$E$1010, 4, false)), 0, vlookup($A656, ESPN!$B$2:$E$1010, 4, false))</f>
        <v>0</v>
      </c>
      <c r="G656" s="36">
        <f>if(ISNA(vlookup($A656,'Ultimate Draft Kit'!$B$2:$E$201,4, false)), 0, vlookup($A656,'Ultimate Draft Kit'!$B$2:$E$201, 4, false))</f>
        <v>0</v>
      </c>
      <c r="H656" s="36">
        <f>if(ISNA(vlookup($A656, FantasyPro!$B$2:$E$514,4,false)),0,vlookup($A656,FantasyPro!$B$2:$E$514,4,false))</f>
        <v>0</v>
      </c>
      <c r="I656" s="36">
        <f>if(ISNA(vlookup($A656, FFToolbox!$B$2:$E$618, 4, false)), 0, vlookup($A656, FFToolbox!$B$2:$E$618, 4, false))</f>
        <v>0</v>
      </c>
      <c r="J656" s="37">
        <f t="shared" si="1"/>
        <v>0</v>
      </c>
      <c r="K656" s="37">
        <f t="shared" si="2"/>
        <v>0</v>
      </c>
    </row>
    <row r="657" hidden="1">
      <c r="A657" s="13" t="s">
        <v>1081</v>
      </c>
      <c r="B657" s="34" t="s">
        <v>1061</v>
      </c>
      <c r="C657" s="5" t="s">
        <v>257</v>
      </c>
      <c r="D657" s="5" t="s">
        <v>25</v>
      </c>
      <c r="E657" s="35" t="str">
        <f>vlookup(C657,'Team Bye List'!$A$1:$B$33,2,False)</f>
        <v>#N/A</v>
      </c>
      <c r="F657" s="36">
        <f>if(ISNA(vlookup($A657, ESPN!$B$2:$E$1010, 4, false)), 0, vlookup($A657, ESPN!$B$2:$E$1010, 4, false))</f>
        <v>0</v>
      </c>
      <c r="G657" s="36">
        <f>if(ISNA(vlookup($A657,'Ultimate Draft Kit'!$B$2:$E$201,4, false)), 0, vlookup($A657,'Ultimate Draft Kit'!$B$2:$E$201, 4, false))</f>
        <v>0</v>
      </c>
      <c r="H657" s="36">
        <f>if(ISNA(vlookup($A657, FantasyPro!$B$2:$E$514,4,false)),0,vlookup($A657,FantasyPro!$B$2:$E$514,4,false))</f>
        <v>0</v>
      </c>
      <c r="I657" s="36">
        <f>if(ISNA(vlookup($A657, FFToolbox!$B$2:$E$618, 4, false)), 0, vlookup($A657, FFToolbox!$B$2:$E$618, 4, false))</f>
        <v>0</v>
      </c>
      <c r="J657" s="37">
        <f t="shared" si="1"/>
        <v>0</v>
      </c>
      <c r="K657" s="37">
        <f t="shared" si="2"/>
        <v>0</v>
      </c>
    </row>
    <row r="658" hidden="1">
      <c r="A658" s="13" t="s">
        <v>729</v>
      </c>
      <c r="B658" s="34" t="s">
        <v>1061</v>
      </c>
      <c r="C658" s="5" t="s">
        <v>257</v>
      </c>
      <c r="D658" s="5" t="s">
        <v>25</v>
      </c>
      <c r="E658" s="35" t="str">
        <f>vlookup(C658,'Team Bye List'!$A$1:$B$33,2,False)</f>
        <v>#N/A</v>
      </c>
      <c r="F658" s="36">
        <f>if(ISNA(vlookup($A658, ESPN!$B$2:$E$1010, 4, false)), 0, vlookup($A658, ESPN!$B$2:$E$1010, 4, false))</f>
        <v>0</v>
      </c>
      <c r="G658" s="36">
        <f>if(ISNA(vlookup($A658,'Ultimate Draft Kit'!$B$2:$E$201,4, false)), 0, vlookup($A658,'Ultimate Draft Kit'!$B$2:$E$201, 4, false))</f>
        <v>0</v>
      </c>
      <c r="H658" s="36">
        <f>if(ISNA(vlookup($A658, FantasyPro!$B$2:$E$514,4,false)),0,vlookup($A658,FantasyPro!$B$2:$E$514,4,false))</f>
        <v>0</v>
      </c>
      <c r="I658" s="36">
        <f>if(ISNA(vlookup($A658, FFToolbox!$B$2:$E$618, 4, false)), 0, vlookup($A658, FFToolbox!$B$2:$E$618, 4, false))</f>
        <v>0</v>
      </c>
      <c r="J658" s="37">
        <f t="shared" si="1"/>
        <v>0</v>
      </c>
      <c r="K658" s="37">
        <f t="shared" si="2"/>
        <v>0</v>
      </c>
    </row>
    <row r="659" hidden="1">
      <c r="A659" s="13" t="s">
        <v>729</v>
      </c>
      <c r="B659" s="34" t="s">
        <v>1061</v>
      </c>
      <c r="C659" s="5" t="s">
        <v>257</v>
      </c>
      <c r="D659" s="5" t="s">
        <v>25</v>
      </c>
      <c r="E659" s="35" t="str">
        <f>vlookup(C659,'Team Bye List'!$A$1:$B$33,2,False)</f>
        <v>#N/A</v>
      </c>
      <c r="F659" s="36">
        <f>if(ISNA(vlookup($A659, ESPN!$B$2:$E$1010, 4, false)), 0, vlookup($A659, ESPN!$B$2:$E$1010, 4, false))</f>
        <v>0</v>
      </c>
      <c r="G659" s="36">
        <f>if(ISNA(vlookup($A659,'Ultimate Draft Kit'!$B$2:$E$201,4, false)), 0, vlookup($A659,'Ultimate Draft Kit'!$B$2:$E$201, 4, false))</f>
        <v>0</v>
      </c>
      <c r="H659" s="36">
        <f>if(ISNA(vlookup($A659, FantasyPro!$B$2:$E$514,4,false)),0,vlookup($A659,FantasyPro!$B$2:$E$514,4,false))</f>
        <v>0</v>
      </c>
      <c r="I659" s="36">
        <f>if(ISNA(vlookup($A659, FFToolbox!$B$2:$E$618, 4, false)), 0, vlookup($A659, FFToolbox!$B$2:$E$618, 4, false))</f>
        <v>0</v>
      </c>
      <c r="J659" s="37">
        <f t="shared" si="1"/>
        <v>0</v>
      </c>
      <c r="K659" s="37">
        <f t="shared" si="2"/>
        <v>0</v>
      </c>
    </row>
    <row r="660" hidden="1">
      <c r="A660" s="13" t="s">
        <v>621</v>
      </c>
      <c r="B660" s="34" t="s">
        <v>1061</v>
      </c>
      <c r="C660" s="5" t="s">
        <v>48</v>
      </c>
      <c r="D660" s="5" t="s">
        <v>25</v>
      </c>
      <c r="E660" s="35">
        <f>vlookup(C660,'Team Bye List'!$A$1:$B$33,2,False)</f>
        <v>11</v>
      </c>
      <c r="F660" s="36">
        <f>if(ISNA(vlookup($A660, ESPN!$B$2:$E$1010, 4, false)), 0, vlookup($A660, ESPN!$B$2:$E$1010, 4, false))</f>
        <v>0</v>
      </c>
      <c r="G660" s="36">
        <f>if(ISNA(vlookup($A660,'Ultimate Draft Kit'!$B$2:$E$201,4, false)), 0, vlookup($A660,'Ultimate Draft Kit'!$B$2:$E$201, 4, false))</f>
        <v>0</v>
      </c>
      <c r="H660" s="36">
        <f>if(ISNA(vlookup($A660, FantasyPro!$B$2:$E$514,4,false)),0,vlookup($A660,FantasyPro!$B$2:$E$514,4,false))</f>
        <v>0</v>
      </c>
      <c r="I660" s="36">
        <f>if(ISNA(vlookup($A660, FFToolbox!$B$2:$E$618, 4, false)), 0, vlookup($A660, FFToolbox!$B$2:$E$618, 4, false))</f>
        <v>0</v>
      </c>
      <c r="J660" s="37">
        <f t="shared" si="1"/>
        <v>0</v>
      </c>
      <c r="K660" s="37">
        <f t="shared" si="2"/>
        <v>0</v>
      </c>
    </row>
    <row r="661" hidden="1">
      <c r="A661" s="13" t="s">
        <v>1082</v>
      </c>
      <c r="B661" s="34" t="s">
        <v>1061</v>
      </c>
      <c r="C661" s="5" t="s">
        <v>74</v>
      </c>
      <c r="D661" s="5" t="s">
        <v>10</v>
      </c>
      <c r="E661" s="35">
        <f>vlookup(C661,'Team Bye List'!$A$1:$B$33,2,False)</f>
        <v>7</v>
      </c>
      <c r="F661" s="36">
        <f>if(ISNA(vlookup($A661, ESPN!$B$2:$E$1010, 4, false)), 0, vlookup($A661, ESPN!$B$2:$E$1010, 4, false))</f>
        <v>0</v>
      </c>
      <c r="G661" s="36">
        <f>if(ISNA(vlookup($A661,'Ultimate Draft Kit'!$B$2:$E$201,4, false)), 0, vlookup($A661,'Ultimate Draft Kit'!$B$2:$E$201, 4, false))</f>
        <v>0</v>
      </c>
      <c r="H661" s="36">
        <f>if(ISNA(vlookup($A661, FantasyPro!$B$2:$E$514,4,false)),0,vlookup($A661,FantasyPro!$B$2:$E$514,4,false))</f>
        <v>0</v>
      </c>
      <c r="I661" s="36">
        <f>if(ISNA(vlookup($A661, FFToolbox!$B$2:$E$618, 4, false)), 0, vlookup($A661, FFToolbox!$B$2:$E$618, 4, false))</f>
        <v>0</v>
      </c>
      <c r="J661" s="37">
        <f t="shared" si="1"/>
        <v>0</v>
      </c>
      <c r="K661" s="37">
        <f t="shared" si="2"/>
        <v>0</v>
      </c>
    </row>
    <row r="662" hidden="1">
      <c r="A662" s="13" t="s">
        <v>725</v>
      </c>
      <c r="B662" s="34" t="s">
        <v>1061</v>
      </c>
      <c r="C662" s="5" t="s">
        <v>257</v>
      </c>
      <c r="D662" s="5" t="s">
        <v>25</v>
      </c>
      <c r="E662" s="35" t="str">
        <f>vlookup(C662,'Team Bye List'!$A$1:$B$33,2,False)</f>
        <v>#N/A</v>
      </c>
      <c r="F662" s="36">
        <f>if(ISNA(vlookup($A662, ESPN!$B$2:$E$1010, 4, false)), 0, vlookup($A662, ESPN!$B$2:$E$1010, 4, false))</f>
        <v>0</v>
      </c>
      <c r="G662" s="36">
        <f>if(ISNA(vlookup($A662,'Ultimate Draft Kit'!$B$2:$E$201,4, false)), 0, vlookup($A662,'Ultimate Draft Kit'!$B$2:$E$201, 4, false))</f>
        <v>0</v>
      </c>
      <c r="H662" s="36">
        <f>if(ISNA(vlookup($A662, FantasyPro!$B$2:$E$514,4,false)),0,vlookup($A662,FantasyPro!$B$2:$E$514,4,false))</f>
        <v>0</v>
      </c>
      <c r="I662" s="36">
        <f>if(ISNA(vlookup($A662, FFToolbox!$B$2:$E$618, 4, false)), 0, vlookup($A662, FFToolbox!$B$2:$E$618, 4, false))</f>
        <v>0</v>
      </c>
      <c r="J662" s="37">
        <f t="shared" si="1"/>
        <v>0</v>
      </c>
      <c r="K662" s="37">
        <f t="shared" si="2"/>
        <v>0</v>
      </c>
    </row>
    <row r="663" hidden="1">
      <c r="A663" s="13" t="s">
        <v>1083</v>
      </c>
      <c r="B663" s="34" t="s">
        <v>1061</v>
      </c>
      <c r="C663" s="5" t="s">
        <v>257</v>
      </c>
      <c r="D663" s="5" t="s">
        <v>7</v>
      </c>
      <c r="E663" s="35" t="str">
        <f>vlookup(C663,'Team Bye List'!$A$1:$B$33,2,False)</f>
        <v>#N/A</v>
      </c>
      <c r="F663" s="36">
        <f>if(ISNA(vlookup($A663, ESPN!$B$2:$E$1010, 4, false)), 0, vlookup($A663, ESPN!$B$2:$E$1010, 4, false))</f>
        <v>0</v>
      </c>
      <c r="G663" s="36">
        <f>if(ISNA(vlookup($A663,'Ultimate Draft Kit'!$B$2:$E$201,4, false)), 0, vlookup($A663,'Ultimate Draft Kit'!$B$2:$E$201, 4, false))</f>
        <v>0</v>
      </c>
      <c r="H663" s="36">
        <f>if(ISNA(vlookup($A663, FantasyPro!$B$2:$E$514,4,false)),0,vlookup($A663,FantasyPro!$B$2:$E$514,4,false))</f>
        <v>0</v>
      </c>
      <c r="I663" s="36">
        <f>if(ISNA(vlookup($A663, FFToolbox!$B$2:$E$618, 4, false)), 0, vlookup($A663, FFToolbox!$B$2:$E$618, 4, false))</f>
        <v>0</v>
      </c>
      <c r="J663" s="37">
        <f t="shared" si="1"/>
        <v>0</v>
      </c>
      <c r="K663" s="37">
        <f t="shared" si="2"/>
        <v>0</v>
      </c>
    </row>
    <row r="664" hidden="1">
      <c r="A664" s="13" t="s">
        <v>725</v>
      </c>
      <c r="B664" s="34" t="s">
        <v>1061</v>
      </c>
      <c r="C664" s="5" t="s">
        <v>257</v>
      </c>
      <c r="D664" s="5" t="s">
        <v>25</v>
      </c>
      <c r="E664" s="35" t="str">
        <f>vlookup(C664,'Team Bye List'!$A$1:$B$33,2,False)</f>
        <v>#N/A</v>
      </c>
      <c r="F664" s="36">
        <f>if(ISNA(vlookup($A664, ESPN!$B$2:$E$1010, 4, false)), 0, vlookup($A664, ESPN!$B$2:$E$1010, 4, false))</f>
        <v>0</v>
      </c>
      <c r="G664" s="36">
        <f>if(ISNA(vlookup($A664,'Ultimate Draft Kit'!$B$2:$E$201,4, false)), 0, vlookup($A664,'Ultimate Draft Kit'!$B$2:$E$201, 4, false))</f>
        <v>0</v>
      </c>
      <c r="H664" s="36">
        <f>if(ISNA(vlookup($A664, FantasyPro!$B$2:$E$514,4,false)),0,vlookup($A664,FantasyPro!$B$2:$E$514,4,false))</f>
        <v>0</v>
      </c>
      <c r="I664" s="36">
        <f>if(ISNA(vlookup($A664, FFToolbox!$B$2:$E$618, 4, false)), 0, vlookup($A664, FFToolbox!$B$2:$E$618, 4, false))</f>
        <v>0</v>
      </c>
      <c r="J664" s="37">
        <f t="shared" si="1"/>
        <v>0</v>
      </c>
      <c r="K664" s="37">
        <f t="shared" si="2"/>
        <v>0</v>
      </c>
    </row>
    <row r="665" hidden="1">
      <c r="A665" s="13" t="s">
        <v>677</v>
      </c>
      <c r="B665" s="34" t="s">
        <v>1061</v>
      </c>
      <c r="C665" s="5" t="s">
        <v>257</v>
      </c>
      <c r="D665" s="5" t="s">
        <v>25</v>
      </c>
      <c r="E665" s="35" t="str">
        <f>vlookup(C665,'Team Bye List'!$A$1:$B$33,2,False)</f>
        <v>#N/A</v>
      </c>
      <c r="F665" s="36">
        <f>if(ISNA(vlookup($A665, ESPN!$B$2:$E$1010, 4, false)), 0, vlookup($A665, ESPN!$B$2:$E$1010, 4, false))</f>
        <v>0</v>
      </c>
      <c r="G665" s="36">
        <f>if(ISNA(vlookup($A665,'Ultimate Draft Kit'!$B$2:$E$201,4, false)), 0, vlookup($A665,'Ultimate Draft Kit'!$B$2:$E$201, 4, false))</f>
        <v>0</v>
      </c>
      <c r="H665" s="36">
        <f>if(ISNA(vlookup($A665, FantasyPro!$B$2:$E$514,4,false)),0,vlookup($A665,FantasyPro!$B$2:$E$514,4,false))</f>
        <v>0</v>
      </c>
      <c r="I665" s="36">
        <f>if(ISNA(vlookup($A665, FFToolbox!$B$2:$E$618, 4, false)), 0, vlookup($A665, FFToolbox!$B$2:$E$618, 4, false))</f>
        <v>0</v>
      </c>
      <c r="J665" s="37">
        <f t="shared" si="1"/>
        <v>0</v>
      </c>
      <c r="K665" s="37">
        <f t="shared" si="2"/>
        <v>0</v>
      </c>
    </row>
    <row r="666" hidden="1">
      <c r="A666" s="13" t="s">
        <v>1047</v>
      </c>
      <c r="B666" s="34" t="s">
        <v>1061</v>
      </c>
      <c r="C666" s="5" t="s">
        <v>48</v>
      </c>
      <c r="D666" s="5" t="s">
        <v>10</v>
      </c>
      <c r="E666" s="35">
        <f>vlookup(C666,'Team Bye List'!$A$1:$B$33,2,False)</f>
        <v>11</v>
      </c>
      <c r="F666" s="36">
        <f>if(ISNA(vlookup($A666, ESPN!$B$2:$E$1010, 4, false)), 0, vlookup($A666, ESPN!$B$2:$E$1010, 4, false))</f>
        <v>0</v>
      </c>
      <c r="G666" s="36">
        <f>if(ISNA(vlookup($A666,'Ultimate Draft Kit'!$B$2:$E$201,4, false)), 0, vlookup($A666,'Ultimate Draft Kit'!$B$2:$E$201, 4, false))</f>
        <v>0</v>
      </c>
      <c r="H666" s="36">
        <f>if(ISNA(vlookup($A666, FantasyPro!$B$2:$E$514,4,false)),0,vlookup($A666,FantasyPro!$B$2:$E$514,4,false))</f>
        <v>0</v>
      </c>
      <c r="I666" s="36">
        <f>if(ISNA(vlookup($A666, FFToolbox!$B$2:$E$618, 4, false)), 0, vlookup($A666, FFToolbox!$B$2:$E$618, 4, false))</f>
        <v>0</v>
      </c>
      <c r="J666" s="37">
        <f t="shared" si="1"/>
        <v>0</v>
      </c>
      <c r="K666" s="37">
        <f t="shared" si="2"/>
        <v>0</v>
      </c>
    </row>
    <row r="667" hidden="1">
      <c r="A667" s="13" t="s">
        <v>682</v>
      </c>
      <c r="B667" s="34" t="s">
        <v>1061</v>
      </c>
      <c r="C667" s="5" t="s">
        <v>63</v>
      </c>
      <c r="D667" s="5" t="s">
        <v>25</v>
      </c>
      <c r="E667" s="35">
        <f>vlookup(C667,'Team Bye List'!$A$1:$B$33,2,False)</f>
        <v>8</v>
      </c>
      <c r="F667" s="36">
        <f>if(ISNA(vlookup($A667, ESPN!$B$2:$E$1010, 4, false)), 0, vlookup($A667, ESPN!$B$2:$E$1010, 4, false))</f>
        <v>0</v>
      </c>
      <c r="G667" s="36">
        <f>if(ISNA(vlookup($A667,'Ultimate Draft Kit'!$B$2:$E$201,4, false)), 0, vlookup($A667,'Ultimate Draft Kit'!$B$2:$E$201, 4, false))</f>
        <v>0</v>
      </c>
      <c r="H667" s="36">
        <f>if(ISNA(vlookup($A667, FantasyPro!$B$2:$E$514,4,false)),0,vlookup($A667,FantasyPro!$B$2:$E$514,4,false))</f>
        <v>0</v>
      </c>
      <c r="I667" s="36">
        <f>if(ISNA(vlookup($A667, FFToolbox!$B$2:$E$618, 4, false)), 0, vlookup($A667, FFToolbox!$B$2:$E$618, 4, false))</f>
        <v>0</v>
      </c>
      <c r="J667" s="37">
        <f t="shared" si="1"/>
        <v>0</v>
      </c>
      <c r="K667" s="37">
        <f t="shared" si="2"/>
        <v>0</v>
      </c>
    </row>
    <row r="668" hidden="1">
      <c r="A668" s="13" t="s">
        <v>994</v>
      </c>
      <c r="B668" s="34" t="s">
        <v>1061</v>
      </c>
      <c r="C668" s="5" t="s">
        <v>104</v>
      </c>
      <c r="D668" s="5" t="s">
        <v>10</v>
      </c>
      <c r="E668" s="35">
        <f>vlookup(C668,'Team Bye List'!$A$1:$B$33,2,False)</f>
        <v>7</v>
      </c>
      <c r="F668" s="36">
        <f>if(ISNA(vlookup($A668, ESPN!$B$2:$E$1010, 4, false)), 0, vlookup($A668, ESPN!$B$2:$E$1010, 4, false))</f>
        <v>0</v>
      </c>
      <c r="G668" s="36">
        <f>if(ISNA(vlookup($A668,'Ultimate Draft Kit'!$B$2:$E$201,4, false)), 0, vlookup($A668,'Ultimate Draft Kit'!$B$2:$E$201, 4, false))</f>
        <v>0</v>
      </c>
      <c r="H668" s="36">
        <f>if(ISNA(vlookup($A668, FantasyPro!$B$2:$E$514,4,false)),0,vlookup($A668,FantasyPro!$B$2:$E$514,4,false))</f>
        <v>0</v>
      </c>
      <c r="I668" s="36">
        <f>if(ISNA(vlookup($A668, FFToolbox!$B$2:$E$618, 4, false)), 0, vlookup($A668, FFToolbox!$B$2:$E$618, 4, false))</f>
        <v>0</v>
      </c>
      <c r="J668" s="37">
        <f t="shared" si="1"/>
        <v>0</v>
      </c>
      <c r="K668" s="37">
        <f t="shared" si="2"/>
        <v>0</v>
      </c>
    </row>
    <row r="669" hidden="1">
      <c r="A669" s="13" t="s">
        <v>669</v>
      </c>
      <c r="B669" s="34" t="s">
        <v>1061</v>
      </c>
      <c r="C669" s="5" t="s">
        <v>257</v>
      </c>
      <c r="D669" s="5" t="s">
        <v>25</v>
      </c>
      <c r="E669" s="35" t="str">
        <f>vlookup(C669,'Team Bye List'!$A$1:$B$33,2,False)</f>
        <v>#N/A</v>
      </c>
      <c r="F669" s="36">
        <f>if(ISNA(vlookup($A669, ESPN!$B$2:$E$1010, 4, false)), 0, vlookup($A669, ESPN!$B$2:$E$1010, 4, false))</f>
        <v>0</v>
      </c>
      <c r="G669" s="36">
        <f>if(ISNA(vlookup($A669,'Ultimate Draft Kit'!$B$2:$E$201,4, false)), 0, vlookup($A669,'Ultimate Draft Kit'!$B$2:$E$201, 4, false))</f>
        <v>0</v>
      </c>
      <c r="H669" s="36">
        <f>if(ISNA(vlookup($A669, FantasyPro!$B$2:$E$514,4,false)),0,vlookup($A669,FantasyPro!$B$2:$E$514,4,false))</f>
        <v>0</v>
      </c>
      <c r="I669" s="36">
        <f>if(ISNA(vlookup($A669, FFToolbox!$B$2:$E$618, 4, false)), 0, vlookup($A669, FFToolbox!$B$2:$E$618, 4, false))</f>
        <v>0</v>
      </c>
      <c r="J669" s="37">
        <f t="shared" si="1"/>
        <v>0</v>
      </c>
      <c r="K669" s="37">
        <f t="shared" si="2"/>
        <v>0</v>
      </c>
    </row>
    <row r="670" hidden="1">
      <c r="A670" s="13" t="s">
        <v>697</v>
      </c>
      <c r="B670" s="34" t="s">
        <v>1061</v>
      </c>
      <c r="C670" s="5" t="s">
        <v>9</v>
      </c>
      <c r="D670" s="5" t="s">
        <v>25</v>
      </c>
      <c r="E670" s="35">
        <f>vlookup(C670,'Team Bye List'!$A$1:$B$33,2,False)</f>
        <v>10</v>
      </c>
      <c r="F670" s="36">
        <f>if(ISNA(vlookup($A670, ESPN!$B$2:$E$1010, 4, false)), 0, vlookup($A670, ESPN!$B$2:$E$1010, 4, false))</f>
        <v>0</v>
      </c>
      <c r="G670" s="36">
        <f>if(ISNA(vlookup($A670,'Ultimate Draft Kit'!$B$2:$E$201,4, false)), 0, vlookup($A670,'Ultimate Draft Kit'!$B$2:$E$201, 4, false))</f>
        <v>0</v>
      </c>
      <c r="H670" s="36">
        <f>if(ISNA(vlookup($A670, FantasyPro!$B$2:$E$514,4,false)),0,vlookup($A670,FantasyPro!$B$2:$E$514,4,false))</f>
        <v>0</v>
      </c>
      <c r="I670" s="36">
        <f>if(ISNA(vlookup($A670, FFToolbox!$B$2:$E$618, 4, false)), 0, vlookup($A670, FFToolbox!$B$2:$E$618, 4, false))</f>
        <v>0</v>
      </c>
      <c r="J670" s="37">
        <f t="shared" si="1"/>
        <v>0</v>
      </c>
      <c r="K670" s="37">
        <f t="shared" si="2"/>
        <v>0</v>
      </c>
    </row>
    <row r="671" hidden="1">
      <c r="A671" s="13" t="s">
        <v>642</v>
      </c>
      <c r="B671" s="34" t="s">
        <v>1061</v>
      </c>
      <c r="C671" s="5" t="s">
        <v>69</v>
      </c>
      <c r="D671" s="5" t="s">
        <v>25</v>
      </c>
      <c r="E671" s="35">
        <f>vlookup(C671,'Team Bye List'!$A$1:$B$33,2,False)</f>
        <v>5</v>
      </c>
      <c r="F671" s="36">
        <f>if(ISNA(vlookup($A671, ESPN!$B$2:$E$1010, 4, false)), 0, vlookup($A671, ESPN!$B$2:$E$1010, 4, false))</f>
        <v>0</v>
      </c>
      <c r="G671" s="36">
        <f>if(ISNA(vlookup($A671,'Ultimate Draft Kit'!$B$2:$E$201,4, false)), 0, vlookup($A671,'Ultimate Draft Kit'!$B$2:$E$201, 4, false))</f>
        <v>0</v>
      </c>
      <c r="H671" s="36">
        <f>if(ISNA(vlookup($A671, FantasyPro!$B$2:$E$514,4,false)),0,vlookup($A671,FantasyPro!$B$2:$E$514,4,false))</f>
        <v>0</v>
      </c>
      <c r="I671" s="36">
        <f>if(ISNA(vlookup($A671, FFToolbox!$B$2:$E$618, 4, false)), 0, vlookup($A671, FFToolbox!$B$2:$E$618, 4, false))</f>
        <v>0</v>
      </c>
      <c r="J671" s="37">
        <f t="shared" si="1"/>
        <v>0</v>
      </c>
      <c r="K671" s="37">
        <f t="shared" si="2"/>
        <v>0</v>
      </c>
    </row>
    <row r="672" hidden="1">
      <c r="A672" s="13" t="s">
        <v>610</v>
      </c>
      <c r="B672" s="34" t="s">
        <v>1061</v>
      </c>
      <c r="C672" s="5" t="s">
        <v>86</v>
      </c>
      <c r="D672" s="5" t="s">
        <v>25</v>
      </c>
      <c r="E672" s="35">
        <f>vlookup(C672,'Team Bye List'!$A$1:$B$33,2,False)</f>
        <v>6</v>
      </c>
      <c r="F672" s="36">
        <f>if(ISNA(vlookup($A672, ESPN!$B$2:$E$1010, 4, false)), 0, vlookup($A672, ESPN!$B$2:$E$1010, 4, false))</f>
        <v>0</v>
      </c>
      <c r="G672" s="36">
        <f>if(ISNA(vlookup($A672,'Ultimate Draft Kit'!$B$2:$E$201,4, false)), 0, vlookup($A672,'Ultimate Draft Kit'!$B$2:$E$201, 4, false))</f>
        <v>0</v>
      </c>
      <c r="H672" s="36">
        <f>if(ISNA(vlookup($A672, FantasyPro!$B$2:$E$514,4,false)),0,vlookup($A672,FantasyPro!$B$2:$E$514,4,false))</f>
        <v>0</v>
      </c>
      <c r="I672" s="36">
        <f>if(ISNA(vlookup($A672, FFToolbox!$B$2:$E$618, 4, false)), 0, vlookup($A672, FFToolbox!$B$2:$E$618, 4, false))</f>
        <v>0</v>
      </c>
      <c r="J672" s="37">
        <f t="shared" si="1"/>
        <v>0</v>
      </c>
      <c r="K672" s="37">
        <f t="shared" si="2"/>
        <v>0</v>
      </c>
    </row>
    <row r="673" hidden="1">
      <c r="A673" s="13" t="s">
        <v>701</v>
      </c>
      <c r="B673" s="34" t="s">
        <v>1061</v>
      </c>
      <c r="C673" s="5" t="s">
        <v>6</v>
      </c>
      <c r="D673" s="5" t="s">
        <v>25</v>
      </c>
      <c r="E673" s="35">
        <f>vlookup(C673,'Team Bye List'!$A$1:$B$33,2,False)</f>
        <v>12</v>
      </c>
      <c r="F673" s="36">
        <f>if(ISNA(vlookup($A673, ESPN!$B$2:$E$1010, 4, false)), 0, vlookup($A673, ESPN!$B$2:$E$1010, 4, false))</f>
        <v>0</v>
      </c>
      <c r="G673" s="36">
        <f>if(ISNA(vlookup($A673,'Ultimate Draft Kit'!$B$2:$E$201,4, false)), 0, vlookup($A673,'Ultimate Draft Kit'!$B$2:$E$201, 4, false))</f>
        <v>0</v>
      </c>
      <c r="H673" s="36">
        <f>if(ISNA(vlookup($A673, FantasyPro!$B$2:$E$514,4,false)),0,vlookup($A673,FantasyPro!$B$2:$E$514,4,false))</f>
        <v>0</v>
      </c>
      <c r="I673" s="36">
        <f>if(ISNA(vlookup($A673, FFToolbox!$B$2:$E$618, 4, false)), 0, vlookup($A673, FFToolbox!$B$2:$E$618, 4, false))</f>
        <v>0</v>
      </c>
      <c r="J673" s="37">
        <f t="shared" si="1"/>
        <v>0</v>
      </c>
      <c r="K673" s="37">
        <f t="shared" si="2"/>
        <v>0</v>
      </c>
    </row>
    <row r="674" hidden="1">
      <c r="A674" s="13" t="s">
        <v>661</v>
      </c>
      <c r="B674" s="34" t="s">
        <v>1061</v>
      </c>
      <c r="C674" s="5" t="s">
        <v>257</v>
      </c>
      <c r="D674" s="5" t="s">
        <v>25</v>
      </c>
      <c r="E674" s="35" t="str">
        <f>vlookup(C674,'Team Bye List'!$A$1:$B$33,2,False)</f>
        <v>#N/A</v>
      </c>
      <c r="F674" s="36">
        <f>if(ISNA(vlookup($A674, ESPN!$B$2:$E$1010, 4, false)), 0, vlookup($A674, ESPN!$B$2:$E$1010, 4, false))</f>
        <v>0</v>
      </c>
      <c r="G674" s="36">
        <f>if(ISNA(vlookup($A674,'Ultimate Draft Kit'!$B$2:$E$201,4, false)), 0, vlookup($A674,'Ultimate Draft Kit'!$B$2:$E$201, 4, false))</f>
        <v>0</v>
      </c>
      <c r="H674" s="36">
        <f>if(ISNA(vlookup($A674, FantasyPro!$B$2:$E$514,4,false)),0,vlookup($A674,FantasyPro!$B$2:$E$514,4,false))</f>
        <v>0</v>
      </c>
      <c r="I674" s="36">
        <f>if(ISNA(vlookup($A674, FFToolbox!$B$2:$E$618, 4, false)), 0, vlookup($A674, FFToolbox!$B$2:$E$618, 4, false))</f>
        <v>0</v>
      </c>
      <c r="J674" s="37">
        <f t="shared" si="1"/>
        <v>0</v>
      </c>
      <c r="K674" s="37">
        <f t="shared" si="2"/>
        <v>0</v>
      </c>
    </row>
    <row r="675" hidden="1">
      <c r="A675" s="13" t="s">
        <v>1084</v>
      </c>
      <c r="B675" s="34" t="s">
        <v>1061</v>
      </c>
      <c r="C675" s="5" t="s">
        <v>257</v>
      </c>
      <c r="D675" s="5" t="s">
        <v>25</v>
      </c>
      <c r="E675" s="35" t="str">
        <f>vlookup(C675,'Team Bye List'!$A$1:$B$33,2,False)</f>
        <v>#N/A</v>
      </c>
      <c r="F675" s="36">
        <f>if(ISNA(vlookup($A675, ESPN!$B$2:$E$1010, 4, false)), 0, vlookup($A675, ESPN!$B$2:$E$1010, 4, false))</f>
        <v>0</v>
      </c>
      <c r="G675" s="36">
        <f>if(ISNA(vlookup($A675,'Ultimate Draft Kit'!$B$2:$E$201,4, false)), 0, vlookup($A675,'Ultimate Draft Kit'!$B$2:$E$201, 4, false))</f>
        <v>0</v>
      </c>
      <c r="H675" s="36">
        <f>if(ISNA(vlookup($A675, FantasyPro!$B$2:$E$514,4,false)),0,vlookup($A675,FantasyPro!$B$2:$E$514,4,false))</f>
        <v>0</v>
      </c>
      <c r="I675" s="36">
        <f>if(ISNA(vlookup($A675, FFToolbox!$B$2:$E$618, 4, false)), 0, vlookup($A675, FFToolbox!$B$2:$E$618, 4, false))</f>
        <v>0</v>
      </c>
      <c r="J675" s="37">
        <f t="shared" si="1"/>
        <v>0</v>
      </c>
      <c r="K675" s="37">
        <f t="shared" si="2"/>
        <v>0</v>
      </c>
    </row>
    <row r="676" hidden="1">
      <c r="A676" s="13" t="s">
        <v>1085</v>
      </c>
      <c r="B676" s="34" t="s">
        <v>1061</v>
      </c>
      <c r="C676" s="5" t="s">
        <v>257</v>
      </c>
      <c r="D676" s="5" t="s">
        <v>7</v>
      </c>
      <c r="E676" s="35" t="str">
        <f>vlookup(C676,'Team Bye List'!$A$1:$B$33,2,False)</f>
        <v>#N/A</v>
      </c>
      <c r="F676" s="36">
        <f>if(ISNA(vlookup($A676, ESPN!$B$2:$E$1010, 4, false)), 0, vlookup($A676, ESPN!$B$2:$E$1010, 4, false))</f>
        <v>0</v>
      </c>
      <c r="G676" s="36">
        <f>if(ISNA(vlookup($A676,'Ultimate Draft Kit'!$B$2:$E$201,4, false)), 0, vlookup($A676,'Ultimate Draft Kit'!$B$2:$E$201, 4, false))</f>
        <v>0</v>
      </c>
      <c r="H676" s="36">
        <f>if(ISNA(vlookup($A676, FantasyPro!$B$2:$E$514,4,false)),0,vlookup($A676,FantasyPro!$B$2:$E$514,4,false))</f>
        <v>0</v>
      </c>
      <c r="I676" s="36">
        <f>if(ISNA(vlookup($A676, FFToolbox!$B$2:$E$618, 4, false)), 0, vlookup($A676, FFToolbox!$B$2:$E$618, 4, false))</f>
        <v>0</v>
      </c>
      <c r="J676" s="37">
        <f t="shared" si="1"/>
        <v>0</v>
      </c>
      <c r="K676" s="37">
        <f t="shared" si="2"/>
        <v>0</v>
      </c>
    </row>
    <row r="677" hidden="1">
      <c r="A677" s="13" t="s">
        <v>622</v>
      </c>
      <c r="B677" s="34" t="s">
        <v>1061</v>
      </c>
      <c r="C677" s="5" t="s">
        <v>27</v>
      </c>
      <c r="D677" s="5" t="s">
        <v>25</v>
      </c>
      <c r="E677" s="35">
        <f>vlookup(C677,'Team Bye List'!$A$1:$B$33,2,False)</f>
        <v>11</v>
      </c>
      <c r="F677" s="36">
        <f>if(ISNA(vlookup($A677, ESPN!$B$2:$E$1010, 4, false)), 0, vlookup($A677, ESPN!$B$2:$E$1010, 4, false))</f>
        <v>0</v>
      </c>
      <c r="G677" s="36">
        <f>if(ISNA(vlookup($A677,'Ultimate Draft Kit'!$B$2:$E$201,4, false)), 0, vlookup($A677,'Ultimate Draft Kit'!$B$2:$E$201, 4, false))</f>
        <v>0</v>
      </c>
      <c r="H677" s="36">
        <f>if(ISNA(vlookup($A677, FantasyPro!$B$2:$E$514,4,false)),0,vlookup($A677,FantasyPro!$B$2:$E$514,4,false))</f>
        <v>0</v>
      </c>
      <c r="I677" s="36">
        <f>if(ISNA(vlookup($A677, FFToolbox!$B$2:$E$618, 4, false)), 0, vlookup($A677, FFToolbox!$B$2:$E$618, 4, false))</f>
        <v>0</v>
      </c>
      <c r="J677" s="37">
        <f t="shared" si="1"/>
        <v>0</v>
      </c>
      <c r="K677" s="37">
        <f t="shared" si="2"/>
        <v>0</v>
      </c>
    </row>
    <row r="678" hidden="1">
      <c r="A678" s="13" t="s">
        <v>1086</v>
      </c>
      <c r="B678" s="34" t="s">
        <v>1061</v>
      </c>
      <c r="C678" s="5" t="s">
        <v>257</v>
      </c>
      <c r="D678" s="5" t="s">
        <v>7</v>
      </c>
      <c r="E678" s="35" t="str">
        <f>vlookup(C678,'Team Bye List'!$A$1:$B$33,2,False)</f>
        <v>#N/A</v>
      </c>
      <c r="F678" s="36">
        <f>if(ISNA(vlookup($A678, ESPN!$B$2:$E$1010, 4, false)), 0, vlookup($A678, ESPN!$B$2:$E$1010, 4, false))</f>
        <v>0</v>
      </c>
      <c r="G678" s="36">
        <f>if(ISNA(vlookup($A678,'Ultimate Draft Kit'!$B$2:$E$201,4, false)), 0, vlookup($A678,'Ultimate Draft Kit'!$B$2:$E$201, 4, false))</f>
        <v>0</v>
      </c>
      <c r="H678" s="36">
        <f>if(ISNA(vlookup($A678, FantasyPro!$B$2:$E$514,4,false)),0,vlookup($A678,FantasyPro!$B$2:$E$514,4,false))</f>
        <v>0</v>
      </c>
      <c r="I678" s="36">
        <f>if(ISNA(vlookup($A678, FFToolbox!$B$2:$E$618, 4, false)), 0, vlookup($A678, FFToolbox!$B$2:$E$618, 4, false))</f>
        <v>0</v>
      </c>
      <c r="J678" s="37">
        <f t="shared" si="1"/>
        <v>0</v>
      </c>
      <c r="K678" s="37">
        <f t="shared" si="2"/>
        <v>0</v>
      </c>
    </row>
    <row r="679" hidden="1">
      <c r="A679" s="13" t="s">
        <v>709</v>
      </c>
      <c r="B679" s="34" t="s">
        <v>1061</v>
      </c>
      <c r="C679" s="5" t="s">
        <v>257</v>
      </c>
      <c r="D679" s="5" t="s">
        <v>25</v>
      </c>
      <c r="E679" s="35" t="str">
        <f>vlookup(C679,'Team Bye List'!$A$1:$B$33,2,False)</f>
        <v>#N/A</v>
      </c>
      <c r="F679" s="36">
        <f>if(ISNA(vlookup($A679, ESPN!$B$2:$E$1010, 4, false)), 0, vlookup($A679, ESPN!$B$2:$E$1010, 4, false))</f>
        <v>0</v>
      </c>
      <c r="G679" s="36">
        <f>if(ISNA(vlookup($A679,'Ultimate Draft Kit'!$B$2:$E$201,4, false)), 0, vlookup($A679,'Ultimate Draft Kit'!$B$2:$E$201, 4, false))</f>
        <v>0</v>
      </c>
      <c r="H679" s="36">
        <f>if(ISNA(vlookup($A679, FantasyPro!$B$2:$E$514,4,false)),0,vlookup($A679,FantasyPro!$B$2:$E$514,4,false))</f>
        <v>0</v>
      </c>
      <c r="I679" s="36">
        <f>if(ISNA(vlookup($A679, FFToolbox!$B$2:$E$618, 4, false)), 0, vlookup($A679, FFToolbox!$B$2:$E$618, 4, false))</f>
        <v>0</v>
      </c>
      <c r="J679" s="37">
        <f t="shared" si="1"/>
        <v>0</v>
      </c>
      <c r="K679" s="37">
        <f t="shared" si="2"/>
        <v>0</v>
      </c>
    </row>
    <row r="680" hidden="1">
      <c r="A680" s="13" t="s">
        <v>762</v>
      </c>
      <c r="B680" s="34" t="s">
        <v>1061</v>
      </c>
      <c r="C680" s="5" t="s">
        <v>257</v>
      </c>
      <c r="D680" s="5" t="s">
        <v>25</v>
      </c>
      <c r="E680" s="35" t="str">
        <f>vlookup(C680,'Team Bye List'!$A$1:$B$33,2,False)</f>
        <v>#N/A</v>
      </c>
      <c r="F680" s="36">
        <f>if(ISNA(vlookup($A680, ESPN!$B$2:$E$1010, 4, false)), 0, vlookup($A680, ESPN!$B$2:$E$1010, 4, false))</f>
        <v>0</v>
      </c>
      <c r="G680" s="36">
        <f>if(ISNA(vlookup($A680,'Ultimate Draft Kit'!$B$2:$E$201,4, false)), 0, vlookup($A680,'Ultimate Draft Kit'!$B$2:$E$201, 4, false))</f>
        <v>0</v>
      </c>
      <c r="H680" s="36">
        <f>if(ISNA(vlookup($A680, FantasyPro!$B$2:$E$514,4,false)),0,vlookup($A680,FantasyPro!$B$2:$E$514,4,false))</f>
        <v>0</v>
      </c>
      <c r="I680" s="36">
        <f>if(ISNA(vlookup($A680, FFToolbox!$B$2:$E$618, 4, false)), 0, vlookup($A680, FFToolbox!$B$2:$E$618, 4, false))</f>
        <v>0</v>
      </c>
      <c r="J680" s="37">
        <f t="shared" si="1"/>
        <v>0</v>
      </c>
      <c r="K680" s="37">
        <f t="shared" si="2"/>
        <v>0</v>
      </c>
    </row>
    <row r="681" hidden="1">
      <c r="A681" s="13" t="s">
        <v>731</v>
      </c>
      <c r="B681" s="34" t="s">
        <v>1061</v>
      </c>
      <c r="C681" s="5" t="s">
        <v>257</v>
      </c>
      <c r="D681" s="5" t="s">
        <v>25</v>
      </c>
      <c r="E681" s="35" t="str">
        <f>vlookup(C681,'Team Bye List'!$A$1:$B$33,2,False)</f>
        <v>#N/A</v>
      </c>
      <c r="F681" s="36">
        <f>if(ISNA(vlookup($A681, ESPN!$B$2:$E$1010, 4, false)), 0, vlookup($A681, ESPN!$B$2:$E$1010, 4, false))</f>
        <v>0</v>
      </c>
      <c r="G681" s="36">
        <f>if(ISNA(vlookup($A681,'Ultimate Draft Kit'!$B$2:$E$201,4, false)), 0, vlookup($A681,'Ultimate Draft Kit'!$B$2:$E$201, 4, false))</f>
        <v>0</v>
      </c>
      <c r="H681" s="36">
        <f>if(ISNA(vlookup($A681, FantasyPro!$B$2:$E$514,4,false)),0,vlookup($A681,FantasyPro!$B$2:$E$514,4,false))</f>
        <v>0</v>
      </c>
      <c r="I681" s="36">
        <f>if(ISNA(vlookup($A681, FFToolbox!$B$2:$E$618, 4, false)), 0, vlookup($A681, FFToolbox!$B$2:$E$618, 4, false))</f>
        <v>0</v>
      </c>
      <c r="J681" s="37">
        <f t="shared" si="1"/>
        <v>0</v>
      </c>
      <c r="K681" s="37">
        <f t="shared" si="2"/>
        <v>0</v>
      </c>
    </row>
    <row r="682" hidden="1">
      <c r="A682" s="13" t="s">
        <v>617</v>
      </c>
      <c r="B682" s="34" t="s">
        <v>1061</v>
      </c>
      <c r="C682" s="5" t="s">
        <v>257</v>
      </c>
      <c r="D682" s="5" t="s">
        <v>25</v>
      </c>
      <c r="E682" s="35" t="str">
        <f>vlookup(C682,'Team Bye List'!$A$1:$B$33,2,False)</f>
        <v>#N/A</v>
      </c>
      <c r="F682" s="36">
        <f>if(ISNA(vlookup($A682, ESPN!$B$2:$E$1010, 4, false)), 0, vlookup($A682, ESPN!$B$2:$E$1010, 4, false))</f>
        <v>0</v>
      </c>
      <c r="G682" s="36">
        <f>if(ISNA(vlookup($A682,'Ultimate Draft Kit'!$B$2:$E$201,4, false)), 0, vlookup($A682,'Ultimate Draft Kit'!$B$2:$E$201, 4, false))</f>
        <v>0</v>
      </c>
      <c r="H682" s="36">
        <f>if(ISNA(vlookup($A682, FantasyPro!$B$2:$E$514,4,false)),0,vlookup($A682,FantasyPro!$B$2:$E$514,4,false))</f>
        <v>0</v>
      </c>
      <c r="I682" s="36">
        <f>if(ISNA(vlookup($A682, FFToolbox!$B$2:$E$618, 4, false)), 0, vlookup($A682, FFToolbox!$B$2:$E$618, 4, false))</f>
        <v>0</v>
      </c>
      <c r="J682" s="37">
        <f t="shared" si="1"/>
        <v>0</v>
      </c>
      <c r="K682" s="37">
        <f t="shared" si="2"/>
        <v>0</v>
      </c>
    </row>
    <row r="683" hidden="1">
      <c r="A683" s="13" t="s">
        <v>696</v>
      </c>
      <c r="B683" s="34" t="s">
        <v>1061</v>
      </c>
      <c r="C683" s="5" t="s">
        <v>38</v>
      </c>
      <c r="D683" s="5" t="s">
        <v>25</v>
      </c>
      <c r="E683" s="35">
        <f>vlookup(C683,'Team Bye List'!$A$1:$B$33,2,False)</f>
        <v>12</v>
      </c>
      <c r="F683" s="36">
        <f>if(ISNA(vlookup($A683, ESPN!$B$2:$E$1010, 4, false)), 0, vlookup($A683, ESPN!$B$2:$E$1010, 4, false))</f>
        <v>0</v>
      </c>
      <c r="G683" s="36">
        <f>if(ISNA(vlookup($A683,'Ultimate Draft Kit'!$B$2:$E$201,4, false)), 0, vlookup($A683,'Ultimate Draft Kit'!$B$2:$E$201, 4, false))</f>
        <v>0</v>
      </c>
      <c r="H683" s="36">
        <f>if(ISNA(vlookup($A683, FantasyPro!$B$2:$E$514,4,false)),0,vlookup($A683,FantasyPro!$B$2:$E$514,4,false))</f>
        <v>0</v>
      </c>
      <c r="I683" s="36">
        <f>if(ISNA(vlookup($A683, FFToolbox!$B$2:$E$618, 4, false)), 0, vlookup($A683, FFToolbox!$B$2:$E$618, 4, false))</f>
        <v>0</v>
      </c>
      <c r="J683" s="37">
        <f t="shared" si="1"/>
        <v>0</v>
      </c>
      <c r="K683" s="37">
        <f t="shared" si="2"/>
        <v>0</v>
      </c>
    </row>
    <row r="684" hidden="1">
      <c r="A684" s="13" t="s">
        <v>691</v>
      </c>
      <c r="B684" s="34" t="s">
        <v>1061</v>
      </c>
      <c r="C684" s="5" t="s">
        <v>134</v>
      </c>
      <c r="D684" s="5" t="s">
        <v>25</v>
      </c>
      <c r="E684" s="35">
        <f>vlookup(C684,'Team Bye List'!$A$1:$B$33,2,False)</f>
        <v>11</v>
      </c>
      <c r="F684" s="36">
        <f>if(ISNA(vlookup($A684, ESPN!$B$2:$E$1010, 4, false)), 0, vlookup($A684, ESPN!$B$2:$E$1010, 4, false))</f>
        <v>0</v>
      </c>
      <c r="G684" s="36">
        <f>if(ISNA(vlookup($A684,'Ultimate Draft Kit'!$B$2:$E$201,4, false)), 0, vlookup($A684,'Ultimate Draft Kit'!$B$2:$E$201, 4, false))</f>
        <v>0</v>
      </c>
      <c r="H684" s="36">
        <f>if(ISNA(vlookup($A684, FantasyPro!$B$2:$E$514,4,false)),0,vlookup($A684,FantasyPro!$B$2:$E$514,4,false))</f>
        <v>0</v>
      </c>
      <c r="I684" s="36">
        <f>if(ISNA(vlookup($A684, FFToolbox!$B$2:$E$618, 4, false)), 0, vlookup($A684, FFToolbox!$B$2:$E$618, 4, false))</f>
        <v>0</v>
      </c>
      <c r="J684" s="37">
        <f t="shared" si="1"/>
        <v>0</v>
      </c>
      <c r="K684" s="37">
        <f t="shared" si="2"/>
        <v>0</v>
      </c>
    </row>
    <row r="685" hidden="1">
      <c r="A685" s="13" t="s">
        <v>727</v>
      </c>
      <c r="B685" s="34" t="s">
        <v>1061</v>
      </c>
      <c r="C685" s="5" t="s">
        <v>257</v>
      </c>
      <c r="D685" s="5" t="s">
        <v>25</v>
      </c>
      <c r="E685" s="35" t="str">
        <f>vlookup(C685,'Team Bye List'!$A$1:$B$33,2,False)</f>
        <v>#N/A</v>
      </c>
      <c r="F685" s="36">
        <f>if(ISNA(vlookup($A685, ESPN!$B$2:$E$1010, 4, false)), 0, vlookup($A685, ESPN!$B$2:$E$1010, 4, false))</f>
        <v>0</v>
      </c>
      <c r="G685" s="36">
        <f>if(ISNA(vlookup($A685,'Ultimate Draft Kit'!$B$2:$E$201,4, false)), 0, vlookup($A685,'Ultimate Draft Kit'!$B$2:$E$201, 4, false))</f>
        <v>0</v>
      </c>
      <c r="H685" s="36">
        <f>if(ISNA(vlookup($A685, FantasyPro!$B$2:$E$514,4,false)),0,vlookup($A685,FantasyPro!$B$2:$E$514,4,false))</f>
        <v>0</v>
      </c>
      <c r="I685" s="36">
        <f>if(ISNA(vlookup($A685, FFToolbox!$B$2:$E$618, 4, false)), 0, vlookup($A685, FFToolbox!$B$2:$E$618, 4, false))</f>
        <v>0</v>
      </c>
      <c r="J685" s="37">
        <f t="shared" si="1"/>
        <v>0</v>
      </c>
      <c r="K685" s="37">
        <f t="shared" si="2"/>
        <v>0</v>
      </c>
    </row>
    <row r="686" hidden="1">
      <c r="A686" s="13" t="s">
        <v>727</v>
      </c>
      <c r="B686" s="34" t="s">
        <v>1061</v>
      </c>
      <c r="C686" s="5" t="s">
        <v>257</v>
      </c>
      <c r="D686" s="5" t="s">
        <v>25</v>
      </c>
      <c r="E686" s="35" t="str">
        <f>vlookup(C686,'Team Bye List'!$A$1:$B$33,2,False)</f>
        <v>#N/A</v>
      </c>
      <c r="F686" s="36">
        <f>if(ISNA(vlookup($A686, ESPN!$B$2:$E$1010, 4, false)), 0, vlookup($A686, ESPN!$B$2:$E$1010, 4, false))</f>
        <v>0</v>
      </c>
      <c r="G686" s="36">
        <f>if(ISNA(vlookup($A686,'Ultimate Draft Kit'!$B$2:$E$201,4, false)), 0, vlookup($A686,'Ultimate Draft Kit'!$B$2:$E$201, 4, false))</f>
        <v>0</v>
      </c>
      <c r="H686" s="36">
        <f>if(ISNA(vlookup($A686, FantasyPro!$B$2:$E$514,4,false)),0,vlookup($A686,FantasyPro!$B$2:$E$514,4,false))</f>
        <v>0</v>
      </c>
      <c r="I686" s="36">
        <f>if(ISNA(vlookup($A686, FFToolbox!$B$2:$E$618, 4, false)), 0, vlookup($A686, FFToolbox!$B$2:$E$618, 4, false))</f>
        <v>0</v>
      </c>
      <c r="J686" s="37">
        <f t="shared" si="1"/>
        <v>0</v>
      </c>
      <c r="K686" s="37">
        <f t="shared" si="2"/>
        <v>0</v>
      </c>
    </row>
    <row r="687" hidden="1">
      <c r="A687" s="13" t="s">
        <v>750</v>
      </c>
      <c r="B687" s="34" t="s">
        <v>1061</v>
      </c>
      <c r="C687" s="5" t="s">
        <v>257</v>
      </c>
      <c r="D687" s="5" t="s">
        <v>25</v>
      </c>
      <c r="E687" s="35" t="str">
        <f>vlookup(C687,'Team Bye List'!$A$1:$B$33,2,False)</f>
        <v>#N/A</v>
      </c>
      <c r="F687" s="36">
        <f>if(ISNA(vlookup($A687, ESPN!$B$2:$E$1010, 4, false)), 0, vlookup($A687, ESPN!$B$2:$E$1010, 4, false))</f>
        <v>0</v>
      </c>
      <c r="G687" s="36">
        <f>if(ISNA(vlookup($A687,'Ultimate Draft Kit'!$B$2:$E$201,4, false)), 0, vlookup($A687,'Ultimate Draft Kit'!$B$2:$E$201, 4, false))</f>
        <v>0</v>
      </c>
      <c r="H687" s="36">
        <f>if(ISNA(vlookup($A687, FantasyPro!$B$2:$E$514,4,false)),0,vlookup($A687,FantasyPro!$B$2:$E$514,4,false))</f>
        <v>0</v>
      </c>
      <c r="I687" s="36">
        <f>if(ISNA(vlookup($A687, FFToolbox!$B$2:$E$618, 4, false)), 0, vlookup($A687, FFToolbox!$B$2:$E$618, 4, false))</f>
        <v>0</v>
      </c>
      <c r="J687" s="37">
        <f t="shared" si="1"/>
        <v>0</v>
      </c>
      <c r="K687" s="37">
        <f t="shared" si="2"/>
        <v>0</v>
      </c>
    </row>
    <row r="688" hidden="1">
      <c r="A688" s="13" t="s">
        <v>711</v>
      </c>
      <c r="B688" s="34" t="s">
        <v>1061</v>
      </c>
      <c r="C688" s="5" t="s">
        <v>92</v>
      </c>
      <c r="D688" s="5" t="s">
        <v>25</v>
      </c>
      <c r="E688" s="35">
        <f>vlookup(C688,'Team Bye List'!$A$1:$B$33,2,False)</f>
        <v>8</v>
      </c>
      <c r="F688" s="36">
        <f>if(ISNA(vlookup($A688, ESPN!$B$2:$E$1010, 4, false)), 0, vlookup($A688, ESPN!$B$2:$E$1010, 4, false))</f>
        <v>0</v>
      </c>
      <c r="G688" s="36">
        <f>if(ISNA(vlookup($A688,'Ultimate Draft Kit'!$B$2:$E$201,4, false)), 0, vlookup($A688,'Ultimate Draft Kit'!$B$2:$E$201, 4, false))</f>
        <v>0</v>
      </c>
      <c r="H688" s="36">
        <f>if(ISNA(vlookup($A688, FantasyPro!$B$2:$E$514,4,false)),0,vlookup($A688,FantasyPro!$B$2:$E$514,4,false))</f>
        <v>0</v>
      </c>
      <c r="I688" s="36">
        <f>if(ISNA(vlookup($A688, FFToolbox!$B$2:$E$618, 4, false)), 0, vlookup($A688, FFToolbox!$B$2:$E$618, 4, false))</f>
        <v>0</v>
      </c>
      <c r="J688" s="37">
        <f t="shared" si="1"/>
        <v>0</v>
      </c>
      <c r="K688" s="37">
        <f t="shared" si="2"/>
        <v>0</v>
      </c>
    </row>
    <row r="689" hidden="1">
      <c r="A689" s="13" t="s">
        <v>624</v>
      </c>
      <c r="B689" s="34" t="s">
        <v>1061</v>
      </c>
      <c r="C689" s="5" t="s">
        <v>54</v>
      </c>
      <c r="D689" s="5" t="s">
        <v>25</v>
      </c>
      <c r="E689" s="35">
        <f>vlookup(C689,'Team Bye List'!$A$1:$B$33,2,False)</f>
        <v>9</v>
      </c>
      <c r="F689" s="36">
        <f>if(ISNA(vlookup($A689, ESPN!$B$2:$E$1010, 4, false)), 0, vlookup($A689, ESPN!$B$2:$E$1010, 4, false))</f>
        <v>0</v>
      </c>
      <c r="G689" s="36">
        <f>if(ISNA(vlookup($A689,'Ultimate Draft Kit'!$B$2:$E$201,4, false)), 0, vlookup($A689,'Ultimate Draft Kit'!$B$2:$E$201, 4, false))</f>
        <v>0</v>
      </c>
      <c r="H689" s="36">
        <f>if(ISNA(vlookup($A689, FantasyPro!$B$2:$E$514,4,false)),0,vlookup($A689,FantasyPro!$B$2:$E$514,4,false))</f>
        <v>0</v>
      </c>
      <c r="I689" s="36">
        <f>if(ISNA(vlookup($A689, FFToolbox!$B$2:$E$618, 4, false)), 0, vlookup($A689, FFToolbox!$B$2:$E$618, 4, false))</f>
        <v>0</v>
      </c>
      <c r="J689" s="37">
        <f t="shared" si="1"/>
        <v>0</v>
      </c>
      <c r="K689" s="37">
        <f t="shared" si="2"/>
        <v>0</v>
      </c>
    </row>
    <row r="690" hidden="1">
      <c r="A690" s="13" t="s">
        <v>612</v>
      </c>
      <c r="B690" s="34" t="s">
        <v>1061</v>
      </c>
      <c r="C690" s="5" t="s">
        <v>257</v>
      </c>
      <c r="D690" s="5" t="s">
        <v>25</v>
      </c>
      <c r="E690" s="35" t="str">
        <f>vlookup(C690,'Team Bye List'!$A$1:$B$33,2,False)</f>
        <v>#N/A</v>
      </c>
      <c r="F690" s="36">
        <f>if(ISNA(vlookup($A690, ESPN!$B$2:$E$1010, 4, false)), 0, vlookup($A690, ESPN!$B$2:$E$1010, 4, false))</f>
        <v>0</v>
      </c>
      <c r="G690" s="36">
        <f>if(ISNA(vlookup($A690,'Ultimate Draft Kit'!$B$2:$E$201,4, false)), 0, vlookup($A690,'Ultimate Draft Kit'!$B$2:$E$201, 4, false))</f>
        <v>0</v>
      </c>
      <c r="H690" s="36">
        <f>if(ISNA(vlookup($A690, FantasyPro!$B$2:$E$514,4,false)),0,vlookup($A690,FantasyPro!$B$2:$E$514,4,false))</f>
        <v>0</v>
      </c>
      <c r="I690" s="36">
        <f>if(ISNA(vlookup($A690, FFToolbox!$B$2:$E$618, 4, false)), 0, vlookup($A690, FFToolbox!$B$2:$E$618, 4, false))</f>
        <v>0</v>
      </c>
      <c r="J690" s="37">
        <f t="shared" si="1"/>
        <v>0</v>
      </c>
      <c r="K690" s="37">
        <f t="shared" si="2"/>
        <v>0</v>
      </c>
    </row>
    <row r="691" hidden="1">
      <c r="A691" s="13" t="s">
        <v>739</v>
      </c>
      <c r="B691" s="34" t="s">
        <v>1061</v>
      </c>
      <c r="C691" s="5" t="s">
        <v>257</v>
      </c>
      <c r="D691" s="5" t="s">
        <v>25</v>
      </c>
      <c r="E691" s="35" t="str">
        <f>vlookup(C691,'Team Bye List'!$A$1:$B$33,2,False)</f>
        <v>#N/A</v>
      </c>
      <c r="F691" s="36">
        <f>if(ISNA(vlookup($A691, ESPN!$B$2:$E$1010, 4, false)), 0, vlookup($A691, ESPN!$B$2:$E$1010, 4, false))</f>
        <v>0</v>
      </c>
      <c r="G691" s="36">
        <f>if(ISNA(vlookup($A691,'Ultimate Draft Kit'!$B$2:$E$201,4, false)), 0, vlookup($A691,'Ultimate Draft Kit'!$B$2:$E$201, 4, false))</f>
        <v>0</v>
      </c>
      <c r="H691" s="36">
        <f>if(ISNA(vlookup($A691, FantasyPro!$B$2:$E$514,4,false)),0,vlookup($A691,FantasyPro!$B$2:$E$514,4,false))</f>
        <v>0</v>
      </c>
      <c r="I691" s="36">
        <f>if(ISNA(vlookup($A691, FFToolbox!$B$2:$E$618, 4, false)), 0, vlookup($A691, FFToolbox!$B$2:$E$618, 4, false))</f>
        <v>0</v>
      </c>
      <c r="J691" s="37">
        <f t="shared" si="1"/>
        <v>0</v>
      </c>
      <c r="K691" s="37">
        <f t="shared" si="2"/>
        <v>0</v>
      </c>
    </row>
    <row r="692" hidden="1">
      <c r="A692" s="13" t="s">
        <v>722</v>
      </c>
      <c r="B692" s="34" t="s">
        <v>1061</v>
      </c>
      <c r="C692" s="5" t="s">
        <v>257</v>
      </c>
      <c r="D692" s="5" t="s">
        <v>25</v>
      </c>
      <c r="E692" s="35" t="str">
        <f>vlookup(C692,'Team Bye List'!$A$1:$B$33,2,False)</f>
        <v>#N/A</v>
      </c>
      <c r="F692" s="36">
        <f>if(ISNA(vlookup($A692, ESPN!$B$2:$E$1010, 4, false)), 0, vlookup($A692, ESPN!$B$2:$E$1010, 4, false))</f>
        <v>0</v>
      </c>
      <c r="G692" s="36">
        <f>if(ISNA(vlookup($A692,'Ultimate Draft Kit'!$B$2:$E$201,4, false)), 0, vlookup($A692,'Ultimate Draft Kit'!$B$2:$E$201, 4, false))</f>
        <v>0</v>
      </c>
      <c r="H692" s="36">
        <f>if(ISNA(vlookup($A692, FantasyPro!$B$2:$E$514,4,false)),0,vlookup($A692,FantasyPro!$B$2:$E$514,4,false))</f>
        <v>0</v>
      </c>
      <c r="I692" s="36">
        <f>if(ISNA(vlookup($A692, FFToolbox!$B$2:$E$618, 4, false)), 0, vlookup($A692, FFToolbox!$B$2:$E$618, 4, false))</f>
        <v>0</v>
      </c>
      <c r="J692" s="37">
        <f t="shared" si="1"/>
        <v>0</v>
      </c>
      <c r="K692" s="37">
        <f t="shared" si="2"/>
        <v>0</v>
      </c>
    </row>
    <row r="693" hidden="1">
      <c r="A693" s="13" t="s">
        <v>722</v>
      </c>
      <c r="B693" s="34" t="s">
        <v>1061</v>
      </c>
      <c r="C693" s="5" t="s">
        <v>257</v>
      </c>
      <c r="D693" s="5" t="s">
        <v>25</v>
      </c>
      <c r="E693" s="35" t="str">
        <f>vlookup(C693,'Team Bye List'!$A$1:$B$33,2,False)</f>
        <v>#N/A</v>
      </c>
      <c r="F693" s="36">
        <f>if(ISNA(vlookup($A693, ESPN!$B$2:$E$1010, 4, false)), 0, vlookup($A693, ESPN!$B$2:$E$1010, 4, false))</f>
        <v>0</v>
      </c>
      <c r="G693" s="36">
        <f>if(ISNA(vlookup($A693,'Ultimate Draft Kit'!$B$2:$E$201,4, false)), 0, vlookup($A693,'Ultimate Draft Kit'!$B$2:$E$201, 4, false))</f>
        <v>0</v>
      </c>
      <c r="H693" s="36">
        <f>if(ISNA(vlookup($A693, FantasyPro!$B$2:$E$514,4,false)),0,vlookup($A693,FantasyPro!$B$2:$E$514,4,false))</f>
        <v>0</v>
      </c>
      <c r="I693" s="36">
        <f>if(ISNA(vlookup($A693, FFToolbox!$B$2:$E$618, 4, false)), 0, vlookup($A693, FFToolbox!$B$2:$E$618, 4, false))</f>
        <v>0</v>
      </c>
      <c r="J693" s="37">
        <f t="shared" si="1"/>
        <v>0</v>
      </c>
      <c r="K693" s="37">
        <f t="shared" si="2"/>
        <v>0</v>
      </c>
    </row>
    <row r="694" hidden="1">
      <c r="A694" s="13" t="s">
        <v>678</v>
      </c>
      <c r="B694" s="34" t="s">
        <v>1061</v>
      </c>
      <c r="C694" s="5" t="s">
        <v>134</v>
      </c>
      <c r="D694" s="5" t="s">
        <v>25</v>
      </c>
      <c r="E694" s="35">
        <f>vlookup(C694,'Team Bye List'!$A$1:$B$33,2,False)</f>
        <v>11</v>
      </c>
      <c r="F694" s="36">
        <f>if(ISNA(vlookup($A694, ESPN!$B$2:$E$1010, 4, false)), 0, vlookup($A694, ESPN!$B$2:$E$1010, 4, false))</f>
        <v>0</v>
      </c>
      <c r="G694" s="36">
        <f>if(ISNA(vlookup($A694,'Ultimate Draft Kit'!$B$2:$E$201,4, false)), 0, vlookup($A694,'Ultimate Draft Kit'!$B$2:$E$201, 4, false))</f>
        <v>0</v>
      </c>
      <c r="H694" s="36">
        <f>if(ISNA(vlookup($A694, FantasyPro!$B$2:$E$514,4,false)),0,vlookup($A694,FantasyPro!$B$2:$E$514,4,false))</f>
        <v>0</v>
      </c>
      <c r="I694" s="36">
        <f>if(ISNA(vlookup($A694, FFToolbox!$B$2:$E$618, 4, false)), 0, vlookup($A694, FFToolbox!$B$2:$E$618, 4, false))</f>
        <v>0</v>
      </c>
      <c r="J694" s="37">
        <f t="shared" si="1"/>
        <v>0</v>
      </c>
      <c r="K694" s="37">
        <f t="shared" si="2"/>
        <v>0</v>
      </c>
    </row>
    <row r="695" hidden="1">
      <c r="A695" s="13" t="s">
        <v>746</v>
      </c>
      <c r="B695" s="34" t="s">
        <v>1061</v>
      </c>
      <c r="C695" s="5" t="s">
        <v>257</v>
      </c>
      <c r="D695" s="5" t="s">
        <v>25</v>
      </c>
      <c r="E695" s="35" t="str">
        <f>vlookup(C695,'Team Bye List'!$A$1:$B$33,2,False)</f>
        <v>#N/A</v>
      </c>
      <c r="F695" s="36">
        <f>if(ISNA(vlookup($A695, ESPN!$B$2:$E$1010, 4, false)), 0, vlookup($A695, ESPN!$B$2:$E$1010, 4, false))</f>
        <v>0</v>
      </c>
      <c r="G695" s="36">
        <f>if(ISNA(vlookup($A695,'Ultimate Draft Kit'!$B$2:$E$201,4, false)), 0, vlookup($A695,'Ultimate Draft Kit'!$B$2:$E$201, 4, false))</f>
        <v>0</v>
      </c>
      <c r="H695" s="36">
        <f>if(ISNA(vlookup($A695, FantasyPro!$B$2:$E$514,4,false)),0,vlookup($A695,FantasyPro!$B$2:$E$514,4,false))</f>
        <v>0</v>
      </c>
      <c r="I695" s="36">
        <f>if(ISNA(vlookup($A695, FFToolbox!$B$2:$E$618, 4, false)), 0, vlookup($A695, FFToolbox!$B$2:$E$618, 4, false))</f>
        <v>0</v>
      </c>
      <c r="J695" s="37">
        <f t="shared" si="1"/>
        <v>0</v>
      </c>
      <c r="K695" s="37">
        <f t="shared" si="2"/>
        <v>0</v>
      </c>
    </row>
    <row r="696" hidden="1">
      <c r="A696" s="13" t="s">
        <v>623</v>
      </c>
      <c r="B696" s="34" t="s">
        <v>1061</v>
      </c>
      <c r="C696" s="5" t="s">
        <v>134</v>
      </c>
      <c r="D696" s="5" t="s">
        <v>25</v>
      </c>
      <c r="E696" s="35">
        <f>vlookup(C696,'Team Bye List'!$A$1:$B$33,2,False)</f>
        <v>11</v>
      </c>
      <c r="F696" s="36">
        <f>if(ISNA(vlookup($A696, ESPN!$B$2:$E$1010, 4, false)), 0, vlookup($A696, ESPN!$B$2:$E$1010, 4, false))</f>
        <v>0</v>
      </c>
      <c r="G696" s="36">
        <f>if(ISNA(vlookup($A696,'Ultimate Draft Kit'!$B$2:$E$201,4, false)), 0, vlookup($A696,'Ultimate Draft Kit'!$B$2:$E$201, 4, false))</f>
        <v>0</v>
      </c>
      <c r="H696" s="36">
        <f>if(ISNA(vlookup($A696, FantasyPro!$B$2:$E$514,4,false)),0,vlookup($A696,FantasyPro!$B$2:$E$514,4,false))</f>
        <v>0</v>
      </c>
      <c r="I696" s="36">
        <f>if(ISNA(vlookup($A696, FFToolbox!$B$2:$E$618, 4, false)), 0, vlookup($A696, FFToolbox!$B$2:$E$618, 4, false))</f>
        <v>0</v>
      </c>
      <c r="J696" s="37">
        <f t="shared" si="1"/>
        <v>0</v>
      </c>
      <c r="K696" s="37">
        <f t="shared" si="2"/>
        <v>0</v>
      </c>
    </row>
    <row r="697" hidden="1">
      <c r="A697" s="13" t="s">
        <v>748</v>
      </c>
      <c r="B697" s="34" t="s">
        <v>1061</v>
      </c>
      <c r="C697" s="5" t="s">
        <v>134</v>
      </c>
      <c r="D697" s="5" t="s">
        <v>25</v>
      </c>
      <c r="E697" s="35">
        <f>vlookup(C697,'Team Bye List'!$A$1:$B$33,2,False)</f>
        <v>11</v>
      </c>
      <c r="F697" s="36">
        <f>if(ISNA(vlookup($A697, ESPN!$B$2:$E$1010, 4, false)), 0, vlookup($A697, ESPN!$B$2:$E$1010, 4, false))</f>
        <v>0</v>
      </c>
      <c r="G697" s="36">
        <f>if(ISNA(vlookup($A697,'Ultimate Draft Kit'!$B$2:$E$201,4, false)), 0, vlookup($A697,'Ultimate Draft Kit'!$B$2:$E$201, 4, false))</f>
        <v>0</v>
      </c>
      <c r="H697" s="36">
        <f>if(ISNA(vlookup($A697, FantasyPro!$B$2:$E$514,4,false)),0,vlookup($A697,FantasyPro!$B$2:$E$514,4,false))</f>
        <v>0</v>
      </c>
      <c r="I697" s="36">
        <f>if(ISNA(vlookup($A697, FFToolbox!$B$2:$E$618, 4, false)), 0, vlookup($A697, FFToolbox!$B$2:$E$618, 4, false))</f>
        <v>0</v>
      </c>
      <c r="J697" s="37">
        <f t="shared" si="1"/>
        <v>0</v>
      </c>
      <c r="K697" s="37">
        <f t="shared" si="2"/>
        <v>0</v>
      </c>
    </row>
    <row r="698" hidden="1">
      <c r="A698" s="13" t="s">
        <v>663</v>
      </c>
      <c r="B698" s="34" t="s">
        <v>1061</v>
      </c>
      <c r="C698" s="5" t="s">
        <v>257</v>
      </c>
      <c r="D698" s="5" t="s">
        <v>25</v>
      </c>
      <c r="E698" s="35" t="str">
        <f>vlookup(C698,'Team Bye List'!$A$1:$B$33,2,False)</f>
        <v>#N/A</v>
      </c>
      <c r="F698" s="36">
        <f>if(ISNA(vlookup($A698, ESPN!$B$2:$E$1010, 4, false)), 0, vlookup($A698, ESPN!$B$2:$E$1010, 4, false))</f>
        <v>0</v>
      </c>
      <c r="G698" s="36">
        <f>if(ISNA(vlookup($A698,'Ultimate Draft Kit'!$B$2:$E$201,4, false)), 0, vlookup($A698,'Ultimate Draft Kit'!$B$2:$E$201, 4, false))</f>
        <v>0</v>
      </c>
      <c r="H698" s="36">
        <f>if(ISNA(vlookup($A698, FantasyPro!$B$2:$E$514,4,false)),0,vlookup($A698,FantasyPro!$B$2:$E$514,4,false))</f>
        <v>0</v>
      </c>
      <c r="I698" s="36">
        <f>if(ISNA(vlookup($A698, FFToolbox!$B$2:$E$618, 4, false)), 0, vlookup($A698, FFToolbox!$B$2:$E$618, 4, false))</f>
        <v>0</v>
      </c>
      <c r="J698" s="37">
        <f t="shared" si="1"/>
        <v>0</v>
      </c>
      <c r="K698" s="37">
        <f t="shared" si="2"/>
        <v>0</v>
      </c>
    </row>
    <row r="699" hidden="1">
      <c r="A699" s="13" t="s">
        <v>752</v>
      </c>
      <c r="B699" s="34" t="s">
        <v>1061</v>
      </c>
      <c r="C699" s="5" t="s">
        <v>257</v>
      </c>
      <c r="D699" s="5" t="s">
        <v>25</v>
      </c>
      <c r="E699" s="35" t="str">
        <f>vlookup(C699,'Team Bye List'!$A$1:$B$33,2,False)</f>
        <v>#N/A</v>
      </c>
      <c r="F699" s="36">
        <f>if(ISNA(vlookup($A699, ESPN!$B$2:$E$1010, 4, false)), 0, vlookup($A699, ESPN!$B$2:$E$1010, 4, false))</f>
        <v>0</v>
      </c>
      <c r="G699" s="36">
        <f>if(ISNA(vlookup($A699,'Ultimate Draft Kit'!$B$2:$E$201,4, false)), 0, vlookup($A699,'Ultimate Draft Kit'!$B$2:$E$201, 4, false))</f>
        <v>0</v>
      </c>
      <c r="H699" s="36">
        <f>if(ISNA(vlookup($A699, FantasyPro!$B$2:$E$514,4,false)),0,vlookup($A699,FantasyPro!$B$2:$E$514,4,false))</f>
        <v>0</v>
      </c>
      <c r="I699" s="36">
        <f>if(ISNA(vlookup($A699, FFToolbox!$B$2:$E$618, 4, false)), 0, vlookup($A699, FFToolbox!$B$2:$E$618, 4, false))</f>
        <v>0</v>
      </c>
      <c r="J699" s="37">
        <f t="shared" si="1"/>
        <v>0</v>
      </c>
      <c r="K699" s="37">
        <f t="shared" si="2"/>
        <v>0</v>
      </c>
    </row>
    <row r="700" hidden="1">
      <c r="A700" s="13" t="s">
        <v>1087</v>
      </c>
      <c r="B700" s="34" t="s">
        <v>1061</v>
      </c>
      <c r="C700" s="5" t="s">
        <v>134</v>
      </c>
      <c r="D700" s="5" t="s">
        <v>25</v>
      </c>
      <c r="E700" s="35">
        <f>vlookup(C700,'Team Bye List'!$A$1:$B$33,2,False)</f>
        <v>11</v>
      </c>
      <c r="F700" s="36">
        <f>if(ISNA(vlookup($A700, ESPN!$B$2:$E$1010, 4, false)), 0, vlookup($A700, ESPN!$B$2:$E$1010, 4, false))</f>
        <v>0</v>
      </c>
      <c r="G700" s="36">
        <f>if(ISNA(vlookup($A700,'Ultimate Draft Kit'!$B$2:$E$201,4, false)), 0, vlookup($A700,'Ultimate Draft Kit'!$B$2:$E$201, 4, false))</f>
        <v>0</v>
      </c>
      <c r="H700" s="36">
        <f>if(ISNA(vlookup($A700, FantasyPro!$B$2:$E$514,4,false)),0,vlookup($A700,FantasyPro!$B$2:$E$514,4,false))</f>
        <v>0</v>
      </c>
      <c r="I700" s="36">
        <f>if(ISNA(vlookup($A700, FFToolbox!$B$2:$E$618, 4, false)), 0, vlookup($A700, FFToolbox!$B$2:$E$618, 4, false))</f>
        <v>0</v>
      </c>
      <c r="J700" s="37">
        <f t="shared" si="1"/>
        <v>0</v>
      </c>
      <c r="K700" s="37">
        <f t="shared" si="2"/>
        <v>0</v>
      </c>
    </row>
    <row r="701" hidden="1">
      <c r="A701" s="13" t="s">
        <v>758</v>
      </c>
      <c r="B701" s="34" t="s">
        <v>1061</v>
      </c>
      <c r="C701" s="5" t="s">
        <v>257</v>
      </c>
      <c r="D701" s="5" t="s">
        <v>25</v>
      </c>
      <c r="E701" s="35" t="str">
        <f>vlookup(C701,'Team Bye List'!$A$1:$B$33,2,False)</f>
        <v>#N/A</v>
      </c>
      <c r="F701" s="36">
        <f>if(ISNA(vlookup($A701, ESPN!$B$2:$E$1010, 4, false)), 0, vlookup($A701, ESPN!$B$2:$E$1010, 4, false))</f>
        <v>0</v>
      </c>
      <c r="G701" s="36">
        <f>if(ISNA(vlookup($A701,'Ultimate Draft Kit'!$B$2:$E$201,4, false)), 0, vlookup($A701,'Ultimate Draft Kit'!$B$2:$E$201, 4, false))</f>
        <v>0</v>
      </c>
      <c r="H701" s="36">
        <f>if(ISNA(vlookup($A701, FantasyPro!$B$2:$E$514,4,false)),0,vlookup($A701,FantasyPro!$B$2:$E$514,4,false))</f>
        <v>0</v>
      </c>
      <c r="I701" s="36">
        <f>if(ISNA(vlookup($A701, FFToolbox!$B$2:$E$618, 4, false)), 0, vlookup($A701, FFToolbox!$B$2:$E$618, 4, false))</f>
        <v>0</v>
      </c>
      <c r="J701" s="37">
        <f t="shared" si="1"/>
        <v>0</v>
      </c>
      <c r="K701" s="37">
        <f t="shared" si="2"/>
        <v>0</v>
      </c>
    </row>
    <row r="702" hidden="1">
      <c r="A702" s="13" t="s">
        <v>758</v>
      </c>
      <c r="B702" s="34" t="s">
        <v>1061</v>
      </c>
      <c r="C702" s="5" t="s">
        <v>257</v>
      </c>
      <c r="D702" s="5" t="s">
        <v>25</v>
      </c>
      <c r="E702" s="35" t="str">
        <f>vlookup(C702,'Team Bye List'!$A$1:$B$33,2,False)</f>
        <v>#N/A</v>
      </c>
      <c r="F702" s="36">
        <f>if(ISNA(vlookup($A702, ESPN!$B$2:$E$1010, 4, false)), 0, vlookup($A702, ESPN!$B$2:$E$1010, 4, false))</f>
        <v>0</v>
      </c>
      <c r="G702" s="36">
        <f>if(ISNA(vlookup($A702,'Ultimate Draft Kit'!$B$2:$E$201,4, false)), 0, vlookup($A702,'Ultimate Draft Kit'!$B$2:$E$201, 4, false))</f>
        <v>0</v>
      </c>
      <c r="H702" s="36">
        <f>if(ISNA(vlookup($A702, FantasyPro!$B$2:$E$514,4,false)),0,vlookup($A702,FantasyPro!$B$2:$E$514,4,false))</f>
        <v>0</v>
      </c>
      <c r="I702" s="36">
        <f>if(ISNA(vlookup($A702, FFToolbox!$B$2:$E$618, 4, false)), 0, vlookup($A702, FFToolbox!$B$2:$E$618, 4, false))</f>
        <v>0</v>
      </c>
      <c r="J702" s="37">
        <f t="shared" si="1"/>
        <v>0</v>
      </c>
      <c r="K702" s="37">
        <f t="shared" si="2"/>
        <v>0</v>
      </c>
    </row>
    <row r="703" hidden="1">
      <c r="A703" s="13" t="s">
        <v>1088</v>
      </c>
      <c r="B703" s="34" t="s">
        <v>1061</v>
      </c>
      <c r="C703" s="5" t="s">
        <v>257</v>
      </c>
      <c r="D703" s="5" t="s">
        <v>7</v>
      </c>
      <c r="E703" s="35" t="str">
        <f>vlookup(C703,'Team Bye List'!$A$1:$B$33,2,False)</f>
        <v>#N/A</v>
      </c>
      <c r="F703" s="36">
        <f>if(ISNA(vlookup($A703, ESPN!$B$2:$E$1010, 4, false)), 0, vlookup($A703, ESPN!$B$2:$E$1010, 4, false))</f>
        <v>0</v>
      </c>
      <c r="G703" s="36">
        <f>if(ISNA(vlookup($A703,'Ultimate Draft Kit'!$B$2:$E$201,4, false)), 0, vlookup($A703,'Ultimate Draft Kit'!$B$2:$E$201, 4, false))</f>
        <v>0</v>
      </c>
      <c r="H703" s="36">
        <f>if(ISNA(vlookup($A703, FantasyPro!$B$2:$E$514,4,false)),0,vlookup($A703,FantasyPro!$B$2:$E$514,4,false))</f>
        <v>0</v>
      </c>
      <c r="I703" s="36">
        <f>if(ISNA(vlookup($A703, FFToolbox!$B$2:$E$618, 4, false)), 0, vlookup($A703, FFToolbox!$B$2:$E$618, 4, false))</f>
        <v>0</v>
      </c>
      <c r="J703" s="37">
        <f t="shared" si="1"/>
        <v>0</v>
      </c>
      <c r="K703" s="37">
        <f t="shared" si="2"/>
        <v>0</v>
      </c>
    </row>
    <row r="704" hidden="1">
      <c r="A704" s="13" t="s">
        <v>684</v>
      </c>
      <c r="B704" s="34" t="s">
        <v>1061</v>
      </c>
      <c r="C704" s="5" t="s">
        <v>257</v>
      </c>
      <c r="D704" s="5" t="s">
        <v>25</v>
      </c>
      <c r="E704" s="35" t="str">
        <f>vlookup(C704,'Team Bye List'!$A$1:$B$33,2,False)</f>
        <v>#N/A</v>
      </c>
      <c r="F704" s="36">
        <f>if(ISNA(vlookup($A704, ESPN!$B$2:$E$1010, 4, false)), 0, vlookup($A704, ESPN!$B$2:$E$1010, 4, false))</f>
        <v>0</v>
      </c>
      <c r="G704" s="36">
        <f>if(ISNA(vlookup($A704,'Ultimate Draft Kit'!$B$2:$E$201,4, false)), 0, vlookup($A704,'Ultimate Draft Kit'!$B$2:$E$201, 4, false))</f>
        <v>0</v>
      </c>
      <c r="H704" s="36">
        <f>if(ISNA(vlookup($A704, FantasyPro!$B$2:$E$514,4,false)),0,vlookup($A704,FantasyPro!$B$2:$E$514,4,false))</f>
        <v>0</v>
      </c>
      <c r="I704" s="36">
        <f>if(ISNA(vlookup($A704, FFToolbox!$B$2:$E$618, 4, false)), 0, vlookup($A704, FFToolbox!$B$2:$E$618, 4, false))</f>
        <v>0</v>
      </c>
      <c r="J704" s="37">
        <f t="shared" si="1"/>
        <v>0</v>
      </c>
      <c r="K704" s="37">
        <f t="shared" si="2"/>
        <v>0</v>
      </c>
    </row>
    <row r="705" hidden="1">
      <c r="A705" s="13" t="s">
        <v>684</v>
      </c>
      <c r="B705" s="34" t="s">
        <v>1061</v>
      </c>
      <c r="C705" s="5" t="s">
        <v>257</v>
      </c>
      <c r="D705" s="5" t="s">
        <v>25</v>
      </c>
      <c r="E705" s="35" t="str">
        <f>vlookup(C705,'Team Bye List'!$A$1:$B$33,2,False)</f>
        <v>#N/A</v>
      </c>
      <c r="F705" s="36">
        <f>if(ISNA(vlookup($A705, ESPN!$B$2:$E$1010, 4, false)), 0, vlookup($A705, ESPN!$B$2:$E$1010, 4, false))</f>
        <v>0</v>
      </c>
      <c r="G705" s="36">
        <f>if(ISNA(vlookup($A705,'Ultimate Draft Kit'!$B$2:$E$201,4, false)), 0, vlookup($A705,'Ultimate Draft Kit'!$B$2:$E$201, 4, false))</f>
        <v>0</v>
      </c>
      <c r="H705" s="36">
        <f>if(ISNA(vlookup($A705, FantasyPro!$B$2:$E$514,4,false)),0,vlookup($A705,FantasyPro!$B$2:$E$514,4,false))</f>
        <v>0</v>
      </c>
      <c r="I705" s="36">
        <f>if(ISNA(vlookup($A705, FFToolbox!$B$2:$E$618, 4, false)), 0, vlookup($A705, FFToolbox!$B$2:$E$618, 4, false))</f>
        <v>0</v>
      </c>
      <c r="J705" s="37">
        <f t="shared" si="1"/>
        <v>0</v>
      </c>
      <c r="K705" s="37">
        <f t="shared" si="2"/>
        <v>0</v>
      </c>
    </row>
    <row r="706" hidden="1">
      <c r="A706" s="13" t="s">
        <v>734</v>
      </c>
      <c r="B706" s="34" t="s">
        <v>1061</v>
      </c>
      <c r="C706" s="5" t="s">
        <v>257</v>
      </c>
      <c r="D706" s="5" t="s">
        <v>25</v>
      </c>
      <c r="E706" s="35" t="str">
        <f>vlookup(C706,'Team Bye List'!$A$1:$B$33,2,False)</f>
        <v>#N/A</v>
      </c>
      <c r="F706" s="36">
        <f>if(ISNA(vlookup($A706, ESPN!$B$2:$E$1010, 4, false)), 0, vlookup($A706, ESPN!$B$2:$E$1010, 4, false))</f>
        <v>0</v>
      </c>
      <c r="G706" s="36">
        <f>if(ISNA(vlookup($A706,'Ultimate Draft Kit'!$B$2:$E$201,4, false)), 0, vlookup($A706,'Ultimate Draft Kit'!$B$2:$E$201, 4, false))</f>
        <v>0</v>
      </c>
      <c r="H706" s="36">
        <f>if(ISNA(vlookup($A706, FantasyPro!$B$2:$E$514,4,false)),0,vlookup($A706,FantasyPro!$B$2:$E$514,4,false))</f>
        <v>0</v>
      </c>
      <c r="I706" s="36">
        <f>if(ISNA(vlookup($A706, FFToolbox!$B$2:$E$618, 4, false)), 0, vlookup($A706, FFToolbox!$B$2:$E$618, 4, false))</f>
        <v>0</v>
      </c>
      <c r="J706" s="37">
        <f t="shared" si="1"/>
        <v>0</v>
      </c>
      <c r="K706" s="37">
        <f t="shared" si="2"/>
        <v>0</v>
      </c>
    </row>
    <row r="707" hidden="1">
      <c r="A707" s="13" t="s">
        <v>698</v>
      </c>
      <c r="B707" s="34" t="s">
        <v>1061</v>
      </c>
      <c r="C707" s="5" t="s">
        <v>257</v>
      </c>
      <c r="D707" s="5" t="s">
        <v>25</v>
      </c>
      <c r="E707" s="35" t="str">
        <f>vlookup(C707,'Team Bye List'!$A$1:$B$33,2,False)</f>
        <v>#N/A</v>
      </c>
      <c r="F707" s="36">
        <f>if(ISNA(vlookup($A707, ESPN!$B$2:$E$1010, 4, false)), 0, vlookup($A707, ESPN!$B$2:$E$1010, 4, false))</f>
        <v>0</v>
      </c>
      <c r="G707" s="36">
        <f>if(ISNA(vlookup($A707,'Ultimate Draft Kit'!$B$2:$E$201,4, false)), 0, vlookup($A707,'Ultimate Draft Kit'!$B$2:$E$201, 4, false))</f>
        <v>0</v>
      </c>
      <c r="H707" s="36">
        <f>if(ISNA(vlookup($A707, FantasyPro!$B$2:$E$514,4,false)),0,vlookup($A707,FantasyPro!$B$2:$E$514,4,false))</f>
        <v>0</v>
      </c>
      <c r="I707" s="36">
        <f>if(ISNA(vlookup($A707, FFToolbox!$B$2:$E$618, 4, false)), 0, vlookup($A707, FFToolbox!$B$2:$E$618, 4, false))</f>
        <v>0</v>
      </c>
      <c r="J707" s="37">
        <f t="shared" si="1"/>
        <v>0</v>
      </c>
      <c r="K707" s="37">
        <f t="shared" si="2"/>
        <v>0</v>
      </c>
    </row>
    <row r="708" hidden="1">
      <c r="A708" s="13" t="s">
        <v>705</v>
      </c>
      <c r="B708" s="34" t="s">
        <v>1061</v>
      </c>
      <c r="C708" s="5" t="s">
        <v>257</v>
      </c>
      <c r="D708" s="5" t="s">
        <v>25</v>
      </c>
      <c r="E708" s="35" t="str">
        <f>vlookup(C708,'Team Bye List'!$A$1:$B$33,2,False)</f>
        <v>#N/A</v>
      </c>
      <c r="F708" s="36">
        <f>if(ISNA(vlookup($A708, ESPN!$B$2:$E$1010, 4, false)), 0, vlookup($A708, ESPN!$B$2:$E$1010, 4, false))</f>
        <v>0</v>
      </c>
      <c r="G708" s="36">
        <f>if(ISNA(vlookup($A708,'Ultimate Draft Kit'!$B$2:$E$201,4, false)), 0, vlookup($A708,'Ultimate Draft Kit'!$B$2:$E$201, 4, false))</f>
        <v>0</v>
      </c>
      <c r="H708" s="36">
        <f>if(ISNA(vlookup($A708, FantasyPro!$B$2:$E$514,4,false)),0,vlookup($A708,FantasyPro!$B$2:$E$514,4,false))</f>
        <v>0</v>
      </c>
      <c r="I708" s="36">
        <f>if(ISNA(vlookup($A708, FFToolbox!$B$2:$E$618, 4, false)), 0, vlookup($A708, FFToolbox!$B$2:$E$618, 4, false))</f>
        <v>0</v>
      </c>
      <c r="J708" s="37">
        <f t="shared" si="1"/>
        <v>0</v>
      </c>
      <c r="K708" s="37">
        <f t="shared" si="2"/>
        <v>0</v>
      </c>
    </row>
    <row r="709" hidden="1">
      <c r="A709" s="13" t="s">
        <v>707</v>
      </c>
      <c r="B709" s="34" t="s">
        <v>1061</v>
      </c>
      <c r="C709" s="5" t="s">
        <v>257</v>
      </c>
      <c r="D709" s="5" t="s">
        <v>25</v>
      </c>
      <c r="E709" s="35" t="str">
        <f>vlookup(C709,'Team Bye List'!$A$1:$B$33,2,False)</f>
        <v>#N/A</v>
      </c>
      <c r="F709" s="36">
        <f>if(ISNA(vlookup($A709, ESPN!$B$2:$E$1010, 4, false)), 0, vlookup($A709, ESPN!$B$2:$E$1010, 4, false))</f>
        <v>0</v>
      </c>
      <c r="G709" s="36">
        <f>if(ISNA(vlookup($A709,'Ultimate Draft Kit'!$B$2:$E$201,4, false)), 0, vlookup($A709,'Ultimate Draft Kit'!$B$2:$E$201, 4, false))</f>
        <v>0</v>
      </c>
      <c r="H709" s="36">
        <f>if(ISNA(vlookup($A709, FantasyPro!$B$2:$E$514,4,false)),0,vlookup($A709,FantasyPro!$B$2:$E$514,4,false))</f>
        <v>0</v>
      </c>
      <c r="I709" s="36">
        <f>if(ISNA(vlookup($A709, FFToolbox!$B$2:$E$618, 4, false)), 0, vlookup($A709, FFToolbox!$B$2:$E$618, 4, false))</f>
        <v>0</v>
      </c>
      <c r="J709" s="37">
        <f t="shared" si="1"/>
        <v>0</v>
      </c>
      <c r="K709" s="37">
        <f t="shared" si="2"/>
        <v>0</v>
      </c>
    </row>
    <row r="710" hidden="1">
      <c r="A710" s="13" t="s">
        <v>695</v>
      </c>
      <c r="B710" s="34" t="s">
        <v>1061</v>
      </c>
      <c r="C710" s="5" t="s">
        <v>257</v>
      </c>
      <c r="D710" s="5" t="s">
        <v>25</v>
      </c>
      <c r="E710" s="35" t="str">
        <f>vlookup(C710,'Team Bye List'!$A$1:$B$33,2,False)</f>
        <v>#N/A</v>
      </c>
      <c r="F710" s="36">
        <f>if(ISNA(vlookup($A710, ESPN!$B$2:$E$1010, 4, false)), 0, vlookup($A710, ESPN!$B$2:$E$1010, 4, false))</f>
        <v>0</v>
      </c>
      <c r="G710" s="36">
        <f>if(ISNA(vlookup($A710,'Ultimate Draft Kit'!$B$2:$E$201,4, false)), 0, vlookup($A710,'Ultimate Draft Kit'!$B$2:$E$201, 4, false))</f>
        <v>0</v>
      </c>
      <c r="H710" s="36">
        <f>if(ISNA(vlookup($A710, FantasyPro!$B$2:$E$514,4,false)),0,vlookup($A710,FantasyPro!$B$2:$E$514,4,false))</f>
        <v>0</v>
      </c>
      <c r="I710" s="36">
        <f>if(ISNA(vlookup($A710, FFToolbox!$B$2:$E$618, 4, false)), 0, vlookup($A710, FFToolbox!$B$2:$E$618, 4, false))</f>
        <v>0</v>
      </c>
      <c r="J710" s="37">
        <f t="shared" si="1"/>
        <v>0</v>
      </c>
      <c r="K710" s="37">
        <f t="shared" si="2"/>
        <v>0</v>
      </c>
    </row>
    <row r="711" hidden="1">
      <c r="A711" s="13" t="s">
        <v>1089</v>
      </c>
      <c r="B711" s="34" t="s">
        <v>1061</v>
      </c>
      <c r="C711" s="5" t="s">
        <v>257</v>
      </c>
      <c r="D711" s="5" t="s">
        <v>16</v>
      </c>
      <c r="E711" s="35" t="str">
        <f>vlookup(C711,'Team Bye List'!$A$1:$B$33,2,False)</f>
        <v>#N/A</v>
      </c>
      <c r="F711" s="36">
        <f>if(ISNA(vlookup($A711, ESPN!$B$2:$E$1010, 4, false)), 0, vlookup($A711, ESPN!$B$2:$E$1010, 4, false))</f>
        <v>0</v>
      </c>
      <c r="G711" s="36">
        <f>if(ISNA(vlookup($A711,'Ultimate Draft Kit'!$B$2:$E$201,4, false)), 0, vlookup($A711,'Ultimate Draft Kit'!$B$2:$E$201, 4, false))</f>
        <v>0</v>
      </c>
      <c r="H711" s="36">
        <f>if(ISNA(vlookup($A711, FantasyPro!$B$2:$E$514,4,false)),0,vlookup($A711,FantasyPro!$B$2:$E$514,4,false))</f>
        <v>0</v>
      </c>
      <c r="I711" s="36">
        <f>if(ISNA(vlookup($A711, FFToolbox!$B$2:$E$618, 4, false)), 0, vlookup($A711, FFToolbox!$B$2:$E$618, 4, false))</f>
        <v>0</v>
      </c>
      <c r="J711" s="37">
        <f t="shared" si="1"/>
        <v>0</v>
      </c>
      <c r="K711" s="37">
        <f t="shared" si="2"/>
        <v>0</v>
      </c>
    </row>
    <row r="712" hidden="1">
      <c r="A712" s="13" t="s">
        <v>692</v>
      </c>
      <c r="B712" s="34" t="s">
        <v>1061</v>
      </c>
      <c r="C712" s="5" t="s">
        <v>102</v>
      </c>
      <c r="D712" s="5" t="s">
        <v>25</v>
      </c>
      <c r="E712" s="35">
        <f>vlookup(C712,'Team Bye List'!$A$1:$B$33,2,False)</f>
        <v>11</v>
      </c>
      <c r="F712" s="36">
        <f>if(ISNA(vlookup($A712, ESPN!$B$2:$E$1010, 4, false)), 0, vlookup($A712, ESPN!$B$2:$E$1010, 4, false))</f>
        <v>0</v>
      </c>
      <c r="G712" s="36">
        <f>if(ISNA(vlookup($A712,'Ultimate Draft Kit'!$B$2:$E$201,4, false)), 0, vlookup($A712,'Ultimate Draft Kit'!$B$2:$E$201, 4, false))</f>
        <v>0</v>
      </c>
      <c r="H712" s="36">
        <f>if(ISNA(vlookup($A712, FantasyPro!$B$2:$E$514,4,false)),0,vlookup($A712,FantasyPro!$B$2:$E$514,4,false))</f>
        <v>0</v>
      </c>
      <c r="I712" s="36">
        <f>if(ISNA(vlookup($A712, FFToolbox!$B$2:$E$618, 4, false)), 0, vlookup($A712, FFToolbox!$B$2:$E$618, 4, false))</f>
        <v>0</v>
      </c>
      <c r="J712" s="37">
        <f t="shared" si="1"/>
        <v>0</v>
      </c>
      <c r="K712" s="37">
        <f t="shared" si="2"/>
        <v>0</v>
      </c>
    </row>
    <row r="713" hidden="1">
      <c r="A713" s="13" t="s">
        <v>618</v>
      </c>
      <c r="B713" s="34" t="s">
        <v>1061</v>
      </c>
      <c r="C713" s="5" t="s">
        <v>257</v>
      </c>
      <c r="D713" s="5" t="s">
        <v>25</v>
      </c>
      <c r="E713" s="35" t="str">
        <f>vlookup(C713,'Team Bye List'!$A$1:$B$33,2,False)</f>
        <v>#N/A</v>
      </c>
      <c r="F713" s="36">
        <f>if(ISNA(vlookup($A713, ESPN!$B$2:$E$1010, 4, false)), 0, vlookup($A713, ESPN!$B$2:$E$1010, 4, false))</f>
        <v>0</v>
      </c>
      <c r="G713" s="36">
        <f>if(ISNA(vlookup($A713,'Ultimate Draft Kit'!$B$2:$E$201,4, false)), 0, vlookup($A713,'Ultimate Draft Kit'!$B$2:$E$201, 4, false))</f>
        <v>0</v>
      </c>
      <c r="H713" s="36">
        <f>if(ISNA(vlookup($A713, FantasyPro!$B$2:$E$514,4,false)),0,vlookup($A713,FantasyPro!$B$2:$E$514,4,false))</f>
        <v>0</v>
      </c>
      <c r="I713" s="36">
        <f>if(ISNA(vlookup($A713, FFToolbox!$B$2:$E$618, 4, false)), 0, vlookup($A713, FFToolbox!$B$2:$E$618, 4, false))</f>
        <v>0</v>
      </c>
      <c r="J713" s="37">
        <f t="shared" si="1"/>
        <v>0</v>
      </c>
      <c r="K713" s="37">
        <f t="shared" si="2"/>
        <v>0</v>
      </c>
    </row>
    <row r="714" hidden="1">
      <c r="A714" s="13" t="s">
        <v>643</v>
      </c>
      <c r="B714" s="34" t="s">
        <v>1061</v>
      </c>
      <c r="C714" s="5" t="s">
        <v>257</v>
      </c>
      <c r="D714" s="5" t="s">
        <v>25</v>
      </c>
      <c r="E714" s="35" t="str">
        <f>vlookup(C714,'Team Bye List'!$A$1:$B$33,2,False)</f>
        <v>#N/A</v>
      </c>
      <c r="F714" s="36">
        <f>if(ISNA(vlookup($A714, ESPN!$B$2:$E$1010, 4, false)), 0, vlookup($A714, ESPN!$B$2:$E$1010, 4, false))</f>
        <v>0</v>
      </c>
      <c r="G714" s="36">
        <f>if(ISNA(vlookup($A714,'Ultimate Draft Kit'!$B$2:$E$201,4, false)), 0, vlookup($A714,'Ultimate Draft Kit'!$B$2:$E$201, 4, false))</f>
        <v>0</v>
      </c>
      <c r="H714" s="36">
        <f>if(ISNA(vlookup($A714, FantasyPro!$B$2:$E$514,4,false)),0,vlookup($A714,FantasyPro!$B$2:$E$514,4,false))</f>
        <v>0</v>
      </c>
      <c r="I714" s="36">
        <f>if(ISNA(vlookup($A714, FFToolbox!$B$2:$E$618, 4, false)), 0, vlookup($A714, FFToolbox!$B$2:$E$618, 4, false))</f>
        <v>0</v>
      </c>
      <c r="J714" s="37">
        <f t="shared" si="1"/>
        <v>0</v>
      </c>
      <c r="K714" s="37">
        <f t="shared" si="2"/>
        <v>0</v>
      </c>
    </row>
    <row r="715" hidden="1">
      <c r="A715" s="13" t="s">
        <v>713</v>
      </c>
      <c r="B715" s="34" t="s">
        <v>1061</v>
      </c>
      <c r="C715" s="5" t="s">
        <v>18</v>
      </c>
      <c r="D715" s="5" t="s">
        <v>25</v>
      </c>
      <c r="E715" s="35">
        <f>vlookup(C715,'Team Bye List'!$A$1:$B$33,2,False)</f>
        <v>6</v>
      </c>
      <c r="F715" s="36">
        <f>if(ISNA(vlookup($A715, ESPN!$B$2:$E$1010, 4, false)), 0, vlookup($A715, ESPN!$B$2:$E$1010, 4, false))</f>
        <v>0</v>
      </c>
      <c r="G715" s="36">
        <f>if(ISNA(vlookup($A715,'Ultimate Draft Kit'!$B$2:$E$201,4, false)), 0, vlookup($A715,'Ultimate Draft Kit'!$B$2:$E$201, 4, false))</f>
        <v>0</v>
      </c>
      <c r="H715" s="36">
        <f>if(ISNA(vlookup($A715, FantasyPro!$B$2:$E$514,4,false)),0,vlookup($A715,FantasyPro!$B$2:$E$514,4,false))</f>
        <v>0</v>
      </c>
      <c r="I715" s="36">
        <f>if(ISNA(vlookup($A715, FFToolbox!$B$2:$E$618, 4, false)), 0, vlookup($A715, FFToolbox!$B$2:$E$618, 4, false))</f>
        <v>0</v>
      </c>
      <c r="J715" s="37">
        <f t="shared" si="1"/>
        <v>0</v>
      </c>
      <c r="K715" s="37">
        <f t="shared" si="2"/>
        <v>0</v>
      </c>
    </row>
    <row r="716" hidden="1">
      <c r="A716" s="13" t="s">
        <v>681</v>
      </c>
      <c r="B716" s="34" t="s">
        <v>1061</v>
      </c>
      <c r="C716" s="5" t="s">
        <v>74</v>
      </c>
      <c r="D716" s="5" t="s">
        <v>25</v>
      </c>
      <c r="E716" s="35">
        <f>vlookup(C716,'Team Bye List'!$A$1:$B$33,2,False)</f>
        <v>7</v>
      </c>
      <c r="F716" s="36">
        <f>if(ISNA(vlookup($A716, ESPN!$B$2:$E$1010, 4, false)), 0, vlookup($A716, ESPN!$B$2:$E$1010, 4, false))</f>
        <v>0</v>
      </c>
      <c r="G716" s="36">
        <f>if(ISNA(vlookup($A716,'Ultimate Draft Kit'!$B$2:$E$201,4, false)), 0, vlookup($A716,'Ultimate Draft Kit'!$B$2:$E$201, 4, false))</f>
        <v>0</v>
      </c>
      <c r="H716" s="36">
        <f>if(ISNA(vlookup($A716, FantasyPro!$B$2:$E$514,4,false)),0,vlookup($A716,FantasyPro!$B$2:$E$514,4,false))</f>
        <v>0</v>
      </c>
      <c r="I716" s="36">
        <f>if(ISNA(vlookup($A716, FFToolbox!$B$2:$E$618, 4, false)), 0, vlookup($A716, FFToolbox!$B$2:$E$618, 4, false))</f>
        <v>0</v>
      </c>
      <c r="J716" s="37">
        <f t="shared" si="1"/>
        <v>0</v>
      </c>
      <c r="K716" s="37">
        <f t="shared" si="2"/>
        <v>0</v>
      </c>
    </row>
    <row r="717" hidden="1">
      <c r="A717" s="13" t="s">
        <v>714</v>
      </c>
      <c r="B717" s="34" t="s">
        <v>1061</v>
      </c>
      <c r="C717" s="5" t="s">
        <v>257</v>
      </c>
      <c r="D717" s="5" t="s">
        <v>25</v>
      </c>
      <c r="E717" s="35" t="str">
        <f>vlookup(C717,'Team Bye List'!$A$1:$B$33,2,False)</f>
        <v>#N/A</v>
      </c>
      <c r="F717" s="36">
        <f>if(ISNA(vlookup($A717, ESPN!$B$2:$E$1010, 4, false)), 0, vlookup($A717, ESPN!$B$2:$E$1010, 4, false))</f>
        <v>0</v>
      </c>
      <c r="G717" s="36">
        <f>if(ISNA(vlookup($A717,'Ultimate Draft Kit'!$B$2:$E$201,4, false)), 0, vlookup($A717,'Ultimate Draft Kit'!$B$2:$E$201, 4, false))</f>
        <v>0</v>
      </c>
      <c r="H717" s="36">
        <f>if(ISNA(vlookup($A717, FantasyPro!$B$2:$E$514,4,false)),0,vlookup($A717,FantasyPro!$B$2:$E$514,4,false))</f>
        <v>0</v>
      </c>
      <c r="I717" s="36">
        <f>if(ISNA(vlookup($A717, FFToolbox!$B$2:$E$618, 4, false)), 0, vlookup($A717, FFToolbox!$B$2:$E$618, 4, false))</f>
        <v>0</v>
      </c>
      <c r="J717" s="37">
        <f t="shared" si="1"/>
        <v>0</v>
      </c>
      <c r="K717" s="37">
        <f t="shared" si="2"/>
        <v>0</v>
      </c>
    </row>
    <row r="718" hidden="1">
      <c r="A718" s="13" t="s">
        <v>683</v>
      </c>
      <c r="B718" s="34" t="s">
        <v>1061</v>
      </c>
      <c r="C718" s="5" t="s">
        <v>257</v>
      </c>
      <c r="D718" s="5" t="s">
        <v>25</v>
      </c>
      <c r="E718" s="35" t="str">
        <f>vlookup(C718,'Team Bye List'!$A$1:$B$33,2,False)</f>
        <v>#N/A</v>
      </c>
      <c r="F718" s="36">
        <f>if(ISNA(vlookup($A718, ESPN!$B$2:$E$1010, 4, false)), 0, vlookup($A718, ESPN!$B$2:$E$1010, 4, false))</f>
        <v>0</v>
      </c>
      <c r="G718" s="36">
        <f>if(ISNA(vlookup($A718,'Ultimate Draft Kit'!$B$2:$E$201,4, false)), 0, vlookup($A718,'Ultimate Draft Kit'!$B$2:$E$201, 4, false))</f>
        <v>0</v>
      </c>
      <c r="H718" s="36">
        <f>if(ISNA(vlookup($A718, FantasyPro!$B$2:$E$514,4,false)),0,vlookup($A718,FantasyPro!$B$2:$E$514,4,false))</f>
        <v>0</v>
      </c>
      <c r="I718" s="36">
        <f>if(ISNA(vlookup($A718, FFToolbox!$B$2:$E$618, 4, false)), 0, vlookup($A718, FFToolbox!$B$2:$E$618, 4, false))</f>
        <v>0</v>
      </c>
      <c r="J718" s="37">
        <f t="shared" si="1"/>
        <v>0</v>
      </c>
      <c r="K718" s="37">
        <f t="shared" si="2"/>
        <v>0</v>
      </c>
    </row>
    <row r="719" hidden="1">
      <c r="A719" s="13" t="s">
        <v>754</v>
      </c>
      <c r="B719" s="34" t="s">
        <v>1061</v>
      </c>
      <c r="C719" s="5" t="s">
        <v>257</v>
      </c>
      <c r="D719" s="5" t="s">
        <v>25</v>
      </c>
      <c r="E719" s="35" t="str">
        <f>vlookup(C719,'Team Bye List'!$A$1:$B$33,2,False)</f>
        <v>#N/A</v>
      </c>
      <c r="F719" s="36">
        <f>if(ISNA(vlookup($A719, ESPN!$B$2:$E$1010, 4, false)), 0, vlookup($A719, ESPN!$B$2:$E$1010, 4, false))</f>
        <v>0</v>
      </c>
      <c r="G719" s="36">
        <f>if(ISNA(vlookup($A719,'Ultimate Draft Kit'!$B$2:$E$201,4, false)), 0, vlookup($A719,'Ultimate Draft Kit'!$B$2:$E$201, 4, false))</f>
        <v>0</v>
      </c>
      <c r="H719" s="36">
        <f>if(ISNA(vlookup($A719, FantasyPro!$B$2:$E$514,4,false)),0,vlookup($A719,FantasyPro!$B$2:$E$514,4,false))</f>
        <v>0</v>
      </c>
      <c r="I719" s="36">
        <f>if(ISNA(vlookup($A719, FFToolbox!$B$2:$E$618, 4, false)), 0, vlookup($A719, FFToolbox!$B$2:$E$618, 4, false))</f>
        <v>0</v>
      </c>
      <c r="J719" s="37">
        <f t="shared" si="1"/>
        <v>0</v>
      </c>
      <c r="K719" s="37">
        <f t="shared" si="2"/>
        <v>0</v>
      </c>
    </row>
    <row r="720" hidden="1">
      <c r="A720" s="13" t="s">
        <v>751</v>
      </c>
      <c r="B720" s="34" t="s">
        <v>1061</v>
      </c>
      <c r="C720" s="5" t="s">
        <v>32</v>
      </c>
      <c r="D720" s="5" t="s">
        <v>25</v>
      </c>
      <c r="E720" s="35">
        <f>vlookup(C720,'Team Bye List'!$A$1:$B$33,2,False)</f>
        <v>9</v>
      </c>
      <c r="F720" s="36">
        <f>if(ISNA(vlookup($A720, ESPN!$B$2:$E$1010, 4, false)), 0, vlookup($A720, ESPN!$B$2:$E$1010, 4, false))</f>
        <v>0</v>
      </c>
      <c r="G720" s="36">
        <f>if(ISNA(vlookup($A720,'Ultimate Draft Kit'!$B$2:$E$201,4, false)), 0, vlookup($A720,'Ultimate Draft Kit'!$B$2:$E$201, 4, false))</f>
        <v>0</v>
      </c>
      <c r="H720" s="36">
        <f>if(ISNA(vlookup($A720, FantasyPro!$B$2:$E$514,4,false)),0,vlookup($A720,FantasyPro!$B$2:$E$514,4,false))</f>
        <v>0</v>
      </c>
      <c r="I720" s="36">
        <f>if(ISNA(vlookup($A720, FFToolbox!$B$2:$E$618, 4, false)), 0, vlookup($A720, FFToolbox!$B$2:$E$618, 4, false))</f>
        <v>0</v>
      </c>
      <c r="J720" s="37">
        <f t="shared" si="1"/>
        <v>0</v>
      </c>
      <c r="K720" s="37">
        <f t="shared" si="2"/>
        <v>0</v>
      </c>
    </row>
    <row r="721" hidden="1">
      <c r="A721" s="13" t="s">
        <v>744</v>
      </c>
      <c r="B721" s="34" t="s">
        <v>1061</v>
      </c>
      <c r="C721" s="5" t="s">
        <v>257</v>
      </c>
      <c r="D721" s="5" t="s">
        <v>25</v>
      </c>
      <c r="E721" s="35" t="str">
        <f>vlookup(C721,'Team Bye List'!$A$1:$B$33,2,False)</f>
        <v>#N/A</v>
      </c>
      <c r="F721" s="36">
        <f>if(ISNA(vlookup($A721, ESPN!$B$2:$E$1010, 4, false)), 0, vlookup($A721, ESPN!$B$2:$E$1010, 4, false))</f>
        <v>0</v>
      </c>
      <c r="G721" s="36">
        <f>if(ISNA(vlookup($A721,'Ultimate Draft Kit'!$B$2:$E$201,4, false)), 0, vlookup($A721,'Ultimate Draft Kit'!$B$2:$E$201, 4, false))</f>
        <v>0</v>
      </c>
      <c r="H721" s="36">
        <f>if(ISNA(vlookup($A721, FantasyPro!$B$2:$E$514,4,false)),0,vlookup($A721,FantasyPro!$B$2:$E$514,4,false))</f>
        <v>0</v>
      </c>
      <c r="I721" s="36">
        <f>if(ISNA(vlookup($A721, FFToolbox!$B$2:$E$618, 4, false)), 0, vlookup($A721, FFToolbox!$B$2:$E$618, 4, false))</f>
        <v>0</v>
      </c>
      <c r="J721" s="37">
        <f t="shared" si="1"/>
        <v>0</v>
      </c>
      <c r="K721" s="37">
        <f t="shared" si="2"/>
        <v>0</v>
      </c>
    </row>
    <row r="722" hidden="1">
      <c r="A722" s="13" t="s">
        <v>673</v>
      </c>
      <c r="B722" s="34" t="s">
        <v>1061</v>
      </c>
      <c r="C722" s="5" t="s">
        <v>69</v>
      </c>
      <c r="D722" s="5" t="s">
        <v>25</v>
      </c>
      <c r="E722" s="35">
        <f>vlookup(C722,'Team Bye List'!$A$1:$B$33,2,False)</f>
        <v>5</v>
      </c>
      <c r="F722" s="36">
        <f>if(ISNA(vlookup($A722, ESPN!$B$2:$E$1010, 4, false)), 0, vlookup($A722, ESPN!$B$2:$E$1010, 4, false))</f>
        <v>0</v>
      </c>
      <c r="G722" s="36">
        <f>if(ISNA(vlookup($A722,'Ultimate Draft Kit'!$B$2:$E$201,4, false)), 0, vlookup($A722,'Ultimate Draft Kit'!$B$2:$E$201, 4, false))</f>
        <v>0</v>
      </c>
      <c r="H722" s="36">
        <f>if(ISNA(vlookup($A722, FantasyPro!$B$2:$E$514,4,false)),0,vlookup($A722,FantasyPro!$B$2:$E$514,4,false))</f>
        <v>0</v>
      </c>
      <c r="I722" s="36">
        <f>if(ISNA(vlookup($A722, FFToolbox!$B$2:$E$618, 4, false)), 0, vlookup($A722, FFToolbox!$B$2:$E$618, 4, false))</f>
        <v>0</v>
      </c>
      <c r="J722" s="37">
        <f t="shared" si="1"/>
        <v>0</v>
      </c>
      <c r="K722" s="37">
        <f t="shared" si="2"/>
        <v>0</v>
      </c>
    </row>
    <row r="723" hidden="1">
      <c r="A723" s="13" t="s">
        <v>723</v>
      </c>
      <c r="B723" s="34" t="s">
        <v>1061</v>
      </c>
      <c r="C723" s="5" t="s">
        <v>86</v>
      </c>
      <c r="D723" s="5" t="s">
        <v>25</v>
      </c>
      <c r="E723" s="35">
        <f>vlookup(C723,'Team Bye List'!$A$1:$B$33,2,False)</f>
        <v>6</v>
      </c>
      <c r="F723" s="36">
        <f>if(ISNA(vlookup($A723, ESPN!$B$2:$E$1010, 4, false)), 0, vlookup($A723, ESPN!$B$2:$E$1010, 4, false))</f>
        <v>0</v>
      </c>
      <c r="G723" s="36">
        <f>if(ISNA(vlookup($A723,'Ultimate Draft Kit'!$B$2:$E$201,4, false)), 0, vlookup($A723,'Ultimate Draft Kit'!$B$2:$E$201, 4, false))</f>
        <v>0</v>
      </c>
      <c r="H723" s="36">
        <f>if(ISNA(vlookup($A723, FantasyPro!$B$2:$E$514,4,false)),0,vlookup($A723,FantasyPro!$B$2:$E$514,4,false))</f>
        <v>0</v>
      </c>
      <c r="I723" s="36">
        <f>if(ISNA(vlookup($A723, FFToolbox!$B$2:$E$618, 4, false)), 0, vlookup($A723, FFToolbox!$B$2:$E$618, 4, false))</f>
        <v>0</v>
      </c>
      <c r="J723" s="37">
        <f t="shared" si="1"/>
        <v>0</v>
      </c>
      <c r="K723" s="37">
        <f t="shared" si="2"/>
        <v>0</v>
      </c>
    </row>
    <row r="724" hidden="1">
      <c r="A724" s="13" t="s">
        <v>723</v>
      </c>
      <c r="B724" s="34" t="s">
        <v>1061</v>
      </c>
      <c r="C724" s="5" t="s">
        <v>86</v>
      </c>
      <c r="D724" s="5" t="s">
        <v>25</v>
      </c>
      <c r="E724" s="35">
        <f>vlookup(C724,'Team Bye List'!$A$1:$B$33,2,False)</f>
        <v>6</v>
      </c>
      <c r="F724" s="36">
        <f>if(ISNA(vlookup($A724, ESPN!$B$2:$E$1010, 4, false)), 0, vlookup($A724, ESPN!$B$2:$E$1010, 4, false))</f>
        <v>0</v>
      </c>
      <c r="G724" s="36">
        <f>if(ISNA(vlookup($A724,'Ultimate Draft Kit'!$B$2:$E$201,4, false)), 0, vlookup($A724,'Ultimate Draft Kit'!$B$2:$E$201, 4, false))</f>
        <v>0</v>
      </c>
      <c r="H724" s="36">
        <f>if(ISNA(vlookup($A724, FantasyPro!$B$2:$E$514,4,false)),0,vlookup($A724,FantasyPro!$B$2:$E$514,4,false))</f>
        <v>0</v>
      </c>
      <c r="I724" s="36">
        <f>if(ISNA(vlookup($A724, FFToolbox!$B$2:$E$618, 4, false)), 0, vlookup($A724, FFToolbox!$B$2:$E$618, 4, false))</f>
        <v>0</v>
      </c>
      <c r="J724" s="37">
        <f t="shared" si="1"/>
        <v>0</v>
      </c>
      <c r="K724" s="37">
        <f t="shared" si="2"/>
        <v>0</v>
      </c>
    </row>
    <row r="725" hidden="1">
      <c r="A725" s="13" t="s">
        <v>1090</v>
      </c>
      <c r="B725" s="34" t="s">
        <v>1061</v>
      </c>
      <c r="C725" s="5" t="s">
        <v>257</v>
      </c>
      <c r="D725" s="5" t="s">
        <v>7</v>
      </c>
      <c r="E725" s="35" t="str">
        <f>vlookup(C725,'Team Bye List'!$A$1:$B$33,2,False)</f>
        <v>#N/A</v>
      </c>
      <c r="F725" s="36">
        <f>if(ISNA(vlookup($A725, ESPN!$B$2:$E$1010, 4, false)), 0, vlookup($A725, ESPN!$B$2:$E$1010, 4, false))</f>
        <v>0</v>
      </c>
      <c r="G725" s="36">
        <f>if(ISNA(vlookup($A725,'Ultimate Draft Kit'!$B$2:$E$201,4, false)), 0, vlookup($A725,'Ultimate Draft Kit'!$B$2:$E$201, 4, false))</f>
        <v>0</v>
      </c>
      <c r="H725" s="36">
        <f>if(ISNA(vlookup($A725, FantasyPro!$B$2:$E$514,4,false)),0,vlookup($A725,FantasyPro!$B$2:$E$514,4,false))</f>
        <v>0</v>
      </c>
      <c r="I725" s="36">
        <f>if(ISNA(vlookup($A725, FFToolbox!$B$2:$E$618, 4, false)), 0, vlookup($A725, FFToolbox!$B$2:$E$618, 4, false))</f>
        <v>0</v>
      </c>
      <c r="J725" s="37">
        <f t="shared" si="1"/>
        <v>0</v>
      </c>
      <c r="K725" s="37">
        <f t="shared" si="2"/>
        <v>0</v>
      </c>
    </row>
    <row r="726" hidden="1">
      <c r="A726" s="13" t="s">
        <v>674</v>
      </c>
      <c r="B726" s="34" t="s">
        <v>1061</v>
      </c>
      <c r="C726" s="5" t="s">
        <v>24</v>
      </c>
      <c r="D726" s="5" t="s">
        <v>25</v>
      </c>
      <c r="E726" s="35">
        <f>vlookup(C726,'Team Bye List'!$A$1:$B$33,2,False)</f>
        <v>6</v>
      </c>
      <c r="F726" s="36">
        <f>if(ISNA(vlookup($A726, ESPN!$B$2:$E$1010, 4, false)), 0, vlookup($A726, ESPN!$B$2:$E$1010, 4, false))</f>
        <v>0</v>
      </c>
      <c r="G726" s="36">
        <f>if(ISNA(vlookup($A726,'Ultimate Draft Kit'!$B$2:$E$201,4, false)), 0, vlookup($A726,'Ultimate Draft Kit'!$B$2:$E$201, 4, false))</f>
        <v>0</v>
      </c>
      <c r="H726" s="36">
        <f>if(ISNA(vlookup($A726, FantasyPro!$B$2:$E$514,4,false)),0,vlookup($A726,FantasyPro!$B$2:$E$514,4,false))</f>
        <v>0</v>
      </c>
      <c r="I726" s="36">
        <f>if(ISNA(vlookup($A726, FFToolbox!$B$2:$E$618, 4, false)), 0, vlookup($A726, FFToolbox!$B$2:$E$618, 4, false))</f>
        <v>0</v>
      </c>
      <c r="J726" s="37">
        <f t="shared" si="1"/>
        <v>0</v>
      </c>
      <c r="K726" s="37">
        <f t="shared" si="2"/>
        <v>0</v>
      </c>
    </row>
    <row r="727" hidden="1">
      <c r="A727" s="13" t="s">
        <v>679</v>
      </c>
      <c r="B727" s="34" t="s">
        <v>1061</v>
      </c>
      <c r="C727" s="5" t="s">
        <v>257</v>
      </c>
      <c r="D727" s="5" t="s">
        <v>25</v>
      </c>
      <c r="E727" s="35" t="str">
        <f>vlookup(C727,'Team Bye List'!$A$1:$B$33,2,False)</f>
        <v>#N/A</v>
      </c>
      <c r="F727" s="36">
        <f>if(ISNA(vlookup($A727, ESPN!$B$2:$E$1010, 4, false)), 0, vlookup($A727, ESPN!$B$2:$E$1010, 4, false))</f>
        <v>0</v>
      </c>
      <c r="G727" s="36">
        <f>if(ISNA(vlookup($A727,'Ultimate Draft Kit'!$B$2:$E$201,4, false)), 0, vlookup($A727,'Ultimate Draft Kit'!$B$2:$E$201, 4, false))</f>
        <v>0</v>
      </c>
      <c r="H727" s="36">
        <f>if(ISNA(vlookup($A727, FantasyPro!$B$2:$E$514,4,false)),0,vlookup($A727,FantasyPro!$B$2:$E$514,4,false))</f>
        <v>0</v>
      </c>
      <c r="I727" s="36">
        <f>if(ISNA(vlookup($A727, FFToolbox!$B$2:$E$618, 4, false)), 0, vlookup($A727, FFToolbox!$B$2:$E$618, 4, false))</f>
        <v>0</v>
      </c>
      <c r="J727" s="37">
        <f t="shared" si="1"/>
        <v>0</v>
      </c>
      <c r="K727" s="37">
        <f t="shared" si="2"/>
        <v>0</v>
      </c>
    </row>
    <row r="728" hidden="1">
      <c r="A728" s="13" t="s">
        <v>679</v>
      </c>
      <c r="B728" s="34" t="s">
        <v>1061</v>
      </c>
      <c r="C728" s="5" t="s">
        <v>257</v>
      </c>
      <c r="D728" s="5" t="s">
        <v>25</v>
      </c>
      <c r="E728" s="35" t="str">
        <f>vlookup(C728,'Team Bye List'!$A$1:$B$33,2,False)</f>
        <v>#N/A</v>
      </c>
      <c r="F728" s="36">
        <f>if(ISNA(vlookup($A728, ESPN!$B$2:$E$1010, 4, false)), 0, vlookup($A728, ESPN!$B$2:$E$1010, 4, false))</f>
        <v>0</v>
      </c>
      <c r="G728" s="36">
        <f>if(ISNA(vlookup($A728,'Ultimate Draft Kit'!$B$2:$E$201,4, false)), 0, vlookup($A728,'Ultimate Draft Kit'!$B$2:$E$201, 4, false))</f>
        <v>0</v>
      </c>
      <c r="H728" s="36">
        <f>if(ISNA(vlookup($A728, FantasyPro!$B$2:$E$514,4,false)),0,vlookup($A728,FantasyPro!$B$2:$E$514,4,false))</f>
        <v>0</v>
      </c>
      <c r="I728" s="36">
        <f>if(ISNA(vlookup($A728, FFToolbox!$B$2:$E$618, 4, false)), 0, vlookup($A728, FFToolbox!$B$2:$E$618, 4, false))</f>
        <v>0</v>
      </c>
      <c r="J728" s="37">
        <f t="shared" si="1"/>
        <v>0</v>
      </c>
      <c r="K728" s="37">
        <f t="shared" si="2"/>
        <v>0</v>
      </c>
    </row>
    <row r="729" hidden="1">
      <c r="A729" s="13" t="s">
        <v>717</v>
      </c>
      <c r="B729" s="34" t="s">
        <v>1061</v>
      </c>
      <c r="C729" s="5" t="s">
        <v>257</v>
      </c>
      <c r="D729" s="5" t="s">
        <v>25</v>
      </c>
      <c r="E729" s="35" t="str">
        <f>vlookup(C729,'Team Bye List'!$A$1:$B$33,2,False)</f>
        <v>#N/A</v>
      </c>
      <c r="F729" s="36">
        <f>if(ISNA(vlookup($A729, ESPN!$B$2:$E$1010, 4, false)), 0, vlookup($A729, ESPN!$B$2:$E$1010, 4, false))</f>
        <v>0</v>
      </c>
      <c r="G729" s="36">
        <f>if(ISNA(vlookup($A729,'Ultimate Draft Kit'!$B$2:$E$201,4, false)), 0, vlookup($A729,'Ultimate Draft Kit'!$B$2:$E$201, 4, false))</f>
        <v>0</v>
      </c>
      <c r="H729" s="36">
        <f>if(ISNA(vlookup($A729, FantasyPro!$B$2:$E$514,4,false)),0,vlookup($A729,FantasyPro!$B$2:$E$514,4,false))</f>
        <v>0</v>
      </c>
      <c r="I729" s="36">
        <f>if(ISNA(vlookup($A729, FFToolbox!$B$2:$E$618, 4, false)), 0, vlookup($A729, FFToolbox!$B$2:$E$618, 4, false))</f>
        <v>0</v>
      </c>
      <c r="J729" s="37">
        <f t="shared" si="1"/>
        <v>0</v>
      </c>
      <c r="K729" s="37">
        <f t="shared" si="2"/>
        <v>0</v>
      </c>
    </row>
    <row r="730" hidden="1">
      <c r="A730" s="13" t="s">
        <v>717</v>
      </c>
      <c r="B730" s="34" t="s">
        <v>1061</v>
      </c>
      <c r="C730" s="5" t="s">
        <v>257</v>
      </c>
      <c r="D730" s="5" t="s">
        <v>25</v>
      </c>
      <c r="E730" s="35" t="str">
        <f>vlookup(C730,'Team Bye List'!$A$1:$B$33,2,False)</f>
        <v>#N/A</v>
      </c>
      <c r="F730" s="36">
        <f>if(ISNA(vlookup($A730, ESPN!$B$2:$E$1010, 4, false)), 0, vlookup($A730, ESPN!$B$2:$E$1010, 4, false))</f>
        <v>0</v>
      </c>
      <c r="G730" s="36">
        <f>if(ISNA(vlookup($A730,'Ultimate Draft Kit'!$B$2:$E$201,4, false)), 0, vlookup($A730,'Ultimate Draft Kit'!$B$2:$E$201, 4, false))</f>
        <v>0</v>
      </c>
      <c r="H730" s="36">
        <f>if(ISNA(vlookup($A730, FantasyPro!$B$2:$E$514,4,false)),0,vlookup($A730,FantasyPro!$B$2:$E$514,4,false))</f>
        <v>0</v>
      </c>
      <c r="I730" s="36">
        <f>if(ISNA(vlookup($A730, FFToolbox!$B$2:$E$618, 4, false)), 0, vlookup($A730, FFToolbox!$B$2:$E$618, 4, false))</f>
        <v>0</v>
      </c>
      <c r="J730" s="37">
        <f t="shared" si="1"/>
        <v>0</v>
      </c>
      <c r="K730" s="37">
        <f t="shared" si="2"/>
        <v>0</v>
      </c>
    </row>
    <row r="731" hidden="1">
      <c r="A731" s="13" t="s">
        <v>759</v>
      </c>
      <c r="B731" s="34" t="s">
        <v>1061</v>
      </c>
      <c r="C731" s="5" t="s">
        <v>257</v>
      </c>
      <c r="D731" s="5" t="s">
        <v>25</v>
      </c>
      <c r="E731" s="35" t="str">
        <f>vlookup(C731,'Team Bye List'!$A$1:$B$33,2,False)</f>
        <v>#N/A</v>
      </c>
      <c r="F731" s="36">
        <f>if(ISNA(vlookup($A731, ESPN!$B$2:$E$1010, 4, false)), 0, vlookup($A731, ESPN!$B$2:$E$1010, 4, false))</f>
        <v>0</v>
      </c>
      <c r="G731" s="36">
        <f>if(ISNA(vlookup($A731,'Ultimate Draft Kit'!$B$2:$E$201,4, false)), 0, vlookup($A731,'Ultimate Draft Kit'!$B$2:$E$201, 4, false))</f>
        <v>0</v>
      </c>
      <c r="H731" s="36">
        <f>if(ISNA(vlookup($A731, FantasyPro!$B$2:$E$514,4,false)),0,vlookup($A731,FantasyPro!$B$2:$E$514,4,false))</f>
        <v>0</v>
      </c>
      <c r="I731" s="36">
        <f>if(ISNA(vlookup($A731, FFToolbox!$B$2:$E$618, 4, false)), 0, vlookup($A731, FFToolbox!$B$2:$E$618, 4, false))</f>
        <v>0</v>
      </c>
      <c r="J731" s="37">
        <f t="shared" si="1"/>
        <v>0</v>
      </c>
      <c r="K731" s="37">
        <f t="shared" si="2"/>
        <v>0</v>
      </c>
    </row>
    <row r="732" hidden="1">
      <c r="A732" s="13" t="s">
        <v>759</v>
      </c>
      <c r="B732" s="34" t="s">
        <v>1061</v>
      </c>
      <c r="C732" s="5" t="s">
        <v>257</v>
      </c>
      <c r="D732" s="5" t="s">
        <v>25</v>
      </c>
      <c r="E732" s="35" t="str">
        <f>vlookup(C732,'Team Bye List'!$A$1:$B$33,2,False)</f>
        <v>#N/A</v>
      </c>
      <c r="F732" s="36">
        <f>if(ISNA(vlookup($A732, ESPN!$B$2:$E$1010, 4, false)), 0, vlookup($A732, ESPN!$B$2:$E$1010, 4, false))</f>
        <v>0</v>
      </c>
      <c r="G732" s="36">
        <f>if(ISNA(vlookup($A732,'Ultimate Draft Kit'!$B$2:$E$201,4, false)), 0, vlookup($A732,'Ultimate Draft Kit'!$B$2:$E$201, 4, false))</f>
        <v>0</v>
      </c>
      <c r="H732" s="36">
        <f>if(ISNA(vlookup($A732, FantasyPro!$B$2:$E$514,4,false)),0,vlookup($A732,FantasyPro!$B$2:$E$514,4,false))</f>
        <v>0</v>
      </c>
      <c r="I732" s="36">
        <f>if(ISNA(vlookup($A732, FFToolbox!$B$2:$E$618, 4, false)), 0, vlookup($A732, FFToolbox!$B$2:$E$618, 4, false))</f>
        <v>0</v>
      </c>
      <c r="J732" s="37">
        <f t="shared" si="1"/>
        <v>0</v>
      </c>
      <c r="K732" s="37">
        <f t="shared" si="2"/>
        <v>0</v>
      </c>
    </row>
    <row r="733" hidden="1">
      <c r="A733" s="13" t="s">
        <v>720</v>
      </c>
      <c r="B733" s="34" t="s">
        <v>1061</v>
      </c>
      <c r="C733" s="5" t="s">
        <v>257</v>
      </c>
      <c r="D733" s="5" t="s">
        <v>25</v>
      </c>
      <c r="E733" s="35" t="str">
        <f>vlookup(C733,'Team Bye List'!$A$1:$B$33,2,False)</f>
        <v>#N/A</v>
      </c>
      <c r="F733" s="36">
        <f>if(ISNA(vlookup($A733, ESPN!$B$2:$E$1010, 4, false)), 0, vlookup($A733, ESPN!$B$2:$E$1010, 4, false))</f>
        <v>0</v>
      </c>
      <c r="G733" s="36">
        <f>if(ISNA(vlookup($A733,'Ultimate Draft Kit'!$B$2:$E$201,4, false)), 0, vlookup($A733,'Ultimate Draft Kit'!$B$2:$E$201, 4, false))</f>
        <v>0</v>
      </c>
      <c r="H733" s="36">
        <f>if(ISNA(vlookup($A733, FantasyPro!$B$2:$E$514,4,false)),0,vlookup($A733,FantasyPro!$B$2:$E$514,4,false))</f>
        <v>0</v>
      </c>
      <c r="I733" s="36">
        <f>if(ISNA(vlookup($A733, FFToolbox!$B$2:$E$618, 4, false)), 0, vlookup($A733, FFToolbox!$B$2:$E$618, 4, false))</f>
        <v>0</v>
      </c>
      <c r="J733" s="37">
        <f t="shared" si="1"/>
        <v>0</v>
      </c>
      <c r="K733" s="37">
        <f t="shared" si="2"/>
        <v>0</v>
      </c>
    </row>
    <row r="734" hidden="1">
      <c r="A734" s="13" t="s">
        <v>720</v>
      </c>
      <c r="B734" s="34" t="s">
        <v>1061</v>
      </c>
      <c r="C734" s="5" t="s">
        <v>257</v>
      </c>
      <c r="D734" s="5" t="s">
        <v>25</v>
      </c>
      <c r="E734" s="35" t="str">
        <f>vlookup(C734,'Team Bye List'!$A$1:$B$33,2,False)</f>
        <v>#N/A</v>
      </c>
      <c r="F734" s="36">
        <f>if(ISNA(vlookup($A734, ESPN!$B$2:$E$1010, 4, false)), 0, vlookup($A734, ESPN!$B$2:$E$1010, 4, false))</f>
        <v>0</v>
      </c>
      <c r="G734" s="36">
        <f>if(ISNA(vlookup($A734,'Ultimate Draft Kit'!$B$2:$E$201,4, false)), 0, vlookup($A734,'Ultimate Draft Kit'!$B$2:$E$201, 4, false))</f>
        <v>0</v>
      </c>
      <c r="H734" s="36">
        <f>if(ISNA(vlookup($A734, FantasyPro!$B$2:$E$514,4,false)),0,vlookup($A734,FantasyPro!$B$2:$E$514,4,false))</f>
        <v>0</v>
      </c>
      <c r="I734" s="36">
        <f>if(ISNA(vlookup($A734, FFToolbox!$B$2:$E$618, 4, false)), 0, vlookup($A734, FFToolbox!$B$2:$E$618, 4, false))</f>
        <v>0</v>
      </c>
      <c r="J734" s="37">
        <f t="shared" si="1"/>
        <v>0</v>
      </c>
      <c r="K734" s="37">
        <f t="shared" si="2"/>
        <v>0</v>
      </c>
    </row>
    <row r="735" hidden="1">
      <c r="A735" s="13" t="s">
        <v>688</v>
      </c>
      <c r="B735" s="34" t="s">
        <v>1061</v>
      </c>
      <c r="C735" s="5" t="s">
        <v>257</v>
      </c>
      <c r="D735" s="5" t="s">
        <v>25</v>
      </c>
      <c r="E735" s="35" t="str">
        <f>vlookup(C735,'Team Bye List'!$A$1:$B$33,2,False)</f>
        <v>#N/A</v>
      </c>
      <c r="F735" s="36">
        <f>if(ISNA(vlookup($A735, ESPN!$B$2:$E$1010, 4, false)), 0, vlookup($A735, ESPN!$B$2:$E$1010, 4, false))</f>
        <v>0</v>
      </c>
      <c r="G735" s="36">
        <f>if(ISNA(vlookup($A735,'Ultimate Draft Kit'!$B$2:$E$201,4, false)), 0, vlookup($A735,'Ultimate Draft Kit'!$B$2:$E$201, 4, false))</f>
        <v>0</v>
      </c>
      <c r="H735" s="36">
        <f>if(ISNA(vlookup($A735, FantasyPro!$B$2:$E$514,4,false)),0,vlookup($A735,FantasyPro!$B$2:$E$514,4,false))</f>
        <v>0</v>
      </c>
      <c r="I735" s="36">
        <f>if(ISNA(vlookup($A735, FFToolbox!$B$2:$E$618, 4, false)), 0, vlookup($A735, FFToolbox!$B$2:$E$618, 4, false))</f>
        <v>0</v>
      </c>
      <c r="J735" s="37">
        <f t="shared" si="1"/>
        <v>0</v>
      </c>
      <c r="K735" s="37">
        <f t="shared" si="2"/>
        <v>0</v>
      </c>
    </row>
    <row r="736" hidden="1">
      <c r="A736" s="13" t="s">
        <v>733</v>
      </c>
      <c r="B736" s="34" t="s">
        <v>1061</v>
      </c>
      <c r="C736" s="5" t="s">
        <v>257</v>
      </c>
      <c r="D736" s="5" t="s">
        <v>25</v>
      </c>
      <c r="E736" s="35" t="str">
        <f>vlookup(C736,'Team Bye List'!$A$1:$B$33,2,False)</f>
        <v>#N/A</v>
      </c>
      <c r="F736" s="36">
        <f>if(ISNA(vlookup($A736, ESPN!$B$2:$E$1010, 4, false)), 0, vlookup($A736, ESPN!$B$2:$E$1010, 4, false))</f>
        <v>0</v>
      </c>
      <c r="G736" s="36">
        <f>if(ISNA(vlookup($A736,'Ultimate Draft Kit'!$B$2:$E$201,4, false)), 0, vlookup($A736,'Ultimate Draft Kit'!$B$2:$E$201, 4, false))</f>
        <v>0</v>
      </c>
      <c r="H736" s="36">
        <f>if(ISNA(vlookup($A736, FantasyPro!$B$2:$E$514,4,false)),0,vlookup($A736,FantasyPro!$B$2:$E$514,4,false))</f>
        <v>0</v>
      </c>
      <c r="I736" s="36">
        <f>if(ISNA(vlookup($A736, FFToolbox!$B$2:$E$618, 4, false)), 0, vlookup($A736, FFToolbox!$B$2:$E$618, 4, false))</f>
        <v>0</v>
      </c>
      <c r="J736" s="37">
        <f t="shared" si="1"/>
        <v>0</v>
      </c>
      <c r="K736" s="37">
        <f t="shared" si="2"/>
        <v>0</v>
      </c>
    </row>
    <row r="737" hidden="1">
      <c r="A737" s="13" t="s">
        <v>632</v>
      </c>
      <c r="B737" s="34" t="s">
        <v>1061</v>
      </c>
      <c r="C737" s="5" t="s">
        <v>14</v>
      </c>
      <c r="D737" s="5" t="s">
        <v>25</v>
      </c>
      <c r="E737" s="35">
        <f>vlookup(C737,'Team Bye List'!$A$1:$B$33,2,False)</f>
        <v>10</v>
      </c>
      <c r="F737" s="36">
        <f>if(ISNA(vlookup($A737, ESPN!$B$2:$E$1010, 4, false)), 0, vlookup($A737, ESPN!$B$2:$E$1010, 4, false))</f>
        <v>0</v>
      </c>
      <c r="G737" s="36">
        <f>if(ISNA(vlookup($A737,'Ultimate Draft Kit'!$B$2:$E$201,4, false)), 0, vlookup($A737,'Ultimate Draft Kit'!$B$2:$E$201, 4, false))</f>
        <v>0</v>
      </c>
      <c r="H737" s="36">
        <f>if(ISNA(vlookup($A737, FantasyPro!$B$2:$E$514,4,false)),0,vlookup($A737,FantasyPro!$B$2:$E$514,4,false))</f>
        <v>0</v>
      </c>
      <c r="I737" s="36">
        <f>if(ISNA(vlookup($A737, FFToolbox!$B$2:$E$618, 4, false)), 0, vlookup($A737, FFToolbox!$B$2:$E$618, 4, false))</f>
        <v>0</v>
      </c>
      <c r="J737" s="37">
        <f t="shared" si="1"/>
        <v>0</v>
      </c>
      <c r="K737" s="37">
        <f t="shared" si="2"/>
        <v>0</v>
      </c>
    </row>
    <row r="738" hidden="1">
      <c r="A738" s="13" t="s">
        <v>738</v>
      </c>
      <c r="B738" s="34" t="s">
        <v>1061</v>
      </c>
      <c r="C738" s="5" t="s">
        <v>257</v>
      </c>
      <c r="D738" s="5" t="s">
        <v>25</v>
      </c>
      <c r="E738" s="35" t="str">
        <f>vlookup(C738,'Team Bye List'!$A$1:$B$33,2,False)</f>
        <v>#N/A</v>
      </c>
      <c r="F738" s="36">
        <f>if(ISNA(vlookup($A738, ESPN!$B$2:$E$1010, 4, false)), 0, vlookup($A738, ESPN!$B$2:$E$1010, 4, false))</f>
        <v>0</v>
      </c>
      <c r="G738" s="36">
        <f>if(ISNA(vlookup($A738,'Ultimate Draft Kit'!$B$2:$E$201,4, false)), 0, vlookup($A738,'Ultimate Draft Kit'!$B$2:$E$201, 4, false))</f>
        <v>0</v>
      </c>
      <c r="H738" s="36">
        <f>if(ISNA(vlookup($A738, FantasyPro!$B$2:$E$514,4,false)),0,vlookup($A738,FantasyPro!$B$2:$E$514,4,false))</f>
        <v>0</v>
      </c>
      <c r="I738" s="36">
        <f>if(ISNA(vlookup($A738, FFToolbox!$B$2:$E$618, 4, false)), 0, vlookup($A738, FFToolbox!$B$2:$E$618, 4, false))</f>
        <v>0</v>
      </c>
      <c r="J738" s="37">
        <f t="shared" si="1"/>
        <v>0</v>
      </c>
      <c r="K738" s="37">
        <f t="shared" si="2"/>
        <v>0</v>
      </c>
    </row>
    <row r="739" hidden="1">
      <c r="A739" s="13" t="s">
        <v>721</v>
      </c>
      <c r="B739" s="34" t="s">
        <v>1061</v>
      </c>
      <c r="C739" s="5" t="s">
        <v>257</v>
      </c>
      <c r="D739" s="5" t="s">
        <v>25</v>
      </c>
      <c r="E739" s="35" t="str">
        <f>vlookup(C739,'Team Bye List'!$A$1:$B$33,2,False)</f>
        <v>#N/A</v>
      </c>
      <c r="F739" s="36">
        <f>if(ISNA(vlookup($A739, ESPN!$B$2:$E$1010, 4, false)), 0, vlookup($A739, ESPN!$B$2:$E$1010, 4, false))</f>
        <v>0</v>
      </c>
      <c r="G739" s="36">
        <f>if(ISNA(vlookup($A739,'Ultimate Draft Kit'!$B$2:$E$201,4, false)), 0, vlookup($A739,'Ultimate Draft Kit'!$B$2:$E$201, 4, false))</f>
        <v>0</v>
      </c>
      <c r="H739" s="36">
        <f>if(ISNA(vlookup($A739, FantasyPro!$B$2:$E$514,4,false)),0,vlookup($A739,FantasyPro!$B$2:$E$514,4,false))</f>
        <v>0</v>
      </c>
      <c r="I739" s="36">
        <f>if(ISNA(vlookup($A739, FFToolbox!$B$2:$E$618, 4, false)), 0, vlookup($A739, FFToolbox!$B$2:$E$618, 4, false))</f>
        <v>0</v>
      </c>
      <c r="J739" s="37">
        <f t="shared" si="1"/>
        <v>0</v>
      </c>
      <c r="K739" s="37">
        <f t="shared" si="2"/>
        <v>0</v>
      </c>
    </row>
    <row r="740" hidden="1">
      <c r="A740" s="13" t="s">
        <v>721</v>
      </c>
      <c r="B740" s="34" t="s">
        <v>1061</v>
      </c>
      <c r="C740" s="5" t="s">
        <v>257</v>
      </c>
      <c r="D740" s="5" t="s">
        <v>25</v>
      </c>
      <c r="E740" s="35" t="str">
        <f>vlookup(C740,'Team Bye List'!$A$1:$B$33,2,False)</f>
        <v>#N/A</v>
      </c>
      <c r="F740" s="36">
        <f>if(ISNA(vlookup($A740, ESPN!$B$2:$E$1010, 4, false)), 0, vlookup($A740, ESPN!$B$2:$E$1010, 4, false))</f>
        <v>0</v>
      </c>
      <c r="G740" s="36">
        <f>if(ISNA(vlookup($A740,'Ultimate Draft Kit'!$B$2:$E$201,4, false)), 0, vlookup($A740,'Ultimate Draft Kit'!$B$2:$E$201, 4, false))</f>
        <v>0</v>
      </c>
      <c r="H740" s="36">
        <f>if(ISNA(vlookup($A740, FantasyPro!$B$2:$E$514,4,false)),0,vlookup($A740,FantasyPro!$B$2:$E$514,4,false))</f>
        <v>0</v>
      </c>
      <c r="I740" s="36">
        <f>if(ISNA(vlookup($A740, FFToolbox!$B$2:$E$618, 4, false)), 0, vlookup($A740, FFToolbox!$B$2:$E$618, 4, false))</f>
        <v>0</v>
      </c>
      <c r="J740" s="37">
        <f t="shared" si="1"/>
        <v>0</v>
      </c>
      <c r="K740" s="37">
        <f t="shared" si="2"/>
        <v>0</v>
      </c>
    </row>
    <row r="741" hidden="1">
      <c r="A741" s="13" t="s">
        <v>625</v>
      </c>
      <c r="B741" s="34" t="s">
        <v>1061</v>
      </c>
      <c r="C741" s="5" t="s">
        <v>86</v>
      </c>
      <c r="D741" s="5" t="s">
        <v>25</v>
      </c>
      <c r="E741" s="35">
        <f>vlookup(C741,'Team Bye List'!$A$1:$B$33,2,False)</f>
        <v>6</v>
      </c>
      <c r="F741" s="36">
        <f>if(ISNA(vlookup($A741, ESPN!$B$2:$E$1010, 4, false)), 0, vlookup($A741, ESPN!$B$2:$E$1010, 4, false))</f>
        <v>0</v>
      </c>
      <c r="G741" s="36">
        <f>if(ISNA(vlookup($A741,'Ultimate Draft Kit'!$B$2:$E$201,4, false)), 0, vlookup($A741,'Ultimate Draft Kit'!$B$2:$E$201, 4, false))</f>
        <v>0</v>
      </c>
      <c r="H741" s="36">
        <f>if(ISNA(vlookup($A741, FantasyPro!$B$2:$E$514,4,false)),0,vlookup($A741,FantasyPro!$B$2:$E$514,4,false))</f>
        <v>0</v>
      </c>
      <c r="I741" s="36">
        <f>if(ISNA(vlookup($A741, FFToolbox!$B$2:$E$618, 4, false)), 0, vlookup($A741, FFToolbox!$B$2:$E$618, 4, false))</f>
        <v>0</v>
      </c>
      <c r="J741" s="37">
        <f t="shared" si="1"/>
        <v>0</v>
      </c>
      <c r="K741" s="37">
        <f t="shared" si="2"/>
        <v>0</v>
      </c>
    </row>
    <row r="742" hidden="1">
      <c r="A742" s="13" t="s">
        <v>745</v>
      </c>
      <c r="B742" s="34" t="s">
        <v>1061</v>
      </c>
      <c r="C742" s="5" t="s">
        <v>134</v>
      </c>
      <c r="D742" s="5" t="s">
        <v>25</v>
      </c>
      <c r="E742" s="35">
        <f>vlookup(C742,'Team Bye List'!$A$1:$B$33,2,False)</f>
        <v>11</v>
      </c>
      <c r="F742" s="36">
        <f>if(ISNA(vlookup($A742, ESPN!$B$2:$E$1010, 4, false)), 0, vlookup($A742, ESPN!$B$2:$E$1010, 4, false))</f>
        <v>0</v>
      </c>
      <c r="G742" s="36">
        <f>if(ISNA(vlookup($A742,'Ultimate Draft Kit'!$B$2:$E$201,4, false)), 0, vlookup($A742,'Ultimate Draft Kit'!$B$2:$E$201, 4, false))</f>
        <v>0</v>
      </c>
      <c r="H742" s="36">
        <f>if(ISNA(vlookup($A742, FantasyPro!$B$2:$E$514,4,false)),0,vlookup($A742,FantasyPro!$B$2:$E$514,4,false))</f>
        <v>0</v>
      </c>
      <c r="I742" s="36">
        <f>if(ISNA(vlookup($A742, FFToolbox!$B$2:$E$618, 4, false)), 0, vlookup($A742, FFToolbox!$B$2:$E$618, 4, false))</f>
        <v>0</v>
      </c>
      <c r="J742" s="37">
        <f t="shared" si="1"/>
        <v>0</v>
      </c>
      <c r="K742" s="37">
        <f t="shared" si="2"/>
        <v>0</v>
      </c>
    </row>
    <row r="743" hidden="1">
      <c r="A743" s="13" t="s">
        <v>676</v>
      </c>
      <c r="B743" s="34" t="s">
        <v>1061</v>
      </c>
      <c r="C743" s="5" t="s">
        <v>257</v>
      </c>
      <c r="D743" s="5" t="s">
        <v>25</v>
      </c>
      <c r="E743" s="35" t="str">
        <f>vlookup(C743,'Team Bye List'!$A$1:$B$33,2,False)</f>
        <v>#N/A</v>
      </c>
      <c r="F743" s="36">
        <f>if(ISNA(vlookup($A743, ESPN!$B$2:$E$1010, 4, false)), 0, vlookup($A743, ESPN!$B$2:$E$1010, 4, false))</f>
        <v>0</v>
      </c>
      <c r="G743" s="36">
        <f>if(ISNA(vlookup($A743,'Ultimate Draft Kit'!$B$2:$E$201,4, false)), 0, vlookup($A743,'Ultimate Draft Kit'!$B$2:$E$201, 4, false))</f>
        <v>0</v>
      </c>
      <c r="H743" s="36">
        <f>if(ISNA(vlookup($A743, FantasyPro!$B$2:$E$514,4,false)),0,vlookup($A743,FantasyPro!$B$2:$E$514,4,false))</f>
        <v>0</v>
      </c>
      <c r="I743" s="36">
        <f>if(ISNA(vlookup($A743, FFToolbox!$B$2:$E$618, 4, false)), 0, vlookup($A743, FFToolbox!$B$2:$E$618, 4, false))</f>
        <v>0</v>
      </c>
      <c r="J743" s="37">
        <f t="shared" si="1"/>
        <v>0</v>
      </c>
      <c r="K743" s="37">
        <f t="shared" si="2"/>
        <v>0</v>
      </c>
    </row>
    <row r="744" hidden="1">
      <c r="A744" s="13" t="s">
        <v>685</v>
      </c>
      <c r="B744" s="34" t="s">
        <v>1061</v>
      </c>
      <c r="C744" s="5" t="s">
        <v>102</v>
      </c>
      <c r="D744" s="5" t="s">
        <v>25</v>
      </c>
      <c r="E744" s="35">
        <f>vlookup(C744,'Team Bye List'!$A$1:$B$33,2,False)</f>
        <v>11</v>
      </c>
      <c r="F744" s="36">
        <f>if(ISNA(vlookup($A744, ESPN!$B$2:$E$1010, 4, false)), 0, vlookup($A744, ESPN!$B$2:$E$1010, 4, false))</f>
        <v>0</v>
      </c>
      <c r="G744" s="36">
        <f>if(ISNA(vlookup($A744,'Ultimate Draft Kit'!$B$2:$E$201,4, false)), 0, vlookup($A744,'Ultimate Draft Kit'!$B$2:$E$201, 4, false))</f>
        <v>0</v>
      </c>
      <c r="H744" s="36">
        <f>if(ISNA(vlookup($A744, FantasyPro!$B$2:$E$514,4,false)),0,vlookup($A744,FantasyPro!$B$2:$E$514,4,false))</f>
        <v>0</v>
      </c>
      <c r="I744" s="36">
        <f>if(ISNA(vlookup($A744, FFToolbox!$B$2:$E$618, 4, false)), 0, vlookup($A744, FFToolbox!$B$2:$E$618, 4, false))</f>
        <v>0</v>
      </c>
      <c r="J744" s="37">
        <f t="shared" si="1"/>
        <v>0</v>
      </c>
      <c r="K744" s="37">
        <f t="shared" si="2"/>
        <v>0</v>
      </c>
    </row>
    <row r="745" hidden="1">
      <c r="A745" s="13" t="s">
        <v>685</v>
      </c>
      <c r="B745" s="34" t="s">
        <v>1061</v>
      </c>
      <c r="C745" s="5" t="s">
        <v>102</v>
      </c>
      <c r="D745" s="5" t="s">
        <v>25</v>
      </c>
      <c r="E745" s="35">
        <f>vlookup(C745,'Team Bye List'!$A$1:$B$33,2,False)</f>
        <v>11</v>
      </c>
      <c r="F745" s="36">
        <f>if(ISNA(vlookup($A745, ESPN!$B$2:$E$1010, 4, false)), 0, vlookup($A745, ESPN!$B$2:$E$1010, 4, false))</f>
        <v>0</v>
      </c>
      <c r="G745" s="36">
        <f>if(ISNA(vlookup($A745,'Ultimate Draft Kit'!$B$2:$E$201,4, false)), 0, vlookup($A745,'Ultimate Draft Kit'!$B$2:$E$201, 4, false))</f>
        <v>0</v>
      </c>
      <c r="H745" s="36">
        <f>if(ISNA(vlookup($A745, FantasyPro!$B$2:$E$514,4,false)),0,vlookup($A745,FantasyPro!$B$2:$E$514,4,false))</f>
        <v>0</v>
      </c>
      <c r="I745" s="36">
        <f>if(ISNA(vlookup($A745, FFToolbox!$B$2:$E$618, 4, false)), 0, vlookup($A745, FFToolbox!$B$2:$E$618, 4, false))</f>
        <v>0</v>
      </c>
      <c r="J745" s="37">
        <f t="shared" si="1"/>
        <v>0</v>
      </c>
      <c r="K745" s="37">
        <f t="shared" si="2"/>
        <v>0</v>
      </c>
    </row>
    <row r="746" hidden="1">
      <c r="A746" s="13" t="s">
        <v>992</v>
      </c>
      <c r="B746" s="34" t="s">
        <v>1061</v>
      </c>
      <c r="C746" s="5" t="s">
        <v>102</v>
      </c>
      <c r="D746" s="5" t="s">
        <v>10</v>
      </c>
      <c r="E746" s="35">
        <f>vlookup(C746,'Team Bye List'!$A$1:$B$33,2,False)</f>
        <v>11</v>
      </c>
      <c r="F746" s="36">
        <f>if(ISNA(vlookup($A746, ESPN!$B$2:$E$1010, 4, false)), 0, vlookup($A746, ESPN!$B$2:$E$1010, 4, false))</f>
        <v>0</v>
      </c>
      <c r="G746" s="36">
        <f>if(ISNA(vlookup($A746,'Ultimate Draft Kit'!$B$2:$E$201,4, false)), 0, vlookup($A746,'Ultimate Draft Kit'!$B$2:$E$201, 4, false))</f>
        <v>0</v>
      </c>
      <c r="H746" s="36">
        <f>if(ISNA(vlookup($A746, FantasyPro!$B$2:$E$514,4,false)),0,vlookup($A746,FantasyPro!$B$2:$E$514,4,false))</f>
        <v>0</v>
      </c>
      <c r="I746" s="36">
        <f>if(ISNA(vlookup($A746, FFToolbox!$B$2:$E$618, 4, false)), 0, vlookup($A746, FFToolbox!$B$2:$E$618, 4, false))</f>
        <v>0</v>
      </c>
      <c r="J746" s="37">
        <f t="shared" si="1"/>
        <v>0</v>
      </c>
      <c r="K746" s="37">
        <f t="shared" si="2"/>
        <v>0</v>
      </c>
    </row>
    <row r="747" hidden="1">
      <c r="A747" s="13" t="s">
        <v>635</v>
      </c>
      <c r="B747" s="34" t="s">
        <v>1061</v>
      </c>
      <c r="C747" s="5" t="s">
        <v>27</v>
      </c>
      <c r="D747" s="5" t="s">
        <v>25</v>
      </c>
      <c r="E747" s="35">
        <f>vlookup(C747,'Team Bye List'!$A$1:$B$33,2,False)</f>
        <v>11</v>
      </c>
      <c r="F747" s="36">
        <f>if(ISNA(vlookup($A747, ESPN!$B$2:$E$1010, 4, false)), 0, vlookup($A747, ESPN!$B$2:$E$1010, 4, false))</f>
        <v>0</v>
      </c>
      <c r="G747" s="36">
        <f>if(ISNA(vlookup($A747,'Ultimate Draft Kit'!$B$2:$E$201,4, false)), 0, vlookup($A747,'Ultimate Draft Kit'!$B$2:$E$201, 4, false))</f>
        <v>0</v>
      </c>
      <c r="H747" s="36">
        <f>if(ISNA(vlookup($A747, FantasyPro!$B$2:$E$514,4,false)),0,vlookup($A747,FantasyPro!$B$2:$E$514,4,false))</f>
        <v>0</v>
      </c>
      <c r="I747" s="36">
        <f>if(ISNA(vlookup($A747, FFToolbox!$B$2:$E$618, 4, false)), 0, vlookup($A747, FFToolbox!$B$2:$E$618, 4, false))</f>
        <v>0</v>
      </c>
      <c r="J747" s="37">
        <f t="shared" si="1"/>
        <v>0</v>
      </c>
      <c r="K747" s="37">
        <f t="shared" si="2"/>
        <v>0</v>
      </c>
    </row>
    <row r="748" hidden="1">
      <c r="A748" s="13" t="s">
        <v>693</v>
      </c>
      <c r="B748" s="34" t="s">
        <v>1061</v>
      </c>
      <c r="C748" s="5" t="s">
        <v>257</v>
      </c>
      <c r="D748" s="5" t="s">
        <v>25</v>
      </c>
      <c r="E748" s="35" t="str">
        <f>vlookup(C748,'Team Bye List'!$A$1:$B$33,2,False)</f>
        <v>#N/A</v>
      </c>
      <c r="F748" s="36">
        <f>if(ISNA(vlookup($A748, ESPN!$B$2:$E$1010, 4, false)), 0, vlookup($A748, ESPN!$B$2:$E$1010, 4, false))</f>
        <v>0</v>
      </c>
      <c r="G748" s="36">
        <f>if(ISNA(vlookup($A748,'Ultimate Draft Kit'!$B$2:$E$201,4, false)), 0, vlookup($A748,'Ultimate Draft Kit'!$B$2:$E$201, 4, false))</f>
        <v>0</v>
      </c>
      <c r="H748" s="36">
        <f>if(ISNA(vlookup($A748, FantasyPro!$B$2:$E$514,4,false)),0,vlookup($A748,FantasyPro!$B$2:$E$514,4,false))</f>
        <v>0</v>
      </c>
      <c r="I748" s="36">
        <f>if(ISNA(vlookup($A748, FFToolbox!$B$2:$E$618, 4, false)), 0, vlookup($A748, FFToolbox!$B$2:$E$618, 4, false))</f>
        <v>0</v>
      </c>
      <c r="J748" s="37">
        <f t="shared" si="1"/>
        <v>0</v>
      </c>
      <c r="K748" s="37">
        <f t="shared" si="2"/>
        <v>0</v>
      </c>
    </row>
    <row r="749" hidden="1">
      <c r="A749" s="13" t="s">
        <v>764</v>
      </c>
      <c r="B749" s="34" t="s">
        <v>1061</v>
      </c>
      <c r="C749" s="5" t="s">
        <v>257</v>
      </c>
      <c r="D749" s="5" t="s">
        <v>25</v>
      </c>
      <c r="E749" s="35" t="str">
        <f>vlookup(C749,'Team Bye List'!$A$1:$B$33,2,False)</f>
        <v>#N/A</v>
      </c>
      <c r="F749" s="36">
        <f>if(ISNA(vlookup($A749, ESPN!$B$2:$E$1010, 4, false)), 0, vlookup($A749, ESPN!$B$2:$E$1010, 4, false))</f>
        <v>0</v>
      </c>
      <c r="G749" s="36">
        <f>if(ISNA(vlookup($A749,'Ultimate Draft Kit'!$B$2:$E$201,4, false)), 0, vlookup($A749,'Ultimate Draft Kit'!$B$2:$E$201, 4, false))</f>
        <v>0</v>
      </c>
      <c r="H749" s="36">
        <f>if(ISNA(vlookup($A749, FantasyPro!$B$2:$E$514,4,false)),0,vlookup($A749,FantasyPro!$B$2:$E$514,4,false))</f>
        <v>0</v>
      </c>
      <c r="I749" s="36">
        <f>if(ISNA(vlookup($A749, FFToolbox!$B$2:$E$618, 4, false)), 0, vlookup($A749, FFToolbox!$B$2:$E$618, 4, false))</f>
        <v>0</v>
      </c>
      <c r="J749" s="37">
        <f t="shared" si="1"/>
        <v>0</v>
      </c>
      <c r="K749" s="37">
        <f t="shared" si="2"/>
        <v>0</v>
      </c>
    </row>
    <row r="750" hidden="1">
      <c r="A750" s="13" t="s">
        <v>764</v>
      </c>
      <c r="B750" s="34" t="s">
        <v>1061</v>
      </c>
      <c r="C750" s="5" t="s">
        <v>257</v>
      </c>
      <c r="D750" s="5" t="s">
        <v>25</v>
      </c>
      <c r="E750" s="35" t="str">
        <f>vlookup(C750,'Team Bye List'!$A$1:$B$33,2,False)</f>
        <v>#N/A</v>
      </c>
      <c r="F750" s="36">
        <f>if(ISNA(vlookup($A750, ESPN!$B$2:$E$1010, 4, false)), 0, vlookup($A750, ESPN!$B$2:$E$1010, 4, false))</f>
        <v>0</v>
      </c>
      <c r="G750" s="36">
        <f>if(ISNA(vlookup($A750,'Ultimate Draft Kit'!$B$2:$E$201,4, false)), 0, vlookup($A750,'Ultimate Draft Kit'!$B$2:$E$201, 4, false))</f>
        <v>0</v>
      </c>
      <c r="H750" s="36">
        <f>if(ISNA(vlookup($A750, FantasyPro!$B$2:$E$514,4,false)),0,vlookup($A750,FantasyPro!$B$2:$E$514,4,false))</f>
        <v>0</v>
      </c>
      <c r="I750" s="36">
        <f>if(ISNA(vlookup($A750, FFToolbox!$B$2:$E$618, 4, false)), 0, vlookup($A750, FFToolbox!$B$2:$E$618, 4, false))</f>
        <v>0</v>
      </c>
      <c r="J750" s="37">
        <f t="shared" si="1"/>
        <v>0</v>
      </c>
      <c r="K750" s="37">
        <f t="shared" si="2"/>
        <v>0</v>
      </c>
    </row>
    <row r="751" hidden="1">
      <c r="A751" s="13" t="s">
        <v>627</v>
      </c>
      <c r="B751" s="34" t="s">
        <v>1061</v>
      </c>
      <c r="C751" s="5" t="s">
        <v>257</v>
      </c>
      <c r="D751" s="5" t="s">
        <v>25</v>
      </c>
      <c r="E751" s="35" t="str">
        <f>vlookup(C751,'Team Bye List'!$A$1:$B$33,2,False)</f>
        <v>#N/A</v>
      </c>
      <c r="F751" s="36">
        <f>if(ISNA(vlookup($A751, ESPN!$B$2:$E$1010, 4, false)), 0, vlookup($A751, ESPN!$B$2:$E$1010, 4, false))</f>
        <v>0</v>
      </c>
      <c r="G751" s="36">
        <f>if(ISNA(vlookup($A751,'Ultimate Draft Kit'!$B$2:$E$201,4, false)), 0, vlookup($A751,'Ultimate Draft Kit'!$B$2:$E$201, 4, false))</f>
        <v>0</v>
      </c>
      <c r="H751" s="36">
        <f>if(ISNA(vlookup($A751, FantasyPro!$B$2:$E$514,4,false)),0,vlookup($A751,FantasyPro!$B$2:$E$514,4,false))</f>
        <v>0</v>
      </c>
      <c r="I751" s="36">
        <f>if(ISNA(vlookup($A751, FFToolbox!$B$2:$E$618, 4, false)), 0, vlookup($A751, FFToolbox!$B$2:$E$618, 4, false))</f>
        <v>0</v>
      </c>
      <c r="J751" s="37">
        <f t="shared" si="1"/>
        <v>0</v>
      </c>
      <c r="K751" s="37">
        <f t="shared" si="2"/>
        <v>0</v>
      </c>
    </row>
    <row r="752" hidden="1">
      <c r="A752" s="13" t="s">
        <v>703</v>
      </c>
      <c r="B752" s="34" t="s">
        <v>1061</v>
      </c>
      <c r="C752" s="5" t="s">
        <v>32</v>
      </c>
      <c r="D752" s="5" t="s">
        <v>25</v>
      </c>
      <c r="E752" s="35">
        <f>vlookup(C752,'Team Bye List'!$A$1:$B$33,2,False)</f>
        <v>9</v>
      </c>
      <c r="F752" s="36">
        <f>if(ISNA(vlookup($A752, ESPN!$B$2:$E$1010, 4, false)), 0, vlookup($A752, ESPN!$B$2:$E$1010, 4, false))</f>
        <v>0</v>
      </c>
      <c r="G752" s="36">
        <f>if(ISNA(vlookup($A752,'Ultimate Draft Kit'!$B$2:$E$201,4, false)), 0, vlookup($A752,'Ultimate Draft Kit'!$B$2:$E$201, 4, false))</f>
        <v>0</v>
      </c>
      <c r="H752" s="36">
        <f>if(ISNA(vlookup($A752, FantasyPro!$B$2:$E$514,4,false)),0,vlookup($A752,FantasyPro!$B$2:$E$514,4,false))</f>
        <v>0</v>
      </c>
      <c r="I752" s="36">
        <f>if(ISNA(vlookup($A752, FFToolbox!$B$2:$E$618, 4, false)), 0, vlookup($A752, FFToolbox!$B$2:$E$618, 4, false))</f>
        <v>0</v>
      </c>
      <c r="J752" s="37">
        <f t="shared" si="1"/>
        <v>0</v>
      </c>
      <c r="K752" s="37">
        <f t="shared" si="2"/>
        <v>0</v>
      </c>
    </row>
    <row r="753" hidden="1">
      <c r="A753" s="13" t="s">
        <v>629</v>
      </c>
      <c r="B753" s="34" t="s">
        <v>1061</v>
      </c>
      <c r="C753" s="5" t="s">
        <v>48</v>
      </c>
      <c r="D753" s="5" t="s">
        <v>25</v>
      </c>
      <c r="E753" s="35">
        <f>vlookup(C753,'Team Bye List'!$A$1:$B$33,2,False)</f>
        <v>11</v>
      </c>
      <c r="F753" s="36">
        <f>if(ISNA(vlookup($A753, ESPN!$B$2:$E$1010, 4, false)), 0, vlookup($A753, ESPN!$B$2:$E$1010, 4, false))</f>
        <v>0</v>
      </c>
      <c r="G753" s="36">
        <f>if(ISNA(vlookup($A753,'Ultimate Draft Kit'!$B$2:$E$201,4, false)), 0, vlookup($A753,'Ultimate Draft Kit'!$B$2:$E$201, 4, false))</f>
        <v>0</v>
      </c>
      <c r="H753" s="36">
        <f>if(ISNA(vlookup($A753, FantasyPro!$B$2:$E$514,4,false)),0,vlookup($A753,FantasyPro!$B$2:$E$514,4,false))</f>
        <v>0</v>
      </c>
      <c r="I753" s="36">
        <f>if(ISNA(vlookup($A753, FFToolbox!$B$2:$E$618, 4, false)), 0, vlookup($A753, FFToolbox!$B$2:$E$618, 4, false))</f>
        <v>0</v>
      </c>
      <c r="J753" s="37">
        <f t="shared" si="1"/>
        <v>0</v>
      </c>
      <c r="K753" s="37">
        <f t="shared" si="2"/>
        <v>0</v>
      </c>
    </row>
    <row r="754" hidden="1">
      <c r="A754" s="13" t="s">
        <v>749</v>
      </c>
      <c r="B754" s="34" t="s">
        <v>1061</v>
      </c>
      <c r="C754" s="5" t="s">
        <v>257</v>
      </c>
      <c r="D754" s="5" t="s">
        <v>25</v>
      </c>
      <c r="E754" s="35" t="str">
        <f>vlookup(C754,'Team Bye List'!$A$1:$B$33,2,False)</f>
        <v>#N/A</v>
      </c>
      <c r="F754" s="36">
        <f>if(ISNA(vlookup($A754, ESPN!$B$2:$E$1010, 4, false)), 0, vlookup($A754, ESPN!$B$2:$E$1010, 4, false))</f>
        <v>0</v>
      </c>
      <c r="G754" s="36">
        <f>if(ISNA(vlookup($A754,'Ultimate Draft Kit'!$B$2:$E$201,4, false)), 0, vlookup($A754,'Ultimate Draft Kit'!$B$2:$E$201, 4, false))</f>
        <v>0</v>
      </c>
      <c r="H754" s="36">
        <f>if(ISNA(vlookup($A754, FantasyPro!$B$2:$E$514,4,false)),0,vlookup($A754,FantasyPro!$B$2:$E$514,4,false))</f>
        <v>0</v>
      </c>
      <c r="I754" s="36">
        <f>if(ISNA(vlookup($A754, FFToolbox!$B$2:$E$618, 4, false)), 0, vlookup($A754, FFToolbox!$B$2:$E$618, 4, false))</f>
        <v>0</v>
      </c>
      <c r="J754" s="37">
        <f t="shared" si="1"/>
        <v>0</v>
      </c>
      <c r="K754" s="37">
        <f t="shared" si="2"/>
        <v>0</v>
      </c>
    </row>
    <row r="755" hidden="1">
      <c r="A755" s="13" t="s">
        <v>614</v>
      </c>
      <c r="B755" s="34" t="s">
        <v>1061</v>
      </c>
      <c r="C755" s="5" t="s">
        <v>74</v>
      </c>
      <c r="D755" s="5" t="s">
        <v>25</v>
      </c>
      <c r="E755" s="35">
        <f>vlookup(C755,'Team Bye List'!$A$1:$B$33,2,False)</f>
        <v>7</v>
      </c>
      <c r="F755" s="36">
        <f>if(ISNA(vlookup($A755, ESPN!$B$2:$E$1010, 4, false)), 0, vlookup($A755, ESPN!$B$2:$E$1010, 4, false))</f>
        <v>0</v>
      </c>
      <c r="G755" s="36">
        <f>if(ISNA(vlookup($A755,'Ultimate Draft Kit'!$B$2:$E$201,4, false)), 0, vlookup($A755,'Ultimate Draft Kit'!$B$2:$E$201, 4, false))</f>
        <v>0</v>
      </c>
      <c r="H755" s="36">
        <f>if(ISNA(vlookup($A755, FantasyPro!$B$2:$E$514,4,false)),0,vlookup($A755,FantasyPro!$B$2:$E$514,4,false))</f>
        <v>0</v>
      </c>
      <c r="I755" s="36">
        <f>if(ISNA(vlookup($A755, FFToolbox!$B$2:$E$618, 4, false)), 0, vlookup($A755, FFToolbox!$B$2:$E$618, 4, false))</f>
        <v>0</v>
      </c>
      <c r="J755" s="37">
        <f t="shared" si="1"/>
        <v>0</v>
      </c>
      <c r="K755" s="37">
        <f t="shared" si="2"/>
        <v>0</v>
      </c>
    </row>
    <row r="756" hidden="1">
      <c r="A756" s="13" t="s">
        <v>732</v>
      </c>
      <c r="B756" s="34" t="s">
        <v>1061</v>
      </c>
      <c r="C756" s="5" t="s">
        <v>257</v>
      </c>
      <c r="D756" s="5" t="s">
        <v>25</v>
      </c>
      <c r="E756" s="35" t="str">
        <f>vlookup(C756,'Team Bye List'!$A$1:$B$33,2,False)</f>
        <v>#N/A</v>
      </c>
      <c r="F756" s="36">
        <f>if(ISNA(vlookup($A756, ESPN!$B$2:$E$1010, 4, false)), 0, vlookup($A756, ESPN!$B$2:$E$1010, 4, false))</f>
        <v>0</v>
      </c>
      <c r="G756" s="36">
        <f>if(ISNA(vlookup($A756,'Ultimate Draft Kit'!$B$2:$E$201,4, false)), 0, vlookup($A756,'Ultimate Draft Kit'!$B$2:$E$201, 4, false))</f>
        <v>0</v>
      </c>
      <c r="H756" s="36">
        <f>if(ISNA(vlookup($A756, FantasyPro!$B$2:$E$514,4,false)),0,vlookup($A756,FantasyPro!$B$2:$E$514,4,false))</f>
        <v>0</v>
      </c>
      <c r="I756" s="36">
        <f>if(ISNA(vlookup($A756, FFToolbox!$B$2:$E$618, 4, false)), 0, vlookup($A756, FFToolbox!$B$2:$E$618, 4, false))</f>
        <v>0</v>
      </c>
      <c r="J756" s="37">
        <f t="shared" si="1"/>
        <v>0</v>
      </c>
      <c r="K756" s="37">
        <f t="shared" si="2"/>
        <v>0</v>
      </c>
    </row>
    <row r="757" hidden="1">
      <c r="A757" s="13" t="s">
        <v>742</v>
      </c>
      <c r="B757" s="34" t="s">
        <v>1061</v>
      </c>
      <c r="C757" s="5" t="s">
        <v>257</v>
      </c>
      <c r="D757" s="5" t="s">
        <v>25</v>
      </c>
      <c r="E757" s="35" t="str">
        <f>vlookup(C757,'Team Bye List'!$A$1:$B$33,2,False)</f>
        <v>#N/A</v>
      </c>
      <c r="F757" s="36">
        <f>if(ISNA(vlookup($A757, ESPN!$B$2:$E$1010, 4, false)), 0, vlookup($A757, ESPN!$B$2:$E$1010, 4, false))</f>
        <v>0</v>
      </c>
      <c r="G757" s="36">
        <f>if(ISNA(vlookup($A757,'Ultimate Draft Kit'!$B$2:$E$201,4, false)), 0, vlookup($A757,'Ultimate Draft Kit'!$B$2:$E$201, 4, false))</f>
        <v>0</v>
      </c>
      <c r="H757" s="36">
        <f>if(ISNA(vlookup($A757, FantasyPro!$B$2:$E$514,4,false)),0,vlookup($A757,FantasyPro!$B$2:$E$514,4,false))</f>
        <v>0</v>
      </c>
      <c r="I757" s="36">
        <f>if(ISNA(vlookup($A757, FFToolbox!$B$2:$E$618, 4, false)), 0, vlookup($A757, FFToolbox!$B$2:$E$618, 4, false))</f>
        <v>0</v>
      </c>
      <c r="J757" s="37">
        <f t="shared" si="1"/>
        <v>0</v>
      </c>
      <c r="K757" s="37">
        <f t="shared" si="2"/>
        <v>0</v>
      </c>
    </row>
    <row r="758" hidden="1">
      <c r="A758" s="13" t="s">
        <v>666</v>
      </c>
      <c r="B758" s="34" t="s">
        <v>1061</v>
      </c>
      <c r="C758" s="5" t="s">
        <v>257</v>
      </c>
      <c r="D758" s="5" t="s">
        <v>25</v>
      </c>
      <c r="E758" s="35" t="str">
        <f>vlookup(C758,'Team Bye List'!$A$1:$B$33,2,False)</f>
        <v>#N/A</v>
      </c>
      <c r="F758" s="36">
        <f>if(ISNA(vlookup($A758, ESPN!$B$2:$E$1010, 4, false)), 0, vlookup($A758, ESPN!$B$2:$E$1010, 4, false))</f>
        <v>0</v>
      </c>
      <c r="G758" s="36">
        <f>if(ISNA(vlookup($A758,'Ultimate Draft Kit'!$B$2:$E$201,4, false)), 0, vlookup($A758,'Ultimate Draft Kit'!$B$2:$E$201, 4, false))</f>
        <v>0</v>
      </c>
      <c r="H758" s="36">
        <f>if(ISNA(vlookup($A758, FantasyPro!$B$2:$E$514,4,false)),0,vlookup($A758,FantasyPro!$B$2:$E$514,4,false))</f>
        <v>0</v>
      </c>
      <c r="I758" s="36">
        <f>if(ISNA(vlookup($A758, FFToolbox!$B$2:$E$618, 4, false)), 0, vlookup($A758, FFToolbox!$B$2:$E$618, 4, false))</f>
        <v>0</v>
      </c>
      <c r="J758" s="37">
        <f t="shared" si="1"/>
        <v>0</v>
      </c>
      <c r="K758" s="37">
        <f t="shared" si="2"/>
        <v>0</v>
      </c>
    </row>
    <row r="759" hidden="1">
      <c r="A759" s="13" t="s">
        <v>704</v>
      </c>
      <c r="B759" s="34" t="s">
        <v>1061</v>
      </c>
      <c r="C759" s="5" t="s">
        <v>32</v>
      </c>
      <c r="D759" s="5" t="s">
        <v>25</v>
      </c>
      <c r="E759" s="35">
        <f>vlookup(C759,'Team Bye List'!$A$1:$B$33,2,False)</f>
        <v>9</v>
      </c>
      <c r="F759" s="36">
        <f>if(ISNA(vlookup($A759, ESPN!$B$2:$E$1010, 4, false)), 0, vlookup($A759, ESPN!$B$2:$E$1010, 4, false))</f>
        <v>0</v>
      </c>
      <c r="G759" s="36">
        <f>if(ISNA(vlookup($A759,'Ultimate Draft Kit'!$B$2:$E$201,4, false)), 0, vlookup($A759,'Ultimate Draft Kit'!$B$2:$E$201, 4, false))</f>
        <v>0</v>
      </c>
      <c r="H759" s="36">
        <f>if(ISNA(vlookup($A759, FantasyPro!$B$2:$E$514,4,false)),0,vlookup($A759,FantasyPro!$B$2:$E$514,4,false))</f>
        <v>0</v>
      </c>
      <c r="I759" s="36">
        <f>if(ISNA(vlookup($A759, FFToolbox!$B$2:$E$618, 4, false)), 0, vlookup($A759, FFToolbox!$B$2:$E$618, 4, false))</f>
        <v>0</v>
      </c>
      <c r="J759" s="37">
        <f t="shared" si="1"/>
        <v>0</v>
      </c>
      <c r="K759" s="37">
        <f t="shared" si="2"/>
        <v>0</v>
      </c>
    </row>
    <row r="760" hidden="1">
      <c r="A760" s="13" t="s">
        <v>1091</v>
      </c>
      <c r="B760" s="34" t="s">
        <v>1061</v>
      </c>
      <c r="C760" s="5" t="s">
        <v>257</v>
      </c>
      <c r="D760" s="5" t="s">
        <v>7</v>
      </c>
      <c r="E760" s="35" t="str">
        <f>vlookup(C760,'Team Bye List'!$A$1:$B$33,2,False)</f>
        <v>#N/A</v>
      </c>
      <c r="F760" s="36">
        <f>if(ISNA(vlookup($A760, ESPN!$B$2:$E$1010, 4, false)), 0, vlookup($A760, ESPN!$B$2:$E$1010, 4, false))</f>
        <v>0</v>
      </c>
      <c r="G760" s="36">
        <f>if(ISNA(vlookup($A760,'Ultimate Draft Kit'!$B$2:$E$201,4, false)), 0, vlookup($A760,'Ultimate Draft Kit'!$B$2:$E$201, 4, false))</f>
        <v>0</v>
      </c>
      <c r="H760" s="36">
        <f>if(ISNA(vlookup($A760, FantasyPro!$B$2:$E$514,4,false)),0,vlookup($A760,FantasyPro!$B$2:$E$514,4,false))</f>
        <v>0</v>
      </c>
      <c r="I760" s="36">
        <f>if(ISNA(vlookup($A760, FFToolbox!$B$2:$E$618, 4, false)), 0, vlookup($A760, FFToolbox!$B$2:$E$618, 4, false))</f>
        <v>0</v>
      </c>
      <c r="J760" s="37">
        <f t="shared" si="1"/>
        <v>0</v>
      </c>
      <c r="K760" s="37">
        <f t="shared" si="2"/>
        <v>0</v>
      </c>
    </row>
    <row r="761" hidden="1">
      <c r="A761" s="13" t="s">
        <v>628</v>
      </c>
      <c r="B761" s="34" t="s">
        <v>1061</v>
      </c>
      <c r="C761" s="5" t="s">
        <v>257</v>
      </c>
      <c r="D761" s="5" t="s">
        <v>25</v>
      </c>
      <c r="E761" s="35" t="str">
        <f>vlookup(C761,'Team Bye List'!$A$1:$B$33,2,False)</f>
        <v>#N/A</v>
      </c>
      <c r="F761" s="36">
        <f>if(ISNA(vlookup($A761, ESPN!$B$2:$E$1010, 4, false)), 0, vlookup($A761, ESPN!$B$2:$E$1010, 4, false))</f>
        <v>0</v>
      </c>
      <c r="G761" s="36">
        <f>if(ISNA(vlookup($A761,'Ultimate Draft Kit'!$B$2:$E$201,4, false)), 0, vlookup($A761,'Ultimate Draft Kit'!$B$2:$E$201, 4, false))</f>
        <v>0</v>
      </c>
      <c r="H761" s="36">
        <f>if(ISNA(vlookup($A761, FantasyPro!$B$2:$E$514,4,false)),0,vlookup($A761,FantasyPro!$B$2:$E$514,4,false))</f>
        <v>0</v>
      </c>
      <c r="I761" s="36">
        <f>if(ISNA(vlookup($A761, FFToolbox!$B$2:$E$618, 4, false)), 0, vlookup($A761, FFToolbox!$B$2:$E$618, 4, false))</f>
        <v>0</v>
      </c>
      <c r="J761" s="37">
        <f t="shared" si="1"/>
        <v>0</v>
      </c>
      <c r="K761" s="37">
        <f t="shared" si="2"/>
        <v>0</v>
      </c>
    </row>
    <row r="762" hidden="1">
      <c r="A762" s="13" t="s">
        <v>706</v>
      </c>
      <c r="B762" s="34" t="s">
        <v>1061</v>
      </c>
      <c r="C762" s="5" t="s">
        <v>20</v>
      </c>
      <c r="D762" s="5" t="s">
        <v>25</v>
      </c>
      <c r="E762" s="35">
        <f>vlookup(C762,'Team Bye List'!$A$1:$B$33,2,False)</f>
        <v>8</v>
      </c>
      <c r="F762" s="36">
        <f>if(ISNA(vlookup($A762, ESPN!$B$2:$E$1010, 4, false)), 0, vlookup($A762, ESPN!$B$2:$E$1010, 4, false))</f>
        <v>0</v>
      </c>
      <c r="G762" s="36">
        <f>if(ISNA(vlookup($A762,'Ultimate Draft Kit'!$B$2:$E$201,4, false)), 0, vlookup($A762,'Ultimate Draft Kit'!$B$2:$E$201, 4, false))</f>
        <v>0</v>
      </c>
      <c r="H762" s="36">
        <f>if(ISNA(vlookup($A762, FantasyPro!$B$2:$E$514,4,false)),0,vlookup($A762,FantasyPro!$B$2:$E$514,4,false))</f>
        <v>0</v>
      </c>
      <c r="I762" s="36">
        <f>if(ISNA(vlookup($A762, FFToolbox!$B$2:$E$618, 4, false)), 0, vlookup($A762, FFToolbox!$B$2:$E$618, 4, false))</f>
        <v>0</v>
      </c>
      <c r="J762" s="37">
        <f t="shared" si="1"/>
        <v>0</v>
      </c>
      <c r="K762" s="37">
        <f t="shared" si="2"/>
        <v>0</v>
      </c>
    </row>
    <row r="763" hidden="1">
      <c r="A763" s="13" t="s">
        <v>708</v>
      </c>
      <c r="B763" s="34" t="s">
        <v>1061</v>
      </c>
      <c r="C763" s="5" t="s">
        <v>24</v>
      </c>
      <c r="D763" s="5" t="s">
        <v>25</v>
      </c>
      <c r="E763" s="35">
        <f>vlookup(C763,'Team Bye List'!$A$1:$B$33,2,False)</f>
        <v>6</v>
      </c>
      <c r="F763" s="36">
        <f>if(ISNA(vlookup($A763, ESPN!$B$2:$E$1010, 4, false)), 0, vlookup($A763, ESPN!$B$2:$E$1010, 4, false))</f>
        <v>0</v>
      </c>
      <c r="G763" s="36">
        <f>if(ISNA(vlookup($A763,'Ultimate Draft Kit'!$B$2:$E$201,4, false)), 0, vlookup($A763,'Ultimate Draft Kit'!$B$2:$E$201, 4, false))</f>
        <v>0</v>
      </c>
      <c r="H763" s="36">
        <f>if(ISNA(vlookup($A763, FantasyPro!$B$2:$E$514,4,false)),0,vlookup($A763,FantasyPro!$B$2:$E$514,4,false))</f>
        <v>0</v>
      </c>
      <c r="I763" s="36">
        <f>if(ISNA(vlookup($A763, FFToolbox!$B$2:$E$618, 4, false)), 0, vlookup($A763, FFToolbox!$B$2:$E$618, 4, false))</f>
        <v>0</v>
      </c>
      <c r="J763" s="37">
        <f t="shared" si="1"/>
        <v>0</v>
      </c>
      <c r="K763" s="37">
        <f t="shared" si="2"/>
        <v>0</v>
      </c>
    </row>
    <row r="764" hidden="1">
      <c r="A764" s="13" t="s">
        <v>667</v>
      </c>
      <c r="B764" s="34" t="s">
        <v>1061</v>
      </c>
      <c r="C764" s="5" t="s">
        <v>257</v>
      </c>
      <c r="D764" s="5" t="s">
        <v>25</v>
      </c>
      <c r="E764" s="35" t="str">
        <f>vlookup(C764,'Team Bye List'!$A$1:$B$33,2,False)</f>
        <v>#N/A</v>
      </c>
      <c r="F764" s="36">
        <f>if(ISNA(vlookup($A764, ESPN!$B$2:$E$1010, 4, false)), 0, vlookup($A764, ESPN!$B$2:$E$1010, 4, false))</f>
        <v>0</v>
      </c>
      <c r="G764" s="36">
        <f>if(ISNA(vlookup($A764,'Ultimate Draft Kit'!$B$2:$E$201,4, false)), 0, vlookup($A764,'Ultimate Draft Kit'!$B$2:$E$201, 4, false))</f>
        <v>0</v>
      </c>
      <c r="H764" s="36">
        <f>if(ISNA(vlookup($A764, FantasyPro!$B$2:$E$514,4,false)),0,vlookup($A764,FantasyPro!$B$2:$E$514,4,false))</f>
        <v>0</v>
      </c>
      <c r="I764" s="36">
        <f>if(ISNA(vlookup($A764, FFToolbox!$B$2:$E$618, 4, false)), 0, vlookup($A764, FFToolbox!$B$2:$E$618, 4, false))</f>
        <v>0</v>
      </c>
      <c r="J764" s="37">
        <f t="shared" si="1"/>
        <v>0</v>
      </c>
      <c r="K764" s="37">
        <f t="shared" si="2"/>
        <v>0</v>
      </c>
    </row>
    <row r="765" hidden="1">
      <c r="A765" s="13" t="s">
        <v>613</v>
      </c>
      <c r="B765" s="34" t="s">
        <v>1061</v>
      </c>
      <c r="C765" s="5" t="s">
        <v>54</v>
      </c>
      <c r="D765" s="5" t="s">
        <v>25</v>
      </c>
      <c r="E765" s="35">
        <f>vlookup(C765,'Team Bye List'!$A$1:$B$33,2,False)</f>
        <v>9</v>
      </c>
      <c r="F765" s="36">
        <f>if(ISNA(vlookup($A765, ESPN!$B$2:$E$1010, 4, false)), 0, vlookup($A765, ESPN!$B$2:$E$1010, 4, false))</f>
        <v>0</v>
      </c>
      <c r="G765" s="36">
        <f>if(ISNA(vlookup($A765,'Ultimate Draft Kit'!$B$2:$E$201,4, false)), 0, vlookup($A765,'Ultimate Draft Kit'!$B$2:$E$201, 4, false))</f>
        <v>0</v>
      </c>
      <c r="H765" s="36">
        <f>if(ISNA(vlookup($A765, FantasyPro!$B$2:$E$514,4,false)),0,vlookup($A765,FantasyPro!$B$2:$E$514,4,false))</f>
        <v>0</v>
      </c>
      <c r="I765" s="36">
        <f>if(ISNA(vlookup($A765, FFToolbox!$B$2:$E$618, 4, false)), 0, vlookup($A765, FFToolbox!$B$2:$E$618, 4, false))</f>
        <v>0</v>
      </c>
      <c r="J765" s="37">
        <f t="shared" si="1"/>
        <v>0</v>
      </c>
      <c r="K765" s="37">
        <f t="shared" si="2"/>
        <v>0</v>
      </c>
    </row>
    <row r="766" hidden="1">
      <c r="A766" s="13" t="s">
        <v>755</v>
      </c>
      <c r="B766" s="34" t="s">
        <v>1061</v>
      </c>
      <c r="C766" s="5" t="s">
        <v>257</v>
      </c>
      <c r="D766" s="5" t="s">
        <v>25</v>
      </c>
      <c r="E766" s="35" t="str">
        <f>vlookup(C766,'Team Bye List'!$A$1:$B$33,2,False)</f>
        <v>#N/A</v>
      </c>
      <c r="F766" s="36">
        <f>if(ISNA(vlookup($A766, ESPN!$B$2:$E$1010, 4, false)), 0, vlookup($A766, ESPN!$B$2:$E$1010, 4, false))</f>
        <v>0</v>
      </c>
      <c r="G766" s="36">
        <f>if(ISNA(vlookup($A766,'Ultimate Draft Kit'!$B$2:$E$201,4, false)), 0, vlookup($A766,'Ultimate Draft Kit'!$B$2:$E$201, 4, false))</f>
        <v>0</v>
      </c>
      <c r="H766" s="36">
        <f>if(ISNA(vlookup($A766, FantasyPro!$B$2:$E$514,4,false)),0,vlookup($A766,FantasyPro!$B$2:$E$514,4,false))</f>
        <v>0</v>
      </c>
      <c r="I766" s="36">
        <f>if(ISNA(vlookup($A766, FFToolbox!$B$2:$E$618, 4, false)), 0, vlookup($A766, FFToolbox!$B$2:$E$618, 4, false))</f>
        <v>0</v>
      </c>
      <c r="J766" s="37">
        <f t="shared" si="1"/>
        <v>0</v>
      </c>
      <c r="K766" s="37">
        <f t="shared" si="2"/>
        <v>0</v>
      </c>
    </row>
    <row r="767" hidden="1">
      <c r="A767" s="13" t="s">
        <v>757</v>
      </c>
      <c r="B767" s="34" t="s">
        <v>1061</v>
      </c>
      <c r="C767" s="5" t="s">
        <v>257</v>
      </c>
      <c r="D767" s="5" t="s">
        <v>25</v>
      </c>
      <c r="E767" s="35" t="str">
        <f>vlookup(C767,'Team Bye List'!$A$1:$B$33,2,False)</f>
        <v>#N/A</v>
      </c>
      <c r="F767" s="36">
        <f>if(ISNA(vlookup($A767, ESPN!$B$2:$E$1010, 4, false)), 0, vlookup($A767, ESPN!$B$2:$E$1010, 4, false))</f>
        <v>0</v>
      </c>
      <c r="G767" s="36">
        <f>if(ISNA(vlookup($A767,'Ultimate Draft Kit'!$B$2:$E$201,4, false)), 0, vlookup($A767,'Ultimate Draft Kit'!$B$2:$E$201, 4, false))</f>
        <v>0</v>
      </c>
      <c r="H767" s="36">
        <f>if(ISNA(vlookup($A767, FantasyPro!$B$2:$E$514,4,false)),0,vlookup($A767,FantasyPro!$B$2:$E$514,4,false))</f>
        <v>0</v>
      </c>
      <c r="I767" s="36">
        <f>if(ISNA(vlookup($A767, FFToolbox!$B$2:$E$618, 4, false)), 0, vlookup($A767, FFToolbox!$B$2:$E$618, 4, false))</f>
        <v>0</v>
      </c>
      <c r="J767" s="37">
        <f t="shared" si="1"/>
        <v>0</v>
      </c>
      <c r="K767" s="37">
        <f t="shared" si="2"/>
        <v>0</v>
      </c>
    </row>
    <row r="768" hidden="1">
      <c r="A768" s="13" t="s">
        <v>1022</v>
      </c>
      <c r="B768" s="34" t="s">
        <v>1061</v>
      </c>
      <c r="C768" s="5" t="s">
        <v>20</v>
      </c>
      <c r="D768" s="5" t="s">
        <v>25</v>
      </c>
      <c r="E768" s="35">
        <f>vlookup(C768,'Team Bye List'!$A$1:$B$33,2,False)</f>
        <v>8</v>
      </c>
      <c r="F768" s="36">
        <f>if(ISNA(vlookup($A768, ESPN!$B$2:$E$1010, 4, false)), 0, vlookup($A768, ESPN!$B$2:$E$1010, 4, false))</f>
        <v>0</v>
      </c>
      <c r="G768" s="36">
        <f>if(ISNA(vlookup($A768,'Ultimate Draft Kit'!$B$2:$E$201,4, false)), 0, vlookup($A768,'Ultimate Draft Kit'!$B$2:$E$201, 4, false))</f>
        <v>0</v>
      </c>
      <c r="H768" s="36">
        <f>if(ISNA(vlookup($A768, FantasyPro!$B$2:$E$514,4,false)),0,vlookup($A768,FantasyPro!$B$2:$E$514,4,false))</f>
        <v>0</v>
      </c>
      <c r="I768" s="36">
        <f>if(ISNA(vlookup($A768, FFToolbox!$B$2:$E$618, 4, false)), 0, vlookup($A768, FFToolbox!$B$2:$E$618, 4, false))</f>
        <v>0</v>
      </c>
      <c r="J768" s="37">
        <f t="shared" si="1"/>
        <v>0</v>
      </c>
      <c r="K768" s="37">
        <f t="shared" si="2"/>
        <v>0</v>
      </c>
    </row>
    <row r="769" hidden="1">
      <c r="A769" s="13" t="s">
        <v>757</v>
      </c>
      <c r="B769" s="34" t="s">
        <v>1061</v>
      </c>
      <c r="C769" s="5" t="s">
        <v>257</v>
      </c>
      <c r="D769" s="5" t="s">
        <v>25</v>
      </c>
      <c r="E769" s="35" t="str">
        <f>vlookup(C769,'Team Bye List'!$A$1:$B$33,2,False)</f>
        <v>#N/A</v>
      </c>
      <c r="F769" s="36">
        <f>if(ISNA(vlookup($A769, ESPN!$B$2:$E$1010, 4, false)), 0, vlookup($A769, ESPN!$B$2:$E$1010, 4, false))</f>
        <v>0</v>
      </c>
      <c r="G769" s="36">
        <f>if(ISNA(vlookup($A769,'Ultimate Draft Kit'!$B$2:$E$201,4, false)), 0, vlookup($A769,'Ultimate Draft Kit'!$B$2:$E$201, 4, false))</f>
        <v>0</v>
      </c>
      <c r="H769" s="36">
        <f>if(ISNA(vlookup($A769, FantasyPro!$B$2:$E$514,4,false)),0,vlookup($A769,FantasyPro!$B$2:$E$514,4,false))</f>
        <v>0</v>
      </c>
      <c r="I769" s="36">
        <f>if(ISNA(vlookup($A769, FFToolbox!$B$2:$E$618, 4, false)), 0, vlookup($A769, FFToolbox!$B$2:$E$618, 4, false))</f>
        <v>0</v>
      </c>
      <c r="J769" s="37">
        <f t="shared" si="1"/>
        <v>0</v>
      </c>
      <c r="K769" s="37">
        <f t="shared" si="2"/>
        <v>0</v>
      </c>
    </row>
    <row r="770" hidden="1">
      <c r="A770" s="13" t="s">
        <v>1040</v>
      </c>
      <c r="B770" s="34" t="s">
        <v>1061</v>
      </c>
      <c r="C770" s="5" t="s">
        <v>92</v>
      </c>
      <c r="D770" s="5" t="s">
        <v>25</v>
      </c>
      <c r="E770" s="35">
        <f>vlookup(C770,'Team Bye List'!$A$1:$B$33,2,False)</f>
        <v>8</v>
      </c>
      <c r="F770" s="36">
        <f>if(ISNA(vlookup($A770, ESPN!$B$2:$E$1010, 4, false)), 0, vlookup($A770, ESPN!$B$2:$E$1010, 4, false))</f>
        <v>0</v>
      </c>
      <c r="G770" s="36">
        <f>if(ISNA(vlookup($A770,'Ultimate Draft Kit'!$B$2:$E$201,4, false)), 0, vlookup($A770,'Ultimate Draft Kit'!$B$2:$E$201, 4, false))</f>
        <v>1</v>
      </c>
      <c r="H770" s="36">
        <f>if(ISNA(vlookup($A770, FantasyPro!$B$2:$E$514,4,false)),0,vlookup($A770,FantasyPro!$B$2:$E$514,4,false))</f>
        <v>0</v>
      </c>
      <c r="I770" s="36">
        <f>if(ISNA(vlookup($A770, FFToolbox!$B$2:$E$618, 4, false)), 0, vlookup($A770, FFToolbox!$B$2:$E$618, 4, false))</f>
        <v>0</v>
      </c>
      <c r="J770" s="37">
        <f t="shared" si="1"/>
        <v>0.25</v>
      </c>
      <c r="K770" s="37">
        <f t="shared" si="2"/>
        <v>1</v>
      </c>
    </row>
    <row r="771" hidden="1">
      <c r="A771" s="13" t="s">
        <v>680</v>
      </c>
      <c r="B771" s="34" t="s">
        <v>1061</v>
      </c>
      <c r="C771" s="5" t="s">
        <v>14</v>
      </c>
      <c r="D771" s="5" t="s">
        <v>25</v>
      </c>
      <c r="E771" s="35">
        <f>vlookup(C771,'Team Bye List'!$A$1:$B$33,2,False)</f>
        <v>10</v>
      </c>
      <c r="F771" s="36">
        <f>if(ISNA(vlookup($A771, ESPN!$B$2:$E$1010, 4, false)), 0, vlookup($A771, ESPN!$B$2:$E$1010, 4, false))</f>
        <v>0</v>
      </c>
      <c r="G771" s="36">
        <f>if(ISNA(vlookup($A771,'Ultimate Draft Kit'!$B$2:$E$201,4, false)), 0, vlookup($A771,'Ultimate Draft Kit'!$B$2:$E$201, 4, false))</f>
        <v>0</v>
      </c>
      <c r="H771" s="36">
        <f>if(ISNA(vlookup($A771, FantasyPro!$B$2:$E$514,4,false)),0,vlookup($A771,FantasyPro!$B$2:$E$514,4,false))</f>
        <v>0</v>
      </c>
      <c r="I771" s="36">
        <f>if(ISNA(vlookup($A771, FFToolbox!$B$2:$E$618, 4, false)), 0, vlookup($A771, FFToolbox!$B$2:$E$618, 4, false))</f>
        <v>0</v>
      </c>
      <c r="J771" s="37">
        <f t="shared" si="1"/>
        <v>0</v>
      </c>
      <c r="K771" s="37">
        <f t="shared" si="2"/>
        <v>0</v>
      </c>
    </row>
    <row r="772" hidden="1">
      <c r="A772" s="13" t="s">
        <v>680</v>
      </c>
      <c r="B772" s="34" t="s">
        <v>1061</v>
      </c>
      <c r="C772" s="5" t="s">
        <v>14</v>
      </c>
      <c r="D772" s="5" t="s">
        <v>25</v>
      </c>
      <c r="E772" s="35">
        <f>vlookup(C772,'Team Bye List'!$A$1:$B$33,2,False)</f>
        <v>10</v>
      </c>
      <c r="F772" s="36">
        <f>if(ISNA(vlookup($A772, ESPN!$B$2:$E$1010, 4, false)), 0, vlookup($A772, ESPN!$B$2:$E$1010, 4, false))</f>
        <v>0</v>
      </c>
      <c r="G772" s="36">
        <f>if(ISNA(vlookup($A772,'Ultimate Draft Kit'!$B$2:$E$201,4, false)), 0, vlookup($A772,'Ultimate Draft Kit'!$B$2:$E$201, 4, false))</f>
        <v>0</v>
      </c>
      <c r="H772" s="36">
        <f>if(ISNA(vlookup($A772, FantasyPro!$B$2:$E$514,4,false)),0,vlookup($A772,FantasyPro!$B$2:$E$514,4,false))</f>
        <v>0</v>
      </c>
      <c r="I772" s="36">
        <f>if(ISNA(vlookup($A772, FFToolbox!$B$2:$E$618, 4, false)), 0, vlookup($A772, FFToolbox!$B$2:$E$618, 4, false))</f>
        <v>0</v>
      </c>
      <c r="J772" s="37">
        <f t="shared" si="1"/>
        <v>0</v>
      </c>
      <c r="K772" s="37">
        <f t="shared" si="2"/>
        <v>0</v>
      </c>
    </row>
    <row r="773" hidden="1">
      <c r="A773" s="13" t="s">
        <v>743</v>
      </c>
      <c r="B773" s="34" t="s">
        <v>1061</v>
      </c>
      <c r="C773" s="5" t="s">
        <v>257</v>
      </c>
      <c r="D773" s="5" t="s">
        <v>25</v>
      </c>
      <c r="E773" s="35" t="str">
        <f>vlookup(C773,'Team Bye List'!$A$1:$B$33,2,False)</f>
        <v>#N/A</v>
      </c>
      <c r="F773" s="36">
        <f>if(ISNA(vlookup($A773, ESPN!$B$2:$E$1010, 4, false)), 0, vlookup($A773, ESPN!$B$2:$E$1010, 4, false))</f>
        <v>0</v>
      </c>
      <c r="G773" s="36">
        <f>if(ISNA(vlookup($A773,'Ultimate Draft Kit'!$B$2:$E$201,4, false)), 0, vlookup($A773,'Ultimate Draft Kit'!$B$2:$E$201, 4, false))</f>
        <v>0</v>
      </c>
      <c r="H773" s="36">
        <f>if(ISNA(vlookup($A773, FantasyPro!$B$2:$E$514,4,false)),0,vlookup($A773,FantasyPro!$B$2:$E$514,4,false))</f>
        <v>0</v>
      </c>
      <c r="I773" s="36">
        <f>if(ISNA(vlookup($A773, FFToolbox!$B$2:$E$618, 4, false)), 0, vlookup($A773, FFToolbox!$B$2:$E$618, 4, false))</f>
        <v>0</v>
      </c>
      <c r="J773" s="37">
        <f t="shared" si="1"/>
        <v>0</v>
      </c>
      <c r="K773" s="37">
        <f t="shared" si="2"/>
        <v>0</v>
      </c>
    </row>
    <row r="774" hidden="1">
      <c r="A774" s="13" t="s">
        <v>664</v>
      </c>
      <c r="B774" s="34" t="s">
        <v>1061</v>
      </c>
      <c r="C774" s="5" t="s">
        <v>24</v>
      </c>
      <c r="D774" s="5" t="s">
        <v>25</v>
      </c>
      <c r="E774" s="35">
        <f>vlookup(C774,'Team Bye List'!$A$1:$B$33,2,False)</f>
        <v>6</v>
      </c>
      <c r="F774" s="36">
        <f>if(ISNA(vlookup($A774, ESPN!$B$2:$E$1010, 4, false)), 0, vlookup($A774, ESPN!$B$2:$E$1010, 4, false))</f>
        <v>0</v>
      </c>
      <c r="G774" s="36">
        <f>if(ISNA(vlookup($A774,'Ultimate Draft Kit'!$B$2:$E$201,4, false)), 0, vlookup($A774,'Ultimate Draft Kit'!$B$2:$E$201, 4, false))</f>
        <v>0</v>
      </c>
      <c r="H774" s="36">
        <f>if(ISNA(vlookup($A774, FantasyPro!$B$2:$E$514,4,false)),0,vlookup($A774,FantasyPro!$B$2:$E$514,4,false))</f>
        <v>0</v>
      </c>
      <c r="I774" s="36">
        <f>if(ISNA(vlookup($A774, FFToolbox!$B$2:$E$618, 4, false)), 0, vlookup($A774, FFToolbox!$B$2:$E$618, 4, false))</f>
        <v>0</v>
      </c>
      <c r="J774" s="37">
        <f t="shared" si="1"/>
        <v>0</v>
      </c>
      <c r="K774" s="37">
        <f t="shared" si="2"/>
        <v>0</v>
      </c>
    </row>
    <row r="775" hidden="1">
      <c r="A775" s="13" t="s">
        <v>726</v>
      </c>
      <c r="B775" s="34" t="s">
        <v>1061</v>
      </c>
      <c r="C775" s="5" t="s">
        <v>257</v>
      </c>
      <c r="D775" s="5" t="s">
        <v>25</v>
      </c>
      <c r="E775" s="35" t="str">
        <f>vlookup(C775,'Team Bye List'!$A$1:$B$33,2,False)</f>
        <v>#N/A</v>
      </c>
      <c r="F775" s="36">
        <f>if(ISNA(vlookup($A775, ESPN!$B$2:$E$1010, 4, false)), 0, vlookup($A775, ESPN!$B$2:$E$1010, 4, false))</f>
        <v>0</v>
      </c>
      <c r="G775" s="36">
        <f>if(ISNA(vlookup($A775,'Ultimate Draft Kit'!$B$2:$E$201,4, false)), 0, vlookup($A775,'Ultimate Draft Kit'!$B$2:$E$201, 4, false))</f>
        <v>0</v>
      </c>
      <c r="H775" s="36">
        <f>if(ISNA(vlookup($A775, FantasyPro!$B$2:$E$514,4,false)),0,vlookup($A775,FantasyPro!$B$2:$E$514,4,false))</f>
        <v>0</v>
      </c>
      <c r="I775" s="36">
        <f>if(ISNA(vlookup($A775, FFToolbox!$B$2:$E$618, 4, false)), 0, vlookup($A775, FFToolbox!$B$2:$E$618, 4, false))</f>
        <v>0</v>
      </c>
      <c r="J775" s="37">
        <f t="shared" si="1"/>
        <v>0</v>
      </c>
      <c r="K775" s="37">
        <f t="shared" si="2"/>
        <v>0</v>
      </c>
    </row>
    <row r="776" hidden="1">
      <c r="A776" s="13" t="s">
        <v>726</v>
      </c>
      <c r="B776" s="34" t="s">
        <v>1061</v>
      </c>
      <c r="C776" s="5" t="s">
        <v>257</v>
      </c>
      <c r="D776" s="5" t="s">
        <v>25</v>
      </c>
      <c r="E776" s="35" t="str">
        <f>vlookup(C776,'Team Bye List'!$A$1:$B$33,2,False)</f>
        <v>#N/A</v>
      </c>
      <c r="F776" s="36">
        <f>if(ISNA(vlookup($A776, ESPN!$B$2:$E$1010, 4, false)), 0, vlookup($A776, ESPN!$B$2:$E$1010, 4, false))</f>
        <v>0</v>
      </c>
      <c r="G776" s="36">
        <f>if(ISNA(vlookup($A776,'Ultimate Draft Kit'!$B$2:$E$201,4, false)), 0, vlookup($A776,'Ultimate Draft Kit'!$B$2:$E$201, 4, false))</f>
        <v>0</v>
      </c>
      <c r="H776" s="36">
        <f>if(ISNA(vlookup($A776, FantasyPro!$B$2:$E$514,4,false)),0,vlookup($A776,FantasyPro!$B$2:$E$514,4,false))</f>
        <v>0</v>
      </c>
      <c r="I776" s="36">
        <f>if(ISNA(vlookup($A776, FFToolbox!$B$2:$E$618, 4, false)), 0, vlookup($A776, FFToolbox!$B$2:$E$618, 4, false))</f>
        <v>0</v>
      </c>
      <c r="J776" s="37">
        <f t="shared" si="1"/>
        <v>0</v>
      </c>
      <c r="K776" s="37">
        <f t="shared" si="2"/>
        <v>0</v>
      </c>
    </row>
    <row r="777" hidden="1">
      <c r="A777" s="13" t="s">
        <v>763</v>
      </c>
      <c r="B777" s="34" t="s">
        <v>1061</v>
      </c>
      <c r="C777" s="5" t="s">
        <v>27</v>
      </c>
      <c r="D777" s="5" t="s">
        <v>25</v>
      </c>
      <c r="E777" s="35">
        <f>vlookup(C777,'Team Bye List'!$A$1:$B$33,2,False)</f>
        <v>11</v>
      </c>
      <c r="F777" s="36">
        <f>if(ISNA(vlookup($A777, ESPN!$B$2:$E$1010, 4, false)), 0, vlookup($A777, ESPN!$B$2:$E$1010, 4, false))</f>
        <v>0</v>
      </c>
      <c r="G777" s="36">
        <f>if(ISNA(vlookup($A777,'Ultimate Draft Kit'!$B$2:$E$201,4, false)), 0, vlookup($A777,'Ultimate Draft Kit'!$B$2:$E$201, 4, false))</f>
        <v>0</v>
      </c>
      <c r="H777" s="36">
        <f>if(ISNA(vlookup($A777, FantasyPro!$B$2:$E$514,4,false)),0,vlookup($A777,FantasyPro!$B$2:$E$514,4,false))</f>
        <v>0</v>
      </c>
      <c r="I777" s="36">
        <f>if(ISNA(vlookup($A777, FFToolbox!$B$2:$E$618, 4, false)), 0, vlookup($A777, FFToolbox!$B$2:$E$618, 4, false))</f>
        <v>0</v>
      </c>
      <c r="J777" s="37">
        <f t="shared" si="1"/>
        <v>0</v>
      </c>
      <c r="K777" s="37">
        <f t="shared" si="2"/>
        <v>0</v>
      </c>
    </row>
    <row r="778" hidden="1">
      <c r="A778" s="13" t="s">
        <v>665</v>
      </c>
      <c r="B778" s="34" t="s">
        <v>1061</v>
      </c>
      <c r="C778" s="5" t="s">
        <v>77</v>
      </c>
      <c r="D778" s="5" t="s">
        <v>25</v>
      </c>
      <c r="E778" s="35">
        <f>vlookup(C778,'Team Bye List'!$A$1:$B$33,2,False)</f>
        <v>11</v>
      </c>
      <c r="F778" s="36">
        <f>if(ISNA(vlookup($A778, ESPN!$B$2:$E$1010, 4, false)), 0, vlookup($A778, ESPN!$B$2:$E$1010, 4, false))</f>
        <v>0</v>
      </c>
      <c r="G778" s="36">
        <f>if(ISNA(vlookup($A778,'Ultimate Draft Kit'!$B$2:$E$201,4, false)), 0, vlookup($A778,'Ultimate Draft Kit'!$B$2:$E$201, 4, false))</f>
        <v>0</v>
      </c>
      <c r="H778" s="36">
        <f>if(ISNA(vlookup($A778, FantasyPro!$B$2:$E$514,4,false)),0,vlookup($A778,FantasyPro!$B$2:$E$514,4,false))</f>
        <v>0</v>
      </c>
      <c r="I778" s="36">
        <f>if(ISNA(vlookup($A778, FFToolbox!$B$2:$E$618, 4, false)), 0, vlookup($A778, FFToolbox!$B$2:$E$618, 4, false))</f>
        <v>0</v>
      </c>
      <c r="J778" s="37">
        <f t="shared" si="1"/>
        <v>0</v>
      </c>
      <c r="K778" s="37">
        <f t="shared" si="2"/>
        <v>0</v>
      </c>
    </row>
    <row r="779" hidden="1">
      <c r="A779" s="13" t="s">
        <v>630</v>
      </c>
      <c r="B779" s="34" t="s">
        <v>1061</v>
      </c>
      <c r="C779" s="5" t="s">
        <v>69</v>
      </c>
      <c r="D779" s="5" t="s">
        <v>25</v>
      </c>
      <c r="E779" s="35">
        <f>vlookup(C779,'Team Bye List'!$A$1:$B$33,2,False)</f>
        <v>5</v>
      </c>
      <c r="F779" s="36">
        <f>if(ISNA(vlookup($A779, ESPN!$B$2:$E$1010, 4, false)), 0, vlookup($A779, ESPN!$B$2:$E$1010, 4, false))</f>
        <v>0</v>
      </c>
      <c r="G779" s="36">
        <f>if(ISNA(vlookup($A779,'Ultimate Draft Kit'!$B$2:$E$201,4, false)), 0, vlookup($A779,'Ultimate Draft Kit'!$B$2:$E$201, 4, false))</f>
        <v>0</v>
      </c>
      <c r="H779" s="36">
        <f>if(ISNA(vlookup($A779, FantasyPro!$B$2:$E$514,4,false)),0,vlookup($A779,FantasyPro!$B$2:$E$514,4,false))</f>
        <v>0</v>
      </c>
      <c r="I779" s="36">
        <f>if(ISNA(vlookup($A779, FFToolbox!$B$2:$E$618, 4, false)), 0, vlookup($A779, FFToolbox!$B$2:$E$618, 4, false))</f>
        <v>0</v>
      </c>
      <c r="J779" s="37">
        <f t="shared" si="1"/>
        <v>0</v>
      </c>
      <c r="K779" s="37">
        <f t="shared" si="2"/>
        <v>0</v>
      </c>
    </row>
    <row r="780" hidden="1">
      <c r="A780" s="13" t="s">
        <v>609</v>
      </c>
      <c r="B780" s="34" t="s">
        <v>1061</v>
      </c>
      <c r="C780" s="5" t="s">
        <v>6</v>
      </c>
      <c r="D780" s="5" t="s">
        <v>25</v>
      </c>
      <c r="E780" s="35">
        <f>vlookup(C780,'Team Bye List'!$A$1:$B$33,2,False)</f>
        <v>12</v>
      </c>
      <c r="F780" s="36">
        <f>if(ISNA(vlookup($A780, ESPN!$B$2:$E$1010, 4, false)), 0, vlookup($A780, ESPN!$B$2:$E$1010, 4, false))</f>
        <v>0</v>
      </c>
      <c r="G780" s="36">
        <f>if(ISNA(vlookup($A780,'Ultimate Draft Kit'!$B$2:$E$201,4, false)), 0, vlookup($A780,'Ultimate Draft Kit'!$B$2:$E$201, 4, false))</f>
        <v>0</v>
      </c>
      <c r="H780" s="36">
        <f>if(ISNA(vlookup($A780, FantasyPro!$B$2:$E$514,4,false)),0,vlookup($A780,FantasyPro!$B$2:$E$514,4,false))</f>
        <v>0</v>
      </c>
      <c r="I780" s="36">
        <f>if(ISNA(vlookup($A780, FFToolbox!$B$2:$E$618, 4, false)), 0, vlookup($A780, FFToolbox!$B$2:$E$618, 4, false))</f>
        <v>0</v>
      </c>
      <c r="J780" s="37">
        <f t="shared" si="1"/>
        <v>0</v>
      </c>
      <c r="K780" s="37">
        <f t="shared" si="2"/>
        <v>0</v>
      </c>
    </row>
    <row r="781" hidden="1">
      <c r="A781" s="13" t="s">
        <v>1092</v>
      </c>
      <c r="B781" s="34" t="s">
        <v>1061</v>
      </c>
      <c r="C781" s="5" t="s">
        <v>24</v>
      </c>
      <c r="D781" s="5" t="s">
        <v>25</v>
      </c>
      <c r="E781" s="35">
        <f>vlookup(C781,'Team Bye List'!$A$1:$B$33,2,False)</f>
        <v>6</v>
      </c>
      <c r="F781" s="36">
        <f>if(ISNA(vlookup($A781, ESPN!$B$2:$E$1010, 4, false)), 0, vlookup($A781, ESPN!$B$2:$E$1010, 4, false))</f>
        <v>0</v>
      </c>
      <c r="G781" s="36">
        <f>if(ISNA(vlookup($A781,'Ultimate Draft Kit'!$B$2:$E$201,4, false)), 0, vlookup($A781,'Ultimate Draft Kit'!$B$2:$E$201, 4, false))</f>
        <v>0</v>
      </c>
      <c r="H781" s="36">
        <f>if(ISNA(vlookup($A781, FantasyPro!$B$2:$E$514,4,false)),0,vlookup($A781,FantasyPro!$B$2:$E$514,4,false))</f>
        <v>0</v>
      </c>
      <c r="I781" s="36">
        <f>if(ISNA(vlookup($A781, FFToolbox!$B$2:$E$618, 4, false)), 0, vlookup($A781, FFToolbox!$B$2:$E$618, 4, false))</f>
        <v>0</v>
      </c>
      <c r="J781" s="37">
        <f t="shared" si="1"/>
        <v>0</v>
      </c>
      <c r="K781" s="37">
        <f t="shared" si="2"/>
        <v>0</v>
      </c>
    </row>
    <row r="782" hidden="1">
      <c r="A782" s="13" t="s">
        <v>606</v>
      </c>
      <c r="B782" s="34" t="s">
        <v>1061</v>
      </c>
      <c r="C782" s="5" t="s">
        <v>54</v>
      </c>
      <c r="D782" s="5" t="s">
        <v>25</v>
      </c>
      <c r="E782" s="35">
        <f>vlookup(C782,'Team Bye List'!$A$1:$B$33,2,False)</f>
        <v>9</v>
      </c>
      <c r="F782" s="36">
        <f>if(ISNA(vlookup($A782, ESPN!$B$2:$E$1010, 4, false)), 0, vlookup($A782, ESPN!$B$2:$E$1010, 4, false))</f>
        <v>0</v>
      </c>
      <c r="G782" s="36">
        <f>if(ISNA(vlookup($A782,'Ultimate Draft Kit'!$B$2:$E$201,4, false)), 0, vlookup($A782,'Ultimate Draft Kit'!$B$2:$E$201, 4, false))</f>
        <v>0</v>
      </c>
      <c r="H782" s="36">
        <f>if(ISNA(vlookup($A782, FantasyPro!$B$2:$E$514,4,false)),0,vlookup($A782,FantasyPro!$B$2:$E$514,4,false))</f>
        <v>0</v>
      </c>
      <c r="I782" s="36">
        <f>if(ISNA(vlookup($A782, FFToolbox!$B$2:$E$618, 4, false)), 0, vlookup($A782, FFToolbox!$B$2:$E$618, 4, false))</f>
        <v>0</v>
      </c>
      <c r="J782" s="37">
        <f t="shared" si="1"/>
        <v>0</v>
      </c>
      <c r="K782" s="37">
        <f t="shared" si="2"/>
        <v>0</v>
      </c>
    </row>
    <row r="783" hidden="1">
      <c r="A783" s="13" t="s">
        <v>605</v>
      </c>
      <c r="B783" s="34" t="s">
        <v>1061</v>
      </c>
      <c r="C783" s="5" t="s">
        <v>104</v>
      </c>
      <c r="D783" s="5" t="s">
        <v>25</v>
      </c>
      <c r="E783" s="35">
        <f>vlookup(C783,'Team Bye List'!$A$1:$B$33,2,False)</f>
        <v>7</v>
      </c>
      <c r="F783" s="36">
        <f>if(ISNA(vlookup($A783, ESPN!$B$2:$E$1010, 4, false)), 0, vlookup($A783, ESPN!$B$2:$E$1010, 4, false))</f>
        <v>0</v>
      </c>
      <c r="G783" s="36">
        <f>if(ISNA(vlookup($A783,'Ultimate Draft Kit'!$B$2:$E$201,4, false)), 0, vlookup($A783,'Ultimate Draft Kit'!$B$2:$E$201, 4, false))</f>
        <v>0</v>
      </c>
      <c r="H783" s="36">
        <f>if(ISNA(vlookup($A783, FantasyPro!$B$2:$E$514,4,false)),0,vlookup($A783,FantasyPro!$B$2:$E$514,4,false))</f>
        <v>0</v>
      </c>
      <c r="I783" s="36">
        <f>if(ISNA(vlookup($A783, FFToolbox!$B$2:$E$618, 4, false)), 0, vlookup($A783, FFToolbox!$B$2:$E$618, 4, false))</f>
        <v>0</v>
      </c>
      <c r="J783" s="37">
        <f t="shared" si="1"/>
        <v>0</v>
      </c>
      <c r="K783" s="37">
        <f t="shared" si="2"/>
        <v>0</v>
      </c>
    </row>
    <row r="784" hidden="1">
      <c r="A784" s="13" t="s">
        <v>602</v>
      </c>
      <c r="B784" s="34" t="s">
        <v>1061</v>
      </c>
      <c r="C784" s="5" t="s">
        <v>6</v>
      </c>
      <c r="D784" s="5" t="s">
        <v>7</v>
      </c>
      <c r="E784" s="35">
        <f>vlookup(C784,'Team Bye List'!$A$1:$B$33,2,False)</f>
        <v>12</v>
      </c>
      <c r="F784" s="36">
        <f>if(ISNA(vlookup($A784, ESPN!$B$2:$E$1010, 4, false)), 0, vlookup($A784, ESPN!$B$2:$E$1010, 4, false))</f>
        <v>0</v>
      </c>
      <c r="G784" s="36">
        <f>if(ISNA(vlookup($A784,'Ultimate Draft Kit'!$B$2:$E$201,4, false)), 0, vlookup($A784,'Ultimate Draft Kit'!$B$2:$E$201, 4, false))</f>
        <v>0</v>
      </c>
      <c r="H784" s="36">
        <f>if(ISNA(vlookup($A784, FantasyPro!$B$2:$E$514,4,false)),0,vlookup($A784,FantasyPro!$B$2:$E$514,4,false))</f>
        <v>0</v>
      </c>
      <c r="I784" s="36">
        <f>if(ISNA(vlookup($A784, FFToolbox!$B$2:$E$618, 4, false)), 0, vlookup($A784, FFToolbox!$B$2:$E$618, 4, false))</f>
        <v>0</v>
      </c>
      <c r="J784" s="37">
        <f t="shared" si="1"/>
        <v>0</v>
      </c>
      <c r="K784" s="37">
        <f t="shared" si="2"/>
        <v>0</v>
      </c>
    </row>
    <row r="785" hidden="1">
      <c r="A785" s="13" t="s">
        <v>594</v>
      </c>
      <c r="B785" s="34" t="s">
        <v>1061</v>
      </c>
      <c r="C785" s="5" t="s">
        <v>48</v>
      </c>
      <c r="D785" s="5" t="s">
        <v>25</v>
      </c>
      <c r="E785" s="35">
        <f>vlookup(C785,'Team Bye List'!$A$1:$B$33,2,False)</f>
        <v>11</v>
      </c>
      <c r="F785" s="36">
        <f>if(ISNA(vlookup($A785, ESPN!$B$2:$E$1010, 4, false)), 0, vlookup($A785, ESPN!$B$2:$E$1010, 4, false))</f>
        <v>0</v>
      </c>
      <c r="G785" s="36">
        <f>if(ISNA(vlookup($A785,'Ultimate Draft Kit'!$B$2:$E$201,4, false)), 0, vlookup($A785,'Ultimate Draft Kit'!$B$2:$E$201, 4, false))</f>
        <v>0</v>
      </c>
      <c r="H785" s="36">
        <f>if(ISNA(vlookup($A785, FantasyPro!$B$2:$E$514,4,false)),0,vlookup($A785,FantasyPro!$B$2:$E$514,4,false))</f>
        <v>0</v>
      </c>
      <c r="I785" s="36">
        <f>if(ISNA(vlookup($A785, FFToolbox!$B$2:$E$618, 4, false)), 0, vlookup($A785, FFToolbox!$B$2:$E$618, 4, false))</f>
        <v>0</v>
      </c>
      <c r="J785" s="37">
        <f t="shared" si="1"/>
        <v>0</v>
      </c>
      <c r="K785" s="37">
        <f t="shared" si="2"/>
        <v>0</v>
      </c>
    </row>
    <row r="786" hidden="1">
      <c r="A786" s="13" t="s">
        <v>601</v>
      </c>
      <c r="B786" s="34" t="s">
        <v>1061</v>
      </c>
      <c r="C786" s="5" t="s">
        <v>104</v>
      </c>
      <c r="D786" s="5" t="s">
        <v>25</v>
      </c>
      <c r="E786" s="35">
        <f>vlookup(C786,'Team Bye List'!$A$1:$B$33,2,False)</f>
        <v>7</v>
      </c>
      <c r="F786" s="36">
        <f>if(ISNA(vlookup($A786, ESPN!$B$2:$E$1010, 4, false)), 0, vlookup($A786, ESPN!$B$2:$E$1010, 4, false))</f>
        <v>0</v>
      </c>
      <c r="G786" s="36">
        <f>if(ISNA(vlookup($A786,'Ultimate Draft Kit'!$B$2:$E$201,4, false)), 0, vlookup($A786,'Ultimate Draft Kit'!$B$2:$E$201, 4, false))</f>
        <v>0</v>
      </c>
      <c r="H786" s="36">
        <f>if(ISNA(vlookup($A786, FantasyPro!$B$2:$E$514,4,false)),0,vlookup($A786,FantasyPro!$B$2:$E$514,4,false))</f>
        <v>0</v>
      </c>
      <c r="I786" s="36">
        <f>if(ISNA(vlookup($A786, FFToolbox!$B$2:$E$618, 4, false)), 0, vlookup($A786, FFToolbox!$B$2:$E$618, 4, false))</f>
        <v>0</v>
      </c>
      <c r="J786" s="37">
        <f t="shared" si="1"/>
        <v>0</v>
      </c>
      <c r="K786" s="37">
        <f t="shared" si="2"/>
        <v>0</v>
      </c>
    </row>
    <row r="787" hidden="1">
      <c r="A787" s="13" t="s">
        <v>599</v>
      </c>
      <c r="B787" s="34" t="s">
        <v>1061</v>
      </c>
      <c r="C787" s="5" t="s">
        <v>63</v>
      </c>
      <c r="D787" s="5" t="s">
        <v>25</v>
      </c>
      <c r="E787" s="35">
        <f>vlookup(C787,'Team Bye List'!$A$1:$B$33,2,False)</f>
        <v>8</v>
      </c>
      <c r="F787" s="36">
        <f>if(ISNA(vlookup($A787, ESPN!$B$2:$E$1010, 4, false)), 0, vlookup($A787, ESPN!$B$2:$E$1010, 4, false))</f>
        <v>0</v>
      </c>
      <c r="G787" s="36">
        <f>if(ISNA(vlookup($A787,'Ultimate Draft Kit'!$B$2:$E$201,4, false)), 0, vlookup($A787,'Ultimate Draft Kit'!$B$2:$E$201, 4, false))</f>
        <v>0</v>
      </c>
      <c r="H787" s="36">
        <f>if(ISNA(vlookup($A787, FantasyPro!$B$2:$E$514,4,false)),0,vlookup($A787,FantasyPro!$B$2:$E$514,4,false))</f>
        <v>0</v>
      </c>
      <c r="I787" s="36">
        <f>if(ISNA(vlookup($A787, FFToolbox!$B$2:$E$618, 4, false)), 0, vlookup($A787, FFToolbox!$B$2:$E$618, 4, false))</f>
        <v>0</v>
      </c>
      <c r="J787" s="37">
        <f t="shared" si="1"/>
        <v>0</v>
      </c>
      <c r="K787" s="37">
        <f t="shared" si="2"/>
        <v>0</v>
      </c>
    </row>
    <row r="788" hidden="1">
      <c r="A788" s="13" t="s">
        <v>595</v>
      </c>
      <c r="B788" s="34" t="s">
        <v>1061</v>
      </c>
      <c r="C788" s="5" t="s">
        <v>59</v>
      </c>
      <c r="D788" s="5" t="s">
        <v>25</v>
      </c>
      <c r="E788" s="35">
        <f>vlookup(C788,'Team Bye List'!$A$1:$B$33,2,False)</f>
        <v>8</v>
      </c>
      <c r="F788" s="36">
        <f>if(ISNA(vlookup($A788, ESPN!$B$2:$E$1010, 4, false)), 0, vlookup($A788, ESPN!$B$2:$E$1010, 4, false))</f>
        <v>0</v>
      </c>
      <c r="G788" s="36">
        <f>if(ISNA(vlookup($A788,'Ultimate Draft Kit'!$B$2:$E$201,4, false)), 0, vlookup($A788,'Ultimate Draft Kit'!$B$2:$E$201, 4, false))</f>
        <v>0</v>
      </c>
      <c r="H788" s="36">
        <f>if(ISNA(vlookup($A788, FantasyPro!$B$2:$E$514,4,false)),0,vlookup($A788,FantasyPro!$B$2:$E$514,4,false))</f>
        <v>0</v>
      </c>
      <c r="I788" s="36">
        <f>if(ISNA(vlookup($A788, FFToolbox!$B$2:$E$618, 4, false)), 0, vlookup($A788, FFToolbox!$B$2:$E$618, 4, false))</f>
        <v>0</v>
      </c>
      <c r="J788" s="37">
        <f t="shared" si="1"/>
        <v>0</v>
      </c>
      <c r="K788" s="37">
        <f t="shared" si="2"/>
        <v>0</v>
      </c>
    </row>
    <row r="789" hidden="1">
      <c r="A789" s="13" t="s">
        <v>1093</v>
      </c>
      <c r="B789" s="34" t="s">
        <v>1061</v>
      </c>
      <c r="C789" s="5" t="s">
        <v>257</v>
      </c>
      <c r="D789" s="5" t="s">
        <v>7</v>
      </c>
      <c r="E789" s="35" t="str">
        <f>vlookup(C789,'Team Bye List'!$A$1:$B$33,2,False)</f>
        <v>#N/A</v>
      </c>
      <c r="F789" s="36">
        <f>if(ISNA(vlookup($A789, ESPN!$B$2:$E$1010, 4, false)), 0, vlookup($A789, ESPN!$B$2:$E$1010, 4, false))</f>
        <v>0</v>
      </c>
      <c r="G789" s="36">
        <f>if(ISNA(vlookup($A789,'Ultimate Draft Kit'!$B$2:$E$201,4, false)), 0, vlookup($A789,'Ultimate Draft Kit'!$B$2:$E$201, 4, false))</f>
        <v>0</v>
      </c>
      <c r="H789" s="36">
        <f>if(ISNA(vlookup($A789, FantasyPro!$B$2:$E$514,4,false)),0,vlookup($A789,FantasyPro!$B$2:$E$514,4,false))</f>
        <v>0</v>
      </c>
      <c r="I789" s="36">
        <f>if(ISNA(vlookup($A789, FFToolbox!$B$2:$E$618, 4, false)), 0, vlookup($A789, FFToolbox!$B$2:$E$618, 4, false))</f>
        <v>0</v>
      </c>
      <c r="J789" s="37">
        <f t="shared" si="1"/>
        <v>0</v>
      </c>
      <c r="K789" s="37">
        <f t="shared" si="2"/>
        <v>0</v>
      </c>
    </row>
    <row r="790" hidden="1">
      <c r="A790" s="13" t="s">
        <v>586</v>
      </c>
      <c r="B790" s="34" t="s">
        <v>1061</v>
      </c>
      <c r="C790" s="5" t="s">
        <v>61</v>
      </c>
      <c r="D790" s="5" t="s">
        <v>25</v>
      </c>
      <c r="E790" s="35">
        <f>vlookup(C790,'Team Bye List'!$A$1:$B$33,2,False)</f>
        <v>9</v>
      </c>
      <c r="F790" s="36">
        <f>if(ISNA(vlookup($A790, ESPN!$B$2:$E$1010, 4, false)), 0, vlookup($A790, ESPN!$B$2:$E$1010, 4, false))</f>
        <v>0</v>
      </c>
      <c r="G790" s="36">
        <f>if(ISNA(vlookup($A790,'Ultimate Draft Kit'!$B$2:$E$201,4, false)), 0, vlookup($A790,'Ultimate Draft Kit'!$B$2:$E$201, 4, false))</f>
        <v>0</v>
      </c>
      <c r="H790" s="36">
        <f>if(ISNA(vlookup($A790, FantasyPro!$B$2:$E$514,4,false)),0,vlookup($A790,FantasyPro!$B$2:$E$514,4,false))</f>
        <v>0</v>
      </c>
      <c r="I790" s="36">
        <f>if(ISNA(vlookup($A790, FFToolbox!$B$2:$E$618, 4, false)), 0, vlookup($A790, FFToolbox!$B$2:$E$618, 4, false))</f>
        <v>0</v>
      </c>
      <c r="J790" s="37">
        <f t="shared" si="1"/>
        <v>0</v>
      </c>
      <c r="K790" s="37">
        <f t="shared" si="2"/>
        <v>0</v>
      </c>
    </row>
    <row r="791" hidden="1">
      <c r="A791" s="13" t="s">
        <v>579</v>
      </c>
      <c r="B791" s="34" t="s">
        <v>1061</v>
      </c>
      <c r="C791" s="5" t="s">
        <v>22</v>
      </c>
      <c r="D791" s="5" t="s">
        <v>25</v>
      </c>
      <c r="E791" s="35">
        <f>vlookup(C791,'Team Bye List'!$A$1:$B$33,2,False)</f>
        <v>7</v>
      </c>
      <c r="F791" s="36">
        <f>if(ISNA(vlookup($A791, ESPN!$B$2:$E$1010, 4, false)), 0, vlookup($A791, ESPN!$B$2:$E$1010, 4, false))</f>
        <v>0</v>
      </c>
      <c r="G791" s="36">
        <f>if(ISNA(vlookup($A791,'Ultimate Draft Kit'!$B$2:$E$201,4, false)), 0, vlookup($A791,'Ultimate Draft Kit'!$B$2:$E$201, 4, false))</f>
        <v>0</v>
      </c>
      <c r="H791" s="36">
        <f>if(ISNA(vlookup($A791, FantasyPro!$B$2:$E$514,4,false)),0,vlookup($A791,FantasyPro!$B$2:$E$514,4,false))</f>
        <v>0</v>
      </c>
      <c r="I791" s="36">
        <f>if(ISNA(vlookup($A791, FFToolbox!$B$2:$E$618, 4, false)), 0, vlookup($A791, FFToolbox!$B$2:$E$618, 4, false))</f>
        <v>0</v>
      </c>
      <c r="J791" s="37">
        <f t="shared" si="1"/>
        <v>0</v>
      </c>
      <c r="K791" s="37">
        <f t="shared" si="2"/>
        <v>0</v>
      </c>
    </row>
    <row r="792" hidden="1">
      <c r="A792" s="13" t="s">
        <v>588</v>
      </c>
      <c r="B792" s="34" t="s">
        <v>1061</v>
      </c>
      <c r="C792" s="5" t="s">
        <v>12</v>
      </c>
      <c r="D792" s="5" t="s">
        <v>25</v>
      </c>
      <c r="E792" s="35">
        <f>vlookup(C792,'Team Bye List'!$A$1:$B$33,2,False)</f>
        <v>8</v>
      </c>
      <c r="F792" s="36">
        <f>if(ISNA(vlookup($A792, ESPN!$B$2:$E$1010, 4, false)), 0, vlookup($A792, ESPN!$B$2:$E$1010, 4, false))</f>
        <v>0</v>
      </c>
      <c r="G792" s="36">
        <f>if(ISNA(vlookup($A792,'Ultimate Draft Kit'!$B$2:$E$201,4, false)), 0, vlookup($A792,'Ultimate Draft Kit'!$B$2:$E$201, 4, false))</f>
        <v>0</v>
      </c>
      <c r="H792" s="36">
        <f>if(ISNA(vlookup($A792, FantasyPro!$B$2:$E$514,4,false)),0,vlookup($A792,FantasyPro!$B$2:$E$514,4,false))</f>
        <v>0</v>
      </c>
      <c r="I792" s="36">
        <f>if(ISNA(vlookup($A792, FFToolbox!$B$2:$E$618, 4, false)), 0, vlookup($A792, FFToolbox!$B$2:$E$618, 4, false))</f>
        <v>0</v>
      </c>
      <c r="J792" s="37">
        <f t="shared" si="1"/>
        <v>0</v>
      </c>
      <c r="K792" s="37">
        <f t="shared" si="2"/>
        <v>0</v>
      </c>
    </row>
    <row r="793" hidden="1">
      <c r="A793" s="13" t="s">
        <v>578</v>
      </c>
      <c r="B793" s="34" t="s">
        <v>1061</v>
      </c>
      <c r="C793" s="5" t="s">
        <v>74</v>
      </c>
      <c r="D793" s="5" t="s">
        <v>25</v>
      </c>
      <c r="E793" s="35">
        <f>vlookup(C793,'Team Bye List'!$A$1:$B$33,2,False)</f>
        <v>7</v>
      </c>
      <c r="F793" s="36">
        <f>if(ISNA(vlookup($A793, ESPN!$B$2:$E$1010, 4, false)), 0, vlookup($A793, ESPN!$B$2:$E$1010, 4, false))</f>
        <v>0</v>
      </c>
      <c r="G793" s="36">
        <f>if(ISNA(vlookup($A793,'Ultimate Draft Kit'!$B$2:$E$201,4, false)), 0, vlookup($A793,'Ultimate Draft Kit'!$B$2:$E$201, 4, false))</f>
        <v>0</v>
      </c>
      <c r="H793" s="36">
        <f>if(ISNA(vlookup($A793, FantasyPro!$B$2:$E$514,4,false)),0,vlookup($A793,FantasyPro!$B$2:$E$514,4,false))</f>
        <v>0</v>
      </c>
      <c r="I793" s="36">
        <f>if(ISNA(vlookup($A793, FFToolbox!$B$2:$E$618, 4, false)), 0, vlookup($A793, FFToolbox!$B$2:$E$618, 4, false))</f>
        <v>0</v>
      </c>
      <c r="J793" s="37">
        <f t="shared" si="1"/>
        <v>0</v>
      </c>
      <c r="K793" s="37">
        <f t="shared" si="2"/>
        <v>0</v>
      </c>
    </row>
    <row r="794" hidden="1">
      <c r="A794" s="13" t="s">
        <v>1002</v>
      </c>
      <c r="B794" s="34" t="s">
        <v>1061</v>
      </c>
      <c r="C794" s="5" t="s">
        <v>257</v>
      </c>
      <c r="D794" s="5" t="s">
        <v>10</v>
      </c>
      <c r="E794" s="35" t="str">
        <f>vlookup(C794,'Team Bye List'!$A$1:$B$33,2,False)</f>
        <v>#N/A</v>
      </c>
      <c r="F794" s="36">
        <f>if(ISNA(vlookup($A794, ESPN!$B$2:$E$1010, 4, false)), 0, vlookup($A794, ESPN!$B$2:$E$1010, 4, false))</f>
        <v>0</v>
      </c>
      <c r="G794" s="36">
        <f>if(ISNA(vlookup($A794,'Ultimate Draft Kit'!$B$2:$E$201,4, false)), 0, vlookup($A794,'Ultimate Draft Kit'!$B$2:$E$201, 4, false))</f>
        <v>0</v>
      </c>
      <c r="H794" s="36">
        <f>if(ISNA(vlookup($A794, FantasyPro!$B$2:$E$514,4,false)),0,vlookup($A794,FantasyPro!$B$2:$E$514,4,false))</f>
        <v>0</v>
      </c>
      <c r="I794" s="36">
        <f>if(ISNA(vlookup($A794, FFToolbox!$B$2:$E$618, 4, false)), 0, vlookup($A794, FFToolbox!$B$2:$E$618, 4, false))</f>
        <v>0</v>
      </c>
      <c r="J794" s="37">
        <f t="shared" si="1"/>
        <v>0</v>
      </c>
      <c r="K794" s="37">
        <f t="shared" si="2"/>
        <v>0</v>
      </c>
    </row>
    <row r="795" hidden="1">
      <c r="A795" s="13" t="s">
        <v>581</v>
      </c>
      <c r="B795" s="34" t="s">
        <v>1061</v>
      </c>
      <c r="C795" s="5" t="s">
        <v>69</v>
      </c>
      <c r="D795" s="5" t="s">
        <v>25</v>
      </c>
      <c r="E795" s="35">
        <f>vlookup(C795,'Team Bye List'!$A$1:$B$33,2,False)</f>
        <v>5</v>
      </c>
      <c r="F795" s="36">
        <f>if(ISNA(vlookup($A795, ESPN!$B$2:$E$1010, 4, false)), 0, vlookup($A795, ESPN!$B$2:$E$1010, 4, false))</f>
        <v>0</v>
      </c>
      <c r="G795" s="36">
        <f>if(ISNA(vlookup($A795,'Ultimate Draft Kit'!$B$2:$E$201,4, false)), 0, vlookup($A795,'Ultimate Draft Kit'!$B$2:$E$201, 4, false))</f>
        <v>0</v>
      </c>
      <c r="H795" s="36">
        <f>if(ISNA(vlookup($A795, FantasyPro!$B$2:$E$514,4,false)),0,vlookup($A795,FantasyPro!$B$2:$E$514,4,false))</f>
        <v>0</v>
      </c>
      <c r="I795" s="36">
        <f>if(ISNA(vlookup($A795, FFToolbox!$B$2:$E$618, 4, false)), 0, vlookup($A795, FFToolbox!$B$2:$E$618, 4, false))</f>
        <v>0</v>
      </c>
      <c r="J795" s="37">
        <f t="shared" si="1"/>
        <v>0</v>
      </c>
      <c r="K795" s="37">
        <f t="shared" si="2"/>
        <v>0</v>
      </c>
    </row>
    <row r="796" hidden="1">
      <c r="A796" s="13" t="s">
        <v>580</v>
      </c>
      <c r="B796" s="34" t="s">
        <v>1061</v>
      </c>
      <c r="C796" s="5" t="s">
        <v>20</v>
      </c>
      <c r="D796" s="5" t="s">
        <v>25</v>
      </c>
      <c r="E796" s="35">
        <f>vlookup(C796,'Team Bye List'!$A$1:$B$33,2,False)</f>
        <v>8</v>
      </c>
      <c r="F796" s="36">
        <f>if(ISNA(vlookup($A796, ESPN!$B$2:$E$1010, 4, false)), 0, vlookup($A796, ESPN!$B$2:$E$1010, 4, false))</f>
        <v>0</v>
      </c>
      <c r="G796" s="36">
        <f>if(ISNA(vlookup($A796,'Ultimate Draft Kit'!$B$2:$E$201,4, false)), 0, vlookup($A796,'Ultimate Draft Kit'!$B$2:$E$201, 4, false))</f>
        <v>0</v>
      </c>
      <c r="H796" s="36">
        <f>if(ISNA(vlookup($A796, FantasyPro!$B$2:$E$514,4,false)),0,vlookup($A796,FantasyPro!$B$2:$E$514,4,false))</f>
        <v>0</v>
      </c>
      <c r="I796" s="36">
        <f>if(ISNA(vlookup($A796, FFToolbox!$B$2:$E$618, 4, false)), 0, vlookup($A796, FFToolbox!$B$2:$E$618, 4, false))</f>
        <v>0</v>
      </c>
      <c r="J796" s="37">
        <f t="shared" si="1"/>
        <v>0</v>
      </c>
      <c r="K796" s="37">
        <f t="shared" si="2"/>
        <v>0</v>
      </c>
    </row>
    <row r="797" hidden="1">
      <c r="A797" s="13" t="s">
        <v>577</v>
      </c>
      <c r="B797" s="34" t="s">
        <v>1061</v>
      </c>
      <c r="C797" s="5" t="s">
        <v>12</v>
      </c>
      <c r="D797" s="5" t="s">
        <v>25</v>
      </c>
      <c r="E797" s="35">
        <f>vlookup(C797,'Team Bye List'!$A$1:$B$33,2,False)</f>
        <v>8</v>
      </c>
      <c r="F797" s="36">
        <f>if(ISNA(vlookup($A797, ESPN!$B$2:$E$1010, 4, false)), 0, vlookup($A797, ESPN!$B$2:$E$1010, 4, false))</f>
        <v>0</v>
      </c>
      <c r="G797" s="36">
        <f>if(ISNA(vlookup($A797,'Ultimate Draft Kit'!$B$2:$E$201,4, false)), 0, vlookup($A797,'Ultimate Draft Kit'!$B$2:$E$201, 4, false))</f>
        <v>0</v>
      </c>
      <c r="H797" s="36">
        <f>if(ISNA(vlookup($A797, FantasyPro!$B$2:$E$514,4,false)),0,vlookup($A797,FantasyPro!$B$2:$E$514,4,false))</f>
        <v>0</v>
      </c>
      <c r="I797" s="36">
        <f>if(ISNA(vlookup($A797, FFToolbox!$B$2:$E$618, 4, false)), 0, vlookup($A797, FFToolbox!$B$2:$E$618, 4, false))</f>
        <v>0</v>
      </c>
      <c r="J797" s="37">
        <f t="shared" si="1"/>
        <v>0</v>
      </c>
      <c r="K797" s="37">
        <f t="shared" si="2"/>
        <v>0</v>
      </c>
    </row>
    <row r="798" hidden="1">
      <c r="A798" s="13" t="s">
        <v>593</v>
      </c>
      <c r="B798" s="34" t="s">
        <v>1061</v>
      </c>
      <c r="C798" s="5" t="s">
        <v>96</v>
      </c>
      <c r="D798" s="5" t="s">
        <v>25</v>
      </c>
      <c r="E798" s="35">
        <f>vlookup(C798,'Team Bye List'!$A$1:$B$33,2,False)</f>
        <v>10</v>
      </c>
      <c r="F798" s="36">
        <f>if(ISNA(vlookup($A798, ESPN!$B$2:$E$1010, 4, false)), 0, vlookup($A798, ESPN!$B$2:$E$1010, 4, false))</f>
        <v>0</v>
      </c>
      <c r="G798" s="36">
        <f>if(ISNA(vlookup($A798,'Ultimate Draft Kit'!$B$2:$E$201,4, false)), 0, vlookup($A798,'Ultimate Draft Kit'!$B$2:$E$201, 4, false))</f>
        <v>0</v>
      </c>
      <c r="H798" s="36">
        <f>if(ISNA(vlookup($A798, FantasyPro!$B$2:$E$514,4,false)),0,vlookup($A798,FantasyPro!$B$2:$E$514,4,false))</f>
        <v>0</v>
      </c>
      <c r="I798" s="36">
        <f>if(ISNA(vlookup($A798, FFToolbox!$B$2:$E$618, 4, false)), 0, vlookup($A798, FFToolbox!$B$2:$E$618, 4, false))</f>
        <v>0</v>
      </c>
      <c r="J798" s="37">
        <f t="shared" si="1"/>
        <v>0</v>
      </c>
      <c r="K798" s="37">
        <f t="shared" si="2"/>
        <v>0</v>
      </c>
    </row>
    <row r="799" hidden="1">
      <c r="A799" s="13" t="s">
        <v>575</v>
      </c>
      <c r="B799" s="34" t="s">
        <v>1061</v>
      </c>
      <c r="C799" s="5" t="s">
        <v>22</v>
      </c>
      <c r="D799" s="5" t="s">
        <v>25</v>
      </c>
      <c r="E799" s="35">
        <f>vlookup(C799,'Team Bye List'!$A$1:$B$33,2,False)</f>
        <v>7</v>
      </c>
      <c r="F799" s="36">
        <f>if(ISNA(vlookup($A799, ESPN!$B$2:$E$1010, 4, false)), 0, vlookup($A799, ESPN!$B$2:$E$1010, 4, false))</f>
        <v>0</v>
      </c>
      <c r="G799" s="36">
        <f>if(ISNA(vlookup($A799,'Ultimate Draft Kit'!$B$2:$E$201,4, false)), 0, vlookup($A799,'Ultimate Draft Kit'!$B$2:$E$201, 4, false))</f>
        <v>0</v>
      </c>
      <c r="H799" s="36">
        <f>if(ISNA(vlookup($A799, FantasyPro!$B$2:$E$514,4,false)),0,vlookup($A799,FantasyPro!$B$2:$E$514,4,false))</f>
        <v>0</v>
      </c>
      <c r="I799" s="36">
        <f>if(ISNA(vlookup($A799, FFToolbox!$B$2:$E$618, 4, false)), 0, vlookup($A799, FFToolbox!$B$2:$E$618, 4, false))</f>
        <v>0</v>
      </c>
      <c r="J799" s="37">
        <f t="shared" si="1"/>
        <v>0</v>
      </c>
      <c r="K799" s="37">
        <f t="shared" si="2"/>
        <v>0</v>
      </c>
    </row>
    <row r="800" hidden="1">
      <c r="A800" s="13" t="s">
        <v>574</v>
      </c>
      <c r="B800" s="34" t="s">
        <v>1061</v>
      </c>
      <c r="C800" s="5" t="s">
        <v>6</v>
      </c>
      <c r="D800" s="5" t="s">
        <v>25</v>
      </c>
      <c r="E800" s="35">
        <f>vlookup(C800,'Team Bye List'!$A$1:$B$33,2,False)</f>
        <v>12</v>
      </c>
      <c r="F800" s="36">
        <f>if(ISNA(vlookup($A800, ESPN!$B$2:$E$1010, 4, false)), 0, vlookup($A800, ESPN!$B$2:$E$1010, 4, false))</f>
        <v>0</v>
      </c>
      <c r="G800" s="36">
        <f>if(ISNA(vlookup($A800,'Ultimate Draft Kit'!$B$2:$E$201,4, false)), 0, vlookup($A800,'Ultimate Draft Kit'!$B$2:$E$201, 4, false))</f>
        <v>0</v>
      </c>
      <c r="H800" s="36">
        <f>if(ISNA(vlookup($A800, FantasyPro!$B$2:$E$514,4,false)),0,vlookup($A800,FantasyPro!$B$2:$E$514,4,false))</f>
        <v>0</v>
      </c>
      <c r="I800" s="36">
        <f>if(ISNA(vlookup($A800, FFToolbox!$B$2:$E$618, 4, false)), 0, vlookup($A800, FFToolbox!$B$2:$E$618, 4, false))</f>
        <v>0</v>
      </c>
      <c r="J800" s="37">
        <f t="shared" si="1"/>
        <v>0</v>
      </c>
      <c r="K800" s="37">
        <f t="shared" si="2"/>
        <v>0</v>
      </c>
    </row>
    <row r="801" hidden="1">
      <c r="A801" s="13" t="s">
        <v>1094</v>
      </c>
      <c r="B801" s="34" t="s">
        <v>1061</v>
      </c>
      <c r="C801" s="5" t="s">
        <v>257</v>
      </c>
      <c r="D801" s="5" t="s">
        <v>7</v>
      </c>
      <c r="E801" s="35" t="str">
        <f>vlookup(C801,'Team Bye List'!$A$1:$B$33,2,False)</f>
        <v>#N/A</v>
      </c>
      <c r="F801" s="36">
        <f>if(ISNA(vlookup($A801, ESPN!$B$2:$E$1010, 4, false)), 0, vlookup($A801, ESPN!$B$2:$E$1010, 4, false))</f>
        <v>0</v>
      </c>
      <c r="G801" s="36">
        <f>if(ISNA(vlookup($A801,'Ultimate Draft Kit'!$B$2:$E$201,4, false)), 0, vlookup($A801,'Ultimate Draft Kit'!$B$2:$E$201, 4, false))</f>
        <v>0</v>
      </c>
      <c r="H801" s="36">
        <f>if(ISNA(vlookup($A801, FantasyPro!$B$2:$E$514,4,false)),0,vlookup($A801,FantasyPro!$B$2:$E$514,4,false))</f>
        <v>0</v>
      </c>
      <c r="I801" s="36">
        <f>if(ISNA(vlookup($A801, FFToolbox!$B$2:$E$618, 4, false)), 0, vlookup($A801, FFToolbox!$B$2:$E$618, 4, false))</f>
        <v>0</v>
      </c>
      <c r="J801" s="37">
        <f t="shared" si="1"/>
        <v>0</v>
      </c>
      <c r="K801" s="37">
        <f t="shared" si="2"/>
        <v>0</v>
      </c>
    </row>
    <row r="802" hidden="1">
      <c r="A802" s="13" t="s">
        <v>1095</v>
      </c>
      <c r="B802" s="34" t="s">
        <v>1061</v>
      </c>
      <c r="C802" s="5" t="s">
        <v>74</v>
      </c>
      <c r="D802" s="5" t="s">
        <v>16</v>
      </c>
      <c r="E802" s="35">
        <f>vlookup(C802,'Team Bye List'!$A$1:$B$33,2,False)</f>
        <v>7</v>
      </c>
      <c r="F802" s="36">
        <f>if(ISNA(vlookup($A802, ESPN!$B$2:$E$1010, 4, false)), 0, vlookup($A802, ESPN!$B$2:$E$1010, 4, false))</f>
        <v>0</v>
      </c>
      <c r="G802" s="36">
        <f>if(ISNA(vlookup($A802,'Ultimate Draft Kit'!$B$2:$E$201,4, false)), 0, vlookup($A802,'Ultimate Draft Kit'!$B$2:$E$201, 4, false))</f>
        <v>0</v>
      </c>
      <c r="H802" s="36">
        <f>if(ISNA(vlookup($A802, FantasyPro!$B$2:$E$514,4,false)),0,vlookup($A802,FantasyPro!$B$2:$E$514,4,false))</f>
        <v>0</v>
      </c>
      <c r="I802" s="36">
        <f>if(ISNA(vlookup($A802, FFToolbox!$B$2:$E$618, 4, false)), 0, vlookup($A802, FFToolbox!$B$2:$E$618, 4, false))</f>
        <v>0</v>
      </c>
      <c r="J802" s="37">
        <f t="shared" si="1"/>
        <v>0</v>
      </c>
      <c r="K802" s="37">
        <f t="shared" si="2"/>
        <v>0</v>
      </c>
    </row>
    <row r="803" hidden="1">
      <c r="A803" s="13" t="s">
        <v>576</v>
      </c>
      <c r="B803" s="34" t="s">
        <v>1061</v>
      </c>
      <c r="C803" s="5" t="s">
        <v>233</v>
      </c>
      <c r="D803" s="5" t="s">
        <v>25</v>
      </c>
      <c r="E803" s="35">
        <f>vlookup(C803,'Team Bye List'!$A$1:$B$33,2,False)</f>
        <v>9</v>
      </c>
      <c r="F803" s="36">
        <f>if(ISNA(vlookup($A803, ESPN!$B$2:$E$1010, 4, false)), 0, vlookup($A803, ESPN!$B$2:$E$1010, 4, false))</f>
        <v>0</v>
      </c>
      <c r="G803" s="36">
        <f>if(ISNA(vlookup($A803,'Ultimate Draft Kit'!$B$2:$E$201,4, false)), 0, vlookup($A803,'Ultimate Draft Kit'!$B$2:$E$201, 4, false))</f>
        <v>0</v>
      </c>
      <c r="H803" s="36">
        <f>if(ISNA(vlookup($A803, FantasyPro!$B$2:$E$514,4,false)),0,vlookup($A803,FantasyPro!$B$2:$E$514,4,false))</f>
        <v>0</v>
      </c>
      <c r="I803" s="36">
        <f>if(ISNA(vlookup($A803, FFToolbox!$B$2:$E$618, 4, false)), 0, vlookup($A803, FFToolbox!$B$2:$E$618, 4, false))</f>
        <v>0</v>
      </c>
      <c r="J803" s="37">
        <f t="shared" si="1"/>
        <v>0</v>
      </c>
      <c r="K803" s="37">
        <f t="shared" si="2"/>
        <v>0</v>
      </c>
    </row>
    <row r="804" hidden="1">
      <c r="A804" s="13" t="s">
        <v>589</v>
      </c>
      <c r="B804" s="34" t="s">
        <v>1061</v>
      </c>
      <c r="C804" s="5" t="s">
        <v>34</v>
      </c>
      <c r="D804" s="5" t="s">
        <v>25</v>
      </c>
      <c r="E804" s="35">
        <f>vlookup(C804,'Team Bye List'!$A$1:$B$33,2,False)</f>
        <v>7</v>
      </c>
      <c r="F804" s="36">
        <f>if(ISNA(vlookup($A804, ESPN!$B$2:$E$1010, 4, false)), 0, vlookup($A804, ESPN!$B$2:$E$1010, 4, false))</f>
        <v>0</v>
      </c>
      <c r="G804" s="36">
        <f>if(ISNA(vlookup($A804,'Ultimate Draft Kit'!$B$2:$E$201,4, false)), 0, vlookup($A804,'Ultimate Draft Kit'!$B$2:$E$201, 4, false))</f>
        <v>0</v>
      </c>
      <c r="H804" s="36">
        <f>if(ISNA(vlookup($A804, FantasyPro!$B$2:$E$514,4,false)),0,vlookup($A804,FantasyPro!$B$2:$E$514,4,false))</f>
        <v>0</v>
      </c>
      <c r="I804" s="36">
        <f>if(ISNA(vlookup($A804, FFToolbox!$B$2:$E$618, 4, false)), 0, vlookup($A804, FFToolbox!$B$2:$E$618, 4, false))</f>
        <v>0</v>
      </c>
      <c r="J804" s="37">
        <f t="shared" si="1"/>
        <v>0</v>
      </c>
      <c r="K804" s="37">
        <f t="shared" si="2"/>
        <v>0</v>
      </c>
    </row>
    <row r="805" hidden="1">
      <c r="A805" s="13" t="s">
        <v>584</v>
      </c>
      <c r="B805" s="34" t="s">
        <v>1061</v>
      </c>
      <c r="C805" s="5" t="s">
        <v>6</v>
      </c>
      <c r="D805" s="5" t="s">
        <v>25</v>
      </c>
      <c r="E805" s="35">
        <f>vlookup(C805,'Team Bye List'!$A$1:$B$33,2,False)</f>
        <v>12</v>
      </c>
      <c r="F805" s="36">
        <f>if(ISNA(vlookup($A805, ESPN!$B$2:$E$1010, 4, false)), 0, vlookup($A805, ESPN!$B$2:$E$1010, 4, false))</f>
        <v>0</v>
      </c>
      <c r="G805" s="36">
        <f>if(ISNA(vlookup($A805,'Ultimate Draft Kit'!$B$2:$E$201,4, false)), 0, vlookup($A805,'Ultimate Draft Kit'!$B$2:$E$201, 4, false))</f>
        <v>0</v>
      </c>
      <c r="H805" s="36">
        <f>if(ISNA(vlookup($A805, FantasyPro!$B$2:$E$514,4,false)),0,vlookup($A805,FantasyPro!$B$2:$E$514,4,false))</f>
        <v>0</v>
      </c>
      <c r="I805" s="36">
        <f>if(ISNA(vlookup($A805, FFToolbox!$B$2:$E$618, 4, false)), 0, vlookup($A805, FFToolbox!$B$2:$E$618, 4, false))</f>
        <v>0</v>
      </c>
      <c r="J805" s="37">
        <f t="shared" si="1"/>
        <v>0</v>
      </c>
      <c r="K805" s="37">
        <f t="shared" si="2"/>
        <v>0</v>
      </c>
    </row>
    <row r="806" hidden="1">
      <c r="A806" s="13" t="s">
        <v>582</v>
      </c>
      <c r="B806" s="34" t="s">
        <v>1061</v>
      </c>
      <c r="C806" s="5" t="s">
        <v>18</v>
      </c>
      <c r="D806" s="5" t="s">
        <v>25</v>
      </c>
      <c r="E806" s="35">
        <f>vlookup(C806,'Team Bye List'!$A$1:$B$33,2,False)</f>
        <v>6</v>
      </c>
      <c r="F806" s="36">
        <f>if(ISNA(vlookup($A806, ESPN!$B$2:$E$1010, 4, false)), 0, vlookup($A806, ESPN!$B$2:$E$1010, 4, false))</f>
        <v>0</v>
      </c>
      <c r="G806" s="36">
        <f>if(ISNA(vlookup($A806,'Ultimate Draft Kit'!$B$2:$E$201,4, false)), 0, vlookup($A806,'Ultimate Draft Kit'!$B$2:$E$201, 4, false))</f>
        <v>0</v>
      </c>
      <c r="H806" s="36">
        <f>if(ISNA(vlookup($A806, FantasyPro!$B$2:$E$514,4,false)),0,vlookup($A806,FantasyPro!$B$2:$E$514,4,false))</f>
        <v>0</v>
      </c>
      <c r="I806" s="36">
        <f>if(ISNA(vlookup($A806, FFToolbox!$B$2:$E$618, 4, false)), 0, vlookup($A806, FFToolbox!$B$2:$E$618, 4, false))</f>
        <v>0</v>
      </c>
      <c r="J806" s="37">
        <f t="shared" si="1"/>
        <v>0</v>
      </c>
      <c r="K806" s="37">
        <f t="shared" si="2"/>
        <v>0</v>
      </c>
    </row>
    <row r="807" hidden="1">
      <c r="A807" s="13" t="s">
        <v>570</v>
      </c>
      <c r="B807" s="34" t="s">
        <v>1061</v>
      </c>
      <c r="C807" s="5" t="s">
        <v>9</v>
      </c>
      <c r="D807" s="5" t="s">
        <v>25</v>
      </c>
      <c r="E807" s="35">
        <f>vlookup(C807,'Team Bye List'!$A$1:$B$33,2,False)</f>
        <v>10</v>
      </c>
      <c r="F807" s="36">
        <f>if(ISNA(vlookup($A807, ESPN!$B$2:$E$1010, 4, false)), 0, vlookup($A807, ESPN!$B$2:$E$1010, 4, false))</f>
        <v>0</v>
      </c>
      <c r="G807" s="36">
        <f>if(ISNA(vlookup($A807,'Ultimate Draft Kit'!$B$2:$E$201,4, false)), 0, vlookup($A807,'Ultimate Draft Kit'!$B$2:$E$201, 4, false))</f>
        <v>0</v>
      </c>
      <c r="H807" s="36">
        <f>if(ISNA(vlookup($A807, FantasyPro!$B$2:$E$514,4,false)),0,vlookup($A807,FantasyPro!$B$2:$E$514,4,false))</f>
        <v>0</v>
      </c>
      <c r="I807" s="36">
        <f>if(ISNA(vlookup($A807, FFToolbox!$B$2:$E$618, 4, false)), 0, vlookup($A807, FFToolbox!$B$2:$E$618, 4, false))</f>
        <v>0</v>
      </c>
      <c r="J807" s="37">
        <f t="shared" si="1"/>
        <v>0</v>
      </c>
      <c r="K807" s="37">
        <f t="shared" si="2"/>
        <v>0</v>
      </c>
    </row>
    <row r="808" hidden="1">
      <c r="A808" s="13" t="s">
        <v>565</v>
      </c>
      <c r="B808" s="34" t="s">
        <v>1061</v>
      </c>
      <c r="C808" s="5" t="s">
        <v>77</v>
      </c>
      <c r="D808" s="5" t="s">
        <v>25</v>
      </c>
      <c r="E808" s="35">
        <f>vlookup(C808,'Team Bye List'!$A$1:$B$33,2,False)</f>
        <v>11</v>
      </c>
      <c r="F808" s="36">
        <f>if(ISNA(vlookup($A808, ESPN!$B$2:$E$1010, 4, false)), 0, vlookup($A808, ESPN!$B$2:$E$1010, 4, false))</f>
        <v>0</v>
      </c>
      <c r="G808" s="36">
        <f>if(ISNA(vlookup($A808,'Ultimate Draft Kit'!$B$2:$E$201,4, false)), 0, vlookup($A808,'Ultimate Draft Kit'!$B$2:$E$201, 4, false))</f>
        <v>0</v>
      </c>
      <c r="H808" s="36">
        <f>if(ISNA(vlookup($A808, FantasyPro!$B$2:$E$514,4,false)),0,vlookup($A808,FantasyPro!$B$2:$E$514,4,false))</f>
        <v>0</v>
      </c>
      <c r="I808" s="36">
        <f>if(ISNA(vlookup($A808, FFToolbox!$B$2:$E$618, 4, false)), 0, vlookup($A808, FFToolbox!$B$2:$E$618, 4, false))</f>
        <v>0</v>
      </c>
      <c r="J808" s="37">
        <f t="shared" si="1"/>
        <v>0</v>
      </c>
      <c r="K808" s="37">
        <f t="shared" si="2"/>
        <v>0</v>
      </c>
    </row>
    <row r="809" hidden="1">
      <c r="A809" s="13" t="s">
        <v>573</v>
      </c>
      <c r="B809" s="34" t="s">
        <v>1061</v>
      </c>
      <c r="C809" s="5" t="s">
        <v>20</v>
      </c>
      <c r="D809" s="5" t="s">
        <v>25</v>
      </c>
      <c r="E809" s="35">
        <f>vlookup(C809,'Team Bye List'!$A$1:$B$33,2,False)</f>
        <v>8</v>
      </c>
      <c r="F809" s="36">
        <f>if(ISNA(vlookup($A809, ESPN!$B$2:$E$1010, 4, false)), 0, vlookup($A809, ESPN!$B$2:$E$1010, 4, false))</f>
        <v>0</v>
      </c>
      <c r="G809" s="36">
        <f>if(ISNA(vlookup($A809,'Ultimate Draft Kit'!$B$2:$E$201,4, false)), 0, vlookup($A809,'Ultimate Draft Kit'!$B$2:$E$201, 4, false))</f>
        <v>0</v>
      </c>
      <c r="H809" s="36">
        <f>if(ISNA(vlookup($A809, FantasyPro!$B$2:$E$514,4,false)),0,vlookup($A809,FantasyPro!$B$2:$E$514,4,false))</f>
        <v>0</v>
      </c>
      <c r="I809" s="36">
        <f>if(ISNA(vlookup($A809, FFToolbox!$B$2:$E$618, 4, false)), 0, vlookup($A809, FFToolbox!$B$2:$E$618, 4, false))</f>
        <v>0</v>
      </c>
      <c r="J809" s="37">
        <f t="shared" si="1"/>
        <v>0</v>
      </c>
      <c r="K809" s="37">
        <f t="shared" si="2"/>
        <v>0</v>
      </c>
    </row>
    <row r="810" hidden="1">
      <c r="A810" s="13" t="s">
        <v>572</v>
      </c>
      <c r="B810" s="34" t="s">
        <v>1061</v>
      </c>
      <c r="C810" s="5" t="s">
        <v>14</v>
      </c>
      <c r="D810" s="5" t="s">
        <v>25</v>
      </c>
      <c r="E810" s="35">
        <f>vlookup(C810,'Team Bye List'!$A$1:$B$33,2,False)</f>
        <v>10</v>
      </c>
      <c r="F810" s="36">
        <f>if(ISNA(vlookup($A810, ESPN!$B$2:$E$1010, 4, false)), 0, vlookup($A810, ESPN!$B$2:$E$1010, 4, false))</f>
        <v>0</v>
      </c>
      <c r="G810" s="36">
        <f>if(ISNA(vlookup($A810,'Ultimate Draft Kit'!$B$2:$E$201,4, false)), 0, vlookup($A810,'Ultimate Draft Kit'!$B$2:$E$201, 4, false))</f>
        <v>0</v>
      </c>
      <c r="H810" s="36">
        <f>if(ISNA(vlookup($A810, FantasyPro!$B$2:$E$514,4,false)),0,vlookup($A810,FantasyPro!$B$2:$E$514,4,false))</f>
        <v>0</v>
      </c>
      <c r="I810" s="36">
        <f>if(ISNA(vlookup($A810, FFToolbox!$B$2:$E$618, 4, false)), 0, vlookup($A810, FFToolbox!$B$2:$E$618, 4, false))</f>
        <v>0</v>
      </c>
      <c r="J810" s="37">
        <f t="shared" si="1"/>
        <v>0</v>
      </c>
      <c r="K810" s="37">
        <f t="shared" si="2"/>
        <v>0</v>
      </c>
    </row>
    <row r="811" hidden="1">
      <c r="A811" s="13" t="s">
        <v>569</v>
      </c>
      <c r="B811" s="34" t="s">
        <v>1061</v>
      </c>
      <c r="C811" s="5" t="s">
        <v>48</v>
      </c>
      <c r="D811" s="5" t="s">
        <v>25</v>
      </c>
      <c r="E811" s="35">
        <f>vlookup(C811,'Team Bye List'!$A$1:$B$33,2,False)</f>
        <v>11</v>
      </c>
      <c r="F811" s="36">
        <f>if(ISNA(vlookup($A811, ESPN!$B$2:$E$1010, 4, false)), 0, vlookup($A811, ESPN!$B$2:$E$1010, 4, false))</f>
        <v>0</v>
      </c>
      <c r="G811" s="36">
        <f>if(ISNA(vlookup($A811,'Ultimate Draft Kit'!$B$2:$E$201,4, false)), 0, vlookup($A811,'Ultimate Draft Kit'!$B$2:$E$201, 4, false))</f>
        <v>0</v>
      </c>
      <c r="H811" s="36">
        <f>if(ISNA(vlookup($A811, FantasyPro!$B$2:$E$514,4,false)),0,vlookup($A811,FantasyPro!$B$2:$E$514,4,false))</f>
        <v>0</v>
      </c>
      <c r="I811" s="36">
        <f>if(ISNA(vlookup($A811, FFToolbox!$B$2:$E$618, 4, false)), 0, vlookup($A811, FFToolbox!$B$2:$E$618, 4, false))</f>
        <v>0</v>
      </c>
      <c r="J811" s="37">
        <f t="shared" si="1"/>
        <v>0</v>
      </c>
      <c r="K811" s="37">
        <f t="shared" si="2"/>
        <v>0</v>
      </c>
    </row>
    <row r="812" hidden="1">
      <c r="A812" s="13" t="s">
        <v>568</v>
      </c>
      <c r="B812" s="34" t="s">
        <v>1061</v>
      </c>
      <c r="C812" s="5" t="s">
        <v>96</v>
      </c>
      <c r="D812" s="5" t="s">
        <v>25</v>
      </c>
      <c r="E812" s="35">
        <f>vlookup(C812,'Team Bye List'!$A$1:$B$33,2,False)</f>
        <v>10</v>
      </c>
      <c r="F812" s="36">
        <f>if(ISNA(vlookup($A812, ESPN!$B$2:$E$1010, 4, false)), 0, vlookup($A812, ESPN!$B$2:$E$1010, 4, false))</f>
        <v>0</v>
      </c>
      <c r="G812" s="36">
        <f>if(ISNA(vlookup($A812,'Ultimate Draft Kit'!$B$2:$E$201,4, false)), 0, vlookup($A812,'Ultimate Draft Kit'!$B$2:$E$201, 4, false))</f>
        <v>0</v>
      </c>
      <c r="H812" s="36">
        <f>if(ISNA(vlookup($A812, FantasyPro!$B$2:$E$514,4,false)),0,vlookup($A812,FantasyPro!$B$2:$E$514,4,false))</f>
        <v>0</v>
      </c>
      <c r="I812" s="36">
        <f>if(ISNA(vlookup($A812, FFToolbox!$B$2:$E$618, 4, false)), 0, vlookup($A812, FFToolbox!$B$2:$E$618, 4, false))</f>
        <v>0</v>
      </c>
      <c r="J812" s="37">
        <f t="shared" si="1"/>
        <v>0</v>
      </c>
      <c r="K812" s="37">
        <f t="shared" si="2"/>
        <v>0</v>
      </c>
    </row>
    <row r="813" hidden="1">
      <c r="A813" s="13" t="s">
        <v>571</v>
      </c>
      <c r="B813" s="34" t="s">
        <v>1061</v>
      </c>
      <c r="C813" s="5" t="s">
        <v>134</v>
      </c>
      <c r="D813" s="5" t="s">
        <v>25</v>
      </c>
      <c r="E813" s="35">
        <f>vlookup(C813,'Team Bye List'!$A$1:$B$33,2,False)</f>
        <v>11</v>
      </c>
      <c r="F813" s="36">
        <f>if(ISNA(vlookup($A813, ESPN!$B$2:$E$1010, 4, false)), 0, vlookup($A813, ESPN!$B$2:$E$1010, 4, false))</f>
        <v>0</v>
      </c>
      <c r="G813" s="36">
        <f>if(ISNA(vlookup($A813,'Ultimate Draft Kit'!$B$2:$E$201,4, false)), 0, vlookup($A813,'Ultimate Draft Kit'!$B$2:$E$201, 4, false))</f>
        <v>0</v>
      </c>
      <c r="H813" s="36">
        <f>if(ISNA(vlookup($A813, FantasyPro!$B$2:$E$514,4,false)),0,vlookup($A813,FantasyPro!$B$2:$E$514,4,false))</f>
        <v>0</v>
      </c>
      <c r="I813" s="36">
        <f>if(ISNA(vlookup($A813, FFToolbox!$B$2:$E$618, 4, false)), 0, vlookup($A813, FFToolbox!$B$2:$E$618, 4, false))</f>
        <v>0</v>
      </c>
      <c r="J813" s="37">
        <f t="shared" si="1"/>
        <v>0</v>
      </c>
      <c r="K813" s="37">
        <f t="shared" si="2"/>
        <v>0</v>
      </c>
    </row>
    <row r="814" hidden="1">
      <c r="A814" s="13" t="s">
        <v>987</v>
      </c>
      <c r="B814" s="34" t="s">
        <v>1061</v>
      </c>
      <c r="C814" s="5" t="s">
        <v>104</v>
      </c>
      <c r="D814" s="5" t="s">
        <v>10</v>
      </c>
      <c r="E814" s="35">
        <f>vlookup(C814,'Team Bye List'!$A$1:$B$33,2,False)</f>
        <v>7</v>
      </c>
      <c r="F814" s="36">
        <f>if(ISNA(vlookup($A814, ESPN!$B$2:$E$1010, 4, false)), 0, vlookup($A814, ESPN!$B$2:$E$1010, 4, false))</f>
        <v>0</v>
      </c>
      <c r="G814" s="36">
        <f>if(ISNA(vlookup($A814,'Ultimate Draft Kit'!$B$2:$E$201,4, false)), 0, vlookup($A814,'Ultimate Draft Kit'!$B$2:$E$201, 4, false))</f>
        <v>0</v>
      </c>
      <c r="H814" s="36">
        <f>if(ISNA(vlookup($A814, FantasyPro!$B$2:$E$514,4,false)),0,vlookup($A814,FantasyPro!$B$2:$E$514,4,false))</f>
        <v>0</v>
      </c>
      <c r="I814" s="36">
        <f>if(ISNA(vlookup($A814, FFToolbox!$B$2:$E$618, 4, false)), 0, vlookup($A814, FFToolbox!$B$2:$E$618, 4, false))</f>
        <v>0</v>
      </c>
      <c r="J814" s="37">
        <f t="shared" si="1"/>
        <v>0</v>
      </c>
      <c r="K814" s="37">
        <f t="shared" si="2"/>
        <v>0</v>
      </c>
    </row>
    <row r="815" hidden="1">
      <c r="A815" s="13" t="s">
        <v>563</v>
      </c>
      <c r="B815" s="34" t="s">
        <v>1061</v>
      </c>
      <c r="C815" s="5" t="s">
        <v>96</v>
      </c>
      <c r="D815" s="5" t="s">
        <v>25</v>
      </c>
      <c r="E815" s="35">
        <f>vlookup(C815,'Team Bye List'!$A$1:$B$33,2,False)</f>
        <v>10</v>
      </c>
      <c r="F815" s="36">
        <f>if(ISNA(vlookup($A815, ESPN!$B$2:$E$1010, 4, false)), 0, vlookup($A815, ESPN!$B$2:$E$1010, 4, false))</f>
        <v>0</v>
      </c>
      <c r="G815" s="36">
        <f>if(ISNA(vlookup($A815,'Ultimate Draft Kit'!$B$2:$E$201,4, false)), 0, vlookup($A815,'Ultimate Draft Kit'!$B$2:$E$201, 4, false))</f>
        <v>0</v>
      </c>
      <c r="H815" s="36">
        <f>if(ISNA(vlookup($A815, FantasyPro!$B$2:$E$514,4,false)),0,vlookup($A815,FantasyPro!$B$2:$E$514,4,false))</f>
        <v>0</v>
      </c>
      <c r="I815" s="36">
        <f>if(ISNA(vlookup($A815, FFToolbox!$B$2:$E$618, 4, false)), 0, vlookup($A815, FFToolbox!$B$2:$E$618, 4, false))</f>
        <v>0</v>
      </c>
      <c r="J815" s="37">
        <f t="shared" si="1"/>
        <v>0</v>
      </c>
      <c r="K815" s="37">
        <f t="shared" si="2"/>
        <v>0</v>
      </c>
    </row>
    <row r="816" hidden="1">
      <c r="A816" s="13" t="s">
        <v>564</v>
      </c>
      <c r="B816" s="34" t="s">
        <v>1061</v>
      </c>
      <c r="C816" s="5" t="s">
        <v>40</v>
      </c>
      <c r="D816" s="5" t="s">
        <v>25</v>
      </c>
      <c r="E816" s="35">
        <f>vlookup(C816,'Team Bye List'!$A$1:$B$33,2,False)</f>
        <v>6</v>
      </c>
      <c r="F816" s="36">
        <f>if(ISNA(vlookup($A816, ESPN!$B$2:$E$1010, 4, false)), 0, vlookup($A816, ESPN!$B$2:$E$1010, 4, false))</f>
        <v>0</v>
      </c>
      <c r="G816" s="36">
        <f>if(ISNA(vlookup($A816,'Ultimate Draft Kit'!$B$2:$E$201,4, false)), 0, vlookup($A816,'Ultimate Draft Kit'!$B$2:$E$201, 4, false))</f>
        <v>0</v>
      </c>
      <c r="H816" s="36">
        <f>if(ISNA(vlookup($A816, FantasyPro!$B$2:$E$514,4,false)),0,vlookup($A816,FantasyPro!$B$2:$E$514,4,false))</f>
        <v>0</v>
      </c>
      <c r="I816" s="36">
        <f>if(ISNA(vlookup($A816, FFToolbox!$B$2:$E$618, 4, false)), 0, vlookup($A816, FFToolbox!$B$2:$E$618, 4, false))</f>
        <v>0</v>
      </c>
      <c r="J816" s="37">
        <f t="shared" si="1"/>
        <v>0</v>
      </c>
      <c r="K816" s="37">
        <f t="shared" si="2"/>
        <v>0</v>
      </c>
    </row>
    <row r="817" hidden="1">
      <c r="A817" s="13" t="s">
        <v>554</v>
      </c>
      <c r="B817" s="34" t="s">
        <v>1061</v>
      </c>
      <c r="C817" s="5" t="s">
        <v>14</v>
      </c>
      <c r="D817" s="5" t="s">
        <v>25</v>
      </c>
      <c r="E817" s="35">
        <f>vlookup(C817,'Team Bye List'!$A$1:$B$33,2,False)</f>
        <v>10</v>
      </c>
      <c r="F817" s="36">
        <f>if(ISNA(vlookup($A817, ESPN!$B$2:$E$1010, 4, false)), 0, vlookup($A817, ESPN!$B$2:$E$1010, 4, false))</f>
        <v>0</v>
      </c>
      <c r="G817" s="36">
        <f>if(ISNA(vlookup($A817,'Ultimate Draft Kit'!$B$2:$E$201,4, false)), 0, vlookup($A817,'Ultimate Draft Kit'!$B$2:$E$201, 4, false))</f>
        <v>0</v>
      </c>
      <c r="H817" s="36">
        <f>if(ISNA(vlookup($A817, FantasyPro!$B$2:$E$514,4,false)),0,vlookup($A817,FantasyPro!$B$2:$E$514,4,false))</f>
        <v>0</v>
      </c>
      <c r="I817" s="36">
        <f>if(ISNA(vlookup($A817, FFToolbox!$B$2:$E$618, 4, false)), 0, vlookup($A817, FFToolbox!$B$2:$E$618, 4, false))</f>
        <v>0</v>
      </c>
      <c r="J817" s="37">
        <f t="shared" si="1"/>
        <v>0</v>
      </c>
      <c r="K817" s="37">
        <f t="shared" si="2"/>
        <v>0</v>
      </c>
    </row>
    <row r="818" hidden="1">
      <c r="A818" s="13" t="s">
        <v>552</v>
      </c>
      <c r="B818" s="34" t="s">
        <v>1061</v>
      </c>
      <c r="C818" s="5" t="s">
        <v>48</v>
      </c>
      <c r="D818" s="5" t="s">
        <v>25</v>
      </c>
      <c r="E818" s="35">
        <f>vlookup(C818,'Team Bye List'!$A$1:$B$33,2,False)</f>
        <v>11</v>
      </c>
      <c r="F818" s="36">
        <f>if(ISNA(vlookup($A818, ESPN!$B$2:$E$1010, 4, false)), 0, vlookup($A818, ESPN!$B$2:$E$1010, 4, false))</f>
        <v>0</v>
      </c>
      <c r="G818" s="36">
        <f>if(ISNA(vlookup($A818,'Ultimate Draft Kit'!$B$2:$E$201,4, false)), 0, vlookup($A818,'Ultimate Draft Kit'!$B$2:$E$201, 4, false))</f>
        <v>0</v>
      </c>
      <c r="H818" s="36">
        <f>if(ISNA(vlookup($A818, FantasyPro!$B$2:$E$514,4,false)),0,vlookup($A818,FantasyPro!$B$2:$E$514,4,false))</f>
        <v>0</v>
      </c>
      <c r="I818" s="36">
        <f>if(ISNA(vlookup($A818, FFToolbox!$B$2:$E$618, 4, false)), 0, vlookup($A818, FFToolbox!$B$2:$E$618, 4, false))</f>
        <v>0</v>
      </c>
      <c r="J818" s="37">
        <f t="shared" si="1"/>
        <v>0</v>
      </c>
      <c r="K818" s="37">
        <f t="shared" si="2"/>
        <v>0</v>
      </c>
    </row>
    <row r="819" hidden="1">
      <c r="A819" s="13" t="s">
        <v>555</v>
      </c>
      <c r="B819" s="34" t="s">
        <v>1061</v>
      </c>
      <c r="C819" s="5" t="s">
        <v>38</v>
      </c>
      <c r="D819" s="5" t="s">
        <v>25</v>
      </c>
      <c r="E819" s="35">
        <f>vlookup(C819,'Team Bye List'!$A$1:$B$33,2,False)</f>
        <v>12</v>
      </c>
      <c r="F819" s="36">
        <f>if(ISNA(vlookup($A819, ESPN!$B$2:$E$1010, 4, false)), 0, vlookup($A819, ESPN!$B$2:$E$1010, 4, false))</f>
        <v>0</v>
      </c>
      <c r="G819" s="36">
        <f>if(ISNA(vlookup($A819,'Ultimate Draft Kit'!$B$2:$E$201,4, false)), 0, vlookup($A819,'Ultimate Draft Kit'!$B$2:$E$201, 4, false))</f>
        <v>0</v>
      </c>
      <c r="H819" s="36">
        <f>if(ISNA(vlookup($A819, FantasyPro!$B$2:$E$514,4,false)),0,vlookup($A819,FantasyPro!$B$2:$E$514,4,false))</f>
        <v>0</v>
      </c>
      <c r="I819" s="36">
        <f>if(ISNA(vlookup($A819, FFToolbox!$B$2:$E$618, 4, false)), 0, vlookup($A819, FFToolbox!$B$2:$E$618, 4, false))</f>
        <v>0</v>
      </c>
      <c r="J819" s="37">
        <f t="shared" si="1"/>
        <v>0</v>
      </c>
      <c r="K819" s="37">
        <f t="shared" si="2"/>
        <v>0</v>
      </c>
    </row>
    <row r="820" hidden="1">
      <c r="A820" s="13" t="s">
        <v>558</v>
      </c>
      <c r="B820" s="34" t="s">
        <v>1061</v>
      </c>
      <c r="C820" s="5" t="s">
        <v>54</v>
      </c>
      <c r="D820" s="5" t="s">
        <v>25</v>
      </c>
      <c r="E820" s="35">
        <f>vlookup(C820,'Team Bye List'!$A$1:$B$33,2,False)</f>
        <v>9</v>
      </c>
      <c r="F820" s="36">
        <f>if(ISNA(vlookup($A820, ESPN!$B$2:$E$1010, 4, false)), 0, vlookup($A820, ESPN!$B$2:$E$1010, 4, false))</f>
        <v>0</v>
      </c>
      <c r="G820" s="36">
        <f>if(ISNA(vlookup($A820,'Ultimate Draft Kit'!$B$2:$E$201,4, false)), 0, vlookup($A820,'Ultimate Draft Kit'!$B$2:$E$201, 4, false))</f>
        <v>0</v>
      </c>
      <c r="H820" s="36">
        <f>if(ISNA(vlookup($A820, FantasyPro!$B$2:$E$514,4,false)),0,vlookup($A820,FantasyPro!$B$2:$E$514,4,false))</f>
        <v>0</v>
      </c>
      <c r="I820" s="36">
        <f>if(ISNA(vlookup($A820, FFToolbox!$B$2:$E$618, 4, false)), 0, vlookup($A820, FFToolbox!$B$2:$E$618, 4, false))</f>
        <v>0</v>
      </c>
      <c r="J820" s="37">
        <f t="shared" si="1"/>
        <v>0</v>
      </c>
      <c r="K820" s="37">
        <f t="shared" si="2"/>
        <v>0</v>
      </c>
    </row>
    <row r="821" hidden="1">
      <c r="A821" s="13" t="s">
        <v>557</v>
      </c>
      <c r="B821" s="34" t="s">
        <v>1061</v>
      </c>
      <c r="C821" s="5" t="s">
        <v>44</v>
      </c>
      <c r="D821" s="5" t="s">
        <v>25</v>
      </c>
      <c r="E821" s="35">
        <f>vlookup(C821,'Team Bye List'!$A$1:$B$33,2,False)</f>
        <v>10</v>
      </c>
      <c r="F821" s="36">
        <f>if(ISNA(vlookup($A821, ESPN!$B$2:$E$1010, 4, false)), 0, vlookup($A821, ESPN!$B$2:$E$1010, 4, false))</f>
        <v>0</v>
      </c>
      <c r="G821" s="36">
        <f>if(ISNA(vlookup($A821,'Ultimate Draft Kit'!$B$2:$E$201,4, false)), 0, vlookup($A821,'Ultimate Draft Kit'!$B$2:$E$201, 4, false))</f>
        <v>0</v>
      </c>
      <c r="H821" s="36">
        <f>if(ISNA(vlookup($A821, FantasyPro!$B$2:$E$514,4,false)),0,vlookup($A821,FantasyPro!$B$2:$E$514,4,false))</f>
        <v>0</v>
      </c>
      <c r="I821" s="36">
        <f>if(ISNA(vlookup($A821, FFToolbox!$B$2:$E$618, 4, false)), 0, vlookup($A821, FFToolbox!$B$2:$E$618, 4, false))</f>
        <v>0</v>
      </c>
      <c r="J821" s="37">
        <f t="shared" si="1"/>
        <v>0</v>
      </c>
      <c r="K821" s="37">
        <f t="shared" si="2"/>
        <v>0</v>
      </c>
    </row>
    <row r="822" hidden="1">
      <c r="A822" s="13" t="s">
        <v>556</v>
      </c>
      <c r="B822" s="34" t="s">
        <v>1061</v>
      </c>
      <c r="C822" s="5" t="s">
        <v>77</v>
      </c>
      <c r="D822" s="5" t="s">
        <v>25</v>
      </c>
      <c r="E822" s="35">
        <f>vlookup(C822,'Team Bye List'!$A$1:$B$33,2,False)</f>
        <v>11</v>
      </c>
      <c r="F822" s="36">
        <f>if(ISNA(vlookup($A822, ESPN!$B$2:$E$1010, 4, false)), 0, vlookup($A822, ESPN!$B$2:$E$1010, 4, false))</f>
        <v>0</v>
      </c>
      <c r="G822" s="36">
        <f>if(ISNA(vlookup($A822,'Ultimate Draft Kit'!$B$2:$E$201,4, false)), 0, vlookup($A822,'Ultimate Draft Kit'!$B$2:$E$201, 4, false))</f>
        <v>0</v>
      </c>
      <c r="H822" s="36">
        <f>if(ISNA(vlookup($A822, FantasyPro!$B$2:$E$514,4,false)),0,vlookup($A822,FantasyPro!$B$2:$E$514,4,false))</f>
        <v>0</v>
      </c>
      <c r="I822" s="36">
        <f>if(ISNA(vlookup($A822, FFToolbox!$B$2:$E$618, 4, false)), 0, vlookup($A822, FFToolbox!$B$2:$E$618, 4, false))</f>
        <v>0</v>
      </c>
      <c r="J822" s="37">
        <f t="shared" si="1"/>
        <v>0</v>
      </c>
      <c r="K822" s="37">
        <f t="shared" si="2"/>
        <v>0</v>
      </c>
    </row>
    <row r="823" hidden="1">
      <c r="A823" s="13" t="s">
        <v>560</v>
      </c>
      <c r="B823" s="34" t="s">
        <v>1061</v>
      </c>
      <c r="C823" s="5" t="s">
        <v>257</v>
      </c>
      <c r="D823" s="5" t="s">
        <v>25</v>
      </c>
      <c r="E823" s="35" t="str">
        <f>vlookup(C823,'Team Bye List'!$A$1:$B$33,2,False)</f>
        <v>#N/A</v>
      </c>
      <c r="F823" s="36">
        <f>if(ISNA(vlookup($A823, ESPN!$B$2:$E$1010, 4, false)), 0, vlookup($A823, ESPN!$B$2:$E$1010, 4, false))</f>
        <v>0</v>
      </c>
      <c r="G823" s="36">
        <f>if(ISNA(vlookup($A823,'Ultimate Draft Kit'!$B$2:$E$201,4, false)), 0, vlookup($A823,'Ultimate Draft Kit'!$B$2:$E$201, 4, false))</f>
        <v>0</v>
      </c>
      <c r="H823" s="36">
        <f>if(ISNA(vlookup($A823, FantasyPro!$B$2:$E$514,4,false)),0,vlookup($A823,FantasyPro!$B$2:$E$514,4,false))</f>
        <v>0</v>
      </c>
      <c r="I823" s="36">
        <f>if(ISNA(vlookup($A823, FFToolbox!$B$2:$E$618, 4, false)), 0, vlookup($A823, FFToolbox!$B$2:$E$618, 4, false))</f>
        <v>0</v>
      </c>
      <c r="J823" s="37">
        <f t="shared" si="1"/>
        <v>0</v>
      </c>
      <c r="K823" s="37">
        <f t="shared" si="2"/>
        <v>0</v>
      </c>
    </row>
    <row r="824" hidden="1">
      <c r="A824" s="13" t="s">
        <v>553</v>
      </c>
      <c r="B824" s="34" t="s">
        <v>1061</v>
      </c>
      <c r="C824" s="5" t="s">
        <v>14</v>
      </c>
      <c r="D824" s="5" t="s">
        <v>25</v>
      </c>
      <c r="E824" s="35">
        <f>vlookup(C824,'Team Bye List'!$A$1:$B$33,2,False)</f>
        <v>10</v>
      </c>
      <c r="F824" s="36">
        <f>if(ISNA(vlookup($A824, ESPN!$B$2:$E$1010, 4, false)), 0, vlookup($A824, ESPN!$B$2:$E$1010, 4, false))</f>
        <v>0</v>
      </c>
      <c r="G824" s="36">
        <f>if(ISNA(vlookup($A824,'Ultimate Draft Kit'!$B$2:$E$201,4, false)), 0, vlookup($A824,'Ultimate Draft Kit'!$B$2:$E$201, 4, false))</f>
        <v>0</v>
      </c>
      <c r="H824" s="36">
        <f>if(ISNA(vlookup($A824, FantasyPro!$B$2:$E$514,4,false)),0,vlookup($A824,FantasyPro!$B$2:$E$514,4,false))</f>
        <v>0</v>
      </c>
      <c r="I824" s="36">
        <f>if(ISNA(vlookup($A824, FFToolbox!$B$2:$E$618, 4, false)), 0, vlookup($A824, FFToolbox!$B$2:$E$618, 4, false))</f>
        <v>0</v>
      </c>
      <c r="J824" s="37">
        <f t="shared" si="1"/>
        <v>0</v>
      </c>
      <c r="K824" s="37">
        <f t="shared" si="2"/>
        <v>0</v>
      </c>
    </row>
    <row r="825" hidden="1">
      <c r="A825" s="13" t="s">
        <v>1096</v>
      </c>
      <c r="B825" s="34" t="s">
        <v>1061</v>
      </c>
      <c r="C825" s="5" t="s">
        <v>22</v>
      </c>
      <c r="D825" s="5" t="s">
        <v>10</v>
      </c>
      <c r="E825" s="35">
        <f>vlookup(C825,'Team Bye List'!$A$1:$B$33,2,False)</f>
        <v>7</v>
      </c>
      <c r="F825" s="36">
        <f>if(ISNA(vlookup($A825, ESPN!$B$2:$E$1010, 4, false)), 0, vlookup($A825, ESPN!$B$2:$E$1010, 4, false))</f>
        <v>0</v>
      </c>
      <c r="G825" s="36">
        <f>if(ISNA(vlookup($A825,'Ultimate Draft Kit'!$B$2:$E$201,4, false)), 0, vlookup($A825,'Ultimate Draft Kit'!$B$2:$E$201, 4, false))</f>
        <v>0</v>
      </c>
      <c r="H825" s="36">
        <f>if(ISNA(vlookup($A825, FantasyPro!$B$2:$E$514,4,false)),0,vlookup($A825,FantasyPro!$B$2:$E$514,4,false))</f>
        <v>0</v>
      </c>
      <c r="I825" s="36">
        <f>if(ISNA(vlookup($A825, FFToolbox!$B$2:$E$618, 4, false)), 0, vlookup($A825, FFToolbox!$B$2:$E$618, 4, false))</f>
        <v>0</v>
      </c>
      <c r="J825" s="37">
        <f t="shared" si="1"/>
        <v>0</v>
      </c>
      <c r="K825" s="37">
        <f t="shared" si="2"/>
        <v>0</v>
      </c>
    </row>
    <row r="826" hidden="1">
      <c r="A826" s="13" t="s">
        <v>549</v>
      </c>
      <c r="B826" s="34" t="s">
        <v>1061</v>
      </c>
      <c r="C826" s="5" t="s">
        <v>96</v>
      </c>
      <c r="D826" s="5" t="s">
        <v>25</v>
      </c>
      <c r="E826" s="35">
        <f>vlookup(C826,'Team Bye List'!$A$1:$B$33,2,False)</f>
        <v>10</v>
      </c>
      <c r="F826" s="36">
        <f>if(ISNA(vlookup($A826, ESPN!$B$2:$E$1010, 4, false)), 0, vlookup($A826, ESPN!$B$2:$E$1010, 4, false))</f>
        <v>0</v>
      </c>
      <c r="G826" s="36">
        <f>if(ISNA(vlookup($A826,'Ultimate Draft Kit'!$B$2:$E$201,4, false)), 0, vlookup($A826,'Ultimate Draft Kit'!$B$2:$E$201, 4, false))</f>
        <v>0</v>
      </c>
      <c r="H826" s="36">
        <f>if(ISNA(vlookup($A826, FantasyPro!$B$2:$E$514,4,false)),0,vlookup($A826,FantasyPro!$B$2:$E$514,4,false))</f>
        <v>0</v>
      </c>
      <c r="I826" s="36">
        <f>if(ISNA(vlookup($A826, FFToolbox!$B$2:$E$618, 4, false)), 0, vlookup($A826, FFToolbox!$B$2:$E$618, 4, false))</f>
        <v>0</v>
      </c>
      <c r="J826" s="37">
        <f t="shared" si="1"/>
        <v>0</v>
      </c>
      <c r="K826" s="37">
        <f t="shared" si="2"/>
        <v>0</v>
      </c>
    </row>
    <row r="827" hidden="1">
      <c r="A827" s="13" t="s">
        <v>550</v>
      </c>
      <c r="B827" s="34" t="s">
        <v>1061</v>
      </c>
      <c r="C827" s="5" t="s">
        <v>32</v>
      </c>
      <c r="D827" s="5" t="s">
        <v>25</v>
      </c>
      <c r="E827" s="35">
        <f>vlookup(C827,'Team Bye List'!$A$1:$B$33,2,False)</f>
        <v>9</v>
      </c>
      <c r="F827" s="36">
        <f>if(ISNA(vlookup($A827, ESPN!$B$2:$E$1010, 4, false)), 0, vlookup($A827, ESPN!$B$2:$E$1010, 4, false))</f>
        <v>0</v>
      </c>
      <c r="G827" s="36">
        <f>if(ISNA(vlookup($A827,'Ultimate Draft Kit'!$B$2:$E$201,4, false)), 0, vlookup($A827,'Ultimate Draft Kit'!$B$2:$E$201, 4, false))</f>
        <v>0</v>
      </c>
      <c r="H827" s="36">
        <f>if(ISNA(vlookup($A827, FantasyPro!$B$2:$E$514,4,false)),0,vlookup($A827,FantasyPro!$B$2:$E$514,4,false))</f>
        <v>0</v>
      </c>
      <c r="I827" s="36">
        <f>if(ISNA(vlookup($A827, FFToolbox!$B$2:$E$618, 4, false)), 0, vlookup($A827, FFToolbox!$B$2:$E$618, 4, false))</f>
        <v>0</v>
      </c>
      <c r="J827" s="37">
        <f t="shared" si="1"/>
        <v>0</v>
      </c>
      <c r="K827" s="37">
        <f t="shared" si="2"/>
        <v>0</v>
      </c>
    </row>
    <row r="828" hidden="1">
      <c r="A828" s="13" t="s">
        <v>1097</v>
      </c>
      <c r="B828" s="34" t="s">
        <v>1061</v>
      </c>
      <c r="C828" s="5" t="s">
        <v>257</v>
      </c>
      <c r="D828" s="5" t="s">
        <v>16</v>
      </c>
      <c r="E828" s="35" t="str">
        <f>vlookup(C828,'Team Bye List'!$A$1:$B$33,2,False)</f>
        <v>#N/A</v>
      </c>
      <c r="F828" s="36">
        <f>if(ISNA(vlookup($A828, ESPN!$B$2:$E$1010, 4, false)), 0, vlookup($A828, ESPN!$B$2:$E$1010, 4, false))</f>
        <v>0</v>
      </c>
      <c r="G828" s="36">
        <f>if(ISNA(vlookup($A828,'Ultimate Draft Kit'!$B$2:$E$201,4, false)), 0, vlookup($A828,'Ultimate Draft Kit'!$B$2:$E$201, 4, false))</f>
        <v>0</v>
      </c>
      <c r="H828" s="36">
        <f>if(ISNA(vlookup($A828, FantasyPro!$B$2:$E$514,4,false)),0,vlookup($A828,FantasyPro!$B$2:$E$514,4,false))</f>
        <v>0</v>
      </c>
      <c r="I828" s="36">
        <f>if(ISNA(vlookup($A828, FFToolbox!$B$2:$E$618, 4, false)), 0, vlookup($A828, FFToolbox!$B$2:$E$618, 4, false))</f>
        <v>0</v>
      </c>
      <c r="J828" s="37">
        <f t="shared" si="1"/>
        <v>0</v>
      </c>
      <c r="K828" s="37">
        <f t="shared" si="2"/>
        <v>0</v>
      </c>
    </row>
    <row r="829" hidden="1">
      <c r="A829" s="13" t="s">
        <v>541</v>
      </c>
      <c r="B829" s="34" t="s">
        <v>1061</v>
      </c>
      <c r="C829" s="5" t="s">
        <v>1007</v>
      </c>
      <c r="D829" s="5" t="s">
        <v>25</v>
      </c>
      <c r="E829" s="35">
        <f>vlookup(C829,'Team Bye List'!$A$1:$B$33,2,False)</f>
        <v>8</v>
      </c>
      <c r="F829" s="36">
        <f>if(ISNA(vlookup($A829, ESPN!$B$2:$E$1010, 4, false)), 0, vlookup($A829, ESPN!$B$2:$E$1010, 4, false))</f>
        <v>0</v>
      </c>
      <c r="G829" s="36">
        <f>if(ISNA(vlookup($A829,'Ultimate Draft Kit'!$B$2:$E$201,4, false)), 0, vlookup($A829,'Ultimate Draft Kit'!$B$2:$E$201, 4, false))</f>
        <v>0</v>
      </c>
      <c r="H829" s="36">
        <f>if(ISNA(vlookup($A829, FantasyPro!$B$2:$E$514,4,false)),0,vlookup($A829,FantasyPro!$B$2:$E$514,4,false))</f>
        <v>0</v>
      </c>
      <c r="I829" s="36">
        <f>if(ISNA(vlookup($A829, FFToolbox!$B$2:$E$618, 4, false)), 0, vlookup($A829, FFToolbox!$B$2:$E$618, 4, false))</f>
        <v>0</v>
      </c>
      <c r="J829" s="37">
        <f t="shared" si="1"/>
        <v>0</v>
      </c>
      <c r="K829" s="37">
        <f t="shared" si="2"/>
        <v>0</v>
      </c>
    </row>
    <row r="830" hidden="1">
      <c r="A830" s="13" t="s">
        <v>544</v>
      </c>
      <c r="B830" s="34" t="s">
        <v>1061</v>
      </c>
      <c r="C830" s="5" t="s">
        <v>69</v>
      </c>
      <c r="D830" s="5" t="s">
        <v>25</v>
      </c>
      <c r="E830" s="35">
        <f>vlookup(C830,'Team Bye List'!$A$1:$B$33,2,False)</f>
        <v>5</v>
      </c>
      <c r="F830" s="36">
        <f>if(ISNA(vlookup($A830, ESPN!$B$2:$E$1010, 4, false)), 0, vlookup($A830, ESPN!$B$2:$E$1010, 4, false))</f>
        <v>0</v>
      </c>
      <c r="G830" s="36">
        <f>if(ISNA(vlookup($A830,'Ultimate Draft Kit'!$B$2:$E$201,4, false)), 0, vlookup($A830,'Ultimate Draft Kit'!$B$2:$E$201, 4, false))</f>
        <v>0</v>
      </c>
      <c r="H830" s="36">
        <f>if(ISNA(vlookup($A830, FantasyPro!$B$2:$E$514,4,false)),0,vlookup($A830,FantasyPro!$B$2:$E$514,4,false))</f>
        <v>0</v>
      </c>
      <c r="I830" s="36">
        <f>if(ISNA(vlookup($A830, FFToolbox!$B$2:$E$618, 4, false)), 0, vlookup($A830, FFToolbox!$B$2:$E$618, 4, false))</f>
        <v>0</v>
      </c>
      <c r="J830" s="37">
        <f t="shared" si="1"/>
        <v>0</v>
      </c>
      <c r="K830" s="37">
        <f t="shared" si="2"/>
        <v>0</v>
      </c>
    </row>
    <row r="831" hidden="1">
      <c r="A831" s="13" t="s">
        <v>535</v>
      </c>
      <c r="B831" s="34" t="s">
        <v>1061</v>
      </c>
      <c r="C831" s="5" t="s">
        <v>69</v>
      </c>
      <c r="D831" s="5" t="s">
        <v>25</v>
      </c>
      <c r="E831" s="35">
        <f>vlookup(C831,'Team Bye List'!$A$1:$B$33,2,False)</f>
        <v>5</v>
      </c>
      <c r="F831" s="36">
        <f>if(ISNA(vlookup($A831, ESPN!$B$2:$E$1010, 4, false)), 0, vlookup($A831, ESPN!$B$2:$E$1010, 4, false))</f>
        <v>0</v>
      </c>
      <c r="G831" s="36">
        <f>if(ISNA(vlookup($A831,'Ultimate Draft Kit'!$B$2:$E$201,4, false)), 0, vlookup($A831,'Ultimate Draft Kit'!$B$2:$E$201, 4, false))</f>
        <v>0</v>
      </c>
      <c r="H831" s="36">
        <f>if(ISNA(vlookup($A831, FantasyPro!$B$2:$E$514,4,false)),0,vlookup($A831,FantasyPro!$B$2:$E$514,4,false))</f>
        <v>0</v>
      </c>
      <c r="I831" s="36">
        <f>if(ISNA(vlookup($A831, FFToolbox!$B$2:$E$618, 4, false)), 0, vlookup($A831, FFToolbox!$B$2:$E$618, 4, false))</f>
        <v>0</v>
      </c>
      <c r="J831" s="37">
        <f t="shared" si="1"/>
        <v>0</v>
      </c>
      <c r="K831" s="37">
        <f t="shared" si="2"/>
        <v>0</v>
      </c>
    </row>
    <row r="832" hidden="1">
      <c r="A832" s="13" t="s">
        <v>539</v>
      </c>
      <c r="B832" s="34" t="s">
        <v>1061</v>
      </c>
      <c r="C832" s="5" t="s">
        <v>77</v>
      </c>
      <c r="D832" s="5" t="s">
        <v>25</v>
      </c>
      <c r="E832" s="35">
        <f>vlookup(C832,'Team Bye List'!$A$1:$B$33,2,False)</f>
        <v>11</v>
      </c>
      <c r="F832" s="36">
        <f>if(ISNA(vlookup($A832, ESPN!$B$2:$E$1010, 4, false)), 0, vlookup($A832, ESPN!$B$2:$E$1010, 4, false))</f>
        <v>0</v>
      </c>
      <c r="G832" s="36">
        <f>if(ISNA(vlookup($A832,'Ultimate Draft Kit'!$B$2:$E$201,4, false)), 0, vlookup($A832,'Ultimate Draft Kit'!$B$2:$E$201, 4, false))</f>
        <v>0</v>
      </c>
      <c r="H832" s="36">
        <f>if(ISNA(vlookup($A832, FantasyPro!$B$2:$E$514,4,false)),0,vlookup($A832,FantasyPro!$B$2:$E$514,4,false))</f>
        <v>0</v>
      </c>
      <c r="I832" s="36">
        <f>if(ISNA(vlookup($A832, FFToolbox!$B$2:$E$618, 4, false)), 0, vlookup($A832, FFToolbox!$B$2:$E$618, 4, false))</f>
        <v>0</v>
      </c>
      <c r="J832" s="37">
        <f t="shared" si="1"/>
        <v>0</v>
      </c>
      <c r="K832" s="37">
        <f t="shared" si="2"/>
        <v>0</v>
      </c>
    </row>
    <row r="833" hidden="1">
      <c r="A833" s="13" t="s">
        <v>533</v>
      </c>
      <c r="B833" s="34" t="s">
        <v>1061</v>
      </c>
      <c r="C833" s="5" t="s">
        <v>32</v>
      </c>
      <c r="D833" s="5" t="s">
        <v>25</v>
      </c>
      <c r="E833" s="35">
        <f>vlookup(C833,'Team Bye List'!$A$1:$B$33,2,False)</f>
        <v>9</v>
      </c>
      <c r="F833" s="36">
        <f>if(ISNA(vlookup($A833, ESPN!$B$2:$E$1010, 4, false)), 0, vlookup($A833, ESPN!$B$2:$E$1010, 4, false))</f>
        <v>0</v>
      </c>
      <c r="G833" s="36">
        <f>if(ISNA(vlookup($A833,'Ultimate Draft Kit'!$B$2:$E$201,4, false)), 0, vlookup($A833,'Ultimate Draft Kit'!$B$2:$E$201, 4, false))</f>
        <v>0</v>
      </c>
      <c r="H833" s="36">
        <f>if(ISNA(vlookup($A833, FantasyPro!$B$2:$E$514,4,false)),0,vlookup($A833,FantasyPro!$B$2:$E$514,4,false))</f>
        <v>0</v>
      </c>
      <c r="I833" s="36">
        <f>if(ISNA(vlookup($A833, FFToolbox!$B$2:$E$618, 4, false)), 0, vlookup($A833, FFToolbox!$B$2:$E$618, 4, false))</f>
        <v>0</v>
      </c>
      <c r="J833" s="37">
        <f t="shared" si="1"/>
        <v>0</v>
      </c>
      <c r="K833" s="37">
        <f t="shared" si="2"/>
        <v>0</v>
      </c>
    </row>
    <row r="834" hidden="1">
      <c r="A834" s="13" t="s">
        <v>537</v>
      </c>
      <c r="B834" s="34" t="s">
        <v>1061</v>
      </c>
      <c r="C834" s="5" t="s">
        <v>6</v>
      </c>
      <c r="D834" s="5" t="s">
        <v>25</v>
      </c>
      <c r="E834" s="35">
        <f>vlookup(C834,'Team Bye List'!$A$1:$B$33,2,False)</f>
        <v>12</v>
      </c>
      <c r="F834" s="36">
        <f>if(ISNA(vlookup($A834, ESPN!$B$2:$E$1010, 4, false)), 0, vlookup($A834, ESPN!$B$2:$E$1010, 4, false))</f>
        <v>0</v>
      </c>
      <c r="G834" s="36">
        <f>if(ISNA(vlookup($A834,'Ultimate Draft Kit'!$B$2:$E$201,4, false)), 0, vlookup($A834,'Ultimate Draft Kit'!$B$2:$E$201, 4, false))</f>
        <v>0</v>
      </c>
      <c r="H834" s="36">
        <f>if(ISNA(vlookup($A834, FantasyPro!$B$2:$E$514,4,false)),0,vlookup($A834,FantasyPro!$B$2:$E$514,4,false))</f>
        <v>0</v>
      </c>
      <c r="I834" s="36">
        <f>if(ISNA(vlookup($A834, FFToolbox!$B$2:$E$618, 4, false)), 0, vlookup($A834, FFToolbox!$B$2:$E$618, 4, false))</f>
        <v>0</v>
      </c>
      <c r="J834" s="37">
        <f t="shared" si="1"/>
        <v>0</v>
      </c>
      <c r="K834" s="37">
        <f t="shared" si="2"/>
        <v>0</v>
      </c>
    </row>
    <row r="835" hidden="1">
      <c r="A835" s="13" t="s">
        <v>530</v>
      </c>
      <c r="B835" s="34" t="s">
        <v>1061</v>
      </c>
      <c r="C835" s="5" t="s">
        <v>44</v>
      </c>
      <c r="D835" s="5" t="s">
        <v>25</v>
      </c>
      <c r="E835" s="35">
        <f>vlookup(C835,'Team Bye List'!$A$1:$B$33,2,False)</f>
        <v>10</v>
      </c>
      <c r="F835" s="36">
        <f>if(ISNA(vlookup($A835, ESPN!$B$2:$E$1010, 4, false)), 0, vlookup($A835, ESPN!$B$2:$E$1010, 4, false))</f>
        <v>0</v>
      </c>
      <c r="G835" s="36">
        <f>if(ISNA(vlookup($A835,'Ultimate Draft Kit'!$B$2:$E$201,4, false)), 0, vlookup($A835,'Ultimate Draft Kit'!$B$2:$E$201, 4, false))</f>
        <v>0</v>
      </c>
      <c r="H835" s="36">
        <f>if(ISNA(vlookup($A835, FantasyPro!$B$2:$E$514,4,false)),0,vlookup($A835,FantasyPro!$B$2:$E$514,4,false))</f>
        <v>0</v>
      </c>
      <c r="I835" s="36">
        <f>if(ISNA(vlookup($A835, FFToolbox!$B$2:$E$618, 4, false)), 0, vlookup($A835, FFToolbox!$B$2:$E$618, 4, false))</f>
        <v>0</v>
      </c>
      <c r="J835" s="37">
        <f t="shared" si="1"/>
        <v>0</v>
      </c>
      <c r="K835" s="37">
        <f t="shared" si="2"/>
        <v>0</v>
      </c>
    </row>
    <row r="836" hidden="1">
      <c r="A836" s="13" t="s">
        <v>521</v>
      </c>
      <c r="B836" s="34" t="s">
        <v>1061</v>
      </c>
      <c r="C836" s="5" t="s">
        <v>56</v>
      </c>
      <c r="D836" s="5" t="s">
        <v>25</v>
      </c>
      <c r="E836" s="35">
        <f>vlookup(C836,'Team Bye List'!$A$1:$B$33,2,False)</f>
        <v>5</v>
      </c>
      <c r="F836" s="36">
        <f>if(ISNA(vlookup($A836, ESPN!$B$2:$E$1010, 4, false)), 0, vlookup($A836, ESPN!$B$2:$E$1010, 4, false))</f>
        <v>0</v>
      </c>
      <c r="G836" s="36">
        <f>if(ISNA(vlookup($A836,'Ultimate Draft Kit'!$B$2:$E$201,4, false)), 0, vlookup($A836,'Ultimate Draft Kit'!$B$2:$E$201, 4, false))</f>
        <v>0</v>
      </c>
      <c r="H836" s="36">
        <f>if(ISNA(vlookup($A836, FantasyPro!$B$2:$E$514,4,false)),0,vlookup($A836,FantasyPro!$B$2:$E$514,4,false))</f>
        <v>0</v>
      </c>
      <c r="I836" s="36">
        <f>if(ISNA(vlookup($A836, FFToolbox!$B$2:$E$618, 4, false)), 0, vlookup($A836, FFToolbox!$B$2:$E$618, 4, false))</f>
        <v>0</v>
      </c>
      <c r="J836" s="37">
        <f t="shared" si="1"/>
        <v>0</v>
      </c>
      <c r="K836" s="37">
        <f t="shared" si="2"/>
        <v>0</v>
      </c>
    </row>
    <row r="837" hidden="1">
      <c r="A837" s="13" t="s">
        <v>525</v>
      </c>
      <c r="B837" s="34" t="s">
        <v>1061</v>
      </c>
      <c r="C837" s="5" t="s">
        <v>34</v>
      </c>
      <c r="D837" s="5" t="s">
        <v>25</v>
      </c>
      <c r="E837" s="35">
        <f>vlookup(C837,'Team Bye List'!$A$1:$B$33,2,False)</f>
        <v>7</v>
      </c>
      <c r="F837" s="36">
        <f>if(ISNA(vlookup($A837, ESPN!$B$2:$E$1010, 4, false)), 0, vlookup($A837, ESPN!$B$2:$E$1010, 4, false))</f>
        <v>0</v>
      </c>
      <c r="G837" s="36">
        <f>if(ISNA(vlookup($A837,'Ultimate Draft Kit'!$B$2:$E$201,4, false)), 0, vlookup($A837,'Ultimate Draft Kit'!$B$2:$E$201, 4, false))</f>
        <v>0</v>
      </c>
      <c r="H837" s="36">
        <f>if(ISNA(vlookup($A837, FantasyPro!$B$2:$E$514,4,false)),0,vlookup($A837,FantasyPro!$B$2:$E$514,4,false))</f>
        <v>0</v>
      </c>
      <c r="I837" s="36">
        <f>if(ISNA(vlookup($A837, FFToolbox!$B$2:$E$618, 4, false)), 0, vlookup($A837, FFToolbox!$B$2:$E$618, 4, false))</f>
        <v>0</v>
      </c>
      <c r="J837" s="37">
        <f t="shared" si="1"/>
        <v>0</v>
      </c>
      <c r="K837" s="37">
        <f t="shared" si="2"/>
        <v>0</v>
      </c>
    </row>
    <row r="838" hidden="1">
      <c r="A838" s="13" t="s">
        <v>524</v>
      </c>
      <c r="B838" s="34" t="s">
        <v>1061</v>
      </c>
      <c r="C838" s="5" t="s">
        <v>18</v>
      </c>
      <c r="D838" s="5" t="s">
        <v>25</v>
      </c>
      <c r="E838" s="35">
        <f>vlookup(C838,'Team Bye List'!$A$1:$B$33,2,False)</f>
        <v>6</v>
      </c>
      <c r="F838" s="36">
        <f>if(ISNA(vlookup($A838, ESPN!$B$2:$E$1010, 4, false)), 0, vlookup($A838, ESPN!$B$2:$E$1010, 4, false))</f>
        <v>0</v>
      </c>
      <c r="G838" s="36">
        <f>if(ISNA(vlookup($A838,'Ultimate Draft Kit'!$B$2:$E$201,4, false)), 0, vlookup($A838,'Ultimate Draft Kit'!$B$2:$E$201, 4, false))</f>
        <v>0</v>
      </c>
      <c r="H838" s="36">
        <f>if(ISNA(vlookup($A838, FantasyPro!$B$2:$E$514,4,false)),0,vlookup($A838,FantasyPro!$B$2:$E$514,4,false))</f>
        <v>0</v>
      </c>
      <c r="I838" s="36">
        <f>if(ISNA(vlookup($A838, FFToolbox!$B$2:$E$618, 4, false)), 0, vlookup($A838, FFToolbox!$B$2:$E$618, 4, false))</f>
        <v>0</v>
      </c>
      <c r="J838" s="37">
        <f t="shared" si="1"/>
        <v>0</v>
      </c>
      <c r="K838" s="37">
        <f t="shared" si="2"/>
        <v>0</v>
      </c>
    </row>
    <row r="839" hidden="1">
      <c r="A839" s="13" t="s">
        <v>517</v>
      </c>
      <c r="B839" s="34" t="s">
        <v>1061</v>
      </c>
      <c r="C839" s="5" t="s">
        <v>44</v>
      </c>
      <c r="D839" s="5" t="s">
        <v>25</v>
      </c>
      <c r="E839" s="35">
        <f>vlookup(C839,'Team Bye List'!$A$1:$B$33,2,False)</f>
        <v>10</v>
      </c>
      <c r="F839" s="36">
        <f>if(ISNA(vlookup($A839, ESPN!$B$2:$E$1010, 4, false)), 0, vlookup($A839, ESPN!$B$2:$E$1010, 4, false))</f>
        <v>0</v>
      </c>
      <c r="G839" s="36">
        <f>if(ISNA(vlookup($A839,'Ultimate Draft Kit'!$B$2:$E$201,4, false)), 0, vlookup($A839,'Ultimate Draft Kit'!$B$2:$E$201, 4, false))</f>
        <v>0</v>
      </c>
      <c r="H839" s="36">
        <f>if(ISNA(vlookup($A839, FantasyPro!$B$2:$E$514,4,false)),0,vlookup($A839,FantasyPro!$B$2:$E$514,4,false))</f>
        <v>0</v>
      </c>
      <c r="I839" s="36">
        <f>if(ISNA(vlookup($A839, FFToolbox!$B$2:$E$618, 4, false)), 0, vlookup($A839, FFToolbox!$B$2:$E$618, 4, false))</f>
        <v>0</v>
      </c>
      <c r="J839" s="37">
        <f t="shared" si="1"/>
        <v>0</v>
      </c>
      <c r="K839" s="37">
        <f t="shared" si="2"/>
        <v>0</v>
      </c>
    </row>
    <row r="840" hidden="1">
      <c r="A840" s="13" t="s">
        <v>515</v>
      </c>
      <c r="B840" s="34" t="s">
        <v>1061</v>
      </c>
      <c r="C840" s="5" t="s">
        <v>86</v>
      </c>
      <c r="D840" s="5" t="s">
        <v>25</v>
      </c>
      <c r="E840" s="35">
        <f>vlookup(C840,'Team Bye List'!$A$1:$B$33,2,False)</f>
        <v>6</v>
      </c>
      <c r="F840" s="36">
        <f>if(ISNA(vlookup($A840, ESPN!$B$2:$E$1010, 4, false)), 0, vlookup($A840, ESPN!$B$2:$E$1010, 4, false))</f>
        <v>0</v>
      </c>
      <c r="G840" s="36">
        <f>if(ISNA(vlookup($A840,'Ultimate Draft Kit'!$B$2:$E$201,4, false)), 0, vlookup($A840,'Ultimate Draft Kit'!$B$2:$E$201, 4, false))</f>
        <v>0</v>
      </c>
      <c r="H840" s="36">
        <f>if(ISNA(vlookup($A840, FantasyPro!$B$2:$E$514,4,false)),0,vlookup($A840,FantasyPro!$B$2:$E$514,4,false))</f>
        <v>0</v>
      </c>
      <c r="I840" s="36">
        <f>if(ISNA(vlookup($A840, FFToolbox!$B$2:$E$618, 4, false)), 0, vlookup($A840, FFToolbox!$B$2:$E$618, 4, false))</f>
        <v>0</v>
      </c>
      <c r="J840" s="37">
        <f t="shared" si="1"/>
        <v>0</v>
      </c>
      <c r="K840" s="37">
        <f t="shared" si="2"/>
        <v>0</v>
      </c>
    </row>
    <row r="841" hidden="1">
      <c r="A841" s="13" t="s">
        <v>512</v>
      </c>
      <c r="B841" s="34" t="s">
        <v>1061</v>
      </c>
      <c r="C841" s="5" t="s">
        <v>63</v>
      </c>
      <c r="D841" s="5" t="s">
        <v>25</v>
      </c>
      <c r="E841" s="35">
        <f>vlookup(C841,'Team Bye List'!$A$1:$B$33,2,False)</f>
        <v>8</v>
      </c>
      <c r="F841" s="36">
        <f>if(ISNA(vlookup($A841, ESPN!$B$2:$E$1010, 4, false)), 0, vlookup($A841, ESPN!$B$2:$E$1010, 4, false))</f>
        <v>0</v>
      </c>
      <c r="G841" s="36">
        <f>if(ISNA(vlookup($A841,'Ultimate Draft Kit'!$B$2:$E$201,4, false)), 0, vlookup($A841,'Ultimate Draft Kit'!$B$2:$E$201, 4, false))</f>
        <v>0</v>
      </c>
      <c r="H841" s="36">
        <f>if(ISNA(vlookup($A841, FantasyPro!$B$2:$E$514,4,false)),0,vlookup($A841,FantasyPro!$B$2:$E$514,4,false))</f>
        <v>0</v>
      </c>
      <c r="I841" s="36">
        <f>if(ISNA(vlookup($A841, FFToolbox!$B$2:$E$618, 4, false)), 0, vlookup($A841, FFToolbox!$B$2:$E$618, 4, false))</f>
        <v>0</v>
      </c>
      <c r="J841" s="37">
        <f t="shared" si="1"/>
        <v>0</v>
      </c>
      <c r="K841" s="37">
        <f t="shared" si="2"/>
        <v>0</v>
      </c>
    </row>
    <row r="842" hidden="1">
      <c r="A842" s="13" t="s">
        <v>473</v>
      </c>
      <c r="B842" s="34" t="s">
        <v>1061</v>
      </c>
      <c r="C842" s="5" t="s">
        <v>257</v>
      </c>
      <c r="D842" s="5" t="s">
        <v>16</v>
      </c>
      <c r="E842" s="35" t="str">
        <f>vlookup(C842,'Team Bye List'!$A$1:$B$33,2,False)</f>
        <v>#N/A</v>
      </c>
      <c r="F842" s="36">
        <f>if(ISNA(vlookup($A842, ESPN!$B$2:$E$1010, 4, false)), 0, vlookup($A842, ESPN!$B$2:$E$1010, 4, false))</f>
        <v>0</v>
      </c>
      <c r="G842" s="36">
        <f>if(ISNA(vlookup($A842,'Ultimate Draft Kit'!$B$2:$E$201,4, false)), 0, vlookup($A842,'Ultimate Draft Kit'!$B$2:$E$201, 4, false))</f>
        <v>0</v>
      </c>
      <c r="H842" s="36">
        <f>if(ISNA(vlookup($A842, FantasyPro!$B$2:$E$514,4,false)),0,vlookup($A842,FantasyPro!$B$2:$E$514,4,false))</f>
        <v>0</v>
      </c>
      <c r="I842" s="36">
        <f>if(ISNA(vlookup($A842, FFToolbox!$B$2:$E$618, 4, false)), 0, vlookup($A842, FFToolbox!$B$2:$E$618, 4, false))</f>
        <v>0</v>
      </c>
      <c r="J842" s="37">
        <f t="shared" si="1"/>
        <v>0</v>
      </c>
      <c r="K842" s="37">
        <f t="shared" si="2"/>
        <v>0</v>
      </c>
    </row>
    <row r="843" hidden="1">
      <c r="A843" s="13" t="s">
        <v>447</v>
      </c>
      <c r="B843" s="34" t="s">
        <v>1061</v>
      </c>
      <c r="C843" s="5" t="s">
        <v>257</v>
      </c>
      <c r="D843" s="5" t="s">
        <v>16</v>
      </c>
      <c r="E843" s="35" t="str">
        <f>vlookup(C843,'Team Bye List'!$A$1:$B$33,2,False)</f>
        <v>#N/A</v>
      </c>
      <c r="F843" s="36">
        <f>if(ISNA(vlookup($A843, ESPN!$B$2:$E$1010, 4, false)), 0, vlookup($A843, ESPN!$B$2:$E$1010, 4, false))</f>
        <v>0</v>
      </c>
      <c r="G843" s="36">
        <f>if(ISNA(vlookup($A843,'Ultimate Draft Kit'!$B$2:$E$201,4, false)), 0, vlookup($A843,'Ultimate Draft Kit'!$B$2:$E$201, 4, false))</f>
        <v>0</v>
      </c>
      <c r="H843" s="36">
        <f>if(ISNA(vlookup($A843, FantasyPro!$B$2:$E$514,4,false)),0,vlookup($A843,FantasyPro!$B$2:$E$514,4,false))</f>
        <v>0</v>
      </c>
      <c r="I843" s="36">
        <f>if(ISNA(vlookup($A843, FFToolbox!$B$2:$E$618, 4, false)), 0, vlookup($A843, FFToolbox!$B$2:$E$618, 4, false))</f>
        <v>0</v>
      </c>
      <c r="J843" s="37">
        <f t="shared" si="1"/>
        <v>0</v>
      </c>
      <c r="K843" s="37">
        <f t="shared" si="2"/>
        <v>0</v>
      </c>
    </row>
    <row r="844" hidden="1">
      <c r="A844" s="13" t="s">
        <v>456</v>
      </c>
      <c r="B844" s="34" t="s">
        <v>1061</v>
      </c>
      <c r="C844" s="5" t="s">
        <v>32</v>
      </c>
      <c r="D844" s="5" t="s">
        <v>16</v>
      </c>
      <c r="E844" s="35">
        <f>vlookup(C844,'Team Bye List'!$A$1:$B$33,2,False)</f>
        <v>9</v>
      </c>
      <c r="F844" s="36">
        <f>if(ISNA(vlookup($A844, ESPN!$B$2:$E$1010, 4, false)), 0, vlookup($A844, ESPN!$B$2:$E$1010, 4, false))</f>
        <v>0</v>
      </c>
      <c r="G844" s="36">
        <f>if(ISNA(vlookup($A844,'Ultimate Draft Kit'!$B$2:$E$201,4, false)), 0, vlookup($A844,'Ultimate Draft Kit'!$B$2:$E$201, 4, false))</f>
        <v>0</v>
      </c>
      <c r="H844" s="36">
        <f>if(ISNA(vlookup($A844, FantasyPro!$B$2:$E$514,4,false)),0,vlookup($A844,FantasyPro!$B$2:$E$514,4,false))</f>
        <v>0</v>
      </c>
      <c r="I844" s="36">
        <f>if(ISNA(vlookup($A844, FFToolbox!$B$2:$E$618, 4, false)), 0, vlookup($A844, FFToolbox!$B$2:$E$618, 4, false))</f>
        <v>0</v>
      </c>
      <c r="J844" s="37">
        <f t="shared" si="1"/>
        <v>0</v>
      </c>
      <c r="K844" s="37">
        <f t="shared" si="2"/>
        <v>0</v>
      </c>
    </row>
    <row r="845" hidden="1">
      <c r="A845" s="13" t="s">
        <v>437</v>
      </c>
      <c r="B845" s="34" t="s">
        <v>1061</v>
      </c>
      <c r="C845" s="5" t="s">
        <v>257</v>
      </c>
      <c r="D845" s="5" t="s">
        <v>16</v>
      </c>
      <c r="E845" s="35" t="str">
        <f>vlookup(C845,'Team Bye List'!$A$1:$B$33,2,False)</f>
        <v>#N/A</v>
      </c>
      <c r="F845" s="36">
        <f>if(ISNA(vlookup($A845, ESPN!$B$2:$E$1010, 4, false)), 0, vlookup($A845, ESPN!$B$2:$E$1010, 4, false))</f>
        <v>0</v>
      </c>
      <c r="G845" s="36">
        <f>if(ISNA(vlookup($A845,'Ultimate Draft Kit'!$B$2:$E$201,4, false)), 0, vlookup($A845,'Ultimate Draft Kit'!$B$2:$E$201, 4, false))</f>
        <v>0</v>
      </c>
      <c r="H845" s="36">
        <f>if(ISNA(vlookup($A845, FantasyPro!$B$2:$E$514,4,false)),0,vlookup($A845,FantasyPro!$B$2:$E$514,4,false))</f>
        <v>0</v>
      </c>
      <c r="I845" s="36">
        <f>if(ISNA(vlookup($A845, FFToolbox!$B$2:$E$618, 4, false)), 0, vlookup($A845, FFToolbox!$B$2:$E$618, 4, false))</f>
        <v>0</v>
      </c>
      <c r="J845" s="37">
        <f t="shared" si="1"/>
        <v>0</v>
      </c>
      <c r="K845" s="37">
        <f t="shared" si="2"/>
        <v>0</v>
      </c>
    </row>
    <row r="846" hidden="1">
      <c r="A846" s="13" t="s">
        <v>482</v>
      </c>
      <c r="B846" s="34" t="s">
        <v>1061</v>
      </c>
      <c r="C846" s="5" t="s">
        <v>257</v>
      </c>
      <c r="D846" s="5" t="s">
        <v>16</v>
      </c>
      <c r="E846" s="35" t="str">
        <f>vlookup(C846,'Team Bye List'!$A$1:$B$33,2,False)</f>
        <v>#N/A</v>
      </c>
      <c r="F846" s="36">
        <f>if(ISNA(vlookup($A846, ESPN!$B$2:$E$1010, 4, false)), 0, vlookup($A846, ESPN!$B$2:$E$1010, 4, false))</f>
        <v>0</v>
      </c>
      <c r="G846" s="36">
        <f>if(ISNA(vlookup($A846,'Ultimate Draft Kit'!$B$2:$E$201,4, false)), 0, vlookup($A846,'Ultimate Draft Kit'!$B$2:$E$201, 4, false))</f>
        <v>0</v>
      </c>
      <c r="H846" s="36">
        <f>if(ISNA(vlookup($A846, FantasyPro!$B$2:$E$514,4,false)),0,vlookup($A846,FantasyPro!$B$2:$E$514,4,false))</f>
        <v>0</v>
      </c>
      <c r="I846" s="36">
        <f>if(ISNA(vlookup($A846, FFToolbox!$B$2:$E$618, 4, false)), 0, vlookup($A846, FFToolbox!$B$2:$E$618, 4, false))</f>
        <v>0</v>
      </c>
      <c r="J846" s="37">
        <f t="shared" si="1"/>
        <v>0</v>
      </c>
      <c r="K846" s="37">
        <f t="shared" si="2"/>
        <v>0</v>
      </c>
    </row>
    <row r="847" hidden="1">
      <c r="A847" s="13" t="s">
        <v>499</v>
      </c>
      <c r="B847" s="34" t="s">
        <v>1061</v>
      </c>
      <c r="C847" s="5" t="s">
        <v>257</v>
      </c>
      <c r="D847" s="5" t="s">
        <v>16</v>
      </c>
      <c r="E847" s="35" t="str">
        <f>vlookup(C847,'Team Bye List'!$A$1:$B$33,2,False)</f>
        <v>#N/A</v>
      </c>
      <c r="F847" s="36">
        <f>if(ISNA(vlookup($A847, ESPN!$B$2:$E$1010, 4, false)), 0, vlookup($A847, ESPN!$B$2:$E$1010, 4, false))</f>
        <v>0</v>
      </c>
      <c r="G847" s="36">
        <f>if(ISNA(vlookup($A847,'Ultimate Draft Kit'!$B$2:$E$201,4, false)), 0, vlookup($A847,'Ultimate Draft Kit'!$B$2:$E$201, 4, false))</f>
        <v>0</v>
      </c>
      <c r="H847" s="36">
        <f>if(ISNA(vlookup($A847, FantasyPro!$B$2:$E$514,4,false)),0,vlookup($A847,FantasyPro!$B$2:$E$514,4,false))</f>
        <v>0</v>
      </c>
      <c r="I847" s="36">
        <f>if(ISNA(vlookup($A847, FFToolbox!$B$2:$E$618, 4, false)), 0, vlookup($A847, FFToolbox!$B$2:$E$618, 4, false))</f>
        <v>0</v>
      </c>
      <c r="J847" s="37">
        <f t="shared" si="1"/>
        <v>0</v>
      </c>
      <c r="K847" s="37">
        <f t="shared" si="2"/>
        <v>0</v>
      </c>
    </row>
    <row r="848" hidden="1">
      <c r="A848" s="13" t="s">
        <v>487</v>
      </c>
      <c r="B848" s="34" t="s">
        <v>1061</v>
      </c>
      <c r="C848" s="5" t="s">
        <v>257</v>
      </c>
      <c r="D848" s="5" t="s">
        <v>16</v>
      </c>
      <c r="E848" s="35" t="str">
        <f>vlookup(C848,'Team Bye List'!$A$1:$B$33,2,False)</f>
        <v>#N/A</v>
      </c>
      <c r="F848" s="36">
        <f>if(ISNA(vlookup($A848, ESPN!$B$2:$E$1010, 4, false)), 0, vlookup($A848, ESPN!$B$2:$E$1010, 4, false))</f>
        <v>0</v>
      </c>
      <c r="G848" s="36">
        <f>if(ISNA(vlookup($A848,'Ultimate Draft Kit'!$B$2:$E$201,4, false)), 0, vlookup($A848,'Ultimate Draft Kit'!$B$2:$E$201, 4, false))</f>
        <v>0</v>
      </c>
      <c r="H848" s="36">
        <f>if(ISNA(vlookup($A848, FantasyPro!$B$2:$E$514,4,false)),0,vlookup($A848,FantasyPro!$B$2:$E$514,4,false))</f>
        <v>0</v>
      </c>
      <c r="I848" s="36">
        <f>if(ISNA(vlookup($A848, FFToolbox!$B$2:$E$618, 4, false)), 0, vlookup($A848, FFToolbox!$B$2:$E$618, 4, false))</f>
        <v>0</v>
      </c>
      <c r="J848" s="37">
        <f t="shared" si="1"/>
        <v>0</v>
      </c>
      <c r="K848" s="37">
        <f t="shared" si="2"/>
        <v>0</v>
      </c>
    </row>
    <row r="849" hidden="1">
      <c r="A849" s="13" t="s">
        <v>449</v>
      </c>
      <c r="B849" s="34" t="s">
        <v>1061</v>
      </c>
      <c r="C849" s="5" t="s">
        <v>77</v>
      </c>
      <c r="D849" s="5" t="s">
        <v>16</v>
      </c>
      <c r="E849" s="35">
        <f>vlookup(C849,'Team Bye List'!$A$1:$B$33,2,False)</f>
        <v>11</v>
      </c>
      <c r="F849" s="36">
        <f>if(ISNA(vlookup($A849, ESPN!$B$2:$E$1010, 4, false)), 0, vlookup($A849, ESPN!$B$2:$E$1010, 4, false))</f>
        <v>0</v>
      </c>
      <c r="G849" s="36">
        <f>if(ISNA(vlookup($A849,'Ultimate Draft Kit'!$B$2:$E$201,4, false)), 0, vlookup($A849,'Ultimate Draft Kit'!$B$2:$E$201, 4, false))</f>
        <v>0</v>
      </c>
      <c r="H849" s="36">
        <f>if(ISNA(vlookup($A849, FantasyPro!$B$2:$E$514,4,false)),0,vlookup($A849,FantasyPro!$B$2:$E$514,4,false))</f>
        <v>0</v>
      </c>
      <c r="I849" s="36">
        <f>if(ISNA(vlookup($A849, FFToolbox!$B$2:$E$618, 4, false)), 0, vlookup($A849, FFToolbox!$B$2:$E$618, 4, false))</f>
        <v>0</v>
      </c>
      <c r="J849" s="37">
        <f t="shared" si="1"/>
        <v>0</v>
      </c>
      <c r="K849" s="37">
        <f t="shared" si="2"/>
        <v>0</v>
      </c>
    </row>
    <row r="850" hidden="1">
      <c r="A850" s="13" t="s">
        <v>445</v>
      </c>
      <c r="B850" s="34" t="s">
        <v>1061</v>
      </c>
      <c r="C850" s="5" t="s">
        <v>257</v>
      </c>
      <c r="D850" s="5" t="s">
        <v>16</v>
      </c>
      <c r="E850" s="35" t="str">
        <f>vlookup(C850,'Team Bye List'!$A$1:$B$33,2,False)</f>
        <v>#N/A</v>
      </c>
      <c r="F850" s="36">
        <f>if(ISNA(vlookup($A850, ESPN!$B$2:$E$1010, 4, false)), 0, vlookup($A850, ESPN!$B$2:$E$1010, 4, false))</f>
        <v>0</v>
      </c>
      <c r="G850" s="36">
        <f>if(ISNA(vlookup($A850,'Ultimate Draft Kit'!$B$2:$E$201,4, false)), 0, vlookup($A850,'Ultimate Draft Kit'!$B$2:$E$201, 4, false))</f>
        <v>0</v>
      </c>
      <c r="H850" s="36">
        <f>if(ISNA(vlookup($A850, FantasyPro!$B$2:$E$514,4,false)),0,vlookup($A850,FantasyPro!$B$2:$E$514,4,false))</f>
        <v>0</v>
      </c>
      <c r="I850" s="36">
        <f>if(ISNA(vlookup($A850, FFToolbox!$B$2:$E$618, 4, false)), 0, vlookup($A850, FFToolbox!$B$2:$E$618, 4, false))</f>
        <v>0</v>
      </c>
      <c r="J850" s="37">
        <f t="shared" si="1"/>
        <v>0</v>
      </c>
      <c r="K850" s="37">
        <f t="shared" si="2"/>
        <v>0</v>
      </c>
    </row>
    <row r="851" hidden="1">
      <c r="A851" s="13" t="s">
        <v>483</v>
      </c>
      <c r="B851" s="34" t="s">
        <v>1061</v>
      </c>
      <c r="C851" s="5" t="s">
        <v>257</v>
      </c>
      <c r="D851" s="5" t="s">
        <v>16</v>
      </c>
      <c r="E851" s="35" t="str">
        <f>vlookup(C851,'Team Bye List'!$A$1:$B$33,2,False)</f>
        <v>#N/A</v>
      </c>
      <c r="F851" s="36">
        <f>if(ISNA(vlookup($A851, ESPN!$B$2:$E$1010, 4, false)), 0, vlookup($A851, ESPN!$B$2:$E$1010, 4, false))</f>
        <v>0</v>
      </c>
      <c r="G851" s="36">
        <f>if(ISNA(vlookup($A851,'Ultimate Draft Kit'!$B$2:$E$201,4, false)), 0, vlookup($A851,'Ultimate Draft Kit'!$B$2:$E$201, 4, false))</f>
        <v>0</v>
      </c>
      <c r="H851" s="36">
        <f>if(ISNA(vlookup($A851, FantasyPro!$B$2:$E$514,4,false)),0,vlookup($A851,FantasyPro!$B$2:$E$514,4,false))</f>
        <v>0</v>
      </c>
      <c r="I851" s="36">
        <f>if(ISNA(vlookup($A851, FFToolbox!$B$2:$E$618, 4, false)), 0, vlookup($A851, FFToolbox!$B$2:$E$618, 4, false))</f>
        <v>0</v>
      </c>
      <c r="J851" s="37">
        <f t="shared" si="1"/>
        <v>0</v>
      </c>
      <c r="K851" s="37">
        <f t="shared" si="2"/>
        <v>0</v>
      </c>
    </row>
    <row r="852" hidden="1">
      <c r="A852" s="13" t="s">
        <v>489</v>
      </c>
      <c r="B852" s="34" t="s">
        <v>1061</v>
      </c>
      <c r="C852" s="5" t="s">
        <v>257</v>
      </c>
      <c r="D852" s="5" t="s">
        <v>16</v>
      </c>
      <c r="E852" s="35" t="str">
        <f>vlookup(C852,'Team Bye List'!$A$1:$B$33,2,False)</f>
        <v>#N/A</v>
      </c>
      <c r="F852" s="36">
        <f>if(ISNA(vlookup($A852, ESPN!$B$2:$E$1010, 4, false)), 0, vlookup($A852, ESPN!$B$2:$E$1010, 4, false))</f>
        <v>0</v>
      </c>
      <c r="G852" s="36">
        <f>if(ISNA(vlookup($A852,'Ultimate Draft Kit'!$B$2:$E$201,4, false)), 0, vlookup($A852,'Ultimate Draft Kit'!$B$2:$E$201, 4, false))</f>
        <v>0</v>
      </c>
      <c r="H852" s="36">
        <f>if(ISNA(vlookup($A852, FantasyPro!$B$2:$E$514,4,false)),0,vlookup($A852,FantasyPro!$B$2:$E$514,4,false))</f>
        <v>0</v>
      </c>
      <c r="I852" s="36">
        <f>if(ISNA(vlookup($A852, FFToolbox!$B$2:$E$618, 4, false)), 0, vlookup($A852, FFToolbox!$B$2:$E$618, 4, false))</f>
        <v>0</v>
      </c>
      <c r="J852" s="37">
        <f t="shared" si="1"/>
        <v>0</v>
      </c>
      <c r="K852" s="37">
        <f t="shared" si="2"/>
        <v>0</v>
      </c>
    </row>
    <row r="853" hidden="1">
      <c r="A853" s="13" t="s">
        <v>432</v>
      </c>
      <c r="B853" s="34" t="s">
        <v>1061</v>
      </c>
      <c r="C853" s="5" t="s">
        <v>22</v>
      </c>
      <c r="D853" s="5" t="s">
        <v>16</v>
      </c>
      <c r="E853" s="35">
        <f>vlookup(C853,'Team Bye List'!$A$1:$B$33,2,False)</f>
        <v>7</v>
      </c>
      <c r="F853" s="36">
        <f>if(ISNA(vlookup($A853, ESPN!$B$2:$E$1010, 4, false)), 0, vlookup($A853, ESPN!$B$2:$E$1010, 4, false))</f>
        <v>0</v>
      </c>
      <c r="G853" s="36">
        <f>if(ISNA(vlookup($A853,'Ultimate Draft Kit'!$B$2:$E$201,4, false)), 0, vlookup($A853,'Ultimate Draft Kit'!$B$2:$E$201, 4, false))</f>
        <v>0</v>
      </c>
      <c r="H853" s="36">
        <f>if(ISNA(vlookup($A853, FantasyPro!$B$2:$E$514,4,false)),0,vlookup($A853,FantasyPro!$B$2:$E$514,4,false))</f>
        <v>0</v>
      </c>
      <c r="I853" s="36">
        <f>if(ISNA(vlookup($A853, FFToolbox!$B$2:$E$618, 4, false)), 0, vlookup($A853, FFToolbox!$B$2:$E$618, 4, false))</f>
        <v>0</v>
      </c>
      <c r="J853" s="37">
        <f t="shared" si="1"/>
        <v>0</v>
      </c>
      <c r="K853" s="37">
        <f t="shared" si="2"/>
        <v>0</v>
      </c>
    </row>
    <row r="854" hidden="1">
      <c r="A854" s="13" t="s">
        <v>436</v>
      </c>
      <c r="B854" s="34" t="s">
        <v>1061</v>
      </c>
      <c r="C854" s="5" t="s">
        <v>92</v>
      </c>
      <c r="D854" s="5" t="s">
        <v>16</v>
      </c>
      <c r="E854" s="35">
        <f>vlookup(C854,'Team Bye List'!$A$1:$B$33,2,False)</f>
        <v>8</v>
      </c>
      <c r="F854" s="36">
        <f>if(ISNA(vlookup($A854, ESPN!$B$2:$E$1010, 4, false)), 0, vlookup($A854, ESPN!$B$2:$E$1010, 4, false))</f>
        <v>0</v>
      </c>
      <c r="G854" s="36">
        <f>if(ISNA(vlookup($A854,'Ultimate Draft Kit'!$B$2:$E$201,4, false)), 0, vlookup($A854,'Ultimate Draft Kit'!$B$2:$E$201, 4, false))</f>
        <v>0</v>
      </c>
      <c r="H854" s="36">
        <f>if(ISNA(vlookup($A854, FantasyPro!$B$2:$E$514,4,false)),0,vlookup($A854,FantasyPro!$B$2:$E$514,4,false))</f>
        <v>0</v>
      </c>
      <c r="I854" s="36">
        <f>if(ISNA(vlookup($A854, FFToolbox!$B$2:$E$618, 4, false)), 0, vlookup($A854, FFToolbox!$B$2:$E$618, 4, false))</f>
        <v>0</v>
      </c>
      <c r="J854" s="37">
        <f t="shared" si="1"/>
        <v>0</v>
      </c>
      <c r="K854" s="37">
        <f t="shared" si="2"/>
        <v>0</v>
      </c>
    </row>
    <row r="855" hidden="1">
      <c r="A855" s="13" t="s">
        <v>497</v>
      </c>
      <c r="B855" s="34" t="s">
        <v>1061</v>
      </c>
      <c r="C855" s="5" t="s">
        <v>44</v>
      </c>
      <c r="D855" s="5" t="s">
        <v>16</v>
      </c>
      <c r="E855" s="35">
        <f>vlookup(C855,'Team Bye List'!$A$1:$B$33,2,False)</f>
        <v>10</v>
      </c>
      <c r="F855" s="36">
        <f>if(ISNA(vlookup($A855, ESPN!$B$2:$E$1010, 4, false)), 0, vlookup($A855, ESPN!$B$2:$E$1010, 4, false))</f>
        <v>0</v>
      </c>
      <c r="G855" s="36">
        <f>if(ISNA(vlookup($A855,'Ultimate Draft Kit'!$B$2:$E$201,4, false)), 0, vlookup($A855,'Ultimate Draft Kit'!$B$2:$E$201, 4, false))</f>
        <v>0</v>
      </c>
      <c r="H855" s="36">
        <f>if(ISNA(vlookup($A855, FantasyPro!$B$2:$E$514,4,false)),0,vlookup($A855,FantasyPro!$B$2:$E$514,4,false))</f>
        <v>0</v>
      </c>
      <c r="I855" s="36">
        <f>if(ISNA(vlookup($A855, FFToolbox!$B$2:$E$618, 4, false)), 0, vlookup($A855, FFToolbox!$B$2:$E$618, 4, false))</f>
        <v>0</v>
      </c>
      <c r="J855" s="37">
        <f t="shared" si="1"/>
        <v>0</v>
      </c>
      <c r="K855" s="37">
        <f t="shared" si="2"/>
        <v>0</v>
      </c>
    </row>
    <row r="856" hidden="1">
      <c r="A856" s="13" t="s">
        <v>475</v>
      </c>
      <c r="B856" s="34" t="s">
        <v>1061</v>
      </c>
      <c r="C856" s="5" t="s">
        <v>257</v>
      </c>
      <c r="D856" s="5" t="s">
        <v>16</v>
      </c>
      <c r="E856" s="35" t="str">
        <f>vlookup(C856,'Team Bye List'!$A$1:$B$33,2,False)</f>
        <v>#N/A</v>
      </c>
      <c r="F856" s="36">
        <f>if(ISNA(vlookup($A856, ESPN!$B$2:$E$1010, 4, false)), 0, vlookup($A856, ESPN!$B$2:$E$1010, 4, false))</f>
        <v>0</v>
      </c>
      <c r="G856" s="36">
        <f>if(ISNA(vlookup($A856,'Ultimate Draft Kit'!$B$2:$E$201,4, false)), 0, vlookup($A856,'Ultimate Draft Kit'!$B$2:$E$201, 4, false))</f>
        <v>0</v>
      </c>
      <c r="H856" s="36">
        <f>if(ISNA(vlookup($A856, FantasyPro!$B$2:$E$514,4,false)),0,vlookup($A856,FantasyPro!$B$2:$E$514,4,false))</f>
        <v>0</v>
      </c>
      <c r="I856" s="36">
        <f>if(ISNA(vlookup($A856, FFToolbox!$B$2:$E$618, 4, false)), 0, vlookup($A856, FFToolbox!$B$2:$E$618, 4, false))</f>
        <v>0</v>
      </c>
      <c r="J856" s="37">
        <f t="shared" si="1"/>
        <v>0</v>
      </c>
      <c r="K856" s="37">
        <f t="shared" si="2"/>
        <v>0</v>
      </c>
    </row>
    <row r="857" hidden="1">
      <c r="A857" s="13" t="s">
        <v>503</v>
      </c>
      <c r="B857" s="34" t="s">
        <v>1061</v>
      </c>
      <c r="C857" s="5" t="s">
        <v>104</v>
      </c>
      <c r="D857" s="5" t="s">
        <v>16</v>
      </c>
      <c r="E857" s="35">
        <f>vlookup(C857,'Team Bye List'!$A$1:$B$33,2,False)</f>
        <v>7</v>
      </c>
      <c r="F857" s="36">
        <f>if(ISNA(vlookup($A857, ESPN!$B$2:$E$1010, 4, false)), 0, vlookup($A857, ESPN!$B$2:$E$1010, 4, false))</f>
        <v>0</v>
      </c>
      <c r="G857" s="36">
        <f>if(ISNA(vlookup($A857,'Ultimate Draft Kit'!$B$2:$E$201,4, false)), 0, vlookup($A857,'Ultimate Draft Kit'!$B$2:$E$201, 4, false))</f>
        <v>0</v>
      </c>
      <c r="H857" s="36">
        <f>if(ISNA(vlookup($A857, FantasyPro!$B$2:$E$514,4,false)),0,vlookup($A857,FantasyPro!$B$2:$E$514,4,false))</f>
        <v>0</v>
      </c>
      <c r="I857" s="36">
        <f>if(ISNA(vlookup($A857, FFToolbox!$B$2:$E$618, 4, false)), 0, vlookup($A857, FFToolbox!$B$2:$E$618, 4, false))</f>
        <v>0</v>
      </c>
      <c r="J857" s="37">
        <f t="shared" si="1"/>
        <v>0</v>
      </c>
      <c r="K857" s="37">
        <f t="shared" si="2"/>
        <v>0</v>
      </c>
    </row>
    <row r="858" hidden="1">
      <c r="A858" s="13" t="s">
        <v>1098</v>
      </c>
      <c r="B858" s="34" t="s">
        <v>1061</v>
      </c>
      <c r="C858" s="5" t="s">
        <v>257</v>
      </c>
      <c r="D858" s="5" t="s">
        <v>7</v>
      </c>
      <c r="E858" s="35" t="str">
        <f>vlookup(C858,'Team Bye List'!$A$1:$B$33,2,False)</f>
        <v>#N/A</v>
      </c>
      <c r="F858" s="36">
        <f>if(ISNA(vlookup($A858, ESPN!$B$2:$E$1010, 4, false)), 0, vlookup($A858, ESPN!$B$2:$E$1010, 4, false))</f>
        <v>0</v>
      </c>
      <c r="G858" s="36">
        <f>if(ISNA(vlookup($A858,'Ultimate Draft Kit'!$B$2:$E$201,4, false)), 0, vlookup($A858,'Ultimate Draft Kit'!$B$2:$E$201, 4, false))</f>
        <v>0</v>
      </c>
      <c r="H858" s="36">
        <f>if(ISNA(vlookup($A858, FantasyPro!$B$2:$E$514,4,false)),0,vlookup($A858,FantasyPro!$B$2:$E$514,4,false))</f>
        <v>0</v>
      </c>
      <c r="I858" s="36">
        <f>if(ISNA(vlookup($A858, FFToolbox!$B$2:$E$618, 4, false)), 0, vlookup($A858, FFToolbox!$B$2:$E$618, 4, false))</f>
        <v>0</v>
      </c>
      <c r="J858" s="37">
        <f t="shared" si="1"/>
        <v>0</v>
      </c>
      <c r="K858" s="37">
        <f t="shared" si="2"/>
        <v>0</v>
      </c>
    </row>
    <row r="859" hidden="1">
      <c r="A859" s="13" t="s">
        <v>433</v>
      </c>
      <c r="B859" s="34" t="s">
        <v>1061</v>
      </c>
      <c r="C859" s="5" t="s">
        <v>27</v>
      </c>
      <c r="D859" s="5" t="s">
        <v>16</v>
      </c>
      <c r="E859" s="35">
        <f>vlookup(C859,'Team Bye List'!$A$1:$B$33,2,False)</f>
        <v>11</v>
      </c>
      <c r="F859" s="36">
        <f>if(ISNA(vlookup($A859, ESPN!$B$2:$E$1010, 4, false)), 0, vlookup($A859, ESPN!$B$2:$E$1010, 4, false))</f>
        <v>0</v>
      </c>
      <c r="G859" s="36">
        <f>if(ISNA(vlookup($A859,'Ultimate Draft Kit'!$B$2:$E$201,4, false)), 0, vlookup($A859,'Ultimate Draft Kit'!$B$2:$E$201, 4, false))</f>
        <v>0</v>
      </c>
      <c r="H859" s="36">
        <f>if(ISNA(vlookup($A859, FantasyPro!$B$2:$E$514,4,false)),0,vlookup($A859,FantasyPro!$B$2:$E$514,4,false))</f>
        <v>0</v>
      </c>
      <c r="I859" s="36">
        <f>if(ISNA(vlookup($A859, FFToolbox!$B$2:$E$618, 4, false)), 0, vlookup($A859, FFToolbox!$B$2:$E$618, 4, false))</f>
        <v>0</v>
      </c>
      <c r="J859" s="37">
        <f t="shared" si="1"/>
        <v>0</v>
      </c>
      <c r="K859" s="37">
        <f t="shared" si="2"/>
        <v>0</v>
      </c>
    </row>
    <row r="860" hidden="1">
      <c r="A860" s="13" t="s">
        <v>442</v>
      </c>
      <c r="B860" s="34" t="s">
        <v>1061</v>
      </c>
      <c r="C860" s="5" t="s">
        <v>38</v>
      </c>
      <c r="D860" s="5" t="s">
        <v>16</v>
      </c>
      <c r="E860" s="35">
        <f>vlookup(C860,'Team Bye List'!$A$1:$B$33,2,False)</f>
        <v>12</v>
      </c>
      <c r="F860" s="36">
        <f>if(ISNA(vlookup($A860, ESPN!$B$2:$E$1010, 4, false)), 0, vlookup($A860, ESPN!$B$2:$E$1010, 4, false))</f>
        <v>0</v>
      </c>
      <c r="G860" s="36">
        <f>if(ISNA(vlookup($A860,'Ultimate Draft Kit'!$B$2:$E$201,4, false)), 0, vlookup($A860,'Ultimate Draft Kit'!$B$2:$E$201, 4, false))</f>
        <v>0</v>
      </c>
      <c r="H860" s="36">
        <f>if(ISNA(vlookup($A860, FantasyPro!$B$2:$E$514,4,false)),0,vlookup($A860,FantasyPro!$B$2:$E$514,4,false))</f>
        <v>0</v>
      </c>
      <c r="I860" s="36">
        <f>if(ISNA(vlookup($A860, FFToolbox!$B$2:$E$618, 4, false)), 0, vlookup($A860, FFToolbox!$B$2:$E$618, 4, false))</f>
        <v>0</v>
      </c>
      <c r="J860" s="37">
        <f t="shared" si="1"/>
        <v>0</v>
      </c>
      <c r="K860" s="37">
        <f t="shared" si="2"/>
        <v>0</v>
      </c>
    </row>
    <row r="861" hidden="1">
      <c r="A861" s="13" t="s">
        <v>448</v>
      </c>
      <c r="B861" s="34" t="s">
        <v>1061</v>
      </c>
      <c r="C861" s="5" t="s">
        <v>14</v>
      </c>
      <c r="D861" s="5" t="s">
        <v>16</v>
      </c>
      <c r="E861" s="35">
        <f>vlookup(C861,'Team Bye List'!$A$1:$B$33,2,False)</f>
        <v>10</v>
      </c>
      <c r="F861" s="36">
        <f>if(ISNA(vlookup($A861, ESPN!$B$2:$E$1010, 4, false)), 0, vlookup($A861, ESPN!$B$2:$E$1010, 4, false))</f>
        <v>0</v>
      </c>
      <c r="G861" s="36">
        <f>if(ISNA(vlookup($A861,'Ultimate Draft Kit'!$B$2:$E$201,4, false)), 0, vlookup($A861,'Ultimate Draft Kit'!$B$2:$E$201, 4, false))</f>
        <v>0</v>
      </c>
      <c r="H861" s="36">
        <f>if(ISNA(vlookup($A861, FantasyPro!$B$2:$E$514,4,false)),0,vlookup($A861,FantasyPro!$B$2:$E$514,4,false))</f>
        <v>0</v>
      </c>
      <c r="I861" s="36">
        <f>if(ISNA(vlookup($A861, FFToolbox!$B$2:$E$618, 4, false)), 0, vlookup($A861, FFToolbox!$B$2:$E$618, 4, false))</f>
        <v>0</v>
      </c>
      <c r="J861" s="37">
        <f t="shared" si="1"/>
        <v>0</v>
      </c>
      <c r="K861" s="37">
        <f t="shared" si="2"/>
        <v>0</v>
      </c>
    </row>
    <row r="862" hidden="1">
      <c r="A862" s="13" t="s">
        <v>462</v>
      </c>
      <c r="B862" s="34" t="s">
        <v>1061</v>
      </c>
      <c r="C862" s="5" t="s">
        <v>24</v>
      </c>
      <c r="D862" s="5" t="s">
        <v>16</v>
      </c>
      <c r="E862" s="35">
        <f>vlookup(C862,'Team Bye List'!$A$1:$B$33,2,False)</f>
        <v>6</v>
      </c>
      <c r="F862" s="36">
        <f>if(ISNA(vlookup($A862, ESPN!$B$2:$E$1010, 4, false)), 0, vlookup($A862, ESPN!$B$2:$E$1010, 4, false))</f>
        <v>0</v>
      </c>
      <c r="G862" s="36">
        <f>if(ISNA(vlookup($A862,'Ultimate Draft Kit'!$B$2:$E$201,4, false)), 0, vlookup($A862,'Ultimate Draft Kit'!$B$2:$E$201, 4, false))</f>
        <v>0</v>
      </c>
      <c r="H862" s="36">
        <f>if(ISNA(vlookup($A862, FantasyPro!$B$2:$E$514,4,false)),0,vlookup($A862,FantasyPro!$B$2:$E$514,4,false))</f>
        <v>0</v>
      </c>
      <c r="I862" s="36">
        <f>if(ISNA(vlookup($A862, FFToolbox!$B$2:$E$618, 4, false)), 0, vlookup($A862, FFToolbox!$B$2:$E$618, 4, false))</f>
        <v>0</v>
      </c>
      <c r="J862" s="37">
        <f t="shared" si="1"/>
        <v>0</v>
      </c>
      <c r="K862" s="37">
        <f t="shared" si="2"/>
        <v>0</v>
      </c>
    </row>
    <row r="863" hidden="1">
      <c r="A863" s="13" t="s">
        <v>450</v>
      </c>
      <c r="B863" s="34" t="s">
        <v>1061</v>
      </c>
      <c r="C863" s="5" t="s">
        <v>257</v>
      </c>
      <c r="D863" s="5" t="s">
        <v>16</v>
      </c>
      <c r="E863" s="35" t="str">
        <f>vlookup(C863,'Team Bye List'!$A$1:$B$33,2,False)</f>
        <v>#N/A</v>
      </c>
      <c r="F863" s="36">
        <f>if(ISNA(vlookup($A863, ESPN!$B$2:$E$1010, 4, false)), 0, vlookup($A863, ESPN!$B$2:$E$1010, 4, false))</f>
        <v>0</v>
      </c>
      <c r="G863" s="36">
        <f>if(ISNA(vlookup($A863,'Ultimate Draft Kit'!$B$2:$E$201,4, false)), 0, vlookup($A863,'Ultimate Draft Kit'!$B$2:$E$201, 4, false))</f>
        <v>0</v>
      </c>
      <c r="H863" s="36">
        <f>if(ISNA(vlookup($A863, FantasyPro!$B$2:$E$514,4,false)),0,vlookup($A863,FantasyPro!$B$2:$E$514,4,false))</f>
        <v>0</v>
      </c>
      <c r="I863" s="36">
        <f>if(ISNA(vlookup($A863, FFToolbox!$B$2:$E$618, 4, false)), 0, vlookup($A863, FFToolbox!$B$2:$E$618, 4, false))</f>
        <v>0</v>
      </c>
      <c r="J863" s="37">
        <f t="shared" si="1"/>
        <v>0</v>
      </c>
      <c r="K863" s="37">
        <f t="shared" si="2"/>
        <v>0</v>
      </c>
    </row>
    <row r="864" hidden="1">
      <c r="A864" s="13" t="s">
        <v>446</v>
      </c>
      <c r="B864" s="34" t="s">
        <v>1061</v>
      </c>
      <c r="C864" s="5" t="s">
        <v>257</v>
      </c>
      <c r="D864" s="5" t="s">
        <v>16</v>
      </c>
      <c r="E864" s="35" t="str">
        <f>vlookup(C864,'Team Bye List'!$A$1:$B$33,2,False)</f>
        <v>#N/A</v>
      </c>
      <c r="F864" s="36">
        <f>if(ISNA(vlookup($A864, ESPN!$B$2:$E$1010, 4, false)), 0, vlookup($A864, ESPN!$B$2:$E$1010, 4, false))</f>
        <v>0</v>
      </c>
      <c r="G864" s="36">
        <f>if(ISNA(vlookup($A864,'Ultimate Draft Kit'!$B$2:$E$201,4, false)), 0, vlookup($A864,'Ultimate Draft Kit'!$B$2:$E$201, 4, false))</f>
        <v>0</v>
      </c>
      <c r="H864" s="36">
        <f>if(ISNA(vlookup($A864, FantasyPro!$B$2:$E$514,4,false)),0,vlookup($A864,FantasyPro!$B$2:$E$514,4,false))</f>
        <v>0</v>
      </c>
      <c r="I864" s="36">
        <f>if(ISNA(vlookup($A864, FFToolbox!$B$2:$E$618, 4, false)), 0, vlookup($A864, FFToolbox!$B$2:$E$618, 4, false))</f>
        <v>0</v>
      </c>
      <c r="J864" s="37">
        <f t="shared" si="1"/>
        <v>0</v>
      </c>
      <c r="K864" s="37">
        <f t="shared" si="2"/>
        <v>0</v>
      </c>
    </row>
    <row r="865" hidden="1">
      <c r="A865" s="13" t="s">
        <v>481</v>
      </c>
      <c r="B865" s="34" t="s">
        <v>1061</v>
      </c>
      <c r="C865" s="5" t="s">
        <v>257</v>
      </c>
      <c r="D865" s="5" t="s">
        <v>16</v>
      </c>
      <c r="E865" s="35" t="str">
        <f>vlookup(C865,'Team Bye List'!$A$1:$B$33,2,False)</f>
        <v>#N/A</v>
      </c>
      <c r="F865" s="36">
        <f>if(ISNA(vlookup($A865, ESPN!$B$2:$E$1010, 4, false)), 0, vlookup($A865, ESPN!$B$2:$E$1010, 4, false))</f>
        <v>0</v>
      </c>
      <c r="G865" s="36">
        <f>if(ISNA(vlookup($A865,'Ultimate Draft Kit'!$B$2:$E$201,4, false)), 0, vlookup($A865,'Ultimate Draft Kit'!$B$2:$E$201, 4, false))</f>
        <v>0</v>
      </c>
      <c r="H865" s="36">
        <f>if(ISNA(vlookup($A865, FantasyPro!$B$2:$E$514,4,false)),0,vlookup($A865,FantasyPro!$B$2:$E$514,4,false))</f>
        <v>0</v>
      </c>
      <c r="I865" s="36">
        <f>if(ISNA(vlookup($A865, FFToolbox!$B$2:$E$618, 4, false)), 0, vlookup($A865, FFToolbox!$B$2:$E$618, 4, false))</f>
        <v>0</v>
      </c>
      <c r="J865" s="37">
        <f t="shared" si="1"/>
        <v>0</v>
      </c>
      <c r="K865" s="37">
        <f t="shared" si="2"/>
        <v>0</v>
      </c>
    </row>
    <row r="866" hidden="1">
      <c r="A866" s="13" t="s">
        <v>485</v>
      </c>
      <c r="B866" s="34" t="s">
        <v>1061</v>
      </c>
      <c r="C866" s="5" t="s">
        <v>257</v>
      </c>
      <c r="D866" s="5" t="s">
        <v>16</v>
      </c>
      <c r="E866" s="35" t="str">
        <f>vlookup(C866,'Team Bye List'!$A$1:$B$33,2,False)</f>
        <v>#N/A</v>
      </c>
      <c r="F866" s="36">
        <f>if(ISNA(vlookup($A866, ESPN!$B$2:$E$1010, 4, false)), 0, vlookup($A866, ESPN!$B$2:$E$1010, 4, false))</f>
        <v>0</v>
      </c>
      <c r="G866" s="36">
        <f>if(ISNA(vlookup($A866,'Ultimate Draft Kit'!$B$2:$E$201,4, false)), 0, vlookup($A866,'Ultimate Draft Kit'!$B$2:$E$201, 4, false))</f>
        <v>0</v>
      </c>
      <c r="H866" s="36">
        <f>if(ISNA(vlookup($A866, FantasyPro!$B$2:$E$514,4,false)),0,vlookup($A866,FantasyPro!$B$2:$E$514,4,false))</f>
        <v>0</v>
      </c>
      <c r="I866" s="36">
        <f>if(ISNA(vlookup($A866, FFToolbox!$B$2:$E$618, 4, false)), 0, vlookup($A866, FFToolbox!$B$2:$E$618, 4, false))</f>
        <v>0</v>
      </c>
      <c r="J866" s="37">
        <f t="shared" si="1"/>
        <v>0</v>
      </c>
      <c r="K866" s="37">
        <f t="shared" si="2"/>
        <v>0</v>
      </c>
    </row>
    <row r="867" hidden="1">
      <c r="A867" s="13" t="s">
        <v>498</v>
      </c>
      <c r="B867" s="34" t="s">
        <v>1061</v>
      </c>
      <c r="C867" s="5" t="s">
        <v>257</v>
      </c>
      <c r="D867" s="5" t="s">
        <v>16</v>
      </c>
      <c r="E867" s="35" t="str">
        <f>vlookup(C867,'Team Bye List'!$A$1:$B$33,2,False)</f>
        <v>#N/A</v>
      </c>
      <c r="F867" s="36">
        <f>if(ISNA(vlookup($A867, ESPN!$B$2:$E$1010, 4, false)), 0, vlookup($A867, ESPN!$B$2:$E$1010, 4, false))</f>
        <v>0</v>
      </c>
      <c r="G867" s="36">
        <f>if(ISNA(vlookup($A867,'Ultimate Draft Kit'!$B$2:$E$201,4, false)), 0, vlookup($A867,'Ultimate Draft Kit'!$B$2:$E$201, 4, false))</f>
        <v>0</v>
      </c>
      <c r="H867" s="36">
        <f>if(ISNA(vlookup($A867, FantasyPro!$B$2:$E$514,4,false)),0,vlookup($A867,FantasyPro!$B$2:$E$514,4,false))</f>
        <v>0</v>
      </c>
      <c r="I867" s="36">
        <f>if(ISNA(vlookup($A867, FFToolbox!$B$2:$E$618, 4, false)), 0, vlookup($A867, FFToolbox!$B$2:$E$618, 4, false))</f>
        <v>0</v>
      </c>
      <c r="J867" s="37">
        <f t="shared" si="1"/>
        <v>0</v>
      </c>
      <c r="K867" s="37">
        <f t="shared" si="2"/>
        <v>0</v>
      </c>
    </row>
    <row r="868" hidden="1">
      <c r="A868" s="13" t="s">
        <v>491</v>
      </c>
      <c r="B868" s="34" t="s">
        <v>1061</v>
      </c>
      <c r="C868" s="5" t="s">
        <v>257</v>
      </c>
      <c r="D868" s="5" t="s">
        <v>16</v>
      </c>
      <c r="E868" s="35" t="str">
        <f>vlookup(C868,'Team Bye List'!$A$1:$B$33,2,False)</f>
        <v>#N/A</v>
      </c>
      <c r="F868" s="36">
        <f>if(ISNA(vlookup($A868, ESPN!$B$2:$E$1010, 4, false)), 0, vlookup($A868, ESPN!$B$2:$E$1010, 4, false))</f>
        <v>0</v>
      </c>
      <c r="G868" s="36">
        <f>if(ISNA(vlookup($A868,'Ultimate Draft Kit'!$B$2:$E$201,4, false)), 0, vlookup($A868,'Ultimate Draft Kit'!$B$2:$E$201, 4, false))</f>
        <v>0</v>
      </c>
      <c r="H868" s="36">
        <f>if(ISNA(vlookup($A868, FantasyPro!$B$2:$E$514,4,false)),0,vlookup($A868,FantasyPro!$B$2:$E$514,4,false))</f>
        <v>0</v>
      </c>
      <c r="I868" s="36">
        <f>if(ISNA(vlookup($A868, FFToolbox!$B$2:$E$618, 4, false)), 0, vlookup($A868, FFToolbox!$B$2:$E$618, 4, false))</f>
        <v>0</v>
      </c>
      <c r="J868" s="37">
        <f t="shared" si="1"/>
        <v>0</v>
      </c>
      <c r="K868" s="37">
        <f t="shared" si="2"/>
        <v>0</v>
      </c>
    </row>
    <row r="869" hidden="1">
      <c r="A869" s="13" t="s">
        <v>1099</v>
      </c>
      <c r="B869" s="34" t="s">
        <v>1061</v>
      </c>
      <c r="C869" s="5" t="s">
        <v>18</v>
      </c>
      <c r="D869" s="5" t="s">
        <v>25</v>
      </c>
      <c r="E869" s="35">
        <f>vlookup(C869,'Team Bye List'!$A$1:$B$33,2,False)</f>
        <v>6</v>
      </c>
      <c r="F869" s="36">
        <f>if(ISNA(vlookup($A869, ESPN!$B$2:$E$1010, 4, false)), 0, vlookup($A869, ESPN!$B$2:$E$1010, 4, false))</f>
        <v>0</v>
      </c>
      <c r="G869" s="36">
        <f>if(ISNA(vlookup($A869,'Ultimate Draft Kit'!$B$2:$E$201,4, false)), 0, vlookup($A869,'Ultimate Draft Kit'!$B$2:$E$201, 4, false))</f>
        <v>0</v>
      </c>
      <c r="H869" s="36">
        <f>if(ISNA(vlookup($A869, FantasyPro!$B$2:$E$514,4,false)),0,vlookup($A869,FantasyPro!$B$2:$E$514,4,false))</f>
        <v>0</v>
      </c>
      <c r="I869" s="36">
        <f>if(ISNA(vlookup($A869, FFToolbox!$B$2:$E$618, 4, false)), 0, vlookup($A869, FFToolbox!$B$2:$E$618, 4, false))</f>
        <v>0</v>
      </c>
      <c r="J869" s="37">
        <f t="shared" si="1"/>
        <v>0</v>
      </c>
      <c r="K869" s="37">
        <f t="shared" si="2"/>
        <v>0</v>
      </c>
    </row>
    <row r="870" hidden="1">
      <c r="A870" s="13" t="s">
        <v>492</v>
      </c>
      <c r="B870" s="34" t="s">
        <v>1061</v>
      </c>
      <c r="C870" s="5" t="s">
        <v>1007</v>
      </c>
      <c r="D870" s="5" t="s">
        <v>16</v>
      </c>
      <c r="E870" s="35">
        <f>vlookup(C870,'Team Bye List'!$A$1:$B$33,2,False)</f>
        <v>8</v>
      </c>
      <c r="F870" s="36">
        <f>if(ISNA(vlookup($A870, ESPN!$B$2:$E$1010, 4, false)), 0, vlookup($A870, ESPN!$B$2:$E$1010, 4, false))</f>
        <v>0</v>
      </c>
      <c r="G870" s="36">
        <f>if(ISNA(vlookup($A870,'Ultimate Draft Kit'!$B$2:$E$201,4, false)), 0, vlookup($A870,'Ultimate Draft Kit'!$B$2:$E$201, 4, false))</f>
        <v>0</v>
      </c>
      <c r="H870" s="36">
        <f>if(ISNA(vlookup($A870, FantasyPro!$B$2:$E$514,4,false)),0,vlookup($A870,FantasyPro!$B$2:$E$514,4,false))</f>
        <v>0</v>
      </c>
      <c r="I870" s="36">
        <f>if(ISNA(vlookup($A870, FFToolbox!$B$2:$E$618, 4, false)), 0, vlookup($A870, FFToolbox!$B$2:$E$618, 4, false))</f>
        <v>0</v>
      </c>
      <c r="J870" s="37">
        <f t="shared" si="1"/>
        <v>0</v>
      </c>
      <c r="K870" s="37">
        <f t="shared" si="2"/>
        <v>0</v>
      </c>
    </row>
    <row r="871" hidden="1">
      <c r="A871" s="13" t="s">
        <v>478</v>
      </c>
      <c r="B871" s="34" t="s">
        <v>1061</v>
      </c>
      <c r="C871" s="5" t="s">
        <v>257</v>
      </c>
      <c r="D871" s="5" t="s">
        <v>16</v>
      </c>
      <c r="E871" s="35" t="str">
        <f>vlookup(C871,'Team Bye List'!$A$1:$B$33,2,False)</f>
        <v>#N/A</v>
      </c>
      <c r="F871" s="36">
        <f>if(ISNA(vlookup($A871, ESPN!$B$2:$E$1010, 4, false)), 0, vlookup($A871, ESPN!$B$2:$E$1010, 4, false))</f>
        <v>0</v>
      </c>
      <c r="G871" s="36">
        <f>if(ISNA(vlookup($A871,'Ultimate Draft Kit'!$B$2:$E$201,4, false)), 0, vlookup($A871,'Ultimate Draft Kit'!$B$2:$E$201, 4, false))</f>
        <v>0</v>
      </c>
      <c r="H871" s="36">
        <f>if(ISNA(vlookup($A871, FantasyPro!$B$2:$E$514,4,false)),0,vlookup($A871,FantasyPro!$B$2:$E$514,4,false))</f>
        <v>0</v>
      </c>
      <c r="I871" s="36">
        <f>if(ISNA(vlookup($A871, FFToolbox!$B$2:$E$618, 4, false)), 0, vlookup($A871, FFToolbox!$B$2:$E$618, 4, false))</f>
        <v>0</v>
      </c>
      <c r="J871" s="37">
        <f t="shared" si="1"/>
        <v>0</v>
      </c>
      <c r="K871" s="37">
        <f t="shared" si="2"/>
        <v>0</v>
      </c>
    </row>
    <row r="872" hidden="1">
      <c r="A872" s="13" t="s">
        <v>460</v>
      </c>
      <c r="B872" s="34" t="s">
        <v>1061</v>
      </c>
      <c r="C872" s="5" t="s">
        <v>77</v>
      </c>
      <c r="D872" s="5" t="s">
        <v>16</v>
      </c>
      <c r="E872" s="35">
        <f>vlookup(C872,'Team Bye List'!$A$1:$B$33,2,False)</f>
        <v>11</v>
      </c>
      <c r="F872" s="36">
        <f>if(ISNA(vlookup($A872, ESPN!$B$2:$E$1010, 4, false)), 0, vlookup($A872, ESPN!$B$2:$E$1010, 4, false))</f>
        <v>0</v>
      </c>
      <c r="G872" s="36">
        <f>if(ISNA(vlookup($A872,'Ultimate Draft Kit'!$B$2:$E$201,4, false)), 0, vlookup($A872,'Ultimate Draft Kit'!$B$2:$E$201, 4, false))</f>
        <v>0</v>
      </c>
      <c r="H872" s="36">
        <f>if(ISNA(vlookup($A872, FantasyPro!$B$2:$E$514,4,false)),0,vlookup($A872,FantasyPro!$B$2:$E$514,4,false))</f>
        <v>0</v>
      </c>
      <c r="I872" s="36">
        <f>if(ISNA(vlookup($A872, FFToolbox!$B$2:$E$618, 4, false)), 0, vlookup($A872, FFToolbox!$B$2:$E$618, 4, false))</f>
        <v>0</v>
      </c>
      <c r="J872" s="37">
        <f t="shared" si="1"/>
        <v>0</v>
      </c>
      <c r="K872" s="37">
        <f t="shared" si="2"/>
        <v>0</v>
      </c>
    </row>
    <row r="873" hidden="1">
      <c r="A873" s="13" t="s">
        <v>451</v>
      </c>
      <c r="B873" s="34" t="s">
        <v>1061</v>
      </c>
      <c r="C873" s="5" t="s">
        <v>56</v>
      </c>
      <c r="D873" s="5" t="s">
        <v>16</v>
      </c>
      <c r="E873" s="35">
        <f>vlookup(C873,'Team Bye List'!$A$1:$B$33,2,False)</f>
        <v>5</v>
      </c>
      <c r="F873" s="36">
        <f>if(ISNA(vlookup($A873, ESPN!$B$2:$E$1010, 4, false)), 0, vlookup($A873, ESPN!$B$2:$E$1010, 4, false))</f>
        <v>0</v>
      </c>
      <c r="G873" s="36">
        <f>if(ISNA(vlookup($A873,'Ultimate Draft Kit'!$B$2:$E$201,4, false)), 0, vlookup($A873,'Ultimate Draft Kit'!$B$2:$E$201, 4, false))</f>
        <v>0</v>
      </c>
      <c r="H873" s="36">
        <f>if(ISNA(vlookup($A873, FantasyPro!$B$2:$E$514,4,false)),0,vlookup($A873,FantasyPro!$B$2:$E$514,4,false))</f>
        <v>0</v>
      </c>
      <c r="I873" s="36">
        <f>if(ISNA(vlookup($A873, FFToolbox!$B$2:$E$618, 4, false)), 0, vlookup($A873, FFToolbox!$B$2:$E$618, 4, false))</f>
        <v>0</v>
      </c>
      <c r="J873" s="37">
        <f t="shared" si="1"/>
        <v>0</v>
      </c>
      <c r="K873" s="37">
        <f t="shared" si="2"/>
        <v>0</v>
      </c>
    </row>
    <row r="874" hidden="1">
      <c r="A874" s="13" t="s">
        <v>502</v>
      </c>
      <c r="B874" s="34" t="s">
        <v>1061</v>
      </c>
      <c r="C874" s="5" t="s">
        <v>18</v>
      </c>
      <c r="D874" s="5" t="s">
        <v>16</v>
      </c>
      <c r="E874" s="35">
        <f>vlookup(C874,'Team Bye List'!$A$1:$B$33,2,False)</f>
        <v>6</v>
      </c>
      <c r="F874" s="36">
        <f>if(ISNA(vlookup($A874, ESPN!$B$2:$E$1010, 4, false)), 0, vlookup($A874, ESPN!$B$2:$E$1010, 4, false))</f>
        <v>0</v>
      </c>
      <c r="G874" s="36">
        <f>if(ISNA(vlookup($A874,'Ultimate Draft Kit'!$B$2:$E$201,4, false)), 0, vlookup($A874,'Ultimate Draft Kit'!$B$2:$E$201, 4, false))</f>
        <v>0</v>
      </c>
      <c r="H874" s="36">
        <f>if(ISNA(vlookup($A874, FantasyPro!$B$2:$E$514,4,false)),0,vlookup($A874,FantasyPro!$B$2:$E$514,4,false))</f>
        <v>0</v>
      </c>
      <c r="I874" s="36">
        <f>if(ISNA(vlookup($A874, FFToolbox!$B$2:$E$618, 4, false)), 0, vlookup($A874, FFToolbox!$B$2:$E$618, 4, false))</f>
        <v>0</v>
      </c>
      <c r="J874" s="37">
        <f t="shared" si="1"/>
        <v>0</v>
      </c>
      <c r="K874" s="37">
        <f t="shared" si="2"/>
        <v>0</v>
      </c>
    </row>
    <row r="875" hidden="1">
      <c r="A875" s="13" t="s">
        <v>488</v>
      </c>
      <c r="B875" s="34" t="s">
        <v>1061</v>
      </c>
      <c r="C875" s="5" t="s">
        <v>257</v>
      </c>
      <c r="D875" s="5" t="s">
        <v>16</v>
      </c>
      <c r="E875" s="35" t="str">
        <f>vlookup(C875,'Team Bye List'!$A$1:$B$33,2,False)</f>
        <v>#N/A</v>
      </c>
      <c r="F875" s="36">
        <f>if(ISNA(vlookup($A875, ESPN!$B$2:$E$1010, 4, false)), 0, vlookup($A875, ESPN!$B$2:$E$1010, 4, false))</f>
        <v>0</v>
      </c>
      <c r="G875" s="36">
        <f>if(ISNA(vlookup($A875,'Ultimate Draft Kit'!$B$2:$E$201,4, false)), 0, vlookup($A875,'Ultimate Draft Kit'!$B$2:$E$201, 4, false))</f>
        <v>0</v>
      </c>
      <c r="H875" s="36">
        <f>if(ISNA(vlookup($A875, FantasyPro!$B$2:$E$514,4,false)),0,vlookup($A875,FantasyPro!$B$2:$E$514,4,false))</f>
        <v>0</v>
      </c>
      <c r="I875" s="36">
        <f>if(ISNA(vlookup($A875, FFToolbox!$B$2:$E$618, 4, false)), 0, vlookup($A875, FFToolbox!$B$2:$E$618, 4, false))</f>
        <v>0</v>
      </c>
      <c r="J875" s="37">
        <f t="shared" si="1"/>
        <v>0</v>
      </c>
      <c r="K875" s="37">
        <f t="shared" si="2"/>
        <v>0</v>
      </c>
    </row>
    <row r="876" hidden="1">
      <c r="A876" s="13" t="s">
        <v>496</v>
      </c>
      <c r="B876" s="34" t="s">
        <v>1061</v>
      </c>
      <c r="C876" s="5" t="s">
        <v>29</v>
      </c>
      <c r="D876" s="5" t="s">
        <v>16</v>
      </c>
      <c r="E876" s="35">
        <f>vlookup(C876,'Team Bye List'!$A$1:$B$33,2,False)</f>
        <v>11</v>
      </c>
      <c r="F876" s="36">
        <f>if(ISNA(vlookup($A876, ESPN!$B$2:$E$1010, 4, false)), 0, vlookup($A876, ESPN!$B$2:$E$1010, 4, false))</f>
        <v>0</v>
      </c>
      <c r="G876" s="36">
        <f>if(ISNA(vlookup($A876,'Ultimate Draft Kit'!$B$2:$E$201,4, false)), 0, vlookup($A876,'Ultimate Draft Kit'!$B$2:$E$201, 4, false))</f>
        <v>0</v>
      </c>
      <c r="H876" s="36">
        <f>if(ISNA(vlookup($A876, FantasyPro!$B$2:$E$514,4,false)),0,vlookup($A876,FantasyPro!$B$2:$E$514,4,false))</f>
        <v>0</v>
      </c>
      <c r="I876" s="36">
        <f>if(ISNA(vlookup($A876, FFToolbox!$B$2:$E$618, 4, false)), 0, vlookup($A876, FFToolbox!$B$2:$E$618, 4, false))</f>
        <v>0</v>
      </c>
      <c r="J876" s="37">
        <f t="shared" si="1"/>
        <v>0</v>
      </c>
      <c r="K876" s="37">
        <f t="shared" si="2"/>
        <v>0</v>
      </c>
    </row>
    <row r="877" hidden="1">
      <c r="A877" s="13" t="s">
        <v>463</v>
      </c>
      <c r="B877" s="34" t="s">
        <v>1061</v>
      </c>
      <c r="C877" s="5" t="s">
        <v>24</v>
      </c>
      <c r="D877" s="5" t="s">
        <v>16</v>
      </c>
      <c r="E877" s="35">
        <f>vlookup(C877,'Team Bye List'!$A$1:$B$33,2,False)</f>
        <v>6</v>
      </c>
      <c r="F877" s="36">
        <f>if(ISNA(vlookup($A877, ESPN!$B$2:$E$1010, 4, false)), 0, vlookup($A877, ESPN!$B$2:$E$1010, 4, false))</f>
        <v>0</v>
      </c>
      <c r="G877" s="36">
        <f>if(ISNA(vlookup($A877,'Ultimate Draft Kit'!$B$2:$E$201,4, false)), 0, vlookup($A877,'Ultimate Draft Kit'!$B$2:$E$201, 4, false))</f>
        <v>0</v>
      </c>
      <c r="H877" s="36">
        <f>if(ISNA(vlookup($A877, FantasyPro!$B$2:$E$514,4,false)),0,vlookup($A877,FantasyPro!$B$2:$E$514,4,false))</f>
        <v>0</v>
      </c>
      <c r="I877" s="36">
        <f>if(ISNA(vlookup($A877, FFToolbox!$B$2:$E$618, 4, false)), 0, vlookup($A877, FFToolbox!$B$2:$E$618, 4, false))</f>
        <v>0</v>
      </c>
      <c r="J877" s="37">
        <f t="shared" si="1"/>
        <v>0</v>
      </c>
      <c r="K877" s="37">
        <f t="shared" si="2"/>
        <v>0</v>
      </c>
    </row>
    <row r="878" hidden="1">
      <c r="A878" s="13" t="s">
        <v>443</v>
      </c>
      <c r="B878" s="34" t="s">
        <v>1061</v>
      </c>
      <c r="C878" s="5" t="s">
        <v>257</v>
      </c>
      <c r="D878" s="5" t="s">
        <v>16</v>
      </c>
      <c r="E878" s="35" t="str">
        <f>vlookup(C878,'Team Bye List'!$A$1:$B$33,2,False)</f>
        <v>#N/A</v>
      </c>
      <c r="F878" s="36">
        <f>if(ISNA(vlookup($A878, ESPN!$B$2:$E$1010, 4, false)), 0, vlookup($A878, ESPN!$B$2:$E$1010, 4, false))</f>
        <v>0</v>
      </c>
      <c r="G878" s="36">
        <f>if(ISNA(vlookup($A878,'Ultimate Draft Kit'!$B$2:$E$201,4, false)), 0, vlookup($A878,'Ultimate Draft Kit'!$B$2:$E$201, 4, false))</f>
        <v>0</v>
      </c>
      <c r="H878" s="36">
        <f>if(ISNA(vlookup($A878, FantasyPro!$B$2:$E$514,4,false)),0,vlookup($A878,FantasyPro!$B$2:$E$514,4,false))</f>
        <v>0</v>
      </c>
      <c r="I878" s="36">
        <f>if(ISNA(vlookup($A878, FFToolbox!$B$2:$E$618, 4, false)), 0, vlookup($A878, FFToolbox!$B$2:$E$618, 4, false))</f>
        <v>0</v>
      </c>
      <c r="J878" s="37">
        <f t="shared" si="1"/>
        <v>0</v>
      </c>
      <c r="K878" s="37">
        <f t="shared" si="2"/>
        <v>0</v>
      </c>
    </row>
    <row r="879" hidden="1">
      <c r="A879" s="13" t="s">
        <v>435</v>
      </c>
      <c r="B879" s="34" t="s">
        <v>1061</v>
      </c>
      <c r="C879" s="5" t="s">
        <v>69</v>
      </c>
      <c r="D879" s="5" t="s">
        <v>16</v>
      </c>
      <c r="E879" s="35">
        <f>vlookup(C879,'Team Bye List'!$A$1:$B$33,2,False)</f>
        <v>5</v>
      </c>
      <c r="F879" s="36">
        <f>if(ISNA(vlookup($A879, ESPN!$B$2:$E$1010, 4, false)), 0, vlookup($A879, ESPN!$B$2:$E$1010, 4, false))</f>
        <v>0</v>
      </c>
      <c r="G879" s="36">
        <f>if(ISNA(vlookup($A879,'Ultimate Draft Kit'!$B$2:$E$201,4, false)), 0, vlookup($A879,'Ultimate Draft Kit'!$B$2:$E$201, 4, false))</f>
        <v>0</v>
      </c>
      <c r="H879" s="36">
        <f>if(ISNA(vlookup($A879, FantasyPro!$B$2:$E$514,4,false)),0,vlookup($A879,FantasyPro!$B$2:$E$514,4,false))</f>
        <v>0</v>
      </c>
      <c r="I879" s="36">
        <f>if(ISNA(vlookup($A879, FFToolbox!$B$2:$E$618, 4, false)), 0, vlookup($A879, FFToolbox!$B$2:$E$618, 4, false))</f>
        <v>0</v>
      </c>
      <c r="J879" s="37">
        <f t="shared" si="1"/>
        <v>0</v>
      </c>
      <c r="K879" s="37">
        <f t="shared" si="2"/>
        <v>0</v>
      </c>
    </row>
    <row r="880" hidden="1">
      <c r="A880" s="13" t="s">
        <v>471</v>
      </c>
      <c r="B880" s="34" t="s">
        <v>1061</v>
      </c>
      <c r="C880" s="5" t="s">
        <v>63</v>
      </c>
      <c r="D880" s="5" t="s">
        <v>16</v>
      </c>
      <c r="E880" s="35">
        <f>vlookup(C880,'Team Bye List'!$A$1:$B$33,2,False)</f>
        <v>8</v>
      </c>
      <c r="F880" s="36">
        <f>if(ISNA(vlookup($A880, ESPN!$B$2:$E$1010, 4, false)), 0, vlookup($A880, ESPN!$B$2:$E$1010, 4, false))</f>
        <v>0</v>
      </c>
      <c r="G880" s="36">
        <f>if(ISNA(vlookup($A880,'Ultimate Draft Kit'!$B$2:$E$201,4, false)), 0, vlookup($A880,'Ultimate Draft Kit'!$B$2:$E$201, 4, false))</f>
        <v>0</v>
      </c>
      <c r="H880" s="36">
        <f>if(ISNA(vlookup($A880, FantasyPro!$B$2:$E$514,4,false)),0,vlookup($A880,FantasyPro!$B$2:$E$514,4,false))</f>
        <v>0</v>
      </c>
      <c r="I880" s="36">
        <f>if(ISNA(vlookup($A880, FFToolbox!$B$2:$E$618, 4, false)), 0, vlookup($A880, FFToolbox!$B$2:$E$618, 4, false))</f>
        <v>0</v>
      </c>
      <c r="J880" s="37">
        <f t="shared" si="1"/>
        <v>0</v>
      </c>
      <c r="K880" s="37">
        <f t="shared" si="2"/>
        <v>0</v>
      </c>
    </row>
    <row r="881" hidden="1">
      <c r="A881" s="13" t="s">
        <v>466</v>
      </c>
      <c r="B881" s="34" t="s">
        <v>1061</v>
      </c>
      <c r="C881" s="5" t="s">
        <v>56</v>
      </c>
      <c r="D881" s="5" t="s">
        <v>16</v>
      </c>
      <c r="E881" s="35">
        <f>vlookup(C881,'Team Bye List'!$A$1:$B$33,2,False)</f>
        <v>5</v>
      </c>
      <c r="F881" s="36">
        <f>if(ISNA(vlookup($A881, ESPN!$B$2:$E$1010, 4, false)), 0, vlookup($A881, ESPN!$B$2:$E$1010, 4, false))</f>
        <v>0</v>
      </c>
      <c r="G881" s="36">
        <f>if(ISNA(vlookup($A881,'Ultimate Draft Kit'!$B$2:$E$201,4, false)), 0, vlookup($A881,'Ultimate Draft Kit'!$B$2:$E$201, 4, false))</f>
        <v>0</v>
      </c>
      <c r="H881" s="36">
        <f>if(ISNA(vlookup($A881, FantasyPro!$B$2:$E$514,4,false)),0,vlookup($A881,FantasyPro!$B$2:$E$514,4,false))</f>
        <v>0</v>
      </c>
      <c r="I881" s="36">
        <f>if(ISNA(vlookup($A881, FFToolbox!$B$2:$E$618, 4, false)), 0, vlookup($A881, FFToolbox!$B$2:$E$618, 4, false))</f>
        <v>0</v>
      </c>
      <c r="J881" s="37">
        <f t="shared" si="1"/>
        <v>0</v>
      </c>
      <c r="K881" s="37">
        <f t="shared" si="2"/>
        <v>0</v>
      </c>
    </row>
    <row r="882" hidden="1">
      <c r="A882" s="13" t="s">
        <v>507</v>
      </c>
      <c r="B882" s="34" t="s">
        <v>1061</v>
      </c>
      <c r="C882" s="5" t="s">
        <v>44</v>
      </c>
      <c r="D882" s="5" t="s">
        <v>16</v>
      </c>
      <c r="E882" s="35">
        <f>vlookup(C882,'Team Bye List'!$A$1:$B$33,2,False)</f>
        <v>10</v>
      </c>
      <c r="F882" s="36">
        <f>if(ISNA(vlookup($A882, ESPN!$B$2:$E$1010, 4, false)), 0, vlookup($A882, ESPN!$B$2:$E$1010, 4, false))</f>
        <v>0</v>
      </c>
      <c r="G882" s="36">
        <f>if(ISNA(vlookup($A882,'Ultimate Draft Kit'!$B$2:$E$201,4, false)), 0, vlookup($A882,'Ultimate Draft Kit'!$B$2:$E$201, 4, false))</f>
        <v>0</v>
      </c>
      <c r="H882" s="36">
        <f>if(ISNA(vlookup($A882, FantasyPro!$B$2:$E$514,4,false)),0,vlookup($A882,FantasyPro!$B$2:$E$514,4,false))</f>
        <v>0</v>
      </c>
      <c r="I882" s="36">
        <f>if(ISNA(vlookup($A882, FFToolbox!$B$2:$E$618, 4, false)), 0, vlookup($A882, FFToolbox!$B$2:$E$618, 4, false))</f>
        <v>0</v>
      </c>
      <c r="J882" s="37">
        <f t="shared" si="1"/>
        <v>0</v>
      </c>
      <c r="K882" s="37">
        <f t="shared" si="2"/>
        <v>0</v>
      </c>
    </row>
    <row r="883" hidden="1">
      <c r="A883" s="13" t="s">
        <v>1028</v>
      </c>
      <c r="B883" s="34" t="s">
        <v>1061</v>
      </c>
      <c r="C883" s="5" t="s">
        <v>61</v>
      </c>
      <c r="D883" s="5" t="s">
        <v>7</v>
      </c>
      <c r="E883" s="35">
        <f>vlookup(C883,'Team Bye List'!$A$1:$B$33,2,False)</f>
        <v>9</v>
      </c>
      <c r="F883" s="36">
        <f>if(ISNA(vlookup($A883, ESPN!$B$2:$E$1010, 4, false)), 0, vlookup($A883, ESPN!$B$2:$E$1010, 4, false))</f>
        <v>0</v>
      </c>
      <c r="G883" s="36">
        <f>if(ISNA(vlookup($A883,'Ultimate Draft Kit'!$B$2:$E$201,4, false)), 0, vlookup($A883,'Ultimate Draft Kit'!$B$2:$E$201, 4, false))</f>
        <v>0</v>
      </c>
      <c r="H883" s="36">
        <f>if(ISNA(vlookup($A883, FantasyPro!$B$2:$E$514,4,false)),0,vlookup($A883,FantasyPro!$B$2:$E$514,4,false))</f>
        <v>0</v>
      </c>
      <c r="I883" s="36">
        <f>if(ISNA(vlookup($A883, FFToolbox!$B$2:$E$618, 4, false)), 0, vlookup($A883, FFToolbox!$B$2:$E$618, 4, false))</f>
        <v>0</v>
      </c>
      <c r="J883" s="37">
        <f t="shared" si="1"/>
        <v>0</v>
      </c>
      <c r="K883" s="37">
        <f t="shared" si="2"/>
        <v>0</v>
      </c>
    </row>
    <row r="884" hidden="1">
      <c r="A884" s="13" t="s">
        <v>461</v>
      </c>
      <c r="B884" s="34" t="s">
        <v>1061</v>
      </c>
      <c r="C884" s="5" t="s">
        <v>48</v>
      </c>
      <c r="D884" s="5" t="s">
        <v>16</v>
      </c>
      <c r="E884" s="35">
        <f>vlookup(C884,'Team Bye List'!$A$1:$B$33,2,False)</f>
        <v>11</v>
      </c>
      <c r="F884" s="36">
        <f>if(ISNA(vlookup($A884, ESPN!$B$2:$E$1010, 4, false)), 0, vlookup($A884, ESPN!$B$2:$E$1010, 4, false))</f>
        <v>0</v>
      </c>
      <c r="G884" s="36">
        <f>if(ISNA(vlookup($A884,'Ultimate Draft Kit'!$B$2:$E$201,4, false)), 0, vlookup($A884,'Ultimate Draft Kit'!$B$2:$E$201, 4, false))</f>
        <v>0</v>
      </c>
      <c r="H884" s="36">
        <f>if(ISNA(vlookup($A884, FantasyPro!$B$2:$E$514,4,false)),0,vlookup($A884,FantasyPro!$B$2:$E$514,4,false))</f>
        <v>0</v>
      </c>
      <c r="I884" s="36">
        <f>if(ISNA(vlookup($A884, FFToolbox!$B$2:$E$618, 4, false)), 0, vlookup($A884, FFToolbox!$B$2:$E$618, 4, false))</f>
        <v>0</v>
      </c>
      <c r="J884" s="37">
        <f t="shared" si="1"/>
        <v>0</v>
      </c>
      <c r="K884" s="37">
        <f t="shared" si="2"/>
        <v>0</v>
      </c>
    </row>
    <row r="885" hidden="1">
      <c r="A885" s="13" t="s">
        <v>493</v>
      </c>
      <c r="B885" s="34" t="s">
        <v>1061</v>
      </c>
      <c r="C885" s="5" t="s">
        <v>24</v>
      </c>
      <c r="D885" s="5" t="s">
        <v>16</v>
      </c>
      <c r="E885" s="35">
        <f>vlookup(C885,'Team Bye List'!$A$1:$B$33,2,False)</f>
        <v>6</v>
      </c>
      <c r="F885" s="36">
        <f>if(ISNA(vlookup($A885, ESPN!$B$2:$E$1010, 4, false)), 0, vlookup($A885, ESPN!$B$2:$E$1010, 4, false))</f>
        <v>0</v>
      </c>
      <c r="G885" s="36">
        <f>if(ISNA(vlookup($A885,'Ultimate Draft Kit'!$B$2:$E$201,4, false)), 0, vlookup($A885,'Ultimate Draft Kit'!$B$2:$E$201, 4, false))</f>
        <v>0</v>
      </c>
      <c r="H885" s="36">
        <f>if(ISNA(vlookup($A885, FantasyPro!$B$2:$E$514,4,false)),0,vlookup($A885,FantasyPro!$B$2:$E$514,4,false))</f>
        <v>0</v>
      </c>
      <c r="I885" s="36">
        <f>if(ISNA(vlookup($A885, FFToolbox!$B$2:$E$618, 4, false)), 0, vlookup($A885, FFToolbox!$B$2:$E$618, 4, false))</f>
        <v>0</v>
      </c>
      <c r="J885" s="37">
        <f t="shared" si="1"/>
        <v>0</v>
      </c>
      <c r="K885" s="37">
        <f t="shared" si="2"/>
        <v>0</v>
      </c>
    </row>
    <row r="886" hidden="1">
      <c r="A886" s="13" t="s">
        <v>454</v>
      </c>
      <c r="B886" s="34" t="s">
        <v>1061</v>
      </c>
      <c r="C886" s="5" t="s">
        <v>63</v>
      </c>
      <c r="D886" s="5" t="s">
        <v>16</v>
      </c>
      <c r="E886" s="35">
        <f>vlookup(C886,'Team Bye List'!$A$1:$B$33,2,False)</f>
        <v>8</v>
      </c>
      <c r="F886" s="36">
        <f>if(ISNA(vlookup($A886, ESPN!$B$2:$E$1010, 4, false)), 0, vlookup($A886, ESPN!$B$2:$E$1010, 4, false))</f>
        <v>0</v>
      </c>
      <c r="G886" s="36">
        <f>if(ISNA(vlookup($A886,'Ultimate Draft Kit'!$B$2:$E$201,4, false)), 0, vlookup($A886,'Ultimate Draft Kit'!$B$2:$E$201, 4, false))</f>
        <v>0</v>
      </c>
      <c r="H886" s="36">
        <f>if(ISNA(vlookup($A886, FantasyPro!$B$2:$E$514,4,false)),0,vlookup($A886,FantasyPro!$B$2:$E$514,4,false))</f>
        <v>0</v>
      </c>
      <c r="I886" s="36">
        <f>if(ISNA(vlookup($A886, FFToolbox!$B$2:$E$618, 4, false)), 0, vlookup($A886, FFToolbox!$B$2:$E$618, 4, false))</f>
        <v>0</v>
      </c>
      <c r="J886" s="37">
        <f t="shared" si="1"/>
        <v>0</v>
      </c>
      <c r="K886" s="37">
        <f t="shared" si="2"/>
        <v>0</v>
      </c>
    </row>
    <row r="887" hidden="1">
      <c r="A887" s="13" t="s">
        <v>479</v>
      </c>
      <c r="B887" s="34" t="s">
        <v>1061</v>
      </c>
      <c r="C887" s="5" t="s">
        <v>257</v>
      </c>
      <c r="D887" s="5" t="s">
        <v>16</v>
      </c>
      <c r="E887" s="35" t="str">
        <f>vlookup(C887,'Team Bye List'!$A$1:$B$33,2,False)</f>
        <v>#N/A</v>
      </c>
      <c r="F887" s="36">
        <f>if(ISNA(vlookup($A887, ESPN!$B$2:$E$1010, 4, false)), 0, vlookup($A887, ESPN!$B$2:$E$1010, 4, false))</f>
        <v>0</v>
      </c>
      <c r="G887" s="36">
        <f>if(ISNA(vlookup($A887,'Ultimate Draft Kit'!$B$2:$E$201,4, false)), 0, vlookup($A887,'Ultimate Draft Kit'!$B$2:$E$201, 4, false))</f>
        <v>0</v>
      </c>
      <c r="H887" s="36">
        <f>if(ISNA(vlookup($A887, FantasyPro!$B$2:$E$514,4,false)),0,vlookup($A887,FantasyPro!$B$2:$E$514,4,false))</f>
        <v>0</v>
      </c>
      <c r="I887" s="36">
        <f>if(ISNA(vlookup($A887, FFToolbox!$B$2:$E$618, 4, false)), 0, vlookup($A887, FFToolbox!$B$2:$E$618, 4, false))</f>
        <v>0</v>
      </c>
      <c r="J887" s="37">
        <f t="shared" si="1"/>
        <v>0</v>
      </c>
      <c r="K887" s="37">
        <f t="shared" si="2"/>
        <v>0</v>
      </c>
    </row>
    <row r="888" hidden="1">
      <c r="A888" s="13" t="s">
        <v>440</v>
      </c>
      <c r="B888" s="34" t="s">
        <v>1061</v>
      </c>
      <c r="C888" s="5" t="s">
        <v>77</v>
      </c>
      <c r="D888" s="5" t="s">
        <v>16</v>
      </c>
      <c r="E888" s="35">
        <f>vlookup(C888,'Team Bye List'!$A$1:$B$33,2,False)</f>
        <v>11</v>
      </c>
      <c r="F888" s="36">
        <f>if(ISNA(vlookup($A888, ESPN!$B$2:$E$1010, 4, false)), 0, vlookup($A888, ESPN!$B$2:$E$1010, 4, false))</f>
        <v>0</v>
      </c>
      <c r="G888" s="36">
        <f>if(ISNA(vlookup($A888,'Ultimate Draft Kit'!$B$2:$E$201,4, false)), 0, vlookup($A888,'Ultimate Draft Kit'!$B$2:$E$201, 4, false))</f>
        <v>0</v>
      </c>
      <c r="H888" s="36">
        <f>if(ISNA(vlookup($A888, FantasyPro!$B$2:$E$514,4,false)),0,vlookup($A888,FantasyPro!$B$2:$E$514,4,false))</f>
        <v>0</v>
      </c>
      <c r="I888" s="36">
        <f>if(ISNA(vlookup($A888, FFToolbox!$B$2:$E$618, 4, false)), 0, vlookup($A888, FFToolbox!$B$2:$E$618, 4, false))</f>
        <v>0</v>
      </c>
      <c r="J888" s="37">
        <f t="shared" si="1"/>
        <v>0</v>
      </c>
      <c r="K888" s="37">
        <f t="shared" si="2"/>
        <v>0</v>
      </c>
    </row>
    <row r="889" hidden="1">
      <c r="A889" s="13" t="s">
        <v>477</v>
      </c>
      <c r="B889" s="34" t="s">
        <v>1061</v>
      </c>
      <c r="C889" s="5" t="s">
        <v>257</v>
      </c>
      <c r="D889" s="5" t="s">
        <v>16</v>
      </c>
      <c r="E889" s="35" t="str">
        <f>vlookup(C889,'Team Bye List'!$A$1:$B$33,2,False)</f>
        <v>#N/A</v>
      </c>
      <c r="F889" s="36">
        <f>if(ISNA(vlookup($A889, ESPN!$B$2:$E$1010, 4, false)), 0, vlookup($A889, ESPN!$B$2:$E$1010, 4, false))</f>
        <v>0</v>
      </c>
      <c r="G889" s="36">
        <f>if(ISNA(vlookup($A889,'Ultimate Draft Kit'!$B$2:$E$201,4, false)), 0, vlookup($A889,'Ultimate Draft Kit'!$B$2:$E$201, 4, false))</f>
        <v>0</v>
      </c>
      <c r="H889" s="36">
        <f>if(ISNA(vlookup($A889, FantasyPro!$B$2:$E$514,4,false)),0,vlookup($A889,FantasyPro!$B$2:$E$514,4,false))</f>
        <v>0</v>
      </c>
      <c r="I889" s="36">
        <f>if(ISNA(vlookup($A889, FFToolbox!$B$2:$E$618, 4, false)), 0, vlookup($A889, FFToolbox!$B$2:$E$618, 4, false))</f>
        <v>0</v>
      </c>
      <c r="J889" s="37">
        <f t="shared" si="1"/>
        <v>0</v>
      </c>
      <c r="K889" s="37">
        <f t="shared" si="2"/>
        <v>0</v>
      </c>
    </row>
    <row r="890" hidden="1">
      <c r="A890" s="13" t="s">
        <v>504</v>
      </c>
      <c r="B890" s="34" t="s">
        <v>1061</v>
      </c>
      <c r="C890" s="5" t="s">
        <v>61</v>
      </c>
      <c r="D890" s="5" t="s">
        <v>16</v>
      </c>
      <c r="E890" s="35">
        <f>vlookup(C890,'Team Bye List'!$A$1:$B$33,2,False)</f>
        <v>9</v>
      </c>
      <c r="F890" s="36">
        <f>if(ISNA(vlookup($A890, ESPN!$B$2:$E$1010, 4, false)), 0, vlookup($A890, ESPN!$B$2:$E$1010, 4, false))</f>
        <v>0</v>
      </c>
      <c r="G890" s="36">
        <f>if(ISNA(vlookup($A890,'Ultimate Draft Kit'!$B$2:$E$201,4, false)), 0, vlookup($A890,'Ultimate Draft Kit'!$B$2:$E$201, 4, false))</f>
        <v>0</v>
      </c>
      <c r="H890" s="36">
        <f>if(ISNA(vlookup($A890, FantasyPro!$B$2:$E$514,4,false)),0,vlookup($A890,FantasyPro!$B$2:$E$514,4,false))</f>
        <v>0</v>
      </c>
      <c r="I890" s="36">
        <f>if(ISNA(vlookup($A890, FFToolbox!$B$2:$E$618, 4, false)), 0, vlookup($A890, FFToolbox!$B$2:$E$618, 4, false))</f>
        <v>0</v>
      </c>
      <c r="J890" s="37">
        <f t="shared" si="1"/>
        <v>0</v>
      </c>
      <c r="K890" s="37">
        <f t="shared" si="2"/>
        <v>0</v>
      </c>
    </row>
    <row r="891" hidden="1">
      <c r="A891" s="13" t="s">
        <v>1100</v>
      </c>
      <c r="B891" s="34" t="s">
        <v>1061</v>
      </c>
      <c r="C891" s="5" t="s">
        <v>257</v>
      </c>
      <c r="D891" s="5" t="s">
        <v>16</v>
      </c>
      <c r="E891" s="35" t="str">
        <f>vlookup(C891,'Team Bye List'!$A$1:$B$33,2,False)</f>
        <v>#N/A</v>
      </c>
      <c r="F891" s="36">
        <f>if(ISNA(vlookup($A891, ESPN!$B$2:$E$1010, 4, false)), 0, vlookup($A891, ESPN!$B$2:$E$1010, 4, false))</f>
        <v>0</v>
      </c>
      <c r="G891" s="36">
        <f>if(ISNA(vlookup($A891,'Ultimate Draft Kit'!$B$2:$E$201,4, false)), 0, vlookup($A891,'Ultimate Draft Kit'!$B$2:$E$201, 4, false))</f>
        <v>0</v>
      </c>
      <c r="H891" s="36">
        <f>if(ISNA(vlookup($A891, FantasyPro!$B$2:$E$514,4,false)),0,vlookup($A891,FantasyPro!$B$2:$E$514,4,false))</f>
        <v>0</v>
      </c>
      <c r="I891" s="36">
        <f>if(ISNA(vlookup($A891, FFToolbox!$B$2:$E$618, 4, false)), 0, vlookup($A891, FFToolbox!$B$2:$E$618, 4, false))</f>
        <v>0</v>
      </c>
      <c r="J891" s="37">
        <f t="shared" si="1"/>
        <v>0</v>
      </c>
      <c r="K891" s="37">
        <f t="shared" si="2"/>
        <v>0</v>
      </c>
    </row>
    <row r="892" hidden="1">
      <c r="A892" s="13" t="s">
        <v>467</v>
      </c>
      <c r="B892" s="34" t="s">
        <v>1061</v>
      </c>
      <c r="C892" s="5" t="s">
        <v>38</v>
      </c>
      <c r="D892" s="5" t="s">
        <v>16</v>
      </c>
      <c r="E892" s="35">
        <f>vlookup(C892,'Team Bye List'!$A$1:$B$33,2,False)</f>
        <v>12</v>
      </c>
      <c r="F892" s="36">
        <f>if(ISNA(vlookup($A892, ESPN!$B$2:$E$1010, 4, false)), 0, vlookup($A892, ESPN!$B$2:$E$1010, 4, false))</f>
        <v>0</v>
      </c>
      <c r="G892" s="36">
        <f>if(ISNA(vlookup($A892,'Ultimate Draft Kit'!$B$2:$E$201,4, false)), 0, vlookup($A892,'Ultimate Draft Kit'!$B$2:$E$201, 4, false))</f>
        <v>0</v>
      </c>
      <c r="H892" s="36">
        <f>if(ISNA(vlookup($A892, FantasyPro!$B$2:$E$514,4,false)),0,vlookup($A892,FantasyPro!$B$2:$E$514,4,false))</f>
        <v>0</v>
      </c>
      <c r="I892" s="36">
        <f>if(ISNA(vlookup($A892, FFToolbox!$B$2:$E$618, 4, false)), 0, vlookup($A892, FFToolbox!$B$2:$E$618, 4, false))</f>
        <v>0</v>
      </c>
      <c r="J892" s="37">
        <f t="shared" si="1"/>
        <v>0</v>
      </c>
      <c r="K892" s="37">
        <f t="shared" si="2"/>
        <v>0</v>
      </c>
    </row>
    <row r="893" hidden="1">
      <c r="A893" s="13" t="s">
        <v>508</v>
      </c>
      <c r="B893" s="34" t="s">
        <v>1061</v>
      </c>
      <c r="C893" s="5" t="s">
        <v>104</v>
      </c>
      <c r="D893" s="5" t="s">
        <v>16</v>
      </c>
      <c r="E893" s="35">
        <f>vlookup(C893,'Team Bye List'!$A$1:$B$33,2,False)</f>
        <v>7</v>
      </c>
      <c r="F893" s="36">
        <f>if(ISNA(vlookup($A893, ESPN!$B$2:$E$1010, 4, false)), 0, vlookup($A893, ESPN!$B$2:$E$1010, 4, false))</f>
        <v>0</v>
      </c>
      <c r="G893" s="36">
        <f>if(ISNA(vlookup($A893,'Ultimate Draft Kit'!$B$2:$E$201,4, false)), 0, vlookup($A893,'Ultimate Draft Kit'!$B$2:$E$201, 4, false))</f>
        <v>0</v>
      </c>
      <c r="H893" s="36">
        <f>if(ISNA(vlookup($A893, FantasyPro!$B$2:$E$514,4,false)),0,vlookup($A893,FantasyPro!$B$2:$E$514,4,false))</f>
        <v>0</v>
      </c>
      <c r="I893" s="36">
        <f>if(ISNA(vlookup($A893, FFToolbox!$B$2:$E$618, 4, false)), 0, vlookup($A893, FFToolbox!$B$2:$E$618, 4, false))</f>
        <v>0</v>
      </c>
      <c r="J893" s="37">
        <f t="shared" si="1"/>
        <v>0</v>
      </c>
      <c r="K893" s="37">
        <f t="shared" si="2"/>
        <v>0</v>
      </c>
    </row>
    <row r="894" hidden="1">
      <c r="A894" s="13" t="s">
        <v>444</v>
      </c>
      <c r="B894" s="34" t="s">
        <v>1061</v>
      </c>
      <c r="C894" s="5" t="s">
        <v>32</v>
      </c>
      <c r="D894" s="5" t="s">
        <v>16</v>
      </c>
      <c r="E894" s="35">
        <f>vlookup(C894,'Team Bye List'!$A$1:$B$33,2,False)</f>
        <v>9</v>
      </c>
      <c r="F894" s="36">
        <f>if(ISNA(vlookup($A894, ESPN!$B$2:$E$1010, 4, false)), 0, vlookup($A894, ESPN!$B$2:$E$1010, 4, false))</f>
        <v>0</v>
      </c>
      <c r="G894" s="36">
        <f>if(ISNA(vlookup($A894,'Ultimate Draft Kit'!$B$2:$E$201,4, false)), 0, vlookup($A894,'Ultimate Draft Kit'!$B$2:$E$201, 4, false))</f>
        <v>0</v>
      </c>
      <c r="H894" s="36">
        <f>if(ISNA(vlookup($A894, FantasyPro!$B$2:$E$514,4,false)),0,vlookup($A894,FantasyPro!$B$2:$E$514,4,false))</f>
        <v>0</v>
      </c>
      <c r="I894" s="36">
        <f>if(ISNA(vlookup($A894, FFToolbox!$B$2:$E$618, 4, false)), 0, vlookup($A894, FFToolbox!$B$2:$E$618, 4, false))</f>
        <v>0</v>
      </c>
      <c r="J894" s="37">
        <f t="shared" si="1"/>
        <v>0</v>
      </c>
      <c r="K894" s="37">
        <f t="shared" si="2"/>
        <v>0</v>
      </c>
    </row>
    <row r="895" hidden="1">
      <c r="A895" s="13" t="s">
        <v>495</v>
      </c>
      <c r="B895" s="34" t="s">
        <v>1061</v>
      </c>
      <c r="C895" s="5" t="s">
        <v>233</v>
      </c>
      <c r="D895" s="5" t="s">
        <v>16</v>
      </c>
      <c r="E895" s="35">
        <f>vlookup(C895,'Team Bye List'!$A$1:$B$33,2,False)</f>
        <v>9</v>
      </c>
      <c r="F895" s="36">
        <f>if(ISNA(vlookup($A895, ESPN!$B$2:$E$1010, 4, false)), 0, vlookup($A895, ESPN!$B$2:$E$1010, 4, false))</f>
        <v>0</v>
      </c>
      <c r="G895" s="36">
        <f>if(ISNA(vlookup($A895,'Ultimate Draft Kit'!$B$2:$E$201,4, false)), 0, vlookup($A895,'Ultimate Draft Kit'!$B$2:$E$201, 4, false))</f>
        <v>0</v>
      </c>
      <c r="H895" s="36">
        <f>if(ISNA(vlookup($A895, FantasyPro!$B$2:$E$514,4,false)),0,vlookup($A895,FantasyPro!$B$2:$E$514,4,false))</f>
        <v>0</v>
      </c>
      <c r="I895" s="36">
        <f>if(ISNA(vlookup($A895, FFToolbox!$B$2:$E$618, 4, false)), 0, vlookup($A895, FFToolbox!$B$2:$E$618, 4, false))</f>
        <v>0</v>
      </c>
      <c r="J895" s="37">
        <f t="shared" si="1"/>
        <v>0</v>
      </c>
      <c r="K895" s="37">
        <f t="shared" si="2"/>
        <v>0</v>
      </c>
    </row>
    <row r="896" hidden="1">
      <c r="A896" s="13" t="s">
        <v>500</v>
      </c>
      <c r="B896" s="34" t="s">
        <v>1061</v>
      </c>
      <c r="C896" s="5" t="s">
        <v>44</v>
      </c>
      <c r="D896" s="5" t="s">
        <v>16</v>
      </c>
      <c r="E896" s="35">
        <f>vlookup(C896,'Team Bye List'!$A$1:$B$33,2,False)</f>
        <v>10</v>
      </c>
      <c r="F896" s="36">
        <f>if(ISNA(vlookup($A896, ESPN!$B$2:$E$1010, 4, false)), 0, vlookup($A896, ESPN!$B$2:$E$1010, 4, false))</f>
        <v>0</v>
      </c>
      <c r="G896" s="36">
        <f>if(ISNA(vlookup($A896,'Ultimate Draft Kit'!$B$2:$E$201,4, false)), 0, vlookup($A896,'Ultimate Draft Kit'!$B$2:$E$201, 4, false))</f>
        <v>0</v>
      </c>
      <c r="H896" s="36">
        <f>if(ISNA(vlookup($A896, FantasyPro!$B$2:$E$514,4,false)),0,vlookup($A896,FantasyPro!$B$2:$E$514,4,false))</f>
        <v>0</v>
      </c>
      <c r="I896" s="36">
        <f>if(ISNA(vlookup($A896, FFToolbox!$B$2:$E$618, 4, false)), 0, vlookup($A896, FFToolbox!$B$2:$E$618, 4, false))</f>
        <v>0</v>
      </c>
      <c r="J896" s="37">
        <f t="shared" si="1"/>
        <v>0</v>
      </c>
      <c r="K896" s="37">
        <f t="shared" si="2"/>
        <v>0</v>
      </c>
    </row>
    <row r="897">
      <c r="A897" s="13" t="s">
        <v>241</v>
      </c>
      <c r="B897" s="34" t="s">
        <v>1061</v>
      </c>
      <c r="C897" s="5" t="s">
        <v>134</v>
      </c>
      <c r="D897" s="5" t="s">
        <v>169</v>
      </c>
      <c r="E897" s="35">
        <f>vlookup(C897,'Team Bye List'!$A$1:$B$33,2,False)</f>
        <v>11</v>
      </c>
      <c r="F897" s="36">
        <f>if(ISNA(vlookup($A897, ESPN!$B$2:$E$1010, 4, false)), 0, vlookup($A897, ESPN!$B$2:$E$1010, 4, false))</f>
        <v>0</v>
      </c>
      <c r="G897" s="36">
        <f>if(ISNA(vlookup($A897,'Ultimate Draft Kit'!$B$2:$E$201,4, false)), 0, vlookup($A897,'Ultimate Draft Kit'!$B$2:$E$201, 4, false))</f>
        <v>0</v>
      </c>
      <c r="H897" s="36">
        <f>if(ISNA(vlookup($A897, FantasyPro!$B$2:$E$514,4,false)),0,vlookup($A897,FantasyPro!$B$2:$E$514,4,false))</f>
        <v>0</v>
      </c>
      <c r="I897" s="36">
        <f>if(ISNA(vlookup($A897, FFToolbox!$B$2:$E$618, 4, false)), 0, vlookup($A897, FFToolbox!$B$2:$E$618, 4, false))</f>
        <v>0</v>
      </c>
      <c r="J897" s="37">
        <f t="shared" si="1"/>
        <v>0</v>
      </c>
      <c r="K897" s="37">
        <f t="shared" si="2"/>
        <v>0</v>
      </c>
    </row>
    <row r="898" hidden="1">
      <c r="A898" s="13" t="s">
        <v>476</v>
      </c>
      <c r="B898" s="34" t="s">
        <v>1061</v>
      </c>
      <c r="C898" s="5" t="s">
        <v>257</v>
      </c>
      <c r="D898" s="5" t="s">
        <v>16</v>
      </c>
      <c r="E898" s="35" t="str">
        <f>vlookup(C898,'Team Bye List'!$A$1:$B$33,2,False)</f>
        <v>#N/A</v>
      </c>
      <c r="F898" s="36">
        <f>if(ISNA(vlookup($A898, ESPN!$B$2:$E$1010, 4, false)), 0, vlookup($A898, ESPN!$B$2:$E$1010, 4, false))</f>
        <v>0</v>
      </c>
      <c r="G898" s="36">
        <f>if(ISNA(vlookup($A898,'Ultimate Draft Kit'!$B$2:$E$201,4, false)), 0, vlookup($A898,'Ultimate Draft Kit'!$B$2:$E$201, 4, false))</f>
        <v>0</v>
      </c>
      <c r="H898" s="36">
        <f>if(ISNA(vlookup($A898, FantasyPro!$B$2:$E$514,4,false)),0,vlookup($A898,FantasyPro!$B$2:$E$514,4,false))</f>
        <v>0</v>
      </c>
      <c r="I898" s="36">
        <f>if(ISNA(vlookup($A898, FFToolbox!$B$2:$E$618, 4, false)), 0, vlookup($A898, FFToolbox!$B$2:$E$618, 4, false))</f>
        <v>0</v>
      </c>
      <c r="J898" s="37">
        <f t="shared" si="1"/>
        <v>0</v>
      </c>
      <c r="K898" s="37">
        <f t="shared" si="2"/>
        <v>0</v>
      </c>
    </row>
    <row r="899" hidden="1">
      <c r="A899" s="13" t="s">
        <v>1101</v>
      </c>
      <c r="B899" s="34" t="s">
        <v>1061</v>
      </c>
      <c r="C899" s="5" t="s">
        <v>257</v>
      </c>
      <c r="D899" s="5" t="s">
        <v>16</v>
      </c>
      <c r="E899" s="35" t="str">
        <f>vlookup(C899,'Team Bye List'!$A$1:$B$33,2,False)</f>
        <v>#N/A</v>
      </c>
      <c r="F899" s="36">
        <f>if(ISNA(vlookup($A899, ESPN!$B$2:$E$1010, 4, false)), 0, vlookup($A899, ESPN!$B$2:$E$1010, 4, false))</f>
        <v>0</v>
      </c>
      <c r="G899" s="36">
        <f>if(ISNA(vlookup($A899,'Ultimate Draft Kit'!$B$2:$E$201,4, false)), 0, vlookup($A899,'Ultimate Draft Kit'!$B$2:$E$201, 4, false))</f>
        <v>0</v>
      </c>
      <c r="H899" s="36">
        <f>if(ISNA(vlookup($A899, FantasyPro!$B$2:$E$514,4,false)),0,vlookup($A899,FantasyPro!$B$2:$E$514,4,false))</f>
        <v>0</v>
      </c>
      <c r="I899" s="36">
        <f>if(ISNA(vlookup($A899, FFToolbox!$B$2:$E$618, 4, false)), 0, vlookup($A899, FFToolbox!$B$2:$E$618, 4, false))</f>
        <v>0</v>
      </c>
      <c r="J899" s="37">
        <f t="shared" si="1"/>
        <v>0</v>
      </c>
      <c r="K899" s="37">
        <f t="shared" si="2"/>
        <v>0</v>
      </c>
    </row>
    <row r="900" hidden="1">
      <c r="A900" s="13" t="s">
        <v>480</v>
      </c>
      <c r="B900" s="34" t="s">
        <v>1061</v>
      </c>
      <c r="C900" s="5" t="s">
        <v>257</v>
      </c>
      <c r="D900" s="5" t="s">
        <v>16</v>
      </c>
      <c r="E900" s="35" t="str">
        <f>vlookup(C900,'Team Bye List'!$A$1:$B$33,2,False)</f>
        <v>#N/A</v>
      </c>
      <c r="F900" s="36">
        <f>if(ISNA(vlookup($A900, ESPN!$B$2:$E$1010, 4, false)), 0, vlookup($A900, ESPN!$B$2:$E$1010, 4, false))</f>
        <v>0</v>
      </c>
      <c r="G900" s="36">
        <f>if(ISNA(vlookup($A900,'Ultimate Draft Kit'!$B$2:$E$201,4, false)), 0, vlookup($A900,'Ultimate Draft Kit'!$B$2:$E$201, 4, false))</f>
        <v>0</v>
      </c>
      <c r="H900" s="36">
        <f>if(ISNA(vlookup($A900, FantasyPro!$B$2:$E$514,4,false)),0,vlookup($A900,FantasyPro!$B$2:$E$514,4,false))</f>
        <v>0</v>
      </c>
      <c r="I900" s="36">
        <f>if(ISNA(vlookup($A900, FFToolbox!$B$2:$E$618, 4, false)), 0, vlookup($A900, FFToolbox!$B$2:$E$618, 4, false))</f>
        <v>0</v>
      </c>
      <c r="J900" s="37">
        <f t="shared" si="1"/>
        <v>0</v>
      </c>
      <c r="K900" s="37">
        <f t="shared" si="2"/>
        <v>0</v>
      </c>
    </row>
    <row r="901" hidden="1">
      <c r="A901" s="13" t="s">
        <v>486</v>
      </c>
      <c r="B901" s="34" t="s">
        <v>1061</v>
      </c>
      <c r="C901" s="5" t="s">
        <v>40</v>
      </c>
      <c r="D901" s="5" t="s">
        <v>16</v>
      </c>
      <c r="E901" s="35">
        <f>vlookup(C901,'Team Bye List'!$A$1:$B$33,2,False)</f>
        <v>6</v>
      </c>
      <c r="F901" s="36">
        <f>if(ISNA(vlookup($A901, ESPN!$B$2:$E$1010, 4, false)), 0, vlookup($A901, ESPN!$B$2:$E$1010, 4, false))</f>
        <v>0</v>
      </c>
      <c r="G901" s="36">
        <f>if(ISNA(vlookup($A901,'Ultimate Draft Kit'!$B$2:$E$201,4, false)), 0, vlookup($A901,'Ultimate Draft Kit'!$B$2:$E$201, 4, false))</f>
        <v>0</v>
      </c>
      <c r="H901" s="36">
        <f>if(ISNA(vlookup($A901, FantasyPro!$B$2:$E$514,4,false)),0,vlookup($A901,FantasyPro!$B$2:$E$514,4,false))</f>
        <v>0</v>
      </c>
      <c r="I901" s="36">
        <f>if(ISNA(vlookup($A901, FFToolbox!$B$2:$E$618, 4, false)), 0, vlookup($A901, FFToolbox!$B$2:$E$618, 4, false))</f>
        <v>0</v>
      </c>
      <c r="J901" s="37">
        <f t="shared" si="1"/>
        <v>0</v>
      </c>
      <c r="K901" s="37">
        <f t="shared" si="2"/>
        <v>0</v>
      </c>
    </row>
    <row r="902" hidden="1">
      <c r="A902" s="13" t="s">
        <v>472</v>
      </c>
      <c r="B902" s="34" t="s">
        <v>1061</v>
      </c>
      <c r="C902" s="5" t="s">
        <v>257</v>
      </c>
      <c r="D902" s="5" t="s">
        <v>16</v>
      </c>
      <c r="E902" s="35" t="str">
        <f>vlookup(C902,'Team Bye List'!$A$1:$B$33,2,False)</f>
        <v>#N/A</v>
      </c>
      <c r="F902" s="36">
        <f>if(ISNA(vlookup($A902, ESPN!$B$2:$E$1010, 4, false)), 0, vlookup($A902, ESPN!$B$2:$E$1010, 4, false))</f>
        <v>0</v>
      </c>
      <c r="G902" s="36">
        <f>if(ISNA(vlookup($A902,'Ultimate Draft Kit'!$B$2:$E$201,4, false)), 0, vlookup($A902,'Ultimate Draft Kit'!$B$2:$E$201, 4, false))</f>
        <v>0</v>
      </c>
      <c r="H902" s="36">
        <f>if(ISNA(vlookup($A902, FantasyPro!$B$2:$E$514,4,false)),0,vlookup($A902,FantasyPro!$B$2:$E$514,4,false))</f>
        <v>0</v>
      </c>
      <c r="I902" s="36">
        <f>if(ISNA(vlookup($A902, FFToolbox!$B$2:$E$618, 4, false)), 0, vlookup($A902, FFToolbox!$B$2:$E$618, 4, false))</f>
        <v>0</v>
      </c>
      <c r="J902" s="37">
        <f t="shared" si="1"/>
        <v>0</v>
      </c>
      <c r="K902" s="37">
        <f t="shared" si="2"/>
        <v>0</v>
      </c>
    </row>
    <row r="903" hidden="1">
      <c r="A903" s="13" t="s">
        <v>455</v>
      </c>
      <c r="B903" s="34" t="s">
        <v>1061</v>
      </c>
      <c r="C903" s="5" t="s">
        <v>86</v>
      </c>
      <c r="D903" s="5" t="s">
        <v>16</v>
      </c>
      <c r="E903" s="35">
        <f>vlookup(C903,'Team Bye List'!$A$1:$B$33,2,False)</f>
        <v>6</v>
      </c>
      <c r="F903" s="36">
        <f>if(ISNA(vlookup($A903, ESPN!$B$2:$E$1010, 4, false)), 0, vlookup($A903, ESPN!$B$2:$E$1010, 4, false))</f>
        <v>0</v>
      </c>
      <c r="G903" s="36">
        <f>if(ISNA(vlookup($A903,'Ultimate Draft Kit'!$B$2:$E$201,4, false)), 0, vlookup($A903,'Ultimate Draft Kit'!$B$2:$E$201, 4, false))</f>
        <v>0</v>
      </c>
      <c r="H903" s="36">
        <f>if(ISNA(vlookup($A903, FantasyPro!$B$2:$E$514,4,false)),0,vlookup($A903,FantasyPro!$B$2:$E$514,4,false))</f>
        <v>0</v>
      </c>
      <c r="I903" s="36">
        <f>if(ISNA(vlookup($A903, FFToolbox!$B$2:$E$618, 4, false)), 0, vlookup($A903, FFToolbox!$B$2:$E$618, 4, false))</f>
        <v>0</v>
      </c>
      <c r="J903" s="37">
        <f t="shared" si="1"/>
        <v>0</v>
      </c>
      <c r="K903" s="37">
        <f t="shared" si="2"/>
        <v>0</v>
      </c>
    </row>
    <row r="904" hidden="1">
      <c r="A904" s="13" t="s">
        <v>1049</v>
      </c>
      <c r="B904" s="34" t="s">
        <v>1061</v>
      </c>
      <c r="C904" s="5" t="s">
        <v>257</v>
      </c>
      <c r="D904" s="5" t="s">
        <v>16</v>
      </c>
      <c r="E904" s="35" t="str">
        <f>vlookup(C904,'Team Bye List'!$A$1:$B$33,2,False)</f>
        <v>#N/A</v>
      </c>
      <c r="F904" s="36">
        <f>if(ISNA(vlookup($A904, ESPN!$B$2:$E$1010, 4, false)), 0, vlookup($A904, ESPN!$B$2:$E$1010, 4, false))</f>
        <v>0</v>
      </c>
      <c r="G904" s="36">
        <f>if(ISNA(vlookup($A904,'Ultimate Draft Kit'!$B$2:$E$201,4, false)), 0, vlookup($A904,'Ultimate Draft Kit'!$B$2:$E$201, 4, false))</f>
        <v>0</v>
      </c>
      <c r="H904" s="36">
        <f>if(ISNA(vlookup($A904, FantasyPro!$B$2:$E$514,4,false)),0,vlookup($A904,FantasyPro!$B$2:$E$514,4,false))</f>
        <v>0</v>
      </c>
      <c r="I904" s="36">
        <f>if(ISNA(vlookup($A904, FFToolbox!$B$2:$E$618, 4, false)), 0, vlookup($A904, FFToolbox!$B$2:$E$618, 4, false))</f>
        <v>0</v>
      </c>
      <c r="J904" s="37">
        <f t="shared" si="1"/>
        <v>0</v>
      </c>
      <c r="K904" s="37">
        <f t="shared" si="2"/>
        <v>0</v>
      </c>
    </row>
    <row r="905" hidden="1">
      <c r="A905" s="13" t="s">
        <v>494</v>
      </c>
      <c r="B905" s="34" t="s">
        <v>1061</v>
      </c>
      <c r="C905" s="5" t="s">
        <v>102</v>
      </c>
      <c r="D905" s="5" t="s">
        <v>16</v>
      </c>
      <c r="E905" s="35">
        <f>vlookup(C905,'Team Bye List'!$A$1:$B$33,2,False)</f>
        <v>11</v>
      </c>
      <c r="F905" s="36">
        <f>if(ISNA(vlookup($A905, ESPN!$B$2:$E$1010, 4, false)), 0, vlookup($A905, ESPN!$B$2:$E$1010, 4, false))</f>
        <v>0</v>
      </c>
      <c r="G905" s="36">
        <f>if(ISNA(vlookup($A905,'Ultimate Draft Kit'!$B$2:$E$201,4, false)), 0, vlookup($A905,'Ultimate Draft Kit'!$B$2:$E$201, 4, false))</f>
        <v>0</v>
      </c>
      <c r="H905" s="36">
        <f>if(ISNA(vlookup($A905, FantasyPro!$B$2:$E$514,4,false)),0,vlookup($A905,FantasyPro!$B$2:$E$514,4,false))</f>
        <v>0</v>
      </c>
      <c r="I905" s="36">
        <f>if(ISNA(vlookup($A905, FFToolbox!$B$2:$E$618, 4, false)), 0, vlookup($A905, FFToolbox!$B$2:$E$618, 4, false))</f>
        <v>0</v>
      </c>
      <c r="J905" s="37">
        <f t="shared" si="1"/>
        <v>0</v>
      </c>
      <c r="K905" s="37">
        <f t="shared" si="2"/>
        <v>0</v>
      </c>
    </row>
    <row r="906" hidden="1">
      <c r="A906" s="13" t="s">
        <v>438</v>
      </c>
      <c r="B906" s="34" t="s">
        <v>1061</v>
      </c>
      <c r="C906" s="5" t="s">
        <v>61</v>
      </c>
      <c r="D906" s="5" t="s">
        <v>16</v>
      </c>
      <c r="E906" s="35">
        <f>vlookup(C906,'Team Bye List'!$A$1:$B$33,2,False)</f>
        <v>9</v>
      </c>
      <c r="F906" s="36">
        <f>if(ISNA(vlookup($A906, ESPN!$B$2:$E$1010, 4, false)), 0, vlookup($A906, ESPN!$B$2:$E$1010, 4, false))</f>
        <v>0</v>
      </c>
      <c r="G906" s="36">
        <f>if(ISNA(vlookup($A906,'Ultimate Draft Kit'!$B$2:$E$201,4, false)), 0, vlookup($A906,'Ultimate Draft Kit'!$B$2:$E$201, 4, false))</f>
        <v>0</v>
      </c>
      <c r="H906" s="36">
        <f>if(ISNA(vlookup($A906, FantasyPro!$B$2:$E$514,4,false)),0,vlookup($A906,FantasyPro!$B$2:$E$514,4,false))</f>
        <v>0</v>
      </c>
      <c r="I906" s="36">
        <f>if(ISNA(vlookup($A906, FFToolbox!$B$2:$E$618, 4, false)), 0, vlookup($A906, FFToolbox!$B$2:$E$618, 4, false))</f>
        <v>0</v>
      </c>
      <c r="J906" s="37">
        <f t="shared" si="1"/>
        <v>0</v>
      </c>
      <c r="K906" s="37">
        <f t="shared" si="2"/>
        <v>0</v>
      </c>
    </row>
    <row r="907" hidden="1">
      <c r="A907" s="13" t="s">
        <v>457</v>
      </c>
      <c r="B907" s="34" t="s">
        <v>1061</v>
      </c>
      <c r="C907" s="5" t="s">
        <v>18</v>
      </c>
      <c r="D907" s="5" t="s">
        <v>16</v>
      </c>
      <c r="E907" s="35">
        <f>vlookup(C907,'Team Bye List'!$A$1:$B$33,2,False)</f>
        <v>6</v>
      </c>
      <c r="F907" s="36">
        <f>if(ISNA(vlookup($A907, ESPN!$B$2:$E$1010, 4, false)), 0, vlookup($A907, ESPN!$B$2:$E$1010, 4, false))</f>
        <v>0</v>
      </c>
      <c r="G907" s="36">
        <f>if(ISNA(vlookup($A907,'Ultimate Draft Kit'!$B$2:$E$201,4, false)), 0, vlookup($A907,'Ultimate Draft Kit'!$B$2:$E$201, 4, false))</f>
        <v>0</v>
      </c>
      <c r="H907" s="36">
        <f>if(ISNA(vlookup($A907, FantasyPro!$B$2:$E$514,4,false)),0,vlookup($A907,FantasyPro!$B$2:$E$514,4,false))</f>
        <v>0</v>
      </c>
      <c r="I907" s="36">
        <f>if(ISNA(vlookup($A907, FFToolbox!$B$2:$E$618, 4, false)), 0, vlookup($A907, FFToolbox!$B$2:$E$618, 4, false))</f>
        <v>0</v>
      </c>
      <c r="J907" s="37">
        <f t="shared" si="1"/>
        <v>0</v>
      </c>
      <c r="K907" s="37">
        <f t="shared" si="2"/>
        <v>0</v>
      </c>
    </row>
    <row r="908" hidden="1">
      <c r="A908" s="13" t="s">
        <v>474</v>
      </c>
      <c r="B908" s="34" t="s">
        <v>1061</v>
      </c>
      <c r="C908" s="5" t="s">
        <v>257</v>
      </c>
      <c r="D908" s="5" t="s">
        <v>16</v>
      </c>
      <c r="E908" s="35" t="str">
        <f>vlookup(C908,'Team Bye List'!$A$1:$B$33,2,False)</f>
        <v>#N/A</v>
      </c>
      <c r="F908" s="36">
        <f>if(ISNA(vlookup($A908, ESPN!$B$2:$E$1010, 4, false)), 0, vlookup($A908, ESPN!$B$2:$E$1010, 4, false))</f>
        <v>0</v>
      </c>
      <c r="G908" s="36">
        <f>if(ISNA(vlookup($A908,'Ultimate Draft Kit'!$B$2:$E$201,4, false)), 0, vlookup($A908,'Ultimate Draft Kit'!$B$2:$E$201, 4, false))</f>
        <v>0</v>
      </c>
      <c r="H908" s="36">
        <f>if(ISNA(vlookup($A908, FantasyPro!$B$2:$E$514,4,false)),0,vlookup($A908,FantasyPro!$B$2:$E$514,4,false))</f>
        <v>0</v>
      </c>
      <c r="I908" s="36">
        <f>if(ISNA(vlookup($A908, FFToolbox!$B$2:$E$618, 4, false)), 0, vlookup($A908, FFToolbox!$B$2:$E$618, 4, false))</f>
        <v>0</v>
      </c>
      <c r="J908" s="37">
        <f t="shared" si="1"/>
        <v>0</v>
      </c>
      <c r="K908" s="37">
        <f t="shared" si="2"/>
        <v>0</v>
      </c>
    </row>
    <row r="909" hidden="1">
      <c r="A909" s="13" t="s">
        <v>452</v>
      </c>
      <c r="B909" s="34" t="s">
        <v>1061</v>
      </c>
      <c r="C909" s="5" t="s">
        <v>54</v>
      </c>
      <c r="D909" s="5" t="s">
        <v>16</v>
      </c>
      <c r="E909" s="35">
        <f>vlookup(C909,'Team Bye List'!$A$1:$B$33,2,False)</f>
        <v>9</v>
      </c>
      <c r="F909" s="36">
        <f>if(ISNA(vlookup($A909, ESPN!$B$2:$E$1010, 4, false)), 0, vlookup($A909, ESPN!$B$2:$E$1010, 4, false))</f>
        <v>0</v>
      </c>
      <c r="G909" s="36">
        <f>if(ISNA(vlookup($A909,'Ultimate Draft Kit'!$B$2:$E$201,4, false)), 0, vlookup($A909,'Ultimate Draft Kit'!$B$2:$E$201, 4, false))</f>
        <v>0</v>
      </c>
      <c r="H909" s="36">
        <f>if(ISNA(vlookup($A909, FantasyPro!$B$2:$E$514,4,false)),0,vlookup($A909,FantasyPro!$B$2:$E$514,4,false))</f>
        <v>0</v>
      </c>
      <c r="I909" s="36">
        <f>if(ISNA(vlookup($A909, FFToolbox!$B$2:$E$618, 4, false)), 0, vlookup($A909, FFToolbox!$B$2:$E$618, 4, false))</f>
        <v>0</v>
      </c>
      <c r="J909" s="37">
        <f t="shared" si="1"/>
        <v>0</v>
      </c>
      <c r="K909" s="37">
        <f t="shared" si="2"/>
        <v>0</v>
      </c>
    </row>
    <row r="910" hidden="1">
      <c r="A910" s="13" t="s">
        <v>490</v>
      </c>
      <c r="B910" s="34" t="s">
        <v>1061</v>
      </c>
      <c r="C910" s="5" t="s">
        <v>257</v>
      </c>
      <c r="D910" s="5" t="s">
        <v>16</v>
      </c>
      <c r="E910" s="35" t="str">
        <f>vlookup(C910,'Team Bye List'!$A$1:$B$33,2,False)</f>
        <v>#N/A</v>
      </c>
      <c r="F910" s="36">
        <f>if(ISNA(vlookup($A910, ESPN!$B$2:$E$1010, 4, false)), 0, vlookup($A910, ESPN!$B$2:$E$1010, 4, false))</f>
        <v>0</v>
      </c>
      <c r="G910" s="36">
        <f>if(ISNA(vlookup($A910,'Ultimate Draft Kit'!$B$2:$E$201,4, false)), 0, vlookup($A910,'Ultimate Draft Kit'!$B$2:$E$201, 4, false))</f>
        <v>0</v>
      </c>
      <c r="H910" s="36">
        <f>if(ISNA(vlookup($A910, FantasyPro!$B$2:$E$514,4,false)),0,vlookup($A910,FantasyPro!$B$2:$E$514,4,false))</f>
        <v>0</v>
      </c>
      <c r="I910" s="36">
        <f>if(ISNA(vlookup($A910, FFToolbox!$B$2:$E$618, 4, false)), 0, vlookup($A910, FFToolbox!$B$2:$E$618, 4, false))</f>
        <v>0</v>
      </c>
      <c r="J910" s="37">
        <f t="shared" si="1"/>
        <v>0</v>
      </c>
      <c r="K910" s="37">
        <f t="shared" si="2"/>
        <v>0</v>
      </c>
    </row>
    <row r="911" hidden="1">
      <c r="A911" s="13" t="s">
        <v>464</v>
      </c>
      <c r="B911" s="34" t="s">
        <v>1061</v>
      </c>
      <c r="C911" s="5" t="s">
        <v>257</v>
      </c>
      <c r="D911" s="5" t="s">
        <v>16</v>
      </c>
      <c r="E911" s="35" t="str">
        <f>vlookup(C911,'Team Bye List'!$A$1:$B$33,2,False)</f>
        <v>#N/A</v>
      </c>
      <c r="F911" s="36">
        <f>if(ISNA(vlookup($A911, ESPN!$B$2:$E$1010, 4, false)), 0, vlookup($A911, ESPN!$B$2:$E$1010, 4, false))</f>
        <v>0</v>
      </c>
      <c r="G911" s="36">
        <f>if(ISNA(vlookup($A911,'Ultimate Draft Kit'!$B$2:$E$201,4, false)), 0, vlookup($A911,'Ultimate Draft Kit'!$B$2:$E$201, 4, false))</f>
        <v>0</v>
      </c>
      <c r="H911" s="36">
        <f>if(ISNA(vlookup($A911, FantasyPro!$B$2:$E$514,4,false)),0,vlookup($A911,FantasyPro!$B$2:$E$514,4,false))</f>
        <v>0</v>
      </c>
      <c r="I911" s="36">
        <f>if(ISNA(vlookup($A911, FFToolbox!$B$2:$E$618, 4, false)), 0, vlookup($A911, FFToolbox!$B$2:$E$618, 4, false))</f>
        <v>0</v>
      </c>
      <c r="J911" s="37">
        <f t="shared" si="1"/>
        <v>0</v>
      </c>
      <c r="K911" s="37">
        <f t="shared" si="2"/>
        <v>0</v>
      </c>
    </row>
    <row r="912" hidden="1">
      <c r="A912" s="13" t="s">
        <v>459</v>
      </c>
      <c r="B912" s="34" t="s">
        <v>1061</v>
      </c>
      <c r="C912" s="5" t="s">
        <v>56</v>
      </c>
      <c r="D912" s="5" t="s">
        <v>16</v>
      </c>
      <c r="E912" s="35">
        <f>vlookup(C912,'Team Bye List'!$A$1:$B$33,2,False)</f>
        <v>5</v>
      </c>
      <c r="F912" s="36">
        <f>if(ISNA(vlookup($A912, ESPN!$B$2:$E$1010, 4, false)), 0, vlookup($A912, ESPN!$B$2:$E$1010, 4, false))</f>
        <v>0</v>
      </c>
      <c r="G912" s="36">
        <f>if(ISNA(vlookup($A912,'Ultimate Draft Kit'!$B$2:$E$201,4, false)), 0, vlookup($A912,'Ultimate Draft Kit'!$B$2:$E$201, 4, false))</f>
        <v>0</v>
      </c>
      <c r="H912" s="36">
        <f>if(ISNA(vlookup($A912, FantasyPro!$B$2:$E$514,4,false)),0,vlookup($A912,FantasyPro!$B$2:$E$514,4,false))</f>
        <v>0</v>
      </c>
      <c r="I912" s="36">
        <f>if(ISNA(vlookup($A912, FFToolbox!$B$2:$E$618, 4, false)), 0, vlookup($A912, FFToolbox!$B$2:$E$618, 4, false))</f>
        <v>0</v>
      </c>
      <c r="J912" s="37">
        <f t="shared" si="1"/>
        <v>0</v>
      </c>
      <c r="K912" s="37">
        <f t="shared" si="2"/>
        <v>0</v>
      </c>
    </row>
    <row r="913" hidden="1">
      <c r="A913" s="13" t="s">
        <v>439</v>
      </c>
      <c r="B913" s="34" t="s">
        <v>1061</v>
      </c>
      <c r="C913" s="5" t="s">
        <v>134</v>
      </c>
      <c r="D913" s="5" t="s">
        <v>16</v>
      </c>
      <c r="E913" s="35">
        <f>vlookup(C913,'Team Bye List'!$A$1:$B$33,2,False)</f>
        <v>11</v>
      </c>
      <c r="F913" s="36">
        <f>if(ISNA(vlookup($A913, ESPN!$B$2:$E$1010, 4, false)), 0, vlookup($A913, ESPN!$B$2:$E$1010, 4, false))</f>
        <v>0</v>
      </c>
      <c r="G913" s="36">
        <f>if(ISNA(vlookup($A913,'Ultimate Draft Kit'!$B$2:$E$201,4, false)), 0, vlookup($A913,'Ultimate Draft Kit'!$B$2:$E$201, 4, false))</f>
        <v>0</v>
      </c>
      <c r="H913" s="36">
        <f>if(ISNA(vlookup($A913, FantasyPro!$B$2:$E$514,4,false)),0,vlookup($A913,FantasyPro!$B$2:$E$514,4,false))</f>
        <v>0</v>
      </c>
      <c r="I913" s="36">
        <f>if(ISNA(vlookup($A913, FFToolbox!$B$2:$E$618, 4, false)), 0, vlookup($A913, FFToolbox!$B$2:$E$618, 4, false))</f>
        <v>0</v>
      </c>
      <c r="J913" s="37">
        <f t="shared" si="1"/>
        <v>0</v>
      </c>
      <c r="K913" s="37">
        <f t="shared" si="2"/>
        <v>0</v>
      </c>
    </row>
    <row r="914" hidden="1">
      <c r="A914" s="13" t="s">
        <v>1102</v>
      </c>
      <c r="B914" s="34" t="s">
        <v>1061</v>
      </c>
      <c r="C914" s="5" t="s">
        <v>257</v>
      </c>
      <c r="D914" s="5" t="s">
        <v>7</v>
      </c>
      <c r="E914" s="35" t="str">
        <f>vlookup(C914,'Team Bye List'!$A$1:$B$33,2,False)</f>
        <v>#N/A</v>
      </c>
      <c r="F914" s="36">
        <f>if(ISNA(vlookup($A914, ESPN!$B$2:$E$1010, 4, false)), 0, vlookup($A914, ESPN!$B$2:$E$1010, 4, false))</f>
        <v>0</v>
      </c>
      <c r="G914" s="36">
        <f>if(ISNA(vlookup($A914,'Ultimate Draft Kit'!$B$2:$E$201,4, false)), 0, vlookup($A914,'Ultimate Draft Kit'!$B$2:$E$201, 4, false))</f>
        <v>0</v>
      </c>
      <c r="H914" s="36">
        <f>if(ISNA(vlookup($A914, FantasyPro!$B$2:$E$514,4,false)),0,vlookup($A914,FantasyPro!$B$2:$E$514,4,false))</f>
        <v>0</v>
      </c>
      <c r="I914" s="36">
        <f>if(ISNA(vlookup($A914, FFToolbox!$B$2:$E$618, 4, false)), 0, vlookup($A914, FFToolbox!$B$2:$E$618, 4, false))</f>
        <v>0</v>
      </c>
      <c r="J914" s="37">
        <f t="shared" si="1"/>
        <v>0</v>
      </c>
      <c r="K914" s="37">
        <f t="shared" si="2"/>
        <v>0</v>
      </c>
    </row>
    <row r="915" hidden="1">
      <c r="A915" s="13" t="s">
        <v>453</v>
      </c>
      <c r="B915" s="34" t="s">
        <v>1061</v>
      </c>
      <c r="C915" s="5" t="s">
        <v>257</v>
      </c>
      <c r="D915" s="5" t="s">
        <v>16</v>
      </c>
      <c r="E915" s="35" t="str">
        <f>vlookup(C915,'Team Bye List'!$A$1:$B$33,2,False)</f>
        <v>#N/A</v>
      </c>
      <c r="F915" s="36">
        <f>if(ISNA(vlookup($A915, ESPN!$B$2:$E$1010, 4, false)), 0, vlookup($A915, ESPN!$B$2:$E$1010, 4, false))</f>
        <v>0</v>
      </c>
      <c r="G915" s="36">
        <f>if(ISNA(vlookup($A915,'Ultimate Draft Kit'!$B$2:$E$201,4, false)), 0, vlookup($A915,'Ultimate Draft Kit'!$B$2:$E$201, 4, false))</f>
        <v>0</v>
      </c>
      <c r="H915" s="36">
        <f>if(ISNA(vlookup($A915, FantasyPro!$B$2:$E$514,4,false)),0,vlookup($A915,FantasyPro!$B$2:$E$514,4,false))</f>
        <v>0</v>
      </c>
      <c r="I915" s="36">
        <f>if(ISNA(vlookup($A915, FFToolbox!$B$2:$E$618, 4, false)), 0, vlookup($A915, FFToolbox!$B$2:$E$618, 4, false))</f>
        <v>0</v>
      </c>
      <c r="J915" s="37">
        <f t="shared" si="1"/>
        <v>0</v>
      </c>
      <c r="K915" s="37">
        <f t="shared" si="2"/>
        <v>0</v>
      </c>
    </row>
    <row r="916" hidden="1">
      <c r="A916" s="13" t="s">
        <v>458</v>
      </c>
      <c r="B916" s="34" t="s">
        <v>1061</v>
      </c>
      <c r="C916" s="5" t="s">
        <v>96</v>
      </c>
      <c r="D916" s="5" t="s">
        <v>16</v>
      </c>
      <c r="E916" s="35">
        <f>vlookup(C916,'Team Bye List'!$A$1:$B$33,2,False)</f>
        <v>10</v>
      </c>
      <c r="F916" s="36">
        <f>if(ISNA(vlookup($A916, ESPN!$B$2:$E$1010, 4, false)), 0, vlookup($A916, ESPN!$B$2:$E$1010, 4, false))</f>
        <v>0</v>
      </c>
      <c r="G916" s="36">
        <f>if(ISNA(vlookup($A916,'Ultimate Draft Kit'!$B$2:$E$201,4, false)), 0, vlookup($A916,'Ultimate Draft Kit'!$B$2:$E$201, 4, false))</f>
        <v>0</v>
      </c>
      <c r="H916" s="36">
        <f>if(ISNA(vlookup($A916, FantasyPro!$B$2:$E$514,4,false)),0,vlookup($A916,FantasyPro!$B$2:$E$514,4,false))</f>
        <v>0</v>
      </c>
      <c r="I916" s="36">
        <f>if(ISNA(vlookup($A916, FFToolbox!$B$2:$E$618, 4, false)), 0, vlookup($A916, FFToolbox!$B$2:$E$618, 4, false))</f>
        <v>0</v>
      </c>
      <c r="J916" s="37">
        <f t="shared" si="1"/>
        <v>0</v>
      </c>
      <c r="K916" s="37">
        <f t="shared" si="2"/>
        <v>0</v>
      </c>
    </row>
    <row r="917" hidden="1">
      <c r="A917" s="13" t="s">
        <v>441</v>
      </c>
      <c r="B917" s="34" t="s">
        <v>1061</v>
      </c>
      <c r="C917" s="5" t="s">
        <v>54</v>
      </c>
      <c r="D917" s="5" t="s">
        <v>16</v>
      </c>
      <c r="E917" s="35">
        <f>vlookup(C917,'Team Bye List'!$A$1:$B$33,2,False)</f>
        <v>9</v>
      </c>
      <c r="F917" s="36">
        <f>if(ISNA(vlookup($A917, ESPN!$B$2:$E$1010, 4, false)), 0, vlookup($A917, ESPN!$B$2:$E$1010, 4, false))</f>
        <v>0</v>
      </c>
      <c r="G917" s="36">
        <f>if(ISNA(vlookup($A917,'Ultimate Draft Kit'!$B$2:$E$201,4, false)), 0, vlookup($A917,'Ultimate Draft Kit'!$B$2:$E$201, 4, false))</f>
        <v>0</v>
      </c>
      <c r="H917" s="36">
        <f>if(ISNA(vlookup($A917, FantasyPro!$B$2:$E$514,4,false)),0,vlookup($A917,FantasyPro!$B$2:$E$514,4,false))</f>
        <v>0</v>
      </c>
      <c r="I917" s="36">
        <f>if(ISNA(vlookup($A917, FFToolbox!$B$2:$E$618, 4, false)), 0, vlookup($A917, FFToolbox!$B$2:$E$618, 4, false))</f>
        <v>0</v>
      </c>
      <c r="J917" s="37">
        <f t="shared" si="1"/>
        <v>0</v>
      </c>
      <c r="K917" s="37">
        <f t="shared" si="2"/>
        <v>0</v>
      </c>
    </row>
    <row r="918" hidden="1">
      <c r="A918" s="13" t="s">
        <v>434</v>
      </c>
      <c r="B918" s="34" t="s">
        <v>1061</v>
      </c>
      <c r="C918" s="5" t="s">
        <v>40</v>
      </c>
      <c r="D918" s="5" t="s">
        <v>16</v>
      </c>
      <c r="E918" s="35">
        <f>vlookup(C918,'Team Bye List'!$A$1:$B$33,2,False)</f>
        <v>6</v>
      </c>
      <c r="F918" s="36">
        <f>if(ISNA(vlookup($A918, ESPN!$B$2:$E$1010, 4, false)), 0, vlookup($A918, ESPN!$B$2:$E$1010, 4, false))</f>
        <v>0</v>
      </c>
      <c r="G918" s="36">
        <f>if(ISNA(vlookup($A918,'Ultimate Draft Kit'!$B$2:$E$201,4, false)), 0, vlookup($A918,'Ultimate Draft Kit'!$B$2:$E$201, 4, false))</f>
        <v>0</v>
      </c>
      <c r="H918" s="36">
        <f>if(ISNA(vlookup($A918, FantasyPro!$B$2:$E$514,4,false)),0,vlookup($A918,FantasyPro!$B$2:$E$514,4,false))</f>
        <v>0</v>
      </c>
      <c r="I918" s="36">
        <f>if(ISNA(vlookup($A918, FFToolbox!$B$2:$E$618, 4, false)), 0, vlookup($A918, FFToolbox!$B$2:$E$618, 4, false))</f>
        <v>0</v>
      </c>
      <c r="J918" s="37">
        <f t="shared" si="1"/>
        <v>0</v>
      </c>
      <c r="K918" s="37">
        <f t="shared" si="2"/>
        <v>0</v>
      </c>
    </row>
    <row r="919" hidden="1">
      <c r="A919" s="13" t="s">
        <v>469</v>
      </c>
      <c r="B919" s="34" t="s">
        <v>1061</v>
      </c>
      <c r="C919" s="5" t="s">
        <v>38</v>
      </c>
      <c r="D919" s="5" t="s">
        <v>16</v>
      </c>
      <c r="E919" s="35">
        <f>vlookup(C919,'Team Bye List'!$A$1:$B$33,2,False)</f>
        <v>12</v>
      </c>
      <c r="F919" s="36">
        <f>if(ISNA(vlookup($A919, ESPN!$B$2:$E$1010, 4, false)), 0, vlookup($A919, ESPN!$B$2:$E$1010, 4, false))</f>
        <v>0</v>
      </c>
      <c r="G919" s="36">
        <f>if(ISNA(vlookup($A919,'Ultimate Draft Kit'!$B$2:$E$201,4, false)), 0, vlookup($A919,'Ultimate Draft Kit'!$B$2:$E$201, 4, false))</f>
        <v>0</v>
      </c>
      <c r="H919" s="36">
        <f>if(ISNA(vlookup($A919, FantasyPro!$B$2:$E$514,4,false)),0,vlookup($A919,FantasyPro!$B$2:$E$514,4,false))</f>
        <v>0</v>
      </c>
      <c r="I919" s="36">
        <f>if(ISNA(vlookup($A919, FFToolbox!$B$2:$E$618, 4, false)), 0, vlookup($A919, FFToolbox!$B$2:$E$618, 4, false))</f>
        <v>0</v>
      </c>
      <c r="J919" s="37">
        <f t="shared" si="1"/>
        <v>0</v>
      </c>
      <c r="K919" s="37">
        <f t="shared" si="2"/>
        <v>0</v>
      </c>
    </row>
    <row r="920" hidden="1">
      <c r="A920" s="13" t="s">
        <v>505</v>
      </c>
      <c r="B920" s="34" t="s">
        <v>1061</v>
      </c>
      <c r="C920" s="5" t="s">
        <v>92</v>
      </c>
      <c r="D920" s="5" t="s">
        <v>16</v>
      </c>
      <c r="E920" s="35">
        <f>vlookup(C920,'Team Bye List'!$A$1:$B$33,2,False)</f>
        <v>8</v>
      </c>
      <c r="F920" s="36">
        <f>if(ISNA(vlookup($A920, ESPN!$B$2:$E$1010, 4, false)), 0, vlookup($A920, ESPN!$B$2:$E$1010, 4, false))</f>
        <v>0</v>
      </c>
      <c r="G920" s="36">
        <f>if(ISNA(vlookup($A920,'Ultimate Draft Kit'!$B$2:$E$201,4, false)), 0, vlookup($A920,'Ultimate Draft Kit'!$B$2:$E$201, 4, false))</f>
        <v>0</v>
      </c>
      <c r="H920" s="36">
        <f>if(ISNA(vlookup($A920, FantasyPro!$B$2:$E$514,4,false)),0,vlookup($A920,FantasyPro!$B$2:$E$514,4,false))</f>
        <v>0</v>
      </c>
      <c r="I920" s="36">
        <f>if(ISNA(vlookup($A920, FFToolbox!$B$2:$E$618, 4, false)), 0, vlookup($A920, FFToolbox!$B$2:$E$618, 4, false))</f>
        <v>0</v>
      </c>
      <c r="J920" s="37">
        <f t="shared" si="1"/>
        <v>0</v>
      </c>
      <c r="K920" s="37">
        <f t="shared" si="2"/>
        <v>0</v>
      </c>
    </row>
    <row r="921" hidden="1">
      <c r="A921" s="13" t="s">
        <v>501</v>
      </c>
      <c r="B921" s="34" t="s">
        <v>1061</v>
      </c>
      <c r="C921" s="5" t="s">
        <v>24</v>
      </c>
      <c r="D921" s="5" t="s">
        <v>10</v>
      </c>
      <c r="E921" s="35">
        <f>vlookup(C921,'Team Bye List'!$A$1:$B$33,2,False)</f>
        <v>6</v>
      </c>
      <c r="F921" s="36">
        <f>if(ISNA(vlookup($A921, ESPN!$B$2:$E$1010, 4, false)), 0, vlookup($A921, ESPN!$B$2:$E$1010, 4, false))</f>
        <v>0</v>
      </c>
      <c r="G921" s="36">
        <f>if(ISNA(vlookup($A921,'Ultimate Draft Kit'!$B$2:$E$201,4, false)), 0, vlookup($A921,'Ultimate Draft Kit'!$B$2:$E$201, 4, false))</f>
        <v>0</v>
      </c>
      <c r="H921" s="36">
        <f>if(ISNA(vlookup($A921, FantasyPro!$B$2:$E$514,4,false)),0,vlookup($A921,FantasyPro!$B$2:$E$514,4,false))</f>
        <v>0</v>
      </c>
      <c r="I921" s="36">
        <f>if(ISNA(vlookup($A921, FFToolbox!$B$2:$E$618, 4, false)), 0, vlookup($A921, FFToolbox!$B$2:$E$618, 4, false))</f>
        <v>0</v>
      </c>
      <c r="J921" s="37">
        <f t="shared" si="1"/>
        <v>0</v>
      </c>
      <c r="K921" s="37">
        <f t="shared" si="2"/>
        <v>0</v>
      </c>
    </row>
    <row r="922" hidden="1">
      <c r="A922" s="13" t="s">
        <v>470</v>
      </c>
      <c r="B922" s="34" t="s">
        <v>1061</v>
      </c>
      <c r="C922" s="5" t="s">
        <v>63</v>
      </c>
      <c r="D922" s="5" t="s">
        <v>16</v>
      </c>
      <c r="E922" s="35">
        <f>vlookup(C922,'Team Bye List'!$A$1:$B$33,2,False)</f>
        <v>8</v>
      </c>
      <c r="F922" s="36">
        <f>if(ISNA(vlookup($A922, ESPN!$B$2:$E$1010, 4, false)), 0, vlookup($A922, ESPN!$B$2:$E$1010, 4, false))</f>
        <v>0</v>
      </c>
      <c r="G922" s="36">
        <f>if(ISNA(vlookup($A922,'Ultimate Draft Kit'!$B$2:$E$201,4, false)), 0, vlookup($A922,'Ultimate Draft Kit'!$B$2:$E$201, 4, false))</f>
        <v>0</v>
      </c>
      <c r="H922" s="36">
        <f>if(ISNA(vlookup($A922, FantasyPro!$B$2:$E$514,4,false)),0,vlookup($A922,FantasyPro!$B$2:$E$514,4,false))</f>
        <v>0</v>
      </c>
      <c r="I922" s="36">
        <f>if(ISNA(vlookup($A922, FFToolbox!$B$2:$E$618, 4, false)), 0, vlookup($A922, FFToolbox!$B$2:$E$618, 4, false))</f>
        <v>0</v>
      </c>
      <c r="J922" s="37">
        <f t="shared" si="1"/>
        <v>0</v>
      </c>
      <c r="K922" s="37">
        <f t="shared" si="2"/>
        <v>0</v>
      </c>
    </row>
    <row r="923" hidden="1">
      <c r="A923" s="13" t="s">
        <v>468</v>
      </c>
      <c r="B923" s="34" t="s">
        <v>1061</v>
      </c>
      <c r="C923" s="5" t="s">
        <v>257</v>
      </c>
      <c r="D923" s="5" t="s">
        <v>16</v>
      </c>
      <c r="E923" s="35" t="str">
        <f>vlookup(C923,'Team Bye List'!$A$1:$B$33,2,False)</f>
        <v>#N/A</v>
      </c>
      <c r="F923" s="36">
        <f>if(ISNA(vlookup($A923, ESPN!$B$2:$E$1010, 4, false)), 0, vlookup($A923, ESPN!$B$2:$E$1010, 4, false))</f>
        <v>0</v>
      </c>
      <c r="G923" s="36">
        <f>if(ISNA(vlookup($A923,'Ultimate Draft Kit'!$B$2:$E$201,4, false)), 0, vlookup($A923,'Ultimate Draft Kit'!$B$2:$E$201, 4, false))</f>
        <v>0</v>
      </c>
      <c r="H923" s="36">
        <f>if(ISNA(vlookup($A923, FantasyPro!$B$2:$E$514,4,false)),0,vlookup($A923,FantasyPro!$B$2:$E$514,4,false))</f>
        <v>0</v>
      </c>
      <c r="I923" s="36">
        <f>if(ISNA(vlookup($A923, FFToolbox!$B$2:$E$618, 4, false)), 0, vlookup($A923, FFToolbox!$B$2:$E$618, 4, false))</f>
        <v>0</v>
      </c>
      <c r="J923" s="37">
        <f t="shared" si="1"/>
        <v>0</v>
      </c>
      <c r="K923" s="37">
        <f t="shared" si="2"/>
        <v>0</v>
      </c>
    </row>
    <row r="924" hidden="1">
      <c r="A924" s="13" t="s">
        <v>484</v>
      </c>
      <c r="B924" s="34" t="s">
        <v>1061</v>
      </c>
      <c r="C924" s="5" t="s">
        <v>257</v>
      </c>
      <c r="D924" s="5" t="s">
        <v>16</v>
      </c>
      <c r="E924" s="35" t="str">
        <f>vlookup(C924,'Team Bye List'!$A$1:$B$33,2,False)</f>
        <v>#N/A</v>
      </c>
      <c r="F924" s="36">
        <f>if(ISNA(vlookup($A924, ESPN!$B$2:$E$1010, 4, false)), 0, vlookup($A924, ESPN!$B$2:$E$1010, 4, false))</f>
        <v>0</v>
      </c>
      <c r="G924" s="36">
        <f>if(ISNA(vlookup($A924,'Ultimate Draft Kit'!$B$2:$E$201,4, false)), 0, vlookup($A924,'Ultimate Draft Kit'!$B$2:$E$201, 4, false))</f>
        <v>0</v>
      </c>
      <c r="H924" s="36">
        <f>if(ISNA(vlookup($A924, FantasyPro!$B$2:$E$514,4,false)),0,vlookup($A924,FantasyPro!$B$2:$E$514,4,false))</f>
        <v>0</v>
      </c>
      <c r="I924" s="36">
        <f>if(ISNA(vlookup($A924, FFToolbox!$B$2:$E$618, 4, false)), 0, vlookup($A924, FFToolbox!$B$2:$E$618, 4, false))</f>
        <v>0</v>
      </c>
      <c r="J924" s="37">
        <f t="shared" si="1"/>
        <v>0</v>
      </c>
      <c r="K924" s="37">
        <f t="shared" si="2"/>
        <v>0</v>
      </c>
    </row>
    <row r="925" hidden="1">
      <c r="A925" s="13" t="s">
        <v>428</v>
      </c>
      <c r="B925" s="34" t="s">
        <v>1061</v>
      </c>
      <c r="C925" s="5" t="s">
        <v>77</v>
      </c>
      <c r="D925" s="5" t="s">
        <v>16</v>
      </c>
      <c r="E925" s="35">
        <f>vlookup(C925,'Team Bye List'!$A$1:$B$33,2,False)</f>
        <v>11</v>
      </c>
      <c r="F925" s="36">
        <f>if(ISNA(vlookup($A925, ESPN!$B$2:$E$1010, 4, false)), 0, vlookup($A925, ESPN!$B$2:$E$1010, 4, false))</f>
        <v>0</v>
      </c>
      <c r="G925" s="36">
        <f>if(ISNA(vlookup($A925,'Ultimate Draft Kit'!$B$2:$E$201,4, false)), 0, vlookup($A925,'Ultimate Draft Kit'!$B$2:$E$201, 4, false))</f>
        <v>0</v>
      </c>
      <c r="H925" s="36">
        <f>if(ISNA(vlookup($A925, FantasyPro!$B$2:$E$514,4,false)),0,vlookup($A925,FantasyPro!$B$2:$E$514,4,false))</f>
        <v>0</v>
      </c>
      <c r="I925" s="36">
        <f>if(ISNA(vlookup($A925, FFToolbox!$B$2:$E$618, 4, false)), 0, vlookup($A925, FFToolbox!$B$2:$E$618, 4, false))</f>
        <v>0</v>
      </c>
      <c r="J925" s="37">
        <f t="shared" si="1"/>
        <v>0</v>
      </c>
      <c r="K925" s="37">
        <f t="shared" si="2"/>
        <v>0</v>
      </c>
    </row>
    <row r="926" hidden="1">
      <c r="A926" s="13" t="s">
        <v>427</v>
      </c>
      <c r="B926" s="34" t="s">
        <v>1061</v>
      </c>
      <c r="C926" s="5" t="s">
        <v>38</v>
      </c>
      <c r="D926" s="5" t="s">
        <v>16</v>
      </c>
      <c r="E926" s="35">
        <f>vlookup(C926,'Team Bye List'!$A$1:$B$33,2,False)</f>
        <v>12</v>
      </c>
      <c r="F926" s="36">
        <f>if(ISNA(vlookup($A926, ESPN!$B$2:$E$1010, 4, false)), 0, vlookup($A926, ESPN!$B$2:$E$1010, 4, false))</f>
        <v>0</v>
      </c>
      <c r="G926" s="36">
        <f>if(ISNA(vlookup($A926,'Ultimate Draft Kit'!$B$2:$E$201,4, false)), 0, vlookup($A926,'Ultimate Draft Kit'!$B$2:$E$201, 4, false))</f>
        <v>0</v>
      </c>
      <c r="H926" s="36">
        <f>if(ISNA(vlookup($A926, FantasyPro!$B$2:$E$514,4,false)),0,vlookup($A926,FantasyPro!$B$2:$E$514,4,false))</f>
        <v>0</v>
      </c>
      <c r="I926" s="36">
        <f>if(ISNA(vlookup($A926, FFToolbox!$B$2:$E$618, 4, false)), 0, vlookup($A926, FFToolbox!$B$2:$E$618, 4, false))</f>
        <v>0</v>
      </c>
      <c r="J926" s="37">
        <f t="shared" si="1"/>
        <v>0</v>
      </c>
      <c r="K926" s="37">
        <f t="shared" si="2"/>
        <v>0</v>
      </c>
    </row>
    <row r="927" hidden="1">
      <c r="A927" s="13" t="s">
        <v>429</v>
      </c>
      <c r="B927" s="34" t="s">
        <v>1061</v>
      </c>
      <c r="C927" s="5" t="s">
        <v>40</v>
      </c>
      <c r="D927" s="5" t="s">
        <v>16</v>
      </c>
      <c r="E927" s="35">
        <f>vlookup(C927,'Team Bye List'!$A$1:$B$33,2,False)</f>
        <v>6</v>
      </c>
      <c r="F927" s="36">
        <f>if(ISNA(vlookup($A927, ESPN!$B$2:$E$1010, 4, false)), 0, vlookup($A927, ESPN!$B$2:$E$1010, 4, false))</f>
        <v>0</v>
      </c>
      <c r="G927" s="36">
        <f>if(ISNA(vlookup($A927,'Ultimate Draft Kit'!$B$2:$E$201,4, false)), 0, vlookup($A927,'Ultimate Draft Kit'!$B$2:$E$201, 4, false))</f>
        <v>0</v>
      </c>
      <c r="H927" s="36">
        <f>if(ISNA(vlookup($A927, FantasyPro!$B$2:$E$514,4,false)),0,vlookup($A927,FantasyPro!$B$2:$E$514,4,false))</f>
        <v>0</v>
      </c>
      <c r="I927" s="36">
        <f>if(ISNA(vlookup($A927, FFToolbox!$B$2:$E$618, 4, false)), 0, vlookup($A927, FFToolbox!$B$2:$E$618, 4, false))</f>
        <v>0</v>
      </c>
      <c r="J927" s="37">
        <f t="shared" si="1"/>
        <v>0</v>
      </c>
      <c r="K927" s="37">
        <f t="shared" si="2"/>
        <v>0</v>
      </c>
    </row>
    <row r="928" hidden="1">
      <c r="A928" s="13" t="s">
        <v>426</v>
      </c>
      <c r="B928" s="34" t="s">
        <v>1061</v>
      </c>
      <c r="C928" s="5" t="s">
        <v>74</v>
      </c>
      <c r="D928" s="5" t="s">
        <v>16</v>
      </c>
      <c r="E928" s="35">
        <f>vlookup(C928,'Team Bye List'!$A$1:$B$33,2,False)</f>
        <v>7</v>
      </c>
      <c r="F928" s="36">
        <f>if(ISNA(vlookup($A928, ESPN!$B$2:$E$1010, 4, false)), 0, vlookup($A928, ESPN!$B$2:$E$1010, 4, false))</f>
        <v>0</v>
      </c>
      <c r="G928" s="36">
        <f>if(ISNA(vlookup($A928,'Ultimate Draft Kit'!$B$2:$E$201,4, false)), 0, vlookup($A928,'Ultimate Draft Kit'!$B$2:$E$201, 4, false))</f>
        <v>0</v>
      </c>
      <c r="H928" s="36">
        <f>if(ISNA(vlookup($A928, FantasyPro!$B$2:$E$514,4,false)),0,vlookup($A928,FantasyPro!$B$2:$E$514,4,false))</f>
        <v>0</v>
      </c>
      <c r="I928" s="36">
        <f>if(ISNA(vlookup($A928, FFToolbox!$B$2:$E$618, 4, false)), 0, vlookup($A928, FFToolbox!$B$2:$E$618, 4, false))</f>
        <v>0</v>
      </c>
      <c r="J928" s="37">
        <f t="shared" si="1"/>
        <v>0</v>
      </c>
      <c r="K928" s="37">
        <f t="shared" si="2"/>
        <v>0</v>
      </c>
    </row>
    <row r="929" hidden="1">
      <c r="A929" s="13" t="s">
        <v>1103</v>
      </c>
      <c r="B929" s="34" t="s">
        <v>1061</v>
      </c>
      <c r="C929" s="5" t="s">
        <v>104</v>
      </c>
      <c r="D929" s="5" t="s">
        <v>25</v>
      </c>
      <c r="E929" s="35">
        <f>vlookup(C929,'Team Bye List'!$A$1:$B$33,2,False)</f>
        <v>7</v>
      </c>
      <c r="F929" s="36">
        <f>if(ISNA(vlookup($A929, ESPN!$B$2:$E$1010, 4, false)), 0, vlookup($A929, ESPN!$B$2:$E$1010, 4, false))</f>
        <v>0</v>
      </c>
      <c r="G929" s="36">
        <f>if(ISNA(vlookup($A929,'Ultimate Draft Kit'!$B$2:$E$201,4, false)), 0, vlookup($A929,'Ultimate Draft Kit'!$B$2:$E$201, 4, false))</f>
        <v>0</v>
      </c>
      <c r="H929" s="36">
        <f>if(ISNA(vlookup($A929, FantasyPro!$B$2:$E$514,4,false)),0,vlookup($A929,FantasyPro!$B$2:$E$514,4,false))</f>
        <v>0</v>
      </c>
      <c r="I929" s="36">
        <f>if(ISNA(vlookup($A929, FFToolbox!$B$2:$E$618, 4, false)), 0, vlookup($A929, FFToolbox!$B$2:$E$618, 4, false))</f>
        <v>0</v>
      </c>
      <c r="J929" s="37">
        <f t="shared" si="1"/>
        <v>0</v>
      </c>
      <c r="K929" s="37">
        <f t="shared" si="2"/>
        <v>0</v>
      </c>
    </row>
    <row r="930" hidden="1">
      <c r="A930" s="13" t="s">
        <v>410</v>
      </c>
      <c r="B930" s="34" t="s">
        <v>1061</v>
      </c>
      <c r="C930" s="5" t="s">
        <v>233</v>
      </c>
      <c r="D930" s="5" t="s">
        <v>16</v>
      </c>
      <c r="E930" s="35">
        <f>vlookup(C930,'Team Bye List'!$A$1:$B$33,2,False)</f>
        <v>9</v>
      </c>
      <c r="F930" s="36">
        <f>if(ISNA(vlookup($A930, ESPN!$B$2:$E$1010, 4, false)), 0, vlookup($A930, ESPN!$B$2:$E$1010, 4, false))</f>
        <v>0</v>
      </c>
      <c r="G930" s="36">
        <f>if(ISNA(vlookup($A930,'Ultimate Draft Kit'!$B$2:$E$201,4, false)), 0, vlookup($A930,'Ultimate Draft Kit'!$B$2:$E$201, 4, false))</f>
        <v>0</v>
      </c>
      <c r="H930" s="36">
        <f>if(ISNA(vlookup($A930, FantasyPro!$B$2:$E$514,4,false)),0,vlookup($A930,FantasyPro!$B$2:$E$514,4,false))</f>
        <v>0</v>
      </c>
      <c r="I930" s="36">
        <f>if(ISNA(vlookup($A930, FFToolbox!$B$2:$E$618, 4, false)), 0, vlookup($A930, FFToolbox!$B$2:$E$618, 4, false))</f>
        <v>0</v>
      </c>
      <c r="J930" s="37">
        <f t="shared" si="1"/>
        <v>0</v>
      </c>
      <c r="K930" s="37">
        <f t="shared" si="2"/>
        <v>0</v>
      </c>
    </row>
    <row r="931" hidden="1">
      <c r="A931" s="13" t="s">
        <v>423</v>
      </c>
      <c r="B931" s="34" t="s">
        <v>1061</v>
      </c>
      <c r="C931" s="5" t="s">
        <v>61</v>
      </c>
      <c r="D931" s="5" t="s">
        <v>16</v>
      </c>
      <c r="E931" s="35">
        <f>vlookup(C931,'Team Bye List'!$A$1:$B$33,2,False)</f>
        <v>9</v>
      </c>
      <c r="F931" s="36">
        <f>if(ISNA(vlookup($A931, ESPN!$B$2:$E$1010, 4, false)), 0, vlookup($A931, ESPN!$B$2:$E$1010, 4, false))</f>
        <v>0</v>
      </c>
      <c r="G931" s="36">
        <f>if(ISNA(vlookup($A931,'Ultimate Draft Kit'!$B$2:$E$201,4, false)), 0, vlookup($A931,'Ultimate Draft Kit'!$B$2:$E$201, 4, false))</f>
        <v>0</v>
      </c>
      <c r="H931" s="36">
        <f>if(ISNA(vlookup($A931, FantasyPro!$B$2:$E$514,4,false)),0,vlookup($A931,FantasyPro!$B$2:$E$514,4,false))</f>
        <v>0</v>
      </c>
      <c r="I931" s="36">
        <f>if(ISNA(vlookup($A931, FFToolbox!$B$2:$E$618, 4, false)), 0, vlookup($A931, FFToolbox!$B$2:$E$618, 4, false))</f>
        <v>0</v>
      </c>
      <c r="J931" s="37">
        <f t="shared" si="1"/>
        <v>0</v>
      </c>
      <c r="K931" s="37">
        <f t="shared" si="2"/>
        <v>0</v>
      </c>
    </row>
    <row r="932" hidden="1">
      <c r="A932" s="13" t="s">
        <v>424</v>
      </c>
      <c r="B932" s="34" t="s">
        <v>1061</v>
      </c>
      <c r="C932" s="5" t="s">
        <v>257</v>
      </c>
      <c r="D932" s="5" t="s">
        <v>25</v>
      </c>
      <c r="E932" s="35" t="str">
        <f>vlookup(C932,'Team Bye List'!$A$1:$B$33,2,False)</f>
        <v>#N/A</v>
      </c>
      <c r="F932" s="36">
        <f>if(ISNA(vlookup($A932, ESPN!$B$2:$E$1010, 4, false)), 0, vlookup($A932, ESPN!$B$2:$E$1010, 4, false))</f>
        <v>0</v>
      </c>
      <c r="G932" s="36">
        <f>if(ISNA(vlookup($A932,'Ultimate Draft Kit'!$B$2:$E$201,4, false)), 0, vlookup($A932,'Ultimate Draft Kit'!$B$2:$E$201, 4, false))</f>
        <v>0</v>
      </c>
      <c r="H932" s="36">
        <f>if(ISNA(vlookup($A932, FantasyPro!$B$2:$E$514,4,false)),0,vlookup($A932,FantasyPro!$B$2:$E$514,4,false))</f>
        <v>0</v>
      </c>
      <c r="I932" s="36">
        <f>if(ISNA(vlookup($A932, FFToolbox!$B$2:$E$618, 4, false)), 0, vlookup($A932, FFToolbox!$B$2:$E$618, 4, false))</f>
        <v>0</v>
      </c>
      <c r="J932" s="37">
        <f t="shared" si="1"/>
        <v>0</v>
      </c>
      <c r="K932" s="37">
        <f t="shared" si="2"/>
        <v>0</v>
      </c>
    </row>
    <row r="933" hidden="1">
      <c r="A933" s="13" t="s">
        <v>414</v>
      </c>
      <c r="B933" s="34" t="s">
        <v>1061</v>
      </c>
      <c r="C933" s="5" t="s">
        <v>134</v>
      </c>
      <c r="D933" s="5" t="s">
        <v>16</v>
      </c>
      <c r="E933" s="35">
        <f>vlookup(C933,'Team Bye List'!$A$1:$B$33,2,False)</f>
        <v>11</v>
      </c>
      <c r="F933" s="36">
        <f>if(ISNA(vlookup($A933, ESPN!$B$2:$E$1010, 4, false)), 0, vlookup($A933, ESPN!$B$2:$E$1010, 4, false))</f>
        <v>0</v>
      </c>
      <c r="G933" s="36">
        <f>if(ISNA(vlookup($A933,'Ultimate Draft Kit'!$B$2:$E$201,4, false)), 0, vlookup($A933,'Ultimate Draft Kit'!$B$2:$E$201, 4, false))</f>
        <v>0</v>
      </c>
      <c r="H933" s="36">
        <f>if(ISNA(vlookup($A933, FantasyPro!$B$2:$E$514,4,false)),0,vlookup($A933,FantasyPro!$B$2:$E$514,4,false))</f>
        <v>0</v>
      </c>
      <c r="I933" s="36">
        <f>if(ISNA(vlookup($A933, FFToolbox!$B$2:$E$618, 4, false)), 0, vlookup($A933, FFToolbox!$B$2:$E$618, 4, false))</f>
        <v>0</v>
      </c>
      <c r="J933" s="37">
        <f t="shared" si="1"/>
        <v>0</v>
      </c>
      <c r="K933" s="37">
        <f t="shared" si="2"/>
        <v>0</v>
      </c>
    </row>
    <row r="934" hidden="1">
      <c r="A934" s="13" t="s">
        <v>421</v>
      </c>
      <c r="B934" s="34" t="s">
        <v>1061</v>
      </c>
      <c r="C934" s="5" t="s">
        <v>96</v>
      </c>
      <c r="D934" s="5" t="s">
        <v>16</v>
      </c>
      <c r="E934" s="35">
        <f>vlookup(C934,'Team Bye List'!$A$1:$B$33,2,False)</f>
        <v>10</v>
      </c>
      <c r="F934" s="36">
        <f>if(ISNA(vlookup($A934, ESPN!$B$2:$E$1010, 4, false)), 0, vlookup($A934, ESPN!$B$2:$E$1010, 4, false))</f>
        <v>0</v>
      </c>
      <c r="G934" s="36">
        <f>if(ISNA(vlookup($A934,'Ultimate Draft Kit'!$B$2:$E$201,4, false)), 0, vlookup($A934,'Ultimate Draft Kit'!$B$2:$E$201, 4, false))</f>
        <v>0</v>
      </c>
      <c r="H934" s="36">
        <f>if(ISNA(vlookup($A934, FantasyPro!$B$2:$E$514,4,false)),0,vlookup($A934,FantasyPro!$B$2:$E$514,4,false))</f>
        <v>0</v>
      </c>
      <c r="I934" s="36">
        <f>if(ISNA(vlookup($A934, FFToolbox!$B$2:$E$618, 4, false)), 0, vlookup($A934, FFToolbox!$B$2:$E$618, 4, false))</f>
        <v>0</v>
      </c>
      <c r="J934" s="37">
        <f t="shared" si="1"/>
        <v>0</v>
      </c>
      <c r="K934" s="37">
        <f t="shared" si="2"/>
        <v>0</v>
      </c>
    </row>
    <row r="935" hidden="1">
      <c r="A935" s="13" t="s">
        <v>420</v>
      </c>
      <c r="B935" s="34" t="s">
        <v>1061</v>
      </c>
      <c r="C935" s="5" t="s">
        <v>257</v>
      </c>
      <c r="D935" s="5" t="s">
        <v>16</v>
      </c>
      <c r="E935" s="35" t="str">
        <f>vlookup(C935,'Team Bye List'!$A$1:$B$33,2,False)</f>
        <v>#N/A</v>
      </c>
      <c r="F935" s="36">
        <f>if(ISNA(vlookup($A935, ESPN!$B$2:$E$1010, 4, false)), 0, vlookup($A935, ESPN!$B$2:$E$1010, 4, false))</f>
        <v>0</v>
      </c>
      <c r="G935" s="36">
        <f>if(ISNA(vlookup($A935,'Ultimate Draft Kit'!$B$2:$E$201,4, false)), 0, vlookup($A935,'Ultimate Draft Kit'!$B$2:$E$201, 4, false))</f>
        <v>0</v>
      </c>
      <c r="H935" s="36">
        <f>if(ISNA(vlookup($A935, FantasyPro!$B$2:$E$514,4,false)),0,vlookup($A935,FantasyPro!$B$2:$E$514,4,false))</f>
        <v>0</v>
      </c>
      <c r="I935" s="36">
        <f>if(ISNA(vlookup($A935, FFToolbox!$B$2:$E$618, 4, false)), 0, vlookup($A935, FFToolbox!$B$2:$E$618, 4, false))</f>
        <v>0</v>
      </c>
      <c r="J935" s="37">
        <f t="shared" si="1"/>
        <v>0</v>
      </c>
      <c r="K935" s="37">
        <f t="shared" si="2"/>
        <v>0</v>
      </c>
    </row>
    <row r="936" hidden="1">
      <c r="A936" s="13" t="s">
        <v>1104</v>
      </c>
      <c r="B936" s="34" t="s">
        <v>1061</v>
      </c>
      <c r="C936" s="5" t="s">
        <v>257</v>
      </c>
      <c r="D936" s="5" t="s">
        <v>25</v>
      </c>
      <c r="E936" s="35" t="str">
        <f>vlookup(C936,'Team Bye List'!$A$1:$B$33,2,False)</f>
        <v>#N/A</v>
      </c>
      <c r="F936" s="36">
        <f>if(ISNA(vlookup($A936, ESPN!$B$2:$E$1010, 4, false)), 0, vlookup($A936, ESPN!$B$2:$E$1010, 4, false))</f>
        <v>0</v>
      </c>
      <c r="G936" s="36">
        <f>if(ISNA(vlookup($A936,'Ultimate Draft Kit'!$B$2:$E$201,4, false)), 0, vlookup($A936,'Ultimate Draft Kit'!$B$2:$E$201, 4, false))</f>
        <v>0</v>
      </c>
      <c r="H936" s="36">
        <f>if(ISNA(vlookup($A936, FantasyPro!$B$2:$E$514,4,false)),0,vlookup($A936,FantasyPro!$B$2:$E$514,4,false))</f>
        <v>0</v>
      </c>
      <c r="I936" s="36">
        <f>if(ISNA(vlookup($A936, FFToolbox!$B$2:$E$618, 4, false)), 0, vlookup($A936, FFToolbox!$B$2:$E$618, 4, false))</f>
        <v>0</v>
      </c>
      <c r="J936" s="37">
        <f t="shared" si="1"/>
        <v>0</v>
      </c>
      <c r="K936" s="37">
        <f t="shared" si="2"/>
        <v>0</v>
      </c>
    </row>
    <row r="937" hidden="1">
      <c r="A937" s="13" t="s">
        <v>407</v>
      </c>
      <c r="B937" s="34" t="s">
        <v>1061</v>
      </c>
      <c r="C937" s="5" t="s">
        <v>92</v>
      </c>
      <c r="D937" s="5" t="s">
        <v>16</v>
      </c>
      <c r="E937" s="35">
        <f>vlookup(C937,'Team Bye List'!$A$1:$B$33,2,False)</f>
        <v>8</v>
      </c>
      <c r="F937" s="36">
        <f>if(ISNA(vlookup($A937, ESPN!$B$2:$E$1010, 4, false)), 0, vlookup($A937, ESPN!$B$2:$E$1010, 4, false))</f>
        <v>0</v>
      </c>
      <c r="G937" s="36">
        <f>if(ISNA(vlookup($A937,'Ultimate Draft Kit'!$B$2:$E$201,4, false)), 0, vlookup($A937,'Ultimate Draft Kit'!$B$2:$E$201, 4, false))</f>
        <v>0</v>
      </c>
      <c r="H937" s="36">
        <f>if(ISNA(vlookup($A937, FantasyPro!$B$2:$E$514,4,false)),0,vlookup($A937,FantasyPro!$B$2:$E$514,4,false))</f>
        <v>0</v>
      </c>
      <c r="I937" s="36">
        <f>if(ISNA(vlookup($A937, FFToolbox!$B$2:$E$618, 4, false)), 0, vlookup($A937, FFToolbox!$B$2:$E$618, 4, false))</f>
        <v>0</v>
      </c>
      <c r="J937" s="37">
        <f t="shared" si="1"/>
        <v>0</v>
      </c>
      <c r="K937" s="37">
        <f t="shared" si="2"/>
        <v>0</v>
      </c>
    </row>
    <row r="938" hidden="1">
      <c r="A938" s="13" t="s">
        <v>413</v>
      </c>
      <c r="B938" s="34" t="s">
        <v>1061</v>
      </c>
      <c r="C938" s="5" t="s">
        <v>69</v>
      </c>
      <c r="D938" s="5" t="s">
        <v>16</v>
      </c>
      <c r="E938" s="35">
        <f>vlookup(C938,'Team Bye List'!$A$1:$B$33,2,False)</f>
        <v>5</v>
      </c>
      <c r="F938" s="36">
        <f>if(ISNA(vlookup($A938, ESPN!$B$2:$E$1010, 4, false)), 0, vlookup($A938, ESPN!$B$2:$E$1010, 4, false))</f>
        <v>0</v>
      </c>
      <c r="G938" s="36">
        <f>if(ISNA(vlookup($A938,'Ultimate Draft Kit'!$B$2:$E$201,4, false)), 0, vlookup($A938,'Ultimate Draft Kit'!$B$2:$E$201, 4, false))</f>
        <v>0</v>
      </c>
      <c r="H938" s="36">
        <f>if(ISNA(vlookup($A938, FantasyPro!$B$2:$E$514,4,false)),0,vlookup($A938,FantasyPro!$B$2:$E$514,4,false))</f>
        <v>0</v>
      </c>
      <c r="I938" s="36">
        <f>if(ISNA(vlookup($A938, FFToolbox!$B$2:$E$618, 4, false)), 0, vlookup($A938, FFToolbox!$B$2:$E$618, 4, false))</f>
        <v>0</v>
      </c>
      <c r="J938" s="37">
        <f t="shared" si="1"/>
        <v>0</v>
      </c>
      <c r="K938" s="37">
        <f t="shared" si="2"/>
        <v>0</v>
      </c>
    </row>
    <row r="939" hidden="1">
      <c r="A939" s="13" t="s">
        <v>405</v>
      </c>
      <c r="B939" s="34" t="s">
        <v>1061</v>
      </c>
      <c r="C939" s="5" t="s">
        <v>77</v>
      </c>
      <c r="D939" s="5" t="s">
        <v>16</v>
      </c>
      <c r="E939" s="35">
        <f>vlookup(C939,'Team Bye List'!$A$1:$B$33,2,False)</f>
        <v>11</v>
      </c>
      <c r="F939" s="36">
        <f>if(ISNA(vlookup($A939, ESPN!$B$2:$E$1010, 4, false)), 0, vlookup($A939, ESPN!$B$2:$E$1010, 4, false))</f>
        <v>0</v>
      </c>
      <c r="G939" s="36">
        <f>if(ISNA(vlookup($A939,'Ultimate Draft Kit'!$B$2:$E$201,4, false)), 0, vlookup($A939,'Ultimate Draft Kit'!$B$2:$E$201, 4, false))</f>
        <v>0</v>
      </c>
      <c r="H939" s="36">
        <f>if(ISNA(vlookup($A939, FantasyPro!$B$2:$E$514,4,false)),0,vlookup($A939,FantasyPro!$B$2:$E$514,4,false))</f>
        <v>0</v>
      </c>
      <c r="I939" s="36">
        <f>if(ISNA(vlookup($A939, FFToolbox!$B$2:$E$618, 4, false)), 0, vlookup($A939, FFToolbox!$B$2:$E$618, 4, false))</f>
        <v>0</v>
      </c>
      <c r="J939" s="37">
        <f t="shared" si="1"/>
        <v>0</v>
      </c>
      <c r="K939" s="37">
        <f t="shared" si="2"/>
        <v>0</v>
      </c>
    </row>
    <row r="940" hidden="1">
      <c r="A940" s="13" t="s">
        <v>406</v>
      </c>
      <c r="B940" s="34" t="s">
        <v>1061</v>
      </c>
      <c r="C940" s="5" t="s">
        <v>233</v>
      </c>
      <c r="D940" s="5" t="s">
        <v>16</v>
      </c>
      <c r="E940" s="35">
        <f>vlookup(C940,'Team Bye List'!$A$1:$B$33,2,False)</f>
        <v>9</v>
      </c>
      <c r="F940" s="36">
        <f>if(ISNA(vlookup($A940, ESPN!$B$2:$E$1010, 4, false)), 0, vlookup($A940, ESPN!$B$2:$E$1010, 4, false))</f>
        <v>0</v>
      </c>
      <c r="G940" s="36">
        <f>if(ISNA(vlookup($A940,'Ultimate Draft Kit'!$B$2:$E$201,4, false)), 0, vlookup($A940,'Ultimate Draft Kit'!$B$2:$E$201, 4, false))</f>
        <v>0</v>
      </c>
      <c r="H940" s="36">
        <f>if(ISNA(vlookup($A940, FantasyPro!$B$2:$E$514,4,false)),0,vlookup($A940,FantasyPro!$B$2:$E$514,4,false))</f>
        <v>0</v>
      </c>
      <c r="I940" s="36">
        <f>if(ISNA(vlookup($A940, FFToolbox!$B$2:$E$618, 4, false)), 0, vlookup($A940, FFToolbox!$B$2:$E$618, 4, false))</f>
        <v>0</v>
      </c>
      <c r="J940" s="37">
        <f t="shared" si="1"/>
        <v>0</v>
      </c>
      <c r="K940" s="37">
        <f t="shared" si="2"/>
        <v>0</v>
      </c>
    </row>
    <row r="941" hidden="1">
      <c r="A941" s="13" t="s">
        <v>409</v>
      </c>
      <c r="B941" s="34" t="s">
        <v>1061</v>
      </c>
      <c r="C941" s="5" t="s">
        <v>48</v>
      </c>
      <c r="D941" s="5" t="s">
        <v>16</v>
      </c>
      <c r="E941" s="35">
        <f>vlookup(C941,'Team Bye List'!$A$1:$B$33,2,False)</f>
        <v>11</v>
      </c>
      <c r="F941" s="36">
        <f>if(ISNA(vlookup($A941, ESPN!$B$2:$E$1010, 4, false)), 0, vlookup($A941, ESPN!$B$2:$E$1010, 4, false))</f>
        <v>0</v>
      </c>
      <c r="G941" s="36">
        <f>if(ISNA(vlookup($A941,'Ultimate Draft Kit'!$B$2:$E$201,4, false)), 0, vlookup($A941,'Ultimate Draft Kit'!$B$2:$E$201, 4, false))</f>
        <v>0</v>
      </c>
      <c r="H941" s="36">
        <f>if(ISNA(vlookup($A941, FantasyPro!$B$2:$E$514,4,false)),0,vlookup($A941,FantasyPro!$B$2:$E$514,4,false))</f>
        <v>0</v>
      </c>
      <c r="I941" s="36">
        <f>if(ISNA(vlookup($A941, FFToolbox!$B$2:$E$618, 4, false)), 0, vlookup($A941, FFToolbox!$B$2:$E$618, 4, false))</f>
        <v>0</v>
      </c>
      <c r="J941" s="37">
        <f t="shared" si="1"/>
        <v>0</v>
      </c>
      <c r="K941" s="37">
        <f t="shared" si="2"/>
        <v>0</v>
      </c>
    </row>
    <row r="942" hidden="1">
      <c r="A942" s="13" t="s">
        <v>419</v>
      </c>
      <c r="B942" s="34" t="s">
        <v>1061</v>
      </c>
      <c r="C942" s="5" t="s">
        <v>61</v>
      </c>
      <c r="D942" s="5" t="s">
        <v>16</v>
      </c>
      <c r="E942" s="35">
        <f>vlookup(C942,'Team Bye List'!$A$1:$B$33,2,False)</f>
        <v>9</v>
      </c>
      <c r="F942" s="36">
        <f>if(ISNA(vlookup($A942, ESPN!$B$2:$E$1010, 4, false)), 0, vlookup($A942, ESPN!$B$2:$E$1010, 4, false))</f>
        <v>0</v>
      </c>
      <c r="G942" s="36">
        <f>if(ISNA(vlookup($A942,'Ultimate Draft Kit'!$B$2:$E$201,4, false)), 0, vlookup($A942,'Ultimate Draft Kit'!$B$2:$E$201, 4, false))</f>
        <v>0</v>
      </c>
      <c r="H942" s="36">
        <f>if(ISNA(vlookup($A942, FantasyPro!$B$2:$E$514,4,false)),0,vlookup($A942,FantasyPro!$B$2:$E$514,4,false))</f>
        <v>0</v>
      </c>
      <c r="I942" s="36">
        <f>if(ISNA(vlookup($A942, FFToolbox!$B$2:$E$618, 4, false)), 0, vlookup($A942, FFToolbox!$B$2:$E$618, 4, false))</f>
        <v>0</v>
      </c>
      <c r="J942" s="37">
        <f t="shared" si="1"/>
        <v>0</v>
      </c>
      <c r="K942" s="37">
        <f t="shared" si="2"/>
        <v>0</v>
      </c>
    </row>
    <row r="943" hidden="1">
      <c r="A943" s="13" t="s">
        <v>408</v>
      </c>
      <c r="B943" s="34" t="s">
        <v>1061</v>
      </c>
      <c r="C943" s="5" t="s">
        <v>6</v>
      </c>
      <c r="D943" s="5" t="s">
        <v>16</v>
      </c>
      <c r="E943" s="35">
        <f>vlookup(C943,'Team Bye List'!$A$1:$B$33,2,False)</f>
        <v>12</v>
      </c>
      <c r="F943" s="36">
        <f>if(ISNA(vlookup($A943, ESPN!$B$2:$E$1010, 4, false)), 0, vlookup($A943, ESPN!$B$2:$E$1010, 4, false))</f>
        <v>0</v>
      </c>
      <c r="G943" s="36">
        <f>if(ISNA(vlookup($A943,'Ultimate Draft Kit'!$B$2:$E$201,4, false)), 0, vlookup($A943,'Ultimate Draft Kit'!$B$2:$E$201, 4, false))</f>
        <v>0</v>
      </c>
      <c r="H943" s="36">
        <f>if(ISNA(vlookup($A943, FantasyPro!$B$2:$E$514,4,false)),0,vlookup($A943,FantasyPro!$B$2:$E$514,4,false))</f>
        <v>0</v>
      </c>
      <c r="I943" s="36">
        <f>if(ISNA(vlookup($A943, FFToolbox!$B$2:$E$618, 4, false)), 0, vlookup($A943, FFToolbox!$B$2:$E$618, 4, false))</f>
        <v>0</v>
      </c>
      <c r="J943" s="37">
        <f t="shared" si="1"/>
        <v>0</v>
      </c>
      <c r="K943" s="37">
        <f t="shared" si="2"/>
        <v>0</v>
      </c>
    </row>
    <row r="944" hidden="1">
      <c r="A944" s="13" t="s">
        <v>411</v>
      </c>
      <c r="B944" s="34" t="s">
        <v>1061</v>
      </c>
      <c r="C944" s="5" t="s">
        <v>48</v>
      </c>
      <c r="D944" s="5" t="s">
        <v>16</v>
      </c>
      <c r="E944" s="35">
        <f>vlookup(C944,'Team Bye List'!$A$1:$B$33,2,False)</f>
        <v>11</v>
      </c>
      <c r="F944" s="36">
        <f>if(ISNA(vlookup($A944, ESPN!$B$2:$E$1010, 4, false)), 0, vlookup($A944, ESPN!$B$2:$E$1010, 4, false))</f>
        <v>0</v>
      </c>
      <c r="G944" s="36">
        <f>if(ISNA(vlookup($A944,'Ultimate Draft Kit'!$B$2:$E$201,4, false)), 0, vlookup($A944,'Ultimate Draft Kit'!$B$2:$E$201, 4, false))</f>
        <v>0</v>
      </c>
      <c r="H944" s="36">
        <f>if(ISNA(vlookup($A944, FantasyPro!$B$2:$E$514,4,false)),0,vlookup($A944,FantasyPro!$B$2:$E$514,4,false))</f>
        <v>0</v>
      </c>
      <c r="I944" s="36">
        <f>if(ISNA(vlookup($A944, FFToolbox!$B$2:$E$618, 4, false)), 0, vlookup($A944, FFToolbox!$B$2:$E$618, 4, false))</f>
        <v>0</v>
      </c>
      <c r="J944" s="37">
        <f t="shared" si="1"/>
        <v>0</v>
      </c>
      <c r="K944" s="37">
        <f t="shared" si="2"/>
        <v>0</v>
      </c>
    </row>
    <row r="945" hidden="1">
      <c r="A945" s="13" t="s">
        <v>412</v>
      </c>
      <c r="B945" s="34" t="s">
        <v>1061</v>
      </c>
      <c r="C945" s="5" t="s">
        <v>134</v>
      </c>
      <c r="D945" s="5" t="s">
        <v>16</v>
      </c>
      <c r="E945" s="35">
        <f>vlookup(C945,'Team Bye List'!$A$1:$B$33,2,False)</f>
        <v>11</v>
      </c>
      <c r="F945" s="36">
        <f>if(ISNA(vlookup($A945, ESPN!$B$2:$E$1010, 4, false)), 0, vlookup($A945, ESPN!$B$2:$E$1010, 4, false))</f>
        <v>0</v>
      </c>
      <c r="G945" s="36">
        <f>if(ISNA(vlookup($A945,'Ultimate Draft Kit'!$B$2:$E$201,4, false)), 0, vlookup($A945,'Ultimate Draft Kit'!$B$2:$E$201, 4, false))</f>
        <v>0</v>
      </c>
      <c r="H945" s="36">
        <f>if(ISNA(vlookup($A945, FantasyPro!$B$2:$E$514,4,false)),0,vlookup($A945,FantasyPro!$B$2:$E$514,4,false))</f>
        <v>0</v>
      </c>
      <c r="I945" s="36">
        <f>if(ISNA(vlookup($A945, FFToolbox!$B$2:$E$618, 4, false)), 0, vlookup($A945, FFToolbox!$B$2:$E$618, 4, false))</f>
        <v>0</v>
      </c>
      <c r="J945" s="37">
        <f t="shared" si="1"/>
        <v>0</v>
      </c>
      <c r="K945" s="37">
        <f t="shared" si="2"/>
        <v>0</v>
      </c>
    </row>
    <row r="946" hidden="1">
      <c r="A946" s="13" t="s">
        <v>1004</v>
      </c>
      <c r="B946" s="34" t="s">
        <v>1061</v>
      </c>
      <c r="C946" s="5" t="s">
        <v>12</v>
      </c>
      <c r="D946" s="5" t="s">
        <v>10</v>
      </c>
      <c r="E946" s="35">
        <f>vlookup(C946,'Team Bye List'!$A$1:$B$33,2,False)</f>
        <v>8</v>
      </c>
      <c r="F946" s="36">
        <f>if(ISNA(vlookup($A946, ESPN!$B$2:$E$1010, 4, false)), 0, vlookup($A946, ESPN!$B$2:$E$1010, 4, false))</f>
        <v>0</v>
      </c>
      <c r="G946" s="36">
        <f>if(ISNA(vlookup($A946,'Ultimate Draft Kit'!$B$2:$E$201,4, false)), 0, vlookup($A946,'Ultimate Draft Kit'!$B$2:$E$201, 4, false))</f>
        <v>0</v>
      </c>
      <c r="H946" s="36">
        <f>if(ISNA(vlookup($A946, FantasyPro!$B$2:$E$514,4,false)),0,vlookup($A946,FantasyPro!$B$2:$E$514,4,false))</f>
        <v>0</v>
      </c>
      <c r="I946" s="36">
        <f>if(ISNA(vlookup($A946, FFToolbox!$B$2:$E$618, 4, false)), 0, vlookup($A946, FFToolbox!$B$2:$E$618, 4, false))</f>
        <v>0</v>
      </c>
      <c r="J946" s="37">
        <f t="shared" si="1"/>
        <v>0</v>
      </c>
      <c r="K946" s="37">
        <f t="shared" si="2"/>
        <v>0</v>
      </c>
    </row>
    <row r="947" hidden="1">
      <c r="A947" s="13" t="s">
        <v>416</v>
      </c>
      <c r="B947" s="34" t="s">
        <v>1061</v>
      </c>
      <c r="C947" s="5" t="s">
        <v>104</v>
      </c>
      <c r="D947" s="5" t="s">
        <v>16</v>
      </c>
      <c r="E947" s="35">
        <f>vlookup(C947,'Team Bye List'!$A$1:$B$33,2,False)</f>
        <v>7</v>
      </c>
      <c r="F947" s="36">
        <f>if(ISNA(vlookup($A947, ESPN!$B$2:$E$1010, 4, false)), 0, vlookup($A947, ESPN!$B$2:$E$1010, 4, false))</f>
        <v>0</v>
      </c>
      <c r="G947" s="36">
        <f>if(ISNA(vlookup($A947,'Ultimate Draft Kit'!$B$2:$E$201,4, false)), 0, vlookup($A947,'Ultimate Draft Kit'!$B$2:$E$201, 4, false))</f>
        <v>0</v>
      </c>
      <c r="H947" s="36">
        <f>if(ISNA(vlookup($A947, FantasyPro!$B$2:$E$514,4,false)),0,vlookup($A947,FantasyPro!$B$2:$E$514,4,false))</f>
        <v>0</v>
      </c>
      <c r="I947" s="36">
        <f>if(ISNA(vlookup($A947, FFToolbox!$B$2:$E$618, 4, false)), 0, vlookup($A947, FFToolbox!$B$2:$E$618, 4, false))</f>
        <v>0</v>
      </c>
      <c r="J947" s="37">
        <f t="shared" si="1"/>
        <v>0</v>
      </c>
      <c r="K947" s="37">
        <f t="shared" si="2"/>
        <v>0</v>
      </c>
    </row>
    <row r="948" hidden="1">
      <c r="A948" s="13" t="s">
        <v>393</v>
      </c>
      <c r="B948" s="34" t="s">
        <v>1061</v>
      </c>
      <c r="C948" s="5" t="s">
        <v>63</v>
      </c>
      <c r="D948" s="5" t="s">
        <v>7</v>
      </c>
      <c r="E948" s="35">
        <f>vlookup(C948,'Team Bye List'!$A$1:$B$33,2,False)</f>
        <v>8</v>
      </c>
      <c r="F948" s="36">
        <f>if(ISNA(vlookup($A948, ESPN!$B$2:$E$1010, 4, false)), 0, vlookup($A948, ESPN!$B$2:$E$1010, 4, false))</f>
        <v>0</v>
      </c>
      <c r="G948" s="36">
        <f>if(ISNA(vlookup($A948,'Ultimate Draft Kit'!$B$2:$E$201,4, false)), 0, vlookup($A948,'Ultimate Draft Kit'!$B$2:$E$201, 4, false))</f>
        <v>0</v>
      </c>
      <c r="H948" s="36">
        <f>if(ISNA(vlookup($A948, FantasyPro!$B$2:$E$514,4,false)),0,vlookup($A948,FantasyPro!$B$2:$E$514,4,false))</f>
        <v>0</v>
      </c>
      <c r="I948" s="36">
        <f>if(ISNA(vlookup($A948, FFToolbox!$B$2:$E$618, 4, false)), 0, vlookup($A948, FFToolbox!$B$2:$E$618, 4, false))</f>
        <v>0</v>
      </c>
      <c r="J948" s="37">
        <f t="shared" si="1"/>
        <v>0</v>
      </c>
      <c r="K948" s="37">
        <f t="shared" si="2"/>
        <v>0</v>
      </c>
    </row>
    <row r="949" hidden="1">
      <c r="A949" s="13" t="s">
        <v>403</v>
      </c>
      <c r="B949" s="34" t="s">
        <v>1061</v>
      </c>
      <c r="C949" s="5" t="s">
        <v>1007</v>
      </c>
      <c r="D949" s="5" t="s">
        <v>16</v>
      </c>
      <c r="E949" s="35">
        <f>vlookup(C949,'Team Bye List'!$A$1:$B$33,2,False)</f>
        <v>8</v>
      </c>
      <c r="F949" s="36">
        <f>if(ISNA(vlookup($A949, ESPN!$B$2:$E$1010, 4, false)), 0, vlookup($A949, ESPN!$B$2:$E$1010, 4, false))</f>
        <v>0</v>
      </c>
      <c r="G949" s="36">
        <f>if(ISNA(vlookup($A949,'Ultimate Draft Kit'!$B$2:$E$201,4, false)), 0, vlookup($A949,'Ultimate Draft Kit'!$B$2:$E$201, 4, false))</f>
        <v>0</v>
      </c>
      <c r="H949" s="36">
        <f>if(ISNA(vlookup($A949, FantasyPro!$B$2:$E$514,4,false)),0,vlookup($A949,FantasyPro!$B$2:$E$514,4,false))</f>
        <v>0</v>
      </c>
      <c r="I949" s="36">
        <f>if(ISNA(vlookup($A949, FFToolbox!$B$2:$E$618, 4, false)), 0, vlookup($A949, FFToolbox!$B$2:$E$618, 4, false))</f>
        <v>0</v>
      </c>
      <c r="J949" s="37">
        <f t="shared" si="1"/>
        <v>0</v>
      </c>
      <c r="K949" s="37">
        <f t="shared" si="2"/>
        <v>0</v>
      </c>
    </row>
    <row r="950" hidden="1">
      <c r="A950" s="13" t="s">
        <v>397</v>
      </c>
      <c r="B950" s="34" t="s">
        <v>1061</v>
      </c>
      <c r="C950" s="5" t="s">
        <v>9</v>
      </c>
      <c r="D950" s="5" t="s">
        <v>16</v>
      </c>
      <c r="E950" s="35">
        <f>vlookup(C950,'Team Bye List'!$A$1:$B$33,2,False)</f>
        <v>10</v>
      </c>
      <c r="F950" s="36">
        <f>if(ISNA(vlookup($A950, ESPN!$B$2:$E$1010, 4, false)), 0, vlookup($A950, ESPN!$B$2:$E$1010, 4, false))</f>
        <v>0</v>
      </c>
      <c r="G950" s="36">
        <f>if(ISNA(vlookup($A950,'Ultimate Draft Kit'!$B$2:$E$201,4, false)), 0, vlookup($A950,'Ultimate Draft Kit'!$B$2:$E$201, 4, false))</f>
        <v>0</v>
      </c>
      <c r="H950" s="36">
        <f>if(ISNA(vlookup($A950, FantasyPro!$B$2:$E$514,4,false)),0,vlookup($A950,FantasyPro!$B$2:$E$514,4,false))</f>
        <v>0</v>
      </c>
      <c r="I950" s="36">
        <f>if(ISNA(vlookup($A950, FFToolbox!$B$2:$E$618, 4, false)), 0, vlookup($A950, FFToolbox!$B$2:$E$618, 4, false))</f>
        <v>0</v>
      </c>
      <c r="J950" s="37">
        <f t="shared" si="1"/>
        <v>0</v>
      </c>
      <c r="K950" s="37">
        <f t="shared" si="2"/>
        <v>0</v>
      </c>
    </row>
    <row r="951" hidden="1">
      <c r="A951" s="13" t="s">
        <v>392</v>
      </c>
      <c r="B951" s="34" t="s">
        <v>1061</v>
      </c>
      <c r="C951" s="5" t="s">
        <v>102</v>
      </c>
      <c r="D951" s="5" t="s">
        <v>16</v>
      </c>
      <c r="E951" s="35">
        <f>vlookup(C951,'Team Bye List'!$A$1:$B$33,2,False)</f>
        <v>11</v>
      </c>
      <c r="F951" s="36">
        <f>if(ISNA(vlookup($A951, ESPN!$B$2:$E$1010, 4, false)), 0, vlookup($A951, ESPN!$B$2:$E$1010, 4, false))</f>
        <v>0</v>
      </c>
      <c r="G951" s="36">
        <f>if(ISNA(vlookup($A951,'Ultimate Draft Kit'!$B$2:$E$201,4, false)), 0, vlookup($A951,'Ultimate Draft Kit'!$B$2:$E$201, 4, false))</f>
        <v>0</v>
      </c>
      <c r="H951" s="36">
        <f>if(ISNA(vlookup($A951, FantasyPro!$B$2:$E$514,4,false)),0,vlookup($A951,FantasyPro!$B$2:$E$514,4,false))</f>
        <v>0</v>
      </c>
      <c r="I951" s="36">
        <f>if(ISNA(vlookup($A951, FFToolbox!$B$2:$E$618, 4, false)), 0, vlookup($A951, FFToolbox!$B$2:$E$618, 4, false))</f>
        <v>0</v>
      </c>
      <c r="J951" s="37">
        <f t="shared" si="1"/>
        <v>0</v>
      </c>
      <c r="K951" s="37">
        <f t="shared" si="2"/>
        <v>0</v>
      </c>
    </row>
    <row r="952" hidden="1">
      <c r="A952" s="13" t="s">
        <v>1105</v>
      </c>
      <c r="B952" s="34" t="s">
        <v>1061</v>
      </c>
      <c r="C952" s="5" t="s">
        <v>61</v>
      </c>
      <c r="D952" s="5" t="s">
        <v>25</v>
      </c>
      <c r="E952" s="35">
        <f>vlookup(C952,'Team Bye List'!$A$1:$B$33,2,False)</f>
        <v>9</v>
      </c>
      <c r="F952" s="36">
        <f>if(ISNA(vlookup($A952, ESPN!$B$2:$E$1010, 4, false)), 0, vlookup($A952, ESPN!$B$2:$E$1010, 4, false))</f>
        <v>0</v>
      </c>
      <c r="G952" s="36">
        <f>if(ISNA(vlookup($A952,'Ultimate Draft Kit'!$B$2:$E$201,4, false)), 0, vlookup($A952,'Ultimate Draft Kit'!$B$2:$E$201, 4, false))</f>
        <v>0</v>
      </c>
      <c r="H952" s="36">
        <f>if(ISNA(vlookup($A952, FantasyPro!$B$2:$E$514,4,false)),0,vlookup($A952,FantasyPro!$B$2:$E$514,4,false))</f>
        <v>0</v>
      </c>
      <c r="I952" s="36">
        <f>if(ISNA(vlookup($A952, FFToolbox!$B$2:$E$618, 4, false)), 0, vlookup($A952, FFToolbox!$B$2:$E$618, 4, false))</f>
        <v>0</v>
      </c>
      <c r="J952" s="37">
        <f t="shared" si="1"/>
        <v>0</v>
      </c>
      <c r="K952" s="37">
        <f t="shared" si="2"/>
        <v>0</v>
      </c>
    </row>
    <row r="953" hidden="1">
      <c r="A953" s="13" t="s">
        <v>398</v>
      </c>
      <c r="B953" s="34" t="s">
        <v>1061</v>
      </c>
      <c r="C953" s="5" t="s">
        <v>20</v>
      </c>
      <c r="D953" s="5" t="s">
        <v>16</v>
      </c>
      <c r="E953" s="35">
        <f>vlookup(C953,'Team Bye List'!$A$1:$B$33,2,False)</f>
        <v>8</v>
      </c>
      <c r="F953" s="36">
        <f>if(ISNA(vlookup($A953, ESPN!$B$2:$E$1010, 4, false)), 0, vlookup($A953, ESPN!$B$2:$E$1010, 4, false))</f>
        <v>0</v>
      </c>
      <c r="G953" s="36">
        <f>if(ISNA(vlookup($A953,'Ultimate Draft Kit'!$B$2:$E$201,4, false)), 0, vlookup($A953,'Ultimate Draft Kit'!$B$2:$E$201, 4, false))</f>
        <v>0</v>
      </c>
      <c r="H953" s="36">
        <f>if(ISNA(vlookup($A953, FantasyPro!$B$2:$E$514,4,false)),0,vlookup($A953,FantasyPro!$B$2:$E$514,4,false))</f>
        <v>0</v>
      </c>
      <c r="I953" s="36">
        <f>if(ISNA(vlookup($A953, FFToolbox!$B$2:$E$618, 4, false)), 0, vlookup($A953, FFToolbox!$B$2:$E$618, 4, false))</f>
        <v>0</v>
      </c>
      <c r="J953" s="37">
        <f t="shared" si="1"/>
        <v>0</v>
      </c>
      <c r="K953" s="37">
        <f t="shared" si="2"/>
        <v>0</v>
      </c>
    </row>
    <row r="954" hidden="1">
      <c r="A954" s="13" t="s">
        <v>401</v>
      </c>
      <c r="B954" s="34" t="s">
        <v>1061</v>
      </c>
      <c r="C954" s="5" t="s">
        <v>29</v>
      </c>
      <c r="D954" s="5" t="s">
        <v>16</v>
      </c>
      <c r="E954" s="35">
        <f>vlookup(C954,'Team Bye List'!$A$1:$B$33,2,False)</f>
        <v>11</v>
      </c>
      <c r="F954" s="36">
        <f>if(ISNA(vlookup($A954, ESPN!$B$2:$E$1010, 4, false)), 0, vlookup($A954, ESPN!$B$2:$E$1010, 4, false))</f>
        <v>0</v>
      </c>
      <c r="G954" s="36">
        <f>if(ISNA(vlookup($A954,'Ultimate Draft Kit'!$B$2:$E$201,4, false)), 0, vlookup($A954,'Ultimate Draft Kit'!$B$2:$E$201, 4, false))</f>
        <v>0</v>
      </c>
      <c r="H954" s="36">
        <f>if(ISNA(vlookup($A954, FantasyPro!$B$2:$E$514,4,false)),0,vlookup($A954,FantasyPro!$B$2:$E$514,4,false))</f>
        <v>0</v>
      </c>
      <c r="I954" s="36">
        <f>if(ISNA(vlookup($A954, FFToolbox!$B$2:$E$618, 4, false)), 0, vlookup($A954, FFToolbox!$B$2:$E$618, 4, false))</f>
        <v>0</v>
      </c>
      <c r="J954" s="37">
        <f t="shared" si="1"/>
        <v>0</v>
      </c>
      <c r="K954" s="37">
        <f t="shared" si="2"/>
        <v>0</v>
      </c>
    </row>
    <row r="955" hidden="1">
      <c r="A955" s="13" t="s">
        <v>394</v>
      </c>
      <c r="B955" s="34" t="s">
        <v>1061</v>
      </c>
      <c r="C955" s="5" t="s">
        <v>63</v>
      </c>
      <c r="D955" s="5" t="s">
        <v>16</v>
      </c>
      <c r="E955" s="35">
        <f>vlookup(C955,'Team Bye List'!$A$1:$B$33,2,False)</f>
        <v>8</v>
      </c>
      <c r="F955" s="36">
        <f>if(ISNA(vlookup($A955, ESPN!$B$2:$E$1010, 4, false)), 0, vlookup($A955, ESPN!$B$2:$E$1010, 4, false))</f>
        <v>0</v>
      </c>
      <c r="G955" s="36">
        <f>if(ISNA(vlookup($A955,'Ultimate Draft Kit'!$B$2:$E$201,4, false)), 0, vlookup($A955,'Ultimate Draft Kit'!$B$2:$E$201, 4, false))</f>
        <v>0</v>
      </c>
      <c r="H955" s="36">
        <f>if(ISNA(vlookup($A955, FantasyPro!$B$2:$E$514,4,false)),0,vlookup($A955,FantasyPro!$B$2:$E$514,4,false))</f>
        <v>0</v>
      </c>
      <c r="I955" s="36">
        <f>if(ISNA(vlookup($A955, FFToolbox!$B$2:$E$618, 4, false)), 0, vlookup($A955, FFToolbox!$B$2:$E$618, 4, false))</f>
        <v>0</v>
      </c>
      <c r="J955" s="37">
        <f t="shared" si="1"/>
        <v>0</v>
      </c>
      <c r="K955" s="37">
        <f t="shared" si="2"/>
        <v>0</v>
      </c>
    </row>
    <row r="956" hidden="1">
      <c r="A956" s="13" t="s">
        <v>404</v>
      </c>
      <c r="B956" s="34" t="s">
        <v>1061</v>
      </c>
      <c r="C956" s="5" t="s">
        <v>27</v>
      </c>
      <c r="D956" s="5" t="s">
        <v>16</v>
      </c>
      <c r="E956" s="35">
        <f>vlookup(C956,'Team Bye List'!$A$1:$B$33,2,False)</f>
        <v>11</v>
      </c>
      <c r="F956" s="36">
        <f>if(ISNA(vlookup($A956, ESPN!$B$2:$E$1010, 4, false)), 0, vlookup($A956, ESPN!$B$2:$E$1010, 4, false))</f>
        <v>0</v>
      </c>
      <c r="G956" s="36">
        <f>if(ISNA(vlookup($A956,'Ultimate Draft Kit'!$B$2:$E$201,4, false)), 0, vlookup($A956,'Ultimate Draft Kit'!$B$2:$E$201, 4, false))</f>
        <v>0</v>
      </c>
      <c r="H956" s="36">
        <f>if(ISNA(vlookup($A956, FantasyPro!$B$2:$E$514,4,false)),0,vlookup($A956,FantasyPro!$B$2:$E$514,4,false))</f>
        <v>0</v>
      </c>
      <c r="I956" s="36">
        <f>if(ISNA(vlookup($A956, FFToolbox!$B$2:$E$618, 4, false)), 0, vlookup($A956, FFToolbox!$B$2:$E$618, 4, false))</f>
        <v>0</v>
      </c>
      <c r="J956" s="37">
        <f t="shared" si="1"/>
        <v>0</v>
      </c>
      <c r="K956" s="37">
        <f t="shared" si="2"/>
        <v>0</v>
      </c>
    </row>
    <row r="957" hidden="1">
      <c r="A957" s="13" t="s">
        <v>395</v>
      </c>
      <c r="B957" s="34" t="s">
        <v>1061</v>
      </c>
      <c r="C957" s="5" t="s">
        <v>59</v>
      </c>
      <c r="D957" s="5" t="s">
        <v>16</v>
      </c>
      <c r="E957" s="35">
        <f>vlookup(C957,'Team Bye List'!$A$1:$B$33,2,False)</f>
        <v>8</v>
      </c>
      <c r="F957" s="36">
        <f>if(ISNA(vlookup($A957, ESPN!$B$2:$E$1010, 4, false)), 0, vlookup($A957, ESPN!$B$2:$E$1010, 4, false))</f>
        <v>0</v>
      </c>
      <c r="G957" s="36">
        <f>if(ISNA(vlookup($A957,'Ultimate Draft Kit'!$B$2:$E$201,4, false)), 0, vlookup($A957,'Ultimate Draft Kit'!$B$2:$E$201, 4, false))</f>
        <v>0</v>
      </c>
      <c r="H957" s="36">
        <f>if(ISNA(vlookup($A957, FantasyPro!$B$2:$E$514,4,false)),0,vlookup($A957,FantasyPro!$B$2:$E$514,4,false))</f>
        <v>0</v>
      </c>
      <c r="I957" s="36">
        <f>if(ISNA(vlookup($A957, FFToolbox!$B$2:$E$618, 4, false)), 0, vlookup($A957, FFToolbox!$B$2:$E$618, 4, false))</f>
        <v>0</v>
      </c>
      <c r="J957" s="37">
        <f t="shared" si="1"/>
        <v>0</v>
      </c>
      <c r="K957" s="37">
        <f t="shared" si="2"/>
        <v>0</v>
      </c>
    </row>
    <row r="958" hidden="1">
      <c r="A958" s="13" t="s">
        <v>390</v>
      </c>
      <c r="B958" s="34" t="s">
        <v>1061</v>
      </c>
      <c r="C958" s="5" t="s">
        <v>54</v>
      </c>
      <c r="D958" s="5" t="s">
        <v>16</v>
      </c>
      <c r="E958" s="35">
        <f>vlookup(C958,'Team Bye List'!$A$1:$B$33,2,False)</f>
        <v>9</v>
      </c>
      <c r="F958" s="36">
        <f>if(ISNA(vlookup($A958, ESPN!$B$2:$E$1010, 4, false)), 0, vlookup($A958, ESPN!$B$2:$E$1010, 4, false))</f>
        <v>0</v>
      </c>
      <c r="G958" s="36">
        <f>if(ISNA(vlookup($A958,'Ultimate Draft Kit'!$B$2:$E$201,4, false)), 0, vlookup($A958,'Ultimate Draft Kit'!$B$2:$E$201, 4, false))</f>
        <v>0</v>
      </c>
      <c r="H958" s="36">
        <f>if(ISNA(vlookup($A958, FantasyPro!$B$2:$E$514,4,false)),0,vlookup($A958,FantasyPro!$B$2:$E$514,4,false))</f>
        <v>0</v>
      </c>
      <c r="I958" s="36">
        <f>if(ISNA(vlookup($A958, FFToolbox!$B$2:$E$618, 4, false)), 0, vlookup($A958, FFToolbox!$B$2:$E$618, 4, false))</f>
        <v>0</v>
      </c>
      <c r="J958" s="37">
        <f t="shared" si="1"/>
        <v>0</v>
      </c>
      <c r="K958" s="37">
        <f t="shared" si="2"/>
        <v>0</v>
      </c>
    </row>
    <row r="959" hidden="1">
      <c r="A959" s="13" t="s">
        <v>391</v>
      </c>
      <c r="B959" s="34" t="s">
        <v>1061</v>
      </c>
      <c r="C959" s="5" t="s">
        <v>40</v>
      </c>
      <c r="D959" s="5" t="s">
        <v>16</v>
      </c>
      <c r="E959" s="35">
        <f>vlookup(C959,'Team Bye List'!$A$1:$B$33,2,False)</f>
        <v>6</v>
      </c>
      <c r="F959" s="36">
        <f>if(ISNA(vlookup($A959, ESPN!$B$2:$E$1010, 4, false)), 0, vlookup($A959, ESPN!$B$2:$E$1010, 4, false))</f>
        <v>0</v>
      </c>
      <c r="G959" s="36">
        <f>if(ISNA(vlookup($A959,'Ultimate Draft Kit'!$B$2:$E$201,4, false)), 0, vlookup($A959,'Ultimate Draft Kit'!$B$2:$E$201, 4, false))</f>
        <v>0</v>
      </c>
      <c r="H959" s="36">
        <f>if(ISNA(vlookup($A959, FantasyPro!$B$2:$E$514,4,false)),0,vlookup($A959,FantasyPro!$B$2:$E$514,4,false))</f>
        <v>0</v>
      </c>
      <c r="I959" s="36">
        <f>if(ISNA(vlookup($A959, FFToolbox!$B$2:$E$618, 4, false)), 0, vlookup($A959, FFToolbox!$B$2:$E$618, 4, false))</f>
        <v>0</v>
      </c>
      <c r="J959" s="37">
        <f t="shared" si="1"/>
        <v>0</v>
      </c>
      <c r="K959" s="37">
        <f t="shared" si="2"/>
        <v>0</v>
      </c>
    </row>
    <row r="960" hidden="1">
      <c r="A960" s="13" t="s">
        <v>382</v>
      </c>
      <c r="B960" s="34" t="s">
        <v>1061</v>
      </c>
      <c r="C960" s="5" t="s">
        <v>18</v>
      </c>
      <c r="D960" s="5" t="s">
        <v>16</v>
      </c>
      <c r="E960" s="35">
        <f>vlookup(C960,'Team Bye List'!$A$1:$B$33,2,False)</f>
        <v>6</v>
      </c>
      <c r="F960" s="36">
        <f>if(ISNA(vlookup($A960, ESPN!$B$2:$E$1010, 4, false)), 0, vlookup($A960, ESPN!$B$2:$E$1010, 4, false))</f>
        <v>0</v>
      </c>
      <c r="G960" s="36">
        <f>if(ISNA(vlookup($A960,'Ultimate Draft Kit'!$B$2:$E$201,4, false)), 0, vlookup($A960,'Ultimate Draft Kit'!$B$2:$E$201, 4, false))</f>
        <v>0</v>
      </c>
      <c r="H960" s="36">
        <f>if(ISNA(vlookup($A960, FantasyPro!$B$2:$E$514,4,false)),0,vlookup($A960,FantasyPro!$B$2:$E$514,4,false))</f>
        <v>0</v>
      </c>
      <c r="I960" s="36">
        <f>if(ISNA(vlookup($A960, FFToolbox!$B$2:$E$618, 4, false)), 0, vlookup($A960, FFToolbox!$B$2:$E$618, 4, false))</f>
        <v>0</v>
      </c>
      <c r="J960" s="37">
        <f t="shared" si="1"/>
        <v>0</v>
      </c>
      <c r="K960" s="37">
        <f t="shared" si="2"/>
        <v>0</v>
      </c>
    </row>
    <row r="961">
      <c r="A961" s="13" t="s">
        <v>185</v>
      </c>
      <c r="B961" s="34" t="s">
        <v>1061</v>
      </c>
      <c r="C961" s="5" t="s">
        <v>48</v>
      </c>
      <c r="D961" s="5" t="s">
        <v>169</v>
      </c>
      <c r="E961" s="35">
        <f>vlookup(C961,'Team Bye List'!$A$1:$B$33,2,False)</f>
        <v>11</v>
      </c>
      <c r="F961" s="36">
        <f>if(ISNA(vlookup($A961, ESPN!$B$2:$E$1010, 4, false)), 0, vlookup($A961, ESPN!$B$2:$E$1010, 4, false))</f>
        <v>1</v>
      </c>
      <c r="G961" s="36">
        <f>if(ISNA(vlookup($A961,'Ultimate Draft Kit'!$B$2:$E$201,4, false)), 0, vlookup($A961,'Ultimate Draft Kit'!$B$2:$E$201, 4, false))</f>
        <v>0</v>
      </c>
      <c r="H961" s="36">
        <f>if(ISNA(vlookup($A961, FantasyPro!$B$2:$E$514,4,false)),0,vlookup($A961,FantasyPro!$B$2:$E$514,4,false))</f>
        <v>0</v>
      </c>
      <c r="I961" s="36">
        <f>if(ISNA(vlookup($A961, FFToolbox!$B$2:$E$618, 4, false)), 0, vlookup($A961, FFToolbox!$B$2:$E$618, 4, false))</f>
        <v>0</v>
      </c>
      <c r="J961" s="37">
        <f t="shared" si="1"/>
        <v>0.25</v>
      </c>
      <c r="K961" s="37">
        <f t="shared" si="2"/>
        <v>1</v>
      </c>
    </row>
    <row r="962" hidden="1">
      <c r="A962" s="13" t="s">
        <v>388</v>
      </c>
      <c r="B962" s="34" t="s">
        <v>1061</v>
      </c>
      <c r="C962" s="5" t="s">
        <v>86</v>
      </c>
      <c r="D962" s="5" t="s">
        <v>25</v>
      </c>
      <c r="E962" s="35">
        <f>vlookup(C962,'Team Bye List'!$A$1:$B$33,2,False)</f>
        <v>6</v>
      </c>
      <c r="F962" s="36">
        <f>if(ISNA(vlookup($A962, ESPN!$B$2:$E$1010, 4, false)), 0, vlookup($A962, ESPN!$B$2:$E$1010, 4, false))</f>
        <v>0</v>
      </c>
      <c r="G962" s="36">
        <f>if(ISNA(vlookup($A962,'Ultimate Draft Kit'!$B$2:$E$201,4, false)), 0, vlookup($A962,'Ultimate Draft Kit'!$B$2:$E$201, 4, false))</f>
        <v>0</v>
      </c>
      <c r="H962" s="36">
        <f>if(ISNA(vlookup($A962, FantasyPro!$B$2:$E$514,4,false)),0,vlookup($A962,FantasyPro!$B$2:$E$514,4,false))</f>
        <v>0</v>
      </c>
      <c r="I962" s="36">
        <f>if(ISNA(vlookup($A962, FFToolbox!$B$2:$E$618, 4, false)), 0, vlookup($A962, FFToolbox!$B$2:$E$618, 4, false))</f>
        <v>0</v>
      </c>
      <c r="J962" s="37">
        <f t="shared" si="1"/>
        <v>0</v>
      </c>
      <c r="K962" s="37">
        <f t="shared" si="2"/>
        <v>0</v>
      </c>
    </row>
    <row r="963" hidden="1">
      <c r="A963" s="13" t="s">
        <v>387</v>
      </c>
      <c r="B963" s="34" t="s">
        <v>1061</v>
      </c>
      <c r="C963" s="5" t="s">
        <v>92</v>
      </c>
      <c r="D963" s="5" t="s">
        <v>16</v>
      </c>
      <c r="E963" s="35">
        <f>vlookup(C963,'Team Bye List'!$A$1:$B$33,2,False)</f>
        <v>8</v>
      </c>
      <c r="F963" s="36">
        <f>if(ISNA(vlookup($A963, ESPN!$B$2:$E$1010, 4, false)), 0, vlookup($A963, ESPN!$B$2:$E$1010, 4, false))</f>
        <v>0</v>
      </c>
      <c r="G963" s="36">
        <f>if(ISNA(vlookup($A963,'Ultimate Draft Kit'!$B$2:$E$201,4, false)), 0, vlookup($A963,'Ultimate Draft Kit'!$B$2:$E$201, 4, false))</f>
        <v>0</v>
      </c>
      <c r="H963" s="36">
        <f>if(ISNA(vlookup($A963, FantasyPro!$B$2:$E$514,4,false)),0,vlookup($A963,FantasyPro!$B$2:$E$514,4,false))</f>
        <v>0</v>
      </c>
      <c r="I963" s="36">
        <f>if(ISNA(vlookup($A963, FFToolbox!$B$2:$E$618, 4, false)), 0, vlookup($A963, FFToolbox!$B$2:$E$618, 4, false))</f>
        <v>0</v>
      </c>
      <c r="J963" s="37">
        <f t="shared" si="1"/>
        <v>0</v>
      </c>
      <c r="K963" s="37">
        <f t="shared" si="2"/>
        <v>0</v>
      </c>
    </row>
    <row r="964" hidden="1">
      <c r="A964" s="13" t="s">
        <v>381</v>
      </c>
      <c r="B964" s="34" t="s">
        <v>1061</v>
      </c>
      <c r="C964" s="5" t="s">
        <v>86</v>
      </c>
      <c r="D964" s="5" t="s">
        <v>16</v>
      </c>
      <c r="E964" s="35">
        <f>vlookup(C964,'Team Bye List'!$A$1:$B$33,2,False)</f>
        <v>6</v>
      </c>
      <c r="F964" s="36">
        <f>if(ISNA(vlookup($A964, ESPN!$B$2:$E$1010, 4, false)), 0, vlookup($A964, ESPN!$B$2:$E$1010, 4, false))</f>
        <v>0</v>
      </c>
      <c r="G964" s="36">
        <f>if(ISNA(vlookup($A964,'Ultimate Draft Kit'!$B$2:$E$201,4, false)), 0, vlookup($A964,'Ultimate Draft Kit'!$B$2:$E$201, 4, false))</f>
        <v>0</v>
      </c>
      <c r="H964" s="36">
        <f>if(ISNA(vlookup($A964, FantasyPro!$B$2:$E$514,4,false)),0,vlookup($A964,FantasyPro!$B$2:$E$514,4,false))</f>
        <v>0</v>
      </c>
      <c r="I964" s="36">
        <f>if(ISNA(vlookup($A964, FFToolbox!$B$2:$E$618, 4, false)), 0, vlookup($A964, FFToolbox!$B$2:$E$618, 4, false))</f>
        <v>0</v>
      </c>
      <c r="J964" s="37">
        <f t="shared" si="1"/>
        <v>0</v>
      </c>
      <c r="K964" s="37">
        <f t="shared" si="2"/>
        <v>0</v>
      </c>
    </row>
    <row r="965" hidden="1">
      <c r="A965" s="13" t="s">
        <v>386</v>
      </c>
      <c r="B965" s="34" t="s">
        <v>1061</v>
      </c>
      <c r="C965" s="5" t="s">
        <v>22</v>
      </c>
      <c r="D965" s="5" t="s">
        <v>16</v>
      </c>
      <c r="E965" s="35">
        <f>vlookup(C965,'Team Bye List'!$A$1:$B$33,2,False)</f>
        <v>7</v>
      </c>
      <c r="F965" s="36">
        <f>if(ISNA(vlookup($A965, ESPN!$B$2:$E$1010, 4, false)), 0, vlookup($A965, ESPN!$B$2:$E$1010, 4, false))</f>
        <v>0</v>
      </c>
      <c r="G965" s="36">
        <f>if(ISNA(vlookup($A965,'Ultimate Draft Kit'!$B$2:$E$201,4, false)), 0, vlookup($A965,'Ultimate Draft Kit'!$B$2:$E$201, 4, false))</f>
        <v>0</v>
      </c>
      <c r="H965" s="36">
        <f>if(ISNA(vlookup($A965, FantasyPro!$B$2:$E$514,4,false)),0,vlookup($A965,FantasyPro!$B$2:$E$514,4,false))</f>
        <v>0</v>
      </c>
      <c r="I965" s="36">
        <f>if(ISNA(vlookup($A965, FFToolbox!$B$2:$E$618, 4, false)), 0, vlookup($A965, FFToolbox!$B$2:$E$618, 4, false))</f>
        <v>0</v>
      </c>
      <c r="J965" s="37">
        <f t="shared" si="1"/>
        <v>0</v>
      </c>
      <c r="K965" s="37">
        <f t="shared" si="2"/>
        <v>0</v>
      </c>
    </row>
    <row r="966" hidden="1">
      <c r="A966" s="13" t="s">
        <v>380</v>
      </c>
      <c r="B966" s="34" t="s">
        <v>1061</v>
      </c>
      <c r="C966" s="5" t="s">
        <v>6</v>
      </c>
      <c r="D966" s="5" t="s">
        <v>16</v>
      </c>
      <c r="E966" s="35">
        <f>vlookup(C966,'Team Bye List'!$A$1:$B$33,2,False)</f>
        <v>12</v>
      </c>
      <c r="F966" s="36">
        <f>if(ISNA(vlookup($A966, ESPN!$B$2:$E$1010, 4, false)), 0, vlookup($A966, ESPN!$B$2:$E$1010, 4, false))</f>
        <v>0</v>
      </c>
      <c r="G966" s="36">
        <f>if(ISNA(vlookup($A966,'Ultimate Draft Kit'!$B$2:$E$201,4, false)), 0, vlookup($A966,'Ultimate Draft Kit'!$B$2:$E$201, 4, false))</f>
        <v>0</v>
      </c>
      <c r="H966" s="36">
        <f>if(ISNA(vlookup($A966, FantasyPro!$B$2:$E$514,4,false)),0,vlookup($A966,FantasyPro!$B$2:$E$514,4,false))</f>
        <v>0</v>
      </c>
      <c r="I966" s="36">
        <f>if(ISNA(vlookup($A966, FFToolbox!$B$2:$E$618, 4, false)), 0, vlookup($A966, FFToolbox!$B$2:$E$618, 4, false))</f>
        <v>0</v>
      </c>
      <c r="J966" s="37">
        <f t="shared" si="1"/>
        <v>0</v>
      </c>
      <c r="K966" s="37">
        <f t="shared" si="2"/>
        <v>0</v>
      </c>
    </row>
    <row r="967" hidden="1">
      <c r="A967" s="13" t="s">
        <v>378</v>
      </c>
      <c r="B967" s="34" t="s">
        <v>1061</v>
      </c>
      <c r="C967" s="5" t="s">
        <v>44</v>
      </c>
      <c r="D967" s="5" t="s">
        <v>16</v>
      </c>
      <c r="E967" s="35">
        <f>vlookup(C967,'Team Bye List'!$A$1:$B$33,2,False)</f>
        <v>10</v>
      </c>
      <c r="F967" s="36">
        <f>if(ISNA(vlookup($A967, ESPN!$B$2:$E$1010, 4, false)), 0, vlookup($A967, ESPN!$B$2:$E$1010, 4, false))</f>
        <v>0</v>
      </c>
      <c r="G967" s="36">
        <f>if(ISNA(vlookup($A967,'Ultimate Draft Kit'!$B$2:$E$201,4, false)), 0, vlookup($A967,'Ultimate Draft Kit'!$B$2:$E$201, 4, false))</f>
        <v>0</v>
      </c>
      <c r="H967" s="36">
        <f>if(ISNA(vlookup($A967, FantasyPro!$B$2:$E$514,4,false)),0,vlookup($A967,FantasyPro!$B$2:$E$514,4,false))</f>
        <v>0</v>
      </c>
      <c r="I967" s="36">
        <f>if(ISNA(vlookup($A967, FFToolbox!$B$2:$E$618, 4, false)), 0, vlookup($A967, FFToolbox!$B$2:$E$618, 4, false))</f>
        <v>0</v>
      </c>
      <c r="J967" s="37">
        <f t="shared" si="1"/>
        <v>0</v>
      </c>
      <c r="K967" s="37">
        <f t="shared" si="2"/>
        <v>0</v>
      </c>
    </row>
    <row r="968" hidden="1">
      <c r="A968" s="13" t="s">
        <v>377</v>
      </c>
      <c r="B968" s="34" t="s">
        <v>1061</v>
      </c>
      <c r="C968" s="5" t="s">
        <v>74</v>
      </c>
      <c r="D968" s="5" t="s">
        <v>16</v>
      </c>
      <c r="E968" s="35">
        <f>vlookup(C968,'Team Bye List'!$A$1:$B$33,2,False)</f>
        <v>7</v>
      </c>
      <c r="F968" s="36">
        <f>if(ISNA(vlookup($A968, ESPN!$B$2:$E$1010, 4, false)), 0, vlookup($A968, ESPN!$B$2:$E$1010, 4, false))</f>
        <v>0</v>
      </c>
      <c r="G968" s="36">
        <f>if(ISNA(vlookup($A968,'Ultimate Draft Kit'!$B$2:$E$201,4, false)), 0, vlookup($A968,'Ultimate Draft Kit'!$B$2:$E$201, 4, false))</f>
        <v>0</v>
      </c>
      <c r="H968" s="36">
        <f>if(ISNA(vlookup($A968, FantasyPro!$B$2:$E$514,4,false)),0,vlookup($A968,FantasyPro!$B$2:$E$514,4,false))</f>
        <v>0</v>
      </c>
      <c r="I968" s="36">
        <f>if(ISNA(vlookup($A968, FFToolbox!$B$2:$E$618, 4, false)), 0, vlookup($A968, FFToolbox!$B$2:$E$618, 4, false))</f>
        <v>0</v>
      </c>
      <c r="J968" s="37">
        <f t="shared" si="1"/>
        <v>0</v>
      </c>
      <c r="K968" s="37">
        <f t="shared" si="2"/>
        <v>0</v>
      </c>
    </row>
    <row r="969" hidden="1">
      <c r="A969" s="13" t="s">
        <v>376</v>
      </c>
      <c r="B969" s="34" t="s">
        <v>1061</v>
      </c>
      <c r="C969" s="5" t="s">
        <v>32</v>
      </c>
      <c r="D969" s="5" t="s">
        <v>25</v>
      </c>
      <c r="E969" s="35">
        <f>vlookup(C969,'Team Bye List'!$A$1:$B$33,2,False)</f>
        <v>9</v>
      </c>
      <c r="F969" s="36">
        <f>if(ISNA(vlookup($A969, ESPN!$B$2:$E$1010, 4, false)), 0, vlookup($A969, ESPN!$B$2:$E$1010, 4, false))</f>
        <v>0</v>
      </c>
      <c r="G969" s="36">
        <f>if(ISNA(vlookup($A969,'Ultimate Draft Kit'!$B$2:$E$201,4, false)), 0, vlookup($A969,'Ultimate Draft Kit'!$B$2:$E$201, 4, false))</f>
        <v>0</v>
      </c>
      <c r="H969" s="36">
        <f>if(ISNA(vlookup($A969, FantasyPro!$B$2:$E$514,4,false)),0,vlookup($A969,FantasyPro!$B$2:$E$514,4,false))</f>
        <v>0</v>
      </c>
      <c r="I969" s="36">
        <f>if(ISNA(vlookup($A969, FFToolbox!$B$2:$E$618, 4, false)), 0, vlookup($A969, FFToolbox!$B$2:$E$618, 4, false))</f>
        <v>0</v>
      </c>
      <c r="J969" s="37">
        <f t="shared" si="1"/>
        <v>0</v>
      </c>
      <c r="K969" s="37">
        <f t="shared" si="2"/>
        <v>0</v>
      </c>
    </row>
    <row r="970" hidden="1">
      <c r="A970" s="13" t="s">
        <v>375</v>
      </c>
      <c r="B970" s="34" t="s">
        <v>1061</v>
      </c>
      <c r="C970" s="5" t="s">
        <v>34</v>
      </c>
      <c r="D970" s="5" t="s">
        <v>16</v>
      </c>
      <c r="E970" s="35">
        <f>vlookup(C970,'Team Bye List'!$A$1:$B$33,2,False)</f>
        <v>7</v>
      </c>
      <c r="F970" s="36">
        <f>if(ISNA(vlookup($A970, ESPN!$B$2:$E$1010, 4, false)), 0, vlookup($A970, ESPN!$B$2:$E$1010, 4, false))</f>
        <v>0</v>
      </c>
      <c r="G970" s="36">
        <f>if(ISNA(vlookup($A970,'Ultimate Draft Kit'!$B$2:$E$201,4, false)), 0, vlookup($A970,'Ultimate Draft Kit'!$B$2:$E$201, 4, false))</f>
        <v>0</v>
      </c>
      <c r="H970" s="36">
        <f>if(ISNA(vlookup($A970, FantasyPro!$B$2:$E$514,4,false)),0,vlookup($A970,FantasyPro!$B$2:$E$514,4,false))</f>
        <v>0</v>
      </c>
      <c r="I970" s="36">
        <f>if(ISNA(vlookup($A970, FFToolbox!$B$2:$E$618, 4, false)), 0, vlookup($A970, FFToolbox!$B$2:$E$618, 4, false))</f>
        <v>0</v>
      </c>
      <c r="J970" s="37">
        <f t="shared" si="1"/>
        <v>0</v>
      </c>
      <c r="K970" s="37">
        <f t="shared" si="2"/>
        <v>0</v>
      </c>
    </row>
    <row r="971" hidden="1">
      <c r="A971" s="13" t="s">
        <v>370</v>
      </c>
      <c r="B971" s="34" t="s">
        <v>1061</v>
      </c>
      <c r="C971" s="5" t="s">
        <v>48</v>
      </c>
      <c r="D971" s="5" t="s">
        <v>16</v>
      </c>
      <c r="E971" s="35">
        <f>vlookup(C971,'Team Bye List'!$A$1:$B$33,2,False)</f>
        <v>11</v>
      </c>
      <c r="F971" s="36">
        <f>if(ISNA(vlookup($A971, ESPN!$B$2:$E$1010, 4, false)), 0, vlookup($A971, ESPN!$B$2:$E$1010, 4, false))</f>
        <v>0</v>
      </c>
      <c r="G971" s="36">
        <f>if(ISNA(vlookup($A971,'Ultimate Draft Kit'!$B$2:$E$201,4, false)), 0, vlookup($A971,'Ultimate Draft Kit'!$B$2:$E$201, 4, false))</f>
        <v>0</v>
      </c>
      <c r="H971" s="36">
        <f>if(ISNA(vlookup($A971, FantasyPro!$B$2:$E$514,4,false)),0,vlookup($A971,FantasyPro!$B$2:$E$514,4,false))</f>
        <v>0</v>
      </c>
      <c r="I971" s="36">
        <f>if(ISNA(vlookup($A971, FFToolbox!$B$2:$E$618, 4, false)), 0, vlookup($A971, FFToolbox!$B$2:$E$618, 4, false))</f>
        <v>0</v>
      </c>
      <c r="J971" s="37">
        <f t="shared" si="1"/>
        <v>0</v>
      </c>
      <c r="K971" s="37">
        <f t="shared" si="2"/>
        <v>0</v>
      </c>
    </row>
    <row r="972" hidden="1">
      <c r="A972" s="13" t="s">
        <v>364</v>
      </c>
      <c r="B972" s="34" t="s">
        <v>1061</v>
      </c>
      <c r="C972" s="5" t="s">
        <v>14</v>
      </c>
      <c r="D972" s="5" t="s">
        <v>16</v>
      </c>
      <c r="E972" s="35">
        <f>vlookup(C972,'Team Bye List'!$A$1:$B$33,2,False)</f>
        <v>10</v>
      </c>
      <c r="F972" s="36">
        <f>if(ISNA(vlookup($A972, ESPN!$B$2:$E$1010, 4, false)), 0, vlookup($A972, ESPN!$B$2:$E$1010, 4, false))</f>
        <v>0</v>
      </c>
      <c r="G972" s="36">
        <f>if(ISNA(vlookup($A972,'Ultimate Draft Kit'!$B$2:$E$201,4, false)), 0, vlookup($A972,'Ultimate Draft Kit'!$B$2:$E$201, 4, false))</f>
        <v>0</v>
      </c>
      <c r="H972" s="36">
        <f>if(ISNA(vlookup($A972, FantasyPro!$B$2:$E$514,4,false)),0,vlookup($A972,FantasyPro!$B$2:$E$514,4,false))</f>
        <v>0</v>
      </c>
      <c r="I972" s="36">
        <f>if(ISNA(vlookup($A972, FFToolbox!$B$2:$E$618, 4, false)), 0, vlookup($A972, FFToolbox!$B$2:$E$618, 4, false))</f>
        <v>0</v>
      </c>
      <c r="J972" s="37">
        <f t="shared" si="1"/>
        <v>0</v>
      </c>
      <c r="K972" s="37">
        <f t="shared" si="2"/>
        <v>0</v>
      </c>
    </row>
    <row r="973" hidden="1">
      <c r="A973" s="13" t="s">
        <v>999</v>
      </c>
      <c r="B973" s="34" t="s">
        <v>1061</v>
      </c>
      <c r="C973" s="5" t="s">
        <v>6</v>
      </c>
      <c r="D973" s="5" t="s">
        <v>10</v>
      </c>
      <c r="E973" s="35">
        <f>vlookup(C973,'Team Bye List'!$A$1:$B$33,2,False)</f>
        <v>12</v>
      </c>
      <c r="F973" s="36">
        <f>if(ISNA(vlookup($A973, ESPN!$B$2:$E$1010, 4, false)), 0, vlookup($A973, ESPN!$B$2:$E$1010, 4, false))</f>
        <v>0</v>
      </c>
      <c r="G973" s="36">
        <f>if(ISNA(vlookup($A973,'Ultimate Draft Kit'!$B$2:$E$201,4, false)), 0, vlookup($A973,'Ultimate Draft Kit'!$B$2:$E$201, 4, false))</f>
        <v>0</v>
      </c>
      <c r="H973" s="36">
        <f>if(ISNA(vlookup($A973, FantasyPro!$B$2:$E$514,4,false)),0,vlookup($A973,FantasyPro!$B$2:$E$514,4,false))</f>
        <v>0</v>
      </c>
      <c r="I973" s="36">
        <f>if(ISNA(vlookup($A973, FFToolbox!$B$2:$E$618, 4, false)), 0, vlookup($A973, FFToolbox!$B$2:$E$618, 4, false))</f>
        <v>0</v>
      </c>
      <c r="J973" s="37">
        <f t="shared" si="1"/>
        <v>0</v>
      </c>
      <c r="K973" s="37">
        <f t="shared" si="2"/>
        <v>0</v>
      </c>
    </row>
    <row r="974" hidden="1">
      <c r="A974" s="13" t="s">
        <v>368</v>
      </c>
      <c r="B974" s="34" t="s">
        <v>1061</v>
      </c>
      <c r="C974" s="5" t="s">
        <v>63</v>
      </c>
      <c r="D974" s="5" t="s">
        <v>25</v>
      </c>
      <c r="E974" s="35">
        <f>vlookup(C974,'Team Bye List'!$A$1:$B$33,2,False)</f>
        <v>8</v>
      </c>
      <c r="F974" s="36">
        <f>if(ISNA(vlookup($A974, ESPN!$B$2:$E$1010, 4, false)), 0, vlookup($A974, ESPN!$B$2:$E$1010, 4, false))</f>
        <v>0</v>
      </c>
      <c r="G974" s="36">
        <f>if(ISNA(vlookup($A974,'Ultimate Draft Kit'!$B$2:$E$201,4, false)), 0, vlookup($A974,'Ultimate Draft Kit'!$B$2:$E$201, 4, false))</f>
        <v>0</v>
      </c>
      <c r="H974" s="36">
        <f>if(ISNA(vlookup($A974, FantasyPro!$B$2:$E$514,4,false)),0,vlookup($A974,FantasyPro!$B$2:$E$514,4,false))</f>
        <v>0</v>
      </c>
      <c r="I974" s="36">
        <f>if(ISNA(vlookup($A974, FFToolbox!$B$2:$E$618, 4, false)), 0, vlookup($A974, FFToolbox!$B$2:$E$618, 4, false))</f>
        <v>0</v>
      </c>
      <c r="J974" s="37">
        <f t="shared" si="1"/>
        <v>0</v>
      </c>
      <c r="K974" s="37">
        <f t="shared" si="2"/>
        <v>0</v>
      </c>
    </row>
    <row r="975" hidden="1">
      <c r="A975" s="13" t="s">
        <v>365</v>
      </c>
      <c r="B975" s="34" t="s">
        <v>1061</v>
      </c>
      <c r="C975" s="5" t="s">
        <v>77</v>
      </c>
      <c r="D975" s="5" t="s">
        <v>16</v>
      </c>
      <c r="E975" s="35">
        <f>vlookup(C975,'Team Bye List'!$A$1:$B$33,2,False)</f>
        <v>11</v>
      </c>
      <c r="F975" s="36">
        <f>if(ISNA(vlookup($A975, ESPN!$B$2:$E$1010, 4, false)), 0, vlookup($A975, ESPN!$B$2:$E$1010, 4, false))</f>
        <v>0</v>
      </c>
      <c r="G975" s="36">
        <f>if(ISNA(vlookup($A975,'Ultimate Draft Kit'!$B$2:$E$201,4, false)), 0, vlookup($A975,'Ultimate Draft Kit'!$B$2:$E$201, 4, false))</f>
        <v>0</v>
      </c>
      <c r="H975" s="36">
        <f>if(ISNA(vlookup($A975, FantasyPro!$B$2:$E$514,4,false)),0,vlookup($A975,FantasyPro!$B$2:$E$514,4,false))</f>
        <v>0</v>
      </c>
      <c r="I975" s="36">
        <f>if(ISNA(vlookup($A975, FFToolbox!$B$2:$E$618, 4, false)), 0, vlookup($A975, FFToolbox!$B$2:$E$618, 4, false))</f>
        <v>0</v>
      </c>
      <c r="J975" s="37">
        <f t="shared" si="1"/>
        <v>0</v>
      </c>
      <c r="K975" s="37">
        <f t="shared" si="2"/>
        <v>0</v>
      </c>
    </row>
    <row r="976" hidden="1">
      <c r="A976" s="13" t="s">
        <v>366</v>
      </c>
      <c r="B976" s="34" t="s">
        <v>1061</v>
      </c>
      <c r="C976" s="5" t="s">
        <v>20</v>
      </c>
      <c r="D976" s="5" t="s">
        <v>16</v>
      </c>
      <c r="E976" s="35">
        <f>vlookup(C976,'Team Bye List'!$A$1:$B$33,2,False)</f>
        <v>8</v>
      </c>
      <c r="F976" s="36">
        <f>if(ISNA(vlookup($A976, ESPN!$B$2:$E$1010, 4, false)), 0, vlookup($A976, ESPN!$B$2:$E$1010, 4, false))</f>
        <v>0</v>
      </c>
      <c r="G976" s="36">
        <f>if(ISNA(vlookup($A976,'Ultimate Draft Kit'!$B$2:$E$201,4, false)), 0, vlookup($A976,'Ultimate Draft Kit'!$B$2:$E$201, 4, false))</f>
        <v>0</v>
      </c>
      <c r="H976" s="36">
        <f>if(ISNA(vlookup($A976, FantasyPro!$B$2:$E$514,4,false)),0,vlookup($A976,FantasyPro!$B$2:$E$514,4,false))</f>
        <v>0</v>
      </c>
      <c r="I976" s="36">
        <f>if(ISNA(vlookup($A976, FFToolbox!$B$2:$E$618, 4, false)), 0, vlookup($A976, FFToolbox!$B$2:$E$618, 4, false))</f>
        <v>0</v>
      </c>
      <c r="J976" s="37">
        <f t="shared" si="1"/>
        <v>0</v>
      </c>
      <c r="K976" s="37">
        <f t="shared" si="2"/>
        <v>0</v>
      </c>
    </row>
    <row r="977" hidden="1">
      <c r="A977" s="13" t="s">
        <v>363</v>
      </c>
      <c r="B977" s="34" t="s">
        <v>1061</v>
      </c>
      <c r="C977" s="5" t="s">
        <v>257</v>
      </c>
      <c r="D977" s="5" t="s">
        <v>16</v>
      </c>
      <c r="E977" s="35" t="str">
        <f>vlookup(C977,'Team Bye List'!$A$1:$B$33,2,False)</f>
        <v>#N/A</v>
      </c>
      <c r="F977" s="36">
        <f>if(ISNA(vlookup($A977, ESPN!$B$2:$E$1010, 4, false)), 0, vlookup($A977, ESPN!$B$2:$E$1010, 4, false))</f>
        <v>0</v>
      </c>
      <c r="G977" s="36">
        <f>if(ISNA(vlookup($A977,'Ultimate Draft Kit'!$B$2:$E$201,4, false)), 0, vlookup($A977,'Ultimate Draft Kit'!$B$2:$E$201, 4, false))</f>
        <v>0</v>
      </c>
      <c r="H977" s="36">
        <f>if(ISNA(vlookup($A977, FantasyPro!$B$2:$E$514,4,false)),0,vlookup($A977,FantasyPro!$B$2:$E$514,4,false))</f>
        <v>0</v>
      </c>
      <c r="I977" s="36">
        <f>if(ISNA(vlookup($A977, FFToolbox!$B$2:$E$618, 4, false)), 0, vlookup($A977, FFToolbox!$B$2:$E$618, 4, false))</f>
        <v>0</v>
      </c>
      <c r="J977" s="37">
        <f t="shared" si="1"/>
        <v>0</v>
      </c>
      <c r="K977" s="37">
        <f t="shared" si="2"/>
        <v>0</v>
      </c>
    </row>
    <row r="978" hidden="1">
      <c r="A978" s="13" t="s">
        <v>361</v>
      </c>
      <c r="B978" s="34" t="s">
        <v>1061</v>
      </c>
      <c r="C978" s="5" t="s">
        <v>134</v>
      </c>
      <c r="D978" s="5" t="s">
        <v>16</v>
      </c>
      <c r="E978" s="35">
        <f>vlookup(C978,'Team Bye List'!$A$1:$B$33,2,False)</f>
        <v>11</v>
      </c>
      <c r="F978" s="36">
        <f>if(ISNA(vlookup($A978, ESPN!$B$2:$E$1010, 4, false)), 0, vlookup($A978, ESPN!$B$2:$E$1010, 4, false))</f>
        <v>0</v>
      </c>
      <c r="G978" s="36">
        <f>if(ISNA(vlookup($A978,'Ultimate Draft Kit'!$B$2:$E$201,4, false)), 0, vlookup($A978,'Ultimate Draft Kit'!$B$2:$E$201, 4, false))</f>
        <v>0</v>
      </c>
      <c r="H978" s="36">
        <f>if(ISNA(vlookup($A978, FantasyPro!$B$2:$E$514,4,false)),0,vlookup($A978,FantasyPro!$B$2:$E$514,4,false))</f>
        <v>0</v>
      </c>
      <c r="I978" s="36">
        <f>if(ISNA(vlookup($A978, FFToolbox!$B$2:$E$618, 4, false)), 0, vlookup($A978, FFToolbox!$B$2:$E$618, 4, false))</f>
        <v>0</v>
      </c>
      <c r="J978" s="37">
        <f t="shared" si="1"/>
        <v>0</v>
      </c>
      <c r="K978" s="37">
        <f t="shared" si="2"/>
        <v>0</v>
      </c>
    </row>
    <row r="979" hidden="1">
      <c r="A979" s="13" t="s">
        <v>361</v>
      </c>
      <c r="B979" s="34" t="s">
        <v>1061</v>
      </c>
      <c r="C979" s="5" t="s">
        <v>38</v>
      </c>
      <c r="D979" s="5" t="s">
        <v>10</v>
      </c>
      <c r="E979" s="39">
        <f>vlookup(C979,'Team Bye List'!$A$1:$B$33,2,False)</f>
        <v>12</v>
      </c>
      <c r="F979" s="40">
        <f>if(ISNA(vlookup($A979, ESPN!$B$2:$E$1010, 4, false)), 0, vlookup($A979, ESPN!$B$2:$E$1010, 4, false))</f>
        <v>0</v>
      </c>
      <c r="G979" s="40">
        <f>if(ISNA(vlookup($A979,'Ultimate Draft Kit'!$B$2:$E$201,4, false)), 0, vlookup($A979,'Ultimate Draft Kit'!$B$2:$E$201, 4, false))</f>
        <v>0</v>
      </c>
      <c r="H979" s="40">
        <f>if(ISNA(vlookup($A979, FantasyPro!$B$2:$E$514,4,false)),0,vlookup($A979,FantasyPro!$B$2:$E$514,4,false))</f>
        <v>0</v>
      </c>
      <c r="I979" s="40">
        <f>if(ISNA(vlookup($A979, FFToolbox!$B$2:$E$618, 4, false)), 0, vlookup($A979, FFToolbox!$B$2:$E$618, 4, false))</f>
        <v>0</v>
      </c>
      <c r="J979" s="41">
        <f t="shared" si="1"/>
        <v>0</v>
      </c>
      <c r="K979" s="41">
        <f t="shared" si="2"/>
        <v>0</v>
      </c>
    </row>
    <row r="980" hidden="1">
      <c r="A980" s="13" t="s">
        <v>362</v>
      </c>
      <c r="B980" s="34" t="s">
        <v>1061</v>
      </c>
      <c r="C980" s="5" t="s">
        <v>96</v>
      </c>
      <c r="D980" s="5" t="s">
        <v>16</v>
      </c>
      <c r="E980" s="39">
        <f>vlookup(C980,'Team Bye List'!$A$1:$B$33,2,False)</f>
        <v>10</v>
      </c>
      <c r="F980" s="40">
        <f>if(ISNA(vlookup($A980, ESPN!$B$2:$E$1010, 4, false)), 0, vlookup($A980, ESPN!$B$2:$E$1010, 4, false))</f>
        <v>0</v>
      </c>
      <c r="G980" s="40">
        <f>if(ISNA(vlookup($A980,'Ultimate Draft Kit'!$B$2:$E$201,4, false)), 0, vlookup($A980,'Ultimate Draft Kit'!$B$2:$E$201, 4, false))</f>
        <v>0</v>
      </c>
      <c r="H980" s="40">
        <f>if(ISNA(vlookup($A980, FantasyPro!$B$2:$E$514,4,false)),0,vlookup($A980,FantasyPro!$B$2:$E$514,4,false))</f>
        <v>0</v>
      </c>
      <c r="I980" s="40">
        <f>if(ISNA(vlookup($A980, FFToolbox!$B$2:$E$618, 4, false)), 0, vlookup($A980, FFToolbox!$B$2:$E$618, 4, false))</f>
        <v>0</v>
      </c>
      <c r="J980" s="41">
        <f t="shared" si="1"/>
        <v>0</v>
      </c>
      <c r="K980" s="41">
        <f t="shared" si="2"/>
        <v>0</v>
      </c>
    </row>
    <row r="981" hidden="1">
      <c r="A981" s="13" t="s">
        <v>358</v>
      </c>
      <c r="B981" s="34" t="s">
        <v>1061</v>
      </c>
      <c r="C981" s="5" t="s">
        <v>61</v>
      </c>
      <c r="D981" s="5" t="s">
        <v>16</v>
      </c>
      <c r="E981" s="39">
        <f>vlookup(C981,'Team Bye List'!$A$1:$B$33,2,False)</f>
        <v>9</v>
      </c>
      <c r="F981" s="40">
        <f>if(ISNA(vlookup($A981, ESPN!$B$2:$E$1010, 4, false)), 0, vlookup($A981, ESPN!$B$2:$E$1010, 4, false))</f>
        <v>0</v>
      </c>
      <c r="G981" s="40">
        <f>if(ISNA(vlookup($A981,'Ultimate Draft Kit'!$B$2:$E$201,4, false)), 0, vlookup($A981,'Ultimate Draft Kit'!$B$2:$E$201, 4, false))</f>
        <v>0</v>
      </c>
      <c r="H981" s="40">
        <f>if(ISNA(vlookup($A981, FantasyPro!$B$2:$E$514,4,false)),0,vlookup($A981,FantasyPro!$B$2:$E$514,4,false))</f>
        <v>0</v>
      </c>
      <c r="I981" s="40">
        <f>if(ISNA(vlookup($A981, FFToolbox!$B$2:$E$618, 4, false)), 0, vlookup($A981, FFToolbox!$B$2:$E$618, 4, false))</f>
        <v>0</v>
      </c>
      <c r="J981" s="41">
        <f t="shared" si="1"/>
        <v>0</v>
      </c>
      <c r="K981" s="41">
        <f t="shared" si="2"/>
        <v>0</v>
      </c>
    </row>
    <row r="982" hidden="1">
      <c r="A982" s="13" t="s">
        <v>354</v>
      </c>
      <c r="B982" s="34" t="s">
        <v>1061</v>
      </c>
      <c r="C982" s="5" t="s">
        <v>38</v>
      </c>
      <c r="D982" s="5" t="s">
        <v>16</v>
      </c>
      <c r="E982" s="39">
        <f>vlookup(C982,'Team Bye List'!$A$1:$B$33,2,False)</f>
        <v>12</v>
      </c>
      <c r="F982" s="40">
        <f>if(ISNA(vlookup($A982, ESPN!$B$2:$E$1010, 4, false)), 0, vlookup($A982, ESPN!$B$2:$E$1010, 4, false))</f>
        <v>0</v>
      </c>
      <c r="G982" s="40">
        <f>if(ISNA(vlookup($A982,'Ultimate Draft Kit'!$B$2:$E$201,4, false)), 0, vlookup($A982,'Ultimate Draft Kit'!$B$2:$E$201, 4, false))</f>
        <v>0</v>
      </c>
      <c r="H982" s="40">
        <f>if(ISNA(vlookup($A982, FantasyPro!$B$2:$E$514,4,false)),0,vlookup($A982,FantasyPro!$B$2:$E$514,4,false))</f>
        <v>0</v>
      </c>
      <c r="I982" s="40">
        <f>if(ISNA(vlookup($A982, FFToolbox!$B$2:$E$618, 4, false)), 0, vlookup($A982, FFToolbox!$B$2:$E$618, 4, false))</f>
        <v>0</v>
      </c>
      <c r="J982" s="41">
        <f t="shared" si="1"/>
        <v>0</v>
      </c>
      <c r="K982" s="41">
        <f t="shared" si="2"/>
        <v>0</v>
      </c>
    </row>
    <row r="983" hidden="1">
      <c r="A983" s="13" t="s">
        <v>353</v>
      </c>
      <c r="B983" s="34" t="s">
        <v>1061</v>
      </c>
      <c r="C983" s="5" t="s">
        <v>56</v>
      </c>
      <c r="D983" s="5" t="s">
        <v>16</v>
      </c>
      <c r="E983" s="39">
        <f>vlookup(C983,'Team Bye List'!$A$1:$B$33,2,False)</f>
        <v>5</v>
      </c>
      <c r="F983" s="40">
        <f>if(ISNA(vlookup($A983, ESPN!$B$2:$E$1010, 4, false)), 0, vlookup($A983, ESPN!$B$2:$E$1010, 4, false))</f>
        <v>0</v>
      </c>
      <c r="G983" s="40">
        <f>if(ISNA(vlookup($A983,'Ultimate Draft Kit'!$B$2:$E$201,4, false)), 0, vlookup($A983,'Ultimate Draft Kit'!$B$2:$E$201, 4, false))</f>
        <v>0</v>
      </c>
      <c r="H983" s="40">
        <f>if(ISNA(vlookup($A983, FantasyPro!$B$2:$E$514,4,false)),0,vlookup($A983,FantasyPro!$B$2:$E$514,4,false))</f>
        <v>0</v>
      </c>
      <c r="I983" s="40">
        <f>if(ISNA(vlookup($A983, FFToolbox!$B$2:$E$618, 4, false)), 0, vlookup($A983, FFToolbox!$B$2:$E$618, 4, false))</f>
        <v>0</v>
      </c>
      <c r="J983" s="41">
        <f t="shared" si="1"/>
        <v>0</v>
      </c>
      <c r="K983" s="41">
        <f t="shared" si="2"/>
        <v>0</v>
      </c>
    </row>
    <row r="984" hidden="1">
      <c r="A984" s="13" t="s">
        <v>356</v>
      </c>
      <c r="B984" s="34" t="s">
        <v>1061</v>
      </c>
      <c r="C984" s="5" t="s">
        <v>9</v>
      </c>
      <c r="D984" s="5" t="s">
        <v>16</v>
      </c>
      <c r="E984" s="39">
        <f>vlookup(C984,'Team Bye List'!$A$1:$B$33,2,False)</f>
        <v>10</v>
      </c>
      <c r="F984" s="40">
        <f>if(ISNA(vlookup($A984, ESPN!$B$2:$E$1010, 4, false)), 0, vlookup($A984, ESPN!$B$2:$E$1010, 4, false))</f>
        <v>0</v>
      </c>
      <c r="G984" s="40">
        <f>if(ISNA(vlookup($A984,'Ultimate Draft Kit'!$B$2:$E$201,4, false)), 0, vlookup($A984,'Ultimate Draft Kit'!$B$2:$E$201, 4, false))</f>
        <v>0</v>
      </c>
      <c r="H984" s="40">
        <f>if(ISNA(vlookup($A984, FantasyPro!$B$2:$E$514,4,false)),0,vlookup($A984,FantasyPro!$B$2:$E$514,4,false))</f>
        <v>0</v>
      </c>
      <c r="I984" s="40">
        <f>if(ISNA(vlookup($A984, FFToolbox!$B$2:$E$618, 4, false)), 0, vlookup($A984, FFToolbox!$B$2:$E$618, 4, false))</f>
        <v>0</v>
      </c>
      <c r="J984" s="41">
        <f t="shared" si="1"/>
        <v>0</v>
      </c>
      <c r="K984" s="41">
        <f t="shared" si="2"/>
        <v>0</v>
      </c>
    </row>
    <row r="985" hidden="1">
      <c r="A985" s="13" t="s">
        <v>349</v>
      </c>
      <c r="B985" s="34" t="s">
        <v>1061</v>
      </c>
      <c r="C985" s="5" t="s">
        <v>56</v>
      </c>
      <c r="D985" s="5" t="s">
        <v>25</v>
      </c>
      <c r="E985" s="39">
        <f>vlookup(C985,'Team Bye List'!$A$1:$B$33,2,False)</f>
        <v>5</v>
      </c>
      <c r="F985" s="40">
        <f>if(ISNA(vlookup($A985, ESPN!$B$2:$E$1010, 4, false)), 0, vlookup($A985, ESPN!$B$2:$E$1010, 4, false))</f>
        <v>0</v>
      </c>
      <c r="G985" s="40">
        <f>if(ISNA(vlookup($A985,'Ultimate Draft Kit'!$B$2:$E$201,4, false)), 0, vlookup($A985,'Ultimate Draft Kit'!$B$2:$E$201, 4, false))</f>
        <v>0</v>
      </c>
      <c r="H985" s="40">
        <f>if(ISNA(vlookup($A985, FantasyPro!$B$2:$E$514,4,false)),0,vlookup($A985,FantasyPro!$B$2:$E$514,4,false))</f>
        <v>0</v>
      </c>
      <c r="I985" s="40">
        <f>if(ISNA(vlookup($A985, FFToolbox!$B$2:$E$618, 4, false)), 0, vlookup($A985, FFToolbox!$B$2:$E$618, 4, false))</f>
        <v>0</v>
      </c>
      <c r="J985" s="41">
        <f t="shared" si="1"/>
        <v>0</v>
      </c>
      <c r="K985" s="41">
        <f t="shared" si="2"/>
        <v>0</v>
      </c>
    </row>
    <row r="986" hidden="1">
      <c r="A986" s="13" t="s">
        <v>347</v>
      </c>
      <c r="B986" s="34" t="s">
        <v>1061</v>
      </c>
      <c r="C986" s="5" t="s">
        <v>24</v>
      </c>
      <c r="D986" s="5" t="s">
        <v>16</v>
      </c>
      <c r="E986" s="39">
        <f>vlookup(C986,'Team Bye List'!$A$1:$B$33,2,False)</f>
        <v>6</v>
      </c>
      <c r="F986" s="40">
        <f>if(ISNA(vlookup($A986, ESPN!$B$2:$E$1010, 4, false)), 0, vlookup($A986, ESPN!$B$2:$E$1010, 4, false))</f>
        <v>0</v>
      </c>
      <c r="G986" s="40">
        <f>if(ISNA(vlookup($A986,'Ultimate Draft Kit'!$B$2:$E$201,4, false)), 0, vlookup($A986,'Ultimate Draft Kit'!$B$2:$E$201, 4, false))</f>
        <v>0</v>
      </c>
      <c r="H986" s="40">
        <f>if(ISNA(vlookup($A986, FantasyPro!$B$2:$E$514,4,false)),0,vlookup($A986,FantasyPro!$B$2:$E$514,4,false))</f>
        <v>0</v>
      </c>
      <c r="I986" s="40">
        <f>if(ISNA(vlookup($A986, FFToolbox!$B$2:$E$618, 4, false)), 0, vlookup($A986, FFToolbox!$B$2:$E$618, 4, false))</f>
        <v>0</v>
      </c>
      <c r="J986" s="41">
        <f t="shared" si="1"/>
        <v>0</v>
      </c>
      <c r="K986" s="41">
        <f t="shared" si="2"/>
        <v>0</v>
      </c>
    </row>
    <row r="987" hidden="1">
      <c r="A987" s="13" t="s">
        <v>345</v>
      </c>
      <c r="B987" s="34" t="s">
        <v>1061</v>
      </c>
      <c r="C987" s="5" t="s">
        <v>257</v>
      </c>
      <c r="D987" s="5" t="s">
        <v>25</v>
      </c>
      <c r="E987" s="39" t="str">
        <f>vlookup(C987,'Team Bye List'!$A$1:$B$33,2,False)</f>
        <v>#N/A</v>
      </c>
      <c r="F987" s="40">
        <f>if(ISNA(vlookup($A987, ESPN!$B$2:$E$1010, 4, false)), 0, vlookup($A987, ESPN!$B$2:$E$1010, 4, false))</f>
        <v>0</v>
      </c>
      <c r="G987" s="40">
        <f>if(ISNA(vlookup($A987,'Ultimate Draft Kit'!$B$2:$E$201,4, false)), 0, vlookup($A987,'Ultimate Draft Kit'!$B$2:$E$201, 4, false))</f>
        <v>0</v>
      </c>
      <c r="H987" s="40">
        <f>if(ISNA(vlookup($A987, FantasyPro!$B$2:$E$514,4,false)),0,vlookup($A987,FantasyPro!$B$2:$E$514,4,false))</f>
        <v>0</v>
      </c>
      <c r="I987" s="40">
        <f>if(ISNA(vlookup($A987, FFToolbox!$B$2:$E$618, 4, false)), 0, vlookup($A987, FFToolbox!$B$2:$E$618, 4, false))</f>
        <v>0</v>
      </c>
      <c r="J987" s="41">
        <f t="shared" si="1"/>
        <v>0</v>
      </c>
      <c r="K987" s="41">
        <f t="shared" si="2"/>
        <v>0</v>
      </c>
    </row>
    <row r="988" hidden="1">
      <c r="A988" s="13" t="s">
        <v>345</v>
      </c>
      <c r="B988" s="34" t="s">
        <v>1061</v>
      </c>
      <c r="C988" s="5" t="s">
        <v>257</v>
      </c>
      <c r="D988" s="5" t="s">
        <v>25</v>
      </c>
      <c r="E988" s="39" t="str">
        <f>vlookup(C988,'Team Bye List'!$A$1:$B$33,2,False)</f>
        <v>#N/A</v>
      </c>
      <c r="F988" s="40">
        <f>if(ISNA(vlookup($A988, ESPN!$B$2:$E$1010, 4, false)), 0, vlookup($A988, ESPN!$B$2:$E$1010, 4, false))</f>
        <v>0</v>
      </c>
      <c r="G988" s="40">
        <f>if(ISNA(vlookup($A988,'Ultimate Draft Kit'!$B$2:$E$201,4, false)), 0, vlookup($A988,'Ultimate Draft Kit'!$B$2:$E$201, 4, false))</f>
        <v>0</v>
      </c>
      <c r="H988" s="40">
        <f>if(ISNA(vlookup($A988, FantasyPro!$B$2:$E$514,4,false)),0,vlookup($A988,FantasyPro!$B$2:$E$514,4,false))</f>
        <v>0</v>
      </c>
      <c r="I988" s="40">
        <f>if(ISNA(vlookup($A988, FFToolbox!$B$2:$E$618, 4, false)), 0, vlookup($A988, FFToolbox!$B$2:$E$618, 4, false))</f>
        <v>0</v>
      </c>
      <c r="J988" s="41">
        <f t="shared" si="1"/>
        <v>0</v>
      </c>
      <c r="K988" s="41">
        <f t="shared" si="2"/>
        <v>0</v>
      </c>
    </row>
    <row r="989" hidden="1">
      <c r="A989" s="13" t="s">
        <v>338</v>
      </c>
      <c r="B989" s="34" t="s">
        <v>1061</v>
      </c>
      <c r="C989" s="5" t="s">
        <v>14</v>
      </c>
      <c r="D989" s="5" t="s">
        <v>16</v>
      </c>
      <c r="E989" s="39">
        <f>vlookup(C989,'Team Bye List'!$A$1:$B$33,2,False)</f>
        <v>10</v>
      </c>
      <c r="F989" s="40">
        <f>if(ISNA(vlookup($A989, ESPN!$B$2:$E$1010, 4, false)), 0, vlookup($A989, ESPN!$B$2:$E$1010, 4, false))</f>
        <v>0</v>
      </c>
      <c r="G989" s="40">
        <f>if(ISNA(vlookup($A989,'Ultimate Draft Kit'!$B$2:$E$201,4, false)), 0, vlookup($A989,'Ultimate Draft Kit'!$B$2:$E$201, 4, false))</f>
        <v>0</v>
      </c>
      <c r="H989" s="40">
        <f>if(ISNA(vlookup($A989, FantasyPro!$B$2:$E$514,4,false)),0,vlookup($A989,FantasyPro!$B$2:$E$514,4,false))</f>
        <v>0</v>
      </c>
      <c r="I989" s="40">
        <f>if(ISNA(vlookup($A989, FFToolbox!$B$2:$E$618, 4, false)), 0, vlookup($A989, FFToolbox!$B$2:$E$618, 4, false))</f>
        <v>0</v>
      </c>
      <c r="J989" s="41">
        <f t="shared" si="1"/>
        <v>0</v>
      </c>
      <c r="K989" s="41">
        <f t="shared" si="2"/>
        <v>0</v>
      </c>
    </row>
    <row r="990" hidden="1">
      <c r="A990" s="13" t="s">
        <v>340</v>
      </c>
      <c r="B990" s="34" t="s">
        <v>1061</v>
      </c>
      <c r="C990" s="5" t="s">
        <v>104</v>
      </c>
      <c r="D990" s="5" t="s">
        <v>16</v>
      </c>
      <c r="E990" s="39">
        <f>vlookup(C990,'Team Bye List'!$A$1:$B$33,2,False)</f>
        <v>7</v>
      </c>
      <c r="F990" s="40">
        <f>if(ISNA(vlookup($A990, ESPN!$B$2:$E$1010, 4, false)), 0, vlookup($A990, ESPN!$B$2:$E$1010, 4, false))</f>
        <v>0</v>
      </c>
      <c r="G990" s="40">
        <f>if(ISNA(vlookup($A990,'Ultimate Draft Kit'!$B$2:$E$201,4, false)), 0, vlookup($A990,'Ultimate Draft Kit'!$B$2:$E$201, 4, false))</f>
        <v>0</v>
      </c>
      <c r="H990" s="40">
        <f>if(ISNA(vlookup($A990, FantasyPro!$B$2:$E$514,4,false)),0,vlookup($A990,FantasyPro!$B$2:$E$514,4,false))</f>
        <v>0</v>
      </c>
      <c r="I990" s="40">
        <f>if(ISNA(vlookup($A990, FFToolbox!$B$2:$E$618, 4, false)), 0, vlookup($A990, FFToolbox!$B$2:$E$618, 4, false))</f>
        <v>0</v>
      </c>
      <c r="J990" s="41">
        <f t="shared" si="1"/>
        <v>0</v>
      </c>
      <c r="K990" s="41">
        <f t="shared" si="2"/>
        <v>0</v>
      </c>
    </row>
    <row r="991" hidden="1">
      <c r="A991" s="13" t="s">
        <v>334</v>
      </c>
      <c r="B991" s="34" t="s">
        <v>1061</v>
      </c>
      <c r="C991" s="5" t="s">
        <v>92</v>
      </c>
      <c r="D991" s="5" t="s">
        <v>16</v>
      </c>
      <c r="E991" s="39">
        <f>vlookup(C991,'Team Bye List'!$A$1:$B$33,2,False)</f>
        <v>8</v>
      </c>
      <c r="F991" s="40">
        <f>if(ISNA(vlookup($A991, ESPN!$B$2:$E$1010, 4, false)), 0, vlookup($A991, ESPN!$B$2:$E$1010, 4, false))</f>
        <v>0</v>
      </c>
      <c r="G991" s="40">
        <f>if(ISNA(vlookup($A991,'Ultimate Draft Kit'!$B$2:$E$201,4, false)), 0, vlookup($A991,'Ultimate Draft Kit'!$B$2:$E$201, 4, false))</f>
        <v>0</v>
      </c>
      <c r="H991" s="40">
        <f>if(ISNA(vlookup($A991, FantasyPro!$B$2:$E$514,4,false)),0,vlookup($A991,FantasyPro!$B$2:$E$514,4,false))</f>
        <v>0</v>
      </c>
      <c r="I991" s="40">
        <f>if(ISNA(vlookup($A991, FFToolbox!$B$2:$E$618, 4, false)), 0, vlookup($A991, FFToolbox!$B$2:$E$618, 4, false))</f>
        <v>0</v>
      </c>
      <c r="J991" s="41">
        <f t="shared" si="1"/>
        <v>0</v>
      </c>
      <c r="K991" s="41">
        <f t="shared" si="2"/>
        <v>0</v>
      </c>
    </row>
    <row r="992" hidden="1">
      <c r="A992" s="13" t="s">
        <v>324</v>
      </c>
      <c r="B992" s="34" t="s">
        <v>1061</v>
      </c>
      <c r="C992" s="5" t="s">
        <v>34</v>
      </c>
      <c r="D992" s="5" t="s">
        <v>16</v>
      </c>
      <c r="E992" s="39">
        <f>vlookup(C992,'Team Bye List'!$A$1:$B$33,2,False)</f>
        <v>7</v>
      </c>
      <c r="F992" s="40">
        <f>if(ISNA(vlookup($A992, ESPN!$B$2:$E$1010, 4, false)), 0, vlookup($A992, ESPN!$B$2:$E$1010, 4, false))</f>
        <v>0</v>
      </c>
      <c r="G992" s="40">
        <f>if(ISNA(vlookup($A992,'Ultimate Draft Kit'!$B$2:$E$201,4, false)), 0, vlookup($A992,'Ultimate Draft Kit'!$B$2:$E$201, 4, false))</f>
        <v>0</v>
      </c>
      <c r="H992" s="40">
        <f>if(ISNA(vlookup($A992, FantasyPro!$B$2:$E$514,4,false)),0,vlookup($A992,FantasyPro!$B$2:$E$514,4,false))</f>
        <v>0</v>
      </c>
      <c r="I992" s="40">
        <f>if(ISNA(vlookup($A992, FFToolbox!$B$2:$E$618, 4, false)), 0, vlookup($A992, FFToolbox!$B$2:$E$618, 4, false))</f>
        <v>0</v>
      </c>
      <c r="J992" s="41">
        <f t="shared" si="1"/>
        <v>0</v>
      </c>
      <c r="K992" s="41">
        <f t="shared" si="2"/>
        <v>0</v>
      </c>
    </row>
    <row r="993" hidden="1">
      <c r="A993" s="13" t="s">
        <v>320</v>
      </c>
      <c r="B993" s="34" t="s">
        <v>1061</v>
      </c>
      <c r="C993" s="5" t="s">
        <v>257</v>
      </c>
      <c r="D993" s="5" t="s">
        <v>16</v>
      </c>
      <c r="E993" s="39" t="str">
        <f>vlookup(C993,'Team Bye List'!$A$1:$B$33,2,False)</f>
        <v>#N/A</v>
      </c>
      <c r="F993" s="40">
        <f>if(ISNA(vlookup($A993, ESPN!$B$2:$E$1010, 4, false)), 0, vlookup($A993, ESPN!$B$2:$E$1010, 4, false))</f>
        <v>0</v>
      </c>
      <c r="G993" s="40">
        <f>if(ISNA(vlookup($A993,'Ultimate Draft Kit'!$B$2:$E$201,4, false)), 0, vlookup($A993,'Ultimate Draft Kit'!$B$2:$E$201, 4, false))</f>
        <v>0</v>
      </c>
      <c r="H993" s="40">
        <f>if(ISNA(vlookup($A993, FantasyPro!$B$2:$E$514,4,false)),0,vlookup($A993,FantasyPro!$B$2:$E$514,4,false))</f>
        <v>0</v>
      </c>
      <c r="I993" s="40">
        <f>if(ISNA(vlookup($A993, FFToolbox!$B$2:$E$618, 4, false)), 0, vlookup($A993, FFToolbox!$B$2:$E$618, 4, false))</f>
        <v>0</v>
      </c>
      <c r="J993" s="41">
        <f t="shared" si="1"/>
        <v>0</v>
      </c>
      <c r="K993" s="41">
        <f t="shared" si="2"/>
        <v>0</v>
      </c>
    </row>
    <row r="994" hidden="1">
      <c r="A994" s="13" t="s">
        <v>315</v>
      </c>
      <c r="B994" s="34" t="s">
        <v>1061</v>
      </c>
      <c r="C994" s="5" t="s">
        <v>102</v>
      </c>
      <c r="D994" s="5" t="s">
        <v>25</v>
      </c>
      <c r="E994" s="39">
        <f>vlookup(C994,'Team Bye List'!$A$1:$B$33,2,False)</f>
        <v>11</v>
      </c>
      <c r="F994" s="40">
        <f>if(ISNA(vlookup($A994, ESPN!$B$2:$E$1010, 4, false)), 0, vlookup($A994, ESPN!$B$2:$E$1010, 4, false))</f>
        <v>0</v>
      </c>
      <c r="G994" s="40">
        <f>if(ISNA(vlookup($A994,'Ultimate Draft Kit'!$B$2:$E$201,4, false)), 0, vlookup($A994,'Ultimate Draft Kit'!$B$2:$E$201, 4, false))</f>
        <v>0</v>
      </c>
      <c r="H994" s="40">
        <f>if(ISNA(vlookup($A994, FantasyPro!$B$2:$E$514,4,false)),0,vlookup($A994,FantasyPro!$B$2:$E$514,4,false))</f>
        <v>0</v>
      </c>
      <c r="I994" s="40">
        <f>if(ISNA(vlookup($A994, FFToolbox!$B$2:$E$618, 4, false)), 0, vlookup($A994, FFToolbox!$B$2:$E$618, 4, false))</f>
        <v>0</v>
      </c>
      <c r="J994" s="41">
        <f t="shared" si="1"/>
        <v>0</v>
      </c>
      <c r="K994" s="41">
        <f t="shared" si="2"/>
        <v>0</v>
      </c>
    </row>
    <row r="995" hidden="1">
      <c r="A995" s="13" t="s">
        <v>296</v>
      </c>
      <c r="B995" s="34" t="s">
        <v>1061</v>
      </c>
      <c r="C995" s="5" t="s">
        <v>12</v>
      </c>
      <c r="D995" s="5" t="s">
        <v>16</v>
      </c>
      <c r="E995" s="39">
        <f>vlookup(C995,'Team Bye List'!$A$1:$B$33,2,False)</f>
        <v>8</v>
      </c>
      <c r="F995" s="40">
        <f>if(ISNA(vlookup($A995, ESPN!$B$2:$E$1010, 4, false)), 0, vlookup($A995, ESPN!$B$2:$E$1010, 4, false))</f>
        <v>0</v>
      </c>
      <c r="G995" s="40">
        <f>if(ISNA(vlookup($A995,'Ultimate Draft Kit'!$B$2:$E$201,4, false)), 0, vlookup($A995,'Ultimate Draft Kit'!$B$2:$E$201, 4, false))</f>
        <v>0</v>
      </c>
      <c r="H995" s="40">
        <f>if(ISNA(vlookup($A995, FantasyPro!$B$2:$E$514,4,false)),0,vlookup($A995,FantasyPro!$B$2:$E$514,4,false))</f>
        <v>0</v>
      </c>
      <c r="I995" s="40">
        <f>if(ISNA(vlookup($A995, FFToolbox!$B$2:$E$618, 4, false)), 0, vlookup($A995, FFToolbox!$B$2:$E$618, 4, false))</f>
        <v>0</v>
      </c>
      <c r="J995" s="41">
        <f t="shared" si="1"/>
        <v>0</v>
      </c>
      <c r="K995" s="41">
        <f t="shared" si="2"/>
        <v>0</v>
      </c>
    </row>
    <row r="996">
      <c r="A996" s="13" t="s">
        <v>259</v>
      </c>
      <c r="B996" s="34" t="s">
        <v>1061</v>
      </c>
      <c r="C996" s="5" t="s">
        <v>257</v>
      </c>
      <c r="D996" s="5" t="s">
        <v>169</v>
      </c>
      <c r="E996" s="39" t="str">
        <f>vlookup(C996,'Team Bye List'!$A$1:$B$33,2,False)</f>
        <v>#N/A</v>
      </c>
      <c r="F996" s="40">
        <f>if(ISNA(vlookup($A996, ESPN!$B$2:$E$1010, 4, false)), 0, vlookup($A996, ESPN!$B$2:$E$1010, 4, false))</f>
        <v>0</v>
      </c>
      <c r="G996" s="40">
        <f>if(ISNA(vlookup($A996,'Ultimate Draft Kit'!$B$2:$E$201,4, false)), 0, vlookup($A996,'Ultimate Draft Kit'!$B$2:$E$201, 4, false))</f>
        <v>0</v>
      </c>
      <c r="H996" s="40">
        <f>if(ISNA(vlookup($A996, FantasyPro!$B$2:$E$514,4,false)),0,vlookup($A996,FantasyPro!$B$2:$E$514,4,false))</f>
        <v>0</v>
      </c>
      <c r="I996" s="40">
        <f>if(ISNA(vlookup($A996, FFToolbox!$B$2:$E$618, 4, false)), 0, vlookup($A996, FFToolbox!$B$2:$E$618, 4, false))</f>
        <v>0</v>
      </c>
      <c r="J996" s="41">
        <f t="shared" si="1"/>
        <v>0</v>
      </c>
      <c r="K996" s="41">
        <f t="shared" si="2"/>
        <v>0</v>
      </c>
    </row>
    <row r="997">
      <c r="A997" s="13" t="s">
        <v>272</v>
      </c>
      <c r="B997" s="34" t="s">
        <v>1061</v>
      </c>
      <c r="C997" s="5" t="s">
        <v>257</v>
      </c>
      <c r="D997" s="5" t="s">
        <v>169</v>
      </c>
      <c r="E997" s="39" t="str">
        <f>vlookup(C997,'Team Bye List'!$A$1:$B$33,2,False)</f>
        <v>#N/A</v>
      </c>
      <c r="F997" s="40">
        <f>if(ISNA(vlookup($A997, ESPN!$B$2:$E$1010, 4, false)), 0, vlookup($A997, ESPN!$B$2:$E$1010, 4, false))</f>
        <v>0</v>
      </c>
      <c r="G997" s="40">
        <f>if(ISNA(vlookup($A997,'Ultimate Draft Kit'!$B$2:$E$201,4, false)), 0, vlookup($A997,'Ultimate Draft Kit'!$B$2:$E$201, 4, false))</f>
        <v>0</v>
      </c>
      <c r="H997" s="40">
        <f>if(ISNA(vlookup($A997, FantasyPro!$B$2:$E$514,4,false)),0,vlookup($A997,FantasyPro!$B$2:$E$514,4,false))</f>
        <v>0</v>
      </c>
      <c r="I997" s="40">
        <f>if(ISNA(vlookup($A997, FFToolbox!$B$2:$E$618, 4, false)), 0, vlookup($A997, FFToolbox!$B$2:$E$618, 4, false))</f>
        <v>0</v>
      </c>
      <c r="J997" s="41">
        <f t="shared" si="1"/>
        <v>0</v>
      </c>
      <c r="K997" s="41">
        <f t="shared" si="2"/>
        <v>0</v>
      </c>
    </row>
    <row r="998">
      <c r="A998" s="13" t="s">
        <v>267</v>
      </c>
      <c r="B998" s="34" t="s">
        <v>1061</v>
      </c>
      <c r="C998" s="5" t="s">
        <v>257</v>
      </c>
      <c r="D998" s="5" t="s">
        <v>169</v>
      </c>
      <c r="E998" s="39" t="str">
        <f>vlookup(C998,'Team Bye List'!$A$1:$B$33,2,False)</f>
        <v>#N/A</v>
      </c>
      <c r="F998" s="40">
        <f>if(ISNA(vlookup($A998, ESPN!$B$2:$E$1010, 4, false)), 0, vlookup($A998, ESPN!$B$2:$E$1010, 4, false))</f>
        <v>0</v>
      </c>
      <c r="G998" s="40">
        <f>if(ISNA(vlookup($A998,'Ultimate Draft Kit'!$B$2:$E$201,4, false)), 0, vlookup($A998,'Ultimate Draft Kit'!$B$2:$E$201, 4, false))</f>
        <v>0</v>
      </c>
      <c r="H998" s="40">
        <f>if(ISNA(vlookup($A998, FantasyPro!$B$2:$E$514,4,false)),0,vlookup($A998,FantasyPro!$B$2:$E$514,4,false))</f>
        <v>0</v>
      </c>
      <c r="I998" s="40">
        <f>if(ISNA(vlookup($A998, FFToolbox!$B$2:$E$618, 4, false)), 0, vlookup($A998, FFToolbox!$B$2:$E$618, 4, false))</f>
        <v>0</v>
      </c>
      <c r="J998" s="41">
        <f t="shared" si="1"/>
        <v>0</v>
      </c>
      <c r="K998" s="41">
        <f t="shared" si="2"/>
        <v>0</v>
      </c>
    </row>
    <row r="999">
      <c r="A999" s="13" t="s">
        <v>266</v>
      </c>
      <c r="B999" s="34" t="s">
        <v>1061</v>
      </c>
      <c r="C999" s="5" t="s">
        <v>257</v>
      </c>
      <c r="D999" s="5" t="s">
        <v>169</v>
      </c>
      <c r="E999" s="39" t="str">
        <f>vlookup(C999,'Team Bye List'!$A$1:$B$33,2,False)</f>
        <v>#N/A</v>
      </c>
      <c r="F999" s="40">
        <f>if(ISNA(vlookup($A999, ESPN!$B$2:$E$1010, 4, false)), 0, vlookup($A999, ESPN!$B$2:$E$1010, 4, false))</f>
        <v>0</v>
      </c>
      <c r="G999" s="40">
        <f>if(ISNA(vlookup($A999,'Ultimate Draft Kit'!$B$2:$E$201,4, false)), 0, vlookup($A999,'Ultimate Draft Kit'!$B$2:$E$201, 4, false))</f>
        <v>0</v>
      </c>
      <c r="H999" s="40">
        <f>if(ISNA(vlookup($A999, FantasyPro!$B$2:$E$514,4,false)),0,vlookup($A999,FantasyPro!$B$2:$E$514,4,false))</f>
        <v>0</v>
      </c>
      <c r="I999" s="40">
        <f>if(ISNA(vlookup($A999, FFToolbox!$B$2:$E$618, 4, false)), 0, vlookup($A999, FFToolbox!$B$2:$E$618, 4, false))</f>
        <v>0</v>
      </c>
      <c r="J999" s="41">
        <f t="shared" si="1"/>
        <v>0</v>
      </c>
      <c r="K999" s="41">
        <f t="shared" si="2"/>
        <v>0</v>
      </c>
    </row>
    <row r="1000">
      <c r="A1000" s="13" t="s">
        <v>273</v>
      </c>
      <c r="B1000" s="34" t="s">
        <v>1061</v>
      </c>
      <c r="C1000" s="5" t="s">
        <v>257</v>
      </c>
      <c r="D1000" s="5" t="s">
        <v>169</v>
      </c>
      <c r="E1000" s="39" t="str">
        <f>vlookup(C1000,'Team Bye List'!$A$1:$B$33,2,False)</f>
        <v>#N/A</v>
      </c>
      <c r="F1000" s="40">
        <f>if(ISNA(vlookup($A1000, ESPN!$B$2:$E$1010, 4, false)), 0, vlookup($A1000, ESPN!$B$2:$E$1010, 4, false))</f>
        <v>0</v>
      </c>
      <c r="G1000" s="40">
        <f>if(ISNA(vlookup($A1000,'Ultimate Draft Kit'!$B$2:$E$201,4, false)), 0, vlookup($A1000,'Ultimate Draft Kit'!$B$2:$E$201, 4, false))</f>
        <v>0</v>
      </c>
      <c r="H1000" s="40">
        <f>if(ISNA(vlookup($A1000, FantasyPro!$B$2:$E$514,4,false)),0,vlookup($A1000,FantasyPro!$B$2:$E$514,4,false))</f>
        <v>0</v>
      </c>
      <c r="I1000" s="40">
        <f>if(ISNA(vlookup($A1000, FFToolbox!$B$2:$E$618, 4, false)), 0, vlookup($A1000, FFToolbox!$B$2:$E$618, 4, false))</f>
        <v>0</v>
      </c>
      <c r="J1000" s="41">
        <f t="shared" si="1"/>
        <v>0</v>
      </c>
      <c r="K1000" s="41">
        <f t="shared" si="2"/>
        <v>0</v>
      </c>
    </row>
    <row r="1001">
      <c r="A1001" s="13" t="s">
        <v>269</v>
      </c>
      <c r="B1001" s="34" t="s">
        <v>1061</v>
      </c>
      <c r="C1001" s="5" t="s">
        <v>257</v>
      </c>
      <c r="D1001" s="5" t="s">
        <v>169</v>
      </c>
      <c r="E1001" s="39" t="str">
        <f>vlookup(C1001,'Team Bye List'!$A$1:$B$33,2,False)</f>
        <v>#N/A</v>
      </c>
      <c r="F1001" s="40">
        <f>if(ISNA(vlookup($A1001, ESPN!$B$2:$E$1010, 4, false)), 0, vlookup($A1001, ESPN!$B$2:$E$1010, 4, false))</f>
        <v>0</v>
      </c>
      <c r="G1001" s="40">
        <f>if(ISNA(vlookup($A1001,'Ultimate Draft Kit'!$B$2:$E$201,4, false)), 0, vlookup($A1001,'Ultimate Draft Kit'!$B$2:$E$201, 4, false))</f>
        <v>0</v>
      </c>
      <c r="H1001" s="40">
        <f>if(ISNA(vlookup($A1001, FantasyPro!$B$2:$E$514,4,false)),0,vlookup($A1001,FantasyPro!$B$2:$E$514,4,false))</f>
        <v>0</v>
      </c>
      <c r="I1001" s="40">
        <f>if(ISNA(vlookup($A1001, FFToolbox!$B$2:$E$618, 4, false)), 0, vlookup($A1001, FFToolbox!$B$2:$E$618, 4, false))</f>
        <v>0</v>
      </c>
      <c r="J1001" s="41">
        <f t="shared" si="1"/>
        <v>0</v>
      </c>
      <c r="K1001" s="41">
        <f t="shared" si="2"/>
        <v>0</v>
      </c>
    </row>
    <row r="1002" hidden="1">
      <c r="A1002" s="13" t="s">
        <v>270</v>
      </c>
      <c r="B1002" s="34" t="s">
        <v>1059</v>
      </c>
      <c r="C1002" s="5" t="s">
        <v>14</v>
      </c>
      <c r="D1002" s="5" t="s">
        <v>169</v>
      </c>
      <c r="E1002" s="39">
        <f>vlookup(C1002,'Team Bye List'!$A$1:$B$33,2,False)</f>
        <v>10</v>
      </c>
      <c r="F1002" s="40">
        <f>if(ISNA(vlookup($A1002, ESPN!$B$2:$E$1010, 4, false)), 0, vlookup($A1002, ESPN!$B$2:$E$1010, 4, false))</f>
        <v>0</v>
      </c>
      <c r="G1002" s="40">
        <f>if(ISNA(vlookup($A1002,'Ultimate Draft Kit'!$B$2:$E$201,4, false)), 0, vlookup($A1002,'Ultimate Draft Kit'!$B$2:$E$201, 4, false))</f>
        <v>0</v>
      </c>
      <c r="H1002" s="40">
        <f>if(ISNA(vlookup($A1002, FantasyPro!$B$2:$E$514,4,false)),0,vlookup($A1002,FantasyPro!$B$2:$E$514,4,false))</f>
        <v>0</v>
      </c>
      <c r="I1002" s="40">
        <f>if(ISNA(vlookup($A1002, FFToolbox!$B$2:$E$618, 4, false)), 0, vlookup($A1002, FFToolbox!$B$2:$E$618, 4, false))</f>
        <v>0</v>
      </c>
      <c r="J1002" s="41">
        <f t="shared" si="1"/>
        <v>0</v>
      </c>
      <c r="K1002" s="41">
        <f t="shared" si="2"/>
        <v>0</v>
      </c>
    </row>
    <row r="1003">
      <c r="A1003" s="13" t="s">
        <v>265</v>
      </c>
      <c r="B1003" s="34" t="s">
        <v>1061</v>
      </c>
      <c r="C1003" s="5" t="s">
        <v>257</v>
      </c>
      <c r="D1003" s="5" t="s">
        <v>169</v>
      </c>
      <c r="E1003" s="39" t="str">
        <f>vlookup(C1003,'Team Bye List'!$A$1:$B$33,2,False)</f>
        <v>#N/A</v>
      </c>
      <c r="F1003" s="40">
        <f>if(ISNA(vlookup($A1003, ESPN!$B$2:$E$1010, 4, false)), 0, vlookup($A1003, ESPN!$B$2:$E$1010, 4, false))</f>
        <v>0</v>
      </c>
      <c r="G1003" s="40">
        <f>if(ISNA(vlookup($A1003,'Ultimate Draft Kit'!$B$2:$E$201,4, false)), 0, vlookup($A1003,'Ultimate Draft Kit'!$B$2:$E$201, 4, false))</f>
        <v>0</v>
      </c>
      <c r="H1003" s="40">
        <f>if(ISNA(vlookup($A1003, FantasyPro!$B$2:$E$514,4,false)),0,vlookup($A1003,FantasyPro!$B$2:$E$514,4,false))</f>
        <v>0</v>
      </c>
      <c r="I1003" s="40">
        <f>if(ISNA(vlookup($A1003, FFToolbox!$B$2:$E$618, 4, false)), 0, vlookup($A1003, FFToolbox!$B$2:$E$618, 4, false))</f>
        <v>0</v>
      </c>
      <c r="J1003" s="41">
        <f t="shared" si="1"/>
        <v>0</v>
      </c>
      <c r="K1003" s="41">
        <f t="shared" si="2"/>
        <v>0</v>
      </c>
    </row>
    <row r="1004">
      <c r="A1004" s="13" t="s">
        <v>274</v>
      </c>
      <c r="B1004" s="34" t="s">
        <v>1061</v>
      </c>
      <c r="C1004" s="5" t="s">
        <v>257</v>
      </c>
      <c r="D1004" s="5" t="s">
        <v>169</v>
      </c>
      <c r="E1004" s="39" t="str">
        <f>vlookup(C1004,'Team Bye List'!$A$1:$B$33,2,False)</f>
        <v>#N/A</v>
      </c>
      <c r="F1004" s="40">
        <f>if(ISNA(vlookup($A1004, ESPN!$B$2:$E$1010, 4, false)), 0, vlookup($A1004, ESPN!$B$2:$E$1010, 4, false))</f>
        <v>0</v>
      </c>
      <c r="G1004" s="40">
        <f>if(ISNA(vlookup($A1004,'Ultimate Draft Kit'!$B$2:$E$201,4, false)), 0, vlookup($A1004,'Ultimate Draft Kit'!$B$2:$E$201, 4, false))</f>
        <v>0</v>
      </c>
      <c r="H1004" s="40">
        <f>if(ISNA(vlookup($A1004, FantasyPro!$B$2:$E$514,4,false)),0,vlookup($A1004,FantasyPro!$B$2:$E$514,4,false))</f>
        <v>0</v>
      </c>
      <c r="I1004" s="40">
        <f>if(ISNA(vlookup($A1004, FFToolbox!$B$2:$E$618, 4, false)), 0, vlookup($A1004, FFToolbox!$B$2:$E$618, 4, false))</f>
        <v>0</v>
      </c>
      <c r="J1004" s="41">
        <f t="shared" si="1"/>
        <v>0</v>
      </c>
      <c r="K1004" s="41">
        <f t="shared" si="2"/>
        <v>0</v>
      </c>
    </row>
    <row r="1005">
      <c r="A1005" s="13" t="s">
        <v>264</v>
      </c>
      <c r="B1005" s="34" t="s">
        <v>1061</v>
      </c>
      <c r="C1005" s="5" t="s">
        <v>257</v>
      </c>
      <c r="D1005" s="5" t="s">
        <v>169</v>
      </c>
      <c r="E1005" s="39" t="str">
        <f>vlookup(C1005,'Team Bye List'!$A$1:$B$33,2,False)</f>
        <v>#N/A</v>
      </c>
      <c r="F1005" s="40">
        <f>if(ISNA(vlookup($A1005, ESPN!$B$2:$E$1010, 4, false)), 0, vlookup($A1005, ESPN!$B$2:$E$1010, 4, false))</f>
        <v>0</v>
      </c>
      <c r="G1005" s="40">
        <f>if(ISNA(vlookup($A1005,'Ultimate Draft Kit'!$B$2:$E$201,4, false)), 0, vlookup($A1005,'Ultimate Draft Kit'!$B$2:$E$201, 4, false))</f>
        <v>0</v>
      </c>
      <c r="H1005" s="40">
        <f>if(ISNA(vlookup($A1005, FantasyPro!$B$2:$E$514,4,false)),0,vlookup($A1005,FantasyPro!$B$2:$E$514,4,false))</f>
        <v>0</v>
      </c>
      <c r="I1005" s="40">
        <f>if(ISNA(vlookup($A1005, FFToolbox!$B$2:$E$618, 4, false)), 0, vlookup($A1005, FFToolbox!$B$2:$E$618, 4, false))</f>
        <v>0</v>
      </c>
      <c r="J1005" s="41">
        <f t="shared" si="1"/>
        <v>0</v>
      </c>
      <c r="K1005" s="41">
        <f t="shared" si="2"/>
        <v>0</v>
      </c>
    </row>
    <row r="1006">
      <c r="A1006" s="13" t="s">
        <v>262</v>
      </c>
      <c r="B1006" s="34" t="s">
        <v>1061</v>
      </c>
      <c r="C1006" s="5" t="s">
        <v>257</v>
      </c>
      <c r="D1006" s="5" t="s">
        <v>169</v>
      </c>
      <c r="E1006" s="39" t="str">
        <f>vlookup(C1006,'Team Bye List'!$A$1:$B$33,2,False)</f>
        <v>#N/A</v>
      </c>
      <c r="F1006" s="40">
        <f>if(ISNA(vlookup($A1006, ESPN!$B$2:$E$1010, 4, false)), 0, vlookup($A1006, ESPN!$B$2:$E$1010, 4, false))</f>
        <v>0</v>
      </c>
      <c r="G1006" s="40">
        <f>if(ISNA(vlookup($A1006,'Ultimate Draft Kit'!$B$2:$E$201,4, false)), 0, vlookup($A1006,'Ultimate Draft Kit'!$B$2:$E$201, 4, false))</f>
        <v>0</v>
      </c>
      <c r="H1006" s="40">
        <f>if(ISNA(vlookup($A1006, FantasyPro!$B$2:$E$514,4,false)),0,vlookup($A1006,FantasyPro!$B$2:$E$514,4,false))</f>
        <v>0</v>
      </c>
      <c r="I1006" s="40">
        <f>if(ISNA(vlookup($A1006, FFToolbox!$B$2:$E$618, 4, false)), 0, vlookup($A1006, FFToolbox!$B$2:$E$618, 4, false))</f>
        <v>0</v>
      </c>
      <c r="J1006" s="41">
        <f t="shared" si="1"/>
        <v>0</v>
      </c>
      <c r="K1006" s="41">
        <f t="shared" si="2"/>
        <v>0</v>
      </c>
    </row>
    <row r="1007">
      <c r="A1007" s="13" t="s">
        <v>260</v>
      </c>
      <c r="B1007" s="34" t="s">
        <v>1061</v>
      </c>
      <c r="C1007" s="5" t="s">
        <v>257</v>
      </c>
      <c r="D1007" s="5" t="s">
        <v>169</v>
      </c>
      <c r="E1007" s="39" t="str">
        <f>vlookup(C1007,'Team Bye List'!$A$1:$B$33,2,False)</f>
        <v>#N/A</v>
      </c>
      <c r="F1007" s="40">
        <f>if(ISNA(vlookup($A1007, ESPN!$B$2:$E$1010, 4, false)), 0, vlookup($A1007, ESPN!$B$2:$E$1010, 4, false))</f>
        <v>0</v>
      </c>
      <c r="G1007" s="40">
        <f>if(ISNA(vlookup($A1007,'Ultimate Draft Kit'!$B$2:$E$201,4, false)), 0, vlookup($A1007,'Ultimate Draft Kit'!$B$2:$E$201, 4, false))</f>
        <v>0</v>
      </c>
      <c r="H1007" s="40">
        <f>if(ISNA(vlookup($A1007, FantasyPro!$B$2:$E$514,4,false)),0,vlookup($A1007,FantasyPro!$B$2:$E$514,4,false))</f>
        <v>0</v>
      </c>
      <c r="I1007" s="40">
        <f>if(ISNA(vlookup($A1007, FFToolbox!$B$2:$E$618, 4, false)), 0, vlookup($A1007, FFToolbox!$B$2:$E$618, 4, false))</f>
        <v>0</v>
      </c>
      <c r="J1007" s="41">
        <f t="shared" si="1"/>
        <v>0</v>
      </c>
      <c r="K1007" s="41">
        <f t="shared" si="2"/>
        <v>0</v>
      </c>
    </row>
    <row r="1008">
      <c r="A1008" s="13" t="s">
        <v>256</v>
      </c>
      <c r="B1008" s="34" t="s">
        <v>1061</v>
      </c>
      <c r="C1008" s="5" t="s">
        <v>257</v>
      </c>
      <c r="D1008" s="5" t="s">
        <v>169</v>
      </c>
      <c r="E1008" s="39" t="str">
        <f>vlookup(C1008,'Team Bye List'!$A$1:$B$33,2,False)</f>
        <v>#N/A</v>
      </c>
      <c r="F1008" s="40">
        <f>if(ISNA(vlookup($A1008, ESPN!$B$2:$E$1010, 4, false)), 0, vlookup($A1008, ESPN!$B$2:$E$1010, 4, false))</f>
        <v>0</v>
      </c>
      <c r="G1008" s="40">
        <f>if(ISNA(vlookup($A1008,'Ultimate Draft Kit'!$B$2:$E$201,4, false)), 0, vlookup($A1008,'Ultimate Draft Kit'!$B$2:$E$201, 4, false))</f>
        <v>0</v>
      </c>
      <c r="H1008" s="40">
        <f>if(ISNA(vlookup($A1008, FantasyPro!$B$2:$E$514,4,false)),0,vlookup($A1008,FantasyPro!$B$2:$E$514,4,false))</f>
        <v>0</v>
      </c>
      <c r="I1008" s="40">
        <f>if(ISNA(vlookup($A1008, FFToolbox!$B$2:$E$618, 4, false)), 0, vlookup($A1008, FFToolbox!$B$2:$E$618, 4, false))</f>
        <v>0</v>
      </c>
      <c r="J1008" s="41">
        <f t="shared" si="1"/>
        <v>0</v>
      </c>
      <c r="K1008" s="41">
        <f t="shared" si="2"/>
        <v>0</v>
      </c>
    </row>
    <row r="1009">
      <c r="A1009" s="13" t="s">
        <v>261</v>
      </c>
      <c r="B1009" s="34" t="s">
        <v>1061</v>
      </c>
      <c r="C1009" s="5" t="s">
        <v>257</v>
      </c>
      <c r="D1009" s="5" t="s">
        <v>169</v>
      </c>
      <c r="E1009" s="39" t="str">
        <f>vlookup(C1009,'Team Bye List'!$A$1:$B$33,2,False)</f>
        <v>#N/A</v>
      </c>
      <c r="F1009" s="40">
        <f>if(ISNA(vlookup($A1009, ESPN!$B$2:$E$1010, 4, false)), 0, vlookup($A1009, ESPN!$B$2:$E$1010, 4, false))</f>
        <v>0</v>
      </c>
      <c r="G1009" s="40">
        <f>if(ISNA(vlookup($A1009,'Ultimate Draft Kit'!$B$2:$E$201,4, false)), 0, vlookup($A1009,'Ultimate Draft Kit'!$B$2:$E$201, 4, false))</f>
        <v>0</v>
      </c>
      <c r="H1009" s="40">
        <f>if(ISNA(vlookup($A1009, FantasyPro!$B$2:$E$514,4,false)),0,vlookup($A1009,FantasyPro!$B$2:$E$514,4,false))</f>
        <v>0</v>
      </c>
      <c r="I1009" s="40">
        <f>if(ISNA(vlookup($A1009, FFToolbox!$B$2:$E$618, 4, false)), 0, vlookup($A1009, FFToolbox!$B$2:$E$618, 4, false))</f>
        <v>0</v>
      </c>
      <c r="J1009" s="41">
        <f t="shared" si="1"/>
        <v>0</v>
      </c>
      <c r="K1009" s="41">
        <f t="shared" si="2"/>
        <v>0</v>
      </c>
    </row>
    <row r="1010">
      <c r="A1010" s="13" t="s">
        <v>263</v>
      </c>
      <c r="B1010" s="34" t="s">
        <v>1061</v>
      </c>
      <c r="C1010" s="5" t="s">
        <v>257</v>
      </c>
      <c r="D1010" s="5" t="s">
        <v>169</v>
      </c>
      <c r="E1010" s="39" t="str">
        <f>vlookup(C1010,'Team Bye List'!$A$1:$B$33,2,False)</f>
        <v>#N/A</v>
      </c>
      <c r="F1010" s="40">
        <f>if(ISNA(vlookup($A1010, ESPN!$B$2:$E$1010, 4, false)), 0, vlookup($A1010, ESPN!$B$2:$E$1010, 4, false))</f>
        <v>0</v>
      </c>
      <c r="G1010" s="40">
        <f>if(ISNA(vlookup($A1010,'Ultimate Draft Kit'!$B$2:$E$201,4, false)), 0, vlookup($A1010,'Ultimate Draft Kit'!$B$2:$E$201, 4, false))</f>
        <v>0</v>
      </c>
      <c r="H1010" s="40">
        <f>if(ISNA(vlookup($A1010, FantasyPro!$B$2:$E$514,4,false)),0,vlookup($A1010,FantasyPro!$B$2:$E$514,4,false))</f>
        <v>0</v>
      </c>
      <c r="I1010" s="40">
        <f>if(ISNA(vlookup($A1010, FFToolbox!$B$2:$E$618, 4, false)), 0, vlookup($A1010, FFToolbox!$B$2:$E$618, 4, false))</f>
        <v>0</v>
      </c>
      <c r="J1010" s="41">
        <f t="shared" si="1"/>
        <v>0</v>
      </c>
      <c r="K1010" s="41">
        <f t="shared" si="2"/>
        <v>0</v>
      </c>
    </row>
  </sheetData>
  <autoFilter ref="$A$1:$K$1010">
    <filterColumn colId="3">
      <filters>
        <filter val="K"/>
      </filters>
    </filterColumn>
    <filterColumn colId="1">
      <filters>
        <filter val="No"/>
        <filter val="yes"/>
      </filters>
    </filterColumn>
  </autoFilter>
  <conditionalFormatting sqref="A1 B1:B1010 C1:D1 E1:K1010 C979:C997">
    <cfRule type="expression" dxfId="0" priority="1">
      <formula> $B1 = "Yes"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11" max="11" width="15.25"/>
    <col customWidth="1" min="14" max="14" width="17.13"/>
    <col customWidth="1" min="15" max="15" width="14.5"/>
  </cols>
  <sheetData>
    <row r="1">
      <c r="A1" s="42" t="s">
        <v>1</v>
      </c>
      <c r="B1" s="42" t="s">
        <v>2</v>
      </c>
      <c r="C1" s="42" t="s">
        <v>3</v>
      </c>
      <c r="D1" s="42" t="s">
        <v>1052</v>
      </c>
      <c r="E1" s="42" t="s">
        <v>1106</v>
      </c>
      <c r="F1" s="42" t="s">
        <v>1107</v>
      </c>
      <c r="G1" s="42" t="s">
        <v>1108</v>
      </c>
      <c r="H1" s="42" t="s">
        <v>1109</v>
      </c>
      <c r="L1" s="43">
        <f>200-L19</f>
        <v>1</v>
      </c>
      <c r="N1" s="44"/>
      <c r="O1" s="44"/>
      <c r="P1" s="44"/>
    </row>
    <row r="2">
      <c r="A2" s="45" t="s">
        <v>30</v>
      </c>
      <c r="B2" s="46" t="str">
        <f>vlookup(A2,Masterview!A$2:K$994, 3, False)</f>
        <v>KC</v>
      </c>
      <c r="C2" s="46" t="str">
        <f>vlookup(A2,Masterview!A$2:K$994, 4, False)</f>
        <v>WR</v>
      </c>
      <c r="D2" s="46">
        <f>vlookup(A2,Masterview!A$2:K$994,5, False)</f>
        <v>10</v>
      </c>
      <c r="E2" s="47"/>
      <c r="F2" s="48"/>
      <c r="G2" s="49">
        <f>vlookup(A2,Masterview!A$2:K$994, 10, False)</f>
        <v>38</v>
      </c>
      <c r="H2" s="50">
        <v>35.0</v>
      </c>
      <c r="J2" s="51" t="s">
        <v>3</v>
      </c>
      <c r="K2" s="52" t="s">
        <v>1</v>
      </c>
      <c r="L2" s="53" t="s">
        <v>1110</v>
      </c>
      <c r="N2" s="54"/>
      <c r="O2" s="54"/>
      <c r="P2" s="54"/>
    </row>
    <row r="3">
      <c r="A3" s="45" t="s">
        <v>170</v>
      </c>
      <c r="B3" s="46" t="str">
        <f>vlookup(A3,Masterview!A$2:K$994, 3, False)</f>
        <v>KC</v>
      </c>
      <c r="C3" s="46" t="str">
        <f>vlookup(A3,Masterview!A$2:K$994, 4, False)</f>
        <v>K</v>
      </c>
      <c r="D3" s="46">
        <f>vlookup(A3,Masterview!A$2:K$994,5, False)</f>
        <v>10</v>
      </c>
      <c r="E3" s="47"/>
      <c r="F3" s="48"/>
      <c r="G3" s="49">
        <f>vlookup(A3,Masterview!A$2:K$994, 10, False)</f>
        <v>2</v>
      </c>
      <c r="H3" s="50">
        <v>2.0</v>
      </c>
      <c r="J3" s="55" t="s">
        <v>1111</v>
      </c>
      <c r="K3" s="56" t="s">
        <v>19</v>
      </c>
      <c r="L3" s="57">
        <v>18.0</v>
      </c>
      <c r="N3" s="54"/>
      <c r="O3" s="54"/>
      <c r="P3" s="54"/>
    </row>
    <row r="4">
      <c r="A4" s="58" t="s">
        <v>168</v>
      </c>
      <c r="B4" s="46" t="str">
        <f>vlookup(A4,Masterview!A$2:K$994, 3, False)</f>
        <v>NO</v>
      </c>
      <c r="C4" s="46" t="str">
        <f>vlookup(A4,Masterview!A$2:K$994, 4, False)</f>
        <v>K</v>
      </c>
      <c r="D4" s="46">
        <f>vlookup(A4,Masterview!A$2:K$994,5, False)</f>
        <v>6</v>
      </c>
      <c r="E4" s="47"/>
      <c r="F4" s="48"/>
      <c r="G4" s="49">
        <f>vlookup(A4,Masterview!A$2:K$994, 10, False)</f>
        <v>2</v>
      </c>
      <c r="H4" s="50">
        <v>2.0</v>
      </c>
      <c r="J4" s="59" t="s">
        <v>1112</v>
      </c>
      <c r="K4" s="60" t="s">
        <v>5</v>
      </c>
      <c r="L4" s="61">
        <v>54.0</v>
      </c>
      <c r="N4" s="44"/>
      <c r="O4" s="54"/>
      <c r="P4" s="54"/>
    </row>
    <row r="5">
      <c r="A5" s="45" t="s">
        <v>179</v>
      </c>
      <c r="B5" s="46" t="str">
        <f>vlookup(A5,Masterview!A$2:K$994, 3, False)</f>
        <v>BAL</v>
      </c>
      <c r="C5" s="46" t="str">
        <f>vlookup(A5,Masterview!A$2:K$994, 4, False)</f>
        <v>DST</v>
      </c>
      <c r="D5" s="46">
        <f>vlookup(A5,Masterview!A$2:K$994,5, False)</f>
        <v>8</v>
      </c>
      <c r="E5" s="47"/>
      <c r="F5" s="48"/>
      <c r="G5" s="49">
        <f>vlookup(A5,Masterview!A$2:K$994, 10, False)</f>
        <v>0.5</v>
      </c>
      <c r="H5" s="50">
        <v>2.0</v>
      </c>
      <c r="J5" s="59" t="s">
        <v>1113</v>
      </c>
      <c r="K5" s="60" t="s">
        <v>80</v>
      </c>
      <c r="L5" s="61">
        <v>22.0</v>
      </c>
      <c r="N5" s="54"/>
      <c r="O5" s="54"/>
      <c r="P5" s="54"/>
    </row>
    <row r="6">
      <c r="A6" s="45" t="s">
        <v>217</v>
      </c>
      <c r="B6" s="46" t="str">
        <f>vlookup(A6,Masterview!A$2:K$994, 3, False)</f>
        <v>KC</v>
      </c>
      <c r="C6" s="46" t="str">
        <f>vlookup(A6,Masterview!A$2:K$994, 4, False)</f>
        <v>DST</v>
      </c>
      <c r="D6" s="46">
        <f>vlookup(A6,Masterview!A$2:K$994,5, False)</f>
        <v>10</v>
      </c>
      <c r="E6" s="47"/>
      <c r="F6" s="48"/>
      <c r="G6" s="49">
        <f>vlookup(A6,Masterview!A$2:K$994, 10, False)</f>
        <v>0.5</v>
      </c>
      <c r="H6" s="50">
        <v>2.0</v>
      </c>
      <c r="J6" s="59" t="s">
        <v>1114</v>
      </c>
      <c r="K6" s="60" t="s">
        <v>75</v>
      </c>
      <c r="L6" s="61">
        <v>17.0</v>
      </c>
      <c r="N6" s="44"/>
      <c r="O6" s="44"/>
      <c r="P6" s="54"/>
    </row>
    <row r="7">
      <c r="A7" s="45" t="s">
        <v>213</v>
      </c>
      <c r="B7" s="46" t="str">
        <f>vlookup(A7,Masterview!A$2:K$994, 3, False)</f>
        <v>CHI</v>
      </c>
      <c r="C7" s="46" t="str">
        <f>vlookup(A7,Masterview!A$2:K$994, 4, False)</f>
        <v>DST</v>
      </c>
      <c r="D7" s="46">
        <f>vlookup(A7,Masterview!A$2:K$994,5, False)</f>
        <v>11</v>
      </c>
      <c r="E7" s="47"/>
      <c r="F7" s="48"/>
      <c r="G7" s="49">
        <f>vlookup(A7,Masterview!A$2:K$994, 10, False)</f>
        <v>0.5</v>
      </c>
      <c r="H7" s="50">
        <v>2.0</v>
      </c>
      <c r="J7" s="59" t="s">
        <v>16</v>
      </c>
      <c r="K7" s="60" t="s">
        <v>26</v>
      </c>
      <c r="L7" s="61">
        <v>26.0</v>
      </c>
      <c r="N7" s="54"/>
      <c r="O7" s="54"/>
      <c r="P7" s="44"/>
    </row>
    <row r="8">
      <c r="A8" s="45" t="s">
        <v>51</v>
      </c>
      <c r="B8" s="46" t="str">
        <f>vlookup(A8,Masterview!A$2:K$994, 3, False)</f>
        <v>ARI</v>
      </c>
      <c r="C8" s="46" t="str">
        <f>vlookup(A8,Masterview!A$2:K$994, 4, False)</f>
        <v>WR</v>
      </c>
      <c r="D8" s="46">
        <f>vlookup(A8,Masterview!A$2:K$994,5, False)</f>
        <v>8</v>
      </c>
      <c r="E8" s="47"/>
      <c r="F8" s="48"/>
      <c r="G8" s="49">
        <f>vlookup(A8,Masterview!A$2:K$994, 10, False)</f>
        <v>34</v>
      </c>
      <c r="H8" s="50">
        <v>30.0</v>
      </c>
      <c r="J8" s="59" t="s">
        <v>1115</v>
      </c>
      <c r="K8" s="60" t="s">
        <v>116</v>
      </c>
      <c r="L8" s="61">
        <v>10.0</v>
      </c>
      <c r="N8" s="44"/>
      <c r="O8" s="44"/>
      <c r="P8" s="44"/>
    </row>
    <row r="9">
      <c r="A9" s="13" t="s">
        <v>123</v>
      </c>
      <c r="B9" s="46" t="str">
        <f>vlookup(A9,Masterview!A$2:K$994, 3, False)</f>
        <v>CIN</v>
      </c>
      <c r="C9" s="46" t="str">
        <f>vlookup(A9,Masterview!A$2:K$994, 4, False)</f>
        <v>WR</v>
      </c>
      <c r="D9" s="46">
        <f>vlookup(A9,Masterview!A$2:K$994,5, False)</f>
        <v>9</v>
      </c>
      <c r="E9" s="47"/>
      <c r="F9" s="48"/>
      <c r="G9" s="49">
        <f>vlookup(A9,Masterview!A$2:K$994, 10, False)</f>
        <v>15</v>
      </c>
      <c r="H9" s="50">
        <v>15.0</v>
      </c>
      <c r="J9" s="59" t="s">
        <v>1116</v>
      </c>
      <c r="K9" s="60" t="s">
        <v>1117</v>
      </c>
      <c r="L9" s="61">
        <v>2.0</v>
      </c>
      <c r="N9" s="44"/>
      <c r="O9" s="44"/>
      <c r="P9" s="44"/>
    </row>
    <row r="10">
      <c r="A10" s="13" t="s">
        <v>73</v>
      </c>
      <c r="B10" s="46" t="str">
        <f>vlookup(A10,Masterview!A$2:K$994, 3, False)</f>
        <v>IND</v>
      </c>
      <c r="C10" s="46" t="str">
        <f>vlookup(A10,Masterview!A$2:K$994, 4, False)</f>
        <v>WR</v>
      </c>
      <c r="D10" s="46">
        <f>vlookup(A10,Masterview!A$2:K$994,5, False)</f>
        <v>7</v>
      </c>
      <c r="E10" s="47"/>
      <c r="F10" s="48"/>
      <c r="G10" s="49">
        <f>vlookup(A10,Masterview!A$2:K$994, 10, False)</f>
        <v>20.25</v>
      </c>
      <c r="H10" s="50">
        <v>20.0</v>
      </c>
      <c r="J10" s="59" t="s">
        <v>169</v>
      </c>
      <c r="K10" s="60" t="s">
        <v>183</v>
      </c>
      <c r="L10" s="61">
        <v>4.0</v>
      </c>
      <c r="N10" s="44"/>
      <c r="O10" s="44"/>
      <c r="P10" s="44"/>
    </row>
    <row r="11">
      <c r="A11" s="13" t="s">
        <v>149</v>
      </c>
      <c r="B11" s="46" t="str">
        <f>vlookup(A11,Masterview!A$2:K$994, 3, False)</f>
        <v>IND</v>
      </c>
      <c r="C11" s="46" t="str">
        <f>vlookup(A11,Masterview!A$2:K$994, 4, False)</f>
        <v>QB</v>
      </c>
      <c r="D11" s="46">
        <f>vlookup(A11,Masterview!A$2:K$994,5, False)</f>
        <v>7</v>
      </c>
      <c r="E11" s="47"/>
      <c r="F11" s="48"/>
      <c r="G11" s="49">
        <f>vlookup(A11,Masterview!A$2:K$994, 10, False)</f>
        <v>4</v>
      </c>
      <c r="H11" s="50">
        <v>4.0</v>
      </c>
      <c r="J11" s="59" t="s">
        <v>1118</v>
      </c>
      <c r="K11" s="60" t="s">
        <v>109</v>
      </c>
      <c r="L11" s="61">
        <v>7.0</v>
      </c>
      <c r="N11" s="44"/>
      <c r="O11" s="44"/>
      <c r="P11" s="44"/>
    </row>
    <row r="12">
      <c r="A12" s="13" t="s">
        <v>145</v>
      </c>
      <c r="B12" s="46" t="str">
        <f>vlookup(A12,Masterview!A$2:K$994, 3, False)</f>
        <v>DET</v>
      </c>
      <c r="C12" s="46" t="str">
        <f>vlookup(A12,Masterview!A$2:K$994, 4, False)</f>
        <v>QB</v>
      </c>
      <c r="D12" s="46">
        <f>vlookup(A12,Masterview!A$2:K$994,5, False)</f>
        <v>5</v>
      </c>
      <c r="E12" s="47"/>
      <c r="F12" s="48"/>
      <c r="G12" s="49">
        <f>vlookup(A12,Masterview!A$2:K$994, 10, False)</f>
        <v>9</v>
      </c>
      <c r="H12" s="50">
        <v>5.0</v>
      </c>
      <c r="J12" s="59" t="s">
        <v>1119</v>
      </c>
      <c r="K12" s="60" t="s">
        <v>1120</v>
      </c>
      <c r="L12" s="61">
        <v>10.0</v>
      </c>
      <c r="N12" s="44"/>
      <c r="O12" s="44"/>
      <c r="P12" s="44"/>
    </row>
    <row r="13">
      <c r="A13" s="45" t="s">
        <v>119</v>
      </c>
      <c r="B13" s="46" t="str">
        <f>vlookup(A13,Masterview!A$2:K$994, 3, False)</f>
        <v>ATL</v>
      </c>
      <c r="C13" s="46" t="str">
        <f>vlookup(A13,Masterview!A$2:K$994, 4, False)</f>
        <v>TE</v>
      </c>
      <c r="D13" s="46">
        <f>vlookup(A13,Masterview!A$2:K$994,5, False)</f>
        <v>10</v>
      </c>
      <c r="E13" s="47"/>
      <c r="F13" s="48"/>
      <c r="G13" s="49">
        <f>vlookup(A13,Masterview!A$2:K$994, 10, False)</f>
        <v>8</v>
      </c>
      <c r="H13" s="50">
        <v>6.0</v>
      </c>
      <c r="J13" s="59" t="s">
        <v>1121</v>
      </c>
      <c r="K13" s="60" t="s">
        <v>99</v>
      </c>
      <c r="L13" s="61">
        <v>7.0</v>
      </c>
      <c r="N13" s="44"/>
      <c r="O13" s="44"/>
      <c r="P13" s="44"/>
    </row>
    <row r="14">
      <c r="A14" s="45" t="s">
        <v>359</v>
      </c>
      <c r="B14" s="46" t="str">
        <f>vlookup(A14,Masterview!A$2:K$994, 3, False)</f>
        <v>WAS</v>
      </c>
      <c r="C14" s="46" t="str">
        <f>vlookup(A14,Masterview!A$2:K$994, 4, False)</f>
        <v>RB</v>
      </c>
      <c r="D14" s="46">
        <f>vlookup(A14,Masterview!A$2:K$994,5, False)</f>
        <v>8</v>
      </c>
      <c r="E14" s="47"/>
      <c r="F14" s="48"/>
      <c r="G14" s="49">
        <f>vlookup(A14,Masterview!A$2:K$994, 10, False)</f>
        <v>6</v>
      </c>
      <c r="H14" s="50">
        <v>6.0</v>
      </c>
      <c r="J14" s="59" t="s">
        <v>1122</v>
      </c>
      <c r="K14" s="60" t="s">
        <v>293</v>
      </c>
      <c r="L14" s="61">
        <v>7.0</v>
      </c>
      <c r="N14" s="44"/>
      <c r="O14" s="44"/>
      <c r="P14" s="44"/>
    </row>
    <row r="15">
      <c r="A15" s="13" t="s">
        <v>152</v>
      </c>
      <c r="B15" s="46" t="str">
        <f>vlookup(A15,Masterview!A$2:K$994, 3, False)</f>
        <v>BAL</v>
      </c>
      <c r="C15" s="46" t="str">
        <f>vlookup(A15,Masterview!A$2:K$994, 4, False)</f>
        <v>RB</v>
      </c>
      <c r="D15" s="46">
        <f>vlookup(A15,Masterview!A$2:K$994,5, False)</f>
        <v>8</v>
      </c>
      <c r="E15" s="47"/>
      <c r="F15" s="48"/>
      <c r="G15" s="49">
        <f>vlookup(A15,Masterview!A$2:K$994, 10, False)</f>
        <v>19.5</v>
      </c>
      <c r="H15" s="50">
        <v>15.0</v>
      </c>
      <c r="J15" s="59" t="s">
        <v>1123</v>
      </c>
      <c r="K15" s="60" t="s">
        <v>344</v>
      </c>
      <c r="L15" s="61">
        <v>2.0</v>
      </c>
      <c r="N15" s="44"/>
      <c r="O15" s="44"/>
      <c r="P15" s="44"/>
    </row>
    <row r="16">
      <c r="A16" s="45"/>
      <c r="B16" s="46" t="str">
        <f>vlookup(A16,Masterview!A$2:K$994, 3, False)</f>
        <v>#N/A</v>
      </c>
      <c r="C16" s="46" t="str">
        <f>vlookup(A16,Masterview!A$2:K$994, 4, False)</f>
        <v>#N/A</v>
      </c>
      <c r="D16" s="46" t="str">
        <f>vlookup(A16,Masterview!A$2:K$994,5, False)</f>
        <v>#N/A</v>
      </c>
      <c r="E16" s="47"/>
      <c r="F16" s="48"/>
      <c r="G16" s="49" t="str">
        <f>vlookup(A16,Masterview!A$2:K$994, 10, False)</f>
        <v>#N/A</v>
      </c>
      <c r="H16" s="50"/>
      <c r="J16" s="59" t="s">
        <v>1124</v>
      </c>
      <c r="K16" s="60" t="s">
        <v>1125</v>
      </c>
      <c r="L16" s="61">
        <v>4.0</v>
      </c>
      <c r="N16" s="44"/>
      <c r="O16" s="44"/>
      <c r="P16" s="44"/>
    </row>
    <row r="17">
      <c r="A17" s="45"/>
      <c r="B17" s="46" t="str">
        <f>vlookup(A17,Masterview!A$2:K$994, 3, False)</f>
        <v>#N/A</v>
      </c>
      <c r="C17" s="46" t="str">
        <f>vlookup(A17,Masterview!A$2:K$994, 4, False)</f>
        <v>#N/A</v>
      </c>
      <c r="D17" s="46" t="str">
        <f>vlookup(A17,Masterview!A$2:K$994,5, False)</f>
        <v>#N/A</v>
      </c>
      <c r="E17" s="47"/>
      <c r="F17" s="48"/>
      <c r="G17" s="49" t="str">
        <f>vlookup(A17,Masterview!A$2:K$994, 10, False)</f>
        <v>#N/A</v>
      </c>
      <c r="H17" s="50"/>
      <c r="J17" s="59" t="s">
        <v>166</v>
      </c>
      <c r="K17" s="60" t="s">
        <v>1126</v>
      </c>
      <c r="L17" s="61">
        <v>1.0</v>
      </c>
      <c r="N17" s="44"/>
      <c r="O17" s="44"/>
      <c r="P17" s="44"/>
    </row>
    <row r="18">
      <c r="A18" s="45"/>
      <c r="B18" s="46" t="str">
        <f>vlookup(A18,Masterview!A$2:K$994, 3, False)</f>
        <v>#N/A</v>
      </c>
      <c r="C18" s="46" t="str">
        <f>vlookup(A18,Masterview!A$2:K$994, 4, False)</f>
        <v>#N/A</v>
      </c>
      <c r="D18" s="46" t="str">
        <f>vlookup(A18,Masterview!A$2:K$994,5, False)</f>
        <v>#N/A</v>
      </c>
      <c r="E18" s="47"/>
      <c r="F18" s="48"/>
      <c r="G18" s="49" t="str">
        <f>vlookup(A18,Masterview!A$2:K$994, 10, False)</f>
        <v>#N/A</v>
      </c>
      <c r="H18" s="50"/>
      <c r="J18" s="62" t="s">
        <v>1127</v>
      </c>
      <c r="K18" s="63" t="s">
        <v>1128</v>
      </c>
      <c r="L18" s="64">
        <v>8.0</v>
      </c>
      <c r="N18" s="44"/>
      <c r="O18" s="44"/>
      <c r="P18" s="44"/>
    </row>
    <row r="19">
      <c r="A19" s="45"/>
      <c r="B19" s="46" t="str">
        <f>vlookup(A19,Masterview!A$2:K$994, 3, False)</f>
        <v>#N/A</v>
      </c>
      <c r="C19" s="46" t="str">
        <f>vlookup(A19,Masterview!A$2:K$994, 4, False)</f>
        <v>#N/A</v>
      </c>
      <c r="D19" s="46" t="str">
        <f>vlookup(A19,Masterview!A$2:K$994,5, False)</f>
        <v>#N/A</v>
      </c>
      <c r="E19" s="47"/>
      <c r="F19" s="48"/>
      <c r="G19" s="49" t="str">
        <f>vlookup(A19,Masterview!A$2:K$994, 10, False)</f>
        <v>#N/A</v>
      </c>
      <c r="H19" s="50"/>
      <c r="L19" s="65">
        <f>sum(L3:L18)</f>
        <v>199</v>
      </c>
      <c r="N19" s="44"/>
      <c r="O19" s="44"/>
      <c r="P19" s="44"/>
    </row>
    <row r="20">
      <c r="A20" s="45"/>
      <c r="B20" s="46" t="str">
        <f>vlookup(A20,Masterview!A$2:K$994, 3, False)</f>
        <v>#N/A</v>
      </c>
      <c r="C20" s="46" t="str">
        <f>vlookup(A20,Masterview!A$2:K$994, 4, False)</f>
        <v>#N/A</v>
      </c>
      <c r="D20" s="46" t="str">
        <f>vlookup(A20,Masterview!A$2:K$994,5, False)</f>
        <v>#N/A</v>
      </c>
      <c r="E20" s="47"/>
      <c r="F20" s="48"/>
      <c r="G20" s="49" t="str">
        <f>vlookup(A20,Masterview!A$2:K$994, 10, False)</f>
        <v>#N/A</v>
      </c>
      <c r="H20" s="50"/>
      <c r="N20" s="54"/>
      <c r="O20" s="54"/>
      <c r="P20" s="54"/>
    </row>
    <row r="21">
      <c r="A21" s="45"/>
      <c r="B21" s="46" t="str">
        <f>vlookup(A21,Masterview!A$2:K$994, 3, False)</f>
        <v>#N/A</v>
      </c>
      <c r="C21" s="46" t="str">
        <f>vlookup(A21,Masterview!A$2:K$994, 4, False)</f>
        <v>#N/A</v>
      </c>
      <c r="D21" s="46" t="str">
        <f>vlookup(A21,Masterview!A$2:K$994,5, False)</f>
        <v>#N/A</v>
      </c>
      <c r="E21" s="47"/>
      <c r="F21" s="48"/>
      <c r="G21" s="49" t="str">
        <f>vlookup(A21,Masterview!A$2:K$994, 10, False)</f>
        <v>#N/A</v>
      </c>
      <c r="H21" s="50"/>
      <c r="N21" s="54"/>
      <c r="O21" s="54"/>
      <c r="P21" s="54"/>
    </row>
    <row r="22">
      <c r="A22" s="45"/>
      <c r="B22" s="46" t="str">
        <f>vlookup(A22,Masterview!A$2:K$994, 3, False)</f>
        <v>#N/A</v>
      </c>
      <c r="C22" s="46" t="str">
        <f>vlookup(A22,Masterview!A$2:K$994, 4, False)</f>
        <v>#N/A</v>
      </c>
      <c r="D22" s="46" t="str">
        <f>vlookup(A22,Masterview!A$2:K$994,5, False)</f>
        <v>#N/A</v>
      </c>
      <c r="E22" s="47"/>
      <c r="F22" s="48"/>
      <c r="G22" s="49" t="str">
        <f>vlookup(A22,Masterview!A$2:K$994, 10, False)</f>
        <v>#N/A</v>
      </c>
      <c r="H22" s="50"/>
      <c r="N22" s="44"/>
      <c r="O22" s="44"/>
      <c r="P22" s="44"/>
    </row>
    <row r="23">
      <c r="A23" s="45"/>
      <c r="B23" s="46" t="str">
        <f>vlookup(A23,Masterview!A$2:K$994, 3, False)</f>
        <v>#N/A</v>
      </c>
      <c r="C23" s="46" t="str">
        <f>vlookup(A23,Masterview!A$2:K$994, 4, False)</f>
        <v>#N/A</v>
      </c>
      <c r="D23" s="46" t="str">
        <f>vlookup(A23,Masterview!A$2:K$994,5, False)</f>
        <v>#N/A</v>
      </c>
      <c r="E23" s="47"/>
      <c r="F23" s="48"/>
      <c r="G23" s="49" t="str">
        <f>vlookup(A23,Masterview!A$2:K$994, 10, False)</f>
        <v>#N/A</v>
      </c>
      <c r="H23" s="50"/>
      <c r="N23" s="44"/>
      <c r="O23" s="44"/>
      <c r="P23" s="44"/>
    </row>
    <row r="24">
      <c r="A24" s="45"/>
      <c r="B24" s="46" t="str">
        <f>vlookup(A24,Masterview!A$2:K$994, 3, False)</f>
        <v>#N/A</v>
      </c>
      <c r="C24" s="46" t="str">
        <f>vlookup(A24,Masterview!A$2:K$994, 4, False)</f>
        <v>#N/A</v>
      </c>
      <c r="D24" s="46" t="str">
        <f>vlookup(A24,Masterview!A$2:K$994,5, False)</f>
        <v>#N/A</v>
      </c>
      <c r="E24" s="47"/>
      <c r="F24" s="48"/>
      <c r="G24" s="49" t="str">
        <f>vlookup(A24,Masterview!A$2:K$994, 10, False)</f>
        <v>#N/A</v>
      </c>
      <c r="H24" s="50"/>
      <c r="N24" s="44"/>
      <c r="O24" s="44"/>
      <c r="P24" s="44"/>
    </row>
    <row r="25">
      <c r="A25" s="45"/>
      <c r="B25" s="46" t="str">
        <f>vlookup(A25,Masterview!A$2:K$994, 3, False)</f>
        <v>#N/A</v>
      </c>
      <c r="C25" s="46" t="str">
        <f>vlookup(A25,Masterview!A$2:K$994, 4, False)</f>
        <v>#N/A</v>
      </c>
      <c r="D25" s="46" t="str">
        <f>vlookup(A25,Masterview!A$2:K$994,5, False)</f>
        <v>#N/A</v>
      </c>
      <c r="E25" s="47"/>
      <c r="F25" s="48"/>
      <c r="G25" s="49" t="str">
        <f>vlookup(A25,Masterview!A$2:K$994, 10, False)</f>
        <v>#N/A</v>
      </c>
      <c r="H25" s="50"/>
      <c r="N25" s="44"/>
      <c r="O25" s="44"/>
      <c r="P25" s="44"/>
    </row>
    <row r="26">
      <c r="A26" s="45"/>
      <c r="B26" s="46" t="str">
        <f>vlookup(A26,Masterview!A$2:K$994, 3, False)</f>
        <v>#N/A</v>
      </c>
      <c r="C26" s="46" t="str">
        <f>vlookup(A26,Masterview!A$2:K$994, 4, False)</f>
        <v>#N/A</v>
      </c>
      <c r="D26" s="46" t="str">
        <f>vlookup(A26,Masterview!A$2:K$994,5, False)</f>
        <v>#N/A</v>
      </c>
      <c r="E26" s="47"/>
      <c r="F26" s="48"/>
      <c r="G26" s="49" t="str">
        <f>vlookup(A26,Masterview!A$2:K$994, 10, False)</f>
        <v>#N/A</v>
      </c>
      <c r="H26" s="50"/>
      <c r="N26" s="44"/>
      <c r="O26" s="44"/>
      <c r="P26" s="44"/>
    </row>
    <row r="27">
      <c r="A27" s="66"/>
      <c r="B27" s="46" t="str">
        <f>vlookup(A27,Masterview!A$2:K$994, 3, False)</f>
        <v>#N/A</v>
      </c>
      <c r="C27" s="46" t="str">
        <f>vlookup(A27,Masterview!A$2:K$994, 4, False)</f>
        <v>#N/A</v>
      </c>
      <c r="D27" s="46" t="str">
        <f>vlookup(A27,Masterview!A$2:K$994,5, False)</f>
        <v>#N/A</v>
      </c>
      <c r="E27" s="47"/>
      <c r="F27" s="48"/>
      <c r="G27" s="49" t="str">
        <f>vlookup(A27,Masterview!A$2:K$994, 10, False)</f>
        <v>#N/A</v>
      </c>
      <c r="H27" s="50"/>
      <c r="N27" s="44"/>
      <c r="O27" s="44"/>
      <c r="P27" s="44"/>
    </row>
    <row r="28">
      <c r="A28" s="66"/>
      <c r="B28" s="46" t="str">
        <f>vlookup(A28,Masterview!A$2:K$994, 3, False)</f>
        <v>#N/A</v>
      </c>
      <c r="C28" s="46" t="str">
        <f>vlookup(A28,Masterview!A$2:K$994, 4, False)</f>
        <v>#N/A</v>
      </c>
      <c r="D28" s="46" t="str">
        <f>vlookup(A28,Masterview!A$2:K$994,5, False)</f>
        <v>#N/A</v>
      </c>
      <c r="E28" s="47"/>
      <c r="F28" s="48"/>
      <c r="G28" s="49" t="str">
        <f>vlookup(A28,Masterview!A$2:K$994, 10, False)</f>
        <v>#N/A</v>
      </c>
      <c r="H28" s="50"/>
      <c r="N28" s="44"/>
      <c r="O28" s="44"/>
      <c r="P28" s="44"/>
    </row>
    <row r="29">
      <c r="A29" s="67"/>
      <c r="B29" s="46" t="str">
        <f>vlookup(A29,Masterview!A$2:K$994, 3, False)</f>
        <v>#N/A</v>
      </c>
      <c r="C29" s="46" t="str">
        <f>vlookup(A29,Masterview!A$2:K$994, 4, False)</f>
        <v>#N/A</v>
      </c>
      <c r="D29" s="46" t="str">
        <f>vlookup(A29,Masterview!A$2:K$994,5, False)</f>
        <v>#N/A</v>
      </c>
      <c r="E29" s="47"/>
      <c r="F29" s="48"/>
      <c r="G29" s="49" t="str">
        <f>vlookup(A29,Masterview!A$2:K$994, 10, False)</f>
        <v>#N/A</v>
      </c>
      <c r="H29" s="50"/>
      <c r="N29" s="44"/>
      <c r="O29" s="44"/>
      <c r="P29" s="44"/>
    </row>
    <row r="30">
      <c r="A30" s="67"/>
      <c r="B30" s="46" t="str">
        <f>vlookup(A30,Masterview!A$2:K$994, 3, False)</f>
        <v>#N/A</v>
      </c>
      <c r="C30" s="46" t="str">
        <f>vlookup(A30,Masterview!A$2:K$994, 4, False)</f>
        <v>#N/A</v>
      </c>
      <c r="D30" s="46" t="str">
        <f>vlookup(A30,Masterview!A$2:K$994,5, False)</f>
        <v>#N/A</v>
      </c>
      <c r="E30" s="47"/>
      <c r="F30" s="48"/>
      <c r="G30" s="49" t="str">
        <f>vlookup(A30,Masterview!A$2:K$994, 10, False)</f>
        <v>#N/A</v>
      </c>
      <c r="H30" s="50"/>
      <c r="N30" s="44"/>
      <c r="O30" s="44"/>
      <c r="P30" s="44"/>
    </row>
    <row r="31">
      <c r="A31" s="67"/>
      <c r="B31" s="46" t="str">
        <f>vlookup(A31,Masterview!A$2:K$994, 3, False)</f>
        <v>#N/A</v>
      </c>
      <c r="C31" s="46" t="str">
        <f>vlookup(A31,Masterview!A$2:K$994, 4, False)</f>
        <v>#N/A</v>
      </c>
      <c r="D31" s="46" t="str">
        <f>vlookup(A31,Masterview!A$2:K$994,5, False)</f>
        <v>#N/A</v>
      </c>
      <c r="E31" s="47"/>
      <c r="F31" s="48"/>
      <c r="G31" s="49" t="str">
        <f>vlookup(A31,Masterview!A$2:K$994, 10, False)</f>
        <v>#N/A</v>
      </c>
      <c r="H31" s="50"/>
      <c r="N31" s="44"/>
      <c r="O31" s="44"/>
      <c r="P31" s="44"/>
    </row>
    <row r="32">
      <c r="A32" s="68"/>
      <c r="B32" s="69"/>
      <c r="C32" s="69"/>
      <c r="D32" s="69"/>
      <c r="E32" s="69"/>
      <c r="F32" s="69"/>
      <c r="G32" s="69"/>
      <c r="H32" s="69"/>
      <c r="N32" s="44"/>
      <c r="O32" s="44"/>
      <c r="P32" s="44"/>
    </row>
    <row r="33">
      <c r="A33" s="68"/>
      <c r="B33" s="69"/>
      <c r="C33" s="69"/>
      <c r="D33" s="69"/>
      <c r="E33" s="69"/>
      <c r="F33" s="69"/>
      <c r="G33" s="69"/>
      <c r="H33" s="69"/>
      <c r="N33" s="44"/>
      <c r="O33" s="44"/>
      <c r="P33" s="44"/>
    </row>
    <row r="34">
      <c r="A34" s="68"/>
      <c r="B34" s="69"/>
      <c r="C34" s="69"/>
      <c r="D34" s="69"/>
      <c r="E34" s="69"/>
      <c r="F34" s="69"/>
      <c r="G34" s="69"/>
      <c r="H34" s="69"/>
      <c r="N34" s="44"/>
      <c r="O34" s="44"/>
      <c r="P34" s="44"/>
    </row>
    <row r="35">
      <c r="A35" s="68"/>
      <c r="B35" s="69"/>
      <c r="C35" s="69"/>
      <c r="D35" s="69"/>
      <c r="E35" s="69"/>
      <c r="F35" s="69"/>
      <c r="G35" s="69"/>
      <c r="H35" s="69"/>
      <c r="N35" s="44"/>
      <c r="O35" s="44"/>
      <c r="P35" s="44"/>
    </row>
    <row r="36">
      <c r="A36" s="68"/>
      <c r="B36" s="69"/>
      <c r="C36" s="69"/>
      <c r="D36" s="69"/>
      <c r="E36" s="69"/>
      <c r="F36" s="69"/>
      <c r="G36" s="69"/>
      <c r="H36" s="69"/>
      <c r="N36" s="44"/>
      <c r="O36" s="44"/>
      <c r="P36" s="44"/>
    </row>
    <row r="37">
      <c r="A37" s="68"/>
      <c r="B37" s="69"/>
      <c r="C37" s="69"/>
      <c r="D37" s="69"/>
      <c r="E37" s="69"/>
      <c r="F37" s="69"/>
      <c r="G37" s="69"/>
      <c r="H37" s="69"/>
      <c r="N37" s="44"/>
      <c r="O37" s="44"/>
      <c r="P37" s="44"/>
    </row>
    <row r="38">
      <c r="A38" s="68"/>
      <c r="B38" s="69"/>
      <c r="C38" s="69"/>
      <c r="D38" s="69"/>
      <c r="E38" s="69"/>
      <c r="F38" s="69"/>
      <c r="G38" s="69"/>
      <c r="H38" s="69"/>
      <c r="N38" s="44"/>
      <c r="O38" s="44"/>
      <c r="P38" s="44"/>
    </row>
    <row r="39">
      <c r="A39" s="68"/>
      <c r="B39" s="69"/>
      <c r="C39" s="69"/>
      <c r="D39" s="69"/>
      <c r="E39" s="69"/>
      <c r="F39" s="69"/>
      <c r="G39" s="69"/>
      <c r="H39" s="69"/>
      <c r="N39" s="44"/>
      <c r="O39" s="44"/>
      <c r="P39" s="44"/>
    </row>
    <row r="40">
      <c r="A40" s="68"/>
      <c r="B40" s="69"/>
      <c r="C40" s="69"/>
      <c r="D40" s="69"/>
      <c r="E40" s="69"/>
      <c r="F40" s="69"/>
      <c r="G40" s="69"/>
      <c r="H40" s="69"/>
      <c r="N40" s="44"/>
      <c r="O40" s="44"/>
      <c r="P40" s="44"/>
    </row>
    <row r="41">
      <c r="A41" s="68"/>
      <c r="B41" s="69"/>
      <c r="C41" s="69"/>
      <c r="D41" s="69"/>
      <c r="E41" s="69"/>
      <c r="F41" s="69"/>
      <c r="G41" s="69"/>
      <c r="H41" s="69"/>
      <c r="N41" s="44"/>
      <c r="O41" s="44"/>
      <c r="P41" s="44"/>
    </row>
    <row r="42">
      <c r="A42" s="68"/>
      <c r="B42" s="69"/>
      <c r="C42" s="69"/>
      <c r="D42" s="69"/>
      <c r="E42" s="69"/>
      <c r="F42" s="69"/>
      <c r="G42" s="69"/>
      <c r="H42" s="69"/>
      <c r="N42" s="44"/>
      <c r="O42" s="44"/>
      <c r="P42" s="44"/>
    </row>
    <row r="43">
      <c r="A43" s="68"/>
      <c r="B43" s="69"/>
      <c r="C43" s="69"/>
      <c r="D43" s="69"/>
      <c r="E43" s="69"/>
      <c r="F43" s="69"/>
      <c r="G43" s="69"/>
      <c r="H43" s="69"/>
      <c r="N43" s="44"/>
      <c r="O43" s="44"/>
      <c r="P43" s="44"/>
    </row>
    <row r="44">
      <c r="A44" s="68"/>
      <c r="B44" s="69"/>
      <c r="C44" s="69"/>
      <c r="D44" s="69"/>
      <c r="E44" s="69"/>
      <c r="F44" s="69"/>
      <c r="G44" s="69"/>
      <c r="H44" s="69"/>
      <c r="N44" s="44"/>
      <c r="O44" s="44"/>
      <c r="P44" s="44"/>
    </row>
    <row r="45">
      <c r="A45" s="68"/>
      <c r="B45" s="69"/>
      <c r="C45" s="69"/>
      <c r="D45" s="69"/>
      <c r="E45" s="69"/>
      <c r="F45" s="69"/>
      <c r="G45" s="69"/>
      <c r="H45" s="69"/>
      <c r="N45" s="44"/>
      <c r="O45" s="44"/>
      <c r="P45" s="44"/>
    </row>
    <row r="46">
      <c r="A46" s="68"/>
      <c r="B46" s="69"/>
      <c r="C46" s="69"/>
      <c r="D46" s="69"/>
      <c r="E46" s="69"/>
      <c r="F46" s="69"/>
      <c r="G46" s="69"/>
      <c r="H46" s="69"/>
      <c r="N46" s="44"/>
      <c r="O46" s="44"/>
      <c r="P46" s="44"/>
    </row>
    <row r="47">
      <c r="A47" s="68"/>
      <c r="B47" s="69"/>
      <c r="C47" s="69"/>
      <c r="D47" s="69"/>
      <c r="E47" s="69"/>
      <c r="F47" s="69"/>
      <c r="G47" s="69"/>
      <c r="H47" s="69"/>
      <c r="N47" s="44"/>
      <c r="O47" s="44"/>
      <c r="P47" s="44"/>
    </row>
    <row r="48">
      <c r="A48" s="68"/>
      <c r="B48" s="69"/>
      <c r="C48" s="69"/>
      <c r="D48" s="69"/>
      <c r="E48" s="69"/>
      <c r="F48" s="69"/>
      <c r="G48" s="69"/>
      <c r="H48" s="69"/>
      <c r="N48" s="44"/>
      <c r="O48" s="44"/>
      <c r="P48" s="44"/>
    </row>
    <row r="49">
      <c r="A49" s="68"/>
      <c r="B49" s="69"/>
      <c r="C49" s="69"/>
      <c r="D49" s="69"/>
      <c r="E49" s="69"/>
      <c r="F49" s="69"/>
      <c r="G49" s="69"/>
      <c r="H49" s="69"/>
      <c r="N49" s="44"/>
      <c r="O49" s="44"/>
      <c r="P49" s="44"/>
    </row>
    <row r="50">
      <c r="A50" s="68"/>
      <c r="B50" s="69"/>
      <c r="C50" s="69"/>
      <c r="D50" s="69"/>
      <c r="E50" s="69"/>
      <c r="F50" s="69"/>
      <c r="G50" s="69"/>
      <c r="H50" s="69"/>
      <c r="N50" s="44"/>
      <c r="O50" s="44"/>
      <c r="P50" s="44"/>
    </row>
    <row r="51">
      <c r="A51" s="68"/>
      <c r="B51" s="69"/>
      <c r="C51" s="69"/>
      <c r="D51" s="69"/>
      <c r="E51" s="69"/>
      <c r="F51" s="69"/>
      <c r="G51" s="69"/>
      <c r="H51" s="69"/>
      <c r="N51" s="44"/>
      <c r="O51" s="44"/>
      <c r="P51" s="44"/>
    </row>
    <row r="52">
      <c r="A52" s="68"/>
      <c r="B52" s="69"/>
      <c r="C52" s="69"/>
      <c r="D52" s="69"/>
      <c r="E52" s="69"/>
      <c r="F52" s="69"/>
      <c r="G52" s="69"/>
      <c r="H52" s="69"/>
      <c r="N52" s="44"/>
      <c r="O52" s="44"/>
      <c r="P52" s="44"/>
    </row>
    <row r="53">
      <c r="A53" s="68"/>
      <c r="B53" s="69"/>
      <c r="C53" s="69"/>
      <c r="D53" s="69"/>
      <c r="E53" s="69"/>
      <c r="F53" s="69"/>
      <c r="G53" s="69"/>
      <c r="H53" s="69"/>
      <c r="N53" s="44"/>
      <c r="O53" s="44"/>
      <c r="P53" s="44"/>
    </row>
    <row r="54">
      <c r="A54" s="68"/>
      <c r="B54" s="69"/>
      <c r="C54" s="69"/>
      <c r="D54" s="69"/>
      <c r="E54" s="69"/>
      <c r="F54" s="69"/>
      <c r="G54" s="69"/>
      <c r="H54" s="69"/>
      <c r="N54" s="44"/>
      <c r="O54" s="44"/>
      <c r="P54" s="44"/>
    </row>
    <row r="55">
      <c r="A55" s="68"/>
      <c r="B55" s="69"/>
      <c r="C55" s="69"/>
      <c r="D55" s="69"/>
      <c r="E55" s="69"/>
      <c r="F55" s="69"/>
      <c r="G55" s="69"/>
      <c r="H55" s="69"/>
      <c r="N55" s="44"/>
      <c r="O55" s="44"/>
      <c r="P55" s="44"/>
    </row>
    <row r="56">
      <c r="A56" s="68"/>
      <c r="B56" s="69"/>
      <c r="C56" s="69"/>
      <c r="D56" s="69"/>
      <c r="E56" s="69"/>
      <c r="F56" s="69"/>
      <c r="G56" s="69"/>
      <c r="H56" s="69"/>
      <c r="N56" s="44"/>
      <c r="O56" s="44"/>
      <c r="P56" s="44"/>
    </row>
    <row r="57">
      <c r="A57" s="68"/>
      <c r="B57" s="69"/>
      <c r="C57" s="69"/>
      <c r="D57" s="69"/>
      <c r="E57" s="69"/>
      <c r="F57" s="69"/>
      <c r="G57" s="69"/>
      <c r="H57" s="69"/>
      <c r="N57" s="44"/>
      <c r="O57" s="44"/>
      <c r="P57" s="44"/>
    </row>
    <row r="58">
      <c r="A58" s="68"/>
      <c r="B58" s="69"/>
      <c r="C58" s="69"/>
      <c r="D58" s="69"/>
      <c r="E58" s="69"/>
      <c r="F58" s="69"/>
      <c r="G58" s="69"/>
      <c r="H58" s="69"/>
      <c r="N58" s="44"/>
      <c r="O58" s="44"/>
      <c r="P58" s="44"/>
    </row>
    <row r="59">
      <c r="A59" s="68"/>
      <c r="B59" s="69"/>
      <c r="C59" s="69"/>
      <c r="D59" s="69"/>
      <c r="E59" s="69"/>
      <c r="F59" s="69"/>
      <c r="G59" s="69"/>
      <c r="H59" s="69"/>
      <c r="N59" s="44"/>
      <c r="O59" s="44"/>
      <c r="P59" s="44"/>
    </row>
    <row r="60">
      <c r="A60" s="68"/>
      <c r="B60" s="69"/>
      <c r="C60" s="69"/>
      <c r="D60" s="69"/>
      <c r="E60" s="69"/>
      <c r="F60" s="69"/>
      <c r="G60" s="69"/>
      <c r="H60" s="69"/>
      <c r="N60" s="44"/>
      <c r="O60" s="44"/>
      <c r="P60" s="44"/>
    </row>
    <row r="61">
      <c r="A61" s="68"/>
      <c r="B61" s="69"/>
      <c r="C61" s="69"/>
      <c r="D61" s="69"/>
      <c r="E61" s="69"/>
      <c r="F61" s="69"/>
      <c r="G61" s="69"/>
      <c r="H61" s="69"/>
      <c r="N61" s="44"/>
      <c r="O61" s="44"/>
      <c r="P61" s="44"/>
    </row>
    <row r="62">
      <c r="A62" s="68"/>
      <c r="B62" s="69"/>
      <c r="C62" s="69"/>
      <c r="D62" s="69"/>
      <c r="E62" s="69"/>
      <c r="F62" s="69"/>
      <c r="G62" s="69"/>
      <c r="H62" s="69"/>
      <c r="N62" s="44"/>
      <c r="O62" s="44"/>
      <c r="P62" s="44"/>
    </row>
    <row r="63">
      <c r="A63" s="68"/>
      <c r="B63" s="69"/>
      <c r="C63" s="69"/>
      <c r="D63" s="69"/>
      <c r="E63" s="69"/>
      <c r="F63" s="69"/>
      <c r="G63" s="69"/>
      <c r="H63" s="69"/>
      <c r="N63" s="44"/>
      <c r="O63" s="44"/>
      <c r="P63" s="44"/>
    </row>
    <row r="64">
      <c r="A64" s="68"/>
      <c r="B64" s="69"/>
      <c r="C64" s="69"/>
      <c r="D64" s="69"/>
      <c r="E64" s="69"/>
      <c r="F64" s="69"/>
      <c r="G64" s="69"/>
      <c r="H64" s="69"/>
      <c r="N64" s="44"/>
      <c r="O64" s="44"/>
      <c r="P64" s="44"/>
    </row>
    <row r="65">
      <c r="A65" s="68"/>
      <c r="B65" s="69"/>
      <c r="C65" s="69"/>
      <c r="D65" s="69"/>
      <c r="E65" s="69"/>
      <c r="F65" s="69"/>
      <c r="G65" s="69"/>
      <c r="H65" s="69"/>
      <c r="N65" s="44"/>
      <c r="O65" s="44"/>
      <c r="P65" s="44"/>
    </row>
    <row r="66">
      <c r="A66" s="68"/>
      <c r="B66" s="69"/>
      <c r="C66" s="69"/>
      <c r="D66" s="69"/>
      <c r="E66" s="69"/>
      <c r="F66" s="69"/>
      <c r="G66" s="69"/>
      <c r="H66" s="69"/>
      <c r="N66" s="44"/>
      <c r="O66" s="44"/>
      <c r="P66" s="44"/>
    </row>
    <row r="67">
      <c r="A67" s="68"/>
      <c r="B67" s="69"/>
      <c r="C67" s="69"/>
      <c r="D67" s="69"/>
      <c r="E67" s="69"/>
      <c r="F67" s="69"/>
      <c r="G67" s="69"/>
      <c r="H67" s="69"/>
      <c r="N67" s="44"/>
      <c r="O67" s="44"/>
      <c r="P67" s="44"/>
    </row>
    <row r="68">
      <c r="A68" s="68"/>
      <c r="B68" s="69"/>
      <c r="C68" s="69"/>
      <c r="D68" s="69"/>
      <c r="E68" s="69"/>
      <c r="F68" s="69"/>
      <c r="G68" s="69"/>
      <c r="H68" s="69"/>
      <c r="N68" s="44"/>
      <c r="O68" s="44"/>
      <c r="P68" s="44"/>
    </row>
    <row r="69">
      <c r="A69" s="68"/>
      <c r="B69" s="69"/>
      <c r="C69" s="69"/>
      <c r="D69" s="69"/>
      <c r="E69" s="69"/>
      <c r="F69" s="69"/>
      <c r="G69" s="69"/>
      <c r="H69" s="69"/>
      <c r="N69" s="44"/>
      <c r="O69" s="44"/>
      <c r="P69" s="44"/>
    </row>
    <row r="70">
      <c r="A70" s="68"/>
      <c r="B70" s="69"/>
      <c r="C70" s="69"/>
      <c r="D70" s="69"/>
      <c r="E70" s="69"/>
      <c r="F70" s="69"/>
      <c r="G70" s="69"/>
      <c r="H70" s="69"/>
      <c r="N70" s="44"/>
      <c r="O70" s="44"/>
      <c r="P70" s="44"/>
    </row>
    <row r="71">
      <c r="A71" s="68"/>
      <c r="B71" s="69"/>
      <c r="C71" s="69"/>
      <c r="D71" s="69"/>
      <c r="E71" s="69"/>
      <c r="F71" s="69"/>
      <c r="G71" s="69"/>
      <c r="H71" s="69"/>
      <c r="N71" s="44"/>
      <c r="O71" s="44"/>
      <c r="P71" s="44"/>
    </row>
    <row r="72">
      <c r="A72" s="68"/>
      <c r="B72" s="69"/>
      <c r="C72" s="69"/>
      <c r="D72" s="69"/>
      <c r="E72" s="69"/>
      <c r="F72" s="69"/>
      <c r="G72" s="69"/>
      <c r="H72" s="69"/>
      <c r="N72" s="44"/>
      <c r="O72" s="44"/>
      <c r="P72" s="44"/>
    </row>
    <row r="73">
      <c r="A73" s="68"/>
      <c r="B73" s="69"/>
      <c r="C73" s="69"/>
      <c r="D73" s="69"/>
      <c r="E73" s="69"/>
      <c r="F73" s="69"/>
      <c r="G73" s="69"/>
      <c r="H73" s="69"/>
      <c r="N73" s="44"/>
      <c r="O73" s="44"/>
      <c r="P73" s="44"/>
    </row>
    <row r="74">
      <c r="A74" s="68"/>
      <c r="B74" s="69"/>
      <c r="C74" s="69"/>
      <c r="D74" s="69"/>
      <c r="E74" s="69"/>
      <c r="F74" s="69"/>
      <c r="G74" s="69"/>
      <c r="H74" s="69"/>
      <c r="N74" s="44"/>
      <c r="O74" s="44"/>
      <c r="P74" s="44"/>
    </row>
    <row r="75">
      <c r="A75" s="68"/>
      <c r="B75" s="69"/>
      <c r="C75" s="69"/>
      <c r="D75" s="69"/>
      <c r="E75" s="69"/>
      <c r="F75" s="69"/>
      <c r="G75" s="69"/>
      <c r="H75" s="69"/>
      <c r="N75" s="44"/>
      <c r="O75" s="44"/>
      <c r="P75" s="44"/>
    </row>
    <row r="76">
      <c r="A76" s="68"/>
      <c r="B76" s="69"/>
      <c r="C76" s="69"/>
      <c r="D76" s="69"/>
      <c r="E76" s="69"/>
      <c r="F76" s="69"/>
      <c r="G76" s="69"/>
      <c r="H76" s="69"/>
      <c r="N76" s="44"/>
      <c r="O76" s="44"/>
      <c r="P76" s="44"/>
    </row>
    <row r="77">
      <c r="A77" s="68"/>
      <c r="B77" s="69"/>
      <c r="C77" s="69"/>
      <c r="D77" s="69"/>
      <c r="E77" s="69"/>
      <c r="F77" s="69"/>
      <c r="G77" s="69"/>
      <c r="H77" s="69"/>
      <c r="N77" s="44"/>
      <c r="O77" s="44"/>
      <c r="P77" s="44"/>
    </row>
    <row r="78">
      <c r="A78" s="68"/>
      <c r="B78" s="69"/>
      <c r="C78" s="69"/>
      <c r="D78" s="69"/>
      <c r="E78" s="69"/>
      <c r="F78" s="69"/>
      <c r="G78" s="69"/>
      <c r="H78" s="69"/>
      <c r="N78" s="44"/>
      <c r="O78" s="44"/>
      <c r="P78" s="44"/>
    </row>
    <row r="79">
      <c r="A79" s="68"/>
      <c r="B79" s="69"/>
      <c r="C79" s="69"/>
      <c r="D79" s="69"/>
      <c r="E79" s="69"/>
      <c r="F79" s="69"/>
      <c r="G79" s="69"/>
      <c r="H79" s="69"/>
      <c r="N79" s="44"/>
      <c r="O79" s="44"/>
      <c r="P79" s="44"/>
    </row>
    <row r="80">
      <c r="A80" s="68"/>
      <c r="B80" s="69"/>
      <c r="C80" s="69"/>
      <c r="D80" s="69"/>
      <c r="E80" s="69"/>
      <c r="F80" s="69"/>
      <c r="G80" s="69"/>
      <c r="H80" s="69"/>
      <c r="N80" s="44"/>
      <c r="O80" s="44"/>
      <c r="P80" s="44"/>
    </row>
    <row r="81">
      <c r="A81" s="68"/>
      <c r="B81" s="69"/>
      <c r="C81" s="69"/>
      <c r="D81" s="69"/>
      <c r="E81" s="69"/>
      <c r="F81" s="69"/>
      <c r="G81" s="69"/>
      <c r="H81" s="69"/>
      <c r="N81" s="44"/>
      <c r="O81" s="44"/>
      <c r="P81" s="44"/>
    </row>
    <row r="82">
      <c r="A82" s="68"/>
      <c r="B82" s="69"/>
      <c r="C82" s="69"/>
      <c r="D82" s="69"/>
      <c r="E82" s="69"/>
      <c r="F82" s="69"/>
      <c r="G82" s="69"/>
      <c r="H82" s="69"/>
      <c r="N82" s="44"/>
      <c r="O82" s="44"/>
      <c r="P82" s="44"/>
    </row>
    <row r="83">
      <c r="A83" s="68"/>
      <c r="B83" s="69"/>
      <c r="C83" s="69"/>
      <c r="D83" s="69"/>
      <c r="E83" s="69"/>
      <c r="F83" s="69"/>
      <c r="G83" s="69"/>
      <c r="H83" s="69"/>
      <c r="N83" s="44"/>
      <c r="O83" s="44"/>
      <c r="P83" s="44"/>
    </row>
    <row r="84">
      <c r="A84" s="68"/>
      <c r="B84" s="69"/>
      <c r="C84" s="69"/>
      <c r="D84" s="69"/>
      <c r="E84" s="69"/>
      <c r="F84" s="69"/>
      <c r="G84" s="69"/>
      <c r="H84" s="69"/>
      <c r="N84" s="44"/>
      <c r="O84" s="44"/>
      <c r="P84" s="44"/>
    </row>
    <row r="85">
      <c r="A85" s="68"/>
      <c r="B85" s="69"/>
      <c r="C85" s="69"/>
      <c r="D85" s="69"/>
      <c r="E85" s="69"/>
      <c r="F85" s="69"/>
      <c r="G85" s="69"/>
      <c r="H85" s="69"/>
      <c r="N85" s="44"/>
      <c r="O85" s="44"/>
      <c r="P85" s="44"/>
    </row>
    <row r="86">
      <c r="A86" s="68"/>
      <c r="B86" s="69"/>
      <c r="C86" s="69"/>
      <c r="D86" s="69"/>
      <c r="E86" s="69"/>
      <c r="F86" s="69"/>
      <c r="G86" s="69"/>
      <c r="H86" s="69"/>
      <c r="N86" s="44"/>
      <c r="O86" s="44"/>
      <c r="P86" s="44"/>
    </row>
    <row r="87">
      <c r="A87" s="68"/>
      <c r="B87" s="69"/>
      <c r="C87" s="69"/>
      <c r="D87" s="69"/>
      <c r="E87" s="69"/>
      <c r="F87" s="69"/>
      <c r="G87" s="69"/>
      <c r="H87" s="69"/>
      <c r="N87" s="44"/>
      <c r="O87" s="44"/>
      <c r="P87" s="44"/>
    </row>
    <row r="88">
      <c r="A88" s="68"/>
      <c r="B88" s="69"/>
      <c r="C88" s="69"/>
      <c r="D88" s="69"/>
      <c r="E88" s="69"/>
      <c r="F88" s="69"/>
      <c r="G88" s="69"/>
      <c r="H88" s="69"/>
      <c r="N88" s="44"/>
      <c r="O88" s="44"/>
      <c r="P88" s="44"/>
    </row>
    <row r="89">
      <c r="A89" s="68"/>
      <c r="B89" s="69"/>
      <c r="C89" s="69"/>
      <c r="D89" s="69"/>
      <c r="E89" s="69"/>
      <c r="F89" s="69"/>
      <c r="G89" s="69"/>
      <c r="H89" s="69"/>
      <c r="N89" s="44"/>
      <c r="O89" s="44"/>
      <c r="P89" s="44"/>
    </row>
    <row r="90">
      <c r="A90" s="68"/>
      <c r="B90" s="69"/>
      <c r="C90" s="69"/>
      <c r="D90" s="69"/>
      <c r="E90" s="69"/>
      <c r="F90" s="69"/>
      <c r="G90" s="69"/>
      <c r="H90" s="69"/>
      <c r="N90" s="44"/>
      <c r="O90" s="44"/>
      <c r="P90" s="44"/>
    </row>
    <row r="91">
      <c r="A91" s="68"/>
      <c r="B91" s="69"/>
      <c r="C91" s="69"/>
      <c r="D91" s="69"/>
      <c r="E91" s="69"/>
      <c r="F91" s="69"/>
      <c r="G91" s="69"/>
      <c r="H91" s="69"/>
      <c r="N91" s="44"/>
      <c r="O91" s="44"/>
      <c r="P91" s="44"/>
    </row>
    <row r="92">
      <c r="A92" s="68"/>
      <c r="B92" s="69"/>
      <c r="C92" s="69"/>
      <c r="D92" s="69"/>
      <c r="E92" s="69"/>
      <c r="F92" s="69"/>
      <c r="G92" s="69"/>
      <c r="H92" s="69"/>
      <c r="N92" s="44"/>
      <c r="O92" s="44"/>
      <c r="P92" s="44"/>
    </row>
    <row r="93">
      <c r="A93" s="68"/>
      <c r="B93" s="69"/>
      <c r="C93" s="69"/>
      <c r="D93" s="69"/>
      <c r="E93" s="69"/>
      <c r="F93" s="69"/>
      <c r="G93" s="69"/>
      <c r="H93" s="69"/>
      <c r="N93" s="44"/>
      <c r="O93" s="44"/>
      <c r="P93" s="44"/>
    </row>
    <row r="94">
      <c r="A94" s="68"/>
      <c r="B94" s="69"/>
      <c r="C94" s="69"/>
      <c r="D94" s="69"/>
      <c r="E94" s="69"/>
      <c r="F94" s="69"/>
      <c r="G94" s="69"/>
      <c r="H94" s="69"/>
      <c r="N94" s="44"/>
      <c r="O94" s="44"/>
      <c r="P94" s="44"/>
    </row>
    <row r="95">
      <c r="A95" s="68"/>
      <c r="B95" s="69"/>
      <c r="C95" s="69"/>
      <c r="D95" s="69"/>
      <c r="E95" s="69"/>
      <c r="F95" s="69"/>
      <c r="G95" s="69"/>
      <c r="H95" s="69"/>
      <c r="N95" s="44"/>
      <c r="O95" s="44"/>
      <c r="P95" s="44"/>
    </row>
    <row r="96">
      <c r="A96" s="68"/>
      <c r="B96" s="69"/>
      <c r="C96" s="69"/>
      <c r="D96" s="69"/>
      <c r="E96" s="69"/>
      <c r="F96" s="69"/>
      <c r="G96" s="69"/>
      <c r="H96" s="69"/>
      <c r="N96" s="44"/>
      <c r="O96" s="44"/>
      <c r="P96" s="44"/>
    </row>
    <row r="97">
      <c r="A97" s="68"/>
      <c r="B97" s="69"/>
      <c r="C97" s="69"/>
      <c r="D97" s="69"/>
      <c r="E97" s="69"/>
      <c r="F97" s="69"/>
      <c r="G97" s="69"/>
      <c r="H97" s="69"/>
      <c r="N97" s="44"/>
      <c r="O97" s="44"/>
      <c r="P97" s="44"/>
    </row>
    <row r="98">
      <c r="A98" s="68"/>
      <c r="B98" s="69"/>
      <c r="C98" s="69"/>
      <c r="D98" s="69"/>
      <c r="E98" s="69"/>
      <c r="F98" s="69"/>
      <c r="G98" s="69"/>
      <c r="H98" s="69"/>
      <c r="N98" s="44"/>
      <c r="O98" s="44"/>
      <c r="P98" s="44"/>
    </row>
    <row r="99">
      <c r="A99" s="68"/>
      <c r="B99" s="69"/>
      <c r="C99" s="69"/>
      <c r="D99" s="69"/>
      <c r="E99" s="69"/>
      <c r="F99" s="69"/>
      <c r="G99" s="69"/>
      <c r="H99" s="69"/>
      <c r="N99" s="44"/>
      <c r="O99" s="44"/>
      <c r="P99" s="44"/>
    </row>
    <row r="100">
      <c r="A100" s="68"/>
      <c r="B100" s="69"/>
      <c r="C100" s="69"/>
      <c r="D100" s="69"/>
      <c r="E100" s="69"/>
      <c r="F100" s="69"/>
      <c r="G100" s="69"/>
      <c r="H100" s="69"/>
      <c r="N100" s="44"/>
      <c r="O100" s="44"/>
      <c r="P100" s="44"/>
    </row>
    <row r="101">
      <c r="A101" s="68"/>
      <c r="B101" s="69"/>
      <c r="C101" s="69"/>
      <c r="D101" s="69"/>
      <c r="E101" s="69"/>
      <c r="F101" s="69"/>
      <c r="G101" s="69"/>
      <c r="H101" s="69"/>
      <c r="N101" s="44"/>
      <c r="O101" s="44"/>
      <c r="P101" s="44"/>
    </row>
    <row r="102">
      <c r="A102" s="68"/>
      <c r="B102" s="69"/>
      <c r="C102" s="69"/>
      <c r="D102" s="69"/>
      <c r="E102" s="69"/>
      <c r="F102" s="69"/>
      <c r="G102" s="69"/>
      <c r="H102" s="69"/>
      <c r="N102" s="44"/>
      <c r="O102" s="44"/>
      <c r="P102" s="44"/>
    </row>
    <row r="103">
      <c r="A103" s="68"/>
      <c r="B103" s="69"/>
      <c r="C103" s="69"/>
      <c r="D103" s="69"/>
      <c r="E103" s="69"/>
      <c r="F103" s="69"/>
      <c r="G103" s="69"/>
      <c r="H103" s="69"/>
      <c r="N103" s="44"/>
      <c r="O103" s="44"/>
      <c r="P103" s="44"/>
    </row>
    <row r="104">
      <c r="A104" s="68"/>
      <c r="B104" s="69"/>
      <c r="C104" s="69"/>
      <c r="D104" s="69"/>
      <c r="E104" s="69"/>
      <c r="F104" s="69"/>
      <c r="G104" s="69"/>
      <c r="H104" s="69"/>
      <c r="N104" s="44"/>
      <c r="O104" s="44"/>
      <c r="P104" s="44"/>
    </row>
    <row r="105">
      <c r="A105" s="68"/>
      <c r="B105" s="69"/>
      <c r="C105" s="69"/>
      <c r="D105" s="69"/>
      <c r="E105" s="69"/>
      <c r="F105" s="69"/>
      <c r="G105" s="69"/>
      <c r="H105" s="69"/>
      <c r="N105" s="44"/>
      <c r="O105" s="44"/>
      <c r="P105" s="44"/>
    </row>
    <row r="106">
      <c r="A106" s="68"/>
      <c r="B106" s="69"/>
      <c r="C106" s="69"/>
      <c r="D106" s="69"/>
      <c r="E106" s="69"/>
      <c r="F106" s="69"/>
      <c r="G106" s="69"/>
      <c r="H106" s="69"/>
      <c r="N106" s="44"/>
      <c r="O106" s="44"/>
      <c r="P106" s="44"/>
    </row>
    <row r="107">
      <c r="A107" s="68"/>
      <c r="B107" s="69"/>
      <c r="C107" s="69"/>
      <c r="D107" s="69"/>
      <c r="E107" s="69"/>
      <c r="F107" s="69"/>
      <c r="G107" s="69"/>
      <c r="H107" s="69"/>
      <c r="N107" s="44"/>
      <c r="O107" s="44"/>
      <c r="P107" s="44"/>
    </row>
    <row r="108">
      <c r="A108" s="68"/>
      <c r="B108" s="69"/>
      <c r="C108" s="69"/>
      <c r="D108" s="69"/>
      <c r="E108" s="69"/>
      <c r="F108" s="69"/>
      <c r="G108" s="69"/>
      <c r="H108" s="69"/>
      <c r="N108" s="44"/>
      <c r="O108" s="44"/>
      <c r="P108" s="44"/>
    </row>
    <row r="109">
      <c r="A109" s="68"/>
      <c r="B109" s="69"/>
      <c r="C109" s="69"/>
      <c r="D109" s="69"/>
      <c r="E109" s="69"/>
      <c r="F109" s="69"/>
      <c r="G109" s="69"/>
      <c r="H109" s="69"/>
      <c r="N109" s="44"/>
      <c r="O109" s="44"/>
      <c r="P109" s="44"/>
    </row>
    <row r="110">
      <c r="A110" s="68"/>
      <c r="B110" s="69"/>
      <c r="C110" s="69"/>
      <c r="D110" s="69"/>
      <c r="E110" s="69"/>
      <c r="F110" s="69"/>
      <c r="G110" s="69"/>
      <c r="H110" s="69"/>
      <c r="N110" s="44"/>
      <c r="O110" s="44"/>
      <c r="P110" s="44"/>
    </row>
    <row r="111">
      <c r="A111" s="68"/>
      <c r="B111" s="69"/>
      <c r="C111" s="69"/>
      <c r="D111" s="69"/>
      <c r="E111" s="69"/>
      <c r="F111" s="69"/>
      <c r="G111" s="69"/>
      <c r="H111" s="69"/>
      <c r="N111" s="44"/>
      <c r="O111" s="44"/>
      <c r="P111" s="44"/>
    </row>
    <row r="112">
      <c r="A112" s="68"/>
      <c r="B112" s="69"/>
      <c r="C112" s="69"/>
      <c r="D112" s="69"/>
      <c r="E112" s="69"/>
      <c r="F112" s="69"/>
      <c r="G112" s="69"/>
      <c r="H112" s="69"/>
      <c r="N112" s="44"/>
      <c r="O112" s="44"/>
      <c r="P112" s="44"/>
    </row>
    <row r="113">
      <c r="A113" s="68"/>
      <c r="B113" s="69"/>
      <c r="C113" s="69"/>
      <c r="D113" s="69"/>
      <c r="E113" s="69"/>
      <c r="F113" s="69"/>
      <c r="G113" s="69"/>
      <c r="H113" s="69"/>
      <c r="N113" s="44"/>
      <c r="O113" s="44"/>
      <c r="P113" s="44"/>
    </row>
    <row r="114">
      <c r="A114" s="68"/>
      <c r="B114" s="69"/>
      <c r="C114" s="69"/>
      <c r="D114" s="69"/>
      <c r="E114" s="69"/>
      <c r="F114" s="69"/>
      <c r="G114" s="69"/>
      <c r="H114" s="69"/>
      <c r="N114" s="44"/>
      <c r="O114" s="44"/>
      <c r="P114" s="44"/>
    </row>
    <row r="115">
      <c r="A115" s="68"/>
      <c r="B115" s="69"/>
      <c r="C115" s="69"/>
      <c r="D115" s="69"/>
      <c r="E115" s="69"/>
      <c r="F115" s="69"/>
      <c r="G115" s="69"/>
      <c r="H115" s="69"/>
      <c r="N115" s="44"/>
      <c r="O115" s="44"/>
      <c r="P115" s="44"/>
    </row>
    <row r="116">
      <c r="A116" s="68"/>
      <c r="B116" s="69"/>
      <c r="C116" s="69"/>
      <c r="D116" s="69"/>
      <c r="E116" s="69"/>
      <c r="F116" s="69"/>
      <c r="G116" s="69"/>
      <c r="H116" s="69"/>
      <c r="N116" s="44"/>
      <c r="O116" s="44"/>
      <c r="P116" s="44"/>
    </row>
    <row r="117">
      <c r="A117" s="68"/>
      <c r="B117" s="69"/>
      <c r="C117" s="69"/>
      <c r="D117" s="69"/>
      <c r="E117" s="69"/>
      <c r="F117" s="69"/>
      <c r="G117" s="69"/>
      <c r="H117" s="69"/>
      <c r="N117" s="44"/>
      <c r="O117" s="44"/>
      <c r="P117" s="44"/>
    </row>
    <row r="118">
      <c r="A118" s="68"/>
      <c r="B118" s="69"/>
      <c r="C118" s="69"/>
      <c r="D118" s="69"/>
      <c r="E118" s="69"/>
      <c r="F118" s="69"/>
      <c r="G118" s="69"/>
      <c r="H118" s="69"/>
      <c r="N118" s="44"/>
      <c r="O118" s="44"/>
      <c r="P118" s="44"/>
    </row>
    <row r="119">
      <c r="A119" s="68"/>
      <c r="B119" s="69"/>
      <c r="C119" s="69"/>
      <c r="D119" s="69"/>
      <c r="E119" s="69"/>
      <c r="F119" s="69"/>
      <c r="G119" s="69"/>
      <c r="H119" s="69"/>
      <c r="N119" s="44"/>
      <c r="O119" s="44"/>
      <c r="P119" s="44"/>
    </row>
    <row r="120">
      <c r="A120" s="68"/>
      <c r="B120" s="69"/>
      <c r="C120" s="69"/>
      <c r="D120" s="69"/>
      <c r="E120" s="69"/>
      <c r="F120" s="69"/>
      <c r="G120" s="69"/>
      <c r="H120" s="69"/>
      <c r="N120" s="44"/>
      <c r="O120" s="44"/>
      <c r="P120" s="44"/>
    </row>
    <row r="121">
      <c r="A121" s="68"/>
      <c r="B121" s="69"/>
      <c r="C121" s="69"/>
      <c r="D121" s="69"/>
      <c r="E121" s="69"/>
      <c r="F121" s="69"/>
      <c r="G121" s="69"/>
      <c r="H121" s="69"/>
      <c r="N121" s="44"/>
      <c r="O121" s="44"/>
      <c r="P121" s="44"/>
    </row>
    <row r="122">
      <c r="A122" s="68"/>
      <c r="B122" s="69"/>
      <c r="C122" s="69"/>
      <c r="D122" s="69"/>
      <c r="E122" s="69"/>
      <c r="F122" s="69"/>
      <c r="G122" s="69"/>
      <c r="H122" s="69"/>
      <c r="N122" s="44"/>
      <c r="O122" s="44"/>
      <c r="P122" s="44"/>
    </row>
    <row r="123">
      <c r="A123" s="68"/>
      <c r="B123" s="69"/>
      <c r="C123" s="69"/>
      <c r="D123" s="69"/>
      <c r="E123" s="69"/>
      <c r="F123" s="69"/>
      <c r="G123" s="69"/>
      <c r="H123" s="69"/>
      <c r="N123" s="44"/>
      <c r="O123" s="44"/>
      <c r="P123" s="44"/>
    </row>
    <row r="124">
      <c r="A124" s="68"/>
      <c r="B124" s="69"/>
      <c r="C124" s="69"/>
      <c r="D124" s="69"/>
      <c r="E124" s="69"/>
      <c r="F124" s="69"/>
      <c r="G124" s="69"/>
      <c r="H124" s="69"/>
      <c r="N124" s="44"/>
      <c r="O124" s="44"/>
      <c r="P124" s="44"/>
    </row>
    <row r="125">
      <c r="A125" s="68"/>
      <c r="B125" s="69"/>
      <c r="C125" s="69"/>
      <c r="D125" s="69"/>
      <c r="E125" s="69"/>
      <c r="F125" s="69"/>
      <c r="G125" s="69"/>
      <c r="H125" s="69"/>
      <c r="N125" s="44"/>
      <c r="O125" s="44"/>
      <c r="P125" s="44"/>
    </row>
    <row r="126">
      <c r="A126" s="68"/>
      <c r="B126" s="69"/>
      <c r="C126" s="69"/>
      <c r="D126" s="69"/>
      <c r="E126" s="69"/>
      <c r="F126" s="69"/>
      <c r="G126" s="69"/>
      <c r="H126" s="69"/>
      <c r="N126" s="44"/>
      <c r="O126" s="44"/>
      <c r="P126" s="44"/>
    </row>
    <row r="127">
      <c r="A127" s="68"/>
      <c r="B127" s="69"/>
      <c r="C127" s="69"/>
      <c r="D127" s="69"/>
      <c r="E127" s="69"/>
      <c r="F127" s="69"/>
      <c r="G127" s="69"/>
      <c r="H127" s="69"/>
      <c r="N127" s="44"/>
      <c r="O127" s="44"/>
      <c r="P127" s="44"/>
    </row>
    <row r="128">
      <c r="A128" s="68"/>
      <c r="B128" s="69"/>
      <c r="C128" s="69"/>
      <c r="D128" s="69"/>
      <c r="E128" s="69"/>
      <c r="F128" s="69"/>
      <c r="G128" s="69"/>
      <c r="H128" s="69"/>
      <c r="N128" s="44"/>
      <c r="O128" s="44"/>
      <c r="P128" s="44"/>
    </row>
    <row r="129">
      <c r="A129" s="68"/>
      <c r="B129" s="69"/>
      <c r="C129" s="69"/>
      <c r="D129" s="69"/>
      <c r="E129" s="69"/>
      <c r="F129" s="69"/>
      <c r="G129" s="69"/>
      <c r="H129" s="69"/>
      <c r="N129" s="44"/>
      <c r="O129" s="44"/>
      <c r="P129" s="44"/>
    </row>
    <row r="130">
      <c r="A130" s="68"/>
      <c r="B130" s="69"/>
      <c r="C130" s="69"/>
      <c r="D130" s="69"/>
      <c r="E130" s="69"/>
      <c r="F130" s="69"/>
      <c r="G130" s="69"/>
      <c r="H130" s="69"/>
      <c r="N130" s="44"/>
      <c r="O130" s="44"/>
      <c r="P130" s="44"/>
    </row>
    <row r="131">
      <c r="A131" s="68"/>
      <c r="B131" s="69"/>
      <c r="C131" s="69"/>
      <c r="D131" s="69"/>
      <c r="E131" s="69"/>
      <c r="F131" s="69"/>
      <c r="G131" s="69"/>
      <c r="H131" s="69"/>
      <c r="N131" s="44"/>
      <c r="O131" s="44"/>
      <c r="P131" s="44"/>
    </row>
    <row r="132">
      <c r="A132" s="68"/>
      <c r="B132" s="69"/>
      <c r="C132" s="69"/>
      <c r="D132" s="69"/>
      <c r="E132" s="69"/>
      <c r="F132" s="69"/>
      <c r="G132" s="69"/>
      <c r="H132" s="69"/>
      <c r="N132" s="44"/>
      <c r="O132" s="44"/>
      <c r="P132" s="44"/>
    </row>
    <row r="133">
      <c r="A133" s="68"/>
      <c r="B133" s="69"/>
      <c r="C133" s="69"/>
      <c r="D133" s="69"/>
      <c r="E133" s="69"/>
      <c r="F133" s="69"/>
      <c r="G133" s="69"/>
      <c r="H133" s="69"/>
      <c r="N133" s="44"/>
      <c r="O133" s="44"/>
      <c r="P133" s="44"/>
    </row>
    <row r="134">
      <c r="A134" s="68"/>
      <c r="B134" s="69"/>
      <c r="C134" s="69"/>
      <c r="D134" s="69"/>
      <c r="E134" s="69"/>
      <c r="F134" s="69"/>
      <c r="G134" s="69"/>
      <c r="H134" s="69"/>
      <c r="N134" s="44"/>
      <c r="O134" s="44"/>
      <c r="P134" s="44"/>
    </row>
    <row r="135">
      <c r="A135" s="68"/>
      <c r="B135" s="69"/>
      <c r="C135" s="69"/>
      <c r="D135" s="69"/>
      <c r="E135" s="69"/>
      <c r="F135" s="69"/>
      <c r="G135" s="69"/>
      <c r="H135" s="69"/>
      <c r="N135" s="44"/>
      <c r="O135" s="44"/>
      <c r="P135" s="44"/>
    </row>
    <row r="136">
      <c r="A136" s="68"/>
      <c r="B136" s="69"/>
      <c r="C136" s="69"/>
      <c r="D136" s="69"/>
      <c r="E136" s="69"/>
      <c r="F136" s="69"/>
      <c r="G136" s="69"/>
      <c r="H136" s="69"/>
      <c r="N136" s="44"/>
      <c r="O136" s="44"/>
      <c r="P136" s="44"/>
    </row>
    <row r="137">
      <c r="A137" s="68"/>
      <c r="B137" s="69"/>
      <c r="C137" s="69"/>
      <c r="D137" s="69"/>
      <c r="E137" s="69"/>
      <c r="F137" s="69"/>
      <c r="G137" s="69"/>
      <c r="H137" s="69"/>
      <c r="N137" s="44"/>
      <c r="O137" s="44"/>
      <c r="P137" s="44"/>
    </row>
    <row r="138">
      <c r="A138" s="68"/>
      <c r="B138" s="69"/>
      <c r="C138" s="69"/>
      <c r="D138" s="69"/>
      <c r="E138" s="69"/>
      <c r="F138" s="69"/>
      <c r="G138" s="69"/>
      <c r="H138" s="69"/>
      <c r="N138" s="44"/>
      <c r="O138" s="44"/>
      <c r="P138" s="44"/>
    </row>
    <row r="139">
      <c r="A139" s="68"/>
      <c r="B139" s="69"/>
      <c r="C139" s="69"/>
      <c r="D139" s="69"/>
      <c r="E139" s="69"/>
      <c r="F139" s="69"/>
      <c r="G139" s="69"/>
      <c r="H139" s="69"/>
      <c r="N139" s="44"/>
      <c r="O139" s="44"/>
      <c r="P139" s="44"/>
    </row>
    <row r="140">
      <c r="A140" s="68"/>
      <c r="B140" s="69"/>
      <c r="C140" s="69"/>
      <c r="D140" s="69"/>
      <c r="E140" s="69"/>
      <c r="F140" s="69"/>
      <c r="G140" s="69"/>
      <c r="H140" s="69"/>
      <c r="N140" s="44"/>
      <c r="O140" s="44"/>
      <c r="P140" s="44"/>
    </row>
    <row r="141">
      <c r="A141" s="68"/>
      <c r="B141" s="69"/>
      <c r="C141" s="69"/>
      <c r="D141" s="69"/>
      <c r="E141" s="69"/>
      <c r="F141" s="69"/>
      <c r="G141" s="69"/>
      <c r="H141" s="69"/>
      <c r="N141" s="44"/>
      <c r="O141" s="44"/>
      <c r="P141" s="44"/>
    </row>
    <row r="142">
      <c r="A142" s="68"/>
      <c r="B142" s="69"/>
      <c r="C142" s="69"/>
      <c r="D142" s="69"/>
      <c r="E142" s="69"/>
      <c r="F142" s="69"/>
      <c r="G142" s="69"/>
      <c r="H142" s="69"/>
      <c r="N142" s="44"/>
      <c r="O142" s="44"/>
      <c r="P142" s="44"/>
    </row>
    <row r="143">
      <c r="A143" s="68"/>
      <c r="B143" s="69"/>
      <c r="C143" s="69"/>
      <c r="D143" s="69"/>
      <c r="E143" s="69"/>
      <c r="F143" s="69"/>
      <c r="G143" s="69"/>
      <c r="H143" s="69"/>
      <c r="N143" s="44"/>
      <c r="O143" s="44"/>
      <c r="P143" s="44"/>
    </row>
    <row r="144">
      <c r="A144" s="68"/>
      <c r="B144" s="69"/>
      <c r="C144" s="69"/>
      <c r="D144" s="69"/>
      <c r="E144" s="69"/>
      <c r="F144" s="69"/>
      <c r="G144" s="69"/>
      <c r="H144" s="69"/>
      <c r="N144" s="44"/>
      <c r="O144" s="44"/>
      <c r="P144" s="44"/>
    </row>
    <row r="145">
      <c r="A145" s="68"/>
      <c r="B145" s="69"/>
      <c r="C145" s="69"/>
      <c r="D145" s="69"/>
      <c r="E145" s="69"/>
      <c r="F145" s="69"/>
      <c r="G145" s="69"/>
      <c r="H145" s="69"/>
      <c r="N145" s="44"/>
      <c r="O145" s="44"/>
      <c r="P145" s="44"/>
    </row>
    <row r="146">
      <c r="A146" s="68"/>
      <c r="B146" s="69"/>
      <c r="C146" s="69"/>
      <c r="D146" s="69"/>
      <c r="E146" s="69"/>
      <c r="F146" s="69"/>
      <c r="G146" s="69"/>
      <c r="H146" s="69"/>
      <c r="N146" s="44"/>
      <c r="O146" s="44"/>
      <c r="P146" s="44"/>
    </row>
    <row r="147">
      <c r="A147" s="68"/>
      <c r="B147" s="69"/>
      <c r="C147" s="69"/>
      <c r="D147" s="69"/>
      <c r="E147" s="69"/>
      <c r="F147" s="69"/>
      <c r="G147" s="69"/>
      <c r="H147" s="69"/>
      <c r="N147" s="44"/>
      <c r="O147" s="44"/>
      <c r="P147" s="44"/>
    </row>
    <row r="148">
      <c r="A148" s="68"/>
      <c r="B148" s="69"/>
      <c r="C148" s="69"/>
      <c r="D148" s="69"/>
      <c r="E148" s="69"/>
      <c r="F148" s="69"/>
      <c r="G148" s="69"/>
      <c r="H148" s="69"/>
      <c r="N148" s="44"/>
      <c r="O148" s="44"/>
      <c r="P148" s="44"/>
    </row>
    <row r="149">
      <c r="A149" s="68"/>
      <c r="B149" s="69"/>
      <c r="C149" s="69"/>
      <c r="D149" s="69"/>
      <c r="E149" s="69"/>
      <c r="F149" s="69"/>
      <c r="G149" s="69"/>
      <c r="H149" s="69"/>
      <c r="N149" s="44"/>
      <c r="O149" s="44"/>
      <c r="P149" s="44"/>
    </row>
    <row r="150">
      <c r="A150" s="68"/>
      <c r="B150" s="69"/>
      <c r="C150" s="69"/>
      <c r="D150" s="69"/>
      <c r="E150" s="69"/>
      <c r="F150" s="69"/>
      <c r="G150" s="69"/>
      <c r="H150" s="69"/>
      <c r="N150" s="44"/>
      <c r="O150" s="44"/>
      <c r="P150" s="44"/>
    </row>
    <row r="151">
      <c r="A151" s="68"/>
      <c r="B151" s="69"/>
      <c r="C151" s="69"/>
      <c r="D151" s="69"/>
      <c r="E151" s="69"/>
      <c r="F151" s="69"/>
      <c r="G151" s="69"/>
      <c r="H151" s="69"/>
      <c r="N151" s="44"/>
      <c r="O151" s="44"/>
      <c r="P151" s="44"/>
    </row>
    <row r="152">
      <c r="A152" s="68"/>
      <c r="B152" s="69"/>
      <c r="C152" s="69"/>
      <c r="D152" s="69"/>
      <c r="E152" s="69"/>
      <c r="F152" s="69"/>
      <c r="G152" s="69"/>
      <c r="H152" s="69"/>
      <c r="N152" s="44"/>
      <c r="O152" s="44"/>
      <c r="P152" s="44"/>
    </row>
    <row r="153">
      <c r="A153" s="68"/>
      <c r="B153" s="69"/>
      <c r="C153" s="69"/>
      <c r="D153" s="69"/>
      <c r="E153" s="69"/>
      <c r="F153" s="69"/>
      <c r="G153" s="69"/>
      <c r="H153" s="69"/>
      <c r="N153" s="44"/>
      <c r="O153" s="44"/>
      <c r="P153" s="44"/>
    </row>
    <row r="154">
      <c r="A154" s="68"/>
      <c r="B154" s="69"/>
      <c r="C154" s="69"/>
      <c r="D154" s="69"/>
      <c r="E154" s="69"/>
      <c r="F154" s="69"/>
      <c r="G154" s="69"/>
      <c r="H154" s="69"/>
      <c r="N154" s="44"/>
      <c r="O154" s="44"/>
      <c r="P154" s="44"/>
    </row>
    <row r="155">
      <c r="A155" s="68"/>
      <c r="B155" s="69"/>
      <c r="C155" s="69"/>
      <c r="D155" s="69"/>
      <c r="E155" s="69"/>
      <c r="F155" s="69"/>
      <c r="G155" s="69"/>
      <c r="H155" s="69"/>
      <c r="N155" s="44"/>
      <c r="O155" s="44"/>
      <c r="P155" s="44"/>
    </row>
    <row r="156">
      <c r="A156" s="68"/>
      <c r="B156" s="69"/>
      <c r="C156" s="69"/>
      <c r="D156" s="69"/>
      <c r="E156" s="69"/>
      <c r="F156" s="69"/>
      <c r="G156" s="69"/>
      <c r="H156" s="69"/>
      <c r="N156" s="44"/>
      <c r="O156" s="44"/>
      <c r="P156" s="44"/>
    </row>
    <row r="157">
      <c r="A157" s="68"/>
      <c r="B157" s="69"/>
      <c r="C157" s="69"/>
      <c r="D157" s="69"/>
      <c r="E157" s="69"/>
      <c r="F157" s="69"/>
      <c r="G157" s="69"/>
      <c r="H157" s="69"/>
      <c r="N157" s="44"/>
      <c r="O157" s="44"/>
      <c r="P157" s="44"/>
    </row>
    <row r="158">
      <c r="A158" s="68"/>
      <c r="B158" s="69"/>
      <c r="C158" s="69"/>
      <c r="D158" s="69"/>
      <c r="E158" s="69"/>
      <c r="F158" s="69"/>
      <c r="G158" s="69"/>
      <c r="H158" s="69"/>
      <c r="N158" s="44"/>
      <c r="O158" s="44"/>
      <c r="P158" s="44"/>
    </row>
    <row r="159">
      <c r="A159" s="68"/>
      <c r="B159" s="69"/>
      <c r="C159" s="69"/>
      <c r="D159" s="69"/>
      <c r="E159" s="69"/>
      <c r="F159" s="69"/>
      <c r="G159" s="69"/>
      <c r="H159" s="69"/>
      <c r="N159" s="44"/>
      <c r="O159" s="44"/>
      <c r="P159" s="44"/>
    </row>
    <row r="160">
      <c r="A160" s="68"/>
      <c r="B160" s="69"/>
      <c r="C160" s="69"/>
      <c r="D160" s="69"/>
      <c r="E160" s="69"/>
      <c r="F160" s="69"/>
      <c r="G160" s="69"/>
      <c r="H160" s="69"/>
      <c r="N160" s="44"/>
      <c r="O160" s="44"/>
      <c r="P160" s="44"/>
    </row>
    <row r="161">
      <c r="A161" s="68"/>
      <c r="B161" s="69"/>
      <c r="C161" s="69"/>
      <c r="D161" s="69"/>
      <c r="E161" s="69"/>
      <c r="F161" s="69"/>
      <c r="G161" s="69"/>
      <c r="H161" s="69"/>
      <c r="N161" s="44"/>
      <c r="O161" s="44"/>
      <c r="P161" s="44"/>
    </row>
    <row r="162">
      <c r="A162" s="68"/>
      <c r="B162" s="69"/>
      <c r="C162" s="69"/>
      <c r="D162" s="69"/>
      <c r="E162" s="69"/>
      <c r="F162" s="69"/>
      <c r="G162" s="69"/>
      <c r="H162" s="69"/>
      <c r="N162" s="44"/>
      <c r="O162" s="44"/>
      <c r="P162" s="44"/>
    </row>
    <row r="163">
      <c r="A163" s="68"/>
      <c r="B163" s="69"/>
      <c r="C163" s="69"/>
      <c r="D163" s="69"/>
      <c r="E163" s="69"/>
      <c r="F163" s="69"/>
      <c r="G163" s="69"/>
      <c r="H163" s="69"/>
      <c r="N163" s="44"/>
      <c r="O163" s="44"/>
      <c r="P163" s="44"/>
    </row>
    <row r="164">
      <c r="A164" s="68"/>
      <c r="B164" s="69"/>
      <c r="C164" s="69"/>
      <c r="D164" s="69"/>
      <c r="E164" s="69"/>
      <c r="F164" s="69"/>
      <c r="G164" s="69"/>
      <c r="H164" s="69"/>
      <c r="N164" s="44"/>
      <c r="O164" s="44"/>
      <c r="P164" s="44"/>
    </row>
    <row r="165">
      <c r="A165" s="68"/>
      <c r="B165" s="69"/>
      <c r="C165" s="69"/>
      <c r="D165" s="69"/>
      <c r="E165" s="69"/>
      <c r="F165" s="69"/>
      <c r="G165" s="69"/>
      <c r="H165" s="69"/>
      <c r="N165" s="44"/>
      <c r="O165" s="44"/>
      <c r="P165" s="44"/>
    </row>
    <row r="166">
      <c r="A166" s="68"/>
      <c r="B166" s="69"/>
      <c r="C166" s="69"/>
      <c r="D166" s="69"/>
      <c r="E166" s="69"/>
      <c r="F166" s="69"/>
      <c r="G166" s="69"/>
      <c r="H166" s="69"/>
      <c r="N166" s="44"/>
      <c r="O166" s="44"/>
      <c r="P166" s="44"/>
    </row>
    <row r="167">
      <c r="A167" s="68"/>
      <c r="B167" s="69"/>
      <c r="C167" s="69"/>
      <c r="D167" s="69"/>
      <c r="E167" s="69"/>
      <c r="F167" s="69"/>
      <c r="G167" s="69"/>
      <c r="H167" s="69"/>
      <c r="N167" s="44"/>
      <c r="O167" s="44"/>
      <c r="P167" s="44"/>
    </row>
    <row r="168">
      <c r="A168" s="68"/>
      <c r="B168" s="69"/>
      <c r="C168" s="69"/>
      <c r="D168" s="69"/>
      <c r="E168" s="69"/>
      <c r="F168" s="69"/>
      <c r="G168" s="69"/>
      <c r="H168" s="69"/>
      <c r="N168" s="44"/>
      <c r="O168" s="44"/>
      <c r="P168" s="44"/>
    </row>
    <row r="169">
      <c r="A169" s="68"/>
      <c r="B169" s="69"/>
      <c r="C169" s="69"/>
      <c r="D169" s="69"/>
      <c r="E169" s="69"/>
      <c r="F169" s="69"/>
      <c r="G169" s="69"/>
      <c r="H169" s="69"/>
      <c r="N169" s="44"/>
      <c r="O169" s="44"/>
      <c r="P169" s="44"/>
    </row>
    <row r="170">
      <c r="A170" s="68"/>
      <c r="B170" s="69"/>
      <c r="C170" s="69"/>
      <c r="D170" s="69"/>
      <c r="E170" s="69"/>
      <c r="F170" s="69"/>
      <c r="G170" s="69"/>
      <c r="H170" s="69"/>
      <c r="N170" s="44"/>
      <c r="O170" s="44"/>
      <c r="P170" s="44"/>
    </row>
    <row r="171">
      <c r="A171" s="68"/>
      <c r="B171" s="69"/>
      <c r="C171" s="69"/>
      <c r="D171" s="69"/>
      <c r="E171" s="69"/>
      <c r="F171" s="69"/>
      <c r="G171" s="69"/>
      <c r="H171" s="69"/>
      <c r="N171" s="44"/>
      <c r="O171" s="44"/>
      <c r="P171" s="44"/>
    </row>
    <row r="172">
      <c r="A172" s="68"/>
      <c r="B172" s="69"/>
      <c r="C172" s="69"/>
      <c r="D172" s="69"/>
      <c r="E172" s="69"/>
      <c r="F172" s="69"/>
      <c r="G172" s="69"/>
      <c r="H172" s="69"/>
      <c r="N172" s="44"/>
      <c r="O172" s="44"/>
      <c r="P172" s="44"/>
    </row>
    <row r="173">
      <c r="A173" s="68"/>
      <c r="B173" s="69"/>
      <c r="C173" s="69"/>
      <c r="D173" s="69"/>
      <c r="E173" s="69"/>
      <c r="F173" s="69"/>
      <c r="G173" s="69"/>
      <c r="H173" s="69"/>
      <c r="N173" s="44"/>
      <c r="O173" s="44"/>
      <c r="P173" s="44"/>
    </row>
    <row r="174">
      <c r="A174" s="68"/>
      <c r="B174" s="69"/>
      <c r="C174" s="69"/>
      <c r="D174" s="69"/>
      <c r="E174" s="69"/>
      <c r="F174" s="69"/>
      <c r="G174" s="69"/>
      <c r="H174" s="69"/>
      <c r="N174" s="44"/>
      <c r="O174" s="44"/>
      <c r="P174" s="44"/>
    </row>
    <row r="175">
      <c r="A175" s="68"/>
      <c r="B175" s="69"/>
      <c r="C175" s="69"/>
      <c r="D175" s="69"/>
      <c r="E175" s="69"/>
      <c r="F175" s="69"/>
      <c r="G175" s="69"/>
      <c r="H175" s="69"/>
      <c r="N175" s="44"/>
      <c r="O175" s="44"/>
      <c r="P175" s="44"/>
    </row>
    <row r="176">
      <c r="A176" s="68"/>
      <c r="B176" s="69"/>
      <c r="C176" s="69"/>
      <c r="D176" s="69"/>
      <c r="E176" s="69"/>
      <c r="F176" s="69"/>
      <c r="G176" s="69"/>
      <c r="H176" s="69"/>
      <c r="N176" s="44"/>
      <c r="O176" s="44"/>
      <c r="P176" s="44"/>
    </row>
    <row r="177">
      <c r="A177" s="68"/>
      <c r="B177" s="69"/>
      <c r="C177" s="69"/>
      <c r="D177" s="69"/>
      <c r="E177" s="69"/>
      <c r="F177" s="69"/>
      <c r="G177" s="69"/>
      <c r="H177" s="69"/>
      <c r="N177" s="44"/>
      <c r="O177" s="44"/>
      <c r="P177" s="44"/>
    </row>
    <row r="178">
      <c r="A178" s="68"/>
      <c r="B178" s="69"/>
      <c r="C178" s="69"/>
      <c r="D178" s="69"/>
      <c r="E178" s="69"/>
      <c r="F178" s="69"/>
      <c r="G178" s="69"/>
      <c r="H178" s="69"/>
      <c r="N178" s="44"/>
      <c r="O178" s="44"/>
      <c r="P178" s="44"/>
    </row>
    <row r="179">
      <c r="A179" s="68"/>
      <c r="B179" s="69"/>
      <c r="C179" s="69"/>
      <c r="D179" s="69"/>
      <c r="E179" s="69"/>
      <c r="F179" s="69"/>
      <c r="G179" s="69"/>
      <c r="H179" s="69"/>
      <c r="N179" s="44"/>
      <c r="O179" s="44"/>
      <c r="P179" s="44"/>
    </row>
    <row r="180">
      <c r="A180" s="68"/>
      <c r="B180" s="69"/>
      <c r="C180" s="69"/>
      <c r="D180" s="69"/>
      <c r="E180" s="69"/>
      <c r="F180" s="69"/>
      <c r="G180" s="69"/>
      <c r="H180" s="69"/>
      <c r="N180" s="44"/>
      <c r="O180" s="44"/>
      <c r="P180" s="44"/>
    </row>
    <row r="181">
      <c r="A181" s="68"/>
      <c r="B181" s="69"/>
      <c r="C181" s="69"/>
      <c r="D181" s="69"/>
      <c r="E181" s="69"/>
      <c r="F181" s="69"/>
      <c r="G181" s="69"/>
      <c r="H181" s="69"/>
      <c r="N181" s="44"/>
      <c r="O181" s="44"/>
      <c r="P181" s="44"/>
    </row>
    <row r="182">
      <c r="A182" s="68"/>
      <c r="B182" s="69"/>
      <c r="C182" s="69"/>
      <c r="D182" s="69"/>
      <c r="E182" s="69"/>
      <c r="F182" s="69"/>
      <c r="G182" s="69"/>
      <c r="H182" s="69"/>
      <c r="N182" s="44"/>
      <c r="O182" s="44"/>
      <c r="P182" s="44"/>
    </row>
    <row r="183">
      <c r="A183" s="68"/>
      <c r="B183" s="69"/>
      <c r="C183" s="69"/>
      <c r="D183" s="69"/>
      <c r="E183" s="69"/>
      <c r="F183" s="69"/>
      <c r="G183" s="69"/>
      <c r="H183" s="69"/>
      <c r="N183" s="44"/>
      <c r="O183" s="44"/>
      <c r="P183" s="44"/>
    </row>
    <row r="184">
      <c r="A184" s="68"/>
      <c r="B184" s="69"/>
      <c r="C184" s="69"/>
      <c r="D184" s="69"/>
      <c r="E184" s="69"/>
      <c r="F184" s="69"/>
      <c r="G184" s="69"/>
      <c r="H184" s="69"/>
      <c r="N184" s="44"/>
      <c r="O184" s="44"/>
      <c r="P184" s="44"/>
    </row>
    <row r="185">
      <c r="A185" s="68"/>
      <c r="B185" s="69"/>
      <c r="C185" s="69"/>
      <c r="D185" s="69"/>
      <c r="E185" s="69"/>
      <c r="F185" s="69"/>
      <c r="G185" s="69"/>
      <c r="H185" s="69"/>
      <c r="N185" s="44"/>
      <c r="O185" s="44"/>
      <c r="P185" s="44"/>
    </row>
    <row r="186">
      <c r="A186" s="68"/>
      <c r="B186" s="69"/>
      <c r="C186" s="69"/>
      <c r="D186" s="69"/>
      <c r="E186" s="69"/>
      <c r="F186" s="69"/>
      <c r="G186" s="69"/>
      <c r="H186" s="69"/>
      <c r="N186" s="44"/>
      <c r="O186" s="44"/>
      <c r="P186" s="44"/>
    </row>
    <row r="187">
      <c r="A187" s="68"/>
      <c r="B187" s="69"/>
      <c r="C187" s="69"/>
      <c r="D187" s="69"/>
      <c r="E187" s="69"/>
      <c r="F187" s="69"/>
      <c r="G187" s="69"/>
      <c r="H187" s="69"/>
      <c r="N187" s="44"/>
      <c r="O187" s="44"/>
      <c r="P187" s="44"/>
    </row>
    <row r="188">
      <c r="A188" s="68"/>
      <c r="B188" s="69"/>
      <c r="C188" s="69"/>
      <c r="D188" s="69"/>
      <c r="E188" s="69"/>
      <c r="F188" s="69"/>
      <c r="G188" s="69"/>
      <c r="H188" s="69"/>
      <c r="N188" s="44"/>
      <c r="O188" s="44"/>
      <c r="P188" s="44"/>
    </row>
    <row r="189">
      <c r="A189" s="68"/>
      <c r="B189" s="69"/>
      <c r="C189" s="69"/>
      <c r="D189" s="69"/>
      <c r="E189" s="69"/>
      <c r="F189" s="69"/>
      <c r="G189" s="69"/>
      <c r="H189" s="69"/>
      <c r="N189" s="44"/>
      <c r="O189" s="44"/>
      <c r="P189" s="44"/>
    </row>
    <row r="190">
      <c r="A190" s="68"/>
      <c r="B190" s="69"/>
      <c r="C190" s="69"/>
      <c r="D190" s="69"/>
      <c r="E190" s="69"/>
      <c r="F190" s="69"/>
      <c r="G190" s="69"/>
      <c r="H190" s="69"/>
      <c r="N190" s="44"/>
      <c r="O190" s="44"/>
      <c r="P190" s="44"/>
    </row>
    <row r="191">
      <c r="A191" s="68"/>
      <c r="B191" s="69"/>
      <c r="C191" s="69"/>
      <c r="D191" s="69"/>
      <c r="E191" s="69"/>
      <c r="F191" s="69"/>
      <c r="G191" s="69"/>
      <c r="H191" s="69"/>
      <c r="N191" s="44"/>
      <c r="O191" s="44"/>
      <c r="P191" s="44"/>
    </row>
    <row r="192">
      <c r="A192" s="68"/>
      <c r="B192" s="69"/>
      <c r="C192" s="69"/>
      <c r="D192" s="69"/>
      <c r="E192" s="69"/>
      <c r="F192" s="69"/>
      <c r="G192" s="69"/>
      <c r="H192" s="69"/>
      <c r="N192" s="44"/>
      <c r="O192" s="44"/>
      <c r="P192" s="44"/>
    </row>
    <row r="193">
      <c r="A193" s="68"/>
      <c r="B193" s="69"/>
      <c r="C193" s="69"/>
      <c r="D193" s="69"/>
      <c r="E193" s="69"/>
      <c r="F193" s="69"/>
      <c r="G193" s="69"/>
      <c r="H193" s="69"/>
      <c r="N193" s="44"/>
      <c r="O193" s="44"/>
      <c r="P193" s="44"/>
    </row>
    <row r="194">
      <c r="A194" s="68"/>
      <c r="B194" s="69"/>
      <c r="C194" s="69"/>
      <c r="D194" s="69"/>
      <c r="E194" s="69"/>
      <c r="F194" s="69"/>
      <c r="G194" s="69"/>
      <c r="H194" s="69"/>
      <c r="N194" s="44"/>
      <c r="O194" s="44"/>
      <c r="P194" s="44"/>
    </row>
    <row r="195">
      <c r="A195" s="68"/>
      <c r="B195" s="69"/>
      <c r="C195" s="69"/>
      <c r="D195" s="69"/>
      <c r="E195" s="69"/>
      <c r="F195" s="69"/>
      <c r="G195" s="69"/>
      <c r="H195" s="69"/>
      <c r="N195" s="44"/>
      <c r="O195" s="44"/>
      <c r="P195" s="44"/>
    </row>
    <row r="196">
      <c r="A196" s="68"/>
      <c r="B196" s="69"/>
      <c r="C196" s="69"/>
      <c r="D196" s="69"/>
      <c r="E196" s="69"/>
      <c r="F196" s="69"/>
      <c r="G196" s="69"/>
      <c r="H196" s="69"/>
      <c r="N196" s="44"/>
      <c r="O196" s="44"/>
      <c r="P196" s="44"/>
    </row>
    <row r="197">
      <c r="A197" s="68"/>
      <c r="B197" s="69"/>
      <c r="C197" s="69"/>
      <c r="D197" s="69"/>
      <c r="E197" s="69"/>
      <c r="F197" s="69"/>
      <c r="G197" s="69"/>
      <c r="H197" s="69"/>
      <c r="N197" s="44"/>
      <c r="O197" s="44"/>
      <c r="P197" s="44"/>
    </row>
    <row r="198">
      <c r="A198" s="68"/>
      <c r="B198" s="69"/>
      <c r="C198" s="69"/>
      <c r="D198" s="69"/>
      <c r="E198" s="69"/>
      <c r="F198" s="69"/>
      <c r="G198" s="69"/>
      <c r="H198" s="69"/>
      <c r="N198" s="44"/>
      <c r="O198" s="44"/>
      <c r="P198" s="44"/>
    </row>
    <row r="199">
      <c r="A199" s="68"/>
      <c r="B199" s="69"/>
      <c r="C199" s="69"/>
      <c r="D199" s="69"/>
      <c r="E199" s="69"/>
      <c r="F199" s="69"/>
      <c r="G199" s="69"/>
      <c r="H199" s="69"/>
      <c r="N199" s="44"/>
      <c r="O199" s="44"/>
      <c r="P199" s="44"/>
    </row>
    <row r="200">
      <c r="A200" s="68"/>
      <c r="B200" s="69"/>
      <c r="C200" s="69"/>
      <c r="D200" s="69"/>
      <c r="E200" s="69"/>
      <c r="F200" s="69"/>
      <c r="G200" s="69"/>
      <c r="H200" s="69"/>
      <c r="N200" s="44"/>
      <c r="O200" s="44"/>
      <c r="P200" s="44"/>
    </row>
    <row r="201">
      <c r="A201" s="68"/>
      <c r="B201" s="69"/>
      <c r="C201" s="69"/>
      <c r="D201" s="69"/>
      <c r="E201" s="69"/>
      <c r="F201" s="69"/>
      <c r="G201" s="69"/>
      <c r="H201" s="69"/>
      <c r="N201" s="44"/>
      <c r="O201" s="44"/>
      <c r="P201" s="44"/>
    </row>
    <row r="202">
      <c r="A202" s="68"/>
      <c r="B202" s="69"/>
      <c r="C202" s="69"/>
      <c r="D202" s="69"/>
      <c r="E202" s="69"/>
      <c r="F202" s="69"/>
      <c r="G202" s="69"/>
      <c r="H202" s="69"/>
      <c r="N202" s="44"/>
      <c r="O202" s="44"/>
      <c r="P202" s="44"/>
    </row>
    <row r="203">
      <c r="A203" s="68"/>
      <c r="B203" s="69"/>
      <c r="C203" s="69"/>
      <c r="D203" s="69"/>
      <c r="E203" s="69"/>
      <c r="F203" s="69"/>
      <c r="G203" s="69"/>
      <c r="H203" s="69"/>
      <c r="N203" s="44"/>
      <c r="O203" s="44"/>
      <c r="P203" s="44"/>
    </row>
    <row r="204">
      <c r="A204" s="68"/>
      <c r="B204" s="69"/>
      <c r="C204" s="69"/>
      <c r="D204" s="69"/>
      <c r="E204" s="69"/>
      <c r="F204" s="69"/>
      <c r="G204" s="69"/>
      <c r="H204" s="69"/>
      <c r="N204" s="44"/>
      <c r="O204" s="44"/>
      <c r="P204" s="44"/>
    </row>
    <row r="205">
      <c r="A205" s="68"/>
      <c r="B205" s="69"/>
      <c r="C205" s="69"/>
      <c r="D205" s="69"/>
      <c r="E205" s="69"/>
      <c r="F205" s="69"/>
      <c r="G205" s="69"/>
      <c r="H205" s="69"/>
      <c r="N205" s="44"/>
      <c r="O205" s="44"/>
      <c r="P205" s="44"/>
    </row>
    <row r="206">
      <c r="A206" s="68"/>
      <c r="B206" s="69"/>
      <c r="C206" s="69"/>
      <c r="D206" s="69"/>
      <c r="E206" s="69"/>
      <c r="F206" s="69"/>
      <c r="G206" s="69"/>
      <c r="H206" s="69"/>
      <c r="N206" s="44"/>
      <c r="O206" s="44"/>
      <c r="P206" s="44"/>
    </row>
    <row r="207">
      <c r="A207" s="68"/>
      <c r="B207" s="69"/>
      <c r="C207" s="69"/>
      <c r="D207" s="69"/>
      <c r="E207" s="69"/>
      <c r="F207" s="69"/>
      <c r="G207" s="69"/>
      <c r="H207" s="69"/>
      <c r="N207" s="44"/>
      <c r="O207" s="44"/>
      <c r="P207" s="44"/>
    </row>
    <row r="208">
      <c r="A208" s="68"/>
      <c r="B208" s="69"/>
      <c r="C208" s="69"/>
      <c r="D208" s="69"/>
      <c r="E208" s="69"/>
      <c r="F208" s="69"/>
      <c r="G208" s="69"/>
      <c r="H208" s="69"/>
      <c r="N208" s="44"/>
      <c r="O208" s="44"/>
      <c r="P208" s="44"/>
    </row>
    <row r="209">
      <c r="A209" s="68"/>
      <c r="B209" s="69"/>
      <c r="C209" s="69"/>
      <c r="D209" s="69"/>
      <c r="E209" s="69"/>
      <c r="F209" s="69"/>
      <c r="G209" s="69"/>
      <c r="H209" s="69"/>
      <c r="N209" s="44"/>
      <c r="O209" s="44"/>
      <c r="P209" s="44"/>
    </row>
    <row r="210">
      <c r="A210" s="68"/>
      <c r="B210" s="69"/>
      <c r="C210" s="69"/>
      <c r="D210" s="69"/>
      <c r="E210" s="69"/>
      <c r="F210" s="69"/>
      <c r="G210" s="69"/>
      <c r="H210" s="69"/>
      <c r="N210" s="44"/>
      <c r="O210" s="44"/>
      <c r="P210" s="44"/>
    </row>
    <row r="211">
      <c r="A211" s="68"/>
      <c r="B211" s="69"/>
      <c r="C211" s="69"/>
      <c r="D211" s="69"/>
      <c r="E211" s="69"/>
      <c r="F211" s="69"/>
      <c r="G211" s="69"/>
      <c r="H211" s="69"/>
      <c r="N211" s="44"/>
      <c r="O211" s="44"/>
      <c r="P211" s="44"/>
    </row>
    <row r="212">
      <c r="A212" s="68"/>
      <c r="B212" s="69"/>
      <c r="C212" s="69"/>
      <c r="D212" s="69"/>
      <c r="E212" s="69"/>
      <c r="F212" s="69"/>
      <c r="G212" s="69"/>
      <c r="H212" s="69"/>
      <c r="N212" s="44"/>
      <c r="O212" s="44"/>
      <c r="P212" s="44"/>
    </row>
    <row r="213">
      <c r="A213" s="68"/>
      <c r="B213" s="69"/>
      <c r="C213" s="69"/>
      <c r="D213" s="69"/>
      <c r="E213" s="69"/>
      <c r="F213" s="69"/>
      <c r="G213" s="69"/>
      <c r="H213" s="69"/>
      <c r="N213" s="44"/>
      <c r="O213" s="44"/>
      <c r="P213" s="44"/>
    </row>
    <row r="214">
      <c r="A214" s="68"/>
      <c r="B214" s="69"/>
      <c r="C214" s="69"/>
      <c r="D214" s="69"/>
      <c r="E214" s="69"/>
      <c r="F214" s="69"/>
      <c r="G214" s="69"/>
      <c r="H214" s="69"/>
      <c r="N214" s="44"/>
      <c r="O214" s="44"/>
      <c r="P214" s="44"/>
    </row>
    <row r="215">
      <c r="A215" s="68"/>
      <c r="B215" s="69"/>
      <c r="C215" s="69"/>
      <c r="D215" s="69"/>
      <c r="E215" s="69"/>
      <c r="F215" s="69"/>
      <c r="G215" s="69"/>
      <c r="H215" s="69"/>
      <c r="N215" s="44"/>
      <c r="O215" s="44"/>
      <c r="P215" s="44"/>
    </row>
    <row r="216">
      <c r="A216" s="68"/>
      <c r="B216" s="69"/>
      <c r="C216" s="69"/>
      <c r="D216" s="69"/>
      <c r="E216" s="69"/>
      <c r="F216" s="69"/>
      <c r="G216" s="69"/>
      <c r="H216" s="69"/>
      <c r="N216" s="44"/>
      <c r="O216" s="44"/>
      <c r="P216" s="44"/>
    </row>
    <row r="217">
      <c r="A217" s="68"/>
      <c r="B217" s="69"/>
      <c r="C217" s="69"/>
      <c r="D217" s="69"/>
      <c r="E217" s="69"/>
      <c r="F217" s="69"/>
      <c r="G217" s="69"/>
      <c r="H217" s="69"/>
      <c r="N217" s="44"/>
      <c r="O217" s="44"/>
      <c r="P217" s="44"/>
    </row>
    <row r="218">
      <c r="A218" s="68"/>
      <c r="B218" s="69"/>
      <c r="C218" s="69"/>
      <c r="D218" s="69"/>
      <c r="E218" s="69"/>
      <c r="F218" s="69"/>
      <c r="G218" s="69"/>
      <c r="H218" s="69"/>
      <c r="N218" s="44"/>
      <c r="O218" s="44"/>
      <c r="P218" s="44"/>
    </row>
    <row r="219">
      <c r="A219" s="68"/>
      <c r="B219" s="69"/>
      <c r="C219" s="69"/>
      <c r="D219" s="69"/>
      <c r="E219" s="69"/>
      <c r="F219" s="69"/>
      <c r="G219" s="69"/>
      <c r="H219" s="69"/>
      <c r="N219" s="44"/>
      <c r="O219" s="44"/>
      <c r="P219" s="44"/>
    </row>
    <row r="220">
      <c r="A220" s="68"/>
      <c r="B220" s="69"/>
      <c r="C220" s="69"/>
      <c r="D220" s="69"/>
      <c r="E220" s="69"/>
      <c r="F220" s="69"/>
      <c r="G220" s="69"/>
      <c r="H220" s="69"/>
      <c r="N220" s="44"/>
      <c r="O220" s="44"/>
      <c r="P220" s="44"/>
    </row>
    <row r="221">
      <c r="A221" s="68"/>
      <c r="B221" s="69"/>
      <c r="C221" s="69"/>
      <c r="D221" s="69"/>
      <c r="E221" s="69"/>
      <c r="F221" s="69"/>
      <c r="G221" s="69"/>
      <c r="H221" s="69"/>
      <c r="N221" s="44"/>
      <c r="O221" s="44"/>
      <c r="P221" s="44"/>
    </row>
    <row r="222">
      <c r="A222" s="68"/>
      <c r="B222" s="69"/>
      <c r="C222" s="69"/>
      <c r="D222" s="69"/>
      <c r="E222" s="69"/>
      <c r="F222" s="69"/>
      <c r="G222" s="69"/>
      <c r="H222" s="69"/>
      <c r="N222" s="44"/>
      <c r="O222" s="44"/>
      <c r="P222" s="44"/>
    </row>
    <row r="223">
      <c r="A223" s="68"/>
      <c r="B223" s="69"/>
      <c r="C223" s="69"/>
      <c r="D223" s="69"/>
      <c r="E223" s="69"/>
      <c r="F223" s="69"/>
      <c r="G223" s="69"/>
      <c r="H223" s="69"/>
      <c r="N223" s="44"/>
      <c r="O223" s="44"/>
      <c r="P223" s="44"/>
    </row>
    <row r="224">
      <c r="A224" s="68"/>
      <c r="B224" s="69"/>
      <c r="C224" s="69"/>
      <c r="D224" s="69"/>
      <c r="E224" s="69"/>
      <c r="F224" s="69"/>
      <c r="G224" s="69"/>
      <c r="H224" s="69"/>
      <c r="N224" s="44"/>
      <c r="O224" s="44"/>
      <c r="P224" s="44"/>
    </row>
    <row r="225">
      <c r="A225" s="68"/>
      <c r="B225" s="69"/>
      <c r="C225" s="69"/>
      <c r="D225" s="69"/>
      <c r="E225" s="69"/>
      <c r="F225" s="69"/>
      <c r="G225" s="69"/>
      <c r="H225" s="69"/>
      <c r="N225" s="44"/>
      <c r="O225" s="44"/>
      <c r="P225" s="44"/>
    </row>
    <row r="226">
      <c r="A226" s="68"/>
      <c r="B226" s="69"/>
      <c r="C226" s="69"/>
      <c r="D226" s="69"/>
      <c r="E226" s="69"/>
      <c r="F226" s="69"/>
      <c r="G226" s="69"/>
      <c r="H226" s="69"/>
      <c r="N226" s="44"/>
      <c r="O226" s="44"/>
      <c r="P226" s="44"/>
    </row>
    <row r="227">
      <c r="A227" s="68"/>
      <c r="B227" s="69"/>
      <c r="C227" s="69"/>
      <c r="D227" s="69"/>
      <c r="E227" s="69"/>
      <c r="F227" s="69"/>
      <c r="G227" s="69"/>
      <c r="H227" s="69"/>
      <c r="N227" s="44"/>
      <c r="O227" s="44"/>
      <c r="P227" s="44"/>
    </row>
    <row r="228">
      <c r="A228" s="68"/>
      <c r="B228" s="69"/>
      <c r="C228" s="69"/>
      <c r="D228" s="69"/>
      <c r="E228" s="69"/>
      <c r="F228" s="69"/>
      <c r="G228" s="69"/>
      <c r="H228" s="69"/>
      <c r="N228" s="44"/>
      <c r="O228" s="44"/>
      <c r="P228" s="44"/>
    </row>
    <row r="229">
      <c r="A229" s="68"/>
      <c r="B229" s="69"/>
      <c r="C229" s="69"/>
      <c r="D229" s="69"/>
      <c r="E229" s="69"/>
      <c r="F229" s="69"/>
      <c r="G229" s="69"/>
      <c r="H229" s="69"/>
      <c r="N229" s="44"/>
      <c r="O229" s="44"/>
      <c r="P229" s="44"/>
    </row>
    <row r="230">
      <c r="A230" s="68"/>
      <c r="B230" s="69"/>
      <c r="C230" s="69"/>
      <c r="D230" s="69"/>
      <c r="E230" s="69"/>
      <c r="F230" s="69"/>
      <c r="G230" s="69"/>
      <c r="H230" s="69"/>
      <c r="N230" s="44"/>
      <c r="O230" s="44"/>
      <c r="P230" s="44"/>
    </row>
    <row r="231">
      <c r="A231" s="68"/>
      <c r="B231" s="69"/>
      <c r="C231" s="69"/>
      <c r="D231" s="69"/>
      <c r="E231" s="69"/>
      <c r="F231" s="69"/>
      <c r="G231" s="69"/>
      <c r="H231" s="69"/>
      <c r="N231" s="44"/>
      <c r="O231" s="44"/>
      <c r="P231" s="44"/>
    </row>
    <row r="232">
      <c r="A232" s="68"/>
      <c r="B232" s="69"/>
      <c r="C232" s="69"/>
      <c r="D232" s="69"/>
      <c r="E232" s="69"/>
      <c r="F232" s="69"/>
      <c r="G232" s="69"/>
      <c r="H232" s="69"/>
      <c r="N232" s="44"/>
      <c r="O232" s="44"/>
      <c r="P232" s="44"/>
    </row>
    <row r="233">
      <c r="A233" s="68"/>
      <c r="B233" s="69"/>
      <c r="C233" s="69"/>
      <c r="D233" s="69"/>
      <c r="E233" s="69"/>
      <c r="F233" s="69"/>
      <c r="G233" s="69"/>
      <c r="H233" s="69"/>
      <c r="N233" s="44"/>
      <c r="O233" s="44"/>
      <c r="P233" s="44"/>
    </row>
    <row r="234">
      <c r="A234" s="68"/>
      <c r="B234" s="69"/>
      <c r="C234" s="69"/>
      <c r="D234" s="69"/>
      <c r="E234" s="69"/>
      <c r="F234" s="69"/>
      <c r="G234" s="69"/>
      <c r="H234" s="69"/>
      <c r="N234" s="44"/>
      <c r="O234" s="44"/>
      <c r="P234" s="44"/>
    </row>
    <row r="235">
      <c r="A235" s="68"/>
      <c r="B235" s="69"/>
      <c r="C235" s="69"/>
      <c r="D235" s="69"/>
      <c r="E235" s="69"/>
      <c r="F235" s="69"/>
      <c r="G235" s="69"/>
      <c r="H235" s="69"/>
      <c r="N235" s="44"/>
      <c r="O235" s="44"/>
      <c r="P235" s="44"/>
    </row>
    <row r="236">
      <c r="A236" s="68"/>
      <c r="B236" s="69"/>
      <c r="C236" s="69"/>
      <c r="D236" s="69"/>
      <c r="E236" s="69"/>
      <c r="F236" s="69"/>
      <c r="G236" s="69"/>
      <c r="H236" s="69"/>
      <c r="N236" s="44"/>
      <c r="O236" s="44"/>
      <c r="P236" s="44"/>
    </row>
    <row r="237">
      <c r="A237" s="68"/>
      <c r="B237" s="69"/>
      <c r="C237" s="69"/>
      <c r="D237" s="69"/>
      <c r="E237" s="69"/>
      <c r="F237" s="69"/>
      <c r="G237" s="69"/>
      <c r="H237" s="69"/>
      <c r="N237" s="44"/>
      <c r="O237" s="44"/>
      <c r="P237" s="44"/>
    </row>
    <row r="238">
      <c r="A238" s="68"/>
      <c r="B238" s="69"/>
      <c r="C238" s="69"/>
      <c r="D238" s="69"/>
      <c r="E238" s="69"/>
      <c r="F238" s="69"/>
      <c r="G238" s="69"/>
      <c r="H238" s="69"/>
      <c r="N238" s="44"/>
      <c r="O238" s="44"/>
      <c r="P238" s="44"/>
    </row>
    <row r="239">
      <c r="A239" s="68"/>
      <c r="B239" s="69"/>
      <c r="C239" s="69"/>
      <c r="D239" s="69"/>
      <c r="E239" s="69"/>
      <c r="F239" s="69"/>
      <c r="G239" s="69"/>
      <c r="H239" s="69"/>
      <c r="N239" s="44"/>
      <c r="O239" s="44"/>
      <c r="P239" s="44"/>
    </row>
    <row r="240">
      <c r="A240" s="68"/>
      <c r="B240" s="69"/>
      <c r="C240" s="69"/>
      <c r="D240" s="69"/>
      <c r="E240" s="69"/>
      <c r="F240" s="69"/>
      <c r="G240" s="69"/>
      <c r="H240" s="69"/>
      <c r="N240" s="44"/>
      <c r="O240" s="44"/>
      <c r="P240" s="44"/>
    </row>
    <row r="241">
      <c r="A241" s="68"/>
      <c r="B241" s="69"/>
      <c r="C241" s="69"/>
      <c r="D241" s="69"/>
      <c r="E241" s="69"/>
      <c r="F241" s="69"/>
      <c r="G241" s="69"/>
      <c r="H241" s="69"/>
      <c r="N241" s="44"/>
      <c r="O241" s="44"/>
      <c r="P241" s="44"/>
    </row>
    <row r="242">
      <c r="A242" s="68"/>
      <c r="B242" s="69"/>
      <c r="C242" s="69"/>
      <c r="D242" s="69"/>
      <c r="E242" s="69"/>
      <c r="F242" s="69"/>
      <c r="G242" s="69"/>
      <c r="H242" s="69"/>
      <c r="N242" s="44"/>
      <c r="O242" s="44"/>
      <c r="P242" s="44"/>
    </row>
    <row r="243">
      <c r="A243" s="68"/>
      <c r="B243" s="69"/>
      <c r="C243" s="69"/>
      <c r="D243" s="69"/>
      <c r="E243" s="69"/>
      <c r="F243" s="69"/>
      <c r="G243" s="69"/>
      <c r="H243" s="69"/>
      <c r="N243" s="44"/>
      <c r="O243" s="44"/>
      <c r="P243" s="44"/>
    </row>
    <row r="244">
      <c r="A244" s="68"/>
      <c r="B244" s="69"/>
      <c r="C244" s="69"/>
      <c r="D244" s="69"/>
      <c r="E244" s="69"/>
      <c r="F244" s="69"/>
      <c r="G244" s="69"/>
      <c r="H244" s="69"/>
      <c r="N244" s="44"/>
      <c r="O244" s="44"/>
      <c r="P244" s="44"/>
    </row>
    <row r="245">
      <c r="A245" s="68"/>
      <c r="B245" s="69"/>
      <c r="C245" s="69"/>
      <c r="D245" s="69"/>
      <c r="E245" s="69"/>
      <c r="F245" s="69"/>
      <c r="G245" s="69"/>
      <c r="H245" s="69"/>
      <c r="N245" s="44"/>
      <c r="O245" s="44"/>
      <c r="P245" s="44"/>
    </row>
    <row r="246">
      <c r="A246" s="68"/>
      <c r="B246" s="69"/>
      <c r="C246" s="69"/>
      <c r="D246" s="69"/>
      <c r="E246" s="69"/>
      <c r="F246" s="69"/>
      <c r="G246" s="69"/>
      <c r="H246" s="69"/>
      <c r="N246" s="44"/>
      <c r="O246" s="44"/>
      <c r="P246" s="44"/>
    </row>
    <row r="247">
      <c r="A247" s="68"/>
      <c r="B247" s="69"/>
      <c r="C247" s="69"/>
      <c r="D247" s="69"/>
      <c r="E247" s="69"/>
      <c r="F247" s="69"/>
      <c r="G247" s="69"/>
      <c r="H247" s="69"/>
      <c r="N247" s="44"/>
      <c r="O247" s="44"/>
      <c r="P247" s="44"/>
    </row>
    <row r="248">
      <c r="A248" s="68"/>
      <c r="B248" s="69"/>
      <c r="C248" s="69"/>
      <c r="D248" s="69"/>
      <c r="E248" s="69"/>
      <c r="F248" s="69"/>
      <c r="G248" s="69"/>
      <c r="H248" s="69"/>
      <c r="N248" s="44"/>
      <c r="O248" s="44"/>
      <c r="P248" s="44"/>
    </row>
    <row r="249">
      <c r="A249" s="68"/>
      <c r="B249" s="69"/>
      <c r="C249" s="69"/>
      <c r="D249" s="69"/>
      <c r="E249" s="69"/>
      <c r="F249" s="69"/>
      <c r="G249" s="69"/>
      <c r="H249" s="69"/>
      <c r="N249" s="44"/>
      <c r="O249" s="44"/>
      <c r="P249" s="44"/>
    </row>
    <row r="250">
      <c r="A250" s="68"/>
      <c r="B250" s="69"/>
      <c r="C250" s="69"/>
      <c r="D250" s="69"/>
      <c r="E250" s="69"/>
      <c r="F250" s="69"/>
      <c r="G250" s="69"/>
      <c r="H250" s="69"/>
      <c r="N250" s="44"/>
      <c r="O250" s="44"/>
      <c r="P250" s="44"/>
    </row>
    <row r="251">
      <c r="A251" s="68"/>
      <c r="B251" s="69"/>
      <c r="C251" s="69"/>
      <c r="D251" s="69"/>
      <c r="E251" s="69"/>
      <c r="F251" s="69"/>
      <c r="G251" s="69"/>
      <c r="H251" s="69"/>
      <c r="N251" s="44"/>
      <c r="O251" s="44"/>
      <c r="P251" s="44"/>
    </row>
    <row r="252">
      <c r="A252" s="68"/>
      <c r="B252" s="69"/>
      <c r="C252" s="69"/>
      <c r="D252" s="69"/>
      <c r="E252" s="69"/>
      <c r="F252" s="69"/>
      <c r="G252" s="69"/>
      <c r="H252" s="69"/>
      <c r="N252" s="44"/>
      <c r="O252" s="44"/>
      <c r="P252" s="44"/>
    </row>
    <row r="253">
      <c r="A253" s="68"/>
      <c r="B253" s="69"/>
      <c r="C253" s="69"/>
      <c r="D253" s="69"/>
      <c r="E253" s="69"/>
      <c r="F253" s="69"/>
      <c r="G253" s="69"/>
      <c r="H253" s="69"/>
      <c r="N253" s="44"/>
      <c r="O253" s="44"/>
      <c r="P253" s="44"/>
    </row>
    <row r="254">
      <c r="A254" s="68"/>
      <c r="B254" s="69"/>
      <c r="C254" s="69"/>
      <c r="D254" s="69"/>
      <c r="E254" s="69"/>
      <c r="F254" s="69"/>
      <c r="G254" s="69"/>
      <c r="H254" s="69"/>
      <c r="N254" s="44"/>
      <c r="O254" s="44"/>
      <c r="P254" s="44"/>
    </row>
    <row r="255">
      <c r="A255" s="68"/>
      <c r="B255" s="69"/>
      <c r="C255" s="69"/>
      <c r="D255" s="69"/>
      <c r="E255" s="69"/>
      <c r="F255" s="69"/>
      <c r="G255" s="69"/>
      <c r="H255" s="69"/>
      <c r="N255" s="44"/>
      <c r="O255" s="44"/>
      <c r="P255" s="44"/>
    </row>
    <row r="256">
      <c r="A256" s="68"/>
      <c r="B256" s="69"/>
      <c r="C256" s="69"/>
      <c r="D256" s="69"/>
      <c r="E256" s="69"/>
      <c r="F256" s="69"/>
      <c r="G256" s="69"/>
      <c r="H256" s="69"/>
      <c r="N256" s="44"/>
      <c r="O256" s="44"/>
      <c r="P256" s="44"/>
    </row>
    <row r="257">
      <c r="A257" s="68"/>
      <c r="B257" s="69"/>
      <c r="C257" s="69"/>
      <c r="D257" s="69"/>
      <c r="E257" s="69"/>
      <c r="F257" s="69"/>
      <c r="G257" s="69"/>
      <c r="H257" s="69"/>
      <c r="N257" s="44"/>
      <c r="O257" s="44"/>
      <c r="P257" s="44"/>
    </row>
    <row r="258">
      <c r="A258" s="68"/>
      <c r="B258" s="69"/>
      <c r="C258" s="69"/>
      <c r="D258" s="69"/>
      <c r="E258" s="69"/>
      <c r="F258" s="69"/>
      <c r="G258" s="69"/>
      <c r="H258" s="69"/>
      <c r="N258" s="44"/>
      <c r="O258" s="44"/>
      <c r="P258" s="44"/>
    </row>
    <row r="259">
      <c r="A259" s="68"/>
      <c r="B259" s="69"/>
      <c r="C259" s="69"/>
      <c r="D259" s="69"/>
      <c r="E259" s="69"/>
      <c r="F259" s="69"/>
      <c r="G259" s="69"/>
      <c r="H259" s="69"/>
      <c r="N259" s="44"/>
      <c r="O259" s="44"/>
      <c r="P259" s="44"/>
    </row>
    <row r="260">
      <c r="A260" s="68"/>
      <c r="B260" s="69"/>
      <c r="C260" s="69"/>
      <c r="D260" s="69"/>
      <c r="E260" s="69"/>
      <c r="F260" s="69"/>
      <c r="G260" s="69"/>
      <c r="H260" s="69"/>
      <c r="N260" s="44"/>
      <c r="O260" s="44"/>
      <c r="P260" s="44"/>
    </row>
    <row r="261">
      <c r="A261" s="68"/>
      <c r="B261" s="69"/>
      <c r="C261" s="69"/>
      <c r="D261" s="69"/>
      <c r="E261" s="69"/>
      <c r="F261" s="69"/>
      <c r="G261" s="69"/>
      <c r="H261" s="69"/>
      <c r="N261" s="44"/>
      <c r="O261" s="44"/>
      <c r="P261" s="44"/>
    </row>
    <row r="262">
      <c r="A262" s="68"/>
      <c r="B262" s="69"/>
      <c r="C262" s="69"/>
      <c r="D262" s="69"/>
      <c r="E262" s="69"/>
      <c r="F262" s="69"/>
      <c r="G262" s="69"/>
      <c r="H262" s="69"/>
      <c r="N262" s="44"/>
      <c r="O262" s="44"/>
      <c r="P262" s="44"/>
    </row>
    <row r="263">
      <c r="A263" s="68"/>
      <c r="B263" s="69"/>
      <c r="C263" s="69"/>
      <c r="D263" s="69"/>
      <c r="E263" s="69"/>
      <c r="F263" s="69"/>
      <c r="G263" s="69"/>
      <c r="H263" s="69"/>
      <c r="N263" s="44"/>
      <c r="O263" s="44"/>
      <c r="P263" s="44"/>
    </row>
    <row r="264">
      <c r="A264" s="68"/>
      <c r="B264" s="69"/>
      <c r="C264" s="69"/>
      <c r="D264" s="69"/>
      <c r="E264" s="69"/>
      <c r="F264" s="69"/>
      <c r="G264" s="69"/>
      <c r="H264" s="69"/>
      <c r="N264" s="44"/>
      <c r="O264" s="44"/>
      <c r="P264" s="44"/>
    </row>
    <row r="265">
      <c r="A265" s="68"/>
      <c r="B265" s="69"/>
      <c r="C265" s="69"/>
      <c r="D265" s="69"/>
      <c r="E265" s="69"/>
      <c r="F265" s="69"/>
      <c r="G265" s="69"/>
      <c r="H265" s="69"/>
      <c r="N265" s="44"/>
      <c r="O265" s="44"/>
      <c r="P265" s="44"/>
    </row>
    <row r="266">
      <c r="A266" s="68"/>
      <c r="B266" s="69"/>
      <c r="C266" s="69"/>
      <c r="D266" s="69"/>
      <c r="E266" s="69"/>
      <c r="F266" s="69"/>
      <c r="G266" s="69"/>
      <c r="H266" s="69"/>
      <c r="N266" s="44"/>
      <c r="O266" s="44"/>
      <c r="P266" s="44"/>
    </row>
    <row r="267">
      <c r="A267" s="68"/>
      <c r="B267" s="69"/>
      <c r="C267" s="69"/>
      <c r="D267" s="69"/>
      <c r="E267" s="69"/>
      <c r="F267" s="69"/>
      <c r="G267" s="69"/>
      <c r="H267" s="69"/>
      <c r="N267" s="44"/>
      <c r="O267" s="44"/>
      <c r="P267" s="44"/>
    </row>
    <row r="268">
      <c r="A268" s="68"/>
      <c r="B268" s="69"/>
      <c r="C268" s="69"/>
      <c r="D268" s="69"/>
      <c r="E268" s="69"/>
      <c r="F268" s="69"/>
      <c r="G268" s="69"/>
      <c r="H268" s="69"/>
      <c r="N268" s="44"/>
      <c r="O268" s="44"/>
      <c r="P268" s="44"/>
    </row>
    <row r="269">
      <c r="A269" s="68"/>
      <c r="B269" s="69"/>
      <c r="C269" s="69"/>
      <c r="D269" s="69"/>
      <c r="E269" s="69"/>
      <c r="F269" s="69"/>
      <c r="G269" s="69"/>
      <c r="H269" s="69"/>
      <c r="N269" s="44"/>
      <c r="O269" s="44"/>
      <c r="P269" s="44"/>
    </row>
    <row r="270">
      <c r="A270" s="68"/>
      <c r="B270" s="69"/>
      <c r="C270" s="69"/>
      <c r="D270" s="69"/>
      <c r="E270" s="69"/>
      <c r="F270" s="69"/>
      <c r="G270" s="69"/>
      <c r="H270" s="69"/>
      <c r="N270" s="44"/>
      <c r="O270" s="44"/>
      <c r="P270" s="44"/>
    </row>
    <row r="271">
      <c r="A271" s="68"/>
      <c r="B271" s="69"/>
      <c r="C271" s="69"/>
      <c r="D271" s="69"/>
      <c r="E271" s="69"/>
      <c r="F271" s="69"/>
      <c r="G271" s="69"/>
      <c r="H271" s="69"/>
      <c r="N271" s="44"/>
      <c r="O271" s="44"/>
      <c r="P271" s="44"/>
    </row>
    <row r="272">
      <c r="A272" s="68"/>
      <c r="B272" s="69"/>
      <c r="C272" s="69"/>
      <c r="D272" s="69"/>
      <c r="E272" s="69"/>
      <c r="F272" s="69"/>
      <c r="G272" s="69"/>
      <c r="H272" s="69"/>
      <c r="N272" s="44"/>
      <c r="O272" s="44"/>
      <c r="P272" s="44"/>
    </row>
    <row r="273">
      <c r="A273" s="68"/>
      <c r="B273" s="69"/>
      <c r="C273" s="69"/>
      <c r="D273" s="69"/>
      <c r="E273" s="69"/>
      <c r="F273" s="69"/>
      <c r="G273" s="69"/>
      <c r="H273" s="69"/>
      <c r="N273" s="44"/>
      <c r="O273" s="44"/>
      <c r="P273" s="44"/>
    </row>
    <row r="274">
      <c r="A274" s="68"/>
      <c r="B274" s="69"/>
      <c r="C274" s="69"/>
      <c r="D274" s="69"/>
      <c r="E274" s="69"/>
      <c r="F274" s="69"/>
      <c r="G274" s="69"/>
      <c r="H274" s="69"/>
      <c r="N274" s="44"/>
      <c r="O274" s="44"/>
      <c r="P274" s="44"/>
    </row>
    <row r="275">
      <c r="A275" s="68"/>
      <c r="B275" s="69"/>
      <c r="C275" s="69"/>
      <c r="D275" s="69"/>
      <c r="E275" s="69"/>
      <c r="F275" s="69"/>
      <c r="G275" s="69"/>
      <c r="H275" s="69"/>
      <c r="N275" s="44"/>
      <c r="O275" s="44"/>
      <c r="P275" s="44"/>
    </row>
    <row r="276">
      <c r="A276" s="68"/>
      <c r="B276" s="69"/>
      <c r="C276" s="69"/>
      <c r="D276" s="69"/>
      <c r="E276" s="69"/>
      <c r="F276" s="69"/>
      <c r="G276" s="69"/>
      <c r="H276" s="69"/>
      <c r="N276" s="44"/>
      <c r="O276" s="44"/>
      <c r="P276" s="44"/>
    </row>
    <row r="277">
      <c r="A277" s="68"/>
      <c r="B277" s="69"/>
      <c r="C277" s="69"/>
      <c r="D277" s="69"/>
      <c r="E277" s="69"/>
      <c r="F277" s="69"/>
      <c r="G277" s="69"/>
      <c r="H277" s="69"/>
      <c r="N277" s="44"/>
      <c r="O277" s="44"/>
      <c r="P277" s="44"/>
    </row>
    <row r="278">
      <c r="A278" s="68"/>
      <c r="B278" s="69"/>
      <c r="C278" s="69"/>
      <c r="D278" s="69"/>
      <c r="E278" s="69"/>
      <c r="F278" s="69"/>
      <c r="G278" s="69"/>
      <c r="H278" s="69"/>
      <c r="N278" s="44"/>
      <c r="O278" s="44"/>
      <c r="P278" s="44"/>
    </row>
    <row r="279">
      <c r="A279" s="68"/>
      <c r="B279" s="69"/>
      <c r="C279" s="69"/>
      <c r="D279" s="69"/>
      <c r="E279" s="69"/>
      <c r="F279" s="69"/>
      <c r="G279" s="69"/>
      <c r="H279" s="69"/>
      <c r="N279" s="44"/>
      <c r="O279" s="44"/>
      <c r="P279" s="44"/>
    </row>
    <row r="280">
      <c r="A280" s="68"/>
      <c r="B280" s="69"/>
      <c r="C280" s="69"/>
      <c r="D280" s="69"/>
      <c r="E280" s="69"/>
      <c r="F280" s="69"/>
      <c r="G280" s="69"/>
      <c r="H280" s="69"/>
      <c r="N280" s="44"/>
      <c r="O280" s="44"/>
      <c r="P280" s="44"/>
    </row>
    <row r="281">
      <c r="A281" s="68"/>
      <c r="B281" s="69"/>
      <c r="C281" s="69"/>
      <c r="D281" s="69"/>
      <c r="E281" s="69"/>
      <c r="F281" s="69"/>
      <c r="G281" s="69"/>
      <c r="H281" s="69"/>
      <c r="N281" s="44"/>
      <c r="O281" s="44"/>
      <c r="P281" s="44"/>
    </row>
    <row r="282">
      <c r="A282" s="68"/>
      <c r="B282" s="69"/>
      <c r="C282" s="69"/>
      <c r="D282" s="69"/>
      <c r="E282" s="69"/>
      <c r="F282" s="69"/>
      <c r="G282" s="69"/>
      <c r="H282" s="69"/>
      <c r="N282" s="44"/>
      <c r="O282" s="44"/>
      <c r="P282" s="44"/>
    </row>
    <row r="283">
      <c r="A283" s="68"/>
      <c r="B283" s="69"/>
      <c r="C283" s="69"/>
      <c r="D283" s="69"/>
      <c r="E283" s="69"/>
      <c r="F283" s="69"/>
      <c r="G283" s="69"/>
      <c r="H283" s="69"/>
      <c r="N283" s="44"/>
      <c r="O283" s="44"/>
      <c r="P283" s="44"/>
    </row>
    <row r="284">
      <c r="A284" s="68"/>
      <c r="B284" s="69"/>
      <c r="C284" s="69"/>
      <c r="D284" s="69"/>
      <c r="E284" s="69"/>
      <c r="F284" s="69"/>
      <c r="G284" s="69"/>
      <c r="H284" s="69"/>
      <c r="N284" s="44"/>
      <c r="O284" s="44"/>
      <c r="P284" s="44"/>
    </row>
    <row r="285">
      <c r="A285" s="68"/>
      <c r="B285" s="69"/>
      <c r="C285" s="69"/>
      <c r="D285" s="69"/>
      <c r="E285" s="69"/>
      <c r="F285" s="69"/>
      <c r="G285" s="69"/>
      <c r="H285" s="69"/>
      <c r="N285" s="44"/>
      <c r="O285" s="44"/>
      <c r="P285" s="44"/>
    </row>
    <row r="286">
      <c r="A286" s="68"/>
      <c r="B286" s="69"/>
      <c r="C286" s="69"/>
      <c r="D286" s="69"/>
      <c r="E286" s="69"/>
      <c r="F286" s="69"/>
      <c r="G286" s="69"/>
      <c r="H286" s="69"/>
      <c r="N286" s="44"/>
      <c r="O286" s="44"/>
      <c r="P286" s="44"/>
    </row>
    <row r="287">
      <c r="A287" s="68"/>
      <c r="B287" s="69"/>
      <c r="C287" s="69"/>
      <c r="D287" s="69"/>
      <c r="E287" s="69"/>
      <c r="F287" s="69"/>
      <c r="G287" s="69"/>
      <c r="H287" s="69"/>
      <c r="N287" s="44"/>
      <c r="O287" s="44"/>
      <c r="P287" s="44"/>
    </row>
    <row r="288">
      <c r="A288" s="68"/>
      <c r="B288" s="69"/>
      <c r="C288" s="69"/>
      <c r="D288" s="69"/>
      <c r="E288" s="69"/>
      <c r="F288" s="69"/>
      <c r="G288" s="69"/>
      <c r="H288" s="69"/>
      <c r="N288" s="44"/>
      <c r="O288" s="44"/>
      <c r="P288" s="44"/>
    </row>
    <row r="289">
      <c r="A289" s="68"/>
      <c r="B289" s="69"/>
      <c r="C289" s="69"/>
      <c r="D289" s="69"/>
      <c r="E289" s="69"/>
      <c r="F289" s="69"/>
      <c r="G289" s="69"/>
      <c r="H289" s="69"/>
      <c r="N289" s="44"/>
      <c r="O289" s="44"/>
      <c r="P289" s="44"/>
    </row>
    <row r="290">
      <c r="A290" s="68"/>
      <c r="B290" s="69"/>
      <c r="C290" s="69"/>
      <c r="D290" s="69"/>
      <c r="E290" s="69"/>
      <c r="F290" s="69"/>
      <c r="G290" s="69"/>
      <c r="H290" s="69"/>
      <c r="N290" s="44"/>
      <c r="O290" s="44"/>
      <c r="P290" s="44"/>
    </row>
    <row r="291">
      <c r="A291" s="68"/>
      <c r="B291" s="69"/>
      <c r="C291" s="69"/>
      <c r="D291" s="69"/>
      <c r="E291" s="69"/>
      <c r="F291" s="69"/>
      <c r="G291" s="69"/>
      <c r="H291" s="69"/>
      <c r="N291" s="44"/>
      <c r="O291" s="44"/>
      <c r="P291" s="44"/>
    </row>
    <row r="292">
      <c r="A292" s="68"/>
      <c r="B292" s="69"/>
      <c r="C292" s="69"/>
      <c r="D292" s="69"/>
      <c r="E292" s="69"/>
      <c r="F292" s="69"/>
      <c r="G292" s="69"/>
      <c r="H292" s="69"/>
      <c r="N292" s="44"/>
      <c r="O292" s="44"/>
      <c r="P292" s="44"/>
    </row>
    <row r="293">
      <c r="A293" s="68"/>
      <c r="B293" s="69"/>
      <c r="C293" s="69"/>
      <c r="D293" s="69"/>
      <c r="E293" s="69"/>
      <c r="F293" s="69"/>
      <c r="G293" s="69"/>
      <c r="H293" s="69"/>
      <c r="N293" s="44"/>
      <c r="O293" s="44"/>
      <c r="P293" s="44"/>
    </row>
    <row r="294">
      <c r="A294" s="68"/>
      <c r="B294" s="69"/>
      <c r="C294" s="69"/>
      <c r="D294" s="69"/>
      <c r="E294" s="69"/>
      <c r="F294" s="69"/>
      <c r="G294" s="69"/>
      <c r="H294" s="69"/>
      <c r="N294" s="44"/>
      <c r="O294" s="44"/>
      <c r="P294" s="44"/>
    </row>
    <row r="295">
      <c r="A295" s="68"/>
      <c r="B295" s="69"/>
      <c r="C295" s="69"/>
      <c r="D295" s="69"/>
      <c r="E295" s="69"/>
      <c r="F295" s="69"/>
      <c r="G295" s="69"/>
      <c r="H295" s="69"/>
      <c r="N295" s="44"/>
      <c r="O295" s="44"/>
      <c r="P295" s="44"/>
    </row>
    <row r="296">
      <c r="A296" s="68"/>
      <c r="B296" s="69"/>
      <c r="C296" s="69"/>
      <c r="D296" s="69"/>
      <c r="E296" s="69"/>
      <c r="F296" s="69"/>
      <c r="G296" s="69"/>
      <c r="H296" s="69"/>
      <c r="N296" s="44"/>
      <c r="O296" s="44"/>
      <c r="P296" s="44"/>
    </row>
    <row r="297">
      <c r="A297" s="68"/>
      <c r="B297" s="69"/>
      <c r="C297" s="69"/>
      <c r="D297" s="69"/>
      <c r="E297" s="69"/>
      <c r="F297" s="69"/>
      <c r="G297" s="69"/>
      <c r="H297" s="69"/>
      <c r="N297" s="44"/>
      <c r="O297" s="44"/>
      <c r="P297" s="44"/>
    </row>
    <row r="298">
      <c r="A298" s="68"/>
      <c r="B298" s="69"/>
      <c r="C298" s="69"/>
      <c r="D298" s="69"/>
      <c r="E298" s="69"/>
      <c r="F298" s="69"/>
      <c r="G298" s="69"/>
      <c r="H298" s="69"/>
      <c r="N298" s="44"/>
      <c r="O298" s="44"/>
      <c r="P298" s="44"/>
    </row>
    <row r="299">
      <c r="A299" s="68"/>
      <c r="B299" s="69"/>
      <c r="C299" s="69"/>
      <c r="D299" s="69"/>
      <c r="E299" s="69"/>
      <c r="F299" s="69"/>
      <c r="G299" s="69"/>
      <c r="H299" s="69"/>
      <c r="N299" s="44"/>
      <c r="O299" s="44"/>
      <c r="P299" s="44"/>
    </row>
    <row r="300">
      <c r="A300" s="68"/>
      <c r="B300" s="69"/>
      <c r="C300" s="69"/>
      <c r="D300" s="69"/>
      <c r="E300" s="69"/>
      <c r="F300" s="69"/>
      <c r="G300" s="69"/>
      <c r="H300" s="69"/>
      <c r="N300" s="44"/>
      <c r="O300" s="44"/>
      <c r="P300" s="44"/>
    </row>
    <row r="301">
      <c r="A301" s="68"/>
      <c r="B301" s="69"/>
      <c r="C301" s="69"/>
      <c r="D301" s="69"/>
      <c r="E301" s="69"/>
      <c r="F301" s="69"/>
      <c r="G301" s="69"/>
      <c r="H301" s="69"/>
      <c r="N301" s="44"/>
      <c r="O301" s="44"/>
      <c r="P301" s="44"/>
    </row>
    <row r="302">
      <c r="A302" s="68"/>
      <c r="B302" s="69"/>
      <c r="C302" s="69"/>
      <c r="D302" s="69"/>
      <c r="E302" s="69"/>
      <c r="F302" s="69"/>
      <c r="G302" s="69"/>
      <c r="H302" s="69"/>
      <c r="N302" s="44"/>
      <c r="O302" s="44"/>
      <c r="P302" s="44"/>
    </row>
    <row r="303">
      <c r="A303" s="68"/>
      <c r="B303" s="69"/>
      <c r="C303" s="69"/>
      <c r="D303" s="69"/>
      <c r="E303" s="69"/>
      <c r="F303" s="69"/>
      <c r="G303" s="69"/>
      <c r="H303" s="69"/>
      <c r="N303" s="44"/>
      <c r="O303" s="44"/>
      <c r="P303" s="44"/>
    </row>
    <row r="304">
      <c r="A304" s="68"/>
      <c r="B304" s="69"/>
      <c r="C304" s="69"/>
      <c r="D304" s="69"/>
      <c r="E304" s="69"/>
      <c r="F304" s="69"/>
      <c r="G304" s="69"/>
      <c r="H304" s="69"/>
      <c r="N304" s="44"/>
      <c r="O304" s="44"/>
      <c r="P304" s="44"/>
    </row>
    <row r="305">
      <c r="A305" s="68"/>
      <c r="B305" s="69"/>
      <c r="C305" s="69"/>
      <c r="D305" s="69"/>
      <c r="E305" s="69"/>
      <c r="F305" s="69"/>
      <c r="G305" s="69"/>
      <c r="H305" s="69"/>
      <c r="N305" s="44"/>
      <c r="O305" s="44"/>
      <c r="P305" s="44"/>
    </row>
    <row r="306">
      <c r="A306" s="68"/>
      <c r="B306" s="69"/>
      <c r="C306" s="69"/>
      <c r="D306" s="69"/>
      <c r="E306" s="69"/>
      <c r="F306" s="69"/>
      <c r="G306" s="69"/>
      <c r="H306" s="69"/>
      <c r="N306" s="44"/>
      <c r="O306" s="44"/>
      <c r="P306" s="44"/>
    </row>
    <row r="307">
      <c r="A307" s="68"/>
      <c r="B307" s="69"/>
      <c r="C307" s="69"/>
      <c r="D307" s="69"/>
      <c r="E307" s="69"/>
      <c r="F307" s="69"/>
      <c r="G307" s="69"/>
      <c r="H307" s="69"/>
      <c r="N307" s="44"/>
      <c r="O307" s="44"/>
      <c r="P307" s="44"/>
    </row>
    <row r="308">
      <c r="A308" s="68"/>
      <c r="B308" s="69"/>
      <c r="C308" s="69"/>
      <c r="D308" s="69"/>
      <c r="E308" s="69"/>
      <c r="F308" s="69"/>
      <c r="G308" s="69"/>
      <c r="H308" s="69"/>
      <c r="N308" s="44"/>
      <c r="O308" s="44"/>
      <c r="P308" s="44"/>
    </row>
    <row r="309">
      <c r="A309" s="68"/>
      <c r="B309" s="69"/>
      <c r="C309" s="69"/>
      <c r="D309" s="69"/>
      <c r="E309" s="69"/>
      <c r="F309" s="69"/>
      <c r="G309" s="69"/>
      <c r="H309" s="69"/>
      <c r="N309" s="44"/>
      <c r="O309" s="44"/>
      <c r="P309" s="44"/>
    </row>
    <row r="310">
      <c r="A310" s="68"/>
      <c r="B310" s="69"/>
      <c r="C310" s="69"/>
      <c r="D310" s="69"/>
      <c r="E310" s="69"/>
      <c r="F310" s="69"/>
      <c r="G310" s="69"/>
      <c r="H310" s="69"/>
      <c r="N310" s="44"/>
      <c r="O310" s="44"/>
      <c r="P310" s="44"/>
    </row>
    <row r="311">
      <c r="A311" s="68"/>
      <c r="B311" s="69"/>
      <c r="C311" s="69"/>
      <c r="D311" s="69"/>
      <c r="E311" s="69"/>
      <c r="F311" s="69"/>
      <c r="G311" s="69"/>
      <c r="H311" s="69"/>
      <c r="N311" s="44"/>
      <c r="O311" s="44"/>
      <c r="P311" s="44"/>
    </row>
    <row r="312">
      <c r="A312" s="68"/>
      <c r="B312" s="69"/>
      <c r="C312" s="69"/>
      <c r="D312" s="69"/>
      <c r="E312" s="69"/>
      <c r="F312" s="69"/>
      <c r="G312" s="69"/>
      <c r="H312" s="69"/>
      <c r="N312" s="44"/>
      <c r="O312" s="44"/>
      <c r="P312" s="44"/>
    </row>
    <row r="313">
      <c r="A313" s="68"/>
      <c r="B313" s="69"/>
      <c r="C313" s="69"/>
      <c r="D313" s="69"/>
      <c r="E313" s="69"/>
      <c r="F313" s="69"/>
      <c r="G313" s="69"/>
      <c r="H313" s="69"/>
      <c r="N313" s="44"/>
      <c r="O313" s="44"/>
      <c r="P313" s="44"/>
    </row>
    <row r="314">
      <c r="A314" s="68"/>
      <c r="B314" s="69"/>
      <c r="C314" s="69"/>
      <c r="D314" s="69"/>
      <c r="E314" s="69"/>
      <c r="F314" s="69"/>
      <c r="G314" s="69"/>
      <c r="H314" s="69"/>
      <c r="N314" s="44"/>
      <c r="O314" s="44"/>
      <c r="P314" s="44"/>
    </row>
    <row r="315">
      <c r="A315" s="68"/>
      <c r="B315" s="69"/>
      <c r="C315" s="69"/>
      <c r="D315" s="69"/>
      <c r="E315" s="69"/>
      <c r="F315" s="69"/>
      <c r="G315" s="69"/>
      <c r="H315" s="69"/>
      <c r="N315" s="44"/>
      <c r="O315" s="44"/>
      <c r="P315" s="44"/>
    </row>
    <row r="316">
      <c r="A316" s="68"/>
      <c r="B316" s="69"/>
      <c r="C316" s="69"/>
      <c r="D316" s="69"/>
      <c r="E316" s="69"/>
      <c r="F316" s="69"/>
      <c r="G316" s="69"/>
      <c r="H316" s="69"/>
      <c r="N316" s="44"/>
      <c r="O316" s="44"/>
      <c r="P316" s="44"/>
    </row>
    <row r="317">
      <c r="A317" s="68"/>
      <c r="B317" s="69"/>
      <c r="C317" s="69"/>
      <c r="D317" s="69"/>
      <c r="E317" s="69"/>
      <c r="F317" s="69"/>
      <c r="G317" s="69"/>
      <c r="H317" s="69"/>
      <c r="N317" s="44"/>
      <c r="O317" s="44"/>
      <c r="P317" s="44"/>
    </row>
    <row r="318">
      <c r="A318" s="68"/>
      <c r="B318" s="69"/>
      <c r="C318" s="69"/>
      <c r="D318" s="69"/>
      <c r="E318" s="69"/>
      <c r="F318" s="69"/>
      <c r="G318" s="69"/>
      <c r="H318" s="69"/>
      <c r="N318" s="44"/>
      <c r="O318" s="44"/>
      <c r="P318" s="44"/>
    </row>
    <row r="319">
      <c r="A319" s="68"/>
      <c r="B319" s="69"/>
      <c r="C319" s="69"/>
      <c r="D319" s="69"/>
      <c r="E319" s="69"/>
      <c r="F319" s="69"/>
      <c r="G319" s="69"/>
      <c r="H319" s="69"/>
      <c r="N319" s="44"/>
      <c r="O319" s="44"/>
      <c r="P319" s="44"/>
    </row>
    <row r="320">
      <c r="A320" s="68"/>
      <c r="B320" s="69"/>
      <c r="C320" s="69"/>
      <c r="D320" s="69"/>
      <c r="E320" s="69"/>
      <c r="F320" s="69"/>
      <c r="G320" s="69"/>
      <c r="H320" s="69"/>
      <c r="N320" s="44"/>
      <c r="O320" s="44"/>
      <c r="P320" s="44"/>
    </row>
    <row r="321">
      <c r="A321" s="68"/>
      <c r="B321" s="69"/>
      <c r="C321" s="69"/>
      <c r="D321" s="69"/>
      <c r="E321" s="69"/>
      <c r="F321" s="69"/>
      <c r="G321" s="69"/>
      <c r="H321" s="69"/>
      <c r="N321" s="44"/>
      <c r="O321" s="44"/>
      <c r="P321" s="44"/>
    </row>
    <row r="322">
      <c r="A322" s="68"/>
      <c r="B322" s="69"/>
      <c r="C322" s="69"/>
      <c r="D322" s="69"/>
      <c r="E322" s="69"/>
      <c r="F322" s="69"/>
      <c r="G322" s="69"/>
      <c r="H322" s="69"/>
      <c r="N322" s="44"/>
      <c r="O322" s="44"/>
      <c r="P322" s="44"/>
    </row>
    <row r="323">
      <c r="A323" s="68"/>
      <c r="B323" s="69"/>
      <c r="C323" s="69"/>
      <c r="D323" s="69"/>
      <c r="E323" s="69"/>
      <c r="F323" s="69"/>
      <c r="G323" s="69"/>
      <c r="H323" s="69"/>
      <c r="N323" s="44"/>
      <c r="O323" s="44"/>
      <c r="P323" s="44"/>
    </row>
    <row r="324">
      <c r="A324" s="68"/>
      <c r="B324" s="69"/>
      <c r="C324" s="69"/>
      <c r="D324" s="69"/>
      <c r="E324" s="69"/>
      <c r="F324" s="69"/>
      <c r="G324" s="69"/>
      <c r="H324" s="69"/>
      <c r="N324" s="44"/>
      <c r="O324" s="44"/>
      <c r="P324" s="44"/>
    </row>
    <row r="325">
      <c r="A325" s="68"/>
      <c r="B325" s="69"/>
      <c r="C325" s="69"/>
      <c r="D325" s="69"/>
      <c r="E325" s="69"/>
      <c r="F325" s="69"/>
      <c r="G325" s="69"/>
      <c r="H325" s="69"/>
      <c r="N325" s="44"/>
      <c r="O325" s="44"/>
      <c r="P325" s="44"/>
    </row>
    <row r="326">
      <c r="A326" s="68"/>
      <c r="B326" s="69"/>
      <c r="C326" s="69"/>
      <c r="D326" s="69"/>
      <c r="E326" s="69"/>
      <c r="F326" s="69"/>
      <c r="G326" s="69"/>
      <c r="H326" s="69"/>
      <c r="N326" s="44"/>
      <c r="O326" s="44"/>
      <c r="P326" s="44"/>
    </row>
    <row r="327">
      <c r="A327" s="68"/>
      <c r="B327" s="69"/>
      <c r="C327" s="69"/>
      <c r="D327" s="69"/>
      <c r="E327" s="69"/>
      <c r="F327" s="69"/>
      <c r="G327" s="69"/>
      <c r="H327" s="69"/>
      <c r="N327" s="44"/>
      <c r="O327" s="44"/>
      <c r="P327" s="44"/>
    </row>
    <row r="328">
      <c r="A328" s="68"/>
      <c r="B328" s="69"/>
      <c r="C328" s="69"/>
      <c r="D328" s="69"/>
      <c r="E328" s="69"/>
      <c r="F328" s="69"/>
      <c r="G328" s="69"/>
      <c r="H328" s="69"/>
      <c r="N328" s="44"/>
      <c r="O328" s="44"/>
      <c r="P328" s="44"/>
    </row>
    <row r="329">
      <c r="A329" s="68"/>
      <c r="B329" s="69"/>
      <c r="C329" s="69"/>
      <c r="D329" s="69"/>
      <c r="E329" s="69"/>
      <c r="F329" s="69"/>
      <c r="G329" s="69"/>
      <c r="H329" s="69"/>
      <c r="N329" s="44"/>
      <c r="O329" s="44"/>
      <c r="P329" s="44"/>
    </row>
    <row r="330">
      <c r="A330" s="68"/>
      <c r="B330" s="69"/>
      <c r="C330" s="69"/>
      <c r="D330" s="69"/>
      <c r="E330" s="69"/>
      <c r="F330" s="69"/>
      <c r="G330" s="69"/>
      <c r="H330" s="69"/>
      <c r="N330" s="44"/>
      <c r="O330" s="44"/>
      <c r="P330" s="44"/>
    </row>
    <row r="331">
      <c r="A331" s="68"/>
      <c r="B331" s="69"/>
      <c r="C331" s="69"/>
      <c r="D331" s="69"/>
      <c r="E331" s="69"/>
      <c r="F331" s="69"/>
      <c r="G331" s="69"/>
      <c r="H331" s="69"/>
      <c r="N331" s="44"/>
      <c r="O331" s="44"/>
      <c r="P331" s="44"/>
    </row>
    <row r="332">
      <c r="A332" s="68"/>
      <c r="B332" s="69"/>
      <c r="C332" s="69"/>
      <c r="D332" s="69"/>
      <c r="E332" s="69"/>
      <c r="F332" s="69"/>
      <c r="G332" s="69"/>
      <c r="H332" s="69"/>
      <c r="N332" s="44"/>
      <c r="O332" s="44"/>
      <c r="P332" s="44"/>
    </row>
    <row r="333">
      <c r="A333" s="68"/>
      <c r="B333" s="69"/>
      <c r="C333" s="69"/>
      <c r="D333" s="69"/>
      <c r="E333" s="69"/>
      <c r="F333" s="69"/>
      <c r="G333" s="69"/>
      <c r="H333" s="69"/>
      <c r="N333" s="44"/>
      <c r="O333" s="44"/>
      <c r="P333" s="44"/>
    </row>
    <row r="334">
      <c r="A334" s="68"/>
      <c r="B334" s="69"/>
      <c r="C334" s="69"/>
      <c r="D334" s="69"/>
      <c r="E334" s="69"/>
      <c r="F334" s="69"/>
      <c r="G334" s="69"/>
      <c r="H334" s="69"/>
      <c r="N334" s="44"/>
      <c r="O334" s="44"/>
      <c r="P334" s="44"/>
    </row>
    <row r="335">
      <c r="A335" s="68"/>
      <c r="B335" s="69"/>
      <c r="C335" s="69"/>
      <c r="D335" s="69"/>
      <c r="E335" s="69"/>
      <c r="F335" s="69"/>
      <c r="G335" s="69"/>
      <c r="H335" s="69"/>
      <c r="N335" s="44"/>
      <c r="O335" s="44"/>
      <c r="P335" s="44"/>
    </row>
    <row r="336">
      <c r="A336" s="68"/>
      <c r="B336" s="69"/>
      <c r="C336" s="69"/>
      <c r="D336" s="69"/>
      <c r="E336" s="69"/>
      <c r="F336" s="69"/>
      <c r="G336" s="69"/>
      <c r="H336" s="69"/>
      <c r="N336" s="44"/>
      <c r="O336" s="44"/>
      <c r="P336" s="44"/>
    </row>
    <row r="337">
      <c r="A337" s="68"/>
      <c r="B337" s="69"/>
      <c r="C337" s="69"/>
      <c r="D337" s="69"/>
      <c r="E337" s="69"/>
      <c r="F337" s="69"/>
      <c r="G337" s="69"/>
      <c r="H337" s="69"/>
      <c r="N337" s="44"/>
      <c r="O337" s="44"/>
      <c r="P337" s="44"/>
    </row>
    <row r="338">
      <c r="A338" s="68"/>
      <c r="B338" s="69"/>
      <c r="C338" s="69"/>
      <c r="D338" s="69"/>
      <c r="E338" s="69"/>
      <c r="F338" s="69"/>
      <c r="G338" s="69"/>
      <c r="H338" s="69"/>
      <c r="N338" s="44"/>
      <c r="O338" s="44"/>
      <c r="P338" s="44"/>
    </row>
    <row r="339">
      <c r="A339" s="68"/>
      <c r="B339" s="69"/>
      <c r="C339" s="69"/>
      <c r="D339" s="69"/>
      <c r="E339" s="69"/>
      <c r="F339" s="69"/>
      <c r="G339" s="69"/>
      <c r="H339" s="69"/>
      <c r="N339" s="44"/>
      <c r="O339" s="44"/>
      <c r="P339" s="44"/>
    </row>
    <row r="340">
      <c r="A340" s="68"/>
      <c r="B340" s="69"/>
      <c r="C340" s="69"/>
      <c r="D340" s="69"/>
      <c r="E340" s="69"/>
      <c r="F340" s="69"/>
      <c r="G340" s="69"/>
      <c r="H340" s="69"/>
      <c r="N340" s="44"/>
      <c r="O340" s="44"/>
      <c r="P340" s="44"/>
    </row>
    <row r="341">
      <c r="A341" s="68"/>
      <c r="B341" s="69"/>
      <c r="C341" s="69"/>
      <c r="D341" s="69"/>
      <c r="E341" s="69"/>
      <c r="F341" s="69"/>
      <c r="G341" s="69"/>
      <c r="H341" s="69"/>
      <c r="N341" s="44"/>
      <c r="O341" s="44"/>
      <c r="P341" s="44"/>
    </row>
    <row r="342">
      <c r="A342" s="68"/>
      <c r="B342" s="69"/>
      <c r="C342" s="69"/>
      <c r="D342" s="69"/>
      <c r="E342" s="69"/>
      <c r="F342" s="69"/>
      <c r="G342" s="69"/>
      <c r="H342" s="69"/>
      <c r="N342" s="44"/>
      <c r="O342" s="44"/>
      <c r="P342" s="44"/>
    </row>
    <row r="343">
      <c r="A343" s="68"/>
      <c r="B343" s="69"/>
      <c r="C343" s="69"/>
      <c r="D343" s="69"/>
      <c r="E343" s="69"/>
      <c r="F343" s="69"/>
      <c r="G343" s="69"/>
      <c r="H343" s="69"/>
      <c r="N343" s="44"/>
      <c r="O343" s="44"/>
      <c r="P343" s="44"/>
    </row>
    <row r="344">
      <c r="A344" s="68"/>
      <c r="B344" s="69"/>
      <c r="C344" s="69"/>
      <c r="D344" s="69"/>
      <c r="E344" s="69"/>
      <c r="F344" s="69"/>
      <c r="G344" s="69"/>
      <c r="H344" s="69"/>
      <c r="N344" s="44"/>
      <c r="O344" s="44"/>
      <c r="P344" s="44"/>
    </row>
    <row r="345">
      <c r="A345" s="68"/>
      <c r="B345" s="69"/>
      <c r="C345" s="69"/>
      <c r="D345" s="69"/>
      <c r="E345" s="69"/>
      <c r="F345" s="69"/>
      <c r="G345" s="69"/>
      <c r="H345" s="69"/>
      <c r="N345" s="44"/>
      <c r="O345" s="44"/>
      <c r="P345" s="44"/>
    </row>
    <row r="346">
      <c r="A346" s="68"/>
      <c r="B346" s="69"/>
      <c r="C346" s="69"/>
      <c r="D346" s="69"/>
      <c r="E346" s="69"/>
      <c r="F346" s="69"/>
      <c r="G346" s="69"/>
      <c r="H346" s="69"/>
      <c r="N346" s="44"/>
      <c r="O346" s="44"/>
      <c r="P346" s="44"/>
    </row>
    <row r="347">
      <c r="A347" s="68"/>
      <c r="B347" s="69"/>
      <c r="C347" s="69"/>
      <c r="D347" s="69"/>
      <c r="E347" s="69"/>
      <c r="F347" s="69"/>
      <c r="G347" s="69"/>
      <c r="H347" s="69"/>
      <c r="N347" s="44"/>
      <c r="O347" s="44"/>
      <c r="P347" s="44"/>
    </row>
    <row r="348">
      <c r="A348" s="68"/>
      <c r="B348" s="69"/>
      <c r="C348" s="69"/>
      <c r="D348" s="69"/>
      <c r="E348" s="69"/>
      <c r="F348" s="69"/>
      <c r="G348" s="69"/>
      <c r="H348" s="69"/>
      <c r="N348" s="44"/>
      <c r="O348" s="44"/>
      <c r="P348" s="44"/>
    </row>
    <row r="349">
      <c r="A349" s="68"/>
      <c r="B349" s="69"/>
      <c r="C349" s="69"/>
      <c r="D349" s="69"/>
      <c r="E349" s="69"/>
      <c r="F349" s="69"/>
      <c r="G349" s="69"/>
      <c r="H349" s="69"/>
      <c r="N349" s="44"/>
      <c r="O349" s="44"/>
      <c r="P349" s="44"/>
    </row>
    <row r="350">
      <c r="A350" s="68"/>
      <c r="B350" s="69"/>
      <c r="C350" s="69"/>
      <c r="D350" s="69"/>
      <c r="E350" s="69"/>
      <c r="F350" s="69"/>
      <c r="G350" s="69"/>
      <c r="H350" s="69"/>
      <c r="N350" s="44"/>
      <c r="O350" s="44"/>
      <c r="P350" s="44"/>
    </row>
    <row r="351">
      <c r="A351" s="68"/>
      <c r="B351" s="69"/>
      <c r="C351" s="69"/>
      <c r="D351" s="69"/>
      <c r="E351" s="69"/>
      <c r="F351" s="69"/>
      <c r="G351" s="69"/>
      <c r="H351" s="69"/>
      <c r="N351" s="44"/>
      <c r="O351" s="44"/>
      <c r="P351" s="44"/>
    </row>
    <row r="352">
      <c r="A352" s="68"/>
      <c r="B352" s="69"/>
      <c r="C352" s="69"/>
      <c r="D352" s="69"/>
      <c r="E352" s="69"/>
      <c r="F352" s="69"/>
      <c r="G352" s="69"/>
      <c r="H352" s="69"/>
      <c r="N352" s="44"/>
      <c r="O352" s="44"/>
      <c r="P352" s="44"/>
    </row>
    <row r="353">
      <c r="A353" s="68"/>
      <c r="B353" s="69"/>
      <c r="C353" s="69"/>
      <c r="D353" s="69"/>
      <c r="E353" s="69"/>
      <c r="F353" s="69"/>
      <c r="G353" s="69"/>
      <c r="H353" s="69"/>
      <c r="N353" s="44"/>
      <c r="O353" s="44"/>
      <c r="P353" s="44"/>
    </row>
    <row r="354">
      <c r="A354" s="68"/>
      <c r="B354" s="69"/>
      <c r="C354" s="69"/>
      <c r="D354" s="69"/>
      <c r="E354" s="69"/>
      <c r="F354" s="69"/>
      <c r="G354" s="69"/>
      <c r="H354" s="69"/>
      <c r="N354" s="44"/>
      <c r="O354" s="44"/>
      <c r="P354" s="44"/>
    </row>
    <row r="355">
      <c r="A355" s="68"/>
      <c r="B355" s="69"/>
      <c r="C355" s="69"/>
      <c r="D355" s="69"/>
      <c r="E355" s="69"/>
      <c r="F355" s="69"/>
      <c r="G355" s="69"/>
      <c r="H355" s="69"/>
      <c r="N355" s="44"/>
      <c r="O355" s="44"/>
      <c r="P355" s="44"/>
    </row>
    <row r="356">
      <c r="A356" s="68"/>
      <c r="B356" s="69"/>
      <c r="C356" s="69"/>
      <c r="D356" s="69"/>
      <c r="E356" s="69"/>
      <c r="F356" s="69"/>
      <c r="G356" s="69"/>
      <c r="H356" s="69"/>
      <c r="N356" s="44"/>
      <c r="O356" s="44"/>
      <c r="P356" s="44"/>
    </row>
    <row r="357">
      <c r="A357" s="68"/>
      <c r="B357" s="69"/>
      <c r="C357" s="69"/>
      <c r="D357" s="69"/>
      <c r="E357" s="69"/>
      <c r="F357" s="69"/>
      <c r="G357" s="69"/>
      <c r="H357" s="69"/>
      <c r="N357" s="44"/>
      <c r="O357" s="44"/>
      <c r="P357" s="44"/>
    </row>
    <row r="358">
      <c r="A358" s="68"/>
      <c r="B358" s="69"/>
      <c r="C358" s="69"/>
      <c r="D358" s="69"/>
      <c r="E358" s="69"/>
      <c r="F358" s="69"/>
      <c r="G358" s="69"/>
      <c r="H358" s="69"/>
      <c r="N358" s="44"/>
      <c r="O358" s="44"/>
      <c r="P358" s="44"/>
    </row>
    <row r="359">
      <c r="A359" s="68"/>
      <c r="B359" s="69"/>
      <c r="C359" s="69"/>
      <c r="D359" s="69"/>
      <c r="E359" s="69"/>
      <c r="F359" s="69"/>
      <c r="G359" s="69"/>
      <c r="H359" s="69"/>
      <c r="N359" s="44"/>
      <c r="O359" s="44"/>
      <c r="P359" s="44"/>
    </row>
    <row r="360">
      <c r="A360" s="68"/>
      <c r="B360" s="69"/>
      <c r="C360" s="69"/>
      <c r="D360" s="69"/>
      <c r="E360" s="69"/>
      <c r="F360" s="69"/>
      <c r="G360" s="69"/>
      <c r="H360" s="69"/>
      <c r="N360" s="44"/>
      <c r="O360" s="44"/>
      <c r="P360" s="44"/>
    </row>
    <row r="361">
      <c r="A361" s="68"/>
      <c r="B361" s="69"/>
      <c r="C361" s="69"/>
      <c r="D361" s="69"/>
      <c r="E361" s="69"/>
      <c r="F361" s="69"/>
      <c r="G361" s="69"/>
      <c r="H361" s="69"/>
      <c r="N361" s="44"/>
      <c r="O361" s="44"/>
      <c r="P361" s="44"/>
    </row>
    <row r="362">
      <c r="A362" s="68"/>
      <c r="B362" s="69"/>
      <c r="C362" s="69"/>
      <c r="D362" s="69"/>
      <c r="E362" s="69"/>
      <c r="F362" s="69"/>
      <c r="G362" s="69"/>
      <c r="H362" s="69"/>
      <c r="N362" s="44"/>
      <c r="O362" s="44"/>
      <c r="P362" s="44"/>
    </row>
    <row r="363">
      <c r="A363" s="68"/>
      <c r="B363" s="69"/>
      <c r="C363" s="69"/>
      <c r="D363" s="69"/>
      <c r="E363" s="69"/>
      <c r="F363" s="69"/>
      <c r="G363" s="69"/>
      <c r="H363" s="69"/>
      <c r="N363" s="44"/>
      <c r="O363" s="44"/>
      <c r="P363" s="44"/>
    </row>
    <row r="364">
      <c r="A364" s="68"/>
      <c r="B364" s="69"/>
      <c r="C364" s="69"/>
      <c r="D364" s="69"/>
      <c r="E364" s="69"/>
      <c r="F364" s="69"/>
      <c r="G364" s="69"/>
      <c r="H364" s="69"/>
      <c r="N364" s="44"/>
      <c r="O364" s="44"/>
      <c r="P364" s="44"/>
    </row>
    <row r="365">
      <c r="A365" s="68"/>
      <c r="B365" s="69"/>
      <c r="C365" s="69"/>
      <c r="D365" s="69"/>
      <c r="E365" s="69"/>
      <c r="F365" s="69"/>
      <c r="G365" s="69"/>
      <c r="H365" s="69"/>
      <c r="N365" s="44"/>
      <c r="O365" s="44"/>
      <c r="P365" s="44"/>
    </row>
    <row r="366">
      <c r="A366" s="68"/>
      <c r="B366" s="69"/>
      <c r="C366" s="69"/>
      <c r="D366" s="69"/>
      <c r="E366" s="69"/>
      <c r="F366" s="69"/>
      <c r="G366" s="69"/>
      <c r="H366" s="69"/>
      <c r="N366" s="44"/>
      <c r="O366" s="44"/>
      <c r="P366" s="44"/>
    </row>
    <row r="367">
      <c r="A367" s="68"/>
      <c r="B367" s="69"/>
      <c r="C367" s="69"/>
      <c r="D367" s="69"/>
      <c r="E367" s="69"/>
      <c r="F367" s="69"/>
      <c r="G367" s="69"/>
      <c r="H367" s="69"/>
      <c r="N367" s="44"/>
      <c r="O367" s="44"/>
      <c r="P367" s="44"/>
    </row>
    <row r="368">
      <c r="A368" s="68"/>
      <c r="B368" s="69"/>
      <c r="C368" s="69"/>
      <c r="D368" s="69"/>
      <c r="E368" s="69"/>
      <c r="F368" s="69"/>
      <c r="G368" s="69"/>
      <c r="H368" s="69"/>
      <c r="N368" s="44"/>
      <c r="O368" s="44"/>
      <c r="P368" s="44"/>
    </row>
    <row r="369">
      <c r="A369" s="68"/>
      <c r="B369" s="69"/>
      <c r="C369" s="69"/>
      <c r="D369" s="69"/>
      <c r="E369" s="69"/>
      <c r="F369" s="69"/>
      <c r="G369" s="69"/>
      <c r="H369" s="69"/>
      <c r="N369" s="44"/>
      <c r="O369" s="44"/>
      <c r="P369" s="44"/>
    </row>
    <row r="370">
      <c r="A370" s="68"/>
      <c r="B370" s="69"/>
      <c r="C370" s="69"/>
      <c r="D370" s="69"/>
      <c r="E370" s="69"/>
      <c r="F370" s="69"/>
      <c r="G370" s="69"/>
      <c r="H370" s="69"/>
      <c r="N370" s="44"/>
      <c r="O370" s="44"/>
      <c r="P370" s="44"/>
    </row>
    <row r="371">
      <c r="A371" s="68"/>
      <c r="B371" s="69"/>
      <c r="C371" s="69"/>
      <c r="D371" s="69"/>
      <c r="E371" s="69"/>
      <c r="F371" s="69"/>
      <c r="G371" s="69"/>
      <c r="H371" s="69"/>
      <c r="N371" s="44"/>
      <c r="O371" s="44"/>
      <c r="P371" s="44"/>
    </row>
    <row r="372">
      <c r="A372" s="68"/>
      <c r="B372" s="69"/>
      <c r="C372" s="69"/>
      <c r="D372" s="69"/>
      <c r="E372" s="69"/>
      <c r="F372" s="69"/>
      <c r="G372" s="69"/>
      <c r="H372" s="69"/>
      <c r="N372" s="44"/>
      <c r="O372" s="44"/>
      <c r="P372" s="44"/>
    </row>
    <row r="373">
      <c r="A373" s="68"/>
      <c r="B373" s="69"/>
      <c r="C373" s="69"/>
      <c r="D373" s="69"/>
      <c r="E373" s="69"/>
      <c r="F373" s="69"/>
      <c r="G373" s="69"/>
      <c r="H373" s="69"/>
      <c r="N373" s="44"/>
      <c r="O373" s="44"/>
      <c r="P373" s="44"/>
    </row>
    <row r="374">
      <c r="A374" s="68"/>
      <c r="B374" s="69"/>
      <c r="C374" s="69"/>
      <c r="D374" s="69"/>
      <c r="E374" s="69"/>
      <c r="F374" s="69"/>
      <c r="G374" s="69"/>
      <c r="H374" s="69"/>
      <c r="N374" s="44"/>
      <c r="O374" s="44"/>
      <c r="P374" s="44"/>
    </row>
    <row r="375">
      <c r="A375" s="68"/>
      <c r="B375" s="69"/>
      <c r="C375" s="69"/>
      <c r="D375" s="69"/>
      <c r="E375" s="69"/>
      <c r="F375" s="69"/>
      <c r="G375" s="69"/>
      <c r="H375" s="69"/>
      <c r="N375" s="44"/>
      <c r="O375" s="44"/>
      <c r="P375" s="44"/>
    </row>
    <row r="376">
      <c r="A376" s="68"/>
      <c r="B376" s="69"/>
      <c r="C376" s="69"/>
      <c r="D376" s="69"/>
      <c r="E376" s="69"/>
      <c r="F376" s="69"/>
      <c r="G376" s="69"/>
      <c r="H376" s="69"/>
      <c r="N376" s="44"/>
      <c r="O376" s="44"/>
      <c r="P376" s="44"/>
    </row>
    <row r="377">
      <c r="A377" s="68"/>
      <c r="B377" s="69"/>
      <c r="C377" s="69"/>
      <c r="D377" s="69"/>
      <c r="E377" s="69"/>
      <c r="F377" s="69"/>
      <c r="G377" s="69"/>
      <c r="H377" s="69"/>
      <c r="N377" s="44"/>
      <c r="O377" s="44"/>
      <c r="P377" s="44"/>
    </row>
    <row r="378">
      <c r="A378" s="68"/>
      <c r="B378" s="69"/>
      <c r="C378" s="69"/>
      <c r="D378" s="69"/>
      <c r="E378" s="69"/>
      <c r="F378" s="69"/>
      <c r="G378" s="69"/>
      <c r="H378" s="69"/>
      <c r="N378" s="44"/>
      <c r="O378" s="44"/>
      <c r="P378" s="44"/>
    </row>
    <row r="379">
      <c r="A379" s="68"/>
      <c r="B379" s="69"/>
      <c r="C379" s="69"/>
      <c r="D379" s="69"/>
      <c r="E379" s="69"/>
      <c r="F379" s="69"/>
      <c r="G379" s="69"/>
      <c r="H379" s="69"/>
      <c r="N379" s="44"/>
      <c r="O379" s="44"/>
      <c r="P379" s="44"/>
    </row>
    <row r="380">
      <c r="A380" s="68"/>
      <c r="B380" s="69"/>
      <c r="C380" s="69"/>
      <c r="D380" s="69"/>
      <c r="E380" s="69"/>
      <c r="F380" s="69"/>
      <c r="G380" s="69"/>
      <c r="H380" s="69"/>
      <c r="N380" s="44"/>
      <c r="O380" s="44"/>
      <c r="P380" s="44"/>
    </row>
    <row r="381">
      <c r="A381" s="68"/>
      <c r="B381" s="69"/>
      <c r="C381" s="69"/>
      <c r="D381" s="69"/>
      <c r="E381" s="69"/>
      <c r="F381" s="69"/>
      <c r="G381" s="69"/>
      <c r="H381" s="69"/>
      <c r="N381" s="44"/>
      <c r="O381" s="44"/>
      <c r="P381" s="44"/>
    </row>
    <row r="382">
      <c r="A382" s="68"/>
      <c r="B382" s="69"/>
      <c r="C382" s="69"/>
      <c r="D382" s="69"/>
      <c r="E382" s="69"/>
      <c r="F382" s="69"/>
      <c r="G382" s="69"/>
      <c r="H382" s="69"/>
      <c r="N382" s="44"/>
      <c r="O382" s="44"/>
      <c r="P382" s="44"/>
    </row>
    <row r="383">
      <c r="A383" s="68"/>
      <c r="B383" s="69"/>
      <c r="C383" s="69"/>
      <c r="D383" s="69"/>
      <c r="E383" s="69"/>
      <c r="F383" s="69"/>
      <c r="G383" s="69"/>
      <c r="H383" s="69"/>
      <c r="N383" s="44"/>
      <c r="O383" s="44"/>
      <c r="P383" s="44"/>
    </row>
    <row r="384">
      <c r="A384" s="68"/>
      <c r="B384" s="69"/>
      <c r="C384" s="69"/>
      <c r="D384" s="69"/>
      <c r="E384" s="69"/>
      <c r="F384" s="69"/>
      <c r="G384" s="69"/>
      <c r="H384" s="69"/>
      <c r="N384" s="44"/>
      <c r="O384" s="44"/>
      <c r="P384" s="44"/>
    </row>
    <row r="385">
      <c r="A385" s="68"/>
      <c r="B385" s="69"/>
      <c r="C385" s="69"/>
      <c r="D385" s="69"/>
      <c r="E385" s="69"/>
      <c r="F385" s="69"/>
      <c r="G385" s="69"/>
      <c r="H385" s="69"/>
      <c r="N385" s="44"/>
      <c r="O385" s="44"/>
      <c r="P385" s="44"/>
    </row>
    <row r="386">
      <c r="A386" s="68"/>
      <c r="B386" s="69"/>
      <c r="C386" s="69"/>
      <c r="D386" s="69"/>
      <c r="E386" s="69"/>
      <c r="F386" s="69"/>
      <c r="G386" s="69"/>
      <c r="H386" s="69"/>
      <c r="N386" s="44"/>
      <c r="O386" s="44"/>
      <c r="P386" s="44"/>
    </row>
    <row r="387">
      <c r="A387" s="68"/>
      <c r="B387" s="69"/>
      <c r="C387" s="69"/>
      <c r="D387" s="69"/>
      <c r="E387" s="69"/>
      <c r="F387" s="69"/>
      <c r="G387" s="69"/>
      <c r="H387" s="69"/>
      <c r="N387" s="44"/>
      <c r="O387" s="44"/>
      <c r="P387" s="44"/>
    </row>
    <row r="388">
      <c r="A388" s="68"/>
      <c r="B388" s="69"/>
      <c r="C388" s="69"/>
      <c r="D388" s="69"/>
      <c r="E388" s="69"/>
      <c r="F388" s="69"/>
      <c r="G388" s="69"/>
      <c r="H388" s="69"/>
      <c r="N388" s="44"/>
      <c r="O388" s="44"/>
      <c r="P388" s="44"/>
    </row>
    <row r="389">
      <c r="A389" s="68"/>
      <c r="B389" s="69"/>
      <c r="C389" s="69"/>
      <c r="D389" s="69"/>
      <c r="E389" s="69"/>
      <c r="F389" s="69"/>
      <c r="G389" s="69"/>
      <c r="H389" s="69"/>
      <c r="N389" s="44"/>
      <c r="O389" s="44"/>
      <c r="P389" s="44"/>
    </row>
    <row r="390">
      <c r="A390" s="68"/>
      <c r="B390" s="69"/>
      <c r="C390" s="69"/>
      <c r="D390" s="69"/>
      <c r="E390" s="69"/>
      <c r="F390" s="69"/>
      <c r="G390" s="69"/>
      <c r="H390" s="69"/>
      <c r="N390" s="44"/>
      <c r="O390" s="44"/>
      <c r="P390" s="44"/>
    </row>
    <row r="391">
      <c r="A391" s="68"/>
      <c r="B391" s="69"/>
      <c r="C391" s="69"/>
      <c r="D391" s="69"/>
      <c r="E391" s="69"/>
      <c r="F391" s="69"/>
      <c r="G391" s="69"/>
      <c r="H391" s="69"/>
      <c r="N391" s="44"/>
      <c r="O391" s="44"/>
      <c r="P391" s="44"/>
    </row>
    <row r="392">
      <c r="A392" s="68"/>
      <c r="B392" s="69"/>
      <c r="C392" s="69"/>
      <c r="D392" s="69"/>
      <c r="E392" s="69"/>
      <c r="F392" s="69"/>
      <c r="G392" s="69"/>
      <c r="H392" s="69"/>
      <c r="N392" s="44"/>
      <c r="O392" s="44"/>
      <c r="P392" s="44"/>
    </row>
    <row r="393">
      <c r="A393" s="68"/>
      <c r="B393" s="69"/>
      <c r="C393" s="69"/>
      <c r="D393" s="69"/>
      <c r="E393" s="69"/>
      <c r="F393" s="69"/>
      <c r="G393" s="69"/>
      <c r="H393" s="69"/>
      <c r="N393" s="44"/>
      <c r="O393" s="44"/>
      <c r="P393" s="44"/>
    </row>
    <row r="394">
      <c r="A394" s="68"/>
      <c r="B394" s="69"/>
      <c r="C394" s="69"/>
      <c r="D394" s="69"/>
      <c r="E394" s="69"/>
      <c r="F394" s="69"/>
      <c r="G394" s="69"/>
      <c r="H394" s="69"/>
      <c r="N394" s="44"/>
      <c r="O394" s="44"/>
      <c r="P394" s="44"/>
    </row>
    <row r="395">
      <c r="A395" s="68"/>
      <c r="B395" s="69"/>
      <c r="C395" s="69"/>
      <c r="D395" s="69"/>
      <c r="E395" s="69"/>
      <c r="F395" s="69"/>
      <c r="G395" s="69"/>
      <c r="H395" s="69"/>
      <c r="N395" s="44"/>
      <c r="O395" s="44"/>
      <c r="P395" s="44"/>
    </row>
    <row r="396">
      <c r="A396" s="68"/>
      <c r="B396" s="69"/>
      <c r="C396" s="69"/>
      <c r="D396" s="69"/>
      <c r="E396" s="69"/>
      <c r="F396" s="69"/>
      <c r="G396" s="69"/>
      <c r="H396" s="69"/>
      <c r="N396" s="44"/>
      <c r="O396" s="44"/>
      <c r="P396" s="44"/>
    </row>
    <row r="397">
      <c r="A397" s="68"/>
      <c r="B397" s="69"/>
      <c r="C397" s="69"/>
      <c r="D397" s="69"/>
      <c r="E397" s="69"/>
      <c r="F397" s="69"/>
      <c r="G397" s="69"/>
      <c r="H397" s="69"/>
      <c r="N397" s="44"/>
      <c r="O397" s="44"/>
      <c r="P397" s="44"/>
    </row>
    <row r="398">
      <c r="A398" s="68"/>
      <c r="B398" s="69"/>
      <c r="C398" s="69"/>
      <c r="D398" s="69"/>
      <c r="E398" s="69"/>
      <c r="F398" s="69"/>
      <c r="G398" s="69"/>
      <c r="H398" s="69"/>
      <c r="N398" s="44"/>
      <c r="O398" s="44"/>
      <c r="P398" s="44"/>
    </row>
    <row r="399">
      <c r="A399" s="68"/>
      <c r="B399" s="69"/>
      <c r="C399" s="69"/>
      <c r="D399" s="69"/>
      <c r="E399" s="69"/>
      <c r="F399" s="69"/>
      <c r="G399" s="69"/>
      <c r="H399" s="69"/>
      <c r="N399" s="44"/>
      <c r="O399" s="44"/>
      <c r="P399" s="44"/>
    </row>
    <row r="400">
      <c r="A400" s="68"/>
      <c r="B400" s="69"/>
      <c r="C400" s="69"/>
      <c r="D400" s="69"/>
      <c r="E400" s="69"/>
      <c r="F400" s="69"/>
      <c r="G400" s="69"/>
      <c r="H400" s="69"/>
      <c r="N400" s="44"/>
      <c r="O400" s="44"/>
      <c r="P400" s="44"/>
    </row>
    <row r="401">
      <c r="A401" s="68"/>
      <c r="B401" s="69"/>
      <c r="C401" s="69"/>
      <c r="D401" s="69"/>
      <c r="E401" s="69"/>
      <c r="F401" s="69"/>
      <c r="G401" s="69"/>
      <c r="H401" s="69"/>
      <c r="N401" s="44"/>
      <c r="O401" s="44"/>
      <c r="P401" s="44"/>
    </row>
    <row r="402">
      <c r="A402" s="68"/>
      <c r="B402" s="69"/>
      <c r="C402" s="69"/>
      <c r="D402" s="69"/>
      <c r="E402" s="69"/>
      <c r="F402" s="69"/>
      <c r="G402" s="69"/>
      <c r="H402" s="69"/>
      <c r="N402" s="44"/>
      <c r="O402" s="44"/>
      <c r="P402" s="44"/>
    </row>
    <row r="403">
      <c r="A403" s="68"/>
      <c r="B403" s="69"/>
      <c r="C403" s="69"/>
      <c r="D403" s="69"/>
      <c r="E403" s="69"/>
      <c r="F403" s="69"/>
      <c r="G403" s="69"/>
      <c r="H403" s="69"/>
      <c r="N403" s="44"/>
      <c r="O403" s="44"/>
      <c r="P403" s="44"/>
    </row>
    <row r="404">
      <c r="A404" s="68"/>
      <c r="B404" s="69"/>
      <c r="C404" s="69"/>
      <c r="D404" s="69"/>
      <c r="E404" s="69"/>
      <c r="F404" s="69"/>
      <c r="G404" s="69"/>
      <c r="H404" s="69"/>
      <c r="N404" s="44"/>
      <c r="O404" s="44"/>
      <c r="P404" s="44"/>
    </row>
    <row r="405">
      <c r="A405" s="68"/>
      <c r="B405" s="69"/>
      <c r="C405" s="69"/>
      <c r="D405" s="69"/>
      <c r="E405" s="69"/>
      <c r="F405" s="69"/>
      <c r="G405" s="69"/>
      <c r="H405" s="69"/>
      <c r="N405" s="44"/>
      <c r="O405" s="44"/>
      <c r="P405" s="44"/>
    </row>
    <row r="406">
      <c r="A406" s="68"/>
      <c r="B406" s="69"/>
      <c r="C406" s="69"/>
      <c r="D406" s="69"/>
      <c r="E406" s="69"/>
      <c r="F406" s="69"/>
      <c r="G406" s="69"/>
      <c r="H406" s="69"/>
      <c r="N406" s="44"/>
      <c r="O406" s="44"/>
      <c r="P406" s="44"/>
    </row>
    <row r="407">
      <c r="A407" s="68"/>
      <c r="B407" s="69"/>
      <c r="C407" s="69"/>
      <c r="D407" s="69"/>
      <c r="E407" s="69"/>
      <c r="F407" s="69"/>
      <c r="G407" s="69"/>
      <c r="H407" s="69"/>
      <c r="N407" s="44"/>
      <c r="O407" s="44"/>
      <c r="P407" s="44"/>
    </row>
    <row r="408">
      <c r="A408" s="68"/>
      <c r="B408" s="69"/>
      <c r="C408" s="69"/>
      <c r="D408" s="69"/>
      <c r="E408" s="69"/>
      <c r="F408" s="69"/>
      <c r="G408" s="69"/>
      <c r="H408" s="69"/>
      <c r="N408" s="44"/>
      <c r="O408" s="44"/>
      <c r="P408" s="44"/>
    </row>
    <row r="409">
      <c r="A409" s="68"/>
      <c r="B409" s="69"/>
      <c r="C409" s="69"/>
      <c r="D409" s="69"/>
      <c r="E409" s="69"/>
      <c r="F409" s="69"/>
      <c r="G409" s="69"/>
      <c r="H409" s="69"/>
      <c r="N409" s="44"/>
      <c r="O409" s="44"/>
      <c r="P409" s="44"/>
    </row>
    <row r="410">
      <c r="A410" s="68"/>
      <c r="B410" s="69"/>
      <c r="C410" s="69"/>
      <c r="D410" s="69"/>
      <c r="E410" s="69"/>
      <c r="F410" s="69"/>
      <c r="G410" s="69"/>
      <c r="H410" s="69"/>
      <c r="N410" s="44"/>
      <c r="O410" s="44"/>
      <c r="P410" s="44"/>
    </row>
    <row r="411">
      <c r="A411" s="68"/>
      <c r="B411" s="69"/>
      <c r="C411" s="69"/>
      <c r="D411" s="69"/>
      <c r="E411" s="69"/>
      <c r="F411" s="69"/>
      <c r="G411" s="69"/>
      <c r="H411" s="69"/>
      <c r="N411" s="44"/>
      <c r="O411" s="44"/>
      <c r="P411" s="44"/>
    </row>
    <row r="412">
      <c r="A412" s="68"/>
      <c r="B412" s="69"/>
      <c r="C412" s="69"/>
      <c r="D412" s="69"/>
      <c r="E412" s="69"/>
      <c r="F412" s="69"/>
      <c r="G412" s="69"/>
      <c r="H412" s="69"/>
      <c r="N412" s="44"/>
      <c r="O412" s="44"/>
      <c r="P412" s="44"/>
    </row>
    <row r="413">
      <c r="A413" s="68"/>
      <c r="B413" s="69"/>
      <c r="C413" s="69"/>
      <c r="D413" s="69"/>
      <c r="E413" s="69"/>
      <c r="F413" s="69"/>
      <c r="G413" s="69"/>
      <c r="H413" s="69"/>
      <c r="N413" s="44"/>
      <c r="O413" s="44"/>
      <c r="P413" s="44"/>
    </row>
    <row r="414">
      <c r="A414" s="68"/>
      <c r="B414" s="69"/>
      <c r="C414" s="69"/>
      <c r="D414" s="69"/>
      <c r="E414" s="69"/>
      <c r="F414" s="69"/>
      <c r="G414" s="69"/>
      <c r="H414" s="69"/>
      <c r="N414" s="44"/>
      <c r="O414" s="44"/>
      <c r="P414" s="44"/>
    </row>
    <row r="415">
      <c r="A415" s="68"/>
      <c r="B415" s="69"/>
      <c r="C415" s="69"/>
      <c r="D415" s="69"/>
      <c r="E415" s="69"/>
      <c r="F415" s="69"/>
      <c r="G415" s="69"/>
      <c r="H415" s="69"/>
      <c r="N415" s="44"/>
      <c r="O415" s="44"/>
      <c r="P415" s="44"/>
    </row>
    <row r="416">
      <c r="A416" s="68"/>
      <c r="B416" s="69"/>
      <c r="C416" s="69"/>
      <c r="D416" s="69"/>
      <c r="E416" s="69"/>
      <c r="F416" s="69"/>
      <c r="G416" s="69"/>
      <c r="H416" s="69"/>
      <c r="N416" s="44"/>
      <c r="O416" s="44"/>
      <c r="P416" s="44"/>
    </row>
    <row r="417">
      <c r="A417" s="68"/>
      <c r="B417" s="69"/>
      <c r="C417" s="69"/>
      <c r="D417" s="69"/>
      <c r="E417" s="69"/>
      <c r="F417" s="69"/>
      <c r="G417" s="69"/>
      <c r="H417" s="69"/>
      <c r="N417" s="44"/>
      <c r="O417" s="44"/>
      <c r="P417" s="44"/>
    </row>
    <row r="418">
      <c r="A418" s="68"/>
      <c r="B418" s="69"/>
      <c r="C418" s="69"/>
      <c r="D418" s="69"/>
      <c r="E418" s="69"/>
      <c r="F418" s="69"/>
      <c r="G418" s="69"/>
      <c r="H418" s="69"/>
      <c r="N418" s="44"/>
      <c r="O418" s="44"/>
      <c r="P418" s="44"/>
    </row>
    <row r="419">
      <c r="A419" s="68"/>
      <c r="B419" s="69"/>
      <c r="C419" s="69"/>
      <c r="D419" s="69"/>
      <c r="E419" s="69"/>
      <c r="F419" s="69"/>
      <c r="G419" s="69"/>
      <c r="H419" s="69"/>
      <c r="N419" s="44"/>
      <c r="O419" s="44"/>
      <c r="P419" s="44"/>
    </row>
    <row r="420">
      <c r="A420" s="68"/>
      <c r="B420" s="69"/>
      <c r="C420" s="69"/>
      <c r="D420" s="69"/>
      <c r="E420" s="69"/>
      <c r="F420" s="69"/>
      <c r="G420" s="69"/>
      <c r="H420" s="69"/>
      <c r="N420" s="44"/>
      <c r="O420" s="44"/>
      <c r="P420" s="44"/>
    </row>
    <row r="421">
      <c r="A421" s="68"/>
      <c r="B421" s="69"/>
      <c r="C421" s="69"/>
      <c r="D421" s="69"/>
      <c r="E421" s="69"/>
      <c r="F421" s="69"/>
      <c r="G421" s="69"/>
      <c r="H421" s="69"/>
      <c r="N421" s="44"/>
      <c r="O421" s="44"/>
      <c r="P421" s="44"/>
    </row>
    <row r="422">
      <c r="A422" s="68"/>
      <c r="B422" s="69"/>
      <c r="C422" s="69"/>
      <c r="D422" s="69"/>
      <c r="E422" s="69"/>
      <c r="F422" s="69"/>
      <c r="G422" s="69"/>
      <c r="H422" s="69"/>
      <c r="N422" s="44"/>
      <c r="O422" s="44"/>
      <c r="P422" s="44"/>
    </row>
    <row r="423">
      <c r="A423" s="68"/>
      <c r="B423" s="69"/>
      <c r="C423" s="69"/>
      <c r="D423" s="69"/>
      <c r="E423" s="69"/>
      <c r="F423" s="69"/>
      <c r="G423" s="69"/>
      <c r="H423" s="69"/>
      <c r="N423" s="44"/>
      <c r="O423" s="44"/>
      <c r="P423" s="44"/>
    </row>
    <row r="424">
      <c r="A424" s="68"/>
      <c r="B424" s="69"/>
      <c r="C424" s="69"/>
      <c r="D424" s="69"/>
      <c r="E424" s="69"/>
      <c r="F424" s="69"/>
      <c r="G424" s="69"/>
      <c r="H424" s="69"/>
      <c r="N424" s="44"/>
      <c r="O424" s="44"/>
      <c r="P424" s="44"/>
    </row>
    <row r="425">
      <c r="A425" s="68"/>
      <c r="B425" s="69"/>
      <c r="C425" s="69"/>
      <c r="D425" s="69"/>
      <c r="E425" s="69"/>
      <c r="F425" s="69"/>
      <c r="G425" s="69"/>
      <c r="H425" s="69"/>
      <c r="N425" s="44"/>
      <c r="O425" s="44"/>
      <c r="P425" s="44"/>
    </row>
    <row r="426">
      <c r="A426" s="68"/>
      <c r="B426" s="69"/>
      <c r="C426" s="69"/>
      <c r="D426" s="69"/>
      <c r="E426" s="69"/>
      <c r="F426" s="69"/>
      <c r="G426" s="69"/>
      <c r="H426" s="69"/>
      <c r="N426" s="44"/>
      <c r="O426" s="44"/>
      <c r="P426" s="44"/>
    </row>
    <row r="427">
      <c r="A427" s="68"/>
      <c r="B427" s="69"/>
      <c r="C427" s="69"/>
      <c r="D427" s="69"/>
      <c r="E427" s="69"/>
      <c r="F427" s="69"/>
      <c r="G427" s="69"/>
      <c r="H427" s="69"/>
      <c r="N427" s="44"/>
      <c r="O427" s="44"/>
      <c r="P427" s="44"/>
    </row>
    <row r="428">
      <c r="A428" s="68"/>
      <c r="B428" s="69"/>
      <c r="C428" s="69"/>
      <c r="D428" s="69"/>
      <c r="E428" s="69"/>
      <c r="F428" s="69"/>
      <c r="G428" s="69"/>
      <c r="H428" s="69"/>
      <c r="N428" s="44"/>
      <c r="O428" s="44"/>
      <c r="P428" s="44"/>
    </row>
    <row r="429">
      <c r="A429" s="68"/>
      <c r="B429" s="69"/>
      <c r="C429" s="69"/>
      <c r="D429" s="69"/>
      <c r="E429" s="69"/>
      <c r="F429" s="69"/>
      <c r="G429" s="69"/>
      <c r="H429" s="69"/>
      <c r="N429" s="44"/>
      <c r="O429" s="44"/>
      <c r="P429" s="44"/>
    </row>
    <row r="430">
      <c r="A430" s="68"/>
      <c r="B430" s="69"/>
      <c r="C430" s="69"/>
      <c r="D430" s="69"/>
      <c r="E430" s="69"/>
      <c r="F430" s="69"/>
      <c r="G430" s="69"/>
      <c r="H430" s="69"/>
      <c r="N430" s="44"/>
      <c r="O430" s="44"/>
      <c r="P430" s="44"/>
    </row>
    <row r="431">
      <c r="A431" s="68"/>
      <c r="B431" s="69"/>
      <c r="C431" s="69"/>
      <c r="D431" s="69"/>
      <c r="E431" s="69"/>
      <c r="F431" s="69"/>
      <c r="G431" s="69"/>
      <c r="H431" s="69"/>
      <c r="N431" s="44"/>
      <c r="O431" s="44"/>
      <c r="P431" s="44"/>
    </row>
    <row r="432">
      <c r="A432" s="68"/>
      <c r="B432" s="69"/>
      <c r="C432" s="69"/>
      <c r="D432" s="69"/>
      <c r="E432" s="69"/>
      <c r="F432" s="69"/>
      <c r="G432" s="69"/>
      <c r="H432" s="69"/>
      <c r="N432" s="44"/>
      <c r="O432" s="44"/>
      <c r="P432" s="44"/>
    </row>
    <row r="433">
      <c r="A433" s="68"/>
      <c r="B433" s="69"/>
      <c r="C433" s="69"/>
      <c r="D433" s="69"/>
      <c r="E433" s="69"/>
      <c r="F433" s="69"/>
      <c r="G433" s="69"/>
      <c r="H433" s="69"/>
      <c r="N433" s="44"/>
      <c r="O433" s="44"/>
      <c r="P433" s="44"/>
    </row>
    <row r="434">
      <c r="A434" s="68"/>
      <c r="B434" s="69"/>
      <c r="C434" s="69"/>
      <c r="D434" s="69"/>
      <c r="E434" s="69"/>
      <c r="F434" s="69"/>
      <c r="G434" s="69"/>
      <c r="H434" s="69"/>
      <c r="N434" s="44"/>
      <c r="O434" s="44"/>
      <c r="P434" s="44"/>
    </row>
    <row r="435">
      <c r="A435" s="68"/>
      <c r="B435" s="69"/>
      <c r="C435" s="69"/>
      <c r="D435" s="69"/>
      <c r="E435" s="69"/>
      <c r="F435" s="69"/>
      <c r="G435" s="69"/>
      <c r="H435" s="69"/>
      <c r="N435" s="44"/>
      <c r="O435" s="44"/>
      <c r="P435" s="44"/>
    </row>
    <row r="436">
      <c r="A436" s="68"/>
      <c r="B436" s="69"/>
      <c r="C436" s="69"/>
      <c r="D436" s="69"/>
      <c r="E436" s="69"/>
      <c r="F436" s="69"/>
      <c r="G436" s="69"/>
      <c r="H436" s="69"/>
      <c r="N436" s="44"/>
      <c r="O436" s="44"/>
      <c r="P436" s="44"/>
    </row>
    <row r="437">
      <c r="A437" s="68"/>
      <c r="B437" s="69"/>
      <c r="C437" s="69"/>
      <c r="D437" s="69"/>
      <c r="E437" s="69"/>
      <c r="F437" s="69"/>
      <c r="G437" s="69"/>
      <c r="H437" s="69"/>
      <c r="N437" s="44"/>
      <c r="O437" s="44"/>
      <c r="P437" s="44"/>
    </row>
    <row r="438">
      <c r="A438" s="68"/>
      <c r="B438" s="69"/>
      <c r="C438" s="69"/>
      <c r="D438" s="69"/>
      <c r="E438" s="69"/>
      <c r="F438" s="69"/>
      <c r="G438" s="69"/>
      <c r="H438" s="69"/>
      <c r="N438" s="44"/>
      <c r="O438" s="44"/>
      <c r="P438" s="44"/>
    </row>
    <row r="439">
      <c r="A439" s="68"/>
      <c r="B439" s="69"/>
      <c r="C439" s="69"/>
      <c r="D439" s="69"/>
      <c r="E439" s="69"/>
      <c r="F439" s="69"/>
      <c r="G439" s="69"/>
      <c r="H439" s="69"/>
      <c r="N439" s="44"/>
      <c r="O439" s="44"/>
      <c r="P439" s="44"/>
    </row>
    <row r="440">
      <c r="A440" s="68"/>
      <c r="B440" s="69"/>
      <c r="C440" s="69"/>
      <c r="D440" s="69"/>
      <c r="E440" s="69"/>
      <c r="F440" s="69"/>
      <c r="G440" s="69"/>
      <c r="H440" s="69"/>
      <c r="N440" s="44"/>
      <c r="O440" s="44"/>
      <c r="P440" s="44"/>
    </row>
    <row r="441">
      <c r="A441" s="68"/>
      <c r="B441" s="69"/>
      <c r="C441" s="69"/>
      <c r="D441" s="69"/>
      <c r="E441" s="69"/>
      <c r="F441" s="69"/>
      <c r="G441" s="69"/>
      <c r="H441" s="69"/>
      <c r="N441" s="44"/>
      <c r="O441" s="44"/>
      <c r="P441" s="44"/>
    </row>
    <row r="442">
      <c r="A442" s="68"/>
      <c r="B442" s="69"/>
      <c r="C442" s="69"/>
      <c r="D442" s="69"/>
      <c r="E442" s="69"/>
      <c r="F442" s="69"/>
      <c r="G442" s="69"/>
      <c r="H442" s="69"/>
      <c r="N442" s="44"/>
      <c r="O442" s="44"/>
      <c r="P442" s="44"/>
    </row>
    <row r="443">
      <c r="A443" s="68"/>
      <c r="B443" s="69"/>
      <c r="C443" s="69"/>
      <c r="D443" s="69"/>
      <c r="E443" s="69"/>
      <c r="F443" s="69"/>
      <c r="G443" s="69"/>
      <c r="H443" s="69"/>
      <c r="N443" s="44"/>
      <c r="O443" s="44"/>
      <c r="P443" s="44"/>
    </row>
    <row r="444">
      <c r="A444" s="68"/>
      <c r="B444" s="69"/>
      <c r="C444" s="69"/>
      <c r="D444" s="69"/>
      <c r="E444" s="69"/>
      <c r="F444" s="69"/>
      <c r="G444" s="69"/>
      <c r="H444" s="69"/>
      <c r="N444" s="44"/>
      <c r="O444" s="44"/>
      <c r="P444" s="44"/>
    </row>
    <row r="445">
      <c r="A445" s="68"/>
      <c r="B445" s="69"/>
      <c r="C445" s="69"/>
      <c r="D445" s="69"/>
      <c r="E445" s="69"/>
      <c r="F445" s="69"/>
      <c r="G445" s="69"/>
      <c r="H445" s="69"/>
      <c r="N445" s="44"/>
      <c r="O445" s="44"/>
      <c r="P445" s="44"/>
    </row>
    <row r="446">
      <c r="A446" s="68"/>
      <c r="B446" s="69"/>
      <c r="C446" s="69"/>
      <c r="D446" s="69"/>
      <c r="E446" s="69"/>
      <c r="F446" s="69"/>
      <c r="G446" s="69"/>
      <c r="H446" s="69"/>
      <c r="N446" s="44"/>
      <c r="O446" s="44"/>
      <c r="P446" s="44"/>
    </row>
    <row r="447">
      <c r="A447" s="68"/>
      <c r="B447" s="69"/>
      <c r="C447" s="69"/>
      <c r="D447" s="69"/>
      <c r="E447" s="69"/>
      <c r="F447" s="69"/>
      <c r="G447" s="69"/>
      <c r="H447" s="69"/>
      <c r="N447" s="44"/>
      <c r="O447" s="44"/>
      <c r="P447" s="44"/>
    </row>
    <row r="448">
      <c r="A448" s="68"/>
      <c r="B448" s="69"/>
      <c r="C448" s="69"/>
      <c r="D448" s="69"/>
      <c r="E448" s="69"/>
      <c r="F448" s="69"/>
      <c r="G448" s="69"/>
      <c r="H448" s="69"/>
      <c r="N448" s="44"/>
      <c r="O448" s="44"/>
      <c r="P448" s="44"/>
    </row>
    <row r="449">
      <c r="A449" s="68"/>
      <c r="B449" s="69"/>
      <c r="C449" s="69"/>
      <c r="D449" s="69"/>
      <c r="E449" s="69"/>
      <c r="F449" s="69"/>
      <c r="G449" s="69"/>
      <c r="H449" s="69"/>
      <c r="N449" s="44"/>
      <c r="O449" s="44"/>
      <c r="P449" s="44"/>
    </row>
    <row r="450">
      <c r="A450" s="68"/>
      <c r="B450" s="69"/>
      <c r="C450" s="69"/>
      <c r="D450" s="69"/>
      <c r="E450" s="69"/>
      <c r="F450" s="69"/>
      <c r="G450" s="69"/>
      <c r="H450" s="69"/>
      <c r="N450" s="44"/>
      <c r="O450" s="44"/>
      <c r="P450" s="44"/>
    </row>
    <row r="451">
      <c r="A451" s="68"/>
      <c r="B451" s="69"/>
      <c r="C451" s="69"/>
      <c r="D451" s="69"/>
      <c r="E451" s="69"/>
      <c r="F451" s="69"/>
      <c r="G451" s="69"/>
      <c r="H451" s="69"/>
      <c r="N451" s="44"/>
      <c r="O451" s="44"/>
      <c r="P451" s="44"/>
    </row>
    <row r="452">
      <c r="A452" s="68"/>
      <c r="B452" s="69"/>
      <c r="C452" s="69"/>
      <c r="D452" s="69"/>
      <c r="E452" s="69"/>
      <c r="F452" s="69"/>
      <c r="G452" s="69"/>
      <c r="H452" s="69"/>
      <c r="N452" s="44"/>
      <c r="O452" s="44"/>
      <c r="P452" s="44"/>
    </row>
    <row r="453">
      <c r="A453" s="68"/>
      <c r="B453" s="69"/>
      <c r="C453" s="69"/>
      <c r="D453" s="69"/>
      <c r="E453" s="69"/>
      <c r="F453" s="69"/>
      <c r="G453" s="69"/>
      <c r="H453" s="69"/>
      <c r="N453" s="44"/>
      <c r="O453" s="44"/>
      <c r="P453" s="44"/>
    </row>
    <row r="454">
      <c r="A454" s="68"/>
      <c r="B454" s="69"/>
      <c r="C454" s="69"/>
      <c r="D454" s="69"/>
      <c r="E454" s="69"/>
      <c r="F454" s="69"/>
      <c r="G454" s="69"/>
      <c r="H454" s="69"/>
      <c r="N454" s="44"/>
      <c r="O454" s="44"/>
      <c r="P454" s="44"/>
    </row>
    <row r="455">
      <c r="A455" s="68"/>
      <c r="B455" s="69"/>
      <c r="C455" s="69"/>
      <c r="D455" s="69"/>
      <c r="E455" s="69"/>
      <c r="F455" s="69"/>
      <c r="G455" s="69"/>
      <c r="H455" s="69"/>
      <c r="N455" s="44"/>
      <c r="O455" s="44"/>
      <c r="P455" s="44"/>
    </row>
    <row r="456">
      <c r="A456" s="68"/>
      <c r="B456" s="69"/>
      <c r="C456" s="69"/>
      <c r="D456" s="69"/>
      <c r="E456" s="69"/>
      <c r="F456" s="69"/>
      <c r="G456" s="69"/>
      <c r="H456" s="69"/>
      <c r="N456" s="44"/>
      <c r="O456" s="44"/>
      <c r="P456" s="44"/>
    </row>
    <row r="457">
      <c r="A457" s="68"/>
      <c r="B457" s="69"/>
      <c r="C457" s="69"/>
      <c r="D457" s="69"/>
      <c r="E457" s="69"/>
      <c r="F457" s="69"/>
      <c r="G457" s="69"/>
      <c r="H457" s="69"/>
      <c r="N457" s="44"/>
      <c r="O457" s="44"/>
      <c r="P457" s="44"/>
    </row>
    <row r="458">
      <c r="A458" s="68"/>
      <c r="B458" s="69"/>
      <c r="C458" s="69"/>
      <c r="D458" s="69"/>
      <c r="E458" s="69"/>
      <c r="F458" s="69"/>
      <c r="G458" s="69"/>
      <c r="H458" s="69"/>
      <c r="N458" s="44"/>
      <c r="O458" s="44"/>
      <c r="P458" s="44"/>
    </row>
    <row r="459">
      <c r="A459" s="68"/>
      <c r="B459" s="69"/>
      <c r="C459" s="69"/>
      <c r="D459" s="69"/>
      <c r="E459" s="69"/>
      <c r="F459" s="69"/>
      <c r="G459" s="69"/>
      <c r="H459" s="69"/>
      <c r="N459" s="44"/>
      <c r="O459" s="44"/>
      <c r="P459" s="44"/>
    </row>
    <row r="460">
      <c r="A460" s="68"/>
      <c r="B460" s="69"/>
      <c r="C460" s="69"/>
      <c r="D460" s="69"/>
      <c r="E460" s="69"/>
      <c r="F460" s="69"/>
      <c r="G460" s="69"/>
      <c r="H460" s="69"/>
      <c r="N460" s="44"/>
      <c r="O460" s="44"/>
      <c r="P460" s="44"/>
    </row>
    <row r="461">
      <c r="A461" s="68"/>
      <c r="B461" s="69"/>
      <c r="C461" s="69"/>
      <c r="D461" s="69"/>
      <c r="E461" s="69"/>
      <c r="F461" s="69"/>
      <c r="G461" s="69"/>
      <c r="H461" s="69"/>
      <c r="N461" s="44"/>
      <c r="O461" s="44"/>
      <c r="P461" s="44"/>
    </row>
    <row r="462">
      <c r="A462" s="68"/>
      <c r="B462" s="69"/>
      <c r="C462" s="69"/>
      <c r="D462" s="69"/>
      <c r="E462" s="69"/>
      <c r="F462" s="69"/>
      <c r="G462" s="69"/>
      <c r="H462" s="69"/>
      <c r="N462" s="44"/>
      <c r="O462" s="44"/>
      <c r="P462" s="44"/>
    </row>
    <row r="463">
      <c r="A463" s="68"/>
      <c r="B463" s="69"/>
      <c r="C463" s="69"/>
      <c r="D463" s="69"/>
      <c r="E463" s="69"/>
      <c r="F463" s="69"/>
      <c r="G463" s="69"/>
      <c r="H463" s="69"/>
      <c r="N463" s="44"/>
      <c r="O463" s="44"/>
      <c r="P463" s="44"/>
    </row>
    <row r="464">
      <c r="A464" s="68"/>
      <c r="B464" s="69"/>
      <c r="C464" s="69"/>
      <c r="D464" s="69"/>
      <c r="E464" s="69"/>
      <c r="F464" s="69"/>
      <c r="G464" s="69"/>
      <c r="H464" s="69"/>
      <c r="N464" s="44"/>
      <c r="O464" s="44"/>
      <c r="P464" s="44"/>
    </row>
    <row r="465">
      <c r="A465" s="68"/>
      <c r="B465" s="69"/>
      <c r="C465" s="69"/>
      <c r="D465" s="69"/>
      <c r="E465" s="69"/>
      <c r="F465" s="69"/>
      <c r="G465" s="69"/>
      <c r="H465" s="69"/>
      <c r="N465" s="44"/>
      <c r="O465" s="44"/>
      <c r="P465" s="44"/>
    </row>
    <row r="466">
      <c r="A466" s="68"/>
      <c r="B466" s="69"/>
      <c r="C466" s="69"/>
      <c r="D466" s="69"/>
      <c r="E466" s="69"/>
      <c r="F466" s="69"/>
      <c r="G466" s="69"/>
      <c r="H466" s="69"/>
      <c r="N466" s="44"/>
      <c r="O466" s="44"/>
      <c r="P466" s="44"/>
    </row>
    <row r="467">
      <c r="A467" s="68"/>
      <c r="B467" s="69"/>
      <c r="C467" s="69"/>
      <c r="D467" s="69"/>
      <c r="E467" s="69"/>
      <c r="F467" s="69"/>
      <c r="G467" s="69"/>
      <c r="H467" s="69"/>
      <c r="N467" s="44"/>
      <c r="O467" s="44"/>
      <c r="P467" s="44"/>
    </row>
    <row r="468">
      <c r="A468" s="68"/>
      <c r="B468" s="69"/>
      <c r="C468" s="69"/>
      <c r="D468" s="69"/>
      <c r="E468" s="69"/>
      <c r="F468" s="69"/>
      <c r="G468" s="69"/>
      <c r="H468" s="69"/>
      <c r="N468" s="44"/>
      <c r="O468" s="44"/>
      <c r="P468" s="44"/>
    </row>
    <row r="469">
      <c r="A469" s="68"/>
      <c r="B469" s="69"/>
      <c r="C469" s="69"/>
      <c r="D469" s="69"/>
      <c r="E469" s="69"/>
      <c r="F469" s="69"/>
      <c r="G469" s="69"/>
      <c r="H469" s="69"/>
      <c r="N469" s="44"/>
      <c r="O469" s="44"/>
      <c r="P469" s="44"/>
    </row>
    <row r="470">
      <c r="A470" s="68"/>
      <c r="B470" s="69"/>
      <c r="C470" s="69"/>
      <c r="D470" s="69"/>
      <c r="E470" s="69"/>
      <c r="F470" s="69"/>
      <c r="G470" s="69"/>
      <c r="H470" s="69"/>
      <c r="N470" s="44"/>
      <c r="O470" s="44"/>
      <c r="P470" s="44"/>
    </row>
    <row r="471">
      <c r="A471" s="68"/>
      <c r="B471" s="69"/>
      <c r="C471" s="69"/>
      <c r="D471" s="69"/>
      <c r="E471" s="69"/>
      <c r="F471" s="69"/>
      <c r="G471" s="69"/>
      <c r="H471" s="69"/>
      <c r="N471" s="44"/>
      <c r="O471" s="44"/>
      <c r="P471" s="44"/>
    </row>
    <row r="472">
      <c r="A472" s="68"/>
      <c r="B472" s="69"/>
      <c r="C472" s="69"/>
      <c r="D472" s="69"/>
      <c r="E472" s="69"/>
      <c r="F472" s="69"/>
      <c r="G472" s="69"/>
      <c r="H472" s="69"/>
      <c r="N472" s="44"/>
      <c r="O472" s="44"/>
      <c r="P472" s="44"/>
    </row>
    <row r="473">
      <c r="A473" s="68"/>
      <c r="B473" s="69"/>
      <c r="C473" s="69"/>
      <c r="D473" s="69"/>
      <c r="E473" s="69"/>
      <c r="F473" s="69"/>
      <c r="G473" s="69"/>
      <c r="H473" s="69"/>
      <c r="N473" s="44"/>
      <c r="O473" s="44"/>
      <c r="P473" s="44"/>
    </row>
    <row r="474">
      <c r="A474" s="68"/>
      <c r="B474" s="69"/>
      <c r="C474" s="69"/>
      <c r="D474" s="69"/>
      <c r="E474" s="69"/>
      <c r="F474" s="69"/>
      <c r="G474" s="69"/>
      <c r="H474" s="69"/>
      <c r="N474" s="44"/>
      <c r="O474" s="44"/>
      <c r="P474" s="44"/>
    </row>
    <row r="475">
      <c r="A475" s="68"/>
      <c r="B475" s="69"/>
      <c r="C475" s="69"/>
      <c r="D475" s="69"/>
      <c r="E475" s="69"/>
      <c r="F475" s="69"/>
      <c r="G475" s="69"/>
      <c r="H475" s="69"/>
      <c r="N475" s="44"/>
      <c r="O475" s="44"/>
      <c r="P475" s="44"/>
    </row>
    <row r="476">
      <c r="A476" s="68"/>
      <c r="B476" s="69"/>
      <c r="C476" s="69"/>
      <c r="D476" s="69"/>
      <c r="E476" s="69"/>
      <c r="F476" s="69"/>
      <c r="G476" s="69"/>
      <c r="H476" s="69"/>
      <c r="N476" s="44"/>
      <c r="O476" s="44"/>
      <c r="P476" s="44"/>
    </row>
    <row r="477">
      <c r="A477" s="68"/>
      <c r="B477" s="69"/>
      <c r="C477" s="69"/>
      <c r="D477" s="69"/>
      <c r="E477" s="69"/>
      <c r="F477" s="69"/>
      <c r="G477" s="69"/>
      <c r="H477" s="69"/>
      <c r="N477" s="44"/>
      <c r="O477" s="44"/>
      <c r="P477" s="44"/>
    </row>
    <row r="478">
      <c r="A478" s="68"/>
      <c r="B478" s="69"/>
      <c r="C478" s="69"/>
      <c r="D478" s="69"/>
      <c r="E478" s="69"/>
      <c r="F478" s="69"/>
      <c r="G478" s="69"/>
      <c r="H478" s="69"/>
      <c r="N478" s="44"/>
      <c r="O478" s="44"/>
      <c r="P478" s="44"/>
    </row>
    <row r="479">
      <c r="A479" s="68"/>
      <c r="B479" s="69"/>
      <c r="C479" s="69"/>
      <c r="D479" s="69"/>
      <c r="E479" s="69"/>
      <c r="F479" s="69"/>
      <c r="G479" s="69"/>
      <c r="H479" s="69"/>
      <c r="N479" s="44"/>
      <c r="O479" s="44"/>
      <c r="P479" s="44"/>
    </row>
    <row r="480">
      <c r="A480" s="68"/>
      <c r="B480" s="69"/>
      <c r="C480" s="69"/>
      <c r="D480" s="69"/>
      <c r="E480" s="69"/>
      <c r="F480" s="69"/>
      <c r="G480" s="69"/>
      <c r="H480" s="69"/>
      <c r="N480" s="44"/>
      <c r="O480" s="44"/>
      <c r="P480" s="44"/>
    </row>
    <row r="481">
      <c r="A481" s="68"/>
      <c r="B481" s="69"/>
      <c r="C481" s="69"/>
      <c r="D481" s="69"/>
      <c r="E481" s="69"/>
      <c r="F481" s="69"/>
      <c r="G481" s="69"/>
      <c r="H481" s="69"/>
      <c r="N481" s="44"/>
      <c r="O481" s="44"/>
      <c r="P481" s="44"/>
    </row>
    <row r="482">
      <c r="A482" s="68"/>
      <c r="B482" s="69"/>
      <c r="C482" s="69"/>
      <c r="D482" s="69"/>
      <c r="E482" s="69"/>
      <c r="F482" s="69"/>
      <c r="G482" s="69"/>
      <c r="H482" s="69"/>
      <c r="N482" s="44"/>
      <c r="O482" s="44"/>
      <c r="P482" s="44"/>
    </row>
    <row r="483">
      <c r="A483" s="68"/>
      <c r="B483" s="69"/>
      <c r="C483" s="69"/>
      <c r="D483" s="69"/>
      <c r="E483" s="69"/>
      <c r="F483" s="69"/>
      <c r="G483" s="69"/>
      <c r="H483" s="69"/>
      <c r="N483" s="44"/>
      <c r="O483" s="44"/>
      <c r="P483" s="44"/>
    </row>
    <row r="484">
      <c r="A484" s="68"/>
      <c r="B484" s="69"/>
      <c r="C484" s="69"/>
      <c r="D484" s="69"/>
      <c r="E484" s="69"/>
      <c r="F484" s="69"/>
      <c r="G484" s="69"/>
      <c r="H484" s="69"/>
      <c r="N484" s="44"/>
      <c r="O484" s="44"/>
      <c r="P484" s="44"/>
    </row>
    <row r="485">
      <c r="A485" s="68"/>
      <c r="B485" s="69"/>
      <c r="C485" s="69"/>
      <c r="D485" s="69"/>
      <c r="E485" s="69"/>
      <c r="F485" s="69"/>
      <c r="G485" s="69"/>
      <c r="H485" s="69"/>
      <c r="N485" s="44"/>
      <c r="O485" s="44"/>
      <c r="P485" s="44"/>
    </row>
    <row r="486">
      <c r="A486" s="68"/>
      <c r="B486" s="69"/>
      <c r="C486" s="69"/>
      <c r="D486" s="69"/>
      <c r="E486" s="69"/>
      <c r="F486" s="69"/>
      <c r="G486" s="69"/>
      <c r="H486" s="69"/>
      <c r="N486" s="44"/>
      <c r="O486" s="44"/>
      <c r="P486" s="44"/>
    </row>
    <row r="487">
      <c r="A487" s="68"/>
      <c r="B487" s="69"/>
      <c r="C487" s="69"/>
      <c r="D487" s="69"/>
      <c r="E487" s="69"/>
      <c r="F487" s="69"/>
      <c r="G487" s="69"/>
      <c r="H487" s="69"/>
      <c r="N487" s="44"/>
      <c r="O487" s="44"/>
      <c r="P487" s="44"/>
    </row>
    <row r="488">
      <c r="A488" s="68"/>
      <c r="B488" s="69"/>
      <c r="C488" s="69"/>
      <c r="D488" s="69"/>
      <c r="E488" s="69"/>
      <c r="F488" s="69"/>
      <c r="G488" s="69"/>
      <c r="H488" s="69"/>
      <c r="N488" s="44"/>
      <c r="O488" s="44"/>
      <c r="P488" s="44"/>
    </row>
    <row r="489">
      <c r="A489" s="68"/>
      <c r="B489" s="69"/>
      <c r="C489" s="69"/>
      <c r="D489" s="69"/>
      <c r="E489" s="69"/>
      <c r="F489" s="69"/>
      <c r="G489" s="69"/>
      <c r="H489" s="69"/>
      <c r="N489" s="44"/>
      <c r="O489" s="44"/>
      <c r="P489" s="44"/>
    </row>
    <row r="490">
      <c r="A490" s="68"/>
      <c r="B490" s="69"/>
      <c r="C490" s="69"/>
      <c r="D490" s="69"/>
      <c r="E490" s="69"/>
      <c r="F490" s="69"/>
      <c r="G490" s="69"/>
      <c r="H490" s="69"/>
      <c r="N490" s="44"/>
      <c r="O490" s="44"/>
      <c r="P490" s="44"/>
    </row>
    <row r="491">
      <c r="A491" s="68"/>
      <c r="B491" s="69"/>
      <c r="C491" s="69"/>
      <c r="D491" s="69"/>
      <c r="E491" s="69"/>
      <c r="F491" s="69"/>
      <c r="G491" s="69"/>
      <c r="H491" s="69"/>
      <c r="N491" s="44"/>
      <c r="O491" s="44"/>
      <c r="P491" s="44"/>
    </row>
    <row r="492">
      <c r="A492" s="68"/>
      <c r="B492" s="69"/>
      <c r="C492" s="69"/>
      <c r="D492" s="69"/>
      <c r="E492" s="69"/>
      <c r="F492" s="69"/>
      <c r="G492" s="69"/>
      <c r="H492" s="69"/>
      <c r="N492" s="44"/>
      <c r="O492" s="44"/>
      <c r="P492" s="44"/>
    </row>
    <row r="493">
      <c r="A493" s="68"/>
      <c r="B493" s="69"/>
      <c r="C493" s="69"/>
      <c r="D493" s="69"/>
      <c r="E493" s="69"/>
      <c r="F493" s="69"/>
      <c r="G493" s="69"/>
      <c r="H493" s="69"/>
      <c r="N493" s="44"/>
      <c r="O493" s="44"/>
      <c r="P493" s="44"/>
    </row>
    <row r="494">
      <c r="A494" s="68"/>
      <c r="B494" s="69"/>
      <c r="C494" s="69"/>
      <c r="D494" s="69"/>
      <c r="E494" s="69"/>
      <c r="F494" s="69"/>
      <c r="G494" s="69"/>
      <c r="H494" s="69"/>
      <c r="N494" s="44"/>
      <c r="O494" s="44"/>
      <c r="P494" s="44"/>
    </row>
    <row r="495">
      <c r="A495" s="68"/>
      <c r="B495" s="69"/>
      <c r="C495" s="69"/>
      <c r="D495" s="69"/>
      <c r="E495" s="69"/>
      <c r="F495" s="69"/>
      <c r="G495" s="69"/>
      <c r="H495" s="69"/>
      <c r="N495" s="44"/>
      <c r="O495" s="44"/>
      <c r="P495" s="44"/>
    </row>
    <row r="496">
      <c r="A496" s="68"/>
      <c r="B496" s="69"/>
      <c r="C496" s="69"/>
      <c r="D496" s="69"/>
      <c r="E496" s="69"/>
      <c r="F496" s="69"/>
      <c r="G496" s="69"/>
      <c r="H496" s="69"/>
      <c r="N496" s="44"/>
      <c r="O496" s="44"/>
      <c r="P496" s="44"/>
    </row>
    <row r="497">
      <c r="A497" s="68"/>
      <c r="B497" s="69"/>
      <c r="C497" s="69"/>
      <c r="D497" s="69"/>
      <c r="E497" s="69"/>
      <c r="F497" s="69"/>
      <c r="G497" s="69"/>
      <c r="H497" s="69"/>
      <c r="N497" s="44"/>
      <c r="O497" s="44"/>
      <c r="P497" s="44"/>
    </row>
    <row r="498">
      <c r="A498" s="68"/>
      <c r="B498" s="69"/>
      <c r="C498" s="69"/>
      <c r="D498" s="69"/>
      <c r="E498" s="69"/>
      <c r="F498" s="69"/>
      <c r="G498" s="69"/>
      <c r="H498" s="69"/>
      <c r="N498" s="44"/>
      <c r="O498" s="44"/>
      <c r="P498" s="44"/>
    </row>
    <row r="499">
      <c r="A499" s="68"/>
      <c r="B499" s="69"/>
      <c r="C499" s="69"/>
      <c r="D499" s="69"/>
      <c r="E499" s="69"/>
      <c r="F499" s="69"/>
      <c r="G499" s="69"/>
      <c r="H499" s="69"/>
      <c r="N499" s="44"/>
      <c r="O499" s="44"/>
      <c r="P499" s="44"/>
    </row>
    <row r="500">
      <c r="A500" s="68"/>
      <c r="B500" s="69"/>
      <c r="C500" s="69"/>
      <c r="D500" s="69"/>
      <c r="E500" s="69"/>
      <c r="F500" s="69"/>
      <c r="G500" s="69"/>
      <c r="H500" s="69"/>
      <c r="N500" s="44"/>
      <c r="O500" s="44"/>
      <c r="P500" s="44"/>
    </row>
    <row r="501">
      <c r="A501" s="68"/>
      <c r="B501" s="69"/>
      <c r="C501" s="69"/>
      <c r="D501" s="69"/>
      <c r="E501" s="69"/>
      <c r="F501" s="69"/>
      <c r="G501" s="69"/>
      <c r="H501" s="69"/>
      <c r="N501" s="44"/>
      <c r="O501" s="44"/>
      <c r="P501" s="44"/>
    </row>
    <row r="502">
      <c r="A502" s="68"/>
      <c r="B502" s="69"/>
      <c r="C502" s="69"/>
      <c r="D502" s="69"/>
      <c r="E502" s="69"/>
      <c r="F502" s="69"/>
      <c r="G502" s="69"/>
      <c r="H502" s="69"/>
      <c r="N502" s="44"/>
      <c r="O502" s="44"/>
      <c r="P502" s="44"/>
    </row>
    <row r="503">
      <c r="A503" s="68"/>
      <c r="B503" s="69"/>
      <c r="C503" s="69"/>
      <c r="D503" s="69"/>
      <c r="E503" s="69"/>
      <c r="F503" s="69"/>
      <c r="G503" s="69"/>
      <c r="H503" s="69"/>
      <c r="N503" s="44"/>
      <c r="O503" s="44"/>
      <c r="P503" s="44"/>
    </row>
    <row r="504">
      <c r="A504" s="68"/>
      <c r="B504" s="69"/>
      <c r="C504" s="69"/>
      <c r="D504" s="69"/>
      <c r="E504" s="69"/>
      <c r="F504" s="69"/>
      <c r="G504" s="69"/>
      <c r="H504" s="69"/>
      <c r="N504" s="44"/>
      <c r="O504" s="44"/>
      <c r="P504" s="44"/>
    </row>
    <row r="505">
      <c r="A505" s="68"/>
      <c r="B505" s="69"/>
      <c r="C505" s="69"/>
      <c r="D505" s="69"/>
      <c r="E505" s="69"/>
      <c r="F505" s="69"/>
      <c r="G505" s="69"/>
      <c r="H505" s="69"/>
      <c r="N505" s="44"/>
      <c r="O505" s="44"/>
      <c r="P505" s="44"/>
    </row>
    <row r="506">
      <c r="A506" s="68"/>
      <c r="B506" s="69"/>
      <c r="C506" s="69"/>
      <c r="D506" s="69"/>
      <c r="E506" s="69"/>
      <c r="F506" s="69"/>
      <c r="G506" s="69"/>
      <c r="H506" s="69"/>
      <c r="N506" s="44"/>
      <c r="O506" s="44"/>
      <c r="P506" s="44"/>
    </row>
    <row r="507">
      <c r="A507" s="68"/>
      <c r="B507" s="69"/>
      <c r="C507" s="69"/>
      <c r="D507" s="69"/>
      <c r="E507" s="69"/>
      <c r="F507" s="69"/>
      <c r="G507" s="69"/>
      <c r="H507" s="69"/>
      <c r="N507" s="44"/>
      <c r="O507" s="44"/>
      <c r="P507" s="44"/>
    </row>
    <row r="508">
      <c r="A508" s="68"/>
      <c r="B508" s="69"/>
      <c r="C508" s="69"/>
      <c r="D508" s="69"/>
      <c r="E508" s="69"/>
      <c r="F508" s="69"/>
      <c r="G508" s="69"/>
      <c r="H508" s="69"/>
      <c r="N508" s="44"/>
      <c r="O508" s="44"/>
      <c r="P508" s="44"/>
    </row>
    <row r="509">
      <c r="A509" s="68"/>
      <c r="B509" s="69"/>
      <c r="C509" s="69"/>
      <c r="D509" s="69"/>
      <c r="E509" s="69"/>
      <c r="F509" s="69"/>
      <c r="G509" s="69"/>
      <c r="H509" s="69"/>
      <c r="N509" s="44"/>
      <c r="O509" s="44"/>
      <c r="P509" s="44"/>
    </row>
    <row r="510">
      <c r="A510" s="68"/>
      <c r="B510" s="69"/>
      <c r="C510" s="69"/>
      <c r="D510" s="69"/>
      <c r="E510" s="69"/>
      <c r="F510" s="69"/>
      <c r="G510" s="69"/>
      <c r="H510" s="69"/>
      <c r="N510" s="44"/>
      <c r="O510" s="44"/>
      <c r="P510" s="44"/>
    </row>
    <row r="511">
      <c r="A511" s="68"/>
      <c r="B511" s="69"/>
      <c r="C511" s="69"/>
      <c r="D511" s="69"/>
      <c r="E511" s="69"/>
      <c r="F511" s="69"/>
      <c r="G511" s="69"/>
      <c r="H511" s="69"/>
      <c r="N511" s="44"/>
      <c r="O511" s="44"/>
      <c r="P511" s="44"/>
    </row>
    <row r="512">
      <c r="A512" s="68"/>
      <c r="B512" s="69"/>
      <c r="C512" s="69"/>
      <c r="D512" s="69"/>
      <c r="E512" s="69"/>
      <c r="F512" s="69"/>
      <c r="G512" s="69"/>
      <c r="H512" s="69"/>
      <c r="N512" s="44"/>
      <c r="O512" s="44"/>
      <c r="P512" s="44"/>
    </row>
    <row r="513">
      <c r="A513" s="68"/>
      <c r="B513" s="69"/>
      <c r="C513" s="69"/>
      <c r="D513" s="69"/>
      <c r="E513" s="69"/>
      <c r="F513" s="69"/>
      <c r="G513" s="69"/>
      <c r="H513" s="69"/>
      <c r="N513" s="44"/>
      <c r="O513" s="44"/>
      <c r="P513" s="44"/>
    </row>
    <row r="514">
      <c r="A514" s="68"/>
      <c r="B514" s="69"/>
      <c r="C514" s="69"/>
      <c r="D514" s="69"/>
      <c r="E514" s="69"/>
      <c r="F514" s="69"/>
      <c r="G514" s="69"/>
      <c r="H514" s="69"/>
      <c r="N514" s="44"/>
      <c r="O514" s="44"/>
      <c r="P514" s="44"/>
    </row>
    <row r="515">
      <c r="A515" s="68"/>
      <c r="B515" s="69"/>
      <c r="C515" s="69"/>
      <c r="D515" s="69"/>
      <c r="E515" s="69"/>
      <c r="F515" s="69"/>
      <c r="G515" s="69"/>
      <c r="H515" s="69"/>
      <c r="N515" s="44"/>
      <c r="O515" s="44"/>
      <c r="P515" s="44"/>
    </row>
    <row r="516">
      <c r="A516" s="68"/>
      <c r="B516" s="69"/>
      <c r="C516" s="69"/>
      <c r="D516" s="69"/>
      <c r="E516" s="69"/>
      <c r="F516" s="69"/>
      <c r="G516" s="69"/>
      <c r="H516" s="69"/>
      <c r="N516" s="44"/>
      <c r="O516" s="44"/>
      <c r="P516" s="44"/>
    </row>
    <row r="517">
      <c r="A517" s="68"/>
      <c r="B517" s="69"/>
      <c r="C517" s="69"/>
      <c r="D517" s="69"/>
      <c r="E517" s="69"/>
      <c r="F517" s="69"/>
      <c r="G517" s="69"/>
      <c r="H517" s="69"/>
      <c r="N517" s="44"/>
      <c r="O517" s="44"/>
      <c r="P517" s="44"/>
    </row>
    <row r="518">
      <c r="A518" s="68"/>
      <c r="B518" s="69"/>
      <c r="C518" s="69"/>
      <c r="D518" s="69"/>
      <c r="E518" s="69"/>
      <c r="F518" s="69"/>
      <c r="G518" s="69"/>
      <c r="H518" s="69"/>
      <c r="N518" s="44"/>
      <c r="O518" s="44"/>
      <c r="P518" s="44"/>
    </row>
    <row r="519">
      <c r="A519" s="68"/>
      <c r="B519" s="69"/>
      <c r="C519" s="69"/>
      <c r="D519" s="69"/>
      <c r="E519" s="69"/>
      <c r="F519" s="69"/>
      <c r="G519" s="69"/>
      <c r="H519" s="69"/>
      <c r="N519" s="44"/>
      <c r="O519" s="44"/>
      <c r="P519" s="44"/>
    </row>
    <row r="520">
      <c r="A520" s="68"/>
      <c r="B520" s="69"/>
      <c r="C520" s="69"/>
      <c r="D520" s="69"/>
      <c r="E520" s="69"/>
      <c r="F520" s="69"/>
      <c r="G520" s="69"/>
      <c r="H520" s="69"/>
      <c r="N520" s="44"/>
      <c r="O520" s="44"/>
      <c r="P520" s="44"/>
    </row>
    <row r="521">
      <c r="A521" s="68"/>
      <c r="B521" s="69"/>
      <c r="C521" s="69"/>
      <c r="D521" s="69"/>
      <c r="E521" s="69"/>
      <c r="F521" s="69"/>
      <c r="G521" s="69"/>
      <c r="H521" s="69"/>
      <c r="N521" s="44"/>
      <c r="O521" s="44"/>
      <c r="P521" s="44"/>
    </row>
    <row r="522">
      <c r="A522" s="68"/>
      <c r="B522" s="69"/>
      <c r="C522" s="69"/>
      <c r="D522" s="69"/>
      <c r="E522" s="69"/>
      <c r="F522" s="69"/>
      <c r="G522" s="69"/>
      <c r="H522" s="69"/>
      <c r="N522" s="44"/>
      <c r="O522" s="44"/>
      <c r="P522" s="44"/>
    </row>
    <row r="523">
      <c r="A523" s="68"/>
      <c r="B523" s="69"/>
      <c r="C523" s="69"/>
      <c r="D523" s="69"/>
      <c r="E523" s="69"/>
      <c r="F523" s="69"/>
      <c r="G523" s="69"/>
      <c r="H523" s="69"/>
      <c r="N523" s="44"/>
      <c r="O523" s="44"/>
      <c r="P523" s="44"/>
    </row>
    <row r="524">
      <c r="A524" s="68"/>
      <c r="B524" s="69"/>
      <c r="C524" s="69"/>
      <c r="D524" s="69"/>
      <c r="E524" s="69"/>
      <c r="F524" s="69"/>
      <c r="G524" s="69"/>
      <c r="H524" s="69"/>
      <c r="N524" s="44"/>
      <c r="O524" s="44"/>
      <c r="P524" s="44"/>
    </row>
    <row r="525">
      <c r="A525" s="68"/>
      <c r="B525" s="69"/>
      <c r="C525" s="69"/>
      <c r="D525" s="69"/>
      <c r="E525" s="69"/>
      <c r="F525" s="69"/>
      <c r="G525" s="69"/>
      <c r="H525" s="69"/>
      <c r="N525" s="44"/>
      <c r="O525" s="44"/>
      <c r="P525" s="44"/>
    </row>
    <row r="526">
      <c r="A526" s="68"/>
      <c r="B526" s="69"/>
      <c r="C526" s="69"/>
      <c r="D526" s="69"/>
      <c r="E526" s="69"/>
      <c r="F526" s="69"/>
      <c r="G526" s="69"/>
      <c r="H526" s="69"/>
      <c r="N526" s="44"/>
      <c r="O526" s="44"/>
      <c r="P526" s="44"/>
    </row>
    <row r="527">
      <c r="A527" s="68"/>
      <c r="B527" s="69"/>
      <c r="C527" s="69"/>
      <c r="D527" s="69"/>
      <c r="E527" s="69"/>
      <c r="F527" s="69"/>
      <c r="G527" s="69"/>
      <c r="H527" s="69"/>
      <c r="N527" s="44"/>
      <c r="O527" s="44"/>
      <c r="P527" s="44"/>
    </row>
    <row r="528">
      <c r="A528" s="68"/>
      <c r="B528" s="69"/>
      <c r="C528" s="69"/>
      <c r="D528" s="69"/>
      <c r="E528" s="69"/>
      <c r="F528" s="69"/>
      <c r="G528" s="69"/>
      <c r="H528" s="69"/>
      <c r="N528" s="44"/>
      <c r="O528" s="44"/>
      <c r="P528" s="44"/>
    </row>
    <row r="529">
      <c r="A529" s="68"/>
      <c r="B529" s="69"/>
      <c r="C529" s="69"/>
      <c r="D529" s="69"/>
      <c r="E529" s="69"/>
      <c r="F529" s="69"/>
      <c r="G529" s="69"/>
      <c r="H529" s="69"/>
      <c r="N529" s="44"/>
      <c r="O529" s="44"/>
      <c r="P529" s="44"/>
    </row>
    <row r="530">
      <c r="A530" s="68"/>
      <c r="B530" s="69"/>
      <c r="C530" s="69"/>
      <c r="D530" s="69"/>
      <c r="E530" s="69"/>
      <c r="F530" s="69"/>
      <c r="G530" s="69"/>
      <c r="H530" s="69"/>
      <c r="N530" s="44"/>
      <c r="O530" s="44"/>
      <c r="P530" s="44"/>
    </row>
    <row r="531">
      <c r="A531" s="68"/>
      <c r="B531" s="69"/>
      <c r="C531" s="69"/>
      <c r="D531" s="69"/>
      <c r="E531" s="69"/>
      <c r="F531" s="69"/>
      <c r="G531" s="69"/>
      <c r="H531" s="69"/>
      <c r="N531" s="44"/>
      <c r="O531" s="44"/>
      <c r="P531" s="44"/>
    </row>
    <row r="532">
      <c r="A532" s="68"/>
      <c r="B532" s="69"/>
      <c r="C532" s="69"/>
      <c r="D532" s="69"/>
      <c r="E532" s="69"/>
      <c r="F532" s="69"/>
      <c r="G532" s="69"/>
      <c r="H532" s="69"/>
      <c r="N532" s="44"/>
      <c r="O532" s="44"/>
      <c r="P532" s="44"/>
    </row>
    <row r="533">
      <c r="A533" s="68"/>
      <c r="B533" s="69"/>
      <c r="C533" s="69"/>
      <c r="D533" s="69"/>
      <c r="E533" s="69"/>
      <c r="F533" s="69"/>
      <c r="G533" s="69"/>
      <c r="H533" s="69"/>
      <c r="N533" s="44"/>
      <c r="O533" s="44"/>
      <c r="P533" s="44"/>
    </row>
    <row r="534">
      <c r="A534" s="68"/>
      <c r="B534" s="69"/>
      <c r="C534" s="69"/>
      <c r="D534" s="69"/>
      <c r="E534" s="69"/>
      <c r="F534" s="69"/>
      <c r="G534" s="69"/>
      <c r="H534" s="69"/>
      <c r="N534" s="44"/>
      <c r="O534" s="44"/>
      <c r="P534" s="44"/>
    </row>
    <row r="535">
      <c r="A535" s="68"/>
      <c r="B535" s="69"/>
      <c r="C535" s="69"/>
      <c r="D535" s="69"/>
      <c r="E535" s="69"/>
      <c r="F535" s="69"/>
      <c r="G535" s="69"/>
      <c r="H535" s="69"/>
      <c r="N535" s="44"/>
      <c r="O535" s="44"/>
      <c r="P535" s="44"/>
    </row>
    <row r="536">
      <c r="A536" s="68"/>
      <c r="B536" s="69"/>
      <c r="C536" s="69"/>
      <c r="D536" s="69"/>
      <c r="E536" s="69"/>
      <c r="F536" s="69"/>
      <c r="G536" s="69"/>
      <c r="H536" s="69"/>
      <c r="N536" s="44"/>
      <c r="O536" s="44"/>
      <c r="P536" s="44"/>
    </row>
    <row r="537">
      <c r="A537" s="68"/>
      <c r="B537" s="69"/>
      <c r="C537" s="69"/>
      <c r="D537" s="69"/>
      <c r="E537" s="69"/>
      <c r="F537" s="69"/>
      <c r="G537" s="69"/>
      <c r="H537" s="69"/>
      <c r="N537" s="44"/>
      <c r="O537" s="44"/>
      <c r="P537" s="44"/>
    </row>
    <row r="538">
      <c r="A538" s="68"/>
      <c r="B538" s="69"/>
      <c r="C538" s="69"/>
      <c r="D538" s="69"/>
      <c r="E538" s="69"/>
      <c r="F538" s="69"/>
      <c r="G538" s="69"/>
      <c r="H538" s="69"/>
      <c r="N538" s="44"/>
      <c r="O538" s="44"/>
      <c r="P538" s="44"/>
    </row>
    <row r="539">
      <c r="A539" s="68"/>
      <c r="B539" s="69"/>
      <c r="C539" s="69"/>
      <c r="D539" s="69"/>
      <c r="E539" s="69"/>
      <c r="F539" s="69"/>
      <c r="G539" s="69"/>
      <c r="H539" s="69"/>
      <c r="N539" s="44"/>
      <c r="O539" s="44"/>
      <c r="P539" s="44"/>
    </row>
    <row r="540">
      <c r="A540" s="68"/>
      <c r="B540" s="69"/>
      <c r="C540" s="69"/>
      <c r="D540" s="69"/>
      <c r="E540" s="69"/>
      <c r="F540" s="69"/>
      <c r="G540" s="69"/>
      <c r="H540" s="69"/>
      <c r="N540" s="44"/>
      <c r="O540" s="44"/>
      <c r="P540" s="44"/>
    </row>
    <row r="541">
      <c r="A541" s="68"/>
      <c r="B541" s="69"/>
      <c r="C541" s="69"/>
      <c r="D541" s="69"/>
      <c r="E541" s="69"/>
      <c r="F541" s="69"/>
      <c r="G541" s="69"/>
      <c r="H541" s="69"/>
      <c r="N541" s="44"/>
      <c r="O541" s="44"/>
      <c r="P541" s="44"/>
    </row>
    <row r="542">
      <c r="A542" s="68"/>
      <c r="B542" s="69"/>
      <c r="C542" s="69"/>
      <c r="D542" s="69"/>
      <c r="E542" s="69"/>
      <c r="F542" s="69"/>
      <c r="G542" s="69"/>
      <c r="H542" s="69"/>
      <c r="N542" s="44"/>
      <c r="O542" s="44"/>
      <c r="P542" s="44"/>
    </row>
    <row r="543">
      <c r="A543" s="68"/>
      <c r="B543" s="69"/>
      <c r="C543" s="69"/>
      <c r="D543" s="69"/>
      <c r="E543" s="69"/>
      <c r="F543" s="69"/>
      <c r="G543" s="69"/>
      <c r="H543" s="69"/>
      <c r="N543" s="44"/>
      <c r="O543" s="44"/>
      <c r="P543" s="44"/>
    </row>
    <row r="544">
      <c r="A544" s="68"/>
      <c r="B544" s="69"/>
      <c r="C544" s="69"/>
      <c r="D544" s="69"/>
      <c r="E544" s="69"/>
      <c r="F544" s="69"/>
      <c r="G544" s="69"/>
      <c r="H544" s="69"/>
      <c r="N544" s="44"/>
      <c r="O544" s="44"/>
      <c r="P544" s="44"/>
    </row>
    <row r="545">
      <c r="A545" s="68"/>
      <c r="B545" s="69"/>
      <c r="C545" s="69"/>
      <c r="D545" s="69"/>
      <c r="E545" s="69"/>
      <c r="F545" s="69"/>
      <c r="G545" s="69"/>
      <c r="H545" s="69"/>
      <c r="N545" s="44"/>
      <c r="O545" s="44"/>
      <c r="P545" s="44"/>
    </row>
    <row r="546">
      <c r="A546" s="68"/>
      <c r="B546" s="69"/>
      <c r="C546" s="69"/>
      <c r="D546" s="69"/>
      <c r="E546" s="69"/>
      <c r="F546" s="69"/>
      <c r="G546" s="69"/>
      <c r="H546" s="69"/>
      <c r="N546" s="44"/>
      <c r="O546" s="44"/>
      <c r="P546" s="44"/>
    </row>
    <row r="547">
      <c r="A547" s="68"/>
      <c r="B547" s="69"/>
      <c r="C547" s="69"/>
      <c r="D547" s="69"/>
      <c r="E547" s="69"/>
      <c r="F547" s="69"/>
      <c r="G547" s="69"/>
      <c r="H547" s="69"/>
      <c r="N547" s="44"/>
      <c r="O547" s="44"/>
      <c r="P547" s="44"/>
    </row>
    <row r="548">
      <c r="A548" s="68"/>
      <c r="B548" s="69"/>
      <c r="C548" s="69"/>
      <c r="D548" s="69"/>
      <c r="E548" s="69"/>
      <c r="F548" s="69"/>
      <c r="G548" s="69"/>
      <c r="H548" s="69"/>
      <c r="N548" s="44"/>
      <c r="O548" s="44"/>
      <c r="P548" s="44"/>
    </row>
    <row r="549">
      <c r="A549" s="68"/>
      <c r="B549" s="69"/>
      <c r="C549" s="69"/>
      <c r="D549" s="69"/>
      <c r="E549" s="69"/>
      <c r="F549" s="69"/>
      <c r="G549" s="69"/>
      <c r="H549" s="69"/>
      <c r="N549" s="44"/>
      <c r="O549" s="44"/>
      <c r="P549" s="44"/>
    </row>
    <row r="550">
      <c r="A550" s="68"/>
      <c r="B550" s="69"/>
      <c r="C550" s="69"/>
      <c r="D550" s="69"/>
      <c r="E550" s="69"/>
      <c r="F550" s="69"/>
      <c r="G550" s="69"/>
      <c r="H550" s="69"/>
      <c r="N550" s="44"/>
      <c r="O550" s="44"/>
      <c r="P550" s="44"/>
    </row>
    <row r="551">
      <c r="A551" s="68"/>
      <c r="B551" s="69"/>
      <c r="C551" s="69"/>
      <c r="D551" s="69"/>
      <c r="E551" s="69"/>
      <c r="F551" s="69"/>
      <c r="G551" s="69"/>
      <c r="H551" s="69"/>
      <c r="N551" s="44"/>
      <c r="O551" s="44"/>
      <c r="P551" s="44"/>
    </row>
    <row r="552">
      <c r="A552" s="68"/>
      <c r="B552" s="69"/>
      <c r="C552" s="69"/>
      <c r="D552" s="69"/>
      <c r="E552" s="69"/>
      <c r="F552" s="69"/>
      <c r="G552" s="69"/>
      <c r="H552" s="69"/>
      <c r="N552" s="44"/>
      <c r="O552" s="44"/>
      <c r="P552" s="44"/>
    </row>
    <row r="553">
      <c r="A553" s="68"/>
      <c r="B553" s="69"/>
      <c r="C553" s="69"/>
      <c r="D553" s="69"/>
      <c r="E553" s="69"/>
      <c r="F553" s="69"/>
      <c r="G553" s="69"/>
      <c r="H553" s="69"/>
      <c r="N553" s="44"/>
      <c r="O553" s="44"/>
      <c r="P553" s="44"/>
    </row>
    <row r="554">
      <c r="A554" s="68"/>
      <c r="B554" s="69"/>
      <c r="C554" s="69"/>
      <c r="D554" s="69"/>
      <c r="E554" s="69"/>
      <c r="F554" s="69"/>
      <c r="G554" s="69"/>
      <c r="H554" s="69"/>
      <c r="N554" s="44"/>
      <c r="O554" s="44"/>
      <c r="P554" s="44"/>
    </row>
    <row r="555">
      <c r="A555" s="68"/>
      <c r="B555" s="69"/>
      <c r="C555" s="69"/>
      <c r="D555" s="69"/>
      <c r="E555" s="69"/>
      <c r="F555" s="69"/>
      <c r="G555" s="69"/>
      <c r="H555" s="69"/>
      <c r="N555" s="44"/>
      <c r="O555" s="44"/>
      <c r="P555" s="44"/>
    </row>
    <row r="556">
      <c r="A556" s="68"/>
      <c r="B556" s="69"/>
      <c r="C556" s="69"/>
      <c r="D556" s="69"/>
      <c r="E556" s="69"/>
      <c r="F556" s="69"/>
      <c r="G556" s="69"/>
      <c r="H556" s="69"/>
      <c r="N556" s="44"/>
      <c r="O556" s="44"/>
      <c r="P556" s="44"/>
    </row>
    <row r="557">
      <c r="A557" s="68"/>
      <c r="B557" s="69"/>
      <c r="C557" s="69"/>
      <c r="D557" s="69"/>
      <c r="E557" s="69"/>
      <c r="F557" s="69"/>
      <c r="G557" s="69"/>
      <c r="H557" s="69"/>
      <c r="N557" s="44"/>
      <c r="O557" s="44"/>
      <c r="P557" s="44"/>
    </row>
    <row r="558">
      <c r="A558" s="68"/>
      <c r="B558" s="69"/>
      <c r="C558" s="69"/>
      <c r="D558" s="69"/>
      <c r="E558" s="69"/>
      <c r="F558" s="69"/>
      <c r="G558" s="69"/>
      <c r="H558" s="69"/>
      <c r="N558" s="44"/>
      <c r="O558" s="44"/>
      <c r="P558" s="44"/>
    </row>
    <row r="559">
      <c r="A559" s="68"/>
      <c r="B559" s="69"/>
      <c r="C559" s="69"/>
      <c r="D559" s="69"/>
      <c r="E559" s="69"/>
      <c r="F559" s="69"/>
      <c r="G559" s="69"/>
      <c r="H559" s="69"/>
      <c r="N559" s="44"/>
      <c r="O559" s="44"/>
      <c r="P559" s="44"/>
    </row>
    <row r="560">
      <c r="A560" s="68"/>
      <c r="B560" s="69"/>
      <c r="C560" s="69"/>
      <c r="D560" s="69"/>
      <c r="E560" s="69"/>
      <c r="F560" s="69"/>
      <c r="G560" s="69"/>
      <c r="H560" s="69"/>
      <c r="N560" s="44"/>
      <c r="O560" s="44"/>
      <c r="P560" s="44"/>
    </row>
    <row r="561">
      <c r="A561" s="68"/>
      <c r="B561" s="69"/>
      <c r="C561" s="69"/>
      <c r="D561" s="69"/>
      <c r="E561" s="69"/>
      <c r="F561" s="69"/>
      <c r="G561" s="69"/>
      <c r="H561" s="69"/>
      <c r="N561" s="44"/>
      <c r="O561" s="44"/>
      <c r="P561" s="44"/>
    </row>
    <row r="562">
      <c r="A562" s="68"/>
      <c r="B562" s="69"/>
      <c r="C562" s="69"/>
      <c r="D562" s="69"/>
      <c r="E562" s="69"/>
      <c r="F562" s="69"/>
      <c r="G562" s="69"/>
      <c r="H562" s="69"/>
      <c r="N562" s="44"/>
      <c r="O562" s="44"/>
      <c r="P562" s="44"/>
    </row>
    <row r="563">
      <c r="A563" s="68"/>
      <c r="B563" s="69"/>
      <c r="C563" s="69"/>
      <c r="D563" s="69"/>
      <c r="E563" s="69"/>
      <c r="F563" s="69"/>
      <c r="G563" s="69"/>
      <c r="H563" s="69"/>
      <c r="N563" s="44"/>
      <c r="O563" s="44"/>
      <c r="P563" s="44"/>
    </row>
    <row r="564">
      <c r="A564" s="68"/>
      <c r="B564" s="69"/>
      <c r="C564" s="69"/>
      <c r="D564" s="69"/>
      <c r="E564" s="69"/>
      <c r="F564" s="69"/>
      <c r="G564" s="69"/>
      <c r="H564" s="69"/>
      <c r="N564" s="44"/>
      <c r="O564" s="44"/>
      <c r="P564" s="44"/>
    </row>
    <row r="565">
      <c r="A565" s="68"/>
      <c r="B565" s="69"/>
      <c r="C565" s="69"/>
      <c r="D565" s="69"/>
      <c r="E565" s="69"/>
      <c r="F565" s="69"/>
      <c r="G565" s="69"/>
      <c r="H565" s="69"/>
      <c r="N565" s="44"/>
      <c r="O565" s="44"/>
      <c r="P565" s="44"/>
    </row>
    <row r="566">
      <c r="A566" s="68"/>
      <c r="B566" s="69"/>
      <c r="C566" s="69"/>
      <c r="D566" s="69"/>
      <c r="E566" s="69"/>
      <c r="F566" s="69"/>
      <c r="G566" s="69"/>
      <c r="H566" s="69"/>
      <c r="N566" s="44"/>
      <c r="O566" s="44"/>
      <c r="P566" s="44"/>
    </row>
    <row r="567">
      <c r="A567" s="68"/>
      <c r="B567" s="69"/>
      <c r="C567" s="69"/>
      <c r="D567" s="69"/>
      <c r="E567" s="69"/>
      <c r="F567" s="69"/>
      <c r="G567" s="69"/>
      <c r="H567" s="69"/>
      <c r="N567" s="44"/>
      <c r="O567" s="44"/>
      <c r="P567" s="44"/>
    </row>
    <row r="568">
      <c r="A568" s="68"/>
      <c r="B568" s="69"/>
      <c r="C568" s="69"/>
      <c r="D568" s="69"/>
      <c r="E568" s="69"/>
      <c r="F568" s="69"/>
      <c r="G568" s="69"/>
      <c r="H568" s="69"/>
      <c r="N568" s="44"/>
      <c r="O568" s="44"/>
      <c r="P568" s="44"/>
    </row>
    <row r="569">
      <c r="A569" s="68"/>
      <c r="B569" s="69"/>
      <c r="C569" s="69"/>
      <c r="D569" s="69"/>
      <c r="E569" s="69"/>
      <c r="F569" s="69"/>
      <c r="G569" s="69"/>
      <c r="H569" s="69"/>
      <c r="N569" s="44"/>
      <c r="O569" s="44"/>
      <c r="P569" s="44"/>
    </row>
    <row r="570">
      <c r="A570" s="68"/>
      <c r="B570" s="69"/>
      <c r="C570" s="69"/>
      <c r="D570" s="69"/>
      <c r="E570" s="69"/>
      <c r="F570" s="69"/>
      <c r="G570" s="69"/>
      <c r="H570" s="69"/>
      <c r="N570" s="44"/>
      <c r="O570" s="44"/>
      <c r="P570" s="44"/>
    </row>
    <row r="571">
      <c r="A571" s="68"/>
      <c r="B571" s="69"/>
      <c r="C571" s="69"/>
      <c r="D571" s="69"/>
      <c r="E571" s="69"/>
      <c r="F571" s="69"/>
      <c r="G571" s="69"/>
      <c r="H571" s="69"/>
      <c r="N571" s="44"/>
      <c r="O571" s="44"/>
      <c r="P571" s="44"/>
    </row>
    <row r="572">
      <c r="A572" s="68"/>
      <c r="B572" s="69"/>
      <c r="C572" s="69"/>
      <c r="D572" s="69"/>
      <c r="E572" s="69"/>
      <c r="F572" s="69"/>
      <c r="G572" s="69"/>
      <c r="H572" s="69"/>
      <c r="N572" s="44"/>
      <c r="O572" s="44"/>
      <c r="P572" s="44"/>
    </row>
    <row r="573">
      <c r="A573" s="68"/>
      <c r="B573" s="69"/>
      <c r="C573" s="69"/>
      <c r="D573" s="69"/>
      <c r="E573" s="69"/>
      <c r="F573" s="69"/>
      <c r="G573" s="69"/>
      <c r="H573" s="69"/>
      <c r="N573" s="44"/>
      <c r="O573" s="44"/>
      <c r="P573" s="44"/>
    </row>
    <row r="574">
      <c r="A574" s="68"/>
      <c r="B574" s="69"/>
      <c r="C574" s="69"/>
      <c r="D574" s="69"/>
      <c r="E574" s="69"/>
      <c r="F574" s="69"/>
      <c r="G574" s="69"/>
      <c r="H574" s="69"/>
      <c r="N574" s="44"/>
      <c r="O574" s="44"/>
      <c r="P574" s="44"/>
    </row>
    <row r="575">
      <c r="A575" s="68"/>
      <c r="B575" s="69"/>
      <c r="C575" s="69"/>
      <c r="D575" s="69"/>
      <c r="E575" s="69"/>
      <c r="F575" s="69"/>
      <c r="G575" s="69"/>
      <c r="H575" s="69"/>
      <c r="N575" s="44"/>
      <c r="O575" s="44"/>
      <c r="P575" s="44"/>
    </row>
    <row r="576">
      <c r="A576" s="68"/>
      <c r="B576" s="69"/>
      <c r="C576" s="69"/>
      <c r="D576" s="69"/>
      <c r="E576" s="69"/>
      <c r="F576" s="69"/>
      <c r="G576" s="69"/>
      <c r="H576" s="69"/>
      <c r="N576" s="44"/>
      <c r="O576" s="44"/>
      <c r="P576" s="44"/>
    </row>
    <row r="577">
      <c r="A577" s="68"/>
      <c r="B577" s="69"/>
      <c r="C577" s="69"/>
      <c r="D577" s="69"/>
      <c r="E577" s="69"/>
      <c r="F577" s="69"/>
      <c r="G577" s="69"/>
      <c r="H577" s="69"/>
      <c r="N577" s="44"/>
      <c r="O577" s="44"/>
      <c r="P577" s="44"/>
    </row>
    <row r="578">
      <c r="A578" s="68"/>
      <c r="B578" s="69"/>
      <c r="C578" s="69"/>
      <c r="D578" s="69"/>
      <c r="E578" s="69"/>
      <c r="F578" s="69"/>
      <c r="G578" s="69"/>
      <c r="H578" s="69"/>
      <c r="N578" s="44"/>
      <c r="O578" s="44"/>
      <c r="P578" s="44"/>
    </row>
    <row r="579">
      <c r="A579" s="68"/>
      <c r="B579" s="69"/>
      <c r="C579" s="69"/>
      <c r="D579" s="69"/>
      <c r="E579" s="69"/>
      <c r="F579" s="69"/>
      <c r="G579" s="69"/>
      <c r="H579" s="69"/>
      <c r="N579" s="44"/>
      <c r="O579" s="44"/>
      <c r="P579" s="44"/>
    </row>
    <row r="580">
      <c r="A580" s="68"/>
      <c r="B580" s="69"/>
      <c r="C580" s="69"/>
      <c r="D580" s="69"/>
      <c r="E580" s="69"/>
      <c r="F580" s="69"/>
      <c r="G580" s="69"/>
      <c r="H580" s="69"/>
      <c r="N580" s="44"/>
      <c r="O580" s="44"/>
      <c r="P580" s="44"/>
    </row>
    <row r="581">
      <c r="A581" s="68"/>
      <c r="B581" s="69"/>
      <c r="C581" s="69"/>
      <c r="D581" s="69"/>
      <c r="E581" s="69"/>
      <c r="F581" s="69"/>
      <c r="G581" s="69"/>
      <c r="H581" s="69"/>
      <c r="N581" s="44"/>
      <c r="O581" s="44"/>
      <c r="P581" s="44"/>
    </row>
    <row r="582">
      <c r="A582" s="68"/>
      <c r="B582" s="69"/>
      <c r="C582" s="69"/>
      <c r="D582" s="69"/>
      <c r="E582" s="69"/>
      <c r="F582" s="69"/>
      <c r="G582" s="69"/>
      <c r="H582" s="69"/>
      <c r="N582" s="44"/>
      <c r="O582" s="44"/>
      <c r="P582" s="44"/>
    </row>
    <row r="583">
      <c r="A583" s="68"/>
      <c r="B583" s="69"/>
      <c r="C583" s="69"/>
      <c r="D583" s="69"/>
      <c r="E583" s="69"/>
      <c r="F583" s="69"/>
      <c r="G583" s="69"/>
      <c r="H583" s="69"/>
      <c r="N583" s="44"/>
      <c r="O583" s="44"/>
      <c r="P583" s="44"/>
    </row>
    <row r="584">
      <c r="A584" s="68"/>
      <c r="B584" s="69"/>
      <c r="C584" s="69"/>
      <c r="D584" s="69"/>
      <c r="E584" s="69"/>
      <c r="F584" s="69"/>
      <c r="G584" s="69"/>
      <c r="H584" s="69"/>
      <c r="N584" s="44"/>
      <c r="O584" s="44"/>
      <c r="P584" s="44"/>
    </row>
    <row r="585">
      <c r="A585" s="68"/>
      <c r="B585" s="69"/>
      <c r="C585" s="69"/>
      <c r="D585" s="69"/>
      <c r="E585" s="69"/>
      <c r="F585" s="69"/>
      <c r="G585" s="69"/>
      <c r="H585" s="69"/>
      <c r="N585" s="44"/>
      <c r="O585" s="44"/>
      <c r="P585" s="44"/>
    </row>
    <row r="586">
      <c r="A586" s="68"/>
      <c r="B586" s="69"/>
      <c r="C586" s="69"/>
      <c r="D586" s="69"/>
      <c r="E586" s="69"/>
      <c r="F586" s="69"/>
      <c r="G586" s="69"/>
      <c r="H586" s="69"/>
      <c r="N586" s="44"/>
      <c r="O586" s="44"/>
      <c r="P586" s="44"/>
    </row>
    <row r="587">
      <c r="A587" s="68"/>
      <c r="B587" s="69"/>
      <c r="C587" s="69"/>
      <c r="D587" s="69"/>
      <c r="E587" s="69"/>
      <c r="F587" s="69"/>
      <c r="G587" s="69"/>
      <c r="H587" s="69"/>
      <c r="N587" s="44"/>
      <c r="O587" s="44"/>
      <c r="P587" s="44"/>
    </row>
    <row r="588">
      <c r="A588" s="68"/>
      <c r="B588" s="69"/>
      <c r="C588" s="69"/>
      <c r="D588" s="69"/>
      <c r="E588" s="69"/>
      <c r="F588" s="69"/>
      <c r="G588" s="69"/>
      <c r="H588" s="69"/>
      <c r="N588" s="44"/>
      <c r="O588" s="44"/>
      <c r="P588" s="44"/>
    </row>
    <row r="589">
      <c r="A589" s="68"/>
      <c r="B589" s="69"/>
      <c r="C589" s="69"/>
      <c r="D589" s="69"/>
      <c r="E589" s="69"/>
      <c r="F589" s="69"/>
      <c r="G589" s="69"/>
      <c r="H589" s="69"/>
      <c r="N589" s="44"/>
      <c r="O589" s="44"/>
      <c r="P589" s="44"/>
    </row>
    <row r="590">
      <c r="A590" s="68"/>
      <c r="B590" s="69"/>
      <c r="C590" s="69"/>
      <c r="D590" s="69"/>
      <c r="E590" s="69"/>
      <c r="F590" s="69"/>
      <c r="G590" s="69"/>
      <c r="H590" s="69"/>
      <c r="N590" s="44"/>
      <c r="O590" s="44"/>
      <c r="P590" s="44"/>
    </row>
    <row r="591">
      <c r="A591" s="68"/>
      <c r="B591" s="69"/>
      <c r="C591" s="69"/>
      <c r="D591" s="69"/>
      <c r="E591" s="69"/>
      <c r="F591" s="69"/>
      <c r="G591" s="69"/>
      <c r="H591" s="69"/>
      <c r="N591" s="44"/>
      <c r="O591" s="44"/>
      <c r="P591" s="44"/>
    </row>
    <row r="592">
      <c r="A592" s="68"/>
      <c r="B592" s="69"/>
      <c r="C592" s="69"/>
      <c r="D592" s="69"/>
      <c r="E592" s="69"/>
      <c r="F592" s="69"/>
      <c r="G592" s="69"/>
      <c r="H592" s="69"/>
      <c r="N592" s="44"/>
      <c r="O592" s="44"/>
      <c r="P592" s="44"/>
    </row>
    <row r="593">
      <c r="A593" s="68"/>
      <c r="B593" s="69"/>
      <c r="C593" s="69"/>
      <c r="D593" s="69"/>
      <c r="E593" s="69"/>
      <c r="F593" s="69"/>
      <c r="G593" s="69"/>
      <c r="H593" s="69"/>
      <c r="N593" s="44"/>
      <c r="O593" s="44"/>
      <c r="P593" s="44"/>
    </row>
    <row r="594">
      <c r="A594" s="68"/>
      <c r="B594" s="69"/>
      <c r="C594" s="69"/>
      <c r="D594" s="69"/>
      <c r="E594" s="69"/>
      <c r="F594" s="69"/>
      <c r="G594" s="69"/>
      <c r="H594" s="69"/>
      <c r="N594" s="44"/>
      <c r="O594" s="44"/>
      <c r="P594" s="44"/>
    </row>
    <row r="595">
      <c r="A595" s="68"/>
      <c r="B595" s="69"/>
      <c r="C595" s="69"/>
      <c r="D595" s="69"/>
      <c r="E595" s="69"/>
      <c r="F595" s="69"/>
      <c r="G595" s="69"/>
      <c r="H595" s="69"/>
      <c r="N595" s="44"/>
      <c r="O595" s="44"/>
      <c r="P595" s="44"/>
    </row>
    <row r="596">
      <c r="A596" s="68"/>
      <c r="B596" s="69"/>
      <c r="C596" s="69"/>
      <c r="D596" s="69"/>
      <c r="E596" s="69"/>
      <c r="F596" s="69"/>
      <c r="G596" s="69"/>
      <c r="H596" s="69"/>
      <c r="N596" s="44"/>
      <c r="O596" s="44"/>
      <c r="P596" s="44"/>
    </row>
    <row r="597">
      <c r="A597" s="68"/>
      <c r="B597" s="69"/>
      <c r="C597" s="69"/>
      <c r="D597" s="69"/>
      <c r="E597" s="69"/>
      <c r="F597" s="69"/>
      <c r="G597" s="69"/>
      <c r="H597" s="69"/>
      <c r="N597" s="44"/>
      <c r="O597" s="44"/>
      <c r="P597" s="44"/>
    </row>
    <row r="598">
      <c r="A598" s="68"/>
      <c r="B598" s="69"/>
      <c r="C598" s="69"/>
      <c r="D598" s="69"/>
      <c r="E598" s="69"/>
      <c r="F598" s="69"/>
      <c r="G598" s="69"/>
      <c r="H598" s="69"/>
      <c r="N598" s="44"/>
      <c r="O598" s="44"/>
      <c r="P598" s="44"/>
    </row>
    <row r="599">
      <c r="A599" s="68"/>
      <c r="B599" s="69"/>
      <c r="C599" s="69"/>
      <c r="D599" s="69"/>
      <c r="E599" s="69"/>
      <c r="F599" s="69"/>
      <c r="G599" s="69"/>
      <c r="H599" s="69"/>
      <c r="N599" s="44"/>
      <c r="O599" s="44"/>
      <c r="P599" s="44"/>
    </row>
    <row r="600">
      <c r="A600" s="68"/>
      <c r="B600" s="69"/>
      <c r="C600" s="69"/>
      <c r="D600" s="69"/>
      <c r="E600" s="69"/>
      <c r="F600" s="69"/>
      <c r="G600" s="69"/>
      <c r="H600" s="69"/>
      <c r="N600" s="44"/>
      <c r="O600" s="44"/>
      <c r="P600" s="44"/>
    </row>
    <row r="601">
      <c r="A601" s="68"/>
      <c r="B601" s="69"/>
      <c r="C601" s="69"/>
      <c r="D601" s="69"/>
      <c r="E601" s="69"/>
      <c r="F601" s="69"/>
      <c r="G601" s="69"/>
      <c r="H601" s="69"/>
      <c r="N601" s="44"/>
      <c r="O601" s="44"/>
      <c r="P601" s="44"/>
    </row>
    <row r="602">
      <c r="A602" s="68"/>
      <c r="B602" s="69"/>
      <c r="C602" s="69"/>
      <c r="D602" s="69"/>
      <c r="E602" s="69"/>
      <c r="F602" s="69"/>
      <c r="G602" s="69"/>
      <c r="H602" s="69"/>
      <c r="N602" s="44"/>
      <c r="O602" s="44"/>
      <c r="P602" s="44"/>
    </row>
    <row r="603">
      <c r="A603" s="68"/>
      <c r="B603" s="69"/>
      <c r="C603" s="69"/>
      <c r="D603" s="69"/>
      <c r="E603" s="69"/>
      <c r="F603" s="69"/>
      <c r="G603" s="69"/>
      <c r="H603" s="69"/>
      <c r="N603" s="44"/>
      <c r="O603" s="44"/>
      <c r="P603" s="44"/>
    </row>
    <row r="604">
      <c r="A604" s="68"/>
      <c r="B604" s="69"/>
      <c r="C604" s="69"/>
      <c r="D604" s="69"/>
      <c r="E604" s="69"/>
      <c r="F604" s="69"/>
      <c r="G604" s="69"/>
      <c r="H604" s="69"/>
      <c r="N604" s="44"/>
      <c r="O604" s="44"/>
      <c r="P604" s="44"/>
    </row>
    <row r="605">
      <c r="A605" s="68"/>
      <c r="B605" s="69"/>
      <c r="C605" s="69"/>
      <c r="D605" s="69"/>
      <c r="E605" s="69"/>
      <c r="F605" s="69"/>
      <c r="G605" s="69"/>
      <c r="H605" s="69"/>
      <c r="N605" s="44"/>
      <c r="O605" s="44"/>
      <c r="P605" s="44"/>
    </row>
    <row r="606">
      <c r="A606" s="68"/>
      <c r="B606" s="69"/>
      <c r="C606" s="69"/>
      <c r="D606" s="69"/>
      <c r="E606" s="69"/>
      <c r="F606" s="69"/>
      <c r="G606" s="69"/>
      <c r="H606" s="69"/>
      <c r="N606" s="44"/>
      <c r="O606" s="44"/>
      <c r="P606" s="44"/>
    </row>
    <row r="607">
      <c r="A607" s="68"/>
      <c r="B607" s="69"/>
      <c r="C607" s="69"/>
      <c r="D607" s="69"/>
      <c r="E607" s="69"/>
      <c r="F607" s="69"/>
      <c r="G607" s="69"/>
      <c r="H607" s="69"/>
      <c r="N607" s="44"/>
      <c r="O607" s="44"/>
      <c r="P607" s="44"/>
    </row>
    <row r="608">
      <c r="A608" s="68"/>
      <c r="B608" s="69"/>
      <c r="C608" s="69"/>
      <c r="D608" s="69"/>
      <c r="E608" s="69"/>
      <c r="F608" s="69"/>
      <c r="G608" s="69"/>
      <c r="H608" s="69"/>
      <c r="N608" s="44"/>
      <c r="O608" s="44"/>
      <c r="P608" s="44"/>
    </row>
    <row r="609">
      <c r="A609" s="68"/>
      <c r="B609" s="69"/>
      <c r="C609" s="69"/>
      <c r="D609" s="69"/>
      <c r="E609" s="69"/>
      <c r="F609" s="69"/>
      <c r="G609" s="69"/>
      <c r="H609" s="69"/>
      <c r="N609" s="44"/>
      <c r="O609" s="44"/>
      <c r="P609" s="44"/>
    </row>
    <row r="610">
      <c r="A610" s="68"/>
      <c r="B610" s="69"/>
      <c r="C610" s="69"/>
      <c r="D610" s="69"/>
      <c r="E610" s="69"/>
      <c r="F610" s="69"/>
      <c r="G610" s="69"/>
      <c r="H610" s="69"/>
      <c r="N610" s="44"/>
      <c r="O610" s="44"/>
      <c r="P610" s="44"/>
    </row>
    <row r="611">
      <c r="A611" s="68"/>
      <c r="B611" s="69"/>
      <c r="C611" s="69"/>
      <c r="D611" s="69"/>
      <c r="E611" s="69"/>
      <c r="F611" s="69"/>
      <c r="G611" s="69"/>
      <c r="H611" s="69"/>
      <c r="N611" s="44"/>
      <c r="O611" s="44"/>
      <c r="P611" s="44"/>
    </row>
    <row r="612">
      <c r="A612" s="68"/>
      <c r="B612" s="69"/>
      <c r="C612" s="69"/>
      <c r="D612" s="69"/>
      <c r="E612" s="69"/>
      <c r="F612" s="69"/>
      <c r="G612" s="69"/>
      <c r="H612" s="69"/>
      <c r="N612" s="44"/>
      <c r="O612" s="44"/>
      <c r="P612" s="44"/>
    </row>
    <row r="613">
      <c r="A613" s="68"/>
      <c r="B613" s="69"/>
      <c r="C613" s="69"/>
      <c r="D613" s="69"/>
      <c r="E613" s="69"/>
      <c r="F613" s="69"/>
      <c r="G613" s="69"/>
      <c r="H613" s="69"/>
      <c r="N613" s="44"/>
      <c r="O613" s="44"/>
      <c r="P613" s="44"/>
    </row>
    <row r="614">
      <c r="A614" s="68"/>
      <c r="B614" s="69"/>
      <c r="C614" s="69"/>
      <c r="D614" s="69"/>
      <c r="E614" s="69"/>
      <c r="F614" s="69"/>
      <c r="G614" s="69"/>
      <c r="H614" s="69"/>
      <c r="N614" s="44"/>
      <c r="O614" s="44"/>
      <c r="P614" s="44"/>
    </row>
    <row r="615">
      <c r="A615" s="68"/>
      <c r="B615" s="69"/>
      <c r="C615" s="69"/>
      <c r="D615" s="69"/>
      <c r="E615" s="69"/>
      <c r="F615" s="69"/>
      <c r="G615" s="69"/>
      <c r="H615" s="69"/>
      <c r="N615" s="44"/>
      <c r="O615" s="44"/>
      <c r="P615" s="44"/>
    </row>
    <row r="616">
      <c r="A616" s="68"/>
      <c r="B616" s="69"/>
      <c r="C616" s="69"/>
      <c r="D616" s="69"/>
      <c r="E616" s="69"/>
      <c r="F616" s="69"/>
      <c r="G616" s="69"/>
      <c r="H616" s="69"/>
      <c r="N616" s="44"/>
      <c r="O616" s="44"/>
      <c r="P616" s="44"/>
    </row>
    <row r="617">
      <c r="A617" s="68"/>
      <c r="B617" s="69"/>
      <c r="C617" s="69"/>
      <c r="D617" s="69"/>
      <c r="E617" s="69"/>
      <c r="F617" s="69"/>
      <c r="G617" s="69"/>
      <c r="H617" s="69"/>
      <c r="N617" s="44"/>
      <c r="O617" s="44"/>
      <c r="P617" s="44"/>
    </row>
    <row r="618">
      <c r="A618" s="68"/>
      <c r="B618" s="69"/>
      <c r="C618" s="69"/>
      <c r="D618" s="69"/>
      <c r="E618" s="69"/>
      <c r="F618" s="69"/>
      <c r="G618" s="69"/>
      <c r="H618" s="69"/>
      <c r="N618" s="44"/>
      <c r="O618" s="44"/>
      <c r="P618" s="44"/>
    </row>
    <row r="619">
      <c r="A619" s="68"/>
      <c r="B619" s="69"/>
      <c r="C619" s="69"/>
      <c r="D619" s="69"/>
      <c r="E619" s="69"/>
      <c r="F619" s="69"/>
      <c r="G619" s="69"/>
      <c r="H619" s="69"/>
      <c r="N619" s="44"/>
      <c r="O619" s="44"/>
      <c r="P619" s="44"/>
    </row>
    <row r="620">
      <c r="A620" s="68"/>
      <c r="B620" s="69"/>
      <c r="C620" s="69"/>
      <c r="D620" s="69"/>
      <c r="E620" s="69"/>
      <c r="F620" s="69"/>
      <c r="G620" s="69"/>
      <c r="H620" s="69"/>
      <c r="N620" s="44"/>
      <c r="O620" s="44"/>
      <c r="P620" s="44"/>
    </row>
    <row r="621">
      <c r="A621" s="68"/>
      <c r="B621" s="69"/>
      <c r="C621" s="69"/>
      <c r="D621" s="69"/>
      <c r="E621" s="69"/>
      <c r="F621" s="69"/>
      <c r="G621" s="69"/>
      <c r="H621" s="69"/>
      <c r="N621" s="44"/>
      <c r="O621" s="44"/>
      <c r="P621" s="44"/>
    </row>
    <row r="622">
      <c r="A622" s="68"/>
      <c r="B622" s="69"/>
      <c r="C622" s="69"/>
      <c r="D622" s="69"/>
      <c r="E622" s="69"/>
      <c r="F622" s="69"/>
      <c r="G622" s="69"/>
      <c r="H622" s="69"/>
      <c r="N622" s="44"/>
      <c r="O622" s="44"/>
      <c r="P622" s="44"/>
    </row>
    <row r="623">
      <c r="A623" s="68"/>
      <c r="B623" s="69"/>
      <c r="C623" s="69"/>
      <c r="D623" s="69"/>
      <c r="E623" s="69"/>
      <c r="F623" s="69"/>
      <c r="G623" s="69"/>
      <c r="H623" s="69"/>
      <c r="N623" s="44"/>
      <c r="O623" s="44"/>
      <c r="P623" s="44"/>
    </row>
    <row r="624">
      <c r="A624" s="68"/>
      <c r="B624" s="69"/>
      <c r="C624" s="69"/>
      <c r="D624" s="69"/>
      <c r="E624" s="69"/>
      <c r="F624" s="69"/>
      <c r="G624" s="69"/>
      <c r="H624" s="69"/>
      <c r="N624" s="44"/>
      <c r="O624" s="44"/>
      <c r="P624" s="44"/>
    </row>
    <row r="625">
      <c r="A625" s="68"/>
      <c r="B625" s="69"/>
      <c r="C625" s="69"/>
      <c r="D625" s="69"/>
      <c r="E625" s="69"/>
      <c r="F625" s="69"/>
      <c r="G625" s="69"/>
      <c r="H625" s="69"/>
      <c r="N625" s="44"/>
      <c r="O625" s="44"/>
      <c r="P625" s="44"/>
    </row>
    <row r="626">
      <c r="A626" s="68"/>
      <c r="B626" s="69"/>
      <c r="C626" s="69"/>
      <c r="D626" s="69"/>
      <c r="E626" s="69"/>
      <c r="F626" s="69"/>
      <c r="G626" s="69"/>
      <c r="H626" s="69"/>
      <c r="N626" s="44"/>
      <c r="O626" s="44"/>
      <c r="P626" s="44"/>
    </row>
    <row r="627">
      <c r="A627" s="68"/>
      <c r="B627" s="69"/>
      <c r="C627" s="69"/>
      <c r="D627" s="69"/>
      <c r="E627" s="69"/>
      <c r="F627" s="69"/>
      <c r="G627" s="69"/>
      <c r="H627" s="69"/>
      <c r="N627" s="44"/>
      <c r="O627" s="44"/>
      <c r="P627" s="44"/>
    </row>
    <row r="628">
      <c r="A628" s="68"/>
      <c r="B628" s="69"/>
      <c r="C628" s="69"/>
      <c r="D628" s="69"/>
      <c r="E628" s="69"/>
      <c r="F628" s="69"/>
      <c r="G628" s="69"/>
      <c r="H628" s="69"/>
      <c r="N628" s="44"/>
      <c r="O628" s="44"/>
      <c r="P628" s="44"/>
    </row>
    <row r="629">
      <c r="A629" s="68"/>
      <c r="B629" s="69"/>
      <c r="C629" s="69"/>
      <c r="D629" s="69"/>
      <c r="E629" s="69"/>
      <c r="F629" s="69"/>
      <c r="G629" s="69"/>
      <c r="H629" s="69"/>
      <c r="N629" s="44"/>
      <c r="O629" s="44"/>
      <c r="P629" s="44"/>
    </row>
    <row r="630">
      <c r="A630" s="68"/>
      <c r="B630" s="69"/>
      <c r="C630" s="69"/>
      <c r="D630" s="69"/>
      <c r="E630" s="69"/>
      <c r="F630" s="69"/>
      <c r="G630" s="69"/>
      <c r="H630" s="69"/>
      <c r="N630" s="44"/>
      <c r="O630" s="44"/>
      <c r="P630" s="44"/>
    </row>
    <row r="631">
      <c r="A631" s="68"/>
      <c r="B631" s="69"/>
      <c r="C631" s="69"/>
      <c r="D631" s="69"/>
      <c r="E631" s="69"/>
      <c r="F631" s="69"/>
      <c r="G631" s="69"/>
      <c r="H631" s="69"/>
      <c r="N631" s="44"/>
      <c r="O631" s="44"/>
      <c r="P631" s="44"/>
    </row>
    <row r="632">
      <c r="A632" s="68"/>
      <c r="B632" s="69"/>
      <c r="C632" s="69"/>
      <c r="D632" s="69"/>
      <c r="E632" s="69"/>
      <c r="F632" s="69"/>
      <c r="G632" s="69"/>
      <c r="H632" s="69"/>
      <c r="N632" s="44"/>
      <c r="O632" s="44"/>
      <c r="P632" s="44"/>
    </row>
    <row r="633">
      <c r="A633" s="68"/>
      <c r="B633" s="69"/>
      <c r="C633" s="69"/>
      <c r="D633" s="69"/>
      <c r="E633" s="69"/>
      <c r="F633" s="69"/>
      <c r="G633" s="69"/>
      <c r="H633" s="69"/>
      <c r="N633" s="44"/>
      <c r="O633" s="44"/>
      <c r="P633" s="44"/>
    </row>
    <row r="634">
      <c r="A634" s="68"/>
      <c r="B634" s="69"/>
      <c r="C634" s="69"/>
      <c r="D634" s="69"/>
      <c r="E634" s="69"/>
      <c r="F634" s="69"/>
      <c r="G634" s="69"/>
      <c r="H634" s="69"/>
      <c r="N634" s="44"/>
      <c r="O634" s="44"/>
      <c r="P634" s="44"/>
    </row>
    <row r="635">
      <c r="A635" s="68"/>
      <c r="B635" s="69"/>
      <c r="C635" s="69"/>
      <c r="D635" s="69"/>
      <c r="E635" s="69"/>
      <c r="F635" s="69"/>
      <c r="G635" s="69"/>
      <c r="H635" s="69"/>
      <c r="N635" s="44"/>
      <c r="O635" s="44"/>
      <c r="P635" s="44"/>
    </row>
    <row r="636">
      <c r="A636" s="68"/>
      <c r="B636" s="69"/>
      <c r="C636" s="69"/>
      <c r="D636" s="69"/>
      <c r="E636" s="69"/>
      <c r="F636" s="69"/>
      <c r="G636" s="69"/>
      <c r="H636" s="69"/>
      <c r="N636" s="44"/>
      <c r="O636" s="44"/>
      <c r="P636" s="44"/>
    </row>
    <row r="637">
      <c r="A637" s="68"/>
      <c r="B637" s="69"/>
      <c r="C637" s="69"/>
      <c r="D637" s="69"/>
      <c r="E637" s="69"/>
      <c r="F637" s="69"/>
      <c r="G637" s="69"/>
      <c r="H637" s="69"/>
      <c r="N637" s="44"/>
      <c r="O637" s="44"/>
      <c r="P637" s="44"/>
    </row>
    <row r="638">
      <c r="A638" s="68"/>
      <c r="B638" s="69"/>
      <c r="C638" s="69"/>
      <c r="D638" s="69"/>
      <c r="E638" s="69"/>
      <c r="F638" s="69"/>
      <c r="G638" s="69"/>
      <c r="H638" s="69"/>
      <c r="N638" s="44"/>
      <c r="O638" s="44"/>
      <c r="P638" s="44"/>
    </row>
    <row r="639">
      <c r="A639" s="68"/>
      <c r="B639" s="69"/>
      <c r="C639" s="69"/>
      <c r="D639" s="69"/>
      <c r="E639" s="69"/>
      <c r="F639" s="69"/>
      <c r="G639" s="69"/>
      <c r="H639" s="69"/>
      <c r="N639" s="44"/>
      <c r="O639" s="44"/>
      <c r="P639" s="44"/>
    </row>
    <row r="640">
      <c r="A640" s="68"/>
      <c r="B640" s="69"/>
      <c r="C640" s="69"/>
      <c r="D640" s="69"/>
      <c r="E640" s="69"/>
      <c r="F640" s="69"/>
      <c r="G640" s="69"/>
      <c r="H640" s="69"/>
      <c r="N640" s="44"/>
      <c r="O640" s="44"/>
      <c r="P640" s="44"/>
    </row>
    <row r="641">
      <c r="A641" s="68"/>
      <c r="B641" s="69"/>
      <c r="C641" s="69"/>
      <c r="D641" s="69"/>
      <c r="E641" s="69"/>
      <c r="F641" s="69"/>
      <c r="G641" s="69"/>
      <c r="H641" s="69"/>
      <c r="N641" s="44"/>
      <c r="O641" s="44"/>
      <c r="P641" s="44"/>
    </row>
    <row r="642">
      <c r="A642" s="68"/>
      <c r="B642" s="69"/>
      <c r="C642" s="69"/>
      <c r="D642" s="69"/>
      <c r="E642" s="69"/>
      <c r="F642" s="69"/>
      <c r="G642" s="69"/>
      <c r="H642" s="69"/>
      <c r="N642" s="44"/>
      <c r="O642" s="44"/>
      <c r="P642" s="44"/>
    </row>
    <row r="643">
      <c r="A643" s="68"/>
      <c r="B643" s="69"/>
      <c r="C643" s="69"/>
      <c r="D643" s="69"/>
      <c r="E643" s="69"/>
      <c r="F643" s="69"/>
      <c r="G643" s="69"/>
      <c r="H643" s="69"/>
      <c r="N643" s="44"/>
      <c r="O643" s="44"/>
      <c r="P643" s="44"/>
    </row>
    <row r="644">
      <c r="A644" s="68"/>
      <c r="B644" s="69"/>
      <c r="C644" s="69"/>
      <c r="D644" s="69"/>
      <c r="E644" s="69"/>
      <c r="F644" s="69"/>
      <c r="G644" s="69"/>
      <c r="H644" s="69"/>
      <c r="N644" s="44"/>
      <c r="O644" s="44"/>
      <c r="P644" s="44"/>
    </row>
    <row r="645">
      <c r="A645" s="68"/>
      <c r="B645" s="69"/>
      <c r="C645" s="69"/>
      <c r="D645" s="69"/>
      <c r="E645" s="69"/>
      <c r="F645" s="69"/>
      <c r="G645" s="69"/>
      <c r="H645" s="69"/>
      <c r="N645" s="44"/>
      <c r="O645" s="44"/>
      <c r="P645" s="44"/>
    </row>
    <row r="646">
      <c r="A646" s="68"/>
      <c r="B646" s="69"/>
      <c r="C646" s="69"/>
      <c r="D646" s="69"/>
      <c r="E646" s="69"/>
      <c r="F646" s="69"/>
      <c r="G646" s="69"/>
      <c r="H646" s="69"/>
      <c r="N646" s="44"/>
      <c r="O646" s="44"/>
      <c r="P646" s="44"/>
    </row>
    <row r="647">
      <c r="A647" s="68"/>
      <c r="B647" s="69"/>
      <c r="C647" s="69"/>
      <c r="D647" s="69"/>
      <c r="E647" s="69"/>
      <c r="F647" s="69"/>
      <c r="G647" s="69"/>
      <c r="H647" s="69"/>
      <c r="N647" s="44"/>
      <c r="O647" s="44"/>
      <c r="P647" s="44"/>
    </row>
    <row r="648">
      <c r="A648" s="68"/>
      <c r="B648" s="69"/>
      <c r="C648" s="69"/>
      <c r="D648" s="69"/>
      <c r="E648" s="69"/>
      <c r="F648" s="69"/>
      <c r="G648" s="69"/>
      <c r="H648" s="69"/>
      <c r="N648" s="44"/>
      <c r="O648" s="44"/>
      <c r="P648" s="44"/>
    </row>
    <row r="649">
      <c r="A649" s="68"/>
      <c r="B649" s="69"/>
      <c r="C649" s="69"/>
      <c r="D649" s="69"/>
      <c r="E649" s="69"/>
      <c r="F649" s="69"/>
      <c r="G649" s="69"/>
      <c r="H649" s="69"/>
      <c r="N649" s="44"/>
      <c r="O649" s="44"/>
      <c r="P649" s="44"/>
    </row>
    <row r="650">
      <c r="A650" s="68"/>
      <c r="B650" s="69"/>
      <c r="C650" s="69"/>
      <c r="D650" s="69"/>
      <c r="E650" s="69"/>
      <c r="F650" s="69"/>
      <c r="G650" s="69"/>
      <c r="H650" s="69"/>
      <c r="N650" s="44"/>
      <c r="O650" s="44"/>
      <c r="P650" s="44"/>
    </row>
    <row r="651">
      <c r="A651" s="68"/>
      <c r="B651" s="69"/>
      <c r="C651" s="69"/>
      <c r="D651" s="69"/>
      <c r="E651" s="69"/>
      <c r="F651" s="69"/>
      <c r="G651" s="69"/>
      <c r="H651" s="69"/>
      <c r="N651" s="44"/>
      <c r="O651" s="44"/>
      <c r="P651" s="44"/>
    </row>
    <row r="652">
      <c r="A652" s="68"/>
      <c r="B652" s="69"/>
      <c r="C652" s="69"/>
      <c r="D652" s="69"/>
      <c r="E652" s="69"/>
      <c r="F652" s="69"/>
      <c r="G652" s="69"/>
      <c r="H652" s="69"/>
      <c r="N652" s="44"/>
      <c r="O652" s="44"/>
      <c r="P652" s="44"/>
    </row>
    <row r="653">
      <c r="A653" s="68"/>
      <c r="B653" s="69"/>
      <c r="C653" s="69"/>
      <c r="D653" s="69"/>
      <c r="E653" s="69"/>
      <c r="F653" s="69"/>
      <c r="G653" s="69"/>
      <c r="H653" s="69"/>
      <c r="N653" s="44"/>
      <c r="O653" s="44"/>
      <c r="P653" s="44"/>
    </row>
    <row r="654">
      <c r="A654" s="68"/>
      <c r="B654" s="69"/>
      <c r="C654" s="69"/>
      <c r="D654" s="69"/>
      <c r="E654" s="69"/>
      <c r="F654" s="69"/>
      <c r="G654" s="69"/>
      <c r="H654" s="69"/>
      <c r="N654" s="44"/>
      <c r="O654" s="44"/>
      <c r="P654" s="44"/>
    </row>
    <row r="655">
      <c r="A655" s="68"/>
      <c r="B655" s="69"/>
      <c r="C655" s="69"/>
      <c r="D655" s="69"/>
      <c r="E655" s="69"/>
      <c r="F655" s="69"/>
      <c r="G655" s="69"/>
      <c r="H655" s="69"/>
      <c r="N655" s="44"/>
      <c r="O655" s="44"/>
      <c r="P655" s="44"/>
    </row>
    <row r="656">
      <c r="A656" s="68"/>
      <c r="B656" s="69"/>
      <c r="C656" s="69"/>
      <c r="D656" s="69"/>
      <c r="E656" s="69"/>
      <c r="F656" s="69"/>
      <c r="G656" s="69"/>
      <c r="H656" s="69"/>
      <c r="N656" s="44"/>
      <c r="O656" s="44"/>
      <c r="P656" s="44"/>
    </row>
    <row r="657">
      <c r="A657" s="68"/>
      <c r="B657" s="69"/>
      <c r="C657" s="69"/>
      <c r="D657" s="69"/>
      <c r="E657" s="69"/>
      <c r="F657" s="69"/>
      <c r="G657" s="69"/>
      <c r="H657" s="69"/>
      <c r="N657" s="44"/>
      <c r="O657" s="44"/>
      <c r="P657" s="44"/>
    </row>
    <row r="658">
      <c r="A658" s="68"/>
      <c r="B658" s="69"/>
      <c r="C658" s="69"/>
      <c r="D658" s="69"/>
      <c r="E658" s="69"/>
      <c r="F658" s="69"/>
      <c r="G658" s="69"/>
      <c r="H658" s="69"/>
      <c r="N658" s="44"/>
      <c r="O658" s="44"/>
      <c r="P658" s="44"/>
    </row>
    <row r="659">
      <c r="A659" s="68"/>
      <c r="B659" s="69"/>
      <c r="C659" s="69"/>
      <c r="D659" s="69"/>
      <c r="E659" s="69"/>
      <c r="F659" s="69"/>
      <c r="G659" s="69"/>
      <c r="H659" s="69"/>
      <c r="N659" s="44"/>
      <c r="O659" s="44"/>
      <c r="P659" s="44"/>
    </row>
    <row r="660">
      <c r="A660" s="68"/>
      <c r="B660" s="69"/>
      <c r="C660" s="69"/>
      <c r="D660" s="69"/>
      <c r="E660" s="69"/>
      <c r="F660" s="69"/>
      <c r="G660" s="69"/>
      <c r="H660" s="69"/>
      <c r="N660" s="44"/>
      <c r="O660" s="44"/>
      <c r="P660" s="44"/>
    </row>
    <row r="661">
      <c r="A661" s="68"/>
      <c r="B661" s="69"/>
      <c r="C661" s="69"/>
      <c r="D661" s="69"/>
      <c r="E661" s="69"/>
      <c r="F661" s="69"/>
      <c r="G661" s="69"/>
      <c r="H661" s="69"/>
      <c r="N661" s="44"/>
      <c r="O661" s="44"/>
      <c r="P661" s="44"/>
    </row>
    <row r="662">
      <c r="A662" s="68"/>
      <c r="B662" s="69"/>
      <c r="C662" s="69"/>
      <c r="D662" s="69"/>
      <c r="E662" s="69"/>
      <c r="F662" s="69"/>
      <c r="G662" s="69"/>
      <c r="H662" s="69"/>
      <c r="N662" s="44"/>
      <c r="O662" s="44"/>
      <c r="P662" s="44"/>
    </row>
    <row r="663">
      <c r="A663" s="68"/>
      <c r="B663" s="69"/>
      <c r="C663" s="69"/>
      <c r="D663" s="69"/>
      <c r="E663" s="69"/>
      <c r="F663" s="69"/>
      <c r="G663" s="69"/>
      <c r="H663" s="69"/>
      <c r="N663" s="44"/>
      <c r="O663" s="44"/>
      <c r="P663" s="44"/>
    </row>
    <row r="664">
      <c r="A664" s="68"/>
      <c r="B664" s="69"/>
      <c r="C664" s="69"/>
      <c r="D664" s="69"/>
      <c r="E664" s="69"/>
      <c r="F664" s="69"/>
      <c r="G664" s="69"/>
      <c r="H664" s="69"/>
      <c r="N664" s="44"/>
      <c r="O664" s="44"/>
      <c r="P664" s="44"/>
    </row>
    <row r="665">
      <c r="A665" s="68"/>
      <c r="B665" s="69"/>
      <c r="C665" s="69"/>
      <c r="D665" s="69"/>
      <c r="E665" s="69"/>
      <c r="F665" s="69"/>
      <c r="G665" s="69"/>
      <c r="H665" s="69"/>
      <c r="N665" s="44"/>
      <c r="O665" s="44"/>
      <c r="P665" s="44"/>
    </row>
    <row r="666">
      <c r="A666" s="68"/>
      <c r="B666" s="69"/>
      <c r="C666" s="69"/>
      <c r="D666" s="69"/>
      <c r="E666" s="69"/>
      <c r="F666" s="69"/>
      <c r="G666" s="69"/>
      <c r="H666" s="69"/>
      <c r="N666" s="44"/>
      <c r="O666" s="44"/>
      <c r="P666" s="44"/>
    </row>
    <row r="667">
      <c r="A667" s="68"/>
      <c r="B667" s="69"/>
      <c r="C667" s="69"/>
      <c r="D667" s="69"/>
      <c r="E667" s="69"/>
      <c r="F667" s="69"/>
      <c r="G667" s="69"/>
      <c r="H667" s="69"/>
      <c r="N667" s="44"/>
      <c r="O667" s="44"/>
      <c r="P667" s="44"/>
    </row>
    <row r="668">
      <c r="A668" s="68"/>
      <c r="B668" s="69"/>
      <c r="C668" s="69"/>
      <c r="D668" s="69"/>
      <c r="E668" s="69"/>
      <c r="F668" s="69"/>
      <c r="G668" s="69"/>
      <c r="H668" s="69"/>
      <c r="N668" s="44"/>
      <c r="O668" s="44"/>
      <c r="P668" s="44"/>
    </row>
    <row r="669">
      <c r="A669" s="68"/>
      <c r="B669" s="69"/>
      <c r="C669" s="69"/>
      <c r="D669" s="69"/>
      <c r="E669" s="69"/>
      <c r="F669" s="69"/>
      <c r="G669" s="69"/>
      <c r="H669" s="69"/>
      <c r="N669" s="44"/>
      <c r="O669" s="44"/>
      <c r="P669" s="44"/>
    </row>
    <row r="670">
      <c r="A670" s="68"/>
      <c r="B670" s="69"/>
      <c r="C670" s="69"/>
      <c r="D670" s="69"/>
      <c r="E670" s="69"/>
      <c r="F670" s="69"/>
      <c r="G670" s="69"/>
      <c r="H670" s="69"/>
      <c r="N670" s="44"/>
      <c r="O670" s="44"/>
      <c r="P670" s="44"/>
    </row>
    <row r="671">
      <c r="A671" s="68"/>
      <c r="B671" s="69"/>
      <c r="C671" s="69"/>
      <c r="D671" s="69"/>
      <c r="E671" s="69"/>
      <c r="F671" s="69"/>
      <c r="G671" s="69"/>
      <c r="H671" s="69"/>
      <c r="N671" s="44"/>
      <c r="O671" s="44"/>
      <c r="P671" s="44"/>
    </row>
    <row r="672">
      <c r="A672" s="68"/>
      <c r="B672" s="69"/>
      <c r="C672" s="69"/>
      <c r="D672" s="69"/>
      <c r="E672" s="69"/>
      <c r="F672" s="69"/>
      <c r="G672" s="69"/>
      <c r="H672" s="69"/>
      <c r="N672" s="44"/>
      <c r="O672" s="44"/>
      <c r="P672" s="44"/>
    </row>
    <row r="673">
      <c r="A673" s="68"/>
      <c r="B673" s="69"/>
      <c r="C673" s="69"/>
      <c r="D673" s="69"/>
      <c r="E673" s="69"/>
      <c r="F673" s="69"/>
      <c r="G673" s="69"/>
      <c r="H673" s="69"/>
      <c r="N673" s="44"/>
      <c r="O673" s="44"/>
      <c r="P673" s="44"/>
    </row>
    <row r="674">
      <c r="A674" s="68"/>
      <c r="B674" s="69"/>
      <c r="C674" s="69"/>
      <c r="D674" s="69"/>
      <c r="E674" s="69"/>
      <c r="F674" s="69"/>
      <c r="G674" s="69"/>
      <c r="H674" s="69"/>
      <c r="N674" s="44"/>
      <c r="O674" s="44"/>
      <c r="P674" s="44"/>
    </row>
    <row r="675">
      <c r="A675" s="68"/>
      <c r="B675" s="69"/>
      <c r="C675" s="69"/>
      <c r="D675" s="69"/>
      <c r="E675" s="69"/>
      <c r="F675" s="69"/>
      <c r="G675" s="69"/>
      <c r="H675" s="69"/>
      <c r="N675" s="44"/>
      <c r="O675" s="44"/>
      <c r="P675" s="44"/>
    </row>
    <row r="676">
      <c r="A676" s="68"/>
      <c r="B676" s="69"/>
      <c r="C676" s="69"/>
      <c r="D676" s="69"/>
      <c r="E676" s="69"/>
      <c r="F676" s="69"/>
      <c r="G676" s="69"/>
      <c r="H676" s="69"/>
      <c r="N676" s="44"/>
      <c r="O676" s="44"/>
      <c r="P676" s="44"/>
    </row>
    <row r="677">
      <c r="A677" s="68"/>
      <c r="B677" s="69"/>
      <c r="C677" s="69"/>
      <c r="D677" s="69"/>
      <c r="E677" s="69"/>
      <c r="F677" s="69"/>
      <c r="G677" s="69"/>
      <c r="H677" s="69"/>
      <c r="N677" s="44"/>
      <c r="O677" s="44"/>
      <c r="P677" s="44"/>
    </row>
    <row r="678">
      <c r="A678" s="68"/>
      <c r="B678" s="69"/>
      <c r="C678" s="69"/>
      <c r="D678" s="69"/>
      <c r="E678" s="69"/>
      <c r="F678" s="69"/>
      <c r="G678" s="69"/>
      <c r="H678" s="69"/>
      <c r="N678" s="44"/>
      <c r="O678" s="44"/>
      <c r="P678" s="44"/>
    </row>
    <row r="679">
      <c r="A679" s="68"/>
      <c r="B679" s="69"/>
      <c r="C679" s="69"/>
      <c r="D679" s="69"/>
      <c r="E679" s="69"/>
      <c r="F679" s="69"/>
      <c r="G679" s="69"/>
      <c r="H679" s="69"/>
      <c r="N679" s="44"/>
      <c r="O679" s="44"/>
      <c r="P679" s="44"/>
    </row>
    <row r="680">
      <c r="A680" s="68"/>
      <c r="B680" s="69"/>
      <c r="C680" s="69"/>
      <c r="D680" s="69"/>
      <c r="E680" s="69"/>
      <c r="F680" s="69"/>
      <c r="G680" s="69"/>
      <c r="H680" s="69"/>
      <c r="N680" s="44"/>
      <c r="O680" s="44"/>
      <c r="P680" s="44"/>
    </row>
    <row r="681">
      <c r="A681" s="68"/>
      <c r="B681" s="69"/>
      <c r="C681" s="69"/>
      <c r="D681" s="69"/>
      <c r="E681" s="69"/>
      <c r="F681" s="69"/>
      <c r="G681" s="69"/>
      <c r="H681" s="69"/>
      <c r="N681" s="44"/>
      <c r="O681" s="44"/>
      <c r="P681" s="44"/>
    </row>
    <row r="682">
      <c r="A682" s="68"/>
      <c r="B682" s="69"/>
      <c r="C682" s="69"/>
      <c r="D682" s="69"/>
      <c r="E682" s="69"/>
      <c r="F682" s="69"/>
      <c r="G682" s="69"/>
      <c r="H682" s="69"/>
      <c r="N682" s="44"/>
      <c r="O682" s="44"/>
      <c r="P682" s="44"/>
    </row>
    <row r="683">
      <c r="A683" s="68"/>
      <c r="B683" s="69"/>
      <c r="C683" s="69"/>
      <c r="D683" s="69"/>
      <c r="E683" s="69"/>
      <c r="F683" s="69"/>
      <c r="G683" s="69"/>
      <c r="H683" s="69"/>
      <c r="N683" s="44"/>
      <c r="O683" s="44"/>
      <c r="P683" s="44"/>
    </row>
    <row r="684">
      <c r="A684" s="68"/>
      <c r="B684" s="69"/>
      <c r="C684" s="69"/>
      <c r="D684" s="69"/>
      <c r="E684" s="69"/>
      <c r="F684" s="69"/>
      <c r="G684" s="69"/>
      <c r="H684" s="69"/>
      <c r="N684" s="44"/>
      <c r="O684" s="44"/>
      <c r="P684" s="44"/>
    </row>
    <row r="685">
      <c r="A685" s="68"/>
      <c r="B685" s="69"/>
      <c r="C685" s="69"/>
      <c r="D685" s="69"/>
      <c r="E685" s="69"/>
      <c r="F685" s="69"/>
      <c r="G685" s="69"/>
      <c r="H685" s="69"/>
      <c r="N685" s="44"/>
      <c r="O685" s="44"/>
      <c r="P685" s="44"/>
    </row>
    <row r="686">
      <c r="A686" s="68"/>
      <c r="B686" s="69"/>
      <c r="C686" s="69"/>
      <c r="D686" s="69"/>
      <c r="E686" s="69"/>
      <c r="F686" s="69"/>
      <c r="G686" s="69"/>
      <c r="H686" s="69"/>
      <c r="N686" s="44"/>
      <c r="O686" s="44"/>
      <c r="P686" s="44"/>
    </row>
    <row r="687">
      <c r="A687" s="68"/>
      <c r="B687" s="69"/>
      <c r="C687" s="69"/>
      <c r="D687" s="69"/>
      <c r="E687" s="69"/>
      <c r="F687" s="69"/>
      <c r="G687" s="69"/>
      <c r="H687" s="69"/>
      <c r="N687" s="44"/>
      <c r="O687" s="44"/>
      <c r="P687" s="44"/>
    </row>
    <row r="688">
      <c r="A688" s="68"/>
      <c r="B688" s="69"/>
      <c r="C688" s="69"/>
      <c r="D688" s="69"/>
      <c r="E688" s="69"/>
      <c r="F688" s="69"/>
      <c r="G688" s="69"/>
      <c r="H688" s="69"/>
      <c r="N688" s="44"/>
      <c r="O688" s="44"/>
      <c r="P688" s="44"/>
    </row>
    <row r="689">
      <c r="A689" s="68"/>
      <c r="B689" s="69"/>
      <c r="C689" s="69"/>
      <c r="D689" s="69"/>
      <c r="E689" s="69"/>
      <c r="F689" s="69"/>
      <c r="G689" s="69"/>
      <c r="H689" s="69"/>
      <c r="N689" s="44"/>
      <c r="O689" s="44"/>
      <c r="P689" s="44"/>
    </row>
    <row r="690">
      <c r="A690" s="68"/>
      <c r="B690" s="69"/>
      <c r="C690" s="69"/>
      <c r="D690" s="69"/>
      <c r="E690" s="69"/>
      <c r="F690" s="69"/>
      <c r="G690" s="69"/>
      <c r="H690" s="69"/>
      <c r="N690" s="44"/>
      <c r="O690" s="44"/>
      <c r="P690" s="44"/>
    </row>
    <row r="691">
      <c r="A691" s="68"/>
      <c r="B691" s="69"/>
      <c r="C691" s="69"/>
      <c r="D691" s="69"/>
      <c r="E691" s="69"/>
      <c r="F691" s="69"/>
      <c r="G691" s="69"/>
      <c r="H691" s="69"/>
      <c r="N691" s="44"/>
      <c r="O691" s="44"/>
      <c r="P691" s="44"/>
    </row>
    <row r="692">
      <c r="A692" s="68"/>
      <c r="B692" s="69"/>
      <c r="C692" s="69"/>
      <c r="D692" s="69"/>
      <c r="E692" s="69"/>
      <c r="F692" s="69"/>
      <c r="G692" s="69"/>
      <c r="H692" s="69"/>
      <c r="N692" s="44"/>
      <c r="O692" s="44"/>
      <c r="P692" s="44"/>
    </row>
    <row r="693">
      <c r="A693" s="68"/>
      <c r="B693" s="69"/>
      <c r="C693" s="69"/>
      <c r="D693" s="69"/>
      <c r="E693" s="69"/>
      <c r="F693" s="69"/>
      <c r="G693" s="69"/>
      <c r="H693" s="69"/>
      <c r="N693" s="44"/>
      <c r="O693" s="44"/>
      <c r="P693" s="44"/>
    </row>
    <row r="694">
      <c r="A694" s="68"/>
      <c r="B694" s="69"/>
      <c r="C694" s="69"/>
      <c r="D694" s="69"/>
      <c r="E694" s="69"/>
      <c r="F694" s="69"/>
      <c r="G694" s="69"/>
      <c r="H694" s="69"/>
      <c r="N694" s="44"/>
      <c r="O694" s="44"/>
      <c r="P694" s="44"/>
    </row>
    <row r="695">
      <c r="A695" s="68"/>
      <c r="B695" s="69"/>
      <c r="C695" s="69"/>
      <c r="D695" s="69"/>
      <c r="E695" s="69"/>
      <c r="F695" s="69"/>
      <c r="G695" s="69"/>
      <c r="H695" s="69"/>
      <c r="N695" s="44"/>
      <c r="O695" s="44"/>
      <c r="P695" s="44"/>
    </row>
    <row r="696">
      <c r="A696" s="68"/>
      <c r="B696" s="69"/>
      <c r="C696" s="69"/>
      <c r="D696" s="69"/>
      <c r="E696" s="69"/>
      <c r="F696" s="69"/>
      <c r="G696" s="69"/>
      <c r="H696" s="69"/>
      <c r="N696" s="44"/>
      <c r="O696" s="44"/>
      <c r="P696" s="44"/>
    </row>
    <row r="697">
      <c r="A697" s="68"/>
      <c r="B697" s="69"/>
      <c r="C697" s="69"/>
      <c r="D697" s="69"/>
      <c r="E697" s="69"/>
      <c r="F697" s="69"/>
      <c r="G697" s="69"/>
      <c r="H697" s="69"/>
      <c r="N697" s="44"/>
      <c r="O697" s="44"/>
      <c r="P697" s="44"/>
    </row>
    <row r="698">
      <c r="A698" s="68"/>
      <c r="B698" s="69"/>
      <c r="C698" s="69"/>
      <c r="D698" s="69"/>
      <c r="E698" s="69"/>
      <c r="F698" s="69"/>
      <c r="G698" s="69"/>
      <c r="H698" s="69"/>
      <c r="N698" s="44"/>
      <c r="O698" s="44"/>
      <c r="P698" s="44"/>
    </row>
    <row r="699">
      <c r="A699" s="68"/>
      <c r="B699" s="69"/>
      <c r="C699" s="69"/>
      <c r="D699" s="69"/>
      <c r="E699" s="69"/>
      <c r="F699" s="69"/>
      <c r="G699" s="69"/>
      <c r="H699" s="69"/>
      <c r="N699" s="44"/>
      <c r="O699" s="44"/>
      <c r="P699" s="44"/>
    </row>
    <row r="700">
      <c r="A700" s="68"/>
      <c r="B700" s="69"/>
      <c r="C700" s="69"/>
      <c r="D700" s="69"/>
      <c r="E700" s="69"/>
      <c r="F700" s="69"/>
      <c r="G700" s="69"/>
      <c r="H700" s="69"/>
      <c r="N700" s="44"/>
      <c r="O700" s="44"/>
      <c r="P700" s="44"/>
    </row>
    <row r="701">
      <c r="A701" s="68"/>
      <c r="B701" s="69"/>
      <c r="C701" s="69"/>
      <c r="D701" s="69"/>
      <c r="E701" s="69"/>
      <c r="F701" s="69"/>
      <c r="G701" s="69"/>
      <c r="H701" s="69"/>
      <c r="N701" s="44"/>
      <c r="O701" s="44"/>
      <c r="P701" s="44"/>
    </row>
    <row r="702">
      <c r="A702" s="68"/>
      <c r="B702" s="69"/>
      <c r="C702" s="69"/>
      <c r="D702" s="69"/>
      <c r="E702" s="69"/>
      <c r="F702" s="69"/>
      <c r="G702" s="69"/>
      <c r="H702" s="69"/>
      <c r="N702" s="44"/>
      <c r="O702" s="44"/>
      <c r="P702" s="44"/>
    </row>
    <row r="703">
      <c r="A703" s="68"/>
      <c r="B703" s="69"/>
      <c r="C703" s="69"/>
      <c r="D703" s="69"/>
      <c r="E703" s="69"/>
      <c r="F703" s="69"/>
      <c r="G703" s="69"/>
      <c r="H703" s="69"/>
      <c r="N703" s="44"/>
      <c r="O703" s="44"/>
      <c r="P703" s="44"/>
    </row>
    <row r="704">
      <c r="A704" s="68"/>
      <c r="B704" s="69"/>
      <c r="C704" s="69"/>
      <c r="D704" s="69"/>
      <c r="E704" s="69"/>
      <c r="F704" s="69"/>
      <c r="G704" s="69"/>
      <c r="H704" s="69"/>
      <c r="N704" s="44"/>
      <c r="O704" s="44"/>
      <c r="P704" s="44"/>
    </row>
    <row r="705">
      <c r="A705" s="68"/>
      <c r="B705" s="69"/>
      <c r="C705" s="69"/>
      <c r="D705" s="69"/>
      <c r="E705" s="69"/>
      <c r="F705" s="69"/>
      <c r="G705" s="69"/>
      <c r="H705" s="69"/>
      <c r="N705" s="44"/>
      <c r="O705" s="44"/>
      <c r="P705" s="44"/>
    </row>
    <row r="706">
      <c r="A706" s="68"/>
      <c r="B706" s="69"/>
      <c r="C706" s="69"/>
      <c r="D706" s="69"/>
      <c r="E706" s="69"/>
      <c r="F706" s="69"/>
      <c r="G706" s="69"/>
      <c r="H706" s="69"/>
      <c r="N706" s="44"/>
      <c r="O706" s="44"/>
      <c r="P706" s="44"/>
    </row>
    <row r="707">
      <c r="A707" s="68"/>
      <c r="B707" s="69"/>
      <c r="C707" s="69"/>
      <c r="D707" s="69"/>
      <c r="E707" s="69"/>
      <c r="F707" s="69"/>
      <c r="G707" s="69"/>
      <c r="H707" s="69"/>
      <c r="N707" s="44"/>
      <c r="O707" s="44"/>
      <c r="P707" s="44"/>
    </row>
    <row r="708">
      <c r="A708" s="68"/>
      <c r="B708" s="69"/>
      <c r="C708" s="69"/>
      <c r="D708" s="69"/>
      <c r="E708" s="69"/>
      <c r="F708" s="69"/>
      <c r="G708" s="69"/>
      <c r="H708" s="69"/>
      <c r="N708" s="44"/>
      <c r="O708" s="44"/>
      <c r="P708" s="44"/>
    </row>
    <row r="709">
      <c r="A709" s="68"/>
      <c r="B709" s="69"/>
      <c r="C709" s="69"/>
      <c r="D709" s="69"/>
      <c r="E709" s="69"/>
      <c r="F709" s="69"/>
      <c r="G709" s="69"/>
      <c r="H709" s="69"/>
      <c r="N709" s="44"/>
      <c r="O709" s="44"/>
      <c r="P709" s="44"/>
    </row>
    <row r="710">
      <c r="A710" s="68"/>
      <c r="B710" s="69"/>
      <c r="C710" s="69"/>
      <c r="D710" s="69"/>
      <c r="E710" s="69"/>
      <c r="F710" s="69"/>
      <c r="G710" s="69"/>
      <c r="H710" s="69"/>
      <c r="N710" s="44"/>
      <c r="O710" s="44"/>
      <c r="P710" s="44"/>
    </row>
    <row r="711">
      <c r="A711" s="68"/>
      <c r="B711" s="69"/>
      <c r="C711" s="69"/>
      <c r="D711" s="69"/>
      <c r="E711" s="69"/>
      <c r="F711" s="69"/>
      <c r="G711" s="69"/>
      <c r="H711" s="69"/>
      <c r="N711" s="44"/>
      <c r="O711" s="44"/>
      <c r="P711" s="44"/>
    </row>
    <row r="712">
      <c r="A712" s="68"/>
      <c r="B712" s="69"/>
      <c r="C712" s="69"/>
      <c r="D712" s="69"/>
      <c r="E712" s="69"/>
      <c r="F712" s="69"/>
      <c r="G712" s="69"/>
      <c r="H712" s="69"/>
      <c r="N712" s="44"/>
      <c r="O712" s="44"/>
      <c r="P712" s="44"/>
    </row>
    <row r="713">
      <c r="A713" s="68"/>
      <c r="B713" s="69"/>
      <c r="C713" s="69"/>
      <c r="D713" s="69"/>
      <c r="E713" s="69"/>
      <c r="F713" s="69"/>
      <c r="G713" s="69"/>
      <c r="H713" s="69"/>
      <c r="N713" s="44"/>
      <c r="O713" s="44"/>
      <c r="P713" s="44"/>
    </row>
    <row r="714">
      <c r="A714" s="68"/>
      <c r="B714" s="69"/>
      <c r="C714" s="69"/>
      <c r="D714" s="69"/>
      <c r="E714" s="69"/>
      <c r="F714" s="69"/>
      <c r="G714" s="69"/>
      <c r="H714" s="69"/>
      <c r="N714" s="44"/>
      <c r="O714" s="44"/>
      <c r="P714" s="44"/>
    </row>
    <row r="715">
      <c r="A715" s="68"/>
      <c r="B715" s="69"/>
      <c r="C715" s="69"/>
      <c r="D715" s="69"/>
      <c r="E715" s="69"/>
      <c r="F715" s="69"/>
      <c r="G715" s="69"/>
      <c r="H715" s="69"/>
      <c r="N715" s="44"/>
      <c r="O715" s="44"/>
      <c r="P715" s="44"/>
    </row>
    <row r="716">
      <c r="A716" s="68"/>
      <c r="B716" s="69"/>
      <c r="C716" s="69"/>
      <c r="D716" s="69"/>
      <c r="E716" s="69"/>
      <c r="F716" s="69"/>
      <c r="G716" s="69"/>
      <c r="H716" s="69"/>
      <c r="N716" s="44"/>
      <c r="O716" s="44"/>
      <c r="P716" s="44"/>
    </row>
    <row r="717">
      <c r="A717" s="68"/>
      <c r="B717" s="69"/>
      <c r="C717" s="69"/>
      <c r="D717" s="69"/>
      <c r="E717" s="69"/>
      <c r="F717" s="69"/>
      <c r="G717" s="69"/>
      <c r="H717" s="69"/>
      <c r="N717" s="44"/>
      <c r="O717" s="44"/>
      <c r="P717" s="44"/>
    </row>
    <row r="718">
      <c r="A718" s="68"/>
      <c r="B718" s="69"/>
      <c r="C718" s="69"/>
      <c r="D718" s="69"/>
      <c r="E718" s="69"/>
      <c r="F718" s="69"/>
      <c r="G718" s="69"/>
      <c r="H718" s="69"/>
      <c r="N718" s="44"/>
      <c r="O718" s="44"/>
      <c r="P718" s="44"/>
    </row>
    <row r="719">
      <c r="A719" s="68"/>
      <c r="B719" s="69"/>
      <c r="C719" s="69"/>
      <c r="D719" s="69"/>
      <c r="E719" s="69"/>
      <c r="F719" s="69"/>
      <c r="G719" s="69"/>
      <c r="H719" s="69"/>
      <c r="N719" s="44"/>
      <c r="O719" s="44"/>
      <c r="P719" s="44"/>
    </row>
    <row r="720">
      <c r="A720" s="68"/>
      <c r="B720" s="69"/>
      <c r="C720" s="69"/>
      <c r="D720" s="69"/>
      <c r="E720" s="69"/>
      <c r="F720" s="69"/>
      <c r="G720" s="69"/>
      <c r="H720" s="69"/>
      <c r="N720" s="44"/>
      <c r="O720" s="44"/>
      <c r="P720" s="44"/>
    </row>
    <row r="721">
      <c r="A721" s="68"/>
      <c r="B721" s="69"/>
      <c r="C721" s="69"/>
      <c r="D721" s="69"/>
      <c r="E721" s="69"/>
      <c r="F721" s="69"/>
      <c r="G721" s="69"/>
      <c r="H721" s="69"/>
      <c r="N721" s="44"/>
      <c r="O721" s="44"/>
      <c r="P721" s="44"/>
    </row>
    <row r="722">
      <c r="A722" s="68"/>
      <c r="B722" s="69"/>
      <c r="C722" s="69"/>
      <c r="D722" s="69"/>
      <c r="E722" s="69"/>
      <c r="F722" s="69"/>
      <c r="G722" s="69"/>
      <c r="H722" s="69"/>
      <c r="N722" s="44"/>
      <c r="O722" s="44"/>
      <c r="P722" s="44"/>
    </row>
    <row r="723">
      <c r="A723" s="68"/>
      <c r="B723" s="69"/>
      <c r="C723" s="69"/>
      <c r="D723" s="69"/>
      <c r="E723" s="69"/>
      <c r="F723" s="69"/>
      <c r="G723" s="69"/>
      <c r="H723" s="69"/>
      <c r="N723" s="44"/>
      <c r="O723" s="44"/>
      <c r="P723" s="44"/>
    </row>
    <row r="724">
      <c r="A724" s="68"/>
      <c r="B724" s="69"/>
      <c r="C724" s="69"/>
      <c r="D724" s="69"/>
      <c r="E724" s="69"/>
      <c r="F724" s="69"/>
      <c r="G724" s="69"/>
      <c r="H724" s="69"/>
      <c r="N724" s="44"/>
      <c r="O724" s="44"/>
      <c r="P724" s="44"/>
    </row>
    <row r="725">
      <c r="A725" s="68"/>
      <c r="B725" s="69"/>
      <c r="C725" s="69"/>
      <c r="D725" s="69"/>
      <c r="E725" s="69"/>
      <c r="F725" s="69"/>
      <c r="G725" s="69"/>
      <c r="H725" s="69"/>
      <c r="N725" s="44"/>
      <c r="O725" s="44"/>
      <c r="P725" s="44"/>
    </row>
    <row r="726">
      <c r="A726" s="68"/>
      <c r="B726" s="69"/>
      <c r="C726" s="69"/>
      <c r="D726" s="69"/>
      <c r="E726" s="69"/>
      <c r="F726" s="69"/>
      <c r="G726" s="69"/>
      <c r="H726" s="69"/>
      <c r="N726" s="44"/>
      <c r="O726" s="44"/>
      <c r="P726" s="44"/>
    </row>
    <row r="727">
      <c r="A727" s="68"/>
      <c r="B727" s="69"/>
      <c r="C727" s="69"/>
      <c r="D727" s="69"/>
      <c r="E727" s="69"/>
      <c r="F727" s="69"/>
      <c r="G727" s="69"/>
      <c r="H727" s="69"/>
      <c r="N727" s="44"/>
      <c r="O727" s="44"/>
      <c r="P727" s="44"/>
    </row>
    <row r="728">
      <c r="A728" s="68"/>
      <c r="B728" s="69"/>
      <c r="C728" s="69"/>
      <c r="D728" s="69"/>
      <c r="E728" s="69"/>
      <c r="F728" s="69"/>
      <c r="G728" s="69"/>
      <c r="H728" s="69"/>
      <c r="N728" s="44"/>
      <c r="O728" s="44"/>
      <c r="P728" s="44"/>
    </row>
    <row r="729">
      <c r="A729" s="68"/>
      <c r="B729" s="69"/>
      <c r="C729" s="69"/>
      <c r="D729" s="69"/>
      <c r="E729" s="69"/>
      <c r="F729" s="69"/>
      <c r="G729" s="69"/>
      <c r="H729" s="69"/>
      <c r="N729" s="44"/>
      <c r="O729" s="44"/>
      <c r="P729" s="44"/>
    </row>
    <row r="730">
      <c r="A730" s="68"/>
      <c r="B730" s="69"/>
      <c r="C730" s="69"/>
      <c r="D730" s="69"/>
      <c r="E730" s="69"/>
      <c r="F730" s="69"/>
      <c r="G730" s="69"/>
      <c r="H730" s="69"/>
      <c r="N730" s="44"/>
      <c r="O730" s="44"/>
      <c r="P730" s="44"/>
    </row>
    <row r="731">
      <c r="A731" s="68"/>
      <c r="B731" s="69"/>
      <c r="C731" s="69"/>
      <c r="D731" s="69"/>
      <c r="E731" s="69"/>
      <c r="F731" s="69"/>
      <c r="G731" s="69"/>
      <c r="H731" s="69"/>
      <c r="N731" s="44"/>
      <c r="O731" s="44"/>
      <c r="P731" s="44"/>
    </row>
    <row r="732">
      <c r="A732" s="68"/>
      <c r="B732" s="69"/>
      <c r="C732" s="69"/>
      <c r="D732" s="69"/>
      <c r="E732" s="69"/>
      <c r="F732" s="69"/>
      <c r="G732" s="69"/>
      <c r="H732" s="69"/>
      <c r="N732" s="44"/>
      <c r="O732" s="44"/>
      <c r="P732" s="44"/>
    </row>
    <row r="733">
      <c r="A733" s="68"/>
      <c r="B733" s="69"/>
      <c r="C733" s="69"/>
      <c r="D733" s="69"/>
      <c r="E733" s="69"/>
      <c r="F733" s="69"/>
      <c r="G733" s="69"/>
      <c r="H733" s="69"/>
      <c r="N733" s="44"/>
      <c r="O733" s="44"/>
      <c r="P733" s="44"/>
    </row>
    <row r="734">
      <c r="A734" s="68"/>
      <c r="B734" s="69"/>
      <c r="C734" s="69"/>
      <c r="D734" s="69"/>
      <c r="E734" s="69"/>
      <c r="F734" s="69"/>
      <c r="G734" s="69"/>
      <c r="H734" s="69"/>
      <c r="N734" s="44"/>
      <c r="O734" s="44"/>
      <c r="P734" s="44"/>
    </row>
    <row r="735">
      <c r="A735" s="68"/>
      <c r="B735" s="69"/>
      <c r="C735" s="69"/>
      <c r="D735" s="69"/>
      <c r="E735" s="69"/>
      <c r="F735" s="69"/>
      <c r="G735" s="69"/>
      <c r="H735" s="69"/>
      <c r="N735" s="44"/>
      <c r="O735" s="44"/>
      <c r="P735" s="44"/>
    </row>
    <row r="736">
      <c r="A736" s="68"/>
      <c r="B736" s="69"/>
      <c r="C736" s="69"/>
      <c r="D736" s="69"/>
      <c r="E736" s="69"/>
      <c r="F736" s="69"/>
      <c r="G736" s="69"/>
      <c r="H736" s="69"/>
      <c r="N736" s="44"/>
      <c r="O736" s="44"/>
      <c r="P736" s="44"/>
    </row>
    <row r="737">
      <c r="A737" s="68"/>
      <c r="B737" s="69"/>
      <c r="C737" s="69"/>
      <c r="D737" s="69"/>
      <c r="E737" s="69"/>
      <c r="F737" s="69"/>
      <c r="G737" s="69"/>
      <c r="H737" s="69"/>
      <c r="N737" s="44"/>
      <c r="O737" s="44"/>
      <c r="P737" s="44"/>
    </row>
    <row r="738">
      <c r="A738" s="68"/>
      <c r="B738" s="69"/>
      <c r="C738" s="69"/>
      <c r="D738" s="69"/>
      <c r="E738" s="69"/>
      <c r="F738" s="69"/>
      <c r="G738" s="69"/>
      <c r="H738" s="69"/>
      <c r="N738" s="44"/>
      <c r="O738" s="44"/>
      <c r="P738" s="44"/>
    </row>
    <row r="739">
      <c r="A739" s="68"/>
      <c r="B739" s="69"/>
      <c r="C739" s="69"/>
      <c r="D739" s="69"/>
      <c r="E739" s="69"/>
      <c r="F739" s="69"/>
      <c r="G739" s="69"/>
      <c r="H739" s="69"/>
      <c r="N739" s="44"/>
      <c r="O739" s="44"/>
      <c r="P739" s="44"/>
    </row>
    <row r="740">
      <c r="A740" s="68"/>
      <c r="B740" s="69"/>
      <c r="C740" s="69"/>
      <c r="D740" s="69"/>
      <c r="E740" s="69"/>
      <c r="F740" s="69"/>
      <c r="G740" s="69"/>
      <c r="H740" s="69"/>
      <c r="N740" s="44"/>
      <c r="O740" s="44"/>
      <c r="P740" s="44"/>
    </row>
    <row r="741">
      <c r="A741" s="68"/>
      <c r="B741" s="69"/>
      <c r="C741" s="69"/>
      <c r="D741" s="69"/>
      <c r="E741" s="69"/>
      <c r="F741" s="69"/>
      <c r="G741" s="69"/>
      <c r="H741" s="69"/>
      <c r="N741" s="44"/>
      <c r="O741" s="44"/>
      <c r="P741" s="44"/>
    </row>
    <row r="742">
      <c r="A742" s="68"/>
      <c r="B742" s="69"/>
      <c r="C742" s="69"/>
      <c r="D742" s="69"/>
      <c r="E742" s="69"/>
      <c r="F742" s="69"/>
      <c r="G742" s="69"/>
      <c r="H742" s="69"/>
      <c r="N742" s="44"/>
      <c r="O742" s="44"/>
      <c r="P742" s="44"/>
    </row>
    <row r="743">
      <c r="A743" s="68"/>
      <c r="B743" s="69"/>
      <c r="C743" s="69"/>
      <c r="D743" s="69"/>
      <c r="E743" s="69"/>
      <c r="F743" s="69"/>
      <c r="G743" s="69"/>
      <c r="H743" s="69"/>
      <c r="N743" s="44"/>
      <c r="O743" s="44"/>
      <c r="P743" s="44"/>
    </row>
    <row r="744">
      <c r="A744" s="68"/>
      <c r="B744" s="69"/>
      <c r="C744" s="69"/>
      <c r="D744" s="69"/>
      <c r="E744" s="69"/>
      <c r="F744" s="69"/>
      <c r="G744" s="69"/>
      <c r="H744" s="69"/>
      <c r="N744" s="44"/>
      <c r="O744" s="44"/>
      <c r="P744" s="44"/>
    </row>
    <row r="745">
      <c r="A745" s="68"/>
      <c r="B745" s="69"/>
      <c r="C745" s="69"/>
      <c r="D745" s="69"/>
      <c r="E745" s="69"/>
      <c r="F745" s="69"/>
      <c r="G745" s="69"/>
      <c r="H745" s="69"/>
      <c r="N745" s="44"/>
      <c r="O745" s="44"/>
      <c r="P745" s="44"/>
    </row>
    <row r="746">
      <c r="A746" s="68"/>
      <c r="B746" s="69"/>
      <c r="C746" s="69"/>
      <c r="D746" s="69"/>
      <c r="E746" s="69"/>
      <c r="F746" s="69"/>
      <c r="G746" s="69"/>
      <c r="H746" s="69"/>
      <c r="N746" s="44"/>
      <c r="O746" s="44"/>
      <c r="P746" s="44"/>
    </row>
    <row r="747">
      <c r="A747" s="68"/>
      <c r="B747" s="69"/>
      <c r="C747" s="69"/>
      <c r="D747" s="69"/>
      <c r="E747" s="69"/>
      <c r="F747" s="69"/>
      <c r="G747" s="69"/>
      <c r="H747" s="69"/>
      <c r="N747" s="44"/>
      <c r="O747" s="44"/>
      <c r="P747" s="44"/>
    </row>
    <row r="748">
      <c r="A748" s="68"/>
      <c r="B748" s="69"/>
      <c r="C748" s="69"/>
      <c r="D748" s="69"/>
      <c r="E748" s="69"/>
      <c r="F748" s="69"/>
      <c r="G748" s="69"/>
      <c r="H748" s="69"/>
      <c r="N748" s="44"/>
      <c r="O748" s="44"/>
      <c r="P748" s="44"/>
    </row>
    <row r="749">
      <c r="A749" s="68"/>
      <c r="B749" s="69"/>
      <c r="C749" s="69"/>
      <c r="D749" s="69"/>
      <c r="E749" s="69"/>
      <c r="F749" s="69"/>
      <c r="G749" s="69"/>
      <c r="H749" s="69"/>
      <c r="N749" s="44"/>
      <c r="O749" s="44"/>
      <c r="P749" s="44"/>
    </row>
    <row r="750">
      <c r="A750" s="68"/>
      <c r="B750" s="69"/>
      <c r="C750" s="69"/>
      <c r="D750" s="69"/>
      <c r="E750" s="69"/>
      <c r="F750" s="69"/>
      <c r="G750" s="69"/>
      <c r="H750" s="69"/>
      <c r="N750" s="44"/>
      <c r="O750" s="44"/>
      <c r="P750" s="44"/>
    </row>
    <row r="751">
      <c r="A751" s="68"/>
      <c r="B751" s="69"/>
      <c r="C751" s="69"/>
      <c r="D751" s="69"/>
      <c r="E751" s="69"/>
      <c r="F751" s="69"/>
      <c r="G751" s="69"/>
      <c r="H751" s="69"/>
      <c r="N751" s="44"/>
      <c r="O751" s="44"/>
      <c r="P751" s="44"/>
    </row>
    <row r="752">
      <c r="A752" s="68"/>
      <c r="B752" s="69"/>
      <c r="C752" s="69"/>
      <c r="D752" s="69"/>
      <c r="E752" s="69"/>
      <c r="F752" s="69"/>
      <c r="G752" s="69"/>
      <c r="H752" s="69"/>
      <c r="N752" s="44"/>
      <c r="O752" s="44"/>
      <c r="P752" s="44"/>
    </row>
    <row r="753">
      <c r="A753" s="68"/>
      <c r="B753" s="69"/>
      <c r="C753" s="69"/>
      <c r="D753" s="69"/>
      <c r="E753" s="69"/>
      <c r="F753" s="69"/>
      <c r="G753" s="69"/>
      <c r="H753" s="69"/>
      <c r="N753" s="44"/>
      <c r="O753" s="44"/>
      <c r="P753" s="44"/>
    </row>
    <row r="754">
      <c r="A754" s="68"/>
      <c r="B754" s="69"/>
      <c r="C754" s="69"/>
      <c r="D754" s="69"/>
      <c r="E754" s="69"/>
      <c r="F754" s="69"/>
      <c r="G754" s="69"/>
      <c r="H754" s="69"/>
      <c r="N754" s="44"/>
      <c r="O754" s="44"/>
      <c r="P754" s="44"/>
    </row>
    <row r="755">
      <c r="A755" s="68"/>
      <c r="B755" s="69"/>
      <c r="C755" s="69"/>
      <c r="D755" s="69"/>
      <c r="E755" s="69"/>
      <c r="F755" s="69"/>
      <c r="G755" s="69"/>
      <c r="H755" s="69"/>
      <c r="N755" s="44"/>
      <c r="O755" s="44"/>
      <c r="P755" s="44"/>
    </row>
    <row r="756">
      <c r="A756" s="68"/>
      <c r="B756" s="69"/>
      <c r="C756" s="69"/>
      <c r="D756" s="69"/>
      <c r="E756" s="69"/>
      <c r="F756" s="69"/>
      <c r="G756" s="69"/>
      <c r="H756" s="69"/>
      <c r="N756" s="44"/>
      <c r="O756" s="44"/>
      <c r="P756" s="44"/>
    </row>
    <row r="757">
      <c r="A757" s="68"/>
      <c r="B757" s="69"/>
      <c r="C757" s="69"/>
      <c r="D757" s="69"/>
      <c r="E757" s="69"/>
      <c r="F757" s="69"/>
      <c r="G757" s="69"/>
      <c r="H757" s="69"/>
      <c r="N757" s="44"/>
      <c r="O757" s="44"/>
      <c r="P757" s="44"/>
    </row>
    <row r="758">
      <c r="A758" s="68"/>
      <c r="B758" s="69"/>
      <c r="C758" s="69"/>
      <c r="D758" s="69"/>
      <c r="E758" s="69"/>
      <c r="F758" s="69"/>
      <c r="G758" s="69"/>
      <c r="H758" s="69"/>
      <c r="N758" s="44"/>
      <c r="O758" s="44"/>
      <c r="P758" s="44"/>
    </row>
    <row r="759">
      <c r="A759" s="68"/>
      <c r="B759" s="69"/>
      <c r="C759" s="69"/>
      <c r="D759" s="69"/>
      <c r="E759" s="69"/>
      <c r="F759" s="69"/>
      <c r="G759" s="69"/>
      <c r="H759" s="69"/>
      <c r="N759" s="44"/>
      <c r="O759" s="44"/>
      <c r="P759" s="44"/>
    </row>
    <row r="760">
      <c r="A760" s="68"/>
      <c r="B760" s="69"/>
      <c r="C760" s="69"/>
      <c r="D760" s="69"/>
      <c r="E760" s="69"/>
      <c r="F760" s="69"/>
      <c r="G760" s="69"/>
      <c r="H760" s="69"/>
      <c r="N760" s="44"/>
      <c r="O760" s="44"/>
      <c r="P760" s="44"/>
    </row>
    <row r="761">
      <c r="A761" s="68"/>
      <c r="B761" s="69"/>
      <c r="C761" s="69"/>
      <c r="D761" s="69"/>
      <c r="E761" s="69"/>
      <c r="F761" s="69"/>
      <c r="G761" s="69"/>
      <c r="H761" s="69"/>
      <c r="N761" s="44"/>
      <c r="O761" s="44"/>
      <c r="P761" s="44"/>
    </row>
    <row r="762">
      <c r="A762" s="68"/>
      <c r="B762" s="69"/>
      <c r="C762" s="69"/>
      <c r="D762" s="69"/>
      <c r="E762" s="69"/>
      <c r="F762" s="69"/>
      <c r="G762" s="69"/>
      <c r="H762" s="69"/>
      <c r="N762" s="44"/>
      <c r="O762" s="44"/>
      <c r="P762" s="44"/>
    </row>
    <row r="763">
      <c r="A763" s="68"/>
      <c r="B763" s="69"/>
      <c r="C763" s="69"/>
      <c r="D763" s="69"/>
      <c r="E763" s="69"/>
      <c r="F763" s="69"/>
      <c r="G763" s="69"/>
      <c r="H763" s="69"/>
      <c r="N763" s="44"/>
      <c r="O763" s="44"/>
      <c r="P763" s="44"/>
    </row>
    <row r="764">
      <c r="A764" s="68"/>
      <c r="B764" s="69"/>
      <c r="C764" s="69"/>
      <c r="D764" s="69"/>
      <c r="E764" s="69"/>
      <c r="F764" s="69"/>
      <c r="G764" s="69"/>
      <c r="H764" s="69"/>
      <c r="N764" s="44"/>
      <c r="O764" s="44"/>
      <c r="P764" s="44"/>
    </row>
    <row r="765">
      <c r="A765" s="68"/>
      <c r="B765" s="69"/>
      <c r="C765" s="69"/>
      <c r="D765" s="69"/>
      <c r="E765" s="69"/>
      <c r="F765" s="69"/>
      <c r="G765" s="69"/>
      <c r="H765" s="69"/>
      <c r="N765" s="44"/>
      <c r="O765" s="44"/>
      <c r="P765" s="44"/>
    </row>
    <row r="766">
      <c r="A766" s="68"/>
      <c r="B766" s="69"/>
      <c r="C766" s="69"/>
      <c r="D766" s="69"/>
      <c r="E766" s="69"/>
      <c r="F766" s="69"/>
      <c r="G766" s="69"/>
      <c r="H766" s="69"/>
      <c r="N766" s="44"/>
      <c r="O766" s="44"/>
      <c r="P766" s="44"/>
    </row>
    <row r="767">
      <c r="A767" s="68"/>
      <c r="B767" s="69"/>
      <c r="C767" s="69"/>
      <c r="D767" s="69"/>
      <c r="E767" s="69"/>
      <c r="F767" s="69"/>
      <c r="G767" s="69"/>
      <c r="H767" s="69"/>
      <c r="N767" s="44"/>
      <c r="O767" s="44"/>
      <c r="P767" s="44"/>
    </row>
    <row r="768">
      <c r="A768" s="68"/>
      <c r="B768" s="69"/>
      <c r="C768" s="69"/>
      <c r="D768" s="69"/>
      <c r="E768" s="69"/>
      <c r="F768" s="69"/>
      <c r="G768" s="69"/>
      <c r="H768" s="69"/>
      <c r="N768" s="44"/>
      <c r="O768" s="44"/>
      <c r="P768" s="44"/>
    </row>
    <row r="769">
      <c r="A769" s="68"/>
      <c r="B769" s="69"/>
      <c r="C769" s="69"/>
      <c r="D769" s="69"/>
      <c r="E769" s="69"/>
      <c r="F769" s="69"/>
      <c r="G769" s="69"/>
      <c r="H769" s="69"/>
      <c r="N769" s="44"/>
      <c r="O769" s="44"/>
      <c r="P769" s="44"/>
    </row>
    <row r="770">
      <c r="A770" s="68"/>
      <c r="B770" s="69"/>
      <c r="C770" s="69"/>
      <c r="D770" s="69"/>
      <c r="E770" s="69"/>
      <c r="F770" s="69"/>
      <c r="G770" s="69"/>
      <c r="H770" s="69"/>
      <c r="N770" s="44"/>
      <c r="O770" s="44"/>
      <c r="P770" s="44"/>
    </row>
    <row r="771">
      <c r="A771" s="68"/>
      <c r="B771" s="69"/>
      <c r="C771" s="69"/>
      <c r="D771" s="69"/>
      <c r="E771" s="69"/>
      <c r="F771" s="69"/>
      <c r="G771" s="69"/>
      <c r="H771" s="69"/>
      <c r="N771" s="44"/>
      <c r="O771" s="44"/>
      <c r="P771" s="44"/>
    </row>
    <row r="772">
      <c r="A772" s="68"/>
      <c r="B772" s="69"/>
      <c r="C772" s="69"/>
      <c r="D772" s="69"/>
      <c r="E772" s="69"/>
      <c r="F772" s="69"/>
      <c r="G772" s="69"/>
      <c r="H772" s="69"/>
      <c r="N772" s="44"/>
      <c r="O772" s="44"/>
      <c r="P772" s="44"/>
    </row>
    <row r="773">
      <c r="A773" s="68"/>
      <c r="B773" s="69"/>
      <c r="C773" s="69"/>
      <c r="D773" s="69"/>
      <c r="E773" s="69"/>
      <c r="F773" s="69"/>
      <c r="G773" s="69"/>
      <c r="H773" s="69"/>
      <c r="N773" s="44"/>
      <c r="O773" s="44"/>
      <c r="P773" s="44"/>
    </row>
    <row r="774">
      <c r="A774" s="68"/>
      <c r="B774" s="69"/>
      <c r="C774" s="69"/>
      <c r="D774" s="69"/>
      <c r="E774" s="69"/>
      <c r="F774" s="69"/>
      <c r="G774" s="69"/>
      <c r="H774" s="69"/>
      <c r="N774" s="44"/>
      <c r="O774" s="44"/>
      <c r="P774" s="44"/>
    </row>
    <row r="775">
      <c r="A775" s="68"/>
      <c r="B775" s="69"/>
      <c r="C775" s="69"/>
      <c r="D775" s="69"/>
      <c r="E775" s="69"/>
      <c r="F775" s="69"/>
      <c r="G775" s="69"/>
      <c r="H775" s="69"/>
      <c r="N775" s="44"/>
      <c r="O775" s="44"/>
      <c r="P775" s="44"/>
    </row>
    <row r="776">
      <c r="A776" s="68"/>
      <c r="B776" s="69"/>
      <c r="C776" s="69"/>
      <c r="D776" s="69"/>
      <c r="E776" s="69"/>
      <c r="F776" s="69"/>
      <c r="G776" s="69"/>
      <c r="H776" s="69"/>
      <c r="N776" s="44"/>
      <c r="O776" s="44"/>
      <c r="P776" s="44"/>
    </row>
    <row r="777">
      <c r="A777" s="68"/>
      <c r="B777" s="69"/>
      <c r="C777" s="69"/>
      <c r="D777" s="69"/>
      <c r="E777" s="69"/>
      <c r="F777" s="69"/>
      <c r="G777" s="69"/>
      <c r="H777" s="69"/>
      <c r="N777" s="44"/>
      <c r="O777" s="44"/>
      <c r="P777" s="44"/>
    </row>
    <row r="778">
      <c r="A778" s="68"/>
      <c r="B778" s="69"/>
      <c r="C778" s="69"/>
      <c r="D778" s="69"/>
      <c r="E778" s="69"/>
      <c r="F778" s="69"/>
      <c r="G778" s="69"/>
      <c r="H778" s="69"/>
      <c r="N778" s="44"/>
      <c r="O778" s="44"/>
      <c r="P778" s="44"/>
    </row>
    <row r="779">
      <c r="A779" s="68"/>
      <c r="B779" s="69"/>
      <c r="C779" s="69"/>
      <c r="D779" s="69"/>
      <c r="E779" s="69"/>
      <c r="F779" s="69"/>
      <c r="G779" s="69"/>
      <c r="H779" s="69"/>
      <c r="N779" s="44"/>
      <c r="O779" s="44"/>
      <c r="P779" s="44"/>
    </row>
    <row r="780">
      <c r="A780" s="68"/>
      <c r="B780" s="69"/>
      <c r="C780" s="69"/>
      <c r="D780" s="69"/>
      <c r="E780" s="69"/>
      <c r="F780" s="69"/>
      <c r="G780" s="69"/>
      <c r="H780" s="69"/>
      <c r="N780" s="44"/>
      <c r="O780" s="44"/>
      <c r="P780" s="44"/>
    </row>
    <row r="781">
      <c r="A781" s="68"/>
      <c r="B781" s="69"/>
      <c r="C781" s="69"/>
      <c r="D781" s="69"/>
      <c r="E781" s="69"/>
      <c r="F781" s="69"/>
      <c r="G781" s="69"/>
      <c r="H781" s="69"/>
      <c r="N781" s="44"/>
      <c r="O781" s="44"/>
      <c r="P781" s="44"/>
    </row>
    <row r="782">
      <c r="A782" s="68"/>
      <c r="B782" s="69"/>
      <c r="C782" s="69"/>
      <c r="D782" s="69"/>
      <c r="E782" s="69"/>
      <c r="F782" s="69"/>
      <c r="G782" s="69"/>
      <c r="H782" s="69"/>
      <c r="N782" s="44"/>
      <c r="O782" s="44"/>
      <c r="P782" s="44"/>
    </row>
    <row r="783">
      <c r="A783" s="68"/>
      <c r="B783" s="69"/>
      <c r="C783" s="69"/>
      <c r="D783" s="69"/>
      <c r="E783" s="69"/>
      <c r="F783" s="69"/>
      <c r="G783" s="69"/>
      <c r="H783" s="69"/>
      <c r="N783" s="44"/>
      <c r="O783" s="44"/>
      <c r="P783" s="44"/>
    </row>
    <row r="784">
      <c r="A784" s="68"/>
      <c r="B784" s="69"/>
      <c r="C784" s="69"/>
      <c r="D784" s="69"/>
      <c r="E784" s="69"/>
      <c r="F784" s="69"/>
      <c r="G784" s="69"/>
      <c r="H784" s="69"/>
      <c r="N784" s="44"/>
      <c r="O784" s="44"/>
      <c r="P784" s="44"/>
    </row>
    <row r="785">
      <c r="A785" s="68"/>
      <c r="B785" s="69"/>
      <c r="C785" s="69"/>
      <c r="D785" s="69"/>
      <c r="E785" s="69"/>
      <c r="F785" s="69"/>
      <c r="G785" s="69"/>
      <c r="H785" s="69"/>
      <c r="N785" s="44"/>
      <c r="O785" s="44"/>
      <c r="P785" s="44"/>
    </row>
    <row r="786">
      <c r="A786" s="68"/>
      <c r="B786" s="69"/>
      <c r="C786" s="69"/>
      <c r="D786" s="69"/>
      <c r="E786" s="69"/>
      <c r="F786" s="69"/>
      <c r="G786" s="69"/>
      <c r="H786" s="69"/>
      <c r="N786" s="44"/>
      <c r="O786" s="44"/>
      <c r="P786" s="44"/>
    </row>
    <row r="787">
      <c r="A787" s="68"/>
      <c r="B787" s="69"/>
      <c r="C787" s="69"/>
      <c r="D787" s="69"/>
      <c r="E787" s="69"/>
      <c r="F787" s="69"/>
      <c r="G787" s="69"/>
      <c r="H787" s="69"/>
      <c r="N787" s="44"/>
      <c r="O787" s="44"/>
      <c r="P787" s="44"/>
    </row>
    <row r="788">
      <c r="A788" s="68"/>
      <c r="B788" s="69"/>
      <c r="C788" s="69"/>
      <c r="D788" s="69"/>
      <c r="E788" s="69"/>
      <c r="F788" s="69"/>
      <c r="G788" s="69"/>
      <c r="H788" s="69"/>
      <c r="N788" s="44"/>
      <c r="O788" s="44"/>
      <c r="P788" s="44"/>
    </row>
    <row r="789">
      <c r="A789" s="68"/>
      <c r="B789" s="69"/>
      <c r="C789" s="69"/>
      <c r="D789" s="69"/>
      <c r="E789" s="69"/>
      <c r="F789" s="69"/>
      <c r="G789" s="69"/>
      <c r="H789" s="69"/>
      <c r="N789" s="44"/>
      <c r="O789" s="44"/>
      <c r="P789" s="44"/>
    </row>
    <row r="790">
      <c r="A790" s="68"/>
      <c r="B790" s="69"/>
      <c r="C790" s="69"/>
      <c r="D790" s="69"/>
      <c r="E790" s="69"/>
      <c r="F790" s="69"/>
      <c r="G790" s="69"/>
      <c r="H790" s="69"/>
      <c r="N790" s="44"/>
      <c r="O790" s="44"/>
      <c r="P790" s="44"/>
    </row>
    <row r="791">
      <c r="A791" s="68"/>
      <c r="B791" s="69"/>
      <c r="C791" s="69"/>
      <c r="D791" s="69"/>
      <c r="E791" s="69"/>
      <c r="F791" s="69"/>
      <c r="G791" s="69"/>
      <c r="H791" s="69"/>
      <c r="N791" s="44"/>
      <c r="O791" s="44"/>
      <c r="P791" s="44"/>
    </row>
    <row r="792">
      <c r="A792" s="68"/>
      <c r="B792" s="69"/>
      <c r="C792" s="69"/>
      <c r="D792" s="69"/>
      <c r="E792" s="69"/>
      <c r="F792" s="69"/>
      <c r="G792" s="69"/>
      <c r="H792" s="69"/>
      <c r="N792" s="44"/>
      <c r="O792" s="44"/>
      <c r="P792" s="44"/>
    </row>
    <row r="793">
      <c r="A793" s="68"/>
      <c r="B793" s="69"/>
      <c r="C793" s="69"/>
      <c r="D793" s="69"/>
      <c r="E793" s="69"/>
      <c r="F793" s="69"/>
      <c r="G793" s="69"/>
      <c r="H793" s="69"/>
      <c r="N793" s="44"/>
      <c r="O793" s="44"/>
      <c r="P793" s="44"/>
    </row>
    <row r="794">
      <c r="A794" s="68"/>
      <c r="B794" s="69"/>
      <c r="C794" s="69"/>
      <c r="D794" s="69"/>
      <c r="E794" s="69"/>
      <c r="F794" s="69"/>
      <c r="G794" s="69"/>
      <c r="H794" s="69"/>
      <c r="N794" s="44"/>
      <c r="O794" s="44"/>
      <c r="P794" s="44"/>
    </row>
    <row r="795">
      <c r="A795" s="68"/>
      <c r="B795" s="69"/>
      <c r="C795" s="69"/>
      <c r="D795" s="69"/>
      <c r="E795" s="69"/>
      <c r="F795" s="69"/>
      <c r="G795" s="69"/>
      <c r="H795" s="69"/>
      <c r="N795" s="44"/>
      <c r="O795" s="44"/>
      <c r="P795" s="44"/>
    </row>
    <row r="796">
      <c r="A796" s="68"/>
      <c r="B796" s="69"/>
      <c r="C796" s="69"/>
      <c r="D796" s="69"/>
      <c r="E796" s="69"/>
      <c r="F796" s="69"/>
      <c r="G796" s="69"/>
      <c r="H796" s="69"/>
      <c r="N796" s="44"/>
      <c r="O796" s="44"/>
      <c r="P796" s="44"/>
    </row>
    <row r="797">
      <c r="A797" s="68"/>
      <c r="B797" s="69"/>
      <c r="C797" s="69"/>
      <c r="D797" s="69"/>
      <c r="E797" s="69"/>
      <c r="F797" s="69"/>
      <c r="G797" s="69"/>
      <c r="H797" s="69"/>
      <c r="N797" s="44"/>
      <c r="O797" s="44"/>
      <c r="P797" s="44"/>
    </row>
    <row r="798">
      <c r="A798" s="68"/>
      <c r="B798" s="69"/>
      <c r="C798" s="69"/>
      <c r="D798" s="69"/>
      <c r="E798" s="69"/>
      <c r="F798" s="69"/>
      <c r="G798" s="69"/>
      <c r="H798" s="69"/>
      <c r="N798" s="44"/>
      <c r="O798" s="44"/>
      <c r="P798" s="44"/>
    </row>
    <row r="799">
      <c r="A799" s="68"/>
      <c r="B799" s="69"/>
      <c r="C799" s="69"/>
      <c r="D799" s="69"/>
      <c r="E799" s="69"/>
      <c r="F799" s="69"/>
      <c r="G799" s="69"/>
      <c r="H799" s="69"/>
      <c r="N799" s="44"/>
      <c r="O799" s="44"/>
      <c r="P799" s="44"/>
    </row>
    <row r="800">
      <c r="A800" s="68"/>
      <c r="B800" s="69"/>
      <c r="C800" s="69"/>
      <c r="D800" s="69"/>
      <c r="E800" s="69"/>
      <c r="F800" s="69"/>
      <c r="G800" s="69"/>
      <c r="H800" s="69"/>
      <c r="N800" s="44"/>
      <c r="O800" s="44"/>
      <c r="P800" s="44"/>
    </row>
    <row r="801">
      <c r="A801" s="68"/>
      <c r="B801" s="69"/>
      <c r="C801" s="69"/>
      <c r="D801" s="69"/>
      <c r="E801" s="69"/>
      <c r="F801" s="69"/>
      <c r="G801" s="69"/>
      <c r="H801" s="69"/>
      <c r="N801" s="44"/>
      <c r="O801" s="44"/>
      <c r="P801" s="44"/>
    </row>
    <row r="802">
      <c r="A802" s="68"/>
      <c r="B802" s="69"/>
      <c r="C802" s="69"/>
      <c r="D802" s="69"/>
      <c r="E802" s="69"/>
      <c r="F802" s="69"/>
      <c r="G802" s="69"/>
      <c r="H802" s="69"/>
      <c r="N802" s="44"/>
      <c r="O802" s="44"/>
      <c r="P802" s="44"/>
    </row>
    <row r="803">
      <c r="A803" s="68"/>
      <c r="B803" s="69"/>
      <c r="C803" s="69"/>
      <c r="D803" s="69"/>
      <c r="E803" s="69"/>
      <c r="F803" s="69"/>
      <c r="G803" s="69"/>
      <c r="H803" s="69"/>
      <c r="N803" s="44"/>
      <c r="O803" s="44"/>
      <c r="P803" s="44"/>
    </row>
    <row r="804">
      <c r="A804" s="68"/>
      <c r="B804" s="69"/>
      <c r="C804" s="69"/>
      <c r="D804" s="69"/>
      <c r="E804" s="69"/>
      <c r="F804" s="69"/>
      <c r="G804" s="69"/>
      <c r="H804" s="69"/>
      <c r="N804" s="44"/>
      <c r="O804" s="44"/>
      <c r="P804" s="44"/>
    </row>
    <row r="805">
      <c r="A805" s="68"/>
      <c r="B805" s="69"/>
      <c r="C805" s="69"/>
      <c r="D805" s="69"/>
      <c r="E805" s="69"/>
      <c r="F805" s="69"/>
      <c r="G805" s="69"/>
      <c r="H805" s="69"/>
      <c r="N805" s="44"/>
      <c r="O805" s="44"/>
      <c r="P805" s="44"/>
    </row>
    <row r="806">
      <c r="A806" s="68"/>
      <c r="B806" s="69"/>
      <c r="C806" s="69"/>
      <c r="D806" s="69"/>
      <c r="E806" s="69"/>
      <c r="F806" s="69"/>
      <c r="G806" s="69"/>
      <c r="H806" s="69"/>
      <c r="N806" s="44"/>
      <c r="O806" s="44"/>
      <c r="P806" s="44"/>
    </row>
    <row r="807">
      <c r="A807" s="68"/>
      <c r="B807" s="69"/>
      <c r="C807" s="69"/>
      <c r="D807" s="69"/>
      <c r="E807" s="69"/>
      <c r="F807" s="69"/>
      <c r="G807" s="69"/>
      <c r="H807" s="69"/>
      <c r="N807" s="44"/>
      <c r="O807" s="44"/>
      <c r="P807" s="44"/>
    </row>
    <row r="808">
      <c r="A808" s="68"/>
      <c r="B808" s="69"/>
      <c r="C808" s="69"/>
      <c r="D808" s="69"/>
      <c r="E808" s="69"/>
      <c r="F808" s="69"/>
      <c r="G808" s="69"/>
      <c r="H808" s="69"/>
      <c r="N808" s="44"/>
      <c r="O808" s="44"/>
      <c r="P808" s="44"/>
    </row>
    <row r="809">
      <c r="A809" s="68"/>
      <c r="B809" s="69"/>
      <c r="C809" s="69"/>
      <c r="D809" s="69"/>
      <c r="E809" s="69"/>
      <c r="F809" s="69"/>
      <c r="G809" s="69"/>
      <c r="H809" s="69"/>
      <c r="N809" s="44"/>
      <c r="O809" s="44"/>
      <c r="P809" s="44"/>
    </row>
    <row r="810">
      <c r="A810" s="68"/>
      <c r="B810" s="69"/>
      <c r="C810" s="69"/>
      <c r="D810" s="69"/>
      <c r="E810" s="69"/>
      <c r="F810" s="69"/>
      <c r="G810" s="69"/>
      <c r="H810" s="69"/>
      <c r="N810" s="44"/>
      <c r="O810" s="44"/>
      <c r="P810" s="44"/>
    </row>
    <row r="811">
      <c r="A811" s="68"/>
      <c r="B811" s="69"/>
      <c r="C811" s="69"/>
      <c r="D811" s="69"/>
      <c r="E811" s="69"/>
      <c r="F811" s="69"/>
      <c r="G811" s="69"/>
      <c r="H811" s="69"/>
      <c r="N811" s="44"/>
      <c r="O811" s="44"/>
      <c r="P811" s="44"/>
    </row>
    <row r="812">
      <c r="A812" s="68"/>
      <c r="B812" s="69"/>
      <c r="C812" s="69"/>
      <c r="D812" s="69"/>
      <c r="E812" s="69"/>
      <c r="F812" s="69"/>
      <c r="G812" s="69"/>
      <c r="H812" s="69"/>
      <c r="N812" s="44"/>
      <c r="O812" s="44"/>
      <c r="P812" s="44"/>
    </row>
    <row r="813">
      <c r="A813" s="68"/>
      <c r="B813" s="69"/>
      <c r="C813" s="69"/>
      <c r="D813" s="69"/>
      <c r="E813" s="69"/>
      <c r="F813" s="69"/>
      <c r="G813" s="69"/>
      <c r="H813" s="69"/>
      <c r="N813" s="44"/>
      <c r="O813" s="44"/>
      <c r="P813" s="44"/>
    </row>
    <row r="814">
      <c r="A814" s="68"/>
      <c r="B814" s="69"/>
      <c r="C814" s="69"/>
      <c r="D814" s="69"/>
      <c r="E814" s="69"/>
      <c r="F814" s="69"/>
      <c r="G814" s="69"/>
      <c r="H814" s="69"/>
      <c r="N814" s="44"/>
      <c r="O814" s="44"/>
      <c r="P814" s="44"/>
    </row>
    <row r="815">
      <c r="A815" s="68"/>
      <c r="B815" s="69"/>
      <c r="C815" s="69"/>
      <c r="D815" s="69"/>
      <c r="E815" s="69"/>
      <c r="F815" s="69"/>
      <c r="G815" s="69"/>
      <c r="H815" s="69"/>
      <c r="N815" s="44"/>
      <c r="O815" s="44"/>
      <c r="P815" s="44"/>
    </row>
    <row r="816">
      <c r="A816" s="68"/>
      <c r="B816" s="69"/>
      <c r="C816" s="69"/>
      <c r="D816" s="69"/>
      <c r="E816" s="69"/>
      <c r="F816" s="69"/>
      <c r="G816" s="69"/>
      <c r="H816" s="69"/>
      <c r="N816" s="44"/>
      <c r="O816" s="44"/>
      <c r="P816" s="44"/>
    </row>
    <row r="817">
      <c r="A817" s="68"/>
      <c r="B817" s="69"/>
      <c r="C817" s="69"/>
      <c r="D817" s="69"/>
      <c r="E817" s="69"/>
      <c r="F817" s="69"/>
      <c r="G817" s="69"/>
      <c r="H817" s="69"/>
      <c r="N817" s="44"/>
      <c r="O817" s="44"/>
      <c r="P817" s="44"/>
    </row>
    <row r="818">
      <c r="A818" s="68"/>
      <c r="B818" s="69"/>
      <c r="C818" s="69"/>
      <c r="D818" s="69"/>
      <c r="E818" s="69"/>
      <c r="F818" s="69"/>
      <c r="G818" s="69"/>
      <c r="H818" s="69"/>
      <c r="N818" s="44"/>
      <c r="O818" s="44"/>
      <c r="P818" s="44"/>
    </row>
    <row r="819">
      <c r="A819" s="68"/>
      <c r="B819" s="69"/>
      <c r="C819" s="69"/>
      <c r="D819" s="69"/>
      <c r="E819" s="69"/>
      <c r="F819" s="69"/>
      <c r="G819" s="69"/>
      <c r="H819" s="69"/>
      <c r="N819" s="44"/>
      <c r="O819" s="44"/>
      <c r="P819" s="44"/>
    </row>
    <row r="820">
      <c r="A820" s="68"/>
      <c r="B820" s="69"/>
      <c r="C820" s="69"/>
      <c r="D820" s="69"/>
      <c r="E820" s="69"/>
      <c r="F820" s="69"/>
      <c r="G820" s="69"/>
      <c r="H820" s="69"/>
      <c r="N820" s="44"/>
      <c r="O820" s="44"/>
      <c r="P820" s="44"/>
    </row>
    <row r="821">
      <c r="A821" s="68"/>
      <c r="B821" s="69"/>
      <c r="C821" s="69"/>
      <c r="D821" s="69"/>
      <c r="E821" s="69"/>
      <c r="F821" s="69"/>
      <c r="G821" s="69"/>
      <c r="H821" s="69"/>
      <c r="N821" s="44"/>
      <c r="O821" s="44"/>
      <c r="P821" s="44"/>
    </row>
    <row r="822">
      <c r="A822" s="68"/>
      <c r="B822" s="69"/>
      <c r="C822" s="69"/>
      <c r="D822" s="69"/>
      <c r="E822" s="69"/>
      <c r="F822" s="69"/>
      <c r="G822" s="69"/>
      <c r="H822" s="69"/>
      <c r="N822" s="44"/>
      <c r="O822" s="44"/>
      <c r="P822" s="44"/>
    </row>
    <row r="823">
      <c r="A823" s="68"/>
      <c r="B823" s="69"/>
      <c r="C823" s="69"/>
      <c r="D823" s="69"/>
      <c r="E823" s="69"/>
      <c r="F823" s="69"/>
      <c r="G823" s="69"/>
      <c r="H823" s="69"/>
      <c r="N823" s="44"/>
      <c r="O823" s="44"/>
      <c r="P823" s="44"/>
    </row>
    <row r="824">
      <c r="A824" s="68"/>
      <c r="B824" s="69"/>
      <c r="C824" s="69"/>
      <c r="D824" s="69"/>
      <c r="E824" s="69"/>
      <c r="F824" s="69"/>
      <c r="G824" s="69"/>
      <c r="H824" s="69"/>
      <c r="N824" s="44"/>
      <c r="O824" s="44"/>
      <c r="P824" s="44"/>
    </row>
    <row r="825">
      <c r="A825" s="68"/>
      <c r="B825" s="69"/>
      <c r="C825" s="69"/>
      <c r="D825" s="69"/>
      <c r="E825" s="69"/>
      <c r="F825" s="69"/>
      <c r="G825" s="69"/>
      <c r="H825" s="69"/>
      <c r="N825" s="44"/>
      <c r="O825" s="44"/>
      <c r="P825" s="44"/>
    </row>
    <row r="826">
      <c r="A826" s="68"/>
      <c r="B826" s="69"/>
      <c r="C826" s="69"/>
      <c r="D826" s="69"/>
      <c r="E826" s="69"/>
      <c r="F826" s="69"/>
      <c r="G826" s="69"/>
      <c r="H826" s="69"/>
      <c r="N826" s="44"/>
      <c r="O826" s="44"/>
      <c r="P826" s="44"/>
    </row>
    <row r="827">
      <c r="A827" s="68"/>
      <c r="B827" s="69"/>
      <c r="C827" s="69"/>
      <c r="D827" s="69"/>
      <c r="E827" s="69"/>
      <c r="F827" s="69"/>
      <c r="G827" s="69"/>
      <c r="H827" s="69"/>
      <c r="N827" s="44"/>
      <c r="O827" s="44"/>
      <c r="P827" s="44"/>
    </row>
    <row r="828">
      <c r="A828" s="68"/>
      <c r="B828" s="69"/>
      <c r="C828" s="69"/>
      <c r="D828" s="69"/>
      <c r="E828" s="69"/>
      <c r="F828" s="69"/>
      <c r="G828" s="69"/>
      <c r="H828" s="69"/>
      <c r="N828" s="44"/>
      <c r="O828" s="44"/>
      <c r="P828" s="44"/>
    </row>
    <row r="829">
      <c r="A829" s="68"/>
      <c r="B829" s="69"/>
      <c r="C829" s="69"/>
      <c r="D829" s="69"/>
      <c r="E829" s="69"/>
      <c r="F829" s="69"/>
      <c r="G829" s="69"/>
      <c r="H829" s="69"/>
      <c r="N829" s="44"/>
      <c r="O829" s="44"/>
      <c r="P829" s="44"/>
    </row>
    <row r="830">
      <c r="A830" s="68"/>
      <c r="B830" s="69"/>
      <c r="C830" s="69"/>
      <c r="D830" s="69"/>
      <c r="E830" s="69"/>
      <c r="F830" s="69"/>
      <c r="G830" s="69"/>
      <c r="H830" s="69"/>
      <c r="N830" s="44"/>
      <c r="O830" s="44"/>
      <c r="P830" s="44"/>
    </row>
    <row r="831">
      <c r="A831" s="68"/>
      <c r="B831" s="69"/>
      <c r="C831" s="69"/>
      <c r="D831" s="69"/>
      <c r="E831" s="69"/>
      <c r="F831" s="69"/>
      <c r="G831" s="69"/>
      <c r="H831" s="69"/>
      <c r="N831" s="44"/>
      <c r="O831" s="44"/>
      <c r="P831" s="44"/>
    </row>
    <row r="832">
      <c r="A832" s="68"/>
      <c r="B832" s="69"/>
      <c r="C832" s="69"/>
      <c r="D832" s="69"/>
      <c r="E832" s="69"/>
      <c r="F832" s="69"/>
      <c r="G832" s="69"/>
      <c r="H832" s="69"/>
      <c r="N832" s="44"/>
      <c r="O832" s="44"/>
      <c r="P832" s="44"/>
    </row>
    <row r="833">
      <c r="A833" s="68"/>
      <c r="B833" s="69"/>
      <c r="C833" s="69"/>
      <c r="D833" s="69"/>
      <c r="E833" s="69"/>
      <c r="F833" s="69"/>
      <c r="G833" s="69"/>
      <c r="H833" s="69"/>
      <c r="N833" s="44"/>
      <c r="O833" s="44"/>
      <c r="P833" s="44"/>
    </row>
    <row r="834">
      <c r="A834" s="68"/>
      <c r="B834" s="69"/>
      <c r="C834" s="69"/>
      <c r="D834" s="69"/>
      <c r="E834" s="69"/>
      <c r="F834" s="69"/>
      <c r="G834" s="69"/>
      <c r="H834" s="69"/>
      <c r="N834" s="44"/>
      <c r="O834" s="44"/>
      <c r="P834" s="44"/>
    </row>
    <row r="835">
      <c r="A835" s="68"/>
      <c r="B835" s="69"/>
      <c r="C835" s="69"/>
      <c r="D835" s="69"/>
      <c r="E835" s="69"/>
      <c r="F835" s="69"/>
      <c r="G835" s="69"/>
      <c r="H835" s="69"/>
      <c r="N835" s="44"/>
      <c r="O835" s="44"/>
      <c r="P835" s="44"/>
    </row>
    <row r="836">
      <c r="A836" s="68"/>
      <c r="B836" s="69"/>
      <c r="C836" s="69"/>
      <c r="D836" s="69"/>
      <c r="E836" s="69"/>
      <c r="F836" s="69"/>
      <c r="G836" s="69"/>
      <c r="H836" s="69"/>
      <c r="N836" s="44"/>
      <c r="O836" s="44"/>
      <c r="P836" s="44"/>
    </row>
    <row r="837">
      <c r="A837" s="68"/>
      <c r="B837" s="69"/>
      <c r="C837" s="69"/>
      <c r="D837" s="69"/>
      <c r="E837" s="69"/>
      <c r="F837" s="69"/>
      <c r="G837" s="69"/>
      <c r="H837" s="69"/>
      <c r="N837" s="44"/>
      <c r="O837" s="44"/>
      <c r="P837" s="44"/>
    </row>
    <row r="838">
      <c r="A838" s="68"/>
      <c r="B838" s="69"/>
      <c r="C838" s="69"/>
      <c r="D838" s="69"/>
      <c r="E838" s="69"/>
      <c r="F838" s="69"/>
      <c r="G838" s="69"/>
      <c r="H838" s="69"/>
      <c r="N838" s="44"/>
      <c r="O838" s="44"/>
      <c r="P838" s="44"/>
    </row>
    <row r="839">
      <c r="A839" s="68"/>
      <c r="B839" s="69"/>
      <c r="C839" s="69"/>
      <c r="D839" s="69"/>
      <c r="E839" s="69"/>
      <c r="F839" s="69"/>
      <c r="G839" s="69"/>
      <c r="H839" s="69"/>
      <c r="N839" s="44"/>
      <c r="O839" s="44"/>
      <c r="P839" s="44"/>
    </row>
    <row r="840">
      <c r="A840" s="68"/>
      <c r="B840" s="69"/>
      <c r="C840" s="69"/>
      <c r="D840" s="69"/>
      <c r="E840" s="69"/>
      <c r="F840" s="69"/>
      <c r="G840" s="69"/>
      <c r="H840" s="69"/>
      <c r="N840" s="44"/>
      <c r="O840" s="44"/>
      <c r="P840" s="44"/>
    </row>
    <row r="841">
      <c r="A841" s="68"/>
      <c r="B841" s="69"/>
      <c r="C841" s="69"/>
      <c r="D841" s="69"/>
      <c r="E841" s="69"/>
      <c r="F841" s="69"/>
      <c r="G841" s="69"/>
      <c r="H841" s="69"/>
      <c r="N841" s="44"/>
      <c r="O841" s="44"/>
      <c r="P841" s="44"/>
    </row>
    <row r="842">
      <c r="A842" s="68"/>
      <c r="B842" s="69"/>
      <c r="C842" s="69"/>
      <c r="D842" s="69"/>
      <c r="E842" s="69"/>
      <c r="F842" s="69"/>
      <c r="G842" s="69"/>
      <c r="H842" s="69"/>
      <c r="N842" s="44"/>
      <c r="O842" s="44"/>
      <c r="P842" s="44"/>
    </row>
    <row r="843">
      <c r="A843" s="68"/>
      <c r="B843" s="69"/>
      <c r="C843" s="69"/>
      <c r="D843" s="69"/>
      <c r="E843" s="69"/>
      <c r="F843" s="69"/>
      <c r="G843" s="69"/>
      <c r="H843" s="69"/>
      <c r="N843" s="44"/>
      <c r="O843" s="44"/>
      <c r="P843" s="44"/>
    </row>
    <row r="844">
      <c r="A844" s="68"/>
      <c r="B844" s="69"/>
      <c r="C844" s="69"/>
      <c r="D844" s="69"/>
      <c r="E844" s="69"/>
      <c r="F844" s="69"/>
      <c r="G844" s="69"/>
      <c r="H844" s="69"/>
      <c r="N844" s="44"/>
      <c r="O844" s="44"/>
      <c r="P844" s="44"/>
    </row>
    <row r="845">
      <c r="A845" s="68"/>
      <c r="B845" s="69"/>
      <c r="C845" s="69"/>
      <c r="D845" s="69"/>
      <c r="E845" s="69"/>
      <c r="F845" s="69"/>
      <c r="G845" s="69"/>
      <c r="H845" s="69"/>
      <c r="N845" s="44"/>
      <c r="O845" s="44"/>
      <c r="P845" s="44"/>
    </row>
    <row r="846">
      <c r="A846" s="68"/>
      <c r="B846" s="69"/>
      <c r="C846" s="69"/>
      <c r="D846" s="69"/>
      <c r="E846" s="69"/>
      <c r="F846" s="69"/>
      <c r="G846" s="69"/>
      <c r="H846" s="69"/>
      <c r="N846" s="44"/>
      <c r="O846" s="44"/>
      <c r="P846" s="44"/>
    </row>
    <row r="847">
      <c r="A847" s="68"/>
      <c r="B847" s="69"/>
      <c r="C847" s="69"/>
      <c r="D847" s="69"/>
      <c r="E847" s="69"/>
      <c r="F847" s="69"/>
      <c r="G847" s="69"/>
      <c r="H847" s="69"/>
      <c r="N847" s="44"/>
      <c r="O847" s="44"/>
      <c r="P847" s="44"/>
    </row>
    <row r="848">
      <c r="A848" s="68"/>
      <c r="B848" s="69"/>
      <c r="C848" s="69"/>
      <c r="D848" s="69"/>
      <c r="E848" s="69"/>
      <c r="F848" s="69"/>
      <c r="G848" s="69"/>
      <c r="H848" s="69"/>
      <c r="N848" s="44"/>
      <c r="O848" s="44"/>
      <c r="P848" s="44"/>
    </row>
    <row r="849">
      <c r="A849" s="68"/>
      <c r="B849" s="69"/>
      <c r="C849" s="69"/>
      <c r="D849" s="69"/>
      <c r="E849" s="69"/>
      <c r="F849" s="69"/>
      <c r="G849" s="69"/>
      <c r="H849" s="69"/>
      <c r="N849" s="44"/>
      <c r="O849" s="44"/>
      <c r="P849" s="44"/>
    </row>
    <row r="850">
      <c r="A850" s="68"/>
      <c r="B850" s="69"/>
      <c r="C850" s="69"/>
      <c r="D850" s="69"/>
      <c r="E850" s="69"/>
      <c r="F850" s="69"/>
      <c r="G850" s="69"/>
      <c r="H850" s="69"/>
      <c r="N850" s="44"/>
      <c r="O850" s="44"/>
      <c r="P850" s="44"/>
    </row>
    <row r="851">
      <c r="A851" s="68"/>
      <c r="B851" s="69"/>
      <c r="C851" s="69"/>
      <c r="D851" s="69"/>
      <c r="E851" s="69"/>
      <c r="F851" s="69"/>
      <c r="G851" s="69"/>
      <c r="H851" s="69"/>
      <c r="N851" s="44"/>
      <c r="O851" s="44"/>
      <c r="P851" s="44"/>
    </row>
    <row r="852">
      <c r="A852" s="68"/>
      <c r="B852" s="69"/>
      <c r="C852" s="69"/>
      <c r="D852" s="69"/>
      <c r="E852" s="69"/>
      <c r="F852" s="69"/>
      <c r="G852" s="69"/>
      <c r="H852" s="69"/>
      <c r="N852" s="44"/>
      <c r="O852" s="44"/>
      <c r="P852" s="44"/>
    </row>
    <row r="853">
      <c r="A853" s="68"/>
      <c r="B853" s="69"/>
      <c r="C853" s="69"/>
      <c r="D853" s="69"/>
      <c r="E853" s="69"/>
      <c r="F853" s="69"/>
      <c r="G853" s="69"/>
      <c r="H853" s="69"/>
      <c r="N853" s="44"/>
      <c r="O853" s="44"/>
      <c r="P853" s="44"/>
    </row>
    <row r="854">
      <c r="A854" s="68"/>
      <c r="B854" s="69"/>
      <c r="C854" s="69"/>
      <c r="D854" s="69"/>
      <c r="E854" s="69"/>
      <c r="F854" s="69"/>
      <c r="G854" s="69"/>
      <c r="H854" s="69"/>
      <c r="N854" s="44"/>
      <c r="O854" s="44"/>
      <c r="P854" s="44"/>
    </row>
    <row r="855">
      <c r="A855" s="68"/>
      <c r="B855" s="69"/>
      <c r="C855" s="69"/>
      <c r="D855" s="69"/>
      <c r="E855" s="69"/>
      <c r="F855" s="69"/>
      <c r="G855" s="69"/>
      <c r="H855" s="69"/>
      <c r="N855" s="44"/>
      <c r="O855" s="44"/>
      <c r="P855" s="44"/>
    </row>
    <row r="856">
      <c r="A856" s="68"/>
      <c r="B856" s="69"/>
      <c r="C856" s="69"/>
      <c r="D856" s="69"/>
      <c r="E856" s="69"/>
      <c r="F856" s="69"/>
      <c r="G856" s="69"/>
      <c r="H856" s="69"/>
      <c r="N856" s="44"/>
      <c r="O856" s="44"/>
      <c r="P856" s="44"/>
    </row>
    <row r="857">
      <c r="A857" s="68"/>
      <c r="B857" s="69"/>
      <c r="C857" s="69"/>
      <c r="D857" s="69"/>
      <c r="E857" s="69"/>
      <c r="F857" s="69"/>
      <c r="G857" s="69"/>
      <c r="H857" s="69"/>
      <c r="N857" s="44"/>
      <c r="O857" s="44"/>
      <c r="P857" s="44"/>
    </row>
    <row r="858">
      <c r="A858" s="68"/>
      <c r="B858" s="69"/>
      <c r="C858" s="69"/>
      <c r="D858" s="69"/>
      <c r="E858" s="69"/>
      <c r="F858" s="69"/>
      <c r="G858" s="69"/>
      <c r="H858" s="69"/>
      <c r="N858" s="44"/>
      <c r="O858" s="44"/>
      <c r="P858" s="44"/>
    </row>
    <row r="859">
      <c r="A859" s="68"/>
      <c r="B859" s="69"/>
      <c r="C859" s="69"/>
      <c r="D859" s="69"/>
      <c r="E859" s="69"/>
      <c r="F859" s="69"/>
      <c r="G859" s="69"/>
      <c r="H859" s="69"/>
      <c r="N859" s="44"/>
      <c r="O859" s="44"/>
      <c r="P859" s="44"/>
    </row>
    <row r="860">
      <c r="A860" s="68"/>
      <c r="B860" s="69"/>
      <c r="C860" s="69"/>
      <c r="D860" s="69"/>
      <c r="E860" s="69"/>
      <c r="F860" s="69"/>
      <c r="G860" s="69"/>
      <c r="H860" s="69"/>
      <c r="N860" s="44"/>
      <c r="O860" s="44"/>
      <c r="P860" s="44"/>
    </row>
    <row r="861">
      <c r="A861" s="68"/>
      <c r="B861" s="69"/>
      <c r="C861" s="69"/>
      <c r="D861" s="69"/>
      <c r="E861" s="69"/>
      <c r="F861" s="69"/>
      <c r="G861" s="69"/>
      <c r="H861" s="69"/>
      <c r="N861" s="44"/>
      <c r="O861" s="44"/>
      <c r="P861" s="44"/>
    </row>
    <row r="862">
      <c r="A862" s="68"/>
      <c r="B862" s="69"/>
      <c r="C862" s="69"/>
      <c r="D862" s="69"/>
      <c r="E862" s="69"/>
      <c r="F862" s="69"/>
      <c r="G862" s="69"/>
      <c r="H862" s="69"/>
      <c r="N862" s="44"/>
      <c r="O862" s="44"/>
      <c r="P862" s="44"/>
    </row>
    <row r="863">
      <c r="A863" s="68"/>
      <c r="B863" s="69"/>
      <c r="C863" s="69"/>
      <c r="D863" s="69"/>
      <c r="E863" s="69"/>
      <c r="F863" s="69"/>
      <c r="G863" s="69"/>
      <c r="H863" s="69"/>
      <c r="N863" s="44"/>
      <c r="O863" s="44"/>
      <c r="P863" s="44"/>
    </row>
    <row r="864">
      <c r="A864" s="68"/>
      <c r="B864" s="69"/>
      <c r="C864" s="69"/>
      <c r="D864" s="69"/>
      <c r="E864" s="69"/>
      <c r="F864" s="69"/>
      <c r="G864" s="69"/>
      <c r="H864" s="69"/>
      <c r="N864" s="44"/>
      <c r="O864" s="44"/>
      <c r="P864" s="44"/>
    </row>
    <row r="865">
      <c r="A865" s="68"/>
      <c r="B865" s="69"/>
      <c r="C865" s="69"/>
      <c r="D865" s="69"/>
      <c r="E865" s="69"/>
      <c r="F865" s="69"/>
      <c r="G865" s="69"/>
      <c r="H865" s="69"/>
      <c r="N865" s="44"/>
      <c r="O865" s="44"/>
      <c r="P865" s="44"/>
    </row>
    <row r="866">
      <c r="A866" s="68"/>
      <c r="B866" s="69"/>
      <c r="C866" s="69"/>
      <c r="D866" s="69"/>
      <c r="E866" s="69"/>
      <c r="F866" s="69"/>
      <c r="G866" s="69"/>
      <c r="H866" s="69"/>
      <c r="N866" s="44"/>
      <c r="O866" s="44"/>
      <c r="P866" s="44"/>
    </row>
    <row r="867">
      <c r="A867" s="68"/>
      <c r="B867" s="69"/>
      <c r="C867" s="69"/>
      <c r="D867" s="69"/>
      <c r="E867" s="69"/>
      <c r="F867" s="69"/>
      <c r="G867" s="69"/>
      <c r="H867" s="69"/>
      <c r="N867" s="44"/>
      <c r="O867" s="44"/>
      <c r="P867" s="44"/>
    </row>
    <row r="868">
      <c r="A868" s="68"/>
      <c r="B868" s="69"/>
      <c r="C868" s="69"/>
      <c r="D868" s="69"/>
      <c r="E868" s="69"/>
      <c r="F868" s="69"/>
      <c r="G868" s="69"/>
      <c r="H868" s="69"/>
      <c r="N868" s="44"/>
      <c r="O868" s="44"/>
      <c r="P868" s="44"/>
    </row>
    <row r="869">
      <c r="A869" s="68"/>
      <c r="B869" s="69"/>
      <c r="C869" s="69"/>
      <c r="D869" s="69"/>
      <c r="E869" s="69"/>
      <c r="F869" s="69"/>
      <c r="G869" s="69"/>
      <c r="H869" s="69"/>
      <c r="N869" s="44"/>
      <c r="O869" s="44"/>
      <c r="P869" s="44"/>
    </row>
    <row r="870">
      <c r="A870" s="68"/>
      <c r="B870" s="69"/>
      <c r="C870" s="69"/>
      <c r="D870" s="69"/>
      <c r="E870" s="69"/>
      <c r="F870" s="69"/>
      <c r="G870" s="69"/>
      <c r="H870" s="69"/>
      <c r="N870" s="44"/>
      <c r="O870" s="44"/>
      <c r="P870" s="44"/>
    </row>
    <row r="871">
      <c r="A871" s="68"/>
      <c r="B871" s="69"/>
      <c r="C871" s="69"/>
      <c r="D871" s="69"/>
      <c r="E871" s="69"/>
      <c r="F871" s="69"/>
      <c r="G871" s="69"/>
      <c r="H871" s="69"/>
      <c r="N871" s="44"/>
      <c r="O871" s="44"/>
      <c r="P871" s="44"/>
    </row>
    <row r="872">
      <c r="A872" s="68"/>
      <c r="B872" s="69"/>
      <c r="C872" s="69"/>
      <c r="D872" s="69"/>
      <c r="E872" s="69"/>
      <c r="F872" s="69"/>
      <c r="G872" s="69"/>
      <c r="H872" s="69"/>
      <c r="N872" s="44"/>
      <c r="O872" s="44"/>
      <c r="P872" s="44"/>
    </row>
    <row r="873">
      <c r="A873" s="68"/>
      <c r="B873" s="69"/>
      <c r="C873" s="69"/>
      <c r="D873" s="69"/>
      <c r="E873" s="69"/>
      <c r="F873" s="69"/>
      <c r="G873" s="69"/>
      <c r="H873" s="69"/>
      <c r="N873" s="44"/>
      <c r="O873" s="44"/>
      <c r="P873" s="44"/>
    </row>
    <row r="874">
      <c r="A874" s="68"/>
      <c r="B874" s="69"/>
      <c r="C874" s="69"/>
      <c r="D874" s="69"/>
      <c r="E874" s="69"/>
      <c r="F874" s="69"/>
      <c r="G874" s="69"/>
      <c r="H874" s="69"/>
      <c r="N874" s="44"/>
      <c r="O874" s="44"/>
      <c r="P874" s="44"/>
    </row>
    <row r="875">
      <c r="A875" s="68"/>
      <c r="B875" s="69"/>
      <c r="C875" s="69"/>
      <c r="D875" s="69"/>
      <c r="E875" s="69"/>
      <c r="F875" s="69"/>
      <c r="G875" s="69"/>
      <c r="H875" s="69"/>
      <c r="N875" s="44"/>
      <c r="O875" s="44"/>
      <c r="P875" s="44"/>
    </row>
    <row r="876">
      <c r="A876" s="68"/>
      <c r="B876" s="69"/>
      <c r="C876" s="69"/>
      <c r="D876" s="69"/>
      <c r="E876" s="69"/>
      <c r="F876" s="69"/>
      <c r="G876" s="69"/>
      <c r="H876" s="69"/>
      <c r="N876" s="44"/>
      <c r="O876" s="44"/>
      <c r="P876" s="44"/>
    </row>
    <row r="877">
      <c r="A877" s="68"/>
      <c r="B877" s="69"/>
      <c r="C877" s="69"/>
      <c r="D877" s="69"/>
      <c r="E877" s="69"/>
      <c r="F877" s="69"/>
      <c r="G877" s="69"/>
      <c r="H877" s="69"/>
      <c r="N877" s="44"/>
      <c r="O877" s="44"/>
      <c r="P877" s="44"/>
    </row>
    <row r="878">
      <c r="A878" s="68"/>
      <c r="B878" s="69"/>
      <c r="C878" s="69"/>
      <c r="D878" s="69"/>
      <c r="E878" s="69"/>
      <c r="F878" s="69"/>
      <c r="G878" s="69"/>
      <c r="H878" s="69"/>
      <c r="N878" s="44"/>
      <c r="O878" s="44"/>
      <c r="P878" s="44"/>
    </row>
    <row r="879">
      <c r="A879" s="68"/>
      <c r="B879" s="69"/>
      <c r="C879" s="69"/>
      <c r="D879" s="69"/>
      <c r="E879" s="69"/>
      <c r="F879" s="69"/>
      <c r="G879" s="69"/>
      <c r="H879" s="69"/>
      <c r="N879" s="44"/>
      <c r="O879" s="44"/>
      <c r="P879" s="44"/>
    </row>
    <row r="880">
      <c r="A880" s="68"/>
      <c r="B880" s="69"/>
      <c r="C880" s="69"/>
      <c r="D880" s="69"/>
      <c r="E880" s="69"/>
      <c r="F880" s="69"/>
      <c r="G880" s="69"/>
      <c r="H880" s="69"/>
      <c r="N880" s="44"/>
      <c r="O880" s="44"/>
      <c r="P880" s="44"/>
    </row>
    <row r="881">
      <c r="A881" s="68"/>
      <c r="B881" s="69"/>
      <c r="C881" s="69"/>
      <c r="D881" s="69"/>
      <c r="E881" s="69"/>
      <c r="F881" s="69"/>
      <c r="G881" s="69"/>
      <c r="H881" s="69"/>
      <c r="N881" s="44"/>
      <c r="O881" s="44"/>
      <c r="P881" s="44"/>
    </row>
    <row r="882">
      <c r="A882" s="68"/>
      <c r="B882" s="69"/>
      <c r="C882" s="69"/>
      <c r="D882" s="69"/>
      <c r="E882" s="69"/>
      <c r="F882" s="69"/>
      <c r="G882" s="69"/>
      <c r="H882" s="69"/>
      <c r="N882" s="44"/>
      <c r="O882" s="44"/>
      <c r="P882" s="44"/>
    </row>
    <row r="883">
      <c r="A883" s="68"/>
      <c r="B883" s="69"/>
      <c r="C883" s="69"/>
      <c r="D883" s="69"/>
      <c r="E883" s="69"/>
      <c r="F883" s="69"/>
      <c r="G883" s="69"/>
      <c r="H883" s="69"/>
      <c r="N883" s="44"/>
      <c r="O883" s="44"/>
      <c r="P883" s="44"/>
    </row>
    <row r="884">
      <c r="A884" s="68"/>
      <c r="B884" s="69"/>
      <c r="C884" s="69"/>
      <c r="D884" s="69"/>
      <c r="E884" s="69"/>
      <c r="F884" s="69"/>
      <c r="G884" s="69"/>
      <c r="H884" s="69"/>
      <c r="N884" s="44"/>
      <c r="O884" s="44"/>
      <c r="P884" s="44"/>
    </row>
    <row r="885">
      <c r="A885" s="68"/>
      <c r="B885" s="69"/>
      <c r="C885" s="69"/>
      <c r="D885" s="69"/>
      <c r="E885" s="69"/>
      <c r="F885" s="69"/>
      <c r="G885" s="69"/>
      <c r="H885" s="69"/>
      <c r="N885" s="44"/>
      <c r="O885" s="44"/>
      <c r="P885" s="44"/>
    </row>
    <row r="886">
      <c r="A886" s="68"/>
      <c r="B886" s="69"/>
      <c r="C886" s="69"/>
      <c r="D886" s="69"/>
      <c r="E886" s="69"/>
      <c r="F886" s="69"/>
      <c r="G886" s="69"/>
      <c r="H886" s="69"/>
      <c r="N886" s="44"/>
      <c r="O886" s="44"/>
      <c r="P886" s="44"/>
    </row>
    <row r="887">
      <c r="A887" s="68"/>
      <c r="B887" s="69"/>
      <c r="C887" s="69"/>
      <c r="D887" s="69"/>
      <c r="E887" s="69"/>
      <c r="F887" s="69"/>
      <c r="G887" s="69"/>
      <c r="H887" s="69"/>
      <c r="N887" s="44"/>
      <c r="O887" s="44"/>
      <c r="P887" s="44"/>
    </row>
    <row r="888">
      <c r="A888" s="68"/>
      <c r="B888" s="69"/>
      <c r="C888" s="69"/>
      <c r="D888" s="69"/>
      <c r="E888" s="69"/>
      <c r="F888" s="69"/>
      <c r="G888" s="69"/>
      <c r="H888" s="69"/>
      <c r="N888" s="44"/>
      <c r="O888" s="44"/>
      <c r="P888" s="44"/>
    </row>
    <row r="889">
      <c r="A889" s="68"/>
      <c r="B889" s="69"/>
      <c r="C889" s="69"/>
      <c r="D889" s="69"/>
      <c r="E889" s="69"/>
      <c r="F889" s="69"/>
      <c r="G889" s="69"/>
      <c r="H889" s="69"/>
      <c r="N889" s="44"/>
      <c r="O889" s="44"/>
      <c r="P889" s="44"/>
    </row>
    <row r="890">
      <c r="A890" s="68"/>
      <c r="B890" s="69"/>
      <c r="C890" s="69"/>
      <c r="D890" s="69"/>
      <c r="E890" s="69"/>
      <c r="F890" s="69"/>
      <c r="G890" s="69"/>
      <c r="H890" s="69"/>
      <c r="N890" s="44"/>
      <c r="O890" s="44"/>
      <c r="P890" s="44"/>
    </row>
    <row r="891">
      <c r="A891" s="68"/>
      <c r="B891" s="69"/>
      <c r="C891" s="69"/>
      <c r="D891" s="69"/>
      <c r="E891" s="69"/>
      <c r="F891" s="69"/>
      <c r="G891" s="69"/>
      <c r="H891" s="69"/>
      <c r="N891" s="44"/>
      <c r="O891" s="44"/>
      <c r="P891" s="44"/>
    </row>
    <row r="892">
      <c r="A892" s="68"/>
      <c r="B892" s="69"/>
      <c r="C892" s="69"/>
      <c r="D892" s="69"/>
      <c r="E892" s="69"/>
      <c r="F892" s="69"/>
      <c r="G892" s="69"/>
      <c r="H892" s="69"/>
      <c r="N892" s="44"/>
      <c r="O892" s="44"/>
      <c r="P892" s="44"/>
    </row>
    <row r="893">
      <c r="A893" s="68"/>
      <c r="B893" s="69"/>
      <c r="C893" s="69"/>
      <c r="D893" s="69"/>
      <c r="E893" s="69"/>
      <c r="F893" s="69"/>
      <c r="G893" s="69"/>
      <c r="H893" s="69"/>
      <c r="N893" s="44"/>
      <c r="O893" s="44"/>
      <c r="P893" s="44"/>
    </row>
    <row r="894">
      <c r="A894" s="68"/>
      <c r="B894" s="69"/>
      <c r="C894" s="69"/>
      <c r="D894" s="69"/>
      <c r="E894" s="69"/>
      <c r="F894" s="69"/>
      <c r="G894" s="69"/>
      <c r="H894" s="69"/>
      <c r="N894" s="44"/>
      <c r="O894" s="44"/>
      <c r="P894" s="44"/>
    </row>
    <row r="895">
      <c r="A895" s="68"/>
      <c r="B895" s="69"/>
      <c r="C895" s="69"/>
      <c r="D895" s="69"/>
      <c r="E895" s="69"/>
      <c r="F895" s="69"/>
      <c r="G895" s="69"/>
      <c r="H895" s="69"/>
      <c r="N895" s="44"/>
      <c r="O895" s="44"/>
      <c r="P895" s="44"/>
    </row>
    <row r="896">
      <c r="A896" s="68"/>
      <c r="B896" s="69"/>
      <c r="C896" s="69"/>
      <c r="D896" s="69"/>
      <c r="E896" s="69"/>
      <c r="F896" s="69"/>
      <c r="G896" s="69"/>
      <c r="H896" s="69"/>
      <c r="N896" s="44"/>
      <c r="O896" s="44"/>
      <c r="P896" s="44"/>
    </row>
    <row r="897">
      <c r="A897" s="68"/>
      <c r="B897" s="69"/>
      <c r="C897" s="69"/>
      <c r="D897" s="69"/>
      <c r="E897" s="69"/>
      <c r="F897" s="69"/>
      <c r="G897" s="69"/>
      <c r="H897" s="69"/>
      <c r="N897" s="44"/>
      <c r="O897" s="44"/>
      <c r="P897" s="44"/>
    </row>
    <row r="898">
      <c r="A898" s="68"/>
      <c r="B898" s="69"/>
      <c r="C898" s="69"/>
      <c r="D898" s="69"/>
      <c r="E898" s="69"/>
      <c r="F898" s="69"/>
      <c r="G898" s="69"/>
      <c r="H898" s="69"/>
      <c r="N898" s="44"/>
      <c r="O898" s="44"/>
      <c r="P898" s="44"/>
    </row>
    <row r="899">
      <c r="A899" s="68"/>
      <c r="B899" s="69"/>
      <c r="C899" s="69"/>
      <c r="D899" s="69"/>
      <c r="E899" s="69"/>
      <c r="F899" s="69"/>
      <c r="G899" s="69"/>
      <c r="H899" s="69"/>
      <c r="N899" s="44"/>
      <c r="O899" s="44"/>
      <c r="P899" s="44"/>
    </row>
    <row r="900">
      <c r="A900" s="68"/>
      <c r="B900" s="69"/>
      <c r="C900" s="69"/>
      <c r="D900" s="69"/>
      <c r="E900" s="69"/>
      <c r="F900" s="69"/>
      <c r="G900" s="69"/>
      <c r="H900" s="69"/>
      <c r="N900" s="44"/>
      <c r="O900" s="44"/>
      <c r="P900" s="44"/>
    </row>
    <row r="901">
      <c r="A901" s="68"/>
      <c r="B901" s="69"/>
      <c r="C901" s="69"/>
      <c r="D901" s="69"/>
      <c r="E901" s="69"/>
      <c r="F901" s="69"/>
      <c r="G901" s="69"/>
      <c r="H901" s="69"/>
      <c r="N901" s="44"/>
      <c r="O901" s="44"/>
      <c r="P901" s="44"/>
    </row>
    <row r="902">
      <c r="A902" s="68"/>
      <c r="B902" s="69"/>
      <c r="C902" s="69"/>
      <c r="D902" s="69"/>
      <c r="E902" s="69"/>
      <c r="F902" s="69"/>
      <c r="G902" s="69"/>
      <c r="H902" s="69"/>
      <c r="N902" s="44"/>
      <c r="O902" s="44"/>
      <c r="P902" s="44"/>
    </row>
    <row r="903">
      <c r="A903" s="68"/>
      <c r="B903" s="69"/>
      <c r="C903" s="69"/>
      <c r="D903" s="69"/>
      <c r="E903" s="69"/>
      <c r="F903" s="69"/>
      <c r="G903" s="69"/>
      <c r="H903" s="69"/>
      <c r="N903" s="44"/>
      <c r="O903" s="44"/>
      <c r="P903" s="44"/>
    </row>
    <row r="904">
      <c r="A904" s="68"/>
      <c r="B904" s="69"/>
      <c r="C904" s="69"/>
      <c r="D904" s="69"/>
      <c r="E904" s="69"/>
      <c r="F904" s="69"/>
      <c r="G904" s="69"/>
      <c r="H904" s="69"/>
      <c r="N904" s="44"/>
      <c r="O904" s="44"/>
      <c r="P904" s="44"/>
    </row>
    <row r="905">
      <c r="A905" s="68"/>
      <c r="B905" s="69"/>
      <c r="C905" s="69"/>
      <c r="D905" s="69"/>
      <c r="E905" s="69"/>
      <c r="F905" s="69"/>
      <c r="G905" s="69"/>
      <c r="H905" s="69"/>
      <c r="N905" s="44"/>
      <c r="O905" s="44"/>
      <c r="P905" s="44"/>
    </row>
    <row r="906">
      <c r="A906" s="68"/>
      <c r="B906" s="69"/>
      <c r="C906" s="69"/>
      <c r="D906" s="69"/>
      <c r="E906" s="69"/>
      <c r="F906" s="69"/>
      <c r="G906" s="69"/>
      <c r="H906" s="69"/>
      <c r="N906" s="44"/>
      <c r="O906" s="44"/>
      <c r="P906" s="44"/>
    </row>
    <row r="907">
      <c r="A907" s="68"/>
      <c r="B907" s="69"/>
      <c r="C907" s="69"/>
      <c r="D907" s="69"/>
      <c r="E907" s="69"/>
      <c r="F907" s="69"/>
      <c r="G907" s="69"/>
      <c r="H907" s="69"/>
      <c r="N907" s="44"/>
      <c r="O907" s="44"/>
      <c r="P907" s="44"/>
    </row>
    <row r="908">
      <c r="A908" s="68"/>
      <c r="B908" s="69"/>
      <c r="C908" s="69"/>
      <c r="D908" s="69"/>
      <c r="E908" s="69"/>
      <c r="F908" s="69"/>
      <c r="G908" s="69"/>
      <c r="H908" s="69"/>
      <c r="N908" s="44"/>
      <c r="O908" s="44"/>
      <c r="P908" s="44"/>
    </row>
    <row r="909">
      <c r="A909" s="68"/>
      <c r="B909" s="69"/>
      <c r="C909" s="69"/>
      <c r="D909" s="69"/>
      <c r="E909" s="69"/>
      <c r="F909" s="69"/>
      <c r="G909" s="69"/>
      <c r="H909" s="69"/>
      <c r="N909" s="44"/>
      <c r="O909" s="44"/>
      <c r="P909" s="44"/>
    </row>
    <row r="910">
      <c r="A910" s="68"/>
      <c r="B910" s="69"/>
      <c r="C910" s="69"/>
      <c r="D910" s="69"/>
      <c r="E910" s="69"/>
      <c r="F910" s="69"/>
      <c r="G910" s="69"/>
      <c r="H910" s="69"/>
      <c r="N910" s="44"/>
      <c r="O910" s="44"/>
      <c r="P910" s="44"/>
    </row>
    <row r="911">
      <c r="A911" s="68"/>
      <c r="B911" s="69"/>
      <c r="C911" s="69"/>
      <c r="D911" s="69"/>
      <c r="E911" s="69"/>
      <c r="F911" s="69"/>
      <c r="G911" s="69"/>
      <c r="H911" s="69"/>
      <c r="N911" s="44"/>
      <c r="O911" s="44"/>
      <c r="P911" s="44"/>
    </row>
    <row r="912">
      <c r="A912" s="68"/>
      <c r="B912" s="69"/>
      <c r="C912" s="69"/>
      <c r="D912" s="69"/>
      <c r="E912" s="69"/>
      <c r="F912" s="69"/>
      <c r="G912" s="69"/>
      <c r="H912" s="69"/>
      <c r="N912" s="44"/>
      <c r="O912" s="44"/>
      <c r="P912" s="44"/>
    </row>
    <row r="913">
      <c r="A913" s="68"/>
      <c r="B913" s="69"/>
      <c r="C913" s="69"/>
      <c r="D913" s="69"/>
      <c r="E913" s="69"/>
      <c r="F913" s="69"/>
      <c r="G913" s="69"/>
      <c r="H913" s="69"/>
      <c r="N913" s="44"/>
      <c r="O913" s="44"/>
      <c r="P913" s="44"/>
    </row>
    <row r="914">
      <c r="A914" s="68"/>
      <c r="B914" s="69"/>
      <c r="C914" s="69"/>
      <c r="D914" s="69"/>
      <c r="E914" s="69"/>
      <c r="F914" s="69"/>
      <c r="G914" s="69"/>
      <c r="H914" s="69"/>
      <c r="N914" s="44"/>
      <c r="O914" s="44"/>
      <c r="P914" s="44"/>
    </row>
    <row r="915">
      <c r="A915" s="68"/>
      <c r="B915" s="69"/>
      <c r="C915" s="69"/>
      <c r="D915" s="69"/>
      <c r="E915" s="69"/>
      <c r="F915" s="69"/>
      <c r="G915" s="69"/>
      <c r="H915" s="69"/>
      <c r="N915" s="44"/>
      <c r="O915" s="44"/>
      <c r="P915" s="44"/>
    </row>
    <row r="916">
      <c r="A916" s="68"/>
      <c r="B916" s="69"/>
      <c r="C916" s="69"/>
      <c r="D916" s="69"/>
      <c r="E916" s="69"/>
      <c r="F916" s="69"/>
      <c r="G916" s="69"/>
      <c r="H916" s="69"/>
      <c r="N916" s="44"/>
      <c r="O916" s="44"/>
      <c r="P916" s="44"/>
    </row>
    <row r="917">
      <c r="A917" s="68"/>
      <c r="B917" s="69"/>
      <c r="C917" s="69"/>
      <c r="D917" s="69"/>
      <c r="E917" s="69"/>
      <c r="F917" s="69"/>
      <c r="G917" s="69"/>
      <c r="H917" s="69"/>
      <c r="N917" s="44"/>
      <c r="O917" s="44"/>
      <c r="P917" s="44"/>
    </row>
    <row r="918">
      <c r="A918" s="68"/>
      <c r="B918" s="69"/>
      <c r="C918" s="69"/>
      <c r="D918" s="69"/>
      <c r="E918" s="69"/>
      <c r="F918" s="69"/>
      <c r="G918" s="69"/>
      <c r="H918" s="69"/>
      <c r="N918" s="44"/>
      <c r="O918" s="44"/>
      <c r="P918" s="44"/>
    </row>
    <row r="919">
      <c r="A919" s="68"/>
      <c r="B919" s="69"/>
      <c r="C919" s="69"/>
      <c r="D919" s="69"/>
      <c r="E919" s="69"/>
      <c r="F919" s="69"/>
      <c r="G919" s="69"/>
      <c r="H919" s="69"/>
      <c r="N919" s="44"/>
      <c r="O919" s="44"/>
      <c r="P919" s="44"/>
    </row>
    <row r="920">
      <c r="A920" s="68"/>
      <c r="B920" s="69"/>
      <c r="C920" s="69"/>
      <c r="D920" s="69"/>
      <c r="E920" s="69"/>
      <c r="F920" s="69"/>
      <c r="G920" s="69"/>
      <c r="H920" s="69"/>
      <c r="N920" s="44"/>
      <c r="O920" s="44"/>
      <c r="P920" s="44"/>
    </row>
    <row r="921">
      <c r="A921" s="68"/>
      <c r="B921" s="69"/>
      <c r="C921" s="69"/>
      <c r="D921" s="69"/>
      <c r="E921" s="69"/>
      <c r="F921" s="69"/>
      <c r="G921" s="69"/>
      <c r="H921" s="69"/>
      <c r="N921" s="44"/>
      <c r="O921" s="44"/>
      <c r="P921" s="44"/>
    </row>
    <row r="922">
      <c r="A922" s="68"/>
      <c r="B922" s="69"/>
      <c r="C922" s="69"/>
      <c r="D922" s="69"/>
      <c r="E922" s="69"/>
      <c r="F922" s="69"/>
      <c r="G922" s="69"/>
      <c r="H922" s="69"/>
      <c r="N922" s="44"/>
      <c r="O922" s="44"/>
      <c r="P922" s="44"/>
    </row>
    <row r="923">
      <c r="A923" s="68"/>
      <c r="B923" s="69"/>
      <c r="C923" s="69"/>
      <c r="D923" s="69"/>
      <c r="E923" s="69"/>
      <c r="F923" s="69"/>
      <c r="G923" s="69"/>
      <c r="H923" s="69"/>
      <c r="N923" s="44"/>
      <c r="O923" s="44"/>
      <c r="P923" s="44"/>
    </row>
    <row r="924">
      <c r="A924" s="68"/>
      <c r="B924" s="69"/>
      <c r="C924" s="69"/>
      <c r="D924" s="69"/>
      <c r="E924" s="69"/>
      <c r="F924" s="69"/>
      <c r="G924" s="69"/>
      <c r="H924" s="69"/>
      <c r="N924" s="44"/>
      <c r="O924" s="44"/>
      <c r="P924" s="44"/>
    </row>
    <row r="925">
      <c r="A925" s="68"/>
      <c r="B925" s="69"/>
      <c r="C925" s="69"/>
      <c r="D925" s="69"/>
      <c r="E925" s="69"/>
      <c r="F925" s="69"/>
      <c r="G925" s="69"/>
      <c r="H925" s="69"/>
      <c r="N925" s="44"/>
      <c r="O925" s="44"/>
      <c r="P925" s="44"/>
    </row>
    <row r="926">
      <c r="A926" s="68"/>
      <c r="B926" s="69"/>
      <c r="C926" s="69"/>
      <c r="D926" s="69"/>
      <c r="E926" s="69"/>
      <c r="F926" s="69"/>
      <c r="G926" s="69"/>
      <c r="H926" s="69"/>
      <c r="N926" s="44"/>
      <c r="O926" s="44"/>
      <c r="P926" s="44"/>
    </row>
    <row r="927">
      <c r="A927" s="68"/>
      <c r="B927" s="69"/>
      <c r="C927" s="69"/>
      <c r="D927" s="69"/>
      <c r="E927" s="69"/>
      <c r="F927" s="69"/>
      <c r="G927" s="69"/>
      <c r="H927" s="69"/>
      <c r="N927" s="44"/>
      <c r="O927" s="44"/>
      <c r="P927" s="44"/>
    </row>
    <row r="928">
      <c r="A928" s="68"/>
      <c r="B928" s="69"/>
      <c r="C928" s="69"/>
      <c r="D928" s="69"/>
      <c r="E928" s="69"/>
      <c r="F928" s="69"/>
      <c r="G928" s="69"/>
      <c r="H928" s="69"/>
      <c r="N928" s="44"/>
      <c r="O928" s="44"/>
      <c r="P928" s="44"/>
    </row>
    <row r="929">
      <c r="A929" s="68"/>
      <c r="B929" s="69"/>
      <c r="C929" s="69"/>
      <c r="D929" s="69"/>
      <c r="E929" s="69"/>
      <c r="F929" s="69"/>
      <c r="G929" s="69"/>
      <c r="H929" s="69"/>
      <c r="N929" s="44"/>
      <c r="O929" s="44"/>
      <c r="P929" s="44"/>
    </row>
    <row r="930">
      <c r="A930" s="68"/>
      <c r="B930" s="69"/>
      <c r="C930" s="69"/>
      <c r="D930" s="69"/>
      <c r="E930" s="69"/>
      <c r="F930" s="69"/>
      <c r="G930" s="69"/>
      <c r="H930" s="69"/>
      <c r="N930" s="44"/>
      <c r="O930" s="44"/>
      <c r="P930" s="44"/>
    </row>
    <row r="931">
      <c r="A931" s="68"/>
      <c r="B931" s="69"/>
      <c r="C931" s="69"/>
      <c r="D931" s="69"/>
      <c r="E931" s="69"/>
      <c r="F931" s="69"/>
      <c r="G931" s="69"/>
      <c r="H931" s="69"/>
      <c r="N931" s="44"/>
      <c r="O931" s="44"/>
      <c r="P931" s="44"/>
    </row>
    <row r="932">
      <c r="A932" s="68"/>
      <c r="B932" s="69"/>
      <c r="C932" s="69"/>
      <c r="D932" s="69"/>
      <c r="E932" s="69"/>
      <c r="F932" s="69"/>
      <c r="G932" s="69"/>
      <c r="H932" s="69"/>
      <c r="N932" s="44"/>
      <c r="O932" s="44"/>
      <c r="P932" s="44"/>
    </row>
    <row r="933">
      <c r="A933" s="68"/>
      <c r="B933" s="69"/>
      <c r="C933" s="69"/>
      <c r="D933" s="69"/>
      <c r="E933" s="69"/>
      <c r="F933" s="69"/>
      <c r="G933" s="69"/>
      <c r="H933" s="69"/>
      <c r="N933" s="44"/>
      <c r="O933" s="44"/>
      <c r="P933" s="44"/>
    </row>
    <row r="934">
      <c r="A934" s="68"/>
      <c r="B934" s="69"/>
      <c r="C934" s="69"/>
      <c r="D934" s="69"/>
      <c r="E934" s="69"/>
      <c r="F934" s="69"/>
      <c r="G934" s="69"/>
      <c r="H934" s="69"/>
      <c r="N934" s="44"/>
      <c r="O934" s="44"/>
      <c r="P934" s="44"/>
    </row>
    <row r="935">
      <c r="A935" s="68"/>
      <c r="B935" s="69"/>
      <c r="C935" s="69"/>
      <c r="D935" s="69"/>
      <c r="E935" s="69"/>
      <c r="F935" s="69"/>
      <c r="G935" s="69"/>
      <c r="H935" s="69"/>
      <c r="N935" s="44"/>
      <c r="O935" s="44"/>
      <c r="P935" s="44"/>
    </row>
    <row r="936">
      <c r="A936" s="68"/>
      <c r="B936" s="69"/>
      <c r="C936" s="69"/>
      <c r="D936" s="69"/>
      <c r="E936" s="69"/>
      <c r="F936" s="69"/>
      <c r="G936" s="69"/>
      <c r="H936" s="69"/>
      <c r="N936" s="44"/>
      <c r="O936" s="44"/>
      <c r="P936" s="44"/>
    </row>
    <row r="937">
      <c r="A937" s="68"/>
      <c r="B937" s="69"/>
      <c r="C937" s="69"/>
      <c r="D937" s="69"/>
      <c r="E937" s="69"/>
      <c r="F937" s="69"/>
      <c r="G937" s="69"/>
      <c r="H937" s="69"/>
      <c r="N937" s="44"/>
      <c r="O937" s="44"/>
      <c r="P937" s="44"/>
    </row>
    <row r="938">
      <c r="A938" s="68"/>
      <c r="B938" s="69"/>
      <c r="C938" s="69"/>
      <c r="D938" s="69"/>
      <c r="E938" s="69"/>
      <c r="F938" s="69"/>
      <c r="G938" s="69"/>
      <c r="H938" s="69"/>
      <c r="N938" s="44"/>
      <c r="O938" s="44"/>
      <c r="P938" s="44"/>
    </row>
    <row r="939">
      <c r="A939" s="68"/>
      <c r="B939" s="69"/>
      <c r="C939" s="69"/>
      <c r="D939" s="69"/>
      <c r="E939" s="69"/>
      <c r="F939" s="69"/>
      <c r="G939" s="69"/>
      <c r="H939" s="69"/>
      <c r="N939" s="44"/>
      <c r="O939" s="44"/>
      <c r="P939" s="44"/>
    </row>
    <row r="940">
      <c r="A940" s="68"/>
      <c r="B940" s="69"/>
      <c r="C940" s="69"/>
      <c r="D940" s="69"/>
      <c r="E940" s="69"/>
      <c r="F940" s="69"/>
      <c r="G940" s="69"/>
      <c r="H940" s="69"/>
      <c r="N940" s="44"/>
      <c r="O940" s="44"/>
      <c r="P940" s="44"/>
    </row>
    <row r="941">
      <c r="A941" s="68"/>
      <c r="B941" s="69"/>
      <c r="C941" s="69"/>
      <c r="D941" s="69"/>
      <c r="E941" s="69"/>
      <c r="F941" s="69"/>
      <c r="G941" s="69"/>
      <c r="H941" s="69"/>
      <c r="N941" s="44"/>
      <c r="O941" s="44"/>
      <c r="P941" s="44"/>
    </row>
    <row r="942">
      <c r="A942" s="68"/>
      <c r="B942" s="69"/>
      <c r="C942" s="69"/>
      <c r="D942" s="69"/>
      <c r="E942" s="69"/>
      <c r="F942" s="69"/>
      <c r="G942" s="69"/>
      <c r="H942" s="69"/>
      <c r="N942" s="44"/>
      <c r="O942" s="44"/>
      <c r="P942" s="44"/>
    </row>
    <row r="943">
      <c r="A943" s="68"/>
      <c r="B943" s="69"/>
      <c r="C943" s="69"/>
      <c r="D943" s="69"/>
      <c r="E943" s="69"/>
      <c r="F943" s="69"/>
      <c r="G943" s="69"/>
      <c r="H943" s="69"/>
      <c r="N943" s="44"/>
      <c r="O943" s="44"/>
      <c r="P943" s="44"/>
    </row>
    <row r="944">
      <c r="A944" s="68"/>
      <c r="B944" s="69"/>
      <c r="C944" s="69"/>
      <c r="D944" s="69"/>
      <c r="E944" s="69"/>
      <c r="F944" s="69"/>
      <c r="G944" s="69"/>
      <c r="H944" s="69"/>
      <c r="N944" s="44"/>
      <c r="O944" s="44"/>
      <c r="P944" s="44"/>
    </row>
    <row r="945">
      <c r="A945" s="68"/>
      <c r="B945" s="69"/>
      <c r="C945" s="69"/>
      <c r="D945" s="69"/>
      <c r="E945" s="69"/>
      <c r="F945" s="69"/>
      <c r="G945" s="69"/>
      <c r="H945" s="69"/>
      <c r="N945" s="44"/>
      <c r="O945" s="44"/>
      <c r="P945" s="44"/>
    </row>
    <row r="946">
      <c r="A946" s="68"/>
      <c r="B946" s="69"/>
      <c r="C946" s="69"/>
      <c r="D946" s="69"/>
      <c r="E946" s="69"/>
      <c r="F946" s="69"/>
      <c r="G946" s="69"/>
      <c r="H946" s="69"/>
      <c r="N946" s="44"/>
      <c r="O946" s="44"/>
      <c r="P946" s="44"/>
    </row>
    <row r="947">
      <c r="A947" s="68"/>
      <c r="B947" s="69"/>
      <c r="C947" s="69"/>
      <c r="D947" s="69"/>
      <c r="E947" s="69"/>
      <c r="F947" s="69"/>
      <c r="G947" s="69"/>
      <c r="H947" s="69"/>
      <c r="N947" s="44"/>
      <c r="O947" s="44"/>
      <c r="P947" s="44"/>
    </row>
    <row r="948">
      <c r="A948" s="68"/>
      <c r="B948" s="69"/>
      <c r="C948" s="69"/>
      <c r="D948" s="69"/>
      <c r="E948" s="69"/>
      <c r="F948" s="69"/>
      <c r="G948" s="69"/>
      <c r="H948" s="69"/>
      <c r="N948" s="44"/>
      <c r="O948" s="44"/>
      <c r="P948" s="44"/>
    </row>
    <row r="949">
      <c r="A949" s="68"/>
      <c r="B949" s="69"/>
      <c r="C949" s="69"/>
      <c r="D949" s="69"/>
      <c r="E949" s="69"/>
      <c r="F949" s="69"/>
      <c r="G949" s="69"/>
      <c r="H949" s="69"/>
      <c r="N949" s="44"/>
      <c r="O949" s="44"/>
      <c r="P949" s="44"/>
    </row>
    <row r="950">
      <c r="A950" s="68"/>
      <c r="B950" s="69"/>
      <c r="C950" s="69"/>
      <c r="D950" s="69"/>
      <c r="E950" s="69"/>
      <c r="F950" s="69"/>
      <c r="G950" s="69"/>
      <c r="H950" s="69"/>
      <c r="N950" s="44"/>
      <c r="O950" s="44"/>
      <c r="P950" s="44"/>
    </row>
    <row r="951">
      <c r="A951" s="68"/>
      <c r="B951" s="69"/>
      <c r="C951" s="69"/>
      <c r="D951" s="69"/>
      <c r="E951" s="69"/>
      <c r="F951" s="69"/>
      <c r="G951" s="69"/>
      <c r="H951" s="69"/>
      <c r="N951" s="44"/>
      <c r="O951" s="44"/>
      <c r="P951" s="44"/>
    </row>
    <row r="952">
      <c r="A952" s="68"/>
      <c r="B952" s="69"/>
      <c r="C952" s="69"/>
      <c r="D952" s="69"/>
      <c r="E952" s="69"/>
      <c r="F952" s="69"/>
      <c r="G952" s="69"/>
      <c r="H952" s="69"/>
      <c r="N952" s="44"/>
      <c r="O952" s="44"/>
      <c r="P952" s="44"/>
    </row>
    <row r="953">
      <c r="A953" s="68"/>
      <c r="B953" s="69"/>
      <c r="C953" s="69"/>
      <c r="D953" s="69"/>
      <c r="E953" s="69"/>
      <c r="F953" s="69"/>
      <c r="G953" s="69"/>
      <c r="H953" s="69"/>
      <c r="N953" s="44"/>
      <c r="O953" s="44"/>
      <c r="P953" s="44"/>
    </row>
    <row r="954">
      <c r="A954" s="68"/>
      <c r="B954" s="69"/>
      <c r="C954" s="69"/>
      <c r="D954" s="69"/>
      <c r="E954" s="69"/>
      <c r="F954" s="69"/>
      <c r="G954" s="69"/>
      <c r="H954" s="69"/>
      <c r="N954" s="44"/>
      <c r="O954" s="44"/>
      <c r="P954" s="44"/>
    </row>
    <row r="955">
      <c r="A955" s="68"/>
      <c r="B955" s="69"/>
      <c r="C955" s="69"/>
      <c r="D955" s="69"/>
      <c r="E955" s="69"/>
      <c r="F955" s="69"/>
      <c r="G955" s="69"/>
      <c r="H955" s="69"/>
      <c r="N955" s="44"/>
      <c r="O955" s="44"/>
      <c r="P955" s="44"/>
    </row>
    <row r="956">
      <c r="A956" s="68"/>
      <c r="B956" s="69"/>
      <c r="C956" s="69"/>
      <c r="D956" s="69"/>
      <c r="E956" s="69"/>
      <c r="F956" s="69"/>
      <c r="G956" s="69"/>
      <c r="H956" s="69"/>
      <c r="N956" s="44"/>
      <c r="O956" s="44"/>
      <c r="P956" s="44"/>
    </row>
    <row r="957">
      <c r="A957" s="68"/>
      <c r="B957" s="69"/>
      <c r="C957" s="69"/>
      <c r="D957" s="69"/>
      <c r="E957" s="69"/>
      <c r="F957" s="69"/>
      <c r="G957" s="69"/>
      <c r="H957" s="69"/>
      <c r="N957" s="44"/>
      <c r="O957" s="44"/>
      <c r="P957" s="44"/>
    </row>
    <row r="958">
      <c r="A958" s="68"/>
      <c r="B958" s="69"/>
      <c r="C958" s="69"/>
      <c r="D958" s="69"/>
      <c r="E958" s="69"/>
      <c r="F958" s="69"/>
      <c r="G958" s="69"/>
      <c r="H958" s="69"/>
      <c r="N958" s="44"/>
      <c r="O958" s="44"/>
      <c r="P958" s="44"/>
    </row>
    <row r="959">
      <c r="A959" s="68"/>
      <c r="B959" s="69"/>
      <c r="C959" s="69"/>
      <c r="D959" s="69"/>
      <c r="E959" s="69"/>
      <c r="F959" s="69"/>
      <c r="G959" s="69"/>
      <c r="H959" s="69"/>
      <c r="N959" s="44"/>
      <c r="O959" s="44"/>
      <c r="P959" s="44"/>
    </row>
    <row r="960">
      <c r="A960" s="68"/>
      <c r="B960" s="69"/>
      <c r="C960" s="69"/>
      <c r="D960" s="69"/>
      <c r="E960" s="69"/>
      <c r="F960" s="69"/>
      <c r="G960" s="69"/>
      <c r="H960" s="69"/>
      <c r="N960" s="44"/>
      <c r="O960" s="44"/>
      <c r="P960" s="44"/>
    </row>
    <row r="961">
      <c r="A961" s="68"/>
      <c r="B961" s="69"/>
      <c r="C961" s="69"/>
      <c r="D961" s="69"/>
      <c r="E961" s="69"/>
      <c r="F961" s="69"/>
      <c r="G961" s="69"/>
      <c r="H961" s="69"/>
      <c r="N961" s="44"/>
      <c r="O961" s="44"/>
      <c r="P961" s="44"/>
    </row>
    <row r="962">
      <c r="A962" s="68"/>
      <c r="B962" s="69"/>
      <c r="C962" s="69"/>
      <c r="D962" s="69"/>
      <c r="E962" s="69"/>
      <c r="F962" s="69"/>
      <c r="G962" s="69"/>
      <c r="H962" s="69"/>
      <c r="N962" s="44"/>
      <c r="O962" s="44"/>
      <c r="P962" s="44"/>
    </row>
    <row r="963">
      <c r="A963" s="68"/>
      <c r="B963" s="69"/>
      <c r="C963" s="69"/>
      <c r="D963" s="69"/>
      <c r="E963" s="69"/>
      <c r="F963" s="69"/>
      <c r="G963" s="69"/>
      <c r="H963" s="69"/>
      <c r="N963" s="44"/>
      <c r="O963" s="44"/>
      <c r="P963" s="44"/>
    </row>
    <row r="964">
      <c r="A964" s="68"/>
      <c r="B964" s="69"/>
      <c r="C964" s="69"/>
      <c r="D964" s="69"/>
      <c r="E964" s="69"/>
      <c r="F964" s="69"/>
      <c r="G964" s="69"/>
      <c r="H964" s="69"/>
      <c r="N964" s="44"/>
      <c r="O964" s="44"/>
      <c r="P964" s="44"/>
    </row>
    <row r="965">
      <c r="A965" s="68"/>
      <c r="B965" s="69"/>
      <c r="C965" s="69"/>
      <c r="D965" s="69"/>
      <c r="E965" s="69"/>
      <c r="F965" s="69"/>
      <c r="G965" s="69"/>
      <c r="H965" s="69"/>
      <c r="N965" s="44"/>
      <c r="O965" s="44"/>
      <c r="P965" s="44"/>
    </row>
    <row r="966">
      <c r="A966" s="68"/>
      <c r="B966" s="69"/>
      <c r="C966" s="69"/>
      <c r="D966" s="69"/>
      <c r="E966" s="69"/>
      <c r="F966" s="69"/>
      <c r="G966" s="69"/>
      <c r="H966" s="69"/>
      <c r="N966" s="44"/>
      <c r="O966" s="44"/>
      <c r="P966" s="44"/>
    </row>
    <row r="967">
      <c r="A967" s="68"/>
      <c r="B967" s="69"/>
      <c r="C967" s="69"/>
      <c r="D967" s="69"/>
      <c r="E967" s="69"/>
      <c r="F967" s="69"/>
      <c r="G967" s="69"/>
      <c r="H967" s="69"/>
      <c r="N967" s="44"/>
      <c r="O967" s="44"/>
      <c r="P967" s="44"/>
    </row>
    <row r="968">
      <c r="A968" s="68"/>
      <c r="B968" s="69"/>
      <c r="C968" s="69"/>
      <c r="D968" s="69"/>
      <c r="E968" s="69"/>
      <c r="F968" s="69"/>
      <c r="G968" s="69"/>
      <c r="H968" s="69"/>
      <c r="N968" s="44"/>
      <c r="O968" s="44"/>
      <c r="P968" s="44"/>
    </row>
    <row r="969">
      <c r="A969" s="68"/>
      <c r="B969" s="69"/>
      <c r="C969" s="69"/>
      <c r="D969" s="69"/>
      <c r="E969" s="69"/>
      <c r="F969" s="69"/>
      <c r="G969" s="69"/>
      <c r="H969" s="69"/>
      <c r="N969" s="44"/>
      <c r="O969" s="44"/>
      <c r="P969" s="44"/>
    </row>
    <row r="970">
      <c r="A970" s="68"/>
      <c r="B970" s="69"/>
      <c r="C970" s="69"/>
      <c r="D970" s="69"/>
      <c r="E970" s="69"/>
      <c r="F970" s="69"/>
      <c r="G970" s="69"/>
      <c r="H970" s="69"/>
      <c r="N970" s="44"/>
      <c r="O970" s="44"/>
      <c r="P970" s="44"/>
    </row>
    <row r="971">
      <c r="A971" s="68"/>
      <c r="B971" s="69"/>
      <c r="C971" s="69"/>
      <c r="D971" s="69"/>
      <c r="E971" s="69"/>
      <c r="F971" s="69"/>
      <c r="G971" s="69"/>
      <c r="H971" s="69"/>
      <c r="N971" s="44"/>
      <c r="O971" s="44"/>
      <c r="P971" s="44"/>
    </row>
    <row r="972">
      <c r="A972" s="68"/>
      <c r="B972" s="69"/>
      <c r="C972" s="69"/>
      <c r="D972" s="69"/>
      <c r="E972" s="69"/>
      <c r="F972" s="69"/>
      <c r="G972" s="69"/>
      <c r="H972" s="69"/>
      <c r="N972" s="44"/>
      <c r="O972" s="44"/>
      <c r="P972" s="44"/>
    </row>
    <row r="973">
      <c r="A973" s="68"/>
      <c r="B973" s="69"/>
      <c r="C973" s="69"/>
      <c r="D973" s="69"/>
      <c r="E973" s="69"/>
      <c r="F973" s="69"/>
      <c r="G973" s="69"/>
      <c r="H973" s="69"/>
      <c r="N973" s="44"/>
      <c r="O973" s="44"/>
      <c r="P973" s="44"/>
    </row>
    <row r="974">
      <c r="A974" s="68"/>
      <c r="B974" s="69"/>
      <c r="C974" s="69"/>
      <c r="D974" s="69"/>
      <c r="E974" s="69"/>
      <c r="F974" s="69"/>
      <c r="G974" s="69"/>
      <c r="H974" s="69"/>
      <c r="N974" s="44"/>
      <c r="O974" s="44"/>
      <c r="P974" s="44"/>
    </row>
    <row r="975">
      <c r="A975" s="68"/>
      <c r="B975" s="69"/>
      <c r="C975" s="69"/>
      <c r="D975" s="69"/>
      <c r="E975" s="69"/>
      <c r="F975" s="69"/>
      <c r="G975" s="69"/>
      <c r="H975" s="69"/>
      <c r="N975" s="44"/>
      <c r="O975" s="44"/>
      <c r="P975" s="44"/>
    </row>
    <row r="976">
      <c r="A976" s="68"/>
      <c r="B976" s="69"/>
      <c r="C976" s="69"/>
      <c r="D976" s="69"/>
      <c r="E976" s="69"/>
      <c r="F976" s="69"/>
      <c r="G976" s="69"/>
      <c r="H976" s="69"/>
      <c r="N976" s="44"/>
      <c r="O976" s="44"/>
      <c r="P976" s="44"/>
    </row>
    <row r="977">
      <c r="A977" s="68"/>
      <c r="B977" s="69"/>
      <c r="C977" s="69"/>
      <c r="D977" s="69"/>
      <c r="E977" s="69"/>
      <c r="F977" s="69"/>
      <c r="G977" s="69"/>
      <c r="H977" s="69"/>
      <c r="N977" s="44"/>
      <c r="O977" s="44"/>
      <c r="P977" s="44"/>
    </row>
    <row r="978">
      <c r="A978" s="68"/>
      <c r="B978" s="69"/>
      <c r="C978" s="69"/>
      <c r="D978" s="69"/>
      <c r="E978" s="69"/>
      <c r="F978" s="69"/>
      <c r="G978" s="69"/>
      <c r="H978" s="69"/>
      <c r="N978" s="44"/>
      <c r="O978" s="44"/>
      <c r="P978" s="44"/>
    </row>
    <row r="979">
      <c r="A979" s="68"/>
      <c r="B979" s="69"/>
      <c r="C979" s="69"/>
      <c r="D979" s="69"/>
      <c r="E979" s="69"/>
      <c r="F979" s="69"/>
      <c r="G979" s="69"/>
      <c r="H979" s="69"/>
      <c r="N979" s="44"/>
      <c r="O979" s="44"/>
      <c r="P979" s="44"/>
    </row>
    <row r="980">
      <c r="A980" s="68"/>
      <c r="B980" s="69"/>
      <c r="C980" s="69"/>
      <c r="D980" s="69"/>
      <c r="E980" s="69"/>
      <c r="F980" s="69"/>
      <c r="G980" s="69"/>
      <c r="H980" s="69"/>
      <c r="N980" s="44"/>
      <c r="O980" s="44"/>
      <c r="P980" s="44"/>
    </row>
    <row r="981">
      <c r="A981" s="68"/>
      <c r="B981" s="69"/>
      <c r="C981" s="69"/>
      <c r="D981" s="69"/>
      <c r="E981" s="69"/>
      <c r="F981" s="69"/>
      <c r="G981" s="69"/>
      <c r="H981" s="69"/>
      <c r="N981" s="44"/>
      <c r="O981" s="44"/>
      <c r="P981" s="44"/>
    </row>
    <row r="982">
      <c r="A982" s="68"/>
      <c r="B982" s="69"/>
      <c r="C982" s="69"/>
      <c r="D982" s="69"/>
      <c r="E982" s="69"/>
      <c r="F982" s="69"/>
      <c r="G982" s="69"/>
      <c r="H982" s="69"/>
      <c r="N982" s="44"/>
      <c r="O982" s="44"/>
      <c r="P982" s="44"/>
    </row>
    <row r="983">
      <c r="A983" s="68"/>
      <c r="B983" s="69"/>
      <c r="C983" s="69"/>
      <c r="D983" s="69"/>
      <c r="E983" s="69"/>
      <c r="F983" s="69"/>
      <c r="G983" s="69"/>
      <c r="H983" s="69"/>
      <c r="N983" s="44"/>
      <c r="O983" s="44"/>
      <c r="P983" s="44"/>
    </row>
    <row r="984">
      <c r="A984" s="68"/>
      <c r="B984" s="69"/>
      <c r="C984" s="69"/>
      <c r="D984" s="69"/>
      <c r="E984" s="69"/>
      <c r="F984" s="69"/>
      <c r="G984" s="69"/>
      <c r="H984" s="69"/>
      <c r="N984" s="44"/>
      <c r="O984" s="44"/>
      <c r="P984" s="44"/>
    </row>
    <row r="985">
      <c r="A985" s="68"/>
      <c r="B985" s="69"/>
      <c r="C985" s="69"/>
      <c r="D985" s="69"/>
      <c r="E985" s="69"/>
      <c r="F985" s="69"/>
      <c r="G985" s="69"/>
      <c r="H985" s="69"/>
      <c r="N985" s="44"/>
      <c r="O985" s="44"/>
      <c r="P985" s="44"/>
    </row>
    <row r="986">
      <c r="A986" s="68"/>
      <c r="B986" s="69"/>
      <c r="C986" s="69"/>
      <c r="D986" s="69"/>
      <c r="E986" s="69"/>
      <c r="F986" s="69"/>
      <c r="G986" s="69"/>
      <c r="H986" s="69"/>
      <c r="N986" s="44"/>
      <c r="O986" s="44"/>
      <c r="P986" s="44"/>
    </row>
    <row r="987">
      <c r="A987" s="68"/>
      <c r="B987" s="69"/>
      <c r="C987" s="69"/>
      <c r="D987" s="69"/>
      <c r="E987" s="69"/>
      <c r="F987" s="69"/>
      <c r="G987" s="69"/>
      <c r="H987" s="69"/>
      <c r="N987" s="44"/>
      <c r="O987" s="44"/>
      <c r="P987" s="44"/>
    </row>
    <row r="988">
      <c r="A988" s="68"/>
      <c r="B988" s="69"/>
      <c r="C988" s="69"/>
      <c r="D988" s="69"/>
      <c r="E988" s="69"/>
      <c r="F988" s="69"/>
      <c r="G988" s="69"/>
      <c r="H988" s="69"/>
      <c r="N988" s="44"/>
      <c r="O988" s="44"/>
      <c r="P988" s="44"/>
    </row>
    <row r="989">
      <c r="A989" s="68"/>
      <c r="B989" s="69"/>
      <c r="C989" s="69"/>
      <c r="D989" s="69"/>
      <c r="E989" s="69"/>
      <c r="F989" s="69"/>
      <c r="G989" s="69"/>
      <c r="H989" s="69"/>
      <c r="N989" s="44"/>
      <c r="O989" s="44"/>
      <c r="P989" s="44"/>
    </row>
    <row r="990">
      <c r="A990" s="68"/>
      <c r="B990" s="69"/>
      <c r="C990" s="69"/>
      <c r="D990" s="69"/>
      <c r="E990" s="69"/>
      <c r="F990" s="69"/>
      <c r="G990" s="69"/>
      <c r="H990" s="69"/>
      <c r="N990" s="44"/>
      <c r="O990" s="44"/>
      <c r="P990" s="44"/>
    </row>
    <row r="991">
      <c r="A991" s="68"/>
      <c r="B991" s="69"/>
      <c r="C991" s="69"/>
      <c r="D991" s="69"/>
      <c r="E991" s="69"/>
      <c r="F991" s="69"/>
      <c r="G991" s="69"/>
      <c r="H991" s="69"/>
      <c r="N991" s="44"/>
      <c r="O991" s="44"/>
      <c r="P991" s="44"/>
    </row>
    <row r="992">
      <c r="A992" s="68"/>
      <c r="B992" s="69"/>
      <c r="C992" s="69"/>
      <c r="D992" s="69"/>
      <c r="E992" s="69"/>
      <c r="F992" s="69"/>
      <c r="G992" s="69"/>
      <c r="H992" s="69"/>
      <c r="N992" s="44"/>
      <c r="O992" s="44"/>
      <c r="P992" s="44"/>
    </row>
    <row r="993">
      <c r="A993" s="68"/>
      <c r="B993" s="69"/>
      <c r="C993" s="69"/>
      <c r="D993" s="69"/>
      <c r="E993" s="69"/>
      <c r="F993" s="69"/>
      <c r="G993" s="69"/>
      <c r="H993" s="69"/>
      <c r="N993" s="44"/>
      <c r="O993" s="44"/>
      <c r="P993" s="44"/>
    </row>
    <row r="994">
      <c r="A994" s="68"/>
      <c r="B994" s="69"/>
      <c r="C994" s="69"/>
      <c r="D994" s="69"/>
      <c r="E994" s="69"/>
      <c r="F994" s="69"/>
      <c r="G994" s="69"/>
      <c r="H994" s="69"/>
      <c r="N994" s="44"/>
      <c r="O994" s="44"/>
      <c r="P994" s="44"/>
    </row>
    <row r="995">
      <c r="A995" s="68"/>
      <c r="B995" s="69"/>
      <c r="C995" s="69"/>
      <c r="D995" s="69"/>
      <c r="E995" s="69"/>
      <c r="F995" s="69"/>
      <c r="G995" s="69"/>
      <c r="H995" s="69"/>
      <c r="N995" s="44"/>
      <c r="O995" s="44"/>
      <c r="P995" s="44"/>
    </row>
    <row r="996">
      <c r="A996" s="68"/>
      <c r="B996" s="69"/>
      <c r="C996" s="69"/>
      <c r="D996" s="69"/>
      <c r="E996" s="69"/>
      <c r="F996" s="69"/>
      <c r="G996" s="69"/>
      <c r="H996" s="69"/>
      <c r="N996" s="44"/>
      <c r="O996" s="44"/>
      <c r="P996" s="44"/>
    </row>
    <row r="997">
      <c r="A997" s="68"/>
      <c r="B997" s="69"/>
      <c r="C997" s="69"/>
      <c r="D997" s="69"/>
      <c r="E997" s="69"/>
      <c r="F997" s="69"/>
      <c r="G997" s="69"/>
      <c r="H997" s="69"/>
      <c r="N997" s="44"/>
      <c r="O997" s="44"/>
      <c r="P997" s="44"/>
    </row>
    <row r="998">
      <c r="A998" s="68"/>
      <c r="B998" s="69"/>
      <c r="C998" s="69"/>
      <c r="D998" s="69"/>
      <c r="E998" s="69"/>
      <c r="F998" s="69"/>
      <c r="G998" s="69"/>
      <c r="H998" s="69"/>
      <c r="N998" s="44"/>
      <c r="O998" s="44"/>
      <c r="P998" s="44"/>
    </row>
    <row r="999">
      <c r="A999" s="68"/>
      <c r="B999" s="69"/>
      <c r="C999" s="69"/>
      <c r="D999" s="69"/>
      <c r="E999" s="69"/>
      <c r="F999" s="69"/>
      <c r="G999" s="69"/>
      <c r="H999" s="69"/>
      <c r="N999" s="44"/>
      <c r="O999" s="44"/>
      <c r="P999" s="44"/>
    </row>
    <row r="1000">
      <c r="A1000" s="68"/>
      <c r="B1000" s="69"/>
      <c r="C1000" s="69"/>
      <c r="D1000" s="69"/>
      <c r="E1000" s="69"/>
      <c r="F1000" s="69"/>
      <c r="G1000" s="69"/>
      <c r="H1000" s="69"/>
      <c r="N1000" s="44"/>
      <c r="O1000" s="44"/>
      <c r="P1000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</v>
      </c>
      <c r="B1" s="32" t="s">
        <v>1052</v>
      </c>
    </row>
    <row r="2">
      <c r="A2" s="70" t="s">
        <v>1007</v>
      </c>
      <c r="B2" s="70">
        <v>8.0</v>
      </c>
    </row>
    <row r="3">
      <c r="A3" s="70" t="s">
        <v>44</v>
      </c>
      <c r="B3" s="70">
        <v>10.0</v>
      </c>
    </row>
    <row r="4">
      <c r="A4" s="70" t="s">
        <v>12</v>
      </c>
      <c r="B4" s="70">
        <v>8.0</v>
      </c>
    </row>
    <row r="5">
      <c r="A5" s="70" t="s">
        <v>48</v>
      </c>
      <c r="B5" s="70">
        <v>11.0</v>
      </c>
    </row>
    <row r="6">
      <c r="A6" s="70" t="s">
        <v>6</v>
      </c>
      <c r="B6" s="70">
        <v>12.0</v>
      </c>
    </row>
    <row r="7">
      <c r="A7" s="70" t="s">
        <v>77</v>
      </c>
      <c r="B7" s="70">
        <v>11.0</v>
      </c>
    </row>
    <row r="8">
      <c r="A8" s="70" t="s">
        <v>61</v>
      </c>
      <c r="B8" s="70">
        <v>9.0</v>
      </c>
    </row>
    <row r="9">
      <c r="A9" s="70" t="s">
        <v>54</v>
      </c>
      <c r="B9" s="70">
        <v>9.0</v>
      </c>
    </row>
    <row r="10">
      <c r="A10" s="70" t="s">
        <v>14</v>
      </c>
      <c r="B10" s="70">
        <v>10.0</v>
      </c>
    </row>
    <row r="11">
      <c r="A11" s="70" t="s">
        <v>63</v>
      </c>
      <c r="B11" s="70">
        <v>8.0</v>
      </c>
    </row>
    <row r="12">
      <c r="A12" s="70" t="s">
        <v>69</v>
      </c>
      <c r="B12" s="70">
        <v>5.0</v>
      </c>
    </row>
    <row r="13">
      <c r="A13" s="70" t="s">
        <v>56</v>
      </c>
      <c r="B13" s="70">
        <v>5.0</v>
      </c>
    </row>
    <row r="14">
      <c r="A14" s="70" t="s">
        <v>20</v>
      </c>
      <c r="B14" s="70">
        <v>8.0</v>
      </c>
    </row>
    <row r="15">
      <c r="A15" s="70" t="s">
        <v>74</v>
      </c>
      <c r="B15" s="70">
        <v>7.0</v>
      </c>
    </row>
    <row r="16">
      <c r="A16" s="70" t="s">
        <v>104</v>
      </c>
      <c r="B16" s="70">
        <v>7.0</v>
      </c>
    </row>
    <row r="17">
      <c r="A17" s="70" t="s">
        <v>9</v>
      </c>
      <c r="B17" s="70">
        <v>10.0</v>
      </c>
    </row>
    <row r="18">
      <c r="A18" s="70" t="s">
        <v>96</v>
      </c>
      <c r="B18" s="70">
        <v>10.0</v>
      </c>
    </row>
    <row r="19">
      <c r="A19" s="70" t="s">
        <v>233</v>
      </c>
      <c r="B19" s="70">
        <v>9.0</v>
      </c>
    </row>
    <row r="20">
      <c r="A20" s="70" t="s">
        <v>18</v>
      </c>
      <c r="B20" s="70">
        <v>6.0</v>
      </c>
    </row>
    <row r="21">
      <c r="A21" s="70" t="s">
        <v>102</v>
      </c>
      <c r="B21" s="70">
        <v>11.0</v>
      </c>
    </row>
    <row r="22">
      <c r="A22" s="70" t="s">
        <v>22</v>
      </c>
      <c r="B22" s="70">
        <v>7.0</v>
      </c>
    </row>
    <row r="23">
      <c r="A23" s="70" t="s">
        <v>86</v>
      </c>
      <c r="B23" s="70">
        <v>6.0</v>
      </c>
    </row>
    <row r="24">
      <c r="A24" s="70" t="s">
        <v>24</v>
      </c>
      <c r="B24" s="70">
        <v>6.0</v>
      </c>
    </row>
    <row r="25">
      <c r="A25" s="70" t="s">
        <v>29</v>
      </c>
      <c r="B25" s="70">
        <v>11.0</v>
      </c>
    </row>
    <row r="26">
      <c r="A26" s="70" t="s">
        <v>134</v>
      </c>
      <c r="B26" s="70">
        <v>11.0</v>
      </c>
    </row>
    <row r="27">
      <c r="A27" s="70" t="s">
        <v>32</v>
      </c>
      <c r="B27" s="70">
        <v>9.0</v>
      </c>
    </row>
    <row r="28">
      <c r="A28" s="70" t="s">
        <v>59</v>
      </c>
      <c r="B28" s="70">
        <v>8.0</v>
      </c>
    </row>
    <row r="29">
      <c r="A29" s="70" t="s">
        <v>40</v>
      </c>
      <c r="B29" s="70">
        <v>6.0</v>
      </c>
    </row>
    <row r="30">
      <c r="A30" s="70" t="s">
        <v>27</v>
      </c>
      <c r="B30" s="70">
        <v>11.0</v>
      </c>
    </row>
    <row r="31">
      <c r="A31" s="70" t="s">
        <v>38</v>
      </c>
      <c r="B31" s="70">
        <v>12.0</v>
      </c>
    </row>
    <row r="32">
      <c r="A32" s="70" t="s">
        <v>34</v>
      </c>
      <c r="B32" s="70">
        <v>7.0</v>
      </c>
    </row>
    <row r="33">
      <c r="A33" s="70" t="s">
        <v>92</v>
      </c>
      <c r="B33" s="70">
        <v>8.0</v>
      </c>
    </row>
  </sheetData>
  <autoFilter ref="$A$1:$B$3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1"/>
      <c r="C1" s="72"/>
    </row>
    <row r="2">
      <c r="A2" s="73"/>
      <c r="B2" s="74"/>
      <c r="C2" s="75"/>
    </row>
    <row r="3">
      <c r="A3" s="73"/>
      <c r="B3" s="74"/>
      <c r="C3" s="75"/>
    </row>
    <row r="4">
      <c r="A4" s="73"/>
      <c r="B4" s="74"/>
      <c r="C4" s="75"/>
    </row>
    <row r="5">
      <c r="A5" s="76"/>
      <c r="B5" s="74"/>
      <c r="C5" s="75"/>
    </row>
    <row r="6">
      <c r="A6" s="73"/>
      <c r="B6" s="74"/>
      <c r="C6" s="75"/>
    </row>
    <row r="7">
      <c r="A7" s="73"/>
      <c r="B7" s="74"/>
      <c r="C7" s="75"/>
    </row>
    <row r="8">
      <c r="A8" s="73"/>
      <c r="B8" s="74"/>
      <c r="C8" s="75"/>
    </row>
    <row r="9">
      <c r="A9" s="73"/>
      <c r="B9" s="74"/>
      <c r="C9" s="75"/>
    </row>
    <row r="10">
      <c r="A10" s="73"/>
      <c r="B10" s="74"/>
      <c r="C10" s="75"/>
    </row>
    <row r="11">
      <c r="A11" s="77"/>
      <c r="B11" s="74"/>
      <c r="C11" s="75"/>
    </row>
    <row r="12">
      <c r="A12" s="77"/>
      <c r="B12" s="78"/>
      <c r="C12" s="75"/>
    </row>
    <row r="13">
      <c r="A13" s="77"/>
      <c r="B13" s="78"/>
      <c r="C13" s="75"/>
    </row>
    <row r="14">
      <c r="A14" s="77"/>
      <c r="B14" s="78"/>
      <c r="C14" s="75"/>
    </row>
    <row r="15">
      <c r="A15" s="77"/>
      <c r="B15" s="78"/>
      <c r="C15" s="75"/>
    </row>
    <row r="16">
      <c r="A16" s="77"/>
      <c r="B16" s="78"/>
      <c r="C16" s="75"/>
    </row>
    <row r="17">
      <c r="A17" s="77"/>
      <c r="B17" s="78"/>
      <c r="C17" s="75"/>
    </row>
    <row r="18">
      <c r="A18" s="77"/>
      <c r="B18" s="78"/>
      <c r="C18" s="75"/>
    </row>
    <row r="19">
      <c r="A19" s="77"/>
      <c r="B19" s="78"/>
      <c r="C19" s="75"/>
    </row>
    <row r="20">
      <c r="A20" s="77"/>
      <c r="B20" s="78"/>
      <c r="C20" s="75"/>
    </row>
    <row r="21">
      <c r="A21" s="77"/>
      <c r="B21" s="78"/>
      <c r="C21" s="75"/>
    </row>
    <row r="22">
      <c r="A22" s="77"/>
      <c r="B22" s="78"/>
      <c r="C22" s="75"/>
    </row>
    <row r="23">
      <c r="A23" s="77"/>
      <c r="B23" s="78"/>
      <c r="C23" s="75"/>
    </row>
    <row r="24">
      <c r="A24" s="77"/>
      <c r="B24" s="78"/>
      <c r="C24" s="75"/>
    </row>
    <row r="25">
      <c r="A25" s="77"/>
      <c r="B25" s="78"/>
      <c r="C25" s="75"/>
    </row>
    <row r="26">
      <c r="A26" s="77"/>
      <c r="B26" s="78"/>
      <c r="C26" s="75"/>
    </row>
    <row r="27">
      <c r="A27" s="77"/>
      <c r="B27" s="78"/>
      <c r="C27" s="75"/>
    </row>
    <row r="28">
      <c r="A28" s="77"/>
      <c r="B28" s="78"/>
      <c r="C28" s="75"/>
    </row>
    <row r="29">
      <c r="A29" s="77"/>
      <c r="B29" s="78"/>
      <c r="C29" s="7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5.75"/>
    <col customWidth="1" min="3" max="3" width="4.88"/>
    <col customWidth="1" min="4" max="4" width="9.63"/>
  </cols>
  <sheetData>
    <row r="1">
      <c r="A1" s="79" t="s">
        <v>1</v>
      </c>
      <c r="B1" s="80" t="s">
        <v>2</v>
      </c>
      <c r="C1" s="80" t="s">
        <v>1051</v>
      </c>
      <c r="D1" s="80" t="s">
        <v>1052</v>
      </c>
    </row>
    <row r="2">
      <c r="A2" s="81" t="s">
        <v>79</v>
      </c>
      <c r="B2" s="82" t="s">
        <v>34</v>
      </c>
      <c r="C2" s="82" t="s">
        <v>25</v>
      </c>
      <c r="D2" s="82">
        <v>7.0</v>
      </c>
    </row>
    <row r="3">
      <c r="A3" s="81" t="s">
        <v>473</v>
      </c>
      <c r="B3" s="82" t="s">
        <v>257</v>
      </c>
      <c r="C3" s="82" t="s">
        <v>16</v>
      </c>
      <c r="D3" s="82"/>
    </row>
    <row r="4">
      <c r="A4" s="81" t="s">
        <v>123</v>
      </c>
      <c r="B4" s="82" t="s">
        <v>61</v>
      </c>
      <c r="C4" s="82" t="s">
        <v>25</v>
      </c>
      <c r="D4" s="82">
        <v>9.0</v>
      </c>
    </row>
    <row r="5">
      <c r="A5" s="81" t="s">
        <v>65</v>
      </c>
      <c r="B5" s="82" t="s">
        <v>56</v>
      </c>
      <c r="C5" s="82" t="s">
        <v>7</v>
      </c>
      <c r="D5" s="82">
        <v>5.0</v>
      </c>
    </row>
    <row r="6">
      <c r="A6" s="81" t="s">
        <v>127</v>
      </c>
      <c r="B6" s="82" t="s">
        <v>56</v>
      </c>
      <c r="C6" s="82" t="s">
        <v>10</v>
      </c>
      <c r="D6" s="82">
        <v>5.0</v>
      </c>
    </row>
    <row r="7">
      <c r="A7" s="81" t="s">
        <v>337</v>
      </c>
      <c r="B7" s="82" t="s">
        <v>34</v>
      </c>
      <c r="C7" s="82" t="s">
        <v>25</v>
      </c>
      <c r="D7" s="82">
        <v>7.0</v>
      </c>
    </row>
    <row r="8">
      <c r="A8" s="81" t="s">
        <v>428</v>
      </c>
      <c r="B8" s="82" t="s">
        <v>77</v>
      </c>
      <c r="C8" s="82" t="s">
        <v>16</v>
      </c>
      <c r="D8" s="82">
        <v>11.0</v>
      </c>
    </row>
    <row r="9">
      <c r="A9" s="81" t="s">
        <v>57</v>
      </c>
      <c r="B9" s="82" t="s">
        <v>22</v>
      </c>
      <c r="C9" s="82" t="s">
        <v>25</v>
      </c>
      <c r="D9" s="82">
        <v>7.0</v>
      </c>
    </row>
    <row r="10">
      <c r="A10" s="81" t="s">
        <v>400</v>
      </c>
      <c r="B10" s="82" t="s">
        <v>24</v>
      </c>
      <c r="C10" s="82" t="s">
        <v>16</v>
      </c>
      <c r="D10" s="82">
        <v>6.0</v>
      </c>
    </row>
    <row r="11">
      <c r="A11" s="81" t="s">
        <v>259</v>
      </c>
      <c r="B11" s="82" t="s">
        <v>257</v>
      </c>
      <c r="C11" s="82" t="s">
        <v>169</v>
      </c>
      <c r="D11" s="82"/>
    </row>
    <row r="12">
      <c r="A12" s="81" t="s">
        <v>331</v>
      </c>
      <c r="B12" s="82" t="s">
        <v>92</v>
      </c>
      <c r="C12" s="82" t="s">
        <v>7</v>
      </c>
      <c r="D12" s="82">
        <v>8.0</v>
      </c>
    </row>
    <row r="13">
      <c r="A13" s="81" t="s">
        <v>534</v>
      </c>
      <c r="B13" s="82" t="s">
        <v>56</v>
      </c>
      <c r="C13" s="82" t="s">
        <v>7</v>
      </c>
      <c r="D13" s="82">
        <v>5.0</v>
      </c>
    </row>
    <row r="14">
      <c r="A14" s="81" t="s">
        <v>932</v>
      </c>
      <c r="B14" s="82" t="s">
        <v>20</v>
      </c>
      <c r="C14" s="82" t="s">
        <v>10</v>
      </c>
      <c r="D14" s="82">
        <v>8.0</v>
      </c>
    </row>
    <row r="15">
      <c r="A15" s="81" t="s">
        <v>864</v>
      </c>
      <c r="B15" s="82" t="s">
        <v>257</v>
      </c>
      <c r="C15" s="82" t="s">
        <v>7</v>
      </c>
      <c r="D15" s="82"/>
    </row>
    <row r="16">
      <c r="A16" s="81" t="s">
        <v>447</v>
      </c>
      <c r="B16" s="82" t="s">
        <v>257</v>
      </c>
      <c r="C16" s="82" t="s">
        <v>16</v>
      </c>
      <c r="D16" s="82"/>
    </row>
    <row r="17">
      <c r="A17" s="81" t="s">
        <v>417</v>
      </c>
      <c r="B17" s="82" t="s">
        <v>63</v>
      </c>
      <c r="C17" s="82" t="s">
        <v>16</v>
      </c>
      <c r="D17" s="82">
        <v>8.0</v>
      </c>
    </row>
    <row r="18">
      <c r="A18" s="81" t="s">
        <v>671</v>
      </c>
      <c r="B18" s="82" t="s">
        <v>102</v>
      </c>
      <c r="C18" s="82" t="s">
        <v>25</v>
      </c>
      <c r="D18" s="82">
        <v>11.0</v>
      </c>
    </row>
    <row r="19">
      <c r="A19" s="81" t="s">
        <v>728</v>
      </c>
      <c r="B19" s="82" t="s">
        <v>257</v>
      </c>
      <c r="C19" s="82" t="s">
        <v>25</v>
      </c>
      <c r="D19" s="82"/>
    </row>
    <row r="20">
      <c r="A20" s="81" t="s">
        <v>728</v>
      </c>
      <c r="B20" s="82" t="s">
        <v>257</v>
      </c>
      <c r="C20" s="82" t="s">
        <v>25</v>
      </c>
      <c r="D20" s="82"/>
    </row>
    <row r="21">
      <c r="A21" s="81" t="s">
        <v>276</v>
      </c>
      <c r="B21" s="82" t="s">
        <v>29</v>
      </c>
      <c r="C21" s="82" t="s">
        <v>169</v>
      </c>
      <c r="D21" s="82">
        <v>11.0</v>
      </c>
    </row>
    <row r="22">
      <c r="A22" s="81" t="s">
        <v>796</v>
      </c>
      <c r="B22" s="82" t="s">
        <v>18</v>
      </c>
      <c r="C22" s="82" t="s">
        <v>7</v>
      </c>
      <c r="D22" s="82">
        <v>6.0</v>
      </c>
    </row>
    <row r="23">
      <c r="A23" s="81" t="s">
        <v>818</v>
      </c>
      <c r="B23" s="82" t="s">
        <v>6</v>
      </c>
      <c r="C23" s="82" t="s">
        <v>7</v>
      </c>
      <c r="D23" s="82">
        <v>12.0</v>
      </c>
    </row>
    <row r="24">
      <c r="A24" s="81" t="s">
        <v>866</v>
      </c>
      <c r="B24" s="82" t="s">
        <v>257</v>
      </c>
      <c r="C24" s="82" t="s">
        <v>7</v>
      </c>
      <c r="D24" s="82"/>
    </row>
    <row r="25">
      <c r="A25" s="81" t="s">
        <v>456</v>
      </c>
      <c r="B25" s="82" t="s">
        <v>32</v>
      </c>
      <c r="C25" s="82" t="s">
        <v>16</v>
      </c>
      <c r="D25" s="82">
        <v>9.0</v>
      </c>
    </row>
    <row r="26">
      <c r="A26" s="81" t="s">
        <v>586</v>
      </c>
      <c r="B26" s="82" t="s">
        <v>61</v>
      </c>
      <c r="C26" s="82" t="s">
        <v>25</v>
      </c>
      <c r="D26" s="82">
        <v>9.0</v>
      </c>
    </row>
    <row r="27">
      <c r="A27" s="81" t="s">
        <v>995</v>
      </c>
      <c r="B27" s="82" t="s">
        <v>20</v>
      </c>
      <c r="C27" s="82" t="s">
        <v>10</v>
      </c>
      <c r="D27" s="82">
        <v>8.0</v>
      </c>
    </row>
    <row r="28">
      <c r="A28" s="81" t="s">
        <v>979</v>
      </c>
      <c r="B28" s="82" t="s">
        <v>92</v>
      </c>
      <c r="C28" s="82" t="s">
        <v>10</v>
      </c>
      <c r="D28" s="82">
        <v>8.0</v>
      </c>
    </row>
    <row r="29">
      <c r="A29" s="81" t="s">
        <v>988</v>
      </c>
      <c r="B29" s="82" t="s">
        <v>29</v>
      </c>
      <c r="C29" s="82" t="s">
        <v>10</v>
      </c>
      <c r="D29" s="82">
        <v>11.0</v>
      </c>
    </row>
    <row r="30">
      <c r="A30" s="81" t="s">
        <v>1062</v>
      </c>
      <c r="B30" s="82" t="s">
        <v>22</v>
      </c>
      <c r="C30" s="82" t="s">
        <v>25</v>
      </c>
      <c r="D30" s="82">
        <v>7.0</v>
      </c>
    </row>
    <row r="31">
      <c r="A31" s="81" t="s">
        <v>355</v>
      </c>
      <c r="B31" s="82" t="s">
        <v>22</v>
      </c>
      <c r="C31" s="82" t="s">
        <v>7</v>
      </c>
      <c r="D31" s="82">
        <v>7.0</v>
      </c>
    </row>
    <row r="32">
      <c r="A32" s="81" t="s">
        <v>1063</v>
      </c>
      <c r="B32" s="82" t="s">
        <v>257</v>
      </c>
      <c r="C32" s="82" t="s">
        <v>7</v>
      </c>
      <c r="D32" s="82"/>
    </row>
    <row r="33">
      <c r="A33" s="81" t="s">
        <v>437</v>
      </c>
      <c r="B33" s="82" t="s">
        <v>257</v>
      </c>
      <c r="C33" s="82" t="s">
        <v>16</v>
      </c>
      <c r="D33" s="82"/>
    </row>
    <row r="34">
      <c r="A34" s="81" t="s">
        <v>668</v>
      </c>
      <c r="B34" s="82" t="s">
        <v>102</v>
      </c>
      <c r="C34" s="82" t="s">
        <v>25</v>
      </c>
      <c r="D34" s="82">
        <v>11.0</v>
      </c>
    </row>
    <row r="35">
      <c r="A35" s="81" t="s">
        <v>283</v>
      </c>
      <c r="B35" s="82" t="s">
        <v>56</v>
      </c>
      <c r="C35" s="82" t="s">
        <v>25</v>
      </c>
      <c r="D35" s="82">
        <v>5.0</v>
      </c>
    </row>
    <row r="36">
      <c r="A36" s="81" t="s">
        <v>76</v>
      </c>
      <c r="B36" s="82" t="s">
        <v>77</v>
      </c>
      <c r="C36" s="82" t="s">
        <v>25</v>
      </c>
      <c r="D36" s="82">
        <v>11.0</v>
      </c>
    </row>
    <row r="37">
      <c r="A37" s="81" t="s">
        <v>699</v>
      </c>
      <c r="B37" s="82" t="s">
        <v>257</v>
      </c>
      <c r="C37" s="82" t="s">
        <v>25</v>
      </c>
      <c r="D37" s="82"/>
    </row>
    <row r="38">
      <c r="A38" s="81" t="s">
        <v>760</v>
      </c>
      <c r="B38" s="82" t="s">
        <v>32</v>
      </c>
      <c r="C38" s="82" t="s">
        <v>25</v>
      </c>
      <c r="D38" s="82">
        <v>9.0</v>
      </c>
    </row>
    <row r="39">
      <c r="A39" s="81" t="s">
        <v>36</v>
      </c>
      <c r="B39" s="82" t="s">
        <v>24</v>
      </c>
      <c r="C39" s="82" t="s">
        <v>7</v>
      </c>
      <c r="D39" s="82">
        <v>6.0</v>
      </c>
    </row>
    <row r="40">
      <c r="A40" s="81" t="s">
        <v>690</v>
      </c>
      <c r="B40" s="82" t="s">
        <v>59</v>
      </c>
      <c r="C40" s="82" t="s">
        <v>25</v>
      </c>
      <c r="D40" s="82">
        <v>8.0</v>
      </c>
    </row>
    <row r="41">
      <c r="A41" s="81" t="s">
        <v>66</v>
      </c>
      <c r="B41" s="82" t="s">
        <v>14</v>
      </c>
      <c r="C41" s="82" t="s">
        <v>25</v>
      </c>
      <c r="D41" s="82">
        <v>10.0</v>
      </c>
    </row>
    <row r="42">
      <c r="A42" s="81" t="s">
        <v>794</v>
      </c>
      <c r="B42" s="82" t="s">
        <v>22</v>
      </c>
      <c r="C42" s="82" t="s">
        <v>7</v>
      </c>
      <c r="D42" s="82">
        <v>7.0</v>
      </c>
    </row>
    <row r="43">
      <c r="A43" s="81" t="s">
        <v>756</v>
      </c>
      <c r="B43" s="82" t="s">
        <v>257</v>
      </c>
      <c r="C43" s="82" t="s">
        <v>25</v>
      </c>
      <c r="D43" s="82"/>
    </row>
    <row r="44">
      <c r="A44" s="81" t="s">
        <v>756</v>
      </c>
      <c r="B44" s="82" t="s">
        <v>257</v>
      </c>
      <c r="C44" s="82" t="s">
        <v>25</v>
      </c>
      <c r="D44" s="82"/>
    </row>
    <row r="45">
      <c r="A45" s="81" t="s">
        <v>710</v>
      </c>
      <c r="B45" s="82" t="s">
        <v>96</v>
      </c>
      <c r="C45" s="82" t="s">
        <v>25</v>
      </c>
      <c r="D45" s="82">
        <v>10.0</v>
      </c>
    </row>
    <row r="46">
      <c r="A46" s="81" t="s">
        <v>594</v>
      </c>
      <c r="B46" s="82" t="s">
        <v>48</v>
      </c>
      <c r="C46" s="82" t="s">
        <v>25</v>
      </c>
      <c r="D46" s="82">
        <v>11.0</v>
      </c>
    </row>
    <row r="47">
      <c r="A47" s="81" t="s">
        <v>393</v>
      </c>
      <c r="B47" s="82" t="s">
        <v>63</v>
      </c>
      <c r="C47" s="82" t="s">
        <v>7</v>
      </c>
      <c r="D47" s="82">
        <v>8.0</v>
      </c>
    </row>
    <row r="48">
      <c r="A48" s="81" t="s">
        <v>986</v>
      </c>
      <c r="B48" s="82" t="s">
        <v>257</v>
      </c>
      <c r="C48" s="82" t="s">
        <v>10</v>
      </c>
      <c r="D48" s="82"/>
    </row>
    <row r="49">
      <c r="A49" s="81" t="s">
        <v>934</v>
      </c>
      <c r="B49" s="82" t="s">
        <v>14</v>
      </c>
      <c r="C49" s="82" t="s">
        <v>10</v>
      </c>
      <c r="D49" s="82">
        <v>10.0</v>
      </c>
    </row>
    <row r="50">
      <c r="A50" s="81" t="s">
        <v>514</v>
      </c>
      <c r="B50" s="82" t="s">
        <v>1007</v>
      </c>
      <c r="C50" s="82" t="s">
        <v>25</v>
      </c>
      <c r="D50" s="82">
        <v>8.0</v>
      </c>
    </row>
    <row r="51">
      <c r="A51" s="81" t="s">
        <v>806</v>
      </c>
      <c r="B51" s="82" t="s">
        <v>54</v>
      </c>
      <c r="C51" s="82" t="s">
        <v>7</v>
      </c>
      <c r="D51" s="82">
        <v>9.0</v>
      </c>
    </row>
    <row r="52">
      <c r="A52" s="81" t="s">
        <v>694</v>
      </c>
      <c r="B52" s="82" t="s">
        <v>257</v>
      </c>
      <c r="C52" s="82" t="s">
        <v>25</v>
      </c>
      <c r="D52" s="82"/>
    </row>
    <row r="53">
      <c r="A53" s="81" t="s">
        <v>324</v>
      </c>
      <c r="B53" s="82" t="s">
        <v>34</v>
      </c>
      <c r="C53" s="82" t="s">
        <v>16</v>
      </c>
      <c r="D53" s="82">
        <v>7.0</v>
      </c>
    </row>
    <row r="54">
      <c r="A54" s="81" t="s">
        <v>1046</v>
      </c>
      <c r="B54" s="82" t="s">
        <v>40</v>
      </c>
      <c r="C54" s="82" t="s">
        <v>10</v>
      </c>
      <c r="D54" s="82">
        <v>6.0</v>
      </c>
    </row>
    <row r="55">
      <c r="A55" s="81" t="s">
        <v>523</v>
      </c>
      <c r="B55" s="82" t="s">
        <v>59</v>
      </c>
      <c r="C55" s="82" t="s">
        <v>7</v>
      </c>
      <c r="D55" s="82">
        <v>8.0</v>
      </c>
    </row>
    <row r="56">
      <c r="A56" s="81" t="s">
        <v>251</v>
      </c>
      <c r="B56" s="82" t="s">
        <v>77</v>
      </c>
      <c r="C56" s="82" t="s">
        <v>25</v>
      </c>
      <c r="D56" s="82">
        <v>11.0</v>
      </c>
    </row>
    <row r="57">
      <c r="A57" s="81" t="s">
        <v>803</v>
      </c>
      <c r="B57" s="82" t="s">
        <v>9</v>
      </c>
      <c r="C57" s="82" t="s">
        <v>7</v>
      </c>
      <c r="D57" s="82">
        <v>10.0</v>
      </c>
    </row>
    <row r="58">
      <c r="A58" s="81" t="s">
        <v>724</v>
      </c>
      <c r="B58" s="82" t="s">
        <v>257</v>
      </c>
      <c r="C58" s="82" t="s">
        <v>25</v>
      </c>
      <c r="D58" s="82"/>
    </row>
    <row r="59">
      <c r="A59" s="81" t="s">
        <v>724</v>
      </c>
      <c r="B59" s="82" t="s">
        <v>257</v>
      </c>
      <c r="C59" s="82" t="s">
        <v>25</v>
      </c>
      <c r="D59" s="82"/>
    </row>
    <row r="60">
      <c r="A60" s="81" t="s">
        <v>1064</v>
      </c>
      <c r="B60" s="82" t="s">
        <v>257</v>
      </c>
      <c r="C60" s="82" t="s">
        <v>25</v>
      </c>
      <c r="D60" s="82"/>
    </row>
    <row r="61">
      <c r="A61" s="81" t="s">
        <v>332</v>
      </c>
      <c r="B61" s="82" t="s">
        <v>92</v>
      </c>
      <c r="C61" s="82" t="s">
        <v>25</v>
      </c>
      <c r="D61" s="82">
        <v>8.0</v>
      </c>
    </row>
    <row r="62">
      <c r="A62" s="81" t="s">
        <v>482</v>
      </c>
      <c r="B62" s="82" t="s">
        <v>257</v>
      </c>
      <c r="C62" s="82" t="s">
        <v>16</v>
      </c>
      <c r="D62" s="82"/>
    </row>
    <row r="63">
      <c r="A63" s="81" t="s">
        <v>359</v>
      </c>
      <c r="B63" s="82" t="s">
        <v>92</v>
      </c>
      <c r="C63" s="82" t="s">
        <v>7</v>
      </c>
      <c r="D63" s="82">
        <v>8.0</v>
      </c>
    </row>
    <row r="64">
      <c r="A64" s="81" t="s">
        <v>427</v>
      </c>
      <c r="B64" s="82" t="s">
        <v>38</v>
      </c>
      <c r="C64" s="82" t="s">
        <v>16</v>
      </c>
      <c r="D64" s="82">
        <v>12.0</v>
      </c>
    </row>
    <row r="65">
      <c r="A65" s="81" t="s">
        <v>225</v>
      </c>
      <c r="B65" s="82" t="s">
        <v>1007</v>
      </c>
      <c r="C65" s="82" t="s">
        <v>1116</v>
      </c>
      <c r="D65" s="82">
        <v>8.0</v>
      </c>
    </row>
    <row r="66">
      <c r="A66" s="81" t="s">
        <v>228</v>
      </c>
      <c r="B66" s="82" t="s">
        <v>44</v>
      </c>
      <c r="C66" s="82" t="s">
        <v>1116</v>
      </c>
      <c r="D66" s="82">
        <v>10.0</v>
      </c>
    </row>
    <row r="67">
      <c r="A67" s="81" t="s">
        <v>546</v>
      </c>
      <c r="B67" s="82" t="s">
        <v>61</v>
      </c>
      <c r="C67" s="82" t="s">
        <v>25</v>
      </c>
      <c r="D67" s="82">
        <v>9.0</v>
      </c>
    </row>
    <row r="68">
      <c r="A68" s="81" t="s">
        <v>687</v>
      </c>
      <c r="B68" s="82" t="s">
        <v>24</v>
      </c>
      <c r="C68" s="82" t="s">
        <v>25</v>
      </c>
      <c r="D68" s="82">
        <v>6.0</v>
      </c>
    </row>
    <row r="69">
      <c r="A69" s="81" t="s">
        <v>95</v>
      </c>
      <c r="B69" s="82" t="s">
        <v>96</v>
      </c>
      <c r="C69" s="82" t="s">
        <v>7</v>
      </c>
      <c r="D69" s="82">
        <v>10.0</v>
      </c>
    </row>
    <row r="70">
      <c r="A70" s="81" t="s">
        <v>141</v>
      </c>
      <c r="B70" s="82" t="s">
        <v>54</v>
      </c>
      <c r="C70" s="82" t="s">
        <v>16</v>
      </c>
      <c r="D70" s="82">
        <v>9.0</v>
      </c>
    </row>
    <row r="71">
      <c r="A71" s="81" t="s">
        <v>640</v>
      </c>
      <c r="B71" s="82" t="s">
        <v>257</v>
      </c>
      <c r="C71" s="82" t="s">
        <v>25</v>
      </c>
      <c r="D71" s="82"/>
    </row>
    <row r="72">
      <c r="A72" s="81" t="s">
        <v>499</v>
      </c>
      <c r="B72" s="82" t="s">
        <v>257</v>
      </c>
      <c r="C72" s="82" t="s">
        <v>16</v>
      </c>
      <c r="D72" s="82"/>
    </row>
    <row r="73">
      <c r="A73" s="81" t="s">
        <v>487</v>
      </c>
      <c r="B73" s="82" t="s">
        <v>257</v>
      </c>
      <c r="C73" s="82" t="s">
        <v>16</v>
      </c>
      <c r="D73" s="82"/>
    </row>
    <row r="74">
      <c r="A74" s="81" t="s">
        <v>194</v>
      </c>
      <c r="B74" s="82" t="s">
        <v>54</v>
      </c>
      <c r="C74" s="82" t="s">
        <v>169</v>
      </c>
      <c r="D74" s="82">
        <v>9.0</v>
      </c>
    </row>
    <row r="75">
      <c r="A75" s="81" t="s">
        <v>286</v>
      </c>
      <c r="B75" s="82" t="s">
        <v>54</v>
      </c>
      <c r="C75" s="82" t="s">
        <v>10</v>
      </c>
      <c r="D75" s="82">
        <v>9.0</v>
      </c>
    </row>
    <row r="76">
      <c r="A76" s="81" t="s">
        <v>179</v>
      </c>
      <c r="B76" s="82" t="s">
        <v>12</v>
      </c>
      <c r="C76" s="82" t="s">
        <v>1116</v>
      </c>
      <c r="D76" s="82">
        <v>8.0</v>
      </c>
    </row>
    <row r="77">
      <c r="A77" s="81" t="s">
        <v>449</v>
      </c>
      <c r="B77" s="82" t="s">
        <v>77</v>
      </c>
      <c r="C77" s="82" t="s">
        <v>16</v>
      </c>
      <c r="D77" s="82">
        <v>11.0</v>
      </c>
    </row>
    <row r="78">
      <c r="A78" s="81" t="s">
        <v>998</v>
      </c>
      <c r="B78" s="82" t="s">
        <v>14</v>
      </c>
      <c r="C78" s="82" t="s">
        <v>10</v>
      </c>
      <c r="D78" s="82">
        <v>10.0</v>
      </c>
    </row>
    <row r="79">
      <c r="A79" s="81" t="s">
        <v>445</v>
      </c>
      <c r="B79" s="82" t="s">
        <v>257</v>
      </c>
      <c r="C79" s="82" t="s">
        <v>16</v>
      </c>
      <c r="D79" s="82"/>
    </row>
    <row r="80">
      <c r="A80" s="81" t="s">
        <v>78</v>
      </c>
      <c r="B80" s="82" t="s">
        <v>59</v>
      </c>
      <c r="C80" s="82" t="s">
        <v>10</v>
      </c>
      <c r="D80" s="82">
        <v>8.0</v>
      </c>
    </row>
    <row r="81">
      <c r="A81" s="81" t="s">
        <v>483</v>
      </c>
      <c r="B81" s="82" t="s">
        <v>257</v>
      </c>
      <c r="C81" s="82" t="s">
        <v>16</v>
      </c>
      <c r="D81" s="82"/>
    </row>
    <row r="82">
      <c r="A82" s="81" t="s">
        <v>670</v>
      </c>
      <c r="B82" s="82" t="s">
        <v>257</v>
      </c>
      <c r="C82" s="82" t="s">
        <v>25</v>
      </c>
      <c r="D82" s="82"/>
    </row>
    <row r="83">
      <c r="A83" s="81" t="s">
        <v>1065</v>
      </c>
      <c r="B83" s="82" t="s">
        <v>257</v>
      </c>
      <c r="C83" s="82" t="s">
        <v>7</v>
      </c>
      <c r="D83" s="82"/>
    </row>
    <row r="84">
      <c r="A84" s="81" t="s">
        <v>425</v>
      </c>
      <c r="B84" s="82" t="s">
        <v>59</v>
      </c>
      <c r="C84" s="82" t="s">
        <v>7</v>
      </c>
      <c r="D84" s="82">
        <v>8.0</v>
      </c>
    </row>
    <row r="85">
      <c r="A85" s="81" t="s">
        <v>1026</v>
      </c>
      <c r="B85" s="82" t="s">
        <v>257</v>
      </c>
      <c r="C85" s="82" t="s">
        <v>7</v>
      </c>
      <c r="D85" s="82"/>
    </row>
    <row r="86">
      <c r="A86" s="81" t="s">
        <v>933</v>
      </c>
      <c r="B86" s="82" t="s">
        <v>38</v>
      </c>
      <c r="C86" s="82" t="s">
        <v>10</v>
      </c>
      <c r="D86" s="82">
        <v>12.0</v>
      </c>
    </row>
    <row r="87">
      <c r="A87" s="81" t="s">
        <v>364</v>
      </c>
      <c r="B87" s="82" t="s">
        <v>14</v>
      </c>
      <c r="C87" s="82" t="s">
        <v>16</v>
      </c>
      <c r="D87" s="82">
        <v>10.0</v>
      </c>
    </row>
    <row r="88">
      <c r="A88" s="81" t="s">
        <v>991</v>
      </c>
      <c r="B88" s="82" t="s">
        <v>257</v>
      </c>
      <c r="C88" s="82" t="s">
        <v>10</v>
      </c>
      <c r="D88" s="82"/>
    </row>
    <row r="89">
      <c r="A89" s="81" t="s">
        <v>160</v>
      </c>
      <c r="B89" s="82" t="s">
        <v>14</v>
      </c>
      <c r="C89" s="82" t="s">
        <v>16</v>
      </c>
      <c r="D89" s="82">
        <v>10.0</v>
      </c>
    </row>
    <row r="90">
      <c r="A90" s="81" t="s">
        <v>776</v>
      </c>
      <c r="B90" s="82" t="s">
        <v>69</v>
      </c>
      <c r="C90" s="82" t="s">
        <v>7</v>
      </c>
      <c r="D90" s="82">
        <v>5.0</v>
      </c>
    </row>
    <row r="91">
      <c r="A91" s="81" t="s">
        <v>712</v>
      </c>
      <c r="B91" s="82" t="s">
        <v>257</v>
      </c>
      <c r="C91" s="82" t="s">
        <v>25</v>
      </c>
      <c r="D91" s="82"/>
    </row>
    <row r="92">
      <c r="A92" s="81" t="s">
        <v>329</v>
      </c>
      <c r="B92" s="82" t="s">
        <v>32</v>
      </c>
      <c r="C92" s="82" t="s">
        <v>7</v>
      </c>
      <c r="D92" s="82">
        <v>9.0</v>
      </c>
    </row>
    <row r="93">
      <c r="A93" s="81" t="s">
        <v>672</v>
      </c>
      <c r="B93" s="82" t="s">
        <v>257</v>
      </c>
      <c r="C93" s="82" t="s">
        <v>25</v>
      </c>
      <c r="D93" s="82"/>
    </row>
    <row r="94">
      <c r="A94" s="81" t="s">
        <v>489</v>
      </c>
      <c r="B94" s="82" t="s">
        <v>257</v>
      </c>
      <c r="C94" s="82" t="s">
        <v>16</v>
      </c>
      <c r="D94" s="82"/>
    </row>
    <row r="95">
      <c r="A95" s="81" t="s">
        <v>109</v>
      </c>
      <c r="B95" s="82" t="s">
        <v>20</v>
      </c>
      <c r="C95" s="82" t="s">
        <v>25</v>
      </c>
      <c r="D95" s="82">
        <v>8.0</v>
      </c>
    </row>
    <row r="96">
      <c r="A96" s="81" t="s">
        <v>222</v>
      </c>
      <c r="B96" s="82" t="s">
        <v>27</v>
      </c>
      <c r="C96" s="82" t="s">
        <v>25</v>
      </c>
      <c r="D96" s="82">
        <v>11.0</v>
      </c>
    </row>
    <row r="97">
      <c r="A97" s="81" t="s">
        <v>954</v>
      </c>
      <c r="B97" s="82" t="s">
        <v>257</v>
      </c>
      <c r="C97" s="82" t="s">
        <v>10</v>
      </c>
      <c r="D97" s="82"/>
    </row>
    <row r="98">
      <c r="A98" s="81" t="s">
        <v>891</v>
      </c>
      <c r="B98" s="82" t="s">
        <v>86</v>
      </c>
      <c r="C98" s="82" t="s">
        <v>7</v>
      </c>
      <c r="D98" s="82">
        <v>6.0</v>
      </c>
    </row>
    <row r="99">
      <c r="A99" s="81" t="s">
        <v>432</v>
      </c>
      <c r="B99" s="82" t="s">
        <v>22</v>
      </c>
      <c r="C99" s="82" t="s">
        <v>16</v>
      </c>
      <c r="D99" s="82">
        <v>7.0</v>
      </c>
    </row>
    <row r="100">
      <c r="A100" s="81" t="s">
        <v>719</v>
      </c>
      <c r="B100" s="82" t="s">
        <v>257</v>
      </c>
      <c r="C100" s="82" t="s">
        <v>25</v>
      </c>
      <c r="D100" s="82"/>
    </row>
    <row r="101">
      <c r="A101" s="81" t="s">
        <v>719</v>
      </c>
      <c r="B101" s="82" t="s">
        <v>257</v>
      </c>
      <c r="C101" s="82" t="s">
        <v>25</v>
      </c>
      <c r="D101" s="82"/>
    </row>
    <row r="102">
      <c r="A102" s="81" t="s">
        <v>730</v>
      </c>
      <c r="B102" s="82" t="s">
        <v>257</v>
      </c>
      <c r="C102" s="82" t="s">
        <v>25</v>
      </c>
      <c r="D102" s="82"/>
    </row>
    <row r="103">
      <c r="A103" s="81" t="s">
        <v>730</v>
      </c>
      <c r="B103" s="82" t="s">
        <v>257</v>
      </c>
      <c r="C103" s="82" t="s">
        <v>25</v>
      </c>
      <c r="D103" s="82"/>
    </row>
    <row r="104">
      <c r="A104" s="81" t="s">
        <v>190</v>
      </c>
      <c r="B104" s="82" t="s">
        <v>63</v>
      </c>
      <c r="C104" s="82" t="s">
        <v>169</v>
      </c>
      <c r="D104" s="82">
        <v>8.0</v>
      </c>
    </row>
    <row r="105">
      <c r="A105" s="81" t="s">
        <v>619</v>
      </c>
      <c r="B105" s="82" t="s">
        <v>44</v>
      </c>
      <c r="C105" s="82" t="s">
        <v>25</v>
      </c>
      <c r="D105" s="82">
        <v>10.0</v>
      </c>
    </row>
    <row r="106">
      <c r="A106" s="81" t="s">
        <v>984</v>
      </c>
      <c r="B106" s="82" t="s">
        <v>257</v>
      </c>
      <c r="C106" s="82" t="s">
        <v>10</v>
      </c>
      <c r="D106" s="82"/>
    </row>
    <row r="107">
      <c r="A107" s="81" t="s">
        <v>884</v>
      </c>
      <c r="B107" s="82" t="s">
        <v>257</v>
      </c>
      <c r="C107" s="82" t="s">
        <v>7</v>
      </c>
      <c r="D107" s="82"/>
    </row>
    <row r="108">
      <c r="A108" s="81" t="s">
        <v>1066</v>
      </c>
      <c r="B108" s="82" t="s">
        <v>6</v>
      </c>
      <c r="C108" s="82" t="s">
        <v>25</v>
      </c>
      <c r="D108" s="82">
        <v>12.0</v>
      </c>
    </row>
    <row r="109">
      <c r="A109" s="81" t="s">
        <v>562</v>
      </c>
      <c r="B109" s="82" t="s">
        <v>134</v>
      </c>
      <c r="C109" s="82" t="s">
        <v>25</v>
      </c>
      <c r="D109" s="82">
        <v>11.0</v>
      </c>
    </row>
    <row r="110">
      <c r="A110" s="81" t="s">
        <v>157</v>
      </c>
      <c r="B110" s="82" t="s">
        <v>134</v>
      </c>
      <c r="C110" s="82" t="s">
        <v>25</v>
      </c>
      <c r="D110" s="82">
        <v>11.0</v>
      </c>
    </row>
    <row r="111">
      <c r="A111" s="81" t="s">
        <v>937</v>
      </c>
      <c r="B111" s="82" t="s">
        <v>1007</v>
      </c>
      <c r="C111" s="82" t="s">
        <v>10</v>
      </c>
      <c r="D111" s="82">
        <v>8.0</v>
      </c>
    </row>
    <row r="112">
      <c r="A112" s="81" t="s">
        <v>268</v>
      </c>
      <c r="B112" s="82" t="s">
        <v>134</v>
      </c>
      <c r="C112" s="82" t="s">
        <v>169</v>
      </c>
      <c r="D112" s="82">
        <v>11.0</v>
      </c>
    </row>
    <row r="113">
      <c r="A113" s="81" t="s">
        <v>993</v>
      </c>
      <c r="B113" s="82" t="s">
        <v>63</v>
      </c>
      <c r="C113" s="82" t="s">
        <v>10</v>
      </c>
      <c r="D113" s="82">
        <v>8.0</v>
      </c>
    </row>
    <row r="114">
      <c r="A114" s="81" t="s">
        <v>600</v>
      </c>
      <c r="B114" s="82" t="s">
        <v>44</v>
      </c>
      <c r="C114" s="82" t="s">
        <v>7</v>
      </c>
      <c r="D114" s="82">
        <v>10.0</v>
      </c>
    </row>
    <row r="115">
      <c r="A115" s="81" t="s">
        <v>970</v>
      </c>
      <c r="B115" s="82" t="s">
        <v>86</v>
      </c>
      <c r="C115" s="82" t="s">
        <v>10</v>
      </c>
      <c r="D115" s="82">
        <v>6.0</v>
      </c>
    </row>
    <row r="116">
      <c r="A116" s="81" t="s">
        <v>1067</v>
      </c>
      <c r="B116" s="82" t="s">
        <v>257</v>
      </c>
      <c r="C116" s="82" t="s">
        <v>16</v>
      </c>
      <c r="D116" s="82"/>
    </row>
    <row r="117">
      <c r="A117" s="81" t="s">
        <v>761</v>
      </c>
      <c r="B117" s="82" t="s">
        <v>257</v>
      </c>
      <c r="C117" s="82" t="s">
        <v>25</v>
      </c>
      <c r="D117" s="82"/>
    </row>
    <row r="118">
      <c r="A118" s="81" t="s">
        <v>761</v>
      </c>
      <c r="B118" s="82" t="s">
        <v>257</v>
      </c>
      <c r="C118" s="82" t="s">
        <v>25</v>
      </c>
      <c r="D118" s="82"/>
    </row>
    <row r="119">
      <c r="A119" s="81" t="s">
        <v>753</v>
      </c>
      <c r="B119" s="82" t="s">
        <v>257</v>
      </c>
      <c r="C119" s="82" t="s">
        <v>25</v>
      </c>
      <c r="D119" s="82"/>
    </row>
    <row r="120">
      <c r="A120" s="81" t="s">
        <v>985</v>
      </c>
      <c r="B120" s="82" t="s">
        <v>257</v>
      </c>
      <c r="C120" s="82" t="s">
        <v>10</v>
      </c>
      <c r="D120" s="82"/>
    </row>
    <row r="121">
      <c r="A121" s="81" t="s">
        <v>840</v>
      </c>
      <c r="B121" s="82" t="s">
        <v>74</v>
      </c>
      <c r="C121" s="82" t="s">
        <v>7</v>
      </c>
      <c r="D121" s="82">
        <v>7.0</v>
      </c>
    </row>
    <row r="122">
      <c r="A122" s="81" t="s">
        <v>840</v>
      </c>
      <c r="B122" s="82" t="s">
        <v>74</v>
      </c>
      <c r="C122" s="82" t="s">
        <v>7</v>
      </c>
      <c r="D122" s="82">
        <v>7.0</v>
      </c>
    </row>
    <row r="123">
      <c r="A123" s="81" t="s">
        <v>741</v>
      </c>
      <c r="B123" s="82" t="s">
        <v>257</v>
      </c>
      <c r="C123" s="82" t="s">
        <v>25</v>
      </c>
      <c r="D123" s="82"/>
    </row>
    <row r="124">
      <c r="A124" s="81" t="s">
        <v>344</v>
      </c>
      <c r="B124" s="82" t="s">
        <v>18</v>
      </c>
      <c r="C124" s="82" t="s">
        <v>25</v>
      </c>
      <c r="D124" s="82">
        <v>6.0</v>
      </c>
    </row>
    <row r="125">
      <c r="A125" s="81" t="s">
        <v>604</v>
      </c>
      <c r="B125" s="82" t="s">
        <v>92</v>
      </c>
      <c r="C125" s="82" t="s">
        <v>7</v>
      </c>
      <c r="D125" s="82">
        <v>8.0</v>
      </c>
    </row>
    <row r="126">
      <c r="A126" s="81" t="s">
        <v>410</v>
      </c>
      <c r="B126" s="82" t="s">
        <v>233</v>
      </c>
      <c r="C126" s="82" t="s">
        <v>16</v>
      </c>
      <c r="D126" s="82">
        <v>9.0</v>
      </c>
    </row>
    <row r="127">
      <c r="A127" s="81" t="s">
        <v>816</v>
      </c>
      <c r="B127" s="82" t="s">
        <v>20</v>
      </c>
      <c r="C127" s="82" t="s">
        <v>7</v>
      </c>
      <c r="D127" s="82">
        <v>8.0</v>
      </c>
    </row>
    <row r="128">
      <c r="A128" s="81" t="s">
        <v>165</v>
      </c>
      <c r="B128" s="82" t="s">
        <v>48</v>
      </c>
      <c r="C128" s="82" t="s">
        <v>1116</v>
      </c>
      <c r="D128" s="82">
        <v>11.0</v>
      </c>
    </row>
    <row r="129">
      <c r="A129" s="81" t="s">
        <v>879</v>
      </c>
      <c r="B129" s="82" t="s">
        <v>257</v>
      </c>
      <c r="C129" s="82" t="s">
        <v>7</v>
      </c>
      <c r="D129" s="82"/>
    </row>
    <row r="130">
      <c r="A130" s="81" t="s">
        <v>570</v>
      </c>
      <c r="B130" s="82" t="s">
        <v>9</v>
      </c>
      <c r="C130" s="82" t="s">
        <v>25</v>
      </c>
      <c r="D130" s="82">
        <v>10.0</v>
      </c>
    </row>
    <row r="131">
      <c r="A131" s="81" t="s">
        <v>900</v>
      </c>
      <c r="B131" s="82" t="s">
        <v>257</v>
      </c>
      <c r="C131" s="82" t="s">
        <v>7</v>
      </c>
      <c r="D131" s="82"/>
    </row>
    <row r="132">
      <c r="A132" s="81" t="s">
        <v>964</v>
      </c>
      <c r="B132" s="82" t="s">
        <v>27</v>
      </c>
      <c r="C132" s="82" t="s">
        <v>10</v>
      </c>
      <c r="D132" s="82">
        <v>11.0</v>
      </c>
    </row>
    <row r="133">
      <c r="A133" s="81" t="s">
        <v>686</v>
      </c>
      <c r="B133" s="82" t="s">
        <v>104</v>
      </c>
      <c r="C133" s="82" t="s">
        <v>25</v>
      </c>
      <c r="D133" s="82">
        <v>7.0</v>
      </c>
    </row>
    <row r="134">
      <c r="A134" s="81" t="s">
        <v>858</v>
      </c>
      <c r="B134" s="82" t="s">
        <v>257</v>
      </c>
      <c r="C134" s="82" t="s">
        <v>7</v>
      </c>
      <c r="D134" s="82"/>
    </row>
    <row r="135">
      <c r="A135" s="81" t="s">
        <v>298</v>
      </c>
      <c r="B135" s="82" t="s">
        <v>61</v>
      </c>
      <c r="C135" s="82" t="s">
        <v>16</v>
      </c>
      <c r="D135" s="82">
        <v>9.0</v>
      </c>
    </row>
    <row r="136">
      <c r="A136" s="81" t="s">
        <v>272</v>
      </c>
      <c r="B136" s="82" t="s">
        <v>257</v>
      </c>
      <c r="C136" s="82" t="s">
        <v>169</v>
      </c>
      <c r="D136" s="82"/>
    </row>
    <row r="137">
      <c r="A137" s="81" t="s">
        <v>267</v>
      </c>
      <c r="B137" s="82" t="s">
        <v>257</v>
      </c>
      <c r="C137" s="82" t="s">
        <v>169</v>
      </c>
      <c r="D137" s="82"/>
    </row>
    <row r="138">
      <c r="A138" s="81" t="s">
        <v>436</v>
      </c>
      <c r="B138" s="82" t="s">
        <v>92</v>
      </c>
      <c r="C138" s="82" t="s">
        <v>16</v>
      </c>
      <c r="D138" s="82">
        <v>8.0</v>
      </c>
    </row>
    <row r="139">
      <c r="A139" s="81" t="s">
        <v>80</v>
      </c>
      <c r="B139" s="82" t="s">
        <v>44</v>
      </c>
      <c r="C139" s="82" t="s">
        <v>25</v>
      </c>
      <c r="D139" s="82">
        <v>10.0</v>
      </c>
    </row>
    <row r="140">
      <c r="A140" s="81" t="s">
        <v>164</v>
      </c>
      <c r="B140" s="82" t="s">
        <v>233</v>
      </c>
      <c r="C140" s="82" t="s">
        <v>7</v>
      </c>
      <c r="D140" s="82">
        <v>9.0</v>
      </c>
    </row>
    <row r="141">
      <c r="A141" s="81" t="s">
        <v>85</v>
      </c>
      <c r="B141" s="82" t="s">
        <v>86</v>
      </c>
      <c r="C141" s="82" t="s">
        <v>10</v>
      </c>
      <c r="D141" s="82">
        <v>6.0</v>
      </c>
    </row>
    <row r="142">
      <c r="A142" s="81" t="s">
        <v>620</v>
      </c>
      <c r="B142" s="82" t="s">
        <v>92</v>
      </c>
      <c r="C142" s="82" t="s">
        <v>25</v>
      </c>
      <c r="D142" s="82">
        <v>8.0</v>
      </c>
    </row>
    <row r="143">
      <c r="A143" s="81" t="s">
        <v>861</v>
      </c>
      <c r="B143" s="82" t="s">
        <v>257</v>
      </c>
      <c r="C143" s="82" t="s">
        <v>7</v>
      </c>
      <c r="D143" s="82"/>
    </row>
    <row r="144">
      <c r="A144" s="81" t="s">
        <v>354</v>
      </c>
      <c r="B144" s="82" t="s">
        <v>38</v>
      </c>
      <c r="C144" s="82" t="s">
        <v>16</v>
      </c>
      <c r="D144" s="82">
        <v>12.0</v>
      </c>
    </row>
    <row r="145">
      <c r="A145" s="81" t="s">
        <v>662</v>
      </c>
      <c r="B145" s="82" t="s">
        <v>257</v>
      </c>
      <c r="C145" s="82" t="s">
        <v>25</v>
      </c>
      <c r="D145" s="82"/>
    </row>
    <row r="146">
      <c r="A146" s="81" t="s">
        <v>371</v>
      </c>
      <c r="B146" s="82" t="s">
        <v>40</v>
      </c>
      <c r="C146" s="82" t="s">
        <v>7</v>
      </c>
      <c r="D146" s="82">
        <v>6.0</v>
      </c>
    </row>
    <row r="147">
      <c r="A147" s="81" t="s">
        <v>231</v>
      </c>
      <c r="B147" s="82" t="s">
        <v>6</v>
      </c>
      <c r="C147" s="82" t="s">
        <v>1116</v>
      </c>
      <c r="D147" s="82">
        <v>12.0</v>
      </c>
    </row>
    <row r="148">
      <c r="A148" s="81" t="s">
        <v>497</v>
      </c>
      <c r="B148" s="82" t="s">
        <v>44</v>
      </c>
      <c r="C148" s="82" t="s">
        <v>16</v>
      </c>
      <c r="D148" s="82">
        <v>10.0</v>
      </c>
    </row>
    <row r="149">
      <c r="A149" s="81" t="s">
        <v>72</v>
      </c>
      <c r="B149" s="82" t="s">
        <v>32</v>
      </c>
      <c r="C149" s="82" t="s">
        <v>10</v>
      </c>
      <c r="D149" s="82">
        <v>9.0</v>
      </c>
    </row>
    <row r="150">
      <c r="A150" s="81" t="s">
        <v>940</v>
      </c>
      <c r="B150" s="82" t="s">
        <v>54</v>
      </c>
      <c r="C150" s="82" t="s">
        <v>10</v>
      </c>
      <c r="D150" s="82">
        <v>9.0</v>
      </c>
    </row>
    <row r="151">
      <c r="A151" s="81" t="s">
        <v>554</v>
      </c>
      <c r="B151" s="82" t="s">
        <v>14</v>
      </c>
      <c r="C151" s="82" t="s">
        <v>25</v>
      </c>
      <c r="D151" s="82">
        <v>10.0</v>
      </c>
    </row>
    <row r="152">
      <c r="A152" s="81" t="s">
        <v>219</v>
      </c>
      <c r="B152" s="82" t="s">
        <v>14</v>
      </c>
      <c r="C152" s="82" t="s">
        <v>25</v>
      </c>
      <c r="D152" s="82">
        <v>10.0</v>
      </c>
    </row>
    <row r="153">
      <c r="A153" s="81" t="s">
        <v>423</v>
      </c>
      <c r="B153" s="82" t="s">
        <v>61</v>
      </c>
      <c r="C153" s="82" t="s">
        <v>16</v>
      </c>
      <c r="D153" s="82">
        <v>9.0</v>
      </c>
    </row>
    <row r="154">
      <c r="A154" s="81" t="s">
        <v>579</v>
      </c>
      <c r="B154" s="82" t="s">
        <v>22</v>
      </c>
      <c r="C154" s="82" t="s">
        <v>25</v>
      </c>
      <c r="D154" s="82">
        <v>7.0</v>
      </c>
    </row>
    <row r="155">
      <c r="A155" s="81" t="s">
        <v>616</v>
      </c>
      <c r="B155" s="82" t="s">
        <v>20</v>
      </c>
      <c r="C155" s="82" t="s">
        <v>25</v>
      </c>
      <c r="D155" s="82">
        <v>8.0</v>
      </c>
    </row>
    <row r="156">
      <c r="A156" s="81" t="s">
        <v>929</v>
      </c>
      <c r="B156" s="82" t="s">
        <v>9</v>
      </c>
      <c r="C156" s="82" t="s">
        <v>10</v>
      </c>
      <c r="D156" s="82">
        <v>10.0</v>
      </c>
    </row>
    <row r="157">
      <c r="A157" s="81" t="s">
        <v>966</v>
      </c>
      <c r="B157" s="82" t="s">
        <v>74</v>
      </c>
      <c r="C157" s="82" t="s">
        <v>10</v>
      </c>
      <c r="D157" s="82">
        <v>7.0</v>
      </c>
    </row>
    <row r="158">
      <c r="A158" s="81" t="s">
        <v>615</v>
      </c>
      <c r="B158" s="82" t="s">
        <v>74</v>
      </c>
      <c r="C158" s="82" t="s">
        <v>25</v>
      </c>
      <c r="D158" s="82">
        <v>7.0</v>
      </c>
    </row>
    <row r="159">
      <c r="A159" s="81" t="s">
        <v>266</v>
      </c>
      <c r="B159" s="82" t="s">
        <v>257</v>
      </c>
      <c r="C159" s="82" t="s">
        <v>169</v>
      </c>
      <c r="D159" s="82"/>
    </row>
    <row r="160">
      <c r="A160" s="81" t="s">
        <v>869</v>
      </c>
      <c r="B160" s="82" t="s">
        <v>257</v>
      </c>
      <c r="C160" s="82" t="s">
        <v>7</v>
      </c>
      <c r="D160" s="82"/>
    </row>
    <row r="161">
      <c r="A161" s="81" t="s">
        <v>475</v>
      </c>
      <c r="B161" s="82" t="s">
        <v>257</v>
      </c>
      <c r="C161" s="82" t="s">
        <v>16</v>
      </c>
      <c r="D161" s="82"/>
    </row>
    <row r="162">
      <c r="A162" s="81" t="s">
        <v>503</v>
      </c>
      <c r="B162" s="82" t="s">
        <v>104</v>
      </c>
      <c r="C162" s="82" t="s">
        <v>16</v>
      </c>
      <c r="D162" s="82">
        <v>7.0</v>
      </c>
    </row>
    <row r="163">
      <c r="A163" s="81" t="s">
        <v>433</v>
      </c>
      <c r="B163" s="82" t="s">
        <v>27</v>
      </c>
      <c r="C163" s="82" t="s">
        <v>16</v>
      </c>
      <c r="D163" s="82">
        <v>11.0</v>
      </c>
    </row>
    <row r="164">
      <c r="A164" s="81" t="s">
        <v>675</v>
      </c>
      <c r="B164" s="82" t="s">
        <v>257</v>
      </c>
      <c r="C164" s="82" t="s">
        <v>25</v>
      </c>
      <c r="D164" s="82"/>
    </row>
    <row r="165">
      <c r="A165" s="81" t="s">
        <v>325</v>
      </c>
      <c r="B165" s="82" t="s">
        <v>59</v>
      </c>
      <c r="C165" s="82" t="s">
        <v>25</v>
      </c>
      <c r="D165" s="82">
        <v>8.0</v>
      </c>
    </row>
    <row r="166">
      <c r="A166" s="81" t="s">
        <v>942</v>
      </c>
      <c r="B166" s="82" t="s">
        <v>69</v>
      </c>
      <c r="C166" s="82" t="s">
        <v>10</v>
      </c>
      <c r="D166" s="82">
        <v>5.0</v>
      </c>
    </row>
    <row r="167">
      <c r="A167" s="81" t="s">
        <v>518</v>
      </c>
      <c r="B167" s="82" t="s">
        <v>1007</v>
      </c>
      <c r="C167" s="82" t="s">
        <v>7</v>
      </c>
      <c r="D167" s="82">
        <v>8.0</v>
      </c>
    </row>
    <row r="168">
      <c r="A168" s="81" t="s">
        <v>189</v>
      </c>
      <c r="B168" s="82" t="s">
        <v>74</v>
      </c>
      <c r="C168" s="82" t="s">
        <v>169</v>
      </c>
      <c r="D168" s="82">
        <v>7.0</v>
      </c>
    </row>
    <row r="169">
      <c r="A169" s="81" t="s">
        <v>424</v>
      </c>
      <c r="B169" s="82" t="s">
        <v>257</v>
      </c>
      <c r="C169" s="82" t="s">
        <v>25</v>
      </c>
      <c r="D169" s="82"/>
    </row>
    <row r="170">
      <c r="A170" s="81" t="s">
        <v>213</v>
      </c>
      <c r="B170" s="82" t="s">
        <v>77</v>
      </c>
      <c r="C170" s="82" t="s">
        <v>1116</v>
      </c>
      <c r="D170" s="82">
        <v>11.0</v>
      </c>
    </row>
    <row r="171">
      <c r="A171" s="81" t="s">
        <v>188</v>
      </c>
      <c r="B171" s="82" t="s">
        <v>59</v>
      </c>
      <c r="C171" s="82" t="s">
        <v>169</v>
      </c>
      <c r="D171" s="82">
        <v>8.0</v>
      </c>
    </row>
    <row r="172">
      <c r="A172" s="81" t="s">
        <v>41</v>
      </c>
      <c r="B172" s="82" t="s">
        <v>40</v>
      </c>
      <c r="C172" s="82" t="s">
        <v>7</v>
      </c>
      <c r="D172" s="82">
        <v>6.0</v>
      </c>
    </row>
    <row r="173">
      <c r="A173" s="81" t="s">
        <v>306</v>
      </c>
      <c r="B173" s="82" t="s">
        <v>104</v>
      </c>
      <c r="C173" s="82" t="s">
        <v>25</v>
      </c>
      <c r="D173" s="82">
        <v>7.0</v>
      </c>
    </row>
    <row r="174">
      <c r="A174" s="81" t="s">
        <v>46</v>
      </c>
      <c r="B174" s="82" t="s">
        <v>38</v>
      </c>
      <c r="C174" s="82" t="s">
        <v>25</v>
      </c>
      <c r="D174" s="82">
        <v>12.0</v>
      </c>
    </row>
    <row r="175">
      <c r="A175" s="81" t="s">
        <v>147</v>
      </c>
      <c r="B175" s="82" t="s">
        <v>134</v>
      </c>
      <c r="C175" s="82" t="s">
        <v>16</v>
      </c>
      <c r="D175" s="82">
        <v>11.0</v>
      </c>
    </row>
    <row r="176">
      <c r="A176" s="81" t="s">
        <v>538</v>
      </c>
      <c r="B176" s="82" t="s">
        <v>257</v>
      </c>
      <c r="C176" s="82" t="s">
        <v>25</v>
      </c>
      <c r="D176" s="82"/>
    </row>
    <row r="177">
      <c r="A177" s="81" t="s">
        <v>538</v>
      </c>
      <c r="B177" s="82" t="s">
        <v>257</v>
      </c>
      <c r="C177" s="82" t="s">
        <v>25</v>
      </c>
      <c r="D177" s="82"/>
    </row>
    <row r="178">
      <c r="A178" s="81" t="s">
        <v>1068</v>
      </c>
      <c r="B178" s="82" t="s">
        <v>257</v>
      </c>
      <c r="C178" s="82" t="s">
        <v>7</v>
      </c>
      <c r="D178" s="82"/>
    </row>
    <row r="179">
      <c r="A179" s="81" t="s">
        <v>631</v>
      </c>
      <c r="B179" s="82" t="s">
        <v>69</v>
      </c>
      <c r="C179" s="82" t="s">
        <v>25</v>
      </c>
      <c r="D179" s="82">
        <v>5.0</v>
      </c>
    </row>
    <row r="180">
      <c r="A180" s="81" t="s">
        <v>380</v>
      </c>
      <c r="B180" s="82" t="s">
        <v>6</v>
      </c>
      <c r="C180" s="82" t="s">
        <v>16</v>
      </c>
      <c r="D180" s="82">
        <v>12.0</v>
      </c>
    </row>
    <row r="181">
      <c r="A181" s="81" t="s">
        <v>588</v>
      </c>
      <c r="B181" s="82" t="s">
        <v>12</v>
      </c>
      <c r="C181" s="82" t="s">
        <v>25</v>
      </c>
      <c r="D181" s="82">
        <v>8.0</v>
      </c>
    </row>
    <row r="182">
      <c r="A182" s="81" t="s">
        <v>591</v>
      </c>
      <c r="B182" s="82" t="s">
        <v>104</v>
      </c>
      <c r="C182" s="82" t="s">
        <v>7</v>
      </c>
      <c r="D182" s="82">
        <v>7.0</v>
      </c>
    </row>
    <row r="183">
      <c r="A183" s="81" t="s">
        <v>591</v>
      </c>
      <c r="B183" s="82" t="s">
        <v>27</v>
      </c>
      <c r="C183" s="82" t="s">
        <v>25</v>
      </c>
      <c r="D183" s="82">
        <v>11.0</v>
      </c>
    </row>
    <row r="184">
      <c r="A184" s="81" t="s">
        <v>837</v>
      </c>
      <c r="B184" s="82" t="s">
        <v>257</v>
      </c>
      <c r="C184" s="82" t="s">
        <v>7</v>
      </c>
      <c r="D184" s="82"/>
    </row>
    <row r="185">
      <c r="A185" s="81" t="s">
        <v>837</v>
      </c>
      <c r="B185" s="82" t="s">
        <v>257</v>
      </c>
      <c r="C185" s="82" t="s">
        <v>7</v>
      </c>
      <c r="D185" s="82"/>
    </row>
    <row r="186">
      <c r="A186" s="81" t="s">
        <v>517</v>
      </c>
      <c r="B186" s="82" t="s">
        <v>44</v>
      </c>
      <c r="C186" s="82" t="s">
        <v>25</v>
      </c>
      <c r="D186" s="82">
        <v>10.0</v>
      </c>
    </row>
    <row r="187">
      <c r="A187" s="81" t="s">
        <v>148</v>
      </c>
      <c r="B187" s="82" t="s">
        <v>1007</v>
      </c>
      <c r="C187" s="82" t="s">
        <v>25</v>
      </c>
      <c r="D187" s="82">
        <v>8.0</v>
      </c>
    </row>
    <row r="188">
      <c r="A188" s="81" t="s">
        <v>5</v>
      </c>
      <c r="B188" s="82" t="s">
        <v>6</v>
      </c>
      <c r="C188" s="82" t="s">
        <v>7</v>
      </c>
      <c r="D188" s="82">
        <v>12.0</v>
      </c>
    </row>
    <row r="189">
      <c r="A189" s="81" t="s">
        <v>849</v>
      </c>
      <c r="B189" s="82" t="s">
        <v>48</v>
      </c>
      <c r="C189" s="82" t="s">
        <v>7</v>
      </c>
      <c r="D189" s="82">
        <v>11.0</v>
      </c>
    </row>
    <row r="190">
      <c r="A190" s="81" t="s">
        <v>849</v>
      </c>
      <c r="B190" s="82" t="s">
        <v>48</v>
      </c>
      <c r="C190" s="82" t="s">
        <v>7</v>
      </c>
      <c r="D190" s="82">
        <v>11.0</v>
      </c>
    </row>
    <row r="191">
      <c r="A191" s="81" t="s">
        <v>889</v>
      </c>
      <c r="B191" s="82" t="s">
        <v>257</v>
      </c>
      <c r="C191" s="82" t="s">
        <v>7</v>
      </c>
      <c r="D191" s="82"/>
    </row>
    <row r="192">
      <c r="A192" s="81" t="s">
        <v>201</v>
      </c>
      <c r="B192" s="82" t="s">
        <v>61</v>
      </c>
      <c r="C192" s="82" t="s">
        <v>1116</v>
      </c>
      <c r="D192" s="82">
        <v>9.0</v>
      </c>
    </row>
    <row r="193">
      <c r="A193" s="81" t="s">
        <v>774</v>
      </c>
      <c r="B193" s="82" t="s">
        <v>22</v>
      </c>
      <c r="C193" s="82" t="s">
        <v>7</v>
      </c>
      <c r="D193" s="82">
        <v>7.0</v>
      </c>
    </row>
    <row r="194">
      <c r="A194" s="81" t="s">
        <v>1006</v>
      </c>
      <c r="B194" s="82" t="s">
        <v>14</v>
      </c>
      <c r="C194" s="82" t="s">
        <v>10</v>
      </c>
      <c r="D194" s="82">
        <v>10.0</v>
      </c>
    </row>
    <row r="195">
      <c r="A195" s="81" t="s">
        <v>234</v>
      </c>
      <c r="B195" s="82" t="s">
        <v>54</v>
      </c>
      <c r="C195" s="82" t="s">
        <v>1116</v>
      </c>
      <c r="D195" s="82">
        <v>9.0</v>
      </c>
    </row>
    <row r="196">
      <c r="A196" s="81" t="s">
        <v>1069</v>
      </c>
      <c r="B196" s="82" t="s">
        <v>257</v>
      </c>
      <c r="C196" s="82" t="s">
        <v>16</v>
      </c>
      <c r="D196" s="82"/>
    </row>
    <row r="197">
      <c r="A197" s="81" t="s">
        <v>35</v>
      </c>
      <c r="B197" s="82" t="s">
        <v>9</v>
      </c>
      <c r="C197" s="82" t="s">
        <v>7</v>
      </c>
      <c r="D197" s="82">
        <v>10.0</v>
      </c>
    </row>
    <row r="198">
      <c r="A198" s="81" t="s">
        <v>442</v>
      </c>
      <c r="B198" s="82" t="s">
        <v>38</v>
      </c>
      <c r="C198" s="82" t="s">
        <v>16</v>
      </c>
      <c r="D198" s="82">
        <v>12.0</v>
      </c>
    </row>
    <row r="199">
      <c r="A199" s="81" t="s">
        <v>700</v>
      </c>
      <c r="B199" s="82" t="s">
        <v>29</v>
      </c>
      <c r="C199" s="82" t="s">
        <v>25</v>
      </c>
      <c r="D199" s="82">
        <v>11.0</v>
      </c>
    </row>
    <row r="200">
      <c r="A200" s="81" t="s">
        <v>641</v>
      </c>
      <c r="B200" s="82" t="s">
        <v>34</v>
      </c>
      <c r="C200" s="82" t="s">
        <v>25</v>
      </c>
      <c r="D200" s="82">
        <v>7.0</v>
      </c>
    </row>
    <row r="201">
      <c r="A201" s="81" t="s">
        <v>956</v>
      </c>
      <c r="B201" s="82" t="s">
        <v>257</v>
      </c>
      <c r="C201" s="82" t="s">
        <v>10</v>
      </c>
      <c r="D201" s="82"/>
    </row>
    <row r="202">
      <c r="A202" s="81" t="s">
        <v>737</v>
      </c>
      <c r="B202" s="82" t="s">
        <v>92</v>
      </c>
      <c r="C202" s="82" t="s">
        <v>25</v>
      </c>
      <c r="D202" s="82">
        <v>8.0</v>
      </c>
    </row>
    <row r="203">
      <c r="A203" s="81" t="s">
        <v>273</v>
      </c>
      <c r="B203" s="82" t="s">
        <v>257</v>
      </c>
      <c r="C203" s="82" t="s">
        <v>169</v>
      </c>
      <c r="D203" s="82"/>
    </row>
    <row r="204">
      <c r="A204" s="81" t="s">
        <v>429</v>
      </c>
      <c r="B204" s="82" t="s">
        <v>40</v>
      </c>
      <c r="C204" s="82" t="s">
        <v>16</v>
      </c>
      <c r="D204" s="82">
        <v>6.0</v>
      </c>
    </row>
    <row r="205">
      <c r="A205" s="81" t="s">
        <v>282</v>
      </c>
      <c r="B205" s="82" t="s">
        <v>48</v>
      </c>
      <c r="C205" s="82" t="s">
        <v>25</v>
      </c>
      <c r="D205" s="82">
        <v>11.0</v>
      </c>
    </row>
    <row r="206">
      <c r="A206" s="81" t="s">
        <v>448</v>
      </c>
      <c r="B206" s="82" t="s">
        <v>14</v>
      </c>
      <c r="C206" s="82" t="s">
        <v>16</v>
      </c>
      <c r="D206" s="82">
        <v>10.0</v>
      </c>
    </row>
    <row r="207">
      <c r="A207" s="81" t="s">
        <v>339</v>
      </c>
      <c r="B207" s="82" t="s">
        <v>77</v>
      </c>
      <c r="C207" s="82" t="s">
        <v>16</v>
      </c>
      <c r="D207" s="82">
        <v>11.0</v>
      </c>
    </row>
    <row r="208">
      <c r="A208" s="81" t="s">
        <v>1070</v>
      </c>
      <c r="B208" s="82" t="s">
        <v>34</v>
      </c>
      <c r="C208" s="82" t="s">
        <v>10</v>
      </c>
      <c r="D208" s="82">
        <v>7.0</v>
      </c>
    </row>
    <row r="209">
      <c r="A209" s="81" t="s">
        <v>462</v>
      </c>
      <c r="B209" s="82" t="s">
        <v>24</v>
      </c>
      <c r="C209" s="82" t="s">
        <v>16</v>
      </c>
      <c r="D209" s="82">
        <v>6.0</v>
      </c>
    </row>
    <row r="210">
      <c r="A210" s="81" t="s">
        <v>975</v>
      </c>
      <c r="B210" s="82" t="s">
        <v>257</v>
      </c>
      <c r="C210" s="82" t="s">
        <v>10</v>
      </c>
      <c r="D210" s="82"/>
    </row>
    <row r="211">
      <c r="A211" s="81" t="s">
        <v>601</v>
      </c>
      <c r="B211" s="82" t="s">
        <v>104</v>
      </c>
      <c r="C211" s="82" t="s">
        <v>25</v>
      </c>
      <c r="D211" s="82">
        <v>7.0</v>
      </c>
    </row>
    <row r="212">
      <c r="A212" s="81" t="s">
        <v>941</v>
      </c>
      <c r="B212" s="82" t="s">
        <v>29</v>
      </c>
      <c r="C212" s="82" t="s">
        <v>10</v>
      </c>
      <c r="D212" s="82">
        <v>11.0</v>
      </c>
    </row>
    <row r="213">
      <c r="A213" s="81" t="s">
        <v>97</v>
      </c>
      <c r="B213" s="82" t="s">
        <v>233</v>
      </c>
      <c r="C213" s="82" t="s">
        <v>25</v>
      </c>
      <c r="D213" s="82">
        <v>9.0</v>
      </c>
    </row>
    <row r="214">
      <c r="A214" s="81" t="s">
        <v>967</v>
      </c>
      <c r="B214" s="82" t="s">
        <v>29</v>
      </c>
      <c r="C214" s="82" t="s">
        <v>10</v>
      </c>
      <c r="D214" s="82">
        <v>11.0</v>
      </c>
    </row>
    <row r="215">
      <c r="A215" s="81" t="s">
        <v>511</v>
      </c>
      <c r="B215" s="82" t="s">
        <v>77</v>
      </c>
      <c r="C215" s="82" t="s">
        <v>25</v>
      </c>
      <c r="D215" s="82">
        <v>11.0</v>
      </c>
    </row>
    <row r="216">
      <c r="A216" s="81" t="s">
        <v>772</v>
      </c>
      <c r="B216" s="82" t="s">
        <v>32</v>
      </c>
      <c r="C216" s="82" t="s">
        <v>7</v>
      </c>
      <c r="D216" s="82">
        <v>9.0</v>
      </c>
    </row>
    <row r="217">
      <c r="A217" s="81" t="s">
        <v>566</v>
      </c>
      <c r="B217" s="82" t="s">
        <v>29</v>
      </c>
      <c r="C217" s="82" t="s">
        <v>25</v>
      </c>
      <c r="D217" s="82">
        <v>11.0</v>
      </c>
    </row>
    <row r="218">
      <c r="A218" s="81" t="s">
        <v>299</v>
      </c>
      <c r="B218" s="82" t="s">
        <v>34</v>
      </c>
      <c r="C218" s="82" t="s">
        <v>25</v>
      </c>
      <c r="D218" s="82">
        <v>7.0</v>
      </c>
    </row>
    <row r="219">
      <c r="A219" s="81" t="s">
        <v>875</v>
      </c>
      <c r="B219" s="82" t="s">
        <v>257</v>
      </c>
      <c r="C219" s="82" t="s">
        <v>7</v>
      </c>
      <c r="D219" s="82"/>
    </row>
    <row r="220">
      <c r="A220" s="81" t="s">
        <v>62</v>
      </c>
      <c r="B220" s="82" t="s">
        <v>63</v>
      </c>
      <c r="C220" s="82" t="s">
        <v>25</v>
      </c>
      <c r="D220" s="82">
        <v>8.0</v>
      </c>
    </row>
    <row r="221">
      <c r="A221" s="81" t="s">
        <v>850</v>
      </c>
      <c r="B221" s="82" t="s">
        <v>44</v>
      </c>
      <c r="C221" s="82" t="s">
        <v>7</v>
      </c>
      <c r="D221" s="82">
        <v>10.0</v>
      </c>
    </row>
    <row r="222">
      <c r="A222" s="81" t="s">
        <v>850</v>
      </c>
      <c r="B222" s="82" t="s">
        <v>44</v>
      </c>
      <c r="C222" s="82" t="s">
        <v>7</v>
      </c>
      <c r="D222" s="82">
        <v>10.0</v>
      </c>
    </row>
    <row r="223">
      <c r="A223" s="81" t="s">
        <v>128</v>
      </c>
      <c r="B223" s="82" t="s">
        <v>6</v>
      </c>
      <c r="C223" s="82" t="s">
        <v>25</v>
      </c>
      <c r="D223" s="82">
        <v>12.0</v>
      </c>
    </row>
    <row r="224">
      <c r="A224" s="81" t="s">
        <v>1071</v>
      </c>
      <c r="B224" s="82" t="s">
        <v>38</v>
      </c>
      <c r="C224" s="82" t="s">
        <v>25</v>
      </c>
      <c r="D224" s="82">
        <v>12.0</v>
      </c>
    </row>
    <row r="225">
      <c r="A225" s="81" t="s">
        <v>825</v>
      </c>
      <c r="B225" s="82" t="s">
        <v>1007</v>
      </c>
      <c r="C225" s="82" t="s">
        <v>7</v>
      </c>
      <c r="D225" s="82">
        <v>8.0</v>
      </c>
    </row>
    <row r="226">
      <c r="A226" s="81" t="s">
        <v>368</v>
      </c>
      <c r="B226" s="82" t="s">
        <v>63</v>
      </c>
      <c r="C226" s="82" t="s">
        <v>25</v>
      </c>
      <c r="D226" s="82">
        <v>8.0</v>
      </c>
    </row>
    <row r="227">
      <c r="A227" s="81" t="s">
        <v>45</v>
      </c>
      <c r="B227" s="82" t="s">
        <v>14</v>
      </c>
      <c r="C227" s="82" t="s">
        <v>10</v>
      </c>
      <c r="D227" s="82">
        <v>10.0</v>
      </c>
    </row>
    <row r="228">
      <c r="A228" s="81" t="s">
        <v>218</v>
      </c>
      <c r="B228" s="82" t="s">
        <v>14</v>
      </c>
      <c r="C228" s="82" t="s">
        <v>1116</v>
      </c>
      <c r="D228" s="82">
        <v>10.0</v>
      </c>
    </row>
    <row r="229">
      <c r="A229" s="81" t="s">
        <v>158</v>
      </c>
      <c r="B229" s="82" t="s">
        <v>32</v>
      </c>
      <c r="C229" s="82" t="s">
        <v>16</v>
      </c>
      <c r="D229" s="82">
        <v>9.0</v>
      </c>
    </row>
    <row r="230">
      <c r="A230" s="81" t="s">
        <v>372</v>
      </c>
      <c r="B230" s="82" t="s">
        <v>86</v>
      </c>
      <c r="C230" s="82" t="s">
        <v>16</v>
      </c>
      <c r="D230" s="82">
        <v>6.0</v>
      </c>
    </row>
    <row r="231">
      <c r="A231" s="81" t="s">
        <v>338</v>
      </c>
      <c r="B231" s="82" t="s">
        <v>14</v>
      </c>
      <c r="C231" s="82" t="s">
        <v>16</v>
      </c>
      <c r="D231" s="82">
        <v>10.0</v>
      </c>
    </row>
    <row r="232">
      <c r="A232" s="81" t="s">
        <v>21</v>
      </c>
      <c r="B232" s="82" t="s">
        <v>22</v>
      </c>
      <c r="C232" s="82" t="s">
        <v>7</v>
      </c>
      <c r="D232" s="82">
        <v>7.0</v>
      </c>
    </row>
    <row r="233">
      <c r="A233" s="81" t="s">
        <v>913</v>
      </c>
      <c r="B233" s="82" t="s">
        <v>34</v>
      </c>
      <c r="C233" s="82" t="s">
        <v>7</v>
      </c>
      <c r="D233" s="82">
        <v>7.0</v>
      </c>
    </row>
    <row r="234">
      <c r="A234" s="81" t="s">
        <v>611</v>
      </c>
      <c r="B234" s="82" t="s">
        <v>29</v>
      </c>
      <c r="C234" s="82" t="s">
        <v>25</v>
      </c>
      <c r="D234" s="82">
        <v>11.0</v>
      </c>
    </row>
    <row r="235">
      <c r="A235" s="81" t="s">
        <v>335</v>
      </c>
      <c r="B235" s="82" t="s">
        <v>86</v>
      </c>
      <c r="C235" s="82" t="s">
        <v>7</v>
      </c>
      <c r="D235" s="82">
        <v>6.0</v>
      </c>
    </row>
    <row r="236">
      <c r="A236" s="81" t="s">
        <v>870</v>
      </c>
      <c r="B236" s="82" t="s">
        <v>9</v>
      </c>
      <c r="C236" s="82" t="s">
        <v>7</v>
      </c>
      <c r="D236" s="82">
        <v>10.0</v>
      </c>
    </row>
    <row r="237">
      <c r="A237" s="81" t="s">
        <v>515</v>
      </c>
      <c r="B237" s="82" t="s">
        <v>86</v>
      </c>
      <c r="C237" s="82" t="s">
        <v>25</v>
      </c>
      <c r="D237" s="82">
        <v>6.0</v>
      </c>
    </row>
    <row r="238">
      <c r="A238" s="81" t="s">
        <v>660</v>
      </c>
      <c r="B238" s="82" t="s">
        <v>54</v>
      </c>
      <c r="C238" s="82" t="s">
        <v>25</v>
      </c>
      <c r="D238" s="82">
        <v>9.0</v>
      </c>
    </row>
    <row r="239">
      <c r="A239" s="81" t="s">
        <v>1072</v>
      </c>
      <c r="B239" s="82" t="s">
        <v>61</v>
      </c>
      <c r="C239" s="82" t="s">
        <v>25</v>
      </c>
      <c r="D239" s="82">
        <v>9.0</v>
      </c>
    </row>
    <row r="240">
      <c r="A240" s="81" t="s">
        <v>288</v>
      </c>
      <c r="B240" s="82" t="s">
        <v>1007</v>
      </c>
      <c r="C240" s="82" t="s">
        <v>16</v>
      </c>
      <c r="D240" s="82">
        <v>8.0</v>
      </c>
    </row>
    <row r="241">
      <c r="A241" s="81" t="s">
        <v>191</v>
      </c>
      <c r="B241" s="82" t="s">
        <v>22</v>
      </c>
      <c r="C241" s="82" t="s">
        <v>169</v>
      </c>
      <c r="D241" s="82">
        <v>7.0</v>
      </c>
    </row>
    <row r="242">
      <c r="A242" s="81" t="s">
        <v>153</v>
      </c>
      <c r="B242" s="82" t="s">
        <v>69</v>
      </c>
      <c r="C242" s="82" t="s">
        <v>7</v>
      </c>
      <c r="D242" s="82">
        <v>5.0</v>
      </c>
    </row>
    <row r="243">
      <c r="A243" s="81" t="s">
        <v>414</v>
      </c>
      <c r="B243" s="82" t="s">
        <v>134</v>
      </c>
      <c r="C243" s="82" t="s">
        <v>16</v>
      </c>
      <c r="D243" s="82">
        <v>11.0</v>
      </c>
    </row>
    <row r="244">
      <c r="A244" s="81" t="s">
        <v>204</v>
      </c>
      <c r="B244" s="82" t="s">
        <v>18</v>
      </c>
      <c r="C244" s="82" t="s">
        <v>169</v>
      </c>
      <c r="D244" s="82">
        <v>6.0</v>
      </c>
    </row>
    <row r="245">
      <c r="A245" s="81" t="s">
        <v>248</v>
      </c>
      <c r="B245" s="82" t="s">
        <v>29</v>
      </c>
      <c r="C245" s="82" t="s">
        <v>10</v>
      </c>
      <c r="D245" s="82">
        <v>11.0</v>
      </c>
    </row>
    <row r="246">
      <c r="A246" s="81" t="s">
        <v>313</v>
      </c>
      <c r="B246" s="82" t="s">
        <v>69</v>
      </c>
      <c r="C246" s="82" t="s">
        <v>25</v>
      </c>
      <c r="D246" s="82">
        <v>5.0</v>
      </c>
    </row>
    <row r="247">
      <c r="A247" s="81" t="s">
        <v>1000</v>
      </c>
      <c r="B247" s="82" t="s">
        <v>44</v>
      </c>
      <c r="C247" s="82" t="s">
        <v>10</v>
      </c>
      <c r="D247" s="82">
        <v>10.0</v>
      </c>
    </row>
    <row r="248">
      <c r="A248" s="81" t="s">
        <v>851</v>
      </c>
      <c r="B248" s="82" t="s">
        <v>86</v>
      </c>
      <c r="C248" s="82" t="s">
        <v>7</v>
      </c>
      <c r="D248" s="82">
        <v>6.0</v>
      </c>
    </row>
    <row r="249">
      <c r="A249" s="81" t="s">
        <v>766</v>
      </c>
      <c r="B249" s="82" t="s">
        <v>38</v>
      </c>
      <c r="C249" s="82" t="s">
        <v>7</v>
      </c>
      <c r="D249" s="82">
        <v>12.0</v>
      </c>
    </row>
    <row r="250">
      <c r="A250" s="81" t="s">
        <v>792</v>
      </c>
      <c r="B250" s="82" t="s">
        <v>14</v>
      </c>
      <c r="C250" s="82" t="s">
        <v>7</v>
      </c>
      <c r="D250" s="82">
        <v>10.0</v>
      </c>
    </row>
    <row r="251">
      <c r="A251" s="81" t="s">
        <v>792</v>
      </c>
      <c r="B251" s="82" t="s">
        <v>14</v>
      </c>
      <c r="C251" s="82" t="s">
        <v>7</v>
      </c>
      <c r="D251" s="82">
        <v>10.0</v>
      </c>
    </row>
    <row r="252">
      <c r="A252" s="81" t="s">
        <v>859</v>
      </c>
      <c r="B252" s="82" t="s">
        <v>74</v>
      </c>
      <c r="C252" s="82" t="s">
        <v>7</v>
      </c>
      <c r="D252" s="82">
        <v>7.0</v>
      </c>
    </row>
    <row r="253">
      <c r="A253" s="81" t="s">
        <v>563</v>
      </c>
      <c r="B253" s="82" t="s">
        <v>96</v>
      </c>
      <c r="C253" s="82" t="s">
        <v>25</v>
      </c>
      <c r="D253" s="82">
        <v>10.0</v>
      </c>
    </row>
    <row r="254">
      <c r="A254" s="81" t="s">
        <v>156</v>
      </c>
      <c r="B254" s="82" t="s">
        <v>29</v>
      </c>
      <c r="C254" s="82" t="s">
        <v>25</v>
      </c>
      <c r="D254" s="82">
        <v>11.0</v>
      </c>
    </row>
    <row r="255">
      <c r="A255" s="81" t="s">
        <v>565</v>
      </c>
      <c r="B255" s="82" t="s">
        <v>77</v>
      </c>
      <c r="C255" s="82" t="s">
        <v>25</v>
      </c>
      <c r="D255" s="82">
        <v>11.0</v>
      </c>
    </row>
    <row r="256">
      <c r="A256" s="81" t="s">
        <v>542</v>
      </c>
      <c r="B256" s="82" t="s">
        <v>9</v>
      </c>
      <c r="C256" s="82" t="s">
        <v>7</v>
      </c>
      <c r="D256" s="82">
        <v>10.0</v>
      </c>
    </row>
    <row r="257">
      <c r="A257" s="81" t="s">
        <v>403</v>
      </c>
      <c r="B257" s="82" t="s">
        <v>1007</v>
      </c>
      <c r="C257" s="82" t="s">
        <v>16</v>
      </c>
      <c r="D257" s="82">
        <v>8.0</v>
      </c>
    </row>
    <row r="258">
      <c r="A258" s="81" t="s">
        <v>326</v>
      </c>
      <c r="B258" s="82" t="s">
        <v>233</v>
      </c>
      <c r="C258" s="82" t="s">
        <v>7</v>
      </c>
      <c r="D258" s="82">
        <v>9.0</v>
      </c>
    </row>
    <row r="259">
      <c r="A259" s="81" t="s">
        <v>280</v>
      </c>
      <c r="B259" s="82" t="s">
        <v>20</v>
      </c>
      <c r="C259" s="82" t="s">
        <v>16</v>
      </c>
      <c r="D259" s="82">
        <v>8.0</v>
      </c>
    </row>
    <row r="260">
      <c r="A260" s="81" t="s">
        <v>1073</v>
      </c>
      <c r="B260" s="82" t="s">
        <v>257</v>
      </c>
      <c r="C260" s="82" t="s">
        <v>7</v>
      </c>
      <c r="D260" s="82"/>
    </row>
    <row r="261">
      <c r="A261" s="81" t="s">
        <v>49</v>
      </c>
      <c r="B261" s="82" t="s">
        <v>18</v>
      </c>
      <c r="C261" s="82" t="s">
        <v>16</v>
      </c>
      <c r="D261" s="82">
        <v>6.0</v>
      </c>
    </row>
    <row r="262">
      <c r="A262" s="81" t="s">
        <v>718</v>
      </c>
      <c r="B262" s="82" t="s">
        <v>257</v>
      </c>
      <c r="C262" s="82" t="s">
        <v>25</v>
      </c>
      <c r="D262" s="82"/>
    </row>
    <row r="263">
      <c r="A263" s="81" t="s">
        <v>718</v>
      </c>
      <c r="B263" s="82" t="s">
        <v>257</v>
      </c>
      <c r="C263" s="82" t="s">
        <v>25</v>
      </c>
      <c r="D263" s="82"/>
    </row>
    <row r="264">
      <c r="A264" s="81" t="s">
        <v>415</v>
      </c>
      <c r="B264" s="82" t="s">
        <v>34</v>
      </c>
      <c r="C264" s="82" t="s">
        <v>7</v>
      </c>
      <c r="D264" s="82">
        <v>7.0</v>
      </c>
    </row>
    <row r="265">
      <c r="A265" s="81" t="s">
        <v>626</v>
      </c>
      <c r="B265" s="82" t="s">
        <v>92</v>
      </c>
      <c r="C265" s="82" t="s">
        <v>25</v>
      </c>
      <c r="D265" s="82">
        <v>8.0</v>
      </c>
    </row>
    <row r="266">
      <c r="A266" s="81" t="s">
        <v>793</v>
      </c>
      <c r="B266" s="82" t="s">
        <v>9</v>
      </c>
      <c r="C266" s="82" t="s">
        <v>7</v>
      </c>
      <c r="D266" s="82">
        <v>10.0</v>
      </c>
    </row>
    <row r="267">
      <c r="A267" s="81" t="s">
        <v>55</v>
      </c>
      <c r="B267" s="82" t="s">
        <v>56</v>
      </c>
      <c r="C267" s="82" t="s">
        <v>25</v>
      </c>
      <c r="D267" s="82">
        <v>5.0</v>
      </c>
    </row>
    <row r="268">
      <c r="A268" s="81" t="s">
        <v>1005</v>
      </c>
      <c r="B268" s="82" t="s">
        <v>69</v>
      </c>
      <c r="C268" s="82" t="s">
        <v>10</v>
      </c>
      <c r="D268" s="82">
        <v>5.0</v>
      </c>
    </row>
    <row r="269">
      <c r="A269" s="81" t="s">
        <v>990</v>
      </c>
      <c r="B269" s="82" t="s">
        <v>134</v>
      </c>
      <c r="C269" s="82" t="s">
        <v>10</v>
      </c>
      <c r="D269" s="82">
        <v>11.0</v>
      </c>
    </row>
    <row r="270">
      <c r="A270" s="81" t="s">
        <v>1030</v>
      </c>
      <c r="B270" s="82" t="s">
        <v>257</v>
      </c>
      <c r="C270" s="82" t="s">
        <v>7</v>
      </c>
      <c r="D270" s="82"/>
    </row>
    <row r="271">
      <c r="A271" s="81" t="s">
        <v>450</v>
      </c>
      <c r="B271" s="82" t="s">
        <v>257</v>
      </c>
      <c r="C271" s="82" t="s">
        <v>16</v>
      </c>
      <c r="D271" s="82"/>
    </row>
    <row r="272">
      <c r="A272" s="81" t="s">
        <v>67</v>
      </c>
      <c r="B272" s="82" t="s">
        <v>20</v>
      </c>
      <c r="C272" s="82" t="s">
        <v>7</v>
      </c>
      <c r="D272" s="82">
        <v>8.0</v>
      </c>
    </row>
    <row r="273">
      <c r="A273" s="81" t="s">
        <v>142</v>
      </c>
      <c r="B273" s="82" t="s">
        <v>77</v>
      </c>
      <c r="C273" s="82" t="s">
        <v>7</v>
      </c>
      <c r="D273" s="82">
        <v>11.0</v>
      </c>
    </row>
    <row r="274">
      <c r="A274" s="81" t="s">
        <v>384</v>
      </c>
      <c r="B274" s="82" t="s">
        <v>40</v>
      </c>
      <c r="C274" s="82" t="s">
        <v>25</v>
      </c>
      <c r="D274" s="82">
        <v>6.0</v>
      </c>
    </row>
    <row r="275">
      <c r="A275" s="81" t="s">
        <v>446</v>
      </c>
      <c r="B275" s="82" t="s">
        <v>257</v>
      </c>
      <c r="C275" s="82" t="s">
        <v>16</v>
      </c>
      <c r="D275" s="82"/>
    </row>
    <row r="276">
      <c r="A276" s="81" t="s">
        <v>318</v>
      </c>
      <c r="B276" s="82" t="s">
        <v>54</v>
      </c>
      <c r="C276" s="82" t="s">
        <v>16</v>
      </c>
      <c r="D276" s="82">
        <v>9.0</v>
      </c>
    </row>
    <row r="277">
      <c r="A277" s="81" t="s">
        <v>867</v>
      </c>
      <c r="B277" s="82" t="s">
        <v>257</v>
      </c>
      <c r="C277" s="82" t="s">
        <v>7</v>
      </c>
      <c r="D277" s="82"/>
    </row>
    <row r="278">
      <c r="A278" s="81" t="s">
        <v>1001</v>
      </c>
      <c r="B278" s="82" t="s">
        <v>48</v>
      </c>
      <c r="C278" s="82" t="s">
        <v>10</v>
      </c>
      <c r="D278" s="82">
        <v>11.0</v>
      </c>
    </row>
    <row r="279">
      <c r="A279" s="81" t="s">
        <v>243</v>
      </c>
      <c r="B279" s="82" t="s">
        <v>48</v>
      </c>
      <c r="C279" s="82" t="s">
        <v>16</v>
      </c>
      <c r="D279" s="82">
        <v>11.0</v>
      </c>
    </row>
    <row r="280">
      <c r="A280" s="81" t="s">
        <v>573</v>
      </c>
      <c r="B280" s="82" t="s">
        <v>20</v>
      </c>
      <c r="C280" s="82" t="s">
        <v>25</v>
      </c>
      <c r="D280" s="82">
        <v>8.0</v>
      </c>
    </row>
    <row r="281">
      <c r="A281" s="81" t="s">
        <v>51</v>
      </c>
      <c r="B281" s="82" t="s">
        <v>1007</v>
      </c>
      <c r="C281" s="82" t="s">
        <v>25</v>
      </c>
      <c r="D281" s="82">
        <v>8.0</v>
      </c>
    </row>
    <row r="282">
      <c r="A282" s="81" t="s">
        <v>596</v>
      </c>
      <c r="B282" s="82" t="s">
        <v>9</v>
      </c>
      <c r="C282" s="82" t="s">
        <v>7</v>
      </c>
      <c r="D282" s="82">
        <v>10.0</v>
      </c>
    </row>
    <row r="283">
      <c r="A283" s="81" t="s">
        <v>609</v>
      </c>
      <c r="B283" s="82" t="s">
        <v>6</v>
      </c>
      <c r="C283" s="82" t="s">
        <v>25</v>
      </c>
      <c r="D283" s="82">
        <v>12.0</v>
      </c>
    </row>
    <row r="284">
      <c r="A284" s="81" t="s">
        <v>740</v>
      </c>
      <c r="B284" s="82" t="s">
        <v>12</v>
      </c>
      <c r="C284" s="82" t="s">
        <v>25</v>
      </c>
      <c r="D284" s="82">
        <v>8.0</v>
      </c>
    </row>
    <row r="285">
      <c r="A285" s="81" t="s">
        <v>300</v>
      </c>
      <c r="B285" s="82" t="s">
        <v>104</v>
      </c>
      <c r="C285" s="82" t="s">
        <v>25</v>
      </c>
      <c r="D285" s="82">
        <v>7.0</v>
      </c>
    </row>
    <row r="286">
      <c r="A286" s="81" t="s">
        <v>646</v>
      </c>
      <c r="B286" s="82" t="s">
        <v>27</v>
      </c>
      <c r="C286" s="82" t="s">
        <v>25</v>
      </c>
      <c r="D286" s="82">
        <v>11.0</v>
      </c>
    </row>
    <row r="287">
      <c r="A287" s="81" t="s">
        <v>786</v>
      </c>
      <c r="B287" s="82" t="s">
        <v>40</v>
      </c>
      <c r="C287" s="82" t="s">
        <v>7</v>
      </c>
      <c r="D287" s="82">
        <v>6.0</v>
      </c>
    </row>
    <row r="288">
      <c r="A288" s="81" t="s">
        <v>838</v>
      </c>
      <c r="B288" s="82" t="s">
        <v>257</v>
      </c>
      <c r="C288" s="82" t="s">
        <v>7</v>
      </c>
      <c r="D288" s="82"/>
    </row>
    <row r="289">
      <c r="A289" s="81" t="s">
        <v>838</v>
      </c>
      <c r="B289" s="82" t="s">
        <v>257</v>
      </c>
      <c r="C289" s="82" t="s">
        <v>7</v>
      </c>
      <c r="D289" s="82"/>
    </row>
    <row r="290">
      <c r="A290" s="81" t="s">
        <v>481</v>
      </c>
      <c r="B290" s="82" t="s">
        <v>257</v>
      </c>
      <c r="C290" s="82" t="s">
        <v>16</v>
      </c>
      <c r="D290" s="82"/>
    </row>
    <row r="291">
      <c r="A291" s="81" t="s">
        <v>513</v>
      </c>
      <c r="B291" s="82" t="s">
        <v>9</v>
      </c>
      <c r="C291" s="82" t="s">
        <v>25</v>
      </c>
      <c r="D291" s="82">
        <v>10.0</v>
      </c>
    </row>
    <row r="292">
      <c r="A292" s="81" t="s">
        <v>716</v>
      </c>
      <c r="B292" s="82" t="s">
        <v>257</v>
      </c>
      <c r="C292" s="82" t="s">
        <v>25</v>
      </c>
      <c r="D292" s="82"/>
    </row>
    <row r="293">
      <c r="A293" s="81" t="s">
        <v>716</v>
      </c>
      <c r="B293" s="82" t="s">
        <v>257</v>
      </c>
      <c r="C293" s="82" t="s">
        <v>25</v>
      </c>
      <c r="D293" s="82"/>
    </row>
    <row r="294">
      <c r="A294" s="81" t="s">
        <v>365</v>
      </c>
      <c r="B294" s="82" t="s">
        <v>77</v>
      </c>
      <c r="C294" s="82" t="s">
        <v>16</v>
      </c>
      <c r="D294" s="82">
        <v>11.0</v>
      </c>
    </row>
    <row r="295">
      <c r="A295" s="81" t="s">
        <v>177</v>
      </c>
      <c r="B295" s="82" t="s">
        <v>63</v>
      </c>
      <c r="C295" s="82" t="s">
        <v>1116</v>
      </c>
      <c r="D295" s="82">
        <v>8.0</v>
      </c>
    </row>
    <row r="296">
      <c r="A296" s="81" t="s">
        <v>307</v>
      </c>
      <c r="B296" s="82" t="s">
        <v>134</v>
      </c>
      <c r="C296" s="82" t="s">
        <v>25</v>
      </c>
      <c r="D296" s="82">
        <v>11.0</v>
      </c>
    </row>
    <row r="297">
      <c r="A297" s="81" t="s">
        <v>656</v>
      </c>
      <c r="B297" s="82" t="s">
        <v>59</v>
      </c>
      <c r="C297" s="82" t="s">
        <v>25</v>
      </c>
      <c r="D297" s="82">
        <v>8.0</v>
      </c>
    </row>
    <row r="298">
      <c r="A298" s="81" t="s">
        <v>397</v>
      </c>
      <c r="B298" s="82" t="s">
        <v>9</v>
      </c>
      <c r="C298" s="82" t="s">
        <v>16</v>
      </c>
      <c r="D298" s="82">
        <v>10.0</v>
      </c>
    </row>
    <row r="299">
      <c r="A299" s="81" t="s">
        <v>1074</v>
      </c>
      <c r="B299" s="82" t="s">
        <v>32</v>
      </c>
      <c r="C299" s="82" t="s">
        <v>25</v>
      </c>
      <c r="D299" s="82">
        <v>9.0</v>
      </c>
    </row>
    <row r="300">
      <c r="A300" s="81" t="s">
        <v>532</v>
      </c>
      <c r="B300" s="82" t="s">
        <v>24</v>
      </c>
      <c r="C300" s="82" t="s">
        <v>25</v>
      </c>
      <c r="D300" s="82">
        <v>6.0</v>
      </c>
    </row>
    <row r="301">
      <c r="A301" s="81" t="s">
        <v>747</v>
      </c>
      <c r="B301" s="82" t="s">
        <v>257</v>
      </c>
      <c r="C301" s="82" t="s">
        <v>25</v>
      </c>
      <c r="D301" s="82"/>
    </row>
    <row r="302">
      <c r="A302" s="81" t="s">
        <v>981</v>
      </c>
      <c r="B302" s="82" t="s">
        <v>257</v>
      </c>
      <c r="C302" s="82" t="s">
        <v>10</v>
      </c>
      <c r="D302" s="82"/>
    </row>
    <row r="303">
      <c r="A303" s="81" t="s">
        <v>100</v>
      </c>
      <c r="B303" s="82" t="s">
        <v>18</v>
      </c>
      <c r="C303" s="82" t="s">
        <v>10</v>
      </c>
      <c r="D303" s="82">
        <v>6.0</v>
      </c>
    </row>
    <row r="304">
      <c r="A304" s="81" t="s">
        <v>382</v>
      </c>
      <c r="B304" s="82" t="s">
        <v>18</v>
      </c>
      <c r="C304" s="82" t="s">
        <v>16</v>
      </c>
      <c r="D304" s="82">
        <v>6.0</v>
      </c>
    </row>
    <row r="305">
      <c r="A305" s="81" t="s">
        <v>810</v>
      </c>
      <c r="B305" s="82" t="s">
        <v>59</v>
      </c>
      <c r="C305" s="82" t="s">
        <v>7</v>
      </c>
      <c r="D305" s="82">
        <v>8.0</v>
      </c>
    </row>
    <row r="306">
      <c r="A306" s="81" t="s">
        <v>813</v>
      </c>
      <c r="B306" s="82" t="s">
        <v>54</v>
      </c>
      <c r="C306" s="82" t="s">
        <v>7</v>
      </c>
      <c r="D306" s="82">
        <v>9.0</v>
      </c>
    </row>
    <row r="307">
      <c r="A307" s="81" t="s">
        <v>33</v>
      </c>
      <c r="B307" s="82" t="s">
        <v>34</v>
      </c>
      <c r="C307" s="82" t="s">
        <v>7</v>
      </c>
      <c r="D307" s="82">
        <v>7.0</v>
      </c>
    </row>
    <row r="308">
      <c r="A308" s="81" t="s">
        <v>702</v>
      </c>
      <c r="B308" s="82" t="s">
        <v>257</v>
      </c>
      <c r="C308" s="82" t="s">
        <v>25</v>
      </c>
      <c r="D308" s="82"/>
    </row>
    <row r="309">
      <c r="A309" s="81" t="s">
        <v>903</v>
      </c>
      <c r="B309" s="82" t="s">
        <v>92</v>
      </c>
      <c r="C309" s="82" t="s">
        <v>7</v>
      </c>
      <c r="D309" s="82">
        <v>8.0</v>
      </c>
    </row>
    <row r="310">
      <c r="A310" s="81" t="s">
        <v>144</v>
      </c>
      <c r="B310" s="82" t="s">
        <v>32</v>
      </c>
      <c r="C310" s="82" t="s">
        <v>25</v>
      </c>
      <c r="D310" s="82">
        <v>9.0</v>
      </c>
    </row>
    <row r="311">
      <c r="A311" s="81" t="s">
        <v>19</v>
      </c>
      <c r="B311" s="82" t="s">
        <v>20</v>
      </c>
      <c r="C311" s="82" t="s">
        <v>10</v>
      </c>
      <c r="D311" s="82">
        <v>8.0</v>
      </c>
    </row>
    <row r="312">
      <c r="A312" s="81" t="s">
        <v>996</v>
      </c>
      <c r="B312" s="82" t="s">
        <v>257</v>
      </c>
      <c r="C312" s="82" t="s">
        <v>10</v>
      </c>
      <c r="D312" s="82"/>
    </row>
    <row r="313">
      <c r="A313" s="81" t="s">
        <v>206</v>
      </c>
      <c r="B313" s="82" t="s">
        <v>69</v>
      </c>
      <c r="C313" s="82" t="s">
        <v>1116</v>
      </c>
      <c r="D313" s="82">
        <v>5.0</v>
      </c>
    </row>
    <row r="314">
      <c r="A314" s="81" t="s">
        <v>844</v>
      </c>
      <c r="B314" s="82" t="s">
        <v>257</v>
      </c>
      <c r="C314" s="82" t="s">
        <v>7</v>
      </c>
      <c r="D314" s="82"/>
    </row>
    <row r="315">
      <c r="A315" s="81" t="s">
        <v>844</v>
      </c>
      <c r="B315" s="82" t="s">
        <v>257</v>
      </c>
      <c r="C315" s="82" t="s">
        <v>7</v>
      </c>
      <c r="D315" s="82"/>
    </row>
    <row r="316">
      <c r="A316" s="81" t="s">
        <v>101</v>
      </c>
      <c r="B316" s="82" t="s">
        <v>102</v>
      </c>
      <c r="C316" s="82" t="s">
        <v>25</v>
      </c>
      <c r="D316" s="82">
        <v>11.0</v>
      </c>
    </row>
    <row r="317">
      <c r="A317" s="81" t="s">
        <v>314</v>
      </c>
      <c r="B317" s="82" t="s">
        <v>86</v>
      </c>
      <c r="C317" s="82" t="s">
        <v>16</v>
      </c>
      <c r="D317" s="82">
        <v>6.0</v>
      </c>
    </row>
    <row r="318">
      <c r="A318" s="81" t="s">
        <v>399</v>
      </c>
      <c r="B318" s="82" t="s">
        <v>12</v>
      </c>
      <c r="C318" s="82" t="s">
        <v>25</v>
      </c>
      <c r="D318" s="82">
        <v>8.0</v>
      </c>
    </row>
    <row r="319">
      <c r="A319" s="81" t="s">
        <v>689</v>
      </c>
      <c r="B319" s="82" t="s">
        <v>56</v>
      </c>
      <c r="C319" s="82" t="s">
        <v>25</v>
      </c>
      <c r="D319" s="82">
        <v>5.0</v>
      </c>
    </row>
    <row r="320">
      <c r="A320" s="81" t="s">
        <v>122</v>
      </c>
      <c r="B320" s="82" t="s">
        <v>48</v>
      </c>
      <c r="C320" s="82" t="s">
        <v>7</v>
      </c>
      <c r="D320" s="82">
        <v>11.0</v>
      </c>
    </row>
    <row r="321">
      <c r="A321" s="81" t="s">
        <v>572</v>
      </c>
      <c r="B321" s="82" t="s">
        <v>14</v>
      </c>
      <c r="C321" s="82" t="s">
        <v>25</v>
      </c>
      <c r="D321" s="82">
        <v>10.0</v>
      </c>
    </row>
    <row r="322">
      <c r="A322" s="81" t="s">
        <v>819</v>
      </c>
      <c r="B322" s="82" t="s">
        <v>104</v>
      </c>
      <c r="C322" s="82" t="s">
        <v>7</v>
      </c>
      <c r="D322" s="82">
        <v>7.0</v>
      </c>
    </row>
    <row r="323">
      <c r="A323" s="81" t="s">
        <v>997</v>
      </c>
      <c r="B323" s="82" t="s">
        <v>59</v>
      </c>
      <c r="C323" s="82" t="s">
        <v>10</v>
      </c>
      <c r="D323" s="82">
        <v>8.0</v>
      </c>
    </row>
    <row r="324">
      <c r="A324" s="81" t="s">
        <v>1018</v>
      </c>
      <c r="B324" s="82" t="s">
        <v>257</v>
      </c>
      <c r="C324" s="82" t="s">
        <v>7</v>
      </c>
      <c r="D324" s="82"/>
    </row>
    <row r="325">
      <c r="A325" s="81" t="s">
        <v>787</v>
      </c>
      <c r="B325" s="82" t="s">
        <v>18</v>
      </c>
      <c r="C325" s="82" t="s">
        <v>7</v>
      </c>
      <c r="D325" s="82">
        <v>6.0</v>
      </c>
    </row>
    <row r="326">
      <c r="A326" s="81" t="s">
        <v>833</v>
      </c>
      <c r="B326" s="82" t="s">
        <v>56</v>
      </c>
      <c r="C326" s="82" t="s">
        <v>7</v>
      </c>
      <c r="D326" s="82">
        <v>5.0</v>
      </c>
    </row>
    <row r="327">
      <c r="A327" s="81" t="s">
        <v>715</v>
      </c>
      <c r="B327" s="82" t="s">
        <v>257</v>
      </c>
      <c r="C327" s="82" t="s">
        <v>25</v>
      </c>
      <c r="D327" s="82"/>
    </row>
    <row r="328">
      <c r="A328" s="81" t="s">
        <v>715</v>
      </c>
      <c r="B328" s="82" t="s">
        <v>257</v>
      </c>
      <c r="C328" s="82" t="s">
        <v>25</v>
      </c>
      <c r="D328" s="82"/>
    </row>
    <row r="329">
      <c r="A329" s="81" t="s">
        <v>578</v>
      </c>
      <c r="B329" s="82" t="s">
        <v>74</v>
      </c>
      <c r="C329" s="82" t="s">
        <v>25</v>
      </c>
      <c r="D329" s="82">
        <v>7.0</v>
      </c>
    </row>
    <row r="330">
      <c r="A330" s="81" t="s">
        <v>1075</v>
      </c>
      <c r="B330" s="82" t="s">
        <v>22</v>
      </c>
      <c r="C330" s="82" t="s">
        <v>25</v>
      </c>
      <c r="D330" s="82">
        <v>7.0</v>
      </c>
    </row>
    <row r="331">
      <c r="A331" s="81" t="s">
        <v>767</v>
      </c>
      <c r="B331" s="82" t="s">
        <v>29</v>
      </c>
      <c r="C331" s="82" t="s">
        <v>7</v>
      </c>
      <c r="D331" s="82">
        <v>11.0</v>
      </c>
    </row>
    <row r="332">
      <c r="A332" s="81" t="s">
        <v>485</v>
      </c>
      <c r="B332" s="82" t="s">
        <v>257</v>
      </c>
      <c r="C332" s="82" t="s">
        <v>16</v>
      </c>
      <c r="D332" s="82"/>
    </row>
    <row r="333">
      <c r="A333" s="81" t="s">
        <v>121</v>
      </c>
      <c r="B333" s="82" t="s">
        <v>59</v>
      </c>
      <c r="C333" s="82" t="s">
        <v>25</v>
      </c>
      <c r="D333" s="82">
        <v>8.0</v>
      </c>
    </row>
    <row r="334">
      <c r="A334" s="81" t="s">
        <v>599</v>
      </c>
      <c r="B334" s="82" t="s">
        <v>63</v>
      </c>
      <c r="C334" s="82" t="s">
        <v>25</v>
      </c>
      <c r="D334" s="82">
        <v>8.0</v>
      </c>
    </row>
    <row r="335">
      <c r="A335" s="81" t="s">
        <v>103</v>
      </c>
      <c r="B335" s="82" t="s">
        <v>104</v>
      </c>
      <c r="C335" s="82" t="s">
        <v>25</v>
      </c>
      <c r="D335" s="82">
        <v>7.0</v>
      </c>
    </row>
    <row r="336">
      <c r="A336" s="81" t="s">
        <v>71</v>
      </c>
      <c r="B336" s="82" t="s">
        <v>6</v>
      </c>
      <c r="C336" s="82" t="s">
        <v>25</v>
      </c>
      <c r="D336" s="82">
        <v>12.0</v>
      </c>
    </row>
    <row r="337">
      <c r="A337" s="81" t="s">
        <v>75</v>
      </c>
      <c r="B337" s="82" t="s">
        <v>40</v>
      </c>
      <c r="C337" s="82" t="s">
        <v>25</v>
      </c>
      <c r="D337" s="82">
        <v>6.0</v>
      </c>
    </row>
    <row r="338">
      <c r="A338" s="81" t="s">
        <v>421</v>
      </c>
      <c r="B338" s="82" t="s">
        <v>96</v>
      </c>
      <c r="C338" s="82" t="s">
        <v>16</v>
      </c>
      <c r="D338" s="82">
        <v>10.0</v>
      </c>
    </row>
    <row r="339">
      <c r="A339" s="81" t="s">
        <v>498</v>
      </c>
      <c r="B339" s="82" t="s">
        <v>257</v>
      </c>
      <c r="C339" s="82" t="s">
        <v>16</v>
      </c>
      <c r="D339" s="82"/>
    </row>
    <row r="340">
      <c r="A340" s="81" t="s">
        <v>587</v>
      </c>
      <c r="B340" s="82" t="s">
        <v>54</v>
      </c>
      <c r="C340" s="82" t="s">
        <v>25</v>
      </c>
      <c r="D340" s="82">
        <v>9.0</v>
      </c>
    </row>
    <row r="341">
      <c r="A341" s="81" t="s">
        <v>736</v>
      </c>
      <c r="B341" s="82" t="s">
        <v>257</v>
      </c>
      <c r="C341" s="82" t="s">
        <v>25</v>
      </c>
      <c r="D341" s="82"/>
    </row>
    <row r="342">
      <c r="A342" s="81" t="s">
        <v>784</v>
      </c>
      <c r="B342" s="82" t="s">
        <v>54</v>
      </c>
      <c r="C342" s="82" t="s">
        <v>7</v>
      </c>
      <c r="D342" s="82">
        <v>9.0</v>
      </c>
    </row>
    <row r="343">
      <c r="A343" s="81" t="s">
        <v>345</v>
      </c>
      <c r="B343" s="82" t="s">
        <v>257</v>
      </c>
      <c r="C343" s="82" t="s">
        <v>25</v>
      </c>
      <c r="D343" s="82"/>
    </row>
    <row r="344">
      <c r="A344" s="81" t="s">
        <v>345</v>
      </c>
      <c r="B344" s="82" t="s">
        <v>257</v>
      </c>
      <c r="C344" s="82" t="s">
        <v>25</v>
      </c>
      <c r="D344" s="82"/>
    </row>
    <row r="345">
      <c r="A345" s="81" t="s">
        <v>729</v>
      </c>
      <c r="B345" s="82" t="s">
        <v>257</v>
      </c>
      <c r="C345" s="82" t="s">
        <v>25</v>
      </c>
      <c r="D345" s="82"/>
    </row>
    <row r="346">
      <c r="A346" s="81" t="s">
        <v>729</v>
      </c>
      <c r="B346" s="82" t="s">
        <v>257</v>
      </c>
      <c r="C346" s="82" t="s">
        <v>25</v>
      </c>
      <c r="D346" s="82"/>
    </row>
    <row r="347">
      <c r="A347" s="81" t="s">
        <v>887</v>
      </c>
      <c r="B347" s="82" t="s">
        <v>257</v>
      </c>
      <c r="C347" s="82" t="s">
        <v>7</v>
      </c>
      <c r="D347" s="82"/>
    </row>
    <row r="348">
      <c r="A348" s="81" t="s">
        <v>99</v>
      </c>
      <c r="B348" s="82" t="s">
        <v>24</v>
      </c>
      <c r="C348" s="82" t="s">
        <v>10</v>
      </c>
      <c r="D348" s="82">
        <v>6.0</v>
      </c>
    </row>
    <row r="349">
      <c r="A349" s="81" t="s">
        <v>252</v>
      </c>
      <c r="B349" s="82" t="s">
        <v>63</v>
      </c>
      <c r="C349" s="82" t="s">
        <v>10</v>
      </c>
      <c r="D349" s="82">
        <v>8.0</v>
      </c>
    </row>
    <row r="350">
      <c r="A350" s="81" t="s">
        <v>358</v>
      </c>
      <c r="B350" s="82" t="s">
        <v>61</v>
      </c>
      <c r="C350" s="82" t="s">
        <v>16</v>
      </c>
      <c r="D350" s="82">
        <v>9.0</v>
      </c>
    </row>
    <row r="351">
      <c r="A351" s="81" t="s">
        <v>978</v>
      </c>
      <c r="B351" s="82" t="s">
        <v>257</v>
      </c>
      <c r="C351" s="82" t="s">
        <v>10</v>
      </c>
      <c r="D351" s="82"/>
    </row>
    <row r="352">
      <c r="A352" s="81" t="s">
        <v>341</v>
      </c>
      <c r="B352" s="82" t="s">
        <v>20</v>
      </c>
      <c r="C352" s="82" t="s">
        <v>7</v>
      </c>
      <c r="D352" s="82">
        <v>8.0</v>
      </c>
    </row>
    <row r="353">
      <c r="A353" s="81" t="s">
        <v>621</v>
      </c>
      <c r="B353" s="82" t="s">
        <v>48</v>
      </c>
      <c r="C353" s="82" t="s">
        <v>25</v>
      </c>
      <c r="D353" s="82">
        <v>11.0</v>
      </c>
    </row>
    <row r="354">
      <c r="A354" s="81" t="s">
        <v>392</v>
      </c>
      <c r="B354" s="82" t="s">
        <v>102</v>
      </c>
      <c r="C354" s="82" t="s">
        <v>16</v>
      </c>
      <c r="D354" s="82">
        <v>11.0</v>
      </c>
    </row>
    <row r="355">
      <c r="A355" s="81" t="s">
        <v>208</v>
      </c>
      <c r="B355" s="82" t="s">
        <v>92</v>
      </c>
      <c r="C355" s="82" t="s">
        <v>169</v>
      </c>
      <c r="D355" s="82">
        <v>8.0</v>
      </c>
    </row>
    <row r="356">
      <c r="A356" s="81" t="s">
        <v>491</v>
      </c>
      <c r="B356" s="82" t="s">
        <v>257</v>
      </c>
      <c r="C356" s="82" t="s">
        <v>16</v>
      </c>
      <c r="D356" s="82"/>
    </row>
    <row r="357">
      <c r="A357" s="81" t="s">
        <v>725</v>
      </c>
      <c r="B357" s="82" t="s">
        <v>257</v>
      </c>
      <c r="C357" s="82" t="s">
        <v>25</v>
      </c>
      <c r="D357" s="82"/>
    </row>
    <row r="358">
      <c r="A358" s="81" t="s">
        <v>725</v>
      </c>
      <c r="B358" s="82" t="s">
        <v>257</v>
      </c>
      <c r="C358" s="82" t="s">
        <v>25</v>
      </c>
      <c r="D358" s="82"/>
    </row>
    <row r="359">
      <c r="A359" s="81" t="s">
        <v>290</v>
      </c>
      <c r="B359" s="82" t="s">
        <v>92</v>
      </c>
      <c r="C359" s="82" t="s">
        <v>10</v>
      </c>
      <c r="D359" s="82">
        <v>8.0</v>
      </c>
    </row>
    <row r="360">
      <c r="A360" s="81" t="s">
        <v>822</v>
      </c>
      <c r="B360" s="82" t="s">
        <v>24</v>
      </c>
      <c r="C360" s="82" t="s">
        <v>7</v>
      </c>
      <c r="D360" s="82">
        <v>6.0</v>
      </c>
    </row>
    <row r="361">
      <c r="A361" s="81" t="s">
        <v>492</v>
      </c>
      <c r="B361" s="82" t="s">
        <v>1007</v>
      </c>
      <c r="C361" s="82" t="s">
        <v>16</v>
      </c>
      <c r="D361" s="82">
        <v>8.0</v>
      </c>
    </row>
    <row r="362">
      <c r="A362" s="81" t="s">
        <v>1003</v>
      </c>
      <c r="B362" s="82" t="s">
        <v>96</v>
      </c>
      <c r="C362" s="82" t="s">
        <v>10</v>
      </c>
      <c r="D362" s="82">
        <v>10.0</v>
      </c>
    </row>
    <row r="363">
      <c r="A363" s="81" t="s">
        <v>478</v>
      </c>
      <c r="B363" s="82" t="s">
        <v>257</v>
      </c>
      <c r="C363" s="82" t="s">
        <v>16</v>
      </c>
      <c r="D363" s="82"/>
    </row>
    <row r="364">
      <c r="A364" s="81" t="s">
        <v>239</v>
      </c>
      <c r="B364" s="82" t="s">
        <v>77</v>
      </c>
      <c r="C364" s="82" t="s">
        <v>169</v>
      </c>
      <c r="D364" s="82">
        <v>11.0</v>
      </c>
    </row>
    <row r="365">
      <c r="A365" s="81" t="s">
        <v>980</v>
      </c>
      <c r="B365" s="82" t="s">
        <v>257</v>
      </c>
      <c r="C365" s="82" t="s">
        <v>10</v>
      </c>
      <c r="D365" s="82"/>
    </row>
    <row r="366">
      <c r="A366" s="81" t="s">
        <v>677</v>
      </c>
      <c r="B366" s="82" t="s">
        <v>257</v>
      </c>
      <c r="C366" s="82" t="s">
        <v>25</v>
      </c>
      <c r="D366" s="82"/>
    </row>
    <row r="367">
      <c r="A367" s="81" t="s">
        <v>832</v>
      </c>
      <c r="B367" s="82" t="s">
        <v>32</v>
      </c>
      <c r="C367" s="82" t="s">
        <v>7</v>
      </c>
      <c r="D367" s="82">
        <v>9.0</v>
      </c>
    </row>
    <row r="368">
      <c r="A368" s="81" t="s">
        <v>832</v>
      </c>
      <c r="B368" s="82" t="s">
        <v>32</v>
      </c>
      <c r="C368" s="82" t="s">
        <v>7</v>
      </c>
      <c r="D368" s="82">
        <v>9.0</v>
      </c>
    </row>
    <row r="369">
      <c r="A369" s="81" t="s">
        <v>862</v>
      </c>
      <c r="B369" s="82" t="s">
        <v>9</v>
      </c>
      <c r="C369" s="82" t="s">
        <v>7</v>
      </c>
      <c r="D369" s="82">
        <v>10.0</v>
      </c>
    </row>
    <row r="370">
      <c r="A370" s="81" t="s">
        <v>800</v>
      </c>
      <c r="B370" s="82" t="s">
        <v>29</v>
      </c>
      <c r="C370" s="82" t="s">
        <v>7</v>
      </c>
      <c r="D370" s="82">
        <v>11.0</v>
      </c>
    </row>
    <row r="371">
      <c r="A371" s="81" t="s">
        <v>1076</v>
      </c>
      <c r="B371" s="82" t="s">
        <v>92</v>
      </c>
      <c r="C371" s="82" t="s">
        <v>25</v>
      </c>
      <c r="D371" s="82">
        <v>8.0</v>
      </c>
    </row>
    <row r="372">
      <c r="A372" s="81" t="s">
        <v>138</v>
      </c>
      <c r="B372" s="82" t="s">
        <v>24</v>
      </c>
      <c r="C372" s="82" t="s">
        <v>25</v>
      </c>
      <c r="D372" s="82">
        <v>6.0</v>
      </c>
    </row>
    <row r="373">
      <c r="A373" s="81" t="s">
        <v>789</v>
      </c>
      <c r="B373" s="82" t="s">
        <v>1007</v>
      </c>
      <c r="C373" s="82" t="s">
        <v>7</v>
      </c>
      <c r="D373" s="82">
        <v>8.0</v>
      </c>
    </row>
    <row r="374">
      <c r="A374" s="81" t="s">
        <v>521</v>
      </c>
      <c r="B374" s="82" t="s">
        <v>56</v>
      </c>
      <c r="C374" s="82" t="s">
        <v>25</v>
      </c>
      <c r="D374" s="82">
        <v>5.0</v>
      </c>
    </row>
    <row r="375">
      <c r="A375" s="81" t="s">
        <v>136</v>
      </c>
      <c r="B375" s="82" t="s">
        <v>59</v>
      </c>
      <c r="C375" s="82" t="s">
        <v>16</v>
      </c>
      <c r="D375" s="82">
        <v>8.0</v>
      </c>
    </row>
    <row r="376">
      <c r="A376" s="81" t="s">
        <v>460</v>
      </c>
      <c r="B376" s="82" t="s">
        <v>77</v>
      </c>
      <c r="C376" s="82" t="s">
        <v>16</v>
      </c>
      <c r="D376" s="82">
        <v>11.0</v>
      </c>
    </row>
    <row r="377">
      <c r="A377" s="81" t="s">
        <v>1077</v>
      </c>
      <c r="B377" s="82" t="s">
        <v>29</v>
      </c>
      <c r="C377" s="82" t="s">
        <v>16</v>
      </c>
      <c r="D377" s="82">
        <v>11.0</v>
      </c>
    </row>
    <row r="378">
      <c r="A378" s="81" t="s">
        <v>1078</v>
      </c>
      <c r="B378" s="82" t="s">
        <v>257</v>
      </c>
      <c r="C378" s="82" t="s">
        <v>16</v>
      </c>
      <c r="D378" s="82"/>
    </row>
    <row r="379">
      <c r="A379" s="81" t="s">
        <v>451</v>
      </c>
      <c r="B379" s="82" t="s">
        <v>56</v>
      </c>
      <c r="C379" s="82" t="s">
        <v>16</v>
      </c>
      <c r="D379" s="82">
        <v>5.0</v>
      </c>
    </row>
    <row r="380">
      <c r="A380" s="81" t="s">
        <v>105</v>
      </c>
      <c r="B380" s="82" t="s">
        <v>29</v>
      </c>
      <c r="C380" s="82" t="s">
        <v>16</v>
      </c>
      <c r="D380" s="82">
        <v>11.0</v>
      </c>
    </row>
    <row r="381">
      <c r="A381" s="81" t="s">
        <v>13</v>
      </c>
      <c r="B381" s="82" t="s">
        <v>14</v>
      </c>
      <c r="C381" s="82" t="s">
        <v>7</v>
      </c>
      <c r="D381" s="82">
        <v>10.0</v>
      </c>
    </row>
    <row r="382">
      <c r="A382" s="81" t="s">
        <v>502</v>
      </c>
      <c r="B382" s="82" t="s">
        <v>18</v>
      </c>
      <c r="C382" s="82" t="s">
        <v>16</v>
      </c>
      <c r="D382" s="82">
        <v>6.0</v>
      </c>
    </row>
    <row r="383">
      <c r="A383" s="81" t="s">
        <v>567</v>
      </c>
      <c r="B383" s="82" t="s">
        <v>134</v>
      </c>
      <c r="C383" s="82" t="s">
        <v>7</v>
      </c>
      <c r="D383" s="82">
        <v>11.0</v>
      </c>
    </row>
    <row r="384">
      <c r="A384" s="81" t="s">
        <v>682</v>
      </c>
      <c r="B384" s="82" t="s">
        <v>63</v>
      </c>
      <c r="C384" s="82" t="s">
        <v>25</v>
      </c>
      <c r="D384" s="82">
        <v>8.0</v>
      </c>
    </row>
    <row r="385">
      <c r="A385" s="81" t="s">
        <v>669</v>
      </c>
      <c r="B385" s="82" t="s">
        <v>257</v>
      </c>
      <c r="C385" s="82" t="s">
        <v>25</v>
      </c>
      <c r="D385" s="82"/>
    </row>
    <row r="386">
      <c r="A386" s="81" t="s">
        <v>1079</v>
      </c>
      <c r="B386" s="82" t="s">
        <v>257</v>
      </c>
      <c r="C386" s="82" t="s">
        <v>16</v>
      </c>
      <c r="D386" s="82"/>
    </row>
    <row r="387">
      <c r="A387" s="81" t="s">
        <v>543</v>
      </c>
      <c r="B387" s="82" t="s">
        <v>48</v>
      </c>
      <c r="C387" s="82" t="s">
        <v>25</v>
      </c>
      <c r="D387" s="82">
        <v>11.0</v>
      </c>
    </row>
    <row r="388">
      <c r="A388" s="81" t="s">
        <v>246</v>
      </c>
      <c r="B388" s="82" t="s">
        <v>104</v>
      </c>
      <c r="C388" s="82" t="s">
        <v>10</v>
      </c>
      <c r="D388" s="82">
        <v>7.0</v>
      </c>
    </row>
    <row r="389">
      <c r="A389" s="81" t="s">
        <v>488</v>
      </c>
      <c r="B389" s="82" t="s">
        <v>257</v>
      </c>
      <c r="C389" s="82" t="s">
        <v>16</v>
      </c>
      <c r="D389" s="82"/>
    </row>
    <row r="390">
      <c r="A390" s="81" t="s">
        <v>496</v>
      </c>
      <c r="B390" s="82" t="s">
        <v>29</v>
      </c>
      <c r="C390" s="82" t="s">
        <v>16</v>
      </c>
      <c r="D390" s="82">
        <v>11.0</v>
      </c>
    </row>
    <row r="391">
      <c r="A391" s="81" t="s">
        <v>989</v>
      </c>
      <c r="B391" s="82" t="s">
        <v>54</v>
      </c>
      <c r="C391" s="82" t="s">
        <v>10</v>
      </c>
      <c r="D391" s="82">
        <v>9.0</v>
      </c>
    </row>
    <row r="392">
      <c r="A392" s="81" t="s">
        <v>463</v>
      </c>
      <c r="B392" s="82" t="s">
        <v>24</v>
      </c>
      <c r="C392" s="82" t="s">
        <v>16</v>
      </c>
      <c r="D392" s="82">
        <v>6.0</v>
      </c>
    </row>
    <row r="393">
      <c r="A393" s="81" t="s">
        <v>590</v>
      </c>
      <c r="B393" s="82" t="s">
        <v>102</v>
      </c>
      <c r="C393" s="82" t="s">
        <v>25</v>
      </c>
      <c r="D393" s="82">
        <v>11.0</v>
      </c>
    </row>
    <row r="394">
      <c r="A394" s="81" t="s">
        <v>697</v>
      </c>
      <c r="B394" s="82" t="s">
        <v>9</v>
      </c>
      <c r="C394" s="82" t="s">
        <v>25</v>
      </c>
      <c r="D394" s="82">
        <v>10.0</v>
      </c>
    </row>
    <row r="395">
      <c r="A395" s="81" t="s">
        <v>928</v>
      </c>
      <c r="B395" s="82" t="s">
        <v>40</v>
      </c>
      <c r="C395" s="82" t="s">
        <v>10</v>
      </c>
      <c r="D395" s="82">
        <v>6.0</v>
      </c>
    </row>
    <row r="396">
      <c r="A396" s="81" t="s">
        <v>420</v>
      </c>
      <c r="B396" s="82" t="s">
        <v>257</v>
      </c>
      <c r="C396" s="82" t="s">
        <v>16</v>
      </c>
      <c r="D396" s="82"/>
    </row>
    <row r="397">
      <c r="A397" s="81" t="s">
        <v>26</v>
      </c>
      <c r="B397" s="82" t="s">
        <v>27</v>
      </c>
      <c r="C397" s="82" t="s">
        <v>16</v>
      </c>
      <c r="D397" s="82">
        <v>11.0</v>
      </c>
    </row>
    <row r="398">
      <c r="A398" s="81" t="s">
        <v>304</v>
      </c>
      <c r="B398" s="82" t="s">
        <v>233</v>
      </c>
      <c r="C398" s="82" t="s">
        <v>16</v>
      </c>
      <c r="D398" s="82">
        <v>9.0</v>
      </c>
    </row>
    <row r="399">
      <c r="A399" s="81" t="s">
        <v>581</v>
      </c>
      <c r="B399" s="82" t="s">
        <v>69</v>
      </c>
      <c r="C399" s="82" t="s">
        <v>25</v>
      </c>
      <c r="D399" s="82">
        <v>5.0</v>
      </c>
    </row>
    <row r="400">
      <c r="A400" s="81" t="s">
        <v>642</v>
      </c>
      <c r="B400" s="82" t="s">
        <v>69</v>
      </c>
      <c r="C400" s="82" t="s">
        <v>25</v>
      </c>
      <c r="D400" s="82">
        <v>5.0</v>
      </c>
    </row>
    <row r="401">
      <c r="A401" s="81" t="s">
        <v>269</v>
      </c>
      <c r="B401" s="82" t="s">
        <v>257</v>
      </c>
      <c r="C401" s="82" t="s">
        <v>169</v>
      </c>
      <c r="D401" s="82"/>
    </row>
    <row r="402">
      <c r="A402" s="81" t="s">
        <v>520</v>
      </c>
      <c r="B402" s="82" t="s">
        <v>61</v>
      </c>
      <c r="C402" s="82" t="s">
        <v>7</v>
      </c>
      <c r="D402" s="82">
        <v>9.0</v>
      </c>
    </row>
    <row r="403">
      <c r="A403" s="81" t="s">
        <v>155</v>
      </c>
      <c r="B403" s="82" t="s">
        <v>29</v>
      </c>
      <c r="C403" s="82" t="s">
        <v>25</v>
      </c>
      <c r="D403" s="82">
        <v>11.0</v>
      </c>
    </row>
    <row r="404">
      <c r="A404" s="81" t="s">
        <v>203</v>
      </c>
      <c r="B404" s="82" t="s">
        <v>6</v>
      </c>
      <c r="C404" s="82" t="s">
        <v>169</v>
      </c>
      <c r="D404" s="82">
        <v>12.0</v>
      </c>
    </row>
    <row r="405">
      <c r="A405" s="81" t="s">
        <v>224</v>
      </c>
      <c r="B405" s="82" t="s">
        <v>56</v>
      </c>
      <c r="C405" s="82" t="s">
        <v>1116</v>
      </c>
      <c r="D405" s="82">
        <v>5.0</v>
      </c>
    </row>
    <row r="406">
      <c r="A406" s="81" t="s">
        <v>1080</v>
      </c>
      <c r="B406" s="82" t="s">
        <v>233</v>
      </c>
      <c r="C406" s="82" t="s">
        <v>25</v>
      </c>
      <c r="D406" s="82">
        <v>9.0</v>
      </c>
    </row>
    <row r="407">
      <c r="A407" s="81" t="s">
        <v>211</v>
      </c>
      <c r="B407" s="82" t="s">
        <v>34</v>
      </c>
      <c r="C407" s="82" t="s">
        <v>169</v>
      </c>
      <c r="D407" s="82">
        <v>7.0</v>
      </c>
    </row>
    <row r="408">
      <c r="A408" s="81" t="s">
        <v>281</v>
      </c>
      <c r="B408" s="82" t="s">
        <v>40</v>
      </c>
      <c r="C408" s="82" t="s">
        <v>16</v>
      </c>
      <c r="D408" s="82">
        <v>6.0</v>
      </c>
    </row>
    <row r="409">
      <c r="A409" s="81" t="s">
        <v>509</v>
      </c>
      <c r="B409" s="82" t="s">
        <v>32</v>
      </c>
      <c r="C409" s="82" t="s">
        <v>25</v>
      </c>
      <c r="D409" s="82">
        <v>9.0</v>
      </c>
    </row>
    <row r="410">
      <c r="A410" s="81" t="s">
        <v>196</v>
      </c>
      <c r="B410" s="82" t="s">
        <v>14</v>
      </c>
      <c r="C410" s="82" t="s">
        <v>169</v>
      </c>
      <c r="D410" s="82">
        <v>10.0</v>
      </c>
    </row>
    <row r="411">
      <c r="A411" s="81" t="s">
        <v>610</v>
      </c>
      <c r="B411" s="82" t="s">
        <v>86</v>
      </c>
      <c r="C411" s="82" t="s">
        <v>25</v>
      </c>
      <c r="D411" s="82">
        <v>6.0</v>
      </c>
    </row>
    <row r="412">
      <c r="A412" s="81" t="s">
        <v>547</v>
      </c>
      <c r="B412" s="82" t="s">
        <v>12</v>
      </c>
      <c r="C412" s="82" t="s">
        <v>7</v>
      </c>
      <c r="D412" s="82">
        <v>8.0</v>
      </c>
    </row>
    <row r="413">
      <c r="A413" s="81" t="s">
        <v>526</v>
      </c>
      <c r="B413" s="82" t="s">
        <v>1007</v>
      </c>
      <c r="C413" s="82" t="s">
        <v>25</v>
      </c>
      <c r="D413" s="82">
        <v>8.0</v>
      </c>
    </row>
    <row r="414">
      <c r="A414" s="81" t="s">
        <v>443</v>
      </c>
      <c r="B414" s="82" t="s">
        <v>257</v>
      </c>
      <c r="C414" s="82" t="s">
        <v>16</v>
      </c>
      <c r="D414" s="82"/>
    </row>
    <row r="415">
      <c r="A415" s="81" t="s">
        <v>407</v>
      </c>
      <c r="B415" s="82" t="s">
        <v>92</v>
      </c>
      <c r="C415" s="82" t="s">
        <v>16</v>
      </c>
      <c r="D415" s="82">
        <v>8.0</v>
      </c>
    </row>
    <row r="416">
      <c r="A416" s="81" t="s">
        <v>390</v>
      </c>
      <c r="B416" s="82" t="s">
        <v>54</v>
      </c>
      <c r="C416" s="82" t="s">
        <v>16</v>
      </c>
      <c r="D416" s="82">
        <v>9.0</v>
      </c>
    </row>
    <row r="417">
      <c r="A417" s="81" t="s">
        <v>170</v>
      </c>
      <c r="B417" s="82" t="s">
        <v>9</v>
      </c>
      <c r="C417" s="82" t="s">
        <v>169</v>
      </c>
      <c r="D417" s="82">
        <v>10.0</v>
      </c>
    </row>
    <row r="418">
      <c r="A418" s="81" t="s">
        <v>119</v>
      </c>
      <c r="B418" s="82" t="s">
        <v>44</v>
      </c>
      <c r="C418" s="82" t="s">
        <v>16</v>
      </c>
      <c r="D418" s="82">
        <v>10.0</v>
      </c>
    </row>
    <row r="419">
      <c r="A419" s="81" t="s">
        <v>143</v>
      </c>
      <c r="B419" s="82" t="s">
        <v>18</v>
      </c>
      <c r="C419" s="82" t="s">
        <v>25</v>
      </c>
      <c r="D419" s="82">
        <v>6.0</v>
      </c>
    </row>
    <row r="420">
      <c r="A420" s="81" t="s">
        <v>236</v>
      </c>
      <c r="B420" s="82" t="s">
        <v>20</v>
      </c>
      <c r="C420" s="82" t="s">
        <v>1116</v>
      </c>
      <c r="D420" s="82">
        <v>8.0</v>
      </c>
    </row>
    <row r="421">
      <c r="A421" s="81" t="s">
        <v>413</v>
      </c>
      <c r="B421" s="82" t="s">
        <v>69</v>
      </c>
      <c r="C421" s="82" t="s">
        <v>16</v>
      </c>
      <c r="D421" s="82">
        <v>5.0</v>
      </c>
    </row>
    <row r="422">
      <c r="A422" s="81" t="s">
        <v>120</v>
      </c>
      <c r="B422" s="82" t="s">
        <v>96</v>
      </c>
      <c r="C422" s="82" t="s">
        <v>16</v>
      </c>
      <c r="D422" s="82">
        <v>10.0</v>
      </c>
    </row>
    <row r="423">
      <c r="A423" s="81" t="s">
        <v>321</v>
      </c>
      <c r="B423" s="82" t="s">
        <v>18</v>
      </c>
      <c r="C423" s="82" t="s">
        <v>25</v>
      </c>
      <c r="D423" s="82">
        <v>6.0</v>
      </c>
    </row>
    <row r="424">
      <c r="A424" s="81" t="s">
        <v>255</v>
      </c>
      <c r="B424" s="82" t="s">
        <v>6</v>
      </c>
      <c r="C424" s="82" t="s">
        <v>16</v>
      </c>
      <c r="D424" s="82">
        <v>12.0</v>
      </c>
    </row>
    <row r="425">
      <c r="A425" s="81" t="s">
        <v>173</v>
      </c>
      <c r="B425" s="82" t="s">
        <v>74</v>
      </c>
      <c r="C425" s="82" t="s">
        <v>1116</v>
      </c>
      <c r="D425" s="82">
        <v>7.0</v>
      </c>
    </row>
    <row r="426">
      <c r="A426" s="81" t="s">
        <v>178</v>
      </c>
      <c r="B426" s="82" t="s">
        <v>22</v>
      </c>
      <c r="C426" s="82" t="s">
        <v>16</v>
      </c>
      <c r="D426" s="82">
        <v>7.0</v>
      </c>
    </row>
    <row r="427">
      <c r="A427" s="81" t="s">
        <v>435</v>
      </c>
      <c r="B427" s="82" t="s">
        <v>69</v>
      </c>
      <c r="C427" s="82" t="s">
        <v>16</v>
      </c>
      <c r="D427" s="82">
        <v>5.0</v>
      </c>
    </row>
    <row r="428">
      <c r="A428" s="81" t="s">
        <v>580</v>
      </c>
      <c r="B428" s="82" t="s">
        <v>20</v>
      </c>
      <c r="C428" s="82" t="s">
        <v>25</v>
      </c>
      <c r="D428" s="82">
        <v>8.0</v>
      </c>
    </row>
    <row r="429">
      <c r="A429" s="81" t="s">
        <v>868</v>
      </c>
      <c r="B429" s="82" t="s">
        <v>257</v>
      </c>
      <c r="C429" s="82" t="s">
        <v>7</v>
      </c>
      <c r="D429" s="82"/>
    </row>
    <row r="430">
      <c r="A430" s="81" t="s">
        <v>527</v>
      </c>
      <c r="B430" s="82" t="s">
        <v>102</v>
      </c>
      <c r="C430" s="82" t="s">
        <v>25</v>
      </c>
      <c r="D430" s="82">
        <v>11.0</v>
      </c>
    </row>
    <row r="431">
      <c r="A431" s="81" t="s">
        <v>569</v>
      </c>
      <c r="B431" s="82" t="s">
        <v>48</v>
      </c>
      <c r="C431" s="82" t="s">
        <v>25</v>
      </c>
      <c r="D431" s="82">
        <v>11.0</v>
      </c>
    </row>
    <row r="432">
      <c r="A432" s="81" t="s">
        <v>552</v>
      </c>
      <c r="B432" s="82" t="s">
        <v>48</v>
      </c>
      <c r="C432" s="82" t="s">
        <v>25</v>
      </c>
      <c r="D432" s="82">
        <v>11.0</v>
      </c>
    </row>
    <row r="433">
      <c r="A433" s="81" t="s">
        <v>701</v>
      </c>
      <c r="B433" s="82" t="s">
        <v>6</v>
      </c>
      <c r="C433" s="82" t="s">
        <v>25</v>
      </c>
      <c r="D433" s="82">
        <v>12.0</v>
      </c>
    </row>
    <row r="434">
      <c r="A434" s="81" t="s">
        <v>529</v>
      </c>
      <c r="B434" s="82" t="s">
        <v>44</v>
      </c>
      <c r="C434" s="82" t="s">
        <v>7</v>
      </c>
      <c r="D434" s="82">
        <v>10.0</v>
      </c>
    </row>
    <row r="435">
      <c r="A435" s="81" t="s">
        <v>598</v>
      </c>
      <c r="B435" s="82" t="s">
        <v>92</v>
      </c>
      <c r="C435" s="82" t="s">
        <v>7</v>
      </c>
      <c r="D435" s="82">
        <v>8.0</v>
      </c>
    </row>
    <row r="436">
      <c r="A436" s="81" t="s">
        <v>1081</v>
      </c>
      <c r="B436" s="82" t="s">
        <v>257</v>
      </c>
      <c r="C436" s="82" t="s">
        <v>25</v>
      </c>
      <c r="D436" s="82"/>
    </row>
    <row r="437">
      <c r="A437" s="81" t="s">
        <v>661</v>
      </c>
      <c r="B437" s="82" t="s">
        <v>257</v>
      </c>
      <c r="C437" s="82" t="s">
        <v>25</v>
      </c>
      <c r="D437" s="82"/>
    </row>
    <row r="438">
      <c r="A438" s="81" t="s">
        <v>301</v>
      </c>
      <c r="B438" s="82" t="s">
        <v>12</v>
      </c>
      <c r="C438" s="82" t="s">
        <v>7</v>
      </c>
      <c r="D438" s="82">
        <v>8.0</v>
      </c>
    </row>
    <row r="439">
      <c r="A439" s="81" t="s">
        <v>405</v>
      </c>
      <c r="B439" s="82" t="s">
        <v>77</v>
      </c>
      <c r="C439" s="82" t="s">
        <v>16</v>
      </c>
      <c r="D439" s="82">
        <v>11.0</v>
      </c>
    </row>
    <row r="440">
      <c r="A440" s="81" t="s">
        <v>958</v>
      </c>
      <c r="B440" s="82" t="s">
        <v>59</v>
      </c>
      <c r="C440" s="82" t="s">
        <v>10</v>
      </c>
      <c r="D440" s="82">
        <v>8.0</v>
      </c>
    </row>
    <row r="441">
      <c r="A441" s="81" t="s">
        <v>247</v>
      </c>
      <c r="B441" s="82" t="s">
        <v>56</v>
      </c>
      <c r="C441" s="82" t="s">
        <v>16</v>
      </c>
      <c r="D441" s="82">
        <v>5.0</v>
      </c>
    </row>
    <row r="442">
      <c r="A442" s="81" t="s">
        <v>125</v>
      </c>
      <c r="B442" s="82" t="s">
        <v>74</v>
      </c>
      <c r="C442" s="82" t="s">
        <v>16</v>
      </c>
      <c r="D442" s="82">
        <v>7.0</v>
      </c>
    </row>
    <row r="443">
      <c r="A443" s="81" t="s">
        <v>227</v>
      </c>
      <c r="B443" s="82" t="s">
        <v>104</v>
      </c>
      <c r="C443" s="82" t="s">
        <v>1116</v>
      </c>
      <c r="D443" s="82">
        <v>7.0</v>
      </c>
    </row>
    <row r="444">
      <c r="A444" s="81" t="s">
        <v>1082</v>
      </c>
      <c r="B444" s="82" t="s">
        <v>74</v>
      </c>
      <c r="C444" s="82" t="s">
        <v>10</v>
      </c>
      <c r="D444" s="82">
        <v>7.0</v>
      </c>
    </row>
    <row r="445">
      <c r="A445" s="81" t="s">
        <v>391</v>
      </c>
      <c r="B445" s="82" t="s">
        <v>40</v>
      </c>
      <c r="C445" s="82" t="s">
        <v>16</v>
      </c>
      <c r="D445" s="82">
        <v>6.0</v>
      </c>
    </row>
    <row r="446">
      <c r="A446" s="81" t="s">
        <v>931</v>
      </c>
      <c r="B446" s="82" t="s">
        <v>74</v>
      </c>
      <c r="C446" s="82" t="s">
        <v>10</v>
      </c>
      <c r="D446" s="82">
        <v>7.0</v>
      </c>
    </row>
    <row r="447">
      <c r="A447" s="81" t="s">
        <v>1083</v>
      </c>
      <c r="B447" s="82" t="s">
        <v>257</v>
      </c>
      <c r="C447" s="82" t="s">
        <v>7</v>
      </c>
      <c r="D447" s="82"/>
    </row>
    <row r="448">
      <c r="A448" s="81" t="s">
        <v>378</v>
      </c>
      <c r="B448" s="82" t="s">
        <v>44</v>
      </c>
      <c r="C448" s="82" t="s">
        <v>16</v>
      </c>
      <c r="D448" s="82">
        <v>10.0</v>
      </c>
    </row>
    <row r="449">
      <c r="A449" s="81" t="s">
        <v>471</v>
      </c>
      <c r="B449" s="82" t="s">
        <v>63</v>
      </c>
      <c r="C449" s="82" t="s">
        <v>16</v>
      </c>
      <c r="D449" s="82">
        <v>8.0</v>
      </c>
    </row>
    <row r="450">
      <c r="A450" s="81" t="s">
        <v>192</v>
      </c>
      <c r="B450" s="82" t="s">
        <v>32</v>
      </c>
      <c r="C450" s="82" t="s">
        <v>169</v>
      </c>
      <c r="D450" s="82">
        <v>9.0</v>
      </c>
    </row>
    <row r="451">
      <c r="A451" s="81" t="s">
        <v>1047</v>
      </c>
      <c r="B451" s="82" t="s">
        <v>48</v>
      </c>
      <c r="C451" s="82" t="s">
        <v>10</v>
      </c>
      <c r="D451" s="82">
        <v>11.0</v>
      </c>
    </row>
    <row r="452">
      <c r="A452" s="81" t="s">
        <v>349</v>
      </c>
      <c r="B452" s="82" t="s">
        <v>56</v>
      </c>
      <c r="C452" s="82" t="s">
        <v>25</v>
      </c>
      <c r="D452" s="82">
        <v>5.0</v>
      </c>
    </row>
    <row r="453">
      <c r="A453" s="81" t="s">
        <v>994</v>
      </c>
      <c r="B453" s="82" t="s">
        <v>104</v>
      </c>
      <c r="C453" s="82" t="s">
        <v>10</v>
      </c>
      <c r="D453" s="82">
        <v>7.0</v>
      </c>
    </row>
    <row r="454">
      <c r="A454" s="81" t="s">
        <v>955</v>
      </c>
      <c r="B454" s="82" t="s">
        <v>102</v>
      </c>
      <c r="C454" s="82" t="s">
        <v>10</v>
      </c>
      <c r="D454" s="82">
        <v>11.0</v>
      </c>
    </row>
    <row r="455">
      <c r="A455" s="81" t="s">
        <v>315</v>
      </c>
      <c r="B455" s="82" t="s">
        <v>102</v>
      </c>
      <c r="C455" s="82" t="s">
        <v>25</v>
      </c>
      <c r="D455" s="82">
        <v>11.0</v>
      </c>
    </row>
    <row r="456">
      <c r="A456" s="81" t="s">
        <v>817</v>
      </c>
      <c r="B456" s="82" t="s">
        <v>86</v>
      </c>
      <c r="C456" s="82" t="s">
        <v>7</v>
      </c>
      <c r="D456" s="82">
        <v>6.0</v>
      </c>
    </row>
    <row r="457">
      <c r="A457" s="81" t="s">
        <v>388</v>
      </c>
      <c r="B457" s="82" t="s">
        <v>86</v>
      </c>
      <c r="C457" s="82" t="s">
        <v>25</v>
      </c>
      <c r="D457" s="82">
        <v>6.0</v>
      </c>
    </row>
    <row r="458">
      <c r="A458" s="81" t="s">
        <v>549</v>
      </c>
      <c r="B458" s="82" t="s">
        <v>96</v>
      </c>
      <c r="C458" s="82" t="s">
        <v>25</v>
      </c>
      <c r="D458" s="82">
        <v>10.0</v>
      </c>
    </row>
    <row r="459">
      <c r="A459" s="81" t="s">
        <v>622</v>
      </c>
      <c r="B459" s="82" t="s">
        <v>27</v>
      </c>
      <c r="C459" s="82" t="s">
        <v>25</v>
      </c>
      <c r="D459" s="82">
        <v>11.0</v>
      </c>
    </row>
    <row r="460">
      <c r="A460" s="81" t="s">
        <v>922</v>
      </c>
      <c r="B460" s="82" t="s">
        <v>32</v>
      </c>
      <c r="C460" s="82" t="s">
        <v>10</v>
      </c>
      <c r="D460" s="82">
        <v>9.0</v>
      </c>
    </row>
    <row r="461">
      <c r="A461" s="81" t="s">
        <v>221</v>
      </c>
      <c r="B461" s="82" t="s">
        <v>32</v>
      </c>
      <c r="C461" s="82" t="s">
        <v>25</v>
      </c>
      <c r="D461" s="82">
        <v>9.0</v>
      </c>
    </row>
    <row r="462">
      <c r="A462" s="81" t="s">
        <v>528</v>
      </c>
      <c r="B462" s="82" t="s">
        <v>18</v>
      </c>
      <c r="C462" s="82" t="s">
        <v>7</v>
      </c>
      <c r="D462" s="82">
        <v>6.0</v>
      </c>
    </row>
    <row r="463">
      <c r="A463" s="81" t="s">
        <v>1084</v>
      </c>
      <c r="B463" s="82" t="s">
        <v>257</v>
      </c>
      <c r="C463" s="82" t="s">
        <v>25</v>
      </c>
      <c r="D463" s="82"/>
    </row>
    <row r="464">
      <c r="A464" s="81" t="s">
        <v>1085</v>
      </c>
      <c r="B464" s="82" t="s">
        <v>257</v>
      </c>
      <c r="C464" s="82" t="s">
        <v>7</v>
      </c>
      <c r="D464" s="82"/>
    </row>
    <row r="465">
      <c r="A465" s="81" t="s">
        <v>402</v>
      </c>
      <c r="B465" s="82" t="s">
        <v>56</v>
      </c>
      <c r="C465" s="82" t="s">
        <v>7</v>
      </c>
      <c r="D465" s="82">
        <v>5.0</v>
      </c>
    </row>
    <row r="466">
      <c r="A466" s="81" t="s">
        <v>535</v>
      </c>
      <c r="B466" s="82" t="s">
        <v>69</v>
      </c>
      <c r="C466" s="82" t="s">
        <v>25</v>
      </c>
      <c r="D466" s="82">
        <v>5.0</v>
      </c>
    </row>
    <row r="467">
      <c r="A467" s="81" t="s">
        <v>938</v>
      </c>
      <c r="B467" s="82" t="s">
        <v>24</v>
      </c>
      <c r="C467" s="82" t="s">
        <v>10</v>
      </c>
      <c r="D467" s="82">
        <v>6.0</v>
      </c>
    </row>
    <row r="468">
      <c r="A468" s="81" t="s">
        <v>112</v>
      </c>
      <c r="B468" s="82" t="s">
        <v>59</v>
      </c>
      <c r="C468" s="82" t="s">
        <v>7</v>
      </c>
      <c r="D468" s="82">
        <v>8.0</v>
      </c>
    </row>
    <row r="469">
      <c r="A469" s="81" t="s">
        <v>1086</v>
      </c>
      <c r="B469" s="82" t="s">
        <v>257</v>
      </c>
      <c r="C469" s="82" t="s">
        <v>7</v>
      </c>
      <c r="D469" s="82"/>
    </row>
    <row r="470">
      <c r="A470" s="81" t="s">
        <v>466</v>
      </c>
      <c r="B470" s="82" t="s">
        <v>56</v>
      </c>
      <c r="C470" s="82" t="s">
        <v>16</v>
      </c>
      <c r="D470" s="82">
        <v>5.0</v>
      </c>
    </row>
    <row r="471">
      <c r="A471" s="81" t="s">
        <v>951</v>
      </c>
      <c r="B471" s="82" t="s">
        <v>134</v>
      </c>
      <c r="C471" s="82" t="s">
        <v>10</v>
      </c>
      <c r="D471" s="82">
        <v>11.0</v>
      </c>
    </row>
    <row r="472">
      <c r="A472" s="81" t="s">
        <v>340</v>
      </c>
      <c r="B472" s="82" t="s">
        <v>104</v>
      </c>
      <c r="C472" s="82" t="s">
        <v>16</v>
      </c>
      <c r="D472" s="82">
        <v>7.0</v>
      </c>
    </row>
    <row r="473">
      <c r="A473" s="81" t="s">
        <v>577</v>
      </c>
      <c r="B473" s="82" t="s">
        <v>12</v>
      </c>
      <c r="C473" s="82" t="s">
        <v>25</v>
      </c>
      <c r="D473" s="82">
        <v>8.0</v>
      </c>
    </row>
    <row r="474">
      <c r="A474" s="81" t="s">
        <v>303</v>
      </c>
      <c r="B474" s="82" t="s">
        <v>59</v>
      </c>
      <c r="C474" s="82" t="s">
        <v>25</v>
      </c>
      <c r="D474" s="82">
        <v>8.0</v>
      </c>
    </row>
    <row r="475">
      <c r="A475" s="81" t="s">
        <v>312</v>
      </c>
      <c r="B475" s="82" t="s">
        <v>86</v>
      </c>
      <c r="C475" s="82" t="s">
        <v>7</v>
      </c>
      <c r="D475" s="82">
        <v>6.0</v>
      </c>
    </row>
    <row r="476">
      <c r="A476" s="81" t="s">
        <v>151</v>
      </c>
      <c r="B476" s="82" t="s">
        <v>134</v>
      </c>
      <c r="C476" s="82" t="s">
        <v>25</v>
      </c>
      <c r="D476" s="82">
        <v>11.0</v>
      </c>
    </row>
    <row r="477">
      <c r="A477" s="81" t="s">
        <v>893</v>
      </c>
      <c r="B477" s="82" t="s">
        <v>14</v>
      </c>
      <c r="C477" s="82" t="s">
        <v>7</v>
      </c>
      <c r="D477" s="82">
        <v>10.0</v>
      </c>
    </row>
    <row r="478">
      <c r="A478" s="81" t="s">
        <v>839</v>
      </c>
      <c r="B478" s="82" t="s">
        <v>27</v>
      </c>
      <c r="C478" s="82" t="s">
        <v>7</v>
      </c>
      <c r="D478" s="82">
        <v>11.0</v>
      </c>
    </row>
    <row r="479">
      <c r="A479" s="81" t="s">
        <v>839</v>
      </c>
      <c r="B479" s="82" t="s">
        <v>27</v>
      </c>
      <c r="C479" s="82" t="s">
        <v>7</v>
      </c>
      <c r="D479" s="82">
        <v>11.0</v>
      </c>
    </row>
    <row r="480">
      <c r="A480" s="81" t="s">
        <v>709</v>
      </c>
      <c r="B480" s="82" t="s">
        <v>257</v>
      </c>
      <c r="C480" s="82" t="s">
        <v>25</v>
      </c>
      <c r="D480" s="82"/>
    </row>
    <row r="481">
      <c r="A481" s="81" t="s">
        <v>94</v>
      </c>
      <c r="B481" s="82" t="s">
        <v>24</v>
      </c>
      <c r="C481" s="82" t="s">
        <v>16</v>
      </c>
      <c r="D481" s="82">
        <v>6.0</v>
      </c>
    </row>
    <row r="482">
      <c r="A482" s="81" t="s">
        <v>182</v>
      </c>
      <c r="B482" s="82" t="s">
        <v>233</v>
      </c>
      <c r="C482" s="82" t="s">
        <v>10</v>
      </c>
      <c r="D482" s="82">
        <v>9.0</v>
      </c>
    </row>
    <row r="483">
      <c r="A483" s="81" t="s">
        <v>507</v>
      </c>
      <c r="B483" s="82" t="s">
        <v>44</v>
      </c>
      <c r="C483" s="82" t="s">
        <v>16</v>
      </c>
      <c r="D483" s="82">
        <v>10.0</v>
      </c>
    </row>
    <row r="484">
      <c r="A484" s="81" t="s">
        <v>762</v>
      </c>
      <c r="B484" s="82" t="s">
        <v>257</v>
      </c>
      <c r="C484" s="82" t="s">
        <v>25</v>
      </c>
      <c r="D484" s="82"/>
    </row>
    <row r="485">
      <c r="A485" s="81" t="s">
        <v>731</v>
      </c>
      <c r="B485" s="82" t="s">
        <v>257</v>
      </c>
      <c r="C485" s="82" t="s">
        <v>25</v>
      </c>
      <c r="D485" s="82"/>
    </row>
    <row r="486">
      <c r="A486" s="81" t="s">
        <v>936</v>
      </c>
      <c r="B486" s="82" t="s">
        <v>86</v>
      </c>
      <c r="C486" s="82" t="s">
        <v>10</v>
      </c>
      <c r="D486" s="82">
        <v>6.0</v>
      </c>
    </row>
    <row r="487">
      <c r="A487" s="81" t="s">
        <v>98</v>
      </c>
      <c r="B487" s="82" t="s">
        <v>54</v>
      </c>
      <c r="C487" s="82" t="s">
        <v>25</v>
      </c>
      <c r="D487" s="82">
        <v>9.0</v>
      </c>
    </row>
    <row r="488">
      <c r="A488" s="81" t="s">
        <v>461</v>
      </c>
      <c r="B488" s="82" t="s">
        <v>48</v>
      </c>
      <c r="C488" s="82" t="s">
        <v>16</v>
      </c>
      <c r="D488" s="82">
        <v>11.0</v>
      </c>
    </row>
    <row r="489">
      <c r="A489" s="81" t="s">
        <v>798</v>
      </c>
      <c r="B489" s="82" t="s">
        <v>69</v>
      </c>
      <c r="C489" s="82" t="s">
        <v>7</v>
      </c>
      <c r="D489" s="82">
        <v>5.0</v>
      </c>
    </row>
    <row r="490">
      <c r="A490" s="81" t="s">
        <v>568</v>
      </c>
      <c r="B490" s="82" t="s">
        <v>96</v>
      </c>
      <c r="C490" s="82" t="s">
        <v>25</v>
      </c>
      <c r="D490" s="82">
        <v>10.0</v>
      </c>
    </row>
    <row r="491">
      <c r="A491" s="81" t="s">
        <v>202</v>
      </c>
      <c r="B491" s="82" t="s">
        <v>40</v>
      </c>
      <c r="C491" s="82" t="s">
        <v>169</v>
      </c>
      <c r="D491" s="82">
        <v>6.0</v>
      </c>
    </row>
    <row r="492">
      <c r="A492" s="81" t="s">
        <v>238</v>
      </c>
      <c r="B492" s="82" t="s">
        <v>102</v>
      </c>
      <c r="C492" s="82" t="s">
        <v>169</v>
      </c>
      <c r="D492" s="82">
        <v>11.0</v>
      </c>
    </row>
    <row r="493">
      <c r="A493" s="81" t="s">
        <v>493</v>
      </c>
      <c r="B493" s="82" t="s">
        <v>24</v>
      </c>
      <c r="C493" s="82" t="s">
        <v>16</v>
      </c>
      <c r="D493" s="82">
        <v>6.0</v>
      </c>
    </row>
    <row r="494">
      <c r="A494" s="81" t="s">
        <v>350</v>
      </c>
      <c r="B494" s="82" t="s">
        <v>18</v>
      </c>
      <c r="C494" s="82" t="s">
        <v>16</v>
      </c>
      <c r="D494" s="82">
        <v>6.0</v>
      </c>
    </row>
    <row r="495">
      <c r="A495" s="81" t="s">
        <v>539</v>
      </c>
      <c r="B495" s="82" t="s">
        <v>77</v>
      </c>
      <c r="C495" s="82" t="s">
        <v>25</v>
      </c>
      <c r="D495" s="82">
        <v>11.0</v>
      </c>
    </row>
    <row r="496">
      <c r="A496" s="81" t="s">
        <v>883</v>
      </c>
      <c r="B496" s="82" t="s">
        <v>257</v>
      </c>
      <c r="C496" s="82" t="s">
        <v>7</v>
      </c>
      <c r="D496" s="82"/>
    </row>
    <row r="497">
      <c r="A497" s="81" t="s">
        <v>617</v>
      </c>
      <c r="B497" s="82" t="s">
        <v>257</v>
      </c>
      <c r="C497" s="82" t="s">
        <v>25</v>
      </c>
      <c r="D497" s="82"/>
    </row>
    <row r="498">
      <c r="A498" s="81" t="s">
        <v>877</v>
      </c>
      <c r="B498" s="82" t="s">
        <v>257</v>
      </c>
      <c r="C498" s="82" t="s">
        <v>7</v>
      </c>
      <c r="D498" s="82"/>
    </row>
    <row r="499">
      <c r="A499" s="81" t="s">
        <v>696</v>
      </c>
      <c r="B499" s="82" t="s">
        <v>38</v>
      </c>
      <c r="C499" s="82" t="s">
        <v>25</v>
      </c>
      <c r="D499" s="82">
        <v>12.0</v>
      </c>
    </row>
    <row r="500">
      <c r="A500" s="81" t="s">
        <v>551</v>
      </c>
      <c r="B500" s="82" t="s">
        <v>59</v>
      </c>
      <c r="C500" s="82" t="s">
        <v>7</v>
      </c>
      <c r="D500" s="82">
        <v>8.0</v>
      </c>
    </row>
    <row r="501">
      <c r="A501" s="81" t="s">
        <v>939</v>
      </c>
      <c r="B501" s="82" t="s">
        <v>63</v>
      </c>
      <c r="C501" s="82" t="s">
        <v>10</v>
      </c>
      <c r="D501" s="82">
        <v>8.0</v>
      </c>
    </row>
    <row r="502">
      <c r="A502" s="81" t="s">
        <v>454</v>
      </c>
      <c r="B502" s="82" t="s">
        <v>63</v>
      </c>
      <c r="C502" s="82" t="s">
        <v>16</v>
      </c>
      <c r="D502" s="82">
        <v>8.0</v>
      </c>
    </row>
    <row r="503">
      <c r="A503" s="81" t="s">
        <v>1087</v>
      </c>
      <c r="B503" s="82" t="s">
        <v>134</v>
      </c>
      <c r="C503" s="82" t="s">
        <v>25</v>
      </c>
      <c r="D503" s="82">
        <v>11.0</v>
      </c>
    </row>
    <row r="504">
      <c r="A504" s="81" t="s">
        <v>783</v>
      </c>
      <c r="B504" s="82" t="s">
        <v>27</v>
      </c>
      <c r="C504" s="82" t="s">
        <v>7</v>
      </c>
      <c r="D504" s="82">
        <v>11.0</v>
      </c>
    </row>
    <row r="505">
      <c r="A505" s="81" t="s">
        <v>691</v>
      </c>
      <c r="B505" s="82" t="s">
        <v>134</v>
      </c>
      <c r="C505" s="82" t="s">
        <v>25</v>
      </c>
      <c r="D505" s="82">
        <v>11.0</v>
      </c>
    </row>
    <row r="506">
      <c r="A506" s="81" t="s">
        <v>1088</v>
      </c>
      <c r="B506" s="82" t="s">
        <v>257</v>
      </c>
      <c r="C506" s="82" t="s">
        <v>7</v>
      </c>
      <c r="D506" s="82"/>
    </row>
    <row r="507">
      <c r="A507" s="81" t="s">
        <v>727</v>
      </c>
      <c r="B507" s="82" t="s">
        <v>257</v>
      </c>
      <c r="C507" s="82" t="s">
        <v>25</v>
      </c>
      <c r="D507" s="82"/>
    </row>
    <row r="508">
      <c r="A508" s="81" t="s">
        <v>727</v>
      </c>
      <c r="B508" s="82" t="s">
        <v>257</v>
      </c>
      <c r="C508" s="82" t="s">
        <v>25</v>
      </c>
      <c r="D508" s="82"/>
    </row>
    <row r="509">
      <c r="A509" s="81" t="s">
        <v>871</v>
      </c>
      <c r="B509" s="82" t="s">
        <v>257</v>
      </c>
      <c r="C509" s="82" t="s">
        <v>7</v>
      </c>
      <c r="D509" s="82"/>
    </row>
    <row r="510">
      <c r="A510" s="81" t="s">
        <v>905</v>
      </c>
      <c r="B510" s="82" t="s">
        <v>257</v>
      </c>
      <c r="C510" s="82" t="s">
        <v>7</v>
      </c>
      <c r="D510" s="82"/>
    </row>
    <row r="511">
      <c r="A511" s="81" t="s">
        <v>334</v>
      </c>
      <c r="B511" s="82" t="s">
        <v>92</v>
      </c>
      <c r="C511" s="82" t="s">
        <v>16</v>
      </c>
      <c r="D511" s="82">
        <v>8.0</v>
      </c>
    </row>
    <row r="512">
      <c r="A512" s="81" t="s">
        <v>396</v>
      </c>
      <c r="B512" s="82" t="s">
        <v>27</v>
      </c>
      <c r="C512" s="82" t="s">
        <v>7</v>
      </c>
      <c r="D512" s="82">
        <v>11.0</v>
      </c>
    </row>
    <row r="513">
      <c r="A513" s="81" t="s">
        <v>479</v>
      </c>
      <c r="B513" s="82" t="s">
        <v>257</v>
      </c>
      <c r="C513" s="82" t="s">
        <v>16</v>
      </c>
      <c r="D513" s="82"/>
    </row>
    <row r="514">
      <c r="A514" s="81" t="s">
        <v>750</v>
      </c>
      <c r="B514" s="82" t="s">
        <v>257</v>
      </c>
      <c r="C514" s="82" t="s">
        <v>25</v>
      </c>
      <c r="D514" s="82"/>
    </row>
    <row r="515">
      <c r="A515" s="81" t="s">
        <v>1089</v>
      </c>
      <c r="B515" s="82" t="s">
        <v>257</v>
      </c>
      <c r="C515" s="82" t="s">
        <v>16</v>
      </c>
      <c r="D515" s="82"/>
    </row>
    <row r="516">
      <c r="A516" s="81" t="s">
        <v>163</v>
      </c>
      <c r="B516" s="82" t="s">
        <v>63</v>
      </c>
      <c r="C516" s="82" t="s">
        <v>25</v>
      </c>
      <c r="D516" s="82">
        <v>8.0</v>
      </c>
    </row>
    <row r="517">
      <c r="A517" s="81" t="s">
        <v>440</v>
      </c>
      <c r="B517" s="82" t="s">
        <v>77</v>
      </c>
      <c r="C517" s="82" t="s">
        <v>16</v>
      </c>
      <c r="D517" s="82">
        <v>11.0</v>
      </c>
    </row>
    <row r="518">
      <c r="A518" s="81" t="s">
        <v>346</v>
      </c>
      <c r="B518" s="82" t="s">
        <v>69</v>
      </c>
      <c r="C518" s="82" t="s">
        <v>16</v>
      </c>
      <c r="D518" s="82">
        <v>5.0</v>
      </c>
    </row>
    <row r="519">
      <c r="A519" s="81" t="s">
        <v>711</v>
      </c>
      <c r="B519" s="82" t="s">
        <v>92</v>
      </c>
      <c r="C519" s="82" t="s">
        <v>25</v>
      </c>
      <c r="D519" s="82">
        <v>8.0</v>
      </c>
    </row>
    <row r="520">
      <c r="A520" s="81" t="s">
        <v>139</v>
      </c>
      <c r="B520" s="82" t="s">
        <v>27</v>
      </c>
      <c r="C520" s="82" t="s">
        <v>10</v>
      </c>
      <c r="D520" s="82">
        <v>11.0</v>
      </c>
    </row>
    <row r="521">
      <c r="A521" s="81" t="s">
        <v>161</v>
      </c>
      <c r="B521" s="82" t="s">
        <v>77</v>
      </c>
      <c r="C521" s="82" t="s">
        <v>16</v>
      </c>
      <c r="D521" s="82">
        <v>11.0</v>
      </c>
    </row>
    <row r="522">
      <c r="A522" s="81" t="s">
        <v>376</v>
      </c>
      <c r="B522" s="82" t="s">
        <v>32</v>
      </c>
      <c r="C522" s="82" t="s">
        <v>25</v>
      </c>
      <c r="D522" s="82">
        <v>9.0</v>
      </c>
    </row>
    <row r="523">
      <c r="A523" s="81" t="s">
        <v>624</v>
      </c>
      <c r="B523" s="82" t="s">
        <v>54</v>
      </c>
      <c r="C523" s="82" t="s">
        <v>25</v>
      </c>
      <c r="D523" s="82">
        <v>9.0</v>
      </c>
    </row>
    <row r="524">
      <c r="A524" s="81" t="s">
        <v>297</v>
      </c>
      <c r="B524" s="82" t="s">
        <v>61</v>
      </c>
      <c r="C524" s="82" t="s">
        <v>10</v>
      </c>
      <c r="D524" s="82">
        <v>9.0</v>
      </c>
    </row>
    <row r="525">
      <c r="A525" s="81" t="s">
        <v>976</v>
      </c>
      <c r="B525" s="82" t="s">
        <v>134</v>
      </c>
      <c r="C525" s="82" t="s">
        <v>10</v>
      </c>
      <c r="D525" s="82">
        <v>11.0</v>
      </c>
    </row>
    <row r="526">
      <c r="A526" s="81" t="s">
        <v>60</v>
      </c>
      <c r="B526" s="82" t="s">
        <v>61</v>
      </c>
      <c r="C526" s="82" t="s">
        <v>7</v>
      </c>
      <c r="D526" s="82">
        <v>9.0</v>
      </c>
    </row>
    <row r="527">
      <c r="A527" s="81" t="s">
        <v>536</v>
      </c>
      <c r="B527" s="82" t="s">
        <v>96</v>
      </c>
      <c r="C527" s="82" t="s">
        <v>25</v>
      </c>
      <c r="D527" s="82">
        <v>10.0</v>
      </c>
    </row>
    <row r="528">
      <c r="A528" s="81" t="s">
        <v>974</v>
      </c>
      <c r="B528" s="82" t="s">
        <v>257</v>
      </c>
      <c r="C528" s="82" t="s">
        <v>10</v>
      </c>
      <c r="D528" s="82"/>
    </row>
    <row r="529">
      <c r="A529" s="81" t="s">
        <v>197</v>
      </c>
      <c r="B529" s="82" t="s">
        <v>6</v>
      </c>
      <c r="C529" s="82" t="s">
        <v>169</v>
      </c>
      <c r="D529" s="82">
        <v>12.0</v>
      </c>
    </row>
    <row r="530">
      <c r="A530" s="81" t="s">
        <v>135</v>
      </c>
      <c r="B530" s="82" t="s">
        <v>48</v>
      </c>
      <c r="C530" s="82" t="s">
        <v>25</v>
      </c>
      <c r="D530" s="82">
        <v>11.0</v>
      </c>
    </row>
    <row r="531">
      <c r="A531" s="81" t="s">
        <v>533</v>
      </c>
      <c r="B531" s="82" t="s">
        <v>32</v>
      </c>
      <c r="C531" s="82" t="s">
        <v>25</v>
      </c>
      <c r="D531" s="82">
        <v>9.0</v>
      </c>
    </row>
    <row r="532">
      <c r="A532" s="81" t="s">
        <v>805</v>
      </c>
      <c r="B532" s="82" t="s">
        <v>233</v>
      </c>
      <c r="C532" s="82" t="s">
        <v>7</v>
      </c>
      <c r="D532" s="82">
        <v>9.0</v>
      </c>
    </row>
    <row r="533">
      <c r="A533" s="81" t="s">
        <v>805</v>
      </c>
      <c r="B533" s="82" t="s">
        <v>233</v>
      </c>
      <c r="C533" s="82" t="s">
        <v>7</v>
      </c>
      <c r="D533" s="82">
        <v>9.0</v>
      </c>
    </row>
    <row r="534">
      <c r="A534" s="81" t="s">
        <v>477</v>
      </c>
      <c r="B534" s="82" t="s">
        <v>257</v>
      </c>
      <c r="C534" s="82" t="s">
        <v>16</v>
      </c>
      <c r="D534" s="82"/>
    </row>
    <row r="535">
      <c r="A535" s="81" t="s">
        <v>379</v>
      </c>
      <c r="B535" s="82" t="s">
        <v>61</v>
      </c>
      <c r="C535" s="82" t="s">
        <v>25</v>
      </c>
      <c r="D535" s="82">
        <v>9.0</v>
      </c>
    </row>
    <row r="536">
      <c r="A536" s="81" t="s">
        <v>564</v>
      </c>
      <c r="B536" s="82" t="s">
        <v>40</v>
      </c>
      <c r="C536" s="82" t="s">
        <v>25</v>
      </c>
      <c r="D536" s="82">
        <v>6.0</v>
      </c>
    </row>
    <row r="537">
      <c r="A537" s="81" t="s">
        <v>612</v>
      </c>
      <c r="B537" s="82" t="s">
        <v>257</v>
      </c>
      <c r="C537" s="82" t="s">
        <v>25</v>
      </c>
      <c r="D537" s="82"/>
    </row>
    <row r="538">
      <c r="A538" s="81" t="s">
        <v>406</v>
      </c>
      <c r="B538" s="82" t="s">
        <v>233</v>
      </c>
      <c r="C538" s="82" t="s">
        <v>16</v>
      </c>
      <c r="D538" s="82">
        <v>9.0</v>
      </c>
    </row>
    <row r="539">
      <c r="A539" s="81" t="s">
        <v>606</v>
      </c>
      <c r="B539" s="82" t="s">
        <v>54</v>
      </c>
      <c r="C539" s="82" t="s">
        <v>25</v>
      </c>
      <c r="D539" s="82">
        <v>9.0</v>
      </c>
    </row>
    <row r="540">
      <c r="A540" s="81" t="s">
        <v>1090</v>
      </c>
      <c r="B540" s="82" t="s">
        <v>257</v>
      </c>
      <c r="C540" s="82" t="s">
        <v>7</v>
      </c>
      <c r="D540" s="82"/>
    </row>
    <row r="541">
      <c r="A541" s="81" t="s">
        <v>84</v>
      </c>
      <c r="B541" s="82" t="s">
        <v>74</v>
      </c>
      <c r="C541" s="82" t="s">
        <v>7</v>
      </c>
      <c r="D541" s="82">
        <v>7.0</v>
      </c>
    </row>
    <row r="542">
      <c r="A542" s="81" t="s">
        <v>857</v>
      </c>
      <c r="B542" s="82" t="s">
        <v>257</v>
      </c>
      <c r="C542" s="82" t="s">
        <v>7</v>
      </c>
      <c r="D542" s="82"/>
    </row>
    <row r="543">
      <c r="A543" s="81" t="s">
        <v>162</v>
      </c>
      <c r="B543" s="82" t="s">
        <v>34</v>
      </c>
      <c r="C543" s="82" t="s">
        <v>16</v>
      </c>
      <c r="D543" s="82">
        <v>7.0</v>
      </c>
    </row>
    <row r="544">
      <c r="A544" s="81" t="s">
        <v>316</v>
      </c>
      <c r="B544" s="82" t="s">
        <v>20</v>
      </c>
      <c r="C544" s="82" t="s">
        <v>16</v>
      </c>
      <c r="D544" s="82">
        <v>8.0</v>
      </c>
    </row>
    <row r="545">
      <c r="A545" s="81" t="s">
        <v>912</v>
      </c>
      <c r="B545" s="82" t="s">
        <v>14</v>
      </c>
      <c r="C545" s="82" t="s">
        <v>7</v>
      </c>
      <c r="D545" s="82">
        <v>10.0</v>
      </c>
    </row>
    <row r="546">
      <c r="A546" s="81" t="s">
        <v>504</v>
      </c>
      <c r="B546" s="82" t="s">
        <v>61</v>
      </c>
      <c r="C546" s="82" t="s">
        <v>16</v>
      </c>
      <c r="D546" s="82">
        <v>9.0</v>
      </c>
    </row>
    <row r="547">
      <c r="A547" s="81" t="s">
        <v>293</v>
      </c>
      <c r="B547" s="82" t="s">
        <v>102</v>
      </c>
      <c r="C547" s="82" t="s">
        <v>7</v>
      </c>
      <c r="D547" s="82">
        <v>11.0</v>
      </c>
    </row>
    <row r="548">
      <c r="A548" s="81" t="s">
        <v>467</v>
      </c>
      <c r="B548" s="82" t="s">
        <v>38</v>
      </c>
      <c r="C548" s="82" t="s">
        <v>16</v>
      </c>
      <c r="D548" s="82">
        <v>12.0</v>
      </c>
    </row>
    <row r="549">
      <c r="A549" s="81" t="s">
        <v>948</v>
      </c>
      <c r="B549" s="82" t="s">
        <v>56</v>
      </c>
      <c r="C549" s="82" t="s">
        <v>10</v>
      </c>
      <c r="D549" s="82">
        <v>5.0</v>
      </c>
    </row>
    <row r="550">
      <c r="A550" s="81" t="s">
        <v>739</v>
      </c>
      <c r="B550" s="82" t="s">
        <v>257</v>
      </c>
      <c r="C550" s="82" t="s">
        <v>25</v>
      </c>
      <c r="D550" s="82"/>
    </row>
    <row r="551">
      <c r="A551" s="81" t="s">
        <v>320</v>
      </c>
      <c r="B551" s="82" t="s">
        <v>257</v>
      </c>
      <c r="C551" s="82" t="s">
        <v>16</v>
      </c>
      <c r="D551" s="82"/>
    </row>
    <row r="552">
      <c r="A552" s="81" t="s">
        <v>836</v>
      </c>
      <c r="B552" s="82" t="s">
        <v>6</v>
      </c>
      <c r="C552" s="82" t="s">
        <v>7</v>
      </c>
      <c r="D552" s="82">
        <v>12.0</v>
      </c>
    </row>
    <row r="553">
      <c r="A553" s="81" t="s">
        <v>398</v>
      </c>
      <c r="B553" s="82" t="s">
        <v>20</v>
      </c>
      <c r="C553" s="82" t="s">
        <v>16</v>
      </c>
      <c r="D553" s="82">
        <v>8.0</v>
      </c>
    </row>
    <row r="554">
      <c r="A554" s="81" t="s">
        <v>790</v>
      </c>
      <c r="B554" s="82" t="s">
        <v>74</v>
      </c>
      <c r="C554" s="82" t="s">
        <v>7</v>
      </c>
      <c r="D554" s="82">
        <v>7.0</v>
      </c>
    </row>
    <row r="555">
      <c r="A555" s="81" t="s">
        <v>722</v>
      </c>
      <c r="B555" s="82" t="s">
        <v>257</v>
      </c>
      <c r="C555" s="82" t="s">
        <v>25</v>
      </c>
      <c r="D555" s="82"/>
    </row>
    <row r="556">
      <c r="A556" s="81" t="s">
        <v>722</v>
      </c>
      <c r="B556" s="82" t="s">
        <v>257</v>
      </c>
      <c r="C556" s="82" t="s">
        <v>25</v>
      </c>
      <c r="D556" s="82"/>
    </row>
    <row r="557">
      <c r="A557" s="81" t="s">
        <v>841</v>
      </c>
      <c r="B557" s="82" t="s">
        <v>134</v>
      </c>
      <c r="C557" s="82" t="s">
        <v>7</v>
      </c>
      <c r="D557" s="82">
        <v>11.0</v>
      </c>
    </row>
    <row r="558">
      <c r="A558" s="81" t="s">
        <v>47</v>
      </c>
      <c r="B558" s="82" t="s">
        <v>48</v>
      </c>
      <c r="C558" s="82" t="s">
        <v>10</v>
      </c>
      <c r="D558" s="82">
        <v>11.0</v>
      </c>
    </row>
    <row r="559">
      <c r="A559" s="81" t="s">
        <v>678</v>
      </c>
      <c r="B559" s="82" t="s">
        <v>134</v>
      </c>
      <c r="C559" s="82" t="s">
        <v>25</v>
      </c>
      <c r="D559" s="82">
        <v>11.0</v>
      </c>
    </row>
    <row r="560">
      <c r="A560" s="81" t="s">
        <v>881</v>
      </c>
      <c r="B560" s="82" t="s">
        <v>92</v>
      </c>
      <c r="C560" s="82" t="s">
        <v>7</v>
      </c>
      <c r="D560" s="82">
        <v>8.0</v>
      </c>
    </row>
    <row r="561">
      <c r="A561" s="81" t="s">
        <v>746</v>
      </c>
      <c r="B561" s="82" t="s">
        <v>257</v>
      </c>
      <c r="C561" s="82" t="s">
        <v>25</v>
      </c>
      <c r="D561" s="82"/>
    </row>
    <row r="562">
      <c r="A562" s="81" t="s">
        <v>347</v>
      </c>
      <c r="B562" s="82" t="s">
        <v>24</v>
      </c>
      <c r="C562" s="82" t="s">
        <v>16</v>
      </c>
      <c r="D562" s="82">
        <v>6.0</v>
      </c>
    </row>
    <row r="563">
      <c r="A563" s="81" t="s">
        <v>17</v>
      </c>
      <c r="B563" s="82" t="s">
        <v>18</v>
      </c>
      <c r="C563" s="82" t="s">
        <v>7</v>
      </c>
      <c r="D563" s="82">
        <v>6.0</v>
      </c>
    </row>
    <row r="564">
      <c r="A564" s="81" t="s">
        <v>972</v>
      </c>
      <c r="B564" s="82" t="s">
        <v>257</v>
      </c>
      <c r="C564" s="82" t="s">
        <v>10</v>
      </c>
      <c r="D564" s="82"/>
    </row>
    <row r="565">
      <c r="A565" s="81" t="s">
        <v>199</v>
      </c>
      <c r="B565" s="82" t="s">
        <v>104</v>
      </c>
      <c r="C565" s="82" t="s">
        <v>169</v>
      </c>
      <c r="D565" s="82">
        <v>7.0</v>
      </c>
    </row>
    <row r="566">
      <c r="A566" s="81" t="s">
        <v>623</v>
      </c>
      <c r="B566" s="82" t="s">
        <v>134</v>
      </c>
      <c r="C566" s="82" t="s">
        <v>25</v>
      </c>
      <c r="D566" s="82">
        <v>11.0</v>
      </c>
    </row>
    <row r="567">
      <c r="A567" s="81" t="s">
        <v>983</v>
      </c>
      <c r="B567" s="82" t="s">
        <v>257</v>
      </c>
      <c r="C567" s="82" t="s">
        <v>10</v>
      </c>
      <c r="D567" s="82"/>
    </row>
    <row r="568">
      <c r="A568" s="81" t="s">
        <v>508</v>
      </c>
      <c r="B568" s="82" t="s">
        <v>104</v>
      </c>
      <c r="C568" s="82" t="s">
        <v>16</v>
      </c>
      <c r="D568" s="82">
        <v>7.0</v>
      </c>
    </row>
    <row r="569">
      <c r="A569" s="81" t="s">
        <v>444</v>
      </c>
      <c r="B569" s="82" t="s">
        <v>32</v>
      </c>
      <c r="C569" s="82" t="s">
        <v>16</v>
      </c>
      <c r="D569" s="82">
        <v>9.0</v>
      </c>
    </row>
    <row r="570">
      <c r="A570" s="81" t="s">
        <v>317</v>
      </c>
      <c r="B570" s="82" t="s">
        <v>233</v>
      </c>
      <c r="C570" s="82" t="s">
        <v>25</v>
      </c>
      <c r="D570" s="82">
        <v>9.0</v>
      </c>
    </row>
    <row r="571">
      <c r="A571" s="81" t="s">
        <v>992</v>
      </c>
      <c r="B571" s="82" t="s">
        <v>102</v>
      </c>
      <c r="C571" s="82" t="s">
        <v>10</v>
      </c>
      <c r="D571" s="82">
        <v>11.0</v>
      </c>
    </row>
    <row r="572">
      <c r="A572" s="81" t="s">
        <v>748</v>
      </c>
      <c r="B572" s="82" t="s">
        <v>134</v>
      </c>
      <c r="C572" s="82" t="s">
        <v>25</v>
      </c>
      <c r="D572" s="82">
        <v>11.0</v>
      </c>
    </row>
    <row r="573">
      <c r="A573" s="81" t="s">
        <v>950</v>
      </c>
      <c r="B573" s="82" t="s">
        <v>104</v>
      </c>
      <c r="C573" s="82" t="s">
        <v>10</v>
      </c>
      <c r="D573" s="82">
        <v>7.0</v>
      </c>
    </row>
    <row r="574">
      <c r="A574" s="81" t="s">
        <v>531</v>
      </c>
      <c r="B574" s="82" t="s">
        <v>96</v>
      </c>
      <c r="C574" s="82" t="s">
        <v>7</v>
      </c>
      <c r="D574" s="82">
        <v>10.0</v>
      </c>
    </row>
    <row r="575">
      <c r="A575" s="81" t="s">
        <v>374</v>
      </c>
      <c r="B575" s="82" t="s">
        <v>56</v>
      </c>
      <c r="C575" s="82" t="s">
        <v>16</v>
      </c>
      <c r="D575" s="82">
        <v>5.0</v>
      </c>
    </row>
    <row r="576">
      <c r="A576" s="81" t="s">
        <v>58</v>
      </c>
      <c r="B576" s="82" t="s">
        <v>59</v>
      </c>
      <c r="C576" s="82" t="s">
        <v>25</v>
      </c>
      <c r="D576" s="82">
        <v>8.0</v>
      </c>
    </row>
    <row r="577">
      <c r="A577" s="81" t="s">
        <v>113</v>
      </c>
      <c r="B577" s="82" t="s">
        <v>86</v>
      </c>
      <c r="C577" s="82" t="s">
        <v>25</v>
      </c>
      <c r="D577" s="82">
        <v>6.0</v>
      </c>
    </row>
    <row r="578">
      <c r="A578" s="81" t="s">
        <v>43</v>
      </c>
      <c r="B578" s="82" t="s">
        <v>44</v>
      </c>
      <c r="C578" s="82" t="s">
        <v>25</v>
      </c>
      <c r="D578" s="82">
        <v>10.0</v>
      </c>
    </row>
    <row r="579">
      <c r="A579" s="81" t="s">
        <v>797</v>
      </c>
      <c r="B579" s="82" t="s">
        <v>12</v>
      </c>
      <c r="C579" s="82" t="s">
        <v>7</v>
      </c>
      <c r="D579" s="82">
        <v>8.0</v>
      </c>
    </row>
    <row r="580">
      <c r="A580" s="81" t="s">
        <v>860</v>
      </c>
      <c r="B580" s="82" t="s">
        <v>257</v>
      </c>
      <c r="C580" s="82" t="s">
        <v>7</v>
      </c>
      <c r="D580" s="82"/>
    </row>
    <row r="581">
      <c r="A581" s="81" t="s">
        <v>663</v>
      </c>
      <c r="B581" s="82" t="s">
        <v>257</v>
      </c>
      <c r="C581" s="82" t="s">
        <v>25</v>
      </c>
      <c r="D581" s="82"/>
    </row>
    <row r="582">
      <c r="A582" s="81" t="s">
        <v>945</v>
      </c>
      <c r="B582" s="82" t="s">
        <v>96</v>
      </c>
      <c r="C582" s="82" t="s">
        <v>10</v>
      </c>
      <c r="D582" s="82">
        <v>10.0</v>
      </c>
    </row>
    <row r="583">
      <c r="A583" s="81" t="s">
        <v>752</v>
      </c>
      <c r="B583" s="82" t="s">
        <v>257</v>
      </c>
      <c r="C583" s="82" t="s">
        <v>25</v>
      </c>
      <c r="D583" s="82"/>
    </row>
    <row r="584">
      <c r="A584" s="81" t="s">
        <v>328</v>
      </c>
      <c r="B584" s="82" t="s">
        <v>96</v>
      </c>
      <c r="C584" s="82" t="s">
        <v>7</v>
      </c>
      <c r="D584" s="82">
        <v>10.0</v>
      </c>
    </row>
    <row r="585">
      <c r="A585" s="81" t="s">
        <v>237</v>
      </c>
      <c r="B585" s="82" t="s">
        <v>22</v>
      </c>
      <c r="C585" s="82" t="s">
        <v>25</v>
      </c>
      <c r="D585" s="82">
        <v>7.0</v>
      </c>
    </row>
    <row r="586">
      <c r="A586" s="81" t="s">
        <v>195</v>
      </c>
      <c r="B586" s="82" t="s">
        <v>86</v>
      </c>
      <c r="C586" s="82" t="s">
        <v>169</v>
      </c>
      <c r="D586" s="82">
        <v>6.0</v>
      </c>
    </row>
    <row r="587">
      <c r="A587" s="81" t="s">
        <v>172</v>
      </c>
      <c r="B587" s="82" t="s">
        <v>12</v>
      </c>
      <c r="C587" s="82" t="s">
        <v>169</v>
      </c>
      <c r="D587" s="82">
        <v>8.0</v>
      </c>
    </row>
    <row r="588">
      <c r="A588" s="81" t="s">
        <v>555</v>
      </c>
      <c r="B588" s="82" t="s">
        <v>38</v>
      </c>
      <c r="C588" s="82" t="s">
        <v>25</v>
      </c>
      <c r="D588" s="82">
        <v>12.0</v>
      </c>
    </row>
    <row r="589">
      <c r="A589" s="81" t="s">
        <v>593</v>
      </c>
      <c r="B589" s="82" t="s">
        <v>96</v>
      </c>
      <c r="C589" s="82" t="s">
        <v>25</v>
      </c>
      <c r="D589" s="82">
        <v>10.0</v>
      </c>
    </row>
    <row r="590">
      <c r="A590" s="81" t="s">
        <v>575</v>
      </c>
      <c r="B590" s="82" t="s">
        <v>22</v>
      </c>
      <c r="C590" s="82" t="s">
        <v>25</v>
      </c>
      <c r="D590" s="82">
        <v>7.0</v>
      </c>
    </row>
    <row r="591">
      <c r="A591" s="81" t="s">
        <v>357</v>
      </c>
      <c r="B591" s="82" t="s">
        <v>29</v>
      </c>
      <c r="C591" s="82" t="s">
        <v>16</v>
      </c>
      <c r="D591" s="82">
        <v>11.0</v>
      </c>
    </row>
    <row r="592">
      <c r="A592" s="81" t="s">
        <v>366</v>
      </c>
      <c r="B592" s="82" t="s">
        <v>20</v>
      </c>
      <c r="C592" s="82" t="s">
        <v>16</v>
      </c>
      <c r="D592" s="82">
        <v>8.0</v>
      </c>
    </row>
    <row r="593">
      <c r="A593" s="81" t="s">
        <v>270</v>
      </c>
      <c r="B593" s="82" t="s">
        <v>14</v>
      </c>
      <c r="C593" s="82" t="s">
        <v>169</v>
      </c>
      <c r="D593" s="82">
        <v>10.0</v>
      </c>
    </row>
    <row r="594">
      <c r="A594" s="81" t="s">
        <v>198</v>
      </c>
      <c r="B594" s="82" t="s">
        <v>20</v>
      </c>
      <c r="C594" s="82" t="s">
        <v>169</v>
      </c>
      <c r="D594" s="82">
        <v>8.0</v>
      </c>
    </row>
    <row r="595">
      <c r="A595" s="81" t="s">
        <v>906</v>
      </c>
      <c r="B595" s="82" t="s">
        <v>102</v>
      </c>
      <c r="C595" s="82" t="s">
        <v>7</v>
      </c>
      <c r="D595" s="82">
        <v>11.0</v>
      </c>
    </row>
    <row r="596">
      <c r="A596" s="81" t="s">
        <v>525</v>
      </c>
      <c r="B596" s="82" t="s">
        <v>34</v>
      </c>
      <c r="C596" s="82" t="s">
        <v>25</v>
      </c>
      <c r="D596" s="82">
        <v>7.0</v>
      </c>
    </row>
    <row r="597">
      <c r="A597" s="81" t="s">
        <v>758</v>
      </c>
      <c r="B597" s="82" t="s">
        <v>257</v>
      </c>
      <c r="C597" s="82" t="s">
        <v>25</v>
      </c>
      <c r="D597" s="82"/>
    </row>
    <row r="598">
      <c r="A598" s="81" t="s">
        <v>758</v>
      </c>
      <c r="B598" s="82" t="s">
        <v>257</v>
      </c>
      <c r="C598" s="82" t="s">
        <v>25</v>
      </c>
      <c r="D598" s="82"/>
    </row>
    <row r="599">
      <c r="A599" s="81" t="s">
        <v>217</v>
      </c>
      <c r="B599" s="82" t="s">
        <v>9</v>
      </c>
      <c r="C599" s="82" t="s">
        <v>1116</v>
      </c>
      <c r="D599" s="82">
        <v>10.0</v>
      </c>
    </row>
    <row r="600">
      <c r="A600" s="81" t="s">
        <v>1091</v>
      </c>
      <c r="B600" s="82" t="s">
        <v>257</v>
      </c>
      <c r="C600" s="82" t="s">
        <v>7</v>
      </c>
      <c r="D600" s="82"/>
    </row>
    <row r="601">
      <c r="A601" s="81" t="s">
        <v>782</v>
      </c>
      <c r="B601" s="82" t="s">
        <v>20</v>
      </c>
      <c r="C601" s="82" t="s">
        <v>7</v>
      </c>
      <c r="D601" s="82">
        <v>8.0</v>
      </c>
    </row>
    <row r="602">
      <c r="A602" s="81" t="s">
        <v>292</v>
      </c>
      <c r="B602" s="82" t="s">
        <v>54</v>
      </c>
      <c r="C602" s="82" t="s">
        <v>7</v>
      </c>
      <c r="D602" s="82">
        <v>9.0</v>
      </c>
    </row>
    <row r="603">
      <c r="A603" s="81" t="s">
        <v>548</v>
      </c>
      <c r="B603" s="82" t="s">
        <v>104</v>
      </c>
      <c r="C603" s="82" t="s">
        <v>25</v>
      </c>
      <c r="D603" s="82">
        <v>7.0</v>
      </c>
    </row>
    <row r="604">
      <c r="A604" s="81" t="s">
        <v>110</v>
      </c>
      <c r="B604" s="82" t="s">
        <v>96</v>
      </c>
      <c r="C604" s="82" t="s">
        <v>25</v>
      </c>
      <c r="D604" s="82">
        <v>10.0</v>
      </c>
    </row>
    <row r="605">
      <c r="A605" s="81" t="s">
        <v>684</v>
      </c>
      <c r="B605" s="82" t="s">
        <v>257</v>
      </c>
      <c r="C605" s="82" t="s">
        <v>25</v>
      </c>
      <c r="D605" s="82"/>
    </row>
    <row r="606">
      <c r="A606" s="81" t="s">
        <v>684</v>
      </c>
      <c r="B606" s="82" t="s">
        <v>257</v>
      </c>
      <c r="C606" s="82" t="s">
        <v>25</v>
      </c>
      <c r="D606" s="82"/>
    </row>
    <row r="607">
      <c r="A607" s="81" t="s">
        <v>541</v>
      </c>
      <c r="B607" s="82" t="s">
        <v>1007</v>
      </c>
      <c r="C607" s="82" t="s">
        <v>25</v>
      </c>
      <c r="D607" s="82">
        <v>8.0</v>
      </c>
    </row>
    <row r="608">
      <c r="A608" s="81" t="s">
        <v>574</v>
      </c>
      <c r="B608" s="82" t="s">
        <v>6</v>
      </c>
      <c r="C608" s="82" t="s">
        <v>25</v>
      </c>
      <c r="D608" s="82">
        <v>12.0</v>
      </c>
    </row>
    <row r="609">
      <c r="A609" s="81" t="s">
        <v>814</v>
      </c>
      <c r="B609" s="82" t="s">
        <v>44</v>
      </c>
      <c r="C609" s="82" t="s">
        <v>7</v>
      </c>
      <c r="D609" s="82">
        <v>10.0</v>
      </c>
    </row>
    <row r="610">
      <c r="A610" s="81" t="s">
        <v>1022</v>
      </c>
      <c r="B610" s="82" t="s">
        <v>20</v>
      </c>
      <c r="C610" s="82" t="s">
        <v>25</v>
      </c>
      <c r="D610" s="82">
        <v>8.0</v>
      </c>
    </row>
    <row r="611">
      <c r="A611" s="81" t="s">
        <v>734</v>
      </c>
      <c r="B611" s="82" t="s">
        <v>257</v>
      </c>
      <c r="C611" s="82" t="s">
        <v>25</v>
      </c>
      <c r="D611" s="82"/>
    </row>
    <row r="612">
      <c r="A612" s="81" t="s">
        <v>1040</v>
      </c>
      <c r="B612" s="82" t="s">
        <v>92</v>
      </c>
      <c r="C612" s="82" t="s">
        <v>25</v>
      </c>
      <c r="D612" s="82">
        <v>8.0</v>
      </c>
    </row>
    <row r="613">
      <c r="A613" s="81" t="s">
        <v>495</v>
      </c>
      <c r="B613" s="82" t="s">
        <v>233</v>
      </c>
      <c r="C613" s="82" t="s">
        <v>16</v>
      </c>
      <c r="D613" s="82">
        <v>9.0</v>
      </c>
    </row>
    <row r="614">
      <c r="A614" s="81" t="s">
        <v>305</v>
      </c>
      <c r="B614" s="82" t="s">
        <v>27</v>
      </c>
      <c r="C614" s="82" t="s">
        <v>25</v>
      </c>
      <c r="D614" s="82">
        <v>11.0</v>
      </c>
    </row>
    <row r="615">
      <c r="A615" s="81" t="s">
        <v>896</v>
      </c>
      <c r="B615" s="82" t="s">
        <v>257</v>
      </c>
      <c r="C615" s="82" t="s">
        <v>7</v>
      </c>
      <c r="D615" s="82"/>
    </row>
    <row r="616">
      <c r="A616" s="81" t="s">
        <v>852</v>
      </c>
      <c r="B616" s="82" t="s">
        <v>134</v>
      </c>
      <c r="C616" s="82" t="s">
        <v>7</v>
      </c>
      <c r="D616" s="82">
        <v>11.0</v>
      </c>
    </row>
    <row r="617">
      <c r="A617" s="81" t="s">
        <v>68</v>
      </c>
      <c r="B617" s="82" t="s">
        <v>69</v>
      </c>
      <c r="C617" s="82" t="s">
        <v>25</v>
      </c>
      <c r="D617" s="82">
        <v>5.0</v>
      </c>
    </row>
    <row r="618">
      <c r="A618" s="81" t="s">
        <v>343</v>
      </c>
      <c r="B618" s="82" t="s">
        <v>20</v>
      </c>
      <c r="C618" s="82" t="s">
        <v>25</v>
      </c>
      <c r="D618" s="82">
        <v>8.0</v>
      </c>
    </row>
    <row r="619">
      <c r="A619" s="81" t="s">
        <v>88</v>
      </c>
      <c r="B619" s="82" t="s">
        <v>1007</v>
      </c>
      <c r="C619" s="82" t="s">
        <v>7</v>
      </c>
      <c r="D619" s="82">
        <v>8.0</v>
      </c>
    </row>
    <row r="620">
      <c r="A620" s="81" t="s">
        <v>698</v>
      </c>
      <c r="B620" s="82" t="s">
        <v>257</v>
      </c>
      <c r="C620" s="82" t="s">
        <v>25</v>
      </c>
      <c r="D620" s="82"/>
    </row>
    <row r="621">
      <c r="A621" s="81" t="s">
        <v>842</v>
      </c>
      <c r="B621" s="82" t="s">
        <v>59</v>
      </c>
      <c r="C621" s="82" t="s">
        <v>7</v>
      </c>
      <c r="D621" s="82">
        <v>8.0</v>
      </c>
    </row>
    <row r="622">
      <c r="A622" s="81" t="s">
        <v>278</v>
      </c>
      <c r="B622" s="82" t="s">
        <v>69</v>
      </c>
      <c r="C622" s="82" t="s">
        <v>7</v>
      </c>
      <c r="D622" s="82">
        <v>5.0</v>
      </c>
    </row>
    <row r="623">
      <c r="A623" s="81" t="s">
        <v>770</v>
      </c>
      <c r="B623" s="82" t="s">
        <v>38</v>
      </c>
      <c r="C623" s="82" t="s">
        <v>7</v>
      </c>
      <c r="D623" s="82">
        <v>12.0</v>
      </c>
    </row>
    <row r="624">
      <c r="A624" s="81" t="s">
        <v>705</v>
      </c>
      <c r="B624" s="82" t="s">
        <v>257</v>
      </c>
      <c r="C624" s="82" t="s">
        <v>25</v>
      </c>
      <c r="D624" s="82"/>
    </row>
    <row r="625">
      <c r="A625" s="81" t="s">
        <v>558</v>
      </c>
      <c r="B625" s="82" t="s">
        <v>54</v>
      </c>
      <c r="C625" s="82" t="s">
        <v>25</v>
      </c>
      <c r="D625" s="82">
        <v>9.0</v>
      </c>
    </row>
    <row r="626">
      <c r="A626" s="81" t="s">
        <v>911</v>
      </c>
      <c r="B626" s="82" t="s">
        <v>63</v>
      </c>
      <c r="C626" s="82" t="s">
        <v>7</v>
      </c>
      <c r="D626" s="82">
        <v>8.0</v>
      </c>
    </row>
    <row r="627">
      <c r="A627" s="81" t="s">
        <v>802</v>
      </c>
      <c r="B627" s="82" t="s">
        <v>34</v>
      </c>
      <c r="C627" s="82" t="s">
        <v>7</v>
      </c>
      <c r="D627" s="82">
        <v>7.0</v>
      </c>
    </row>
    <row r="628">
      <c r="A628" s="81" t="s">
        <v>500</v>
      </c>
      <c r="B628" s="82" t="s">
        <v>44</v>
      </c>
      <c r="C628" s="82" t="s">
        <v>16</v>
      </c>
      <c r="D628" s="82">
        <v>10.0</v>
      </c>
    </row>
    <row r="629">
      <c r="A629" s="81" t="s">
        <v>180</v>
      </c>
      <c r="B629" s="82" t="s">
        <v>22</v>
      </c>
      <c r="C629" s="82" t="s">
        <v>10</v>
      </c>
      <c r="D629" s="82">
        <v>7.0</v>
      </c>
    </row>
    <row r="630">
      <c r="A630" s="81" t="s">
        <v>603</v>
      </c>
      <c r="B630" s="82" t="s">
        <v>63</v>
      </c>
      <c r="C630" s="82" t="s">
        <v>25</v>
      </c>
      <c r="D630" s="82">
        <v>8.0</v>
      </c>
    </row>
    <row r="631">
      <c r="A631" s="81" t="s">
        <v>1092</v>
      </c>
      <c r="B631" s="82" t="s">
        <v>24</v>
      </c>
      <c r="C631" s="82" t="s">
        <v>25</v>
      </c>
      <c r="D631" s="82">
        <v>6.0</v>
      </c>
    </row>
    <row r="632">
      <c r="A632" s="81" t="s">
        <v>926</v>
      </c>
      <c r="B632" s="82" t="s">
        <v>92</v>
      </c>
      <c r="C632" s="82" t="s">
        <v>10</v>
      </c>
      <c r="D632" s="82">
        <v>8.0</v>
      </c>
    </row>
    <row r="633">
      <c r="A633" s="81" t="s">
        <v>771</v>
      </c>
      <c r="B633" s="82" t="s">
        <v>27</v>
      </c>
      <c r="C633" s="82" t="s">
        <v>7</v>
      </c>
      <c r="D633" s="82">
        <v>11.0</v>
      </c>
    </row>
    <row r="634">
      <c r="A634" s="81" t="s">
        <v>961</v>
      </c>
      <c r="B634" s="82" t="s">
        <v>32</v>
      </c>
      <c r="C634" s="82" t="s">
        <v>10</v>
      </c>
      <c r="D634" s="82">
        <v>9.0</v>
      </c>
    </row>
    <row r="635">
      <c r="A635" s="81" t="s">
        <v>254</v>
      </c>
      <c r="B635" s="82" t="s">
        <v>22</v>
      </c>
      <c r="C635" s="82" t="s">
        <v>16</v>
      </c>
      <c r="D635" s="82">
        <v>7.0</v>
      </c>
    </row>
    <row r="636">
      <c r="A636" s="81" t="s">
        <v>968</v>
      </c>
      <c r="B636" s="82" t="s">
        <v>257</v>
      </c>
      <c r="C636" s="82" t="s">
        <v>10</v>
      </c>
      <c r="D636" s="82"/>
    </row>
    <row r="637">
      <c r="A637" s="81" t="s">
        <v>87</v>
      </c>
      <c r="B637" s="82" t="s">
        <v>1007</v>
      </c>
      <c r="C637" s="82" t="s">
        <v>10</v>
      </c>
      <c r="D637" s="82">
        <v>8.0</v>
      </c>
    </row>
    <row r="638">
      <c r="A638" s="81" t="s">
        <v>11</v>
      </c>
      <c r="B638" s="82" t="s">
        <v>12</v>
      </c>
      <c r="C638" s="82" t="s">
        <v>10</v>
      </c>
      <c r="D638" s="82">
        <v>8.0</v>
      </c>
    </row>
    <row r="639">
      <c r="A639" s="81" t="s">
        <v>778</v>
      </c>
      <c r="B639" s="82" t="s">
        <v>257</v>
      </c>
      <c r="C639" s="82" t="s">
        <v>7</v>
      </c>
      <c r="D639" s="82"/>
    </row>
    <row r="640">
      <c r="A640" s="81" t="s">
        <v>592</v>
      </c>
      <c r="B640" s="82" t="s">
        <v>134</v>
      </c>
      <c r="C640" s="82" t="s">
        <v>7</v>
      </c>
      <c r="D640" s="82">
        <v>11.0</v>
      </c>
    </row>
    <row r="641">
      <c r="A641" s="81" t="s">
        <v>476</v>
      </c>
      <c r="B641" s="82" t="s">
        <v>257</v>
      </c>
      <c r="C641" s="82" t="s">
        <v>16</v>
      </c>
      <c r="D641" s="82"/>
    </row>
    <row r="642">
      <c r="A642" s="81" t="s">
        <v>707</v>
      </c>
      <c r="B642" s="82" t="s">
        <v>257</v>
      </c>
      <c r="C642" s="82" t="s">
        <v>25</v>
      </c>
      <c r="D642" s="82"/>
    </row>
    <row r="643">
      <c r="A643" s="81" t="s">
        <v>557</v>
      </c>
      <c r="B643" s="82" t="s">
        <v>44</v>
      </c>
      <c r="C643" s="82" t="s">
        <v>25</v>
      </c>
      <c r="D643" s="82">
        <v>10.0</v>
      </c>
    </row>
    <row r="644">
      <c r="A644" s="81" t="s">
        <v>285</v>
      </c>
      <c r="B644" s="82" t="s">
        <v>1007</v>
      </c>
      <c r="C644" s="82" t="s">
        <v>25</v>
      </c>
      <c r="D644" s="82">
        <v>8.0</v>
      </c>
    </row>
    <row r="645">
      <c r="A645" s="81" t="s">
        <v>214</v>
      </c>
      <c r="B645" s="82" t="s">
        <v>18</v>
      </c>
      <c r="C645" s="82" t="s">
        <v>1116</v>
      </c>
      <c r="D645" s="82">
        <v>6.0</v>
      </c>
    </row>
    <row r="646">
      <c r="A646" s="81" t="s">
        <v>322</v>
      </c>
      <c r="B646" s="82" t="s">
        <v>24</v>
      </c>
      <c r="C646" s="82" t="s">
        <v>7</v>
      </c>
      <c r="D646" s="82">
        <v>6.0</v>
      </c>
    </row>
    <row r="647">
      <c r="A647" s="81" t="s">
        <v>367</v>
      </c>
      <c r="B647" s="82" t="s">
        <v>104</v>
      </c>
      <c r="C647" s="82" t="s">
        <v>25</v>
      </c>
      <c r="D647" s="82">
        <v>7.0</v>
      </c>
    </row>
    <row r="648">
      <c r="A648" s="81" t="s">
        <v>409</v>
      </c>
      <c r="B648" s="82" t="s">
        <v>48</v>
      </c>
      <c r="C648" s="82" t="s">
        <v>16</v>
      </c>
      <c r="D648" s="82">
        <v>11.0</v>
      </c>
    </row>
    <row r="649">
      <c r="A649" s="81" t="s">
        <v>1093</v>
      </c>
      <c r="B649" s="82" t="s">
        <v>257</v>
      </c>
      <c r="C649" s="82" t="s">
        <v>7</v>
      </c>
      <c r="D649" s="82"/>
    </row>
    <row r="650">
      <c r="A650" s="81" t="s">
        <v>118</v>
      </c>
      <c r="B650" s="82" t="s">
        <v>104</v>
      </c>
      <c r="C650" s="82" t="s">
        <v>7</v>
      </c>
      <c r="D650" s="82">
        <v>7.0</v>
      </c>
    </row>
    <row r="651">
      <c r="A651" s="81" t="s">
        <v>695</v>
      </c>
      <c r="B651" s="82" t="s">
        <v>257</v>
      </c>
      <c r="C651" s="82" t="s">
        <v>25</v>
      </c>
      <c r="D651" s="82"/>
    </row>
    <row r="652">
      <c r="A652" s="81" t="s">
        <v>389</v>
      </c>
      <c r="B652" s="82" t="s">
        <v>257</v>
      </c>
      <c r="C652" s="82" t="s">
        <v>7</v>
      </c>
      <c r="D652" s="82"/>
    </row>
    <row r="653">
      <c r="A653" s="81" t="s">
        <v>133</v>
      </c>
      <c r="B653" s="82" t="s">
        <v>134</v>
      </c>
      <c r="C653" s="82" t="s">
        <v>7</v>
      </c>
      <c r="D653" s="82">
        <v>11.0</v>
      </c>
    </row>
    <row r="654">
      <c r="A654" s="81" t="s">
        <v>401</v>
      </c>
      <c r="B654" s="82" t="s">
        <v>29</v>
      </c>
      <c r="C654" s="82" t="s">
        <v>16</v>
      </c>
      <c r="D654" s="82">
        <v>11.0</v>
      </c>
    </row>
    <row r="655">
      <c r="A655" s="81" t="s">
        <v>480</v>
      </c>
      <c r="B655" s="82" t="s">
        <v>257</v>
      </c>
      <c r="C655" s="82" t="s">
        <v>16</v>
      </c>
      <c r="D655" s="82"/>
    </row>
    <row r="656">
      <c r="A656" s="81" t="s">
        <v>310</v>
      </c>
      <c r="B656" s="82" t="s">
        <v>92</v>
      </c>
      <c r="C656" s="82" t="s">
        <v>16</v>
      </c>
      <c r="D656" s="82">
        <v>8.0</v>
      </c>
    </row>
    <row r="657">
      <c r="A657" s="81" t="s">
        <v>957</v>
      </c>
      <c r="B657" s="82" t="s">
        <v>34</v>
      </c>
      <c r="C657" s="82" t="s">
        <v>10</v>
      </c>
      <c r="D657" s="82">
        <v>7.0</v>
      </c>
    </row>
    <row r="658">
      <c r="A658" s="81" t="s">
        <v>176</v>
      </c>
      <c r="B658" s="82" t="s">
        <v>96</v>
      </c>
      <c r="C658" s="82" t="s">
        <v>1116</v>
      </c>
      <c r="D658" s="82">
        <v>10.0</v>
      </c>
    </row>
    <row r="659">
      <c r="A659" s="81" t="s">
        <v>232</v>
      </c>
      <c r="B659" s="82" t="s">
        <v>233</v>
      </c>
      <c r="C659" s="82" t="s">
        <v>1116</v>
      </c>
      <c r="D659" s="82">
        <v>9.0</v>
      </c>
    </row>
    <row r="660">
      <c r="A660" s="81" t="s">
        <v>1002</v>
      </c>
      <c r="B660" s="82" t="s">
        <v>257</v>
      </c>
      <c r="C660" s="82" t="s">
        <v>10</v>
      </c>
      <c r="D660" s="82"/>
    </row>
    <row r="661">
      <c r="A661" s="81" t="s">
        <v>363</v>
      </c>
      <c r="B661" s="82" t="s">
        <v>257</v>
      </c>
      <c r="C661" s="82" t="s">
        <v>16</v>
      </c>
      <c r="D661" s="82"/>
    </row>
    <row r="662">
      <c r="A662" s="81" t="s">
        <v>486</v>
      </c>
      <c r="B662" s="82" t="s">
        <v>40</v>
      </c>
      <c r="C662" s="82" t="s">
        <v>16</v>
      </c>
      <c r="D662" s="82">
        <v>6.0</v>
      </c>
    </row>
    <row r="663">
      <c r="A663" s="81" t="s">
        <v>516</v>
      </c>
      <c r="B663" s="82" t="s">
        <v>18</v>
      </c>
      <c r="C663" s="82" t="s">
        <v>7</v>
      </c>
      <c r="D663" s="82">
        <v>6.0</v>
      </c>
    </row>
    <row r="664">
      <c r="A664" s="81" t="s">
        <v>692</v>
      </c>
      <c r="B664" s="82" t="s">
        <v>102</v>
      </c>
      <c r="C664" s="82" t="s">
        <v>25</v>
      </c>
      <c r="D664" s="82">
        <v>11.0</v>
      </c>
    </row>
    <row r="665">
      <c r="A665" s="81" t="s">
        <v>618</v>
      </c>
      <c r="B665" s="82" t="s">
        <v>257</v>
      </c>
      <c r="C665" s="82" t="s">
        <v>25</v>
      </c>
      <c r="D665" s="82"/>
    </row>
    <row r="666">
      <c r="A666" s="81" t="s">
        <v>768</v>
      </c>
      <c r="B666" s="82" t="s">
        <v>233</v>
      </c>
      <c r="C666" s="82" t="s">
        <v>7</v>
      </c>
      <c r="D666" s="82">
        <v>9.0</v>
      </c>
    </row>
    <row r="667">
      <c r="A667" s="81" t="s">
        <v>876</v>
      </c>
      <c r="B667" s="82" t="s">
        <v>257</v>
      </c>
      <c r="C667" s="82" t="s">
        <v>7</v>
      </c>
      <c r="D667" s="82"/>
    </row>
    <row r="668">
      <c r="A668" s="81" t="s">
        <v>804</v>
      </c>
      <c r="B668" s="82" t="s">
        <v>102</v>
      </c>
      <c r="C668" s="82" t="s">
        <v>7</v>
      </c>
      <c r="D668" s="82">
        <v>11.0</v>
      </c>
    </row>
    <row r="669">
      <c r="A669" s="81" t="s">
        <v>804</v>
      </c>
      <c r="B669" s="82" t="s">
        <v>102</v>
      </c>
      <c r="C669" s="82" t="s">
        <v>7</v>
      </c>
      <c r="D669" s="82">
        <v>11.0</v>
      </c>
    </row>
    <row r="670">
      <c r="A670" s="81" t="s">
        <v>643</v>
      </c>
      <c r="B670" s="82" t="s">
        <v>257</v>
      </c>
      <c r="C670" s="82" t="s">
        <v>25</v>
      </c>
      <c r="D670" s="82"/>
    </row>
    <row r="671">
      <c r="A671" s="81" t="s">
        <v>353</v>
      </c>
      <c r="B671" s="82" t="s">
        <v>56</v>
      </c>
      <c r="C671" s="82" t="s">
        <v>16</v>
      </c>
      <c r="D671" s="82">
        <v>5.0</v>
      </c>
    </row>
    <row r="672">
      <c r="A672" s="81" t="s">
        <v>713</v>
      </c>
      <c r="B672" s="82" t="s">
        <v>18</v>
      </c>
      <c r="C672" s="82" t="s">
        <v>25</v>
      </c>
      <c r="D672" s="82">
        <v>6.0</v>
      </c>
    </row>
    <row r="673">
      <c r="A673" s="81" t="s">
        <v>681</v>
      </c>
      <c r="B673" s="82" t="s">
        <v>74</v>
      </c>
      <c r="C673" s="82" t="s">
        <v>25</v>
      </c>
      <c r="D673" s="82">
        <v>7.0</v>
      </c>
    </row>
    <row r="674">
      <c r="A674" s="81" t="s">
        <v>714</v>
      </c>
      <c r="B674" s="82" t="s">
        <v>257</v>
      </c>
      <c r="C674" s="82" t="s">
        <v>25</v>
      </c>
      <c r="D674" s="82"/>
    </row>
    <row r="675">
      <c r="A675" s="81" t="s">
        <v>930</v>
      </c>
      <c r="B675" s="82" t="s">
        <v>18</v>
      </c>
      <c r="C675" s="82" t="s">
        <v>10</v>
      </c>
      <c r="D675" s="82">
        <v>6.0</v>
      </c>
    </row>
    <row r="676">
      <c r="A676" s="81" t="s">
        <v>872</v>
      </c>
      <c r="B676" s="82" t="s">
        <v>257</v>
      </c>
      <c r="C676" s="82" t="s">
        <v>7</v>
      </c>
      <c r="D676" s="82"/>
    </row>
    <row r="677">
      <c r="A677" s="81" t="s">
        <v>42</v>
      </c>
      <c r="B677" s="82" t="s">
        <v>12</v>
      </c>
      <c r="C677" s="82" t="s">
        <v>16</v>
      </c>
      <c r="D677" s="82">
        <v>8.0</v>
      </c>
    </row>
    <row r="678">
      <c r="A678" s="81" t="s">
        <v>152</v>
      </c>
      <c r="B678" s="82" t="s">
        <v>12</v>
      </c>
      <c r="C678" s="82" t="s">
        <v>7</v>
      </c>
      <c r="D678" s="82">
        <v>8.0</v>
      </c>
    </row>
    <row r="679">
      <c r="A679" s="81" t="s">
        <v>971</v>
      </c>
      <c r="B679" s="82" t="s">
        <v>257</v>
      </c>
      <c r="C679" s="82" t="s">
        <v>10</v>
      </c>
      <c r="D679" s="82"/>
    </row>
    <row r="680">
      <c r="A680" s="81" t="s">
        <v>846</v>
      </c>
      <c r="B680" s="82" t="s">
        <v>257</v>
      </c>
      <c r="C680" s="82" t="s">
        <v>7</v>
      </c>
      <c r="D680" s="82"/>
    </row>
    <row r="681">
      <c r="A681" s="81" t="s">
        <v>846</v>
      </c>
      <c r="B681" s="82" t="s">
        <v>257</v>
      </c>
      <c r="C681" s="82" t="s">
        <v>7</v>
      </c>
      <c r="D681" s="82"/>
    </row>
    <row r="682">
      <c r="A682" s="81" t="s">
        <v>843</v>
      </c>
      <c r="B682" s="82" t="s">
        <v>257</v>
      </c>
      <c r="C682" s="82" t="s">
        <v>7</v>
      </c>
      <c r="D682" s="82"/>
    </row>
    <row r="683">
      <c r="A683" s="81" t="s">
        <v>843</v>
      </c>
      <c r="B683" s="82" t="s">
        <v>257</v>
      </c>
      <c r="C683" s="82" t="s">
        <v>7</v>
      </c>
      <c r="D683" s="82"/>
    </row>
    <row r="684">
      <c r="A684" s="81" t="s">
        <v>683</v>
      </c>
      <c r="B684" s="82" t="s">
        <v>257</v>
      </c>
      <c r="C684" s="82" t="s">
        <v>25</v>
      </c>
      <c r="D684" s="82"/>
    </row>
    <row r="685">
      <c r="A685" s="81" t="s">
        <v>754</v>
      </c>
      <c r="B685" s="82" t="s">
        <v>257</v>
      </c>
      <c r="C685" s="82" t="s">
        <v>25</v>
      </c>
      <c r="D685" s="82"/>
    </row>
    <row r="686">
      <c r="A686" s="81" t="s">
        <v>249</v>
      </c>
      <c r="B686" s="82" t="s">
        <v>74</v>
      </c>
      <c r="C686" s="82" t="s">
        <v>7</v>
      </c>
      <c r="D686" s="82">
        <v>7.0</v>
      </c>
    </row>
    <row r="687">
      <c r="A687" s="81" t="s">
        <v>735</v>
      </c>
      <c r="B687" s="82" t="s">
        <v>86</v>
      </c>
      <c r="C687" s="82" t="s">
        <v>25</v>
      </c>
      <c r="D687" s="82">
        <v>6.0</v>
      </c>
    </row>
    <row r="688">
      <c r="A688" s="81" t="s">
        <v>422</v>
      </c>
      <c r="B688" s="82" t="s">
        <v>56</v>
      </c>
      <c r="C688" s="82" t="s">
        <v>25</v>
      </c>
      <c r="D688" s="82">
        <v>5.0</v>
      </c>
    </row>
    <row r="689">
      <c r="A689" s="81" t="s">
        <v>108</v>
      </c>
      <c r="B689" s="82" t="s">
        <v>12</v>
      </c>
      <c r="C689" s="82" t="s">
        <v>25</v>
      </c>
      <c r="D689" s="82">
        <v>8.0</v>
      </c>
    </row>
    <row r="690">
      <c r="A690" s="81" t="s">
        <v>751</v>
      </c>
      <c r="B690" s="82" t="s">
        <v>32</v>
      </c>
      <c r="C690" s="82" t="s">
        <v>25</v>
      </c>
      <c r="D690" s="82">
        <v>9.0</v>
      </c>
    </row>
    <row r="691">
      <c r="A691" s="81" t="s">
        <v>1094</v>
      </c>
      <c r="B691" s="82" t="s">
        <v>257</v>
      </c>
      <c r="C691" s="82" t="s">
        <v>7</v>
      </c>
      <c r="D691" s="82"/>
    </row>
    <row r="692">
      <c r="A692" s="81" t="s">
        <v>744</v>
      </c>
      <c r="B692" s="82" t="s">
        <v>257</v>
      </c>
      <c r="C692" s="82" t="s">
        <v>25</v>
      </c>
      <c r="D692" s="82"/>
    </row>
    <row r="693">
      <c r="A693" s="81" t="s">
        <v>673</v>
      </c>
      <c r="B693" s="82" t="s">
        <v>69</v>
      </c>
      <c r="C693" s="82" t="s">
        <v>25</v>
      </c>
      <c r="D693" s="82">
        <v>5.0</v>
      </c>
    </row>
    <row r="694">
      <c r="A694" s="81" t="s">
        <v>111</v>
      </c>
      <c r="B694" s="82" t="s">
        <v>69</v>
      </c>
      <c r="C694" s="82" t="s">
        <v>25</v>
      </c>
      <c r="D694" s="82">
        <v>5.0</v>
      </c>
    </row>
    <row r="695">
      <c r="A695" s="81" t="s">
        <v>205</v>
      </c>
      <c r="B695" s="82" t="s">
        <v>56</v>
      </c>
      <c r="C695" s="82" t="s">
        <v>169</v>
      </c>
      <c r="D695" s="82">
        <v>5.0</v>
      </c>
    </row>
    <row r="696">
      <c r="A696" s="81" t="s">
        <v>923</v>
      </c>
      <c r="B696" s="82" t="s">
        <v>59</v>
      </c>
      <c r="C696" s="82" t="s">
        <v>10</v>
      </c>
      <c r="D696" s="82">
        <v>8.0</v>
      </c>
    </row>
    <row r="697">
      <c r="A697" s="81" t="s">
        <v>419</v>
      </c>
      <c r="B697" s="82" t="s">
        <v>61</v>
      </c>
      <c r="C697" s="82" t="s">
        <v>16</v>
      </c>
      <c r="D697" s="82">
        <v>9.0</v>
      </c>
    </row>
    <row r="698">
      <c r="A698" s="81" t="s">
        <v>927</v>
      </c>
      <c r="B698" s="82" t="s">
        <v>48</v>
      </c>
      <c r="C698" s="82" t="s">
        <v>10</v>
      </c>
      <c r="D698" s="82">
        <v>11.0</v>
      </c>
    </row>
    <row r="699">
      <c r="A699" s="81" t="s">
        <v>336</v>
      </c>
      <c r="B699" s="82" t="s">
        <v>102</v>
      </c>
      <c r="C699" s="82" t="s">
        <v>7</v>
      </c>
      <c r="D699" s="82">
        <v>11.0</v>
      </c>
    </row>
    <row r="700">
      <c r="A700" s="81" t="s">
        <v>265</v>
      </c>
      <c r="B700" s="82" t="s">
        <v>257</v>
      </c>
      <c r="C700" s="82" t="s">
        <v>169</v>
      </c>
      <c r="D700" s="82"/>
    </row>
    <row r="701">
      <c r="A701" s="81" t="s">
        <v>982</v>
      </c>
      <c r="B701" s="82" t="s">
        <v>257</v>
      </c>
      <c r="C701" s="82" t="s">
        <v>10</v>
      </c>
      <c r="D701" s="82"/>
    </row>
    <row r="702">
      <c r="A702" s="81" t="s">
        <v>910</v>
      </c>
      <c r="B702" s="82" t="s">
        <v>257</v>
      </c>
      <c r="C702" s="82" t="s">
        <v>7</v>
      </c>
      <c r="D702" s="82"/>
    </row>
    <row r="703">
      <c r="A703" s="81" t="s">
        <v>472</v>
      </c>
      <c r="B703" s="82" t="s">
        <v>257</v>
      </c>
      <c r="C703" s="82" t="s">
        <v>16</v>
      </c>
      <c r="D703" s="82"/>
    </row>
    <row r="704">
      <c r="A704" s="81" t="s">
        <v>193</v>
      </c>
      <c r="B704" s="82" t="s">
        <v>38</v>
      </c>
      <c r="C704" s="82" t="s">
        <v>169</v>
      </c>
      <c r="D704" s="82">
        <v>12.0</v>
      </c>
    </row>
    <row r="705">
      <c r="A705" s="81" t="s">
        <v>455</v>
      </c>
      <c r="B705" s="82" t="s">
        <v>86</v>
      </c>
      <c r="C705" s="82" t="s">
        <v>16</v>
      </c>
      <c r="D705" s="82">
        <v>6.0</v>
      </c>
    </row>
    <row r="706">
      <c r="A706" s="81" t="s">
        <v>1095</v>
      </c>
      <c r="B706" s="82" t="s">
        <v>74</v>
      </c>
      <c r="C706" s="82" t="s">
        <v>16</v>
      </c>
      <c r="D706" s="82">
        <v>7.0</v>
      </c>
    </row>
    <row r="707">
      <c r="A707" s="81" t="s">
        <v>274</v>
      </c>
      <c r="B707" s="82" t="s">
        <v>257</v>
      </c>
      <c r="C707" s="82" t="s">
        <v>169</v>
      </c>
      <c r="D707" s="82"/>
    </row>
    <row r="708">
      <c r="A708" s="81" t="s">
        <v>977</v>
      </c>
      <c r="B708" s="82" t="s">
        <v>257</v>
      </c>
      <c r="C708" s="82" t="s">
        <v>10</v>
      </c>
      <c r="D708" s="82"/>
    </row>
    <row r="709">
      <c r="A709" s="81" t="s">
        <v>183</v>
      </c>
      <c r="B709" s="82" t="s">
        <v>69</v>
      </c>
      <c r="C709" s="82" t="s">
        <v>169</v>
      </c>
      <c r="D709" s="82">
        <v>5.0</v>
      </c>
    </row>
    <row r="710">
      <c r="A710" s="81" t="s">
        <v>81</v>
      </c>
      <c r="B710" s="82" t="s">
        <v>44</v>
      </c>
      <c r="C710" s="82" t="s">
        <v>10</v>
      </c>
      <c r="D710" s="82">
        <v>10.0</v>
      </c>
    </row>
    <row r="711">
      <c r="A711" s="81" t="s">
        <v>925</v>
      </c>
      <c r="B711" s="82" t="s">
        <v>44</v>
      </c>
      <c r="C711" s="82" t="s">
        <v>10</v>
      </c>
      <c r="D711" s="82">
        <v>10.0</v>
      </c>
    </row>
    <row r="712">
      <c r="A712" s="81" t="s">
        <v>723</v>
      </c>
      <c r="B712" s="82" t="s">
        <v>86</v>
      </c>
      <c r="C712" s="82" t="s">
        <v>25</v>
      </c>
      <c r="D712" s="82">
        <v>6.0</v>
      </c>
    </row>
    <row r="713">
      <c r="A713" s="81" t="s">
        <v>723</v>
      </c>
      <c r="B713" s="82" t="s">
        <v>86</v>
      </c>
      <c r="C713" s="82" t="s">
        <v>25</v>
      </c>
      <c r="D713" s="82">
        <v>6.0</v>
      </c>
    </row>
    <row r="714">
      <c r="A714" s="81" t="s">
        <v>145</v>
      </c>
      <c r="B714" s="82" t="s">
        <v>69</v>
      </c>
      <c r="C714" s="82" t="s">
        <v>10</v>
      </c>
      <c r="D714" s="82">
        <v>5.0</v>
      </c>
    </row>
    <row r="715">
      <c r="A715" s="81" t="s">
        <v>674</v>
      </c>
      <c r="B715" s="82" t="s">
        <v>24</v>
      </c>
      <c r="C715" s="82" t="s">
        <v>25</v>
      </c>
      <c r="D715" s="82">
        <v>6.0</v>
      </c>
    </row>
    <row r="716">
      <c r="A716" s="81" t="s">
        <v>679</v>
      </c>
      <c r="B716" s="82" t="s">
        <v>257</v>
      </c>
      <c r="C716" s="82" t="s">
        <v>25</v>
      </c>
      <c r="D716" s="82"/>
    </row>
    <row r="717">
      <c r="A717" s="81" t="s">
        <v>679</v>
      </c>
      <c r="B717" s="82" t="s">
        <v>257</v>
      </c>
      <c r="C717" s="82" t="s">
        <v>25</v>
      </c>
      <c r="D717" s="82"/>
    </row>
    <row r="718">
      <c r="A718" s="81" t="s">
        <v>369</v>
      </c>
      <c r="B718" s="82" t="s">
        <v>1007</v>
      </c>
      <c r="C718" s="82" t="s">
        <v>16</v>
      </c>
      <c r="D718" s="82">
        <v>8.0</v>
      </c>
    </row>
    <row r="719">
      <c r="A719" s="81" t="s">
        <v>140</v>
      </c>
      <c r="B719" s="82" t="s">
        <v>9</v>
      </c>
      <c r="C719" s="82" t="s">
        <v>25</v>
      </c>
      <c r="D719" s="82">
        <v>10.0</v>
      </c>
    </row>
    <row r="720">
      <c r="A720" s="81" t="s">
        <v>117</v>
      </c>
      <c r="B720" s="82" t="s">
        <v>63</v>
      </c>
      <c r="C720" s="82" t="s">
        <v>7</v>
      </c>
      <c r="D720" s="82">
        <v>8.0</v>
      </c>
    </row>
    <row r="721">
      <c r="A721" s="81" t="s">
        <v>216</v>
      </c>
      <c r="B721" s="82" t="s">
        <v>102</v>
      </c>
      <c r="C721" s="82" t="s">
        <v>1116</v>
      </c>
      <c r="D721" s="82">
        <v>11.0</v>
      </c>
    </row>
    <row r="722">
      <c r="A722" s="81" t="s">
        <v>812</v>
      </c>
      <c r="B722" s="82" t="s">
        <v>24</v>
      </c>
      <c r="C722" s="82" t="s">
        <v>7</v>
      </c>
      <c r="D722" s="82">
        <v>6.0</v>
      </c>
    </row>
    <row r="723">
      <c r="A723" s="81" t="s">
        <v>717</v>
      </c>
      <c r="B723" s="82" t="s">
        <v>257</v>
      </c>
      <c r="C723" s="82" t="s">
        <v>25</v>
      </c>
      <c r="D723" s="82"/>
    </row>
    <row r="724">
      <c r="A724" s="81" t="s">
        <v>717</v>
      </c>
      <c r="B724" s="82" t="s">
        <v>257</v>
      </c>
      <c r="C724" s="82" t="s">
        <v>25</v>
      </c>
      <c r="D724" s="82"/>
    </row>
    <row r="725">
      <c r="A725" s="81" t="s">
        <v>759</v>
      </c>
      <c r="B725" s="82" t="s">
        <v>257</v>
      </c>
      <c r="C725" s="82" t="s">
        <v>25</v>
      </c>
      <c r="D725" s="82"/>
    </row>
    <row r="726">
      <c r="A726" s="81" t="s">
        <v>759</v>
      </c>
      <c r="B726" s="82" t="s">
        <v>257</v>
      </c>
      <c r="C726" s="82" t="s">
        <v>25</v>
      </c>
      <c r="D726" s="82"/>
    </row>
    <row r="727">
      <c r="A727" s="81" t="s">
        <v>93</v>
      </c>
      <c r="B727" s="82" t="s">
        <v>14</v>
      </c>
      <c r="C727" s="82" t="s">
        <v>25</v>
      </c>
      <c r="D727" s="82">
        <v>10.0</v>
      </c>
    </row>
    <row r="728">
      <c r="A728" s="81" t="s">
        <v>294</v>
      </c>
      <c r="B728" s="82" t="s">
        <v>74</v>
      </c>
      <c r="C728" s="82" t="s">
        <v>25</v>
      </c>
      <c r="D728" s="82">
        <v>7.0</v>
      </c>
    </row>
    <row r="729">
      <c r="A729" s="81" t="s">
        <v>494</v>
      </c>
      <c r="B729" s="82" t="s">
        <v>102</v>
      </c>
      <c r="C729" s="82" t="s">
        <v>16</v>
      </c>
      <c r="D729" s="82">
        <v>11.0</v>
      </c>
    </row>
    <row r="730">
      <c r="A730" s="81" t="s">
        <v>23</v>
      </c>
      <c r="B730" s="82" t="s">
        <v>24</v>
      </c>
      <c r="C730" s="82" t="s">
        <v>25</v>
      </c>
      <c r="D730" s="82">
        <v>6.0</v>
      </c>
    </row>
    <row r="731">
      <c r="A731" s="81" t="s">
        <v>605</v>
      </c>
      <c r="B731" s="82" t="s">
        <v>104</v>
      </c>
      <c r="C731" s="82" t="s">
        <v>25</v>
      </c>
      <c r="D731" s="82">
        <v>7.0</v>
      </c>
    </row>
    <row r="732">
      <c r="A732" s="81" t="s">
        <v>809</v>
      </c>
      <c r="B732" s="82" t="s">
        <v>32</v>
      </c>
      <c r="C732" s="82" t="s">
        <v>7</v>
      </c>
      <c r="D732" s="82">
        <v>9.0</v>
      </c>
    </row>
    <row r="733">
      <c r="A733" s="81" t="s">
        <v>207</v>
      </c>
      <c r="B733" s="82" t="s">
        <v>96</v>
      </c>
      <c r="C733" s="82" t="s">
        <v>169</v>
      </c>
      <c r="D733" s="82">
        <v>10.0</v>
      </c>
    </row>
    <row r="734">
      <c r="A734" s="81" t="s">
        <v>775</v>
      </c>
      <c r="B734" s="82" t="s">
        <v>22</v>
      </c>
      <c r="C734" s="82" t="s">
        <v>7</v>
      </c>
      <c r="D734" s="82">
        <v>7.0</v>
      </c>
    </row>
    <row r="735">
      <c r="A735" s="81" t="s">
        <v>602</v>
      </c>
      <c r="B735" s="82" t="s">
        <v>6</v>
      </c>
      <c r="C735" s="82" t="s">
        <v>7</v>
      </c>
      <c r="D735" s="82">
        <v>12.0</v>
      </c>
    </row>
    <row r="736">
      <c r="A736" s="81" t="s">
        <v>37</v>
      </c>
      <c r="B736" s="82" t="s">
        <v>38</v>
      </c>
      <c r="C736" s="82" t="s">
        <v>25</v>
      </c>
      <c r="D736" s="82">
        <v>12.0</v>
      </c>
    </row>
    <row r="737">
      <c r="A737" s="81" t="s">
        <v>129</v>
      </c>
      <c r="B737" s="82" t="s">
        <v>102</v>
      </c>
      <c r="C737" s="82" t="s">
        <v>16</v>
      </c>
      <c r="D737" s="82">
        <v>11.0</v>
      </c>
    </row>
    <row r="738">
      <c r="A738" s="81" t="s">
        <v>897</v>
      </c>
      <c r="B738" s="82" t="s">
        <v>257</v>
      </c>
      <c r="C738" s="82" t="s">
        <v>7</v>
      </c>
      <c r="D738" s="82"/>
    </row>
    <row r="739">
      <c r="A739" s="81" t="s">
        <v>987</v>
      </c>
      <c r="B739" s="82" t="s">
        <v>104</v>
      </c>
      <c r="C739" s="82" t="s">
        <v>10</v>
      </c>
      <c r="D739" s="82">
        <v>7.0</v>
      </c>
    </row>
    <row r="740">
      <c r="A740" s="81" t="s">
        <v>264</v>
      </c>
      <c r="B740" s="82" t="s">
        <v>257</v>
      </c>
      <c r="C740" s="82" t="s">
        <v>169</v>
      </c>
      <c r="D740" s="82"/>
    </row>
    <row r="741">
      <c r="A741" s="81" t="s">
        <v>720</v>
      </c>
      <c r="B741" s="82" t="s">
        <v>257</v>
      </c>
      <c r="C741" s="82" t="s">
        <v>25</v>
      </c>
      <c r="D741" s="82"/>
    </row>
    <row r="742">
      <c r="A742" s="81" t="s">
        <v>720</v>
      </c>
      <c r="B742" s="82" t="s">
        <v>257</v>
      </c>
      <c r="C742" s="82" t="s">
        <v>25</v>
      </c>
      <c r="D742" s="82"/>
    </row>
    <row r="743">
      <c r="A743" s="81" t="s">
        <v>835</v>
      </c>
      <c r="B743" s="82" t="s">
        <v>257</v>
      </c>
      <c r="C743" s="82" t="s">
        <v>7</v>
      </c>
      <c r="D743" s="82"/>
    </row>
    <row r="744">
      <c r="A744" s="81" t="s">
        <v>835</v>
      </c>
      <c r="B744" s="82" t="s">
        <v>257</v>
      </c>
      <c r="C744" s="82" t="s">
        <v>7</v>
      </c>
      <c r="D744" s="82"/>
    </row>
    <row r="745">
      <c r="A745" s="81" t="s">
        <v>960</v>
      </c>
      <c r="B745" s="82" t="s">
        <v>134</v>
      </c>
      <c r="C745" s="82" t="s">
        <v>10</v>
      </c>
      <c r="D745" s="82">
        <v>11.0</v>
      </c>
    </row>
    <row r="746">
      <c r="A746" s="81" t="s">
        <v>154</v>
      </c>
      <c r="B746" s="82" t="s">
        <v>96</v>
      </c>
      <c r="C746" s="82" t="s">
        <v>25</v>
      </c>
      <c r="D746" s="82">
        <v>10.0</v>
      </c>
    </row>
    <row r="747">
      <c r="A747" s="81" t="s">
        <v>360</v>
      </c>
      <c r="B747" s="82" t="s">
        <v>12</v>
      </c>
      <c r="C747" s="82" t="s">
        <v>25</v>
      </c>
      <c r="D747" s="82">
        <v>8.0</v>
      </c>
    </row>
    <row r="748">
      <c r="A748" s="81" t="s">
        <v>31</v>
      </c>
      <c r="B748" s="82" t="s">
        <v>32</v>
      </c>
      <c r="C748" s="82" t="s">
        <v>7</v>
      </c>
      <c r="D748" s="82">
        <v>9.0</v>
      </c>
    </row>
    <row r="749">
      <c r="A749" s="81" t="s">
        <v>210</v>
      </c>
      <c r="B749" s="82" t="s">
        <v>22</v>
      </c>
      <c r="C749" s="82" t="s">
        <v>1116</v>
      </c>
      <c r="D749" s="82">
        <v>7.0</v>
      </c>
    </row>
    <row r="750">
      <c r="A750" s="81" t="s">
        <v>943</v>
      </c>
      <c r="B750" s="82" t="s">
        <v>77</v>
      </c>
      <c r="C750" s="82" t="s">
        <v>10</v>
      </c>
      <c r="D750" s="82">
        <v>11.0</v>
      </c>
    </row>
    <row r="751">
      <c r="A751" s="81" t="s">
        <v>377</v>
      </c>
      <c r="B751" s="82" t="s">
        <v>74</v>
      </c>
      <c r="C751" s="82" t="s">
        <v>16</v>
      </c>
      <c r="D751" s="82">
        <v>7.0</v>
      </c>
    </row>
    <row r="752">
      <c r="A752" s="81" t="s">
        <v>302</v>
      </c>
      <c r="B752" s="82" t="s">
        <v>86</v>
      </c>
      <c r="C752" s="82" t="s">
        <v>25</v>
      </c>
      <c r="D752" s="82">
        <v>6.0</v>
      </c>
    </row>
    <row r="753">
      <c r="A753" s="81" t="s">
        <v>438</v>
      </c>
      <c r="B753" s="82" t="s">
        <v>61</v>
      </c>
      <c r="C753" s="82" t="s">
        <v>16</v>
      </c>
      <c r="D753" s="82">
        <v>9.0</v>
      </c>
    </row>
    <row r="754">
      <c r="A754" s="81" t="s">
        <v>688</v>
      </c>
      <c r="B754" s="82" t="s">
        <v>257</v>
      </c>
      <c r="C754" s="82" t="s">
        <v>25</v>
      </c>
      <c r="D754" s="82"/>
    </row>
    <row r="755">
      <c r="A755" s="81" t="s">
        <v>375</v>
      </c>
      <c r="B755" s="82" t="s">
        <v>34</v>
      </c>
      <c r="C755" s="82" t="s">
        <v>16</v>
      </c>
      <c r="D755" s="82">
        <v>7.0</v>
      </c>
    </row>
    <row r="756">
      <c r="A756" s="81" t="s">
        <v>1096</v>
      </c>
      <c r="B756" s="82" t="s">
        <v>22</v>
      </c>
      <c r="C756" s="82" t="s">
        <v>10</v>
      </c>
      <c r="D756" s="82">
        <v>7.0</v>
      </c>
    </row>
    <row r="757">
      <c r="A757" s="81" t="s">
        <v>963</v>
      </c>
      <c r="B757" s="82" t="s">
        <v>32</v>
      </c>
      <c r="C757" s="82" t="s">
        <v>10</v>
      </c>
      <c r="D757" s="82">
        <v>9.0</v>
      </c>
    </row>
    <row r="758">
      <c r="A758" s="81" t="s">
        <v>969</v>
      </c>
      <c r="B758" s="82" t="s">
        <v>18</v>
      </c>
      <c r="C758" s="82" t="s">
        <v>10</v>
      </c>
      <c r="D758" s="82">
        <v>6.0</v>
      </c>
    </row>
    <row r="759">
      <c r="A759" s="81" t="s">
        <v>1097</v>
      </c>
      <c r="B759" s="82" t="s">
        <v>257</v>
      </c>
      <c r="C759" s="82" t="s">
        <v>16</v>
      </c>
      <c r="D759" s="82"/>
    </row>
    <row r="760">
      <c r="A760" s="81" t="s">
        <v>524</v>
      </c>
      <c r="B760" s="82" t="s">
        <v>18</v>
      </c>
      <c r="C760" s="82" t="s">
        <v>25</v>
      </c>
      <c r="D760" s="82">
        <v>6.0</v>
      </c>
    </row>
    <row r="761">
      <c r="A761" s="81" t="s">
        <v>175</v>
      </c>
      <c r="B761" s="82" t="s">
        <v>86</v>
      </c>
      <c r="C761" s="82" t="s">
        <v>1116</v>
      </c>
      <c r="D761" s="82">
        <v>6.0</v>
      </c>
    </row>
    <row r="762">
      <c r="A762" s="81" t="s">
        <v>226</v>
      </c>
      <c r="B762" s="82" t="s">
        <v>24</v>
      </c>
      <c r="C762" s="82" t="s">
        <v>1116</v>
      </c>
      <c r="D762" s="82">
        <v>6.0</v>
      </c>
    </row>
    <row r="763">
      <c r="A763" s="81" t="s">
        <v>235</v>
      </c>
      <c r="B763" s="82" t="s">
        <v>29</v>
      </c>
      <c r="C763" s="82" t="s">
        <v>1116</v>
      </c>
      <c r="D763" s="82">
        <v>11.0</v>
      </c>
    </row>
    <row r="764">
      <c r="A764" s="81" t="s">
        <v>223</v>
      </c>
      <c r="B764" s="82" t="s">
        <v>134</v>
      </c>
      <c r="C764" s="82" t="s">
        <v>1116</v>
      </c>
      <c r="D764" s="82">
        <v>11.0</v>
      </c>
    </row>
    <row r="765">
      <c r="A765" s="81" t="s">
        <v>799</v>
      </c>
      <c r="B765" s="82" t="s">
        <v>69</v>
      </c>
      <c r="C765" s="82" t="s">
        <v>7</v>
      </c>
      <c r="D765" s="82">
        <v>5.0</v>
      </c>
    </row>
    <row r="766">
      <c r="A766" s="81" t="s">
        <v>823</v>
      </c>
      <c r="B766" s="82" t="s">
        <v>40</v>
      </c>
      <c r="C766" s="82" t="s">
        <v>7</v>
      </c>
      <c r="D766" s="82">
        <v>6.0</v>
      </c>
    </row>
    <row r="767">
      <c r="A767" s="81" t="s">
        <v>296</v>
      </c>
      <c r="B767" s="82" t="s">
        <v>12</v>
      </c>
      <c r="C767" s="82" t="s">
        <v>16</v>
      </c>
      <c r="D767" s="82">
        <v>8.0</v>
      </c>
    </row>
    <row r="768">
      <c r="A768" s="81" t="s">
        <v>53</v>
      </c>
      <c r="B768" s="82" t="s">
        <v>54</v>
      </c>
      <c r="C768" s="82" t="s">
        <v>7</v>
      </c>
      <c r="D768" s="82">
        <v>9.0</v>
      </c>
    </row>
    <row r="769">
      <c r="A769" s="81" t="s">
        <v>284</v>
      </c>
      <c r="B769" s="82" t="s">
        <v>77</v>
      </c>
      <c r="C769" s="82" t="s">
        <v>10</v>
      </c>
      <c r="D769" s="82">
        <v>11.0</v>
      </c>
    </row>
    <row r="770">
      <c r="A770" s="81" t="s">
        <v>262</v>
      </c>
      <c r="B770" s="82" t="s">
        <v>257</v>
      </c>
      <c r="C770" s="82" t="s">
        <v>169</v>
      </c>
      <c r="D770" s="82"/>
    </row>
    <row r="771">
      <c r="A771" s="81" t="s">
        <v>935</v>
      </c>
      <c r="B771" s="82" t="s">
        <v>27</v>
      </c>
      <c r="C771" s="82" t="s">
        <v>10</v>
      </c>
      <c r="D771" s="82">
        <v>11.0</v>
      </c>
    </row>
    <row r="772">
      <c r="A772" s="81" t="s">
        <v>457</v>
      </c>
      <c r="B772" s="82" t="s">
        <v>18</v>
      </c>
      <c r="C772" s="82" t="s">
        <v>16</v>
      </c>
      <c r="D772" s="82">
        <v>6.0</v>
      </c>
    </row>
    <row r="773">
      <c r="A773" s="81" t="s">
        <v>394</v>
      </c>
      <c r="B773" s="82" t="s">
        <v>63</v>
      </c>
      <c r="C773" s="82" t="s">
        <v>16</v>
      </c>
      <c r="D773" s="82">
        <v>8.0</v>
      </c>
    </row>
    <row r="774">
      <c r="A774" s="81" t="s">
        <v>733</v>
      </c>
      <c r="B774" s="82" t="s">
        <v>257</v>
      </c>
      <c r="C774" s="82" t="s">
        <v>25</v>
      </c>
      <c r="D774" s="82"/>
    </row>
    <row r="775">
      <c r="A775" s="81" t="s">
        <v>474</v>
      </c>
      <c r="B775" s="82" t="s">
        <v>257</v>
      </c>
      <c r="C775" s="82" t="s">
        <v>16</v>
      </c>
      <c r="D775" s="82"/>
    </row>
    <row r="776">
      <c r="A776" s="81" t="s">
        <v>245</v>
      </c>
      <c r="B776" s="82" t="s">
        <v>86</v>
      </c>
      <c r="C776" s="82" t="s">
        <v>25</v>
      </c>
      <c r="D776" s="82">
        <v>6.0</v>
      </c>
    </row>
    <row r="777">
      <c r="A777" s="81" t="s">
        <v>632</v>
      </c>
      <c r="B777" s="82" t="s">
        <v>14</v>
      </c>
      <c r="C777" s="82" t="s">
        <v>25</v>
      </c>
      <c r="D777" s="82">
        <v>10.0</v>
      </c>
    </row>
    <row r="778">
      <c r="A778" s="81" t="s">
        <v>115</v>
      </c>
      <c r="B778" s="82" t="s">
        <v>63</v>
      </c>
      <c r="C778" s="82" t="s">
        <v>16</v>
      </c>
      <c r="D778" s="82">
        <v>8.0</v>
      </c>
    </row>
    <row r="779">
      <c r="A779" s="81" t="s">
        <v>576</v>
      </c>
      <c r="B779" s="82" t="s">
        <v>233</v>
      </c>
      <c r="C779" s="82" t="s">
        <v>25</v>
      </c>
      <c r="D779" s="82">
        <v>9.0</v>
      </c>
    </row>
    <row r="780">
      <c r="A780" s="81" t="s">
        <v>352</v>
      </c>
      <c r="B780" s="82" t="s">
        <v>74</v>
      </c>
      <c r="C780" s="82" t="s">
        <v>7</v>
      </c>
      <c r="D780" s="82">
        <v>7.0</v>
      </c>
    </row>
    <row r="781">
      <c r="A781" s="81" t="s">
        <v>309</v>
      </c>
      <c r="B781" s="82" t="s">
        <v>38</v>
      </c>
      <c r="C781" s="82" t="s">
        <v>16</v>
      </c>
      <c r="D781" s="82">
        <v>12.0</v>
      </c>
    </row>
    <row r="782">
      <c r="A782" s="81" t="s">
        <v>83</v>
      </c>
      <c r="B782" s="82" t="s">
        <v>54</v>
      </c>
      <c r="C782" s="82" t="s">
        <v>25</v>
      </c>
      <c r="D782" s="82">
        <v>9.0</v>
      </c>
    </row>
    <row r="783">
      <c r="A783" s="81" t="s">
        <v>522</v>
      </c>
      <c r="B783" s="82" t="s">
        <v>22</v>
      </c>
      <c r="C783" s="82" t="s">
        <v>25</v>
      </c>
      <c r="D783" s="82">
        <v>7.0</v>
      </c>
    </row>
    <row r="784">
      <c r="A784" s="81" t="s">
        <v>530</v>
      </c>
      <c r="B784" s="82" t="s">
        <v>44</v>
      </c>
      <c r="C784" s="82" t="s">
        <v>25</v>
      </c>
      <c r="D784" s="82">
        <v>10.0</v>
      </c>
    </row>
    <row r="785">
      <c r="A785" s="81" t="s">
        <v>886</v>
      </c>
      <c r="B785" s="82" t="s">
        <v>257</v>
      </c>
      <c r="C785" s="82" t="s">
        <v>7</v>
      </c>
      <c r="D785" s="82"/>
    </row>
    <row r="786">
      <c r="A786" s="81" t="s">
        <v>946</v>
      </c>
      <c r="B786" s="82" t="s">
        <v>6</v>
      </c>
      <c r="C786" s="82" t="s">
        <v>10</v>
      </c>
      <c r="D786" s="82">
        <v>12.0</v>
      </c>
    </row>
    <row r="787">
      <c r="A787" s="81" t="s">
        <v>250</v>
      </c>
      <c r="B787" s="82" t="s">
        <v>74</v>
      </c>
      <c r="C787" s="82" t="s">
        <v>25</v>
      </c>
      <c r="D787" s="82">
        <v>7.0</v>
      </c>
    </row>
    <row r="788">
      <c r="A788" s="81" t="s">
        <v>811</v>
      </c>
      <c r="B788" s="82" t="s">
        <v>48</v>
      </c>
      <c r="C788" s="82" t="s">
        <v>7</v>
      </c>
      <c r="D788" s="82">
        <v>11.0</v>
      </c>
    </row>
    <row r="789">
      <c r="A789" s="81" t="s">
        <v>773</v>
      </c>
      <c r="B789" s="82" t="s">
        <v>102</v>
      </c>
      <c r="C789" s="82" t="s">
        <v>7</v>
      </c>
      <c r="D789" s="82">
        <v>11.0</v>
      </c>
    </row>
    <row r="790">
      <c r="A790" s="81" t="s">
        <v>8</v>
      </c>
      <c r="B790" s="82" t="s">
        <v>9</v>
      </c>
      <c r="C790" s="82" t="s">
        <v>10</v>
      </c>
      <c r="D790" s="82">
        <v>10.0</v>
      </c>
    </row>
    <row r="791">
      <c r="A791" s="81" t="s">
        <v>828</v>
      </c>
      <c r="B791" s="82" t="s">
        <v>12</v>
      </c>
      <c r="C791" s="82" t="s">
        <v>7</v>
      </c>
      <c r="D791" s="82">
        <v>8.0</v>
      </c>
    </row>
    <row r="792">
      <c r="A792" s="81" t="s">
        <v>880</v>
      </c>
      <c r="B792" s="82" t="s">
        <v>257</v>
      </c>
      <c r="C792" s="82" t="s">
        <v>7</v>
      </c>
      <c r="D792" s="82"/>
    </row>
    <row r="793">
      <c r="A793" s="81" t="s">
        <v>738</v>
      </c>
      <c r="B793" s="82" t="s">
        <v>257</v>
      </c>
      <c r="C793" s="82" t="s">
        <v>25</v>
      </c>
      <c r="D793" s="82"/>
    </row>
    <row r="794">
      <c r="A794" s="81" t="s">
        <v>965</v>
      </c>
      <c r="B794" s="82" t="s">
        <v>59</v>
      </c>
      <c r="C794" s="82" t="s">
        <v>10</v>
      </c>
      <c r="D794" s="82">
        <v>8.0</v>
      </c>
    </row>
    <row r="795">
      <c r="A795" s="81" t="s">
        <v>769</v>
      </c>
      <c r="B795" s="82" t="s">
        <v>92</v>
      </c>
      <c r="C795" s="82" t="s">
        <v>7</v>
      </c>
      <c r="D795" s="82">
        <v>8.0</v>
      </c>
    </row>
    <row r="796">
      <c r="A796" s="81" t="s">
        <v>452</v>
      </c>
      <c r="B796" s="82" t="s">
        <v>54</v>
      </c>
      <c r="C796" s="82" t="s">
        <v>16</v>
      </c>
      <c r="D796" s="82">
        <v>9.0</v>
      </c>
    </row>
    <row r="797">
      <c r="A797" s="81" t="s">
        <v>537</v>
      </c>
      <c r="B797" s="82" t="s">
        <v>6</v>
      </c>
      <c r="C797" s="82" t="s">
        <v>25</v>
      </c>
      <c r="D797" s="82">
        <v>12.0</v>
      </c>
    </row>
    <row r="798">
      <c r="A798" s="81" t="s">
        <v>260</v>
      </c>
      <c r="B798" s="82" t="s">
        <v>257</v>
      </c>
      <c r="C798" s="82" t="s">
        <v>169</v>
      </c>
      <c r="D798" s="82"/>
    </row>
    <row r="799">
      <c r="A799" s="81" t="s">
        <v>167</v>
      </c>
      <c r="B799" s="82" t="s">
        <v>32</v>
      </c>
      <c r="C799" s="82" t="s">
        <v>1116</v>
      </c>
      <c r="D799" s="82">
        <v>9.0</v>
      </c>
    </row>
    <row r="800">
      <c r="A800" s="81" t="s">
        <v>149</v>
      </c>
      <c r="B800" s="82" t="s">
        <v>74</v>
      </c>
      <c r="C800" s="82" t="s">
        <v>10</v>
      </c>
      <c r="D800" s="82">
        <v>7.0</v>
      </c>
    </row>
    <row r="801">
      <c r="A801" s="81" t="s">
        <v>330</v>
      </c>
      <c r="B801" s="82" t="s">
        <v>40</v>
      </c>
      <c r="C801" s="82" t="s">
        <v>25</v>
      </c>
      <c r="D801" s="82">
        <v>6.0</v>
      </c>
    </row>
    <row r="802">
      <c r="A802" s="81" t="s">
        <v>253</v>
      </c>
      <c r="B802" s="82" t="s">
        <v>63</v>
      </c>
      <c r="C802" s="82" t="s">
        <v>7</v>
      </c>
      <c r="D802" s="82">
        <v>8.0</v>
      </c>
    </row>
    <row r="803">
      <c r="A803" s="81" t="s">
        <v>721</v>
      </c>
      <c r="B803" s="82" t="s">
        <v>257</v>
      </c>
      <c r="C803" s="82" t="s">
        <v>25</v>
      </c>
      <c r="D803" s="82"/>
    </row>
    <row r="804">
      <c r="A804" s="81" t="s">
        <v>721</v>
      </c>
      <c r="B804" s="82" t="s">
        <v>257</v>
      </c>
      <c r="C804" s="82" t="s">
        <v>25</v>
      </c>
      <c r="D804" s="82"/>
    </row>
    <row r="805">
      <c r="A805" s="81" t="s">
        <v>171</v>
      </c>
      <c r="B805" s="82" t="s">
        <v>59</v>
      </c>
      <c r="C805" s="82" t="s">
        <v>1116</v>
      </c>
      <c r="D805" s="82">
        <v>8.0</v>
      </c>
    </row>
    <row r="806">
      <c r="A806" s="81" t="s">
        <v>146</v>
      </c>
      <c r="B806" s="82" t="s">
        <v>102</v>
      </c>
      <c r="C806" s="82" t="s">
        <v>25</v>
      </c>
      <c r="D806" s="82">
        <v>11.0</v>
      </c>
    </row>
    <row r="807">
      <c r="A807" s="81" t="s">
        <v>785</v>
      </c>
      <c r="B807" s="82" t="s">
        <v>44</v>
      </c>
      <c r="C807" s="82" t="s">
        <v>7</v>
      </c>
      <c r="D807" s="82">
        <v>10.0</v>
      </c>
    </row>
    <row r="808">
      <c r="A808" s="81" t="s">
        <v>550</v>
      </c>
      <c r="B808" s="82" t="s">
        <v>32</v>
      </c>
      <c r="C808" s="82" t="s">
        <v>25</v>
      </c>
      <c r="D808" s="82">
        <v>9.0</v>
      </c>
    </row>
    <row r="809">
      <c r="A809" s="81" t="s">
        <v>625</v>
      </c>
      <c r="B809" s="82" t="s">
        <v>86</v>
      </c>
      <c r="C809" s="82" t="s">
        <v>25</v>
      </c>
      <c r="D809" s="82">
        <v>6.0</v>
      </c>
    </row>
    <row r="810">
      <c r="A810" s="81" t="s">
        <v>745</v>
      </c>
      <c r="B810" s="82" t="s">
        <v>134</v>
      </c>
      <c r="C810" s="82" t="s">
        <v>25</v>
      </c>
      <c r="D810" s="82">
        <v>11.0</v>
      </c>
    </row>
    <row r="811">
      <c r="A811" s="81" t="s">
        <v>544</v>
      </c>
      <c r="B811" s="82" t="s">
        <v>69</v>
      </c>
      <c r="C811" s="82" t="s">
        <v>25</v>
      </c>
      <c r="D811" s="82">
        <v>5.0</v>
      </c>
    </row>
    <row r="812">
      <c r="A812" s="81" t="s">
        <v>1098</v>
      </c>
      <c r="B812" s="82" t="s">
        <v>257</v>
      </c>
      <c r="C812" s="82" t="s">
        <v>7</v>
      </c>
      <c r="D812" s="82"/>
    </row>
    <row r="813">
      <c r="A813" s="81" t="s">
        <v>116</v>
      </c>
      <c r="B813" s="82" t="s">
        <v>27</v>
      </c>
      <c r="C813" s="82" t="s">
        <v>7</v>
      </c>
      <c r="D813" s="82">
        <v>11.0</v>
      </c>
    </row>
    <row r="814">
      <c r="A814" s="81" t="s">
        <v>279</v>
      </c>
      <c r="B814" s="82" t="s">
        <v>20</v>
      </c>
      <c r="C814" s="82" t="s">
        <v>25</v>
      </c>
      <c r="D814" s="82">
        <v>8.0</v>
      </c>
    </row>
    <row r="815">
      <c r="A815" s="81" t="s">
        <v>209</v>
      </c>
      <c r="B815" s="82" t="s">
        <v>61</v>
      </c>
      <c r="C815" s="82" t="s">
        <v>169</v>
      </c>
      <c r="D815" s="82">
        <v>9.0</v>
      </c>
    </row>
    <row r="816">
      <c r="A816" s="81" t="s">
        <v>1016</v>
      </c>
      <c r="B816" s="82" t="s">
        <v>40</v>
      </c>
      <c r="C816" s="82" t="s">
        <v>7</v>
      </c>
      <c r="D816" s="82">
        <v>6.0</v>
      </c>
    </row>
    <row r="817">
      <c r="A817" s="81" t="s">
        <v>676</v>
      </c>
      <c r="B817" s="82" t="s">
        <v>257</v>
      </c>
      <c r="C817" s="82" t="s">
        <v>25</v>
      </c>
      <c r="D817" s="82"/>
    </row>
    <row r="818">
      <c r="A818" s="81" t="s">
        <v>589</v>
      </c>
      <c r="B818" s="82" t="s">
        <v>34</v>
      </c>
      <c r="C818" s="82" t="s">
        <v>25</v>
      </c>
      <c r="D818" s="82">
        <v>7.0</v>
      </c>
    </row>
    <row r="819">
      <c r="A819" s="81" t="s">
        <v>540</v>
      </c>
      <c r="B819" s="82" t="s">
        <v>54</v>
      </c>
      <c r="C819" s="82" t="s">
        <v>25</v>
      </c>
      <c r="D819" s="82">
        <v>9.0</v>
      </c>
    </row>
    <row r="820">
      <c r="A820" s="81" t="s">
        <v>830</v>
      </c>
      <c r="B820" s="82" t="s">
        <v>38</v>
      </c>
      <c r="C820" s="82" t="s">
        <v>7</v>
      </c>
      <c r="D820" s="82">
        <v>12.0</v>
      </c>
    </row>
    <row r="821">
      <c r="A821" s="81" t="s">
        <v>779</v>
      </c>
      <c r="B821" s="82" t="s">
        <v>6</v>
      </c>
      <c r="C821" s="82" t="s">
        <v>7</v>
      </c>
      <c r="D821" s="82">
        <v>12.0</v>
      </c>
    </row>
    <row r="822">
      <c r="A822" s="81" t="s">
        <v>585</v>
      </c>
      <c r="B822" s="82" t="s">
        <v>86</v>
      </c>
      <c r="C822" s="82" t="s">
        <v>7</v>
      </c>
      <c r="D822" s="82">
        <v>6.0</v>
      </c>
    </row>
    <row r="823">
      <c r="A823" s="81" t="s">
        <v>490</v>
      </c>
      <c r="B823" s="82" t="s">
        <v>257</v>
      </c>
      <c r="C823" s="82" t="s">
        <v>16</v>
      </c>
      <c r="D823" s="82"/>
    </row>
    <row r="824">
      <c r="A824" s="81" t="s">
        <v>685</v>
      </c>
      <c r="B824" s="82" t="s">
        <v>102</v>
      </c>
      <c r="C824" s="82" t="s">
        <v>25</v>
      </c>
      <c r="D824" s="82">
        <v>11.0</v>
      </c>
    </row>
    <row r="825">
      <c r="A825" s="81" t="s">
        <v>685</v>
      </c>
      <c r="B825" s="82" t="s">
        <v>102</v>
      </c>
      <c r="C825" s="82" t="s">
        <v>25</v>
      </c>
      <c r="D825" s="82">
        <v>11.0</v>
      </c>
    </row>
    <row r="826">
      <c r="A826" s="81" t="s">
        <v>387</v>
      </c>
      <c r="B826" s="82" t="s">
        <v>92</v>
      </c>
      <c r="C826" s="82" t="s">
        <v>16</v>
      </c>
      <c r="D826" s="82">
        <v>8.0</v>
      </c>
    </row>
    <row r="827">
      <c r="A827" s="81" t="s">
        <v>635</v>
      </c>
      <c r="B827" s="82" t="s">
        <v>27</v>
      </c>
      <c r="C827" s="82" t="s">
        <v>25</v>
      </c>
      <c r="D827" s="82">
        <v>11.0</v>
      </c>
    </row>
    <row r="828">
      <c r="A828" s="81" t="s">
        <v>854</v>
      </c>
      <c r="B828" s="82" t="s">
        <v>24</v>
      </c>
      <c r="C828" s="82" t="s">
        <v>7</v>
      </c>
      <c r="D828" s="82">
        <v>6.0</v>
      </c>
    </row>
    <row r="829">
      <c r="A829" s="81" t="s">
        <v>356</v>
      </c>
      <c r="B829" s="82" t="s">
        <v>9</v>
      </c>
      <c r="C829" s="82" t="s">
        <v>16</v>
      </c>
      <c r="D829" s="82">
        <v>10.0</v>
      </c>
    </row>
    <row r="830">
      <c r="A830" s="81" t="s">
        <v>1099</v>
      </c>
      <c r="B830" s="82" t="s">
        <v>18</v>
      </c>
      <c r="C830" s="82" t="s">
        <v>25</v>
      </c>
      <c r="D830" s="82">
        <v>6.0</v>
      </c>
    </row>
    <row r="831">
      <c r="A831" s="81" t="s">
        <v>464</v>
      </c>
      <c r="B831" s="82" t="s">
        <v>257</v>
      </c>
      <c r="C831" s="82" t="s">
        <v>16</v>
      </c>
      <c r="D831" s="82"/>
    </row>
    <row r="832">
      <c r="A832" s="81" t="s">
        <v>693</v>
      </c>
      <c r="B832" s="82" t="s">
        <v>257</v>
      </c>
      <c r="C832" s="82" t="s">
        <v>25</v>
      </c>
      <c r="D832" s="82"/>
    </row>
    <row r="833">
      <c r="A833" s="81" t="s">
        <v>556</v>
      </c>
      <c r="B833" s="82" t="s">
        <v>77</v>
      </c>
      <c r="C833" s="82" t="s">
        <v>25</v>
      </c>
      <c r="D833" s="82">
        <v>11.0</v>
      </c>
    </row>
    <row r="834">
      <c r="A834" s="81" t="s">
        <v>764</v>
      </c>
      <c r="B834" s="82" t="s">
        <v>257</v>
      </c>
      <c r="C834" s="82" t="s">
        <v>25</v>
      </c>
      <c r="D834" s="82"/>
    </row>
    <row r="835">
      <c r="A835" s="81" t="s">
        <v>764</v>
      </c>
      <c r="B835" s="82" t="s">
        <v>257</v>
      </c>
      <c r="C835" s="82" t="s">
        <v>25</v>
      </c>
      <c r="D835" s="82"/>
    </row>
    <row r="836">
      <c r="A836" s="81" t="s">
        <v>627</v>
      </c>
      <c r="B836" s="82" t="s">
        <v>257</v>
      </c>
      <c r="C836" s="82" t="s">
        <v>25</v>
      </c>
      <c r="D836" s="82"/>
    </row>
    <row r="837">
      <c r="A837" s="81" t="s">
        <v>114</v>
      </c>
      <c r="B837" s="82" t="s">
        <v>38</v>
      </c>
      <c r="C837" s="82" t="s">
        <v>16</v>
      </c>
      <c r="D837" s="82">
        <v>12.0</v>
      </c>
    </row>
    <row r="838">
      <c r="A838" s="81" t="s">
        <v>878</v>
      </c>
      <c r="B838" s="82" t="s">
        <v>257</v>
      </c>
      <c r="C838" s="82" t="s">
        <v>7</v>
      </c>
      <c r="D838" s="82"/>
    </row>
    <row r="839">
      <c r="A839" s="81" t="s">
        <v>186</v>
      </c>
      <c r="B839" s="82" t="s">
        <v>27</v>
      </c>
      <c r="C839" s="82" t="s">
        <v>169</v>
      </c>
      <c r="D839" s="82">
        <v>11.0</v>
      </c>
    </row>
    <row r="840">
      <c r="A840" s="81" t="s">
        <v>126</v>
      </c>
      <c r="B840" s="82" t="s">
        <v>6</v>
      </c>
      <c r="C840" s="82" t="s">
        <v>25</v>
      </c>
      <c r="D840" s="82">
        <v>12.0</v>
      </c>
    </row>
    <row r="841">
      <c r="A841" s="81" t="s">
        <v>703</v>
      </c>
      <c r="B841" s="82" t="s">
        <v>32</v>
      </c>
      <c r="C841" s="82" t="s">
        <v>25</v>
      </c>
      <c r="D841" s="82">
        <v>9.0</v>
      </c>
    </row>
    <row r="842">
      <c r="A842" s="81" t="s">
        <v>629</v>
      </c>
      <c r="B842" s="82" t="s">
        <v>48</v>
      </c>
      <c r="C842" s="82" t="s">
        <v>25</v>
      </c>
      <c r="D842" s="82">
        <v>11.0</v>
      </c>
    </row>
    <row r="843">
      <c r="A843" s="81" t="s">
        <v>924</v>
      </c>
      <c r="B843" s="82" t="s">
        <v>12</v>
      </c>
      <c r="C843" s="82" t="s">
        <v>10</v>
      </c>
      <c r="D843" s="82">
        <v>8.0</v>
      </c>
    </row>
    <row r="844">
      <c r="A844" s="81" t="s">
        <v>459</v>
      </c>
      <c r="B844" s="82" t="s">
        <v>56</v>
      </c>
      <c r="C844" s="82" t="s">
        <v>16</v>
      </c>
      <c r="D844" s="82">
        <v>5.0</v>
      </c>
    </row>
    <row r="845">
      <c r="A845" s="81" t="s">
        <v>89</v>
      </c>
      <c r="B845" s="82" t="s">
        <v>233</v>
      </c>
      <c r="C845" s="82" t="s">
        <v>25</v>
      </c>
      <c r="D845" s="82">
        <v>9.0</v>
      </c>
    </row>
    <row r="846">
      <c r="A846" s="81" t="s">
        <v>873</v>
      </c>
      <c r="B846" s="82" t="s">
        <v>18</v>
      </c>
      <c r="C846" s="82" t="s">
        <v>7</v>
      </c>
      <c r="D846" s="82">
        <v>6.0</v>
      </c>
    </row>
    <row r="847">
      <c r="A847" s="81" t="s">
        <v>749</v>
      </c>
      <c r="B847" s="82" t="s">
        <v>257</v>
      </c>
      <c r="C847" s="82" t="s">
        <v>25</v>
      </c>
      <c r="D847" s="82"/>
    </row>
    <row r="848">
      <c r="A848" s="81" t="s">
        <v>614</v>
      </c>
      <c r="B848" s="82" t="s">
        <v>74</v>
      </c>
      <c r="C848" s="82" t="s">
        <v>25</v>
      </c>
      <c r="D848" s="82">
        <v>7.0</v>
      </c>
    </row>
    <row r="849">
      <c r="A849" s="81" t="s">
        <v>1028</v>
      </c>
      <c r="B849" s="82" t="s">
        <v>61</v>
      </c>
      <c r="C849" s="82" t="s">
        <v>7</v>
      </c>
      <c r="D849" s="82">
        <v>9.0</v>
      </c>
    </row>
    <row r="850">
      <c r="A850" s="81" t="s">
        <v>150</v>
      </c>
      <c r="B850" s="82" t="s">
        <v>38</v>
      </c>
      <c r="C850" s="82" t="s">
        <v>7</v>
      </c>
      <c r="D850" s="82">
        <v>12.0</v>
      </c>
    </row>
    <row r="851">
      <c r="A851" s="81" t="s">
        <v>821</v>
      </c>
      <c r="B851" s="82" t="s">
        <v>74</v>
      </c>
      <c r="C851" s="82" t="s">
        <v>7</v>
      </c>
      <c r="D851" s="82">
        <v>7.0</v>
      </c>
    </row>
    <row r="852">
      <c r="A852" s="81" t="s">
        <v>404</v>
      </c>
      <c r="B852" s="82" t="s">
        <v>27</v>
      </c>
      <c r="C852" s="82" t="s">
        <v>16</v>
      </c>
      <c r="D852" s="82">
        <v>11.0</v>
      </c>
    </row>
    <row r="853">
      <c r="A853" s="81" t="s">
        <v>439</v>
      </c>
      <c r="B853" s="82" t="s">
        <v>134</v>
      </c>
      <c r="C853" s="82" t="s">
        <v>16</v>
      </c>
      <c r="D853" s="82">
        <v>11.0</v>
      </c>
    </row>
    <row r="854">
      <c r="A854" s="81" t="s">
        <v>777</v>
      </c>
      <c r="B854" s="82" t="s">
        <v>63</v>
      </c>
      <c r="C854" s="82" t="s">
        <v>7</v>
      </c>
      <c r="D854" s="82">
        <v>8.0</v>
      </c>
    </row>
    <row r="855">
      <c r="A855" s="81" t="s">
        <v>295</v>
      </c>
      <c r="B855" s="82" t="s">
        <v>44</v>
      </c>
      <c r="C855" s="82" t="s">
        <v>25</v>
      </c>
      <c r="D855" s="82">
        <v>10.0</v>
      </c>
    </row>
    <row r="856">
      <c r="A856" s="81" t="s">
        <v>732</v>
      </c>
      <c r="B856" s="82" t="s">
        <v>257</v>
      </c>
      <c r="C856" s="82" t="s">
        <v>25</v>
      </c>
      <c r="D856" s="82"/>
    </row>
    <row r="857">
      <c r="A857" s="81" t="s">
        <v>39</v>
      </c>
      <c r="B857" s="82" t="s">
        <v>40</v>
      </c>
      <c r="C857" s="82" t="s">
        <v>10</v>
      </c>
      <c r="D857" s="82">
        <v>6.0</v>
      </c>
    </row>
    <row r="858">
      <c r="A858" s="81" t="s">
        <v>947</v>
      </c>
      <c r="B858" s="82" t="s">
        <v>61</v>
      </c>
      <c r="C858" s="82" t="s">
        <v>10</v>
      </c>
      <c r="D858" s="82">
        <v>9.0</v>
      </c>
    </row>
    <row r="859">
      <c r="A859" s="81" t="s">
        <v>181</v>
      </c>
      <c r="B859" s="82" t="s">
        <v>102</v>
      </c>
      <c r="C859" s="82" t="s">
        <v>10</v>
      </c>
      <c r="D859" s="82">
        <v>11.0</v>
      </c>
    </row>
    <row r="860">
      <c r="A860" s="81" t="s">
        <v>742</v>
      </c>
      <c r="B860" s="82" t="s">
        <v>257</v>
      </c>
      <c r="C860" s="82" t="s">
        <v>25</v>
      </c>
      <c r="D860" s="82"/>
    </row>
    <row r="861">
      <c r="A861" s="81" t="s">
        <v>361</v>
      </c>
      <c r="B861" s="82" t="s">
        <v>134</v>
      </c>
      <c r="C861" s="82" t="s">
        <v>16</v>
      </c>
      <c r="D861" s="82">
        <v>11.0</v>
      </c>
    </row>
    <row r="862">
      <c r="A862" s="81" t="s">
        <v>361</v>
      </c>
      <c r="B862" s="82" t="s">
        <v>38</v>
      </c>
      <c r="C862" s="82" t="s">
        <v>10</v>
      </c>
      <c r="D862" s="82">
        <v>12.0</v>
      </c>
    </row>
    <row r="863">
      <c r="A863" s="81" t="s">
        <v>1100</v>
      </c>
      <c r="B863" s="82" t="s">
        <v>257</v>
      </c>
      <c r="C863" s="82" t="s">
        <v>16</v>
      </c>
      <c r="D863" s="82"/>
    </row>
    <row r="864">
      <c r="A864" s="81" t="s">
        <v>381</v>
      </c>
      <c r="B864" s="82" t="s">
        <v>86</v>
      </c>
      <c r="C864" s="82" t="s">
        <v>16</v>
      </c>
      <c r="D864" s="82">
        <v>6.0</v>
      </c>
    </row>
    <row r="865">
      <c r="A865" s="81" t="s">
        <v>807</v>
      </c>
      <c r="B865" s="82" t="s">
        <v>77</v>
      </c>
      <c r="C865" s="82" t="s">
        <v>7</v>
      </c>
      <c r="D865" s="82">
        <v>11.0</v>
      </c>
    </row>
    <row r="866">
      <c r="A866" s="81" t="s">
        <v>256</v>
      </c>
      <c r="B866" s="82" t="s">
        <v>257</v>
      </c>
      <c r="C866" s="82" t="s">
        <v>169</v>
      </c>
      <c r="D866" s="82"/>
    </row>
    <row r="867">
      <c r="A867" s="81" t="s">
        <v>595</v>
      </c>
      <c r="B867" s="82" t="s">
        <v>59</v>
      </c>
      <c r="C867" s="82" t="s">
        <v>25</v>
      </c>
      <c r="D867" s="82">
        <v>8.0</v>
      </c>
    </row>
    <row r="868">
      <c r="A868" s="81" t="s">
        <v>289</v>
      </c>
      <c r="B868" s="82" t="s">
        <v>34</v>
      </c>
      <c r="C868" s="82" t="s">
        <v>10</v>
      </c>
      <c r="D868" s="82">
        <v>7.0</v>
      </c>
    </row>
    <row r="869">
      <c r="A869" s="81" t="s">
        <v>765</v>
      </c>
      <c r="B869" s="82" t="s">
        <v>104</v>
      </c>
      <c r="C869" s="82" t="s">
        <v>7</v>
      </c>
      <c r="D869" s="82">
        <v>7.0</v>
      </c>
    </row>
    <row r="870">
      <c r="A870" s="81" t="s">
        <v>973</v>
      </c>
      <c r="B870" s="82" t="s">
        <v>257</v>
      </c>
      <c r="C870" s="82" t="s">
        <v>10</v>
      </c>
      <c r="D870" s="82"/>
    </row>
    <row r="871">
      <c r="A871" s="81" t="s">
        <v>333</v>
      </c>
      <c r="B871" s="82" t="s">
        <v>134</v>
      </c>
      <c r="C871" s="82" t="s">
        <v>10</v>
      </c>
      <c r="D871" s="82">
        <v>11.0</v>
      </c>
    </row>
    <row r="872">
      <c r="A872" s="81" t="s">
        <v>241</v>
      </c>
      <c r="B872" s="82" t="s">
        <v>134</v>
      </c>
      <c r="C872" s="82" t="s">
        <v>169</v>
      </c>
      <c r="D872" s="82">
        <v>11.0</v>
      </c>
    </row>
    <row r="873">
      <c r="A873" s="81" t="s">
        <v>187</v>
      </c>
      <c r="B873" s="82" t="s">
        <v>233</v>
      </c>
      <c r="C873" s="82" t="s">
        <v>169</v>
      </c>
      <c r="D873" s="82">
        <v>9.0</v>
      </c>
    </row>
    <row r="874">
      <c r="A874" s="81" t="s">
        <v>666</v>
      </c>
      <c r="B874" s="82" t="s">
        <v>257</v>
      </c>
      <c r="C874" s="82" t="s">
        <v>25</v>
      </c>
      <c r="D874" s="82"/>
    </row>
    <row r="875">
      <c r="A875" s="81" t="s">
        <v>244</v>
      </c>
      <c r="B875" s="82" t="s">
        <v>9</v>
      </c>
      <c r="C875" s="82" t="s">
        <v>25</v>
      </c>
      <c r="D875" s="82">
        <v>10.0</v>
      </c>
    </row>
    <row r="876">
      <c r="A876" s="81" t="s">
        <v>174</v>
      </c>
      <c r="B876" s="82" t="s">
        <v>27</v>
      </c>
      <c r="C876" s="82" t="s">
        <v>1116</v>
      </c>
      <c r="D876" s="82">
        <v>11.0</v>
      </c>
    </row>
    <row r="877">
      <c r="A877" s="81" t="s">
        <v>28</v>
      </c>
      <c r="B877" s="82" t="s">
        <v>29</v>
      </c>
      <c r="C877" s="82" t="s">
        <v>7</v>
      </c>
      <c r="D877" s="82">
        <v>11.0</v>
      </c>
    </row>
    <row r="878">
      <c r="A878" s="81" t="s">
        <v>351</v>
      </c>
      <c r="B878" s="82" t="s">
        <v>38</v>
      </c>
      <c r="C878" s="82" t="s">
        <v>25</v>
      </c>
      <c r="D878" s="82">
        <v>12.0</v>
      </c>
    </row>
    <row r="879">
      <c r="A879" s="81" t="s">
        <v>1101</v>
      </c>
      <c r="B879" s="82" t="s">
        <v>257</v>
      </c>
      <c r="C879" s="82" t="s">
        <v>16</v>
      </c>
      <c r="D879" s="82"/>
    </row>
    <row r="880">
      <c r="A880" s="81" t="s">
        <v>453</v>
      </c>
      <c r="B880" s="82" t="s">
        <v>257</v>
      </c>
      <c r="C880" s="82" t="s">
        <v>16</v>
      </c>
      <c r="D880" s="82"/>
    </row>
    <row r="881">
      <c r="A881" s="81" t="s">
        <v>952</v>
      </c>
      <c r="B881" s="82" t="s">
        <v>22</v>
      </c>
      <c r="C881" s="82" t="s">
        <v>10</v>
      </c>
      <c r="D881" s="82">
        <v>7.0</v>
      </c>
    </row>
    <row r="882">
      <c r="A882" s="81" t="s">
        <v>220</v>
      </c>
      <c r="B882" s="82" t="s">
        <v>40</v>
      </c>
      <c r="C882" s="82" t="s">
        <v>1116</v>
      </c>
      <c r="D882" s="82">
        <v>6.0</v>
      </c>
    </row>
    <row r="883">
      <c r="A883" s="81" t="s">
        <v>261</v>
      </c>
      <c r="B883" s="82" t="s">
        <v>257</v>
      </c>
      <c r="C883" s="82" t="s">
        <v>169</v>
      </c>
      <c r="D883" s="82"/>
    </row>
    <row r="884">
      <c r="A884" s="81" t="s">
        <v>788</v>
      </c>
      <c r="B884" s="82" t="s">
        <v>34</v>
      </c>
      <c r="C884" s="82" t="s">
        <v>7</v>
      </c>
      <c r="D884" s="82">
        <v>7.0</v>
      </c>
    </row>
    <row r="885">
      <c r="A885" s="81" t="s">
        <v>1049</v>
      </c>
      <c r="B885" s="82" t="s">
        <v>257</v>
      </c>
      <c r="C885" s="82" t="s">
        <v>16</v>
      </c>
      <c r="D885" s="82"/>
    </row>
    <row r="886">
      <c r="A886" s="81" t="s">
        <v>584</v>
      </c>
      <c r="B886" s="82" t="s">
        <v>6</v>
      </c>
      <c r="C886" s="82" t="s">
        <v>25</v>
      </c>
      <c r="D886" s="82">
        <v>12.0</v>
      </c>
    </row>
    <row r="887">
      <c r="A887" s="81" t="s">
        <v>856</v>
      </c>
      <c r="B887" s="82" t="s">
        <v>257</v>
      </c>
      <c r="C887" s="82" t="s">
        <v>7</v>
      </c>
      <c r="D887" s="82"/>
    </row>
    <row r="888">
      <c r="A888" s="81" t="s">
        <v>704</v>
      </c>
      <c r="B888" s="82" t="s">
        <v>32</v>
      </c>
      <c r="C888" s="82" t="s">
        <v>25</v>
      </c>
      <c r="D888" s="82">
        <v>9.0</v>
      </c>
    </row>
    <row r="889">
      <c r="A889" s="81" t="s">
        <v>383</v>
      </c>
      <c r="B889" s="82" t="s">
        <v>86</v>
      </c>
      <c r="C889" s="82" t="s">
        <v>7</v>
      </c>
      <c r="D889" s="82">
        <v>6.0</v>
      </c>
    </row>
    <row r="890">
      <c r="A890" s="81" t="s">
        <v>899</v>
      </c>
      <c r="B890" s="82" t="s">
        <v>257</v>
      </c>
      <c r="C890" s="82" t="s">
        <v>7</v>
      </c>
      <c r="D890" s="82"/>
    </row>
    <row r="891">
      <c r="A891" s="81" t="s">
        <v>628</v>
      </c>
      <c r="B891" s="82" t="s">
        <v>257</v>
      </c>
      <c r="C891" s="82" t="s">
        <v>25</v>
      </c>
      <c r="D891" s="82"/>
    </row>
    <row r="892">
      <c r="A892" s="81" t="s">
        <v>106</v>
      </c>
      <c r="B892" s="82" t="s">
        <v>48</v>
      </c>
      <c r="C892" s="82" t="s">
        <v>25</v>
      </c>
      <c r="D892" s="82">
        <v>11.0</v>
      </c>
    </row>
    <row r="893">
      <c r="A893" s="81" t="s">
        <v>458</v>
      </c>
      <c r="B893" s="82" t="s">
        <v>96</v>
      </c>
      <c r="C893" s="82" t="s">
        <v>16</v>
      </c>
      <c r="D893" s="82">
        <v>10.0</v>
      </c>
    </row>
    <row r="894">
      <c r="A894" s="81" t="s">
        <v>441</v>
      </c>
      <c r="B894" s="82" t="s">
        <v>54</v>
      </c>
      <c r="C894" s="82" t="s">
        <v>16</v>
      </c>
      <c r="D894" s="82">
        <v>9.0</v>
      </c>
    </row>
    <row r="895">
      <c r="A895" s="81" t="s">
        <v>263</v>
      </c>
      <c r="B895" s="82" t="s">
        <v>257</v>
      </c>
      <c r="C895" s="82" t="s">
        <v>169</v>
      </c>
      <c r="D895" s="82"/>
    </row>
    <row r="896">
      <c r="A896" s="81" t="s">
        <v>258</v>
      </c>
      <c r="B896" s="82" t="s">
        <v>48</v>
      </c>
      <c r="C896" s="82" t="s">
        <v>169</v>
      </c>
      <c r="D896" s="82">
        <v>11.0</v>
      </c>
    </row>
    <row r="897">
      <c r="A897" s="81" t="s">
        <v>434</v>
      </c>
      <c r="B897" s="82" t="s">
        <v>40</v>
      </c>
      <c r="C897" s="82" t="s">
        <v>16</v>
      </c>
      <c r="D897" s="82">
        <v>6.0</v>
      </c>
    </row>
    <row r="898">
      <c r="A898" s="81" t="s">
        <v>131</v>
      </c>
      <c r="B898" s="82" t="s">
        <v>29</v>
      </c>
      <c r="C898" s="82" t="s">
        <v>25</v>
      </c>
      <c r="D898" s="82">
        <v>11.0</v>
      </c>
    </row>
    <row r="899">
      <c r="A899" s="81" t="s">
        <v>1102</v>
      </c>
      <c r="B899" s="82" t="s">
        <v>257</v>
      </c>
      <c r="C899" s="82" t="s">
        <v>7</v>
      </c>
      <c r="D899" s="82"/>
    </row>
    <row r="900">
      <c r="A900" s="81" t="s">
        <v>706</v>
      </c>
      <c r="B900" s="82" t="s">
        <v>20</v>
      </c>
      <c r="C900" s="82" t="s">
        <v>25</v>
      </c>
      <c r="D900" s="82">
        <v>8.0</v>
      </c>
    </row>
    <row r="901">
      <c r="A901" s="81" t="s">
        <v>291</v>
      </c>
      <c r="B901" s="82" t="s">
        <v>92</v>
      </c>
      <c r="C901" s="82" t="s">
        <v>25</v>
      </c>
      <c r="D901" s="82">
        <v>8.0</v>
      </c>
    </row>
    <row r="902">
      <c r="A902" s="81" t="s">
        <v>130</v>
      </c>
      <c r="B902" s="82" t="s">
        <v>69</v>
      </c>
      <c r="C902" s="82" t="s">
        <v>16</v>
      </c>
      <c r="D902" s="82">
        <v>5.0</v>
      </c>
    </row>
    <row r="903">
      <c r="A903" s="81" t="s">
        <v>865</v>
      </c>
      <c r="B903" s="82" t="s">
        <v>38</v>
      </c>
      <c r="C903" s="82" t="s">
        <v>7</v>
      </c>
      <c r="D903" s="82">
        <v>12.0</v>
      </c>
    </row>
    <row r="904">
      <c r="A904" s="81" t="s">
        <v>795</v>
      </c>
      <c r="B904" s="82" t="s">
        <v>48</v>
      </c>
      <c r="C904" s="82" t="s">
        <v>7</v>
      </c>
      <c r="D904" s="82">
        <v>11.0</v>
      </c>
    </row>
    <row r="905">
      <c r="A905" s="81" t="s">
        <v>73</v>
      </c>
      <c r="B905" s="82" t="s">
        <v>74</v>
      </c>
      <c r="C905" s="82" t="s">
        <v>25</v>
      </c>
      <c r="D905" s="82">
        <v>7.0</v>
      </c>
    </row>
    <row r="906">
      <c r="A906" s="81" t="s">
        <v>808</v>
      </c>
      <c r="B906" s="82" t="s">
        <v>48</v>
      </c>
      <c r="C906" s="82" t="s">
        <v>7</v>
      </c>
      <c r="D906" s="82">
        <v>11.0</v>
      </c>
    </row>
    <row r="907">
      <c r="A907" s="81" t="s">
        <v>559</v>
      </c>
      <c r="B907" s="82" t="s">
        <v>22</v>
      </c>
      <c r="C907" s="82" t="s">
        <v>25</v>
      </c>
      <c r="D907" s="82">
        <v>7.0</v>
      </c>
    </row>
    <row r="908">
      <c r="A908" s="81" t="s">
        <v>229</v>
      </c>
      <c r="B908" s="82" t="s">
        <v>38</v>
      </c>
      <c r="C908" s="82" t="s">
        <v>1116</v>
      </c>
      <c r="D908" s="82">
        <v>12.0</v>
      </c>
    </row>
    <row r="909">
      <c r="A909" s="81" t="s">
        <v>469</v>
      </c>
      <c r="B909" s="82" t="s">
        <v>38</v>
      </c>
      <c r="C909" s="82" t="s">
        <v>16</v>
      </c>
      <c r="D909" s="82">
        <v>12.0</v>
      </c>
    </row>
    <row r="910">
      <c r="A910" s="81" t="s">
        <v>959</v>
      </c>
      <c r="B910" s="82" t="s">
        <v>257</v>
      </c>
      <c r="C910" s="82" t="s">
        <v>10</v>
      </c>
      <c r="D910" s="82"/>
    </row>
    <row r="911">
      <c r="A911" s="81" t="s">
        <v>708</v>
      </c>
      <c r="B911" s="82" t="s">
        <v>24</v>
      </c>
      <c r="C911" s="82" t="s">
        <v>25</v>
      </c>
      <c r="D911" s="82">
        <v>6.0</v>
      </c>
    </row>
    <row r="912">
      <c r="A912" s="81" t="s">
        <v>323</v>
      </c>
      <c r="B912" s="82" t="s">
        <v>77</v>
      </c>
      <c r="C912" s="82" t="s">
        <v>7</v>
      </c>
      <c r="D912" s="82">
        <v>11.0</v>
      </c>
    </row>
    <row r="913">
      <c r="A913" s="81" t="s">
        <v>560</v>
      </c>
      <c r="B913" s="82" t="s">
        <v>257</v>
      </c>
      <c r="C913" s="82" t="s">
        <v>25</v>
      </c>
      <c r="D913" s="82"/>
    </row>
    <row r="914">
      <c r="A914" s="81" t="s">
        <v>667</v>
      </c>
      <c r="B914" s="82" t="s">
        <v>257</v>
      </c>
      <c r="C914" s="82" t="s">
        <v>25</v>
      </c>
      <c r="D914" s="82"/>
    </row>
    <row r="915">
      <c r="A915" s="81" t="s">
        <v>953</v>
      </c>
      <c r="B915" s="82" t="s">
        <v>257</v>
      </c>
      <c r="C915" s="82" t="s">
        <v>10</v>
      </c>
      <c r="D915" s="82"/>
    </row>
    <row r="916">
      <c r="A916" s="81" t="s">
        <v>921</v>
      </c>
      <c r="B916" s="82" t="s">
        <v>24</v>
      </c>
      <c r="C916" s="82" t="s">
        <v>10</v>
      </c>
      <c r="D916" s="82">
        <v>6.0</v>
      </c>
    </row>
    <row r="917">
      <c r="A917" s="81" t="s">
        <v>613</v>
      </c>
      <c r="B917" s="82" t="s">
        <v>54</v>
      </c>
      <c r="C917" s="82" t="s">
        <v>25</v>
      </c>
      <c r="D917" s="82">
        <v>9.0</v>
      </c>
    </row>
    <row r="918">
      <c r="A918" s="81" t="s">
        <v>342</v>
      </c>
      <c r="B918" s="82" t="s">
        <v>77</v>
      </c>
      <c r="C918" s="82" t="s">
        <v>25</v>
      </c>
      <c r="D918" s="82">
        <v>11.0</v>
      </c>
    </row>
    <row r="919">
      <c r="A919" s="81" t="s">
        <v>159</v>
      </c>
      <c r="B919" s="82" t="s">
        <v>6</v>
      </c>
      <c r="C919" s="82" t="s">
        <v>10</v>
      </c>
      <c r="D919" s="82">
        <v>12.0</v>
      </c>
    </row>
    <row r="920">
      <c r="A920" s="81" t="s">
        <v>348</v>
      </c>
      <c r="B920" s="82" t="s">
        <v>61</v>
      </c>
      <c r="C920" s="82" t="s">
        <v>25</v>
      </c>
      <c r="D920" s="82">
        <v>9.0</v>
      </c>
    </row>
    <row r="921">
      <c r="A921" s="81" t="s">
        <v>408</v>
      </c>
      <c r="B921" s="82" t="s">
        <v>6</v>
      </c>
      <c r="C921" s="82" t="s">
        <v>16</v>
      </c>
      <c r="D921" s="82">
        <v>12.0</v>
      </c>
    </row>
    <row r="922">
      <c r="A922" s="81" t="s">
        <v>212</v>
      </c>
      <c r="B922" s="82" t="s">
        <v>34</v>
      </c>
      <c r="C922" s="82" t="s">
        <v>1116</v>
      </c>
      <c r="D922" s="82">
        <v>7.0</v>
      </c>
    </row>
    <row r="923">
      <c r="A923" s="81" t="s">
        <v>755</v>
      </c>
      <c r="B923" s="82" t="s">
        <v>257</v>
      </c>
      <c r="C923" s="82" t="s">
        <v>25</v>
      </c>
      <c r="D923" s="82"/>
    </row>
    <row r="924">
      <c r="A924" s="81" t="s">
        <v>757</v>
      </c>
      <c r="B924" s="82" t="s">
        <v>257</v>
      </c>
      <c r="C924" s="82" t="s">
        <v>25</v>
      </c>
      <c r="D924" s="82"/>
    </row>
    <row r="925">
      <c r="A925" s="81" t="s">
        <v>757</v>
      </c>
      <c r="B925" s="82" t="s">
        <v>257</v>
      </c>
      <c r="C925" s="82" t="s">
        <v>25</v>
      </c>
      <c r="D925" s="82"/>
    </row>
    <row r="926">
      <c r="A926" s="81" t="s">
        <v>1103</v>
      </c>
      <c r="B926" s="82" t="s">
        <v>104</v>
      </c>
      <c r="C926" s="82" t="s">
        <v>25</v>
      </c>
      <c r="D926" s="82">
        <v>7.0</v>
      </c>
    </row>
    <row r="927">
      <c r="A927" s="81" t="s">
        <v>91</v>
      </c>
      <c r="B927" s="82" t="s">
        <v>92</v>
      </c>
      <c r="C927" s="82" t="s">
        <v>25</v>
      </c>
      <c r="D927" s="82">
        <v>8.0</v>
      </c>
    </row>
    <row r="928">
      <c r="A928" s="81" t="s">
        <v>287</v>
      </c>
      <c r="B928" s="82" t="s">
        <v>27</v>
      </c>
      <c r="C928" s="82" t="s">
        <v>7</v>
      </c>
      <c r="D928" s="82">
        <v>11.0</v>
      </c>
    </row>
    <row r="929">
      <c r="A929" s="81" t="s">
        <v>680</v>
      </c>
      <c r="B929" s="82" t="s">
        <v>14</v>
      </c>
      <c r="C929" s="82" t="s">
        <v>25</v>
      </c>
      <c r="D929" s="82">
        <v>10.0</v>
      </c>
    </row>
    <row r="930">
      <c r="A930" s="81" t="s">
        <v>680</v>
      </c>
      <c r="B930" s="82" t="s">
        <v>14</v>
      </c>
      <c r="C930" s="82" t="s">
        <v>25</v>
      </c>
      <c r="D930" s="82">
        <v>10.0</v>
      </c>
    </row>
    <row r="931">
      <c r="A931" s="81" t="s">
        <v>505</v>
      </c>
      <c r="B931" s="82" t="s">
        <v>92</v>
      </c>
      <c r="C931" s="82" t="s">
        <v>16</v>
      </c>
      <c r="D931" s="82">
        <v>8.0</v>
      </c>
    </row>
    <row r="932">
      <c r="A932" s="81" t="s">
        <v>898</v>
      </c>
      <c r="B932" s="82" t="s">
        <v>257</v>
      </c>
      <c r="C932" s="82" t="s">
        <v>7</v>
      </c>
      <c r="D932" s="82"/>
    </row>
    <row r="933">
      <c r="A933" s="81" t="s">
        <v>962</v>
      </c>
      <c r="B933" s="82" t="s">
        <v>56</v>
      </c>
      <c r="C933" s="82" t="s">
        <v>10</v>
      </c>
      <c r="D933" s="82">
        <v>5.0</v>
      </c>
    </row>
    <row r="934">
      <c r="A934" s="81" t="s">
        <v>512</v>
      </c>
      <c r="B934" s="82" t="s">
        <v>63</v>
      </c>
      <c r="C934" s="82" t="s">
        <v>25</v>
      </c>
      <c r="D934" s="82">
        <v>8.0</v>
      </c>
    </row>
    <row r="935">
      <c r="A935" s="81" t="s">
        <v>1104</v>
      </c>
      <c r="B935" s="82" t="s">
        <v>257</v>
      </c>
      <c r="C935" s="82" t="s">
        <v>25</v>
      </c>
      <c r="D935" s="82"/>
    </row>
    <row r="936">
      <c r="A936" s="81" t="s">
        <v>743</v>
      </c>
      <c r="B936" s="82" t="s">
        <v>257</v>
      </c>
      <c r="C936" s="82" t="s">
        <v>25</v>
      </c>
      <c r="D936" s="82"/>
    </row>
    <row r="937">
      <c r="A937" s="81" t="s">
        <v>82</v>
      </c>
      <c r="B937" s="82" t="s">
        <v>44</v>
      </c>
      <c r="C937" s="82" t="s">
        <v>7</v>
      </c>
      <c r="D937" s="82">
        <v>10.0</v>
      </c>
    </row>
    <row r="938">
      <c r="A938" s="81" t="s">
        <v>70</v>
      </c>
      <c r="B938" s="82" t="s">
        <v>38</v>
      </c>
      <c r="C938" s="82" t="s">
        <v>10</v>
      </c>
      <c r="D938" s="82">
        <v>12.0</v>
      </c>
    </row>
    <row r="939">
      <c r="A939" s="81" t="s">
        <v>895</v>
      </c>
      <c r="B939" s="82" t="s">
        <v>257</v>
      </c>
      <c r="C939" s="82" t="s">
        <v>7</v>
      </c>
      <c r="D939" s="82"/>
    </row>
    <row r="940">
      <c r="A940" s="81" t="s">
        <v>501</v>
      </c>
      <c r="B940" s="82" t="s">
        <v>24</v>
      </c>
      <c r="C940" s="82" t="s">
        <v>10</v>
      </c>
      <c r="D940" s="82">
        <v>6.0</v>
      </c>
    </row>
    <row r="941">
      <c r="A941" s="81" t="s">
        <v>411</v>
      </c>
      <c r="B941" s="82" t="s">
        <v>48</v>
      </c>
      <c r="C941" s="82" t="s">
        <v>16</v>
      </c>
      <c r="D941" s="82">
        <v>11.0</v>
      </c>
    </row>
    <row r="942">
      <c r="A942" s="81" t="s">
        <v>664</v>
      </c>
      <c r="B942" s="82" t="s">
        <v>24</v>
      </c>
      <c r="C942" s="82" t="s">
        <v>25</v>
      </c>
      <c r="D942" s="82">
        <v>6.0</v>
      </c>
    </row>
    <row r="943">
      <c r="A943" s="81" t="s">
        <v>902</v>
      </c>
      <c r="B943" s="82" t="s">
        <v>22</v>
      </c>
      <c r="C943" s="82" t="s">
        <v>7</v>
      </c>
      <c r="D943" s="82">
        <v>7.0</v>
      </c>
    </row>
    <row r="944">
      <c r="A944" s="81" t="s">
        <v>385</v>
      </c>
      <c r="B944" s="82" t="s">
        <v>14</v>
      </c>
      <c r="C944" s="82" t="s">
        <v>7</v>
      </c>
      <c r="D944" s="82">
        <v>10.0</v>
      </c>
    </row>
    <row r="945">
      <c r="A945" s="81" t="s">
        <v>726</v>
      </c>
      <c r="B945" s="82" t="s">
        <v>257</v>
      </c>
      <c r="C945" s="82" t="s">
        <v>25</v>
      </c>
      <c r="D945" s="82"/>
    </row>
    <row r="946">
      <c r="A946" s="81" t="s">
        <v>726</v>
      </c>
      <c r="B946" s="82" t="s">
        <v>257</v>
      </c>
      <c r="C946" s="82" t="s">
        <v>25</v>
      </c>
      <c r="D946" s="82"/>
    </row>
    <row r="947">
      <c r="A947" s="81" t="s">
        <v>853</v>
      </c>
      <c r="B947" s="82" t="s">
        <v>257</v>
      </c>
      <c r="C947" s="82" t="s">
        <v>7</v>
      </c>
      <c r="D947" s="82"/>
    </row>
    <row r="948">
      <c r="A948" s="81" t="s">
        <v>1004</v>
      </c>
      <c r="B948" s="82" t="s">
        <v>12</v>
      </c>
      <c r="C948" s="82" t="s">
        <v>10</v>
      </c>
      <c r="D948" s="82">
        <v>8.0</v>
      </c>
    </row>
    <row r="949">
      <c r="A949" s="81" t="s">
        <v>890</v>
      </c>
      <c r="B949" s="82" t="s">
        <v>257</v>
      </c>
      <c r="C949" s="82" t="s">
        <v>7</v>
      </c>
      <c r="D949" s="82"/>
    </row>
    <row r="950">
      <c r="A950" s="81" t="s">
        <v>763</v>
      </c>
      <c r="B950" s="82" t="s">
        <v>27</v>
      </c>
      <c r="C950" s="82" t="s">
        <v>25</v>
      </c>
      <c r="D950" s="82">
        <v>11.0</v>
      </c>
    </row>
    <row r="951">
      <c r="A951" s="81" t="s">
        <v>827</v>
      </c>
      <c r="B951" s="82" t="s">
        <v>40</v>
      </c>
      <c r="C951" s="82" t="s">
        <v>7</v>
      </c>
      <c r="D951" s="82">
        <v>6.0</v>
      </c>
    </row>
    <row r="952">
      <c r="A952" s="81" t="s">
        <v>15</v>
      </c>
      <c r="B952" s="82" t="s">
        <v>9</v>
      </c>
      <c r="C952" s="82" t="s">
        <v>16</v>
      </c>
      <c r="D952" s="82">
        <v>10.0</v>
      </c>
    </row>
    <row r="953">
      <c r="A953" s="81" t="s">
        <v>780</v>
      </c>
      <c r="B953" s="82" t="s">
        <v>61</v>
      </c>
      <c r="C953" s="82" t="s">
        <v>7</v>
      </c>
      <c r="D953" s="82">
        <v>9.0</v>
      </c>
    </row>
    <row r="954">
      <c r="A954" s="81" t="s">
        <v>882</v>
      </c>
      <c r="B954" s="82" t="s">
        <v>257</v>
      </c>
      <c r="C954" s="82" t="s">
        <v>7</v>
      </c>
      <c r="D954" s="82"/>
    </row>
    <row r="955">
      <c r="A955" s="81" t="s">
        <v>308</v>
      </c>
      <c r="B955" s="82" t="s">
        <v>27</v>
      </c>
      <c r="C955" s="82" t="s">
        <v>25</v>
      </c>
      <c r="D955" s="82">
        <v>11.0</v>
      </c>
    </row>
    <row r="956">
      <c r="A956" s="81" t="s">
        <v>815</v>
      </c>
      <c r="B956" s="82" t="s">
        <v>134</v>
      </c>
      <c r="C956" s="82" t="s">
        <v>7</v>
      </c>
      <c r="D956" s="82">
        <v>11.0</v>
      </c>
    </row>
    <row r="957">
      <c r="A957" s="81" t="s">
        <v>815</v>
      </c>
      <c r="B957" s="82" t="s">
        <v>134</v>
      </c>
      <c r="C957" s="82" t="s">
        <v>7</v>
      </c>
      <c r="D957" s="82">
        <v>11.0</v>
      </c>
    </row>
    <row r="958">
      <c r="A958" s="81" t="s">
        <v>1105</v>
      </c>
      <c r="B958" s="82" t="s">
        <v>61</v>
      </c>
      <c r="C958" s="82" t="s">
        <v>25</v>
      </c>
      <c r="D958" s="82">
        <v>9.0</v>
      </c>
    </row>
    <row r="959">
      <c r="A959" s="81" t="s">
        <v>418</v>
      </c>
      <c r="B959" s="82" t="s">
        <v>24</v>
      </c>
      <c r="C959" s="82" t="s">
        <v>25</v>
      </c>
      <c r="D959" s="82">
        <v>6.0</v>
      </c>
    </row>
    <row r="960">
      <c r="A960" s="81" t="s">
        <v>412</v>
      </c>
      <c r="B960" s="82" t="s">
        <v>134</v>
      </c>
      <c r="C960" s="82" t="s">
        <v>16</v>
      </c>
      <c r="D960" s="82">
        <v>11.0</v>
      </c>
    </row>
    <row r="961">
      <c r="A961" s="81" t="s">
        <v>665</v>
      </c>
      <c r="B961" s="82" t="s">
        <v>77</v>
      </c>
      <c r="C961" s="82" t="s">
        <v>25</v>
      </c>
      <c r="D961" s="82">
        <v>11.0</v>
      </c>
    </row>
    <row r="962">
      <c r="A962" s="81" t="s">
        <v>949</v>
      </c>
      <c r="B962" s="82" t="s">
        <v>257</v>
      </c>
      <c r="C962" s="82" t="s">
        <v>10</v>
      </c>
      <c r="D962" s="82"/>
    </row>
    <row r="963">
      <c r="A963" s="81" t="s">
        <v>327</v>
      </c>
      <c r="B963" s="82" t="s">
        <v>74</v>
      </c>
      <c r="C963" s="82" t="s">
        <v>16</v>
      </c>
      <c r="D963" s="82">
        <v>7.0</v>
      </c>
    </row>
    <row r="964">
      <c r="A964" s="81" t="s">
        <v>820</v>
      </c>
      <c r="B964" s="82" t="s">
        <v>59</v>
      </c>
      <c r="C964" s="82" t="s">
        <v>7</v>
      </c>
      <c r="D964" s="82">
        <v>8.0</v>
      </c>
    </row>
    <row r="965">
      <c r="A965" s="81" t="s">
        <v>545</v>
      </c>
      <c r="B965" s="82" t="s">
        <v>92</v>
      </c>
      <c r="C965" s="82" t="s">
        <v>25</v>
      </c>
      <c r="D965" s="82">
        <v>8.0</v>
      </c>
    </row>
    <row r="966">
      <c r="A966" s="81" t="s">
        <v>470</v>
      </c>
      <c r="B966" s="82" t="s">
        <v>63</v>
      </c>
      <c r="C966" s="82" t="s">
        <v>16</v>
      </c>
      <c r="D966" s="82">
        <v>8.0</v>
      </c>
    </row>
    <row r="967">
      <c r="A967" s="81" t="s">
        <v>855</v>
      </c>
      <c r="B967" s="82" t="s">
        <v>257</v>
      </c>
      <c r="C967" s="82" t="s">
        <v>7</v>
      </c>
      <c r="D967" s="82"/>
    </row>
    <row r="968">
      <c r="A968" s="81" t="s">
        <v>944</v>
      </c>
      <c r="B968" s="82" t="s">
        <v>102</v>
      </c>
      <c r="C968" s="82" t="s">
        <v>10</v>
      </c>
      <c r="D968" s="82">
        <v>11.0</v>
      </c>
    </row>
    <row r="969">
      <c r="A969" s="81" t="s">
        <v>834</v>
      </c>
      <c r="B969" s="82" t="s">
        <v>69</v>
      </c>
      <c r="C969" s="82" t="s">
        <v>7</v>
      </c>
      <c r="D969" s="82">
        <v>5.0</v>
      </c>
    </row>
    <row r="970">
      <c r="A970" s="81" t="s">
        <v>834</v>
      </c>
      <c r="B970" s="82" t="s">
        <v>69</v>
      </c>
      <c r="C970" s="82" t="s">
        <v>7</v>
      </c>
      <c r="D970" s="82">
        <v>5.0</v>
      </c>
    </row>
    <row r="971">
      <c r="A971" s="81" t="s">
        <v>781</v>
      </c>
      <c r="B971" s="82" t="s">
        <v>24</v>
      </c>
      <c r="C971" s="82" t="s">
        <v>7</v>
      </c>
      <c r="D971" s="82">
        <v>6.0</v>
      </c>
    </row>
    <row r="972">
      <c r="A972" s="81" t="s">
        <v>185</v>
      </c>
      <c r="B972" s="82" t="s">
        <v>48</v>
      </c>
      <c r="C972" s="82" t="s">
        <v>169</v>
      </c>
      <c r="D972" s="82">
        <v>11.0</v>
      </c>
    </row>
    <row r="973">
      <c r="A973" s="81" t="s">
        <v>137</v>
      </c>
      <c r="B973" s="82" t="s">
        <v>61</v>
      </c>
      <c r="C973" s="82" t="s">
        <v>25</v>
      </c>
      <c r="D973" s="82">
        <v>9.0</v>
      </c>
    </row>
    <row r="974">
      <c r="A974" s="81" t="s">
        <v>386</v>
      </c>
      <c r="B974" s="82" t="s">
        <v>22</v>
      </c>
      <c r="C974" s="82" t="s">
        <v>16</v>
      </c>
      <c r="D974" s="82">
        <v>7.0</v>
      </c>
    </row>
    <row r="975">
      <c r="A975" s="81" t="s">
        <v>416</v>
      </c>
      <c r="B975" s="82" t="s">
        <v>104</v>
      </c>
      <c r="C975" s="82" t="s">
        <v>16</v>
      </c>
      <c r="D975" s="82">
        <v>7.0</v>
      </c>
    </row>
    <row r="976">
      <c r="A976" s="81" t="s">
        <v>242</v>
      </c>
      <c r="B976" s="82" t="s">
        <v>104</v>
      </c>
      <c r="C976" s="82" t="s">
        <v>16</v>
      </c>
      <c r="D976" s="82">
        <v>7.0</v>
      </c>
    </row>
    <row r="977">
      <c r="A977" s="81" t="s">
        <v>801</v>
      </c>
      <c r="B977" s="82" t="s">
        <v>56</v>
      </c>
      <c r="C977" s="82" t="s">
        <v>7</v>
      </c>
      <c r="D977" s="82">
        <v>5.0</v>
      </c>
    </row>
    <row r="978">
      <c r="A978" s="81" t="s">
        <v>107</v>
      </c>
      <c r="B978" s="82" t="s">
        <v>233</v>
      </c>
      <c r="C978" s="82" t="s">
        <v>16</v>
      </c>
      <c r="D978" s="82">
        <v>9.0</v>
      </c>
    </row>
    <row r="979">
      <c r="A979" s="81" t="s">
        <v>431</v>
      </c>
      <c r="B979" s="82" t="s">
        <v>38</v>
      </c>
      <c r="C979" s="82" t="s">
        <v>25</v>
      </c>
      <c r="D979" s="82">
        <v>12.0</v>
      </c>
    </row>
    <row r="980">
      <c r="A980" s="81" t="s">
        <v>370</v>
      </c>
      <c r="B980" s="82" t="s">
        <v>48</v>
      </c>
      <c r="C980" s="82" t="s">
        <v>16</v>
      </c>
      <c r="D980" s="82">
        <v>11.0</v>
      </c>
    </row>
    <row r="981">
      <c r="A981" s="81" t="s">
        <v>64</v>
      </c>
      <c r="B981" s="82" t="s">
        <v>40</v>
      </c>
      <c r="C981" s="82" t="s">
        <v>25</v>
      </c>
      <c r="D981" s="82">
        <v>6.0</v>
      </c>
    </row>
    <row r="982">
      <c r="A982" s="81" t="s">
        <v>30</v>
      </c>
      <c r="B982" s="82" t="s">
        <v>9</v>
      </c>
      <c r="C982" s="82" t="s">
        <v>25</v>
      </c>
      <c r="D982" s="82">
        <v>10.0</v>
      </c>
    </row>
    <row r="983">
      <c r="A983" s="81" t="s">
        <v>311</v>
      </c>
      <c r="B983" s="82" t="s">
        <v>18</v>
      </c>
      <c r="C983" s="82" t="s">
        <v>25</v>
      </c>
      <c r="D983" s="82">
        <v>6.0</v>
      </c>
    </row>
    <row r="984">
      <c r="A984" s="81" t="s">
        <v>132</v>
      </c>
      <c r="B984" s="82" t="s">
        <v>96</v>
      </c>
      <c r="C984" s="82" t="s">
        <v>10</v>
      </c>
      <c r="D984" s="82">
        <v>10.0</v>
      </c>
    </row>
    <row r="985">
      <c r="A985" s="81" t="s">
        <v>468</v>
      </c>
      <c r="B985" s="82" t="s">
        <v>257</v>
      </c>
      <c r="C985" s="82" t="s">
        <v>16</v>
      </c>
      <c r="D985" s="82"/>
    </row>
    <row r="986">
      <c r="A986" s="81" t="s">
        <v>510</v>
      </c>
      <c r="B986" s="82" t="s">
        <v>233</v>
      </c>
      <c r="C986" s="82" t="s">
        <v>25</v>
      </c>
      <c r="D986" s="82">
        <v>9.0</v>
      </c>
    </row>
    <row r="987">
      <c r="A987" s="81" t="s">
        <v>319</v>
      </c>
      <c r="B987" s="82" t="s">
        <v>59</v>
      </c>
      <c r="C987" s="82" t="s">
        <v>16</v>
      </c>
      <c r="D987" s="82">
        <v>8.0</v>
      </c>
    </row>
    <row r="988">
      <c r="A988" s="81" t="s">
        <v>553</v>
      </c>
      <c r="B988" s="82" t="s">
        <v>14</v>
      </c>
      <c r="C988" s="82" t="s">
        <v>25</v>
      </c>
      <c r="D988" s="82">
        <v>10.0</v>
      </c>
    </row>
    <row r="989">
      <c r="A989" s="81" t="s">
        <v>484</v>
      </c>
      <c r="B989" s="82" t="s">
        <v>257</v>
      </c>
      <c r="C989" s="82" t="s">
        <v>16</v>
      </c>
      <c r="D989" s="82"/>
    </row>
    <row r="990">
      <c r="A990" s="81" t="s">
        <v>630</v>
      </c>
      <c r="B990" s="82" t="s">
        <v>69</v>
      </c>
      <c r="C990" s="82" t="s">
        <v>25</v>
      </c>
      <c r="D990" s="82">
        <v>5.0</v>
      </c>
    </row>
    <row r="991">
      <c r="A991" s="81" t="s">
        <v>362</v>
      </c>
      <c r="B991" s="82" t="s">
        <v>96</v>
      </c>
      <c r="C991" s="82" t="s">
        <v>16</v>
      </c>
      <c r="D991" s="82">
        <v>10.0</v>
      </c>
    </row>
    <row r="992">
      <c r="A992" s="81" t="s">
        <v>571</v>
      </c>
      <c r="B992" s="82" t="s">
        <v>134</v>
      </c>
      <c r="C992" s="82" t="s">
        <v>25</v>
      </c>
      <c r="D992" s="82">
        <v>11.0</v>
      </c>
    </row>
    <row r="993">
      <c r="A993" s="81" t="s">
        <v>230</v>
      </c>
      <c r="B993" s="82" t="s">
        <v>92</v>
      </c>
      <c r="C993" s="82" t="s">
        <v>1116</v>
      </c>
      <c r="D993" s="82">
        <v>8.0</v>
      </c>
    </row>
    <row r="994">
      <c r="A994" s="81" t="s">
        <v>791</v>
      </c>
      <c r="B994" s="82" t="s">
        <v>29</v>
      </c>
      <c r="C994" s="82" t="s">
        <v>7</v>
      </c>
      <c r="D994" s="82">
        <v>11.0</v>
      </c>
    </row>
    <row r="995">
      <c r="A995" s="81" t="s">
        <v>863</v>
      </c>
      <c r="B995" s="82" t="s">
        <v>257</v>
      </c>
      <c r="C995" s="82" t="s">
        <v>7</v>
      </c>
      <c r="D995" s="82"/>
    </row>
    <row r="996">
      <c r="A996" s="81" t="s">
        <v>168</v>
      </c>
      <c r="B996" s="82" t="s">
        <v>24</v>
      </c>
      <c r="C996" s="82" t="s">
        <v>169</v>
      </c>
      <c r="D996" s="82">
        <v>6.0</v>
      </c>
    </row>
    <row r="997">
      <c r="A997" s="81" t="s">
        <v>240</v>
      </c>
      <c r="B997" s="82" t="s">
        <v>40</v>
      </c>
      <c r="C997" s="82" t="s">
        <v>16</v>
      </c>
      <c r="D997" s="82">
        <v>6.0</v>
      </c>
    </row>
    <row r="998">
      <c r="A998" s="81" t="s">
        <v>124</v>
      </c>
      <c r="B998" s="82" t="s">
        <v>20</v>
      </c>
      <c r="C998" s="82" t="s">
        <v>25</v>
      </c>
      <c r="D998" s="82">
        <v>8.0</v>
      </c>
    </row>
    <row r="999">
      <c r="A999" s="81" t="s">
        <v>999</v>
      </c>
      <c r="B999" s="82" t="s">
        <v>6</v>
      </c>
      <c r="C999" s="82" t="s">
        <v>10</v>
      </c>
      <c r="D999" s="82">
        <v>12.0</v>
      </c>
    </row>
    <row r="1000">
      <c r="A1000" s="81" t="s">
        <v>373</v>
      </c>
      <c r="B1000" s="82" t="s">
        <v>12</v>
      </c>
      <c r="C1000" s="82" t="s">
        <v>25</v>
      </c>
      <c r="D1000" s="82">
        <v>8.0</v>
      </c>
    </row>
    <row r="1001">
      <c r="A1001" s="81" t="s">
        <v>426</v>
      </c>
      <c r="B1001" s="82" t="s">
        <v>74</v>
      </c>
      <c r="C1001" s="82" t="s">
        <v>16</v>
      </c>
      <c r="D1001" s="82">
        <v>7.0</v>
      </c>
    </row>
    <row r="1002">
      <c r="A1002" s="81" t="s">
        <v>184</v>
      </c>
      <c r="B1002" s="82" t="s">
        <v>44</v>
      </c>
      <c r="C1002" s="82" t="s">
        <v>169</v>
      </c>
      <c r="D1002" s="82">
        <v>10.0</v>
      </c>
    </row>
    <row r="1003">
      <c r="A1003" s="81" t="s">
        <v>50</v>
      </c>
      <c r="B1003" s="82" t="s">
        <v>32</v>
      </c>
      <c r="C1003" s="82" t="s">
        <v>16</v>
      </c>
      <c r="D1003" s="82">
        <v>9.0</v>
      </c>
    </row>
    <row r="1004">
      <c r="A1004" s="81" t="s">
        <v>395</v>
      </c>
      <c r="B1004" s="82" t="s">
        <v>59</v>
      </c>
      <c r="C1004" s="82" t="s">
        <v>16</v>
      </c>
      <c r="D1004" s="82">
        <v>8.0</v>
      </c>
    </row>
    <row r="1005">
      <c r="A1005" s="81" t="s">
        <v>894</v>
      </c>
      <c r="B1005" s="82" t="s">
        <v>257</v>
      </c>
      <c r="C1005" s="82" t="s">
        <v>7</v>
      </c>
      <c r="D1005" s="82"/>
    </row>
    <row r="1006">
      <c r="A1006" s="81" t="s">
        <v>430</v>
      </c>
      <c r="B1006" s="82" t="s">
        <v>74</v>
      </c>
      <c r="C1006" s="82" t="s">
        <v>25</v>
      </c>
      <c r="D1006" s="82">
        <v>7.0</v>
      </c>
    </row>
    <row r="1007">
      <c r="A1007" s="81" t="s">
        <v>874</v>
      </c>
      <c r="B1007" s="82" t="s">
        <v>257</v>
      </c>
      <c r="C1007" s="82" t="s">
        <v>7</v>
      </c>
      <c r="D1007" s="82"/>
    </row>
    <row r="1008">
      <c r="A1008" s="81" t="s">
        <v>277</v>
      </c>
      <c r="B1008" s="82" t="s">
        <v>48</v>
      </c>
      <c r="C1008" s="82" t="s">
        <v>7</v>
      </c>
      <c r="D1008" s="82">
        <v>11.0</v>
      </c>
    </row>
    <row r="1009">
      <c r="A1009" s="81" t="s">
        <v>200</v>
      </c>
      <c r="B1009" s="82" t="s">
        <v>1007</v>
      </c>
      <c r="C1009" s="82" t="s">
        <v>169</v>
      </c>
      <c r="D1009" s="82">
        <v>8.0</v>
      </c>
    </row>
    <row r="1010">
      <c r="A1010" s="81" t="s">
        <v>582</v>
      </c>
      <c r="B1010" s="82" t="s">
        <v>18</v>
      </c>
      <c r="C1010" s="82" t="s">
        <v>25</v>
      </c>
      <c r="D1010" s="82">
        <v>6.0</v>
      </c>
    </row>
  </sheetData>
  <drawing r:id="rId1"/>
</worksheet>
</file>